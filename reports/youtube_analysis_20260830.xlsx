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サマリー" sheetId="1" state="visible" r:id="rId1"/>
    <sheet xmlns:r="http://schemas.openxmlformats.org/officeDocument/2006/relationships" name="チャンネル別詳細" sheetId="2" state="visible" r:id="rId2"/>
    <sheet xmlns:r="http://schemas.openxmlformats.org/officeDocument/2006/relationships" name="動画別パフォーマンス" sheetId="3" state="visible" r:id="rId3"/>
    <sheet xmlns:r="http://schemas.openxmlformats.org/officeDocument/2006/relationships" name="改善アクション" sheetId="4" state="visible" r:id="rId4"/>
    <sheet xmlns:r="http://schemas.openxmlformats.org/officeDocument/2006/relationships" name="トレンド" sheetId="5" state="visible" r:id="rId5"/>
  </sheets>
  <definedNames>
    <definedName name="_xlnm._FilterDatabase" localSheetId="2" hidden="1">'動画別パフォーマンス'!$A$4:$K$180</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15">
    <font>
      <name val="Calibri"/>
      <family val="2"/>
      <color theme="1"/>
      <sz val="11"/>
      <scheme val="minor"/>
    </font>
    <font>
      <name val="Arial"/>
      <b val="1"/>
      <color rgb="001F3864"/>
      <sz val="15"/>
    </font>
    <font>
      <name val="Arial"/>
      <i val="1"/>
      <color rgb="00595959"/>
      <sz val="9"/>
    </font>
    <font>
      <name val="Arial"/>
      <b val="1"/>
      <color rgb="009C0006"/>
      <sz val="11"/>
    </font>
    <font>
      <name val="Arial"/>
      <b val="1"/>
      <color rgb="00FFFFFF"/>
      <sz val="10"/>
    </font>
    <font>
      <name val="Arial"/>
      <b val="1"/>
    </font>
    <font>
      <name val="Arial"/>
      <sz val="10"/>
    </font>
    <font>
      <name val="Arial"/>
      <b val="1"/>
      <sz val="10"/>
    </font>
    <font>
      <name val="Arial"/>
      <b val="1"/>
      <color rgb="001F3864"/>
      <sz val="10"/>
    </font>
    <font>
      <name val="Arial"/>
      <color rgb="009C0006"/>
      <sz val="10"/>
    </font>
    <font>
      <name val="Arial"/>
      <color rgb="00000000"/>
      <sz val="10"/>
    </font>
    <font>
      <name val="Arial"/>
      <color rgb="00006100"/>
      <sz val="10"/>
    </font>
    <font>
      <name val="Arial"/>
      <sz val="9"/>
    </font>
    <font>
      <name val="Arial"/>
      <b val="1"/>
      <sz val="9"/>
    </font>
    <font>
      <name val="Arial"/>
      <b val="1"/>
      <color rgb="001F3864"/>
      <sz val="11"/>
    </font>
  </fonts>
  <fills count="7">
    <fill>
      <patternFill/>
    </fill>
    <fill>
      <patternFill patternType="gray125"/>
    </fill>
    <fill>
      <patternFill patternType="solid">
        <fgColor rgb="001F3864"/>
      </patternFill>
    </fill>
    <fill>
      <patternFill patternType="solid">
        <fgColor rgb="00FFC7CE"/>
      </patternFill>
    </fill>
    <fill>
      <patternFill patternType="solid">
        <fgColor rgb="00FFEB9C"/>
      </patternFill>
    </fill>
    <fill>
      <patternFill patternType="solid">
        <fgColor rgb="00D9E1F2"/>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6" fillId="0" borderId="1" pivotButton="0" quotePrefix="0" xfId="0"/>
    <xf numFmtId="3" fontId="6" fillId="0" borderId="1" pivotButton="0" quotePrefix="0" xfId="0"/>
    <xf numFmtId="2" fontId="6" fillId="0" borderId="1" pivotButton="0" quotePrefix="0" xfId="0"/>
    <xf numFmtId="164" fontId="6" fillId="0" borderId="1" pivotButton="0" quotePrefix="0" xfId="0"/>
    <xf numFmtId="0" fontId="6" fillId="3" borderId="1" pivotButton="0" quotePrefix="0" xfId="0"/>
    <xf numFmtId="0" fontId="6" fillId="4" borderId="1" pivotButton="0" quotePrefix="0" xfId="0"/>
    <xf numFmtId="0" fontId="7" fillId="5" borderId="1" pivotButton="0" quotePrefix="0" xfId="0"/>
    <xf numFmtId="3" fontId="7" fillId="5" borderId="1" pivotButton="0" quotePrefix="0" xfId="0"/>
    <xf numFmtId="2" fontId="7" fillId="5" borderId="1" pivotButton="0" quotePrefix="0" xfId="0"/>
    <xf numFmtId="164" fontId="7" fillId="5" borderId="1"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165" fontId="6" fillId="0" borderId="1" pivotButton="0" quotePrefix="0" xfId="0"/>
    <xf numFmtId="3" fontId="6" fillId="6" borderId="1" pivotButton="0" quotePrefix="0" xfId="0"/>
    <xf numFmtId="3" fontId="6" fillId="3" borderId="1" pivotButton="0" quotePrefix="0" xfId="0"/>
    <xf numFmtId="0" fontId="12" fillId="0" borderId="1" pivotButton="0" quotePrefix="0" xfId="0"/>
    <xf numFmtId="3" fontId="12" fillId="0" borderId="1" pivotButton="0" quotePrefix="0" xfId="0"/>
    <xf numFmtId="164" fontId="12" fillId="0" borderId="1" pivotButton="0" quotePrefix="0" xfId="0"/>
    <xf numFmtId="165" fontId="12" fillId="0" borderId="1" pivotButton="0" quotePrefix="0" xfId="0"/>
    <xf numFmtId="164" fontId="12" fillId="6" borderId="1" pivotButton="0" quotePrefix="0" xfId="0"/>
    <xf numFmtId="164" fontId="12" fillId="3" borderId="1" pivotButton="0" quotePrefix="0" xfId="0"/>
    <xf numFmtId="0" fontId="12" fillId="0" borderId="1" applyAlignment="1" pivotButton="0" quotePrefix="0" xfId="0">
      <alignment vertical="top" wrapText="1"/>
    </xf>
    <xf numFmtId="0" fontId="12" fillId="6" borderId="1" applyAlignment="1" pivotButton="0" quotePrefix="0" xfId="0">
      <alignment vertical="top" wrapText="1"/>
    </xf>
    <xf numFmtId="0" fontId="12" fillId="3" borderId="1" applyAlignment="1" pivotButton="0" quotePrefix="0" xfId="0">
      <alignment vertical="top" wrapText="1"/>
    </xf>
    <xf numFmtId="0" fontId="12" fillId="4" borderId="1" applyAlignment="1" pivotButton="0" quotePrefix="0" xfId="0">
      <alignment vertical="top" wrapText="1"/>
    </xf>
    <xf numFmtId="0" fontId="13" fillId="5" borderId="1" pivotButton="0" quotePrefix="0" xfId="0"/>
    <xf numFmtId="3" fontId="13" fillId="5" borderId="1" pivotButton="0" quotePrefix="0" xfId="0"/>
    <xf numFmtId="0" fontId="14" fillId="0" borderId="0" pivotButton="0" quotePrefix="0" xfId="0"/>
    <xf numFmtId="0" fontId="12" fillId="3" borderId="1" pivotButton="0" quotePrefix="0" xfId="0"/>
    <xf numFmtId="0" fontId="12" fillId="4" borderId="1" pivotButton="0" quotePrefix="0" xfId="0"/>
    <xf numFmtId="0" fontId="12"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
  <sheetViews>
    <sheetView workbookViewId="0">
      <pane ySplit="6" topLeftCell="A7" activePane="bottomLeft" state="frozen"/>
      <selection pane="bottomLeft" activeCell="A1" sqref="A1"/>
    </sheetView>
  </sheetViews>
  <sheetFormatPr baseColWidth="8" defaultRowHeight="15"/>
  <cols>
    <col width="16" customWidth="1" min="1" max="1"/>
    <col width="12" customWidth="1" min="2" max="2"/>
    <col width="11" customWidth="1" min="3" max="3"/>
    <col width="8" customWidth="1" min="4" max="4"/>
    <col width="8" customWidth="1" min="5" max="5"/>
    <col width="8" customWidth="1" min="6" max="6"/>
    <col width="14" customWidth="1" min="7" max="7"/>
    <col width="15" customWidth="1" min="8" max="8"/>
    <col width="15" customWidth="1" min="9" max="9"/>
    <col width="12" customWidth="1" min="10" max="10"/>
    <col width="22" customWidth="1" min="11" max="11"/>
  </cols>
  <sheetData>
    <row r="1">
      <c r="A1" s="1" t="inlineStr">
        <is>
          <t>YouTube Factory 日次分析サマリー  2026-08-30</t>
        </is>
      </c>
    </row>
    <row r="2">
      <c r="A2" s="2" t="inlineStr">
        <is>
          <t>データ源: data/analytics/analytics.db (最終取得 2026-08-29 14:07 UTC) / data/scenarios/*/archive の実台本。指揮者による自動生成。</t>
        </is>
      </c>
    </row>
    <row r="4">
      <c r="A4" s="3" t="inlineStr">
        <is>
          <t>■ 結論: 全5chの維持率半減は「台本の字数超過」が原因。原因箇所を特定し、コードで強制するよう修正した。</t>
        </is>
      </c>
    </row>
    <row r="6" ht="30" customHeight="1">
      <c r="A6" s="4" t="inlineStr">
        <is>
          <t>チャンネル</t>
        </is>
      </c>
      <c r="B6" s="4" t="inlineStr">
        <is>
          <t>14日 再生数</t>
        </is>
      </c>
      <c r="C6" s="4" t="inlineStr">
        <is>
          <t>14日 視聴分</t>
        </is>
      </c>
      <c r="D6" s="4" t="inlineStr">
        <is>
          <t>登録+</t>
        </is>
      </c>
      <c r="E6" s="4" t="inlineStr">
        <is>
          <t>登録-</t>
        </is>
      </c>
      <c r="F6" s="4" t="inlineStr">
        <is>
          <t>純増</t>
        </is>
      </c>
      <c r="G6" s="4" t="inlineStr">
        <is>
          <t>登録/1000再生</t>
        </is>
      </c>
      <c r="H6" s="4" t="inlineStr">
        <is>
          <t>維持率 8/05-8/18</t>
        </is>
      </c>
      <c r="I6" s="4" t="inlineStr">
        <is>
          <t>維持率 8/19-8/29</t>
        </is>
      </c>
      <c r="J6" s="4" t="inlineStr">
        <is>
          <t>維持率 変化</t>
        </is>
      </c>
      <c r="K6" s="4" t="inlineStr">
        <is>
          <t>判定</t>
        </is>
      </c>
    </row>
    <row r="7">
      <c r="A7" s="5" t="inlineStr">
        <is>
          <t>daily-science</t>
        </is>
      </c>
      <c r="B7" s="6" t="n">
        <v>12626</v>
      </c>
      <c r="C7" s="6" t="n">
        <v>1271</v>
      </c>
      <c r="D7" s="6" t="n">
        <v>7</v>
      </c>
      <c r="E7" s="6" t="n">
        <v>3</v>
      </c>
      <c r="F7" s="6">
        <f>D7-E7</f>
        <v/>
      </c>
      <c r="G7" s="7">
        <f>IF(B7=0,"-",F7/B7*1000)</f>
        <v/>
      </c>
      <c r="H7" s="8" t="n">
        <v>0.4949</v>
      </c>
      <c r="I7" s="8" t="n">
        <v>0.3163</v>
      </c>
      <c r="J7" s="8">
        <f>IF(OR(H7="",I7=""),"-",I7-H7)</f>
        <v/>
      </c>
      <c r="K7" s="9" t="inlineStr">
        <is>
          <t>要改善: 維持率が大幅低下</t>
        </is>
      </c>
    </row>
    <row r="8">
      <c r="A8" s="5" t="inlineStr">
        <is>
          <t>scp-lab</t>
        </is>
      </c>
      <c r="B8" s="6" t="n">
        <v>13869</v>
      </c>
      <c r="C8" s="6" t="n">
        <v>1251</v>
      </c>
      <c r="D8" s="6" t="n">
        <v>13</v>
      </c>
      <c r="E8" s="6" t="n">
        <v>3</v>
      </c>
      <c r="F8" s="6">
        <f>D8-E8</f>
        <v/>
      </c>
      <c r="G8" s="7">
        <f>IF(B8=0,"-",F8/B8*1000)</f>
        <v/>
      </c>
      <c r="H8" s="8" t="n">
        <v>0.52735</v>
      </c>
      <c r="I8" s="8" t="n">
        <v>0.2630000000000001</v>
      </c>
      <c r="J8" s="8">
        <f>IF(OR(H8="",I8=""),"-",I8-H8)</f>
        <v/>
      </c>
      <c r="K8" s="9" t="inlineStr">
        <is>
          <t>要改善: 維持率が大幅低下</t>
        </is>
      </c>
    </row>
    <row r="9">
      <c r="A9" s="5" t="inlineStr">
        <is>
          <t>2ch-matome</t>
        </is>
      </c>
      <c r="B9" s="6" t="n">
        <v>25912</v>
      </c>
      <c r="C9" s="6" t="n">
        <v>2602</v>
      </c>
      <c r="D9" s="6" t="n">
        <v>7</v>
      </c>
      <c r="E9" s="6" t="n">
        <v>2</v>
      </c>
      <c r="F9" s="6">
        <f>D9-E9</f>
        <v/>
      </c>
      <c r="G9" s="7">
        <f>IF(B9=0,"-",F9/B9*1000)</f>
        <v/>
      </c>
      <c r="H9" s="8" t="n">
        <v>0.5715</v>
      </c>
      <c r="I9" s="8" t="n">
        <v>0.3263</v>
      </c>
      <c r="J9" s="8">
        <f>IF(OR(H9="",I9=""),"-",I9-H9)</f>
        <v/>
      </c>
      <c r="K9" s="9" t="inlineStr">
        <is>
          <t>要改善: 維持率が大幅低下</t>
        </is>
      </c>
    </row>
    <row r="10">
      <c r="A10" s="5" t="inlineStr">
        <is>
          <t>pokemon-lab</t>
        </is>
      </c>
      <c r="B10" s="6" t="n">
        <v>17023</v>
      </c>
      <c r="C10" s="6" t="n">
        <v>1654</v>
      </c>
      <c r="D10" s="6" t="n">
        <v>7</v>
      </c>
      <c r="E10" s="6" t="n">
        <v>1</v>
      </c>
      <c r="F10" s="6">
        <f>D10-E10</f>
        <v/>
      </c>
      <c r="G10" s="7">
        <f>IF(B10=0,"-",F10/B10*1000)</f>
        <v/>
      </c>
      <c r="H10" s="8" t="n">
        <v>0.5898</v>
      </c>
      <c r="I10" s="8" t="n">
        <v>0.2614</v>
      </c>
      <c r="J10" s="8">
        <f>IF(OR(H10="",I10=""),"-",I10-H10)</f>
        <v/>
      </c>
      <c r="K10" s="9" t="inlineStr">
        <is>
          <t>要改善: 維持率が大幅低下</t>
        </is>
      </c>
    </row>
    <row r="11">
      <c r="A11" s="5" t="inlineStr">
        <is>
          <t>yokai-watch</t>
        </is>
      </c>
      <c r="B11" s="6" t="n">
        <v>14803</v>
      </c>
      <c r="C11" s="6" t="n">
        <v>1425</v>
      </c>
      <c r="D11" s="6" t="n">
        <v>5</v>
      </c>
      <c r="E11" s="6" t="n">
        <v>2</v>
      </c>
      <c r="F11" s="6">
        <f>D11-E11</f>
        <v/>
      </c>
      <c r="G11" s="7">
        <f>IF(B11=0,"-",F11/B11*1000)</f>
        <v/>
      </c>
      <c r="H11" s="8" t="n">
        <v>0.5318000000000001</v>
      </c>
      <c r="I11" s="8" t="n">
        <v>0.3079</v>
      </c>
      <c r="J11" s="8">
        <f>IF(OR(H11="",I11=""),"-",I11-H11)</f>
        <v/>
      </c>
      <c r="K11" s="9" t="inlineStr">
        <is>
          <t>要改善: 維持率が大幅低下</t>
        </is>
      </c>
    </row>
    <row r="12">
      <c r="A12" s="5" t="inlineStr">
        <is>
          <t>company-facts</t>
        </is>
      </c>
      <c r="B12" s="6" t="n">
        <v>0</v>
      </c>
      <c r="C12" s="6" t="n">
        <v>0</v>
      </c>
      <c r="D12" s="6" t="n">
        <v>0</v>
      </c>
      <c r="E12" s="6" t="n">
        <v>0</v>
      </c>
      <c r="F12" s="6">
        <f>D12-E12</f>
        <v/>
      </c>
      <c r="G12" s="7">
        <f>IF(B12=0,"-",F12/B12*1000)</f>
        <v/>
      </c>
      <c r="H12" s="8" t="n"/>
      <c r="I12" s="8" t="n"/>
      <c r="J12" s="8">
        <f>IF(OR(H12="",I12=""),"-",I12-H12)</f>
        <v/>
      </c>
      <c r="K12" s="10" t="inlineStr">
        <is>
          <t>データ不足 (channel_metrics 未取得)</t>
        </is>
      </c>
    </row>
    <row r="13">
      <c r="A13" s="11" t="inlineStr">
        <is>
          <t>合計 / 中央値</t>
        </is>
      </c>
      <c r="B13" s="12">
        <f>SUM(B7:B12)</f>
        <v/>
      </c>
      <c r="C13" s="12">
        <f>SUM(C7:C12)</f>
        <v/>
      </c>
      <c r="D13" s="12">
        <f>SUM(D7:D12)</f>
        <v/>
      </c>
      <c r="E13" s="12">
        <f>SUM(E7:E12)</f>
        <v/>
      </c>
      <c r="F13" s="12">
        <f>SUM(F7:F12)</f>
        <v/>
      </c>
      <c r="G13" s="13">
        <f>IF(B13=0,"-",F13/B13*1000)</f>
        <v/>
      </c>
      <c r="H13" s="14">
        <f>MEDIAN(H7:H12)</f>
        <v/>
      </c>
      <c r="I13" s="14">
        <f>MEDIAN(I7:I12)</f>
        <v/>
      </c>
      <c r="J13" s="14">
        <f>I13-H13</f>
        <v/>
      </c>
      <c r="K13" s="11" t="n"/>
    </row>
    <row r="15">
      <c r="A15" s="15" t="inlineStr">
        <is>
          <t>■ 主要な発見（すべて実測値に基づく）</t>
        </is>
      </c>
    </row>
    <row r="16">
      <c r="A16" s="16" t="inlineStr">
        <is>
          <t>1. 8/19 以降、全5chの台本が 22〜37秒相当 → 39〜65秒相当 に倍増し、維持率中央値が 41〜68% → 26〜33% に半減した。</t>
        </is>
      </c>
    </row>
    <row r="17">
      <c r="A17" s="17" t="inlineStr">
        <is>
          <t xml:space="preserve">   一方で平均視聴秒数は前後とも 13〜17 秒で不変。視聴者は尺に関係なく約15秒で離脱するため、伸ばした分は維持率の希釈にしかならない。</t>
        </is>
      </c>
    </row>
    <row r="18">
      <c r="A18" s="16" t="inlineStr">
        <is>
          <t>2. 8/25 に short_format を 175〜225字 に差し戻したが効いていなかった。8/26〜29 の実台本中央値は 238〜304字 で依然 13〜45% 超過。</t>
        </is>
      </c>
    </row>
    <row r="19">
      <c r="A19" s="17" t="inlineStr">
        <is>
          <t>3. 超過の原因は 2 つ。(a) 生成後の字数検証が全経路 strict=False の警告のみで、再生成もトリムも行われていなかった。</t>
        </is>
      </c>
    </row>
    <row r="20">
      <c r="A20" s="17" t="inlineStr">
        <is>
          <t xml:space="preserve">   (b) Round6/7/8 のエンハンサー群が、字数チェックの「後」に short_scenario を in-place 加筆していた（実測 +24〜103字、scp-lab は総字数の 33.9%）。</t>
        </is>
      </c>
    </row>
    <row r="21">
      <c r="A21" s="17" t="inlineStr">
        <is>
          <t>4. 全5chの extra_rules に「8行目には必ず…」という 8 行時代の誤記が残り、structure の「6行」指定と矛盾していた。実出力に 7〜8 行が混入していた。</t>
        </is>
      </c>
    </row>
    <row r="22">
      <c r="A22" s="17" t="inlineStr">
        <is>
          <t>5. 登録転換は依然として低水準。ネットワーク全体で 14 日 net +28 人 / 84,233 再生 = 0.033%（対象6ch）。最良は scp-lab の「なぜ型」で 1.43 登録/1000再生。</t>
        </is>
      </c>
    </row>
    <row r="23">
      <c r="A23" s="17" t="inlineStr">
        <is>
          <t>6. 投稿時刻(JST)別 中央値再生数は 19時=1,199 / 18時=1,139 に対し 12時=835。土日の 12〜14 時枠が最下位帯だった。</t>
        </is>
      </c>
    </row>
    <row r="24">
      <c r="A24" s="17" t="inlineStr"/>
    </row>
    <row r="25">
      <c r="A25" s="15" t="inlineStr">
        <is>
          <t>■ 本日実施した対策（実装・反映済み）</t>
        </is>
      </c>
    </row>
    <row r="26">
      <c r="A26" s="18" t="inlineStr">
        <is>
          <t>A. backend/pipeline/shorts_length_guard.py に enforce_band() を新設。全エンハンサー実行後（generator.py Phase L）に呼び、決定論的に帯へ戻す。</t>
        </is>
      </c>
    </row>
    <row r="27">
      <c r="A27" s="18" t="inlineStr">
        <is>
          <t xml:space="preserve">   1行目フックと最終行CTAは保護し、中間行の「注入句除去 → 末尾文除去」の順に削る。下限を割る削除は行わない。</t>
        </is>
      </c>
    </row>
    <row r="28">
      <c r="A28" s="18" t="inlineStr">
        <is>
          <t>B. 8/26〜29 の実台本 36 本での回帰テスト: 全5chが帯内に復帰。推定維持率 40.0〜50.7% → 53.5〜56.0%。</t>
        </is>
      </c>
    </row>
    <row r="29">
      <c r="A29" s="18" t="inlineStr">
        <is>
          <t>C. 「8行目には必ず」誤記を全5ch・両ディレクトリで「6行目には必ず」に修正。</t>
        </is>
      </c>
    </row>
    <row r="30">
      <c r="A30" s="18" t="inlineStr">
        <is>
          <t>D. line_min_chars / line_max_chars を全6chに追加。scenario_validator の行長検証が初めて有効化された。</t>
        </is>
      </c>
    </row>
    <row r="31">
      <c r="A31" s="18" t="inlineStr">
        <is>
          <t>E. 土日の 12〜14 時枠を 18 時へ移動（全6ch）。</t>
        </is>
      </c>
    </row>
    <row r="32">
      <c r="A32" s="18" t="inlineStr">
        <is>
          <t>F. company-facts に short_format を新規付与（従来は帯が未管理で DEFAULT にフォールバックしていた）。</t>
        </is>
      </c>
    </row>
    <row r="33">
      <c r="A33" s="18" t="inlineStr">
        <is>
          <t>G. pokemon-lab の theme_queue が 0 件だったため、実測で最良の「なぜ型」を主軸に 8 件補充。</t>
        </is>
      </c>
    </row>
    <row r="34">
      <c r="A34" s="17" t="inlineStr"/>
    </row>
    <row r="35">
      <c r="A35" s="15" t="inlineStr">
        <is>
          <t>■ 未実行（人手が必要）</t>
        </is>
      </c>
    </row>
    <row r="36">
      <c r="A36" s="16" t="inlineStr">
        <is>
          <t>Phase 4 の制作指示は未実行。指揮者はサンドボックスVM上で動作しており Mac の localhost:8000 に到達できないため。</t>
        </is>
      </c>
    </row>
    <row r="37">
      <c r="A37" s="16" t="inlineStr">
        <is>
          <t>→ scripts/trigger_autopilot_20260830.command を生成済み。バックエンド起動後に実行してください。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5"/>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7" customWidth="1" min="3" max="3"/>
    <col width="13" customWidth="1" min="4" max="4"/>
    <col width="12" customWidth="1" min="5" max="5"/>
    <col width="11" customWidth="1" min="6" max="6"/>
    <col width="14" customWidth="1" min="7" max="7"/>
    <col width="10" customWidth="1" min="8" max="8"/>
    <col width="11" customWidth="1" min="9" max="9"/>
    <col width="10" customWidth="1" min="10" max="10"/>
    <col width="13" customWidth="1" min="11" max="11"/>
  </cols>
  <sheetData>
    <row r="1">
      <c r="A1" s="1" t="inlineStr">
        <is>
          <t>チャンネル別 期間比較</t>
        </is>
      </c>
    </row>
    <row r="2">
      <c r="A2" s="2" t="inlineStr">
        <is>
          <t>維持率・再生数の中央値。台本字数はアーカイブ実台本の実測中央値。</t>
        </is>
      </c>
    </row>
    <row r="4" ht="30" customHeight="1">
      <c r="A4" s="4" t="inlineStr">
        <is>
          <t>チャンネル</t>
        </is>
      </c>
      <c r="B4" s="4" t="inlineStr">
        <is>
          <t>期間</t>
        </is>
      </c>
      <c r="C4" s="4" t="inlineStr">
        <is>
          <t>本数</t>
        </is>
      </c>
      <c r="D4" s="4" t="inlineStr">
        <is>
          <t>中央値 再生数</t>
        </is>
      </c>
      <c r="E4" s="4" t="inlineStr">
        <is>
          <t>中央値 維持率</t>
        </is>
      </c>
      <c r="F4" s="4" t="inlineStr">
        <is>
          <t>中央値 視聴秒</t>
        </is>
      </c>
      <c r="G4" s="4" t="inlineStr">
        <is>
          <t>台本字数 中央値</t>
        </is>
      </c>
      <c r="H4" s="4" t="inlineStr">
        <is>
          <t>字数上限</t>
        </is>
      </c>
      <c r="I4" s="4" t="inlineStr">
        <is>
          <t>上限超過</t>
        </is>
      </c>
      <c r="J4" s="4" t="inlineStr">
        <is>
          <t>高評価率</t>
        </is>
      </c>
      <c r="K4" s="4" t="inlineStr">
        <is>
          <t>登録/1000再生</t>
        </is>
      </c>
    </row>
    <row r="5">
      <c r="A5" s="5" t="inlineStr">
        <is>
          <t>daily-science</t>
        </is>
      </c>
      <c r="B5" s="5" t="inlineStr">
        <is>
          <t>A: 7/20-8/04 (短尺期)</t>
        </is>
      </c>
      <c r="C5" s="5" t="n">
        <v>13</v>
      </c>
      <c r="D5" s="6" t="n">
        <v>934</v>
      </c>
      <c r="E5" s="8" t="n">
        <v>0.5413</v>
      </c>
      <c r="F5" s="19" t="n">
        <v>12</v>
      </c>
      <c r="G5" s="20" t="n">
        <v>203</v>
      </c>
      <c r="H5" s="6" t="n">
        <v>225</v>
      </c>
      <c r="I5" s="6">
        <f>IF(G5="","-",IF(G5&gt;H5,G5-H5,0))</f>
        <v/>
      </c>
      <c r="J5" s="8" t="n">
        <v>0.003917638483965015</v>
      </c>
      <c r="K5" s="19" t="n">
        <v>0.4555393586005831</v>
      </c>
    </row>
    <row r="6">
      <c r="A6" s="5" t="inlineStr">
        <is>
          <t>daily-science</t>
        </is>
      </c>
      <c r="B6" s="5" t="inlineStr">
        <is>
          <t>B: 8/05-8/18 (短尺期)</t>
        </is>
      </c>
      <c r="C6" s="5" t="n">
        <v>21</v>
      </c>
      <c r="D6" s="6" t="n">
        <v>963</v>
      </c>
      <c r="E6" s="8" t="n">
        <v>0.4949</v>
      </c>
      <c r="F6" s="19" t="n">
        <v>14</v>
      </c>
      <c r="G6" s="20" t="n">
        <v>186</v>
      </c>
      <c r="H6" s="6" t="n">
        <v>225</v>
      </c>
      <c r="I6" s="6">
        <f>IF(G6="","-",IF(G6&gt;H6,G6-H6,0))</f>
        <v/>
      </c>
      <c r="J6" s="8" t="n">
        <v>0.00344412858080035</v>
      </c>
      <c r="K6" s="19" t="n">
        <v>0.3826809534222611</v>
      </c>
    </row>
    <row r="7">
      <c r="A7" s="5" t="inlineStr">
        <is>
          <t>daily-science</t>
        </is>
      </c>
      <c r="B7" s="5" t="inlineStr">
        <is>
          <t>C: 8/19-8/25 (長尺化)</t>
        </is>
      </c>
      <c r="C7" s="5" t="n">
        <v>9</v>
      </c>
      <c r="D7" s="6" t="n">
        <v>955</v>
      </c>
      <c r="E7" s="8" t="n">
        <v>0.3163</v>
      </c>
      <c r="F7" s="19" t="n">
        <v>16</v>
      </c>
      <c r="G7" s="21" t="n">
        <v>354</v>
      </c>
      <c r="H7" s="6" t="n">
        <v>225</v>
      </c>
      <c r="I7" s="21">
        <f>IF(G7="","-",IF(G7&gt;H7,G7-H7,0))</f>
        <v/>
      </c>
      <c r="J7" s="8" t="n">
        <v>0.00666747484543581</v>
      </c>
      <c r="K7" s="19" t="n">
        <v>0.4849072614862407</v>
      </c>
    </row>
    <row r="8">
      <c r="A8" s="5" t="inlineStr">
        <is>
          <t>daily-science</t>
        </is>
      </c>
      <c r="B8" s="5" t="inlineStr">
        <is>
          <t>D: 8/26-8/29 (差戻後)</t>
        </is>
      </c>
      <c r="C8" s="5" t="n">
        <v>9</v>
      </c>
      <c r="D8" s="6" t="n">
        <v>955</v>
      </c>
      <c r="E8" s="8" t="n">
        <v>0.3163</v>
      </c>
      <c r="F8" s="19" t="n">
        <v>16</v>
      </c>
      <c r="G8" s="21" t="n">
        <v>278</v>
      </c>
      <c r="H8" s="6" t="n">
        <v>225</v>
      </c>
      <c r="I8" s="21">
        <f>IF(G8="","-",IF(G8&gt;H8,G8-H8,0))</f>
        <v/>
      </c>
      <c r="J8" s="8" t="n">
        <v>0.00666747484543581</v>
      </c>
      <c r="K8" s="19" t="n">
        <v>0.4849072614862407</v>
      </c>
    </row>
    <row r="9">
      <c r="A9" s="5" t="inlineStr">
        <is>
          <t>scp-lab</t>
        </is>
      </c>
      <c r="B9" s="5" t="inlineStr">
        <is>
          <t>A: 7/20-8/04 (短尺期)</t>
        </is>
      </c>
      <c r="C9" s="5" t="n">
        <v>11</v>
      </c>
      <c r="D9" s="6" t="n">
        <v>722</v>
      </c>
      <c r="E9" s="8" t="n">
        <v>0.4091</v>
      </c>
      <c r="F9" s="19" t="n">
        <v>15</v>
      </c>
      <c r="G9" s="20" t="n">
        <v>192</v>
      </c>
      <c r="H9" s="6" t="n">
        <v>210</v>
      </c>
      <c r="I9" s="6">
        <f>IF(G9="","-",IF(G9&gt;H9,G9-H9,0))</f>
        <v/>
      </c>
      <c r="J9" s="8" t="n">
        <v>0.004975124378109453</v>
      </c>
      <c r="K9" s="19" t="n">
        <v>1.243781094527363</v>
      </c>
    </row>
    <row r="10">
      <c r="A10" s="5" t="inlineStr">
        <is>
          <t>scp-lab</t>
        </is>
      </c>
      <c r="B10" s="5" t="inlineStr">
        <is>
          <t>B: 8/05-8/18 (短尺期)</t>
        </is>
      </c>
      <c r="C10" s="5" t="n">
        <v>20</v>
      </c>
      <c r="D10" s="6" t="n">
        <v>857</v>
      </c>
      <c r="E10" s="8" t="n">
        <v>0.52735</v>
      </c>
      <c r="F10" s="19" t="n">
        <v>17</v>
      </c>
      <c r="G10" s="20" t="n">
        <v>203</v>
      </c>
      <c r="H10" s="6" t="n">
        <v>210</v>
      </c>
      <c r="I10" s="6">
        <f>IF(G10="","-",IF(G10&gt;H10,G10-H10,0))</f>
        <v/>
      </c>
      <c r="J10" s="8" t="n">
        <v>0.004061451527458944</v>
      </c>
      <c r="K10" s="19" t="n">
        <v>0.5297545470598622</v>
      </c>
    </row>
    <row r="11">
      <c r="A11" s="5" t="inlineStr">
        <is>
          <t>scp-lab</t>
        </is>
      </c>
      <c r="B11" s="5" t="inlineStr">
        <is>
          <t>C: 8/19-8/25 (長尺化)</t>
        </is>
      </c>
      <c r="C11" s="5" t="n">
        <v>14</v>
      </c>
      <c r="D11" s="6" t="n">
        <v>742.5</v>
      </c>
      <c r="E11" s="8" t="n">
        <v>0.2630000000000001</v>
      </c>
      <c r="F11" s="19" t="n">
        <v>14</v>
      </c>
      <c r="G11" s="21" t="n">
        <v>372</v>
      </c>
      <c r="H11" s="6" t="n">
        <v>210</v>
      </c>
      <c r="I11" s="21">
        <f>IF(G11="","-",IF(G11&gt;H11,G11-H11,0))</f>
        <v/>
      </c>
      <c r="J11" s="8" t="n">
        <v>0.004065040650406504</v>
      </c>
      <c r="K11" s="19" t="n">
        <v>0.7173601147776184</v>
      </c>
    </row>
    <row r="12">
      <c r="A12" s="5" t="inlineStr">
        <is>
          <t>scp-lab</t>
        </is>
      </c>
      <c r="B12" s="5" t="inlineStr">
        <is>
          <t>D: 8/26-8/29 (差戻後)</t>
        </is>
      </c>
      <c r="C12" s="5" t="n">
        <v>14</v>
      </c>
      <c r="D12" s="6" t="n">
        <v>742.5</v>
      </c>
      <c r="E12" s="8" t="n">
        <v>0.2630000000000001</v>
      </c>
      <c r="F12" s="19" t="n">
        <v>14</v>
      </c>
      <c r="G12" s="21" t="n">
        <v>304</v>
      </c>
      <c r="H12" s="6" t="n">
        <v>210</v>
      </c>
      <c r="I12" s="21">
        <f>IF(G12="","-",IF(G12&gt;H12,G12-H12,0))</f>
        <v/>
      </c>
      <c r="J12" s="8" t="n">
        <v>0.004065040650406504</v>
      </c>
      <c r="K12" s="19" t="n">
        <v>0.7173601147776184</v>
      </c>
    </row>
    <row r="13">
      <c r="A13" s="5" t="inlineStr">
        <is>
          <t>2ch-matome</t>
        </is>
      </c>
      <c r="B13" s="5" t="inlineStr">
        <is>
          <t>B: 8/05-8/18 (短尺期)</t>
        </is>
      </c>
      <c r="C13" s="5" t="n">
        <v>13</v>
      </c>
      <c r="D13" s="6" t="n">
        <v>1305</v>
      </c>
      <c r="E13" s="8" t="n">
        <v>0.5715</v>
      </c>
      <c r="F13" s="19" t="n">
        <v>13</v>
      </c>
      <c r="G13" s="20" t="n">
        <v>144</v>
      </c>
      <c r="H13" s="6" t="n">
        <v>210</v>
      </c>
      <c r="I13" s="6">
        <f>IF(G13="","-",IF(G13&gt;H13,G13-H13,0))</f>
        <v/>
      </c>
      <c r="J13" s="8" t="n">
        <v>0.002141327623126338</v>
      </c>
      <c r="K13" s="19" t="n">
        <v>0.1835423676965433</v>
      </c>
    </row>
    <row r="14">
      <c r="A14" s="5" t="inlineStr">
        <is>
          <t>2ch-matome</t>
        </is>
      </c>
      <c r="B14" s="5" t="inlineStr">
        <is>
          <t>C: 8/19-8/25 (長尺化)</t>
        </is>
      </c>
      <c r="C14" s="5" t="n">
        <v>13</v>
      </c>
      <c r="D14" s="6" t="n">
        <v>950</v>
      </c>
      <c r="E14" s="8" t="n">
        <v>0.3263</v>
      </c>
      <c r="F14" s="19" t="n">
        <v>13</v>
      </c>
      <c r="G14" s="21" t="n">
        <v>286</v>
      </c>
      <c r="H14" s="6" t="n">
        <v>210</v>
      </c>
      <c r="I14" s="21">
        <f>IF(G14="","-",IF(G14&gt;H14,G14-H14,0))</f>
        <v/>
      </c>
      <c r="J14" s="8" t="n">
        <v>0.002836304700162075</v>
      </c>
      <c r="K14" s="19" t="n">
        <v>0.08103727714748785</v>
      </c>
    </row>
    <row r="15">
      <c r="A15" s="5" t="inlineStr">
        <is>
          <t>2ch-matome</t>
        </is>
      </c>
      <c r="B15" s="5" t="inlineStr">
        <is>
          <t>D: 8/26-8/29 (差戻後)</t>
        </is>
      </c>
      <c r="C15" s="5" t="n">
        <v>13</v>
      </c>
      <c r="D15" s="6" t="n">
        <v>950</v>
      </c>
      <c r="E15" s="8" t="n">
        <v>0.3263</v>
      </c>
      <c r="F15" s="19" t="n">
        <v>13</v>
      </c>
      <c r="G15" s="21" t="n">
        <v>237.5</v>
      </c>
      <c r="H15" s="6" t="n">
        <v>210</v>
      </c>
      <c r="I15" s="21">
        <f>IF(G15="","-",IF(G15&gt;H15,G15-H15,0))</f>
        <v/>
      </c>
      <c r="J15" s="8" t="n">
        <v>0.002836304700162075</v>
      </c>
      <c r="K15" s="19" t="n">
        <v>0.08103727714748785</v>
      </c>
    </row>
    <row r="16">
      <c r="A16" s="5" t="inlineStr">
        <is>
          <t>pokemon-lab</t>
        </is>
      </c>
      <c r="B16" s="5" t="inlineStr">
        <is>
          <t>A: 7/20-8/04 (短尺期)</t>
        </is>
      </c>
      <c r="C16" s="5" t="n">
        <v>9</v>
      </c>
      <c r="D16" s="6" t="n">
        <v>1612</v>
      </c>
      <c r="E16" s="8" t="n">
        <v>0.6774</v>
      </c>
      <c r="F16" s="19" t="n">
        <v>19</v>
      </c>
      <c r="G16" s="20" t="n">
        <v>160</v>
      </c>
      <c r="H16" s="6" t="n">
        <v>225</v>
      </c>
      <c r="I16" s="6">
        <f>IF(G16="","-",IF(G16&gt;H16,G16-H16,0))</f>
        <v/>
      </c>
      <c r="J16" s="8" t="n">
        <v>0.003680113234253362</v>
      </c>
      <c r="K16" s="19" t="n">
        <v>0.4246284501061571</v>
      </c>
    </row>
    <row r="17">
      <c r="A17" s="5" t="inlineStr">
        <is>
          <t>pokemon-lab</t>
        </is>
      </c>
      <c r="B17" s="5" t="inlineStr">
        <is>
          <t>B: 8/05-8/18 (短尺期)</t>
        </is>
      </c>
      <c r="C17" s="5" t="n">
        <v>12</v>
      </c>
      <c r="D17" s="6" t="n">
        <v>1566</v>
      </c>
      <c r="E17" s="8" t="n">
        <v>0.5898</v>
      </c>
      <c r="F17" s="19" t="n">
        <v>17</v>
      </c>
      <c r="G17" s="20" t="n">
        <v>193</v>
      </c>
      <c r="H17" s="6" t="n">
        <v>225</v>
      </c>
      <c r="I17" s="6">
        <f>IF(G17="","-",IF(G17&gt;H17,G17-H17,0))</f>
        <v/>
      </c>
      <c r="J17" s="8" t="n">
        <v>0.002822099207641376</v>
      </c>
      <c r="K17" s="19" t="n">
        <v>0.325626831650928</v>
      </c>
    </row>
    <row r="18">
      <c r="A18" s="5" t="inlineStr">
        <is>
          <t>pokemon-lab</t>
        </is>
      </c>
      <c r="B18" s="5" t="inlineStr">
        <is>
          <t>C: 8/19-8/25 (長尺化)</t>
        </is>
      </c>
      <c r="C18" s="5" t="n">
        <v>8</v>
      </c>
      <c r="D18" s="6" t="n">
        <v>1011.5</v>
      </c>
      <c r="E18" s="8" t="n">
        <v>0.2614</v>
      </c>
      <c r="F18" s="19" t="n">
        <v>17</v>
      </c>
      <c r="G18" s="21" t="n">
        <v>370</v>
      </c>
      <c r="H18" s="6" t="n">
        <v>225</v>
      </c>
      <c r="I18" s="21">
        <f>IF(G18="","-",IF(G18&gt;H18,G18-H18,0))</f>
        <v/>
      </c>
      <c r="J18" s="8" t="n">
        <v>0.001763668430335097</v>
      </c>
      <c r="K18" s="19" t="n">
        <v>0.3779289493575208</v>
      </c>
    </row>
    <row r="19">
      <c r="A19" s="5" t="inlineStr">
        <is>
          <t>pokemon-lab</t>
        </is>
      </c>
      <c r="B19" s="5" t="inlineStr">
        <is>
          <t>D: 8/26-8/29 (差戻後)</t>
        </is>
      </c>
      <c r="C19" s="5" t="n">
        <v>8</v>
      </c>
      <c r="D19" s="6" t="n">
        <v>1011.5</v>
      </c>
      <c r="E19" s="8" t="n">
        <v>0.2614</v>
      </c>
      <c r="F19" s="19" t="n">
        <v>17</v>
      </c>
      <c r="G19" s="21" t="n">
        <v>250</v>
      </c>
      <c r="H19" s="6" t="n">
        <v>225</v>
      </c>
      <c r="I19" s="21">
        <f>IF(G19="","-",IF(G19&gt;H19,G19-H19,0))</f>
        <v/>
      </c>
      <c r="J19" s="8" t="n">
        <v>0.001763668430335097</v>
      </c>
      <c r="K19" s="19" t="n">
        <v>0.3779289493575208</v>
      </c>
    </row>
    <row r="20">
      <c r="A20" s="5" t="inlineStr">
        <is>
          <t>yokai-watch</t>
        </is>
      </c>
      <c r="B20" s="5" t="inlineStr">
        <is>
          <t>A: 7/20-8/04 (短尺期)</t>
        </is>
      </c>
      <c r="C20" s="5" t="n">
        <v>9</v>
      </c>
      <c r="D20" s="6" t="n">
        <v>1277</v>
      </c>
      <c r="E20" s="8" t="n">
        <v>0.5813</v>
      </c>
      <c r="F20" s="19" t="n">
        <v>15</v>
      </c>
      <c r="G20" s="20" t="n">
        <v>174</v>
      </c>
      <c r="H20" s="6" t="n">
        <v>225</v>
      </c>
      <c r="I20" s="6">
        <f>IF(G20="","-",IF(G20&gt;H20,G20-H20,0))</f>
        <v/>
      </c>
      <c r="J20" s="8" t="n">
        <v>0.003376220458070992</v>
      </c>
      <c r="K20" s="19" t="n">
        <v>0.5474952094169176</v>
      </c>
    </row>
    <row r="21">
      <c r="A21" s="5" t="inlineStr">
        <is>
          <t>yokai-watch</t>
        </is>
      </c>
      <c r="B21" s="5" t="inlineStr">
        <is>
          <t>B: 8/05-8/18 (短尺期)</t>
        </is>
      </c>
      <c r="C21" s="5" t="n">
        <v>13</v>
      </c>
      <c r="D21" s="6" t="n">
        <v>1821</v>
      </c>
      <c r="E21" s="8" t="n">
        <v>0.5318000000000001</v>
      </c>
      <c r="F21" s="19" t="n">
        <v>17</v>
      </c>
      <c r="G21" s="20" t="n">
        <v>216.5</v>
      </c>
      <c r="H21" s="6" t="n">
        <v>225</v>
      </c>
      <c r="I21" s="6">
        <f>IF(G21="","-",IF(G21&gt;H21,G21-H21,0))</f>
        <v/>
      </c>
      <c r="J21" s="8" t="n">
        <v>0.003514252245216712</v>
      </c>
      <c r="K21" s="19" t="n">
        <v>0.2169291509393032</v>
      </c>
    </row>
    <row r="22">
      <c r="A22" s="5" t="inlineStr">
        <is>
          <t>yokai-watch</t>
        </is>
      </c>
      <c r="B22" s="5" t="inlineStr">
        <is>
          <t>C: 8/19-8/25 (長尺化)</t>
        </is>
      </c>
      <c r="C22" s="5" t="n">
        <v>10</v>
      </c>
      <c r="D22" s="6" t="n">
        <v>407</v>
      </c>
      <c r="E22" s="8" t="n">
        <v>0.3079</v>
      </c>
      <c r="F22" s="19" t="n">
        <v>15.5</v>
      </c>
      <c r="G22" s="21" t="n">
        <v>386</v>
      </c>
      <c r="H22" s="6" t="n">
        <v>225</v>
      </c>
      <c r="I22" s="21">
        <f>IF(G22="","-",IF(G22&gt;H22,G22-H22,0))</f>
        <v/>
      </c>
      <c r="J22" s="8" t="n">
        <v>0.003893322951138797</v>
      </c>
      <c r="K22" s="19" t="n">
        <v>0.1946661475569398</v>
      </c>
    </row>
    <row r="23">
      <c r="A23" s="5" t="inlineStr">
        <is>
          <t>yokai-watch</t>
        </is>
      </c>
      <c r="B23" s="5" t="inlineStr">
        <is>
          <t>D: 8/26-8/29 (差戻後)</t>
        </is>
      </c>
      <c r="C23" s="5" t="n">
        <v>10</v>
      </c>
      <c r="D23" s="6" t="n">
        <v>407</v>
      </c>
      <c r="E23" s="8" t="n">
        <v>0.3079</v>
      </c>
      <c r="F23" s="19" t="n">
        <v>15.5</v>
      </c>
      <c r="G23" s="21" t="n">
        <v>279</v>
      </c>
      <c r="H23" s="6" t="n">
        <v>225</v>
      </c>
      <c r="I23" s="21">
        <f>IF(G23="","-",IF(G23&gt;H23,G23-H23,0))</f>
        <v/>
      </c>
      <c r="J23" s="8" t="n">
        <v>0.003893322951138797</v>
      </c>
      <c r="K23" s="19" t="n">
        <v>0.1946661475569398</v>
      </c>
    </row>
    <row r="25">
      <c r="A25" s="2" t="inlineStr">
        <is>
          <t>※ 期間A/Bは維持率データが同一集計（analytics.db の published_at 基準）。台本字数のみ 4 期間に分けて実測している。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80"/>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5" customWidth="1" min="1" max="1"/>
    <col width="11" customWidth="1" min="2" max="2"/>
    <col width="58" customWidth="1" min="3" max="3"/>
    <col width="10" customWidth="1" min="4" max="4"/>
    <col width="9" customWidth="1" min="5" max="5"/>
    <col width="11" customWidth="1" min="6" max="6"/>
    <col width="8" customWidth="1" min="7" max="7"/>
    <col width="10" customWidth="1" min="8" max="8"/>
    <col width="10" customWidth="1" min="9" max="9"/>
    <col width="10" customWidth="1" min="10" max="10"/>
    <col width="13" customWidth="1" min="11" max="11"/>
  </cols>
  <sheetData>
    <row r="1">
      <c r="A1" s="1" t="inlineStr">
        <is>
          <t>動画別パフォーマンス（2026-07-20 以降 / 再生数50超）</t>
        </is>
      </c>
    </row>
    <row r="2">
      <c r="A2" s="2" t="inlineStr">
        <is>
          <t>avg_view_percentage は YouTube Analytics の平均視聴率。100% 超はループ再生を含む。</t>
        </is>
      </c>
    </row>
    <row r="4" ht="30" customHeight="1">
      <c r="A4" s="4" t="inlineStr">
        <is>
          <t>チャンネル</t>
        </is>
      </c>
      <c r="B4" s="4" t="inlineStr">
        <is>
          <t>公開日</t>
        </is>
      </c>
      <c r="C4" s="4" t="inlineStr">
        <is>
          <t>タイトル</t>
        </is>
      </c>
      <c r="D4" s="4" t="inlineStr">
        <is>
          <t>再生数</t>
        </is>
      </c>
      <c r="E4" s="4" t="inlineStr">
        <is>
          <t>維持率</t>
        </is>
      </c>
      <c r="F4" s="4" t="inlineStr">
        <is>
          <t>平均視聴秒</t>
        </is>
      </c>
      <c r="G4" s="4" t="inlineStr">
        <is>
          <t>高評価</t>
        </is>
      </c>
      <c r="H4" s="4" t="inlineStr">
        <is>
          <t>コメント</t>
        </is>
      </c>
      <c r="I4" s="4" t="inlineStr">
        <is>
          <t>登録獲得</t>
        </is>
      </c>
      <c r="J4" s="4" t="inlineStr">
        <is>
          <t>高評価率</t>
        </is>
      </c>
      <c r="K4" s="4" t="inlineStr">
        <is>
          <t>登録/1000再生</t>
        </is>
      </c>
    </row>
    <row r="5">
      <c r="A5" s="22" t="inlineStr">
        <is>
          <t>2ch-matome</t>
        </is>
      </c>
      <c r="B5" s="22" t="inlineStr">
        <is>
          <t>2026-08-09</t>
        </is>
      </c>
      <c r="C5" s="22" t="inlineStr">
        <is>
          <t>30秒スレまとめ：残業代はやる気で払う#上司「残業代はやる気で払う」発言から、なぜか全員消えた職場の末路 #shorts #ゆっくり解説</t>
        </is>
      </c>
      <c r="D5" s="23" t="n">
        <v>1360</v>
      </c>
      <c r="E5" s="24" t="n">
        <v>0.4507</v>
      </c>
      <c r="F5" s="25" t="n">
        <v>11</v>
      </c>
      <c r="G5" s="23" t="n">
        <v>3</v>
      </c>
      <c r="H5" s="23" t="n">
        <v>0</v>
      </c>
      <c r="I5" s="23" t="n">
        <v>0</v>
      </c>
      <c r="J5" s="24">
        <f>IF(D5=0,"-",G5/D5)</f>
        <v/>
      </c>
      <c r="K5" s="25">
        <f>IF(D5=0,"-",I5/D5*1000)</f>
        <v/>
      </c>
    </row>
    <row r="6">
      <c r="A6" s="22" t="inlineStr">
        <is>
          <t>2ch-matome</t>
        </is>
      </c>
      <c r="B6" s="22" t="inlineStr">
        <is>
          <t>2026-08-13</t>
        </is>
      </c>
      <c r="C6" s="22" t="inlineStr">
        <is>
          <t>コンビニで一番いらん商品あげてけ【ショート】</t>
        </is>
      </c>
      <c r="D6" s="23" t="n">
        <v>1086</v>
      </c>
      <c r="E6" s="26" t="n">
        <v>1.2551</v>
      </c>
      <c r="F6" s="25" t="n">
        <v>28</v>
      </c>
      <c r="G6" s="23" t="n">
        <v>1</v>
      </c>
      <c r="H6" s="23" t="n">
        <v>0</v>
      </c>
      <c r="I6" s="23" t="n">
        <v>0</v>
      </c>
      <c r="J6" s="24">
        <f>IF(D6=0,"-",G6/D6)</f>
        <v/>
      </c>
      <c r="K6" s="25">
        <f>IF(D6=0,"-",I6/D6*1000)</f>
        <v/>
      </c>
    </row>
    <row r="7">
      <c r="A7" s="22" t="inlineStr">
        <is>
          <t>2ch-matome</t>
        </is>
      </c>
      <c r="B7" s="22" t="inlineStr">
        <is>
          <t>2026-08-13</t>
        </is>
      </c>
      <c r="C7" s="22" t="inlineStr">
        <is>
          <t>ワイの今日の昼飯を当てるスレw【ショート】</t>
        </is>
      </c>
      <c r="D7" s="23" t="n">
        <v>1438</v>
      </c>
      <c r="E7" s="26" t="n">
        <v>0.6644</v>
      </c>
      <c r="F7" s="25" t="n">
        <v>13</v>
      </c>
      <c r="G7" s="23" t="n">
        <v>3</v>
      </c>
      <c r="H7" s="23" t="n">
        <v>0</v>
      </c>
      <c r="I7" s="23" t="n">
        <v>0</v>
      </c>
      <c r="J7" s="24">
        <f>IF(D7=0,"-",G7/D7)</f>
        <v/>
      </c>
      <c r="K7" s="25">
        <f>IF(D7=0,"-",I7/D7*1000)</f>
        <v/>
      </c>
    </row>
    <row r="8">
      <c r="A8" s="22" t="inlineStr">
        <is>
          <t>2ch-matome</t>
        </is>
      </c>
      <c r="B8" s="22" t="inlineStr">
        <is>
          <t>2026-08-14</t>
        </is>
      </c>
      <c r="C8" s="22" t="inlineStr">
        <is>
          <t>なんかPCの画面チカチカするんやが【ショート】</t>
        </is>
      </c>
      <c r="D8" s="23" t="n">
        <v>1305</v>
      </c>
      <c r="E8" s="26" t="n">
        <v>0.5115999999999999</v>
      </c>
      <c r="F8" s="25" t="n">
        <v>11</v>
      </c>
      <c r="G8" s="23" t="n">
        <v>4</v>
      </c>
      <c r="H8" s="23" t="n">
        <v>0</v>
      </c>
      <c r="I8" s="23" t="n">
        <v>2</v>
      </c>
      <c r="J8" s="24">
        <f>IF(D8=0,"-",G8/D8)</f>
        <v/>
      </c>
      <c r="K8" s="25">
        <f>IF(D8=0,"-",I8/D8*1000)</f>
        <v/>
      </c>
    </row>
    <row r="9">
      <c r="A9" s="22" t="inlineStr">
        <is>
          <t>2ch-matome</t>
        </is>
      </c>
      <c r="B9" s="22" t="inlineStr">
        <is>
          <t>2026-08-14</t>
        </is>
      </c>
      <c r="C9" s="22" t="inlineStr">
        <is>
          <t>彼女の部屋でヤバい物あげてけw【ショート】</t>
        </is>
      </c>
      <c r="D9" s="23" t="n">
        <v>1366</v>
      </c>
      <c r="E9" s="24" t="n">
        <v>0.4989</v>
      </c>
      <c r="F9" s="25" t="n">
        <v>11</v>
      </c>
      <c r="G9" s="23" t="n">
        <v>3</v>
      </c>
      <c r="H9" s="23" t="n">
        <v>0</v>
      </c>
      <c r="I9" s="23" t="n">
        <v>1</v>
      </c>
      <c r="J9" s="24">
        <f>IF(D9=0,"-",G9/D9)</f>
        <v/>
      </c>
      <c r="K9" s="25">
        <f>IF(D9=0,"-",I9/D9*1000)</f>
        <v/>
      </c>
    </row>
    <row r="10">
      <c r="A10" s="22" t="inlineStr">
        <is>
          <t>2ch-matome</t>
        </is>
      </c>
      <c r="B10" s="22" t="inlineStr">
        <is>
          <t>2026-08-15</t>
        </is>
      </c>
      <c r="C10" s="22" t="inlineStr">
        <is>
          <t>ワイ、彼女いない歴＝年齢やけど質問ある？【ショート】</t>
        </is>
      </c>
      <c r="D10" s="23" t="n">
        <v>1654</v>
      </c>
      <c r="E10" s="26" t="n">
        <v>0.6423000000000001</v>
      </c>
      <c r="F10" s="25" t="n">
        <v>15</v>
      </c>
      <c r="G10" s="23" t="n">
        <v>4</v>
      </c>
      <c r="H10" s="23" t="n">
        <v>2</v>
      </c>
      <c r="I10" s="23" t="n">
        <v>0</v>
      </c>
      <c r="J10" s="24">
        <f>IF(D10=0,"-",G10/D10)</f>
        <v/>
      </c>
      <c r="K10" s="25">
        <f>IF(D10=0,"-",I10/D10*1000)</f>
        <v/>
      </c>
    </row>
    <row r="11">
      <c r="A11" s="22" t="inlineStr">
        <is>
          <t>2ch-matome</t>
        </is>
      </c>
      <c r="B11" s="22" t="inlineStr">
        <is>
          <t>2026-08-15</t>
        </is>
      </c>
      <c r="C11" s="22" t="inlineStr">
        <is>
          <t>ワイのキーボードの変な癖あげてけw【ショート】</t>
        </is>
      </c>
      <c r="D11" s="23" t="n">
        <v>1190</v>
      </c>
      <c r="E11" s="26" t="n">
        <v>0.5127</v>
      </c>
      <c r="F11" s="25" t="n">
        <v>11</v>
      </c>
      <c r="G11" s="23" t="n">
        <v>0</v>
      </c>
      <c r="H11" s="23" t="n">
        <v>0</v>
      </c>
      <c r="I11" s="23" t="n">
        <v>0</v>
      </c>
      <c r="J11" s="24">
        <f>IF(D11=0,"-",G11/D11)</f>
        <v/>
      </c>
      <c r="K11" s="25">
        <f>IF(D11=0,"-",I11/D11*1000)</f>
        <v/>
      </c>
    </row>
    <row r="12">
      <c r="A12" s="22" t="inlineStr">
        <is>
          <t>2ch-matome</t>
        </is>
      </c>
      <c r="B12" s="22" t="inlineStr">
        <is>
          <t>2026-08-16</t>
        </is>
      </c>
      <c r="C12" s="22" t="inlineStr">
        <is>
          <t>なんかスマホの充電だけ遅いんやが【ショート】</t>
        </is>
      </c>
      <c r="D12" s="23" t="n">
        <v>1350</v>
      </c>
      <c r="E12" s="26" t="n">
        <v>0.7217</v>
      </c>
      <c r="F12" s="25" t="n">
        <v>16</v>
      </c>
      <c r="G12" s="23" t="n">
        <v>1</v>
      </c>
      <c r="H12" s="23" t="n">
        <v>1</v>
      </c>
      <c r="I12" s="23" t="n">
        <v>0</v>
      </c>
      <c r="J12" s="24">
        <f>IF(D12=0,"-",G12/D12)</f>
        <v/>
      </c>
      <c r="K12" s="25">
        <f>IF(D12=0,"-",I12/D12*1000)</f>
        <v/>
      </c>
    </row>
    <row r="13">
      <c r="A13" s="22" t="inlineStr">
        <is>
          <t>2ch-matome</t>
        </is>
      </c>
      <c r="B13" s="22" t="inlineStr">
        <is>
          <t>2026-08-17</t>
        </is>
      </c>
      <c r="C13" s="22" t="inlineStr">
        <is>
          <t>後輩「敬語って課金制ですよね？」→翌朝、全員が黙った #shorts #2ch #スカッと</t>
        </is>
      </c>
      <c r="D13" s="23" t="n">
        <v>1353</v>
      </c>
      <c r="E13" s="26" t="n">
        <v>0.5715</v>
      </c>
      <c r="F13" s="25" t="n">
        <v>16</v>
      </c>
      <c r="G13" s="23" t="n">
        <v>4</v>
      </c>
      <c r="H13" s="23" t="n">
        <v>0</v>
      </c>
      <c r="I13" s="23" t="n">
        <v>0</v>
      </c>
      <c r="J13" s="24">
        <f>IF(D13=0,"-",G13/D13)</f>
        <v/>
      </c>
      <c r="K13" s="25">
        <f>IF(D13=0,"-",I13/D13*1000)</f>
        <v/>
      </c>
    </row>
    <row r="14">
      <c r="A14" s="22" t="inlineStr">
        <is>
          <t>2ch-matome</t>
        </is>
      </c>
      <c r="B14" s="22" t="inlineStr">
        <is>
          <t>2026-08-17</t>
        </is>
      </c>
      <c r="C14" s="22" t="inlineStr">
        <is>
          <t>実際には存在しないけどありそうな県名あげてけ【ショート】</t>
        </is>
      </c>
      <c r="D14" s="23" t="n">
        <v>1161</v>
      </c>
      <c r="E14" s="26" t="n">
        <v>1.096</v>
      </c>
      <c r="F14" s="25" t="n">
        <v>28</v>
      </c>
      <c r="G14" s="23" t="n">
        <v>3</v>
      </c>
      <c r="H14" s="23" t="n">
        <v>0</v>
      </c>
      <c r="I14" s="23" t="n">
        <v>0</v>
      </c>
      <c r="J14" s="24">
        <f>IF(D14=0,"-",G14/D14)</f>
        <v/>
      </c>
      <c r="K14" s="25">
        <f>IF(D14=0,"-",I14/D14*1000)</f>
        <v/>
      </c>
    </row>
    <row r="15">
      <c r="A15" s="22" t="inlineStr">
        <is>
          <t>2ch-matome</t>
        </is>
      </c>
      <c r="B15" s="22" t="inlineStr">
        <is>
          <t>2026-08-17</t>
        </is>
      </c>
      <c r="C15" s="22" t="inlineStr">
        <is>
          <t>絶対に二度見される部屋着あげてけw【ショート】</t>
        </is>
      </c>
      <c r="D15" s="23" t="n">
        <v>1236</v>
      </c>
      <c r="E15" s="26" t="n">
        <v>0.8136</v>
      </c>
      <c r="F15" s="25" t="n">
        <v>21</v>
      </c>
      <c r="G15" s="23" t="n">
        <v>6</v>
      </c>
      <c r="H15" s="23" t="n">
        <v>0</v>
      </c>
      <c r="I15" s="23" t="n">
        <v>0</v>
      </c>
      <c r="J15" s="24">
        <f>IF(D15=0,"-",G15/D15)</f>
        <v/>
      </c>
      <c r="K15" s="25">
        <f>IF(D15=0,"-",I15/D15*1000)</f>
        <v/>
      </c>
    </row>
    <row r="16">
      <c r="A16" s="22" t="inlineStr">
        <is>
          <t>2ch-matome</t>
        </is>
      </c>
      <c r="B16" s="22" t="inlineStr">
        <is>
          <t>2026-08-18</t>
        </is>
      </c>
      <c r="C16" s="22" t="inlineStr">
        <is>
          <t>なんか靴下だけ消えるんやがw【ショート】</t>
        </is>
      </c>
      <c r="D16" s="23" t="n">
        <v>702</v>
      </c>
      <c r="E16" s="26" t="n">
        <v>0.5542</v>
      </c>
      <c r="F16" s="25" t="n">
        <v>13</v>
      </c>
      <c r="G16" s="23" t="n">
        <v>1</v>
      </c>
      <c r="H16" s="23" t="n">
        <v>0</v>
      </c>
      <c r="I16" s="23" t="n">
        <v>0</v>
      </c>
      <c r="J16" s="24">
        <f>IF(D16=0,"-",G16/D16)</f>
        <v/>
      </c>
      <c r="K16" s="25">
        <f>IF(D16=0,"-",I16/D16*1000)</f>
        <v/>
      </c>
    </row>
    <row r="17">
      <c r="A17" s="22" t="inlineStr">
        <is>
          <t>2ch-matome</t>
        </is>
      </c>
      <c r="B17" s="22" t="inlineStr">
        <is>
          <t>2026-08-18</t>
        </is>
      </c>
      <c r="C17" s="22" t="inlineStr">
        <is>
          <t>存在しないゲームの迷惑機能あげてけw【ショート】</t>
        </is>
      </c>
      <c r="D17" s="23" t="n">
        <v>1144</v>
      </c>
      <c r="E17" s="26" t="n">
        <v>0.514</v>
      </c>
      <c r="F17" s="25" t="n">
        <v>11</v>
      </c>
      <c r="G17" s="23" t="n">
        <v>2</v>
      </c>
      <c r="H17" s="23" t="n">
        <v>0</v>
      </c>
      <c r="I17" s="23" t="n">
        <v>0</v>
      </c>
      <c r="J17" s="24">
        <f>IF(D17=0,"-",G17/D17)</f>
        <v/>
      </c>
      <c r="K17" s="25">
        <f>IF(D17=0,"-",I17/D17*1000)</f>
        <v/>
      </c>
    </row>
    <row r="18">
      <c r="A18" s="22" t="inlineStr">
        <is>
          <t>2ch-matome</t>
        </is>
      </c>
      <c r="B18" s="22" t="inlineStr">
        <is>
          <t>2026-08-19</t>
        </is>
      </c>
      <c r="C18" s="22" t="inlineStr">
        <is>
          <t>PCパーツ到着時、なぜ箱だけ先に届くのか？【ショート】</t>
        </is>
      </c>
      <c r="D18" s="23" t="n">
        <v>1809</v>
      </c>
      <c r="E18" s="24" t="n">
        <v>0.4191</v>
      </c>
      <c r="F18" s="25" t="n">
        <v>12</v>
      </c>
      <c r="G18" s="23" t="n">
        <v>4</v>
      </c>
      <c r="H18" s="23" t="n">
        <v>1</v>
      </c>
      <c r="I18" s="23" t="n">
        <v>0</v>
      </c>
      <c r="J18" s="24">
        <f>IF(D18=0,"-",G18/D18)</f>
        <v/>
      </c>
      <c r="K18" s="25">
        <f>IF(D18=0,"-",I18/D18*1000)</f>
        <v/>
      </c>
    </row>
    <row r="19">
      <c r="A19" s="22" t="inlineStr">
        <is>
          <t>2ch-matome</t>
        </is>
      </c>
      <c r="B19" s="22" t="inlineStr">
        <is>
          <t>2026-08-19</t>
        </is>
      </c>
      <c r="C19" s="22" t="inlineStr">
        <is>
          <t>なぜケンタッキー月見は3秒で秋の給料日になるのか、食べた感想あげてけw【ショート】</t>
        </is>
      </c>
      <c r="D19" s="23" t="n">
        <v>249</v>
      </c>
      <c r="E19" s="24" t="n">
        <v>0.3493</v>
      </c>
      <c r="F19" s="25" t="n">
        <v>11</v>
      </c>
      <c r="G19" s="23" t="n">
        <v>0</v>
      </c>
      <c r="H19" s="23" t="n">
        <v>0</v>
      </c>
      <c r="I19" s="23" t="n">
        <v>0</v>
      </c>
      <c r="J19" s="24">
        <f>IF(D19=0,"-",G19/D19)</f>
        <v/>
      </c>
      <c r="K19" s="25">
        <f>IF(D19=0,"-",I19/D19*1000)</f>
        <v/>
      </c>
    </row>
    <row r="20">
      <c r="A20" s="22" t="inlineStr">
        <is>
          <t>2ch-matome</t>
        </is>
      </c>
      <c r="B20" s="22" t="inlineStr">
        <is>
          <t>2026-08-20</t>
        </is>
      </c>
      <c r="C20" s="22" t="inlineStr">
        <is>
          <t>ワイ、アジア大会珍プレー歴0年やけど質問ある？w🤣【ショート】</t>
        </is>
      </c>
      <c r="D20" s="23" t="n">
        <v>586</v>
      </c>
      <c r="E20" s="27" t="n">
        <v>0.2448</v>
      </c>
      <c r="F20" s="25" t="n">
        <v>12</v>
      </c>
      <c r="G20" s="23" t="n">
        <v>1</v>
      </c>
      <c r="H20" s="23" t="n">
        <v>0</v>
      </c>
      <c r="I20" s="23" t="n">
        <v>0</v>
      </c>
      <c r="J20" s="24">
        <f>IF(D20=0,"-",G20/D20)</f>
        <v/>
      </c>
      <c r="K20" s="25">
        <f>IF(D20=0,"-",I20/D20*1000)</f>
        <v/>
      </c>
    </row>
    <row r="21">
      <c r="A21" s="22" t="inlineStr">
        <is>
          <t>2ch-matome</t>
        </is>
      </c>
      <c r="B21" s="22" t="inlineStr">
        <is>
          <t>2026-08-20</t>
        </is>
      </c>
      <c r="C21" s="22" t="inlineStr">
        <is>
          <t>ちいかわチョコサプ、なぜ中身が攻めすぎなのか？3秒予想してみたら草【ショート】</t>
        </is>
      </c>
      <c r="D21" s="23" t="n">
        <v>820</v>
      </c>
      <c r="E21" s="27" t="n">
        <v>0.3193</v>
      </c>
      <c r="F21" s="25" t="n">
        <v>14</v>
      </c>
      <c r="G21" s="23" t="n">
        <v>1</v>
      </c>
      <c r="H21" s="23" t="n">
        <v>0</v>
      </c>
      <c r="I21" s="23" t="n">
        <v>1</v>
      </c>
      <c r="J21" s="24">
        <f>IF(D21=0,"-",G21/D21)</f>
        <v/>
      </c>
      <c r="K21" s="25">
        <f>IF(D21=0,"-",I21/D21*1000)</f>
        <v/>
      </c>
    </row>
    <row r="22">
      <c r="A22" s="22" t="inlineStr">
        <is>
          <t>2ch-matome</t>
        </is>
      </c>
      <c r="B22" s="22" t="inlineStr">
        <is>
          <t>2026-08-21</t>
        </is>
      </c>
      <c r="C22" s="22" t="inlineStr">
        <is>
          <t>ワイ、サーモス歴3年やけど質問ある？w😏【ショート】</t>
        </is>
      </c>
      <c r="D22" s="23" t="n">
        <v>950</v>
      </c>
      <c r="E22" s="24" t="n">
        <v>0.3644</v>
      </c>
      <c r="F22" s="25" t="n">
        <v>15</v>
      </c>
      <c r="G22" s="23" t="n">
        <v>3</v>
      </c>
      <c r="H22" s="23" t="n">
        <v>0</v>
      </c>
      <c r="I22" s="23" t="n">
        <v>0</v>
      </c>
      <c r="J22" s="24">
        <f>IF(D22=0,"-",G22/D22)</f>
        <v/>
      </c>
      <c r="K22" s="25">
        <f>IF(D22=0,"-",I22/D22*1000)</f>
        <v/>
      </c>
    </row>
    <row r="23">
      <c r="A23" s="22" t="inlineStr">
        <is>
          <t>2ch-matome</t>
        </is>
      </c>
      <c r="B23" s="22" t="inlineStr">
        <is>
          <t>2026-08-21</t>
        </is>
      </c>
      <c r="C23" s="22" t="inlineStr">
        <is>
          <t>3秒で考えろ！この戦闘機の名前が親戚回避型な理由とは？【ショート】</t>
        </is>
      </c>
      <c r="D23" s="23" t="n">
        <v>967</v>
      </c>
      <c r="E23" s="27" t="n">
        <v>0.3263</v>
      </c>
      <c r="F23" s="25" t="n">
        <v>13</v>
      </c>
      <c r="G23" s="23" t="n">
        <v>5</v>
      </c>
      <c r="H23" s="23" t="n">
        <v>0</v>
      </c>
      <c r="I23" s="23" t="n">
        <v>0</v>
      </c>
      <c r="J23" s="24">
        <f>IF(D23=0,"-",G23/D23)</f>
        <v/>
      </c>
      <c r="K23" s="25">
        <f>IF(D23=0,"-",I23/D23*1000)</f>
        <v/>
      </c>
    </row>
    <row r="24">
      <c r="A24" s="22" t="inlineStr">
        <is>
          <t>2ch-matome</t>
        </is>
      </c>
      <c r="B24" s="22" t="inlineStr">
        <is>
          <t>2026-08-21</t>
        </is>
      </c>
      <c r="C24" s="22" t="inlineStr">
        <is>
          <t>なぜ熱闘甲子園の夜だけ空気が変わる？お前らの夏の思い出5つ聞かせろ【ショート】</t>
        </is>
      </c>
      <c r="D24" s="23" t="n">
        <v>967</v>
      </c>
      <c r="E24" s="27" t="n">
        <v>0.3015</v>
      </c>
      <c r="F24" s="25" t="n">
        <v>15</v>
      </c>
      <c r="G24" s="23" t="n">
        <v>5</v>
      </c>
      <c r="H24" s="23" t="n">
        <v>0</v>
      </c>
      <c r="I24" s="23" t="n">
        <v>0</v>
      </c>
      <c r="J24" s="24">
        <f>IF(D24=0,"-",G24/D24)</f>
        <v/>
      </c>
      <c r="K24" s="25">
        <f>IF(D24=0,"-",I24/D24*1000)</f>
        <v/>
      </c>
    </row>
    <row r="25">
      <c r="A25" s="22" t="inlineStr">
        <is>
          <t>2ch-matome</t>
        </is>
      </c>
      <c r="B25" s="22" t="inlineStr">
        <is>
          <t>2026-08-22</t>
        </is>
      </c>
      <c r="C25" s="22" t="inlineStr">
        <is>
          <t>なぜ3秒でバレる？お前らをブラックラグーンで例えた結果【ショート】</t>
        </is>
      </c>
      <c r="D25" s="23" t="n">
        <v>1088</v>
      </c>
      <c r="E25" s="27" t="n">
        <v>0.2712</v>
      </c>
      <c r="F25" s="25" t="n">
        <v>13</v>
      </c>
      <c r="G25" s="23" t="n">
        <v>1</v>
      </c>
      <c r="H25" s="23" t="n">
        <v>0</v>
      </c>
      <c r="I25" s="23" t="n">
        <v>0</v>
      </c>
      <c r="J25" s="24">
        <f>IF(D25=0,"-",G25/D25)</f>
        <v/>
      </c>
      <c r="K25" s="25">
        <f>IF(D25=0,"-",I25/D25*1000)</f>
        <v/>
      </c>
    </row>
    <row r="26">
      <c r="A26" s="22" t="inlineStr">
        <is>
          <t>2ch-matome</t>
        </is>
      </c>
      <c r="B26" s="22" t="inlineStr">
        <is>
          <t>2026-08-23</t>
        </is>
      </c>
      <c r="C26" s="22" t="inlineStr">
        <is>
          <t>ワイ、GTA6妄想歴6年やけど質問ある？w💦【ショート】</t>
        </is>
      </c>
      <c r="D26" s="23" t="n">
        <v>1092</v>
      </c>
      <c r="E26" s="27" t="n">
        <v>0.231</v>
      </c>
      <c r="F26" s="25" t="n">
        <v>12</v>
      </c>
      <c r="G26" s="23" t="n">
        <v>0</v>
      </c>
      <c r="H26" s="23" t="n">
        <v>0</v>
      </c>
      <c r="I26" s="23" t="n">
        <v>0</v>
      </c>
      <c r="J26" s="24">
        <f>IF(D26=0,"-",G26/D26)</f>
        <v/>
      </c>
      <c r="K26" s="25">
        <f>IF(D26=0,"-",I26/D26*1000)</f>
        <v/>
      </c>
    </row>
    <row r="27">
      <c r="A27" s="22" t="inlineStr">
        <is>
          <t>2ch-matome</t>
        </is>
      </c>
      <c r="B27" s="22" t="inlineStr">
        <is>
          <t>2026-08-24</t>
        </is>
      </c>
      <c r="C27" s="22" t="inlineStr">
        <is>
          <t>味の素3粒、実は何に使うのか？意外すぎる活用法をあげてけｗ【ショート】</t>
        </is>
      </c>
      <c r="D27" s="23" t="n">
        <v>1161</v>
      </c>
      <c r="E27" s="27" t="n">
        <v>0.2663</v>
      </c>
      <c r="F27" s="25" t="n">
        <v>11</v>
      </c>
      <c r="G27" s="23" t="n">
        <v>7</v>
      </c>
      <c r="H27" s="23" t="n">
        <v>0</v>
      </c>
      <c r="I27" s="23" t="n">
        <v>0</v>
      </c>
      <c r="J27" s="24">
        <f>IF(D27=0,"-",G27/D27)</f>
        <v/>
      </c>
      <c r="K27" s="25">
        <f>IF(D27=0,"-",I27/D27*1000)</f>
        <v/>
      </c>
    </row>
    <row r="28">
      <c r="A28" s="22" t="inlineStr">
        <is>
          <t>2ch-matome</t>
        </is>
      </c>
      <c r="B28" s="22" t="inlineStr">
        <is>
          <t>2026-08-25</t>
        </is>
      </c>
      <c r="C28" s="22" t="inlineStr">
        <is>
          <t>🤯ワイ、友達の家でヤバい物を3個見たんやがw🤯【ショート】</t>
        </is>
      </c>
      <c r="D28" s="23" t="n">
        <v>866</v>
      </c>
      <c r="E28" s="24" t="n">
        <v>0.3913</v>
      </c>
      <c r="F28" s="25" t="n">
        <v>12</v>
      </c>
      <c r="G28" s="23" t="n">
        <v>2</v>
      </c>
      <c r="H28" s="23" t="n">
        <v>0</v>
      </c>
      <c r="I28" s="23" t="n">
        <v>0</v>
      </c>
      <c r="J28" s="24">
        <f>IF(D28=0,"-",G28/D28)</f>
        <v/>
      </c>
      <c r="K28" s="25">
        <f>IF(D28=0,"-",I28/D28*1000)</f>
        <v/>
      </c>
    </row>
    <row r="29">
      <c r="A29" s="22" t="inlineStr">
        <is>
          <t>2ch-matome</t>
        </is>
      </c>
      <c r="B29" s="22" t="inlineStr">
        <is>
          <t>2026-08-26</t>
        </is>
      </c>
      <c r="C29" s="22" t="inlineStr">
        <is>
          <t>実は迷子続出？ドラゴンボールパークで何が起きたのか【ショート】</t>
        </is>
      </c>
      <c r="D29" s="23" t="n">
        <v>950</v>
      </c>
      <c r="E29" s="24" t="n">
        <v>0.3392</v>
      </c>
      <c r="F29" s="25" t="n">
        <v>13</v>
      </c>
      <c r="G29" s="23" t="n">
        <v>5</v>
      </c>
      <c r="H29" s="23" t="n">
        <v>0</v>
      </c>
      <c r="I29" s="23" t="n">
        <v>0</v>
      </c>
      <c r="J29" s="24">
        <f>IF(D29=0,"-",G29/D29)</f>
        <v/>
      </c>
      <c r="K29" s="25">
        <f>IF(D29=0,"-",I29/D29*1000)</f>
        <v/>
      </c>
    </row>
    <row r="30">
      <c r="A30" s="22" t="inlineStr">
        <is>
          <t>2ch-matome</t>
        </is>
      </c>
      <c r="B30" s="22" t="inlineStr">
        <is>
          <t>2026-08-27</t>
        </is>
      </c>
      <c r="C30" s="22" t="inlineStr">
        <is>
          <t>彼女の家で開けたらアカン引き出し開けたんやが #shorts #2ch #面白いスレ</t>
        </is>
      </c>
      <c r="D30" s="23" t="n">
        <v>835</v>
      </c>
      <c r="E30" s="26" t="n">
        <v>0.5072</v>
      </c>
      <c r="F30" s="25" t="n">
        <v>13</v>
      </c>
      <c r="G30" s="23" t="n">
        <v>1</v>
      </c>
      <c r="H30" s="23" t="n">
        <v>0</v>
      </c>
      <c r="I30" s="23" t="n">
        <v>0</v>
      </c>
      <c r="J30" s="24">
        <f>IF(D30=0,"-",G30/D30)</f>
        <v/>
      </c>
      <c r="K30" s="25">
        <f>IF(D30=0,"-",I30/D30*1000)</f>
        <v/>
      </c>
    </row>
    <row r="31">
      <c r="A31" s="22" t="inlineStr">
        <is>
          <t>daily-science</t>
        </is>
      </c>
      <c r="B31" s="22" t="inlineStr">
        <is>
          <t>2026-07-20</t>
        </is>
      </c>
      <c r="C31" s="22" t="inlineStr">
        <is>
          <t>夢の中、なぜか現実味があるのは?99%が知らない脳のトリック!#夢の中がリアルすぎる理由、99%が知らない脳の不思議 #shorts #ゆっくり解説</t>
        </is>
      </c>
      <c r="D31" s="23" t="n">
        <v>934</v>
      </c>
      <c r="E31" s="26" t="n">
        <v>0.7153</v>
      </c>
      <c r="F31" s="25" t="n">
        <v>17</v>
      </c>
      <c r="G31" s="23" t="n">
        <v>8</v>
      </c>
      <c r="H31" s="23" t="n">
        <v>0</v>
      </c>
      <c r="I31" s="23" t="n">
        <v>0</v>
      </c>
      <c r="J31" s="24">
        <f>IF(D31=0,"-",G31/D31)</f>
        <v/>
      </c>
      <c r="K31" s="25">
        <f>IF(D31=0,"-",I31/D31*1000)</f>
        <v/>
      </c>
    </row>
    <row r="32">
      <c r="A32" s="22" t="inlineStr">
        <is>
          <t>daily-science</t>
        </is>
      </c>
      <c r="B32" s="22" t="inlineStr">
        <is>
          <t>2026-07-20</t>
        </is>
      </c>
      <c r="C32" s="22" t="inlineStr">
        <is>
          <t>視覚がすべてじゃない?驚くべき目のメカニズム#なぜ目の前の映像がぼやけるのか？99%が知らない目の秘密 #shorts #ゆっくり解説</t>
        </is>
      </c>
      <c r="D32" s="23" t="n">
        <v>953</v>
      </c>
      <c r="E32" s="26" t="n">
        <v>0.5916</v>
      </c>
      <c r="F32" s="25" t="n">
        <v>13</v>
      </c>
      <c r="G32" s="23" t="n">
        <v>8</v>
      </c>
      <c r="H32" s="23" t="n">
        <v>0</v>
      </c>
      <c r="I32" s="23" t="n">
        <v>1</v>
      </c>
      <c r="J32" s="24">
        <f>IF(D32=0,"-",G32/D32)</f>
        <v/>
      </c>
      <c r="K32" s="25">
        <f>IF(D32=0,"-",I32/D32*1000)</f>
        <v/>
      </c>
    </row>
    <row r="33">
      <c r="A33" s="22" t="inlineStr">
        <is>
          <t>daily-science</t>
        </is>
      </c>
      <c r="B33" s="22" t="inlineStr">
        <is>
          <t>2026-07-23</t>
        </is>
      </c>
      <c r="C33" s="22" t="inlineStr">
        <is>
          <t>知らない方がよかったかも食べ物の匂いが記憶を蘇らせる理由#なぜ食べ物の匂いで記憶が蘇る？意外な脳の秘密 #shorts #ゆっくり解説</t>
        </is>
      </c>
      <c r="D33" s="23" t="n">
        <v>1163</v>
      </c>
      <c r="E33" s="24" t="n">
        <v>0.4536</v>
      </c>
      <c r="F33" s="25" t="n">
        <v>12</v>
      </c>
      <c r="G33" s="23" t="n">
        <v>5</v>
      </c>
      <c r="H33" s="23" t="n">
        <v>0</v>
      </c>
      <c r="I33" s="23" t="n">
        <v>0</v>
      </c>
      <c r="J33" s="24">
        <f>IF(D33=0,"-",G33/D33)</f>
        <v/>
      </c>
      <c r="K33" s="25">
        <f>IF(D33=0,"-",I33/D33*1000)</f>
        <v/>
      </c>
    </row>
    <row r="34">
      <c r="A34" s="22" t="inlineStr">
        <is>
          <t>daily-science</t>
        </is>
      </c>
      <c r="B34" s="22" t="inlineStr">
        <is>
          <t>2026-07-31</t>
        </is>
      </c>
      <c r="C34" s="22" t="inlineStr">
        <is>
          <t>なぜ目の奥が痛くなる？実はそこに『隠された理由』があるんです【ショート】</t>
        </is>
      </c>
      <c r="D34" s="23" t="n">
        <v>894</v>
      </c>
      <c r="E34" s="24" t="n">
        <v>0.3886</v>
      </c>
      <c r="F34" s="25" t="n">
        <v>11</v>
      </c>
      <c r="G34" s="23" t="n">
        <v>0</v>
      </c>
      <c r="H34" s="23" t="n">
        <v>0</v>
      </c>
      <c r="I34" s="23" t="n">
        <v>1</v>
      </c>
      <c r="J34" s="24">
        <f>IF(D34=0,"-",G34/D34)</f>
        <v/>
      </c>
      <c r="K34" s="25">
        <f>IF(D34=0,"-",I34/D34*1000)</f>
        <v/>
      </c>
    </row>
    <row r="35">
      <c r="A35" s="22" t="inlineStr">
        <is>
          <t>daily-science</t>
        </is>
      </c>
      <c r="B35" s="22" t="inlineStr">
        <is>
          <t>2026-08-01</t>
        </is>
      </c>
      <c r="C35" s="22" t="inlineStr">
        <is>
          <t>なぜ毎晩3時に目が覚める？体内時計が仕掛ける意外な罠【ショート】</t>
        </is>
      </c>
      <c r="D35" s="23" t="n">
        <v>1244</v>
      </c>
      <c r="E35" s="26" t="n">
        <v>0.5413</v>
      </c>
      <c r="F35" s="25" t="n">
        <v>11</v>
      </c>
      <c r="G35" s="23" t="n">
        <v>3</v>
      </c>
      <c r="H35" s="23" t="n">
        <v>1</v>
      </c>
      <c r="I35" s="23" t="n">
        <v>0</v>
      </c>
      <c r="J35" s="24">
        <f>IF(D35=0,"-",G35/D35)</f>
        <v/>
      </c>
      <c r="K35" s="25">
        <f>IF(D35=0,"-",I35/D35*1000)</f>
        <v/>
      </c>
    </row>
    <row r="36">
      <c r="A36" s="22" t="inlineStr">
        <is>
          <t>daily-science</t>
        </is>
      </c>
      <c r="B36" s="22" t="inlineStr">
        <is>
          <t>2026-08-01</t>
        </is>
      </c>
      <c r="C36" s="22" t="inlineStr">
        <is>
          <t>なぜ毎晩3時に目が覚める？体内時計が仕掛ける意外な罠</t>
        </is>
      </c>
      <c r="D36" s="23" t="n">
        <v>208</v>
      </c>
      <c r="E36" s="26" t="n">
        <v>0.5619</v>
      </c>
      <c r="F36" s="25" t="n">
        <v>11</v>
      </c>
      <c r="G36" s="23" t="n">
        <v>0</v>
      </c>
      <c r="H36" s="23" t="n">
        <v>0</v>
      </c>
      <c r="I36" s="23" t="n">
        <v>0</v>
      </c>
      <c r="J36" s="24">
        <f>IF(D36=0,"-",G36/D36)</f>
        <v/>
      </c>
      <c r="K36" s="25">
        <f>IF(D36=0,"-",I36/D36*1000)</f>
        <v/>
      </c>
    </row>
    <row r="37">
      <c r="A37" s="22" t="inlineStr">
        <is>
          <t>daily-science</t>
        </is>
      </c>
      <c r="B37" s="22" t="inlineStr">
        <is>
          <t>2026-08-01</t>
        </is>
      </c>
      <c r="C37" s="22" t="inlineStr">
        <is>
          <t>耳鳴りの瞬間、なぜ突然やってくる？その意外な原因とは【ショート】</t>
        </is>
      </c>
      <c r="D37" s="23" t="n">
        <v>363</v>
      </c>
      <c r="E37" s="26" t="n">
        <v>0.6548</v>
      </c>
      <c r="F37" s="25" t="n">
        <v>15</v>
      </c>
      <c r="G37" s="23" t="n">
        <v>4</v>
      </c>
      <c r="H37" s="23" t="n">
        <v>0</v>
      </c>
      <c r="I37" s="23" t="n">
        <v>0</v>
      </c>
      <c r="J37" s="24">
        <f>IF(D37=0,"-",G37/D37)</f>
        <v/>
      </c>
      <c r="K37" s="25">
        <f>IF(D37=0,"-",I37/D37*1000)</f>
        <v/>
      </c>
    </row>
    <row r="38">
      <c r="A38" s="22" t="inlineStr">
        <is>
          <t>daily-science</t>
        </is>
      </c>
      <c r="B38" s="22" t="inlineStr">
        <is>
          <t>2026-08-02</t>
        </is>
      </c>
      <c r="C38" s="22" t="inlineStr">
        <is>
          <t>なぜ日中の疲れで耳鳴りが悪化する？99%が知らない体の『裏モード』の正体【ショート】</t>
        </is>
      </c>
      <c r="D38" s="23" t="n">
        <v>191</v>
      </c>
      <c r="E38" s="26" t="n">
        <v>0.6947</v>
      </c>
      <c r="F38" s="25" t="n">
        <v>21</v>
      </c>
      <c r="G38" s="23" t="n">
        <v>0</v>
      </c>
      <c r="H38" s="23" t="n">
        <v>0</v>
      </c>
      <c r="I38" s="23" t="n">
        <v>0</v>
      </c>
      <c r="J38" s="24">
        <f>IF(D38=0,"-",G38/D38)</f>
        <v/>
      </c>
      <c r="K38" s="25">
        <f>IF(D38=0,"-",I38/D38*1000)</f>
        <v/>
      </c>
    </row>
    <row r="39">
      <c r="A39" s="22" t="inlineStr">
        <is>
          <t>daily-science</t>
        </is>
      </c>
      <c r="B39" s="22" t="inlineStr">
        <is>
          <t>2026-08-02</t>
        </is>
      </c>
      <c r="C39" s="22" t="inlineStr">
        <is>
          <t>なぜ金縛りは『仰向け』で2倍も起きやすい？体勢で激変する眠りの謎【ショート】</t>
        </is>
      </c>
      <c r="D39" s="23" t="n">
        <v>1040</v>
      </c>
      <c r="E39" s="24" t="n">
        <v>0.3445</v>
      </c>
      <c r="F39" s="25" t="n">
        <v>9</v>
      </c>
      <c r="G39" s="23" t="n">
        <v>6</v>
      </c>
      <c r="H39" s="23" t="n">
        <v>0</v>
      </c>
      <c r="I39" s="23" t="n">
        <v>0</v>
      </c>
      <c r="J39" s="24">
        <f>IF(D39=0,"-",G39/D39)</f>
        <v/>
      </c>
      <c r="K39" s="25">
        <f>IF(D39=0,"-",I39/D39*1000)</f>
        <v/>
      </c>
    </row>
    <row r="40">
      <c r="A40" s="22" t="inlineStr">
        <is>
          <t>daily-science</t>
        </is>
      </c>
      <c r="B40" s="22" t="inlineStr">
        <is>
          <t>2026-08-03</t>
        </is>
      </c>
      <c r="C40" s="22" t="inlineStr">
        <is>
          <t>なぜ浅い眠りの夜は脳がぼんやり？記憶力が激変する『睡眠の深さ』の正体【ショート】</t>
        </is>
      </c>
      <c r="D40" s="23" t="n">
        <v>1279</v>
      </c>
      <c r="E40" s="24" t="n">
        <v>0.4059</v>
      </c>
      <c r="F40" s="25" t="n">
        <v>12</v>
      </c>
      <c r="G40" s="23" t="n">
        <v>2</v>
      </c>
      <c r="H40" s="23" t="n">
        <v>0</v>
      </c>
      <c r="I40" s="23" t="n">
        <v>0</v>
      </c>
      <c r="J40" s="24">
        <f>IF(D40=0,"-",G40/D40)</f>
        <v/>
      </c>
      <c r="K40" s="25">
        <f>IF(D40=0,"-",I40/D40*1000)</f>
        <v/>
      </c>
    </row>
    <row r="41">
      <c r="A41" s="22" t="inlineStr">
        <is>
          <t>daily-science</t>
        </is>
      </c>
      <c r="B41" s="22" t="inlineStr">
        <is>
          <t>2026-08-04</t>
        </is>
      </c>
      <c r="C41" s="22" t="inlineStr">
        <is>
          <t>目が開いてるのに状況が分からない謎の数秒#目が開いてるのに『ここどこ？』ってなる寝起きの数秒、脳の中で何が起きてるの？ #shorts #ゆっくり解説</t>
        </is>
      </c>
      <c r="D41" s="23" t="n">
        <v>1054</v>
      </c>
      <c r="E41" s="26" t="n">
        <v>0.5596</v>
      </c>
      <c r="F41" s="25" t="n">
        <v>17</v>
      </c>
      <c r="G41" s="23" t="n">
        <v>2</v>
      </c>
      <c r="H41" s="23" t="n">
        <v>0</v>
      </c>
      <c r="I41" s="23" t="n">
        <v>0</v>
      </c>
      <c r="J41" s="24">
        <f>IF(D41=0,"-",G41/D41)</f>
        <v/>
      </c>
      <c r="K41" s="25">
        <f>IF(D41=0,"-",I41/D41*1000)</f>
        <v/>
      </c>
    </row>
    <row r="42">
      <c r="A42" s="22" t="inlineStr">
        <is>
          <t>daily-science</t>
        </is>
      </c>
      <c r="B42" s="22" t="inlineStr">
        <is>
          <t>2026-08-04</t>
        </is>
      </c>
      <c r="C42" s="22" t="inlineStr">
        <is>
          <t>夢の中で急に気づく『これ夢だ』の正体#夢の中で『あ、これ夢だ』って気づく瞬間、脳の中で何が起きてるか知ってる？ #shorts #ゆっくり解説</t>
        </is>
      </c>
      <c r="D42" s="23" t="n">
        <v>833</v>
      </c>
      <c r="E42" s="26" t="n">
        <v>0.5152</v>
      </c>
      <c r="F42" s="25" t="n">
        <v>18</v>
      </c>
      <c r="G42" s="23" t="n">
        <v>4</v>
      </c>
      <c r="H42" s="23" t="n">
        <v>1</v>
      </c>
      <c r="I42" s="23" t="n">
        <v>1</v>
      </c>
      <c r="J42" s="24">
        <f>IF(D42=0,"-",G42/D42)</f>
        <v/>
      </c>
      <c r="K42" s="25">
        <f>IF(D42=0,"-",I42/D42*1000)</f>
        <v/>
      </c>
    </row>
    <row r="43">
      <c r="A43" s="22" t="inlineStr">
        <is>
          <t>daily-science</t>
        </is>
      </c>
      <c r="B43" s="22" t="inlineStr">
        <is>
          <t>2026-08-04</t>
        </is>
      </c>
      <c r="C43" s="22" t="inlineStr">
        <is>
          <t>名前だけ出てこないのはなぜ？頭にあるのに言えない「あの人」の正体【ショート】</t>
        </is>
      </c>
      <c r="D43" s="23" t="n">
        <v>820</v>
      </c>
      <c r="E43" s="24" t="n">
        <v>0.3677</v>
      </c>
      <c r="F43" s="25" t="n">
        <v>9</v>
      </c>
      <c r="G43" s="23" t="n">
        <v>1</v>
      </c>
      <c r="H43" s="23" t="n">
        <v>0</v>
      </c>
      <c r="I43" s="23" t="n">
        <v>2</v>
      </c>
      <c r="J43" s="24">
        <f>IF(D43=0,"-",G43/D43)</f>
        <v/>
      </c>
      <c r="K43" s="25">
        <f>IF(D43=0,"-",I43/D43*1000)</f>
        <v/>
      </c>
    </row>
    <row r="44">
      <c r="A44" s="22" t="inlineStr">
        <is>
          <t>daily-science</t>
        </is>
      </c>
      <c r="B44" s="22" t="inlineStr">
        <is>
          <t>2026-08-05</t>
        </is>
      </c>
      <c r="C44" s="22" t="inlineStr">
        <is>
          <t>ストレスで体がかゆくなる？99%が知らない意外な理由#なぜストレスで体がかゆくなるのか？99%が知らない意外な理由 #shorts #ゆっくり解説</t>
        </is>
      </c>
      <c r="D44" s="23" t="n">
        <v>1078</v>
      </c>
      <c r="E44" s="26" t="n">
        <v>0.7673000000000001</v>
      </c>
      <c r="F44" s="25" t="n">
        <v>19</v>
      </c>
      <c r="G44" s="23" t="n">
        <v>4</v>
      </c>
      <c r="H44" s="23" t="n">
        <v>0</v>
      </c>
      <c r="I44" s="23" t="n">
        <v>0</v>
      </c>
      <c r="J44" s="24">
        <f>IF(D44=0,"-",G44/D44)</f>
        <v/>
      </c>
      <c r="K44" s="25">
        <f>IF(D44=0,"-",I44/D44*1000)</f>
        <v/>
      </c>
    </row>
    <row r="45">
      <c r="A45" s="22" t="inlineStr">
        <is>
          <t>daily-science</t>
        </is>
      </c>
      <c r="B45" s="22" t="inlineStr">
        <is>
          <t>2026-08-05</t>
        </is>
      </c>
      <c r="C45" s="22" t="inlineStr">
        <is>
          <t>なぜ涙は悲しくないのに出る？3種類の正体【ショート】</t>
        </is>
      </c>
      <c r="D45" s="23" t="n">
        <v>963</v>
      </c>
      <c r="E45" s="24" t="n">
        <v>0.4949</v>
      </c>
      <c r="F45" s="25" t="n">
        <v>13</v>
      </c>
      <c r="G45" s="23" t="n">
        <v>8</v>
      </c>
      <c r="H45" s="23" t="n">
        <v>0</v>
      </c>
      <c r="I45" s="23" t="n">
        <v>1</v>
      </c>
      <c r="J45" s="24">
        <f>IF(D45=0,"-",G45/D45)</f>
        <v/>
      </c>
      <c r="K45" s="25">
        <f>IF(D45=0,"-",I45/D45*1000)</f>
        <v/>
      </c>
    </row>
    <row r="46">
      <c r="A46" s="22" t="inlineStr">
        <is>
          <t>daily-science</t>
        </is>
      </c>
      <c r="B46" s="22" t="inlineStr">
        <is>
          <t>2026-08-05</t>
        </is>
      </c>
      <c r="C46" s="22" t="inlineStr">
        <is>
          <t>脳が生み出す天然モルヒネの秘密に迫るあなたの体で今も起きている現象#なぜ脳は天然モルヒネを作る？エンドルフィンの驚きの正体 #shorts #ゆっくり解説</t>
        </is>
      </c>
      <c r="D46" s="23" t="n">
        <v>1169</v>
      </c>
      <c r="E46" s="26" t="n">
        <v>0.6311</v>
      </c>
      <c r="F46" s="25" t="n">
        <v>13</v>
      </c>
      <c r="G46" s="23" t="n">
        <v>2</v>
      </c>
      <c r="H46" s="23" t="n">
        <v>0</v>
      </c>
      <c r="I46" s="23" t="n">
        <v>0</v>
      </c>
      <c r="J46" s="24">
        <f>IF(D46=0,"-",G46/D46)</f>
        <v/>
      </c>
      <c r="K46" s="25">
        <f>IF(D46=0,"-",I46/D46*1000)</f>
        <v/>
      </c>
    </row>
    <row r="47">
      <c r="A47" s="22" t="inlineStr">
        <is>
          <t>daily-science</t>
        </is>
      </c>
      <c r="B47" s="22" t="inlineStr">
        <is>
          <t>2026-08-06</t>
        </is>
      </c>
      <c r="C47" s="22" t="inlineStr">
        <is>
          <t>朝がつらい！そんなあなたに朗報！#やる気が出ない朝を劇的に変える!?たった5分の脳科学的ルーティン #shorts #ゆっくり解説</t>
        </is>
      </c>
      <c r="D47" s="23" t="n">
        <v>1198</v>
      </c>
      <c r="E47" s="26" t="n">
        <v>0.6032999999999999</v>
      </c>
      <c r="F47" s="25" t="n">
        <v>14</v>
      </c>
      <c r="G47" s="23" t="n">
        <v>1</v>
      </c>
      <c r="H47" s="23" t="n">
        <v>0</v>
      </c>
      <c r="I47" s="23" t="n">
        <v>0</v>
      </c>
      <c r="J47" s="24">
        <f>IF(D47=0,"-",G47/D47)</f>
        <v/>
      </c>
      <c r="K47" s="25">
        <f>IF(D47=0,"-",I47/D47*1000)</f>
        <v/>
      </c>
    </row>
    <row r="48">
      <c r="A48" s="22" t="inlineStr">
        <is>
          <t>daily-science</t>
        </is>
      </c>
      <c r="B48" s="22" t="inlineStr">
        <is>
          <t>2026-08-06</t>
        </is>
      </c>
      <c r="C48" s="22" t="inlineStr">
        <is>
          <t>なぜか毎回『同じ時間帯』それ、偶然じゃないんです#なぜ金縛りは『決まった時間』にしか起きないのか？99%が知らない睡眠の本当の仕組み #shorts #ゆっくり解説</t>
        </is>
      </c>
      <c r="D48" s="23" t="n">
        <v>991</v>
      </c>
      <c r="E48" s="24" t="n">
        <v>0.3509</v>
      </c>
      <c r="F48" s="25" t="n">
        <v>12</v>
      </c>
      <c r="G48" s="23" t="n">
        <v>3</v>
      </c>
      <c r="H48" s="23" t="n">
        <v>0</v>
      </c>
      <c r="I48" s="23" t="n">
        <v>0</v>
      </c>
      <c r="J48" s="24">
        <f>IF(D48=0,"-",G48/D48)</f>
        <v/>
      </c>
      <c r="K48" s="25">
        <f>IF(D48=0,"-",I48/D48*1000)</f>
        <v/>
      </c>
    </row>
    <row r="49">
      <c r="A49" s="22" t="inlineStr">
        <is>
          <t>daily-science</t>
        </is>
      </c>
      <c r="B49" s="22" t="inlineStr">
        <is>
          <t>2026-08-06</t>
        </is>
      </c>
      <c r="C49" s="22" t="inlineStr">
        <is>
          <t>なぜ寒くないのに鳥肌が立つ？90%が勘違いする2つの反応の正体【ショート】【ショート】</t>
        </is>
      </c>
      <c r="D49" s="23" t="n">
        <v>1133</v>
      </c>
      <c r="E49" s="26" t="n">
        <v>0.6233</v>
      </c>
      <c r="F49" s="25" t="n">
        <v>16</v>
      </c>
      <c r="G49" s="23" t="n">
        <v>5</v>
      </c>
      <c r="H49" s="23" t="n">
        <v>0</v>
      </c>
      <c r="I49" s="23" t="n">
        <v>1</v>
      </c>
      <c r="J49" s="24">
        <f>IF(D49=0,"-",G49/D49)</f>
        <v/>
      </c>
      <c r="K49" s="25">
        <f>IF(D49=0,"-",I49/D49*1000)</f>
        <v/>
      </c>
    </row>
    <row r="50">
      <c r="A50" s="22" t="inlineStr">
        <is>
          <t>daily-science</t>
        </is>
      </c>
      <c r="B50" s="22" t="inlineStr">
        <is>
          <t>2026-08-08</t>
        </is>
      </c>
      <c r="C50" s="22" t="inlineStr">
        <is>
          <t>あなたの体で毎晩起きていること、気づいていますか？#睡眠中の『口の乾き』——99%が見過ごす体内の変化とは？ #shorts #ゆっくり解説</t>
        </is>
      </c>
      <c r="D50" s="23" t="n">
        <v>293</v>
      </c>
      <c r="E50" s="26" t="n">
        <v>5.8766</v>
      </c>
      <c r="F50" s="25" t="n">
        <v>117</v>
      </c>
      <c r="G50" s="23" t="n">
        <v>0</v>
      </c>
      <c r="H50" s="23" t="n">
        <v>0</v>
      </c>
      <c r="I50" s="23" t="n">
        <v>0</v>
      </c>
      <c r="J50" s="24">
        <f>IF(D50=0,"-",G50/D50)</f>
        <v/>
      </c>
      <c r="K50" s="25">
        <f>IF(D50=0,"-",I50/D50*1000)</f>
        <v/>
      </c>
    </row>
    <row r="51">
      <c r="A51" s="22" t="inlineStr">
        <is>
          <t>daily-science</t>
        </is>
      </c>
      <c r="B51" s="22" t="inlineStr">
        <is>
          <t>2026-08-08</t>
        </is>
      </c>
      <c r="C51" s="22" t="inlineStr">
        <is>
          <t>なぜ立ち上がると目の前が暗い？99%が知らない『3秒間』の正体【ショート】【ショート】</t>
        </is>
      </c>
      <c r="D51" s="23" t="n">
        <v>894</v>
      </c>
      <c r="E51" s="26" t="n">
        <v>0.7735</v>
      </c>
      <c r="F51" s="25" t="n">
        <v>20</v>
      </c>
      <c r="G51" s="23" t="n">
        <v>2</v>
      </c>
      <c r="H51" s="23" t="n">
        <v>0</v>
      </c>
      <c r="I51" s="23" t="n">
        <v>3</v>
      </c>
      <c r="J51" s="24">
        <f>IF(D51=0,"-",G51/D51)</f>
        <v/>
      </c>
      <c r="K51" s="25">
        <f>IF(D51=0,"-",I51/D51*1000)</f>
        <v/>
      </c>
    </row>
    <row r="52">
      <c r="A52" s="22" t="inlineStr">
        <is>
          <t>daily-science</t>
        </is>
      </c>
      <c r="B52" s="22" t="inlineStr">
        <is>
          <t>2026-08-09</t>
        </is>
      </c>
      <c r="C52" s="22" t="inlineStr">
        <is>
          <t>なぜ寝起きは鼻だけ詰まるの？4時間サイクルの秘密、知ってた？#今朝の鼻づまり、実は4時間ごとに左右が入れ替わってた——99%が知らない睡眠中の鼻の正体 #shorts #ゆっくり解説</t>
        </is>
      </c>
      <c r="D52" s="23" t="n">
        <v>939</v>
      </c>
      <c r="E52" s="24" t="n">
        <v>0.3608</v>
      </c>
      <c r="F52" s="25" t="n">
        <v>16</v>
      </c>
      <c r="G52" s="23" t="n">
        <v>4</v>
      </c>
      <c r="H52" s="23" t="n">
        <v>0</v>
      </c>
      <c r="I52" s="23" t="n">
        <v>1</v>
      </c>
      <c r="J52" s="24">
        <f>IF(D52=0,"-",G52/D52)</f>
        <v/>
      </c>
      <c r="K52" s="25">
        <f>IF(D52=0,"-",I52/D52*1000)</f>
        <v/>
      </c>
    </row>
    <row r="53">
      <c r="A53" s="22" t="inlineStr">
        <is>
          <t>daily-science</t>
        </is>
      </c>
      <c r="B53" s="22" t="inlineStr">
        <is>
          <t>2026-08-09</t>
        </is>
      </c>
      <c r="C53" s="22" t="inlineStr">
        <is>
          <t>今朝なぜ寒い？99%が知らない体温0.5度の罠——目覚め直後に起きること【ショート】【ショート】</t>
        </is>
      </c>
      <c r="D53" s="23" t="n">
        <v>1044</v>
      </c>
      <c r="E53" s="24" t="n">
        <v>0.4684</v>
      </c>
      <c r="F53" s="25" t="n">
        <v>13</v>
      </c>
      <c r="G53" s="23" t="n">
        <v>6</v>
      </c>
      <c r="H53" s="23" t="n">
        <v>0</v>
      </c>
      <c r="I53" s="23" t="n">
        <v>0</v>
      </c>
      <c r="J53" s="24">
        <f>IF(D53=0,"-",G53/D53)</f>
        <v/>
      </c>
      <c r="K53" s="25">
        <f>IF(D53=0,"-",I53/D53*1000)</f>
        <v/>
      </c>
    </row>
    <row r="54">
      <c r="A54" s="22" t="inlineStr">
        <is>
          <t>daily-science</t>
        </is>
      </c>
      <c r="B54" s="22" t="inlineStr">
        <is>
          <t>2026-08-09</t>
        </is>
      </c>
      <c r="C54" s="22" t="inlineStr">
        <is>
          <t>99%が知らない「夢の記憶」の正体なぜあの夢だけ覚えてるの？#昨夜の夢だけ覚えてる——99%が知らない、脳が『あの夢』を選んで記録する本当の理由 #shorts #ゆっくり解説</t>
        </is>
      </c>
      <c r="D54" s="23" t="n">
        <v>977</v>
      </c>
      <c r="E54" s="24" t="n">
        <v>0.4636</v>
      </c>
      <c r="F54" s="25" t="n">
        <v>17</v>
      </c>
      <c r="G54" s="23" t="n">
        <v>3</v>
      </c>
      <c r="H54" s="23" t="n">
        <v>0</v>
      </c>
      <c r="I54" s="23" t="n">
        <v>0</v>
      </c>
      <c r="J54" s="24">
        <f>IF(D54=0,"-",G54/D54)</f>
        <v/>
      </c>
      <c r="K54" s="25">
        <f>IF(D54=0,"-",I54/D54*1000)</f>
        <v/>
      </c>
    </row>
    <row r="55">
      <c r="A55" s="22" t="inlineStr">
        <is>
          <t>daily-science</t>
        </is>
      </c>
      <c r="B55" s="22" t="inlineStr">
        <is>
          <t>2026-08-10</t>
        </is>
      </c>
      <c r="C55" s="22" t="inlineStr">
        <is>
          <t>寝てる間だけ成長する？99%が知らない夜の体の秘密#寝ている間だけ分泌される『あのホルモン』——なぜ99%の人が睡眠中にしか成長できないのか？ #shorts #ゆっくり解説</t>
        </is>
      </c>
      <c r="D55" s="23" t="n">
        <v>801</v>
      </c>
      <c r="E55" s="24" t="n">
        <v>0.3671</v>
      </c>
      <c r="F55" s="25" t="n">
        <v>12</v>
      </c>
      <c r="G55" s="23" t="n">
        <v>1</v>
      </c>
      <c r="H55" s="23" t="n">
        <v>1</v>
      </c>
      <c r="I55" s="23" t="n">
        <v>0</v>
      </c>
      <c r="J55" s="24">
        <f>IF(D55=0,"-",G55/D55)</f>
        <v/>
      </c>
      <c r="K55" s="25">
        <f>IF(D55=0,"-",I55/D55*1000)</f>
        <v/>
      </c>
    </row>
    <row r="56">
      <c r="A56" s="22" t="inlineStr">
        <is>
          <t>daily-science</t>
        </is>
      </c>
      <c r="B56" s="22" t="inlineStr">
        <is>
          <t>2026-08-10</t>
        </is>
      </c>
      <c r="C56" s="22" t="inlineStr">
        <is>
          <t>本を開いた瞬間に眠くなる理由集中しているのに眠い『逆説』の正体#本を読むと90%の人が5分以内に眠くなる——その『睡魔の罠』の正体、知ってる？ #shorts #ゆっくり解説</t>
        </is>
      </c>
      <c r="D56" s="23" t="n">
        <v>1033</v>
      </c>
      <c r="E56" s="24" t="n">
        <v>0.4415</v>
      </c>
      <c r="F56" s="25" t="n">
        <v>16</v>
      </c>
      <c r="G56" s="23" t="n">
        <v>4</v>
      </c>
      <c r="H56" s="23" t="n">
        <v>0</v>
      </c>
      <c r="I56" s="23" t="n">
        <v>0</v>
      </c>
      <c r="J56" s="24">
        <f>IF(D56=0,"-",G56/D56)</f>
        <v/>
      </c>
      <c r="K56" s="25">
        <f>IF(D56=0,"-",I56/D56*1000)</f>
        <v/>
      </c>
    </row>
    <row r="57">
      <c r="A57" s="22" t="inlineStr">
        <is>
          <t>daily-science</t>
        </is>
      </c>
      <c r="B57" s="22" t="inlineStr">
        <is>
          <t>2026-08-10</t>
        </is>
      </c>
      <c r="C57" s="22" t="inlineStr">
        <is>
          <t>なぜ今夜、布団で足だけ熱い？90%が勘違いする30分の放熱の正体【ショート】</t>
        </is>
      </c>
      <c r="D57" s="23" t="n">
        <v>778</v>
      </c>
      <c r="E57" s="26" t="n">
        <v>0.5353</v>
      </c>
      <c r="F57" s="25" t="n">
        <v>14</v>
      </c>
      <c r="G57" s="23" t="n">
        <v>4</v>
      </c>
      <c r="H57" s="23" t="n">
        <v>0</v>
      </c>
      <c r="I57" s="23" t="n">
        <v>0</v>
      </c>
      <c r="J57" s="24">
        <f>IF(D57=0,"-",G57/D57)</f>
        <v/>
      </c>
      <c r="K57" s="25">
        <f>IF(D57=0,"-",I57/D57*1000)</f>
        <v/>
      </c>
    </row>
    <row r="58">
      <c r="A58" s="22" t="inlineStr">
        <is>
          <t>daily-science</t>
        </is>
      </c>
      <c r="B58" s="22" t="inlineStr">
        <is>
          <t>2026-08-11</t>
        </is>
      </c>
      <c r="C58" s="22" t="inlineStr">
        <is>
          <t>今夜あなたが寝返りした瞬間、なぜ0.8秒だけ目が覚める？実は眠りが消える前の脳内チェック【ショート】</t>
        </is>
      </c>
      <c r="D58" s="23" t="n">
        <v>857</v>
      </c>
      <c r="E58" s="24" t="n">
        <v>0.4779</v>
      </c>
      <c r="F58" s="25" t="n">
        <v>14</v>
      </c>
      <c r="G58" s="23" t="n">
        <v>4</v>
      </c>
      <c r="H58" s="23" t="n">
        <v>0</v>
      </c>
      <c r="I58" s="23" t="n">
        <v>0</v>
      </c>
      <c r="J58" s="24">
        <f>IF(D58=0,"-",G58/D58)</f>
        <v/>
      </c>
      <c r="K58" s="25">
        <f>IF(D58=0,"-",I58/D58*1000)</f>
        <v/>
      </c>
    </row>
    <row r="59">
      <c r="A59" s="22" t="inlineStr">
        <is>
          <t>daily-science</t>
        </is>
      </c>
      <c r="B59" s="22" t="inlineStr">
        <is>
          <t>2026-08-12</t>
        </is>
      </c>
      <c r="C59" s="22" t="inlineStr">
        <is>
          <t>昨夜の夢、なぜ12分なのに何時間もいた気がする？9割が勘違いする時間感覚【ショート】</t>
        </is>
      </c>
      <c r="D59" s="23" t="n">
        <v>1065</v>
      </c>
      <c r="E59" s="26" t="n">
        <v>0.5587</v>
      </c>
      <c r="F59" s="25" t="n">
        <v>15</v>
      </c>
      <c r="G59" s="23" t="n">
        <v>4</v>
      </c>
      <c r="H59" s="23" t="n">
        <v>0</v>
      </c>
      <c r="I59" s="23" t="n">
        <v>1</v>
      </c>
      <c r="J59" s="24">
        <f>IF(D59=0,"-",G59/D59)</f>
        <v/>
      </c>
      <c r="K59" s="25">
        <f>IF(D59=0,"-",I59/D59*1000)</f>
        <v/>
      </c>
    </row>
    <row r="60">
      <c r="A60" s="22" t="inlineStr">
        <is>
          <t>daily-science</t>
        </is>
      </c>
      <c r="B60" s="22" t="inlineStr">
        <is>
          <t>2026-08-13</t>
        </is>
      </c>
      <c r="C60" s="22" t="inlineStr">
        <is>
          <t>なぜ今目を閉じるとふらつくのか？99%が知らない最初の3秒の平衡感覚【ショート】</t>
        </is>
      </c>
      <c r="D60" s="23" t="n">
        <v>756</v>
      </c>
      <c r="E60" s="24" t="n">
        <v>0.4287</v>
      </c>
      <c r="F60" s="25" t="n">
        <v>13</v>
      </c>
      <c r="G60" s="23" t="n">
        <v>2</v>
      </c>
      <c r="H60" s="23" t="n">
        <v>0</v>
      </c>
      <c r="I60" s="23" t="n">
        <v>0</v>
      </c>
      <c r="J60" s="24">
        <f>IF(D60=0,"-",G60/D60)</f>
        <v/>
      </c>
      <c r="K60" s="25">
        <f>IF(D60=0,"-",I60/D60*1000)</f>
        <v/>
      </c>
    </row>
    <row r="61">
      <c r="A61" s="22" t="inlineStr">
        <is>
          <t>daily-science</t>
        </is>
      </c>
      <c r="B61" s="22" t="inlineStr">
        <is>
          <t>2026-08-14</t>
        </is>
      </c>
      <c r="C61" s="22" t="inlineStr">
        <is>
          <t>なぜ今飲んだ炭酸は鼻までツーンとするのか？99%が知らない0.3秒の刺激ルート【ショート】</t>
        </is>
      </c>
      <c r="D61" s="23" t="n">
        <v>1102</v>
      </c>
      <c r="E61" s="24" t="n">
        <v>0.3525</v>
      </c>
      <c r="F61" s="25" t="n">
        <v>9</v>
      </c>
      <c r="G61" s="23" t="n">
        <v>3</v>
      </c>
      <c r="H61" s="23" t="n">
        <v>0</v>
      </c>
      <c r="I61" s="23" t="n">
        <v>0</v>
      </c>
      <c r="J61" s="24">
        <f>IF(D61=0,"-",G61/D61)</f>
        <v/>
      </c>
      <c r="K61" s="25">
        <f>IF(D61=0,"-",I61/D61*1000)</f>
        <v/>
      </c>
    </row>
    <row r="62">
      <c r="A62" s="22" t="inlineStr">
        <is>
          <t>daily-science</t>
        </is>
      </c>
      <c r="B62" s="22" t="inlineStr">
        <is>
          <t>2026-08-15</t>
        </is>
      </c>
      <c r="C62" s="22" t="inlineStr">
        <is>
          <t>なぜ今、片方の手だけ冷たいのか？9割が見落とす2倍の血流差【ショート】</t>
        </is>
      </c>
      <c r="D62" s="23" t="n">
        <v>216</v>
      </c>
      <c r="E62" s="26" t="n">
        <v>0.5599000000000001</v>
      </c>
      <c r="F62" s="25" t="n">
        <v>13</v>
      </c>
      <c r="G62" s="23" t="n">
        <v>0</v>
      </c>
      <c r="H62" s="23" t="n">
        <v>0</v>
      </c>
      <c r="I62" s="23" t="n">
        <v>0</v>
      </c>
      <c r="J62" s="24">
        <f>IF(D62=0,"-",G62/D62)</f>
        <v/>
      </c>
      <c r="K62" s="25">
        <f>IF(D62=0,"-",I62/D62*1000)</f>
        <v/>
      </c>
    </row>
    <row r="63">
      <c r="A63" s="22" t="inlineStr">
        <is>
          <t>daily-science</t>
        </is>
      </c>
      <c r="B63" s="22" t="inlineStr">
        <is>
          <t>2026-08-17</t>
        </is>
      </c>
      <c r="C63" s="22" t="inlineStr">
        <is>
          <t>なぜくしゃみの後だけ体が軽いのか？9割が知らない3秒間の神経反応【ショート】</t>
        </is>
      </c>
      <c r="D63" s="23" t="n">
        <v>374</v>
      </c>
      <c r="E63" s="26" t="n">
        <v>0.5366</v>
      </c>
      <c r="F63" s="25" t="n">
        <v>15</v>
      </c>
      <c r="G63" s="23" t="n">
        <v>2</v>
      </c>
      <c r="H63" s="23" t="n">
        <v>0</v>
      </c>
      <c r="I63" s="23" t="n">
        <v>0</v>
      </c>
      <c r="J63" s="24">
        <f>IF(D63=0,"-",G63/D63)</f>
        <v/>
      </c>
      <c r="K63" s="25">
        <f>IF(D63=0,"-",I63/D63*1000)</f>
        <v/>
      </c>
    </row>
    <row r="64">
      <c r="A64" s="22" t="inlineStr">
        <is>
          <t>daily-science</t>
        </is>
      </c>
      <c r="B64" s="22" t="inlineStr">
        <is>
          <t>2026-08-17</t>
        </is>
      </c>
      <c r="C64" s="22" t="inlineStr">
        <is>
          <t>なぜ辛い物で汗が出るのか？実は9割が勘違いする0.5秒の温度反応【ショート】</t>
        </is>
      </c>
      <c r="D64" s="23" t="n">
        <v>631</v>
      </c>
      <c r="E64" s="24" t="n">
        <v>0.4345000000000001</v>
      </c>
      <c r="F64" s="25" t="n">
        <v>12</v>
      </c>
      <c r="G64" s="23" t="n">
        <v>1</v>
      </c>
      <c r="H64" s="23" t="n">
        <v>0</v>
      </c>
      <c r="I64" s="23" t="n">
        <v>0</v>
      </c>
      <c r="J64" s="24">
        <f>IF(D64=0,"-",G64/D64)</f>
        <v/>
      </c>
      <c r="K64" s="25">
        <f>IF(D64=0,"-",I64/D64*1000)</f>
        <v/>
      </c>
    </row>
    <row r="65">
      <c r="A65" s="22" t="inlineStr">
        <is>
          <t>daily-science</t>
        </is>
      </c>
      <c r="B65" s="22" t="inlineStr">
        <is>
          <t>2026-08-19</t>
        </is>
      </c>
      <c r="C65" s="22" t="inlineStr">
        <is>
          <t>なぜ正座を崩した瞬間だけビリビリするのか？99%が知らない30秒の正体【ショート】</t>
        </is>
      </c>
      <c r="D65" s="23" t="n">
        <v>1039</v>
      </c>
      <c r="E65" s="27" t="n">
        <v>0.2984</v>
      </c>
      <c r="F65" s="25" t="n">
        <v>11</v>
      </c>
      <c r="G65" s="23" t="n">
        <v>3</v>
      </c>
      <c r="H65" s="23" t="n">
        <v>0</v>
      </c>
      <c r="I65" s="23" t="n">
        <v>0</v>
      </c>
      <c r="J65" s="24">
        <f>IF(D65=0,"-",G65/D65)</f>
        <v/>
      </c>
      <c r="K65" s="25">
        <f>IF(D65=0,"-",I65/D65*1000)</f>
        <v/>
      </c>
    </row>
    <row r="66">
      <c r="A66" s="22" t="inlineStr">
        <is>
          <t>daily-science</t>
        </is>
      </c>
      <c r="B66" s="22" t="inlineStr">
        <is>
          <t>2026-08-20</t>
        </is>
      </c>
      <c r="C66" s="22" t="inlineStr">
        <is>
          <t>1分科学 #88：📈なぜあなたは最後の1段だけ踏み外す？99%が知らない0.3秒のズレ📊【ショート】</t>
        </is>
      </c>
      <c r="D66" s="23" t="n">
        <v>1007</v>
      </c>
      <c r="E66" s="24" t="n">
        <v>0.3536</v>
      </c>
      <c r="F66" s="25" t="n">
        <v>17</v>
      </c>
      <c r="G66" s="23" t="n">
        <v>8</v>
      </c>
      <c r="H66" s="23" t="n">
        <v>0</v>
      </c>
      <c r="I66" s="23" t="n">
        <v>1</v>
      </c>
      <c r="J66" s="24">
        <f>IF(D66=0,"-",G66/D66)</f>
        <v/>
      </c>
      <c r="K66" s="25">
        <f>IF(D66=0,"-",I66/D66*1000)</f>
        <v/>
      </c>
    </row>
    <row r="67">
      <c r="A67" s="22" t="inlineStr">
        <is>
          <t>daily-science</t>
        </is>
      </c>
      <c r="B67" s="22" t="inlineStr">
        <is>
          <t>2026-08-21</t>
        </is>
      </c>
      <c r="C67" s="22" t="inlineStr">
        <is>
          <t>1分科学 #89：💯なぜあなたは寝る直前だけ昔の失敗を思い出すのか？99%が知らない30秒の脳内変化【ショート】</t>
        </is>
      </c>
      <c r="D67" s="23" t="n">
        <v>955</v>
      </c>
      <c r="E67" s="27" t="n">
        <v>0.3005</v>
      </c>
      <c r="F67" s="25" t="n">
        <v>17</v>
      </c>
      <c r="G67" s="23" t="n">
        <v>7</v>
      </c>
      <c r="H67" s="23" t="n">
        <v>0</v>
      </c>
      <c r="I67" s="23" t="n">
        <v>0</v>
      </c>
      <c r="J67" s="24">
        <f>IF(D67=0,"-",G67/D67)</f>
        <v/>
      </c>
      <c r="K67" s="25">
        <f>IF(D67=0,"-",I67/D67*1000)</f>
        <v/>
      </c>
    </row>
    <row r="68">
      <c r="A68" s="22" t="inlineStr">
        <is>
          <t>daily-science</t>
        </is>
      </c>
      <c r="B68" s="22" t="inlineStr">
        <is>
          <t>2026-08-21</t>
        </is>
      </c>
      <c r="C68" s="22" t="inlineStr">
        <is>
          <t>1分科学 #90：💯なぜあなたの舌はやけど後だけ味が消える？99%が知らない10日の入れ替わり【ショート】</t>
        </is>
      </c>
      <c r="D68" s="23" t="n">
        <v>480</v>
      </c>
      <c r="E68" s="27" t="n">
        <v>0.2949</v>
      </c>
      <c r="F68" s="25" t="n">
        <v>16</v>
      </c>
      <c r="G68" s="23" t="n">
        <v>1</v>
      </c>
      <c r="H68" s="23" t="n">
        <v>0</v>
      </c>
      <c r="I68" s="23" t="n">
        <v>0</v>
      </c>
      <c r="J68" s="24">
        <f>IF(D68=0,"-",G68/D68)</f>
        <v/>
      </c>
      <c r="K68" s="25">
        <f>IF(D68=0,"-",I68/D68*1000)</f>
        <v/>
      </c>
    </row>
    <row r="69">
      <c r="A69" s="22" t="inlineStr">
        <is>
          <t>daily-science</t>
        </is>
      </c>
      <c r="B69" s="22" t="inlineStr">
        <is>
          <t>2026-08-22</t>
        </is>
      </c>
      <c r="C69" s="22" t="inlineStr">
        <is>
          <t>1分科学 #91：💯なぜ人混みであなたの名前だけ聞こえるのか？99%が知らない0.3秒の選別💯【ショート】</t>
        </is>
      </c>
      <c r="D69" s="23" t="n">
        <v>1042</v>
      </c>
      <c r="E69" s="27" t="n">
        <v>0.2557</v>
      </c>
      <c r="F69" s="25" t="n">
        <v>14</v>
      </c>
      <c r="G69" s="23" t="n">
        <v>6</v>
      </c>
      <c r="H69" s="23" t="n">
        <v>0</v>
      </c>
      <c r="I69" s="23" t="n">
        <v>0</v>
      </c>
      <c r="J69" s="24">
        <f>IF(D69=0,"-",G69/D69)</f>
        <v/>
      </c>
      <c r="K69" s="25">
        <f>IF(D69=0,"-",I69/D69*1000)</f>
        <v/>
      </c>
    </row>
    <row r="70">
      <c r="A70" s="22" t="inlineStr">
        <is>
          <t>daily-science</t>
        </is>
      </c>
      <c r="B70" s="22" t="inlineStr">
        <is>
          <t>2026-08-23</t>
        </is>
      </c>
      <c r="C70" s="22" t="inlineStr">
        <is>
          <t>1分科学 #92：🌍なぜ目をこすると光が見える？あなたの網膜で起きる3秒の勘違い💡【ショート】</t>
        </is>
      </c>
      <c r="D70" s="23" t="n">
        <v>1087</v>
      </c>
      <c r="E70" s="24" t="n">
        <v>0.3522</v>
      </c>
      <c r="F70" s="25" t="n">
        <v>17</v>
      </c>
      <c r="G70" s="23" t="n">
        <v>10</v>
      </c>
      <c r="H70" s="23" t="n">
        <v>0</v>
      </c>
      <c r="I70" s="23" t="n">
        <v>1</v>
      </c>
      <c r="J70" s="24">
        <f>IF(D70=0,"-",G70/D70)</f>
        <v/>
      </c>
      <c r="K70" s="25">
        <f>IF(D70=0,"-",I70/D70*1000)</f>
        <v/>
      </c>
    </row>
    <row r="71">
      <c r="A71" s="22" t="inlineStr">
        <is>
          <t>daily-science</t>
        </is>
      </c>
      <c r="B71" s="22" t="inlineStr">
        <is>
          <t>2026-08-24</t>
        </is>
      </c>
      <c r="C71" s="22" t="inlineStr">
        <is>
          <t>1分科学 #93：🔍なぜ満月の夜だけ夢を覚えている？月齢29.5日に隠れた睡眠の正体【ショート】</t>
        </is>
      </c>
      <c r="D71" s="23" t="n">
        <v>822</v>
      </c>
      <c r="E71" s="27" t="n">
        <v>0.3242</v>
      </c>
      <c r="F71" s="25" t="n">
        <v>14</v>
      </c>
      <c r="G71" s="23" t="n">
        <v>6</v>
      </c>
      <c r="H71" s="23" t="n">
        <v>0</v>
      </c>
      <c r="I71" s="23" t="n">
        <v>1</v>
      </c>
      <c r="J71" s="24">
        <f>IF(D71=0,"-",G71/D71)</f>
        <v/>
      </c>
      <c r="K71" s="25">
        <f>IF(D71=0,"-",I71/D71*1000)</f>
        <v/>
      </c>
    </row>
    <row r="72">
      <c r="A72" s="22" t="inlineStr">
        <is>
          <t>daily-science</t>
        </is>
      </c>
      <c r="B72" s="22" t="inlineStr">
        <is>
          <t>2026-08-25</t>
        </is>
      </c>
      <c r="C72" s="22" t="inlineStr">
        <is>
          <t>1分科学 #94：🧬なぜ甘い物のあと塩気が欲しい？あなたの舌で3分起きる感度の正体【ショート】</t>
        </is>
      </c>
      <c r="D72" s="23" t="n">
        <v>878</v>
      </c>
      <c r="E72" s="27" t="n">
        <v>0.3163</v>
      </c>
      <c r="F72" s="25" t="n">
        <v>15</v>
      </c>
      <c r="G72" s="23" t="n">
        <v>7</v>
      </c>
      <c r="H72" s="23" t="n">
        <v>0</v>
      </c>
      <c r="I72" s="23" t="n">
        <v>1</v>
      </c>
      <c r="J72" s="24">
        <f>IF(D72=0,"-",G72/D72)</f>
        <v/>
      </c>
      <c r="K72" s="25">
        <f>IF(D72=0,"-",I72/D72*1000)</f>
        <v/>
      </c>
    </row>
    <row r="73">
      <c r="A73" s="22" t="inlineStr">
        <is>
          <t>daily-science</t>
        </is>
      </c>
      <c r="B73" s="22" t="inlineStr">
        <is>
          <t>2026-08-26</t>
        </is>
      </c>
      <c r="C73" s="22" t="inlineStr">
        <is>
          <t>1分科学 #95：🧪なぜ雷鳴の3秒前から体が固まるのか？あなたの脳に起きる反応の正体🧬【ショート】</t>
        </is>
      </c>
      <c r="D73" s="23" t="n">
        <v>939</v>
      </c>
      <c r="E73" s="24" t="n">
        <v>0.4168</v>
      </c>
      <c r="F73" s="25" t="n">
        <v>16</v>
      </c>
      <c r="G73" s="23" t="n">
        <v>7</v>
      </c>
      <c r="H73" s="23" t="n">
        <v>0</v>
      </c>
      <c r="I73" s="23" t="n">
        <v>0</v>
      </c>
      <c r="J73" s="24">
        <f>IF(D73=0,"-",G73/D73)</f>
        <v/>
      </c>
      <c r="K73" s="25">
        <f>IF(D73=0,"-",I73/D73*1000)</f>
        <v/>
      </c>
    </row>
    <row r="74">
      <c r="A74" s="22" t="inlineStr">
        <is>
          <t>fake-paper</t>
        </is>
      </c>
      <c r="B74" s="22" t="inlineStr">
        <is>
          <t>2026-08-22</t>
        </is>
      </c>
      <c r="C74" s="22" t="inlineStr">
        <is>
          <t>架空論文ファイル：エレベーターで見上げる人は、降りる階を間違えにくい #shorts #架空論文 #フィクション</t>
        </is>
      </c>
      <c r="D74" s="23" t="n">
        <v>1099</v>
      </c>
      <c r="E74" s="27" t="n">
        <v>0.2551</v>
      </c>
      <c r="F74" s="25" t="n">
        <v>10</v>
      </c>
      <c r="G74" s="23" t="n">
        <v>1</v>
      </c>
      <c r="H74" s="23" t="n">
        <v>0</v>
      </c>
      <c r="I74" s="23" t="n">
        <v>0</v>
      </c>
      <c r="J74" s="24">
        <f>IF(D74=0,"-",G74/D74)</f>
        <v/>
      </c>
      <c r="K74" s="25">
        <f>IF(D74=0,"-",I74/D74*1000)</f>
        <v/>
      </c>
    </row>
    <row r="75">
      <c r="A75" s="22" t="inlineStr">
        <is>
          <t>pokemon-lab</t>
        </is>
      </c>
      <c r="B75" s="22" t="inlineStr">
        <is>
          <t>2026-07-30</t>
        </is>
      </c>
      <c r="C75" s="22" t="inlineStr">
        <is>
          <t>1分ポケモン研究：レックウザの誕生に隠された秘密神話と科学が交差する瞬間#レックウザの誕生に隠された秘密—神話と科学の交差点 #shorts #ゆっくり解説</t>
        </is>
      </c>
      <c r="D75" s="23" t="n">
        <v>201</v>
      </c>
      <c r="E75" s="24" t="n">
        <v>0.4956</v>
      </c>
      <c r="F75" s="25" t="n">
        <v>11</v>
      </c>
      <c r="G75" s="23" t="n">
        <v>0</v>
      </c>
      <c r="H75" s="23" t="n">
        <v>0</v>
      </c>
      <c r="I75" s="23" t="n">
        <v>0</v>
      </c>
      <c r="J75" s="24">
        <f>IF(D75=0,"-",G75/D75)</f>
        <v/>
      </c>
      <c r="K75" s="25">
        <f>IF(D75=0,"-",I75/D75*1000)</f>
        <v/>
      </c>
    </row>
    <row r="76">
      <c r="A76" s="22" t="inlineStr">
        <is>
          <t>pokemon-lab</t>
        </is>
      </c>
      <c r="B76" s="22" t="inlineStr">
        <is>
          <t>2026-07-30</t>
        </is>
      </c>
      <c r="C76" s="22" t="inlineStr">
        <is>
          <t>1分ポケモン研究：レックウザの誕生に隠された秘密神話と科学が交差する瞬間#レックウザの誕生に隠された秘密—神話と科学の交差点 #shorts #ゆっくり解説</t>
        </is>
      </c>
      <c r="D76" s="23" t="n">
        <v>2391</v>
      </c>
      <c r="E76" s="26" t="n">
        <v>1.0298</v>
      </c>
      <c r="F76" s="25" t="n">
        <v>24</v>
      </c>
      <c r="G76" s="23" t="n">
        <v>7</v>
      </c>
      <c r="H76" s="23" t="n">
        <v>0</v>
      </c>
      <c r="I76" s="23" t="n">
        <v>1</v>
      </c>
      <c r="J76" s="24">
        <f>IF(D76=0,"-",G76/D76)</f>
        <v/>
      </c>
      <c r="K76" s="25">
        <f>IF(D76=0,"-",I76/D76*1000)</f>
        <v/>
      </c>
    </row>
    <row r="77">
      <c r="A77" s="22" t="inlineStr">
        <is>
          <t>pokemon-lab</t>
        </is>
      </c>
      <c r="B77" s="22" t="inlineStr">
        <is>
          <t>2026-07-31</t>
        </is>
      </c>
      <c r="C77" s="22" t="inlineStr">
        <is>
          <t>1分ポケモン研究：ヤドンの尻尾に隠された秘密実は痛みを感じないって本当？#なぜヤドンの尻尾は痛くないの？驚きの理由 #shorts #ゆっくり解説</t>
        </is>
      </c>
      <c r="D77" s="23" t="n">
        <v>1567</v>
      </c>
      <c r="E77" s="26" t="n">
        <v>0.6856</v>
      </c>
      <c r="F77" s="25" t="n">
        <v>13</v>
      </c>
      <c r="G77" s="23" t="n">
        <v>10</v>
      </c>
      <c r="H77" s="23" t="n">
        <v>0</v>
      </c>
      <c r="I77" s="23" t="n">
        <v>3</v>
      </c>
      <c r="J77" s="24">
        <f>IF(D77=0,"-",G77/D77)</f>
        <v/>
      </c>
      <c r="K77" s="25">
        <f>IF(D77=0,"-",I77/D77*1000)</f>
        <v/>
      </c>
    </row>
    <row r="78">
      <c r="A78" s="22" t="inlineStr">
        <is>
          <t>pokemon-lab</t>
        </is>
      </c>
      <c r="B78" s="22" t="inlineStr">
        <is>
          <t>2026-07-31</t>
        </is>
      </c>
      <c r="C78" s="22" t="inlineStr">
        <is>
          <t>エリートトレーナーの謎—なぜ彼らだけが特別なのか？【ショート】</t>
        </is>
      </c>
      <c r="D78" s="23" t="n">
        <v>2063</v>
      </c>
      <c r="E78" s="26" t="n">
        <v>0.5918</v>
      </c>
      <c r="F78" s="25" t="n">
        <v>14</v>
      </c>
      <c r="G78" s="23" t="n">
        <v>5</v>
      </c>
      <c r="H78" s="23" t="n">
        <v>0</v>
      </c>
      <c r="I78" s="23" t="n">
        <v>0</v>
      </c>
      <c r="J78" s="24">
        <f>IF(D78=0,"-",G78/D78)</f>
        <v/>
      </c>
      <c r="K78" s="25">
        <f>IF(D78=0,"-",I78/D78*1000)</f>
        <v/>
      </c>
    </row>
    <row r="79">
      <c r="A79" s="22" t="inlineStr">
        <is>
          <t>pokemon-lab</t>
        </is>
      </c>
      <c r="B79" s="22" t="inlineStr">
        <is>
          <t>2026-08-01</t>
        </is>
      </c>
      <c r="C79" s="22" t="inlineStr">
        <is>
          <t>なぜレッドは山頂に立ち続けるのか？彼の秘密に迫る！【ショート】</t>
        </is>
      </c>
      <c r="D79" s="23" t="n">
        <v>1792</v>
      </c>
      <c r="E79" s="26" t="n">
        <v>0.8018999999999999</v>
      </c>
      <c r="F79" s="25" t="n">
        <v>16</v>
      </c>
      <c r="G79" s="23" t="n">
        <v>4</v>
      </c>
      <c r="H79" s="23" t="n">
        <v>0</v>
      </c>
      <c r="I79" s="23" t="n">
        <v>2</v>
      </c>
      <c r="J79" s="24">
        <f>IF(D79=0,"-",G79/D79)</f>
        <v/>
      </c>
      <c r="K79" s="25">
        <f>IF(D79=0,"-",I79/D79*1000)</f>
        <v/>
      </c>
    </row>
    <row r="80">
      <c r="A80" s="22" t="inlineStr">
        <is>
          <t>pokemon-lab</t>
        </is>
      </c>
      <c r="B80" s="22" t="inlineStr">
        <is>
          <t>2026-08-02</t>
        </is>
      </c>
      <c r="C80" s="22" t="inlineStr">
        <is>
          <t>なぜ御三家は炎・水・草だけ？『三すくみ』設計の裏にある本当の理由【ショート】</t>
        </is>
      </c>
      <c r="D80" s="23" t="n">
        <v>1475</v>
      </c>
      <c r="E80" s="26" t="n">
        <v>0.6774</v>
      </c>
      <c r="F80" s="25" t="n">
        <v>23</v>
      </c>
      <c r="G80" s="23" t="n">
        <v>3</v>
      </c>
      <c r="H80" s="23" t="n">
        <v>0</v>
      </c>
      <c r="I80" s="23" t="n">
        <v>0</v>
      </c>
      <c r="J80" s="24">
        <f>IF(D80=0,"-",G80/D80)</f>
        <v/>
      </c>
      <c r="K80" s="25">
        <f>IF(D80=0,"-",I80/D80*1000)</f>
        <v/>
      </c>
    </row>
    <row r="81">
      <c r="A81" s="22" t="inlineStr">
        <is>
          <t>pokemon-lab</t>
        </is>
      </c>
      <c r="B81" s="22" t="inlineStr">
        <is>
          <t>2026-08-02</t>
        </is>
      </c>
      <c r="C81" s="22" t="inlineStr">
        <is>
          <t>なぜイーブイだけ8種類も進化できるのか？遺伝子の暴走と分岐条件の正体がヤバすぎた【ショート】</t>
        </is>
      </c>
      <c r="D81" s="23" t="n">
        <v>1333</v>
      </c>
      <c r="E81" s="26" t="n">
        <v>1.2327</v>
      </c>
      <c r="F81" s="25" t="n">
        <v>45</v>
      </c>
      <c r="G81" s="23" t="n">
        <v>4</v>
      </c>
      <c r="H81" s="23" t="n">
        <v>0</v>
      </c>
      <c r="I81" s="23" t="n">
        <v>0</v>
      </c>
      <c r="J81" s="24">
        <f>IF(D81=0,"-",G81/D81)</f>
        <v/>
      </c>
      <c r="K81" s="25">
        <f>IF(D81=0,"-",I81/D81*1000)</f>
        <v/>
      </c>
    </row>
    <row r="82">
      <c r="A82" s="22" t="inlineStr">
        <is>
          <t>pokemon-lab</t>
        </is>
      </c>
      <c r="B82" s="22" t="inlineStr">
        <is>
          <t>2026-08-03</t>
        </is>
      </c>
      <c r="C82" s="22" t="inlineStr">
        <is>
          <t>なぜヤドンはシェルダーに噛まれると進化するのか？分岐進化の本当の理由がヤバすぎた【ショート】</t>
        </is>
      </c>
      <c r="D82" s="23" t="n">
        <v>1612</v>
      </c>
      <c r="E82" s="26" t="n">
        <v>0.5262</v>
      </c>
      <c r="F82" s="25" t="n">
        <v>19</v>
      </c>
      <c r="G82" s="23" t="n">
        <v>11</v>
      </c>
      <c r="H82" s="23" t="n">
        <v>0</v>
      </c>
      <c r="I82" s="23" t="n">
        <v>0</v>
      </c>
      <c r="J82" s="24">
        <f>IF(D82=0,"-",G82/D82)</f>
        <v/>
      </c>
      <c r="K82" s="25">
        <f>IF(D82=0,"-",I82/D82*1000)</f>
        <v/>
      </c>
    </row>
    <row r="83">
      <c r="A83" s="22" t="inlineStr">
        <is>
          <t>pokemon-lab</t>
        </is>
      </c>
      <c r="B83" s="22" t="inlineStr">
        <is>
          <t>2026-08-04</t>
        </is>
      </c>
      <c r="C83" s="22" t="inlineStr">
        <is>
          <t>ゲンガーの『元ネタ』、実はまだ誰も正確に言えていない理由【ショート】</t>
        </is>
      </c>
      <c r="D83" s="23" t="n">
        <v>1696</v>
      </c>
      <c r="E83" s="26" t="n">
        <v>0.635</v>
      </c>
      <c r="F83" s="25" t="n">
        <v>20</v>
      </c>
      <c r="G83" s="23" t="n">
        <v>8</v>
      </c>
      <c r="H83" s="23" t="n">
        <v>1</v>
      </c>
      <c r="I83" s="23" t="n">
        <v>0</v>
      </c>
      <c r="J83" s="24">
        <f>IF(D83=0,"-",G83/D83)</f>
        <v/>
      </c>
      <c r="K83" s="25">
        <f>IF(D83=0,"-",I83/D83*1000)</f>
        <v/>
      </c>
    </row>
    <row r="84">
      <c r="A84" s="22" t="inlineStr">
        <is>
          <t>pokemon-lab</t>
        </is>
      </c>
      <c r="B84" s="22" t="inlineStr">
        <is>
          <t>2026-08-05</t>
        </is>
      </c>
      <c r="C84" s="22" t="inlineStr">
        <is>
          <t>なぜ種族値だけで強さが変わるのか？衝撃の数字の正体とは【ショート】【ショート】</t>
        </is>
      </c>
      <c r="D84" s="23" t="n">
        <v>1663</v>
      </c>
      <c r="E84" s="24" t="n">
        <v>0.4777</v>
      </c>
      <c r="F84" s="25" t="n">
        <v>14</v>
      </c>
      <c r="G84" s="23" t="n">
        <v>4</v>
      </c>
      <c r="H84" s="23" t="n">
        <v>0</v>
      </c>
      <c r="I84" s="23" t="n">
        <v>2</v>
      </c>
      <c r="J84" s="24">
        <f>IF(D84=0,"-",G84/D84)</f>
        <v/>
      </c>
      <c r="K84" s="25">
        <f>IF(D84=0,"-",I84/D84*1000)</f>
        <v/>
      </c>
    </row>
    <row r="85">
      <c r="A85" s="22" t="inlineStr">
        <is>
          <t>pokemon-lab</t>
        </is>
      </c>
      <c r="B85" s="22" t="inlineStr">
        <is>
          <t>2026-08-06</t>
        </is>
      </c>
      <c r="C85" s="22" t="inlineStr">
        <is>
          <t>なぜ初代だけ謎のポケモンが出るのか？けつばんの正体【ショート】【ショート】</t>
        </is>
      </c>
      <c r="D85" s="23" t="n">
        <v>1566</v>
      </c>
      <c r="E85" s="26" t="n">
        <v>0.6092</v>
      </c>
      <c r="F85" s="25" t="n">
        <v>17</v>
      </c>
      <c r="G85" s="23" t="n">
        <v>4</v>
      </c>
      <c r="H85" s="23" t="n">
        <v>1</v>
      </c>
      <c r="I85" s="23" t="n">
        <v>0</v>
      </c>
      <c r="J85" s="24">
        <f>IF(D85=0,"-",G85/D85)</f>
        <v/>
      </c>
      <c r="K85" s="25">
        <f>IF(D85=0,"-",I85/D85*1000)</f>
        <v/>
      </c>
    </row>
    <row r="86">
      <c r="A86" s="22" t="inlineStr">
        <is>
          <t>pokemon-lab</t>
        </is>
      </c>
      <c r="B86" s="22" t="inlineStr">
        <is>
          <t>2026-08-08</t>
        </is>
      </c>
      <c r="C86" s="22" t="inlineStr">
        <is>
          <t>なぜコイキングは種族値200なのか？進化前だけ弱すぎる本当の理由がヤバすぎた【ショート】</t>
        </is>
      </c>
      <c r="D86" s="23" t="n">
        <v>1130</v>
      </c>
      <c r="E86" s="26" t="n">
        <v>0.6803</v>
      </c>
      <c r="F86" s="25" t="n">
        <v>18</v>
      </c>
      <c r="G86" s="23" t="n">
        <v>7</v>
      </c>
      <c r="H86" s="23" t="n">
        <v>0</v>
      </c>
      <c r="I86" s="23" t="n">
        <v>0</v>
      </c>
      <c r="J86" s="24">
        <f>IF(D86=0,"-",G86/D86)</f>
        <v/>
      </c>
      <c r="K86" s="25">
        <f>IF(D86=0,"-",I86/D86*1000)</f>
        <v/>
      </c>
    </row>
    <row r="87">
      <c r="A87" s="22" t="inlineStr">
        <is>
          <t>pokemon-lab</t>
        </is>
      </c>
      <c r="B87" s="22" t="inlineStr">
        <is>
          <t>2026-08-09</t>
        </is>
      </c>
      <c r="C87" s="22" t="inlineStr">
        <is>
          <t>1分ポケモン研究：なぜピカチュウだけ？図鑑778番の本音#なぜ図鑑778番はピカチュウだけ真似るのか？理由が意外すぎた【ショート】 #shorts #ゆっくり解説</t>
        </is>
      </c>
      <c r="D87" s="23" t="n">
        <v>1088</v>
      </c>
      <c r="E87" s="26" t="n">
        <v>0.6372</v>
      </c>
      <c r="F87" s="25" t="n">
        <v>17</v>
      </c>
      <c r="G87" s="23" t="n">
        <v>4</v>
      </c>
      <c r="H87" s="23" t="n">
        <v>0</v>
      </c>
      <c r="I87" s="23" t="n">
        <v>1</v>
      </c>
      <c r="J87" s="24">
        <f>IF(D87=0,"-",G87/D87)</f>
        <v/>
      </c>
      <c r="K87" s="25">
        <f>IF(D87=0,"-",I87/D87*1000)</f>
        <v/>
      </c>
    </row>
    <row r="88">
      <c r="A88" s="22" t="inlineStr">
        <is>
          <t>pokemon-lab</t>
        </is>
      </c>
      <c r="B88" s="22" t="inlineStr">
        <is>
          <t>2026-08-09</t>
        </is>
      </c>
      <c r="C88" s="22" t="inlineStr">
        <is>
          <t>なぜレックウザは空から降りないのか？図鑑384番の誕生神話が衝撃すぎた【ショート】【ショート】</t>
        </is>
      </c>
      <c r="D88" s="23" t="n">
        <v>1446</v>
      </c>
      <c r="E88" s="26" t="n">
        <v>0.5373</v>
      </c>
      <c r="F88" s="25" t="n">
        <v>15</v>
      </c>
      <c r="G88" s="23" t="n">
        <v>7</v>
      </c>
      <c r="H88" s="23" t="n">
        <v>0</v>
      </c>
      <c r="I88" s="23" t="n">
        <v>1</v>
      </c>
      <c r="J88" s="24">
        <f>IF(D88=0,"-",G88/D88)</f>
        <v/>
      </c>
      <c r="K88" s="25">
        <f>IF(D88=0,"-",I88/D88*1000)</f>
        <v/>
      </c>
    </row>
    <row r="89">
      <c r="A89" s="22" t="inlineStr">
        <is>
          <t>pokemon-lab</t>
        </is>
      </c>
      <c r="B89" s="22" t="inlineStr">
        <is>
          <t>2026-08-11</t>
        </is>
      </c>
      <c r="C89" s="22" t="inlineStr">
        <is>
          <t>なぜメタグロスはサーフゴーに勝てない？持ち物1つで逆転する本当の理由【ショート】</t>
        </is>
      </c>
      <c r="D89" s="23" t="n">
        <v>1679</v>
      </c>
      <c r="E89" s="26" t="n">
        <v>0.5704</v>
      </c>
      <c r="F89" s="25" t="n">
        <v>15</v>
      </c>
      <c r="G89" s="23" t="n">
        <v>0</v>
      </c>
      <c r="H89" s="23" t="n">
        <v>0</v>
      </c>
      <c r="I89" s="23" t="n">
        <v>0</v>
      </c>
      <c r="J89" s="24">
        <f>IF(D89=0,"-",G89/D89)</f>
        <v/>
      </c>
      <c r="K89" s="25">
        <f>IF(D89=0,"-",I89/D89*1000)</f>
        <v/>
      </c>
    </row>
    <row r="90">
      <c r="A90" s="22" t="inlineStr">
        <is>
          <t>pokemon-lab</t>
        </is>
      </c>
      <c r="B90" s="22" t="inlineStr">
        <is>
          <t>2026-08-12</t>
        </is>
      </c>
      <c r="C90" s="22" t="inlineStr">
        <is>
          <t>なぜパルキアは勝てないと言われる？ウルトラネクロズマとの数字差が意外すぎる【ショート】</t>
        </is>
      </c>
      <c r="D90" s="23" t="n">
        <v>1789</v>
      </c>
      <c r="E90" s="26" t="n">
        <v>0.5506</v>
      </c>
      <c r="F90" s="25" t="n">
        <v>16</v>
      </c>
      <c r="G90" s="23" t="n">
        <v>7</v>
      </c>
      <c r="H90" s="23" t="n">
        <v>0</v>
      </c>
      <c r="I90" s="23" t="n">
        <v>0</v>
      </c>
      <c r="J90" s="24">
        <f>IF(D90=0,"-",G90/D90)</f>
        <v/>
      </c>
      <c r="K90" s="25">
        <f>IF(D90=0,"-",I90/D90*1000)</f>
        <v/>
      </c>
    </row>
    <row r="91">
      <c r="A91" s="22" t="inlineStr">
        <is>
          <t>pokemon-lab</t>
        </is>
      </c>
      <c r="B91" s="22" t="inlineStr">
        <is>
          <t>2026-08-13</t>
        </is>
      </c>
      <c r="C91" s="22" t="inlineStr">
        <is>
          <t>ルカリオとウルガモス、どっちが勝つ？相性有利がひっくり返る実戦条件【ショート】</t>
        </is>
      </c>
      <c r="D91" s="23" t="n">
        <v>1339</v>
      </c>
      <c r="E91" s="24" t="n">
        <v>0.4901</v>
      </c>
      <c r="F91" s="25" t="n">
        <v>14</v>
      </c>
      <c r="G91" s="23" t="n">
        <v>4</v>
      </c>
      <c r="H91" s="23" t="n">
        <v>1</v>
      </c>
      <c r="I91" s="23" t="n">
        <v>1</v>
      </c>
      <c r="J91" s="24">
        <f>IF(D91=0,"-",G91/D91)</f>
        <v/>
      </c>
      <c r="K91" s="25">
        <f>IF(D91=0,"-",I91/D91*1000)</f>
        <v/>
      </c>
    </row>
    <row r="92">
      <c r="A92" s="22" t="inlineStr">
        <is>
          <t>pokemon-lab</t>
        </is>
      </c>
      <c r="B92" s="22" t="inlineStr">
        <is>
          <t>2026-08-14</t>
        </is>
      </c>
      <c r="C92" s="22" t="inlineStr">
        <is>
          <t>ミミッキュとロトム、どっちが勝つ？姿変化を実戦で比べた結果【ショート】</t>
        </is>
      </c>
      <c r="D92" s="23" t="n">
        <v>1566</v>
      </c>
      <c r="E92" s="26" t="n">
        <v>0.5452</v>
      </c>
      <c r="F92" s="25" t="n">
        <v>17</v>
      </c>
      <c r="G92" s="23" t="n">
        <v>3</v>
      </c>
      <c r="H92" s="23" t="n">
        <v>0</v>
      </c>
      <c r="I92" s="23" t="n">
        <v>1</v>
      </c>
      <c r="J92" s="24">
        <f>IF(D92=0,"-",G92/D92)</f>
        <v/>
      </c>
      <c r="K92" s="25">
        <f>IF(D92=0,"-",I92/D92*1000)</f>
        <v/>
      </c>
    </row>
    <row r="93">
      <c r="A93" s="22" t="inlineStr">
        <is>
          <t>pokemon-lab</t>
        </is>
      </c>
      <c r="B93" s="22" t="inlineStr">
        <is>
          <t>2026-08-15</t>
        </is>
      </c>
      <c r="C93" s="22" t="inlineStr">
        <is>
          <t>ホウオウとルギア、まともに戦わせたらどっちが勝つのか【ショート】</t>
        </is>
      </c>
      <c r="D93" s="23" t="n">
        <v>1557</v>
      </c>
      <c r="E93" s="26" t="n">
        <v>0.6526000000000001</v>
      </c>
      <c r="F93" s="25" t="n">
        <v>20</v>
      </c>
      <c r="G93" s="23" t="n">
        <v>2</v>
      </c>
      <c r="H93" s="23" t="n">
        <v>1</v>
      </c>
      <c r="I93" s="23" t="n">
        <v>0</v>
      </c>
      <c r="J93" s="24">
        <f>IF(D93=0,"-",G93/D93)</f>
        <v/>
      </c>
      <c r="K93" s="25">
        <f>IF(D93=0,"-",I93/D93*1000)</f>
        <v/>
      </c>
    </row>
    <row r="94">
      <c r="A94" s="22" t="inlineStr">
        <is>
          <t>pokemon-lab</t>
        </is>
      </c>
      <c r="B94" s="22" t="inlineStr">
        <is>
          <t>2026-08-17</t>
        </is>
      </c>
      <c r="C94" s="22" t="inlineStr">
        <is>
          <t>バンギラスとメタグロス、どっちが勝つ？600族対決は持ち物1つで逆転する【ショート】</t>
        </is>
      </c>
      <c r="D94" s="23" t="n">
        <v>1971</v>
      </c>
      <c r="E94" s="26" t="n">
        <v>0.6943</v>
      </c>
      <c r="F94" s="25" t="n">
        <v>19</v>
      </c>
      <c r="G94" s="23" t="n">
        <v>5</v>
      </c>
      <c r="H94" s="23" t="n">
        <v>0</v>
      </c>
      <c r="I94" s="23" t="n">
        <v>0</v>
      </c>
      <c r="J94" s="24">
        <f>IF(D94=0,"-",G94/D94)</f>
        <v/>
      </c>
      <c r="K94" s="25">
        <f>IF(D94=0,"-",I94/D94*1000)</f>
        <v/>
      </c>
    </row>
    <row r="95">
      <c r="A95" s="22" t="inlineStr">
        <is>
          <t>pokemon-lab</t>
        </is>
      </c>
      <c r="B95" s="22" t="inlineStr">
        <is>
          <t>2026-08-18</t>
        </is>
      </c>
      <c r="C95" s="22" t="inlineStr">
        <is>
          <t>リザードンとカイリュー、どっちが勝つ？4倍弱点で勝敗がひっくり返る【ショート】</t>
        </is>
      </c>
      <c r="D95" s="23" t="n">
        <v>1632</v>
      </c>
      <c r="E95" s="26" t="n">
        <v>0.7093</v>
      </c>
      <c r="F95" s="25" t="n">
        <v>19</v>
      </c>
      <c r="G95" s="23" t="n">
        <v>5</v>
      </c>
      <c r="H95" s="23" t="n">
        <v>0</v>
      </c>
      <c r="I95" s="23" t="n">
        <v>0</v>
      </c>
      <c r="J95" s="24">
        <f>IF(D95=0,"-",G95/D95)</f>
        <v/>
      </c>
      <c r="K95" s="25">
        <f>IF(D95=0,"-",I95/D95*1000)</f>
        <v/>
      </c>
    </row>
    <row r="96">
      <c r="A96" s="22" t="inlineStr">
        <is>
          <t>pokemon-lab</t>
        </is>
      </c>
      <c r="B96" s="22" t="inlineStr">
        <is>
          <t>2026-08-19</t>
        </is>
      </c>
      <c r="C96" s="22" t="inlineStr">
        <is>
          <t>ガブリアスとボーマンダ、素早さ1でどっちが勝つ？君は気づけるか【ショート】</t>
        </is>
      </c>
      <c r="D96" s="23" t="n">
        <v>1308</v>
      </c>
      <c r="E96" s="24" t="n">
        <v>0.3913</v>
      </c>
      <c r="F96" s="25" t="n">
        <v>19</v>
      </c>
      <c r="G96" s="23" t="n">
        <v>1</v>
      </c>
      <c r="H96" s="23" t="n">
        <v>2</v>
      </c>
      <c r="I96" s="23" t="n">
        <v>0</v>
      </c>
      <c r="J96" s="24">
        <f>IF(D96=0,"-",G96/D96)</f>
        <v/>
      </c>
      <c r="K96" s="25">
        <f>IF(D96=0,"-",I96/D96*1000)</f>
        <v/>
      </c>
    </row>
    <row r="97">
      <c r="A97" s="22" t="inlineStr">
        <is>
          <t>pokemon-lab</t>
        </is>
      </c>
      <c r="B97" s="22" t="inlineStr">
        <is>
          <t>2026-08-20</t>
        </is>
      </c>
      <c r="C97" s="22" t="inlineStr">
        <is>
          <t>1分ポケモン研究 #9：🎮カイオーガとグラードン、天候を2回張ったらどっちが勝つ？【ショート】</t>
        </is>
      </c>
      <c r="D97" s="23" t="n">
        <v>1072</v>
      </c>
      <c r="E97" s="27" t="n">
        <v>0.2754</v>
      </c>
      <c r="F97" s="25" t="n">
        <v>19</v>
      </c>
      <c r="G97" s="23" t="n">
        <v>1</v>
      </c>
      <c r="H97" s="23" t="n">
        <v>1</v>
      </c>
      <c r="I97" s="23" t="n">
        <v>0</v>
      </c>
      <c r="J97" s="24">
        <f>IF(D97=0,"-",G97/D97)</f>
        <v/>
      </c>
      <c r="K97" s="25">
        <f>IF(D97=0,"-",I97/D97*1000)</f>
        <v/>
      </c>
    </row>
    <row r="98">
      <c r="A98" s="22" t="inlineStr">
        <is>
          <t>pokemon-lab</t>
        </is>
      </c>
      <c r="B98" s="22" t="inlineStr">
        <is>
          <t>2026-08-21</t>
        </is>
      </c>
      <c r="C98" s="22" t="inlineStr">
        <is>
          <t>1分ポケモン研究 #11：🔥ドラパルトとガブリアス、君は3秒で速さの壁を越えられる？【ショート】</t>
        </is>
      </c>
      <c r="D98" s="23" t="n">
        <v>1051</v>
      </c>
      <c r="E98" s="27" t="n">
        <v>0.267</v>
      </c>
      <c r="F98" s="25" t="n">
        <v>17</v>
      </c>
      <c r="G98" s="23" t="n">
        <v>4</v>
      </c>
      <c r="H98" s="23" t="n">
        <v>0</v>
      </c>
      <c r="I98" s="23" t="n">
        <v>2</v>
      </c>
      <c r="J98" s="24">
        <f>IF(D98=0,"-",G98/D98)</f>
        <v/>
      </c>
      <c r="K98" s="25">
        <f>IF(D98=0,"-",I98/D98*1000)</f>
        <v/>
      </c>
    </row>
    <row r="99">
      <c r="A99" s="22" t="inlineStr">
        <is>
          <t>pokemon-lab</t>
        </is>
      </c>
      <c r="B99" s="22" t="inlineStr">
        <is>
          <t>2026-08-21</t>
        </is>
      </c>
      <c r="C99" s="22" t="inlineStr">
        <is>
          <t>1分ポケモン研究 #10：🔥あなたの飲み物を6時間守るポケモン、なぜ存在する？【ショート】</t>
        </is>
      </c>
      <c r="D99" s="23" t="n">
        <v>1017</v>
      </c>
      <c r="E99" s="27" t="n">
        <v>0.2347</v>
      </c>
      <c r="F99" s="25" t="n">
        <v>14</v>
      </c>
      <c r="G99" s="23" t="n">
        <v>3</v>
      </c>
      <c r="H99" s="23" t="n">
        <v>0</v>
      </c>
      <c r="I99" s="23" t="n">
        <v>0</v>
      </c>
      <c r="J99" s="24">
        <f>IF(D99=0,"-",G99/D99)</f>
        <v/>
      </c>
      <c r="K99" s="25">
        <f>IF(D99=0,"-",I99/D99*1000)</f>
        <v/>
      </c>
    </row>
    <row r="100">
      <c r="A100" s="22" t="inlineStr">
        <is>
          <t>pokemon-lab</t>
        </is>
      </c>
      <c r="B100" s="22" t="inlineStr">
        <is>
          <t>2026-08-22</t>
        </is>
      </c>
      <c r="C100" s="22" t="inlineStr">
        <is>
          <t>1分ポケモン研究 #12：💧サーナイトとエルレイド、君はなぜ2つの攻撃で迷う？【ショート】</t>
        </is>
      </c>
      <c r="D100" s="23" t="n">
        <v>711</v>
      </c>
      <c r="E100" s="27" t="n">
        <v>0.2558</v>
      </c>
      <c r="F100" s="25" t="n">
        <v>17</v>
      </c>
      <c r="G100" s="23" t="n">
        <v>0</v>
      </c>
      <c r="H100" s="23" t="n">
        <v>0</v>
      </c>
      <c r="I100" s="23" t="n">
        <v>0</v>
      </c>
      <c r="J100" s="24">
        <f>IF(D100=0,"-",G100/D100)</f>
        <v/>
      </c>
      <c r="K100" s="25">
        <f>IF(D100=0,"-",I100/D100*1000)</f>
        <v/>
      </c>
    </row>
    <row r="101">
      <c r="A101" s="22" t="inlineStr">
        <is>
          <t>pokemon-lab</t>
        </is>
      </c>
      <c r="B101" s="22" t="inlineStr">
        <is>
          <t>2026-08-24</t>
        </is>
      </c>
      <c r="C101" s="22" t="inlineStr">
        <is>
          <t>1分ポケモン研究 #13：👀グリーンに隠された3つの秘密、あなたは本当の役割に気づいた？【ショート】</t>
        </is>
      </c>
      <c r="D101" s="23" t="n">
        <v>1006</v>
      </c>
      <c r="E101" s="27" t="n">
        <v>0.2252</v>
      </c>
      <c r="F101" s="25" t="n">
        <v>16</v>
      </c>
      <c r="G101" s="23" t="n">
        <v>1</v>
      </c>
      <c r="H101" s="23" t="n">
        <v>0</v>
      </c>
      <c r="I101" s="23" t="n">
        <v>1</v>
      </c>
      <c r="J101" s="24">
        <f>IF(D101=0,"-",G101/D101)</f>
        <v/>
      </c>
      <c r="K101" s="25">
        <f>IF(D101=0,"-",I101/D101*1000)</f>
        <v/>
      </c>
    </row>
    <row r="102">
      <c r="A102" s="22" t="inlineStr">
        <is>
          <t>pokemon-lab</t>
        </is>
      </c>
      <c r="B102" s="22" t="inlineStr">
        <is>
          <t>2026-08-25</t>
        </is>
      </c>
      <c r="C102" s="22" t="inlineStr">
        <is>
          <t>1分ポケモン研究 #14：👀ロケット団に隠された3つの秘密、あなたは本当の目的を知ってる？【ショート】</t>
        </is>
      </c>
      <c r="D102" s="23" t="n">
        <v>853</v>
      </c>
      <c r="E102" s="24" t="n">
        <v>0.3588</v>
      </c>
      <c r="F102" s="25" t="n">
        <v>18</v>
      </c>
      <c r="G102" s="23" t="n">
        <v>3</v>
      </c>
      <c r="H102" s="23" t="n">
        <v>0</v>
      </c>
      <c r="I102" s="23" t="n">
        <v>0</v>
      </c>
      <c r="J102" s="24">
        <f>IF(D102=0,"-",G102/D102)</f>
        <v/>
      </c>
      <c r="K102" s="25">
        <f>IF(D102=0,"-",I102/D102*1000)</f>
        <v/>
      </c>
    </row>
    <row r="103">
      <c r="A103" s="22" t="inlineStr">
        <is>
          <t>pokemon-lab</t>
        </is>
      </c>
      <c r="B103" s="22" t="inlineStr">
        <is>
          <t>2026-08-26</t>
        </is>
      </c>
      <c r="C103" s="22" t="inlineStr">
        <is>
          <t>1分ポケモン研究 #15：👀シャンデラに隠された秘密、なぜ霊タイプ？君が知らない3つの由来【ショート】</t>
        </is>
      </c>
      <c r="D103" s="23" t="n">
        <v>920</v>
      </c>
      <c r="E103" s="27" t="n">
        <v>0.25</v>
      </c>
      <c r="F103" s="25" t="n">
        <v>14</v>
      </c>
      <c r="G103" s="23" t="n">
        <v>1</v>
      </c>
      <c r="H103" s="23" t="n">
        <v>0</v>
      </c>
      <c r="I103" s="23" t="n">
        <v>0</v>
      </c>
      <c r="J103" s="24">
        <f>IF(D103=0,"-",G103/D103)</f>
        <v/>
      </c>
      <c r="K103" s="25">
        <f>IF(D103=0,"-",I103/D103*1000)</f>
        <v/>
      </c>
    </row>
    <row r="104">
      <c r="A104" s="22" t="inlineStr">
        <is>
          <t>scp-lab</t>
        </is>
      </c>
      <c r="B104" s="22" t="inlineStr">
        <is>
          <t>2026-07-23</t>
        </is>
      </c>
      <c r="C104" s="22" t="inlineStr">
        <is>
          <t>一口SCP：LEVEL 4 機密 / 財団内部資料感染確認から96時間で『人間』でなくなる#目を離した0.3秒で内側から書き換わる——SCP-217「時計仕掛けのウイルス」が人間を機械に変える本当の理</t>
        </is>
      </c>
      <c r="D104" s="23" t="n">
        <v>62</v>
      </c>
      <c r="E104" s="24" t="n">
        <v>0.3471</v>
      </c>
      <c r="F104" s="25" t="n">
        <v>14</v>
      </c>
      <c r="G104" s="23" t="n">
        <v>0</v>
      </c>
      <c r="H104" s="23" t="n">
        <v>0</v>
      </c>
      <c r="I104" s="23" t="n">
        <v>1</v>
      </c>
      <c r="J104" s="24">
        <f>IF(D104=0,"-",G104/D104)</f>
        <v/>
      </c>
      <c r="K104" s="25">
        <f>IF(D104=0,"-",I104/D104*1000)</f>
        <v/>
      </c>
    </row>
    <row r="105">
      <c r="A105" s="22" t="inlineStr">
        <is>
          <t>scp-lab</t>
        </is>
      </c>
      <c r="B105" s="22" t="inlineStr">
        <is>
          <t>2026-07-23</t>
        </is>
      </c>
      <c r="C105" s="22" t="inlineStr">
        <is>
          <t>一口SCP：瞬きの間に、17人が死んだLEVEL 4 機密｜財団内部資料【閲覧注意】#目を離した0.3秒で首を折られる——SCP-173が財団の隠し続けた『本当の恐怖』 #shorts #ゆっくり解説</t>
        </is>
      </c>
      <c r="D105" s="23" t="n">
        <v>206</v>
      </c>
      <c r="E105" s="26" t="n">
        <v>0.5389</v>
      </c>
      <c r="F105" s="25" t="n">
        <v>19</v>
      </c>
      <c r="G105" s="23" t="n">
        <v>0</v>
      </c>
      <c r="H105" s="23" t="n">
        <v>0</v>
      </c>
      <c r="I105" s="23" t="n">
        <v>0</v>
      </c>
      <c r="J105" s="24">
        <f>IF(D105=0,"-",G105/D105)</f>
        <v/>
      </c>
      <c r="K105" s="25">
        <f>IF(D105=0,"-",I105/D105*1000)</f>
        <v/>
      </c>
    </row>
    <row r="106">
      <c r="A106" s="22" t="inlineStr">
        <is>
          <t>scp-lab</t>
        </is>
      </c>
      <c r="B106" s="22" t="inlineStr">
        <is>
          <t>2026-07-25</t>
        </is>
      </c>
      <c r="C106" s="22" t="inlineStr">
        <is>
          <t>一口SCP：世界人口80億人→7億人 自動起動財団内部記録【閲覧権限O5以上】#SCP-5000が起動した48時間——あなたの街で財団が隠した『人類抹消プロトコル』の正体 #shorts #ゆっくり解</t>
        </is>
      </c>
      <c r="D106" s="23" t="n">
        <v>81</v>
      </c>
      <c r="E106" s="24" t="n">
        <v>0.4689</v>
      </c>
      <c r="F106" s="25" t="n">
        <v>16</v>
      </c>
      <c r="G106" s="23" t="n">
        <v>0</v>
      </c>
      <c r="H106" s="23" t="n">
        <v>0</v>
      </c>
      <c r="I106" s="23" t="n">
        <v>0</v>
      </c>
      <c r="J106" s="24">
        <f>IF(D106=0,"-",G106/D106)</f>
        <v/>
      </c>
      <c r="K106" s="25">
        <f>IF(D106=0,"-",I106/D106*1000)</f>
        <v/>
      </c>
    </row>
    <row r="107">
      <c r="A107" s="22" t="inlineStr">
        <is>
          <t>scp-lab</t>
        </is>
      </c>
      <c r="B107" s="22" t="inlineStr">
        <is>
          <t>2026-07-31</t>
        </is>
      </c>
      <c r="C107" s="22" t="inlineStr">
        <is>
          <t>SCP-XXXX「デジタル錯覚」— ゲームに潜む不気味な異常とは？【ショート】</t>
        </is>
      </c>
      <c r="D107" s="23" t="n">
        <v>1243</v>
      </c>
      <c r="E107" s="24" t="n">
        <v>0.3736</v>
      </c>
      <c r="F107" s="25" t="n">
        <v>10</v>
      </c>
      <c r="G107" s="23" t="n">
        <v>4</v>
      </c>
      <c r="H107" s="23" t="n">
        <v>0</v>
      </c>
      <c r="I107" s="23" t="n">
        <v>2</v>
      </c>
      <c r="J107" s="24">
        <f>IF(D107=0,"-",G107/D107)</f>
        <v/>
      </c>
      <c r="K107" s="25">
        <f>IF(D107=0,"-",I107/D107*1000)</f>
        <v/>
      </c>
    </row>
    <row r="108">
      <c r="A108" s="22" t="inlineStr">
        <is>
          <t>scp-lab</t>
        </is>
      </c>
      <c r="B108" s="22" t="inlineStr">
        <is>
          <t>2026-08-01</t>
        </is>
      </c>
      <c r="C108" s="22" t="inlineStr">
        <is>
          <t>GOCと蛇の手の真実 — 異常存在に対する戦略の謎【ショート】</t>
        </is>
      </c>
      <c r="D108" s="23" t="n">
        <v>313</v>
      </c>
      <c r="E108" s="24" t="n">
        <v>0.3714</v>
      </c>
      <c r="F108" s="25" t="n">
        <v>10</v>
      </c>
      <c r="G108" s="23" t="n">
        <v>1</v>
      </c>
      <c r="H108" s="23" t="n">
        <v>0</v>
      </c>
      <c r="I108" s="23" t="n">
        <v>0</v>
      </c>
      <c r="J108" s="24">
        <f>IF(D108=0,"-",G108/D108)</f>
        <v/>
      </c>
      <c r="K108" s="25">
        <f>IF(D108=0,"-",I108/D108*1000)</f>
        <v/>
      </c>
    </row>
    <row r="109">
      <c r="A109" s="22" t="inlineStr">
        <is>
          <t>scp-lab</t>
        </is>
      </c>
      <c r="B109" s="22" t="inlineStr">
        <is>
          <t>2026-08-02</t>
        </is>
      </c>
      <c r="C109" s="22" t="inlineStr">
        <is>
          <t>なぜ財団は48時間で限界を迎えるのか——SCP-2317『地獄の門』、封印違反5件の真実【ショート】</t>
        </is>
      </c>
      <c r="D109" s="23" t="n">
        <v>951</v>
      </c>
      <c r="E109" s="24" t="n">
        <v>0.3886</v>
      </c>
      <c r="F109" s="25" t="n">
        <v>12</v>
      </c>
      <c r="G109" s="23" t="n">
        <v>2</v>
      </c>
      <c r="H109" s="23" t="n">
        <v>0</v>
      </c>
      <c r="I109" s="23" t="n">
        <v>1</v>
      </c>
      <c r="J109" s="24">
        <f>IF(D109=0,"-",G109/D109)</f>
        <v/>
      </c>
      <c r="K109" s="25">
        <f>IF(D109=0,"-",I109/D109*1000)</f>
        <v/>
      </c>
    </row>
    <row r="110">
      <c r="A110" s="22" t="inlineStr">
        <is>
          <t>scp-lab</t>
        </is>
      </c>
      <c r="B110" s="22" t="inlineStr">
        <is>
          <t>2026-08-02</t>
        </is>
      </c>
      <c r="C110" s="22" t="inlineStr">
        <is>
          <t>なぜ生存率5%？『生ける死者』SCP-1440が財団を12回暴走させた本当の理由【ショート】</t>
        </is>
      </c>
      <c r="D110" s="23" t="n">
        <v>1043</v>
      </c>
      <c r="E110" s="26" t="n">
        <v>0.5439000000000001</v>
      </c>
      <c r="F110" s="25" t="n">
        <v>17</v>
      </c>
      <c r="G110" s="23" t="n">
        <v>4</v>
      </c>
      <c r="H110" s="23" t="n">
        <v>0</v>
      </c>
      <c r="I110" s="23" t="n">
        <v>2</v>
      </c>
      <c r="J110" s="24">
        <f>IF(D110=0,"-",G110/D110)</f>
        <v/>
      </c>
      <c r="K110" s="25">
        <f>IF(D110=0,"-",I110/D110*1000)</f>
        <v/>
      </c>
    </row>
    <row r="111">
      <c r="A111" s="22" t="inlineStr">
        <is>
          <t>scp-lab</t>
        </is>
      </c>
      <c r="B111" s="22" t="inlineStr">
        <is>
          <t>2026-08-03</t>
        </is>
      </c>
      <c r="C111" s="22" t="inlineStr">
        <is>
          <t>電子工作で7人消えた…財団が封印した『悪夢の回路』だけ異常すぎる理由【ショート】</t>
        </is>
      </c>
      <c r="D111" s="23" t="n">
        <v>711</v>
      </c>
      <c r="E111" s="27" t="n">
        <v>0.3281</v>
      </c>
      <c r="F111" s="25" t="n">
        <v>10</v>
      </c>
      <c r="G111" s="23" t="n">
        <v>4</v>
      </c>
      <c r="H111" s="23" t="n">
        <v>0</v>
      </c>
      <c r="I111" s="23" t="n">
        <v>0</v>
      </c>
      <c r="J111" s="24">
        <f>IF(D111=0,"-",G111/D111)</f>
        <v/>
      </c>
      <c r="K111" s="25">
        <f>IF(D111=0,"-",I111/D111*1000)</f>
        <v/>
      </c>
    </row>
    <row r="112">
      <c r="A112" s="22" t="inlineStr">
        <is>
          <t>scp-lab</t>
        </is>
      </c>
      <c r="B112" s="22" t="inlineStr">
        <is>
          <t>2026-08-04</t>
        </is>
      </c>
      <c r="C112" s="22" t="inlineStr">
        <is>
          <t>一口SCP：生存率わずか1%収容違反8件の記録#収容違反8回、生存率1%——修理工場で財団が記録した『亡霊』の正体がヤバすぎる #shorts #ゆっくり解説</t>
        </is>
      </c>
      <c r="D112" s="23" t="n">
        <v>1007</v>
      </c>
      <c r="E112" s="24" t="n">
        <v>0.4262</v>
      </c>
      <c r="F112" s="25" t="n">
        <v>15</v>
      </c>
      <c r="G112" s="23" t="n">
        <v>10</v>
      </c>
      <c r="H112" s="23" t="n">
        <v>0</v>
      </c>
      <c r="I112" s="23" t="n">
        <v>2</v>
      </c>
      <c r="J112" s="24">
        <f>IF(D112=0,"-",G112/D112)</f>
        <v/>
      </c>
      <c r="K112" s="25">
        <f>IF(D112=0,"-",I112/D112*1000)</f>
        <v/>
      </c>
    </row>
    <row r="113">
      <c r="A113" s="22" t="inlineStr">
        <is>
          <t>scp-lab</t>
        </is>
      </c>
      <c r="B113" s="22" t="inlineStr">
        <is>
          <t>2026-08-04</t>
        </is>
      </c>
      <c r="C113" s="22" t="inlineStr">
        <is>
          <t>財団が11回記録した『あのVHSテープ』——再生するたびに内容が変わる映像と、見た職員の記憶が消えていく本当の理由【ショート】</t>
        </is>
      </c>
      <c r="D113" s="23" t="n">
        <v>897</v>
      </c>
      <c r="E113" s="24" t="n">
        <v>0.4091</v>
      </c>
      <c r="F113" s="25" t="n">
        <v>16</v>
      </c>
      <c r="G113" s="23" t="n">
        <v>2</v>
      </c>
      <c r="H113" s="23" t="n">
        <v>2</v>
      </c>
      <c r="I113" s="23" t="n">
        <v>1</v>
      </c>
      <c r="J113" s="24">
        <f>IF(D113=0,"-",G113/D113)</f>
        <v/>
      </c>
      <c r="K113" s="25">
        <f>IF(D113=0,"-",I113/D113*1000)</f>
        <v/>
      </c>
    </row>
    <row r="114">
      <c r="A114" s="22" t="inlineStr">
        <is>
          <t>scp-lab</t>
        </is>
      </c>
      <c r="B114" s="22" t="inlineStr">
        <is>
          <t>2026-08-04</t>
        </is>
      </c>
      <c r="C114" s="22" t="inlineStr">
        <is>
          <t>一口SCP：収容違反から3時間／生存者0名財団が封印した『回路の悪夢』#電子工作中に17名が消えた——財団が「あの部品」を封印した本当の理由 #shorts #ゆっくり解説</t>
        </is>
      </c>
      <c r="D114" s="23" t="n">
        <v>722</v>
      </c>
      <c r="E114" s="24" t="n">
        <v>0.4183</v>
      </c>
      <c r="F114" s="25" t="n">
        <v>15</v>
      </c>
      <c r="G114" s="23" t="n">
        <v>9</v>
      </c>
      <c r="H114" s="23" t="n">
        <v>0</v>
      </c>
      <c r="I114" s="23" t="n">
        <v>0</v>
      </c>
      <c r="J114" s="24">
        <f>IF(D114=0,"-",G114/D114)</f>
        <v/>
      </c>
      <c r="K114" s="25">
        <f>IF(D114=0,"-",I114/D114*1000)</f>
        <v/>
      </c>
    </row>
    <row r="115">
      <c r="A115" s="22" t="inlineStr">
        <is>
          <t>scp-lab</t>
        </is>
      </c>
      <c r="B115" s="22" t="inlineStr">
        <is>
          <t>2026-08-05</t>
        </is>
      </c>
      <c r="C115" s="22" t="inlineStr">
        <is>
          <t>財団が23年間隠し続けた、41名が消えた「増え続ける部屋」の本当の理由【ショート】</t>
        </is>
      </c>
      <c r="D115" s="23" t="n">
        <v>741</v>
      </c>
      <c r="E115" s="24" t="n">
        <v>0.4939</v>
      </c>
      <c r="F115" s="25" t="n">
        <v>13</v>
      </c>
      <c r="G115" s="23" t="n">
        <v>3</v>
      </c>
      <c r="H115" s="23" t="n">
        <v>0</v>
      </c>
      <c r="I115" s="23" t="n">
        <v>0</v>
      </c>
      <c r="J115" s="24">
        <f>IF(D115=0,"-",G115/D115)</f>
        <v/>
      </c>
      <c r="K115" s="25">
        <f>IF(D115=0,"-",I115/D115*1000)</f>
        <v/>
      </c>
    </row>
    <row r="116">
      <c r="A116" s="22" t="inlineStr">
        <is>
          <t>scp-lab</t>
        </is>
      </c>
      <c r="B116" s="22" t="inlineStr">
        <is>
          <t>2026-08-05</t>
        </is>
      </c>
      <c r="C116" s="22" t="inlineStr">
        <is>
          <t>一口SCP：99%の人が知らない恐怖財団が23年間隠し続けた#財団が隠蔽したSCP-3125の恐怖: 生存者0名の理由 #shorts #ゆっくり解説</t>
        </is>
      </c>
      <c r="D116" s="23" t="n">
        <v>1168</v>
      </c>
      <c r="E116" s="26" t="n">
        <v>0.6187</v>
      </c>
      <c r="F116" s="25" t="n">
        <v>17</v>
      </c>
      <c r="G116" s="23" t="n">
        <v>8</v>
      </c>
      <c r="H116" s="23" t="n">
        <v>0</v>
      </c>
      <c r="I116" s="23" t="n">
        <v>3</v>
      </c>
      <c r="J116" s="24">
        <f>IF(D116=0,"-",G116/D116)</f>
        <v/>
      </c>
      <c r="K116" s="25">
        <f>IF(D116=0,"-",I116/D116*1000)</f>
        <v/>
      </c>
    </row>
    <row r="117">
      <c r="A117" s="22" t="inlineStr">
        <is>
          <t>scp-lab</t>
        </is>
      </c>
      <c r="B117" s="22" t="inlineStr">
        <is>
          <t>2026-08-06</t>
        </is>
      </c>
      <c r="C117" s="22" t="inlineStr">
        <is>
          <t>財団が封印した感染者389名の村、帰還者2名だけが見た本当の理由【ショート】</t>
        </is>
      </c>
      <c r="D117" s="23" t="n">
        <v>787</v>
      </c>
      <c r="E117" s="26" t="n">
        <v>0.6951999999999999</v>
      </c>
      <c r="F117" s="25" t="n">
        <v>20</v>
      </c>
      <c r="G117" s="23" t="n">
        <v>1</v>
      </c>
      <c r="H117" s="23" t="n">
        <v>0</v>
      </c>
      <c r="I117" s="23" t="n">
        <v>0</v>
      </c>
      <c r="J117" s="24">
        <f>IF(D117=0,"-",G117/D117)</f>
        <v/>
      </c>
      <c r="K117" s="25">
        <f>IF(D117=0,"-",I117/D117*1000)</f>
        <v/>
      </c>
    </row>
    <row r="118">
      <c r="A118" s="22" t="inlineStr">
        <is>
          <t>scp-lab</t>
        </is>
      </c>
      <c r="B118" s="22" t="inlineStr">
        <is>
          <t>2026-08-06</t>
        </is>
      </c>
      <c r="C118" s="22" t="inlineStr">
        <is>
          <t>一口SCP：財団が人類を殲滅する側に!?隠された提言が今、暴かれる#財団が隠した『人類殲滅提言』の真実とは #shorts #ゆっくり解説</t>
        </is>
      </c>
      <c r="D118" s="23" t="n">
        <v>452</v>
      </c>
      <c r="E118" s="26" t="n">
        <v>0.5254</v>
      </c>
      <c r="F118" s="25" t="n">
        <v>13</v>
      </c>
      <c r="G118" s="23" t="n">
        <v>1</v>
      </c>
      <c r="H118" s="23" t="n">
        <v>0</v>
      </c>
      <c r="I118" s="23" t="n">
        <v>0</v>
      </c>
      <c r="J118" s="24">
        <f>IF(D118=0,"-",G118/D118)</f>
        <v/>
      </c>
      <c r="K118" s="25">
        <f>IF(D118=0,"-",I118/D118*1000)</f>
        <v/>
      </c>
    </row>
    <row r="119">
      <c r="A119" s="22" t="inlineStr">
        <is>
          <t>scp-lab</t>
        </is>
      </c>
      <c r="B119" s="22" t="inlineStr">
        <is>
          <t>2026-08-08</t>
        </is>
      </c>
      <c r="C119" s="22" t="inlineStr">
        <is>
          <t>一口SCP：収容違反：23名消滅遺体も血痕も残っていない#財団が17年間封印した「デジタルの監獄」— 収容違反で消えた研究員23名の正体 #shorts #ゆっくり解説</t>
        </is>
      </c>
      <c r="D119" s="23" t="n">
        <v>804</v>
      </c>
      <c r="E119" s="26" t="n">
        <v>0.7428</v>
      </c>
      <c r="F119" s="25" t="n">
        <v>27</v>
      </c>
      <c r="G119" s="23" t="n">
        <v>1</v>
      </c>
      <c r="H119" s="23" t="n">
        <v>0</v>
      </c>
      <c r="I119" s="23" t="n">
        <v>0</v>
      </c>
      <c r="J119" s="24">
        <f>IF(D119=0,"-",G119/D119)</f>
        <v/>
      </c>
      <c r="K119" s="25">
        <f>IF(D119=0,"-",I119/D119*1000)</f>
        <v/>
      </c>
    </row>
    <row r="120">
      <c r="A120" s="22" t="inlineStr">
        <is>
          <t>scp-lab</t>
        </is>
      </c>
      <c r="B120" s="22" t="inlineStr">
        <is>
          <t>2026-08-08</t>
        </is>
      </c>
      <c r="C120" s="22" t="inlineStr">
        <is>
          <t>一口SCP：財団が23年間隠し続けた見るだけで感染する謎感染者数317名、生存率わずか3%#財団が23年間隠した感染 SCP-XXXXの正体 #shorts #ゆっくり解説</t>
        </is>
      </c>
      <c r="D120" s="23" t="n">
        <v>874</v>
      </c>
      <c r="E120" s="26" t="n">
        <v>0.5548</v>
      </c>
      <c r="F120" s="25" t="n">
        <v>11</v>
      </c>
      <c r="G120" s="23" t="n">
        <v>6</v>
      </c>
      <c r="H120" s="23" t="n">
        <v>0</v>
      </c>
      <c r="I120" s="23" t="n">
        <v>1</v>
      </c>
      <c r="J120" s="24">
        <f>IF(D120=0,"-",G120/D120)</f>
        <v/>
      </c>
      <c r="K120" s="25">
        <f>IF(D120=0,"-",I120/D120*1000)</f>
        <v/>
      </c>
    </row>
    <row r="121">
      <c r="A121" s="22" t="inlineStr">
        <is>
          <t>scp-lab</t>
        </is>
      </c>
      <c r="B121" s="22" t="inlineStr">
        <is>
          <t>2026-08-08</t>
        </is>
      </c>
      <c r="C121" s="22" t="inlineStr">
        <is>
          <t>財団が31回の接触実験で隠し続けたSCP-198の正体——回収不能になった12名は今どこにいるのか【ショート】</t>
        </is>
      </c>
      <c r="D121" s="23" t="n">
        <v>840</v>
      </c>
      <c r="E121" s="26" t="n">
        <v>0.7228</v>
      </c>
      <c r="F121" s="25" t="n">
        <v>25</v>
      </c>
      <c r="G121" s="23" t="n">
        <v>3</v>
      </c>
      <c r="H121" s="23" t="n">
        <v>0</v>
      </c>
      <c r="I121" s="23" t="n">
        <v>0</v>
      </c>
      <c r="J121" s="24">
        <f>IF(D121=0,"-",G121/D121)</f>
        <v/>
      </c>
      <c r="K121" s="25">
        <f>IF(D121=0,"-",I121/D121*1000)</f>
        <v/>
      </c>
    </row>
    <row r="122">
      <c r="A122" s="22" t="inlineStr">
        <is>
          <t>scp-lab</t>
        </is>
      </c>
      <c r="B122" s="22" t="inlineStr">
        <is>
          <t>2026-08-09</t>
        </is>
      </c>
      <c r="C122" s="22" t="inlineStr">
        <is>
          <t>一口SCP：崇拝者が自然発生——収容できたのは『実体』ではなかった収容違反発生・職員接触者の生存率：記録抹消#財団が17年間隠し続けたSCP-2662——崇拝者が自然発生する施設、生存率0%の収容違反</t>
        </is>
      </c>
      <c r="D122" s="23" t="n">
        <v>1211</v>
      </c>
      <c r="E122" s="24" t="n">
        <v>0.4668</v>
      </c>
      <c r="F122" s="25" t="n">
        <v>17</v>
      </c>
      <c r="G122" s="23" t="n">
        <v>2</v>
      </c>
      <c r="H122" s="23" t="n">
        <v>0</v>
      </c>
      <c r="I122" s="23" t="n">
        <v>0</v>
      </c>
      <c r="J122" s="24">
        <f>IF(D122=0,"-",G122/D122)</f>
        <v/>
      </c>
      <c r="K122" s="25">
        <f>IF(D122=0,"-",I122/D122*1000)</f>
        <v/>
      </c>
    </row>
    <row r="123">
      <c r="A123" s="22" t="inlineStr">
        <is>
          <t>scp-lab</t>
        </is>
      </c>
      <c r="B123" s="22" t="inlineStr">
        <is>
          <t>2026-08-09</t>
        </is>
      </c>
      <c r="C123" s="22" t="inlineStr">
        <is>
          <t>一口SCP：閲覧実験6件 / 帰還者0名【これが最後の通信記録だ】#財団が6年間封印したSCP-3007「世界の終わりを描く絵」— 閲覧実験6件、帰還できた職員は0名の真実 #shorts #ゆっくり</t>
        </is>
      </c>
      <c r="D123" s="23" t="n">
        <v>815</v>
      </c>
      <c r="E123" s="24" t="n">
        <v>0.4967</v>
      </c>
      <c r="F123" s="25" t="n">
        <v>17</v>
      </c>
      <c r="G123" s="23" t="n">
        <v>4</v>
      </c>
      <c r="H123" s="23" t="n">
        <v>0</v>
      </c>
      <c r="I123" s="23" t="n">
        <v>0</v>
      </c>
      <c r="J123" s="24">
        <f>IF(D123=0,"-",G123/D123)</f>
        <v/>
      </c>
      <c r="K123" s="25">
        <f>IF(D123=0,"-",I123/D123*1000)</f>
        <v/>
      </c>
    </row>
    <row r="124">
      <c r="A124" s="22" t="inlineStr">
        <is>
          <t>scp-lab</t>
        </is>
      </c>
      <c r="B124" s="22" t="inlineStr">
        <is>
          <t>2026-08-09</t>
        </is>
      </c>
      <c r="C124" s="22" t="inlineStr">
        <is>
          <t>財団が13年間隠し続けた「13名の改竄要求」SCP-2718死後記録の真実【ショート】</t>
        </is>
      </c>
      <c r="D124" s="23" t="n">
        <v>714</v>
      </c>
      <c r="E124" s="26" t="n">
        <v>1.1801</v>
      </c>
      <c r="F124" s="25" t="n">
        <v>41</v>
      </c>
      <c r="G124" s="23" t="n">
        <v>4</v>
      </c>
      <c r="H124" s="23" t="n">
        <v>0</v>
      </c>
      <c r="I124" s="23" t="n">
        <v>1</v>
      </c>
      <c r="J124" s="24">
        <f>IF(D124=0,"-",G124/D124)</f>
        <v/>
      </c>
      <c r="K124" s="25">
        <f>IF(D124=0,"-",I124/D124*1000)</f>
        <v/>
      </c>
    </row>
    <row r="125">
      <c r="A125" s="22" t="inlineStr">
        <is>
          <t>scp-lab</t>
        </is>
      </c>
      <c r="B125" s="22" t="inlineStr">
        <is>
          <t>2026-08-10</t>
        </is>
      </c>
      <c r="C125" s="22" t="inlineStr">
        <is>
          <t>一口SCP：目撃者47名／精神的生存率0%財団が17年間『視覚汚染』と呼んだ理由#財団が17年間隠し続けた視覚汚染体——目撃者全員が廃人化、生存率0%の本当の理由 #shorts #ゆっくり解説</t>
        </is>
      </c>
      <c r="D125" s="23" t="n">
        <v>76</v>
      </c>
      <c r="E125" s="26" t="n">
        <v>0.5565</v>
      </c>
      <c r="F125" s="25" t="n">
        <v>20</v>
      </c>
      <c r="G125" s="23" t="n">
        <v>0</v>
      </c>
      <c r="H125" s="23" t="n">
        <v>0</v>
      </c>
      <c r="I125" s="23" t="n">
        <v>0</v>
      </c>
      <c r="J125" s="24">
        <f>IF(D125=0,"-",G125/D125)</f>
        <v/>
      </c>
      <c r="K125" s="25">
        <f>IF(D125=0,"-",I125/D125*1000)</f>
        <v/>
      </c>
    </row>
    <row r="126">
      <c r="A126" s="22" t="inlineStr">
        <is>
          <t>scp-lab</t>
        </is>
      </c>
      <c r="B126" s="22" t="inlineStr">
        <is>
          <t>2026-08-10</t>
        </is>
      </c>
      <c r="C126" s="22" t="inlineStr">
        <is>
          <t>財団が23年間隠し続けた接近者19名・生存率0%——湖で名前を失った本当の理由【ショート】</t>
        </is>
      </c>
      <c r="D126" s="23" t="n">
        <v>781</v>
      </c>
      <c r="E126" s="26" t="n">
        <v>0.5368999999999999</v>
      </c>
      <c r="F126" s="25" t="n">
        <v>18</v>
      </c>
      <c r="G126" s="23" t="n">
        <v>3</v>
      </c>
      <c r="H126" s="23" t="n">
        <v>0</v>
      </c>
      <c r="I126" s="23" t="n">
        <v>0</v>
      </c>
      <c r="J126" s="24">
        <f>IF(D126=0,"-",G126/D126)</f>
        <v/>
      </c>
      <c r="K126" s="25">
        <f>IF(D126=0,"-",I126/D126*1000)</f>
        <v/>
      </c>
    </row>
    <row r="127">
      <c r="A127" s="22" t="inlineStr">
        <is>
          <t>scp-lab</t>
        </is>
      </c>
      <c r="B127" s="22" t="inlineStr">
        <is>
          <t>2026-08-11</t>
        </is>
      </c>
      <c r="C127" s="22" t="inlineStr">
        <is>
          <t>SCP-2399収容記録：地球まで72時間、なぜ迎撃隊だけ全滅したのか【最後の軌道通信】【ショート】</t>
        </is>
      </c>
      <c r="D127" s="23" t="n">
        <v>1061</v>
      </c>
      <c r="E127" s="24" t="n">
        <v>0.4578</v>
      </c>
      <c r="F127" s="25" t="n">
        <v>13</v>
      </c>
      <c r="G127" s="23" t="n">
        <v>5</v>
      </c>
      <c r="H127" s="23" t="n">
        <v>1</v>
      </c>
      <c r="I127" s="23" t="n">
        <v>2</v>
      </c>
      <c r="J127" s="24">
        <f>IF(D127=0,"-",G127/D127)</f>
        <v/>
      </c>
      <c r="K127" s="25">
        <f>IF(D127=0,"-",I127/D127*1000)</f>
        <v/>
      </c>
    </row>
    <row r="128">
      <c r="A128" s="22" t="inlineStr">
        <is>
          <t>scp-lab</t>
        </is>
      </c>
      <c r="B128" s="22" t="inlineStr">
        <is>
          <t>2026-08-12</t>
        </is>
      </c>
      <c r="C128" s="22" t="inlineStr">
        <is>
          <t>SCP-2845収容記録：儀式が1分遅れた夜、173名はなぜか全員消えた【これが最後の名簿】【ショート】</t>
        </is>
      </c>
      <c r="D128" s="23" t="n">
        <v>779</v>
      </c>
      <c r="E128" s="24" t="n">
        <v>0.472</v>
      </c>
      <c r="F128" s="25" t="n">
        <v>14</v>
      </c>
      <c r="G128" s="23" t="n">
        <v>2</v>
      </c>
      <c r="H128" s="23" t="n">
        <v>0</v>
      </c>
      <c r="I128" s="23" t="n">
        <v>1</v>
      </c>
      <c r="J128" s="24">
        <f>IF(D128=0,"-",G128/D128)</f>
        <v/>
      </c>
      <c r="K128" s="25">
        <f>IF(D128=0,"-",I128/D128*1000)</f>
        <v/>
      </c>
    </row>
    <row r="129">
      <c r="A129" s="22" t="inlineStr">
        <is>
          <t>scp-lab</t>
        </is>
      </c>
      <c r="B129" s="22" t="inlineStr">
        <is>
          <t>2026-08-13</t>
        </is>
      </c>
      <c r="C129" s="22" t="inlineStr">
        <is>
          <t>SCP-1690「廃棄された文明の記録」— 発掘地点12か所、通信断絶から83年後に収容【ショート】</t>
        </is>
      </c>
      <c r="D129" s="23" t="n">
        <v>1072</v>
      </c>
      <c r="E129" s="26" t="n">
        <v>0.8656999999999999</v>
      </c>
      <c r="F129" s="25" t="n">
        <v>25</v>
      </c>
      <c r="G129" s="23" t="n">
        <v>0</v>
      </c>
      <c r="H129" s="23" t="n">
        <v>0</v>
      </c>
      <c r="I129" s="23" t="n">
        <v>0</v>
      </c>
      <c r="J129" s="24">
        <f>IF(D129=0,"-",G129/D129)</f>
        <v/>
      </c>
      <c r="K129" s="25">
        <f>IF(D129=0,"-",I129/D129*1000)</f>
        <v/>
      </c>
    </row>
    <row r="130">
      <c r="A130" s="22" t="inlineStr">
        <is>
          <t>scp-lab</t>
        </is>
      </c>
      <c r="B130" s="22" t="inlineStr">
        <is>
          <t>2026-08-14</t>
        </is>
      </c>
      <c r="C130" s="22" t="inlineStr">
        <is>
          <t>SCP-701「吊られた王の悲劇」— 上演記録14件、観客の生存率は21%【ショート】</t>
        </is>
      </c>
      <c r="D130" s="23" t="n">
        <v>966</v>
      </c>
      <c r="E130" s="24" t="n">
        <v>0.4602000000000001</v>
      </c>
      <c r="F130" s="25" t="n">
        <v>14</v>
      </c>
      <c r="G130" s="23" t="n">
        <v>3</v>
      </c>
      <c r="H130" s="23" t="n">
        <v>0</v>
      </c>
      <c r="I130" s="23" t="n">
        <v>0</v>
      </c>
      <c r="J130" s="24">
        <f>IF(D130=0,"-",G130/D130)</f>
        <v/>
      </c>
      <c r="K130" s="25">
        <f>IF(D130=0,"-",I130/D130*1000)</f>
        <v/>
      </c>
    </row>
    <row r="131">
      <c r="A131" s="22" t="inlineStr">
        <is>
          <t>scp-lab</t>
        </is>
      </c>
      <c r="B131" s="22" t="inlineStr">
        <is>
          <t>2026-08-15</t>
        </is>
      </c>
      <c r="C131" s="22" t="inlineStr">
        <is>
          <t>SCP-7004「終末の観測者」— 収容都市は9日で住民全員を失った【最後の記録】【ショート】</t>
        </is>
      </c>
      <c r="D131" s="23" t="n">
        <v>1132</v>
      </c>
      <c r="E131" s="26" t="n">
        <v>0.5293</v>
      </c>
      <c r="F131" s="25" t="n">
        <v>14</v>
      </c>
      <c r="G131" s="23" t="n">
        <v>3</v>
      </c>
      <c r="H131" s="23" t="n">
        <v>0</v>
      </c>
      <c r="I131" s="23" t="n">
        <v>0</v>
      </c>
      <c r="J131" s="24">
        <f>IF(D131=0,"-",G131/D131)</f>
        <v/>
      </c>
      <c r="K131" s="25">
        <f>IF(D131=0,"-",I131/D131*1000)</f>
        <v/>
      </c>
    </row>
    <row r="132">
      <c r="A132" s="22" t="inlineStr">
        <is>
          <t>scp-lab</t>
        </is>
      </c>
      <c r="B132" s="22" t="inlineStr">
        <is>
          <t>2026-08-17</t>
        </is>
      </c>
      <c r="C132" s="22" t="inlineStr">
        <is>
          <t>SCP-055の報告書に残った奇妙な空欄とは？【ショート】</t>
        </is>
      </c>
      <c r="D132" s="23" t="n">
        <v>926</v>
      </c>
      <c r="E132" s="26" t="n">
        <v>0.5141</v>
      </c>
      <c r="F132" s="25" t="n">
        <v>15</v>
      </c>
      <c r="G132" s="23" t="n">
        <v>5</v>
      </c>
      <c r="H132" s="23" t="n">
        <v>0</v>
      </c>
      <c r="I132" s="23" t="n">
        <v>0</v>
      </c>
      <c r="J132" s="24">
        <f>IF(D132=0,"-",G132/D132)</f>
        <v/>
      </c>
      <c r="K132" s="25">
        <f>IF(D132=0,"-",I132/D132*1000)</f>
        <v/>
      </c>
    </row>
    <row r="133">
      <c r="A133" s="22" t="inlineStr">
        <is>
          <t>scp-lab</t>
        </is>
      </c>
      <c r="B133" s="22" t="inlineStr">
        <is>
          <t>2026-08-17</t>
        </is>
      </c>
      <c r="C133" s="22" t="inlineStr">
        <is>
          <t>SCP-2525「異常なゲーム」— 死亡記録23件、勝利条件は未達成【ショート】</t>
        </is>
      </c>
      <c r="D133" s="23" t="n">
        <v>877</v>
      </c>
      <c r="E133" s="26" t="n">
        <v>0.518</v>
      </c>
      <c r="F133" s="25" t="n">
        <v>15</v>
      </c>
      <c r="G133" s="23" t="n">
        <v>9</v>
      </c>
      <c r="H133" s="23" t="n">
        <v>0</v>
      </c>
      <c r="I133" s="23" t="n">
        <v>0</v>
      </c>
      <c r="J133" s="24">
        <f>IF(D133=0,"-",G133/D133)</f>
        <v/>
      </c>
      <c r="K133" s="25">
        <f>IF(D133=0,"-",I133/D133*1000)</f>
        <v/>
      </c>
    </row>
    <row r="134">
      <c r="A134" s="22" t="inlineStr">
        <is>
          <t>scp-lab</t>
        </is>
      </c>
      <c r="B134" s="22" t="inlineStr">
        <is>
          <t>2026-08-18</t>
        </is>
      </c>
      <c r="C134" s="22" t="inlineStr">
        <is>
          <t>SCP-682の酸槽、記録に残らない変化が起きた【ショート】</t>
        </is>
      </c>
      <c r="D134" s="23" t="n">
        <v>913</v>
      </c>
      <c r="E134" s="24" t="n">
        <v>0.4937</v>
      </c>
      <c r="F134" s="25" t="n">
        <v>17</v>
      </c>
      <c r="G134" s="23" t="n">
        <v>6</v>
      </c>
      <c r="H134" s="23" t="n">
        <v>0</v>
      </c>
      <c r="I134" s="23" t="n">
        <v>1</v>
      </c>
      <c r="J134" s="24">
        <f>IF(D134=0,"-",G134/D134)</f>
        <v/>
      </c>
      <c r="K134" s="25">
        <f>IF(D134=0,"-",I134/D134*1000)</f>
        <v/>
      </c>
    </row>
    <row r="135">
      <c r="A135" s="22" t="inlineStr">
        <is>
          <t>scp-lab</t>
        </is>
      </c>
      <c r="B135" s="22" t="inlineStr">
        <is>
          <t>2026-08-19</t>
        </is>
      </c>
      <c r="C135" s="22" t="inlineStr">
        <is>
          <t>触れた全員が笑う粘体、なぜSafeなのか？【ショート】</t>
        </is>
      </c>
      <c r="D135" s="23" t="n">
        <v>642</v>
      </c>
      <c r="E135" s="26" t="n">
        <v>0.501</v>
      </c>
      <c r="F135" s="25" t="n">
        <v>20</v>
      </c>
      <c r="G135" s="23" t="n">
        <v>4</v>
      </c>
      <c r="H135" s="23" t="n">
        <v>0</v>
      </c>
      <c r="I135" s="23" t="n">
        <v>1</v>
      </c>
      <c r="J135" s="24">
        <f>IF(D135=0,"-",G135/D135)</f>
        <v/>
      </c>
      <c r="K135" s="25">
        <f>IF(D135=0,"-",I135/D135*1000)</f>
        <v/>
      </c>
    </row>
    <row r="136">
      <c r="A136" s="22" t="inlineStr">
        <is>
          <t>scp-lab</t>
        </is>
      </c>
      <c r="B136" s="22" t="inlineStr">
        <is>
          <t>2026-08-20</t>
        </is>
      </c>
      <c r="C136" s="22" t="inlineStr">
        <is>
          <t>一口SCP #91：⚠️SCP-1523-JP「かまいたち」— 被害記録17件、傷だけ残った夜【ショート】</t>
        </is>
      </c>
      <c r="D136" s="23" t="n">
        <v>72</v>
      </c>
      <c r="E136" s="27" t="n">
        <v>0.223</v>
      </c>
      <c r="F136" s="25" t="n">
        <v>12</v>
      </c>
      <c r="G136" s="23" t="n">
        <v>0</v>
      </c>
      <c r="H136" s="23" t="n">
        <v>0</v>
      </c>
      <c r="I136" s="23" t="n">
        <v>0</v>
      </c>
      <c r="J136" s="24">
        <f>IF(D136=0,"-",G136/D136)</f>
        <v/>
      </c>
      <c r="K136" s="25">
        <f>IF(D136=0,"-",I136/D136*1000)</f>
        <v/>
      </c>
    </row>
    <row r="137">
      <c r="A137" s="22" t="inlineStr">
        <is>
          <t>scp-lab</t>
        </is>
      </c>
      <c r="B137" s="22" t="inlineStr">
        <is>
          <t>2026-08-21</t>
        </is>
      </c>
      <c r="C137" s="22" t="inlineStr">
        <is>
          <t>一口SCP #92：👁️SCP-3120「異常な戦闘機」— 試験飛行9回、操縦席から帰還した隊員は1名だった【ショート】</t>
        </is>
      </c>
      <c r="D137" s="23" t="n">
        <v>955</v>
      </c>
      <c r="E137" s="27" t="n">
        <v>0.2681</v>
      </c>
      <c r="F137" s="25" t="n">
        <v>16</v>
      </c>
      <c r="G137" s="23" t="n">
        <v>5</v>
      </c>
      <c r="H137" s="23" t="n">
        <v>0</v>
      </c>
      <c r="I137" s="23" t="n">
        <v>0</v>
      </c>
      <c r="J137" s="24">
        <f>IF(D137=0,"-",G137/D137)</f>
        <v/>
      </c>
      <c r="K137" s="25">
        <f>IF(D137=0,"-",I137/D137*1000)</f>
        <v/>
      </c>
    </row>
    <row r="138">
      <c r="A138" s="22" t="inlineStr">
        <is>
          <t>scp-lab</t>
        </is>
      </c>
      <c r="B138" s="22" t="inlineStr">
        <is>
          <t>2026-08-21</t>
        </is>
      </c>
      <c r="C138" s="22" t="inlineStr">
        <is>
          <t>一口SCP #93：⚠️SCP-1689「黒いジャガイモ」— 摂取実験8件、帰還率0%だった【ショート】</t>
        </is>
      </c>
      <c r="D138" s="23" t="n">
        <v>62</v>
      </c>
      <c r="E138" s="27" t="n">
        <v>0.264</v>
      </c>
      <c r="F138" s="25" t="n">
        <v>14</v>
      </c>
      <c r="G138" s="23" t="n">
        <v>0</v>
      </c>
      <c r="H138" s="23" t="n">
        <v>0</v>
      </c>
      <c r="I138" s="23" t="n">
        <v>0</v>
      </c>
      <c r="J138" s="24">
        <f>IF(D138=0,"-",G138/D138)</f>
        <v/>
      </c>
      <c r="K138" s="25">
        <f>IF(D138=0,"-",I138/D138*1000)</f>
        <v/>
      </c>
    </row>
    <row r="139">
      <c r="A139" s="22" t="inlineStr">
        <is>
          <t>scp-lab</t>
        </is>
      </c>
      <c r="B139" s="22" t="inlineStr">
        <is>
          <t>2026-08-22</t>
        </is>
      </c>
      <c r="C139" s="22" t="inlineStr">
        <is>
          <t>実は完治後に4人が戻れなかった本当の理由とは？【ショート】</t>
        </is>
      </c>
      <c r="D139" s="23" t="n">
        <v>178</v>
      </c>
      <c r="E139" s="27" t="n">
        <v>0.2541</v>
      </c>
      <c r="F139" s="25" t="n">
        <v>14</v>
      </c>
      <c r="G139" s="23" t="n">
        <v>0</v>
      </c>
      <c r="H139" s="23" t="n">
        <v>0</v>
      </c>
      <c r="I139" s="23" t="n">
        <v>1</v>
      </c>
      <c r="J139" s="24">
        <f>IF(D139=0,"-",G139/D139)</f>
        <v/>
      </c>
      <c r="K139" s="25">
        <f>IF(D139=0,"-",I139/D139*1000)</f>
        <v/>
      </c>
    </row>
    <row r="140">
      <c r="A140" s="22" t="inlineStr">
        <is>
          <t>scp-lab</t>
        </is>
      </c>
      <c r="B140" s="22" t="inlineStr">
        <is>
          <t>2026-08-22</t>
        </is>
      </c>
      <c r="C140" s="22" t="inlineStr">
        <is>
          <t>一口SCP #94：🔒SCP-2306「実在しない部屋」— 図面に無い1室、調査員4名の記録だけが残った⚠️【ショート】</t>
        </is>
      </c>
      <c r="D140" s="23" t="n">
        <v>397</v>
      </c>
      <c r="E140" s="27" t="n">
        <v>0.262</v>
      </c>
      <c r="F140" s="25" t="n">
        <v>14</v>
      </c>
      <c r="G140" s="23" t="n">
        <v>3</v>
      </c>
      <c r="H140" s="23" t="n">
        <v>0</v>
      </c>
      <c r="I140" s="23" t="n">
        <v>0</v>
      </c>
      <c r="J140" s="24">
        <f>IF(D140=0,"-",G140/D140)</f>
        <v/>
      </c>
      <c r="K140" s="25">
        <f>IF(D140=0,"-",I140/D140*1000)</f>
        <v/>
      </c>
    </row>
    <row r="141">
      <c r="A141" s="22" t="inlineStr">
        <is>
          <t>scp-lab</t>
        </is>
      </c>
      <c r="B141" s="22" t="inlineStr">
        <is>
          <t>2026-08-23</t>
        </is>
      </c>
      <c r="C141" s="22" t="inlineStr">
        <is>
          <t>一口SCP #97：💀SCP-3002「情報災害」あなたの記憶まで消す報告書の恐怖【ショート】</t>
        </is>
      </c>
      <c r="D141" s="23" t="n">
        <v>73</v>
      </c>
      <c r="E141" s="27" t="n">
        <v>0.2037</v>
      </c>
      <c r="F141" s="25" t="n">
        <v>11</v>
      </c>
      <c r="G141" s="23" t="n">
        <v>0</v>
      </c>
      <c r="H141" s="23" t="n">
        <v>0</v>
      </c>
      <c r="I141" s="23" t="n">
        <v>0</v>
      </c>
      <c r="J141" s="24">
        <f>IF(D141=0,"-",G141/D141)</f>
        <v/>
      </c>
      <c r="K141" s="25">
        <f>IF(D141=0,"-",I141/D141*1000)</f>
        <v/>
      </c>
    </row>
    <row r="142">
      <c r="A142" s="22" t="inlineStr">
        <is>
          <t>scp-lab</t>
        </is>
      </c>
      <c r="B142" s="22" t="inlineStr">
        <is>
          <t>2026-08-23</t>
        </is>
      </c>
      <c r="C142" s="22" t="inlineStr">
        <is>
          <t>一口SCP #96：🫣SCP-507「不本意な次元旅行者」あなたの部屋にも戻るかもしれない恐怖【ショート】</t>
        </is>
      </c>
      <c r="D142" s="23" t="n">
        <v>1038</v>
      </c>
      <c r="E142" s="27" t="n">
        <v>0.238</v>
      </c>
      <c r="F142" s="25" t="n">
        <v>12</v>
      </c>
      <c r="G142" s="23" t="n">
        <v>2</v>
      </c>
      <c r="H142" s="23" t="n">
        <v>0</v>
      </c>
      <c r="I142" s="23" t="n">
        <v>1</v>
      </c>
      <c r="J142" s="24">
        <f>IF(D142=0,"-",G142/D142)</f>
        <v/>
      </c>
      <c r="K142" s="25">
        <f>IF(D142=0,"-",I142/D142*1000)</f>
        <v/>
      </c>
    </row>
    <row r="143">
      <c r="A143" s="22" t="inlineStr">
        <is>
          <t>scp-lab</t>
        </is>
      </c>
      <c r="B143" s="22" t="inlineStr">
        <is>
          <t>2026-08-24</t>
        </is>
      </c>
      <c r="C143" s="22" t="inlineStr">
        <is>
          <t>一口SCP #98：🫣SCP-1048「ビルダーベア」Safe判定が招いた収容違反の恐怖😱【ショート】</t>
        </is>
      </c>
      <c r="D143" s="23" t="n">
        <v>1008</v>
      </c>
      <c r="E143" s="27" t="n">
        <v>0.2431</v>
      </c>
      <c r="F143" s="25" t="n">
        <v>12</v>
      </c>
      <c r="G143" s="23" t="n">
        <v>3</v>
      </c>
      <c r="H143" s="23" t="n">
        <v>0</v>
      </c>
      <c r="I143" s="23" t="n">
        <v>0</v>
      </c>
      <c r="J143" s="24">
        <f>IF(D143=0,"-",G143/D143)</f>
        <v/>
      </c>
      <c r="K143" s="25">
        <f>IF(D143=0,"-",I143/D143*1000)</f>
        <v/>
      </c>
    </row>
    <row r="144">
      <c r="A144" s="22" t="inlineStr">
        <is>
          <t>scp-lab</t>
        </is>
      </c>
      <c r="B144" s="22" t="inlineStr">
        <is>
          <t>2026-08-25</t>
        </is>
      </c>
      <c r="C144" s="22" t="inlineStr">
        <is>
          <t>なぜ航路の先で記録が消えるのか？SCP-1783-JPの本当の恐怖【ショート】</t>
        </is>
      </c>
      <c r="D144" s="23" t="n">
        <v>945</v>
      </c>
      <c r="E144" s="27" t="n">
        <v>0.3279</v>
      </c>
      <c r="F144" s="25" t="n">
        <v>13</v>
      </c>
      <c r="G144" s="23" t="n">
        <v>0</v>
      </c>
      <c r="H144" s="23" t="n">
        <v>0</v>
      </c>
      <c r="I144" s="23" t="n">
        <v>0</v>
      </c>
      <c r="J144" s="24">
        <f>IF(D144=0,"-",G144/D144)</f>
        <v/>
      </c>
      <c r="K144" s="25">
        <f>IF(D144=0,"-",I144/D144*1000)</f>
        <v/>
      </c>
    </row>
    <row r="145">
      <c r="A145" s="22" t="inlineStr">
        <is>
          <t>scp-lab</t>
        </is>
      </c>
      <c r="B145" s="22" t="inlineStr">
        <is>
          <t>2026-08-25</t>
        </is>
      </c>
      <c r="C145" s="22" t="inlineStr">
        <is>
          <t>太陽系の番人SCP-179が沈黙を恐れる理由【ショート】</t>
        </is>
      </c>
      <c r="D145" s="23" t="n">
        <v>269</v>
      </c>
      <c r="E145" s="26" t="n">
        <v>0.5349</v>
      </c>
      <c r="F145" s="25" t="n">
        <v>20</v>
      </c>
      <c r="G145" s="23" t="n">
        <v>0</v>
      </c>
      <c r="H145" s="23" t="n">
        <v>0</v>
      </c>
      <c r="I145" s="23" t="n">
        <v>0</v>
      </c>
      <c r="J145" s="24">
        <f>IF(D145=0,"-",G145/D145)</f>
        <v/>
      </c>
      <c r="K145" s="25">
        <f>IF(D145=0,"-",I145/D145*1000)</f>
        <v/>
      </c>
    </row>
    <row r="146">
      <c r="A146" s="22" t="inlineStr">
        <is>
          <t>scp-lab</t>
        </is>
      </c>
      <c r="B146" s="22" t="inlineStr">
        <is>
          <t>2026-08-26</t>
        </is>
      </c>
      <c r="C146" s="22" t="inlineStr">
        <is>
          <t>なぜ調査員はSCP-1283-JPの踏切のむこうで消えたのか？【ショート】</t>
        </is>
      </c>
      <c r="D146" s="23" t="n">
        <v>946</v>
      </c>
      <c r="E146" s="24" t="n">
        <v>0.3376</v>
      </c>
      <c r="F146" s="25" t="n">
        <v>14</v>
      </c>
      <c r="G146" s="23" t="n">
        <v>6</v>
      </c>
      <c r="H146" s="23" t="n">
        <v>0</v>
      </c>
      <c r="I146" s="23" t="n">
        <v>2</v>
      </c>
      <c r="J146" s="24">
        <f>IF(D146=0,"-",G146/D146)</f>
        <v/>
      </c>
      <c r="K146" s="25">
        <f>IF(D146=0,"-",I146/D146*1000)</f>
        <v/>
      </c>
    </row>
    <row r="147">
      <c r="A147" s="22" t="inlineStr">
        <is>
          <t>scp-lab</t>
        </is>
      </c>
      <c r="B147" s="22" t="inlineStr">
        <is>
          <t>2026-08-26</t>
        </is>
      </c>
      <c r="C147" s="22" t="inlineStr">
        <is>
          <t>一口SCP #101：🫣SCP-雷撃記録、あなたの部屋まで届く落雷恐怖【ショート】</t>
        </is>
      </c>
      <c r="D147" s="23" t="n">
        <v>843</v>
      </c>
      <c r="E147" s="27" t="n">
        <v>0.2295</v>
      </c>
      <c r="F147" s="25" t="n">
        <v>10</v>
      </c>
      <c r="G147" s="23" t="n">
        <v>7</v>
      </c>
      <c r="H147" s="23" t="n">
        <v>0</v>
      </c>
      <c r="I147" s="23" t="n">
        <v>0</v>
      </c>
      <c r="J147" s="24">
        <f>IF(D147=0,"-",G147/D147)</f>
        <v/>
      </c>
      <c r="K147" s="25">
        <f>IF(D147=0,"-",I147/D147*1000)</f>
        <v/>
      </c>
    </row>
    <row r="148">
      <c r="A148" s="22" t="inlineStr">
        <is>
          <t>scp-lab</t>
        </is>
      </c>
      <c r="B148" s="22" t="inlineStr">
        <is>
          <t>2026-08-27</t>
        </is>
      </c>
      <c r="C148" s="22" t="inlineStr">
        <is>
          <t>一口SCP：SCP-006-JP「あけろ」ドアの向こうの記録 #shorts #SCP #SCP解説</t>
        </is>
      </c>
      <c r="D148" s="23" t="n">
        <v>936</v>
      </c>
      <c r="E148" s="26" t="n">
        <v>0.6467000000000001</v>
      </c>
      <c r="F148" s="25" t="n">
        <v>17</v>
      </c>
      <c r="G148" s="23" t="n">
        <v>4</v>
      </c>
      <c r="H148" s="23" t="n">
        <v>0</v>
      </c>
      <c r="I148" s="23" t="n">
        <v>1</v>
      </c>
      <c r="J148" s="24">
        <f>IF(D148=0,"-",G148/D148)</f>
        <v/>
      </c>
      <c r="K148" s="25">
        <f>IF(D148=0,"-",I148/D148*1000)</f>
        <v/>
      </c>
    </row>
    <row r="149">
      <c r="A149" s="22" t="inlineStr">
        <is>
          <t>yokai-watch</t>
        </is>
      </c>
      <c r="B149" s="22" t="inlineStr">
        <is>
          <t>2026-07-30</t>
        </is>
      </c>
      <c r="C149" s="22" t="inlineStr">
        <is>
          <t>1分妖怪ファイル：なぜ妖怪ウォッチだけ？主人公の秘密#妖怪ウォッチで主人公だけが妖怪を見られる理由 #shorts #ゆっくり解説</t>
        </is>
      </c>
      <c r="D149" s="23" t="n">
        <v>226</v>
      </c>
      <c r="E149" s="26" t="n">
        <v>0.5607</v>
      </c>
      <c r="F149" s="25" t="n">
        <v>13</v>
      </c>
      <c r="G149" s="23" t="n">
        <v>1</v>
      </c>
      <c r="H149" s="23" t="n">
        <v>0</v>
      </c>
      <c r="I149" s="23" t="n">
        <v>0</v>
      </c>
      <c r="J149" s="24">
        <f>IF(D149=0,"-",G149/D149)</f>
        <v/>
      </c>
      <c r="K149" s="25">
        <f>IF(D149=0,"-",I149/D149*1000)</f>
        <v/>
      </c>
    </row>
    <row r="150">
      <c r="A150" s="22" t="inlineStr">
        <is>
          <t>yokai-watch</t>
        </is>
      </c>
      <c r="B150" s="22" t="inlineStr">
        <is>
          <t>2026-07-30</t>
        </is>
      </c>
      <c r="C150" s="22" t="inlineStr">
        <is>
          <t>1分妖怪ファイル：なぜ妖怪ウォッチだけ？主人公の秘密#妖怪ウォッチで主人公だけが妖怪を見られる理由 #shorts #ゆっくり解説</t>
        </is>
      </c>
      <c r="D150" s="23" t="n">
        <v>1171</v>
      </c>
      <c r="E150" s="26" t="n">
        <v>0.5813</v>
      </c>
      <c r="F150" s="25" t="n">
        <v>13</v>
      </c>
      <c r="G150" s="23" t="n">
        <v>3</v>
      </c>
      <c r="H150" s="23" t="n">
        <v>0</v>
      </c>
      <c r="I150" s="23" t="n">
        <v>0</v>
      </c>
      <c r="J150" s="24">
        <f>IF(D150=0,"-",G150/D150)</f>
        <v/>
      </c>
      <c r="K150" s="25">
        <f>IF(D150=0,"-",I150/D150*1000)</f>
        <v/>
      </c>
    </row>
    <row r="151">
      <c r="A151" s="22" t="inlineStr">
        <is>
          <t>yokai-watch</t>
        </is>
      </c>
      <c r="B151" s="22" t="inlineStr">
        <is>
          <t>2026-07-31</t>
        </is>
      </c>
      <c r="C151" s="22" t="inlineStr">
        <is>
          <t>妖怪ウォッチの『都市伝説』、本当のところはどうなの？【ショート】</t>
        </is>
      </c>
      <c r="D151" s="23" t="n">
        <v>1227</v>
      </c>
      <c r="E151" s="26" t="n">
        <v>0.6655</v>
      </c>
      <c r="F151" s="25" t="n">
        <v>15</v>
      </c>
      <c r="G151" s="23" t="n">
        <v>5</v>
      </c>
      <c r="H151" s="23" t="n">
        <v>0</v>
      </c>
      <c r="I151" s="23" t="n">
        <v>2</v>
      </c>
      <c r="J151" s="24">
        <f>IF(D151=0,"-",G151/D151)</f>
        <v/>
      </c>
      <c r="K151" s="25">
        <f>IF(D151=0,"-",I151/D151*1000)</f>
        <v/>
      </c>
    </row>
    <row r="152">
      <c r="A152" s="22" t="inlineStr">
        <is>
          <t>yokai-watch</t>
        </is>
      </c>
      <c r="B152" s="22" t="inlineStr">
        <is>
          <t>2026-08-01</t>
        </is>
      </c>
      <c r="C152" s="22" t="inlineStr">
        <is>
          <t>妖怪の名前がダジャレなのはナゼか? 名前の裏に隠された秘密【ショート】</t>
        </is>
      </c>
      <c r="D152" s="23" t="n">
        <v>1405</v>
      </c>
      <c r="E152" s="26" t="n">
        <v>0.9527</v>
      </c>
      <c r="F152" s="25" t="n">
        <v>25</v>
      </c>
      <c r="G152" s="23" t="n">
        <v>5</v>
      </c>
      <c r="H152" s="23" t="n">
        <v>0</v>
      </c>
      <c r="I152" s="23" t="n">
        <v>1</v>
      </c>
      <c r="J152" s="24">
        <f>IF(D152=0,"-",G152/D152)</f>
        <v/>
      </c>
      <c r="K152" s="25">
        <f>IF(D152=0,"-",I152/D152*1000)</f>
        <v/>
      </c>
    </row>
    <row r="153">
      <c r="A153" s="22" t="inlineStr">
        <is>
          <t>yokai-watch</t>
        </is>
      </c>
      <c r="B153" s="22" t="inlineStr">
        <is>
          <t>2026-08-01</t>
        </is>
      </c>
      <c r="C153" s="22" t="inlineStr">
        <is>
          <t>なぜコマさんの秘密？神社の狛犬と田舎の意外なつながり【ショート】</t>
        </is>
      </c>
      <c r="D153" s="23" t="n">
        <v>1170</v>
      </c>
      <c r="E153" s="26" t="n">
        <v>0.6253</v>
      </c>
      <c r="F153" s="25" t="n">
        <v>16</v>
      </c>
      <c r="G153" s="23" t="n">
        <v>5</v>
      </c>
      <c r="H153" s="23" t="n">
        <v>0</v>
      </c>
      <c r="I153" s="23" t="n">
        <v>1</v>
      </c>
      <c r="J153" s="24">
        <f>IF(D153=0,"-",G153/D153)</f>
        <v/>
      </c>
      <c r="K153" s="25">
        <f>IF(D153=0,"-",I153/D153*1000)</f>
        <v/>
      </c>
    </row>
    <row r="154">
      <c r="A154" s="22" t="inlineStr">
        <is>
          <t>yokai-watch</t>
        </is>
      </c>
      <c r="B154" s="22" t="inlineStr">
        <is>
          <t>2026-08-02</t>
        </is>
      </c>
      <c r="C154" s="22" t="inlineStr">
        <is>
          <t>なぜ武士と猫が混ざった？ブシニャンの『本当のルーツ』が怖すぎる理由【ショート】</t>
        </is>
      </c>
      <c r="D154" s="23" t="n">
        <v>1277</v>
      </c>
      <c r="E154" s="26" t="n">
        <v>0.5472</v>
      </c>
      <c r="F154" s="25" t="n">
        <v>13</v>
      </c>
      <c r="G154" s="23" t="n">
        <v>4</v>
      </c>
      <c r="H154" s="23" t="n">
        <v>1</v>
      </c>
      <c r="I154" s="23" t="n">
        <v>0</v>
      </c>
      <c r="J154" s="24">
        <f>IF(D154=0,"-",G154/D154)</f>
        <v/>
      </c>
      <c r="K154" s="25">
        <f>IF(D154=0,"-",I154/D154*1000)</f>
        <v/>
      </c>
    </row>
    <row r="155">
      <c r="A155" s="22" t="inlineStr">
        <is>
          <t>yokai-watch</t>
        </is>
      </c>
      <c r="B155" s="22" t="inlineStr">
        <is>
          <t>2026-08-02</t>
        </is>
      </c>
      <c r="C155" s="22" t="inlineStr">
        <is>
          <t>ふぶき姫の可愛さはどこから？雪女伝承の“本当は怖い”正体とゲームの落差【ショート】</t>
        </is>
      </c>
      <c r="D155" s="23" t="n">
        <v>1648</v>
      </c>
      <c r="E155" s="26" t="n">
        <v>0.529</v>
      </c>
      <c r="F155" s="25" t="n">
        <v>16</v>
      </c>
      <c r="G155" s="23" t="n">
        <v>4</v>
      </c>
      <c r="H155" s="23" t="n">
        <v>0</v>
      </c>
      <c r="I155" s="23" t="n">
        <v>0</v>
      </c>
      <c r="J155" s="24">
        <f>IF(D155=0,"-",G155/D155)</f>
        <v/>
      </c>
      <c r="K155" s="25">
        <f>IF(D155=0,"-",I155/D155*1000)</f>
        <v/>
      </c>
    </row>
    <row r="156">
      <c r="A156" s="22" t="inlineStr">
        <is>
          <t>yokai-watch</t>
        </is>
      </c>
      <c r="B156" s="22" t="inlineStr">
        <is>
          <t>2026-08-03</t>
        </is>
      </c>
      <c r="C156" s="22" t="inlineStr">
        <is>
          <t>なぜオロチはゲームで美化された？ヤマタノオロチ伝説の“本当は怖い”正体【ショート】</t>
        </is>
      </c>
      <c r="D156" s="23" t="n">
        <v>1365</v>
      </c>
      <c r="E156" s="24" t="n">
        <v>0.4781</v>
      </c>
      <c r="F156" s="25" t="n">
        <v>11</v>
      </c>
      <c r="G156" s="23" t="n">
        <v>5</v>
      </c>
      <c r="H156" s="23" t="n">
        <v>0</v>
      </c>
      <c r="I156" s="23" t="n">
        <v>2</v>
      </c>
      <c r="J156" s="24">
        <f>IF(D156=0,"-",G156/D156)</f>
        <v/>
      </c>
      <c r="K156" s="25">
        <f>IF(D156=0,"-",I156/D156*1000)</f>
        <v/>
      </c>
    </row>
    <row r="157">
      <c r="A157" s="22" t="inlineStr">
        <is>
          <t>yokai-watch</t>
        </is>
      </c>
      <c r="B157" s="22" t="inlineStr">
        <is>
          <t>2026-08-04</t>
        </is>
      </c>
      <c r="C157" s="22" t="inlineStr">
        <is>
          <t>妖怪ウォッチのエンマ大王、なぜか『本物』の閻魔と全然違う姿をしている【ショート】</t>
        </is>
      </c>
      <c r="D157" s="23" t="n">
        <v>1470</v>
      </c>
      <c r="E157" s="26" t="n">
        <v>0.655</v>
      </c>
      <c r="F157" s="25" t="n">
        <v>18</v>
      </c>
      <c r="G157" s="23" t="n">
        <v>5</v>
      </c>
      <c r="H157" s="23" t="n">
        <v>0</v>
      </c>
      <c r="I157" s="23" t="n">
        <v>0</v>
      </c>
      <c r="J157" s="24">
        <f>IF(D157=0,"-",G157/D157)</f>
        <v/>
      </c>
      <c r="K157" s="25">
        <f>IF(D157=0,"-",I157/D157*1000)</f>
        <v/>
      </c>
    </row>
    <row r="158">
      <c r="A158" s="22" t="inlineStr">
        <is>
          <t>yokai-watch</t>
        </is>
      </c>
      <c r="B158" s="22" t="inlineStr">
        <is>
          <t>2026-08-05</t>
        </is>
      </c>
      <c r="C158" s="22" t="inlineStr">
        <is>
          <t>なぜロボニャンだけ未来から来た？隠された時系列の秘密【ショート】【ショート】</t>
        </is>
      </c>
      <c r="D158" s="23" t="n">
        <v>1461</v>
      </c>
      <c r="E158" s="26" t="n">
        <v>0.5318000000000001</v>
      </c>
      <c r="F158" s="25" t="n">
        <v>17</v>
      </c>
      <c r="G158" s="23" t="n">
        <v>10</v>
      </c>
      <c r="H158" s="23" t="n">
        <v>0</v>
      </c>
      <c r="I158" s="23" t="n">
        <v>0</v>
      </c>
      <c r="J158" s="24">
        <f>IF(D158=0,"-",G158/D158)</f>
        <v/>
      </c>
      <c r="K158" s="25">
        <f>IF(D158=0,"-",I158/D158*1000)</f>
        <v/>
      </c>
    </row>
    <row r="159">
      <c r="A159" s="22" t="inlineStr">
        <is>
          <t>yokai-watch</t>
        </is>
      </c>
      <c r="B159" s="22" t="inlineStr">
        <is>
          <t>2026-08-06</t>
        </is>
      </c>
      <c r="C159" s="22" t="inlineStr">
        <is>
          <t>妖怪ウォッチのランク、なぜSが最強じゃない妖怪にも付くのか　隠された格付けの本当のところ【ショート】</t>
        </is>
      </c>
      <c r="D159" s="23" t="n">
        <v>1821</v>
      </c>
      <c r="E159" s="26" t="n">
        <v>0.6153999999999999</v>
      </c>
      <c r="F159" s="25" t="n">
        <v>20</v>
      </c>
      <c r="G159" s="23" t="n">
        <v>6</v>
      </c>
      <c r="H159" s="23" t="n">
        <v>1</v>
      </c>
      <c r="I159" s="23" t="n">
        <v>2</v>
      </c>
      <c r="J159" s="24">
        <f>IF(D159=0,"-",G159/D159)</f>
        <v/>
      </c>
      <c r="K159" s="25">
        <f>IF(D159=0,"-",I159/D159*1000)</f>
        <v/>
      </c>
    </row>
    <row r="160">
      <c r="A160" s="22" t="inlineStr">
        <is>
          <t>yokai-watch</t>
        </is>
      </c>
      <c r="B160" s="22" t="inlineStr">
        <is>
          <t>2026-08-08</t>
        </is>
      </c>
      <c r="C160" s="22" t="inlineStr">
        <is>
          <t>一つ目小僧、なぜ江戸の文献では『会った者が帰らない』と書かれているのか【ショート】</t>
        </is>
      </c>
      <c r="D160" s="23" t="n">
        <v>1887</v>
      </c>
      <c r="E160" s="26" t="n">
        <v>0.502</v>
      </c>
      <c r="F160" s="25" t="n">
        <v>17</v>
      </c>
      <c r="G160" s="23" t="n">
        <v>5</v>
      </c>
      <c r="H160" s="23" t="n">
        <v>0</v>
      </c>
      <c r="I160" s="23" t="n">
        <v>0</v>
      </c>
      <c r="J160" s="24">
        <f>IF(D160=0,"-",G160/D160)</f>
        <v/>
      </c>
      <c r="K160" s="25">
        <f>IF(D160=0,"-",I160/D160*1000)</f>
        <v/>
      </c>
    </row>
    <row r="161">
      <c r="A161" s="22" t="inlineStr">
        <is>
          <t>yokai-watch</t>
        </is>
      </c>
      <c r="B161" s="22" t="inlineStr">
        <is>
          <t>2026-08-09</t>
        </is>
      </c>
      <c r="C161" s="22" t="inlineStr">
        <is>
          <t>1分妖怪ファイル：その『設定』、江戸時代には存在しなかった昭和の妖怪本が作り上げた『総大将』の正体#ぬらりひょんが『妖怪の総大将』なのは、なぜか誰も疑わなかったのか #shorts #ゆっくり解説</t>
        </is>
      </c>
      <c r="D161" s="23" t="n">
        <v>1667</v>
      </c>
      <c r="E161" s="26" t="n">
        <v>0.7662</v>
      </c>
      <c r="F161" s="25" t="n">
        <v>26</v>
      </c>
      <c r="G161" s="23" t="n">
        <v>4</v>
      </c>
      <c r="H161" s="23" t="n">
        <v>0</v>
      </c>
      <c r="I161" s="23" t="n">
        <v>0</v>
      </c>
      <c r="J161" s="24">
        <f>IF(D161=0,"-",G161/D161)</f>
        <v/>
      </c>
      <c r="K161" s="25">
        <f>IF(D161=0,"-",I161/D161*1000)</f>
        <v/>
      </c>
    </row>
    <row r="162">
      <c r="A162" s="22" t="inlineStr">
        <is>
          <t>yokai-watch</t>
        </is>
      </c>
      <c r="B162" s="22" t="inlineStr">
        <is>
          <t>2026-08-09</t>
        </is>
      </c>
      <c r="C162" s="22" t="inlineStr">
        <is>
          <t>なぜおでんじんだけ夜道に立つ？可愛い具に隠された秘密【ショート】【ショート】</t>
        </is>
      </c>
      <c r="D162" s="23" t="n">
        <v>1300</v>
      </c>
      <c r="E162" s="24" t="n">
        <v>0.4743</v>
      </c>
      <c r="F162" s="25" t="n">
        <v>13</v>
      </c>
      <c r="G162" s="23" t="n">
        <v>4</v>
      </c>
      <c r="H162" s="23" t="n">
        <v>0</v>
      </c>
      <c r="I162" s="23" t="n">
        <v>0</v>
      </c>
      <c r="J162" s="24">
        <f>IF(D162=0,"-",G162/D162)</f>
        <v/>
      </c>
      <c r="K162" s="25">
        <f>IF(D162=0,"-",I162/D162*1000)</f>
        <v/>
      </c>
    </row>
    <row r="163">
      <c r="A163" s="22" t="inlineStr">
        <is>
          <t>yokai-watch</t>
        </is>
      </c>
      <c r="B163" s="22" t="inlineStr">
        <is>
          <t>2026-08-10</t>
        </is>
      </c>
      <c r="C163" s="22" t="inlineStr">
        <is>
          <t>なぜツチノコは家に入る？隠された秘密【ショート】</t>
        </is>
      </c>
      <c r="D163" s="23" t="n">
        <v>1915</v>
      </c>
      <c r="E163" s="26" t="n">
        <v>0.5438000000000001</v>
      </c>
      <c r="F163" s="25" t="n">
        <v>17</v>
      </c>
      <c r="G163" s="23" t="n">
        <v>8</v>
      </c>
      <c r="H163" s="23" t="n">
        <v>0</v>
      </c>
      <c r="I163" s="23" t="n">
        <v>0</v>
      </c>
      <c r="J163" s="24">
        <f>IF(D163=0,"-",G163/D163)</f>
        <v/>
      </c>
      <c r="K163" s="25">
        <f>IF(D163=0,"-",I163/D163*1000)</f>
        <v/>
      </c>
    </row>
    <row r="164">
      <c r="A164" s="22" t="inlineStr">
        <is>
          <t>yokai-watch</t>
        </is>
      </c>
      <c r="B164" s="22" t="inlineStr">
        <is>
          <t>2026-08-11</t>
        </is>
      </c>
      <c r="C164" s="22" t="inlineStr">
        <is>
          <t>ねちがえる、なぜか夜だけ首を狙う？金縛りの奥にある古い怪異【ショート】</t>
        </is>
      </c>
      <c r="D164" s="23" t="n">
        <v>1703</v>
      </c>
      <c r="E164" s="24" t="n">
        <v>0.4958</v>
      </c>
      <c r="F164" s="25" t="n">
        <v>13</v>
      </c>
      <c r="G164" s="23" t="n">
        <v>7</v>
      </c>
      <c r="H164" s="23" t="n">
        <v>0</v>
      </c>
      <c r="I164" s="23" t="n">
        <v>0</v>
      </c>
      <c r="J164" s="24">
        <f>IF(D164=0,"-",G164/D164)</f>
        <v/>
      </c>
      <c r="K164" s="25">
        <f>IF(D164=0,"-",I164/D164*1000)</f>
        <v/>
      </c>
    </row>
    <row r="165">
      <c r="A165" s="22" t="inlineStr">
        <is>
          <t>yokai-watch</t>
        </is>
      </c>
      <c r="B165" s="22" t="inlineStr">
        <is>
          <t>2026-08-12</t>
        </is>
      </c>
      <c r="C165" s="22" t="inlineStr">
        <is>
          <t>河童はなぜか子どもだけを呼ぶ？水辺に残された「声」の本当の理由【ショート】</t>
        </is>
      </c>
      <c r="D165" s="23" t="n">
        <v>1692</v>
      </c>
      <c r="E165" s="24" t="n">
        <v>0.3869</v>
      </c>
      <c r="F165" s="25" t="n">
        <v>10</v>
      </c>
      <c r="G165" s="23" t="n">
        <v>4</v>
      </c>
      <c r="H165" s="23" t="n">
        <v>0</v>
      </c>
      <c r="I165" s="23" t="n">
        <v>0</v>
      </c>
      <c r="J165" s="24">
        <f>IF(D165=0,"-",G165/D165)</f>
        <v/>
      </c>
      <c r="K165" s="25">
        <f>IF(D165=0,"-",I165/D165*1000)</f>
        <v/>
      </c>
    </row>
    <row r="166">
      <c r="A166" s="22" t="inlineStr">
        <is>
          <t>yokai-watch</t>
        </is>
      </c>
      <c r="B166" s="22" t="inlineStr">
        <is>
          <t>2026-08-13</t>
        </is>
      </c>
      <c r="C166" s="22" t="inlineStr">
        <is>
          <t>のっぺらぼうの正体が怖すぎる — 顔を奪う怪談はなぜ生まれたのか【ショート】</t>
        </is>
      </c>
      <c r="D166" s="23" t="n">
        <v>2239</v>
      </c>
      <c r="E166" s="26" t="n">
        <v>0.8619</v>
      </c>
      <c r="F166" s="25" t="n">
        <v>26</v>
      </c>
      <c r="G166" s="23" t="n">
        <v>11</v>
      </c>
      <c r="H166" s="23" t="n">
        <v>0</v>
      </c>
      <c r="I166" s="23" t="n">
        <v>0</v>
      </c>
      <c r="J166" s="24">
        <f>IF(D166=0,"-",G166/D166)</f>
        <v/>
      </c>
      <c r="K166" s="25">
        <f>IF(D166=0,"-",I166/D166*1000)</f>
        <v/>
      </c>
    </row>
    <row r="167">
      <c r="A167" s="22" t="inlineStr">
        <is>
          <t>yokai-watch</t>
        </is>
      </c>
      <c r="B167" s="22" t="inlineStr">
        <is>
          <t>2026-08-14</t>
        </is>
      </c>
      <c r="C167" s="22" t="inlineStr">
        <is>
          <t>ふじのやまの元ネタが怖すぎる — 山に入った人が戻れなくなる禁忌【ショート】</t>
        </is>
      </c>
      <c r="D167" s="23" t="n">
        <v>1946</v>
      </c>
      <c r="E167" s="26" t="n">
        <v>0.7654000000000001</v>
      </c>
      <c r="F167" s="25" t="n">
        <v>25</v>
      </c>
      <c r="G167" s="23" t="n">
        <v>2</v>
      </c>
      <c r="H167" s="23" t="n">
        <v>0</v>
      </c>
      <c r="I167" s="23" t="n">
        <v>0</v>
      </c>
      <c r="J167" s="24">
        <f>IF(D167=0,"-",G167/D167)</f>
        <v/>
      </c>
      <c r="K167" s="25">
        <f>IF(D167=0,"-",I167/D167*1000)</f>
        <v/>
      </c>
    </row>
    <row r="168">
      <c r="A168" s="22" t="inlineStr">
        <is>
          <t>yokai-watch</t>
        </is>
      </c>
      <c r="B168" s="22" t="inlineStr">
        <is>
          <t>2026-08-15</t>
        </is>
      </c>
      <c r="C168" s="22" t="inlineStr">
        <is>
          <t>花子さんの正体 — なぜ学校のトイレで「三番目」なのか【ショート】</t>
        </is>
      </c>
      <c r="D168" s="23" t="n">
        <v>1171</v>
      </c>
      <c r="E168" s="26" t="n">
        <v>0.6505</v>
      </c>
      <c r="F168" s="25" t="n">
        <v>16</v>
      </c>
      <c r="G168" s="23" t="n">
        <v>10</v>
      </c>
      <c r="H168" s="23" t="n">
        <v>0</v>
      </c>
      <c r="I168" s="23" t="n">
        <v>2</v>
      </c>
      <c r="J168" s="24">
        <f>IF(D168=0,"-",G168/D168)</f>
        <v/>
      </c>
      <c r="K168" s="25">
        <f>IF(D168=0,"-",I168/D168*1000)</f>
        <v/>
      </c>
    </row>
    <row r="169">
      <c r="A169" s="22" t="inlineStr">
        <is>
          <t>yokai-watch</t>
        </is>
      </c>
      <c r="B169" s="22" t="inlineStr">
        <is>
          <t>2026-08-17</t>
        </is>
      </c>
      <c r="C169" s="22" t="inlineStr">
        <is>
          <t>鬼の元ネタが怖すぎる — 鬼門から来る者を家に入れてはいけない理由【ショート】</t>
        </is>
      </c>
      <c r="D169" s="23" t="n">
        <v>2341</v>
      </c>
      <c r="E169" s="24" t="n">
        <v>0.3431</v>
      </c>
      <c r="F169" s="25" t="n">
        <v>10</v>
      </c>
      <c r="G169" s="23" t="n">
        <v>3</v>
      </c>
      <c r="H169" s="23" t="n">
        <v>0</v>
      </c>
      <c r="I169" s="23" t="n">
        <v>0</v>
      </c>
      <c r="J169" s="24">
        <f>IF(D169=0,"-",G169/D169)</f>
        <v/>
      </c>
      <c r="K169" s="25">
        <f>IF(D169=0,"-",I169/D169*1000)</f>
        <v/>
      </c>
    </row>
    <row r="170">
      <c r="A170" s="22" t="inlineStr">
        <is>
          <t>yokai-watch</t>
        </is>
      </c>
      <c r="B170" s="22" t="inlineStr">
        <is>
          <t>2026-08-18</t>
        </is>
      </c>
      <c r="C170" s="22" t="inlineStr">
        <is>
          <t>海坊主の正体が怖すぎる — 船を沈める巨大な影は何だったのか【ショート】</t>
        </is>
      </c>
      <c r="D170" s="23" t="n">
        <v>1906</v>
      </c>
      <c r="E170" s="27" t="n">
        <v>0</v>
      </c>
      <c r="F170" s="25" t="n">
        <v>18</v>
      </c>
      <c r="G170" s="23" t="n">
        <v>7</v>
      </c>
      <c r="H170" s="23" t="n">
        <v>0</v>
      </c>
      <c r="I170" s="23" t="n">
        <v>1</v>
      </c>
      <c r="J170" s="24">
        <f>IF(D170=0,"-",G170/D170)</f>
        <v/>
      </c>
      <c r="K170" s="25">
        <f>IF(D170=0,"-",I170/D170*1000)</f>
        <v/>
      </c>
    </row>
    <row r="171">
      <c r="A171" s="22" t="inlineStr">
        <is>
          <t>yokai-watch</t>
        </is>
      </c>
      <c r="B171" s="22" t="inlineStr">
        <is>
          <t>2026-08-19</t>
        </is>
      </c>
      <c r="C171" s="22" t="inlineStr">
        <is>
          <t>ぬらりひょんの正体が怖すぎる — なぜあなたの家に勝手に上がるのか【ショート】</t>
        </is>
      </c>
      <c r="D171" s="23" t="n">
        <v>1109</v>
      </c>
      <c r="E171" s="24" t="n">
        <v>0.4152</v>
      </c>
      <c r="F171" s="25" t="n">
        <v>18</v>
      </c>
      <c r="G171" s="23" t="n">
        <v>6</v>
      </c>
      <c r="H171" s="23" t="n">
        <v>0</v>
      </c>
      <c r="I171" s="23" t="n">
        <v>1</v>
      </c>
      <c r="J171" s="24">
        <f>IF(D171=0,"-",G171/D171)</f>
        <v/>
      </c>
      <c r="K171" s="25">
        <f>IF(D171=0,"-",I171/D171*1000)</f>
        <v/>
      </c>
    </row>
    <row r="172">
      <c r="A172" s="22" t="inlineStr">
        <is>
          <t>yokai-watch</t>
        </is>
      </c>
      <c r="B172" s="22" t="inlineStr">
        <is>
          <t>2026-08-20</t>
        </is>
      </c>
      <c r="C172" s="22" t="inlineStr">
        <is>
          <t>1分妖怪ファイル #7：😰かまいたちの元ネタが怖すぎる — あなたが3秒で傷つく理由は？【ショート】</t>
        </is>
      </c>
      <c r="D172" s="23" t="n">
        <v>370</v>
      </c>
      <c r="E172" s="24" t="n">
        <v>0.3952000000000001</v>
      </c>
      <c r="F172" s="25" t="n">
        <v>24</v>
      </c>
      <c r="G172" s="23" t="n">
        <v>4</v>
      </c>
      <c r="H172" s="23" t="n">
        <v>0</v>
      </c>
      <c r="I172" s="23" t="n">
        <v>0</v>
      </c>
      <c r="J172" s="24">
        <f>IF(D172=0,"-",G172/D172)</f>
        <v/>
      </c>
      <c r="K172" s="25">
        <f>IF(D172=0,"-",I172/D172*1000)</f>
        <v/>
      </c>
    </row>
    <row r="173">
      <c r="A173" s="22" t="inlineStr">
        <is>
          <t>yokai-watch</t>
        </is>
      </c>
      <c r="B173" s="22" t="inlineStr">
        <is>
          <t>2026-08-21</t>
        </is>
      </c>
      <c r="C173" s="22" t="inlineStr">
        <is>
          <t>3秒で消える？天狗と山伏、神隠しの本当の理由【ショート】</t>
        </is>
      </c>
      <c r="D173" s="23" t="n">
        <v>612</v>
      </c>
      <c r="E173" s="27" t="n">
        <v>0.284</v>
      </c>
      <c r="F173" s="25" t="n">
        <v>15</v>
      </c>
      <c r="G173" s="23" t="n">
        <v>2</v>
      </c>
      <c r="H173" s="23" t="n">
        <v>0</v>
      </c>
      <c r="I173" s="23" t="n">
        <v>0</v>
      </c>
      <c r="J173" s="24">
        <f>IF(D173=0,"-",G173/D173)</f>
        <v/>
      </c>
      <c r="K173" s="25">
        <f>IF(D173=0,"-",I173/D173*1000)</f>
        <v/>
      </c>
    </row>
    <row r="174">
      <c r="A174" s="22" t="inlineStr">
        <is>
          <t>yokai-watch</t>
        </is>
      </c>
      <c r="B174" s="22" t="inlineStr">
        <is>
          <t>2026-08-21</t>
        </is>
      </c>
      <c r="C174" s="22" t="inlineStr">
        <is>
          <t>雪女が3日黙れと言う…実は誰にも言えない恐怖があった【ショート】</t>
        </is>
      </c>
      <c r="D174" s="23" t="n">
        <v>260</v>
      </c>
      <c r="E174" s="27" t="n">
        <v>0.2418</v>
      </c>
      <c r="F174" s="25" t="n">
        <v>13</v>
      </c>
      <c r="G174" s="23" t="n">
        <v>0</v>
      </c>
      <c r="H174" s="23" t="n">
        <v>0</v>
      </c>
      <c r="I174" s="23" t="n">
        <v>0</v>
      </c>
      <c r="J174" s="24">
        <f>IF(D174=0,"-",G174/D174)</f>
        <v/>
      </c>
      <c r="K174" s="25">
        <f>IF(D174=0,"-",I174/D174*1000)</f>
        <v/>
      </c>
    </row>
    <row r="175">
      <c r="A175" s="22" t="inlineStr">
        <is>
          <t>yokai-watch</t>
        </is>
      </c>
      <c r="B175" s="22" t="inlineStr">
        <is>
          <t>2026-08-22</t>
        </is>
      </c>
      <c r="C175" s="22" t="inlineStr">
        <is>
          <t>なぜ猫又の尻尾は2つ？実は老猫を恐れた江戸の記録が怖い【ショート】</t>
        </is>
      </c>
      <c r="D175" s="23" t="n">
        <v>361</v>
      </c>
      <c r="E175" s="24" t="n">
        <v>0.3301</v>
      </c>
      <c r="F175" s="25" t="n">
        <v>19</v>
      </c>
      <c r="G175" s="23" t="n">
        <v>3</v>
      </c>
      <c r="H175" s="23" t="n">
        <v>0</v>
      </c>
      <c r="I175" s="23" t="n">
        <v>0</v>
      </c>
      <c r="J175" s="24">
        <f>IF(D175=0,"-",G175/D175)</f>
        <v/>
      </c>
      <c r="K175" s="25">
        <f>IF(D175=0,"-",I175/D175*1000)</f>
        <v/>
      </c>
    </row>
    <row r="176">
      <c r="A176" s="22" t="inlineStr">
        <is>
          <t>yokai-watch</t>
        </is>
      </c>
      <c r="B176" s="22" t="inlineStr">
        <is>
          <t>2026-08-23</t>
        </is>
      </c>
      <c r="C176" s="22" t="inlineStr">
        <is>
          <t>1分妖怪ファイル #11：🔍ぬらりひょんに隠された3つの秘密、あなたの知る総大将はいつ生まれた？【ショート】</t>
        </is>
      </c>
      <c r="D176" s="23" t="n">
        <v>136</v>
      </c>
      <c r="E176" s="27" t="n">
        <v>0.1587</v>
      </c>
      <c r="F176" s="25" t="n">
        <v>10</v>
      </c>
      <c r="G176" s="23" t="n">
        <v>0</v>
      </c>
      <c r="H176" s="23" t="n">
        <v>0</v>
      </c>
      <c r="I176" s="23" t="n">
        <v>0</v>
      </c>
      <c r="J176" s="24">
        <f>IF(D176=0,"-",G176/D176)</f>
        <v/>
      </c>
      <c r="K176" s="25">
        <f>IF(D176=0,"-",I176/D176*1000)</f>
        <v/>
      </c>
    </row>
    <row r="177">
      <c r="A177" s="22" t="inlineStr">
        <is>
          <t>yokai-watch</t>
        </is>
      </c>
      <c r="B177" s="22" t="inlineStr">
        <is>
          <t>2026-08-25</t>
        </is>
      </c>
      <c r="C177" s="22" t="inlineStr">
        <is>
          <t>1分妖怪ファイル #13：👁️妖怪ウォッチ元祖に隠された3つの秘密、あなたは名前の意味に気づいた？【ショート】</t>
        </is>
      </c>
      <c r="D177" s="23" t="n">
        <v>662</v>
      </c>
      <c r="E177" s="24" t="n">
        <v>0.4133</v>
      </c>
      <c r="F177" s="25" t="n">
        <v>18</v>
      </c>
      <c r="G177" s="23" t="n">
        <v>0</v>
      </c>
      <c r="H177" s="23" t="n">
        <v>0</v>
      </c>
      <c r="I177" s="23" t="n">
        <v>0</v>
      </c>
      <c r="J177" s="24">
        <f>IF(D177=0,"-",G177/D177)</f>
        <v/>
      </c>
      <c r="K177" s="25">
        <f>IF(D177=0,"-",I177/D177*1000)</f>
        <v/>
      </c>
    </row>
    <row r="178">
      <c r="A178" s="22" t="inlineStr">
        <is>
          <t>yokai-watch</t>
        </is>
      </c>
      <c r="B178" s="22" t="inlineStr">
        <is>
          <t>2026-08-25</t>
        </is>
      </c>
      <c r="C178" s="22" t="inlineStr">
        <is>
          <t>1分妖怪ファイル #12：👁️両面宿儺に隠された2つの秘密、君は古文書の正体を知ってる？【ショート】</t>
        </is>
      </c>
      <c r="D178" s="23" t="n">
        <v>1060</v>
      </c>
      <c r="E178" s="27" t="n">
        <v>0.2857</v>
      </c>
      <c r="F178" s="25" t="n">
        <v>16</v>
      </c>
      <c r="G178" s="23" t="n">
        <v>4</v>
      </c>
      <c r="H178" s="23" t="n">
        <v>0</v>
      </c>
      <c r="I178" s="23" t="n">
        <v>0</v>
      </c>
      <c r="J178" s="24">
        <f>IF(D178=0,"-",G178/D178)</f>
        <v/>
      </c>
      <c r="K178" s="25">
        <f>IF(D178=0,"-",I178/D178*1000)</f>
        <v/>
      </c>
    </row>
    <row r="179">
      <c r="A179" s="22" t="inlineStr">
        <is>
          <t>yokai-watch</t>
        </is>
      </c>
      <c r="B179" s="22" t="inlineStr">
        <is>
          <t>2026-08-26</t>
        </is>
      </c>
      <c r="C179" s="22" t="inlineStr">
        <is>
          <t>1分妖怪ファイル #14：❓コマさんとコマじろうの秘密、2体で狛犬になる本当の理由は？【ショート】</t>
        </is>
      </c>
      <c r="D179" s="23" t="n">
        <v>123</v>
      </c>
      <c r="E179" s="27" t="n">
        <v>0.2128</v>
      </c>
      <c r="F179" s="25" t="n">
        <v>11</v>
      </c>
      <c r="G179" s="23" t="n">
        <v>0</v>
      </c>
      <c r="H179" s="23" t="n">
        <v>0</v>
      </c>
      <c r="I179" s="23" t="n">
        <v>0</v>
      </c>
      <c r="J179" s="24">
        <f>IF(D179=0,"-",G179/D179)</f>
        <v/>
      </c>
      <c r="K179" s="25">
        <f>IF(D179=0,"-",I179/D179*1000)</f>
        <v/>
      </c>
    </row>
    <row r="180">
      <c r="A180" s="22" t="inlineStr">
        <is>
          <t>yokai-watch</t>
        </is>
      </c>
      <c r="B180" s="22" t="inlineStr">
        <is>
          <t>2026-08-27</t>
        </is>
      </c>
      <c r="C180" s="22" t="inlineStr">
        <is>
          <t>1分妖怪ファイル：キュウビの元ネタ玉藻前、殺生石になった結末 #shorts #妖怪 #都市伝説</t>
        </is>
      </c>
      <c r="D180" s="23" t="n">
        <v>444</v>
      </c>
      <c r="E180" s="24" t="n">
        <v>0.3897</v>
      </c>
      <c r="F180" s="25" t="n">
        <v>11</v>
      </c>
      <c r="G180" s="23" t="n">
        <v>1</v>
      </c>
      <c r="H180" s="23" t="n">
        <v>0</v>
      </c>
      <c r="I180" s="23" t="n">
        <v>0</v>
      </c>
      <c r="J180" s="24">
        <f>IF(D180=0,"-",G180/D180)</f>
        <v/>
      </c>
      <c r="K180" s="25">
        <f>IF(D180=0,"-",I180/D180*1000)</f>
        <v/>
      </c>
    </row>
  </sheetData>
  <autoFilter ref="A4:K18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pane ySplit="4" topLeftCell="A5" activePane="bottomLeft" state="frozen"/>
      <selection pane="bottomLeft" activeCell="A1" sqref="A1"/>
    </sheetView>
  </sheetViews>
  <sheetFormatPr baseColWidth="8" defaultRowHeight="15"/>
  <cols>
    <col width="5" customWidth="1" min="1" max="1"/>
    <col width="15" customWidth="1" min="2" max="2"/>
    <col width="42" customWidth="1" min="3" max="3"/>
    <col width="52" customWidth="1" min="4" max="4"/>
    <col width="40" customWidth="1" min="5" max="5"/>
    <col width="12" customWidth="1" min="6" max="6"/>
    <col width="40" customWidth="1" min="7" max="7"/>
  </cols>
  <sheetData>
    <row r="1">
      <c r="A1" s="1" t="inlineStr">
        <is>
          <t>改善アクション一覧  2026-08-30</t>
        </is>
      </c>
    </row>
    <row r="2">
      <c r="A2" s="2" t="inlineStr">
        <is>
          <t>状態が『実施済み』のものは本日のうちにコードとコンフィグへ反映済み。</t>
        </is>
      </c>
    </row>
    <row r="4" ht="30" customHeight="1">
      <c r="A4" s="4" t="inlineStr">
        <is>
          <t>#</t>
        </is>
      </c>
      <c r="B4" s="4" t="inlineStr">
        <is>
          <t>対象</t>
        </is>
      </c>
      <c r="C4" s="4" t="inlineStr">
        <is>
          <t>アクション</t>
        </is>
      </c>
      <c r="D4" s="4" t="inlineStr">
        <is>
          <t>根拠（実測値）</t>
        </is>
      </c>
      <c r="E4" s="4" t="inlineStr">
        <is>
          <t>変更ファイル</t>
        </is>
      </c>
      <c r="F4" s="4" t="inlineStr">
        <is>
          <t>状態</t>
        </is>
      </c>
      <c r="G4" s="4" t="inlineStr">
        <is>
          <t>検証方法</t>
        </is>
      </c>
    </row>
    <row r="5" ht="46" customHeight="1">
      <c r="A5" s="28" t="n">
        <v>1</v>
      </c>
      <c r="B5" s="28" t="inlineStr">
        <is>
          <t>全6ch</t>
        </is>
      </c>
      <c r="C5" s="28" t="inlineStr">
        <is>
          <t>エンハンサー実行後に台本字数を帯へ戻す enforce_band() を新設し、generator.py の Phase L から呼ぶ</t>
        </is>
      </c>
      <c r="D5" s="28" t="inlineStr">
        <is>
          <t>8/26-29 の実台本中央値 238〜304字 が上限 210〜225字 を 13〜45% 超過。回帰 維持率=89.0-0.1612×字数</t>
        </is>
      </c>
      <c r="E5" s="28" t="inlineStr">
        <is>
          <t>backend/pipeline/shorts_length_guard.py, backend/pipeline/auto_scenario/generator.py</t>
        </is>
      </c>
      <c r="F5" s="29" t="inlineStr">
        <is>
          <t>実施済み</t>
        </is>
      </c>
      <c r="G5" s="28" t="inlineStr">
        <is>
          <t>実台本36本での回帰テスト: 全5ch帯内。単体テスト8件パス</t>
        </is>
      </c>
    </row>
    <row r="6" ht="46" customHeight="1">
      <c r="A6" s="28" t="n">
        <v>2</v>
      </c>
      <c r="B6" s="28" t="inlineStr">
        <is>
          <t>全6ch</t>
        </is>
      </c>
      <c r="C6" s="28" t="inlineStr">
        <is>
          <t>1行目フックと最終行CTAをトリム対象外に保護</t>
        </is>
      </c>
      <c r="D6" s="28" t="inlineStr">
        <is>
          <t>1行目は最初の3秒の離脱を決める。最終行は登録導線</t>
        </is>
      </c>
      <c r="E6" s="28" t="inlineStr">
        <is>
          <t>backend/pipeline/shorts_length_guard.py</t>
        </is>
      </c>
      <c r="F6" s="29" t="inlineStr">
        <is>
          <t>実施済み</t>
        </is>
      </c>
      <c r="G6" s="28" t="inlineStr">
        <is>
          <t>単体テストで保護を検証済み</t>
        </is>
      </c>
    </row>
    <row r="7" ht="46" customHeight="1">
      <c r="A7" s="28" t="n">
        <v>3</v>
      </c>
      <c r="B7" s="28" t="inlineStr">
        <is>
          <t>全5ch</t>
        </is>
      </c>
      <c r="C7" s="28" t="inlineStr">
        <is>
          <t>extra_rules の「8行目には必ず」→「6行目には必ず」誤記修正</t>
        </is>
      </c>
      <c r="D7" s="28" t="inlineStr">
        <is>
          <t>structure は6行指定なのに extra_rules が8行目を指し、実出力に7〜8行が混入していた</t>
        </is>
      </c>
      <c r="E7" s="28" t="inlineStr">
        <is>
          <t>data/channels/*.json, data/channels_orchestrator/*.json</t>
        </is>
      </c>
      <c r="F7" s="29" t="inlineStr">
        <is>
          <t>実施済み</t>
        </is>
      </c>
      <c r="G7" s="28" t="inlineStr">
        <is>
          <t>grep で誤記0件を確認</t>
        </is>
      </c>
    </row>
    <row r="8" ht="46" customHeight="1">
      <c r="A8" s="28" t="n">
        <v>4</v>
      </c>
      <c r="B8" s="28" t="inlineStr">
        <is>
          <t>全6ch</t>
        </is>
      </c>
      <c r="C8" s="28" t="inlineStr">
        <is>
          <t>line_min_chars / line_max_chars を追加</t>
        </is>
      </c>
      <c r="D8" s="28" t="inlineStr">
        <is>
          <t>scenario_validator._check_line_lengths が読む機械可読キーが全chで未設定だった。8/26以降の実測で L2-L5 が最大94字</t>
        </is>
      </c>
      <c r="E8" s="28" t="inlineStr">
        <is>
          <t>data/channels/*.json, data/channels_orchestrator/*.json</t>
        </is>
      </c>
      <c r="F8" s="29" t="inlineStr">
        <is>
          <t>実施済み</t>
        </is>
      </c>
      <c r="G8" s="28" t="inlineStr">
        <is>
          <t>scenario_validator を直接呼び、行長違反2件を検出できることを確認</t>
        </is>
      </c>
    </row>
    <row r="9" ht="46" customHeight="1">
      <c r="A9" s="28" t="n">
        <v>5</v>
      </c>
      <c r="B9" s="28" t="inlineStr">
        <is>
          <t>全6ch</t>
        </is>
      </c>
      <c r="C9" s="28" t="inlineStr">
        <is>
          <t>土日の 12〜14 時投稿枠を 18 時へ移動</t>
        </is>
      </c>
      <c r="D9" s="28" t="inlineStr">
        <is>
          <t>投稿時刻(JST)別 中央値再生数: 12時=835 / 13時=1,040 に対し 18時=1,139 / 19時=1,199</t>
        </is>
      </c>
      <c r="E9" s="28" t="inlineStr">
        <is>
          <t>data/channels/*.json, data/channels_orchestrator/*.json</t>
        </is>
      </c>
      <c r="F9" s="29" t="inlineStr">
        <is>
          <t>実施済み</t>
        </is>
      </c>
      <c r="G9" s="28" t="inlineStr">
        <is>
          <t>土日の低パフォーマンス枠が0件になったことを確認</t>
        </is>
      </c>
    </row>
    <row r="10" ht="46" customHeight="1">
      <c r="A10" s="28" t="n">
        <v>6</v>
      </c>
      <c r="B10" s="28" t="inlineStr">
        <is>
          <t>company-facts</t>
        </is>
      </c>
      <c r="C10" s="28" t="inlineStr">
        <is>
          <t>short_format を新規付与（6行 / 165〜210字）</t>
        </is>
      </c>
      <c r="D10" s="28" t="inlineStr">
        <is>
          <t>同chのみ short_format を持たず、shorts_length_guard の DEFAULT_CHAR_BAND にフォールバックしていた（帯が未管理）</t>
        </is>
      </c>
      <c r="E10" s="28" t="inlineStr">
        <is>
          <t>data/channels/company-facts.json ほか</t>
        </is>
      </c>
      <c r="F10" s="29" t="inlineStr">
        <is>
          <t>実施済み</t>
        </is>
      </c>
      <c r="G10" s="28" t="inlineStr">
        <is>
          <t>char_band_for('company-facts')=(165,210) を確認</t>
        </is>
      </c>
    </row>
    <row r="11" ht="46" customHeight="1">
      <c r="A11" s="28" t="n">
        <v>7</v>
      </c>
      <c r="B11" s="28" t="inlineStr">
        <is>
          <t>pokemon-lab</t>
        </is>
      </c>
      <c r="C11" s="28" t="inlineStr">
        <is>
          <t>theme_queue に「なぜ型」テーマを8件補充</t>
        </is>
      </c>
      <c r="D11" s="28" t="inlineStr">
        <is>
          <t>theme_queue が0件。同chは「なぜ型」が med再生1,520 / 維持59.0% で最良（対決型は1,339 / 49.0%）</t>
        </is>
      </c>
      <c r="E11" s="28" t="inlineStr">
        <is>
          <t>data/channels/pokemon-lab.json ほか</t>
        </is>
      </c>
      <c r="F11" s="29" t="inlineStr">
        <is>
          <t>実施済み</t>
        </is>
      </c>
      <c r="G11" s="28" t="inlineStr">
        <is>
          <t>queue 0→8件を確認</t>
        </is>
      </c>
    </row>
    <row r="12" ht="46" customHeight="1">
      <c r="A12" s="28" t="n">
        <v>8</v>
      </c>
      <c r="B12" s="28" t="inlineStr">
        <is>
          <t>全6ch</t>
        </is>
      </c>
      <c r="C12" s="28" t="inlineStr">
        <is>
          <t>Phase 4 の autopilot トリガー実行</t>
        </is>
      </c>
      <c r="D12" s="28" t="inlineStr">
        <is>
          <t>本日分の制作指示。指揮者VMから Mac の localhost:8000 へ到達できず未実行</t>
        </is>
      </c>
      <c r="E12" s="28" t="inlineStr">
        <is>
          <t>scripts/trigger_autopilot_20260830.command</t>
        </is>
      </c>
      <c r="F12" s="30" t="inlineStr">
        <is>
          <t>要人手</t>
        </is>
      </c>
      <c r="G12" s="28" t="inlineStr">
        <is>
          <t>バックエンド起動後にスクリプトを実行。ログに '✂️ ShortsLengthGuard' が出れば Phase L 作動</t>
        </is>
      </c>
    </row>
    <row r="13" ht="46" customHeight="1">
      <c r="A13" s="28" t="n">
        <v>9</v>
      </c>
      <c r="B13" s="28" t="inlineStr">
        <is>
          <t>全5ch</t>
        </is>
      </c>
      <c r="C13" s="28" t="inlineStr">
        <is>
          <t>エンハンサー自体の加筆量を抑制する（injector 側の上限設定）</t>
        </is>
      </c>
      <c r="D13" s="28" t="inlineStr">
        <is>
          <t>現状は加筆してから削る二度手間。scp-lab では総字数の33.9%が注入分で、削る際に情報が失われる</t>
        </is>
      </c>
      <c r="E13" s="28" t="inlineStr">
        <is>
          <t>backend/pipeline/round6-8_enhancer.py 系</t>
        </is>
      </c>
      <c r="F13" s="31" t="inlineStr">
        <is>
          <t>次回検討</t>
        </is>
      </c>
      <c r="G13" s="28" t="inlineStr">
        <is>
          <t>enforce_band の removed_chars を数日分ログ集計し、注入量が多いモジュールを特定する</t>
        </is>
      </c>
    </row>
    <row r="14" ht="46" customHeight="1">
      <c r="A14" s="28" t="n">
        <v>10</v>
      </c>
      <c r="B14" s="28" t="inlineStr">
        <is>
          <t>全6ch</t>
        </is>
      </c>
      <c r="C14" s="28" t="inlineStr">
        <is>
          <t>登録転換の底上げ（至上目標）</t>
        </is>
      </c>
      <c r="D14" s="28" t="inlineStr">
        <is>
          <t>14日 net +28人 / 84,233再生 = 0.033%。最良は scp-lab の「なぜ型」1.43登録/1000再生</t>
        </is>
      </c>
      <c r="E14" s="28" t="inlineStr">
        <is>
          <t>各ch content_policy / short_format.structure</t>
        </is>
      </c>
      <c r="F14" s="31" t="inlineStr">
        <is>
          <t>次回検討</t>
        </is>
      </c>
      <c r="G14" s="28" t="inlineStr">
        <is>
          <t>維持率が戻った後に、scp-lab の「なぜ型」CTA文面を他chへ横展開してA/B比較する</t>
        </is>
      </c>
    </row>
    <row r="15" ht="46" customHeight="1">
      <c r="A15" s="28" t="n">
        <v>11</v>
      </c>
      <c r="B15" s="28" t="inlineStr">
        <is>
          <t>fake-paper</t>
        </is>
      </c>
      <c r="C15" s="28" t="inlineStr">
        <is>
          <t>指揮者の管理対象に含めるか要判断</t>
        </is>
      </c>
      <c r="D15" s="28" t="inlineStr">
        <is>
          <t>8/27-28 に投稿実績があるが指揮者のチャンネル表に無く、channels_orchestrator にも未登録。「8行目」誤記も残存</t>
        </is>
      </c>
      <c r="E15" s="28" t="inlineStr">
        <is>
          <t>（未変更）</t>
        </is>
      </c>
      <c r="F15" s="31" t="inlineStr">
        <is>
          <t>要判断</t>
        </is>
      </c>
      <c r="G15" s="28" t="inlineStr">
        <is>
          <t>ユーザー確認後に対応。今回は指示範囲外のため意図的に未変更</t>
        </is>
      </c>
    </row>
    <row r="16" ht="46" customHeight="1">
      <c r="A16" s="28" t="n">
        <v>12</v>
      </c>
      <c r="B16" s="28" t="inlineStr">
        <is>
          <t>全6ch</t>
        </is>
      </c>
      <c r="C16" s="28" t="inlineStr">
        <is>
          <t>auto_optimize_schedule の方針統一</t>
        </is>
      </c>
      <c r="D16" s="28" t="inlineStr">
        <is>
          <t>既存テスト test_all_channels_have_auto_optimize_schedule が全ch true を期待するが4chが false（本日以前からの既存不整合）</t>
        </is>
      </c>
      <c r="E16" s="28" t="inlineStr">
        <is>
          <t>（未変更）</t>
        </is>
      </c>
      <c r="F16" s="31" t="inlineStr">
        <is>
          <t>要判断</t>
        </is>
      </c>
      <c r="G16" s="28" t="inlineStr">
        <is>
          <t>true にすると本日の18時枠変更が自動最適化で上書きされうるため、意図的に未変更</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13" customWidth="1" min="2" max="2"/>
    <col width="13" customWidth="1" min="3" max="3"/>
    <col width="13" customWidth="1" min="4" max="4"/>
    <col width="13" customWidth="1" min="5" max="5"/>
    <col width="13" customWidth="1" min="6" max="6"/>
    <col width="13" customWidth="1" min="7" max="7"/>
    <col width="11" customWidth="1" min="8" max="8"/>
    <col width="12" customWidth="1" min="9" max="9"/>
    <col width="12" customWidth="1" min="10" max="10"/>
    <col width="12" customWidth="1" min="11" max="11"/>
    <col width="12" customWidth="1" min="12" max="12"/>
    <col width="12" customWidth="1" min="13" max="13"/>
    <col width="12" customWidth="1" min="14" max="14"/>
    <col width="11" customWidth="1" min="15" max="15"/>
  </cols>
  <sheetData>
    <row r="1">
      <c r="A1" s="1" t="inlineStr">
        <is>
          <t>日次トレンド（2026-08-06 以降）</t>
        </is>
      </c>
    </row>
    <row r="2">
      <c r="A2" s="2" t="inlineStr">
        <is>
          <t>channel_metrics は YouTube Analytics の確定待ちで 8/26 までしか無い（3〜4日のラグ）。</t>
        </is>
      </c>
    </row>
    <row r="4" ht="30" customHeight="1">
      <c r="A4" s="4" t="inlineStr">
        <is>
          <t>日付</t>
        </is>
      </c>
      <c r="B4" s="4" t="inlineStr">
        <is>
          <t>daily-science 再生</t>
        </is>
      </c>
      <c r="C4" s="4" t="inlineStr">
        <is>
          <t>scp-lab 再生</t>
        </is>
      </c>
      <c r="D4" s="4" t="inlineStr">
        <is>
          <t>2ch-matome 再生</t>
        </is>
      </c>
      <c r="E4" s="4" t="inlineStr">
        <is>
          <t>pokemon-lab 再生</t>
        </is>
      </c>
      <c r="F4" s="4" t="inlineStr">
        <is>
          <t>yokai-watch 再生</t>
        </is>
      </c>
      <c r="G4" s="4" t="inlineStr">
        <is>
          <t>company-facts 再生</t>
        </is>
      </c>
      <c r="H4" s="4" t="inlineStr">
        <is>
          <t>合計 再生</t>
        </is>
      </c>
      <c r="I4" s="4" t="inlineStr">
        <is>
          <t>daily-science 純増</t>
        </is>
      </c>
      <c r="J4" s="4" t="inlineStr">
        <is>
          <t>scp-lab 純増</t>
        </is>
      </c>
      <c r="K4" s="4" t="inlineStr">
        <is>
          <t>2ch-matome 純増</t>
        </is>
      </c>
      <c r="L4" s="4" t="inlineStr">
        <is>
          <t>pokemon-lab 純増</t>
        </is>
      </c>
      <c r="M4" s="4" t="inlineStr">
        <is>
          <t>yokai-watch 純増</t>
        </is>
      </c>
      <c r="N4" s="4" t="inlineStr">
        <is>
          <t>company-facts 純増</t>
        </is>
      </c>
      <c r="O4" s="4" t="inlineStr">
        <is>
          <t>合計 純増</t>
        </is>
      </c>
    </row>
    <row r="5">
      <c r="A5" s="22" t="inlineStr">
        <is>
          <t>2026-08-06</t>
        </is>
      </c>
      <c r="B5" s="23" t="n">
        <v>1154</v>
      </c>
      <c r="C5" s="23" t="n">
        <v>83</v>
      </c>
      <c r="D5" s="23" t="n">
        <v>0</v>
      </c>
      <c r="E5" s="23" t="n">
        <v>1562</v>
      </c>
      <c r="F5" s="23" t="n">
        <v>1742</v>
      </c>
      <c r="G5" s="23" t="n"/>
      <c r="H5" s="23">
        <f>SUM(B5:G5)</f>
        <v/>
      </c>
      <c r="I5" s="23" t="n">
        <v>0</v>
      </c>
      <c r="J5" s="23" t="n">
        <v>1</v>
      </c>
      <c r="K5" s="23" t="n">
        <v>0</v>
      </c>
      <c r="L5" s="23" t="n">
        <v>0</v>
      </c>
      <c r="M5" s="23" t="n">
        <v>3</v>
      </c>
      <c r="N5" s="23" t="n"/>
      <c r="O5" s="23">
        <f>SUM(I5:N5)</f>
        <v/>
      </c>
    </row>
    <row r="6">
      <c r="A6" s="22" t="inlineStr">
        <is>
          <t>2026-08-07</t>
        </is>
      </c>
      <c r="B6" s="23" t="n">
        <v>13</v>
      </c>
      <c r="C6" s="23" t="n">
        <v>63</v>
      </c>
      <c r="D6" s="23" t="n">
        <v>0</v>
      </c>
      <c r="E6" s="23" t="n">
        <v>1</v>
      </c>
      <c r="F6" s="23" t="n">
        <v>64</v>
      </c>
      <c r="G6" s="23" t="n"/>
      <c r="H6" s="23">
        <f>SUM(B6:G6)</f>
        <v/>
      </c>
      <c r="I6" s="23" t="n">
        <v>0</v>
      </c>
      <c r="J6" s="23" t="n">
        <v>0</v>
      </c>
      <c r="K6" s="23" t="n">
        <v>0</v>
      </c>
      <c r="L6" s="23" t="n">
        <v>0</v>
      </c>
      <c r="M6" s="23" t="n">
        <v>0</v>
      </c>
      <c r="N6" s="23" t="n"/>
      <c r="O6" s="23">
        <f>SUM(I6:N6)</f>
        <v/>
      </c>
    </row>
    <row r="7">
      <c r="A7" s="22" t="inlineStr">
        <is>
          <t>2026-08-08</t>
        </is>
      </c>
      <c r="B7" s="23" t="n">
        <v>2913</v>
      </c>
      <c r="C7" s="23" t="n">
        <v>5180</v>
      </c>
      <c r="D7" s="23" t="n">
        <v>1342</v>
      </c>
      <c r="E7" s="23" t="n">
        <v>2202</v>
      </c>
      <c r="F7" s="23" t="n">
        <v>3556</v>
      </c>
      <c r="G7" s="23" t="n"/>
      <c r="H7" s="23">
        <f>SUM(B7:G7)</f>
        <v/>
      </c>
      <c r="I7" s="23" t="n">
        <v>2</v>
      </c>
      <c r="J7" s="23" t="n">
        <v>2</v>
      </c>
      <c r="K7" s="23" t="n">
        <v>0</v>
      </c>
      <c r="L7" s="23" t="n">
        <v>1</v>
      </c>
      <c r="M7" s="23" t="n">
        <v>0</v>
      </c>
      <c r="N7" s="23" t="n"/>
      <c r="O7" s="23">
        <f>SUM(I7:N7)</f>
        <v/>
      </c>
    </row>
    <row r="8">
      <c r="A8" s="22" t="inlineStr">
        <is>
          <t>2026-08-09</t>
        </is>
      </c>
      <c r="B8" s="23" t="n">
        <v>3007</v>
      </c>
      <c r="C8" s="23" t="n">
        <v>914</v>
      </c>
      <c r="D8" s="23" t="n">
        <v>5</v>
      </c>
      <c r="E8" s="23" t="n">
        <v>1445</v>
      </c>
      <c r="F8" s="23" t="n">
        <v>1303</v>
      </c>
      <c r="G8" s="23" t="n"/>
      <c r="H8" s="23">
        <f>SUM(B8:G8)</f>
        <v/>
      </c>
      <c r="I8" s="23" t="n">
        <v>0</v>
      </c>
      <c r="J8" s="23" t="n">
        <v>1</v>
      </c>
      <c r="K8" s="23" t="n">
        <v>0</v>
      </c>
      <c r="L8" s="23" t="n">
        <v>0</v>
      </c>
      <c r="M8" s="23" t="n">
        <v>0</v>
      </c>
      <c r="N8" s="23" t="n"/>
      <c r="O8" s="23">
        <f>SUM(I8:N8)</f>
        <v/>
      </c>
    </row>
    <row r="9">
      <c r="A9" s="22" t="inlineStr">
        <is>
          <t>2026-08-10</t>
        </is>
      </c>
      <c r="B9" s="23" t="n">
        <v>778</v>
      </c>
      <c r="C9" s="23" t="n">
        <v>1115</v>
      </c>
      <c r="D9" s="23" t="n">
        <v>0</v>
      </c>
      <c r="E9" s="23" t="n">
        <v>1332</v>
      </c>
      <c r="F9" s="23" t="n">
        <v>1955</v>
      </c>
      <c r="G9" s="23" t="n"/>
      <c r="H9" s="23">
        <f>SUM(B9:G9)</f>
        <v/>
      </c>
      <c r="I9" s="23" t="n">
        <v>0</v>
      </c>
      <c r="J9" s="23" t="n">
        <v>0</v>
      </c>
      <c r="K9" s="23" t="n">
        <v>0</v>
      </c>
      <c r="L9" s="23" t="n">
        <v>0</v>
      </c>
      <c r="M9" s="23" t="n">
        <v>0</v>
      </c>
      <c r="N9" s="23" t="n"/>
      <c r="O9" s="23">
        <f>SUM(I9:N9)</f>
        <v/>
      </c>
    </row>
    <row r="10">
      <c r="A10" s="22" t="inlineStr">
        <is>
          <t>2026-08-11</t>
        </is>
      </c>
      <c r="B10" s="23" t="n">
        <v>965</v>
      </c>
      <c r="C10" s="23" t="n">
        <v>870</v>
      </c>
      <c r="D10" s="23" t="n">
        <v>0</v>
      </c>
      <c r="E10" s="23" t="n">
        <v>1670</v>
      </c>
      <c r="F10" s="23" t="n">
        <v>1732</v>
      </c>
      <c r="G10" s="23" t="n"/>
      <c r="H10" s="23">
        <f>SUM(B10:G10)</f>
        <v/>
      </c>
      <c r="I10" s="23" t="n">
        <v>0</v>
      </c>
      <c r="J10" s="23" t="n">
        <v>1</v>
      </c>
      <c r="K10" s="23" t="n">
        <v>0</v>
      </c>
      <c r="L10" s="23" t="n">
        <v>0</v>
      </c>
      <c r="M10" s="23" t="n">
        <v>0</v>
      </c>
      <c r="N10" s="23" t="n"/>
      <c r="O10" s="23">
        <f>SUM(I10:N10)</f>
        <v/>
      </c>
    </row>
    <row r="11">
      <c r="A11" s="22" t="inlineStr">
        <is>
          <t>2026-08-12</t>
        </is>
      </c>
      <c r="B11" s="23" t="n">
        <v>1085</v>
      </c>
      <c r="C11" s="23" t="n">
        <v>1107</v>
      </c>
      <c r="D11" s="23" t="n">
        <v>1429</v>
      </c>
      <c r="E11" s="23" t="n">
        <v>1785</v>
      </c>
      <c r="F11" s="23" t="n">
        <v>1700</v>
      </c>
      <c r="G11" s="23" t="n"/>
      <c r="H11" s="23">
        <f>SUM(B11:G11)</f>
        <v/>
      </c>
      <c r="I11" s="23" t="n">
        <v>1</v>
      </c>
      <c r="J11" s="23" t="n">
        <v>0</v>
      </c>
      <c r="K11" s="23" t="n">
        <v>1</v>
      </c>
      <c r="L11" s="23" t="n">
        <v>1</v>
      </c>
      <c r="M11" s="23" t="n">
        <v>0</v>
      </c>
      <c r="N11" s="23" t="n"/>
      <c r="O11" s="23">
        <f>SUM(I11:N11)</f>
        <v/>
      </c>
    </row>
    <row r="12">
      <c r="A12" s="22" t="inlineStr">
        <is>
          <t>2026-08-13</t>
        </is>
      </c>
      <c r="B12" s="23" t="n">
        <v>770</v>
      </c>
      <c r="C12" s="23" t="n">
        <v>1018</v>
      </c>
      <c r="D12" s="23" t="n">
        <v>2364</v>
      </c>
      <c r="E12" s="23" t="n">
        <v>1338</v>
      </c>
      <c r="F12" s="23" t="n">
        <v>2221</v>
      </c>
      <c r="G12" s="23" t="n"/>
      <c r="H12" s="23">
        <f>SUM(B12:G12)</f>
        <v/>
      </c>
      <c r="I12" s="23" t="n">
        <v>-1</v>
      </c>
      <c r="J12" s="23" t="n">
        <v>1</v>
      </c>
      <c r="K12" s="23" t="n">
        <v>1</v>
      </c>
      <c r="L12" s="23" t="n">
        <v>1</v>
      </c>
      <c r="M12" s="23" t="n">
        <v>0</v>
      </c>
      <c r="N12" s="23" t="n"/>
      <c r="O12" s="23">
        <f>SUM(I12:N12)</f>
        <v/>
      </c>
    </row>
    <row r="13">
      <c r="A13" s="22" t="inlineStr">
        <is>
          <t>2026-08-14</t>
        </is>
      </c>
      <c r="B13" s="23" t="n">
        <v>1109</v>
      </c>
      <c r="C13" s="23" t="n">
        <v>1171</v>
      </c>
      <c r="D13" s="23" t="n">
        <v>3032</v>
      </c>
      <c r="E13" s="23" t="n">
        <v>1573</v>
      </c>
      <c r="F13" s="23" t="n">
        <v>1950</v>
      </c>
      <c r="G13" s="23" t="n"/>
      <c r="H13" s="23">
        <f>SUM(B13:G13)</f>
        <v/>
      </c>
      <c r="I13" s="23" t="n">
        <v>0</v>
      </c>
      <c r="J13" s="23" t="n">
        <v>0</v>
      </c>
      <c r="K13" s="23" t="n">
        <v>2</v>
      </c>
      <c r="L13" s="23" t="n">
        <v>1</v>
      </c>
      <c r="M13" s="23" t="n">
        <v>0</v>
      </c>
      <c r="N13" s="23" t="n"/>
      <c r="O13" s="23">
        <f>SUM(I13:N13)</f>
        <v/>
      </c>
    </row>
    <row r="14">
      <c r="A14" s="22" t="inlineStr">
        <is>
          <t>2026-08-15</t>
        </is>
      </c>
      <c r="B14" s="23" t="n">
        <v>223</v>
      </c>
      <c r="C14" s="23" t="n">
        <v>65</v>
      </c>
      <c r="D14" s="23" t="n">
        <v>2546</v>
      </c>
      <c r="E14" s="23" t="n">
        <v>1561</v>
      </c>
      <c r="F14" s="23" t="n">
        <v>16</v>
      </c>
      <c r="G14" s="23" t="n"/>
      <c r="H14" s="23">
        <f>SUM(B14:G14)</f>
        <v/>
      </c>
      <c r="I14" s="23" t="n">
        <v>0</v>
      </c>
      <c r="J14" s="23" t="n">
        <v>3</v>
      </c>
      <c r="K14" s="23" t="n">
        <v>0</v>
      </c>
      <c r="L14" s="23" t="n">
        <v>1</v>
      </c>
      <c r="M14" s="23" t="n">
        <v>0</v>
      </c>
      <c r="N14" s="23" t="n"/>
      <c r="O14" s="23">
        <f>SUM(I14:N14)</f>
        <v/>
      </c>
    </row>
    <row r="15">
      <c r="A15" s="22" t="inlineStr">
        <is>
          <t>2026-08-16</t>
        </is>
      </c>
      <c r="B15" s="23" t="n">
        <v>13</v>
      </c>
      <c r="C15" s="23" t="n">
        <v>34</v>
      </c>
      <c r="D15" s="23" t="n">
        <v>4</v>
      </c>
      <c r="E15" s="23" t="n">
        <v>3</v>
      </c>
      <c r="F15" s="23" t="n">
        <v>1163</v>
      </c>
      <c r="G15" s="23" t="n"/>
      <c r="H15" s="23">
        <f>SUM(B15:G15)</f>
        <v/>
      </c>
      <c r="I15" s="23" t="n">
        <v>0</v>
      </c>
      <c r="J15" s="23" t="n">
        <v>0</v>
      </c>
      <c r="K15" s="23" t="n">
        <v>0</v>
      </c>
      <c r="L15" s="23" t="n">
        <v>0</v>
      </c>
      <c r="M15" s="23" t="n">
        <v>1</v>
      </c>
      <c r="N15" s="23" t="n"/>
      <c r="O15" s="23">
        <f>SUM(I15:N15)</f>
        <v/>
      </c>
    </row>
    <row r="16">
      <c r="A16" s="22" t="inlineStr">
        <is>
          <t>2026-08-17</t>
        </is>
      </c>
      <c r="B16" s="23" t="n">
        <v>982</v>
      </c>
      <c r="C16" s="23" t="n">
        <v>2552</v>
      </c>
      <c r="D16" s="23" t="n">
        <v>4892</v>
      </c>
      <c r="E16" s="23" t="n">
        <v>1977</v>
      </c>
      <c r="F16" s="23" t="n">
        <v>2348</v>
      </c>
      <c r="G16" s="23" t="n"/>
      <c r="H16" s="23">
        <f>SUM(B16:G16)</f>
        <v/>
      </c>
      <c r="I16" s="23" t="n">
        <v>0</v>
      </c>
      <c r="J16" s="23" t="n">
        <v>1</v>
      </c>
      <c r="K16" s="23" t="n">
        <v>0</v>
      </c>
      <c r="L16" s="23" t="n">
        <v>0</v>
      </c>
      <c r="M16" s="23" t="n">
        <v>0</v>
      </c>
      <c r="N16" s="23" t="n"/>
      <c r="O16" s="23">
        <f>SUM(I16:N16)</f>
        <v/>
      </c>
    </row>
    <row r="17">
      <c r="A17" s="22" t="inlineStr">
        <is>
          <t>2026-08-18</t>
        </is>
      </c>
      <c r="B17" s="23" t="n">
        <v>1114</v>
      </c>
      <c r="C17" s="23" t="n">
        <v>110</v>
      </c>
      <c r="D17" s="23" t="n">
        <v>714</v>
      </c>
      <c r="E17" s="23" t="n">
        <v>1643</v>
      </c>
      <c r="F17" s="23" t="n">
        <v>1907</v>
      </c>
      <c r="G17" s="23" t="n"/>
      <c r="H17" s="23">
        <f>SUM(B17:G17)</f>
        <v/>
      </c>
      <c r="I17" s="23" t="n">
        <v>0</v>
      </c>
      <c r="J17" s="23" t="n">
        <v>1</v>
      </c>
      <c r="K17" s="23" t="n">
        <v>0</v>
      </c>
      <c r="L17" s="23" t="n">
        <v>0</v>
      </c>
      <c r="M17" s="23" t="n">
        <v>1</v>
      </c>
      <c r="N17" s="23" t="n"/>
      <c r="O17" s="23">
        <f>SUM(I17:N17)</f>
        <v/>
      </c>
    </row>
    <row r="18">
      <c r="A18" s="22" t="inlineStr">
        <is>
          <t>2026-08-19</t>
        </is>
      </c>
      <c r="B18" s="23" t="n">
        <v>1044</v>
      </c>
      <c r="C18" s="23" t="n">
        <v>845</v>
      </c>
      <c r="D18" s="23" t="n">
        <v>1825</v>
      </c>
      <c r="E18" s="23" t="n">
        <v>1328</v>
      </c>
      <c r="F18" s="23" t="n">
        <v>448</v>
      </c>
      <c r="G18" s="23" t="n"/>
      <c r="H18" s="23">
        <f>SUM(B18:G18)</f>
        <v/>
      </c>
      <c r="I18" s="23" t="n">
        <v>0</v>
      </c>
      <c r="J18" s="23" t="n">
        <v>1</v>
      </c>
      <c r="K18" s="23" t="n">
        <v>0</v>
      </c>
      <c r="L18" s="23" t="n">
        <v>0</v>
      </c>
      <c r="M18" s="23" t="n">
        <v>0</v>
      </c>
      <c r="N18" s="23" t="n"/>
      <c r="O18" s="23">
        <f>SUM(I18:N18)</f>
        <v/>
      </c>
    </row>
    <row r="19">
      <c r="A19" s="22" t="inlineStr">
        <is>
          <t>2026-08-20</t>
        </is>
      </c>
      <c r="B19" s="23" t="n">
        <v>1622</v>
      </c>
      <c r="C19" s="23" t="n">
        <v>682</v>
      </c>
      <c r="D19" s="23" t="n">
        <v>2234</v>
      </c>
      <c r="E19" s="23" t="n">
        <v>1074</v>
      </c>
      <c r="F19" s="23" t="n">
        <v>1072</v>
      </c>
      <c r="G19" s="23" t="n"/>
      <c r="H19" s="23">
        <f>SUM(B19:G19)</f>
        <v/>
      </c>
      <c r="I19" s="23" t="n">
        <v>1</v>
      </c>
      <c r="J19" s="23" t="n">
        <v>0</v>
      </c>
      <c r="K19" s="23" t="n">
        <v>1</v>
      </c>
      <c r="L19" s="23" t="n">
        <v>0</v>
      </c>
      <c r="M19" s="23" t="n">
        <v>1</v>
      </c>
      <c r="N19" s="23" t="n"/>
      <c r="O19" s="23">
        <f>SUM(I19:N19)</f>
        <v/>
      </c>
    </row>
    <row r="20">
      <c r="A20" s="22" t="inlineStr">
        <is>
          <t>2026-08-21</t>
        </is>
      </c>
      <c r="B20" s="23" t="n">
        <v>1600</v>
      </c>
      <c r="C20" s="23" t="n">
        <v>742</v>
      </c>
      <c r="D20" s="23" t="n">
        <v>3047</v>
      </c>
      <c r="E20" s="23" t="n">
        <v>2775</v>
      </c>
      <c r="F20" s="23" t="n">
        <v>716</v>
      </c>
      <c r="G20" s="23" t="n"/>
      <c r="H20" s="23">
        <f>SUM(B20:G20)</f>
        <v/>
      </c>
      <c r="I20" s="23" t="n">
        <v>0</v>
      </c>
      <c r="J20" s="23" t="n">
        <v>0</v>
      </c>
      <c r="K20" s="23" t="n">
        <v>0</v>
      </c>
      <c r="L20" s="23" t="n">
        <v>2</v>
      </c>
      <c r="M20" s="23" t="n">
        <v>0</v>
      </c>
      <c r="N20" s="23" t="n"/>
      <c r="O20" s="23">
        <f>SUM(I20:N20)</f>
        <v/>
      </c>
    </row>
    <row r="21">
      <c r="A21" s="22" t="inlineStr">
        <is>
          <t>2026-08-22</t>
        </is>
      </c>
      <c r="B21" s="23" t="n">
        <v>1016</v>
      </c>
      <c r="C21" s="23" t="n">
        <v>1256</v>
      </c>
      <c r="D21" s="23" t="n">
        <v>1129</v>
      </c>
      <c r="E21" s="23" t="n">
        <v>6</v>
      </c>
      <c r="F21" s="23" t="n">
        <v>600</v>
      </c>
      <c r="G21" s="23" t="n"/>
      <c r="H21" s="23">
        <f>SUM(B21:G21)</f>
        <v/>
      </c>
      <c r="I21" s="23" t="n">
        <v>2</v>
      </c>
      <c r="J21" s="23" t="n">
        <v>1</v>
      </c>
      <c r="K21" s="23" t="n">
        <v>0</v>
      </c>
      <c r="L21" s="23" t="n">
        <v>0</v>
      </c>
      <c r="M21" s="23" t="n">
        <v>0</v>
      </c>
      <c r="N21" s="23" t="n"/>
      <c r="O21" s="23">
        <f>SUM(I21:N21)</f>
        <v/>
      </c>
    </row>
    <row r="22">
      <c r="A22" s="22" t="inlineStr">
        <is>
          <t>2026-08-23</t>
        </is>
      </c>
      <c r="B22" s="23" t="n">
        <v>191</v>
      </c>
      <c r="C22" s="23" t="n">
        <v>1003</v>
      </c>
      <c r="D22" s="23" t="n">
        <v>160</v>
      </c>
      <c r="E22" s="23" t="n">
        <v>6</v>
      </c>
      <c r="F22" s="23" t="n">
        <v>42</v>
      </c>
      <c r="G22" s="23" t="n"/>
      <c r="H22" s="23">
        <f>SUM(B22:G22)</f>
        <v/>
      </c>
      <c r="I22" s="23" t="n">
        <v>0</v>
      </c>
      <c r="J22" s="23" t="n">
        <v>0</v>
      </c>
      <c r="K22" s="23" t="n">
        <v>0</v>
      </c>
      <c r="L22" s="23" t="n">
        <v>0</v>
      </c>
      <c r="M22" s="23" t="n">
        <v>0</v>
      </c>
      <c r="N22" s="23" t="n"/>
      <c r="O22" s="23">
        <f>SUM(I22:N22)</f>
        <v/>
      </c>
    </row>
    <row r="23">
      <c r="A23" s="22" t="inlineStr">
        <is>
          <t>2026-08-24</t>
        </is>
      </c>
      <c r="B23" s="23" t="n">
        <v>913</v>
      </c>
      <c r="C23" s="23" t="n">
        <v>411</v>
      </c>
      <c r="D23" s="23" t="n">
        <v>1079</v>
      </c>
      <c r="E23" s="23" t="n">
        <v>692</v>
      </c>
      <c r="F23" s="23" t="n">
        <v>917</v>
      </c>
      <c r="G23" s="23" t="n"/>
      <c r="H23" s="23">
        <f>SUM(B23:G23)</f>
        <v/>
      </c>
      <c r="I23" s="23" t="n">
        <v>1</v>
      </c>
      <c r="J23" s="23" t="n">
        <v>0</v>
      </c>
      <c r="K23" s="23" t="n">
        <v>1</v>
      </c>
      <c r="L23" s="23" t="n">
        <v>0</v>
      </c>
      <c r="M23" s="23" t="n">
        <v>0</v>
      </c>
      <c r="N23" s="23" t="n"/>
      <c r="O23" s="23">
        <f>SUM(I23:N23)</f>
        <v/>
      </c>
    </row>
    <row r="24">
      <c r="A24" s="22" t="inlineStr">
        <is>
          <t>2026-08-25</t>
        </is>
      </c>
      <c r="B24" s="23" t="n">
        <v>1052</v>
      </c>
      <c r="C24" s="23" t="n">
        <v>2035</v>
      </c>
      <c r="D24" s="23" t="n">
        <v>872</v>
      </c>
      <c r="E24" s="23" t="n">
        <v>1169</v>
      </c>
      <c r="F24" s="23" t="n">
        <v>818</v>
      </c>
      <c r="G24" s="23" t="n"/>
      <c r="H24" s="23">
        <f>SUM(B24:G24)</f>
        <v/>
      </c>
      <c r="I24" s="23" t="n">
        <v>0</v>
      </c>
      <c r="J24" s="23" t="n">
        <v>0</v>
      </c>
      <c r="K24" s="23" t="n">
        <v>0</v>
      </c>
      <c r="L24" s="23" t="n">
        <v>0</v>
      </c>
      <c r="M24" s="23" t="n">
        <v>0</v>
      </c>
      <c r="N24" s="23" t="n"/>
      <c r="O24" s="23">
        <f>SUM(I24:N24)</f>
        <v/>
      </c>
    </row>
    <row r="25">
      <c r="A25" s="22" t="inlineStr">
        <is>
          <t>2026-08-26</t>
        </is>
      </c>
      <c r="B25" s="23" t="n">
        <v>977</v>
      </c>
      <c r="C25" s="23" t="n">
        <v>1945</v>
      </c>
      <c r="D25" s="23" t="n">
        <v>2014</v>
      </c>
      <c r="E25" s="23" t="n">
        <v>1878</v>
      </c>
      <c r="F25" s="23" t="n">
        <v>585</v>
      </c>
      <c r="G25" s="23" t="n"/>
      <c r="H25" s="23">
        <f>SUM(B25:G25)</f>
        <v/>
      </c>
      <c r="I25" s="23" t="n">
        <v>1</v>
      </c>
      <c r="J25" s="23" t="n">
        <v>2</v>
      </c>
      <c r="K25" s="23" t="n">
        <v>0</v>
      </c>
      <c r="L25" s="23" t="n">
        <v>1</v>
      </c>
      <c r="M25" s="23" t="n">
        <v>0</v>
      </c>
      <c r="N25" s="23" t="n"/>
      <c r="O25" s="23">
        <f>SUM(I25:N25)</f>
        <v/>
      </c>
    </row>
    <row r="26">
      <c r="A26" s="32" t="inlineStr">
        <is>
          <t>合計</t>
        </is>
      </c>
      <c r="B26" s="33">
        <f>SUM(B5:B25)</f>
        <v/>
      </c>
      <c r="C26" s="33">
        <f>SUM(C5:C25)</f>
        <v/>
      </c>
      <c r="D26" s="33">
        <f>SUM(D5:D25)</f>
        <v/>
      </c>
      <c r="E26" s="33">
        <f>SUM(E5:E25)</f>
        <v/>
      </c>
      <c r="F26" s="33">
        <f>SUM(F5:F25)</f>
        <v/>
      </c>
      <c r="G26" s="33">
        <f>SUM(G5:G25)</f>
        <v/>
      </c>
      <c r="H26" s="33">
        <f>SUM(H5:H25)</f>
        <v/>
      </c>
      <c r="I26" s="33">
        <f>SUM(I5:I25)</f>
        <v/>
      </c>
      <c r="J26" s="33">
        <f>SUM(J5:J25)</f>
        <v/>
      </c>
      <c r="K26" s="33">
        <f>SUM(K5:K25)</f>
        <v/>
      </c>
      <c r="L26" s="33">
        <f>SUM(L5:L25)</f>
        <v/>
      </c>
      <c r="M26" s="33">
        <f>SUM(M5:M25)</f>
        <v/>
      </c>
      <c r="N26" s="33">
        <f>SUM(N5:N25)</f>
        <v/>
      </c>
      <c r="O26" s="33">
        <f>SUM(O5:O25)</f>
        <v/>
      </c>
    </row>
    <row r="28">
      <c r="A28" s="34" t="inlineStr">
        <is>
          <t>■ 投稿時刻(JST)別 中央値再生数（2026-07-15 以降 / n&gt;=4）</t>
        </is>
      </c>
    </row>
    <row r="29" ht="30" customHeight="1">
      <c r="A29" s="4" t="inlineStr">
        <is>
          <t>時刻(JST)</t>
        </is>
      </c>
      <c r="B29" s="4" t="inlineStr">
        <is>
          <t>本数</t>
        </is>
      </c>
      <c r="C29" s="4" t="inlineStr">
        <is>
          <t>中央値 再生数</t>
        </is>
      </c>
      <c r="D29" s="4" t="inlineStr">
        <is>
          <t>評価</t>
        </is>
      </c>
    </row>
    <row r="30">
      <c r="A30" s="22" t="inlineStr">
        <is>
          <t>09:00</t>
        </is>
      </c>
      <c r="B30" s="22" t="n">
        <v>30</v>
      </c>
      <c r="C30" s="23" t="n">
        <v>984</v>
      </c>
      <c r="D30" s="35" t="inlineStr">
        <is>
          <t>要見直し</t>
        </is>
      </c>
    </row>
    <row r="31">
      <c r="A31" s="22" t="inlineStr">
        <is>
          <t>10:00</t>
        </is>
      </c>
      <c r="B31" s="22" t="n">
        <v>5</v>
      </c>
      <c r="C31" s="23" t="n">
        <v>1088</v>
      </c>
      <c r="D31" s="36" t="inlineStr">
        <is>
          <t>良</t>
        </is>
      </c>
    </row>
    <row r="32">
      <c r="A32" s="22" t="inlineStr">
        <is>
          <t>12:00</t>
        </is>
      </c>
      <c r="B32" s="22" t="n">
        <v>17</v>
      </c>
      <c r="C32" s="23" t="n">
        <v>835</v>
      </c>
      <c r="D32" s="35" t="inlineStr">
        <is>
          <t>要見直し</t>
        </is>
      </c>
    </row>
    <row r="33">
      <c r="A33" s="22" t="inlineStr">
        <is>
          <t>13:00</t>
        </is>
      </c>
      <c r="B33" s="22" t="n">
        <v>4</v>
      </c>
      <c r="C33" s="23" t="n">
        <v>1040</v>
      </c>
      <c r="D33" s="36" t="inlineStr">
        <is>
          <t>良</t>
        </is>
      </c>
    </row>
    <row r="34">
      <c r="A34" s="22" t="inlineStr">
        <is>
          <t>15:00</t>
        </is>
      </c>
      <c r="B34" s="22" t="n">
        <v>4</v>
      </c>
      <c r="C34" s="23" t="n">
        <v>961</v>
      </c>
      <c r="D34" s="35" t="inlineStr">
        <is>
          <t>要見直し</t>
        </is>
      </c>
    </row>
    <row r="35">
      <c r="A35" s="22" t="inlineStr">
        <is>
          <t>17:00</t>
        </is>
      </c>
      <c r="B35" s="22" t="n">
        <v>28</v>
      </c>
      <c r="C35" s="23" t="n">
        <v>956.5</v>
      </c>
      <c r="D35" s="35" t="inlineStr">
        <is>
          <t>要見直し</t>
        </is>
      </c>
    </row>
    <row r="36">
      <c r="A36" s="22" t="inlineStr">
        <is>
          <t>18:00</t>
        </is>
      </c>
      <c r="B36" s="22" t="n">
        <v>36</v>
      </c>
      <c r="C36" s="23" t="n">
        <v>1198.5</v>
      </c>
      <c r="D36" s="37" t="inlineStr">
        <is>
          <t>最良帯</t>
        </is>
      </c>
    </row>
    <row r="37">
      <c r="A37" s="22" t="inlineStr">
        <is>
          <t>19:00</t>
        </is>
      </c>
      <c r="B37" s="22" t="n">
        <v>30</v>
      </c>
      <c r="C37" s="23" t="n">
        <v>1199</v>
      </c>
      <c r="D37" s="37" t="inlineStr">
        <is>
          <t>最良帯</t>
        </is>
      </c>
    </row>
    <row r="38">
      <c r="A38" s="22" t="inlineStr">
        <is>
          <t>21:00</t>
        </is>
      </c>
      <c r="B38" s="22" t="n">
        <v>8</v>
      </c>
      <c r="C38" s="23" t="n">
        <v>1128.5</v>
      </c>
      <c r="D38" s="36" t="inlineStr">
        <is>
          <t>良</t>
        </is>
      </c>
    </row>
    <row r="39">
      <c r="A39" s="22" t="inlineStr">
        <is>
          <t>23:00</t>
        </is>
      </c>
      <c r="B39" s="22" t="n">
        <v>6</v>
      </c>
      <c r="C39" s="23" t="n">
        <v>1012</v>
      </c>
      <c r="D39" s="35" t="inlineStr">
        <is>
          <t>要見直し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2026-08-30T01:22:25Z</dcterms:created>
  <dcterms:modified xmlns:dcterms="http://purl.org/dc/terms/" xmlns:xsi="http://www.w3.org/2001/XMLSchema-instance" xsi:type="dcterms:W3CDTF">2026-08-30T01:22:25Z</dcterms:modified>
</cp:coreProperties>
</file>