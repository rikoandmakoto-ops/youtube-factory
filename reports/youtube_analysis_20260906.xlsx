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definedNames>
    <definedName function="false" hidden="true" localSheetId="2" name="_xlnm._FilterDatabase" vbProcedure="false">動画別パフォーマンス!$A$4:$M$124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<sst xmlns="http://schemas.openxmlformats.org/spreadsheetml/2006/main" count="587" uniqueCount="290">
  <si>
    <r>
      <rPr>
        <b val="true"/>
        <sz val="14"/>
        <color rgb="FF1F3864"/>
        <rFont val="Arial"/>
        <family val="0"/>
        <charset val="1"/>
      </rPr>
      <t xml:space="preserve">YouTube Factory </t>
    </r>
    <r>
      <rPr>
        <b val="true"/>
        <sz val="14"/>
        <color rgb="FF1F3864"/>
        <rFont val="Noto Sans CJK SC"/>
        <family val="2"/>
      </rPr>
      <t xml:space="preserve">日次分析  </t>
    </r>
    <r>
      <rPr>
        <b val="true"/>
        <sz val="14"/>
        <color rgb="FF1F3864"/>
        <rFont val="Arial"/>
        <family val="0"/>
        <charset val="1"/>
      </rPr>
      <t xml:space="preserve">2026-09-06</t>
    </r>
  </si>
  <si>
    <r>
      <rPr>
        <i val="true"/>
        <sz val="9"/>
        <color rgb="FF808080"/>
        <rFont val="Noto Sans CJK SC"/>
        <family val="2"/>
      </rPr>
      <t xml:space="preserve">データ源</t>
    </r>
    <r>
      <rPr>
        <i val="true"/>
        <sz val="9"/>
        <color rgb="FF808080"/>
        <rFont val="Arial"/>
        <family val="0"/>
        <charset val="1"/>
      </rPr>
      <t xml:space="preserve">: data/analytics/analytics.db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video_metrics </t>
    </r>
    <r>
      <rPr>
        <i val="true"/>
        <sz val="9"/>
        <color rgb="FF808080"/>
        <rFont val="Noto Sans CJK SC"/>
        <family val="2"/>
      </rPr>
      <t xml:space="preserve">最終取得 </t>
    </r>
    <r>
      <rPr>
        <i val="true"/>
        <sz val="9"/>
        <color rgb="FF808080"/>
        <rFont val="Arial"/>
        <family val="0"/>
        <charset val="1"/>
      </rPr>
      <t xml:space="preserve">2026-09-05 23:15 JST</t>
    </r>
    <r>
      <rPr>
        <i val="true"/>
        <sz val="9"/>
        <color rgb="FF808080"/>
        <rFont val="Noto Sans CJK SC"/>
        <family val="2"/>
      </rPr>
      <t xml:space="preserve">）／至上目標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チャンネル登録者数の増加</t>
    </r>
  </si>
  <si>
    <t xml:space="preserve">■ 本日の最重要所見</t>
  </si>
  <si>
    <t xml:space="preserve">#</t>
  </si>
  <si>
    <t xml:space="preserve">所見</t>
  </si>
  <si>
    <t xml:space="preserve">根拠</t>
  </si>
  <si>
    <t xml:space="preserve">状態</t>
  </si>
  <si>
    <t xml:space="preserve">1</t>
  </si>
  <si>
    <r>
      <rPr>
        <b val="true"/>
        <sz val="10"/>
        <rFont val="Noto Sans CJK SC"/>
        <family val="2"/>
      </rPr>
      <t xml:space="preserve">カスタムサムネイルが全</t>
    </r>
    <r>
      <rPr>
        <b val="true"/>
        <sz val="10"/>
        <rFont val="Arial"/>
        <family val="0"/>
        <charset val="1"/>
      </rPr>
      <t xml:space="preserve">6ch</t>
    </r>
    <r>
      <rPr>
        <b val="true"/>
        <sz val="10"/>
        <rFont val="Noto Sans CJK SC"/>
        <family val="2"/>
      </rPr>
      <t xml:space="preserve">で</t>
    </r>
    <r>
      <rPr>
        <b val="true"/>
        <sz val="10"/>
        <rFont val="Arial"/>
        <family val="0"/>
        <charset val="1"/>
      </rPr>
      <t xml:space="preserve">403</t>
    </r>
    <r>
      <rPr>
        <b val="true"/>
        <sz val="10"/>
        <rFont val="Noto Sans CJK SC"/>
        <family val="2"/>
      </rPr>
      <t xml:space="preserve">拒否され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枚も適用されていない</t>
    </r>
  </si>
  <si>
    <r>
      <rPr>
        <sz val="10"/>
        <rFont val="Noto Sans CJK SC"/>
        <family val="2"/>
      </rPr>
      <t xml:space="preserve">影響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動画・失敗</t>
    </r>
    <r>
      <rPr>
        <sz val="10"/>
        <rFont val="Arial"/>
        <family val="0"/>
        <charset val="1"/>
      </rPr>
      <t xml:space="preserve">365</t>
    </r>
    <r>
      <rPr>
        <sz val="10"/>
        <rFont val="Noto Sans CJK SC"/>
        <family val="2"/>
      </rPr>
      <t xml:space="preserve">回。</t>
    </r>
    <r>
      <rPr>
        <sz val="10"/>
        <rFont val="Arial"/>
        <family val="0"/>
        <charset val="1"/>
      </rPr>
      <t xml:space="preserve">YouTube</t>
    </r>
    <r>
      <rPr>
        <sz val="10"/>
        <rFont val="Noto Sans CJK SC"/>
        <family val="2"/>
      </rPr>
      <t xml:space="preserve">側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authenticated user doesn't have permissions to upload and set custom video thumbnails</t>
    </r>
    <r>
      <rPr>
        <sz val="10"/>
        <rFont val="Noto Sans CJK SC"/>
        <family val="2"/>
      </rPr>
      <t xml:space="preserve">」＝アカウント未認証。</t>
    </r>
    <r>
      <rPr>
        <sz val="10"/>
        <rFont val="Arial"/>
        <family val="0"/>
        <charset val="1"/>
      </rPr>
      <t xml:space="preserve">gen_thumbs_v4 </t>
    </r>
    <r>
      <rPr>
        <sz val="10"/>
        <rFont val="Noto Sans CJK SC"/>
        <family val="2"/>
      </rPr>
      <t xml:space="preserve">が生成したサムネは全て破棄され、</t>
    </r>
    <r>
      <rPr>
        <sz val="10"/>
        <rFont val="Arial"/>
        <family val="0"/>
        <charset val="1"/>
      </rPr>
      <t xml:space="preserve">YouTube</t>
    </r>
    <r>
      <rPr>
        <sz val="10"/>
        <rFont val="Noto Sans CJK SC"/>
        <family val="2"/>
      </rPr>
      <t xml:space="preserve">自動切り出しフレームで公開されている。</t>
    </r>
  </si>
  <si>
    <t xml:space="preserve">要ユーザー対応</t>
  </si>
  <si>
    <t xml:space="preserve">2</t>
  </si>
  <si>
    <r>
      <rPr>
        <b val="true"/>
        <sz val="10"/>
        <rFont val="Noto Sans CJK SC"/>
        <family val="2"/>
      </rPr>
      <t xml:space="preserve">登録転換率に</t>
    </r>
    <r>
      <rPr>
        <b val="true"/>
        <sz val="10"/>
        <rFont val="Arial"/>
        <family val="0"/>
        <charset val="1"/>
      </rPr>
      <t xml:space="preserve">ch</t>
    </r>
    <r>
      <rPr>
        <b val="true"/>
        <sz val="10"/>
        <rFont val="Noto Sans CJK SC"/>
        <family val="2"/>
      </rPr>
      <t xml:space="preserve">間</t>
    </r>
    <r>
      <rPr>
        <b val="true"/>
        <sz val="10"/>
        <rFont val="Arial"/>
        <family val="0"/>
        <charset val="1"/>
      </rPr>
      <t xml:space="preserve">4.5</t>
    </r>
    <r>
      <rPr>
        <b val="true"/>
        <sz val="10"/>
        <rFont val="Noto Sans CJK SC"/>
        <family val="2"/>
      </rPr>
      <t xml:space="preserve">倍の格差。</t>
    </r>
    <r>
      <rPr>
        <b val="true"/>
        <sz val="10"/>
        <rFont val="Arial"/>
        <family val="0"/>
        <charset val="1"/>
      </rPr>
      <t xml:space="preserve">yokai-watch </t>
    </r>
    <r>
      <rPr>
        <b val="true"/>
        <sz val="10"/>
        <rFont val="Noto Sans CJK SC"/>
        <family val="2"/>
      </rPr>
      <t xml:space="preserve">が最大の機会損失</t>
    </r>
  </si>
  <si>
    <r>
      <rPr>
        <sz val="10"/>
        <rFont val="Arial"/>
        <family val="0"/>
        <charset val="1"/>
      </rPr>
      <t xml:space="preserve">company-facts 0.76/</t>
    </r>
    <r>
      <rPr>
        <sz val="10"/>
        <rFont val="Noto Sans CJK SC"/>
        <family val="2"/>
      </rPr>
      <t xml:space="preserve">千再生 に対し </t>
    </r>
    <r>
      <rPr>
        <sz val="10"/>
        <rFont val="Arial"/>
        <family val="0"/>
        <charset val="1"/>
      </rPr>
      <t xml:space="preserve">yokai-watch 0.20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2ch-matome 0.17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yokai </t>
    </r>
    <r>
      <rPr>
        <sz val="10"/>
        <rFont val="Noto Sans CJK SC"/>
        <family val="2"/>
      </rPr>
      <t xml:space="preserve">は直近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日で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万再生を稼ぎながら登録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件。再生</t>
    </r>
    <r>
      <rPr>
        <sz val="10"/>
        <rFont val="Arial"/>
        <family val="0"/>
        <charset val="1"/>
      </rPr>
      <t xml:space="preserve">2000</t>
    </r>
    <r>
      <rPr>
        <sz val="10"/>
        <rFont val="Noto Sans CJK SC"/>
        <family val="2"/>
      </rPr>
      <t xml:space="preserve">超で登録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の動画が上位を占める。</t>
    </r>
  </si>
  <si>
    <t xml:space="preserve">分析済</t>
  </si>
  <si>
    <t xml:space="preserve">3</t>
  </si>
  <si>
    <r>
      <rPr>
        <b val="true"/>
        <sz val="10"/>
        <rFont val="Noto Sans CJK SC"/>
        <family val="2"/>
      </rPr>
      <t xml:space="preserve">再生位置</t>
    </r>
    <r>
      <rPr>
        <b val="true"/>
        <sz val="10"/>
        <rFont val="Arial"/>
        <family val="0"/>
        <charset val="1"/>
      </rPr>
      <t xml:space="preserve">0.1→0.3</t>
    </r>
    <r>
      <rPr>
        <b val="true"/>
        <sz val="10"/>
        <rFont val="Noto Sans CJK SC"/>
        <family val="2"/>
      </rPr>
      <t xml:space="preserve">で全</t>
    </r>
    <r>
      <rPr>
        <b val="true"/>
        <sz val="10"/>
        <rFont val="Arial"/>
        <family val="0"/>
        <charset val="1"/>
      </rPr>
      <t xml:space="preserve">ch</t>
    </r>
    <r>
      <rPr>
        <b val="true"/>
        <sz val="10"/>
        <rFont val="Noto Sans CJK SC"/>
        <family val="2"/>
      </rPr>
      <t xml:space="preserve">共通に</t>
    </r>
    <r>
      <rPr>
        <b val="true"/>
        <sz val="10"/>
        <rFont val="Arial"/>
        <family val="0"/>
        <charset val="1"/>
      </rPr>
      <t xml:space="preserve">45</t>
    </r>
    <r>
      <rPr>
        <b val="true"/>
        <sz val="10"/>
        <rFont val="Noto Sans CJK SC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67pt</t>
    </r>
    <r>
      <rPr>
        <b val="true"/>
        <sz val="10"/>
        <rFont val="Noto Sans CJK SC"/>
        <family val="2"/>
      </rPr>
      <t xml:space="preserve">崩落。中盤を保てるのは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行目が「比較・言い換え型」の</t>
    </r>
    <r>
      <rPr>
        <b val="true"/>
        <sz val="10"/>
        <rFont val="Arial"/>
        <family val="0"/>
        <charset val="1"/>
      </rPr>
      <t xml:space="preserve">2ch</t>
    </r>
    <r>
      <rPr>
        <b val="true"/>
        <sz val="10"/>
        <rFont val="Noto Sans CJK SC"/>
        <family val="2"/>
      </rPr>
      <t xml:space="preserve">のみ</t>
    </r>
  </si>
  <si>
    <r>
      <rPr>
        <sz val="10"/>
        <rFont val="Noto Sans CJK SC"/>
        <family val="2"/>
      </rPr>
      <t xml:space="preserve">同尺</t>
    </r>
    <r>
      <rPr>
        <sz val="10"/>
        <rFont val="Arial"/>
        <family val="0"/>
        <charset val="1"/>
      </rPr>
      <t xml:space="preserve">(35-37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比較で </t>
    </r>
    <r>
      <rPr>
        <sz val="10"/>
        <rFont val="Arial"/>
        <family val="0"/>
        <charset val="1"/>
      </rPr>
      <t xml:space="preserve">daily-science 61.3% vs scp-lab 45.6%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pokemon-lab 44.4%</t>
    </r>
    <r>
      <rPr>
        <sz val="10"/>
        <rFont val="Noto Sans CJK SC"/>
        <family val="2"/>
      </rPr>
      <t xml:space="preserve">。差分は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行目が新情報追加型か比較型かのみ。</t>
    </r>
  </si>
  <si>
    <t xml:space="preserve">本日対処</t>
  </si>
  <si>
    <t xml:space="preserve">4</t>
  </si>
  <si>
    <r>
      <rPr>
        <b val="true"/>
        <sz val="10"/>
        <rFont val="Noto Sans CJK SC"/>
        <family val="2"/>
      </rPr>
      <t xml:space="preserve">実測尺が</t>
    </r>
    <r>
      <rPr>
        <b val="true"/>
        <sz val="10"/>
        <rFont val="Arial"/>
        <family val="0"/>
        <charset val="1"/>
      </rPr>
      <t xml:space="preserve">config</t>
    </r>
    <r>
      <rPr>
        <b val="true"/>
        <sz val="10"/>
        <rFont val="Noto Sans CJK SC"/>
        <family val="2"/>
      </rPr>
      <t xml:space="preserve">目標</t>
    </r>
    <r>
      <rPr>
        <b val="true"/>
        <sz val="10"/>
        <rFont val="Arial"/>
        <family val="0"/>
        <charset val="1"/>
      </rPr>
      <t xml:space="preserve">26</t>
    </r>
    <r>
      <rPr>
        <b val="true"/>
        <sz val="10"/>
        <rFont val="Noto Sans CJK SC"/>
        <family val="2"/>
      </rPr>
      <t xml:space="preserve">秒を</t>
    </r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〜</t>
    </r>
    <r>
      <rPr>
        <b val="true"/>
        <sz val="10"/>
        <rFont val="Arial"/>
        <family val="0"/>
        <charset val="1"/>
      </rPr>
      <t xml:space="preserve">60%</t>
    </r>
    <r>
      <rPr>
        <b val="true"/>
        <sz val="10"/>
        <rFont val="Noto Sans CJK SC"/>
        <family val="2"/>
      </rPr>
      <t xml:space="preserve">超過</t>
    </r>
  </si>
  <si>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中央</t>
    </r>
    <r>
      <rPr>
        <sz val="10"/>
        <rFont val="Arial"/>
        <family val="0"/>
        <charset val="1"/>
      </rPr>
      <t xml:space="preserve">36.7</t>
    </r>
    <r>
      <rPr>
        <sz val="10"/>
        <rFont val="Noto Sans CJK SC"/>
        <family val="2"/>
      </rPr>
      <t xml:space="preserve">秒・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中央</t>
    </r>
    <r>
      <rPr>
        <sz val="10"/>
        <rFont val="Arial"/>
        <family val="0"/>
        <charset val="1"/>
      </rPr>
      <t xml:space="preserve">55.7</t>
    </r>
    <r>
      <rPr>
        <sz val="10"/>
        <rFont val="Noto Sans CJK SC"/>
        <family val="2"/>
      </rPr>
      <t xml:space="preserve">秒。全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横断では</t>
    </r>
    <r>
      <rPr>
        <sz val="10"/>
        <rFont val="Arial"/>
        <family val="0"/>
        <charset val="1"/>
      </rPr>
      <t xml:space="preserve">20-26</t>
    </r>
    <r>
      <rPr>
        <sz val="10"/>
        <rFont val="Noto Sans CJK SC"/>
        <family val="2"/>
      </rPr>
      <t xml:space="preserve">秒帯の維持率</t>
    </r>
    <r>
      <rPr>
        <sz val="10"/>
        <rFont val="Arial"/>
        <family val="0"/>
        <charset val="1"/>
      </rPr>
      <t xml:space="preserve">60.1%</t>
    </r>
    <r>
      <rPr>
        <sz val="10"/>
        <rFont val="Noto Sans CJK SC"/>
        <family val="2"/>
      </rPr>
      <t xml:space="preserve">が最良。</t>
    </r>
  </si>
  <si>
    <t xml:space="preserve">一部対処</t>
  </si>
  <si>
    <t xml:space="preserve">5</t>
  </si>
  <si>
    <r>
      <rPr>
        <b val="true"/>
        <sz val="10"/>
        <rFont val="Arial"/>
        <family val="0"/>
        <charset val="1"/>
      </rPr>
      <t xml:space="preserve">clip-lab / clip-kaneko </t>
    </r>
    <r>
      <rPr>
        <b val="true"/>
        <sz val="10"/>
        <rFont val="Noto Sans CJK SC"/>
        <family val="2"/>
      </rPr>
      <t xml:space="preserve">の </t>
    </r>
    <r>
      <rPr>
        <b val="true"/>
        <sz val="10"/>
        <rFont val="Arial"/>
        <family val="0"/>
        <charset val="1"/>
      </rPr>
      <t xml:space="preserve">autopilot </t>
    </r>
    <r>
      <rPr>
        <b val="true"/>
        <sz val="10"/>
        <rFont val="Noto Sans CJK SC"/>
        <family val="2"/>
      </rPr>
      <t xml:space="preserve">が失敗（スコープ外・参考）</t>
    </r>
  </si>
  <si>
    <r>
      <rPr>
        <sz val="10"/>
        <rFont val="Arial"/>
        <family val="0"/>
        <charset val="1"/>
      </rPr>
      <t xml:space="preserve">clip-lab: ANTHROPIC_API_KEY </t>
    </r>
    <r>
      <rPr>
        <sz val="10"/>
        <rFont val="Noto Sans CJK SC"/>
        <family val="2"/>
      </rPr>
      <t xml:space="preserve">未設定で翻訳中止。</t>
    </r>
    <r>
      <rPr>
        <sz val="10"/>
        <rFont val="Arial"/>
        <family val="0"/>
        <charset val="1"/>
      </rPr>
      <t xml:space="preserve">clip-kaneko: </t>
    </r>
    <r>
      <rPr>
        <sz val="10"/>
        <rFont val="Noto Sans CJK SC"/>
        <family val="2"/>
      </rPr>
      <t xml:space="preserve">全ての元動画が切り抜き済み。</t>
    </r>
  </si>
  <si>
    <r>
      <rPr>
        <b val="true"/>
        <sz val="12"/>
        <color rgb="FF1F3864"/>
        <rFont val="Noto Sans CJK SC"/>
        <family val="2"/>
      </rPr>
      <t xml:space="preserve">■ 指揮対象</t>
    </r>
    <r>
      <rPr>
        <b val="true"/>
        <sz val="12"/>
        <color rgb="FF1F3864"/>
        <rFont val="Arial"/>
        <family val="0"/>
        <charset val="1"/>
      </rPr>
      <t xml:space="preserve">6ch </t>
    </r>
    <r>
      <rPr>
        <b val="true"/>
        <sz val="12"/>
        <color rgb="FF1F3864"/>
        <rFont val="Noto Sans CJK SC"/>
        <family val="2"/>
      </rPr>
      <t xml:space="preserve">実績サマリー（</t>
    </r>
    <r>
      <rPr>
        <b val="true"/>
        <sz val="12"/>
        <color rgb="FF1F3864"/>
        <rFont val="Arial"/>
        <family val="0"/>
        <charset val="1"/>
      </rPr>
      <t xml:space="preserve">published_at&gt;=2026-08-07 / </t>
    </r>
    <r>
      <rPr>
        <b val="true"/>
        <sz val="12"/>
        <color rgb="FF1F3864"/>
        <rFont val="Noto Sans CJK SC"/>
        <family val="2"/>
      </rPr>
      <t xml:space="preserve">最新スナップショット）</t>
    </r>
  </si>
  <si>
    <t xml:space="preserve">channel_id</t>
  </si>
  <si>
    <t xml:space="preserve">動画数</t>
  </si>
  <si>
    <t xml:space="preserve">総再生</t>
  </si>
  <si>
    <t xml:space="preserve">登録者増</t>
  </si>
  <si>
    <r>
      <rPr>
        <b val="true"/>
        <sz val="10"/>
        <color rgb="FFFFFFFF"/>
        <rFont val="Noto Sans CJK SC"/>
        <family val="2"/>
      </rPr>
      <t xml:space="preserve">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千再生</t>
    </r>
  </si>
  <si>
    <r>
      <rPr>
        <b val="true"/>
        <sz val="10"/>
        <color rgb="FFFFFFFF"/>
        <rFont val="Noto Sans CJK SC"/>
        <family val="2"/>
      </rPr>
      <t xml:space="preserve">高評価率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</si>
  <si>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平均維持率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</si>
  <si>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平均</t>
    </r>
    <r>
      <rPr>
        <b val="true"/>
        <sz val="10"/>
        <color rgb="FFFFFFFF"/>
        <rFont val="Arial"/>
        <family val="0"/>
        <charset val="1"/>
      </rPr>
      <t xml:space="preserve">CTR%</t>
    </r>
  </si>
  <si>
    <t xml:space="preserve">company-facts</t>
  </si>
  <si>
    <t xml:space="preserve">scp-lab</t>
  </si>
  <si>
    <t xml:space="preserve">daily-science</t>
  </si>
  <si>
    <t xml:space="preserve">pokemon-lab</t>
  </si>
  <si>
    <t xml:space="preserve">yokai-watch</t>
  </si>
  <si>
    <t xml:space="preserve">2ch-matome</t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</si>
  <si>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加重平均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</si>
  <si>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登録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千再生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登録者増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Noto Sans CJK SC"/>
        <family val="2"/>
      </rPr>
      <t xml:space="preserve">総再生 </t>
    </r>
    <r>
      <rPr>
        <i val="true"/>
        <sz val="9"/>
        <color rgb="FF808080"/>
        <rFont val="Arial"/>
        <family val="0"/>
        <charset val="1"/>
      </rPr>
      <t xml:space="preserve">× 1000</t>
    </r>
    <r>
      <rPr>
        <i val="true"/>
        <sz val="9"/>
        <color rgb="FF808080"/>
        <rFont val="Noto Sans CJK SC"/>
        <family val="2"/>
      </rPr>
      <t xml:space="preserve">。至上目標に直結する主指標。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</si>
  <si>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channel_metrics </t>
    </r>
    <r>
      <rPr>
        <i val="true"/>
        <sz val="9"/>
        <color rgb="FF808080"/>
        <rFont val="Noto Sans CJK SC"/>
        <family val="2"/>
      </rPr>
      <t xml:space="preserve">は </t>
    </r>
    <r>
      <rPr>
        <i val="true"/>
        <sz val="9"/>
        <color rgb="FF808080"/>
        <rFont val="Arial"/>
        <family val="0"/>
        <charset val="1"/>
      </rPr>
      <t xml:space="preserve">2026-09-02 </t>
    </r>
    <r>
      <rPr>
        <i val="true"/>
        <sz val="9"/>
        <color rgb="FF808080"/>
        <rFont val="Noto Sans CJK SC"/>
        <family val="2"/>
      </rPr>
      <t xml:space="preserve">までしか確定していない（</t>
    </r>
    <r>
      <rPr>
        <i val="true"/>
        <sz val="9"/>
        <color rgb="FF808080"/>
        <rFont val="Arial"/>
        <family val="0"/>
        <charset val="1"/>
      </rPr>
      <t xml:space="preserve">YouTube Analytics </t>
    </r>
    <r>
      <rPr>
        <i val="true"/>
        <sz val="9"/>
        <color rgb="FF808080"/>
        <rFont val="Noto Sans CJK SC"/>
        <family val="2"/>
      </rPr>
      <t xml:space="preserve">の</t>
    </r>
    <r>
      <rPr>
        <i val="true"/>
        <sz val="9"/>
        <color rgb="FF808080"/>
        <rFont val="Arial"/>
        <family val="0"/>
        <charset val="1"/>
      </rPr>
      <t xml:space="preserve">48-72</t>
    </r>
    <r>
      <rPr>
        <i val="true"/>
        <sz val="9"/>
        <color rgb="FF808080"/>
        <rFont val="Noto Sans CJK SC"/>
        <family val="2"/>
      </rPr>
      <t xml:space="preserve">時間遅延）ため、本表は </t>
    </r>
    <r>
      <rPr>
        <i val="true"/>
        <sz val="9"/>
        <color rgb="FF808080"/>
        <rFont val="Arial"/>
        <family val="0"/>
        <charset val="1"/>
      </rPr>
      <t xml:space="preserve">video_metrics </t>
    </r>
    <r>
      <rPr>
        <i val="true"/>
        <sz val="9"/>
        <color rgb="FF808080"/>
        <rFont val="Noto Sans CJK SC"/>
        <family val="2"/>
      </rPr>
      <t xml:space="preserve">の最新スナップショットを使用。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</si>
  <si>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09-04/09-05 </t>
    </r>
    <r>
      <rPr>
        <i val="true"/>
        <sz val="9"/>
        <color rgb="FF808080"/>
        <rFont val="Noto Sans CJK SC"/>
        <family val="2"/>
      </rPr>
      <t xml:space="preserve">公開分は集計反映前で </t>
    </r>
    <r>
      <rPr>
        <i val="true"/>
        <sz val="9"/>
        <color rgb="FF808080"/>
        <rFont val="Arial"/>
        <family val="0"/>
        <charset val="1"/>
      </rPr>
      <t xml:space="preserve">views=0</t>
    </r>
    <r>
      <rPr>
        <i val="true"/>
        <sz val="9"/>
        <color rgb="FF808080"/>
        <rFont val="Noto Sans CJK SC"/>
        <family val="2"/>
      </rPr>
      <t xml:space="preserve">。当日の評価には使えない。</t>
    </r>
  </si>
  <si>
    <t xml:space="preserve">チャンネル別詳細</t>
  </si>
  <si>
    <r>
      <rPr>
        <i val="true"/>
        <sz val="9"/>
        <color rgb="FF808080"/>
        <rFont val="Noto Sans CJK SC"/>
        <family val="2"/>
      </rPr>
      <t xml:space="preserve">全</t>
    </r>
    <r>
      <rPr>
        <i val="true"/>
        <sz val="9"/>
        <color rgb="FF808080"/>
        <rFont val="Arial"/>
        <family val="0"/>
        <charset val="1"/>
      </rPr>
      <t xml:space="preserve">12ch</t>
    </r>
    <r>
      <rPr>
        <i val="true"/>
        <sz val="9"/>
        <color rgb="FF808080"/>
        <rFont val="Noto Sans CJK SC"/>
        <family val="2"/>
      </rPr>
      <t xml:space="preserve">（指揮対象</t>
    </r>
    <r>
      <rPr>
        <i val="true"/>
        <sz val="9"/>
        <color rgb="FF808080"/>
        <rFont val="Arial"/>
        <family val="0"/>
        <charset val="1"/>
      </rPr>
      <t xml:space="preserve">6ch</t>
    </r>
    <r>
      <rPr>
        <i val="true"/>
        <sz val="9"/>
        <color rgb="FF808080"/>
        <rFont val="Noto Sans CJK SC"/>
        <family val="2"/>
      </rPr>
      <t xml:space="preserve">＋参考</t>
    </r>
    <r>
      <rPr>
        <i val="true"/>
        <sz val="9"/>
        <color rgb="FF808080"/>
        <rFont val="Arial"/>
        <family val="0"/>
        <charset val="1"/>
      </rPr>
      <t xml:space="preserve">6ch</t>
    </r>
    <r>
      <rPr>
        <i val="true"/>
        <sz val="9"/>
        <color rgb="FF808080"/>
        <rFont val="Noto Sans CJK SC"/>
        <family val="2"/>
      </rPr>
      <t xml:space="preserve">）／</t>
    </r>
    <r>
      <rPr>
        <i val="true"/>
        <sz val="9"/>
        <color rgb="FF808080"/>
        <rFont val="Arial"/>
        <family val="0"/>
        <charset val="1"/>
      </rPr>
      <t xml:space="preserve">published_at&gt;=2026-08-07</t>
    </r>
  </si>
  <si>
    <t xml:space="preserve">スコープ</t>
  </si>
  <si>
    <t xml:space="preserve">表示回数</t>
  </si>
  <si>
    <t xml:space="preserve">高評価数</t>
  </si>
  <si>
    <t xml:space="preserve">コメント</t>
  </si>
  <si>
    <t xml:space="preserve">指揮対象</t>
  </si>
  <si>
    <t xml:space="preserve">akashic-librarian</t>
  </si>
  <si>
    <t xml:space="preserve">参考</t>
  </si>
  <si>
    <t xml:space="preserve">clip-kaneko</t>
  </si>
  <si>
    <t xml:space="preserve">clip-fukada</t>
  </si>
  <si>
    <t xml:space="preserve">clip-lab</t>
  </si>
  <si>
    <t xml:space="preserve">fake-paper</t>
  </si>
  <si>
    <t xml:space="preserve">clip-animal</t>
  </si>
  <si>
    <t xml:space="preserve">合計</t>
  </si>
  <si>
    <r>
      <rPr>
        <b val="true"/>
        <sz val="12"/>
        <color rgb="FF1F3864"/>
        <rFont val="Noto Sans CJK SC"/>
        <family val="2"/>
      </rPr>
      <t xml:space="preserve">■ 平均視聴維持カーブ（再生位置別 残存率</t>
    </r>
    <r>
      <rPr>
        <b val="true"/>
        <sz val="12"/>
        <color rgb="FF1F3864"/>
        <rFont val="Arial"/>
        <family val="0"/>
        <charset val="1"/>
      </rPr>
      <t xml:space="preserve">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</si>
  <si>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</si>
  <si>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</si>
  <si>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</si>
  <si>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</si>
  <si>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</si>
  <si>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</si>
  <si>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</si>
  <si>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</si>
  <si>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</si>
  <si>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</si>
  <si>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r>
      <rPr>
        <b val="true"/>
        <sz val="10"/>
        <color rgb="FFFFFFFF"/>
        <rFont val="Arial"/>
        <family val="0"/>
        <charset val="1"/>
      </rPr>
      <t xml:space="preserve">0.1→0.3 </t>
    </r>
    <r>
      <rPr>
        <b val="true"/>
        <sz val="10"/>
        <color rgb="FFFFFFFF"/>
        <rFont val="Noto Sans CJK SC"/>
        <family val="2"/>
      </rPr>
      <t xml:space="preserve">落差</t>
    </r>
    <r>
      <rPr>
        <b val="true"/>
        <sz val="10"/>
        <color rgb="FFFFFFFF"/>
        <rFont val="Arial"/>
        <family val="0"/>
        <charset val="1"/>
      </rPr>
      <t xml:space="preserve">pt</t>
    </r>
  </si>
  <si>
    <r>
      <rPr>
        <b val="true"/>
        <sz val="10"/>
        <color rgb="FFFFFFFF"/>
        <rFont val="Arial"/>
        <family val="0"/>
        <charset val="1"/>
      </rPr>
      <t xml:space="preserve">0.3→0.7 </t>
    </r>
    <r>
      <rPr>
        <b val="true"/>
        <sz val="10"/>
        <color rgb="FFFFFFFF"/>
        <rFont val="Noto Sans CJK SC"/>
        <family val="2"/>
      </rPr>
      <t xml:space="preserve">減衰</t>
    </r>
    <r>
      <rPr>
        <b val="true"/>
        <sz val="10"/>
        <color rgb="FFFFFFFF"/>
        <rFont val="Arial"/>
        <family val="0"/>
        <charset val="1"/>
      </rPr>
      <t xml:space="preserve">pt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</si>
  <si>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10%</t>
    </r>
    <r>
      <rPr>
        <i val="true"/>
        <sz val="9"/>
        <color rgb="FF808080"/>
        <rFont val="Noto Sans CJK SC"/>
        <family val="2"/>
      </rPr>
      <t xml:space="preserve">時点が</t>
    </r>
    <r>
      <rPr>
        <i val="true"/>
        <sz val="9"/>
        <color rgb="FF808080"/>
        <rFont val="Arial"/>
        <family val="0"/>
        <charset val="1"/>
      </rPr>
      <t xml:space="preserve">100%</t>
    </r>
    <r>
      <rPr>
        <i val="true"/>
        <sz val="9"/>
        <color rgb="FF808080"/>
        <rFont val="Noto Sans CJK SC"/>
        <family val="2"/>
      </rPr>
      <t xml:space="preserve">を超えるのはリプレイ（同一箇所の複数回視聴）による。ショートでは通常。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</si>
  <si>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0.3→0.7</t>
    </r>
    <r>
      <rPr>
        <i val="true"/>
        <sz val="9"/>
        <color rgb="FF808080"/>
        <rFont val="Noto Sans CJK SC"/>
        <family val="2"/>
      </rPr>
      <t xml:space="preserve">減衰</t>
    </r>
    <r>
      <rPr>
        <i val="true"/>
        <sz val="9"/>
        <color rgb="FF808080"/>
        <rFont val="Arial"/>
        <family val="0"/>
        <charset val="1"/>
      </rPr>
      <t xml:space="preserve">pt</t>
    </r>
    <r>
      <rPr>
        <i val="true"/>
        <sz val="9"/>
        <color rgb="FF808080"/>
        <rFont val="Noto Sans CJK SC"/>
        <family val="2"/>
      </rPr>
      <t xml:space="preserve">が小さいほど中盤を保てている。</t>
    </r>
    <r>
      <rPr>
        <i val="true"/>
        <sz val="9"/>
        <color rgb="FF808080"/>
        <rFont val="Arial"/>
        <family val="0"/>
        <charset val="1"/>
      </rPr>
      <t xml:space="preserve">company-facts(16pt)</t>
    </r>
    <r>
      <rPr>
        <i val="true"/>
        <sz val="9"/>
        <color rgb="FF808080"/>
        <rFont val="Noto Sans CJK SC"/>
        <family val="2"/>
      </rPr>
      <t xml:space="preserve">と</t>
    </r>
    <r>
      <rPr>
        <i val="true"/>
        <sz val="9"/>
        <color rgb="FF808080"/>
        <rFont val="Arial"/>
        <family val="0"/>
        <charset val="1"/>
      </rPr>
      <t xml:space="preserve">daily-science(25pt)</t>
    </r>
    <r>
      <rPr>
        <i val="true"/>
        <sz val="9"/>
        <color rgb="FF808080"/>
        <rFont val="Noto Sans CJK SC"/>
        <family val="2"/>
      </rPr>
      <t xml:space="preserve">は</t>
    </r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</rPr>
      <t xml:space="preserve">行目が「比較・言い換え型」、</t>
    </r>
    <r>
      <rPr>
        <i val="true"/>
        <sz val="9"/>
        <color rgb="FF808080"/>
        <rFont val="Arial"/>
        <family val="0"/>
        <charset val="1"/>
      </rPr>
      <t xml:space="preserve">scp/pokemon/yokai</t>
    </r>
    <r>
      <rPr>
        <i val="true"/>
        <sz val="9"/>
        <color rgb="FF808080"/>
        <rFont val="Noto Sans CJK SC"/>
        <family val="2"/>
      </rPr>
      <t xml:space="preserve">は「新情報追加型」。</t>
    </r>
  </si>
  <si>
    <r>
      <rPr>
        <b val="true"/>
        <sz val="14"/>
        <color rgb="FF1F3864"/>
        <rFont val="Noto Sans CJK SC"/>
        <family val="2"/>
      </rPr>
      <t xml:space="preserve">動画別パフォーマンス 上位</t>
    </r>
    <r>
      <rPr>
        <b val="true"/>
        <sz val="14"/>
        <color rgb="FF1F3864"/>
        <rFont val="Arial"/>
        <family val="0"/>
        <charset val="1"/>
      </rPr>
      <t xml:space="preserve">120</t>
    </r>
  </si>
  <si>
    <r>
      <rPr>
        <i val="true"/>
        <sz val="9"/>
        <color rgb="FF808080"/>
        <rFont val="Arial"/>
        <family val="0"/>
        <charset val="1"/>
      </rPr>
      <t xml:space="preserve">published_at&gt;=2026-08-07</t>
    </r>
    <r>
      <rPr>
        <i val="true"/>
        <sz val="9"/>
        <color rgb="FF808080"/>
        <rFont val="Noto Sans CJK SC"/>
        <family val="2"/>
      </rPr>
      <t xml:space="preserve">・再生数降順／推定尺 </t>
    </r>
    <r>
      <rPr>
        <i val="true"/>
        <sz val="9"/>
        <color rgb="FF808080"/>
        <rFont val="Arial"/>
        <family val="0"/>
        <charset val="1"/>
      </rPr>
      <t xml:space="preserve">= </t>
    </r>
    <r>
      <rPr>
        <i val="true"/>
        <sz val="9"/>
        <color rgb="FF808080"/>
        <rFont val="Noto Sans CJK SC"/>
        <family val="2"/>
      </rPr>
      <t xml:space="preserve">平均視聴時間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Noto Sans CJK SC"/>
        <family val="2"/>
      </rPr>
      <t xml:space="preserve">平均視聴率</t>
    </r>
  </si>
  <si>
    <t xml:space="preserve">タイトル</t>
  </si>
  <si>
    <t xml:space="preserve">公開日</t>
  </si>
  <si>
    <t xml:space="preserve">再生数</t>
  </si>
  <si>
    <t xml:space="preserve">CTR%</t>
  </si>
  <si>
    <r>
      <rPr>
        <b val="true"/>
        <sz val="10"/>
        <color rgb="FFFFFFFF"/>
        <rFont val="Noto Sans CJK SC"/>
        <family val="2"/>
      </rPr>
      <t xml:space="preserve">平均視聴率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</si>
  <si>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推定尺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</si>
  <si>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平均視聴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秒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</si>
  <si>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高評価</t>
  </si>
  <si>
    <r>
      <rPr>
        <sz val="10"/>
        <rFont val="Noto Sans CJK SC"/>
        <family val="2"/>
      </rPr>
      <t xml:space="preserve">“時間停止”で使うスタジオ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</si>
  <si>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2026-08-27</t>
  </si>
  <si>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をやる人は天才じゃない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</si>
  <si>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2026-08-22</t>
  </si>
  <si>
    <r>
      <rPr>
        <sz val="10"/>
        <rFont val="Noto Sans CJK SC"/>
        <family val="2"/>
      </rPr>
      <t xml:space="preserve">バーコードが通らない偽物だった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</si>
  <si>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2026-08-24</t>
  </si>
  <si>
    <r>
      <rPr>
        <sz val="10"/>
        <rFont val="Noto Sans CJK SC"/>
        <family val="2"/>
      </rPr>
      <t xml:space="preserve">💰アジア大会の裏方企業、年収</t>
    </r>
    <r>
      <rPr>
        <sz val="10"/>
        <rFont val="Arial"/>
        <family val="0"/>
        <charset val="1"/>
      </rPr>
      <t xml:space="preserve">932</t>
    </r>
    <r>
      <rPr>
        <sz val="10"/>
        <rFont val="Noto Sans CJK SC"/>
        <family val="2"/>
      </rPr>
      <t xml:space="preserve">万円の実態💰【ショート】</t>
    </r>
  </si>
  <si>
    <t xml:space="preserve">2026-08-20</t>
  </si>
  <si>
    <r>
      <rPr>
        <sz val="10"/>
        <rFont val="Noto Sans CJK SC"/>
        <family val="2"/>
      </rPr>
      <t xml:space="preserve">登録者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万人のサブチャンネルは 収益化済み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</si>
  <si>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💸トヨタ自動車の年収</t>
    </r>
    <r>
      <rPr>
        <sz val="10"/>
        <rFont val="Arial"/>
        <family val="0"/>
        <charset val="1"/>
      </rPr>
      <t xml:space="preserve">982</t>
    </r>
    <r>
      <rPr>
        <sz val="10"/>
        <rFont val="Noto Sans CJK SC"/>
        <family val="2"/>
      </rPr>
      <t xml:space="preserve">万円、実は手当の中身が違う【ショート】</t>
    </r>
  </si>
  <si>
    <t xml:space="preserve">2026-08-26</t>
  </si>
  <si>
    <t xml:space="preserve">鬼の元ネタが怖すぎる — 鬼門から来る者を家に入れてはいけない理由【ショート】</t>
  </si>
  <si>
    <t xml:space="preserve">2026-08-17</t>
  </si>
  <si>
    <t xml:space="preserve">のっぺらぼうの正体が怖すぎる — 顔を奪う怪談はなぜ生まれたのか【ショート】</t>
  </si>
  <si>
    <t xml:space="preserve">2026-08-13</t>
  </si>
  <si>
    <r>
      <rPr>
        <sz val="10"/>
        <rFont val="Noto Sans CJK SC"/>
        <family val="2"/>
      </rPr>
      <t xml:space="preserve">📉大谷翔平の年収が実は約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億円？スポンサー契約の裏側📉【ショート】</t>
    </r>
  </si>
  <si>
    <r>
      <rPr>
        <sz val="10"/>
        <rFont val="Noto Sans CJK SC"/>
        <family val="2"/>
      </rPr>
      <t xml:space="preserve">三菱商事の平均年収</t>
    </r>
    <r>
      <rPr>
        <sz val="10"/>
        <rFont val="Arial"/>
        <family val="0"/>
        <charset val="1"/>
      </rPr>
      <t xml:space="preserve">2033</t>
    </r>
    <r>
      <rPr>
        <sz val="10"/>
        <rFont val="Noto Sans CJK SC"/>
        <family val="2"/>
      </rPr>
      <t xml:space="preserve">万円、その中身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</si>
  <si>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バンギラスとメタグロス、どっちが勝つ？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族対決は持ち物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つで逆転する【ショート】</t>
    </r>
  </si>
  <si>
    <t xml:space="preserve">ふじのやまの元ネタが怖すぎる — 山に入った人が戻れなくなる禁忌【ショート】</t>
  </si>
  <si>
    <t xml:space="preserve">2026-08-14</t>
  </si>
  <si>
    <r>
      <rPr>
        <sz val="10"/>
        <rFont val="Noto Sans CJK SC"/>
        <family val="2"/>
      </rPr>
      <t xml:space="preserve">📈退職金の本当は？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社で最大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万円差の実態【ショート】</t>
    </r>
  </si>
  <si>
    <t xml:space="preserve">なぜツチノコは家に入る？隠された秘密【ショート】</t>
  </si>
  <si>
    <t xml:space="preserve">2026-08-10</t>
  </si>
  <si>
    <t xml:space="preserve">海坊主の正体が怖すぎる — 船を沈める巨大な影は何だったのか【ショート】</t>
  </si>
  <si>
    <t xml:space="preserve">2026-08-18</t>
  </si>
  <si>
    <t xml:space="preserve">一つ目小僧、なぜ江戸の文献では『会った者が帰らない』と書かれているのか【ショート】</t>
  </si>
  <si>
    <t xml:space="preserve">2026-08-08</t>
  </si>
  <si>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パーツ到着時、なぜ箱だけ先に届くのか？【ショート】</t>
    </r>
  </si>
  <si>
    <t xml:space="preserve">2026-08-19</t>
  </si>
  <si>
    <t xml:space="preserve">なぜパルキアは勝てないと言われる？ウルトラネクロズマとの数字差が意外すぎる【ショート】</t>
  </si>
  <si>
    <t xml:space="preserve">2026-08-12</t>
  </si>
  <si>
    <t xml:space="preserve">ねちがえる、なぜか夜だけ首を狙う？金縛りの奥にある古い怪異【ショート】</t>
  </si>
  <si>
    <t xml:space="preserve">2026-08-11</t>
  </si>
  <si>
    <t xml:space="preserve">河童はなぜか子どもだけを呼ぶ？水辺に残された「声」の本当の理由【ショート】</t>
  </si>
  <si>
    <r>
      <rPr>
        <sz val="10"/>
        <rFont val="Noto Sans CJK SC"/>
        <family val="2"/>
      </rPr>
      <t xml:space="preserve">なぜメタグロスはサーフゴーに勝てない？持ち物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つで逆転する本当の理由【ショート】</t>
    </r>
  </si>
  <si>
    <r>
      <rPr>
        <sz val="10"/>
        <rFont val="Noto Sans CJK SC"/>
        <family val="2"/>
      </rPr>
      <t xml:space="preserve">ヤマト運輸ボーナス年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万円超？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ヤマト運輸の年収が意外すぎた 現場職ボーナス年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万円超の実態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</si>
  <si>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2026-08-09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</si>
  <si>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分妖怪ファイル：その『設定』、江戸時代には存在しなかった昭和の妖怪本が作り上げた『総大将』の正体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ぬらりひょんが『妖怪の総大将』なのは、なぜか誰も疑わなかったのか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</si>
  <si>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💸不二家の半額ケーキ、実は年収</t>
    </r>
    <r>
      <rPr>
        <sz val="10"/>
        <rFont val="Arial"/>
        <family val="0"/>
        <charset val="1"/>
      </rPr>
      <t xml:space="preserve">549</t>
    </r>
    <r>
      <rPr>
        <sz val="10"/>
        <rFont val="Noto Sans CJK SC"/>
        <family val="2"/>
      </rPr>
      <t xml:space="preserve">万円とどう関係する？【ショート】</t>
    </r>
  </si>
  <si>
    <t xml:space="preserve">2026-08-25</t>
  </si>
  <si>
    <t xml:space="preserve">ワイ、彼女いない歴＝年齢やけど質問ある？【ショート】</t>
  </si>
  <si>
    <t xml:space="preserve">2026-08-15</t>
  </si>
  <si>
    <r>
      <rPr>
        <sz val="10"/>
        <rFont val="Noto Sans CJK SC"/>
        <family val="2"/>
      </rPr>
      <t xml:space="preserve">リザードンとカイリュー、どっちが勝つ？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倍弱点で勝敗がひっくり返る【ショート】</t>
    </r>
  </si>
  <si>
    <t xml:space="preserve">ミミッキュとロトム、どっちが勝つ？姿変化を実戦で比べた結果【ショート】</t>
  </si>
  <si>
    <t xml:space="preserve">ホウオウとルギア、まともに戦わせたらどっちが勝つのか【ショート】</t>
  </si>
  <si>
    <r>
      <rPr>
        <sz val="10"/>
        <rFont val="Noto Sans CJK SC"/>
        <family val="2"/>
      </rPr>
      <t xml:space="preserve">📉花王の男性育休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、年収はいくら？実は数字の裏も見る【ショート】</t>
    </r>
  </si>
  <si>
    <t xml:space="preserve">2026-08-28</t>
  </si>
  <si>
    <r>
      <rPr>
        <sz val="10"/>
        <rFont val="Noto Sans CJK SC"/>
        <family val="2"/>
      </rPr>
      <t xml:space="preserve">なぜレックウザは空から降りないのか？図鑑</t>
    </r>
    <r>
      <rPr>
        <sz val="10"/>
        <rFont val="Arial"/>
        <family val="0"/>
        <charset val="1"/>
      </rPr>
      <t xml:space="preserve">384</t>
    </r>
    <r>
      <rPr>
        <sz val="10"/>
        <rFont val="Noto Sans CJK SC"/>
        <family val="2"/>
      </rPr>
      <t xml:space="preserve">番の誕生神話が衝撃すぎた【ショート】【ショート】</t>
    </r>
  </si>
  <si>
    <r>
      <rPr>
        <sz val="10"/>
        <rFont val="Noto Sans CJK SC"/>
        <family val="2"/>
      </rPr>
      <t xml:space="preserve">夏のデート感を詰め込んだ一冊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</si>
  <si>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2026-08-29</t>
  </si>
  <si>
    <r>
      <rPr>
        <sz val="10"/>
        <rFont val="Noto Sans CJK SC"/>
        <family val="2"/>
      </rPr>
      <t xml:space="preserve">ワイの今日の昼飯を当てるスレ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</si>
  <si>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💰Uber Eats</t>
    </r>
    <r>
      <rPr>
        <sz val="10"/>
        <rFont val="Noto Sans CJK SC"/>
        <family val="2"/>
      </rPr>
      <t xml:space="preserve">配達員、本当は時給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円超えもある収入の実態【ショート】</t>
    </r>
  </si>
  <si>
    <r>
      <rPr>
        <sz val="10"/>
        <rFont val="Noto Sans CJK SC"/>
        <family val="2"/>
      </rPr>
      <t xml:space="preserve">彼女の部屋でヤバい物あげてけ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</si>
  <si>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秒スレまとめ：残業代はやる気で払う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上司「残業代はやる気で払う」発言から、なぜか全員消えた職場の末路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</si>
  <si>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後輩「敬語って課金制ですよね？」→翌朝、全員が黙った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スカッと</t>
    </r>
  </si>
  <si>
    <t xml:space="preserve">なんかスマホの充電だけ遅いんやが【ショート】</t>
  </si>
  <si>
    <t xml:space="preserve">2026-08-16</t>
  </si>
  <si>
    <r>
      <rPr>
        <sz val="10"/>
        <rFont val="Arial"/>
        <family val="0"/>
        <charset val="1"/>
      </rPr>
      <t xml:space="preserve">💸GU</t>
    </r>
    <r>
      <rPr>
        <sz val="10"/>
        <rFont val="Noto Sans CJK SC"/>
        <family val="2"/>
      </rPr>
      <t xml:space="preserve">の年収、実はポケモンコラボで上がるのか？平均</t>
    </r>
    <r>
      <rPr>
        <sz val="10"/>
        <rFont val="Arial"/>
        <family val="0"/>
        <charset val="1"/>
      </rPr>
      <t xml:space="preserve">959</t>
    </r>
    <r>
      <rPr>
        <sz val="10"/>
        <rFont val="Noto Sans CJK SC"/>
        <family val="2"/>
      </rPr>
      <t xml:space="preserve">万円の裏側💸【ショート】</t>
    </r>
  </si>
  <si>
    <r>
      <rPr>
        <sz val="10"/>
        <rFont val="Arial"/>
        <family val="0"/>
        <charset val="1"/>
      </rPr>
      <t xml:space="preserve">📉JR</t>
    </r>
    <r>
      <rPr>
        <sz val="10"/>
        <rFont val="Noto Sans CJK SC"/>
        <family val="2"/>
      </rPr>
      <t xml:space="preserve">東日本の年収</t>
    </r>
    <r>
      <rPr>
        <sz val="10"/>
        <rFont val="Arial"/>
        <family val="0"/>
        <charset val="1"/>
      </rPr>
      <t xml:space="preserve">810</t>
    </r>
    <r>
      <rPr>
        <sz val="10"/>
        <rFont val="Noto Sans CJK SC"/>
        <family val="2"/>
      </rPr>
      <t xml:space="preserve">万円、本当は休日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日とのバランス💸【ショート】</t>
    </r>
  </si>
  <si>
    <t xml:space="preserve">ルカリオとウルガモス、どっちが勝つ？相性有利がひっくり返る実戦条件【ショート】</t>
  </si>
  <si>
    <r>
      <rPr>
        <sz val="10"/>
        <rFont val="Noto Sans CJK SC"/>
        <family val="2"/>
      </rPr>
      <t xml:space="preserve">💰味の素の有給取得率、実は</t>
    </r>
    <r>
      <rPr>
        <sz val="10"/>
        <rFont val="Arial"/>
        <family val="0"/>
        <charset val="1"/>
      </rPr>
      <t xml:space="preserve">76.8% </t>
    </r>
    <r>
      <rPr>
        <sz val="10"/>
        <rFont val="Noto Sans CJK SC"/>
        <family val="2"/>
      </rPr>
      <t xml:space="preserve">年収と残業の本当は？💸【ショート】</t>
    </r>
  </si>
  <si>
    <r>
      <rPr>
        <sz val="10"/>
        <rFont val="Noto Sans CJK SC"/>
        <family val="2"/>
      </rPr>
      <t xml:space="preserve">💸資生堂の年収</t>
    </r>
    <r>
      <rPr>
        <sz val="10"/>
        <rFont val="Arial"/>
        <family val="0"/>
        <charset val="1"/>
      </rPr>
      <t xml:space="preserve">729</t>
    </r>
    <r>
      <rPr>
        <sz val="10"/>
        <rFont val="Noto Sans CJK SC"/>
        <family val="2"/>
      </rPr>
      <t xml:space="preserve">万円、実はダイバーシティの裏で何がある？【ショート】</t>
    </r>
  </si>
  <si>
    <t xml:space="preserve">2026-08-23</t>
  </si>
  <si>
    <r>
      <rPr>
        <sz val="10"/>
        <rFont val="Noto Sans CJK SC"/>
        <family val="2"/>
      </rPr>
      <t xml:space="preserve">なんか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の画面チカチカするんやが【ショート】</t>
    </r>
  </si>
  <si>
    <r>
      <rPr>
        <sz val="10"/>
        <rFont val="Noto Sans CJK SC"/>
        <family val="2"/>
      </rPr>
      <t xml:space="preserve">ガブリアスとボーマンダ、素早さ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でどっちが勝つ？君は気づけるか【ショート】</t>
    </r>
  </si>
  <si>
    <t xml:space="preserve">なぜおでんじんだけ夜道に立つ？可愛い具に隠された秘密【ショート】【ショート】</t>
  </si>
  <si>
    <t xml:space="preserve">なぜ同じドラゴンなのに勝敗が割れるのか？カイリューとボーマンダの隠された実戦性能の秘密【ショート】</t>
  </si>
  <si>
    <r>
      <rPr>
        <sz val="10"/>
        <rFont val="Noto Sans CJK SC"/>
        <family val="2"/>
      </rPr>
      <t xml:space="preserve">実はこの現象、ベルヌーイの定理が関係してる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</si>
  <si>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2026-08-21</t>
  </si>
  <si>
    <r>
      <rPr>
        <sz val="10"/>
        <rFont val="Noto Sans CJK SC"/>
        <family val="2"/>
      </rPr>
      <t xml:space="preserve">😱ソニーグループの年収がヤバい </t>
    </r>
    <r>
      <rPr>
        <sz val="10"/>
        <rFont val="Arial"/>
        <family val="0"/>
        <charset val="1"/>
      </rPr>
      <t xml:space="preserve">1118</t>
    </r>
    <r>
      <rPr>
        <sz val="10"/>
        <rFont val="Noto Sans CJK SC"/>
        <family val="2"/>
      </rPr>
      <t xml:space="preserve">万円と</t>
    </r>
    <r>
      <rPr>
        <sz val="10"/>
        <rFont val="Arial"/>
        <family val="0"/>
        <charset val="1"/>
      </rPr>
      <t xml:space="preserve">DualSense</t>
    </r>
    <r>
      <rPr>
        <sz val="10"/>
        <rFont val="Noto Sans CJK SC"/>
        <family val="2"/>
      </rPr>
      <t xml:space="preserve">の仕事【ショート】</t>
    </r>
  </si>
  <si>
    <r>
      <rPr>
        <sz val="10"/>
        <rFont val="Noto Sans CJK SC"/>
        <family val="2"/>
      </rPr>
      <t xml:space="preserve">恋愛の緊張は 男友達で克服できる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</si>
  <si>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絶対に二度見される部屋着あげてけ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</si>
  <si>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友達の好きな人を狙うなら 友達をやめる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</si>
  <si>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：崇拝者が自然発生——収容できたのは『実体』ではなかった収容違反発生・職員接触者の生存率：記録抹消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財団が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年間隠し続けた</t>
    </r>
    <r>
      <rPr>
        <sz val="10"/>
        <rFont val="Arial"/>
        <family val="0"/>
        <charset val="1"/>
      </rPr>
      <t xml:space="preserve">SCP-2662——</t>
    </r>
    <r>
      <rPr>
        <sz val="10"/>
        <rFont val="Noto Sans CJK SC"/>
        <family val="2"/>
      </rPr>
      <t xml:space="preserve">崇拝者が自然発生する施設、生存率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の収容違反</t>
    </r>
  </si>
  <si>
    <r>
      <rPr>
        <sz val="10"/>
        <rFont val="Noto Sans CJK SC"/>
        <family val="2"/>
      </rPr>
      <t xml:space="preserve">おすすめで自分の名前を出して撃沈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</si>
  <si>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年持つなら買った方がいい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</si>
  <si>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自己肯定感が急に 薄っぺらくなった時期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</si>
  <si>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PS5 Pro</t>
    </r>
    <r>
      <rPr>
        <sz val="10"/>
        <rFont val="Noto Sans CJK SC"/>
        <family val="2"/>
      </rPr>
      <t xml:space="preserve">に期待する？値段で胃が痛い理由とは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</si>
  <si>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若者の資産を増やすには 収入を増やすしかない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</si>
  <si>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リクルートの賞与は年間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万円超？平均年齢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歳の待遇を検証【ショート】</t>
    </r>
  </si>
  <si>
    <r>
      <rPr>
        <sz val="10"/>
        <rFont val="Noto Sans CJK SC"/>
        <family val="2"/>
      </rPr>
      <t xml:space="preserve">ワイのキーボードの変な癖あげてけ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</si>
  <si>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年間ほぼ話してないのに ずっと好きな理由が衝撃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</si>
  <si>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残業が多くても 年収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万円増ならアリ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</si>
  <si>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なぜ移籍した選手だけ？昨日までの英雄が急に裏切り者になる理由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</si>
  <si>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t xml:space="preserve">2026-09-02</t>
  </si>
  <si>
    <r>
      <rPr>
        <sz val="10"/>
        <rFont val="Noto Sans CJK SC"/>
        <family val="2"/>
      </rPr>
      <t xml:space="preserve">ストレスが溜まったら 泣いて寝るタイプ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</si>
  <si>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花子さんの正体 — なぜ学校のトイレで「三番目」なのか【ショート】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</si>
  <si>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年も読めない？存在しない植物だけが描かれた手稿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都市伝説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オカルト</t>
    </r>
  </si>
  <si>
    <r>
      <rPr>
        <sz val="10"/>
        <rFont val="Noto Sans CJK SC"/>
        <family val="2"/>
      </rPr>
      <t xml:space="preserve">「おはよう」から「おやすみ」まで デート気分を詰め込んだ一冊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</si>
  <si>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架空論文ファイル </t>
    </r>
    <r>
      <rPr>
        <sz val="10"/>
        <rFont val="Arial"/>
        <family val="0"/>
        <charset val="1"/>
      </rPr>
      <t xml:space="preserve">#3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PS5 Pro</t>
    </r>
    <r>
      <rPr>
        <sz val="10"/>
        <rFont val="Noto Sans CJK SC"/>
        <family val="2"/>
      </rPr>
      <t xml:space="preserve">は反応を</t>
    </r>
    <r>
      <rPr>
        <sz val="10"/>
        <rFont val="Arial"/>
        <family val="0"/>
        <charset val="1"/>
      </rPr>
      <t xml:space="preserve">0.18</t>
    </r>
    <r>
      <rPr>
        <sz val="10"/>
        <rFont val="Noto Sans CJK SC"/>
        <family val="2"/>
      </rPr>
      <t xml:space="preserve">秒縮める — </t>
    </r>
    <r>
      <rPr>
        <sz val="10"/>
        <rFont val="Arial"/>
        <family val="0"/>
        <charset val="1"/>
      </rPr>
      <t xml:space="preserve">768</t>
    </r>
    <r>
      <rPr>
        <sz val="10"/>
        <rFont val="Noto Sans CJK SC"/>
        <family val="2"/>
      </rPr>
      <t xml:space="preserve">人を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日追跡した結果【ショート】</t>
    </r>
  </si>
  <si>
    <t xml:space="preserve">実際には存在しないけどありそうな県名あげてけ【ショート】</t>
  </si>
  <si>
    <r>
      <rPr>
        <sz val="10"/>
        <rFont val="Noto Sans CJK SC"/>
        <family val="2"/>
      </rPr>
      <t xml:space="preserve">味の素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粒、実は何に使うのか？意外すぎる活用法をあげてけｗ【ショート】</t>
    </r>
  </si>
  <si>
    <t xml:space="preserve">なぜ大谷翔平だけ？実力の前に働く「外見」の本当の理由【ショート】</t>
  </si>
  <si>
    <r>
      <rPr>
        <sz val="10"/>
        <rFont val="Noto Sans CJK SC"/>
        <family val="2"/>
      </rPr>
      <t xml:space="preserve">存在しないゲームの迷惑機能あげてけ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</si>
  <si>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架空論文ファイル：満席の映画館では観客の瞬きが同期する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フィクション</t>
    </r>
  </si>
  <si>
    <r>
      <rPr>
        <sz val="10"/>
        <rFont val="Noto Sans CJK SC"/>
        <family val="2"/>
      </rPr>
      <t xml:space="preserve">復縁したいなら 「もう一度チャンスをください」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</si>
  <si>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2026-08-30</t>
  </si>
  <si>
    <r>
      <rPr>
        <sz val="10"/>
        <rFont val="Arial"/>
        <family val="0"/>
        <charset val="1"/>
      </rPr>
      <t xml:space="preserve">SCP-7004</t>
    </r>
    <r>
      <rPr>
        <sz val="10"/>
        <rFont val="Noto Sans CJK SC"/>
        <family val="2"/>
      </rPr>
      <t xml:space="preserve">「終末の観測者」— 収容都市は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日で住民全員を失った【最後の記録】【ショート】</t>
    </r>
  </si>
  <si>
    <r>
      <rPr>
        <sz val="10"/>
        <rFont val="Noto Sans CJK SC"/>
        <family val="2"/>
      </rPr>
      <t xml:space="preserve">花火大会を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人で行けたら もうほぼ脈あり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</si>
  <si>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なぜコイキングは種族値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なのか？進化前だけ弱すぎる本当の理由がヤバすぎた【ショート】</t>
    </r>
  </si>
  <si>
    <r>
      <rPr>
        <sz val="10"/>
        <rFont val="Noto Sans CJK SC"/>
        <family val="2"/>
      </rPr>
      <t xml:space="preserve">無人島に持っていくなら ドラえもんのポケット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</si>
  <si>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オリエンタルランドの年収</t>
    </r>
    <r>
      <rPr>
        <sz val="10"/>
        <rFont val="Arial"/>
        <family val="0"/>
        <charset val="1"/>
      </rPr>
      <t xml:space="preserve">536</t>
    </r>
    <r>
      <rPr>
        <sz val="10"/>
        <rFont val="Noto Sans CJK SC"/>
        <family val="2"/>
      </rPr>
      <t xml:space="preserve">万円、離職率</t>
    </r>
    <r>
      <rPr>
        <sz val="10"/>
        <rFont val="Arial"/>
        <family val="0"/>
        <charset val="1"/>
      </rPr>
      <t xml:space="preserve">2.1%</t>
    </r>
    <r>
      <rPr>
        <sz val="10"/>
        <rFont val="Noto Sans CJK SC"/>
        <family val="2"/>
      </rPr>
      <t xml:space="preserve">の実態【ショート】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</si>
  <si>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#98</t>
    </r>
    <r>
      <rPr>
        <sz val="10"/>
        <rFont val="Noto Sans CJK SC"/>
        <family val="2"/>
      </rPr>
      <t xml:space="preserve">：🌍なぜ歩くと腕と足は逆に動くのか？あなたの体が毎秒行う回転制御の正体【ショート】</t>
    </r>
  </si>
  <si>
    <t xml:space="preserve">ぬらりひょんの正体が怖すぎる — なぜあなたの家に勝手に上がるのか【ショート】</t>
  </si>
  <si>
    <r>
      <rPr>
        <sz val="10"/>
        <rFont val="Noto Sans CJK SC"/>
        <family val="2"/>
      </rPr>
      <t xml:space="preserve">なぜ今飲んだ炭酸は鼻までツーンとするのか？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秒の刺激ルート【ショート】</t>
    </r>
  </si>
  <si>
    <r>
      <rPr>
        <sz val="10"/>
        <rFont val="Noto Sans CJK SC"/>
        <family val="2"/>
      </rPr>
      <t xml:space="preserve">架空論文ファイル：エレベーターで見上げる人は、降りる階を間違えにくい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フィクション</t>
    </r>
  </si>
  <si>
    <r>
      <rPr>
        <sz val="10"/>
        <rFont val="Noto Sans CJK SC"/>
        <family val="2"/>
      </rPr>
      <t xml:space="preserve">📈動画作りに課金しすぎた男、年収</t>
    </r>
    <r>
      <rPr>
        <sz val="10"/>
        <rFont val="Arial"/>
        <family val="0"/>
        <charset val="1"/>
      </rPr>
      <t xml:space="preserve">480</t>
    </r>
    <r>
      <rPr>
        <sz val="10"/>
        <rFont val="Noto Sans CJK SC"/>
        <family val="2"/>
      </rPr>
      <t xml:space="preserve">万円で転職できる？【ショート】</t>
    </r>
  </si>
  <si>
    <r>
      <rPr>
        <sz val="10"/>
        <rFont val="Noto Sans CJK SC"/>
        <family val="2"/>
      </rPr>
      <t xml:space="preserve">ワイ、</t>
    </r>
    <r>
      <rPr>
        <sz val="10"/>
        <rFont val="Arial"/>
        <family val="0"/>
        <charset val="1"/>
      </rPr>
      <t xml:space="preserve">GTA6</t>
    </r>
    <r>
      <rPr>
        <sz val="10"/>
        <rFont val="Noto Sans CJK SC"/>
        <family val="2"/>
      </rPr>
      <t xml:space="preserve">妄想歴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</si>
  <si>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【金子みゆ】アイドルが正体隠して斉藤さんやったらやばすぎた</t>
    </r>
    <r>
      <rPr>
        <sz val="10"/>
        <rFont val="Arial"/>
        <family val="0"/>
        <charset val="1"/>
      </rPr>
      <t xml:space="preserve">w #shorts</t>
    </r>
  </si>
  <si>
    <r>
      <rPr>
        <sz val="10"/>
        <rFont val="Noto Sans CJK SC"/>
        <family val="2"/>
      </rPr>
      <t xml:space="preserve">キャラ表示で味が変わる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架空論文</t>
    </r>
  </si>
  <si>
    <t xml:space="preserve">2026-09-01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</si>
  <si>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秒でバレる？お前らをブラックラグーンで例えた結果【ショート】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</si>
  <si>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分ポケモン研究：なぜピカチュウだけ？図鑑</t>
    </r>
    <r>
      <rPr>
        <sz val="10"/>
        <rFont val="Arial"/>
        <family val="0"/>
        <charset val="1"/>
      </rPr>
      <t xml:space="preserve">778</t>
    </r>
    <r>
      <rPr>
        <sz val="10"/>
        <rFont val="Noto Sans CJK SC"/>
        <family val="2"/>
      </rPr>
      <t xml:space="preserve">番の本音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なぜ図鑑</t>
    </r>
    <r>
      <rPr>
        <sz val="10"/>
        <rFont val="Arial"/>
        <family val="0"/>
        <charset val="1"/>
      </rPr>
      <t xml:space="preserve">778</t>
    </r>
    <r>
      <rPr>
        <sz val="10"/>
        <rFont val="Noto Sans CJK SC"/>
        <family val="2"/>
      </rPr>
      <t xml:space="preserve">番はピカチュウだけ真似るのか？理由が意外すぎた【ショート】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</si>
  <si>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t xml:space="preserve">コンビニで一番いらん商品あげてけ【ショート】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</si>
  <si>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#92</t>
    </r>
    <r>
      <rPr>
        <sz val="10"/>
        <rFont val="Noto Sans CJK SC"/>
        <family val="2"/>
      </rPr>
      <t xml:space="preserve">：🌍なぜ目をこすると光が見える？あなたの網膜で起きる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秒の勘違い💡【ショート】</t>
    </r>
  </si>
  <si>
    <r>
      <rPr>
        <sz val="10"/>
        <rFont val="Arial"/>
        <family val="0"/>
        <charset val="1"/>
      </rPr>
      <t xml:space="preserve">SCP-1690</t>
    </r>
    <r>
      <rPr>
        <sz val="10"/>
        <rFont val="Noto Sans CJK SC"/>
        <family val="2"/>
      </rPr>
      <t xml:space="preserve">「廃棄された文明の記録」— 発掘地点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か所、通信断絶から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年後に収容【ショート】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</si>
  <si>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#100</t>
    </r>
    <r>
      <rPr>
        <sz val="10"/>
        <rFont val="Noto Sans CJK SC"/>
        <family val="2"/>
      </rPr>
      <t xml:space="preserve">：🧬なぜあなたはポケモンの夢で技まで使える？</t>
    </r>
    <r>
      <rPr>
        <sz val="10"/>
        <rFont val="Arial"/>
        <family val="0"/>
        <charset val="1"/>
      </rPr>
      <t xml:space="preserve">REM</t>
    </r>
    <r>
      <rPr>
        <sz val="10"/>
        <rFont val="Noto Sans CJK SC"/>
        <family val="2"/>
      </rPr>
      <t xml:space="preserve">睡眠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分にある記憶の正体【ショート】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</si>
  <si>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#9</t>
    </r>
    <r>
      <rPr>
        <sz val="10"/>
        <rFont val="Noto Sans CJK SC"/>
        <family val="2"/>
      </rPr>
      <t xml:space="preserve">：🎮カイオーガとグラードン、天候を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回張ったらどっちが勝つ？【ショート】</t>
    </r>
  </si>
  <si>
    <r>
      <rPr>
        <sz val="10"/>
        <rFont val="Noto Sans CJK SC"/>
        <family val="2"/>
      </rPr>
      <t xml:space="preserve">なぜ夢の続きを見た気がするのか？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が知らない目覚め後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分の記憶再構成【ショート】</t>
    </r>
  </si>
  <si>
    <r>
      <rPr>
        <sz val="10"/>
        <rFont val="Noto Sans CJK SC"/>
        <family val="2"/>
      </rPr>
      <t xml:space="preserve">カゴメの年間休日</t>
    </r>
    <r>
      <rPr>
        <sz val="10"/>
        <rFont val="Arial"/>
        <family val="0"/>
        <charset val="1"/>
      </rPr>
      <t xml:space="preserve">125</t>
    </r>
    <r>
      <rPr>
        <sz val="10"/>
        <rFont val="Noto Sans CJK SC"/>
        <family val="2"/>
      </rPr>
      <t xml:space="preserve">日、有給取得率</t>
    </r>
    <r>
      <rPr>
        <sz val="10"/>
        <rFont val="Arial"/>
        <family val="0"/>
        <charset val="1"/>
      </rPr>
      <t xml:space="preserve">74.6%</t>
    </r>
    <r>
      <rPr>
        <sz val="10"/>
        <rFont val="Noto Sans CJK SC"/>
        <family val="2"/>
      </rPr>
      <t xml:space="preserve">はホワイト？【ショート】</t>
    </r>
  </si>
  <si>
    <r>
      <rPr>
        <sz val="10"/>
        <rFont val="Noto Sans CJK SC"/>
        <family val="2"/>
      </rPr>
      <t xml:space="preserve">【金子みゆ】現役アイドルのぼっち一蘭が可愛すぎる</t>
    </r>
    <r>
      <rPr>
        <sz val="10"/>
        <rFont val="Arial"/>
        <family val="0"/>
        <charset val="1"/>
      </rPr>
      <t xml:space="preserve">w #shorts</t>
    </r>
  </si>
  <si>
    <r>
      <rPr>
        <sz val="10"/>
        <rFont val="Noto Sans CJK SC"/>
        <family val="2"/>
      </rPr>
      <t xml:space="preserve">昨夜の夢、なぜ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分なのに何時間もいた気がする？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割が勘違いする時間感覚【ショート】</t>
    </r>
  </si>
  <si>
    <r>
      <rPr>
        <sz val="10"/>
        <rFont val="Arial"/>
        <family val="0"/>
        <charset val="1"/>
      </rPr>
      <t xml:space="preserve">SCP-2399</t>
    </r>
    <r>
      <rPr>
        <sz val="10"/>
        <rFont val="Noto Sans CJK SC"/>
        <family val="2"/>
      </rPr>
      <t xml:space="preserve">収容記録：地球まで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時間、なぜ迎撃隊だけ全滅したのか【最後の軌道通信】【ショート】</t>
    </r>
  </si>
  <si>
    <r>
      <rPr>
        <sz val="10"/>
        <rFont val="Noto Sans CJK SC"/>
        <family val="2"/>
      </rPr>
      <t xml:space="preserve">年配夫婦の腕組みペアルックにほっこり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</si>
  <si>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SCP-6670</t>
    </r>
    <r>
      <rPr>
        <sz val="10"/>
        <rFont val="Noto Sans CJK SC"/>
        <family val="2"/>
      </rPr>
      <t xml:space="preserve">「完全な破滅」人類全員を消す報告書の恐怖【ショート】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</si>
  <si>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</t>
    </r>
    <r>
      <rPr>
        <sz val="10"/>
        <rFont val="Noto Sans CJK SC"/>
        <family val="2"/>
      </rPr>
      <t xml:space="preserve">で一番いらないゲームが生まれるのか？ 博牛【ショート】</t>
    </r>
  </si>
  <si>
    <t xml:space="preserve">2026-08-31</t>
  </si>
  <si>
    <r>
      <rPr>
        <sz val="10"/>
        <rFont val="Noto Sans CJK SC"/>
        <family val="2"/>
      </rPr>
      <t xml:space="preserve">三十八人が見ていて、誰も動かなかった夜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社会学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人間心理</t>
    </r>
  </si>
  <si>
    <r>
      <rPr>
        <sz val="10"/>
        <rFont val="Noto Sans CJK SC"/>
        <family val="2"/>
      </rPr>
      <t xml:space="preserve">サントリーの平均年収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万円超？残業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時間の実態【ショート】</t>
    </r>
  </si>
  <si>
    <r>
      <rPr>
        <sz val="10"/>
        <rFont val="Noto Sans CJK SC"/>
        <family val="2"/>
      </rPr>
      <t xml:space="preserve">「頑張ってて偉い」が 刺さらない時がある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</si>
  <si>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周りが気まずくて 撮影を始められない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</si>
  <si>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#11</t>
    </r>
    <r>
      <rPr>
        <sz val="10"/>
        <rFont val="Noto Sans CJK SC"/>
        <family val="2"/>
      </rPr>
      <t xml:space="preserve">：🔥ドラパルトとガブリアス、君は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秒で速さの壁を越えられる？【ショート】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</si>
  <si>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#105</t>
    </r>
    <r>
      <rPr>
        <sz val="10"/>
        <rFont val="Noto Sans CJK SC"/>
        <family val="2"/>
      </rPr>
      <t xml:space="preserve">：💀</t>
    </r>
    <r>
      <rPr>
        <sz val="10"/>
        <rFont val="Arial"/>
        <family val="0"/>
        <charset val="1"/>
      </rPr>
      <t xml:space="preserve">SCP-239</t>
    </r>
    <r>
      <rPr>
        <sz val="10"/>
        <rFont val="Noto Sans CJK SC"/>
        <family val="2"/>
      </rPr>
      <t xml:space="preserve">「魔女の子供」眠る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歳を財団が恐れた収容記録😱【ショート】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</si>
  <si>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：👀</t>
    </r>
    <r>
      <rPr>
        <sz val="10"/>
        <rFont val="Arial"/>
        <family val="0"/>
        <charset val="1"/>
      </rPr>
      <t xml:space="preserve">GU</t>
    </r>
    <r>
      <rPr>
        <sz val="10"/>
        <rFont val="Noto Sans CJK SC"/>
        <family val="2"/>
      </rPr>
      <t xml:space="preserve">ポケモンコラボに隠された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つの秘密、ピカチュウだけじゃない理由は？❓【ショート】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</si>
  <si>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：👁️エンマ大王に隠された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つの条件、あなたは本当に仲間にできる？【ショート】</t>
    </r>
  </si>
  <si>
    <r>
      <rPr>
        <sz val="10"/>
        <rFont val="Noto Sans CJK SC"/>
        <family val="2"/>
      </rPr>
      <t xml:space="preserve">今朝なぜ寒い？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が知らない体温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度の罠——目覚め直後に起きること【ショート】【ショート】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</si>
  <si>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#91</t>
    </r>
    <r>
      <rPr>
        <sz val="10"/>
        <rFont val="Noto Sans CJK SC"/>
        <family val="2"/>
      </rPr>
      <t xml:space="preserve">：💯なぜ人混みであなたの名前だけ聞こえるのか？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秒の選別💯【ショート】</t>
    </r>
  </si>
  <si>
    <r>
      <rPr>
        <sz val="10"/>
        <rFont val="Noto Sans CJK SC"/>
        <family val="2"/>
      </rPr>
      <t xml:space="preserve">なぜ正座を崩した瞬間だけビリビリするのか？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秒の正体【ショート】</t>
    </r>
  </si>
  <si>
    <r>
      <rPr>
        <sz val="10"/>
        <rFont val="Noto Sans CJK SC"/>
        <family val="2"/>
      </rPr>
      <t xml:space="preserve">本を開いた瞬間に眠くなる理由集中しているのに眠い『逆説』の正体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本を読むと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の人が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分以内に眠くなる——その『睡魔の罠』の正体、知ってる？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</si>
  <si>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動画作りに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万課金した男、なぜ昼飯が塩むすびになったのか？【ショート】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</si>
  <si>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#96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SCP-507</t>
    </r>
    <r>
      <rPr>
        <sz val="10"/>
        <rFont val="Noto Sans CJK SC"/>
        <family val="2"/>
      </rPr>
      <t xml:space="preserve">「不本意な次元旅行者」あなたの部屋にも戻るかもしれない恐怖【ショート】</t>
    </r>
  </si>
  <si>
    <r>
      <rPr>
        <sz val="10"/>
        <rFont val="Noto Sans CJK SC"/>
        <family val="2"/>
      </rPr>
      <t xml:space="preserve">📉サイバーエージェントの年収</t>
    </r>
    <r>
      <rPr>
        <sz val="10"/>
        <rFont val="Arial"/>
        <family val="0"/>
        <charset val="1"/>
      </rPr>
      <t xml:space="preserve">773</t>
    </r>
    <r>
      <rPr>
        <sz val="10"/>
        <rFont val="Noto Sans CJK SC"/>
        <family val="2"/>
      </rPr>
      <t xml:space="preserve">万円、平均年齢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歳の本当は【ショート】</t>
    </r>
  </si>
  <si>
    <r>
      <rPr>
        <sz val="10"/>
        <rFont val="Noto Sans CJK SC"/>
        <family val="2"/>
      </rPr>
      <t xml:space="preserve">セブン銀行の年間休日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日、平均年収も数字で解説【ショート】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</si>
  <si>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#10</t>
    </r>
    <r>
      <rPr>
        <sz val="10"/>
        <rFont val="Noto Sans CJK SC"/>
        <family val="2"/>
      </rPr>
      <t xml:space="preserve">：🔥あなたの飲み物を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時間守るポケモン、なぜ存在する？【ショート】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</si>
  <si>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：👁️フユニャンに隠された秘密、あなたが知らない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つの元ネタとは？【ショート】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</si>
  <si>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SCP-1048</t>
    </r>
    <r>
      <rPr>
        <sz val="10"/>
        <rFont val="Noto Sans CJK SC"/>
        <family val="2"/>
      </rPr>
      <t xml:space="preserve">「ビルダーベア」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判定が招いた収容違反の恐怖😱【ショート】</t>
    </r>
  </si>
  <si>
    <r>
      <rPr>
        <i val="true"/>
        <sz val="9"/>
        <color rgb="FF808080"/>
        <rFont val="Noto Sans CJK SC"/>
        <family val="2"/>
      </rPr>
      <t xml:space="preserve">赤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再生</t>
    </r>
    <r>
      <rPr>
        <i val="true"/>
        <sz val="9"/>
        <color rgb="FF808080"/>
        <rFont val="Arial"/>
        <family val="0"/>
        <charset val="1"/>
      </rPr>
      <t xml:space="preserve">1500</t>
    </r>
    <r>
      <rPr>
        <i val="true"/>
        <sz val="9"/>
        <color rgb="FF808080"/>
        <rFont val="Noto Sans CJK SC"/>
        <family val="2"/>
      </rPr>
      <t xml:space="preserve">超だが登録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Noto Sans CJK SC"/>
        <family val="2"/>
      </rPr>
      <t xml:space="preserve">（最大の機会損失）／緑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登録転換</t>
    </r>
    <r>
      <rPr>
        <i val="true"/>
        <sz val="9"/>
        <color rgb="FF808080"/>
        <rFont val="Arial"/>
        <family val="0"/>
        <charset val="1"/>
      </rPr>
      <t xml:space="preserve">1.5</t>
    </r>
    <r>
      <rPr>
        <i val="true"/>
        <sz val="9"/>
        <color rgb="FF808080"/>
        <rFont val="Noto Sans CJK SC"/>
        <family val="2"/>
      </rPr>
      <t xml:space="preserve">件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千再生以上（勝ち筋）</t>
    </r>
  </si>
  <si>
    <r>
      <rPr>
        <b val="true"/>
        <sz val="14"/>
        <color rgb="FF1F3864"/>
        <rFont val="Noto Sans CJK SC"/>
        <family val="2"/>
      </rPr>
      <t xml:space="preserve">改善アクション </t>
    </r>
    <r>
      <rPr>
        <b val="true"/>
        <sz val="14"/>
        <color rgb="FF1F3864"/>
        <rFont val="Arial"/>
        <family val="0"/>
        <charset val="1"/>
      </rPr>
      <t xml:space="preserve">2026-09-06</t>
    </r>
  </si>
  <si>
    <r>
      <rPr>
        <i val="true"/>
        <sz val="9"/>
        <color rgb="FF808080"/>
        <rFont val="Noto Sans CJK SC"/>
        <family val="2"/>
      </rPr>
      <t xml:space="preserve">「実装済」は本日 </t>
    </r>
    <r>
      <rPr>
        <i val="true"/>
        <sz val="9"/>
        <color rgb="FF808080"/>
        <rFont val="Arial"/>
        <family val="0"/>
        <charset val="1"/>
      </rPr>
      <t xml:space="preserve">data/channels/*.json </t>
    </r>
    <r>
      <rPr>
        <i val="true"/>
        <sz val="9"/>
        <color rgb="FF808080"/>
        <rFont val="Noto Sans CJK SC"/>
        <family val="2"/>
      </rPr>
      <t xml:space="preserve">に反映済み（</t>
    </r>
    <r>
      <rPr>
        <i val="true"/>
        <sz val="9"/>
        <color rgb="FF808080"/>
        <rFont val="Arial"/>
        <family val="0"/>
        <charset val="1"/>
      </rPr>
      <t xml:space="preserve">channels_orchestrator/ </t>
    </r>
    <r>
      <rPr>
        <i val="true"/>
        <sz val="9"/>
        <color rgb="FF808080"/>
        <rFont val="Noto Sans CJK SC"/>
        <family val="2"/>
      </rPr>
      <t xml:space="preserve">はシンボリックリンクのため同時反映）</t>
    </r>
  </si>
  <si>
    <r>
      <rPr>
        <b val="true"/>
        <sz val="10"/>
        <color rgb="FFFFFFFF"/>
        <rFont val="Noto Sans CJK SC"/>
        <family val="2"/>
      </rPr>
      <t xml:space="preserve">対象</t>
    </r>
    <r>
      <rPr>
        <b val="true"/>
        <sz val="10"/>
        <color rgb="FFFFFFFF"/>
        <rFont val="Arial"/>
        <family val="0"/>
        <charset val="1"/>
      </rPr>
      <t xml:space="preserve">ch</t>
    </r>
  </si>
  <si>
    <t xml:space="preserve">施策</t>
  </si>
  <si>
    <t xml:space="preserve">根拠（実データ）</t>
  </si>
  <si>
    <t xml:space="preserve">反証条件</t>
  </si>
  <si>
    <t xml:space="preserve">scp-lab / pokemon-lab / yokai-watch</t>
  </si>
  <si>
    <r>
      <rPr>
        <b val="true"/>
        <sz val="10"/>
        <rFont val="Arial"/>
        <family val="0"/>
        <charset val="1"/>
      </rPr>
      <t xml:space="preserve">short_format.structure 4</t>
    </r>
    <r>
      <rPr>
        <b val="true"/>
        <sz val="10"/>
        <rFont val="Noto Sans CJK SC"/>
        <family val="2"/>
      </rPr>
      <t xml:space="preserve">行目を「新情報追加型」→「比較・言い換えで自分ゴト化（新情報の追加を禁止）」に変更</t>
    </r>
  </si>
  <si>
    <r>
      <rPr>
        <sz val="10"/>
        <rFont val="Noto Sans CJK SC"/>
        <family val="2"/>
      </rPr>
      <t xml:space="preserve">同尺比較で </t>
    </r>
    <r>
      <rPr>
        <sz val="10"/>
        <rFont val="Arial"/>
        <family val="0"/>
        <charset val="1"/>
      </rPr>
      <t xml:space="preserve">daily-science(</t>
    </r>
    <r>
      <rPr>
        <sz val="10"/>
        <rFont val="Noto Sans CJK SC"/>
        <family val="2"/>
      </rPr>
      <t xml:space="preserve">中央</t>
    </r>
    <r>
      <rPr>
        <sz val="10"/>
        <rFont val="Arial"/>
        <family val="0"/>
        <charset val="1"/>
      </rPr>
      <t xml:space="preserve">36.1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維持</t>
    </r>
    <r>
      <rPr>
        <sz val="10"/>
        <rFont val="Arial"/>
        <family val="0"/>
        <charset val="1"/>
      </rPr>
      <t xml:space="preserve">61.3%)</t>
    </r>
    <r>
      <rPr>
        <sz val="10"/>
        <rFont val="Noto Sans CJK SC"/>
        <family val="2"/>
      </rPr>
      <t xml:space="preserve">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行目がたとえ話型、</t>
    </r>
    <r>
      <rPr>
        <sz val="10"/>
        <rFont val="Arial"/>
        <family val="0"/>
        <charset val="1"/>
      </rPr>
      <t xml:space="preserve">scp-lab(34.6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/45.6%)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pokemon-lab(36.7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/44.4%)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yokai-watch(33.3</t>
    </r>
    <r>
      <rPr>
        <sz val="10"/>
        <rFont val="Noto Sans CJK SC"/>
        <family val="2"/>
      </rPr>
      <t xml:space="preserve">秒</t>
    </r>
    <r>
      <rPr>
        <sz val="10"/>
        <rFont val="Arial"/>
        <family val="0"/>
        <charset val="1"/>
      </rPr>
      <t xml:space="preserve">/47.9%)</t>
    </r>
    <r>
      <rPr>
        <sz val="10"/>
        <rFont val="Noto Sans CJK SC"/>
        <family val="2"/>
      </rPr>
      <t xml:space="preserve">は新情報追加型。維持カーブ</t>
    </r>
    <r>
      <rPr>
        <sz val="10"/>
        <rFont val="Arial"/>
        <family val="0"/>
        <charset val="1"/>
      </rPr>
      <t xml:space="preserve">0.3→0.7</t>
    </r>
    <r>
      <rPr>
        <sz val="10"/>
        <rFont val="Noto Sans CJK SC"/>
        <family val="2"/>
      </rPr>
      <t xml:space="preserve">減衰も </t>
    </r>
    <r>
      <rPr>
        <sz val="10"/>
        <rFont val="Arial"/>
        <family val="0"/>
        <charset val="1"/>
      </rPr>
      <t xml:space="preserve">company-facts 16pt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daily-science 25pt </t>
    </r>
    <r>
      <rPr>
        <sz val="10"/>
        <rFont val="Noto Sans CJK SC"/>
        <family val="2"/>
      </rPr>
      <t xml:space="preserve">に対し </t>
    </r>
    <r>
      <rPr>
        <sz val="10"/>
        <rFont val="Arial"/>
        <family val="0"/>
        <charset val="1"/>
      </rPr>
      <t xml:space="preserve">scp 24/pokemon 22/yokai 25pt</t>
    </r>
    <r>
      <rPr>
        <sz val="10"/>
        <rFont val="Noto Sans CJK SC"/>
        <family val="2"/>
      </rPr>
      <t xml:space="preserve">。差分は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行目の情報設計のみ。</t>
    </r>
  </si>
  <si>
    <r>
      <rPr>
        <sz val="10"/>
        <rFont val="Arial"/>
        <family val="0"/>
        <charset val="1"/>
      </rPr>
      <t xml:space="preserve">2026-09-13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0.3→0.7</t>
    </r>
    <r>
      <rPr>
        <sz val="10"/>
        <rFont val="Noto Sans CJK SC"/>
        <family val="2"/>
      </rPr>
      <t xml:space="preserve">減衰</t>
    </r>
    <r>
      <rPr>
        <sz val="10"/>
        <rFont val="Arial"/>
        <family val="0"/>
        <charset val="1"/>
      </rPr>
      <t xml:space="preserve">pt </t>
    </r>
    <r>
      <rPr>
        <sz val="10"/>
        <rFont val="Noto Sans CJK SC"/>
        <family val="2"/>
      </rPr>
      <t xml:space="preserve">と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 を再測定。減衰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09-06</t>
    </r>
    <r>
      <rPr>
        <sz val="10"/>
        <rFont val="Noto Sans CJK SC"/>
        <family val="2"/>
      </rPr>
      <t xml:space="preserve">時点</t>
    </r>
    <r>
      <rPr>
        <sz val="10"/>
        <rFont val="Arial"/>
        <family val="0"/>
        <charset val="1"/>
      </rPr>
      <t xml:space="preserve">(scp 24/pokemon 22/yokai 25)</t>
    </r>
    <r>
      <rPr>
        <sz val="10"/>
        <rFont val="Noto Sans CJK SC"/>
        <family val="2"/>
      </rPr>
      <t xml:space="preserve">を下回らなければ棄却し元に戻す。</t>
    </r>
  </si>
  <si>
    <t xml:space="preserve">実装済</t>
  </si>
  <si>
    <r>
      <rPr>
        <b val="true"/>
        <sz val="10"/>
        <rFont val="Arial"/>
        <family val="0"/>
        <charset val="1"/>
      </rPr>
      <t xml:space="preserve">short_format.total_chars </t>
    </r>
    <r>
      <rPr>
        <b val="true"/>
        <sz val="10"/>
        <rFont val="Noto Sans CJK SC"/>
        <family val="2"/>
      </rPr>
      <t xml:space="preserve">を </t>
    </r>
    <r>
      <rPr>
        <b val="true"/>
        <sz val="10"/>
        <rFont val="Arial"/>
        <family val="0"/>
        <charset val="1"/>
      </rPr>
      <t xml:space="preserve">175-225 → 170-205 </t>
    </r>
    <r>
      <rPr>
        <b val="true"/>
        <sz val="10"/>
        <rFont val="Noto Sans CJK SC"/>
        <family val="2"/>
      </rPr>
      <t xml:space="preserve">に短縮</t>
    </r>
  </si>
  <si>
    <r>
      <rPr>
        <sz val="10"/>
        <rFont val="Noto Sans CJK SC"/>
        <family val="2"/>
      </rPr>
      <t xml:space="preserve">実測中央尺</t>
    </r>
    <r>
      <rPr>
        <sz val="10"/>
        <rFont val="Arial"/>
        <family val="0"/>
        <charset val="1"/>
      </rPr>
      <t xml:space="preserve">36.7</t>
    </r>
    <r>
      <rPr>
        <sz val="10"/>
        <rFont val="Noto Sans CJK SC"/>
        <family val="2"/>
      </rPr>
      <t xml:space="preserve">秒が</t>
    </r>
    <r>
      <rPr>
        <sz val="10"/>
        <rFont val="Arial"/>
        <family val="0"/>
        <charset val="1"/>
      </rPr>
      <t xml:space="preserve">config</t>
    </r>
    <r>
      <rPr>
        <sz val="10"/>
        <rFont val="Noto Sans CJK SC"/>
        <family val="2"/>
      </rPr>
      <t xml:space="preserve">目標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秒を</t>
    </r>
    <r>
      <rPr>
        <sz val="10"/>
        <rFont val="Arial"/>
        <family val="0"/>
        <charset val="1"/>
      </rPr>
      <t xml:space="preserve">41%</t>
    </r>
    <r>
      <rPr>
        <sz val="10"/>
        <rFont val="Noto Sans CJK SC"/>
        <family val="2"/>
      </rPr>
      <t xml:space="preserve">超過。全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横断の尺帯別で</t>
    </r>
    <r>
      <rPr>
        <sz val="10"/>
        <rFont val="Arial"/>
        <family val="0"/>
        <charset val="1"/>
      </rPr>
      <t xml:space="preserve">20-26</t>
    </r>
    <r>
      <rPr>
        <sz val="10"/>
        <rFont val="Noto Sans CJK SC"/>
        <family val="2"/>
      </rPr>
      <t xml:space="preserve">秒帯が維持率</t>
    </r>
    <r>
      <rPr>
        <sz val="10"/>
        <rFont val="Arial"/>
        <family val="0"/>
        <charset val="1"/>
      </rPr>
      <t xml:space="preserve">60.1%</t>
    </r>
    <r>
      <rPr>
        <sz val="10"/>
        <rFont val="Noto Sans CJK SC"/>
        <family val="2"/>
      </rPr>
      <t xml:space="preserve">・中央再生</t>
    </r>
    <r>
      <rPr>
        <sz val="10"/>
        <rFont val="Arial"/>
        <family val="0"/>
        <charset val="1"/>
      </rPr>
      <t xml:space="preserve">1144</t>
    </r>
    <r>
      <rPr>
        <sz val="10"/>
        <rFont val="Noto Sans CJK SC"/>
        <family val="2"/>
      </rPr>
      <t xml:space="preserve">で最良、</t>
    </r>
    <r>
      <rPr>
        <sz val="10"/>
        <rFont val="Arial"/>
        <family val="0"/>
        <charset val="1"/>
      </rPr>
      <t xml:space="preserve">40-60</t>
    </r>
    <r>
      <rPr>
        <sz val="10"/>
        <rFont val="Noto Sans CJK SC"/>
        <family val="2"/>
      </rPr>
      <t xml:space="preserve">秒帯は</t>
    </r>
    <r>
      <rPr>
        <sz val="10"/>
        <rFont val="Arial"/>
        <family val="0"/>
        <charset val="1"/>
      </rPr>
      <t xml:space="preserve">40.1%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</si>
  <si>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2026-09-13 </t>
    </r>
    <r>
      <rPr>
        <sz val="10"/>
        <rFont val="Noto Sans CJK SC"/>
        <family val="2"/>
      </rPr>
      <t xml:space="preserve">に実測中央尺が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秒未満に下がり、かつ維持率が</t>
    </r>
    <r>
      <rPr>
        <sz val="10"/>
        <rFont val="Arial"/>
        <family val="0"/>
        <charset val="1"/>
      </rPr>
      <t xml:space="preserve">44.4%</t>
    </r>
    <r>
      <rPr>
        <sz val="10"/>
        <rFont val="Noto Sans CJK SC"/>
        <family val="2"/>
      </rPr>
      <t xml:space="preserve">を上回ること。下がらなければ文字数以外に尺の律速要因がある。</t>
    </r>
  </si>
  <si>
    <r>
      <rPr>
        <b val="true"/>
        <sz val="10"/>
        <rFont val="Arial"/>
        <family val="0"/>
        <charset val="1"/>
      </rPr>
      <t xml:space="preserve">theme_queue </t>
    </r>
    <r>
      <rPr>
        <b val="true"/>
        <sz val="10"/>
        <rFont val="Noto Sans CJK SC"/>
        <family val="2"/>
      </rPr>
      <t xml:space="preserve">からコンセプト外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件を除去し、実測の勝ち筋「〇〇の正体／元ネタが怖すぎる」型</t>
    </r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件を先頭に補充（</t>
    </r>
    <r>
      <rPr>
        <b val="true"/>
        <sz val="10"/>
        <rFont val="Arial"/>
        <family val="0"/>
        <charset val="1"/>
      </rPr>
      <t xml:space="preserve">24</t>
    </r>
    <r>
      <rPr>
        <b val="true"/>
        <sz val="10"/>
        <rFont val="Noto Sans CJK SC"/>
        <family val="2"/>
      </rPr>
      <t xml:space="preserve">件）</t>
    </r>
  </si>
  <si>
    <r>
      <rPr>
        <sz val="10"/>
        <rFont val="Noto Sans CJK SC"/>
        <family val="2"/>
      </rPr>
      <t xml:space="preserve">除去した「動画作りの裏に潜む妖怪の影」「半導体と妖怪の関係？」は </t>
    </r>
    <r>
      <rPr>
        <sz val="10"/>
        <rFont val="Arial"/>
        <family val="0"/>
        <charset val="1"/>
      </rPr>
      <t xml:space="preserve">trend_scanner </t>
    </r>
    <r>
      <rPr>
        <sz val="10"/>
        <rFont val="Noto Sans CJK SC"/>
        <family val="2"/>
      </rPr>
      <t xml:space="preserve">由来でチャンネル概念と不整合。実測上位は「鬼の元ネタが怖すぎる」</t>
    </r>
    <r>
      <rPr>
        <sz val="10"/>
        <rFont val="Arial"/>
        <family val="0"/>
        <charset val="1"/>
      </rPr>
      <t xml:space="preserve">2346</t>
    </r>
    <r>
      <rPr>
        <sz val="10"/>
        <rFont val="Noto Sans CJK SC"/>
        <family val="2"/>
      </rPr>
      <t xml:space="preserve">再生・「のっぺらぼうの正体が怖すぎる」</t>
    </r>
    <r>
      <rPr>
        <sz val="10"/>
        <rFont val="Arial"/>
        <family val="0"/>
        <charset val="1"/>
      </rPr>
      <t xml:space="preserve">2251</t>
    </r>
    <r>
      <rPr>
        <sz val="10"/>
        <rFont val="Noto Sans CJK SC"/>
        <family val="2"/>
      </rPr>
      <t xml:space="preserve">再生・「ふじのやまの元ネタが怖すぎる」</t>
    </r>
    <r>
      <rPr>
        <sz val="10"/>
        <rFont val="Arial"/>
        <family val="0"/>
        <charset val="1"/>
      </rPr>
      <t xml:space="preserve">1952</t>
    </r>
    <r>
      <rPr>
        <sz val="10"/>
        <rFont val="Noto Sans CJK SC"/>
        <family val="2"/>
      </rPr>
      <t xml:space="preserve">再生。</t>
    </r>
  </si>
  <si>
    <r>
      <rPr>
        <sz val="10"/>
        <rFont val="Arial"/>
        <family val="0"/>
        <charset val="1"/>
      </rPr>
      <t xml:space="preserve">2026-09-13 </t>
    </r>
    <r>
      <rPr>
        <sz val="10"/>
        <rFont val="Noto Sans CJK SC"/>
        <family val="2"/>
      </rPr>
      <t xml:space="preserve">に新テーマ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件の中央再生が既存キュー由来動画の中央値を上回ること。</t>
    </r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</si>
  <si>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（要ユーザー対応）</t>
    </r>
  </si>
  <si>
    <r>
      <rPr>
        <b val="true"/>
        <sz val="10"/>
        <rFont val="Arial"/>
        <family val="0"/>
        <charset val="1"/>
      </rPr>
      <t xml:space="preserve">YouTube</t>
    </r>
    <r>
      <rPr>
        <b val="true"/>
        <sz val="10"/>
        <rFont val="Noto Sans CJK SC"/>
        <family val="2"/>
      </rPr>
      <t xml:space="preserve">アカウントの本人確認を行いカスタムサムネイル権限を取得する</t>
    </r>
  </si>
  <si>
    <r>
      <rPr>
        <sz val="10"/>
        <rFont val="Noto Sans CJK SC"/>
        <family val="2"/>
      </rPr>
      <t xml:space="preserve">サムネイル設定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が全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で計</t>
    </r>
    <r>
      <rPr>
        <sz val="10"/>
        <rFont val="Arial"/>
        <family val="0"/>
        <charset val="1"/>
      </rPr>
      <t xml:space="preserve">365</t>
    </r>
    <r>
      <rPr>
        <sz val="10"/>
        <rFont val="Noto Sans CJK SC"/>
        <family val="2"/>
      </rPr>
      <t xml:space="preserve">回・</t>
    </r>
    <r>
      <rPr>
        <sz val="10"/>
        <rFont val="Arial"/>
        <family val="0"/>
        <charset val="1"/>
      </rPr>
      <t xml:space="preserve">86</t>
    </r>
    <r>
      <rPr>
        <sz val="10"/>
        <rFont val="Noto Sans CJK SC"/>
        <family val="2"/>
      </rPr>
      <t xml:space="preserve">動画。</t>
    </r>
    <r>
      <rPr>
        <sz val="10"/>
        <rFont val="Arial"/>
        <family val="0"/>
        <charset val="1"/>
      </rPr>
      <t xml:space="preserve">gen_thumbs_v4_all.py </t>
    </r>
    <r>
      <rPr>
        <sz val="10"/>
        <rFont val="Noto Sans CJK SC"/>
        <family val="2"/>
      </rPr>
      <t xml:space="preserve">が生成したサムネは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枚も適用されず、</t>
    </r>
    <r>
      <rPr>
        <sz val="10"/>
        <rFont val="Arial"/>
        <family val="0"/>
        <charset val="1"/>
      </rPr>
      <t xml:space="preserve">YouTube</t>
    </r>
    <r>
      <rPr>
        <sz val="10"/>
        <rFont val="Noto Sans CJK SC"/>
        <family val="2"/>
      </rPr>
      <t xml:space="preserve">自動生成フレームで公開されている。制約「サムネ品質最優先改善」の前提が成立していない。</t>
    </r>
  </si>
  <si>
    <r>
      <rPr>
        <sz val="10"/>
        <rFont val="Noto Sans CJK SC"/>
        <family val="2"/>
      </rPr>
      <t xml:space="preserve">認証後に</t>
    </r>
    <r>
      <rPr>
        <sz val="10"/>
        <rFont val="Arial"/>
        <family val="0"/>
        <charset val="1"/>
      </rPr>
      <t xml:space="preserve">403</t>
    </r>
    <r>
      <rPr>
        <sz val="10"/>
        <rFont val="Noto Sans CJK SC"/>
        <family val="2"/>
      </rPr>
      <t xml:space="preserve">が消え、</t>
    </r>
    <r>
      <rPr>
        <sz val="10"/>
        <rFont val="Arial"/>
        <family val="0"/>
        <charset val="1"/>
      </rPr>
      <t xml:space="preserve">CTR</t>
    </r>
    <r>
      <rPr>
        <sz val="10"/>
        <rFont val="Noto Sans CJK SC"/>
        <family val="2"/>
      </rPr>
      <t xml:space="preserve">が現状（</t>
    </r>
    <r>
      <rPr>
        <sz val="10"/>
        <rFont val="Arial"/>
        <family val="0"/>
        <charset val="1"/>
      </rPr>
      <t xml:space="preserve">scp 1.36% / yokai 1.66% / pokemon 2.07%</t>
    </r>
    <r>
      <rPr>
        <sz val="10"/>
        <rFont val="Noto Sans CJK SC"/>
        <family val="2"/>
      </rPr>
      <t xml:space="preserve">）から改善すること。</t>
    </r>
  </si>
  <si>
    <t xml:space="preserve">未対応</t>
  </si>
  <si>
    <t xml:space="preserve">yokai-watch / 2ch-matome / pokemon-lab</t>
  </si>
  <si>
    <r>
      <rPr>
        <b val="true"/>
        <sz val="10"/>
        <rFont val="Arial"/>
        <family val="0"/>
        <charset val="1"/>
      </rPr>
      <t xml:space="preserve">cta_position </t>
    </r>
    <r>
      <rPr>
        <b val="true"/>
        <sz val="10"/>
        <rFont val="Noto Sans CJK SC"/>
        <family val="2"/>
      </rPr>
      <t xml:space="preserve">の変更は行わない（意図的な見送り）</t>
    </r>
  </si>
  <si>
    <r>
      <rPr>
        <sz val="10"/>
        <rFont val="Noto Sans CJK SC"/>
        <family val="2"/>
      </rPr>
      <t xml:space="preserve">登録転換の最大の構造的差分は</t>
    </r>
    <r>
      <rPr>
        <sz val="10"/>
        <rFont val="Arial"/>
        <family val="0"/>
        <charset val="1"/>
      </rPr>
      <t xml:space="preserve">CTA</t>
    </r>
    <r>
      <rPr>
        <sz val="10"/>
        <rFont val="Noto Sans CJK SC"/>
        <family val="2"/>
      </rPr>
      <t xml:space="preserve">位置だが、</t>
    </r>
    <r>
      <rPr>
        <sz val="10"/>
        <rFont val="Arial"/>
        <family val="0"/>
        <charset val="1"/>
      </rPr>
      <t xml:space="preserve">2026-09-04</t>
    </r>
    <r>
      <rPr>
        <sz val="10"/>
        <rFont val="Noto Sans CJK SC"/>
        <family val="2"/>
      </rPr>
      <t xml:space="preserve">開始の</t>
    </r>
    <r>
      <rPr>
        <sz val="10"/>
        <rFont val="Arial"/>
        <family val="0"/>
        <charset val="1"/>
      </rPr>
      <t xml:space="preserve">A/B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after_hook→end</t>
    </r>
    <r>
      <rPr>
        <sz val="10"/>
        <rFont val="Noto Sans CJK SC"/>
        <family val="2"/>
      </rPr>
      <t xml:space="preserve">、反証期限 </t>
    </r>
    <r>
      <rPr>
        <sz val="10"/>
        <rFont val="Arial"/>
        <family val="0"/>
        <charset val="1"/>
      </rPr>
      <t xml:space="preserve">2026-09-11</t>
    </r>
    <r>
      <rPr>
        <sz val="10"/>
        <rFont val="Noto Sans CJK SC"/>
        <family val="2"/>
      </rPr>
      <t xml:space="preserve">）が進行中。今日ここを触ると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本の介入が交絡し、どちらの効果も測れなくなる。</t>
    </r>
  </si>
  <si>
    <r>
      <rPr>
        <sz val="10"/>
        <rFont val="Arial"/>
        <family val="0"/>
        <charset val="1"/>
      </rPr>
      <t xml:space="preserve">2026-09-11 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A/B</t>
    </r>
    <r>
      <rPr>
        <sz val="10"/>
        <rFont val="Noto Sans CJK SC"/>
        <family val="2"/>
      </rPr>
      <t xml:space="preserve">判定を待ち、</t>
    </r>
    <r>
      <rPr>
        <sz val="10"/>
        <rFont val="Arial"/>
        <family val="0"/>
        <charset val="1"/>
      </rPr>
      <t xml:space="preserve">end</t>
    </r>
    <r>
      <rPr>
        <sz val="10"/>
        <rFont val="Noto Sans CJK SC"/>
        <family val="2"/>
      </rPr>
      <t xml:space="preserve">アームが </t>
    </r>
    <r>
      <rPr>
        <sz val="10"/>
        <rFont val="Arial"/>
        <family val="0"/>
        <charset val="1"/>
      </rPr>
      <t xml:space="preserve">after_hook </t>
    </r>
    <r>
      <rPr>
        <sz val="10"/>
        <rFont val="Noto Sans CJK SC"/>
        <family val="2"/>
      </rPr>
      <t xml:space="preserve">時点</t>
    </r>
    <r>
      <rPr>
        <sz val="10"/>
        <rFont val="Arial"/>
        <family val="0"/>
        <charset val="1"/>
      </rPr>
      <t xml:space="preserve">(pokemon 0.23/yokai 0.23)</t>
    </r>
    <r>
      <rPr>
        <sz val="10"/>
        <rFont val="Noto Sans CJK SC"/>
        <family val="2"/>
      </rPr>
      <t xml:space="preserve">を上回らなければ </t>
    </r>
    <r>
      <rPr>
        <sz val="10"/>
        <rFont val="Arial"/>
        <family val="0"/>
        <charset val="1"/>
      </rPr>
      <t xml:space="preserve">after_hook </t>
    </r>
    <r>
      <rPr>
        <sz val="10"/>
        <rFont val="Noto Sans CJK SC"/>
        <family val="2"/>
      </rPr>
      <t xml:space="preserve">へ戻す。</t>
    </r>
  </si>
  <si>
    <t xml:space="preserve">見送り</t>
  </si>
  <si>
    <t xml:space="preserve">6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</si>
  <si>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</si>
  <si>
    <t xml:space="preserve">投稿時間は変更しない（意図的な見送り）</t>
  </si>
  <si>
    <r>
      <rPr>
        <sz val="10"/>
        <rFont val="Arial"/>
        <family val="0"/>
        <charset val="1"/>
      </rPr>
      <t xml:space="preserve">posting_optimizer_cache </t>
    </r>
    <r>
      <rPr>
        <sz val="10"/>
        <rFont val="Noto Sans CJK SC"/>
        <family val="2"/>
      </rPr>
      <t xml:space="preserve">の推奨枠は </t>
    </r>
    <r>
      <rPr>
        <sz val="10"/>
        <rFont val="Arial"/>
        <family val="0"/>
        <charset val="1"/>
      </rPr>
      <t xml:space="preserve">sample_size </t>
    </r>
    <r>
      <rPr>
        <sz val="10"/>
        <rFont val="Noto Sans CJK SC"/>
        <family val="2"/>
      </rPr>
      <t xml:space="preserve">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本と小さく、</t>
    </r>
    <r>
      <rPr>
        <sz val="10"/>
        <rFont val="Arial"/>
        <family val="0"/>
        <charset val="1"/>
      </rPr>
      <t xml:space="preserve">boost_percent 100%</t>
    </r>
    <r>
      <rPr>
        <sz val="10"/>
        <rFont val="Noto Sans CJK SC"/>
        <family val="2"/>
      </rPr>
      <t xml:space="preserve">超も単一動画のバズに引きずられた値。再生数自体は取れており律速ではない。</t>
    </r>
  </si>
  <si>
    <r>
      <rPr>
        <sz val="10"/>
        <rFont val="Arial"/>
        <family val="0"/>
        <charset val="1"/>
      </rPr>
      <t xml:space="preserve">sample_size </t>
    </r>
    <r>
      <rPr>
        <sz val="10"/>
        <rFont val="Noto Sans CJK SC"/>
        <family val="2"/>
      </rPr>
      <t xml:space="preserve">が各枠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本以上に積み上がった時点で再評価する。</t>
    </r>
  </si>
  <si>
    <t xml:space="preserve">7</t>
  </si>
  <si>
    <r>
      <rPr>
        <sz val="10"/>
        <rFont val="Arial"/>
        <family val="0"/>
        <charset val="1"/>
      </rPr>
      <t xml:space="preserve">clip-lab / clip-kaneko</t>
    </r>
    <r>
      <rPr>
        <sz val="10"/>
        <rFont val="Noto Sans CJK SC"/>
        <family val="2"/>
      </rPr>
      <t xml:space="preserve">（スコープ外・参考）</t>
    </r>
  </si>
  <si>
    <r>
      <rPr>
        <b val="true"/>
        <sz val="10"/>
        <rFont val="Arial"/>
        <family val="0"/>
        <charset val="1"/>
      </rPr>
      <t xml:space="preserve">autopilot </t>
    </r>
    <r>
      <rPr>
        <b val="true"/>
        <sz val="10"/>
        <rFont val="Noto Sans CJK SC"/>
        <family val="2"/>
      </rPr>
      <t xml:space="preserve">失敗の解消</t>
    </r>
  </si>
  <si>
    <r>
      <rPr>
        <sz val="10"/>
        <rFont val="Arial"/>
        <family val="0"/>
        <charset val="1"/>
      </rPr>
      <t xml:space="preserve">clip-lab: ANTHROPIC_API_KEY </t>
    </r>
    <r>
      <rPr>
        <sz val="10"/>
        <rFont val="Noto Sans CJK SC"/>
        <family val="2"/>
      </rPr>
      <t xml:space="preserve">未設定で </t>
    </r>
    <r>
      <rPr>
        <sz val="10"/>
        <rFont val="Arial"/>
        <family val="0"/>
        <charset val="1"/>
      </rPr>
      <t xml:space="preserve">viral </t>
    </r>
    <r>
      <rPr>
        <sz val="10"/>
        <rFont val="Noto Sans CJK SC"/>
        <family val="2"/>
      </rPr>
      <t xml:space="preserve">翻訳エンジンが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回試行後に中止。</t>
    </r>
    <r>
      <rPr>
        <sz val="10"/>
        <rFont val="Arial"/>
        <family val="0"/>
        <charset val="1"/>
      </rPr>
      <t xml:space="preserve">clip-kaneko: </t>
    </r>
    <r>
      <rPr>
        <sz val="10"/>
        <rFont val="Noto Sans CJK SC"/>
        <family val="2"/>
      </rPr>
      <t xml:space="preserve">全ての元動画が切り抜き済み（</t>
    </r>
    <r>
      <rPr>
        <sz val="10"/>
        <rFont val="Arial"/>
        <family val="0"/>
        <charset val="1"/>
      </rPr>
      <t xml:space="preserve">clips_per_video </t>
    </r>
    <r>
      <rPr>
        <sz val="10"/>
        <rFont val="Noto Sans CJK SC"/>
        <family val="2"/>
      </rPr>
      <t xml:space="preserve">を上げるか元動画の追加が必要）。</t>
    </r>
  </si>
  <si>
    <t xml:space="preserve">指揮者スキルのスコープ外チャンネルのため本日は変更していない。</t>
  </si>
  <si>
    <r>
      <rPr>
        <i val="true"/>
        <sz val="9"/>
        <color rgb="FF808080"/>
        <rFont val="Noto Sans CJK SC"/>
        <family val="2"/>
      </rPr>
      <t xml:space="preserve">バックアップ</t>
    </r>
    <r>
      <rPr>
        <i val="true"/>
        <sz val="9"/>
        <color rgb="FF808080"/>
        <rFont val="Arial"/>
        <family val="0"/>
        <charset val="1"/>
      </rPr>
      <t xml:space="preserve">: data/channels/{scp-lab,pokemon-lab,yokai-watch}.json.bak_pdca_20260906_orch</t>
    </r>
  </si>
  <si>
    <r>
      <rPr>
        <i val="true"/>
        <sz val="9"/>
        <color rgb="FF808080"/>
        <rFont val="Noto Sans CJK SC"/>
        <family val="2"/>
      </rPr>
      <t xml:space="preserve">制作指示</t>
    </r>
    <r>
      <rPr>
        <i val="true"/>
        <sz val="9"/>
        <color rgb="FF808080"/>
        <rFont val="Arial"/>
        <family val="0"/>
        <charset val="1"/>
      </rPr>
      <t xml:space="preserve">(Phase4): APScheduler </t>
    </r>
    <r>
      <rPr>
        <i val="true"/>
        <sz val="9"/>
        <color rgb="FF808080"/>
        <rFont val="Noto Sans CJK SC"/>
        <family val="2"/>
      </rPr>
      <t xml:space="preserve">が自律稼働中のため手動</t>
    </r>
    <r>
      <rPr>
        <i val="true"/>
        <sz val="9"/>
        <color rgb="FF808080"/>
        <rFont val="Arial"/>
        <family val="0"/>
        <charset val="1"/>
      </rPr>
      <t xml:space="preserve">trigger</t>
    </r>
    <r>
      <rPr>
        <i val="true"/>
        <sz val="9"/>
        <color rgb="FF808080"/>
        <rFont val="Noto Sans CJK SC"/>
        <family val="2"/>
      </rPr>
      <t xml:space="preserve">は実施せず（重複投稿になるため）。</t>
    </r>
    <r>
      <rPr>
        <i val="true"/>
        <sz val="9"/>
        <color rgb="FF808080"/>
        <rFont val="Arial"/>
        <family val="0"/>
        <charset val="1"/>
      </rPr>
      <t xml:space="preserve">06:15</t>
    </r>
    <r>
      <rPr>
        <i val="true"/>
        <sz val="9"/>
        <color rgb="FF808080"/>
        <rFont val="Noto Sans CJK SC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09:30 </t>
    </r>
    <r>
      <rPr>
        <i val="true"/>
        <sz val="9"/>
        <color rgb="FF808080"/>
        <rFont val="Noto Sans CJK SC"/>
        <family val="2"/>
      </rPr>
      <t xml:space="preserve">に </t>
    </r>
    <r>
      <rPr>
        <i val="true"/>
        <sz val="9"/>
        <color rgb="FF808080"/>
        <rFont val="Arial"/>
        <family val="0"/>
        <charset val="1"/>
      </rPr>
      <t xml:space="preserve">2ch-matome/daily-science/company-facts/pokemon-lab </t>
    </r>
    <r>
      <rPr>
        <i val="true"/>
        <sz val="9"/>
        <color rgb="FF808080"/>
        <rFont val="Noto Sans CJK SC"/>
        <family val="2"/>
      </rPr>
      <t xml:space="preserve">等が発火済み、残枠は </t>
    </r>
    <r>
      <rPr>
        <i val="true"/>
        <sz val="9"/>
        <color rgb="FF808080"/>
        <rFont val="Arial"/>
        <family val="0"/>
        <charset val="1"/>
      </rPr>
      <t xml:space="preserve">yokai 11:15</t>
    </r>
    <r>
      <rPr>
        <i val="true"/>
        <sz val="9"/>
        <color rgb="FF808080"/>
        <rFont val="Noto Sans CJK SC"/>
        <family val="2"/>
      </rPr>
      <t xml:space="preserve">・</t>
    </r>
    <r>
      <rPr>
        <i val="true"/>
        <sz val="9"/>
        <color rgb="FF808080"/>
        <rFont val="Arial"/>
        <family val="0"/>
        <charset val="1"/>
      </rPr>
      <t xml:space="preserve">scp 12:15 </t>
    </r>
    <r>
      <rPr>
        <i val="true"/>
        <sz val="9"/>
        <color rgb="FF808080"/>
        <rFont val="Noto Sans CJK SC"/>
        <family val="2"/>
      </rPr>
      <t xml:space="preserve">以降。</t>
    </r>
    <r>
      <rPr>
        <i val="true"/>
        <sz val="9"/>
        <color rgb="FF808080"/>
        <rFont val="Arial"/>
        <family val="0"/>
        <charset val="1"/>
      </rPr>
      <t xml:space="preserve">config</t>
    </r>
    <r>
      <rPr>
        <i val="true"/>
        <sz val="9"/>
        <color rgb="FF808080"/>
        <rFont val="Noto Sans CJK SC"/>
        <family val="2"/>
      </rPr>
      <t xml:space="preserve">変更は</t>
    </r>
    <r>
      <rPr>
        <i val="true"/>
        <sz val="9"/>
        <color rgb="FF808080"/>
        <rFont val="Arial"/>
        <family val="0"/>
        <charset val="1"/>
      </rPr>
      <t xml:space="preserve">10:04</t>
    </r>
    <r>
      <rPr>
        <i val="true"/>
        <sz val="9"/>
        <color rgb="FF808080"/>
        <rFont val="Noto Sans CJK SC"/>
        <family val="2"/>
      </rPr>
      <t xml:space="preserve">に全</t>
    </r>
    <r>
      <rPr>
        <i val="true"/>
        <sz val="9"/>
        <color rgb="FF808080"/>
        <rFont val="Arial"/>
        <family val="0"/>
        <charset val="1"/>
      </rPr>
      <t xml:space="preserve">ch theme_queue </t>
    </r>
    <r>
      <rPr>
        <i val="true"/>
        <sz val="9"/>
        <color rgb="FF808080"/>
        <rFont val="Noto Sans CJK SC"/>
        <family val="2"/>
      </rPr>
      <t xml:space="preserve">へ反映済みで、本日の残枠から新ルールが適用される。</t>
    </r>
  </si>
  <si>
    <t xml:space="preserve">トレンド</t>
  </si>
  <si>
    <r>
      <rPr>
        <i val="true"/>
        <sz val="9"/>
        <color rgb="FF808080"/>
        <rFont val="Noto Sans CJK SC"/>
        <family val="2"/>
      </rPr>
      <t xml:space="preserve">公開後</t>
    </r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Noto Sans CJK SC"/>
        <family val="2"/>
      </rPr>
      <t xml:space="preserve">日時点の再生数（年齢正規化）／単純な累計比較は古い動画が有利になるため補正</t>
    </r>
  </si>
  <si>
    <t xml:space="preserve">対象本数</t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</si>
  <si>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日時点 中央再生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</si>
  <si>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日時点 平均再生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</si>
  <si>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Noto Sans CJK SC"/>
        <family val="2"/>
      </rPr>
      <t xml:space="preserve">日移動平均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中央値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</si>
  <si>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2026-09-03</t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</si>
  <si>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09-03</t>
    </r>
    <r>
      <rPr>
        <i val="true"/>
        <sz val="9"/>
        <color rgb="FF808080"/>
        <rFont val="Noto Sans CJK SC"/>
        <family val="2"/>
      </rPr>
      <t xml:space="preserve">以降は集計反映前のため過小。評価から除外すること。</t>
    </r>
  </si>
  <si>
    <r>
      <rPr>
        <i val="true"/>
        <sz val="9"/>
        <color rgb="FF808080"/>
        <rFont val="Noto Sans CJK SC"/>
        <family val="2"/>
      </rPr>
      <t xml:space="preserve">傾向</t>
    </r>
    <r>
      <rPr>
        <i val="true"/>
        <sz val="9"/>
        <color rgb="FF808080"/>
        <rFont val="Arial"/>
        <family val="0"/>
        <charset val="1"/>
      </rPr>
      <t xml:space="preserve">: 8</t>
    </r>
    <r>
      <rPr>
        <i val="true"/>
        <sz val="9"/>
        <color rgb="FF808080"/>
        <rFont val="Noto Sans CJK SC"/>
        <family val="2"/>
      </rPr>
      <t xml:space="preserve">月中旬の</t>
    </r>
    <r>
      <rPr>
        <i val="true"/>
        <sz val="9"/>
        <color rgb="FF808080"/>
        <rFont val="Arial"/>
        <family val="0"/>
        <charset val="1"/>
      </rPr>
      <t xml:space="preserve">1100</t>
    </r>
    <r>
      <rPr>
        <i val="true"/>
        <sz val="9"/>
        <color rgb="FF808080"/>
        <rFont val="Noto Sans CJK SC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1375</t>
    </r>
    <r>
      <rPr>
        <i val="true"/>
        <sz val="9"/>
        <color rgb="FF808080"/>
        <rFont val="Noto Sans CJK SC"/>
        <family val="2"/>
      </rPr>
      <t xml:space="preserve">から</t>
    </r>
    <r>
      <rPr>
        <i val="true"/>
        <sz val="9"/>
        <color rgb="FF808080"/>
        <rFont val="Arial"/>
        <family val="0"/>
        <charset val="1"/>
      </rPr>
      <t xml:space="preserve">8</t>
    </r>
    <r>
      <rPr>
        <i val="true"/>
        <sz val="9"/>
        <color rgb="FF808080"/>
        <rFont val="Noto Sans CJK SC"/>
        <family val="2"/>
      </rPr>
      <t xml:space="preserve">月下旬以降</t>
    </r>
    <r>
      <rPr>
        <i val="true"/>
        <sz val="9"/>
        <color rgb="FF808080"/>
        <rFont val="Arial"/>
        <family val="0"/>
        <charset val="1"/>
      </rPr>
      <t xml:space="preserve">800</t>
    </r>
    <r>
      <rPr>
        <i val="true"/>
        <sz val="9"/>
        <color rgb="FF808080"/>
        <rFont val="Noto Sans CJK SC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900</t>
    </r>
    <r>
      <rPr>
        <i val="true"/>
        <sz val="9"/>
        <color rgb="FF808080"/>
        <rFont val="Noto Sans CJK SC"/>
        <family val="2"/>
      </rPr>
      <t xml:space="preserve">へ約</t>
    </r>
    <r>
      <rPr>
        <i val="true"/>
        <sz val="9"/>
        <color rgb="FF808080"/>
        <rFont val="Arial"/>
        <family val="0"/>
        <charset val="1"/>
      </rPr>
      <t xml:space="preserve">25%</t>
    </r>
    <r>
      <rPr>
        <i val="true"/>
        <sz val="9"/>
        <color rgb="FF808080"/>
        <rFont val="Noto Sans CJK SC"/>
        <family val="2"/>
      </rPr>
      <t xml:space="preserve">低下し、以降</t>
    </r>
    <r>
      <rPr>
        <i val="true"/>
        <sz val="9"/>
        <color rgb="FF808080"/>
        <rFont val="Arial"/>
        <family val="0"/>
        <charset val="1"/>
      </rPr>
      <t xml:space="preserve">2</t>
    </r>
    <r>
      <rPr>
        <i val="true"/>
        <sz val="9"/>
        <color rgb="FF808080"/>
        <rFont val="Noto Sans CJK SC"/>
        <family val="2"/>
      </rPr>
      <t xml:space="preserve">週間は横ばい。投稿本数は</t>
    </r>
    <r>
      <rPr>
        <i val="true"/>
        <sz val="9"/>
        <color rgb="FF808080"/>
        <rFont val="Arial"/>
        <family val="0"/>
        <charset val="1"/>
      </rPr>
      <t xml:space="preserve">09-04</t>
    </r>
    <r>
      <rPr>
        <i val="true"/>
        <sz val="9"/>
        <color rgb="FF808080"/>
        <rFont val="Noto Sans CJK SC"/>
        <family val="2"/>
      </rPr>
      <t xml:space="preserve">で</t>
    </r>
    <r>
      <rPr>
        <i val="true"/>
        <sz val="9"/>
        <color rgb="FF808080"/>
        <rFont val="Arial"/>
        <family val="0"/>
        <charset val="1"/>
      </rPr>
      <t xml:space="preserve">26</t>
    </r>
    <r>
      <rPr>
        <i val="true"/>
        <sz val="9"/>
        <color rgb="FF808080"/>
        <rFont val="Noto Sans CJK SC"/>
        <family val="2"/>
      </rPr>
      <t xml:space="preserve">本／</t>
    </r>
    <r>
      <rPr>
        <i val="true"/>
        <sz val="9"/>
        <color rgb="FF808080"/>
        <rFont val="Arial"/>
        <family val="0"/>
        <charset val="1"/>
      </rPr>
      <t xml:space="preserve">09-05</t>
    </r>
    <r>
      <rPr>
        <i val="true"/>
        <sz val="9"/>
        <color rgb="FF808080"/>
        <rFont val="Noto Sans CJK SC"/>
        <family val="2"/>
      </rPr>
      <t xml:space="preserve">で</t>
    </r>
    <r>
      <rPr>
        <i val="true"/>
        <sz val="9"/>
        <color rgb="FF808080"/>
        <rFont val="Arial"/>
        <family val="0"/>
        <charset val="1"/>
      </rPr>
      <t xml:space="preserve">28</t>
    </r>
    <r>
      <rPr>
        <i val="true"/>
        <sz val="9"/>
        <color rgb="FF808080"/>
        <rFont val="Noto Sans CJK SC"/>
        <family val="2"/>
      </rPr>
      <t xml:space="preserve">本まで増やしたが、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本あたりの品質は維持できている。</t>
    </r>
  </si>
  <si>
    <r>
      <rPr>
        <b val="true"/>
        <sz val="12"/>
        <color rgb="FF1F3864"/>
        <rFont val="Noto Sans CJK SC"/>
        <family val="2"/>
      </rPr>
      <t xml:space="preserve">■ 動画尺帯別パフォーマンス（全</t>
    </r>
    <r>
      <rPr>
        <b val="true"/>
        <sz val="12"/>
        <color rgb="FF1F3864"/>
        <rFont val="Arial"/>
        <family val="0"/>
        <charset val="1"/>
      </rPr>
      <t xml:space="preserve">ch</t>
    </r>
    <r>
      <rPr>
        <b val="true"/>
        <sz val="12"/>
        <color rgb="FF1F3864"/>
        <rFont val="Noto Sans CJK SC"/>
        <family val="2"/>
      </rPr>
      <t xml:space="preserve">・</t>
    </r>
    <r>
      <rPr>
        <b val="true"/>
        <sz val="12"/>
        <color rgb="FF1F3864"/>
        <rFont val="Arial"/>
        <family val="0"/>
        <charset val="1"/>
      </rPr>
      <t xml:space="preserve">published_at&gt;=2026-07-25</t>
    </r>
    <r>
      <rPr>
        <b val="true"/>
        <sz val="12"/>
        <color rgb="FF1F3864"/>
        <rFont val="Noto Sans CJK SC"/>
        <family val="2"/>
      </rPr>
      <t xml:space="preserve">・再生</t>
    </r>
    <r>
      <rPr>
        <b val="true"/>
        <sz val="12"/>
        <color rgb="FF1F3864"/>
        <rFont val="Arial"/>
        <family val="0"/>
        <charset val="1"/>
      </rPr>
      <t xml:space="preserve">200</t>
    </r>
    <r>
      <rPr>
        <b val="true"/>
        <sz val="12"/>
        <color rgb="FF1F3864"/>
        <rFont val="Noto Sans CJK SC"/>
        <family val="2"/>
      </rPr>
      <t xml:space="preserve">以上）</t>
    </r>
  </si>
  <si>
    <t xml:space="preserve">尺帯</t>
  </si>
  <si>
    <t xml:space="preserve">本数</t>
  </si>
  <si>
    <t xml:space="preserve">中央再生数</t>
  </si>
  <si>
    <r>
      <rPr>
        <b val="true"/>
        <sz val="10"/>
        <rFont val="Arial"/>
        <family val="0"/>
        <charset val="1"/>
      </rPr>
      <t xml:space="preserve">20-26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</si>
  <si>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Arial"/>
        <family val="0"/>
        <charset val="1"/>
      </rPr>
      <t xml:space="preserve">26-32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</si>
  <si>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Arial"/>
        <family val="0"/>
        <charset val="1"/>
      </rPr>
      <t xml:space="preserve">32-40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</si>
  <si>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Arial"/>
        <family val="0"/>
        <charset val="1"/>
      </rPr>
      <t xml:space="preserve">40-60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</si>
  <si>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Arial"/>
        <family val="0"/>
        <charset val="1"/>
      </rPr>
      <t xml:space="preserve">60-120</t>
    </r>
    <r>
      <rPr>
        <b val="true"/>
        <sz val="10"/>
        <rFont val="Noto Sans CJK SC"/>
        <family val="2"/>
      </rPr>
      <t xml:space="preserve">秒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</si>
  <si>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維持率は短い動画ほど機械的に高く出る。ただし </t>
    </r>
    <r>
      <rPr>
        <i val="true"/>
        <sz val="9"/>
        <color rgb="FF808080"/>
        <rFont val="Arial"/>
        <family val="0"/>
        <charset val="1"/>
      </rPr>
      <t xml:space="preserve">company-facts </t>
    </r>
    <r>
      <rPr>
        <i val="true"/>
        <sz val="9"/>
        <color rgb="FF808080"/>
        <rFont val="Noto Sans CJK SC"/>
        <family val="2"/>
      </rPr>
      <t xml:space="preserve">は中央</t>
    </r>
    <r>
      <rPr>
        <i val="true"/>
        <sz val="9"/>
        <color rgb="FF808080"/>
        <rFont val="Arial"/>
        <family val="0"/>
        <charset val="1"/>
      </rPr>
      <t xml:space="preserve">55.7</t>
    </r>
    <r>
      <rPr>
        <i val="true"/>
        <sz val="9"/>
        <color rgb="FF808080"/>
        <rFont val="Noto Sans CJK SC"/>
        <family val="2"/>
      </rPr>
      <t xml:space="preserve">秒で維持</t>
    </r>
    <r>
      <rPr>
        <i val="true"/>
        <sz val="9"/>
        <color rgb="FF808080"/>
        <rFont val="Arial"/>
        <family val="0"/>
        <charset val="1"/>
      </rPr>
      <t xml:space="preserve">57.7%</t>
    </r>
    <r>
      <rPr>
        <i val="true"/>
        <sz val="9"/>
        <color rgb="FF808080"/>
        <rFont val="Noto Sans CJK SC"/>
        <family val="2"/>
      </rPr>
      <t xml:space="preserve">と同尺帯平均</t>
    </r>
    <r>
      <rPr>
        <i val="true"/>
        <sz val="9"/>
        <color rgb="FF808080"/>
        <rFont val="Arial"/>
        <family val="0"/>
        <charset val="1"/>
      </rPr>
      <t xml:space="preserve">(40.1%)</t>
    </r>
    <r>
      <rPr>
        <i val="true"/>
        <sz val="9"/>
        <color rgb="FF808080"/>
        <rFont val="Noto Sans CJK SC"/>
        <family val="2"/>
      </rPr>
      <t xml:space="preserve">を大きく上回り、尺ではなく構成が効いていることを示す。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</si>
</sst>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"/>
    <numFmt numFmtId="168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2"/>
      <color rgb="FFC0000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color rgb="FF1F3864"/>
      <name val="Noto Sans CJK SC"/>
      <family val="2"/>
    </font>
    <font>
      <b val="true"/>
      <sz val="12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8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8" min="6" style="0" width="1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30" hidden="false" customHeight="true" outlineLevel="0" collapsed="false">
      <c r="A6" s="4" t="s">
        <v>3</v>
      </c>
      <c r="B6" s="5" t="s">
        <v>4</v>
      </c>
      <c r="C6" s="5" t="s">
        <v>5</v>
      </c>
      <c r="D6" s="5" t="s">
        <v>6</v>
      </c>
    </row>
    <row r="7" customFormat="false" ht="48" hidden="false" customHeight="true" outlineLevel="0" collapsed="false">
      <c r="A7" s="6" t="s">
        <v>7</v>
      </c>
      <c r="B7" s="7" t="s">
        <v>8</v>
      </c>
      <c r="C7" s="8" t="s">
        <v>9</v>
      </c>
      <c r="D7" s="9" t="s">
        <v>10</v>
      </c>
    </row>
    <row r="8" customFormat="false" ht="48" hidden="false" customHeight="true" outlineLevel="0" collapsed="false">
      <c r="A8" s="6" t="s">
        <v>11</v>
      </c>
      <c r="B8" s="7" t="s">
        <v>12</v>
      </c>
      <c r="C8" s="10" t="s">
        <v>13</v>
      </c>
      <c r="D8" s="11" t="s">
        <v>14</v>
      </c>
    </row>
    <row r="9" customFormat="false" ht="48" hidden="false" customHeight="true" outlineLevel="0" collapsed="false">
      <c r="A9" s="6" t="s">
        <v>15</v>
      </c>
      <c r="B9" s="7" t="s">
        <v>16</v>
      </c>
      <c r="C9" s="8" t="s">
        <v>17</v>
      </c>
      <c r="D9" s="12" t="s">
        <v>18</v>
      </c>
    </row>
    <row r="10" customFormat="false" ht="48" hidden="false" customHeight="true" outlineLevel="0" collapsed="false">
      <c r="A10" s="6" t="s">
        <v>19</v>
      </c>
      <c r="B10" s="7" t="s">
        <v>20</v>
      </c>
      <c r="C10" s="10" t="s">
        <v>21</v>
      </c>
      <c r="D10" s="11" t="s">
        <v>22</v>
      </c>
    </row>
    <row r="11" customFormat="false" ht="48" hidden="false" customHeight="true" outlineLevel="0" collapsed="false">
      <c r="A11" s="6" t="s">
        <v>23</v>
      </c>
      <c r="B11" s="6" t="s">
        <v>24</v>
      </c>
      <c r="C11" s="10" t="s">
        <v>25</v>
      </c>
      <c r="D11" s="9" t="s">
        <v>10</v>
      </c>
    </row>
    <row r="13" customFormat="false" ht="19.4" hidden="false" customHeight="false" outlineLevel="0" collapsed="false">
      <c r="A13" s="13" t="s">
        <v>26</v>
      </c>
    </row>
    <row r="14" customFormat="false" ht="30" hidden="false" customHeight="true" outlineLevel="0" collapsed="false">
      <c r="A14" s="4" t="s">
        <v>27</v>
      </c>
      <c r="B14" s="5" t="s">
        <v>28</v>
      </c>
      <c r="C14" s="5" t="s">
        <v>29</v>
      </c>
      <c r="D14" s="5" t="s">
        <v>30</v>
      </c>
      <c r="E14" s="5" t="s">
        <v>31</v>
      </c>
      <c r="F14" s="5" t="s">
        <v>32</v>
      </c>
      <c r="G14" s="5" t="s">
        <v>33</v>
      </c>
      <c r="H14" s="5" t="s">
        <v>34</v>
      </c>
    </row>
    <row r="15" customFormat="false" ht="15" hidden="false" customHeight="false" outlineLevel="0" collapsed="false">
      <c r="A15" s="14" t="s">
        <v>35</v>
      </c>
      <c r="B15" s="15" t="n">
        <v>33</v>
      </c>
      <c r="C15" s="16" t="n">
        <v>38343</v>
      </c>
      <c r="D15" s="15" t="n">
        <v>29</v>
      </c>
      <c r="E15" s="17" t="n">
        <f aca="false">IF(C15=0,"-",1000*D15/C15)</f>
        <v>0.756331012179537</v>
      </c>
      <c r="F15" s="18" t="n">
        <f aca="false">IF(C15=0,"-",100*150/C15)</f>
        <v>0.391205695954933</v>
      </c>
      <c r="G15" s="18" t="n">
        <v>56.98</v>
      </c>
      <c r="H15" s="18" t="n">
        <v>3.2</v>
      </c>
    </row>
    <row r="16" customFormat="false" ht="15" hidden="false" customHeight="false" outlineLevel="0" collapsed="false">
      <c r="A16" s="14" t="s">
        <v>36</v>
      </c>
      <c r="B16" s="15" t="n">
        <v>49</v>
      </c>
      <c r="C16" s="16" t="n">
        <v>31702</v>
      </c>
      <c r="D16" s="15" t="n">
        <v>20</v>
      </c>
      <c r="E16" s="17" t="n">
        <f aca="false">IF(C16=0,"-",1000*D16/C16)</f>
        <v>0.630875023657813</v>
      </c>
      <c r="F16" s="18" t="n">
        <f aca="false">IF(C16=0,"-",100*120/C16)</f>
        <v>0.378525014194688</v>
      </c>
      <c r="G16" s="18" t="n">
        <v>43.41</v>
      </c>
      <c r="H16" s="18" t="n">
        <v>1.36</v>
      </c>
    </row>
    <row r="17" customFormat="false" ht="15" hidden="false" customHeight="false" outlineLevel="0" collapsed="false">
      <c r="A17" s="14" t="s">
        <v>37</v>
      </c>
      <c r="B17" s="15" t="n">
        <v>39</v>
      </c>
      <c r="C17" s="16" t="n">
        <v>27546</v>
      </c>
      <c r="D17" s="15" t="n">
        <v>17</v>
      </c>
      <c r="E17" s="17" t="n">
        <f aca="false">IF(C17=0,"-",1000*D17/C17)</f>
        <v>0.61714949538953</v>
      </c>
      <c r="F17" s="18" t="n">
        <f aca="false">IF(C17=0,"-",100*140/C17)</f>
        <v>0.508240760909025</v>
      </c>
      <c r="G17" s="18" t="n">
        <v>60.32</v>
      </c>
      <c r="H17" s="18" t="n">
        <v>7.51</v>
      </c>
    </row>
    <row r="18" customFormat="false" ht="15" hidden="false" customHeight="false" outlineLevel="0" collapsed="false">
      <c r="A18" s="14" t="s">
        <v>38</v>
      </c>
      <c r="B18" s="15" t="n">
        <v>33</v>
      </c>
      <c r="C18" s="16" t="n">
        <v>30563</v>
      </c>
      <c r="D18" s="15" t="n">
        <v>8</v>
      </c>
      <c r="E18" s="19" t="n">
        <f aca="false">IF(C18=0,"-",1000*D18/C18)</f>
        <v>0.261754408925825</v>
      </c>
      <c r="F18" s="18" t="n">
        <f aca="false">IF(C18=0,"-",100*79/C18)</f>
        <v>0.258482478814253</v>
      </c>
      <c r="G18" s="18" t="n">
        <v>42.9</v>
      </c>
      <c r="H18" s="18" t="n">
        <v>2.07</v>
      </c>
    </row>
    <row r="19" customFormat="false" ht="15" hidden="false" customHeight="false" outlineLevel="0" collapsed="false">
      <c r="A19" s="14" t="s">
        <v>39</v>
      </c>
      <c r="B19" s="15" t="n">
        <v>34</v>
      </c>
      <c r="C19" s="16" t="n">
        <v>29359</v>
      </c>
      <c r="D19" s="15" t="n">
        <v>6</v>
      </c>
      <c r="E19" s="19" t="n">
        <f aca="false">IF(C19=0,"-",1000*D19/C19)</f>
        <v>0.204366633740931</v>
      </c>
      <c r="F19" s="18" t="n">
        <f aca="false">IF(C19=0,"-",100*106/C19)</f>
        <v>0.361047719608979</v>
      </c>
      <c r="G19" s="18" t="n">
        <v>45.03</v>
      </c>
      <c r="H19" s="18" t="n">
        <v>1.66</v>
      </c>
    </row>
    <row r="20" customFormat="false" ht="15" hidden="false" customHeight="false" outlineLevel="0" collapsed="false">
      <c r="A20" s="14" t="s">
        <v>40</v>
      </c>
      <c r="B20" s="15" t="n">
        <v>41</v>
      </c>
      <c r="C20" s="16" t="n">
        <v>35663</v>
      </c>
      <c r="D20" s="15" t="n">
        <v>6</v>
      </c>
      <c r="E20" s="19" t="n">
        <f aca="false">IF(C20=0,"-",1000*D20/C20)</f>
        <v>0.16824159493032</v>
      </c>
      <c r="F20" s="18" t="n">
        <f aca="false">IF(C20=0,"-",100*90/C20)</f>
        <v>0.25236239239548</v>
      </c>
      <c r="G20" s="18" t="n">
        <v>51.27</v>
      </c>
      <c r="H20" s="18" t="n">
        <v>5.45</v>
      </c>
    </row>
    <row r="21" customFormat="false" ht="15" hidden="false" customHeight="false" outlineLevel="0" collapsed="false">
      <c r="A21" s="20" t="s">
        <v>41</v>
      </c>
      <c r="B21" s="20" t="n">
        <f aca="false">SUM(B15:B20)</f>
        <v>229</v>
      </c>
      <c r="C21" s="21" t="n">
        <f aca="false">SUM(C15:C20)</f>
        <v>193176</v>
      </c>
      <c r="D21" s="20" t="n">
        <f aca="false">SUM(D15:D20)</f>
        <v>86</v>
      </c>
      <c r="E21" s="22" t="n">
        <f aca="false">IF(C21=0,"-",1000*D21/C21)</f>
        <v>0.445189878659875</v>
      </c>
      <c r="F21" s="23"/>
      <c r="G21" s="22" t="n">
        <f aca="false">AVERAGE(G15:G20)</f>
        <v>49.985</v>
      </c>
      <c r="H21" s="22" t="n">
        <f aca="false">AVERAGE(H15:H20)</f>
        <v>3.54166666666667</v>
      </c>
    </row>
    <row r="23" customFormat="false" ht="15" hidden="false" customHeight="false" outlineLevel="0" collapsed="false">
      <c r="A23" s="2" t="s">
        <v>42</v>
      </c>
    </row>
    <row r="24" customFormat="false" ht="15" hidden="false" customHeight="false" outlineLevel="0" collapsed="false">
      <c r="A24" s="2" t="s">
        <v>43</v>
      </c>
    </row>
    <row r="25" customFormat="false" ht="15" hidden="false" customHeight="false" outlineLevel="0" collapsed="false">
      <c r="A25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3" min="12" style="0" width="16"/>
  </cols>
  <sheetData>
    <row r="1" customFormat="false" ht="17.35" hidden="false" customHeight="false" outlineLevel="0" collapsed="false">
      <c r="A1" s="24" t="s">
        <v>45</v>
      </c>
    </row>
    <row r="2" customFormat="false" ht="15" hidden="false" customHeight="false" outlineLevel="0" collapsed="false">
      <c r="A2" s="2" t="s">
        <v>46</v>
      </c>
    </row>
    <row r="4" customFormat="false" ht="30" hidden="false" customHeight="true" outlineLevel="0" collapsed="false">
      <c r="A4" s="4" t="s">
        <v>27</v>
      </c>
      <c r="B4" s="5" t="s">
        <v>47</v>
      </c>
      <c r="C4" s="5" t="s">
        <v>28</v>
      </c>
      <c r="D4" s="5" t="s">
        <v>29</v>
      </c>
      <c r="E4" s="5" t="s">
        <v>48</v>
      </c>
      <c r="F4" s="5" t="s">
        <v>30</v>
      </c>
      <c r="G4" s="5" t="s">
        <v>31</v>
      </c>
      <c r="H4" s="5" t="s">
        <v>49</v>
      </c>
      <c r="I4" s="5" t="s">
        <v>32</v>
      </c>
      <c r="J4" s="5" t="s">
        <v>50</v>
      </c>
      <c r="K4" s="5" t="s">
        <v>33</v>
      </c>
      <c r="L4" s="5" t="s">
        <v>34</v>
      </c>
    </row>
    <row r="5" customFormat="false" ht="15" hidden="false" customHeight="false" outlineLevel="0" collapsed="false">
      <c r="A5" s="14" t="s">
        <v>35</v>
      </c>
      <c r="B5" s="25" t="s">
        <v>51</v>
      </c>
      <c r="C5" s="15" t="n">
        <v>33</v>
      </c>
      <c r="D5" s="16" t="n">
        <v>38343</v>
      </c>
      <c r="E5" s="16" t="n">
        <v>5030</v>
      </c>
      <c r="F5" s="15" t="n">
        <v>29</v>
      </c>
      <c r="G5" s="18" t="n">
        <f aca="false">IF(D5=0,"-",1000*F5/D5)</f>
        <v>0.756331012179537</v>
      </c>
      <c r="H5" s="16" t="n">
        <v>150</v>
      </c>
      <c r="I5" s="18" t="n">
        <f aca="false">IF(D5=0,"-",100*H5/D5)</f>
        <v>0.391205695954933</v>
      </c>
      <c r="J5" s="15" t="n">
        <v>4</v>
      </c>
      <c r="K5" s="18" t="n">
        <v>56.98</v>
      </c>
      <c r="L5" s="18" t="n">
        <v>3.2</v>
      </c>
    </row>
    <row r="6" customFormat="false" ht="15" hidden="false" customHeight="false" outlineLevel="0" collapsed="false">
      <c r="A6" s="14" t="s">
        <v>36</v>
      </c>
      <c r="B6" s="25" t="s">
        <v>51</v>
      </c>
      <c r="C6" s="15" t="n">
        <v>49</v>
      </c>
      <c r="D6" s="16" t="n">
        <v>31702</v>
      </c>
      <c r="E6" s="16" t="n">
        <v>22726</v>
      </c>
      <c r="F6" s="15" t="n">
        <v>20</v>
      </c>
      <c r="G6" s="18" t="n">
        <f aca="false">IF(D6=0,"-",1000*F6/D6)</f>
        <v>0.630875023657813</v>
      </c>
      <c r="H6" s="16" t="n">
        <v>120</v>
      </c>
      <c r="I6" s="18" t="n">
        <f aca="false">IF(D6=0,"-",100*H6/D6)</f>
        <v>0.378525014194688</v>
      </c>
      <c r="J6" s="15" t="n">
        <v>1</v>
      </c>
      <c r="K6" s="18" t="n">
        <v>43.41</v>
      </c>
      <c r="L6" s="18" t="n">
        <v>1.36</v>
      </c>
    </row>
    <row r="7" customFormat="false" ht="15" hidden="false" customHeight="false" outlineLevel="0" collapsed="false">
      <c r="A7" s="14" t="s">
        <v>52</v>
      </c>
      <c r="B7" s="26" t="s">
        <v>53</v>
      </c>
      <c r="C7" s="26" t="n">
        <v>14</v>
      </c>
      <c r="D7" s="16" t="n">
        <v>4784</v>
      </c>
      <c r="E7" s="16" t="n">
        <v>98</v>
      </c>
      <c r="F7" s="26" t="n">
        <v>3</v>
      </c>
      <c r="G7" s="18" t="n">
        <f aca="false">IF(D7=0,"-",1000*F7/D7)</f>
        <v>0.627090301003345</v>
      </c>
      <c r="H7" s="16" t="n">
        <v>10</v>
      </c>
      <c r="I7" s="18" t="n">
        <f aca="false">IF(D7=0,"-",100*H7/D7)</f>
        <v>0.209030100334448</v>
      </c>
      <c r="J7" s="26" t="n">
        <v>0</v>
      </c>
      <c r="K7" s="18" t="n">
        <v>65.45</v>
      </c>
      <c r="L7" s="18" t="n">
        <v>33.33</v>
      </c>
    </row>
    <row r="8" customFormat="false" ht="15" hidden="false" customHeight="false" outlineLevel="0" collapsed="false">
      <c r="A8" s="14" t="s">
        <v>37</v>
      </c>
      <c r="B8" s="25" t="s">
        <v>51</v>
      </c>
      <c r="C8" s="26" t="n">
        <v>39</v>
      </c>
      <c r="D8" s="16" t="n">
        <v>27546</v>
      </c>
      <c r="E8" s="16" t="n">
        <v>1573</v>
      </c>
      <c r="F8" s="26" t="n">
        <v>17</v>
      </c>
      <c r="G8" s="18" t="n">
        <f aca="false">IF(D8=0,"-",1000*F8/D8)</f>
        <v>0.61714949538953</v>
      </c>
      <c r="H8" s="16" t="n">
        <v>140</v>
      </c>
      <c r="I8" s="18" t="n">
        <f aca="false">IF(D8=0,"-",100*H8/D8)</f>
        <v>0.508240760909025</v>
      </c>
      <c r="J8" s="26" t="n">
        <v>2</v>
      </c>
      <c r="K8" s="18" t="n">
        <v>60.32</v>
      </c>
      <c r="L8" s="18" t="n">
        <v>7.51</v>
      </c>
    </row>
    <row r="9" customFormat="false" ht="15" hidden="false" customHeight="false" outlineLevel="0" collapsed="false">
      <c r="A9" s="14" t="s">
        <v>38</v>
      </c>
      <c r="B9" s="25" t="s">
        <v>51</v>
      </c>
      <c r="C9" s="26" t="n">
        <v>33</v>
      </c>
      <c r="D9" s="16" t="n">
        <v>30563</v>
      </c>
      <c r="E9" s="16" t="n">
        <v>2401</v>
      </c>
      <c r="F9" s="26" t="n">
        <v>8</v>
      </c>
      <c r="G9" s="18" t="n">
        <f aca="false">IF(D9=0,"-",1000*F9/D9)</f>
        <v>0.261754408925825</v>
      </c>
      <c r="H9" s="16" t="n">
        <v>79</v>
      </c>
      <c r="I9" s="18" t="n">
        <f aca="false">IF(D9=0,"-",100*H9/D9)</f>
        <v>0.258482478814253</v>
      </c>
      <c r="J9" s="26" t="n">
        <v>6</v>
      </c>
      <c r="K9" s="18" t="n">
        <v>42.9</v>
      </c>
      <c r="L9" s="18" t="n">
        <v>2.07</v>
      </c>
    </row>
    <row r="10" customFormat="false" ht="15" hidden="false" customHeight="false" outlineLevel="0" collapsed="false">
      <c r="A10" s="14" t="s">
        <v>54</v>
      </c>
      <c r="B10" s="26" t="s">
        <v>53</v>
      </c>
      <c r="C10" s="26" t="n">
        <v>24</v>
      </c>
      <c r="D10" s="16" t="n">
        <v>19342</v>
      </c>
      <c r="E10" s="16" t="n">
        <v>1199</v>
      </c>
      <c r="F10" s="26" t="n">
        <v>4</v>
      </c>
      <c r="G10" s="18" t="n">
        <f aca="false">IF(D10=0,"-",1000*F10/D10)</f>
        <v>0.206803846551546</v>
      </c>
      <c r="H10" s="16" t="n">
        <v>50</v>
      </c>
      <c r="I10" s="18" t="n">
        <f aca="false">IF(D10=0,"-",100*H10/D10)</f>
        <v>0.258504808189432</v>
      </c>
      <c r="J10" s="26" t="n">
        <v>1</v>
      </c>
      <c r="K10" s="18" t="n">
        <v>48.01</v>
      </c>
      <c r="L10" s="18" t="n">
        <v>3.88</v>
      </c>
    </row>
    <row r="11" customFormat="false" ht="15" hidden="false" customHeight="false" outlineLevel="0" collapsed="false">
      <c r="A11" s="14" t="s">
        <v>39</v>
      </c>
      <c r="B11" s="25" t="s">
        <v>51</v>
      </c>
      <c r="C11" s="26" t="n">
        <v>34</v>
      </c>
      <c r="D11" s="16" t="n">
        <v>29359</v>
      </c>
      <c r="E11" s="16" t="n">
        <v>4258</v>
      </c>
      <c r="F11" s="26" t="n">
        <v>6</v>
      </c>
      <c r="G11" s="18" t="n">
        <f aca="false">IF(D11=0,"-",1000*F11/D11)</f>
        <v>0.204366633740931</v>
      </c>
      <c r="H11" s="16" t="n">
        <v>106</v>
      </c>
      <c r="I11" s="18" t="n">
        <f aca="false">IF(D11=0,"-",100*H11/D11)</f>
        <v>0.361047719608979</v>
      </c>
      <c r="J11" s="26" t="n">
        <v>0</v>
      </c>
      <c r="K11" s="18" t="n">
        <v>45.03</v>
      </c>
      <c r="L11" s="18" t="n">
        <v>1.66</v>
      </c>
    </row>
    <row r="12" customFormat="false" ht="15" hidden="false" customHeight="false" outlineLevel="0" collapsed="false">
      <c r="A12" s="14" t="s">
        <v>55</v>
      </c>
      <c r="B12" s="26" t="s">
        <v>53</v>
      </c>
      <c r="C12" s="26" t="n">
        <v>7</v>
      </c>
      <c r="D12" s="16" t="n">
        <v>21193</v>
      </c>
      <c r="E12" s="16" t="n">
        <v>5008</v>
      </c>
      <c r="F12" s="26" t="n">
        <v>4</v>
      </c>
      <c r="G12" s="18" t="n">
        <f aca="false">IF(D12=0,"-",1000*F12/D12)</f>
        <v>0.188741565611287</v>
      </c>
      <c r="H12" s="16" t="n">
        <v>51</v>
      </c>
      <c r="I12" s="18" t="n">
        <f aca="false">IF(D12=0,"-",100*H12/D12)</f>
        <v>0.240645496154391</v>
      </c>
      <c r="J12" s="26" t="n">
        <v>1</v>
      </c>
      <c r="K12" s="18" t="n">
        <v>74.01</v>
      </c>
      <c r="L12" s="18" t="n">
        <v>13.81</v>
      </c>
    </row>
    <row r="13" customFormat="false" ht="15" hidden="false" customHeight="false" outlineLevel="0" collapsed="false">
      <c r="A13" s="14" t="s">
        <v>40</v>
      </c>
      <c r="B13" s="25" t="s">
        <v>51</v>
      </c>
      <c r="C13" s="26" t="n">
        <v>41</v>
      </c>
      <c r="D13" s="16" t="n">
        <v>35663</v>
      </c>
      <c r="E13" s="16" t="n">
        <v>1808</v>
      </c>
      <c r="F13" s="26" t="n">
        <v>6</v>
      </c>
      <c r="G13" s="18" t="n">
        <f aca="false">IF(D13=0,"-",1000*F13/D13)</f>
        <v>0.16824159493032</v>
      </c>
      <c r="H13" s="16" t="n">
        <v>90</v>
      </c>
      <c r="I13" s="18" t="n">
        <f aca="false">IF(D13=0,"-",100*H13/D13)</f>
        <v>0.25236239239548</v>
      </c>
      <c r="J13" s="26" t="n">
        <v>6</v>
      </c>
      <c r="K13" s="18" t="n">
        <v>51.27</v>
      </c>
      <c r="L13" s="18" t="n">
        <v>5.45</v>
      </c>
    </row>
    <row r="14" customFormat="false" ht="15" hidden="false" customHeight="false" outlineLevel="0" collapsed="false">
      <c r="A14" s="14" t="s">
        <v>56</v>
      </c>
      <c r="B14" s="26" t="s">
        <v>53</v>
      </c>
      <c r="C14" s="26" t="n">
        <v>12</v>
      </c>
      <c r="D14" s="16" t="n">
        <v>29041</v>
      </c>
      <c r="E14" s="16" t="n">
        <v>199</v>
      </c>
      <c r="F14" s="26" t="n">
        <v>0</v>
      </c>
      <c r="G14" s="18" t="n">
        <f aca="false">IF(D14=0,"-",1000*F14/D14)</f>
        <v>0</v>
      </c>
      <c r="H14" s="16" t="n">
        <v>54</v>
      </c>
      <c r="I14" s="18" t="n">
        <f aca="false">IF(D14=0,"-",100*H14/D14)</f>
        <v>0.185944010192487</v>
      </c>
      <c r="J14" s="26" t="n">
        <v>2</v>
      </c>
      <c r="K14" s="18" t="n">
        <v>57.72</v>
      </c>
      <c r="L14" s="18" t="n">
        <v>7.35</v>
      </c>
    </row>
    <row r="15" customFormat="false" ht="15" hidden="false" customHeight="false" outlineLevel="0" collapsed="false">
      <c r="A15" s="14" t="s">
        <v>57</v>
      </c>
      <c r="B15" s="26" t="s">
        <v>53</v>
      </c>
      <c r="C15" s="26" t="n">
        <v>14</v>
      </c>
      <c r="D15" s="16" t="n">
        <v>6405</v>
      </c>
      <c r="E15" s="16" t="n">
        <v>131</v>
      </c>
      <c r="F15" s="26" t="n">
        <v>0</v>
      </c>
      <c r="G15" s="18" t="n">
        <f aca="false">IF(D15=0,"-",1000*F15/D15)</f>
        <v>0</v>
      </c>
      <c r="H15" s="16" t="n">
        <v>26</v>
      </c>
      <c r="I15" s="18" t="n">
        <f aca="false">IF(D15=0,"-",100*H15/D15)</f>
        <v>0.405932864949258</v>
      </c>
      <c r="J15" s="26" t="n">
        <v>1</v>
      </c>
      <c r="K15" s="18" t="n">
        <v>44.57</v>
      </c>
      <c r="L15" s="18" t="n">
        <v>5.57</v>
      </c>
    </row>
    <row r="16" customFormat="false" ht="15" hidden="false" customHeight="false" outlineLevel="0" collapsed="false">
      <c r="A16" s="14" t="s">
        <v>58</v>
      </c>
      <c r="B16" s="26" t="s">
        <v>53</v>
      </c>
      <c r="C16" s="26" t="n">
        <v>2</v>
      </c>
      <c r="D16" s="16" t="n">
        <v>0</v>
      </c>
      <c r="E16" s="16" t="n">
        <v>0</v>
      </c>
      <c r="F16" s="26" t="n">
        <v>0</v>
      </c>
      <c r="G16" s="18" t="str">
        <f aca="false">IF(D16=0,"-",1000*F16/D16)</f>
        <v>-</v>
      </c>
      <c r="H16" s="16" t="n">
        <v>0</v>
      </c>
      <c r="I16" s="18" t="str">
        <f aca="false">IF(D16=0,"-",100*H16/D16)</f>
        <v>-</v>
      </c>
      <c r="J16" s="26" t="n">
        <v>0</v>
      </c>
      <c r="K16" s="18"/>
      <c r="L16" s="18"/>
    </row>
    <row r="17" customFormat="false" ht="15" hidden="false" customHeight="false" outlineLevel="0" collapsed="false">
      <c r="A17" s="20" t="s">
        <v>59</v>
      </c>
      <c r="B17" s="23"/>
      <c r="C17" s="20" t="n">
        <f aca="false">SUM(C5:C16)</f>
        <v>302</v>
      </c>
      <c r="D17" s="21" t="n">
        <f aca="false">SUM(D5:D16)</f>
        <v>273941</v>
      </c>
      <c r="E17" s="21" t="n">
        <f aca="false">SUM(E5:E16)</f>
        <v>44431</v>
      </c>
      <c r="F17" s="20" t="n">
        <f aca="false">SUM(F5:F16)</f>
        <v>97</v>
      </c>
      <c r="G17" s="22" t="n">
        <f aca="false">IF(D17=0,"-",1000*F17/D17)</f>
        <v>0.354090844378899</v>
      </c>
      <c r="H17" s="21" t="n">
        <f aca="false">SUM(H5:H16)</f>
        <v>876</v>
      </c>
      <c r="I17" s="22" t="n">
        <f aca="false">IF(D17=0,"-",100*H17/D17)</f>
        <v>0.319776886263831</v>
      </c>
      <c r="J17" s="20" t="n">
        <f aca="false">SUM(J5:J16)</f>
        <v>24</v>
      </c>
      <c r="K17" s="23"/>
      <c r="L17" s="23"/>
    </row>
    <row r="20" customFormat="false" ht="19.4" hidden="false" customHeight="false" outlineLevel="0" collapsed="false">
      <c r="A20" s="13" t="s">
        <v>60</v>
      </c>
    </row>
    <row r="21" customFormat="false" ht="30" hidden="false" customHeight="true" outlineLevel="0" collapsed="false">
      <c r="A21" s="4" t="s">
        <v>27</v>
      </c>
      <c r="B21" s="4" t="s">
        <v>61</v>
      </c>
      <c r="C21" s="4" t="s">
        <v>62</v>
      </c>
      <c r="D21" s="4" t="s">
        <v>63</v>
      </c>
      <c r="E21" s="4" t="s">
        <v>64</v>
      </c>
      <c r="F21" s="4" t="s">
        <v>65</v>
      </c>
      <c r="G21" s="4" t="s">
        <v>66</v>
      </c>
      <c r="H21" s="4" t="s">
        <v>67</v>
      </c>
      <c r="I21" s="4" t="s">
        <v>68</v>
      </c>
      <c r="J21" s="4" t="s">
        <v>69</v>
      </c>
      <c r="K21" s="4" t="s">
        <v>70</v>
      </c>
      <c r="L21" s="4" t="s">
        <v>71</v>
      </c>
      <c r="M21" s="4" t="s">
        <v>72</v>
      </c>
    </row>
    <row r="22" customFormat="false" ht="15" hidden="false" customHeight="false" outlineLevel="0" collapsed="false">
      <c r="A22" s="14" t="s">
        <v>40</v>
      </c>
      <c r="B22" s="27" t="n">
        <v>103.1</v>
      </c>
      <c r="C22" s="27" t="n">
        <v>72</v>
      </c>
      <c r="D22" s="27" t="n">
        <v>52.4</v>
      </c>
      <c r="E22" s="27" t="n">
        <v>41.4</v>
      </c>
      <c r="F22" s="28" t="n">
        <v>34</v>
      </c>
      <c r="G22" s="28" t="n">
        <v>28.6</v>
      </c>
      <c r="H22" s="28" t="n">
        <v>24.4</v>
      </c>
      <c r="I22" s="28" t="n">
        <v>18.6</v>
      </c>
      <c r="J22" s="28" t="n">
        <v>13.9</v>
      </c>
      <c r="K22" s="28" t="n">
        <v>11.9</v>
      </c>
      <c r="L22" s="29" t="n">
        <f aca="false">IF(OR(B22="",D22=""),"-",B22-D22)</f>
        <v>50.7</v>
      </c>
      <c r="M22" s="29" t="n">
        <f aca="false">IF(OR(D22="",H22=""),"-",D22-H22)</f>
        <v>28</v>
      </c>
    </row>
    <row r="23" customFormat="false" ht="15" hidden="false" customHeight="false" outlineLevel="0" collapsed="false">
      <c r="A23" s="14" t="s">
        <v>55</v>
      </c>
      <c r="B23" s="27" t="n">
        <v>117.8</v>
      </c>
      <c r="C23" s="27" t="n">
        <v>100</v>
      </c>
      <c r="D23" s="30" t="n">
        <v>85.2</v>
      </c>
      <c r="E23" s="30" t="n">
        <v>75.6</v>
      </c>
      <c r="F23" s="30" t="n">
        <v>68.7</v>
      </c>
      <c r="G23" s="30" t="n">
        <v>63.1</v>
      </c>
      <c r="H23" s="30" t="n">
        <v>59.1</v>
      </c>
      <c r="I23" s="27" t="n">
        <v>54.6</v>
      </c>
      <c r="J23" s="27" t="n">
        <v>50.5</v>
      </c>
      <c r="K23" s="27" t="n">
        <v>48.4</v>
      </c>
      <c r="L23" s="29" t="n">
        <f aca="false">IF(OR(B23="",D23=""),"-",B23-D23)</f>
        <v>32.6</v>
      </c>
      <c r="M23" s="29" t="n">
        <f aca="false">IF(OR(D23="",H23=""),"-",D23-H23)</f>
        <v>26.1</v>
      </c>
    </row>
    <row r="24" customFormat="false" ht="15" hidden="false" customHeight="false" outlineLevel="0" collapsed="false">
      <c r="A24" s="14" t="s">
        <v>56</v>
      </c>
      <c r="B24" s="27" t="n">
        <v>114.7</v>
      </c>
      <c r="C24" s="27" t="n">
        <v>87.4</v>
      </c>
      <c r="D24" s="30" t="n">
        <v>68.7</v>
      </c>
      <c r="E24" s="30" t="n">
        <v>57</v>
      </c>
      <c r="F24" s="27" t="n">
        <v>50.2</v>
      </c>
      <c r="G24" s="27" t="n">
        <v>46.8</v>
      </c>
      <c r="H24" s="27" t="n">
        <v>42.6</v>
      </c>
      <c r="I24" s="28" t="n">
        <v>37.9</v>
      </c>
      <c r="J24" s="28" t="n">
        <v>33.8</v>
      </c>
      <c r="K24" s="28" t="n">
        <v>31.1</v>
      </c>
      <c r="L24" s="29" t="n">
        <f aca="false">IF(OR(B24="",D24=""),"-",B24-D24)</f>
        <v>46</v>
      </c>
      <c r="M24" s="29" t="n">
        <f aca="false">IF(OR(D24="",H24=""),"-",D24-H24)</f>
        <v>26.1</v>
      </c>
    </row>
    <row r="25" customFormat="false" ht="15" hidden="false" customHeight="false" outlineLevel="0" collapsed="false">
      <c r="A25" s="14" t="s">
        <v>54</v>
      </c>
      <c r="B25" s="27" t="n">
        <v>117.9</v>
      </c>
      <c r="C25" s="27" t="n">
        <v>86.3</v>
      </c>
      <c r="D25" s="30" t="n">
        <v>55.2</v>
      </c>
      <c r="E25" s="27" t="n">
        <v>43.7</v>
      </c>
      <c r="F25" s="28" t="n">
        <v>37.8</v>
      </c>
      <c r="G25" s="28" t="n">
        <v>33.1</v>
      </c>
      <c r="H25" s="28" t="n">
        <v>29.7</v>
      </c>
      <c r="I25" s="28" t="n">
        <v>27.4</v>
      </c>
      <c r="J25" s="28" t="n">
        <v>25.8</v>
      </c>
      <c r="K25" s="28" t="n">
        <v>24.4</v>
      </c>
      <c r="L25" s="29" t="n">
        <f aca="false">IF(OR(B25="",D25=""),"-",B25-D25)</f>
        <v>62.7</v>
      </c>
      <c r="M25" s="29" t="n">
        <f aca="false">IF(OR(D25="",H25=""),"-",D25-H25)</f>
        <v>25.5</v>
      </c>
    </row>
    <row r="26" customFormat="false" ht="15" hidden="false" customHeight="false" outlineLevel="0" collapsed="false">
      <c r="A26" s="14" t="s">
        <v>37</v>
      </c>
      <c r="B26" s="27" t="n">
        <v>118.1</v>
      </c>
      <c r="C26" s="27" t="n">
        <v>88.4</v>
      </c>
      <c r="D26" s="30" t="n">
        <v>67.4</v>
      </c>
      <c r="E26" s="30" t="n">
        <v>57.2</v>
      </c>
      <c r="F26" s="27" t="n">
        <v>50.9</v>
      </c>
      <c r="G26" s="27" t="n">
        <v>45.8</v>
      </c>
      <c r="H26" s="27" t="n">
        <v>42.2</v>
      </c>
      <c r="I26" s="28" t="n">
        <v>36.6</v>
      </c>
      <c r="J26" s="28" t="n">
        <v>29.1</v>
      </c>
      <c r="K26" s="28" t="n">
        <v>26.5</v>
      </c>
      <c r="L26" s="29" t="n">
        <f aca="false">IF(OR(B26="",D26=""),"-",B26-D26)</f>
        <v>50.7</v>
      </c>
      <c r="M26" s="29" t="n">
        <f aca="false">IF(OR(D26="",H26=""),"-",D26-H26)</f>
        <v>25.2</v>
      </c>
    </row>
    <row r="27" customFormat="false" ht="15" hidden="false" customHeight="false" outlineLevel="0" collapsed="false">
      <c r="A27" s="14" t="s">
        <v>39</v>
      </c>
      <c r="B27" s="27" t="n">
        <v>107.8</v>
      </c>
      <c r="C27" s="27" t="n">
        <v>78.2</v>
      </c>
      <c r="D27" s="30" t="n">
        <v>57.8</v>
      </c>
      <c r="E27" s="27" t="n">
        <v>46.8</v>
      </c>
      <c r="F27" s="27" t="n">
        <v>40.8</v>
      </c>
      <c r="G27" s="28" t="n">
        <v>36.4</v>
      </c>
      <c r="H27" s="28" t="n">
        <v>32.8</v>
      </c>
      <c r="I27" s="28" t="n">
        <v>29.5</v>
      </c>
      <c r="J27" s="28" t="n">
        <v>23.1</v>
      </c>
      <c r="K27" s="28" t="n">
        <v>19.5</v>
      </c>
      <c r="L27" s="29" t="n">
        <f aca="false">IF(OR(B27="",D27=""),"-",B27-D27)</f>
        <v>50</v>
      </c>
      <c r="M27" s="29" t="n">
        <f aca="false">IF(OR(D27="",H27=""),"-",D27-H27)</f>
        <v>25</v>
      </c>
    </row>
    <row r="28" customFormat="false" ht="15" hidden="false" customHeight="false" outlineLevel="0" collapsed="false">
      <c r="A28" s="14" t="s">
        <v>36</v>
      </c>
      <c r="B28" s="27" t="n">
        <v>107.6</v>
      </c>
      <c r="C28" s="27" t="n">
        <v>80.7</v>
      </c>
      <c r="D28" s="30" t="n">
        <v>58.6</v>
      </c>
      <c r="E28" s="27" t="n">
        <v>47.6</v>
      </c>
      <c r="F28" s="27" t="n">
        <v>41.9</v>
      </c>
      <c r="G28" s="28" t="n">
        <v>37.9</v>
      </c>
      <c r="H28" s="28" t="n">
        <v>35</v>
      </c>
      <c r="I28" s="28" t="n">
        <v>30.8</v>
      </c>
      <c r="J28" s="28" t="n">
        <v>21.4</v>
      </c>
      <c r="K28" s="28" t="n">
        <v>16.8</v>
      </c>
      <c r="L28" s="29" t="n">
        <f aca="false">IF(OR(B28="",D28=""),"-",B28-D28)</f>
        <v>49</v>
      </c>
      <c r="M28" s="29" t="n">
        <f aca="false">IF(OR(D28="",H28=""),"-",D28-H28)</f>
        <v>23.6</v>
      </c>
    </row>
    <row r="29" customFormat="false" ht="15" hidden="false" customHeight="false" outlineLevel="0" collapsed="false">
      <c r="A29" s="14" t="s">
        <v>38</v>
      </c>
      <c r="B29" s="27" t="n">
        <v>108.7</v>
      </c>
      <c r="C29" s="27" t="n">
        <v>82.5</v>
      </c>
      <c r="D29" s="30" t="n">
        <v>64</v>
      </c>
      <c r="E29" s="27" t="n">
        <v>54.5</v>
      </c>
      <c r="F29" s="27" t="n">
        <v>49</v>
      </c>
      <c r="G29" s="27" t="n">
        <v>45.5</v>
      </c>
      <c r="H29" s="27" t="n">
        <v>42</v>
      </c>
      <c r="I29" s="28" t="n">
        <v>35.3</v>
      </c>
      <c r="J29" s="28" t="n">
        <v>24.8</v>
      </c>
      <c r="K29" s="28" t="n">
        <v>21.2</v>
      </c>
      <c r="L29" s="29" t="n">
        <f aca="false">IF(OR(B29="",D29=""),"-",B29-D29)</f>
        <v>44.7</v>
      </c>
      <c r="M29" s="29" t="n">
        <f aca="false">IF(OR(D29="",H29=""),"-",D29-H29)</f>
        <v>22</v>
      </c>
    </row>
    <row r="30" customFormat="false" ht="15" hidden="false" customHeight="false" outlineLevel="0" collapsed="false">
      <c r="A30" s="14" t="s">
        <v>52</v>
      </c>
      <c r="B30" s="27" t="n">
        <v>119.7</v>
      </c>
      <c r="C30" s="27" t="n">
        <v>79.9</v>
      </c>
      <c r="D30" s="30" t="n">
        <v>62</v>
      </c>
      <c r="E30" s="27" t="n">
        <v>53.4</v>
      </c>
      <c r="F30" s="27" t="n">
        <v>47.6</v>
      </c>
      <c r="G30" s="27" t="n">
        <v>44.1</v>
      </c>
      <c r="H30" s="27" t="n">
        <v>40.4</v>
      </c>
      <c r="I30" s="28" t="n">
        <v>37.8</v>
      </c>
      <c r="J30" s="28" t="n">
        <v>35</v>
      </c>
      <c r="K30" s="28" t="n">
        <v>31.1</v>
      </c>
      <c r="L30" s="29" t="n">
        <f aca="false">IF(OR(B30="",D30=""),"-",B30-D30)</f>
        <v>57.7</v>
      </c>
      <c r="M30" s="29" t="n">
        <f aca="false">IF(OR(D30="",H30=""),"-",D30-H30)</f>
        <v>21.6</v>
      </c>
    </row>
    <row r="31" customFormat="false" ht="15" hidden="false" customHeight="false" outlineLevel="0" collapsed="false">
      <c r="A31" s="14" t="s">
        <v>57</v>
      </c>
      <c r="B31" s="27" t="n">
        <v>112.1</v>
      </c>
      <c r="C31" s="27" t="n">
        <v>65.9</v>
      </c>
      <c r="D31" s="27" t="n">
        <v>45.2</v>
      </c>
      <c r="E31" s="28" t="n">
        <v>36.2</v>
      </c>
      <c r="F31" s="28" t="n">
        <v>31.6</v>
      </c>
      <c r="G31" s="28" t="n">
        <v>28.6</v>
      </c>
      <c r="H31" s="28" t="n">
        <v>26.3</v>
      </c>
      <c r="I31" s="28" t="n">
        <v>23.8</v>
      </c>
      <c r="J31" s="28" t="n">
        <v>22</v>
      </c>
      <c r="K31" s="28" t="n">
        <v>20.8</v>
      </c>
      <c r="L31" s="29" t="n">
        <f aca="false">IF(OR(B31="",D31=""),"-",B31-D31)</f>
        <v>66.9</v>
      </c>
      <c r="M31" s="29" t="n">
        <f aca="false">IF(OR(D31="",H31=""),"-",D31-H31)</f>
        <v>18.9</v>
      </c>
    </row>
    <row r="32" customFormat="false" ht="15" hidden="false" customHeight="false" outlineLevel="0" collapsed="false">
      <c r="A32" s="14" t="s">
        <v>35</v>
      </c>
      <c r="B32" s="27" t="n">
        <v>113.6</v>
      </c>
      <c r="C32" s="27" t="n">
        <v>82.7</v>
      </c>
      <c r="D32" s="30" t="n">
        <v>69.3</v>
      </c>
      <c r="E32" s="30" t="n">
        <v>63.1</v>
      </c>
      <c r="F32" s="30" t="n">
        <v>59.5</v>
      </c>
      <c r="G32" s="30" t="n">
        <v>56.2</v>
      </c>
      <c r="H32" s="27" t="n">
        <v>52.7</v>
      </c>
      <c r="I32" s="27" t="n">
        <v>49.7</v>
      </c>
      <c r="J32" s="27" t="n">
        <v>40.7</v>
      </c>
      <c r="K32" s="28" t="n">
        <v>28.6</v>
      </c>
      <c r="L32" s="29" t="n">
        <f aca="false">IF(OR(B32="",D32=""),"-",B32-D32)</f>
        <v>44.3</v>
      </c>
      <c r="M32" s="29" t="n">
        <f aca="false">IF(OR(D32="",H32=""),"-",D32-H32)</f>
        <v>16.6</v>
      </c>
    </row>
    <row r="34" customFormat="false" ht="15" hidden="false" customHeight="false" outlineLevel="0" collapsed="false">
      <c r="A34" s="2" t="s">
        <v>73</v>
      </c>
    </row>
    <row r="35" customFormat="false" ht="15" hidden="false" customHeight="false" outlineLevel="0" collapsed="false">
      <c r="A35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3"/>
  </cols>
  <sheetData>
    <row r="1" customFormat="false" ht="21.6" hidden="false" customHeight="false" outlineLevel="0" collapsed="false">
      <c r="A1" s="24" t="s">
        <v>75</v>
      </c>
    </row>
    <row r="2" customFormat="false" ht="15" hidden="false" customHeight="false" outlineLevel="0" collapsed="false">
      <c r="A2" s="31" t="s">
        <v>76</v>
      </c>
    </row>
    <row r="4" customFormat="false" ht="30" hidden="false" customHeight="true" outlineLevel="0" collapsed="false">
      <c r="A4" s="4" t="s">
        <v>27</v>
      </c>
      <c r="B4" s="5" t="s">
        <v>77</v>
      </c>
      <c r="C4" s="5" t="s">
        <v>78</v>
      </c>
      <c r="D4" s="5" t="s">
        <v>79</v>
      </c>
      <c r="E4" s="5" t="s">
        <v>48</v>
      </c>
      <c r="F4" s="4" t="s">
        <v>80</v>
      </c>
      <c r="G4" s="5" t="s">
        <v>81</v>
      </c>
      <c r="H4" s="5" t="s">
        <v>82</v>
      </c>
      <c r="I4" s="5" t="s">
        <v>83</v>
      </c>
      <c r="J4" s="5" t="s">
        <v>84</v>
      </c>
      <c r="K4" s="5" t="s">
        <v>50</v>
      </c>
      <c r="L4" s="5" t="s">
        <v>30</v>
      </c>
      <c r="M4" s="5" t="s">
        <v>31</v>
      </c>
    </row>
    <row r="5" customFormat="false" ht="15" hidden="false" customHeight="false" outlineLevel="0" collapsed="false">
      <c r="A5" s="15" t="s">
        <v>55</v>
      </c>
      <c r="B5" s="26" t="s">
        <v>85</v>
      </c>
      <c r="C5" s="15" t="s">
        <v>86</v>
      </c>
      <c r="D5" s="16" t="n">
        <v>15733</v>
      </c>
      <c r="E5" s="16" t="n">
        <v>4447</v>
      </c>
      <c r="F5" s="18" t="n">
        <v>5.847</v>
      </c>
      <c r="G5" s="18" t="n">
        <v>83.16</v>
      </c>
      <c r="H5" s="18" t="n">
        <v>27.7</v>
      </c>
      <c r="I5" s="18" t="n">
        <v>23</v>
      </c>
      <c r="J5" s="26" t="n">
        <v>43</v>
      </c>
      <c r="K5" s="26" t="n">
        <v>1</v>
      </c>
      <c r="L5" s="26" t="n">
        <v>3</v>
      </c>
      <c r="M5" s="18" t="n">
        <f aca="false">IF(D5=0,"-",1000*L5/D5)</f>
        <v>0.190682005974703</v>
      </c>
    </row>
    <row r="6" customFormat="false" ht="15" hidden="false" customHeight="false" outlineLevel="0" collapsed="false">
      <c r="A6" s="15" t="s">
        <v>56</v>
      </c>
      <c r="B6" s="15" t="s">
        <v>87</v>
      </c>
      <c r="C6" s="15" t="s">
        <v>88</v>
      </c>
      <c r="D6" s="16" t="n">
        <v>12732</v>
      </c>
      <c r="E6" s="16" t="n">
        <v>64</v>
      </c>
      <c r="F6" s="18" t="n">
        <v>4.688</v>
      </c>
      <c r="G6" s="18" t="n">
        <v>89.8</v>
      </c>
      <c r="H6" s="18" t="n">
        <v>31.2</v>
      </c>
      <c r="I6" s="18" t="n">
        <v>28</v>
      </c>
      <c r="J6" s="26" t="n">
        <v>23</v>
      </c>
      <c r="K6" s="26" t="n">
        <v>1</v>
      </c>
      <c r="L6" s="32" t="n">
        <v>0</v>
      </c>
      <c r="M6" s="18" t="n">
        <f aca="false">IF(D6=0,"-",1000*L6/D6)</f>
        <v>0</v>
      </c>
    </row>
    <row r="7" customFormat="false" ht="15" hidden="false" customHeight="false" outlineLevel="0" collapsed="false">
      <c r="A7" s="15" t="s">
        <v>56</v>
      </c>
      <c r="B7" s="26" t="s">
        <v>89</v>
      </c>
      <c r="C7" s="15" t="s">
        <v>90</v>
      </c>
      <c r="D7" s="16" t="n">
        <v>10194</v>
      </c>
      <c r="E7" s="16" t="n">
        <v>30</v>
      </c>
      <c r="F7" s="18" t="n">
        <v>0</v>
      </c>
      <c r="G7" s="18" t="n">
        <v>70.05</v>
      </c>
      <c r="H7" s="18" t="n">
        <v>30</v>
      </c>
      <c r="I7" s="18" t="n">
        <v>21</v>
      </c>
      <c r="J7" s="26" t="n">
        <v>22</v>
      </c>
      <c r="K7" s="26" t="n">
        <v>1</v>
      </c>
      <c r="L7" s="32" t="n">
        <v>0</v>
      </c>
      <c r="M7" s="18" t="n">
        <f aca="false">IF(D7=0,"-",1000*L7/D7)</f>
        <v>0</v>
      </c>
    </row>
    <row r="8" customFormat="false" ht="15" hidden="false" customHeight="false" outlineLevel="0" collapsed="false">
      <c r="A8" s="15" t="s">
        <v>35</v>
      </c>
      <c r="B8" s="26" t="s">
        <v>91</v>
      </c>
      <c r="C8" s="15" t="s">
        <v>92</v>
      </c>
      <c r="D8" s="16" t="n">
        <v>5201</v>
      </c>
      <c r="E8" s="16" t="n">
        <v>178</v>
      </c>
      <c r="F8" s="18" t="n">
        <v>1.124</v>
      </c>
      <c r="G8" s="18" t="n">
        <v>50.1</v>
      </c>
      <c r="H8" s="18" t="n">
        <v>61.9</v>
      </c>
      <c r="I8" s="18" t="n">
        <v>31</v>
      </c>
      <c r="J8" s="26" t="n">
        <v>10</v>
      </c>
      <c r="K8" s="26" t="n">
        <v>0</v>
      </c>
      <c r="L8" s="26" t="n">
        <v>4</v>
      </c>
      <c r="M8" s="18" t="n">
        <f aca="false">IF(D8=0,"-",1000*L8/D8)</f>
        <v>0.7690828686791</v>
      </c>
    </row>
    <row r="9" customFormat="false" ht="15" hidden="false" customHeight="false" outlineLevel="0" collapsed="false">
      <c r="A9" s="15" t="s">
        <v>55</v>
      </c>
      <c r="B9" s="26" t="s">
        <v>93</v>
      </c>
      <c r="C9" s="15" t="s">
        <v>90</v>
      </c>
      <c r="D9" s="16" t="n">
        <v>5017</v>
      </c>
      <c r="E9" s="16" t="n">
        <v>176</v>
      </c>
      <c r="F9" s="18" t="n">
        <v>6.25</v>
      </c>
      <c r="G9" s="18" t="n">
        <v>74.13</v>
      </c>
      <c r="H9" s="18" t="n">
        <v>31</v>
      </c>
      <c r="I9" s="18" t="n">
        <v>23</v>
      </c>
      <c r="J9" s="26" t="n">
        <v>8</v>
      </c>
      <c r="K9" s="26" t="n">
        <v>0</v>
      </c>
      <c r="L9" s="26" t="n">
        <v>1</v>
      </c>
      <c r="M9" s="18" t="n">
        <f aca="false">IF(D9=0,"-",1000*L9/D9)</f>
        <v>0.199322304165836</v>
      </c>
    </row>
    <row r="10" customFormat="false" ht="15" hidden="false" customHeight="false" outlineLevel="0" collapsed="false">
      <c r="A10" s="15" t="s">
        <v>35</v>
      </c>
      <c r="B10" s="26" t="s">
        <v>94</v>
      </c>
      <c r="C10" s="15" t="s">
        <v>95</v>
      </c>
      <c r="D10" s="16" t="n">
        <v>3599</v>
      </c>
      <c r="E10" s="16" t="n">
        <v>276</v>
      </c>
      <c r="F10" s="18" t="n">
        <v>2.899</v>
      </c>
      <c r="G10" s="18" t="n">
        <v>79.02</v>
      </c>
      <c r="H10" s="18" t="n">
        <v>51.9</v>
      </c>
      <c r="I10" s="18" t="n">
        <v>41</v>
      </c>
      <c r="J10" s="26" t="n">
        <v>8</v>
      </c>
      <c r="K10" s="26" t="n">
        <v>0</v>
      </c>
      <c r="L10" s="26" t="n">
        <v>6</v>
      </c>
      <c r="M10" s="17" t="n">
        <f aca="false">IF(D10=0,"-",1000*L10/D10)</f>
        <v>1.66712975826619</v>
      </c>
    </row>
    <row r="11" customFormat="false" ht="15" hidden="false" customHeight="false" outlineLevel="0" collapsed="false">
      <c r="A11" s="15" t="s">
        <v>39</v>
      </c>
      <c r="B11" s="26" t="s">
        <v>96</v>
      </c>
      <c r="C11" s="15" t="s">
        <v>97</v>
      </c>
      <c r="D11" s="16" t="n">
        <v>2346</v>
      </c>
      <c r="E11" s="16" t="n">
        <v>74</v>
      </c>
      <c r="F11" s="18" t="n">
        <v>1.351</v>
      </c>
      <c r="G11" s="18" t="n">
        <v>34.28</v>
      </c>
      <c r="H11" s="18" t="n">
        <v>29.2</v>
      </c>
      <c r="I11" s="18" t="n">
        <v>10</v>
      </c>
      <c r="J11" s="26" t="n">
        <v>3</v>
      </c>
      <c r="K11" s="26" t="n">
        <v>0</v>
      </c>
      <c r="L11" s="32" t="n">
        <v>0</v>
      </c>
      <c r="M11" s="18" t="n">
        <f aca="false">IF(D11=0,"-",1000*L11/D11)</f>
        <v>0</v>
      </c>
    </row>
    <row r="12" customFormat="false" ht="15" hidden="false" customHeight="false" outlineLevel="0" collapsed="false">
      <c r="A12" s="15" t="s">
        <v>39</v>
      </c>
      <c r="B12" s="26" t="s">
        <v>98</v>
      </c>
      <c r="C12" s="15" t="s">
        <v>99</v>
      </c>
      <c r="D12" s="16" t="n">
        <v>2251</v>
      </c>
      <c r="E12" s="16" t="n">
        <v>270</v>
      </c>
      <c r="F12" s="18" t="n">
        <v>1.481</v>
      </c>
      <c r="G12" s="18" t="n">
        <v>85.8</v>
      </c>
      <c r="H12" s="18" t="n">
        <v>30.3</v>
      </c>
      <c r="I12" s="18" t="n">
        <v>26</v>
      </c>
      <c r="J12" s="26" t="n">
        <v>11</v>
      </c>
      <c r="K12" s="26" t="n">
        <v>0</v>
      </c>
      <c r="L12" s="32" t="n">
        <v>0</v>
      </c>
      <c r="M12" s="18" t="n">
        <f aca="false">IF(D12=0,"-",1000*L12/D12)</f>
        <v>0</v>
      </c>
    </row>
    <row r="13" customFormat="false" ht="15" hidden="false" customHeight="false" outlineLevel="0" collapsed="false">
      <c r="A13" s="15" t="s">
        <v>35</v>
      </c>
      <c r="B13" s="26" t="s">
        <v>100</v>
      </c>
      <c r="C13" s="15" t="s">
        <v>86</v>
      </c>
      <c r="D13" s="16" t="n">
        <v>2240</v>
      </c>
      <c r="E13" s="16" t="n">
        <v>307</v>
      </c>
      <c r="F13" s="18" t="n">
        <v>2.28</v>
      </c>
      <c r="G13" s="18" t="n">
        <v>89.99</v>
      </c>
      <c r="H13" s="18" t="n">
        <v>48.9</v>
      </c>
      <c r="I13" s="18" t="n">
        <v>44</v>
      </c>
      <c r="J13" s="26" t="n">
        <v>23</v>
      </c>
      <c r="K13" s="26" t="n">
        <v>0</v>
      </c>
      <c r="L13" s="26" t="n">
        <v>3</v>
      </c>
      <c r="M13" s="18" t="n">
        <f aca="false">IF(D13=0,"-",1000*L13/D13)</f>
        <v>1.33928571428571</v>
      </c>
    </row>
    <row r="14" customFormat="false" ht="15" hidden="false" customHeight="false" outlineLevel="0" collapsed="false">
      <c r="A14" s="15" t="s">
        <v>35</v>
      </c>
      <c r="B14" s="26" t="s">
        <v>101</v>
      </c>
      <c r="C14" s="15" t="s">
        <v>86</v>
      </c>
      <c r="D14" s="16" t="n">
        <v>1977</v>
      </c>
      <c r="E14" s="16" t="n">
        <v>353</v>
      </c>
      <c r="F14" s="18" t="n">
        <v>5.099</v>
      </c>
      <c r="G14" s="18" t="n">
        <v>73.45</v>
      </c>
      <c r="H14" s="18" t="n">
        <v>40.8</v>
      </c>
      <c r="I14" s="18" t="n">
        <v>30</v>
      </c>
      <c r="J14" s="26" t="n">
        <v>16</v>
      </c>
      <c r="K14" s="26" t="n">
        <v>0</v>
      </c>
      <c r="L14" s="26" t="n">
        <v>2</v>
      </c>
      <c r="M14" s="18" t="n">
        <f aca="false">IF(D14=0,"-",1000*L14/D14)</f>
        <v>1.01163378856854</v>
      </c>
    </row>
    <row r="15" customFormat="false" ht="15" hidden="false" customHeight="false" outlineLevel="0" collapsed="false">
      <c r="A15" s="15" t="s">
        <v>38</v>
      </c>
      <c r="B15" s="26" t="s">
        <v>102</v>
      </c>
      <c r="C15" s="15" t="s">
        <v>97</v>
      </c>
      <c r="D15" s="16" t="n">
        <v>1971</v>
      </c>
      <c r="E15" s="16" t="n">
        <v>157</v>
      </c>
      <c r="F15" s="18" t="n">
        <v>3.185</v>
      </c>
      <c r="G15" s="18" t="n">
        <v>69.43</v>
      </c>
      <c r="H15" s="18" t="n">
        <v>27.4</v>
      </c>
      <c r="I15" s="18" t="n">
        <v>19</v>
      </c>
      <c r="J15" s="26" t="n">
        <v>5</v>
      </c>
      <c r="K15" s="26" t="n">
        <v>0</v>
      </c>
      <c r="L15" s="32" t="n">
        <v>0</v>
      </c>
      <c r="M15" s="18" t="n">
        <f aca="false">IF(D15=0,"-",1000*L15/D15)</f>
        <v>0</v>
      </c>
    </row>
    <row r="16" customFormat="false" ht="15" hidden="false" customHeight="false" outlineLevel="0" collapsed="false">
      <c r="A16" s="15" t="s">
        <v>39</v>
      </c>
      <c r="B16" s="26" t="s">
        <v>103</v>
      </c>
      <c r="C16" s="15" t="s">
        <v>104</v>
      </c>
      <c r="D16" s="16" t="n">
        <v>1952</v>
      </c>
      <c r="E16" s="16" t="n">
        <v>117</v>
      </c>
      <c r="F16" s="18" t="n">
        <v>1.709</v>
      </c>
      <c r="G16" s="18" t="n">
        <v>76.26</v>
      </c>
      <c r="H16" s="18" t="n">
        <v>32.8</v>
      </c>
      <c r="I16" s="18" t="n">
        <v>25</v>
      </c>
      <c r="J16" s="26" t="n">
        <v>2</v>
      </c>
      <c r="K16" s="26" t="n">
        <v>0</v>
      </c>
      <c r="L16" s="32" t="n">
        <v>0</v>
      </c>
      <c r="M16" s="18" t="n">
        <f aca="false">IF(D16=0,"-",1000*L16/D16)</f>
        <v>0</v>
      </c>
    </row>
    <row r="17" customFormat="false" ht="15" hidden="false" customHeight="false" outlineLevel="0" collapsed="false">
      <c r="A17" s="15" t="s">
        <v>35</v>
      </c>
      <c r="B17" s="26" t="s">
        <v>105</v>
      </c>
      <c r="C17" s="15" t="s">
        <v>90</v>
      </c>
      <c r="D17" s="16" t="n">
        <v>1935</v>
      </c>
      <c r="E17" s="16" t="n">
        <v>135</v>
      </c>
      <c r="F17" s="18" t="n">
        <v>0.741</v>
      </c>
      <c r="G17" s="18" t="n">
        <v>68.43</v>
      </c>
      <c r="H17" s="18" t="n">
        <v>64.3</v>
      </c>
      <c r="I17" s="18" t="n">
        <v>44</v>
      </c>
      <c r="J17" s="26" t="n">
        <v>2</v>
      </c>
      <c r="K17" s="26" t="n">
        <v>0</v>
      </c>
      <c r="L17" s="32" t="n">
        <v>0</v>
      </c>
      <c r="M17" s="18" t="n">
        <f aca="false">IF(D17=0,"-",1000*L17/D17)</f>
        <v>0</v>
      </c>
    </row>
    <row r="18" customFormat="false" ht="15" hidden="false" customHeight="false" outlineLevel="0" collapsed="false">
      <c r="A18" s="15" t="s">
        <v>39</v>
      </c>
      <c r="B18" s="26" t="s">
        <v>106</v>
      </c>
      <c r="C18" s="15" t="s">
        <v>107</v>
      </c>
      <c r="D18" s="16" t="n">
        <v>1917</v>
      </c>
      <c r="E18" s="16" t="n">
        <v>131</v>
      </c>
      <c r="F18" s="18" t="n">
        <v>0.763</v>
      </c>
      <c r="G18" s="18" t="n">
        <v>54.38</v>
      </c>
      <c r="H18" s="18" t="n">
        <v>31.3</v>
      </c>
      <c r="I18" s="18" t="n">
        <v>17</v>
      </c>
      <c r="J18" s="26" t="n">
        <v>8</v>
      </c>
      <c r="K18" s="26" t="n">
        <v>0</v>
      </c>
      <c r="L18" s="32" t="n">
        <v>0</v>
      </c>
      <c r="M18" s="18" t="n">
        <f aca="false">IF(D18=0,"-",1000*L18/D18)</f>
        <v>0</v>
      </c>
    </row>
    <row r="19" customFormat="false" ht="15" hidden="false" customHeight="false" outlineLevel="0" collapsed="false">
      <c r="A19" s="15" t="s">
        <v>39</v>
      </c>
      <c r="B19" s="26" t="s">
        <v>108</v>
      </c>
      <c r="C19" s="15" t="s">
        <v>109</v>
      </c>
      <c r="D19" s="16" t="n">
        <v>1908</v>
      </c>
      <c r="E19" s="16" t="n">
        <v>84</v>
      </c>
      <c r="F19" s="18" t="n">
        <v>2.381</v>
      </c>
      <c r="G19" s="18" t="n">
        <v>57.36</v>
      </c>
      <c r="H19" s="18" t="n">
        <v>31.4</v>
      </c>
      <c r="I19" s="18" t="n">
        <v>18</v>
      </c>
      <c r="J19" s="26" t="n">
        <v>7</v>
      </c>
      <c r="K19" s="26" t="n">
        <v>0</v>
      </c>
      <c r="L19" s="26" t="n">
        <v>1</v>
      </c>
      <c r="M19" s="18" t="n">
        <f aca="false">IF(D19=0,"-",1000*L19/D19)</f>
        <v>0.524109014675052</v>
      </c>
    </row>
    <row r="20" customFormat="false" ht="15" hidden="false" customHeight="false" outlineLevel="0" collapsed="false">
      <c r="A20" s="15" t="s">
        <v>39</v>
      </c>
      <c r="B20" s="26" t="s">
        <v>110</v>
      </c>
      <c r="C20" s="15" t="s">
        <v>111</v>
      </c>
      <c r="D20" s="16" t="n">
        <v>1888</v>
      </c>
      <c r="E20" s="16" t="n">
        <v>142</v>
      </c>
      <c r="F20" s="18" t="n">
        <v>0</v>
      </c>
      <c r="G20" s="18" t="n">
        <v>50.2</v>
      </c>
      <c r="H20" s="18" t="n">
        <v>33.9</v>
      </c>
      <c r="I20" s="18" t="n">
        <v>17</v>
      </c>
      <c r="J20" s="26" t="n">
        <v>5</v>
      </c>
      <c r="K20" s="26" t="n">
        <v>0</v>
      </c>
      <c r="L20" s="32" t="n">
        <v>0</v>
      </c>
      <c r="M20" s="18" t="n">
        <f aca="false">IF(D20=0,"-",1000*L20/D20)</f>
        <v>0</v>
      </c>
    </row>
    <row r="21" customFormat="false" ht="15" hidden="false" customHeight="false" outlineLevel="0" collapsed="false">
      <c r="A21" s="15" t="s">
        <v>40</v>
      </c>
      <c r="B21" s="15" t="s">
        <v>112</v>
      </c>
      <c r="C21" s="15" t="s">
        <v>113</v>
      </c>
      <c r="D21" s="16" t="n">
        <v>1812</v>
      </c>
      <c r="E21" s="16" t="n">
        <v>34</v>
      </c>
      <c r="F21" s="18" t="n">
        <v>32.353</v>
      </c>
      <c r="G21" s="18" t="n">
        <v>41.89</v>
      </c>
      <c r="H21" s="18" t="n">
        <v>28.6</v>
      </c>
      <c r="I21" s="18" t="n">
        <v>12</v>
      </c>
      <c r="J21" s="26" t="n">
        <v>4</v>
      </c>
      <c r="K21" s="26" t="n">
        <v>1</v>
      </c>
      <c r="L21" s="32" t="n">
        <v>0</v>
      </c>
      <c r="M21" s="18" t="n">
        <f aca="false">IF(D21=0,"-",1000*L21/D21)</f>
        <v>0</v>
      </c>
    </row>
    <row r="22" customFormat="false" ht="15" hidden="false" customHeight="false" outlineLevel="0" collapsed="false">
      <c r="A22" s="15" t="s">
        <v>38</v>
      </c>
      <c r="B22" s="26" t="s">
        <v>114</v>
      </c>
      <c r="C22" s="15" t="s">
        <v>115</v>
      </c>
      <c r="D22" s="16" t="n">
        <v>1789</v>
      </c>
      <c r="E22" s="16" t="n">
        <v>170</v>
      </c>
      <c r="F22" s="18" t="n">
        <v>2.353</v>
      </c>
      <c r="G22" s="18" t="n">
        <v>55.06</v>
      </c>
      <c r="H22" s="18" t="n">
        <v>29.1</v>
      </c>
      <c r="I22" s="18" t="n">
        <v>16</v>
      </c>
      <c r="J22" s="26" t="n">
        <v>7</v>
      </c>
      <c r="K22" s="26" t="n">
        <v>0</v>
      </c>
      <c r="L22" s="32" t="n">
        <v>0</v>
      </c>
      <c r="M22" s="18" t="n">
        <f aca="false">IF(D22=0,"-",1000*L22/D22)</f>
        <v>0</v>
      </c>
    </row>
    <row r="23" customFormat="false" ht="15" hidden="false" customHeight="false" outlineLevel="0" collapsed="false">
      <c r="A23" s="15" t="s">
        <v>39</v>
      </c>
      <c r="B23" s="26" t="s">
        <v>116</v>
      </c>
      <c r="C23" s="15" t="s">
        <v>117</v>
      </c>
      <c r="D23" s="16" t="n">
        <v>1705</v>
      </c>
      <c r="E23" s="16" t="n">
        <v>196</v>
      </c>
      <c r="F23" s="18" t="n">
        <v>1.02</v>
      </c>
      <c r="G23" s="18" t="n">
        <v>0</v>
      </c>
      <c r="H23" s="18"/>
      <c r="I23" s="18" t="n">
        <v>13</v>
      </c>
      <c r="J23" s="26" t="n">
        <v>7</v>
      </c>
      <c r="K23" s="26" t="n">
        <v>0</v>
      </c>
      <c r="L23" s="32" t="n">
        <v>0</v>
      </c>
      <c r="M23" s="18" t="n">
        <f aca="false">IF(D23=0,"-",1000*L23/D23)</f>
        <v>0</v>
      </c>
    </row>
    <row r="24" customFormat="false" ht="15" hidden="false" customHeight="false" outlineLevel="0" collapsed="false">
      <c r="A24" s="15" t="s">
        <v>39</v>
      </c>
      <c r="B24" s="26" t="s">
        <v>118</v>
      </c>
      <c r="C24" s="15" t="s">
        <v>115</v>
      </c>
      <c r="D24" s="16" t="n">
        <v>1693</v>
      </c>
      <c r="E24" s="16" t="n">
        <v>202</v>
      </c>
      <c r="F24" s="18" t="n">
        <v>1.485</v>
      </c>
      <c r="G24" s="18" t="n">
        <v>38.69</v>
      </c>
      <c r="H24" s="18" t="n">
        <v>25.8</v>
      </c>
      <c r="I24" s="18" t="n">
        <v>10</v>
      </c>
      <c r="J24" s="26" t="n">
        <v>4</v>
      </c>
      <c r="K24" s="26" t="n">
        <v>0</v>
      </c>
      <c r="L24" s="32" t="n">
        <v>0</v>
      </c>
      <c r="M24" s="18" t="n">
        <f aca="false">IF(D24=0,"-",1000*L24/D24)</f>
        <v>0</v>
      </c>
    </row>
    <row r="25" customFormat="false" ht="15" hidden="false" customHeight="false" outlineLevel="0" collapsed="false">
      <c r="A25" s="15" t="s">
        <v>38</v>
      </c>
      <c r="B25" s="26" t="s">
        <v>119</v>
      </c>
      <c r="C25" s="15" t="s">
        <v>117</v>
      </c>
      <c r="D25" s="16" t="n">
        <v>1679</v>
      </c>
      <c r="E25" s="16" t="n">
        <v>203</v>
      </c>
      <c r="F25" s="18" t="n">
        <v>1.97</v>
      </c>
      <c r="G25" s="18" t="n">
        <v>57.04</v>
      </c>
      <c r="H25" s="18" t="n">
        <v>26.3</v>
      </c>
      <c r="I25" s="18" t="n">
        <v>15</v>
      </c>
      <c r="J25" s="26" t="n">
        <v>0</v>
      </c>
      <c r="K25" s="26" t="n">
        <v>0</v>
      </c>
      <c r="L25" s="32" t="n">
        <v>0</v>
      </c>
      <c r="M25" s="18" t="n">
        <f aca="false">IF(D25=0,"-",1000*L25/D25)</f>
        <v>0</v>
      </c>
    </row>
    <row r="26" customFormat="false" ht="15" hidden="false" customHeight="false" outlineLevel="0" collapsed="false">
      <c r="A26" s="15" t="s">
        <v>35</v>
      </c>
      <c r="B26" s="26" t="s">
        <v>120</v>
      </c>
      <c r="C26" s="15" t="s">
        <v>121</v>
      </c>
      <c r="D26" s="16" t="n">
        <v>1676</v>
      </c>
      <c r="E26" s="16" t="n">
        <v>292</v>
      </c>
      <c r="F26" s="18" t="n">
        <v>3.425</v>
      </c>
      <c r="G26" s="18" t="n">
        <v>53.21</v>
      </c>
      <c r="H26" s="18" t="n">
        <v>95.8</v>
      </c>
      <c r="I26" s="18" t="n">
        <v>51</v>
      </c>
      <c r="J26" s="26" t="n">
        <v>10</v>
      </c>
      <c r="K26" s="26" t="n">
        <v>1</v>
      </c>
      <c r="L26" s="26" t="n">
        <v>1</v>
      </c>
      <c r="M26" s="18" t="n">
        <f aca="false">IF(D26=0,"-",1000*L26/D26)</f>
        <v>0.596658711217184</v>
      </c>
    </row>
    <row r="27" customFormat="false" ht="15" hidden="false" customHeight="false" outlineLevel="0" collapsed="false">
      <c r="A27" s="15" t="s">
        <v>39</v>
      </c>
      <c r="B27" s="15" t="s">
        <v>122</v>
      </c>
      <c r="C27" s="15" t="s">
        <v>121</v>
      </c>
      <c r="D27" s="16" t="n">
        <v>1669</v>
      </c>
      <c r="E27" s="16" t="n">
        <v>378</v>
      </c>
      <c r="F27" s="18" t="n">
        <v>1.852</v>
      </c>
      <c r="G27" s="18" t="n">
        <v>76.55</v>
      </c>
      <c r="H27" s="18" t="n">
        <v>34</v>
      </c>
      <c r="I27" s="18" t="n">
        <v>26</v>
      </c>
      <c r="J27" s="26" t="n">
        <v>4</v>
      </c>
      <c r="K27" s="26" t="n">
        <v>0</v>
      </c>
      <c r="L27" s="32" t="n">
        <v>0</v>
      </c>
      <c r="M27" s="18" t="n">
        <f aca="false">IF(D27=0,"-",1000*L27/D27)</f>
        <v>0</v>
      </c>
    </row>
    <row r="28" customFormat="false" ht="15" hidden="false" customHeight="false" outlineLevel="0" collapsed="false">
      <c r="A28" s="15" t="s">
        <v>35</v>
      </c>
      <c r="B28" s="26" t="s">
        <v>123</v>
      </c>
      <c r="C28" s="15" t="s">
        <v>124</v>
      </c>
      <c r="D28" s="16" t="n">
        <v>1667</v>
      </c>
      <c r="E28" s="16" t="n">
        <v>90</v>
      </c>
      <c r="F28" s="18" t="n">
        <v>1.111</v>
      </c>
      <c r="G28" s="18" t="n">
        <v>58.69</v>
      </c>
      <c r="H28" s="18" t="n">
        <v>52.8</v>
      </c>
      <c r="I28" s="18" t="n">
        <v>31</v>
      </c>
      <c r="J28" s="26" t="n">
        <v>3</v>
      </c>
      <c r="K28" s="26" t="n">
        <v>0</v>
      </c>
      <c r="L28" s="26" t="n">
        <v>1</v>
      </c>
      <c r="M28" s="18" t="n">
        <f aca="false">IF(D28=0,"-",1000*L28/D28)</f>
        <v>0.599880023995201</v>
      </c>
    </row>
    <row r="29" customFormat="false" ht="15" hidden="false" customHeight="false" outlineLevel="0" collapsed="false">
      <c r="A29" s="15" t="s">
        <v>40</v>
      </c>
      <c r="B29" s="26" t="s">
        <v>125</v>
      </c>
      <c r="C29" s="15" t="s">
        <v>126</v>
      </c>
      <c r="D29" s="16" t="n">
        <v>1655</v>
      </c>
      <c r="E29" s="16" t="n">
        <v>35</v>
      </c>
      <c r="F29" s="18" t="n">
        <v>8.571</v>
      </c>
      <c r="G29" s="18" t="n">
        <v>64.19</v>
      </c>
      <c r="H29" s="18" t="n">
        <v>23.4</v>
      </c>
      <c r="I29" s="18" t="n">
        <v>15</v>
      </c>
      <c r="J29" s="26" t="n">
        <v>4</v>
      </c>
      <c r="K29" s="26" t="n">
        <v>2</v>
      </c>
      <c r="L29" s="32" t="n">
        <v>0</v>
      </c>
      <c r="M29" s="18" t="n">
        <f aca="false">IF(D29=0,"-",1000*L29/D29)</f>
        <v>0</v>
      </c>
    </row>
    <row r="30" customFormat="false" ht="15" hidden="false" customHeight="false" outlineLevel="0" collapsed="false">
      <c r="A30" s="15" t="s">
        <v>38</v>
      </c>
      <c r="B30" s="26" t="s">
        <v>127</v>
      </c>
      <c r="C30" s="15" t="s">
        <v>109</v>
      </c>
      <c r="D30" s="16" t="n">
        <v>1637</v>
      </c>
      <c r="E30" s="16" t="n">
        <v>115</v>
      </c>
      <c r="F30" s="18" t="n">
        <v>0.87</v>
      </c>
      <c r="G30" s="18" t="n">
        <v>70.93</v>
      </c>
      <c r="H30" s="18" t="n">
        <v>26.8</v>
      </c>
      <c r="I30" s="18" t="n">
        <v>19</v>
      </c>
      <c r="J30" s="26" t="n">
        <v>5</v>
      </c>
      <c r="K30" s="26" t="n">
        <v>0</v>
      </c>
      <c r="L30" s="32" t="n">
        <v>0</v>
      </c>
      <c r="M30" s="18" t="n">
        <f aca="false">IF(D30=0,"-",1000*L30/D30)</f>
        <v>0</v>
      </c>
    </row>
    <row r="31" customFormat="false" ht="15" hidden="false" customHeight="false" outlineLevel="0" collapsed="false">
      <c r="A31" s="15" t="s">
        <v>38</v>
      </c>
      <c r="B31" s="26" t="s">
        <v>128</v>
      </c>
      <c r="C31" s="15" t="s">
        <v>104</v>
      </c>
      <c r="D31" s="16" t="n">
        <v>1567</v>
      </c>
      <c r="E31" s="16" t="n">
        <v>55</v>
      </c>
      <c r="F31" s="18" t="n">
        <v>1.818</v>
      </c>
      <c r="G31" s="18" t="n">
        <v>54.47</v>
      </c>
      <c r="H31" s="18" t="n">
        <v>31.2</v>
      </c>
      <c r="I31" s="18" t="n">
        <v>17</v>
      </c>
      <c r="J31" s="26" t="n">
        <v>3</v>
      </c>
      <c r="K31" s="26" t="n">
        <v>0</v>
      </c>
      <c r="L31" s="26" t="n">
        <v>1</v>
      </c>
      <c r="M31" s="18" t="n">
        <f aca="false">IF(D31=0,"-",1000*L31/D31)</f>
        <v>0.638162093171666</v>
      </c>
    </row>
    <row r="32" customFormat="false" ht="15" hidden="false" customHeight="false" outlineLevel="0" collapsed="false">
      <c r="A32" s="15" t="s">
        <v>38</v>
      </c>
      <c r="B32" s="26" t="s">
        <v>129</v>
      </c>
      <c r="C32" s="15" t="s">
        <v>126</v>
      </c>
      <c r="D32" s="16" t="n">
        <v>1557</v>
      </c>
      <c r="E32" s="16" t="n">
        <v>93</v>
      </c>
      <c r="F32" s="18" t="n">
        <v>1.075</v>
      </c>
      <c r="G32" s="18" t="n">
        <v>0</v>
      </c>
      <c r="H32" s="18"/>
      <c r="I32" s="18" t="n">
        <v>20</v>
      </c>
      <c r="J32" s="26" t="n">
        <v>2</v>
      </c>
      <c r="K32" s="26" t="n">
        <v>1</v>
      </c>
      <c r="L32" s="32" t="n">
        <v>0</v>
      </c>
      <c r="M32" s="18" t="n">
        <f aca="false">IF(D32=0,"-",1000*L32/D32)</f>
        <v>0</v>
      </c>
    </row>
    <row r="33" customFormat="false" ht="15" hidden="false" customHeight="false" outlineLevel="0" collapsed="false">
      <c r="A33" s="15" t="s">
        <v>35</v>
      </c>
      <c r="B33" s="26" t="s">
        <v>130</v>
      </c>
      <c r="C33" s="15" t="s">
        <v>131</v>
      </c>
      <c r="D33" s="16" t="n">
        <v>1480</v>
      </c>
      <c r="E33" s="16" t="n">
        <v>114</v>
      </c>
      <c r="F33" s="18" t="n">
        <v>4.386</v>
      </c>
      <c r="G33" s="18" t="n">
        <v>59.19</v>
      </c>
      <c r="H33" s="18" t="n">
        <v>50.7</v>
      </c>
      <c r="I33" s="18" t="n">
        <v>30</v>
      </c>
      <c r="J33" s="26" t="n">
        <v>2</v>
      </c>
      <c r="K33" s="26" t="n">
        <v>0</v>
      </c>
      <c r="L33" s="26" t="n">
        <v>1</v>
      </c>
      <c r="M33" s="18" t="n">
        <f aca="false">IF(D33=0,"-",1000*L33/D33)</f>
        <v>0.675675675675676</v>
      </c>
    </row>
    <row r="34" customFormat="false" ht="15" hidden="false" customHeight="false" outlineLevel="0" collapsed="false">
      <c r="A34" s="15" t="s">
        <v>38</v>
      </c>
      <c r="B34" s="26" t="s">
        <v>132</v>
      </c>
      <c r="C34" s="15" t="s">
        <v>121</v>
      </c>
      <c r="D34" s="16" t="n">
        <v>1446</v>
      </c>
      <c r="E34" s="16" t="n">
        <v>48</v>
      </c>
      <c r="F34" s="18" t="n">
        <v>2.083</v>
      </c>
      <c r="G34" s="18" t="n">
        <v>53.73</v>
      </c>
      <c r="H34" s="18" t="n">
        <v>27.9</v>
      </c>
      <c r="I34" s="18" t="n">
        <v>15</v>
      </c>
      <c r="J34" s="26" t="n">
        <v>7</v>
      </c>
      <c r="K34" s="26" t="n">
        <v>0</v>
      </c>
      <c r="L34" s="26" t="n">
        <v>1</v>
      </c>
      <c r="M34" s="18" t="n">
        <f aca="false">IF(D34=0,"-",1000*L34/D34)</f>
        <v>0.691562932226833</v>
      </c>
    </row>
    <row r="35" customFormat="false" ht="15" hidden="false" customHeight="false" outlineLevel="0" collapsed="false">
      <c r="A35" s="15" t="s">
        <v>54</v>
      </c>
      <c r="B35" s="26" t="s">
        <v>133</v>
      </c>
      <c r="C35" s="15" t="s">
        <v>134</v>
      </c>
      <c r="D35" s="16" t="n">
        <v>1439</v>
      </c>
      <c r="E35" s="16" t="n">
        <v>69</v>
      </c>
      <c r="F35" s="18" t="n">
        <v>2.899</v>
      </c>
      <c r="G35" s="18" t="n">
        <v>45.16</v>
      </c>
      <c r="H35" s="18" t="n">
        <v>31</v>
      </c>
      <c r="I35" s="18" t="n">
        <v>14</v>
      </c>
      <c r="J35" s="26" t="n">
        <v>5</v>
      </c>
      <c r="K35" s="26" t="n">
        <v>0</v>
      </c>
      <c r="L35" s="26" t="n">
        <v>0</v>
      </c>
      <c r="M35" s="18" t="n">
        <f aca="false">IF(D35=0,"-",1000*L35/D35)</f>
        <v>0</v>
      </c>
    </row>
    <row r="36" customFormat="false" ht="15" hidden="false" customHeight="false" outlineLevel="0" collapsed="false">
      <c r="A36" s="15" t="s">
        <v>40</v>
      </c>
      <c r="B36" s="26" t="s">
        <v>135</v>
      </c>
      <c r="C36" s="15" t="s">
        <v>99</v>
      </c>
      <c r="D36" s="16" t="n">
        <v>1438</v>
      </c>
      <c r="E36" s="16" t="n">
        <v>57</v>
      </c>
      <c r="F36" s="18" t="n">
        <v>1.754</v>
      </c>
      <c r="G36" s="18" t="n">
        <v>66.44</v>
      </c>
      <c r="H36" s="18" t="n">
        <v>19.6</v>
      </c>
      <c r="I36" s="18" t="n">
        <v>13</v>
      </c>
      <c r="J36" s="26" t="n">
        <v>3</v>
      </c>
      <c r="K36" s="26" t="n">
        <v>0</v>
      </c>
      <c r="L36" s="26" t="n">
        <v>0</v>
      </c>
      <c r="M36" s="18" t="n">
        <f aca="false">IF(D36=0,"-",1000*L36/D36)</f>
        <v>0</v>
      </c>
    </row>
    <row r="37" customFormat="false" ht="15" hidden="false" customHeight="false" outlineLevel="0" collapsed="false">
      <c r="A37" s="15" t="s">
        <v>35</v>
      </c>
      <c r="B37" s="15" t="s">
        <v>136</v>
      </c>
      <c r="C37" s="15" t="s">
        <v>88</v>
      </c>
      <c r="D37" s="16" t="n">
        <v>1390</v>
      </c>
      <c r="E37" s="16" t="n">
        <v>999</v>
      </c>
      <c r="F37" s="18" t="n">
        <v>1.902</v>
      </c>
      <c r="G37" s="18" t="n">
        <v>47.97</v>
      </c>
      <c r="H37" s="18" t="n">
        <v>54.2</v>
      </c>
      <c r="I37" s="18" t="n">
        <v>26</v>
      </c>
      <c r="J37" s="26" t="n">
        <v>9</v>
      </c>
      <c r="K37" s="26" t="n">
        <v>0</v>
      </c>
      <c r="L37" s="26" t="n">
        <v>0</v>
      </c>
      <c r="M37" s="18" t="n">
        <f aca="false">IF(D37=0,"-",1000*L37/D37)</f>
        <v>0</v>
      </c>
    </row>
    <row r="38" customFormat="false" ht="15" hidden="false" customHeight="false" outlineLevel="0" collapsed="false">
      <c r="A38" s="15" t="s">
        <v>40</v>
      </c>
      <c r="B38" s="26" t="s">
        <v>137</v>
      </c>
      <c r="C38" s="15" t="s">
        <v>104</v>
      </c>
      <c r="D38" s="16" t="n">
        <v>1366</v>
      </c>
      <c r="E38" s="16" t="n">
        <v>33</v>
      </c>
      <c r="F38" s="18" t="n">
        <v>0</v>
      </c>
      <c r="G38" s="18" t="n">
        <v>49.89</v>
      </c>
      <c r="H38" s="18" t="n">
        <v>22</v>
      </c>
      <c r="I38" s="18" t="n">
        <v>11</v>
      </c>
      <c r="J38" s="26" t="n">
        <v>3</v>
      </c>
      <c r="K38" s="26" t="n">
        <v>0</v>
      </c>
      <c r="L38" s="26" t="n">
        <v>1</v>
      </c>
      <c r="M38" s="18" t="n">
        <f aca="false">IF(D38=0,"-",1000*L38/D38)</f>
        <v>0.732064421669107</v>
      </c>
    </row>
    <row r="39" customFormat="false" ht="15" hidden="false" customHeight="false" outlineLevel="0" collapsed="false">
      <c r="A39" s="15" t="s">
        <v>40</v>
      </c>
      <c r="B39" s="15" t="s">
        <v>138</v>
      </c>
      <c r="C39" s="15" t="s">
        <v>121</v>
      </c>
      <c r="D39" s="16" t="n">
        <v>1360</v>
      </c>
      <c r="E39" s="16" t="n">
        <v>49</v>
      </c>
      <c r="F39" s="18" t="n">
        <v>10.204</v>
      </c>
      <c r="G39" s="18" t="n">
        <v>45.07</v>
      </c>
      <c r="H39" s="18" t="n">
        <v>24.4</v>
      </c>
      <c r="I39" s="18" t="n">
        <v>11</v>
      </c>
      <c r="J39" s="26" t="n">
        <v>3</v>
      </c>
      <c r="K39" s="26" t="n">
        <v>0</v>
      </c>
      <c r="L39" s="26" t="n">
        <v>0</v>
      </c>
      <c r="M39" s="18" t="n">
        <f aca="false">IF(D39=0,"-",1000*L39/D39)</f>
        <v>0</v>
      </c>
    </row>
    <row r="40" customFormat="false" ht="15" hidden="false" customHeight="false" outlineLevel="0" collapsed="false">
      <c r="A40" s="15" t="s">
        <v>40</v>
      </c>
      <c r="B40" s="26" t="s">
        <v>139</v>
      </c>
      <c r="C40" s="15" t="s">
        <v>97</v>
      </c>
      <c r="D40" s="16" t="n">
        <v>1354</v>
      </c>
      <c r="E40" s="16" t="n">
        <v>35</v>
      </c>
      <c r="F40" s="18" t="n">
        <v>0</v>
      </c>
      <c r="G40" s="18" t="n">
        <v>57.22</v>
      </c>
      <c r="H40" s="18" t="n">
        <v>28</v>
      </c>
      <c r="I40" s="18" t="n">
        <v>16</v>
      </c>
      <c r="J40" s="26" t="n">
        <v>4</v>
      </c>
      <c r="K40" s="26" t="n">
        <v>0</v>
      </c>
      <c r="L40" s="26" t="n">
        <v>0</v>
      </c>
      <c r="M40" s="18" t="n">
        <f aca="false">IF(D40=0,"-",1000*L40/D40)</f>
        <v>0</v>
      </c>
    </row>
    <row r="41" customFormat="false" ht="15" hidden="false" customHeight="false" outlineLevel="0" collapsed="false">
      <c r="A41" s="15" t="s">
        <v>40</v>
      </c>
      <c r="B41" s="26" t="s">
        <v>140</v>
      </c>
      <c r="C41" s="15" t="s">
        <v>141</v>
      </c>
      <c r="D41" s="16" t="n">
        <v>1350</v>
      </c>
      <c r="E41" s="16" t="n">
        <v>30</v>
      </c>
      <c r="F41" s="18" t="n">
        <v>0</v>
      </c>
      <c r="G41" s="18" t="n">
        <v>72.17</v>
      </c>
      <c r="H41" s="18" t="n">
        <v>22.2</v>
      </c>
      <c r="I41" s="18" t="n">
        <v>16</v>
      </c>
      <c r="J41" s="26" t="n">
        <v>1</v>
      </c>
      <c r="K41" s="26" t="n">
        <v>1</v>
      </c>
      <c r="L41" s="26" t="n">
        <v>0</v>
      </c>
      <c r="M41" s="18" t="n">
        <f aca="false">IF(D41=0,"-",1000*L41/D41)</f>
        <v>0</v>
      </c>
    </row>
    <row r="42" customFormat="false" ht="15" hidden="false" customHeight="false" outlineLevel="0" collapsed="false">
      <c r="A42" s="15" t="s">
        <v>35</v>
      </c>
      <c r="B42" s="15" t="s">
        <v>142</v>
      </c>
      <c r="C42" s="15" t="s">
        <v>134</v>
      </c>
      <c r="D42" s="16" t="n">
        <v>1347</v>
      </c>
      <c r="E42" s="16" t="n">
        <v>59</v>
      </c>
      <c r="F42" s="18" t="n">
        <v>0</v>
      </c>
      <c r="G42" s="18" t="n">
        <v>97.44</v>
      </c>
      <c r="H42" s="18" t="n">
        <v>55.4</v>
      </c>
      <c r="I42" s="18" t="n">
        <v>54</v>
      </c>
      <c r="J42" s="26" t="n">
        <v>5</v>
      </c>
      <c r="K42" s="26" t="n">
        <v>0</v>
      </c>
      <c r="L42" s="26" t="n">
        <v>0</v>
      </c>
      <c r="M42" s="18" t="n">
        <f aca="false">IF(D42=0,"-",1000*L42/D42)</f>
        <v>0</v>
      </c>
    </row>
    <row r="43" customFormat="false" ht="15" hidden="false" customHeight="false" outlineLevel="0" collapsed="false">
      <c r="A43" s="15" t="s">
        <v>35</v>
      </c>
      <c r="B43" s="15" t="s">
        <v>143</v>
      </c>
      <c r="C43" s="15" t="s">
        <v>131</v>
      </c>
      <c r="D43" s="16" t="n">
        <v>1339</v>
      </c>
      <c r="E43" s="16" t="n">
        <v>49</v>
      </c>
      <c r="F43" s="18" t="n">
        <v>2.041</v>
      </c>
      <c r="G43" s="18" t="n">
        <v>80.87</v>
      </c>
      <c r="H43" s="18" t="n">
        <v>48.2</v>
      </c>
      <c r="I43" s="18" t="n">
        <v>39</v>
      </c>
      <c r="J43" s="26" t="n">
        <v>4</v>
      </c>
      <c r="K43" s="26" t="n">
        <v>0</v>
      </c>
      <c r="L43" s="26" t="n">
        <v>1</v>
      </c>
      <c r="M43" s="18" t="n">
        <f aca="false">IF(D43=0,"-",1000*L43/D43)</f>
        <v>0.746825989544436</v>
      </c>
    </row>
    <row r="44" customFormat="false" ht="15" hidden="false" customHeight="false" outlineLevel="0" collapsed="false">
      <c r="A44" s="15" t="s">
        <v>38</v>
      </c>
      <c r="B44" s="26" t="s">
        <v>144</v>
      </c>
      <c r="C44" s="15" t="s">
        <v>99</v>
      </c>
      <c r="D44" s="16" t="n">
        <v>1339</v>
      </c>
      <c r="E44" s="16" t="n">
        <v>193</v>
      </c>
      <c r="F44" s="18" t="n">
        <v>2.591</v>
      </c>
      <c r="G44" s="18" t="n">
        <v>49.01</v>
      </c>
      <c r="H44" s="18" t="n">
        <v>28.6</v>
      </c>
      <c r="I44" s="18" t="n">
        <v>14</v>
      </c>
      <c r="J44" s="26" t="n">
        <v>4</v>
      </c>
      <c r="K44" s="26" t="n">
        <v>1</v>
      </c>
      <c r="L44" s="26" t="n">
        <v>1</v>
      </c>
      <c r="M44" s="18" t="n">
        <f aca="false">IF(D44=0,"-",1000*L44/D44)</f>
        <v>0.746825989544436</v>
      </c>
    </row>
    <row r="45" customFormat="false" ht="15" hidden="false" customHeight="false" outlineLevel="0" collapsed="false">
      <c r="A45" s="15" t="s">
        <v>35</v>
      </c>
      <c r="B45" s="26" t="s">
        <v>145</v>
      </c>
      <c r="C45" s="15" t="s">
        <v>131</v>
      </c>
      <c r="D45" s="16" t="n">
        <v>1330</v>
      </c>
      <c r="E45" s="16" t="n">
        <v>108</v>
      </c>
      <c r="F45" s="18" t="n">
        <v>0</v>
      </c>
      <c r="G45" s="18" t="n">
        <v>56.15</v>
      </c>
      <c r="H45" s="18" t="n">
        <v>49.9</v>
      </c>
      <c r="I45" s="18" t="n">
        <v>28</v>
      </c>
      <c r="J45" s="26" t="n">
        <v>5</v>
      </c>
      <c r="K45" s="26" t="n">
        <v>0</v>
      </c>
      <c r="L45" s="26" t="n">
        <v>1</v>
      </c>
      <c r="M45" s="18" t="n">
        <f aca="false">IF(D45=0,"-",1000*L45/D45)</f>
        <v>0.75187969924812</v>
      </c>
    </row>
    <row r="46" customFormat="false" ht="15" hidden="false" customHeight="false" outlineLevel="0" collapsed="false">
      <c r="A46" s="15" t="s">
        <v>35</v>
      </c>
      <c r="B46" s="26" t="s">
        <v>146</v>
      </c>
      <c r="C46" s="15" t="s">
        <v>147</v>
      </c>
      <c r="D46" s="16" t="n">
        <v>1324</v>
      </c>
      <c r="E46" s="16" t="n">
        <v>133</v>
      </c>
      <c r="F46" s="18" t="n">
        <v>3.008</v>
      </c>
      <c r="G46" s="18" t="n">
        <v>53.56</v>
      </c>
      <c r="H46" s="18" t="n">
        <v>56</v>
      </c>
      <c r="I46" s="18" t="n">
        <v>30</v>
      </c>
      <c r="J46" s="26" t="n">
        <v>4</v>
      </c>
      <c r="K46" s="26" t="n">
        <v>0</v>
      </c>
      <c r="L46" s="26" t="n">
        <v>1</v>
      </c>
      <c r="M46" s="18" t="n">
        <f aca="false">IF(D46=0,"-",1000*L46/D46)</f>
        <v>0.755287009063444</v>
      </c>
    </row>
    <row r="47" customFormat="false" ht="15" hidden="false" customHeight="false" outlineLevel="0" collapsed="false">
      <c r="A47" s="15" t="s">
        <v>40</v>
      </c>
      <c r="B47" s="26" t="s">
        <v>148</v>
      </c>
      <c r="C47" s="15" t="s">
        <v>104</v>
      </c>
      <c r="D47" s="16" t="n">
        <v>1313</v>
      </c>
      <c r="E47" s="16" t="n">
        <v>79</v>
      </c>
      <c r="F47" s="18" t="n">
        <v>2.532</v>
      </c>
      <c r="G47" s="18" t="n">
        <v>51.19</v>
      </c>
      <c r="H47" s="18" t="n">
        <v>21.5</v>
      </c>
      <c r="I47" s="18" t="n">
        <v>11</v>
      </c>
      <c r="J47" s="26" t="n">
        <v>4</v>
      </c>
      <c r="K47" s="26" t="n">
        <v>0</v>
      </c>
      <c r="L47" s="26" t="n">
        <v>2</v>
      </c>
      <c r="M47" s="17" t="n">
        <f aca="false">IF(D47=0,"-",1000*L47/D47)</f>
        <v>1.52322924600152</v>
      </c>
    </row>
    <row r="48" customFormat="false" ht="15" hidden="false" customHeight="false" outlineLevel="0" collapsed="false">
      <c r="A48" s="15" t="s">
        <v>38</v>
      </c>
      <c r="B48" s="26" t="s">
        <v>149</v>
      </c>
      <c r="C48" s="15" t="s">
        <v>113</v>
      </c>
      <c r="D48" s="16" t="n">
        <v>1308</v>
      </c>
      <c r="E48" s="16" t="n">
        <v>88</v>
      </c>
      <c r="F48" s="18" t="n">
        <v>0</v>
      </c>
      <c r="G48" s="18" t="n">
        <v>39.13</v>
      </c>
      <c r="H48" s="18" t="n">
        <v>48.6</v>
      </c>
      <c r="I48" s="18" t="n">
        <v>19</v>
      </c>
      <c r="J48" s="26" t="n">
        <v>1</v>
      </c>
      <c r="K48" s="26" t="n">
        <v>2</v>
      </c>
      <c r="L48" s="26" t="n">
        <v>0</v>
      </c>
      <c r="M48" s="18" t="n">
        <f aca="false">IF(D48=0,"-",1000*L48/D48)</f>
        <v>0</v>
      </c>
    </row>
    <row r="49" customFormat="false" ht="15" hidden="false" customHeight="false" outlineLevel="0" collapsed="false">
      <c r="A49" s="15" t="s">
        <v>39</v>
      </c>
      <c r="B49" s="26" t="s">
        <v>150</v>
      </c>
      <c r="C49" s="15" t="s">
        <v>121</v>
      </c>
      <c r="D49" s="16" t="n">
        <v>1304</v>
      </c>
      <c r="E49" s="16" t="n">
        <v>138</v>
      </c>
      <c r="F49" s="18" t="n">
        <v>3.623</v>
      </c>
      <c r="G49" s="18" t="n">
        <v>47.55</v>
      </c>
      <c r="H49" s="18" t="n">
        <v>27.3</v>
      </c>
      <c r="I49" s="18" t="n">
        <v>13</v>
      </c>
      <c r="J49" s="26" t="n">
        <v>4</v>
      </c>
      <c r="K49" s="26" t="n">
        <v>0</v>
      </c>
      <c r="L49" s="26" t="n">
        <v>0</v>
      </c>
      <c r="M49" s="18" t="n">
        <f aca="false">IF(D49=0,"-",1000*L49/D49)</f>
        <v>0</v>
      </c>
    </row>
    <row r="50" customFormat="false" ht="15" hidden="false" customHeight="false" outlineLevel="0" collapsed="false">
      <c r="A50" s="15" t="s">
        <v>38</v>
      </c>
      <c r="B50" s="26" t="s">
        <v>151</v>
      </c>
      <c r="C50" s="15" t="s">
        <v>107</v>
      </c>
      <c r="D50" s="16" t="n">
        <v>1289</v>
      </c>
      <c r="E50" s="16" t="n">
        <v>126</v>
      </c>
      <c r="F50" s="18" t="n">
        <v>0.794</v>
      </c>
      <c r="G50" s="18" t="n">
        <v>53.21</v>
      </c>
      <c r="H50" s="18" t="n">
        <v>31.9</v>
      </c>
      <c r="I50" s="18" t="n">
        <v>17</v>
      </c>
      <c r="J50" s="26" t="n">
        <v>4</v>
      </c>
      <c r="K50" s="26" t="n">
        <v>0</v>
      </c>
      <c r="L50" s="26" t="n">
        <v>0</v>
      </c>
      <c r="M50" s="18" t="n">
        <f aca="false">IF(D50=0,"-",1000*L50/D50)</f>
        <v>0</v>
      </c>
    </row>
    <row r="51" customFormat="false" ht="15" hidden="false" customHeight="false" outlineLevel="0" collapsed="false">
      <c r="A51" s="15" t="s">
        <v>56</v>
      </c>
      <c r="B51" s="26" t="s">
        <v>152</v>
      </c>
      <c r="C51" s="15" t="s">
        <v>153</v>
      </c>
      <c r="D51" s="16" t="n">
        <v>1276</v>
      </c>
      <c r="E51" s="16" t="n">
        <v>19</v>
      </c>
      <c r="F51" s="18" t="n">
        <v>5.263</v>
      </c>
      <c r="G51" s="18" t="n">
        <v>51.32</v>
      </c>
      <c r="H51" s="18" t="n">
        <v>35.1</v>
      </c>
      <c r="I51" s="18" t="n">
        <v>18</v>
      </c>
      <c r="J51" s="26" t="n">
        <v>3</v>
      </c>
      <c r="K51" s="26" t="n">
        <v>0</v>
      </c>
      <c r="L51" s="26" t="n">
        <v>0</v>
      </c>
      <c r="M51" s="18" t="n">
        <f aca="false">IF(D51=0,"-",1000*L51/D51)</f>
        <v>0</v>
      </c>
    </row>
    <row r="52" customFormat="false" ht="15" hidden="false" customHeight="false" outlineLevel="0" collapsed="false">
      <c r="A52" s="15" t="s">
        <v>35</v>
      </c>
      <c r="B52" s="26" t="s">
        <v>154</v>
      </c>
      <c r="C52" s="15" t="s">
        <v>153</v>
      </c>
      <c r="D52" s="16" t="n">
        <v>1268</v>
      </c>
      <c r="E52" s="16" t="n">
        <v>105</v>
      </c>
      <c r="F52" s="18" t="n">
        <v>1.905</v>
      </c>
      <c r="G52" s="18" t="n">
        <v>78.63</v>
      </c>
      <c r="H52" s="18" t="n">
        <v>59.8</v>
      </c>
      <c r="I52" s="18" t="n">
        <v>47</v>
      </c>
      <c r="J52" s="26" t="n">
        <v>6</v>
      </c>
      <c r="K52" s="26" t="n">
        <v>1</v>
      </c>
      <c r="L52" s="26" t="n">
        <v>0</v>
      </c>
      <c r="M52" s="18" t="n">
        <f aca="false">IF(D52=0,"-",1000*L52/D52)</f>
        <v>0</v>
      </c>
    </row>
    <row r="53" customFormat="false" ht="15" hidden="false" customHeight="false" outlineLevel="0" collapsed="false">
      <c r="A53" s="15" t="s">
        <v>56</v>
      </c>
      <c r="B53" s="26" t="s">
        <v>155</v>
      </c>
      <c r="C53" s="15" t="s">
        <v>88</v>
      </c>
      <c r="D53" s="16" t="n">
        <v>1252</v>
      </c>
      <c r="E53" s="16" t="n">
        <v>36</v>
      </c>
      <c r="F53" s="18" t="n">
        <v>2.778</v>
      </c>
      <c r="G53" s="18" t="n">
        <v>55.57</v>
      </c>
      <c r="H53" s="18" t="n">
        <v>39.6</v>
      </c>
      <c r="I53" s="18" t="n">
        <v>22</v>
      </c>
      <c r="J53" s="26" t="n">
        <v>3</v>
      </c>
      <c r="K53" s="26" t="n">
        <v>0</v>
      </c>
      <c r="L53" s="26" t="n">
        <v>0</v>
      </c>
      <c r="M53" s="18" t="n">
        <f aca="false">IF(D53=0,"-",1000*L53/D53)</f>
        <v>0</v>
      </c>
    </row>
    <row r="54" customFormat="false" ht="15" hidden="false" customHeight="false" outlineLevel="0" collapsed="false">
      <c r="A54" s="15" t="s">
        <v>40</v>
      </c>
      <c r="B54" s="26" t="s">
        <v>156</v>
      </c>
      <c r="C54" s="15" t="s">
        <v>97</v>
      </c>
      <c r="D54" s="16" t="n">
        <v>1236</v>
      </c>
      <c r="E54" s="16" t="n">
        <v>23</v>
      </c>
      <c r="F54" s="18" t="n">
        <v>0</v>
      </c>
      <c r="G54" s="18" t="n">
        <v>81.36</v>
      </c>
      <c r="H54" s="18" t="n">
        <v>25.8</v>
      </c>
      <c r="I54" s="18" t="n">
        <v>21</v>
      </c>
      <c r="J54" s="26" t="n">
        <v>6</v>
      </c>
      <c r="K54" s="26" t="n">
        <v>0</v>
      </c>
      <c r="L54" s="26" t="n">
        <v>0</v>
      </c>
      <c r="M54" s="18" t="n">
        <f aca="false">IF(D54=0,"-",1000*L54/D54)</f>
        <v>0</v>
      </c>
    </row>
    <row r="55" customFormat="false" ht="15" hidden="false" customHeight="false" outlineLevel="0" collapsed="false">
      <c r="A55" s="15" t="s">
        <v>54</v>
      </c>
      <c r="B55" s="26" t="s">
        <v>157</v>
      </c>
      <c r="C55" s="15" t="s">
        <v>131</v>
      </c>
      <c r="D55" s="16" t="n">
        <v>1232</v>
      </c>
      <c r="E55" s="16" t="n">
        <v>77</v>
      </c>
      <c r="F55" s="18" t="n">
        <v>1.299</v>
      </c>
      <c r="G55" s="18" t="n">
        <v>38.18</v>
      </c>
      <c r="H55" s="18" t="n">
        <v>31.4</v>
      </c>
      <c r="I55" s="18" t="n">
        <v>12</v>
      </c>
      <c r="J55" s="26" t="n">
        <v>2</v>
      </c>
      <c r="K55" s="26" t="n">
        <v>0</v>
      </c>
      <c r="L55" s="26" t="n">
        <v>0</v>
      </c>
      <c r="M55" s="18" t="n">
        <f aca="false">IF(D55=0,"-",1000*L55/D55)</f>
        <v>0</v>
      </c>
    </row>
    <row r="56" customFormat="false" ht="15" hidden="false" customHeight="false" outlineLevel="0" collapsed="false">
      <c r="A56" s="15" t="s">
        <v>36</v>
      </c>
      <c r="B56" s="26" t="s">
        <v>158</v>
      </c>
      <c r="C56" s="15" t="s">
        <v>121</v>
      </c>
      <c r="D56" s="16" t="n">
        <v>1216</v>
      </c>
      <c r="E56" s="16" t="n">
        <v>930</v>
      </c>
      <c r="F56" s="18" t="n">
        <v>1.183</v>
      </c>
      <c r="G56" s="18" t="n">
        <v>46.72</v>
      </c>
      <c r="H56" s="18" t="n">
        <v>36.4</v>
      </c>
      <c r="I56" s="18" t="n">
        <v>17</v>
      </c>
      <c r="J56" s="26" t="n">
        <v>2</v>
      </c>
      <c r="K56" s="26" t="n">
        <v>0</v>
      </c>
      <c r="L56" s="26" t="n">
        <v>0</v>
      </c>
      <c r="M56" s="18" t="n">
        <f aca="false">IF(D56=0,"-",1000*L56/D56)</f>
        <v>0</v>
      </c>
    </row>
    <row r="57" customFormat="false" ht="15" hidden="false" customHeight="false" outlineLevel="0" collapsed="false">
      <c r="A57" s="15" t="s">
        <v>54</v>
      </c>
      <c r="B57" s="26" t="s">
        <v>159</v>
      </c>
      <c r="C57" s="15" t="s">
        <v>131</v>
      </c>
      <c r="D57" s="16" t="n">
        <v>1212</v>
      </c>
      <c r="E57" s="16" t="n">
        <v>50</v>
      </c>
      <c r="F57" s="18" t="n">
        <v>6</v>
      </c>
      <c r="G57" s="18" t="n">
        <v>40.63</v>
      </c>
      <c r="H57" s="18" t="n">
        <v>27.1</v>
      </c>
      <c r="I57" s="18" t="n">
        <v>11</v>
      </c>
      <c r="J57" s="26" t="n">
        <v>5</v>
      </c>
      <c r="K57" s="26" t="n">
        <v>0</v>
      </c>
      <c r="L57" s="26" t="n">
        <v>1</v>
      </c>
      <c r="M57" s="18" t="n">
        <f aca="false">IF(D57=0,"-",1000*L57/D57)</f>
        <v>0.825082508250825</v>
      </c>
    </row>
    <row r="58" customFormat="false" ht="15" hidden="false" customHeight="false" outlineLevel="0" collapsed="false">
      <c r="A58" s="15" t="s">
        <v>56</v>
      </c>
      <c r="B58" s="15" t="s">
        <v>160</v>
      </c>
      <c r="C58" s="15" t="s">
        <v>147</v>
      </c>
      <c r="D58" s="16" t="n">
        <v>1208</v>
      </c>
      <c r="E58" s="16" t="n">
        <v>12</v>
      </c>
      <c r="F58" s="18" t="n">
        <v>0</v>
      </c>
      <c r="G58" s="18" t="n">
        <v>46.45</v>
      </c>
      <c r="H58" s="18" t="n">
        <v>36.6</v>
      </c>
      <c r="I58" s="18" t="n">
        <v>17</v>
      </c>
      <c r="J58" s="26" t="n">
        <v>2</v>
      </c>
      <c r="K58" s="26" t="n">
        <v>0</v>
      </c>
      <c r="L58" s="26" t="n">
        <v>0</v>
      </c>
      <c r="M58" s="18" t="n">
        <f aca="false">IF(D58=0,"-",1000*L58/D58)</f>
        <v>0</v>
      </c>
    </row>
    <row r="59" customFormat="false" ht="15" hidden="false" customHeight="false" outlineLevel="0" collapsed="false">
      <c r="A59" s="15" t="s">
        <v>54</v>
      </c>
      <c r="B59" s="26" t="s">
        <v>161</v>
      </c>
      <c r="C59" s="15" t="s">
        <v>131</v>
      </c>
      <c r="D59" s="16" t="n">
        <v>1205</v>
      </c>
      <c r="E59" s="16" t="n">
        <v>66</v>
      </c>
      <c r="F59" s="18" t="n">
        <v>1.515</v>
      </c>
      <c r="G59" s="18" t="n">
        <v>38.53</v>
      </c>
      <c r="H59" s="18" t="n">
        <v>28.5</v>
      </c>
      <c r="I59" s="18" t="n">
        <v>11</v>
      </c>
      <c r="J59" s="26" t="n">
        <v>4</v>
      </c>
      <c r="K59" s="26" t="n">
        <v>0</v>
      </c>
      <c r="L59" s="26" t="n">
        <v>0</v>
      </c>
      <c r="M59" s="18" t="n">
        <f aca="false">IF(D59=0,"-",1000*L59/D59)</f>
        <v>0</v>
      </c>
    </row>
    <row r="60" customFormat="false" ht="15" hidden="false" customHeight="false" outlineLevel="0" collapsed="false">
      <c r="A60" s="15" t="s">
        <v>40</v>
      </c>
      <c r="B60" s="26" t="s">
        <v>162</v>
      </c>
      <c r="C60" s="15" t="s">
        <v>134</v>
      </c>
      <c r="D60" s="16" t="n">
        <v>1201</v>
      </c>
      <c r="E60" s="16" t="n">
        <v>59</v>
      </c>
      <c r="F60" s="18" t="n">
        <v>1.695</v>
      </c>
      <c r="G60" s="18" t="n">
        <v>61.68</v>
      </c>
      <c r="H60" s="18" t="n">
        <v>38.9</v>
      </c>
      <c r="I60" s="18" t="n">
        <v>24</v>
      </c>
      <c r="J60" s="26" t="n">
        <v>4</v>
      </c>
      <c r="K60" s="26" t="n">
        <v>2</v>
      </c>
      <c r="L60" s="26" t="n">
        <v>1</v>
      </c>
      <c r="M60" s="18" t="n">
        <f aca="false">IF(D60=0,"-",1000*L60/D60)</f>
        <v>0.832639467110741</v>
      </c>
    </row>
    <row r="61" customFormat="false" ht="15" hidden="false" customHeight="false" outlineLevel="0" collapsed="false">
      <c r="A61" s="15" t="s">
        <v>56</v>
      </c>
      <c r="B61" s="26" t="s">
        <v>163</v>
      </c>
      <c r="C61" s="15" t="s">
        <v>86</v>
      </c>
      <c r="D61" s="16" t="n">
        <v>1196</v>
      </c>
      <c r="E61" s="16" t="n">
        <v>9</v>
      </c>
      <c r="F61" s="18" t="n">
        <v>0</v>
      </c>
      <c r="G61" s="18" t="n">
        <v>58.08</v>
      </c>
      <c r="H61" s="18" t="n">
        <v>31</v>
      </c>
      <c r="I61" s="18" t="n">
        <v>18</v>
      </c>
      <c r="J61" s="26" t="n">
        <v>1</v>
      </c>
      <c r="K61" s="26" t="n">
        <v>0</v>
      </c>
      <c r="L61" s="26" t="n">
        <v>0</v>
      </c>
      <c r="M61" s="18" t="n">
        <f aca="false">IF(D61=0,"-",1000*L61/D61)</f>
        <v>0</v>
      </c>
    </row>
    <row r="62" customFormat="false" ht="15" hidden="false" customHeight="false" outlineLevel="0" collapsed="false">
      <c r="A62" s="15" t="s">
        <v>35</v>
      </c>
      <c r="B62" s="26" t="s">
        <v>164</v>
      </c>
      <c r="C62" s="15" t="s">
        <v>97</v>
      </c>
      <c r="D62" s="16" t="n">
        <v>1194</v>
      </c>
      <c r="E62" s="16" t="n">
        <v>135</v>
      </c>
      <c r="F62" s="18" t="n">
        <v>0</v>
      </c>
      <c r="G62" s="18" t="n">
        <v>42.25</v>
      </c>
      <c r="H62" s="18" t="n">
        <v>85.2</v>
      </c>
      <c r="I62" s="18" t="n">
        <v>36</v>
      </c>
      <c r="J62" s="26" t="n">
        <v>2</v>
      </c>
      <c r="K62" s="26" t="n">
        <v>0</v>
      </c>
      <c r="L62" s="26" t="n">
        <v>1</v>
      </c>
      <c r="M62" s="18" t="n">
        <f aca="false">IF(D62=0,"-",1000*L62/D62)</f>
        <v>0.837520938023451</v>
      </c>
    </row>
    <row r="63" customFormat="false" ht="15" hidden="false" customHeight="false" outlineLevel="0" collapsed="false">
      <c r="A63" s="15" t="s">
        <v>40</v>
      </c>
      <c r="B63" s="26" t="s">
        <v>165</v>
      </c>
      <c r="C63" s="15" t="s">
        <v>126</v>
      </c>
      <c r="D63" s="16" t="n">
        <v>1190</v>
      </c>
      <c r="E63" s="16" t="n">
        <v>25</v>
      </c>
      <c r="F63" s="18" t="n">
        <v>0</v>
      </c>
      <c r="G63" s="18" t="n">
        <v>51.27</v>
      </c>
      <c r="H63" s="18" t="n">
        <v>21.5</v>
      </c>
      <c r="I63" s="18" t="n">
        <v>11</v>
      </c>
      <c r="J63" s="26" t="n">
        <v>0</v>
      </c>
      <c r="K63" s="26" t="n">
        <v>0</v>
      </c>
      <c r="L63" s="26" t="n">
        <v>0</v>
      </c>
      <c r="M63" s="18" t="n">
        <f aca="false">IF(D63=0,"-",1000*L63/D63)</f>
        <v>0</v>
      </c>
    </row>
    <row r="64" customFormat="false" ht="15" hidden="false" customHeight="false" outlineLevel="0" collapsed="false">
      <c r="A64" s="15" t="s">
        <v>54</v>
      </c>
      <c r="B64" s="15" t="s">
        <v>166</v>
      </c>
      <c r="C64" s="15" t="s">
        <v>131</v>
      </c>
      <c r="D64" s="16" t="n">
        <v>1184</v>
      </c>
      <c r="E64" s="16" t="n">
        <v>120</v>
      </c>
      <c r="F64" s="18" t="n">
        <v>3.333</v>
      </c>
      <c r="G64" s="18" t="n">
        <v>57.55</v>
      </c>
      <c r="H64" s="18" t="n">
        <v>27.8</v>
      </c>
      <c r="I64" s="18" t="n">
        <v>16</v>
      </c>
      <c r="J64" s="26" t="n">
        <v>5</v>
      </c>
      <c r="K64" s="26" t="n">
        <v>0</v>
      </c>
      <c r="L64" s="26" t="n">
        <v>0</v>
      </c>
      <c r="M64" s="18" t="n">
        <f aca="false">IF(D64=0,"-",1000*L64/D64)</f>
        <v>0</v>
      </c>
    </row>
    <row r="65" customFormat="false" ht="15" hidden="false" customHeight="false" outlineLevel="0" collapsed="false">
      <c r="A65" s="15" t="s">
        <v>56</v>
      </c>
      <c r="B65" s="26" t="s">
        <v>167</v>
      </c>
      <c r="C65" s="15" t="s">
        <v>147</v>
      </c>
      <c r="D65" s="16" t="n">
        <v>1183</v>
      </c>
      <c r="E65" s="16" t="n">
        <v>22</v>
      </c>
      <c r="F65" s="18" t="n">
        <v>0</v>
      </c>
      <c r="G65" s="18" t="n">
        <v>32.77</v>
      </c>
      <c r="H65" s="18" t="n">
        <v>58</v>
      </c>
      <c r="I65" s="18" t="n">
        <v>19</v>
      </c>
      <c r="J65" s="26" t="n">
        <v>0</v>
      </c>
      <c r="K65" s="26" t="n">
        <v>0</v>
      </c>
      <c r="L65" s="26" t="n">
        <v>0</v>
      </c>
      <c r="M65" s="18" t="n">
        <f aca="false">IF(D65=0,"-",1000*L65/D65)</f>
        <v>0</v>
      </c>
    </row>
    <row r="66" customFormat="false" ht="15" hidden="false" customHeight="false" outlineLevel="0" collapsed="false">
      <c r="A66" s="15" t="s">
        <v>52</v>
      </c>
      <c r="B66" s="26" t="s">
        <v>168</v>
      </c>
      <c r="C66" s="15" t="s">
        <v>169</v>
      </c>
      <c r="D66" s="16" t="n">
        <v>1175</v>
      </c>
      <c r="E66" s="16" t="n">
        <v>11</v>
      </c>
      <c r="F66" s="18" t="n">
        <v>0</v>
      </c>
      <c r="G66" s="18" t="n">
        <v>88.1</v>
      </c>
      <c r="H66" s="18" t="n">
        <v>35.2</v>
      </c>
      <c r="I66" s="18" t="n">
        <v>31</v>
      </c>
      <c r="J66" s="26" t="n">
        <v>3</v>
      </c>
      <c r="K66" s="26" t="n">
        <v>0</v>
      </c>
      <c r="L66" s="26" t="n">
        <v>0</v>
      </c>
      <c r="M66" s="18" t="n">
        <f aca="false">IF(D66=0,"-",1000*L66/D66)</f>
        <v>0</v>
      </c>
    </row>
    <row r="67" customFormat="false" ht="15" hidden="false" customHeight="false" outlineLevel="0" collapsed="false">
      <c r="A67" s="15" t="s">
        <v>54</v>
      </c>
      <c r="B67" s="26" t="s">
        <v>170</v>
      </c>
      <c r="C67" s="15" t="s">
        <v>86</v>
      </c>
      <c r="D67" s="16" t="n">
        <v>1175</v>
      </c>
      <c r="E67" s="16" t="n">
        <v>115</v>
      </c>
      <c r="F67" s="18" t="n">
        <v>2.609</v>
      </c>
      <c r="G67" s="18" t="n">
        <v>33.87</v>
      </c>
      <c r="H67" s="18" t="n">
        <v>32.5</v>
      </c>
      <c r="I67" s="18" t="n">
        <v>11</v>
      </c>
      <c r="J67" s="26" t="n">
        <v>5</v>
      </c>
      <c r="K67" s="26" t="n">
        <v>0</v>
      </c>
      <c r="L67" s="26" t="n">
        <v>0</v>
      </c>
      <c r="M67" s="18" t="n">
        <f aca="false">IF(D67=0,"-",1000*L67/D67)</f>
        <v>0</v>
      </c>
    </row>
    <row r="68" customFormat="false" ht="15" hidden="false" customHeight="false" outlineLevel="0" collapsed="false">
      <c r="A68" s="15" t="s">
        <v>39</v>
      </c>
      <c r="B68" s="26" t="s">
        <v>171</v>
      </c>
      <c r="C68" s="15" t="s">
        <v>126</v>
      </c>
      <c r="D68" s="16" t="n">
        <v>1175</v>
      </c>
      <c r="E68" s="16" t="n">
        <v>235</v>
      </c>
      <c r="F68" s="18" t="n">
        <v>0.426</v>
      </c>
      <c r="G68" s="18" t="n">
        <v>64.98</v>
      </c>
      <c r="H68" s="18" t="n">
        <v>24.6</v>
      </c>
      <c r="I68" s="18" t="n">
        <v>16</v>
      </c>
      <c r="J68" s="26" t="n">
        <v>10</v>
      </c>
      <c r="K68" s="26" t="n">
        <v>0</v>
      </c>
      <c r="L68" s="26" t="n">
        <v>2</v>
      </c>
      <c r="M68" s="17" t="n">
        <f aca="false">IF(D68=0,"-",1000*L68/D68)</f>
        <v>1.70212765957447</v>
      </c>
    </row>
    <row r="69" customFormat="false" ht="15" hidden="false" customHeight="false" outlineLevel="0" collapsed="false">
      <c r="A69" s="15" t="s">
        <v>52</v>
      </c>
      <c r="B69" s="26" t="s">
        <v>172</v>
      </c>
      <c r="C69" s="15" t="s">
        <v>88</v>
      </c>
      <c r="D69" s="16" t="n">
        <v>1172</v>
      </c>
      <c r="E69" s="16" t="n">
        <v>46</v>
      </c>
      <c r="F69" s="18" t="n">
        <v>0</v>
      </c>
      <c r="G69" s="18" t="n">
        <v>63.63</v>
      </c>
      <c r="H69" s="18" t="n">
        <v>33</v>
      </c>
      <c r="I69" s="18" t="n">
        <v>21</v>
      </c>
      <c r="J69" s="26" t="n">
        <v>4</v>
      </c>
      <c r="K69" s="26" t="n">
        <v>0</v>
      </c>
      <c r="L69" s="26" t="n">
        <v>2</v>
      </c>
      <c r="M69" s="17" t="n">
        <f aca="false">IF(D69=0,"-",1000*L69/D69)</f>
        <v>1.70648464163823</v>
      </c>
    </row>
    <row r="70" customFormat="false" ht="15" hidden="false" customHeight="false" outlineLevel="0" collapsed="false">
      <c r="A70" s="15" t="s">
        <v>54</v>
      </c>
      <c r="B70" s="26" t="s">
        <v>173</v>
      </c>
      <c r="C70" s="15" t="s">
        <v>86</v>
      </c>
      <c r="D70" s="16" t="n">
        <v>1172</v>
      </c>
      <c r="E70" s="16" t="n">
        <v>90</v>
      </c>
      <c r="F70" s="18" t="n">
        <v>0</v>
      </c>
      <c r="G70" s="18" t="n">
        <v>31.01</v>
      </c>
      <c r="H70" s="18" t="n">
        <v>25.8</v>
      </c>
      <c r="I70" s="18" t="n">
        <v>8</v>
      </c>
      <c r="J70" s="26" t="n">
        <v>0</v>
      </c>
      <c r="K70" s="26" t="n">
        <v>0</v>
      </c>
      <c r="L70" s="26" t="n">
        <v>0</v>
      </c>
      <c r="M70" s="18" t="n">
        <f aca="false">IF(D70=0,"-",1000*L70/D70)</f>
        <v>0</v>
      </c>
    </row>
    <row r="71" customFormat="false" ht="15" hidden="false" customHeight="false" outlineLevel="0" collapsed="false">
      <c r="A71" s="15" t="s">
        <v>57</v>
      </c>
      <c r="B71" s="26" t="s">
        <v>174</v>
      </c>
      <c r="C71" s="15" t="s">
        <v>131</v>
      </c>
      <c r="D71" s="16" t="n">
        <v>1166</v>
      </c>
      <c r="E71" s="16" t="n">
        <v>7</v>
      </c>
      <c r="F71" s="18" t="n">
        <v>0</v>
      </c>
      <c r="G71" s="18" t="n">
        <v>30.03</v>
      </c>
      <c r="H71" s="18" t="n">
        <v>40</v>
      </c>
      <c r="I71" s="18" t="n">
        <v>12</v>
      </c>
      <c r="J71" s="26" t="n">
        <v>3</v>
      </c>
      <c r="K71" s="26" t="n">
        <v>0</v>
      </c>
      <c r="L71" s="26" t="n">
        <v>0</v>
      </c>
      <c r="M71" s="18" t="n">
        <f aca="false">IF(D71=0,"-",1000*L71/D71)</f>
        <v>0</v>
      </c>
    </row>
    <row r="72" customFormat="false" ht="15" hidden="false" customHeight="false" outlineLevel="0" collapsed="false">
      <c r="A72" s="15" t="s">
        <v>40</v>
      </c>
      <c r="B72" s="26" t="s">
        <v>175</v>
      </c>
      <c r="C72" s="15" t="s">
        <v>97</v>
      </c>
      <c r="D72" s="16" t="n">
        <v>1162</v>
      </c>
      <c r="E72" s="16" t="n">
        <v>27</v>
      </c>
      <c r="F72" s="18" t="n">
        <v>0</v>
      </c>
      <c r="G72" s="18" t="n">
        <v>109.6</v>
      </c>
      <c r="H72" s="18" t="n">
        <v>25.5</v>
      </c>
      <c r="I72" s="18" t="n">
        <v>28</v>
      </c>
      <c r="J72" s="26" t="n">
        <v>3</v>
      </c>
      <c r="K72" s="26" t="n">
        <v>0</v>
      </c>
      <c r="L72" s="26" t="n">
        <v>0</v>
      </c>
      <c r="M72" s="18" t="n">
        <f aca="false">IF(D72=0,"-",1000*L72/D72)</f>
        <v>0</v>
      </c>
    </row>
    <row r="73" customFormat="false" ht="15" hidden="false" customHeight="false" outlineLevel="0" collapsed="false">
      <c r="A73" s="15" t="s">
        <v>40</v>
      </c>
      <c r="B73" s="26" t="s">
        <v>176</v>
      </c>
      <c r="C73" s="15" t="s">
        <v>90</v>
      </c>
      <c r="D73" s="16" t="n">
        <v>1153</v>
      </c>
      <c r="E73" s="16" t="n">
        <v>60</v>
      </c>
      <c r="F73" s="18" t="n">
        <v>0</v>
      </c>
      <c r="G73" s="18" t="n">
        <v>26.63</v>
      </c>
      <c r="H73" s="18" t="n">
        <v>41.3</v>
      </c>
      <c r="I73" s="18" t="n">
        <v>11</v>
      </c>
      <c r="J73" s="26" t="n">
        <v>7</v>
      </c>
      <c r="K73" s="26" t="n">
        <v>0</v>
      </c>
      <c r="L73" s="26" t="n">
        <v>0</v>
      </c>
      <c r="M73" s="18" t="n">
        <f aca="false">IF(D73=0,"-",1000*L73/D73)</f>
        <v>0</v>
      </c>
    </row>
    <row r="74" customFormat="false" ht="15" hidden="false" customHeight="false" outlineLevel="0" collapsed="false">
      <c r="A74" s="15" t="s">
        <v>52</v>
      </c>
      <c r="B74" s="26" t="s">
        <v>177</v>
      </c>
      <c r="C74" s="15" t="s">
        <v>86</v>
      </c>
      <c r="D74" s="16" t="n">
        <v>1149</v>
      </c>
      <c r="E74" s="16" t="n">
        <v>14</v>
      </c>
      <c r="F74" s="18" t="n">
        <v>0</v>
      </c>
      <c r="G74" s="18" t="n">
        <v>41.39</v>
      </c>
      <c r="H74" s="18" t="n">
        <v>36.2</v>
      </c>
      <c r="I74" s="18" t="n">
        <v>15</v>
      </c>
      <c r="J74" s="26" t="n">
        <v>2</v>
      </c>
      <c r="K74" s="26" t="n">
        <v>0</v>
      </c>
      <c r="L74" s="26" t="n">
        <v>0</v>
      </c>
      <c r="M74" s="18" t="n">
        <f aca="false">IF(D74=0,"-",1000*L74/D74)</f>
        <v>0</v>
      </c>
    </row>
    <row r="75" customFormat="false" ht="15" hidden="false" customHeight="false" outlineLevel="0" collapsed="false">
      <c r="A75" s="15" t="s">
        <v>40</v>
      </c>
      <c r="B75" s="26" t="s">
        <v>178</v>
      </c>
      <c r="C75" s="15" t="s">
        <v>109</v>
      </c>
      <c r="D75" s="16" t="n">
        <v>1144</v>
      </c>
      <c r="E75" s="16" t="n">
        <v>22</v>
      </c>
      <c r="F75" s="18" t="n">
        <v>0</v>
      </c>
      <c r="G75" s="18" t="n">
        <v>51.4</v>
      </c>
      <c r="H75" s="18" t="n">
        <v>21.4</v>
      </c>
      <c r="I75" s="18" t="n">
        <v>11</v>
      </c>
      <c r="J75" s="26" t="n">
        <v>2</v>
      </c>
      <c r="K75" s="26" t="n">
        <v>0</v>
      </c>
      <c r="L75" s="26" t="n">
        <v>0</v>
      </c>
      <c r="M75" s="18" t="n">
        <f aca="false">IF(D75=0,"-",1000*L75/D75)</f>
        <v>0</v>
      </c>
    </row>
    <row r="76" customFormat="false" ht="15" hidden="false" customHeight="false" outlineLevel="0" collapsed="false">
      <c r="A76" s="15" t="s">
        <v>57</v>
      </c>
      <c r="B76" s="26" t="s">
        <v>179</v>
      </c>
      <c r="C76" s="15" t="s">
        <v>86</v>
      </c>
      <c r="D76" s="16" t="n">
        <v>1143</v>
      </c>
      <c r="E76" s="16" t="n">
        <v>14</v>
      </c>
      <c r="F76" s="18" t="n">
        <v>7.143</v>
      </c>
      <c r="G76" s="18" t="n">
        <v>32.91</v>
      </c>
      <c r="H76" s="18" t="n">
        <v>36.5</v>
      </c>
      <c r="I76" s="18" t="n">
        <v>12</v>
      </c>
      <c r="J76" s="26" t="n">
        <v>10</v>
      </c>
      <c r="K76" s="26" t="n">
        <v>1</v>
      </c>
      <c r="L76" s="26" t="n">
        <v>0</v>
      </c>
      <c r="M76" s="18" t="n">
        <f aca="false">IF(D76=0,"-",1000*L76/D76)</f>
        <v>0</v>
      </c>
    </row>
    <row r="77" customFormat="false" ht="15" hidden="false" customHeight="false" outlineLevel="0" collapsed="false">
      <c r="A77" s="15" t="s">
        <v>54</v>
      </c>
      <c r="B77" s="26" t="s">
        <v>180</v>
      </c>
      <c r="C77" s="15" t="s">
        <v>181</v>
      </c>
      <c r="D77" s="16" t="n">
        <v>1142</v>
      </c>
      <c r="E77" s="16" t="n">
        <v>58</v>
      </c>
      <c r="F77" s="18" t="n">
        <v>5.172</v>
      </c>
      <c r="G77" s="18" t="n">
        <v>42.62</v>
      </c>
      <c r="H77" s="18" t="n">
        <v>28.2</v>
      </c>
      <c r="I77" s="18" t="n">
        <v>12</v>
      </c>
      <c r="J77" s="26" t="n">
        <v>4</v>
      </c>
      <c r="K77" s="26" t="n">
        <v>1</v>
      </c>
      <c r="L77" s="26" t="n">
        <v>0</v>
      </c>
      <c r="M77" s="18" t="n">
        <f aca="false">IF(D77=0,"-",1000*L77/D77)</f>
        <v>0</v>
      </c>
    </row>
    <row r="78" customFormat="false" ht="15" hidden="false" customHeight="false" outlineLevel="0" collapsed="false">
      <c r="A78" s="15" t="s">
        <v>36</v>
      </c>
      <c r="B78" s="15" t="s">
        <v>182</v>
      </c>
      <c r="C78" s="15" t="s">
        <v>126</v>
      </c>
      <c r="D78" s="16" t="n">
        <v>1134</v>
      </c>
      <c r="E78" s="16" t="n">
        <v>515</v>
      </c>
      <c r="F78" s="18" t="n">
        <v>0.777</v>
      </c>
      <c r="G78" s="18" t="n">
        <v>52.93</v>
      </c>
      <c r="H78" s="18" t="n">
        <v>26.5</v>
      </c>
      <c r="I78" s="18" t="n">
        <v>14</v>
      </c>
      <c r="J78" s="26" t="n">
        <v>3</v>
      </c>
      <c r="K78" s="26" t="n">
        <v>0</v>
      </c>
      <c r="L78" s="26" t="n">
        <v>0</v>
      </c>
      <c r="M78" s="18" t="n">
        <f aca="false">IF(D78=0,"-",1000*L78/D78)</f>
        <v>0</v>
      </c>
    </row>
    <row r="79" customFormat="false" ht="15" hidden="false" customHeight="false" outlineLevel="0" collapsed="false">
      <c r="A79" s="15" t="s">
        <v>54</v>
      </c>
      <c r="B79" s="26" t="s">
        <v>183</v>
      </c>
      <c r="C79" s="15" t="s">
        <v>86</v>
      </c>
      <c r="D79" s="16" t="n">
        <v>1133</v>
      </c>
      <c r="E79" s="16" t="n">
        <v>119</v>
      </c>
      <c r="F79" s="18" t="n">
        <v>4.202</v>
      </c>
      <c r="G79" s="18" t="n">
        <v>73.62</v>
      </c>
      <c r="H79" s="18" t="n">
        <v>29.9</v>
      </c>
      <c r="I79" s="18" t="n">
        <v>22</v>
      </c>
      <c r="J79" s="26" t="n">
        <v>2</v>
      </c>
      <c r="K79" s="26" t="n">
        <v>0</v>
      </c>
      <c r="L79" s="26" t="n">
        <v>0</v>
      </c>
      <c r="M79" s="18" t="n">
        <f aca="false">IF(D79=0,"-",1000*L79/D79)</f>
        <v>0</v>
      </c>
    </row>
    <row r="80" customFormat="false" ht="15" hidden="false" customHeight="false" outlineLevel="0" collapsed="false">
      <c r="A80" s="15" t="s">
        <v>38</v>
      </c>
      <c r="B80" s="26" t="s">
        <v>184</v>
      </c>
      <c r="C80" s="15" t="s">
        <v>111</v>
      </c>
      <c r="D80" s="16" t="n">
        <v>1132</v>
      </c>
      <c r="E80" s="16" t="n">
        <v>89</v>
      </c>
      <c r="F80" s="18" t="n">
        <v>2.247</v>
      </c>
      <c r="G80" s="18" t="n">
        <v>68.07</v>
      </c>
      <c r="H80" s="18" t="n">
        <v>26.4</v>
      </c>
      <c r="I80" s="18" t="n">
        <v>18</v>
      </c>
      <c r="J80" s="26" t="n">
        <v>7</v>
      </c>
      <c r="K80" s="26" t="n">
        <v>0</v>
      </c>
      <c r="L80" s="26" t="n">
        <v>0</v>
      </c>
      <c r="M80" s="18" t="n">
        <f aca="false">IF(D80=0,"-",1000*L80/D80)</f>
        <v>0</v>
      </c>
    </row>
    <row r="81" customFormat="false" ht="15" hidden="false" customHeight="false" outlineLevel="0" collapsed="false">
      <c r="A81" s="15" t="s">
        <v>54</v>
      </c>
      <c r="B81" s="26" t="s">
        <v>185</v>
      </c>
      <c r="C81" s="15" t="s">
        <v>134</v>
      </c>
      <c r="D81" s="16" t="n">
        <v>1128</v>
      </c>
      <c r="E81" s="16" t="n">
        <v>60</v>
      </c>
      <c r="F81" s="18" t="n">
        <v>1.667</v>
      </c>
      <c r="G81" s="18" t="n">
        <v>69.7</v>
      </c>
      <c r="H81" s="18" t="n">
        <v>28.7</v>
      </c>
      <c r="I81" s="18" t="n">
        <v>20</v>
      </c>
      <c r="J81" s="26" t="n">
        <v>2</v>
      </c>
      <c r="K81" s="26" t="n">
        <v>0</v>
      </c>
      <c r="L81" s="26" t="n">
        <v>0</v>
      </c>
      <c r="M81" s="18" t="n">
        <f aca="false">IF(D81=0,"-",1000*L81/D81)</f>
        <v>0</v>
      </c>
    </row>
    <row r="82" customFormat="false" ht="15" hidden="false" customHeight="false" outlineLevel="0" collapsed="false">
      <c r="A82" s="15" t="s">
        <v>35</v>
      </c>
      <c r="B82" s="26" t="s">
        <v>186</v>
      </c>
      <c r="C82" s="15" t="s">
        <v>104</v>
      </c>
      <c r="D82" s="16" t="n">
        <v>1121</v>
      </c>
      <c r="E82" s="16" t="n">
        <v>88</v>
      </c>
      <c r="F82" s="18" t="n">
        <v>6.818</v>
      </c>
      <c r="G82" s="18" t="n">
        <v>42.31</v>
      </c>
      <c r="H82" s="18" t="n">
        <v>78</v>
      </c>
      <c r="I82" s="18" t="n">
        <v>33</v>
      </c>
      <c r="J82" s="26" t="n">
        <v>10</v>
      </c>
      <c r="K82" s="26" t="n">
        <v>0</v>
      </c>
      <c r="L82" s="26" t="n">
        <v>2</v>
      </c>
      <c r="M82" s="17" t="n">
        <f aca="false">IF(D82=0,"-",1000*L82/D82)</f>
        <v>1.78412132024978</v>
      </c>
    </row>
    <row r="83" customFormat="false" ht="15" hidden="false" customHeight="false" outlineLevel="0" collapsed="false">
      <c r="A83" s="15" t="s">
        <v>37</v>
      </c>
      <c r="B83" s="15" t="s">
        <v>187</v>
      </c>
      <c r="C83" s="15" t="s">
        <v>131</v>
      </c>
      <c r="D83" s="16" t="n">
        <v>1115</v>
      </c>
      <c r="E83" s="16" t="n">
        <v>32</v>
      </c>
      <c r="F83" s="18" t="n">
        <v>0</v>
      </c>
      <c r="G83" s="18" t="n">
        <v>32.47</v>
      </c>
      <c r="H83" s="18" t="n">
        <v>40</v>
      </c>
      <c r="I83" s="18" t="n">
        <v>13</v>
      </c>
      <c r="J83" s="26" t="n">
        <v>2</v>
      </c>
      <c r="K83" s="26" t="n">
        <v>1</v>
      </c>
      <c r="L83" s="26" t="n">
        <v>0</v>
      </c>
      <c r="M83" s="18" t="n">
        <f aca="false">IF(D83=0,"-",1000*L83/D83)</f>
        <v>0</v>
      </c>
    </row>
    <row r="84" customFormat="false" ht="15" hidden="false" customHeight="false" outlineLevel="0" collapsed="false">
      <c r="A84" s="15" t="s">
        <v>39</v>
      </c>
      <c r="B84" s="26" t="s">
        <v>188</v>
      </c>
      <c r="C84" s="15" t="s">
        <v>113</v>
      </c>
      <c r="D84" s="16" t="n">
        <v>1111</v>
      </c>
      <c r="E84" s="16" t="n">
        <v>223</v>
      </c>
      <c r="F84" s="18" t="n">
        <v>1.345</v>
      </c>
      <c r="G84" s="18" t="n">
        <v>41.73</v>
      </c>
      <c r="H84" s="18" t="n">
        <v>43.1</v>
      </c>
      <c r="I84" s="18" t="n">
        <v>18</v>
      </c>
      <c r="J84" s="26" t="n">
        <v>6</v>
      </c>
      <c r="K84" s="26" t="n">
        <v>0</v>
      </c>
      <c r="L84" s="26" t="n">
        <v>1</v>
      </c>
      <c r="M84" s="18" t="n">
        <f aca="false">IF(D84=0,"-",1000*L84/D84)</f>
        <v>0.9000900090009</v>
      </c>
    </row>
    <row r="85" customFormat="false" ht="15" hidden="false" customHeight="false" outlineLevel="0" collapsed="false">
      <c r="A85" s="15" t="s">
        <v>37</v>
      </c>
      <c r="B85" s="26" t="s">
        <v>189</v>
      </c>
      <c r="C85" s="15" t="s">
        <v>104</v>
      </c>
      <c r="D85" s="16" t="n">
        <v>1105</v>
      </c>
      <c r="E85" s="16" t="n">
        <v>52</v>
      </c>
      <c r="F85" s="18" t="n">
        <v>1.923</v>
      </c>
      <c r="G85" s="18" t="n">
        <v>35.38</v>
      </c>
      <c r="H85" s="18" t="n">
        <v>25.4</v>
      </c>
      <c r="I85" s="18" t="n">
        <v>9</v>
      </c>
      <c r="J85" s="26" t="n">
        <v>3</v>
      </c>
      <c r="K85" s="26" t="n">
        <v>0</v>
      </c>
      <c r="L85" s="26" t="n">
        <v>0</v>
      </c>
      <c r="M85" s="18" t="n">
        <f aca="false">IF(D85=0,"-",1000*L85/D85)</f>
        <v>0</v>
      </c>
    </row>
    <row r="86" customFormat="false" ht="15" hidden="false" customHeight="false" outlineLevel="0" collapsed="false">
      <c r="A86" s="15" t="s">
        <v>57</v>
      </c>
      <c r="B86" s="26" t="s">
        <v>190</v>
      </c>
      <c r="C86" s="15" t="s">
        <v>88</v>
      </c>
      <c r="D86" s="16" t="n">
        <v>1102</v>
      </c>
      <c r="E86" s="16" t="n">
        <v>10</v>
      </c>
      <c r="F86" s="18" t="n">
        <v>0</v>
      </c>
      <c r="G86" s="18" t="n">
        <v>25.51</v>
      </c>
      <c r="H86" s="18" t="n">
        <v>39.2</v>
      </c>
      <c r="I86" s="18" t="n">
        <v>10</v>
      </c>
      <c r="J86" s="26" t="n">
        <v>1</v>
      </c>
      <c r="K86" s="26" t="n">
        <v>0</v>
      </c>
      <c r="L86" s="26" t="n">
        <v>0</v>
      </c>
      <c r="M86" s="18" t="n">
        <f aca="false">IF(D86=0,"-",1000*L86/D86)</f>
        <v>0</v>
      </c>
    </row>
    <row r="87" customFormat="false" ht="15" hidden="false" customHeight="false" outlineLevel="0" collapsed="false">
      <c r="A87" s="15" t="s">
        <v>35</v>
      </c>
      <c r="B87" s="26" t="s">
        <v>191</v>
      </c>
      <c r="C87" s="15" t="s">
        <v>181</v>
      </c>
      <c r="D87" s="16" t="n">
        <v>1100</v>
      </c>
      <c r="E87" s="16" t="n">
        <v>62</v>
      </c>
      <c r="F87" s="18" t="n">
        <v>1.613</v>
      </c>
      <c r="G87" s="18" t="n">
        <v>50.46</v>
      </c>
      <c r="H87" s="18" t="n">
        <v>51.5</v>
      </c>
      <c r="I87" s="18" t="n">
        <v>26</v>
      </c>
      <c r="J87" s="26" t="n">
        <v>3</v>
      </c>
      <c r="K87" s="26" t="n">
        <v>0</v>
      </c>
      <c r="L87" s="26" t="n">
        <v>0</v>
      </c>
      <c r="M87" s="18" t="n">
        <f aca="false">IF(D87=0,"-",1000*L87/D87)</f>
        <v>0</v>
      </c>
    </row>
    <row r="88" customFormat="false" ht="15" hidden="false" customHeight="false" outlineLevel="0" collapsed="false">
      <c r="A88" s="15" t="s">
        <v>40</v>
      </c>
      <c r="B88" s="26" t="s">
        <v>192</v>
      </c>
      <c r="C88" s="15" t="s">
        <v>147</v>
      </c>
      <c r="D88" s="16" t="n">
        <v>1089</v>
      </c>
      <c r="E88" s="16" t="n">
        <v>46</v>
      </c>
      <c r="F88" s="18" t="n">
        <v>0</v>
      </c>
      <c r="G88" s="18" t="n">
        <v>23.1</v>
      </c>
      <c r="H88" s="18" t="n">
        <v>51.9</v>
      </c>
      <c r="I88" s="18" t="n">
        <v>12</v>
      </c>
      <c r="J88" s="26" t="n">
        <v>0</v>
      </c>
      <c r="K88" s="26" t="n">
        <v>0</v>
      </c>
      <c r="L88" s="26" t="n">
        <v>0</v>
      </c>
      <c r="M88" s="18" t="n">
        <f aca="false">IF(D88=0,"-",1000*L88/D88)</f>
        <v>0</v>
      </c>
    </row>
    <row r="89" customFormat="false" ht="15" hidden="false" customHeight="false" outlineLevel="0" collapsed="false">
      <c r="A89" s="15" t="s">
        <v>54</v>
      </c>
      <c r="B89" s="26" t="s">
        <v>193</v>
      </c>
      <c r="C89" s="15" t="s">
        <v>95</v>
      </c>
      <c r="D89" s="16" t="n">
        <v>1089</v>
      </c>
      <c r="E89" s="16" t="n">
        <v>57</v>
      </c>
      <c r="F89" s="18" t="n">
        <v>3.509</v>
      </c>
      <c r="G89" s="18" t="n">
        <v>43.01</v>
      </c>
      <c r="H89" s="18" t="n">
        <v>27.9</v>
      </c>
      <c r="I89" s="18" t="n">
        <v>12</v>
      </c>
      <c r="J89" s="26" t="n">
        <v>2</v>
      </c>
      <c r="K89" s="26" t="n">
        <v>0</v>
      </c>
      <c r="L89" s="26" t="n">
        <v>1</v>
      </c>
      <c r="M89" s="18" t="n">
        <f aca="false">IF(D89=0,"-",1000*L89/D89)</f>
        <v>0.918273645546373</v>
      </c>
    </row>
    <row r="90" customFormat="false" ht="15" hidden="false" customHeight="false" outlineLevel="0" collapsed="false">
      <c r="A90" s="15" t="s">
        <v>57</v>
      </c>
      <c r="B90" s="26" t="s">
        <v>194</v>
      </c>
      <c r="C90" s="15" t="s">
        <v>195</v>
      </c>
      <c r="D90" s="16" t="n">
        <v>1089</v>
      </c>
      <c r="E90" s="16" t="n">
        <v>8</v>
      </c>
      <c r="F90" s="18" t="n">
        <v>0</v>
      </c>
      <c r="G90" s="18" t="n">
        <v>127.72</v>
      </c>
      <c r="H90" s="18" t="n">
        <v>31.3</v>
      </c>
      <c r="I90" s="18" t="n">
        <v>40</v>
      </c>
      <c r="J90" s="26" t="n">
        <v>6</v>
      </c>
      <c r="K90" s="26" t="n">
        <v>0</v>
      </c>
      <c r="L90" s="26" t="n">
        <v>0</v>
      </c>
      <c r="M90" s="18" t="n">
        <f aca="false">IF(D90=0,"-",1000*L90/D90)</f>
        <v>0</v>
      </c>
    </row>
    <row r="91" customFormat="false" ht="15" hidden="false" customHeight="false" outlineLevel="0" collapsed="false">
      <c r="A91" s="15" t="s">
        <v>40</v>
      </c>
      <c r="B91" s="26" t="s">
        <v>196</v>
      </c>
      <c r="C91" s="15" t="s">
        <v>88</v>
      </c>
      <c r="D91" s="16" t="n">
        <v>1088</v>
      </c>
      <c r="E91" s="16" t="n">
        <v>255</v>
      </c>
      <c r="F91" s="18" t="n">
        <v>0.392</v>
      </c>
      <c r="G91" s="18" t="n">
        <v>27.12</v>
      </c>
      <c r="H91" s="18" t="n">
        <v>47.9</v>
      </c>
      <c r="I91" s="18" t="n">
        <v>13</v>
      </c>
      <c r="J91" s="26" t="n">
        <v>1</v>
      </c>
      <c r="K91" s="26" t="n">
        <v>0</v>
      </c>
      <c r="L91" s="26" t="n">
        <v>0</v>
      </c>
      <c r="M91" s="18" t="n">
        <f aca="false">IF(D91=0,"-",1000*L91/D91)</f>
        <v>0</v>
      </c>
    </row>
    <row r="92" customFormat="false" ht="15" hidden="false" customHeight="false" outlineLevel="0" collapsed="false">
      <c r="A92" s="15" t="s">
        <v>38</v>
      </c>
      <c r="B92" s="15" t="s">
        <v>197</v>
      </c>
      <c r="C92" s="15" t="s">
        <v>121</v>
      </c>
      <c r="D92" s="16" t="n">
        <v>1088</v>
      </c>
      <c r="E92" s="16" t="n">
        <v>70</v>
      </c>
      <c r="F92" s="18" t="n">
        <v>0</v>
      </c>
      <c r="G92" s="18" t="n">
        <v>63.72</v>
      </c>
      <c r="H92" s="18" t="n">
        <v>26.7</v>
      </c>
      <c r="I92" s="18" t="n">
        <v>17</v>
      </c>
      <c r="J92" s="26" t="n">
        <v>4</v>
      </c>
      <c r="K92" s="26" t="n">
        <v>0</v>
      </c>
      <c r="L92" s="26" t="n">
        <v>1</v>
      </c>
      <c r="M92" s="18" t="n">
        <f aca="false">IF(D92=0,"-",1000*L92/D92)</f>
        <v>0.919117647058824</v>
      </c>
    </row>
    <row r="93" customFormat="false" ht="15" hidden="false" customHeight="false" outlineLevel="0" collapsed="false">
      <c r="A93" s="15" t="s">
        <v>40</v>
      </c>
      <c r="B93" s="26" t="s">
        <v>198</v>
      </c>
      <c r="C93" s="15" t="s">
        <v>99</v>
      </c>
      <c r="D93" s="16" t="n">
        <v>1086</v>
      </c>
      <c r="E93" s="16" t="n">
        <v>36</v>
      </c>
      <c r="F93" s="18" t="n">
        <v>2.778</v>
      </c>
      <c r="G93" s="18" t="n">
        <v>125.51</v>
      </c>
      <c r="H93" s="18" t="n">
        <v>22.3</v>
      </c>
      <c r="I93" s="18" t="n">
        <v>28</v>
      </c>
      <c r="J93" s="26" t="n">
        <v>1</v>
      </c>
      <c r="K93" s="26" t="n">
        <v>0</v>
      </c>
      <c r="L93" s="26" t="n">
        <v>0</v>
      </c>
      <c r="M93" s="18" t="n">
        <f aca="false">IF(D93=0,"-",1000*L93/D93)</f>
        <v>0</v>
      </c>
    </row>
    <row r="94" customFormat="false" ht="15" hidden="false" customHeight="false" outlineLevel="0" collapsed="false">
      <c r="A94" s="15" t="s">
        <v>37</v>
      </c>
      <c r="B94" s="15" t="s">
        <v>199</v>
      </c>
      <c r="C94" s="15" t="s">
        <v>147</v>
      </c>
      <c r="D94" s="16" t="n">
        <v>1076</v>
      </c>
      <c r="E94" s="16" t="n">
        <v>26</v>
      </c>
      <c r="F94" s="18" t="n">
        <v>3.846</v>
      </c>
      <c r="G94" s="18" t="n">
        <v>35.22</v>
      </c>
      <c r="H94" s="18" t="n">
        <v>48.3</v>
      </c>
      <c r="I94" s="18" t="n">
        <v>17</v>
      </c>
      <c r="J94" s="26" t="n">
        <v>10</v>
      </c>
      <c r="K94" s="26" t="n">
        <v>0</v>
      </c>
      <c r="L94" s="26" t="n">
        <v>1</v>
      </c>
      <c r="M94" s="18" t="n">
        <f aca="false">IF(D94=0,"-",1000*L94/D94)</f>
        <v>0.929368029739777</v>
      </c>
    </row>
    <row r="95" customFormat="false" ht="15" hidden="false" customHeight="false" outlineLevel="0" collapsed="false">
      <c r="A95" s="15" t="s">
        <v>36</v>
      </c>
      <c r="B95" s="15" t="s">
        <v>200</v>
      </c>
      <c r="C95" s="15" t="s">
        <v>99</v>
      </c>
      <c r="D95" s="16" t="n">
        <v>1075</v>
      </c>
      <c r="E95" s="16" t="n">
        <v>446</v>
      </c>
      <c r="F95" s="18" t="n">
        <v>1.57</v>
      </c>
      <c r="G95" s="18" t="n">
        <v>86.52</v>
      </c>
      <c r="H95" s="18" t="n">
        <v>28.9</v>
      </c>
      <c r="I95" s="18" t="n">
        <v>25</v>
      </c>
      <c r="J95" s="26" t="n">
        <v>0</v>
      </c>
      <c r="K95" s="26" t="n">
        <v>0</v>
      </c>
      <c r="L95" s="26" t="n">
        <v>0</v>
      </c>
      <c r="M95" s="18" t="n">
        <f aca="false">IF(D95=0,"-",1000*L95/D95)</f>
        <v>0</v>
      </c>
    </row>
    <row r="96" customFormat="false" ht="15" hidden="false" customHeight="false" outlineLevel="0" collapsed="false">
      <c r="A96" s="15" t="s">
        <v>37</v>
      </c>
      <c r="B96" s="15" t="s">
        <v>201</v>
      </c>
      <c r="C96" s="15" t="s">
        <v>134</v>
      </c>
      <c r="D96" s="16" t="n">
        <v>1074</v>
      </c>
      <c r="E96" s="16" t="n">
        <v>75</v>
      </c>
      <c r="F96" s="18" t="n">
        <v>1.333</v>
      </c>
      <c r="G96" s="18" t="n">
        <v>98.91</v>
      </c>
      <c r="H96" s="18" t="n">
        <v>40.4</v>
      </c>
      <c r="I96" s="18" t="n">
        <v>40</v>
      </c>
      <c r="J96" s="26" t="n">
        <v>5</v>
      </c>
      <c r="K96" s="26" t="n">
        <v>0</v>
      </c>
      <c r="L96" s="26" t="n">
        <v>0</v>
      </c>
      <c r="M96" s="18" t="n">
        <f aca="false">IF(D96=0,"-",1000*L96/D96)</f>
        <v>0</v>
      </c>
    </row>
    <row r="97" customFormat="false" ht="15" hidden="false" customHeight="false" outlineLevel="0" collapsed="false">
      <c r="A97" s="15" t="s">
        <v>38</v>
      </c>
      <c r="B97" s="15" t="s">
        <v>202</v>
      </c>
      <c r="C97" s="15" t="s">
        <v>92</v>
      </c>
      <c r="D97" s="16" t="n">
        <v>1072</v>
      </c>
      <c r="E97" s="16" t="n">
        <v>40</v>
      </c>
      <c r="F97" s="18" t="n">
        <v>0</v>
      </c>
      <c r="G97" s="18" t="n">
        <v>27.54</v>
      </c>
      <c r="H97" s="18" t="n">
        <v>69</v>
      </c>
      <c r="I97" s="18" t="n">
        <v>19</v>
      </c>
      <c r="J97" s="26" t="n">
        <v>1</v>
      </c>
      <c r="K97" s="26" t="n">
        <v>1</v>
      </c>
      <c r="L97" s="26" t="n">
        <v>0</v>
      </c>
      <c r="M97" s="18" t="n">
        <f aca="false">IF(D97=0,"-",1000*L97/D97)</f>
        <v>0</v>
      </c>
    </row>
    <row r="98" customFormat="false" ht="15" hidden="false" customHeight="false" outlineLevel="0" collapsed="false">
      <c r="A98" s="15" t="s">
        <v>37</v>
      </c>
      <c r="B98" s="26" t="s">
        <v>203</v>
      </c>
      <c r="C98" s="15" t="s">
        <v>109</v>
      </c>
      <c r="D98" s="16" t="n">
        <v>1071</v>
      </c>
      <c r="E98" s="16" t="n">
        <v>32</v>
      </c>
      <c r="F98" s="18" t="n">
        <v>3.125</v>
      </c>
      <c r="G98" s="18" t="n">
        <v>53.03</v>
      </c>
      <c r="H98" s="18" t="n">
        <v>30.2</v>
      </c>
      <c r="I98" s="18" t="n">
        <v>16</v>
      </c>
      <c r="J98" s="26" t="n">
        <v>3</v>
      </c>
      <c r="K98" s="26" t="n">
        <v>0</v>
      </c>
      <c r="L98" s="26" t="n">
        <v>1</v>
      </c>
      <c r="M98" s="18" t="n">
        <f aca="false">IF(D98=0,"-",1000*L98/D98)</f>
        <v>0.933706816059757</v>
      </c>
    </row>
    <row r="99" customFormat="false" ht="15" hidden="false" customHeight="false" outlineLevel="0" collapsed="false">
      <c r="A99" s="15" t="s">
        <v>35</v>
      </c>
      <c r="B99" s="26" t="s">
        <v>204</v>
      </c>
      <c r="C99" s="15" t="s">
        <v>111</v>
      </c>
      <c r="D99" s="16" t="n">
        <v>1068</v>
      </c>
      <c r="E99" s="16" t="n">
        <v>102</v>
      </c>
      <c r="F99" s="18" t="n">
        <v>2.941</v>
      </c>
      <c r="G99" s="18" t="n">
        <v>65.68</v>
      </c>
      <c r="H99" s="18" t="n">
        <v>80.7</v>
      </c>
      <c r="I99" s="18" t="n">
        <v>53</v>
      </c>
      <c r="J99" s="26" t="n">
        <v>10</v>
      </c>
      <c r="K99" s="26" t="n">
        <v>1</v>
      </c>
      <c r="L99" s="26" t="n">
        <v>0</v>
      </c>
      <c r="M99" s="18" t="n">
        <f aca="false">IF(D99=0,"-",1000*L99/D99)</f>
        <v>0</v>
      </c>
    </row>
    <row r="100" customFormat="false" ht="15" hidden="false" customHeight="false" outlineLevel="0" collapsed="false">
      <c r="A100" s="15" t="s">
        <v>54</v>
      </c>
      <c r="B100" s="26" t="s">
        <v>205</v>
      </c>
      <c r="C100" s="15" t="s">
        <v>124</v>
      </c>
      <c r="D100" s="16" t="n">
        <v>1066</v>
      </c>
      <c r="E100" s="16" t="n">
        <v>58</v>
      </c>
      <c r="F100" s="18" t="n">
        <v>5.172</v>
      </c>
      <c r="G100" s="18" t="n">
        <v>50.21</v>
      </c>
      <c r="H100" s="18" t="n">
        <v>25.9</v>
      </c>
      <c r="I100" s="18" t="n">
        <v>13</v>
      </c>
      <c r="J100" s="26" t="n">
        <v>3</v>
      </c>
      <c r="K100" s="26" t="n">
        <v>0</v>
      </c>
      <c r="L100" s="26" t="n">
        <v>0</v>
      </c>
      <c r="M100" s="18" t="n">
        <f aca="false">IF(D100=0,"-",1000*L100/D100)</f>
        <v>0</v>
      </c>
    </row>
    <row r="101" customFormat="false" ht="15" hidden="false" customHeight="false" outlineLevel="0" collapsed="false">
      <c r="A101" s="15" t="s">
        <v>37</v>
      </c>
      <c r="B101" s="26" t="s">
        <v>206</v>
      </c>
      <c r="C101" s="15" t="s">
        <v>115</v>
      </c>
      <c r="D101" s="16" t="n">
        <v>1065</v>
      </c>
      <c r="E101" s="16" t="n">
        <v>21</v>
      </c>
      <c r="F101" s="18" t="n">
        <v>0</v>
      </c>
      <c r="G101" s="18" t="n">
        <v>55.87</v>
      </c>
      <c r="H101" s="18" t="n">
        <v>26.8</v>
      </c>
      <c r="I101" s="18" t="n">
        <v>15</v>
      </c>
      <c r="J101" s="26" t="n">
        <v>4</v>
      </c>
      <c r="K101" s="26" t="n">
        <v>0</v>
      </c>
      <c r="L101" s="26" t="n">
        <v>1</v>
      </c>
      <c r="M101" s="18" t="n">
        <f aca="false">IF(D101=0,"-",1000*L101/D101)</f>
        <v>0.938967136150235</v>
      </c>
    </row>
    <row r="102" customFormat="false" ht="15" hidden="false" customHeight="false" outlineLevel="0" collapsed="false">
      <c r="A102" s="15" t="s">
        <v>36</v>
      </c>
      <c r="B102" s="15" t="s">
        <v>207</v>
      </c>
      <c r="C102" s="15" t="s">
        <v>117</v>
      </c>
      <c r="D102" s="16" t="n">
        <v>1064</v>
      </c>
      <c r="E102" s="16" t="n">
        <v>1056</v>
      </c>
      <c r="F102" s="18" t="n">
        <v>1.894</v>
      </c>
      <c r="G102" s="18" t="n">
        <v>45.88</v>
      </c>
      <c r="H102" s="18" t="n">
        <v>28.3</v>
      </c>
      <c r="I102" s="18" t="n">
        <v>13</v>
      </c>
      <c r="J102" s="26" t="n">
        <v>5</v>
      </c>
      <c r="K102" s="26" t="n">
        <v>1</v>
      </c>
      <c r="L102" s="26" t="n">
        <v>2</v>
      </c>
      <c r="M102" s="17" t="n">
        <f aca="false">IF(D102=0,"-",1000*L102/D102)</f>
        <v>1.8796992481203</v>
      </c>
    </row>
    <row r="103" customFormat="false" ht="15" hidden="false" customHeight="false" outlineLevel="0" collapsed="false">
      <c r="A103" s="15" t="s">
        <v>54</v>
      </c>
      <c r="B103" s="26" t="s">
        <v>208</v>
      </c>
      <c r="C103" s="15" t="s">
        <v>134</v>
      </c>
      <c r="D103" s="16" t="n">
        <v>1061</v>
      </c>
      <c r="E103" s="16" t="n">
        <v>29</v>
      </c>
      <c r="F103" s="18" t="n">
        <v>3.448</v>
      </c>
      <c r="G103" s="18" t="n">
        <v>59.82</v>
      </c>
      <c r="H103" s="18" t="n">
        <v>31.8</v>
      </c>
      <c r="I103" s="18" t="n">
        <v>19</v>
      </c>
      <c r="J103" s="26" t="n">
        <v>2</v>
      </c>
      <c r="K103" s="26" t="n">
        <v>0</v>
      </c>
      <c r="L103" s="26" t="n">
        <v>0</v>
      </c>
      <c r="M103" s="18" t="n">
        <f aca="false">IF(D103=0,"-",1000*L103/D103)</f>
        <v>0</v>
      </c>
    </row>
    <row r="104" customFormat="false" ht="15" hidden="false" customHeight="false" outlineLevel="0" collapsed="false">
      <c r="A104" s="15" t="s">
        <v>36</v>
      </c>
      <c r="B104" s="26" t="s">
        <v>209</v>
      </c>
      <c r="C104" s="15" t="s">
        <v>134</v>
      </c>
      <c r="D104" s="16" t="n">
        <v>1059</v>
      </c>
      <c r="E104" s="16" t="n">
        <v>2205</v>
      </c>
      <c r="F104" s="18" t="n">
        <v>1.179</v>
      </c>
      <c r="G104" s="18" t="n">
        <v>23.56</v>
      </c>
      <c r="H104" s="18" t="n">
        <v>50.9</v>
      </c>
      <c r="I104" s="18" t="n">
        <v>12</v>
      </c>
      <c r="J104" s="26" t="n">
        <v>2</v>
      </c>
      <c r="K104" s="26" t="n">
        <v>0</v>
      </c>
      <c r="L104" s="26" t="n">
        <v>1</v>
      </c>
      <c r="M104" s="18" t="n">
        <f aca="false">IF(D104=0,"-",1000*L104/D104)</f>
        <v>0.944287063267233</v>
      </c>
    </row>
    <row r="105" customFormat="false" ht="15" hidden="false" customHeight="false" outlineLevel="0" collapsed="false">
      <c r="A105" s="15" t="s">
        <v>40</v>
      </c>
      <c r="B105" s="26" t="s">
        <v>210</v>
      </c>
      <c r="C105" s="15" t="s">
        <v>211</v>
      </c>
      <c r="D105" s="16" t="n">
        <v>1057</v>
      </c>
      <c r="E105" s="16" t="n">
        <v>29</v>
      </c>
      <c r="F105" s="18" t="n">
        <v>3.448</v>
      </c>
      <c r="G105" s="18" t="n">
        <v>32.97</v>
      </c>
      <c r="H105" s="18" t="n">
        <v>30.3</v>
      </c>
      <c r="I105" s="18" t="n">
        <v>10</v>
      </c>
      <c r="J105" s="26" t="n">
        <v>3</v>
      </c>
      <c r="K105" s="26" t="n">
        <v>0</v>
      </c>
      <c r="L105" s="26" t="n">
        <v>0</v>
      </c>
      <c r="M105" s="18" t="n">
        <f aca="false">IF(D105=0,"-",1000*L105/D105)</f>
        <v>0</v>
      </c>
    </row>
    <row r="106" customFormat="false" ht="15" hidden="false" customHeight="false" outlineLevel="0" collapsed="false">
      <c r="A106" s="15" t="s">
        <v>52</v>
      </c>
      <c r="B106" s="26" t="s">
        <v>212</v>
      </c>
      <c r="C106" s="15" t="s">
        <v>86</v>
      </c>
      <c r="D106" s="16" t="n">
        <v>1057</v>
      </c>
      <c r="E106" s="16" t="n">
        <v>10</v>
      </c>
      <c r="F106" s="18" t="n">
        <v>0</v>
      </c>
      <c r="G106" s="18" t="n">
        <v>62.69</v>
      </c>
      <c r="H106" s="18" t="n">
        <v>38.3</v>
      </c>
      <c r="I106" s="18" t="n">
        <v>24</v>
      </c>
      <c r="J106" s="26" t="n">
        <v>1</v>
      </c>
      <c r="K106" s="26" t="n">
        <v>0</v>
      </c>
      <c r="L106" s="26" t="n">
        <v>1</v>
      </c>
      <c r="M106" s="18" t="n">
        <f aca="false">IF(D106=0,"-",1000*L106/D106)</f>
        <v>0.946073793755913</v>
      </c>
    </row>
    <row r="107" customFormat="false" ht="15" hidden="false" customHeight="false" outlineLevel="0" collapsed="false">
      <c r="A107" s="15" t="s">
        <v>35</v>
      </c>
      <c r="B107" s="26" t="s">
        <v>213</v>
      </c>
      <c r="C107" s="15" t="s">
        <v>115</v>
      </c>
      <c r="D107" s="16" t="n">
        <v>1057</v>
      </c>
      <c r="E107" s="16" t="n">
        <v>65</v>
      </c>
      <c r="F107" s="18" t="n">
        <v>4.615</v>
      </c>
      <c r="G107" s="18" t="n">
        <v>39.03</v>
      </c>
      <c r="H107" s="18" t="n">
        <v>76.9</v>
      </c>
      <c r="I107" s="18" t="n">
        <v>30</v>
      </c>
      <c r="J107" s="26" t="n">
        <v>3</v>
      </c>
      <c r="K107" s="26" t="n">
        <v>0</v>
      </c>
      <c r="L107" s="26" t="n">
        <v>2</v>
      </c>
      <c r="M107" s="17" t="n">
        <f aca="false">IF(D107=0,"-",1000*L107/D107)</f>
        <v>1.89214758751183</v>
      </c>
    </row>
    <row r="108" customFormat="false" ht="15" hidden="false" customHeight="false" outlineLevel="0" collapsed="false">
      <c r="A108" s="15" t="s">
        <v>54</v>
      </c>
      <c r="B108" s="26" t="s">
        <v>214</v>
      </c>
      <c r="C108" s="15" t="s">
        <v>86</v>
      </c>
      <c r="D108" s="16" t="n">
        <v>1055</v>
      </c>
      <c r="E108" s="16" t="n">
        <v>95</v>
      </c>
      <c r="F108" s="18" t="n">
        <v>6.316</v>
      </c>
      <c r="G108" s="18" t="n">
        <v>35.38</v>
      </c>
      <c r="H108" s="18" t="n">
        <v>28.3</v>
      </c>
      <c r="I108" s="18" t="n">
        <v>10</v>
      </c>
      <c r="J108" s="26" t="n">
        <v>4</v>
      </c>
      <c r="K108" s="26" t="n">
        <v>0</v>
      </c>
      <c r="L108" s="26" t="n">
        <v>0</v>
      </c>
      <c r="M108" s="18" t="n">
        <f aca="false">IF(D108=0,"-",1000*L108/D108)</f>
        <v>0</v>
      </c>
    </row>
    <row r="109" customFormat="false" ht="15" hidden="false" customHeight="false" outlineLevel="0" collapsed="false">
      <c r="A109" s="15" t="s">
        <v>54</v>
      </c>
      <c r="B109" s="26" t="s">
        <v>215</v>
      </c>
      <c r="C109" s="15" t="s">
        <v>181</v>
      </c>
      <c r="D109" s="16" t="n">
        <v>1054</v>
      </c>
      <c r="E109" s="16" t="n">
        <v>21</v>
      </c>
      <c r="F109" s="18" t="n">
        <v>0</v>
      </c>
      <c r="G109" s="18" t="n">
        <v>75.39</v>
      </c>
      <c r="H109" s="18" t="n">
        <v>26.5</v>
      </c>
      <c r="I109" s="18" t="n">
        <v>20</v>
      </c>
      <c r="J109" s="26" t="n">
        <v>2</v>
      </c>
      <c r="K109" s="26" t="n">
        <v>0</v>
      </c>
      <c r="L109" s="26" t="n">
        <v>0</v>
      </c>
      <c r="M109" s="18" t="n">
        <f aca="false">IF(D109=0,"-",1000*L109/D109)</f>
        <v>0</v>
      </c>
    </row>
    <row r="110" customFormat="false" ht="15" hidden="false" customHeight="false" outlineLevel="0" collapsed="false">
      <c r="A110" s="15" t="s">
        <v>38</v>
      </c>
      <c r="B110" s="15" t="s">
        <v>216</v>
      </c>
      <c r="C110" s="15" t="s">
        <v>153</v>
      </c>
      <c r="D110" s="16" t="n">
        <v>1051</v>
      </c>
      <c r="E110" s="16" t="n">
        <v>106</v>
      </c>
      <c r="F110" s="18" t="n">
        <v>4.717</v>
      </c>
      <c r="G110" s="18" t="n">
        <v>26.7</v>
      </c>
      <c r="H110" s="18" t="n">
        <v>63.7</v>
      </c>
      <c r="I110" s="18" t="n">
        <v>17</v>
      </c>
      <c r="J110" s="26" t="n">
        <v>4</v>
      </c>
      <c r="K110" s="26" t="n">
        <v>0</v>
      </c>
      <c r="L110" s="26" t="n">
        <v>2</v>
      </c>
      <c r="M110" s="17" t="n">
        <f aca="false">IF(D110=0,"-",1000*L110/D110)</f>
        <v>1.90294957183635</v>
      </c>
    </row>
    <row r="111" customFormat="false" ht="15" hidden="false" customHeight="false" outlineLevel="0" collapsed="false">
      <c r="A111" s="15" t="s">
        <v>36</v>
      </c>
      <c r="B111" s="26" t="s">
        <v>217</v>
      </c>
      <c r="C111" s="15" t="s">
        <v>131</v>
      </c>
      <c r="D111" s="16" t="n">
        <v>1051</v>
      </c>
      <c r="E111" s="16" t="n">
        <v>151</v>
      </c>
      <c r="F111" s="18" t="n">
        <v>2.649</v>
      </c>
      <c r="G111" s="18" t="n">
        <v>31.28</v>
      </c>
      <c r="H111" s="18" t="n">
        <v>44.8</v>
      </c>
      <c r="I111" s="18" t="n">
        <v>14</v>
      </c>
      <c r="J111" s="26" t="n">
        <v>3</v>
      </c>
      <c r="K111" s="26" t="n">
        <v>0</v>
      </c>
      <c r="L111" s="26" t="n">
        <v>1</v>
      </c>
      <c r="M111" s="18" t="n">
        <f aca="false">IF(D111=0,"-",1000*L111/D111)</f>
        <v>0.951474785918173</v>
      </c>
    </row>
    <row r="112" customFormat="false" ht="15" hidden="false" customHeight="false" outlineLevel="0" collapsed="false">
      <c r="A112" s="15" t="s">
        <v>38</v>
      </c>
      <c r="B112" s="15" t="s">
        <v>218</v>
      </c>
      <c r="C112" s="15" t="s">
        <v>134</v>
      </c>
      <c r="D112" s="16" t="n">
        <v>1046</v>
      </c>
      <c r="E112" s="16" t="n">
        <v>45</v>
      </c>
      <c r="F112" s="18" t="n">
        <v>2.222</v>
      </c>
      <c r="G112" s="18" t="n">
        <v>37.73</v>
      </c>
      <c r="H112" s="18" t="n">
        <v>45.1</v>
      </c>
      <c r="I112" s="18" t="n">
        <v>17</v>
      </c>
      <c r="J112" s="26" t="n">
        <v>3</v>
      </c>
      <c r="K112" s="26" t="n">
        <v>0</v>
      </c>
      <c r="L112" s="26" t="n">
        <v>0</v>
      </c>
      <c r="M112" s="18" t="n">
        <f aca="false">IF(D112=0,"-",1000*L112/D112)</f>
        <v>0</v>
      </c>
    </row>
    <row r="113" customFormat="false" ht="15" hidden="false" customHeight="false" outlineLevel="0" collapsed="false">
      <c r="A113" s="15" t="s">
        <v>39</v>
      </c>
      <c r="B113" s="15" t="s">
        <v>219</v>
      </c>
      <c r="C113" s="15" t="s">
        <v>131</v>
      </c>
      <c r="D113" s="16" t="n">
        <v>1046</v>
      </c>
      <c r="E113" s="16" t="n">
        <v>471</v>
      </c>
      <c r="F113" s="18" t="n">
        <v>0.637</v>
      </c>
      <c r="G113" s="18" t="n">
        <v>32.58</v>
      </c>
      <c r="H113" s="18" t="n">
        <v>43</v>
      </c>
      <c r="I113" s="18" t="n">
        <v>14</v>
      </c>
      <c r="J113" s="26" t="n">
        <v>4</v>
      </c>
      <c r="K113" s="26" t="n">
        <v>0</v>
      </c>
      <c r="L113" s="26" t="n">
        <v>0</v>
      </c>
      <c r="M113" s="18" t="n">
        <f aca="false">IF(D113=0,"-",1000*L113/D113)</f>
        <v>0</v>
      </c>
    </row>
    <row r="114" customFormat="false" ht="15" hidden="false" customHeight="false" outlineLevel="0" collapsed="false">
      <c r="A114" s="15" t="s">
        <v>37</v>
      </c>
      <c r="B114" s="26" t="s">
        <v>220</v>
      </c>
      <c r="C114" s="15" t="s">
        <v>121</v>
      </c>
      <c r="D114" s="16" t="n">
        <v>1044</v>
      </c>
      <c r="E114" s="16" t="n">
        <v>20</v>
      </c>
      <c r="F114" s="18" t="n">
        <v>0</v>
      </c>
      <c r="G114" s="18" t="n">
        <v>46.84</v>
      </c>
      <c r="H114" s="18" t="n">
        <v>27.8</v>
      </c>
      <c r="I114" s="18" t="n">
        <v>13</v>
      </c>
      <c r="J114" s="26" t="n">
        <v>6</v>
      </c>
      <c r="K114" s="26" t="n">
        <v>0</v>
      </c>
      <c r="L114" s="26" t="n">
        <v>0</v>
      </c>
      <c r="M114" s="18" t="n">
        <f aca="false">IF(D114=0,"-",1000*L114/D114)</f>
        <v>0</v>
      </c>
    </row>
    <row r="115" customFormat="false" ht="15" hidden="false" customHeight="false" outlineLevel="0" collapsed="false">
      <c r="A115" s="15" t="s">
        <v>37</v>
      </c>
      <c r="B115" s="15" t="s">
        <v>221</v>
      </c>
      <c r="C115" s="15" t="s">
        <v>88</v>
      </c>
      <c r="D115" s="16" t="n">
        <v>1042</v>
      </c>
      <c r="E115" s="16" t="n">
        <v>34</v>
      </c>
      <c r="F115" s="18" t="n">
        <v>0</v>
      </c>
      <c r="G115" s="18" t="n">
        <v>25.57</v>
      </c>
      <c r="H115" s="18" t="n">
        <v>54.8</v>
      </c>
      <c r="I115" s="18" t="n">
        <v>14</v>
      </c>
      <c r="J115" s="26" t="n">
        <v>6</v>
      </c>
      <c r="K115" s="26" t="n">
        <v>0</v>
      </c>
      <c r="L115" s="26" t="n">
        <v>0</v>
      </c>
      <c r="M115" s="18" t="n">
        <f aca="false">IF(D115=0,"-",1000*L115/D115)</f>
        <v>0</v>
      </c>
    </row>
    <row r="116" customFormat="false" ht="15" hidden="false" customHeight="false" outlineLevel="0" collapsed="false">
      <c r="A116" s="15" t="s">
        <v>37</v>
      </c>
      <c r="B116" s="26" t="s">
        <v>222</v>
      </c>
      <c r="C116" s="15" t="s">
        <v>113</v>
      </c>
      <c r="D116" s="16" t="n">
        <v>1039</v>
      </c>
      <c r="E116" s="16" t="n">
        <v>32</v>
      </c>
      <c r="F116" s="18" t="n">
        <v>0</v>
      </c>
      <c r="G116" s="18" t="n">
        <v>29.84</v>
      </c>
      <c r="H116" s="18" t="n">
        <v>36.9</v>
      </c>
      <c r="I116" s="18" t="n">
        <v>11</v>
      </c>
      <c r="J116" s="26" t="n">
        <v>3</v>
      </c>
      <c r="K116" s="26" t="n">
        <v>0</v>
      </c>
      <c r="L116" s="26" t="n">
        <v>0</v>
      </c>
      <c r="M116" s="18" t="n">
        <f aca="false">IF(D116=0,"-",1000*L116/D116)</f>
        <v>0</v>
      </c>
    </row>
    <row r="117" customFormat="false" ht="15" hidden="false" customHeight="false" outlineLevel="0" collapsed="false">
      <c r="A117" s="15" t="s">
        <v>37</v>
      </c>
      <c r="B117" s="26" t="s">
        <v>223</v>
      </c>
      <c r="C117" s="15" t="s">
        <v>107</v>
      </c>
      <c r="D117" s="16" t="n">
        <v>1038</v>
      </c>
      <c r="E117" s="16" t="n">
        <v>107</v>
      </c>
      <c r="F117" s="18" t="n">
        <v>3.738</v>
      </c>
      <c r="G117" s="18" t="n">
        <v>44.33</v>
      </c>
      <c r="H117" s="18" t="n">
        <v>36.1</v>
      </c>
      <c r="I117" s="18" t="n">
        <v>16</v>
      </c>
      <c r="J117" s="26" t="n">
        <v>4</v>
      </c>
      <c r="K117" s="26" t="n">
        <v>0</v>
      </c>
      <c r="L117" s="26" t="n">
        <v>0</v>
      </c>
      <c r="M117" s="18" t="n">
        <f aca="false">IF(D117=0,"-",1000*L117/D117)</f>
        <v>0</v>
      </c>
    </row>
    <row r="118" customFormat="false" ht="15" hidden="false" customHeight="false" outlineLevel="0" collapsed="false">
      <c r="A118" s="15" t="s">
        <v>40</v>
      </c>
      <c r="B118" s="26" t="s">
        <v>224</v>
      </c>
      <c r="C118" s="15" t="s">
        <v>181</v>
      </c>
      <c r="D118" s="16" t="n">
        <v>1036</v>
      </c>
      <c r="E118" s="16" t="n">
        <v>60</v>
      </c>
      <c r="F118" s="18" t="n">
        <v>0</v>
      </c>
      <c r="G118" s="18" t="n">
        <v>32.45</v>
      </c>
      <c r="H118" s="18" t="n">
        <v>37</v>
      </c>
      <c r="I118" s="18" t="n">
        <v>12</v>
      </c>
      <c r="J118" s="26" t="n">
        <v>3</v>
      </c>
      <c r="K118" s="26" t="n">
        <v>0</v>
      </c>
      <c r="L118" s="26" t="n">
        <v>1</v>
      </c>
      <c r="M118" s="18" t="n">
        <f aca="false">IF(D118=0,"-",1000*L118/D118)</f>
        <v>0.965250965250965</v>
      </c>
    </row>
    <row r="119" customFormat="false" ht="15" hidden="false" customHeight="false" outlineLevel="0" collapsed="false">
      <c r="A119" s="15" t="s">
        <v>36</v>
      </c>
      <c r="B119" s="26" t="s">
        <v>225</v>
      </c>
      <c r="C119" s="15" t="s">
        <v>147</v>
      </c>
      <c r="D119" s="16" t="n">
        <v>1034</v>
      </c>
      <c r="E119" s="16" t="n">
        <v>252</v>
      </c>
      <c r="F119" s="18" t="n">
        <v>1.19</v>
      </c>
      <c r="G119" s="18" t="n">
        <v>23.8</v>
      </c>
      <c r="H119" s="18" t="n">
        <v>50.4</v>
      </c>
      <c r="I119" s="18" t="n">
        <v>12</v>
      </c>
      <c r="J119" s="26" t="n">
        <v>2</v>
      </c>
      <c r="K119" s="26" t="n">
        <v>0</v>
      </c>
      <c r="L119" s="26" t="n">
        <v>1</v>
      </c>
      <c r="M119" s="18" t="n">
        <f aca="false">IF(D119=0,"-",1000*L119/D119)</f>
        <v>0.967117988394584</v>
      </c>
    </row>
    <row r="120" customFormat="false" ht="15" hidden="false" customHeight="false" outlineLevel="0" collapsed="false">
      <c r="A120" s="15" t="s">
        <v>35</v>
      </c>
      <c r="B120" s="26" t="s">
        <v>226</v>
      </c>
      <c r="C120" s="15" t="s">
        <v>181</v>
      </c>
      <c r="D120" s="16" t="n">
        <v>1018</v>
      </c>
      <c r="E120" s="16" t="n">
        <v>45</v>
      </c>
      <c r="F120" s="18" t="n">
        <v>4.444</v>
      </c>
      <c r="G120" s="18" t="n">
        <v>36.17</v>
      </c>
      <c r="H120" s="18" t="n">
        <v>55.3</v>
      </c>
      <c r="I120" s="18" t="n">
        <v>20</v>
      </c>
      <c r="J120" s="26" t="n">
        <v>1</v>
      </c>
      <c r="K120" s="26" t="n">
        <v>1</v>
      </c>
      <c r="L120" s="26" t="n">
        <v>0</v>
      </c>
      <c r="M120" s="18" t="n">
        <f aca="false">IF(D120=0,"-",1000*L120/D120)</f>
        <v>0</v>
      </c>
    </row>
    <row r="121" customFormat="false" ht="15" hidden="false" customHeight="false" outlineLevel="0" collapsed="false">
      <c r="A121" s="15" t="s">
        <v>35</v>
      </c>
      <c r="B121" s="26" t="s">
        <v>227</v>
      </c>
      <c r="C121" s="15" t="s">
        <v>97</v>
      </c>
      <c r="D121" s="16" t="n">
        <v>1017</v>
      </c>
      <c r="E121" s="16" t="n">
        <v>185</v>
      </c>
      <c r="F121" s="18" t="n">
        <v>1.622</v>
      </c>
      <c r="G121" s="18" t="n">
        <v>38.87</v>
      </c>
      <c r="H121" s="18" t="n">
        <v>74.6</v>
      </c>
      <c r="I121" s="18" t="n">
        <v>29</v>
      </c>
      <c r="J121" s="26" t="n">
        <v>2</v>
      </c>
      <c r="K121" s="26" t="n">
        <v>0</v>
      </c>
      <c r="L121" s="26" t="n">
        <v>0</v>
      </c>
      <c r="M121" s="18" t="n">
        <f aca="false">IF(D121=0,"-",1000*L121/D121)</f>
        <v>0</v>
      </c>
    </row>
    <row r="122" customFormat="false" ht="15" hidden="false" customHeight="false" outlineLevel="0" collapsed="false">
      <c r="A122" s="15" t="s">
        <v>38</v>
      </c>
      <c r="B122" s="15" t="s">
        <v>228</v>
      </c>
      <c r="C122" s="15" t="s">
        <v>153</v>
      </c>
      <c r="D122" s="16" t="n">
        <v>1017</v>
      </c>
      <c r="E122" s="16" t="n">
        <v>33</v>
      </c>
      <c r="F122" s="18" t="n">
        <v>0</v>
      </c>
      <c r="G122" s="18" t="n">
        <v>23.47</v>
      </c>
      <c r="H122" s="18" t="n">
        <v>59.7</v>
      </c>
      <c r="I122" s="18" t="n">
        <v>14</v>
      </c>
      <c r="J122" s="26" t="n">
        <v>3</v>
      </c>
      <c r="K122" s="26" t="n">
        <v>0</v>
      </c>
      <c r="L122" s="26" t="n">
        <v>0</v>
      </c>
      <c r="M122" s="18" t="n">
        <f aca="false">IF(D122=0,"-",1000*L122/D122)</f>
        <v>0</v>
      </c>
    </row>
    <row r="123" customFormat="false" ht="15" hidden="false" customHeight="false" outlineLevel="0" collapsed="false">
      <c r="A123" s="15" t="s">
        <v>39</v>
      </c>
      <c r="B123" s="15" t="s">
        <v>229</v>
      </c>
      <c r="C123" s="15" t="s">
        <v>134</v>
      </c>
      <c r="D123" s="16" t="n">
        <v>1016</v>
      </c>
      <c r="E123" s="16" t="n">
        <v>55</v>
      </c>
      <c r="F123" s="18" t="n">
        <v>1.818</v>
      </c>
      <c r="G123" s="18" t="n">
        <v>38.17</v>
      </c>
      <c r="H123" s="18" t="n">
        <v>31.4</v>
      </c>
      <c r="I123" s="18" t="n">
        <v>12</v>
      </c>
      <c r="J123" s="26" t="n">
        <v>6</v>
      </c>
      <c r="K123" s="26" t="n">
        <v>0</v>
      </c>
      <c r="L123" s="26" t="n">
        <v>0</v>
      </c>
      <c r="M123" s="18" t="n">
        <f aca="false">IF(D123=0,"-",1000*L123/D123)</f>
        <v>0</v>
      </c>
    </row>
    <row r="124" customFormat="false" ht="15" hidden="false" customHeight="false" outlineLevel="0" collapsed="false">
      <c r="A124" s="15" t="s">
        <v>36</v>
      </c>
      <c r="B124" s="26" t="s">
        <v>230</v>
      </c>
      <c r="C124" s="15" t="s">
        <v>90</v>
      </c>
      <c r="D124" s="16" t="n">
        <v>1010</v>
      </c>
      <c r="E124" s="16" t="n">
        <v>435</v>
      </c>
      <c r="F124" s="18" t="n">
        <v>0.69</v>
      </c>
      <c r="G124" s="18" t="n">
        <v>24.71</v>
      </c>
      <c r="H124" s="18" t="n">
        <v>48.6</v>
      </c>
      <c r="I124" s="18" t="n">
        <v>12</v>
      </c>
      <c r="J124" s="26" t="n">
        <v>3</v>
      </c>
      <c r="K124" s="26" t="n">
        <v>0</v>
      </c>
      <c r="L124" s="26" t="n">
        <v>0</v>
      </c>
      <c r="M124" s="18" t="n">
        <f aca="false">IF(D124=0,"-",1000*L124/D124)</f>
        <v>0</v>
      </c>
    </row>
    <row r="126" customFormat="false" ht="15" hidden="false" customHeight="false" outlineLevel="0" collapsed="false">
      <c r="A126" s="2" t="s">
        <v>231</v>
      </c>
    </row>
  </sheetData>
  <autoFilter ref="A4:M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66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24" t="s">
        <v>232</v>
      </c>
    </row>
    <row r="2" customFormat="false" ht="15" hidden="false" customHeight="false" outlineLevel="0" collapsed="false">
      <c r="A2" s="2" t="s">
        <v>233</v>
      </c>
    </row>
    <row r="4" customFormat="false" ht="30" hidden="false" customHeight="true" outlineLevel="0" collapsed="false">
      <c r="A4" s="4" t="s">
        <v>3</v>
      </c>
      <c r="B4" s="5" t="s">
        <v>234</v>
      </c>
      <c r="C4" s="5" t="s">
        <v>235</v>
      </c>
      <c r="D4" s="5" t="s">
        <v>236</v>
      </c>
      <c r="E4" s="5" t="s">
        <v>237</v>
      </c>
      <c r="F4" s="5" t="s">
        <v>6</v>
      </c>
    </row>
    <row r="5" customFormat="false" ht="94.5" hidden="false" customHeight="true" outlineLevel="0" collapsed="false">
      <c r="A5" s="6" t="s">
        <v>7</v>
      </c>
      <c r="B5" s="10" t="s">
        <v>238</v>
      </c>
      <c r="C5" s="6" t="s">
        <v>239</v>
      </c>
      <c r="D5" s="8" t="s">
        <v>240</v>
      </c>
      <c r="E5" s="10" t="s">
        <v>241</v>
      </c>
      <c r="F5" s="33" t="s">
        <v>242</v>
      </c>
    </row>
    <row r="6" customFormat="false" ht="94.5" hidden="false" customHeight="true" outlineLevel="0" collapsed="false">
      <c r="A6" s="6" t="s">
        <v>11</v>
      </c>
      <c r="B6" s="10" t="s">
        <v>38</v>
      </c>
      <c r="C6" s="6" t="s">
        <v>243</v>
      </c>
      <c r="D6" s="8" t="s">
        <v>244</v>
      </c>
      <c r="E6" s="10" t="s">
        <v>245</v>
      </c>
      <c r="F6" s="33" t="s">
        <v>242</v>
      </c>
    </row>
    <row r="7" customFormat="false" ht="94.5" hidden="false" customHeight="true" outlineLevel="0" collapsed="false">
      <c r="A7" s="6" t="s">
        <v>15</v>
      </c>
      <c r="B7" s="10" t="s">
        <v>39</v>
      </c>
      <c r="C7" s="6" t="s">
        <v>246</v>
      </c>
      <c r="D7" s="8" t="s">
        <v>247</v>
      </c>
      <c r="E7" s="10" t="s">
        <v>248</v>
      </c>
      <c r="F7" s="33" t="s">
        <v>242</v>
      </c>
    </row>
    <row r="8" customFormat="false" ht="94.5" hidden="false" customHeight="true" outlineLevel="0" collapsed="false">
      <c r="A8" s="6" t="s">
        <v>19</v>
      </c>
      <c r="B8" s="8" t="s">
        <v>249</v>
      </c>
      <c r="C8" s="6" t="s">
        <v>250</v>
      </c>
      <c r="D8" s="8" t="s">
        <v>251</v>
      </c>
      <c r="E8" s="8" t="s">
        <v>252</v>
      </c>
      <c r="F8" s="34" t="s">
        <v>253</v>
      </c>
    </row>
    <row r="9" customFormat="false" ht="94.5" hidden="false" customHeight="true" outlineLevel="0" collapsed="false">
      <c r="A9" s="6" t="s">
        <v>23</v>
      </c>
      <c r="B9" s="10" t="s">
        <v>254</v>
      </c>
      <c r="C9" s="6" t="s">
        <v>255</v>
      </c>
      <c r="D9" s="8" t="s">
        <v>256</v>
      </c>
      <c r="E9" s="10" t="s">
        <v>257</v>
      </c>
      <c r="F9" s="35" t="s">
        <v>258</v>
      </c>
    </row>
    <row r="10" customFormat="false" ht="94.5" hidden="false" customHeight="true" outlineLevel="0" collapsed="false">
      <c r="A10" s="6" t="s">
        <v>259</v>
      </c>
      <c r="B10" s="8" t="s">
        <v>260</v>
      </c>
      <c r="C10" s="7" t="s">
        <v>261</v>
      </c>
      <c r="D10" s="10" t="s">
        <v>262</v>
      </c>
      <c r="E10" s="10" t="s">
        <v>263</v>
      </c>
      <c r="F10" s="35" t="s">
        <v>258</v>
      </c>
    </row>
    <row r="11" customFormat="false" ht="94.5" hidden="false" customHeight="true" outlineLevel="0" collapsed="false">
      <c r="A11" s="6" t="s">
        <v>264</v>
      </c>
      <c r="B11" s="10" t="s">
        <v>265</v>
      </c>
      <c r="C11" s="6" t="s">
        <v>266</v>
      </c>
      <c r="D11" s="10" t="s">
        <v>267</v>
      </c>
      <c r="E11" s="8" t="s">
        <v>268</v>
      </c>
      <c r="F11" s="34" t="s">
        <v>253</v>
      </c>
    </row>
    <row r="13" customFormat="false" ht="15" hidden="false" customHeight="false" outlineLevel="0" collapsed="false">
      <c r="A13" s="2" t="s">
        <v>269</v>
      </c>
    </row>
    <row r="14" customFormat="false" ht="15" hidden="false" customHeight="false" outlineLevel="0" collapsed="false">
      <c r="A14" s="2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24" t="s">
        <v>271</v>
      </c>
    </row>
    <row r="2" customFormat="false" ht="15" hidden="false" customHeight="false" outlineLevel="0" collapsed="false">
      <c r="A2" s="2" t="s">
        <v>272</v>
      </c>
    </row>
    <row r="4" customFormat="false" ht="30" hidden="false" customHeight="true" outlineLevel="0" collapsed="false">
      <c r="A4" s="5" t="s">
        <v>78</v>
      </c>
      <c r="B4" s="5" t="s">
        <v>273</v>
      </c>
      <c r="C4" s="4" t="s">
        <v>274</v>
      </c>
      <c r="D4" s="4" t="s">
        <v>275</v>
      </c>
      <c r="E4" s="4" t="s">
        <v>276</v>
      </c>
    </row>
    <row r="5" customFormat="false" ht="15" hidden="false" customHeight="false" outlineLevel="0" collapsed="false">
      <c r="A5" s="15" t="s">
        <v>111</v>
      </c>
      <c r="B5" s="26" t="n">
        <v>7</v>
      </c>
      <c r="C5" s="16" t="n">
        <v>836</v>
      </c>
      <c r="D5" s="16" t="n">
        <v>951</v>
      </c>
      <c r="E5" s="36"/>
    </row>
    <row r="6" customFormat="false" ht="15" hidden="false" customHeight="false" outlineLevel="0" collapsed="false">
      <c r="A6" s="15" t="s">
        <v>121</v>
      </c>
      <c r="B6" s="26" t="n">
        <v>11</v>
      </c>
      <c r="C6" s="16" t="n">
        <v>1088</v>
      </c>
      <c r="D6" s="16" t="n">
        <v>1138</v>
      </c>
      <c r="E6" s="36"/>
    </row>
    <row r="7" customFormat="false" ht="15" hidden="false" customHeight="false" outlineLevel="0" collapsed="false">
      <c r="A7" s="15" t="s">
        <v>107</v>
      </c>
      <c r="B7" s="26" t="n">
        <v>7</v>
      </c>
      <c r="C7" s="16" t="n">
        <v>803</v>
      </c>
      <c r="D7" s="16" t="n">
        <v>935</v>
      </c>
      <c r="E7" s="36"/>
    </row>
    <row r="8" customFormat="false" ht="15" hidden="false" customHeight="false" outlineLevel="0" collapsed="false">
      <c r="A8" s="15" t="s">
        <v>117</v>
      </c>
      <c r="B8" s="26" t="n">
        <v>4</v>
      </c>
      <c r="C8" s="16" t="n">
        <v>1349</v>
      </c>
      <c r="D8" s="16" t="n">
        <v>1316</v>
      </c>
      <c r="E8" s="36"/>
    </row>
    <row r="9" customFormat="false" ht="15" hidden="false" customHeight="false" outlineLevel="0" collapsed="false">
      <c r="A9" s="15" t="s">
        <v>115</v>
      </c>
      <c r="B9" s="26" t="n">
        <v>4</v>
      </c>
      <c r="C9" s="16" t="n">
        <v>1375</v>
      </c>
      <c r="D9" s="16" t="n">
        <v>1327</v>
      </c>
      <c r="E9" s="36"/>
    </row>
    <row r="10" customFormat="false" ht="15" hidden="false" customHeight="false" outlineLevel="0" collapsed="false">
      <c r="A10" s="15" t="s">
        <v>99</v>
      </c>
      <c r="B10" s="26" t="n">
        <v>5</v>
      </c>
      <c r="C10" s="16" t="n">
        <v>0</v>
      </c>
      <c r="D10" s="16" t="n">
        <v>285</v>
      </c>
      <c r="E10" s="36"/>
    </row>
    <row r="11" customFormat="false" ht="15" hidden="false" customHeight="false" outlineLevel="0" collapsed="false">
      <c r="A11" s="15" t="s">
        <v>104</v>
      </c>
      <c r="B11" s="26" t="n">
        <v>6</v>
      </c>
      <c r="C11" s="16" t="n">
        <v>1333</v>
      </c>
      <c r="D11" s="16" t="n">
        <v>1370</v>
      </c>
      <c r="E11" s="37" t="n">
        <f aca="false">AVERAGE(C5:C11)</f>
        <v>969.142857142857</v>
      </c>
    </row>
    <row r="12" customFormat="false" ht="15" hidden="false" customHeight="false" outlineLevel="0" collapsed="false">
      <c r="A12" s="15" t="s">
        <v>126</v>
      </c>
      <c r="B12" s="26" t="n">
        <v>6</v>
      </c>
      <c r="C12" s="16" t="n">
        <v>1156</v>
      </c>
      <c r="D12" s="16" t="n">
        <v>955</v>
      </c>
      <c r="E12" s="37" t="n">
        <f aca="false">AVERAGE(C6:C12)</f>
        <v>1014.85714285714</v>
      </c>
    </row>
    <row r="13" customFormat="false" ht="15" hidden="false" customHeight="false" outlineLevel="0" collapsed="false">
      <c r="A13" s="15" t="s">
        <v>141</v>
      </c>
      <c r="B13" s="26" t="n">
        <v>1</v>
      </c>
      <c r="C13" s="16" t="n">
        <v>1353</v>
      </c>
      <c r="D13" s="16" t="n">
        <v>1353</v>
      </c>
      <c r="E13" s="37" t="n">
        <f aca="false">AVERAGE(C7:C13)</f>
        <v>1052.71428571429</v>
      </c>
    </row>
    <row r="14" customFormat="false" ht="15" hidden="false" customHeight="false" outlineLevel="0" collapsed="false">
      <c r="A14" s="15" t="s">
        <v>109</v>
      </c>
      <c r="B14" s="26" t="n">
        <v>6</v>
      </c>
      <c r="C14" s="16" t="n">
        <v>1106</v>
      </c>
      <c r="D14" s="16" t="n">
        <v>1197</v>
      </c>
      <c r="E14" s="37" t="n">
        <f aca="false">AVERAGE(C8:C14)</f>
        <v>1096</v>
      </c>
    </row>
    <row r="15" customFormat="false" ht="15" hidden="false" customHeight="false" outlineLevel="0" collapsed="false">
      <c r="A15" s="15" t="s">
        <v>113</v>
      </c>
      <c r="B15" s="26" t="n">
        <v>6</v>
      </c>
      <c r="C15" s="16" t="n">
        <v>833</v>
      </c>
      <c r="D15" s="16" t="n">
        <v>872</v>
      </c>
      <c r="E15" s="37" t="n">
        <f aca="false">AVERAGE(C9:C15)</f>
        <v>1022.28571428571</v>
      </c>
    </row>
    <row r="16" customFormat="false" ht="15" hidden="false" customHeight="false" outlineLevel="0" collapsed="false">
      <c r="A16" s="15" t="s">
        <v>92</v>
      </c>
      <c r="B16" s="26" t="n">
        <v>6</v>
      </c>
      <c r="C16" s="16" t="n">
        <v>699</v>
      </c>
      <c r="D16" s="16" t="n">
        <v>619</v>
      </c>
      <c r="E16" s="37" t="n">
        <f aca="false">AVERAGE(C10:C16)</f>
        <v>925.714285714286</v>
      </c>
    </row>
    <row r="17" customFormat="false" ht="15" hidden="false" customHeight="false" outlineLevel="0" collapsed="false">
      <c r="A17" s="15" t="s">
        <v>153</v>
      </c>
      <c r="B17" s="26" t="n">
        <v>11</v>
      </c>
      <c r="C17" s="16" t="n">
        <v>0</v>
      </c>
      <c r="D17" s="16" t="n">
        <v>191</v>
      </c>
      <c r="E17" s="37" t="n">
        <f aca="false">AVERAGE(C11:C17)</f>
        <v>925.714285714286</v>
      </c>
    </row>
    <row r="18" customFormat="false" ht="15" hidden="false" customHeight="false" outlineLevel="0" collapsed="false">
      <c r="A18" s="15" t="s">
        <v>88</v>
      </c>
      <c r="B18" s="26" t="n">
        <v>7</v>
      </c>
      <c r="C18" s="16" t="n">
        <v>708</v>
      </c>
      <c r="D18" s="16" t="n">
        <v>636</v>
      </c>
      <c r="E18" s="37" t="n">
        <f aca="false">AVERAGE(C12:C18)</f>
        <v>836.428571428571</v>
      </c>
    </row>
    <row r="19" customFormat="false" ht="15" hidden="false" customHeight="false" outlineLevel="0" collapsed="false">
      <c r="A19" s="15" t="s">
        <v>147</v>
      </c>
      <c r="B19" s="26" t="n">
        <v>5</v>
      </c>
      <c r="C19" s="16" t="n">
        <v>865</v>
      </c>
      <c r="D19" s="16" t="n">
        <v>594</v>
      </c>
      <c r="E19" s="37" t="n">
        <f aca="false">AVERAGE(C13:C19)</f>
        <v>794.857142857143</v>
      </c>
    </row>
    <row r="20" customFormat="false" ht="15" hidden="false" customHeight="false" outlineLevel="0" collapsed="false">
      <c r="A20" s="15" t="s">
        <v>90</v>
      </c>
      <c r="B20" s="26" t="n">
        <v>4</v>
      </c>
      <c r="C20" s="16" t="n">
        <v>767</v>
      </c>
      <c r="D20" s="16" t="n">
        <v>784</v>
      </c>
      <c r="E20" s="37" t="n">
        <f aca="false">AVERAGE(C14:C20)</f>
        <v>711.142857142857</v>
      </c>
    </row>
    <row r="21" customFormat="false" ht="15" hidden="false" customHeight="false" outlineLevel="0" collapsed="false">
      <c r="A21" s="15" t="s">
        <v>124</v>
      </c>
      <c r="B21" s="26" t="n">
        <v>7</v>
      </c>
      <c r="C21" s="16" t="n">
        <v>865</v>
      </c>
      <c r="D21" s="16" t="n">
        <v>786</v>
      </c>
      <c r="E21" s="37" t="n">
        <f aca="false">AVERAGE(C15:C21)</f>
        <v>676.714285714286</v>
      </c>
    </row>
    <row r="22" customFormat="false" ht="15" hidden="false" customHeight="false" outlineLevel="0" collapsed="false">
      <c r="A22" s="15" t="s">
        <v>95</v>
      </c>
      <c r="B22" s="26" t="n">
        <v>6</v>
      </c>
      <c r="C22" s="16" t="n">
        <v>929</v>
      </c>
      <c r="D22" s="16" t="n">
        <v>786</v>
      </c>
      <c r="E22" s="37" t="n">
        <f aca="false">AVERAGE(C16:C22)</f>
        <v>690.428571428571</v>
      </c>
    </row>
    <row r="23" customFormat="false" ht="15" hidden="false" customHeight="false" outlineLevel="0" collapsed="false">
      <c r="A23" s="15" t="s">
        <v>86</v>
      </c>
      <c r="B23" s="26" t="n">
        <v>10</v>
      </c>
      <c r="C23" s="16" t="n">
        <v>890</v>
      </c>
      <c r="D23" s="16" t="n">
        <v>861</v>
      </c>
      <c r="E23" s="37" t="n">
        <f aca="false">AVERAGE(C17:C23)</f>
        <v>717.714285714286</v>
      </c>
    </row>
    <row r="24" customFormat="false" ht="15" hidden="false" customHeight="false" outlineLevel="0" collapsed="false">
      <c r="A24" s="15" t="s">
        <v>131</v>
      </c>
      <c r="B24" s="26" t="n">
        <v>12</v>
      </c>
      <c r="C24" s="16" t="n">
        <v>914</v>
      </c>
      <c r="D24" s="16" t="n">
        <v>739</v>
      </c>
      <c r="E24" s="37" t="n">
        <f aca="false">AVERAGE(C18:C24)</f>
        <v>848.285714285714</v>
      </c>
    </row>
    <row r="25" customFormat="false" ht="15" hidden="false" customHeight="false" outlineLevel="0" collapsed="false">
      <c r="A25" s="15" t="s">
        <v>134</v>
      </c>
      <c r="B25" s="26" t="n">
        <v>8</v>
      </c>
      <c r="C25" s="16" t="n">
        <v>909</v>
      </c>
      <c r="D25" s="16" t="n">
        <v>760</v>
      </c>
      <c r="E25" s="37" t="n">
        <f aca="false">AVERAGE(C19:C25)</f>
        <v>877</v>
      </c>
    </row>
    <row r="26" customFormat="false" ht="15" hidden="false" customHeight="false" outlineLevel="0" collapsed="false">
      <c r="A26" s="15" t="s">
        <v>181</v>
      </c>
      <c r="B26" s="26" t="n">
        <v>2</v>
      </c>
      <c r="C26" s="16" t="n">
        <v>457</v>
      </c>
      <c r="D26" s="16" t="n">
        <v>457</v>
      </c>
      <c r="E26" s="37" t="n">
        <f aca="false">AVERAGE(C20:C26)</f>
        <v>818.714285714286</v>
      </c>
    </row>
    <row r="27" customFormat="false" ht="15" hidden="false" customHeight="false" outlineLevel="0" collapsed="false">
      <c r="A27" s="15" t="s">
        <v>211</v>
      </c>
      <c r="B27" s="26" t="n">
        <v>10</v>
      </c>
      <c r="C27" s="16" t="n">
        <v>816</v>
      </c>
      <c r="D27" s="16" t="n">
        <v>636</v>
      </c>
      <c r="E27" s="37" t="n">
        <f aca="false">AVERAGE(C21:C27)</f>
        <v>825.714285714286</v>
      </c>
    </row>
    <row r="28" customFormat="false" ht="15" hidden="false" customHeight="false" outlineLevel="0" collapsed="false">
      <c r="A28" s="15" t="s">
        <v>195</v>
      </c>
      <c r="B28" s="26" t="n">
        <v>3</v>
      </c>
      <c r="C28" s="16" t="n">
        <v>778</v>
      </c>
      <c r="D28" s="16" t="n">
        <v>574</v>
      </c>
      <c r="E28" s="37" t="n">
        <f aca="false">AVERAGE(C22:C28)</f>
        <v>813.285714285714</v>
      </c>
    </row>
    <row r="29" customFormat="false" ht="15" hidden="false" customHeight="false" outlineLevel="0" collapsed="false">
      <c r="A29" s="15" t="s">
        <v>169</v>
      </c>
      <c r="B29" s="26" t="n">
        <v>2</v>
      </c>
      <c r="C29" s="16" t="n">
        <v>1042</v>
      </c>
      <c r="D29" s="16" t="n">
        <v>1042</v>
      </c>
      <c r="E29" s="37" t="n">
        <f aca="false">AVERAGE(C23:C29)</f>
        <v>829.428571428571</v>
      </c>
    </row>
    <row r="30" customFormat="false" ht="15" hidden="false" customHeight="false" outlineLevel="0" collapsed="false">
      <c r="A30" s="15" t="s">
        <v>277</v>
      </c>
      <c r="B30" s="26" t="n">
        <v>12</v>
      </c>
      <c r="C30" s="16" t="n">
        <v>0</v>
      </c>
      <c r="D30" s="16" t="n">
        <v>82</v>
      </c>
      <c r="E30" s="37" t="n">
        <f aca="false">AVERAGE(C24:C30)</f>
        <v>702.285714285714</v>
      </c>
    </row>
    <row r="32" customFormat="false" ht="15" hidden="false" customHeight="false" outlineLevel="0" collapsed="false">
      <c r="A32" s="2" t="s">
        <v>278</v>
      </c>
    </row>
    <row r="33" customFormat="false" ht="15" hidden="false" customHeight="false" outlineLevel="0" collapsed="false">
      <c r="A33" s="2" t="s">
        <v>279</v>
      </c>
    </row>
    <row r="36" customFormat="false" ht="19.4" hidden="false" customHeight="false" outlineLevel="0" collapsed="false">
      <c r="A36" s="13" t="s">
        <v>280</v>
      </c>
    </row>
    <row r="37" customFormat="false" ht="30" hidden="false" customHeight="true" outlineLevel="0" collapsed="false">
      <c r="A37" s="5" t="s">
        <v>281</v>
      </c>
      <c r="B37" s="5" t="s">
        <v>282</v>
      </c>
      <c r="C37" s="5" t="s">
        <v>33</v>
      </c>
      <c r="D37" s="5" t="s">
        <v>283</v>
      </c>
      <c r="E37" s="5" t="s">
        <v>31</v>
      </c>
    </row>
    <row r="38" customFormat="false" ht="15" hidden="false" customHeight="false" outlineLevel="0" collapsed="false">
      <c r="A38" s="14" t="s">
        <v>284</v>
      </c>
      <c r="B38" s="26" t="n">
        <v>23</v>
      </c>
      <c r="C38" s="30" t="n">
        <v>60.1</v>
      </c>
      <c r="D38" s="16" t="n">
        <v>1144</v>
      </c>
      <c r="E38" s="18" t="n">
        <v>0.54</v>
      </c>
    </row>
    <row r="39" customFormat="false" ht="15" hidden="false" customHeight="false" outlineLevel="0" collapsed="false">
      <c r="A39" s="14" t="s">
        <v>285</v>
      </c>
      <c r="B39" s="26" t="n">
        <v>70</v>
      </c>
      <c r="C39" s="27" t="n">
        <v>54</v>
      </c>
      <c r="D39" s="16" t="n">
        <v>1081</v>
      </c>
      <c r="E39" s="18" t="n">
        <v>0.23</v>
      </c>
    </row>
    <row r="40" customFormat="false" ht="15" hidden="false" customHeight="false" outlineLevel="0" collapsed="false">
      <c r="A40" s="14" t="s">
        <v>286</v>
      </c>
      <c r="B40" s="26" t="n">
        <v>51</v>
      </c>
      <c r="C40" s="27" t="n">
        <v>50</v>
      </c>
      <c r="D40" s="16" t="n">
        <v>961</v>
      </c>
      <c r="E40" s="18" t="n">
        <v>0.43</v>
      </c>
    </row>
    <row r="41" customFormat="false" ht="15" hidden="false" customHeight="false" outlineLevel="0" collapsed="false">
      <c r="A41" s="14" t="s">
        <v>287</v>
      </c>
      <c r="B41" s="26" t="n">
        <v>61</v>
      </c>
      <c r="C41" s="27" t="n">
        <v>40.1</v>
      </c>
      <c r="D41" s="16" t="n">
        <v>1007</v>
      </c>
      <c r="E41" s="18" t="n">
        <v>0.45</v>
      </c>
    </row>
    <row r="42" customFormat="false" ht="15" hidden="false" customHeight="false" outlineLevel="0" collapsed="false">
      <c r="A42" s="14" t="s">
        <v>288</v>
      </c>
      <c r="B42" s="26" t="n">
        <v>15</v>
      </c>
      <c r="C42" s="27" t="n">
        <v>41.3</v>
      </c>
      <c r="D42" s="16" t="n">
        <v>1057</v>
      </c>
      <c r="E42" s="18" t="n">
        <v>0.69</v>
      </c>
    </row>
    <row r="44" customFormat="false" ht="15" hidden="false" customHeight="false" outlineLevel="0" collapsed="false">
      <c r="A44" s="2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2026-09-06T01:13:16Z</dcterms:created>
  <dc:creator>openpyxl</dc:creator>
  <dc:description/>
  <dc:language>en-US</dc:language>
  <cp:lastModifiedBy/>
  <dcterms:modified xsi:type="dcterms:W3CDTF">2026-09-06T01:13:16Z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