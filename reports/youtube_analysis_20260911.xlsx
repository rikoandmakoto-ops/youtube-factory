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サマリー" sheetId="1" state="visible" r:id="rId3"/>
    <sheet name="チャンネル別詳細" sheetId="2" state="visible" r:id="rId4"/>
    <sheet name="動画別パフォーマンス" sheetId="3" state="visible" r:id="rId5"/>
    <sheet name="改善アクション" sheetId="4" state="visible" r:id="rId6"/>
    <sheet name="トレンド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<sst xmlns="http://schemas.openxmlformats.org/spreadsheetml/2006/main" count="663" uniqueCount="309">
  <si>
    <r>
      <rPr>
        <b val="true"/>
        <sz val="14"/>
        <rFont val="Arial"/>
        <family val="0"/>
        <charset val="1"/>
      </rPr>
      <t xml:space="preserve">YouTube Factory </t>
    </r>
    <r>
      <rPr>
        <b val="true"/>
        <sz val="14"/>
        <rFont val="Noto Sans CJK SC"/>
        <family val="2"/>
      </rPr>
      <t xml:space="preserve">指揮者レポート </t>
    </r>
    <r>
      <rPr>
        <b val="true"/>
        <sz val="14"/>
        <rFont val="Arial"/>
        <family val="0"/>
        <charset val="1"/>
      </rPr>
      <t xml:space="preserve">2026-09-11</t>
    </r>
  </si>
  <si>
    <r>
      <rPr>
        <i val="true"/>
        <sz val="9"/>
        <rFont val="Noto Sans CJK SC"/>
        <family val="2"/>
      </rPr>
      <t xml:space="preserve">データ範囲</t>
    </r>
    <r>
      <rPr>
        <i val="true"/>
        <sz val="9"/>
        <rFont val="Arial"/>
        <family val="0"/>
        <charset val="1"/>
      </rPr>
      <t xml:space="preserve">: analytics.db </t>
    </r>
    <r>
      <rPr>
        <i val="true"/>
        <sz val="9"/>
        <rFont val="Noto Sans CJK SC"/>
        <family val="2"/>
      </rPr>
      <t xml:space="preserve">の最終取得は </t>
    </r>
    <r>
      <rPr>
        <i val="true"/>
        <sz val="9"/>
        <rFont val="Arial"/>
        <family val="0"/>
        <charset val="1"/>
      </rPr>
      <t xml:space="preserve">2026-09-08 23:19 JST</t>
    </r>
    <r>
      <rPr>
        <i val="true"/>
        <sz val="9"/>
        <rFont val="Noto Sans CJK SC"/>
        <family val="2"/>
      </rPr>
      <t xml:space="preserve">（以降 </t>
    </r>
    <r>
      <rPr>
        <i val="true"/>
        <sz val="9"/>
        <rFont val="Arial"/>
        <family val="0"/>
        <charset val="1"/>
      </rPr>
      <t xml:space="preserve">2</t>
    </r>
    <r>
      <rPr>
        <i val="true"/>
        <sz val="9"/>
        <rFont val="Noto Sans CJK SC"/>
        <family val="2"/>
      </rPr>
      <t xml:space="preserve">日以上更新なし）。成熟コホート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公開 </t>
    </r>
    <r>
      <rPr>
        <i val="true"/>
        <sz val="9"/>
        <rFont val="Arial"/>
        <family val="0"/>
        <charset val="1"/>
      </rPr>
      <t xml:space="preserve">2026-08-10</t>
    </r>
    <r>
      <rPr>
        <i val="true"/>
        <sz val="9"/>
        <rFont val="Noto Sans CJK SC"/>
        <family val="2"/>
      </rPr>
      <t xml:space="preserve">〜</t>
    </r>
    <r>
      <rPr>
        <i val="true"/>
        <sz val="9"/>
        <rFont val="Arial"/>
        <family val="0"/>
        <charset val="1"/>
      </rPr>
      <t xml:space="preserve">09-04</t>
    </r>
    <r>
      <rPr>
        <i val="true"/>
        <sz val="9"/>
        <rFont val="Noto Sans CJK SC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4</t>
    </r>
    <r>
      <rPr>
        <i val="true"/>
        <sz val="9"/>
        <rFont val="Noto Sans CJK SC"/>
        <family val="2"/>
      </rPr>
      <t xml:space="preserve">日以上経過。主指標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登録者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Noto Sans CJK SC"/>
        <family val="2"/>
      </rPr>
      <t xml:space="preserve">千再生。</t>
    </r>
  </si>
  <si>
    <r>
      <rPr>
        <b val="true"/>
        <sz val="12"/>
        <color rgb="FF9C0006"/>
        <rFont val="Noto Sans CJK SC"/>
        <family val="2"/>
      </rPr>
      <t xml:space="preserve">■ 最重要</t>
    </r>
    <r>
      <rPr>
        <b val="true"/>
        <sz val="12"/>
        <color rgb="FF9C0006"/>
        <rFont val="Arial"/>
        <family val="0"/>
        <charset val="1"/>
      </rPr>
      <t xml:space="preserve">: </t>
    </r>
    <r>
      <rPr>
        <b val="true"/>
        <sz val="12"/>
        <color rgb="FF9C0006"/>
        <rFont val="Noto Sans CJK SC"/>
        <family val="2"/>
      </rPr>
      <t xml:space="preserve">全</t>
    </r>
    <r>
      <rPr>
        <b val="true"/>
        <sz val="12"/>
        <color rgb="FF9C0006"/>
        <rFont val="Arial"/>
        <family val="0"/>
        <charset val="1"/>
      </rPr>
      <t xml:space="preserve">13ch</t>
    </r>
    <r>
      <rPr>
        <b val="true"/>
        <sz val="12"/>
        <color rgb="FF9C0006"/>
        <rFont val="Noto Sans CJK SC"/>
        <family val="2"/>
      </rPr>
      <t xml:space="preserve">の </t>
    </r>
    <r>
      <rPr>
        <b val="true"/>
        <sz val="12"/>
        <color rgb="FF9C0006"/>
        <rFont val="Arial"/>
        <family val="0"/>
        <charset val="1"/>
      </rPr>
      <t xml:space="preserve">YouTube OAuth </t>
    </r>
    <r>
      <rPr>
        <b val="true"/>
        <sz val="12"/>
        <color rgb="FF9C0006"/>
        <rFont val="Noto Sans CJK SC"/>
        <family val="2"/>
      </rPr>
      <t xml:space="preserve">が失効し、投稿が実質停止している</t>
    </r>
  </si>
  <si>
    <t xml:space="preserve">日付</t>
  </si>
  <si>
    <r>
      <rPr>
        <b val="true"/>
        <sz val="10"/>
        <color rgb="FFFFFFFF"/>
        <rFont val="Noto Sans CJK SC"/>
        <family val="2"/>
      </rPr>
      <t xml:space="preserve">全</t>
    </r>
    <r>
      <rPr>
        <b val="true"/>
        <sz val="10"/>
        <color rgb="FFFFFFFF"/>
        <rFont val="Arial"/>
        <family val="0"/>
        <charset val="1"/>
      </rPr>
      <t xml:space="preserve">ch</t>
    </r>
    <r>
      <rPr>
        <b val="true"/>
        <sz val="10"/>
        <color rgb="FFFFFFFF"/>
        <rFont val="Noto Sans CJK SC"/>
        <family val="2"/>
      </rPr>
      <t xml:space="preserve">合計 投稿本数</t>
    </r>
  </si>
  <si>
    <t xml:space="preserve">状態</t>
  </si>
  <si>
    <t xml:space="preserve">2026-08-28</t>
  </si>
  <si>
    <t xml:space="preserve">正常</t>
  </si>
  <si>
    <t xml:space="preserve">2026-08-29</t>
  </si>
  <si>
    <t xml:space="preserve">低下</t>
  </si>
  <si>
    <t xml:space="preserve">2026-08-30</t>
  </si>
  <si>
    <t xml:space="preserve">2026-08-31</t>
  </si>
  <si>
    <t xml:space="preserve">2026-09-01</t>
  </si>
  <si>
    <t xml:space="preserve">低下（要因未特定。当日のログは別途確認）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</si>
  <si>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</si>
  <si>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</si>
  <si>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</si>
  <si>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</si>
  <si>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</si>
  <si>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</si>
  <si>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</si>
  <si>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</si>
  <si>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r>
      <rPr>
        <sz val="10"/>
        <rFont val="Noto Sans CJK SC"/>
        <family val="2"/>
      </rPr>
      <t xml:space="preserve">停止（</t>
    </r>
    <r>
      <rPr>
        <sz val="10"/>
        <rFont val="Arial"/>
        <family val="0"/>
        <charset val="1"/>
      </rPr>
      <t xml:space="preserve">OAuth invalid_grant </t>
    </r>
    <r>
      <rPr>
        <sz val="10"/>
        <rFont val="Noto Sans CJK SC"/>
        <family val="2"/>
      </rPr>
      <t xml:space="preserve">によりアップロード失敗）</t>
    </r>
  </si>
  <si>
    <t xml:space="preserve">2026-09-10</t>
  </si>
  <si>
    <t xml:space="preserve">合計</t>
  </si>
  <si>
    <t xml:space="preserve">■ チャンネル別サマリー（成熟コホート）</t>
  </si>
  <si>
    <t xml:space="preserve">channel_id</t>
  </si>
  <si>
    <t xml:space="preserve">チャンネル名</t>
  </si>
  <si>
    <t xml:space="preserve">本数</t>
  </si>
  <si>
    <t xml:space="preserve">中央値 再生</t>
  </si>
  <si>
    <r>
      <rPr>
        <b val="true"/>
        <sz val="10"/>
        <color rgb="FFFFFFFF"/>
        <rFont val="Noto Sans CJK SC"/>
        <family val="2"/>
      </rPr>
      <t xml:space="preserve">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千再生</t>
    </r>
  </si>
  <si>
    <r>
      <rPr>
        <b val="true"/>
        <sz val="10"/>
        <color rgb="FFFFFFFF"/>
        <rFont val="Noto Sans CJK SC"/>
        <family val="2"/>
      </rPr>
      <t xml:space="preserve">平均 維持率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</si>
  <si>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到達</t>
    </r>
    <r>
      <rPr>
        <b val="true"/>
        <sz val="10"/>
        <color rgb="FFFFFFFF"/>
        <rFont val="Arial"/>
        <family val="0"/>
        <charset val="1"/>
      </rPr>
      <t xml:space="preserve">CTR%</t>
    </r>
  </si>
  <si>
    <r>
      <rPr>
        <b val="true"/>
        <sz val="10"/>
        <color rgb="FFFFFFFF"/>
        <rFont val="Noto Sans CJK SC"/>
        <family val="2"/>
      </rPr>
      <t xml:space="preserve">登録 純増</t>
    </r>
    <r>
      <rPr>
        <b val="true"/>
        <sz val="10"/>
        <color rgb="FFFFFFFF"/>
        <rFont val="Arial"/>
        <family val="0"/>
        <charset val="1"/>
      </rPr>
      <t xml:space="preserve">(7</t>
    </r>
    <r>
      <rPr>
        <b val="true"/>
        <sz val="10"/>
        <color rgb="FFFFFFFF"/>
        <rFont val="Noto Sans CJK SC"/>
        <family val="2"/>
      </rPr>
      <t xml:space="preserve">日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</si>
  <si>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評価</t>
  </si>
  <si>
    <t xml:space="preserve">scp-lab</t>
  </si>
  <si>
    <r>
      <rPr>
        <sz val="10"/>
        <rFont val="Noto Sans CJK SC"/>
        <family val="2"/>
      </rPr>
      <t xml:space="preserve">異常存在</t>
    </r>
    <r>
      <rPr>
        <sz val="10"/>
        <rFont val="Arial"/>
        <family val="0"/>
        <charset val="1"/>
      </rPr>
      <t xml:space="preserve">SCP</t>
    </r>
    <r>
      <rPr>
        <sz val="10"/>
        <rFont val="Noto Sans CJK SC"/>
        <family val="2"/>
      </rPr>
      <t xml:space="preserve">ゆっくり解説ラボ</t>
    </r>
  </si>
  <si>
    <t xml:space="preserve">維持</t>
  </si>
  <si>
    <t xml:space="preserve">company-facts</t>
  </si>
  <si>
    <t xml:space="preserve">企業のホンネ</t>
  </si>
  <si>
    <t xml:space="preserve">akashic-librarian</t>
  </si>
  <si>
    <t xml:space="preserve">アカシックの司書</t>
  </si>
  <si>
    <t xml:space="preserve">daily-science</t>
  </si>
  <si>
    <t xml:space="preserve">リコとマコトのゆっくり日常科学</t>
  </si>
  <si>
    <t xml:space="preserve">yokai-watch</t>
  </si>
  <si>
    <t xml:space="preserve">ゆっくり妖怪ラボ</t>
  </si>
  <si>
    <t xml:space="preserve">要改善</t>
  </si>
  <si>
    <t xml:space="preserve">pokemon-lab</t>
  </si>
  <si>
    <t xml:space="preserve">ゆっくりポケラボ</t>
  </si>
  <si>
    <t xml:space="preserve">抜本見直し</t>
  </si>
  <si>
    <t xml:space="preserve">2ch-matome</t>
  </si>
  <si>
    <r>
      <rPr>
        <sz val="10"/>
        <rFont val="Noto Sans CJK SC"/>
        <family val="2"/>
      </rPr>
      <t xml:space="preserve">ゆっくり</t>
    </r>
    <r>
      <rPr>
        <sz val="10"/>
        <rFont val="Arial"/>
        <family val="0"/>
        <charset val="1"/>
      </rPr>
      <t xml:space="preserve">2ch</t>
    </r>
    <r>
      <rPr>
        <sz val="10"/>
        <rFont val="Noto Sans CJK SC"/>
        <family val="2"/>
      </rPr>
      <t xml:space="preserve">スレまとめ劇場</t>
    </r>
  </si>
  <si>
    <t xml:space="preserve">clip-fukada</t>
  </si>
  <si>
    <t xml:space="preserve">深田えいみ 切り抜き</t>
  </si>
  <si>
    <t xml:space="preserve">clip-kaneko</t>
  </si>
  <si>
    <t xml:space="preserve">金子みゆ 切り抜き</t>
  </si>
  <si>
    <t xml:space="preserve">clip-lab</t>
  </si>
  <si>
    <r>
      <rPr>
        <sz val="10"/>
        <rFont val="Noto Sans CJK SC"/>
        <family val="2"/>
      </rPr>
      <t xml:space="preserve">切り抜き</t>
    </r>
    <r>
      <rPr>
        <sz val="10"/>
        <rFont val="Arial"/>
        <family val="0"/>
        <charset val="1"/>
      </rPr>
      <t xml:space="preserve">Lab</t>
    </r>
  </si>
  <si>
    <t xml:space="preserve">fake-paper</t>
  </si>
  <si>
    <t xml:space="preserve">虚構論文チャンネル</t>
  </si>
  <si>
    <t xml:space="preserve">clip-animal</t>
  </si>
  <si>
    <t xml:space="preserve">動物情報局</t>
  </si>
  <si>
    <t xml:space="preserve">■ 本日の主要所見</t>
  </si>
  <si>
    <t xml:space="preserve">#</t>
  </si>
  <si>
    <t xml:space="preserve">所見</t>
  </si>
  <si>
    <t xml:space="preserve">本日の対応</t>
  </si>
  <si>
    <t xml:space="preserve">1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</si>
  <si>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13ch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OAuth refresh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invalid_grant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以降の公開は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日（</t>
    </r>
    <r>
      <rPr>
        <sz val="10"/>
        <rFont val="Arial"/>
        <family val="0"/>
        <charset val="1"/>
      </rPr>
      <t xml:space="preserve">09-05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日）。生成は動いているがアップロードが全滅。</t>
    </r>
  </si>
  <si>
    <r>
      <rPr>
        <sz val="10"/>
        <rFont val="Noto Sans CJK SC"/>
        <family val="2"/>
      </rPr>
      <t xml:space="preserve">管理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から全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再認可。最優先。</t>
    </r>
  </si>
  <si>
    <t xml:space="preserve">2</t>
  </si>
  <si>
    <r>
      <rPr>
        <sz val="10"/>
        <rFont val="Noto Sans CJK SC"/>
        <family val="2"/>
      </rPr>
      <t xml:space="preserve">絵文字入りタイトルは </t>
    </r>
    <r>
      <rPr>
        <sz val="10"/>
        <rFont val="Arial"/>
        <family val="0"/>
        <charset val="1"/>
      </rPr>
      <t xml:space="preserve">5/6ch </t>
    </r>
    <r>
      <rPr>
        <sz val="10"/>
        <rFont val="Noto Sans CJK SC"/>
        <family val="2"/>
      </rPr>
      <t xml:space="preserve">で登録効率が悪化（</t>
    </r>
    <r>
      <rPr>
        <sz val="10"/>
        <rFont val="Arial"/>
        <family val="0"/>
        <charset val="1"/>
      </rPr>
      <t xml:space="preserve">scp-lab 0.32 vs 0.98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yokai-watch 0.19 vs 0.46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2ch-matome 0.00 vs 0.27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title_rules.max_emoji=0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backend </t>
    </r>
    <r>
      <rPr>
        <sz val="10"/>
        <rFont val="Noto Sans CJK SC"/>
        <family val="2"/>
      </rPr>
      <t xml:space="preserve">が読まないキーだった。</t>
    </r>
  </si>
  <si>
    <r>
      <rPr>
        <sz val="10"/>
        <rFont val="Arial"/>
        <family val="0"/>
        <charset val="1"/>
      </rPr>
      <t xml:space="preserve">hard_constraints </t>
    </r>
    <r>
      <rPr>
        <sz val="10"/>
        <rFont val="Noto Sans CJK SC"/>
        <family val="2"/>
      </rPr>
      <t xml:space="preserve">へ移設済（本日反映）。</t>
    </r>
  </si>
  <si>
    <t xml:space="preserve">3</t>
  </si>
  <si>
    <r>
      <rPr>
        <sz val="10"/>
        <rFont val="Noto Sans CJK SC"/>
        <family val="2"/>
      </rPr>
      <t xml:space="preserve">「なぜ〇〇なのか」型が </t>
    </r>
    <r>
      <rPr>
        <sz val="10"/>
        <rFont val="Arial"/>
        <family val="0"/>
        <charset val="1"/>
      </rPr>
      <t xml:space="preserve">4ch </t>
    </r>
    <r>
      <rPr>
        <sz val="10"/>
        <rFont val="Noto Sans CJK SC"/>
        <family val="2"/>
      </rPr>
      <t xml:space="preserve">で最大レバー（</t>
    </r>
    <r>
      <rPr>
        <sz val="10"/>
        <rFont val="Arial"/>
        <family val="0"/>
        <charset val="1"/>
      </rPr>
      <t xml:space="preserve">scp-lab 1.45 vs 0.45 / yokai-watch 0.66 vs 0.20 / daily-science 0.56 vs 0.27 / 2ch-matome 0.33 vs 0.18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</si>
  <si>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4ch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title_style </t>
    </r>
    <r>
      <rPr>
        <sz val="10"/>
        <rFont val="Noto Sans CJK SC"/>
        <family val="2"/>
      </rPr>
      <t xml:space="preserve">を「なぜ」最優先へ更新済。</t>
    </r>
  </si>
  <si>
    <t xml:space="preserve">4</t>
  </si>
  <si>
    <r>
      <rPr>
        <sz val="10"/>
        <rFont val="Arial"/>
        <family val="0"/>
        <charset val="1"/>
      </rPr>
      <t xml:space="preserve">pokemon-lab </t>
    </r>
    <r>
      <rPr>
        <sz val="10"/>
        <rFont val="Noto Sans CJK SC"/>
        <family val="2"/>
      </rPr>
      <t xml:space="preserve">のみ逆パターン。「なぜ」</t>
    </r>
    <r>
      <rPr>
        <sz val="10"/>
        <rFont val="Arial"/>
        <family val="0"/>
        <charset val="1"/>
      </rPr>
      <t xml:space="preserve">0.00(n=9) </t>
    </r>
    <r>
      <rPr>
        <sz val="10"/>
        <rFont val="Noto Sans CJK SC"/>
        <family val="2"/>
      </rPr>
      <t xml:space="preserve">に対し二人称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あなた</t>
    </r>
    <r>
      <rPr>
        <sz val="10"/>
        <rFont val="Arial"/>
        <family val="0"/>
        <charset val="1"/>
      </rPr>
      <t xml:space="preserve">) 0.45 vs 0.15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08-25 </t>
    </r>
    <r>
      <rPr>
        <sz val="10"/>
        <rFont val="Noto Sans CJK SC"/>
        <family val="2"/>
      </rPr>
      <t xml:space="preserve">以降 </t>
    </r>
    <r>
      <rPr>
        <sz val="10"/>
        <rFont val="Arial"/>
        <family val="0"/>
        <charset val="1"/>
      </rPr>
      <t xml:space="preserve">0.26→0.20 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中唯一悪化、到達</t>
    </r>
    <r>
      <rPr>
        <sz val="10"/>
        <rFont val="Arial"/>
        <family val="0"/>
        <charset val="1"/>
      </rPr>
      <t xml:space="preserve">CTR 0.69% </t>
    </r>
    <r>
      <rPr>
        <sz val="10"/>
        <rFont val="Noto Sans CJK SC"/>
        <family val="2"/>
      </rPr>
      <t xml:space="preserve">も最下位。</t>
    </r>
  </si>
  <si>
    <r>
      <rPr>
        <sz val="10"/>
        <rFont val="Noto Sans CJK SC"/>
        <family val="2"/>
      </rPr>
      <t xml:space="preserve">二人称主軸へ方針変更＋枯渇していた </t>
    </r>
    <r>
      <rPr>
        <sz val="10"/>
        <rFont val="Arial"/>
        <family val="0"/>
        <charset val="1"/>
      </rPr>
      <t xml:space="preserve">theme_queue 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本補充。</t>
    </r>
  </si>
  <si>
    <t xml:space="preserve">5</t>
  </si>
  <si>
    <r>
      <rPr>
        <sz val="10"/>
        <rFont val="Noto Sans CJK SC"/>
        <family val="2"/>
      </rPr>
      <t xml:space="preserve">維持率は全</t>
    </r>
    <r>
      <rPr>
        <sz val="10"/>
        <rFont val="Arial"/>
        <family val="0"/>
        <charset val="1"/>
      </rPr>
      <t xml:space="preserve">252</t>
    </r>
    <r>
      <rPr>
        <sz val="10"/>
        <rFont val="Noto Sans CJK SC"/>
        <family val="2"/>
      </rPr>
      <t xml:space="preserve">本平均で 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地点</t>
    </r>
    <r>
      <rPr>
        <sz val="10"/>
        <rFont val="Arial"/>
        <family val="0"/>
        <charset val="1"/>
      </rPr>
      <t xml:space="preserve">102% → 20%</t>
    </r>
    <r>
      <rPr>
        <sz val="10"/>
        <rFont val="Noto Sans CJK SC"/>
        <family val="2"/>
      </rPr>
      <t xml:space="preserve">地点</t>
    </r>
    <r>
      <rPr>
        <sz val="10"/>
        <rFont val="Arial"/>
        <family val="0"/>
        <charset val="1"/>
      </rPr>
      <t xml:space="preserve">84% → 30%</t>
    </r>
    <r>
      <rPr>
        <sz val="10"/>
        <rFont val="Noto Sans CJK SC"/>
        <family val="2"/>
      </rPr>
      <t xml:space="preserve">地点</t>
    </r>
    <r>
      <rPr>
        <sz val="10"/>
        <rFont val="Arial"/>
        <family val="0"/>
        <charset val="1"/>
      </rPr>
      <t xml:space="preserve">63% </t>
    </r>
    <r>
      <rPr>
        <sz val="10"/>
        <rFont val="Noto Sans CJK SC"/>
        <family val="2"/>
      </rPr>
      <t xml:space="preserve">と中盤で崖。尺は </t>
    </r>
    <r>
      <rPr>
        <sz val="10"/>
        <rFont val="Arial"/>
        <family val="0"/>
        <charset val="1"/>
      </rPr>
      <t xml:space="preserve">09-12 </t>
    </r>
    <r>
      <rPr>
        <sz val="10"/>
        <rFont val="Noto Sans CJK SC"/>
        <family val="2"/>
      </rPr>
      <t xml:space="preserve">まで実験ロック中のため構成で手当て。</t>
    </r>
  </si>
  <si>
    <r>
      <rPr>
        <sz val="10"/>
        <rFont val="Arial"/>
        <family val="0"/>
        <charset val="1"/>
      </rPr>
      <t xml:space="preserve">short_format.extra_rules </t>
    </r>
    <r>
      <rPr>
        <sz val="10"/>
        <rFont val="Noto Sans CJK SC"/>
        <family val="2"/>
      </rPr>
      <t xml:space="preserve">に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行目の反転必須ルールを追加。</t>
    </r>
  </si>
  <si>
    <t xml:space="preserve">6</t>
  </si>
  <si>
    <r>
      <rPr>
        <sz val="10"/>
        <rFont val="Arial"/>
        <family val="0"/>
        <charset val="1"/>
      </rPr>
      <t xml:space="preserve">theme_queue 142</t>
    </r>
    <r>
      <rPr>
        <sz val="10"/>
        <rFont val="Noto Sans CJK SC"/>
        <family val="2"/>
      </rPr>
      <t xml:space="preserve">本中 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本が </t>
    </r>
    <r>
      <rPr>
        <sz val="10"/>
        <rFont val="Arial"/>
        <family val="0"/>
        <charset val="1"/>
      </rPr>
      <t xml:space="preserve">hard_constraints </t>
    </r>
    <r>
      <rPr>
        <sz val="10"/>
        <rFont val="Noto Sans CJK SC"/>
        <family val="2"/>
      </rPr>
      <t xml:space="preserve">を通らず、</t>
    </r>
    <r>
      <rPr>
        <sz val="10"/>
        <rFont val="Arial"/>
        <family val="0"/>
        <charset val="1"/>
      </rPr>
      <t xml:space="preserve">backend </t>
    </r>
    <r>
      <rPr>
        <sz val="10"/>
        <rFont val="Noto Sans CJK SC"/>
        <family val="2"/>
      </rPr>
      <t xml:space="preserve">の機械修復で語尾に「の正体」等が付く状態だった。</t>
    </r>
  </si>
  <si>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本を実測で効く型に書き直し、全</t>
    </r>
    <r>
      <rPr>
        <sz val="10"/>
        <rFont val="Arial"/>
        <family val="0"/>
        <charset val="1"/>
      </rPr>
      <t xml:space="preserve">ch NG 0 </t>
    </r>
    <r>
      <rPr>
        <sz val="10"/>
        <rFont val="Noto Sans CJK SC"/>
        <family val="2"/>
      </rPr>
      <t xml:space="preserve">本に。</t>
    </r>
  </si>
  <si>
    <r>
      <rPr>
        <b val="true"/>
        <sz val="14"/>
        <rFont val="Noto Sans CJK SC"/>
        <family val="2"/>
      </rPr>
      <t xml:space="preserve">チャンネル別詳細（成熟コホート </t>
    </r>
    <r>
      <rPr>
        <b val="true"/>
        <sz val="14"/>
        <rFont val="Arial"/>
        <family val="0"/>
        <charset val="1"/>
      </rPr>
      <t xml:space="preserve">2026-08-10</t>
    </r>
    <r>
      <rPr>
        <b val="true"/>
        <sz val="14"/>
        <rFont val="Noto Sans CJK SC"/>
        <family val="2"/>
      </rPr>
      <t xml:space="preserve">〜</t>
    </r>
    <r>
      <rPr>
        <b val="true"/>
        <sz val="14"/>
        <rFont val="Arial"/>
        <family val="0"/>
        <charset val="1"/>
      </rPr>
      <t xml:space="preserve">09-04</t>
    </r>
    <r>
      <rPr>
        <b val="true"/>
        <sz val="14"/>
        <rFont val="Noto Sans CJK SC"/>
        <family val="2"/>
      </rPr>
      <t xml:space="preserve">）</t>
    </r>
  </si>
  <si>
    <t xml:space="preserve">総再生</t>
  </si>
  <si>
    <t xml:space="preserve">中央値</t>
  </si>
  <si>
    <t xml:space="preserve">登録数</t>
  </si>
  <si>
    <r>
      <rPr>
        <b val="true"/>
        <sz val="10"/>
        <color rgb="FFFFFFFF"/>
        <rFont val="Noto Sans CJK SC"/>
        <family val="2"/>
      </rPr>
      <t xml:space="preserve">高評価率</t>
    </r>
    <r>
      <rPr>
        <b val="true"/>
        <sz val="10"/>
        <color rgb="FFFFFFFF"/>
        <rFont val="Arial"/>
        <family val="0"/>
        <charset val="1"/>
      </rPr>
      <t xml:space="preserve">%</t>
    </r>
  </si>
  <si>
    <r>
      <rPr>
        <b val="true"/>
        <sz val="10"/>
        <color rgb="FFFFFFFF"/>
        <rFont val="Noto Sans CJK SC"/>
        <family val="2"/>
      </rPr>
      <t xml:space="preserve">コメント率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</si>
  <si>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平均 視聴秒</t>
  </si>
  <si>
    <t xml:space="preserve">到達 表示回数</t>
  </si>
  <si>
    <r>
      <rPr>
        <b val="true"/>
        <sz val="10"/>
        <color rgb="FFFFFFFF"/>
        <rFont val="Noto Sans CJK SC"/>
        <family val="2"/>
      </rPr>
      <t xml:space="preserve">到達 </t>
    </r>
    <r>
      <rPr>
        <b val="true"/>
        <sz val="10"/>
        <color rgb="FFFFFFFF"/>
        <rFont val="Arial"/>
        <family val="0"/>
        <charset val="1"/>
      </rPr>
      <t xml:space="preserve">CTR%</t>
    </r>
  </si>
  <si>
    <r>
      <rPr>
        <b val="true"/>
        <sz val="10"/>
        <color rgb="FFFFFFFF"/>
        <rFont val="Arial"/>
        <family val="0"/>
        <charset val="1"/>
      </rPr>
      <t xml:space="preserve">theme_queue </t>
    </r>
    <r>
      <rPr>
        <b val="true"/>
        <sz val="10"/>
        <color rgb="FFFFFFFF"/>
        <rFont val="Noto Sans CJK SC"/>
        <family val="2"/>
      </rPr>
      <t xml:space="preserve">本数</t>
    </r>
  </si>
  <si>
    <r>
      <rPr>
        <b val="true"/>
        <sz val="11"/>
        <rFont val="Noto Sans CJK SC"/>
        <family val="2"/>
      </rPr>
      <t xml:space="preserve">合計</t>
    </r>
    <r>
      <rPr>
        <b val="true"/>
        <sz val="11"/>
        <rFont val="Arial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平均</t>
    </r>
  </si>
  <si>
    <r>
      <rPr>
        <b val="true"/>
        <sz val="12"/>
        <rFont val="Noto Sans CJK SC"/>
        <family val="2"/>
      </rPr>
      <t xml:space="preserve">■ 平均 視聴維持率カーブ（</t>
    </r>
    <r>
      <rPr>
        <b val="true"/>
        <sz val="12"/>
        <rFont val="Arial"/>
        <family val="0"/>
        <charset val="1"/>
      </rPr>
      <t xml:space="preserve">%</t>
    </r>
    <r>
      <rPr>
        <b val="true"/>
        <sz val="12"/>
        <rFont val="Noto Sans CJK SC"/>
        <family val="2"/>
      </rPr>
      <t xml:space="preserve">・</t>
    </r>
    <r>
      <rPr>
        <b val="true"/>
        <sz val="12"/>
        <rFont val="Arial"/>
        <family val="0"/>
        <charset val="1"/>
      </rPr>
      <t xml:space="preserve">retention_curve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</si>
  <si>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0"/>
        <color rgb="FFFFFFFF"/>
        <rFont val="Arial"/>
        <family val="0"/>
        <charset val="1"/>
      </rPr>
      <t xml:space="preserve">5%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</si>
  <si>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10%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</si>
  <si>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15%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</si>
  <si>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20%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</si>
  <si>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30%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</si>
  <si>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50%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</si>
  <si>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70%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</si>
  <si>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90%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</si>
  <si>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b val="true"/>
        <sz val="10"/>
        <color rgb="FFFFFFFF"/>
        <rFont val="Arial"/>
        <family val="0"/>
        <charset val="1"/>
      </rPr>
      <t xml:space="preserve">100%</t>
    </r>
    <r>
      <rPr>
        <b val="true"/>
        <sz val="10"/>
        <color rgb="FFFFFFFF"/>
        <rFont val="Noto Sans CJK SC"/>
        <family val="2"/>
      </rPr>
      <t xml:space="preserve">地点</t>
    </r>
  </si>
  <si>
    <r>
      <rPr>
        <i val="true"/>
        <sz val="9"/>
        <rFont val="Arial"/>
        <family val="0"/>
        <charset val="1"/>
      </rPr>
      <t xml:space="preserve">※ 15%→30% </t>
    </r>
    <r>
      <rPr>
        <i val="true"/>
        <sz val="9"/>
        <rFont val="Noto Sans CJK SC"/>
        <family val="2"/>
      </rPr>
      <t xml:space="preserve">の落差が </t>
    </r>
    <r>
      <rPr>
        <i val="true"/>
        <sz val="9"/>
        <rFont val="Arial"/>
        <family val="0"/>
        <charset val="1"/>
      </rPr>
      <t xml:space="preserve">38pt </t>
    </r>
    <r>
      <rPr>
        <i val="true"/>
        <sz val="9"/>
        <rFont val="Noto Sans CJK SC"/>
        <family val="2"/>
      </rPr>
      <t xml:space="preserve">以上を赤、</t>
    </r>
    <r>
      <rPr>
        <i val="true"/>
        <sz val="9"/>
        <rFont val="Arial"/>
        <family val="0"/>
        <charset val="1"/>
      </rPr>
      <t xml:space="preserve">30pt </t>
    </r>
    <r>
      <rPr>
        <i val="true"/>
        <sz val="9"/>
        <rFont val="Noto Sans CJK SC"/>
        <family val="2"/>
      </rPr>
      <t xml:space="preserve">以上を黄。全体平均は </t>
    </r>
    <r>
      <rPr>
        <i val="true"/>
        <sz val="9"/>
        <rFont val="Arial"/>
        <family val="0"/>
        <charset val="1"/>
      </rPr>
      <t xml:space="preserve">15%</t>
    </r>
    <r>
      <rPr>
        <i val="true"/>
        <sz val="9"/>
        <rFont val="Noto Sans CJK SC"/>
        <family val="2"/>
      </rPr>
      <t xml:space="preserve">地点</t>
    </r>
    <r>
      <rPr>
        <i val="true"/>
        <sz val="9"/>
        <rFont val="Arial"/>
        <family val="0"/>
        <charset val="1"/>
      </rPr>
      <t xml:space="preserve">102% → 30%</t>
    </r>
    <r>
      <rPr>
        <i val="true"/>
        <sz val="9"/>
        <rFont val="Noto Sans CJK SC"/>
        <family val="2"/>
      </rPr>
      <t xml:space="preserve">地点</t>
    </r>
    <r>
      <rPr>
        <i val="true"/>
        <sz val="9"/>
        <rFont val="Arial"/>
        <family val="0"/>
        <charset val="1"/>
      </rPr>
      <t xml:space="preserve">63%</t>
    </r>
    <r>
      <rPr>
        <i val="true"/>
        <sz val="9"/>
        <rFont val="Noto Sans CJK SC"/>
        <family val="2"/>
      </rPr>
      <t xml:space="preserve">。</t>
    </r>
  </si>
  <si>
    <t xml:space="preserve">動画別パフォーマンス</t>
  </si>
  <si>
    <r>
      <rPr>
        <b val="true"/>
        <sz val="12"/>
        <rFont val="Noto Sans CJK SC"/>
        <family val="2"/>
      </rPr>
      <t xml:space="preserve">■ 登録獲得 効率トップ</t>
    </r>
    <r>
      <rPr>
        <b val="true"/>
        <sz val="12"/>
        <rFont val="Arial"/>
        <family val="0"/>
        <charset val="1"/>
      </rPr>
      <t xml:space="preserve">30</t>
    </r>
    <r>
      <rPr>
        <b val="true"/>
        <sz val="12"/>
        <rFont val="Noto Sans CJK SC"/>
        <family val="2"/>
      </rPr>
      <t xml:space="preserve">（成熟コホート・再生</t>
    </r>
    <r>
      <rPr>
        <b val="true"/>
        <sz val="12"/>
        <rFont val="Arial"/>
        <family val="0"/>
        <charset val="1"/>
      </rPr>
      <t xml:space="preserve">200</t>
    </r>
    <r>
      <rPr>
        <b val="true"/>
        <sz val="12"/>
        <rFont val="Noto Sans CJK SC"/>
        <family val="2"/>
      </rPr>
      <t xml:space="preserve">以上）</t>
    </r>
  </si>
  <si>
    <t xml:space="preserve">公開日</t>
  </si>
  <si>
    <t xml:space="preserve">タイトル</t>
  </si>
  <si>
    <t xml:space="preserve">再生</t>
  </si>
  <si>
    <t xml:space="preserve">登録</t>
  </si>
  <si>
    <r>
      <rPr>
        <b val="true"/>
        <sz val="10"/>
        <color rgb="FFFFFFFF"/>
        <rFont val="Noto Sans CJK SC"/>
        <family val="2"/>
      </rPr>
      <t xml:space="preserve">維持率</t>
    </r>
    <r>
      <rPr>
        <b val="true"/>
        <sz val="10"/>
        <color rgb="FFFFFFFF"/>
        <rFont val="Arial"/>
        <family val="0"/>
        <charset val="1"/>
      </rPr>
      <t xml:space="preserve">%</t>
    </r>
  </si>
  <si>
    <t xml:space="preserve">視聴秒</t>
  </si>
  <si>
    <t xml:space="preserve">高評価</t>
  </si>
  <si>
    <r>
      <rPr>
        <sz val="10"/>
        <rFont val="Noto Sans CJK SC"/>
        <family val="2"/>
      </rPr>
      <t xml:space="preserve">なぜ座ると腰だけ痛い？圧力</t>
    </r>
    <r>
      <rPr>
        <sz val="10"/>
        <rFont val="Arial"/>
        <family val="0"/>
        <charset val="1"/>
      </rPr>
      <t xml:space="preserve">1.4</t>
    </r>
    <r>
      <rPr>
        <sz val="10"/>
        <rFont val="Noto Sans CJK SC"/>
        <family val="2"/>
      </rPr>
      <t xml:space="preserve">倍【ショート】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</si>
  <si>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 </t>
    </r>
    <r>
      <rPr>
        <sz val="10"/>
        <rFont val="Arial"/>
        <family val="0"/>
        <charset val="1"/>
      </rPr>
      <t xml:space="preserve">#20</t>
    </r>
    <r>
      <rPr>
        <sz val="10"/>
        <rFont val="Noto Sans CJK SC"/>
        <family val="2"/>
      </rPr>
      <t xml:space="preserve">：🔍スネイキーに隠された秘密、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段階進化の元ネタは蛇神だった？👁️【ショート】</t>
    </r>
  </si>
  <si>
    <t xml:space="preserve">2026-08-26</t>
  </si>
  <si>
    <r>
      <rPr>
        <sz val="10"/>
        <rFont val="Noto Sans CJK SC"/>
        <family val="2"/>
      </rPr>
      <t xml:space="preserve">なぜ調査員は</t>
    </r>
    <r>
      <rPr>
        <sz val="10"/>
        <rFont val="Arial"/>
        <family val="0"/>
        <charset val="1"/>
      </rPr>
      <t xml:space="preserve">SCP-1283-JP</t>
    </r>
    <r>
      <rPr>
        <sz val="10"/>
        <rFont val="Noto Sans CJK SC"/>
        <family val="2"/>
      </rPr>
      <t xml:space="preserve">の踏切のむこうで消えたのか？【ショート】</t>
    </r>
  </si>
  <si>
    <r>
      <rPr>
        <sz val="10"/>
        <rFont val="Noto Sans CJK SC"/>
        <family val="2"/>
      </rPr>
      <t xml:space="preserve">犬神憑きはなぜ家系ごと記録されたのか 恒一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</si>
  <si>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#99</t>
    </r>
    <r>
      <rPr>
        <sz val="10"/>
        <rFont val="Noto Sans CJK SC"/>
        <family val="2"/>
      </rPr>
      <t xml:space="preserve">：🧪なぜ濡れた紙は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倍も破れやすい？あなたが毎日触る繊維の正体【ショート】</t>
    </r>
  </si>
  <si>
    <r>
      <rPr>
        <sz val="10"/>
        <rFont val="Noto Sans CJK SC"/>
        <family val="2"/>
      </rPr>
      <t xml:space="preserve">実はマックに神メニュー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品が決まらない本当の理由とは？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</si>
  <si>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SCP-1987 </t>
    </r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24</t>
    </r>
    <r>
      <rPr>
        <sz val="10"/>
        <rFont val="Noto Sans CJK SC"/>
        <family val="2"/>
      </rPr>
      <t xml:space="preserve">時間ごとに被害が増える？【ショート】</t>
    </r>
  </si>
  <si>
    <r>
      <rPr>
        <sz val="10"/>
        <rFont val="Arial"/>
        <family val="0"/>
        <charset val="1"/>
      </rPr>
      <t xml:space="preserve">SCP-4335</t>
    </r>
    <r>
      <rPr>
        <sz val="10"/>
        <rFont val="Noto Sans CJK SC"/>
        <family val="2"/>
      </rPr>
      <t xml:space="preserve">を見た海域で、なぜ観測記録が途絶えたのか？【ショート】</t>
    </r>
  </si>
  <si>
    <r>
      <rPr>
        <sz val="10"/>
        <rFont val="Noto Sans CJK SC"/>
        <family val="2"/>
      </rPr>
      <t xml:space="preserve">じんめん犬はなぜ笑い話になった？消えた恐怖の噂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</si>
  <si>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Arial"/>
        <family val="0"/>
        <charset val="1"/>
      </rPr>
      <t xml:space="preserve">Netflix</t>
    </r>
    <r>
      <rPr>
        <sz val="10"/>
        <rFont val="Noto Sans CJK SC"/>
        <family val="2"/>
      </rPr>
      <t xml:space="preserve">の月額</t>
    </r>
    <r>
      <rPr>
        <sz val="10"/>
        <rFont val="Arial"/>
        <family val="0"/>
        <charset val="1"/>
      </rPr>
      <t xml:space="preserve">1,590</t>
    </r>
    <r>
      <rPr>
        <sz val="10"/>
        <rFont val="Noto Sans CJK SC"/>
        <family val="2"/>
      </rPr>
      <t xml:space="preserve">円、本当はどこに消える？【ショート】</t>
    </r>
  </si>
  <si>
    <t xml:space="preserve">2026-08-21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</si>
  <si>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分ポケモン研究 </t>
    </r>
    <r>
      <rPr>
        <sz val="10"/>
        <rFont val="Arial"/>
        <family val="0"/>
        <charset val="1"/>
      </rPr>
      <t xml:space="preserve">#11</t>
    </r>
    <r>
      <rPr>
        <sz val="10"/>
        <rFont val="Noto Sans CJK SC"/>
        <family val="2"/>
      </rPr>
      <t xml:space="preserve">：🔥ドラパルトとガブリアス、君は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秒で速さの壁を越えられる？【ショート】</t>
    </r>
  </si>
  <si>
    <t xml:space="preserve">2026-08-12</t>
  </si>
  <si>
    <r>
      <rPr>
        <sz val="10"/>
        <rFont val="Noto Sans CJK SC"/>
        <family val="2"/>
      </rPr>
      <t xml:space="preserve">サントリーの平均年収</t>
    </r>
    <r>
      <rPr>
        <sz val="10"/>
        <rFont val="Arial"/>
        <family val="0"/>
        <charset val="1"/>
      </rPr>
      <t xml:space="preserve">1,000</t>
    </r>
    <r>
      <rPr>
        <sz val="10"/>
        <rFont val="Noto Sans CJK SC"/>
        <family val="2"/>
      </rPr>
      <t xml:space="preserve">万円超？残業</t>
    </r>
    <r>
      <rPr>
        <sz val="10"/>
        <rFont val="Arial"/>
        <family val="0"/>
        <charset val="1"/>
      </rPr>
      <t xml:space="preserve">19.5</t>
    </r>
    <r>
      <rPr>
        <sz val="10"/>
        <rFont val="Noto Sans CJK SC"/>
        <family val="2"/>
      </rPr>
      <t xml:space="preserve">時間の実態【ショート】</t>
    </r>
  </si>
  <si>
    <t xml:space="preserve">2026-08-11</t>
  </si>
  <si>
    <r>
      <rPr>
        <sz val="10"/>
        <rFont val="Arial"/>
        <family val="0"/>
        <charset val="1"/>
      </rPr>
      <t xml:space="preserve">SCP-2399</t>
    </r>
    <r>
      <rPr>
        <sz val="10"/>
        <rFont val="Noto Sans CJK SC"/>
        <family val="2"/>
      </rPr>
      <t xml:space="preserve">収容記録：地球まで</t>
    </r>
    <r>
      <rPr>
        <sz val="10"/>
        <rFont val="Arial"/>
        <family val="0"/>
        <charset val="1"/>
      </rPr>
      <t xml:space="preserve">72</t>
    </r>
    <r>
      <rPr>
        <sz val="10"/>
        <rFont val="Noto Sans CJK SC"/>
        <family val="2"/>
      </rPr>
      <t xml:space="preserve">時間、なぜ迎撃隊だけ全滅したのか【最後の軌道通信】【ショート】</t>
    </r>
  </si>
  <si>
    <r>
      <rPr>
        <sz val="10"/>
        <rFont val="Arial"/>
        <family val="0"/>
        <charset val="1"/>
      </rPr>
      <t xml:space="preserve">SCP-6121 </t>
    </r>
    <r>
      <rPr>
        <sz val="10"/>
        <rFont val="Noto Sans CJK SC"/>
        <family val="2"/>
      </rPr>
      <t xml:space="preserve">毎晩</t>
    </r>
    <r>
      <rPr>
        <sz val="10"/>
        <rFont val="Arial"/>
        <family val="0"/>
        <charset val="1"/>
      </rPr>
      <t xml:space="preserve">1cm</t>
    </r>
    <r>
      <rPr>
        <sz val="10"/>
        <rFont val="Noto Sans CJK SC"/>
        <family val="2"/>
      </rPr>
      <t xml:space="preserve">動く椅子、</t>
    </r>
    <r>
      <rPr>
        <sz val="10"/>
        <rFont val="Arial"/>
        <family val="0"/>
        <charset val="1"/>
      </rPr>
      <t xml:space="preserve">14</t>
    </r>
    <r>
      <rPr>
        <sz val="10"/>
        <rFont val="Noto Sans CJK SC"/>
        <family val="2"/>
      </rPr>
      <t xml:space="preserve">日目に起きた異変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</si>
  <si>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t xml:space="preserve">2026-08-14</t>
  </si>
  <si>
    <r>
      <rPr>
        <sz val="10"/>
        <rFont val="Noto Sans CJK SC"/>
        <family val="2"/>
      </rPr>
      <t xml:space="preserve">オリエンタルランドの年収</t>
    </r>
    <r>
      <rPr>
        <sz val="10"/>
        <rFont val="Arial"/>
        <family val="0"/>
        <charset val="1"/>
      </rPr>
      <t xml:space="preserve">536</t>
    </r>
    <r>
      <rPr>
        <sz val="10"/>
        <rFont val="Noto Sans CJK SC"/>
        <family val="2"/>
      </rPr>
      <t xml:space="preserve">万円、離職率</t>
    </r>
    <r>
      <rPr>
        <sz val="10"/>
        <rFont val="Arial"/>
        <family val="0"/>
        <charset val="1"/>
      </rPr>
      <t xml:space="preserve">2.1%</t>
    </r>
    <r>
      <rPr>
        <sz val="10"/>
        <rFont val="Noto Sans CJK SC"/>
        <family val="2"/>
      </rPr>
      <t xml:space="preserve">の実態【ショート】</t>
    </r>
  </si>
  <si>
    <t xml:space="preserve">2026-08-22</t>
  </si>
  <si>
    <r>
      <rPr>
        <sz val="10"/>
        <rFont val="Noto Sans CJK SC"/>
        <family val="2"/>
      </rPr>
      <t xml:space="preserve">なぜ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年も読めない？存在しない植物だけが描かれた手稿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都市伝説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オカルト</t>
    </r>
  </si>
  <si>
    <t xml:space="preserve">2026-08-15</t>
  </si>
  <si>
    <t xml:space="preserve">花子さんの正体 — なぜ学校のトイレで「三番目」なのか【ショート】</t>
  </si>
  <si>
    <r>
      <rPr>
        <sz val="10"/>
        <rFont val="Noto Sans CJK SC"/>
        <family val="2"/>
      </rPr>
      <t xml:space="preserve">💸トヨタ自動車の年収</t>
    </r>
    <r>
      <rPr>
        <sz val="10"/>
        <rFont val="Arial"/>
        <family val="0"/>
        <charset val="1"/>
      </rPr>
      <t xml:space="preserve">982</t>
    </r>
    <r>
      <rPr>
        <sz val="10"/>
        <rFont val="Noto Sans CJK SC"/>
        <family val="2"/>
      </rPr>
      <t xml:space="preserve">万円、実は手当の中身が違う【ショート】</t>
    </r>
  </si>
  <si>
    <t xml:space="preserve">2026-08-19</t>
  </si>
  <si>
    <r>
      <rPr>
        <sz val="10"/>
        <rFont val="Noto Sans CJK SC"/>
        <family val="2"/>
      </rPr>
      <t xml:space="preserve">触れた全員が笑う粘体、なぜ</t>
    </r>
    <r>
      <rPr>
        <sz val="10"/>
        <rFont val="Arial"/>
        <family val="0"/>
        <charset val="1"/>
      </rPr>
      <t xml:space="preserve">Safe</t>
    </r>
    <r>
      <rPr>
        <sz val="10"/>
        <rFont val="Noto Sans CJK SC"/>
        <family val="2"/>
      </rPr>
      <t xml:space="preserve">なのか？【ショート】</t>
    </r>
  </si>
  <si>
    <r>
      <rPr>
        <sz val="10"/>
        <rFont val="Noto Sans CJK SC"/>
        <family val="2"/>
      </rPr>
      <t xml:space="preserve">なんか</t>
    </r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の画面チカチカするんやが【ショート】</t>
    </r>
  </si>
  <si>
    <t xml:space="preserve">2026-08-27</t>
  </si>
  <si>
    <r>
      <rPr>
        <sz val="10"/>
        <rFont val="Noto Sans CJK SC"/>
        <family val="2"/>
      </rPr>
      <t xml:space="preserve">📉大谷翔平の年収が実は約</t>
    </r>
    <r>
      <rPr>
        <sz val="10"/>
        <rFont val="Arial"/>
        <family val="0"/>
        <charset val="1"/>
      </rPr>
      <t xml:space="preserve">160</t>
    </r>
    <r>
      <rPr>
        <sz val="10"/>
        <rFont val="Noto Sans CJK SC"/>
        <family val="2"/>
      </rPr>
      <t xml:space="preserve">億円？スポンサー契約の裏側📉【ショート】</t>
    </r>
  </si>
  <si>
    <r>
      <rPr>
        <sz val="10"/>
        <rFont val="Arial"/>
        <family val="0"/>
        <charset val="1"/>
      </rPr>
      <t xml:space="preserve">SCP-2845</t>
    </r>
    <r>
      <rPr>
        <sz val="10"/>
        <rFont val="Noto Sans CJK SC"/>
        <family val="2"/>
      </rPr>
      <t xml:space="preserve">収容記録：儀式が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分遅れた夜、</t>
    </r>
    <r>
      <rPr>
        <sz val="10"/>
        <rFont val="Arial"/>
        <family val="0"/>
        <charset val="1"/>
      </rPr>
      <t xml:space="preserve">173</t>
    </r>
    <r>
      <rPr>
        <sz val="10"/>
        <rFont val="Noto Sans CJK SC"/>
        <family val="2"/>
      </rPr>
      <t xml:space="preserve">名はなぜか全員消えた【これが最後の名簿】【ショート】</t>
    </r>
  </si>
  <si>
    <t xml:space="preserve">2026-08-24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</si>
  <si>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#93</t>
    </r>
    <r>
      <rPr>
        <sz val="10"/>
        <rFont val="Noto Sans CJK SC"/>
        <family val="2"/>
      </rPr>
      <t xml:space="preserve">：🔍なぜ満月の夜だけ夢を覚えている？月齢</t>
    </r>
    <r>
      <rPr>
        <sz val="10"/>
        <rFont val="Arial"/>
        <family val="0"/>
        <charset val="1"/>
      </rPr>
      <t xml:space="preserve">29.5</t>
    </r>
    <r>
      <rPr>
        <sz val="10"/>
        <rFont val="Noto Sans CJK SC"/>
        <family val="2"/>
      </rPr>
      <t xml:space="preserve">日に隠れた睡眠の正体【ショート】</t>
    </r>
  </si>
  <si>
    <t xml:space="preserve">2026-08-20</t>
  </si>
  <si>
    <r>
      <rPr>
        <sz val="10"/>
        <rFont val="Noto Sans CJK SC"/>
        <family val="2"/>
      </rPr>
      <t xml:space="preserve">ちいかわチョコサプ、なぜ中身が攻めすぎなのか？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秒予想してみたら草【ショート】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</si>
  <si>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#97</t>
    </r>
    <r>
      <rPr>
        <sz val="10"/>
        <rFont val="Noto Sans CJK SC"/>
        <family val="2"/>
      </rPr>
      <t xml:space="preserve">：🧬なぜ大谷翔平は睡眠を最優先するのか？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時間超が支える体の正体【ショート】</t>
    </r>
  </si>
  <si>
    <r>
      <rPr>
        <sz val="10"/>
        <rFont val="Noto Sans CJK SC"/>
        <family val="2"/>
      </rPr>
      <t xml:space="preserve">君が知らないシェイミ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形態の正体</t>
    </r>
    <r>
      <rPr>
        <sz val="10"/>
        <rFont val="Arial"/>
        <family val="0"/>
        <charset val="1"/>
      </rPr>
      <t xml:space="preserve">127 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</si>
  <si>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t xml:space="preserve">2026-08-25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</si>
  <si>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分科学 </t>
    </r>
    <r>
      <rPr>
        <sz val="10"/>
        <rFont val="Arial"/>
        <family val="0"/>
        <charset val="1"/>
      </rPr>
      <t xml:space="preserve">#94</t>
    </r>
    <r>
      <rPr>
        <sz val="10"/>
        <rFont val="Noto Sans CJK SC"/>
        <family val="2"/>
      </rPr>
      <t xml:space="preserve">：🧬なぜ甘い物のあと塩気が欲しい？あなたの舌で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分起きる感度の正体【ショート】</t>
    </r>
  </si>
  <si>
    <r>
      <rPr>
        <sz val="10"/>
        <rFont val="Arial"/>
        <family val="0"/>
        <charset val="1"/>
      </rPr>
      <t xml:space="preserve">SCP-093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色記録 なぜ戻れた？【ショート】</t>
    </r>
  </si>
  <si>
    <r>
      <rPr>
        <sz val="10"/>
        <rFont val="Noto Sans CJK SC"/>
        <family val="2"/>
      </rPr>
      <t xml:space="preserve">歩き方を意識した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秒で迷う正体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</si>
  <si>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分妖怪ファイル：キュウビの元ネタ玉藻前、殺生石になった結末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</si>
  <si>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b val="true"/>
        <sz val="12"/>
        <rFont val="Noto Sans CJK SC"/>
        <family val="2"/>
      </rPr>
      <t xml:space="preserve">■ 再生は出たが登録</t>
    </r>
    <r>
      <rPr>
        <b val="true"/>
        <sz val="12"/>
        <rFont val="Arial"/>
        <family val="0"/>
        <charset val="1"/>
      </rPr>
      <t xml:space="preserve">0</t>
    </r>
    <r>
      <rPr>
        <b val="true"/>
        <sz val="12"/>
        <rFont val="Noto Sans CJK SC"/>
        <family val="2"/>
      </rPr>
      <t xml:space="preserve">（再生</t>
    </r>
    <r>
      <rPr>
        <b val="true"/>
        <sz val="12"/>
        <rFont val="Arial"/>
        <family val="0"/>
        <charset val="1"/>
      </rPr>
      <t xml:space="preserve">700</t>
    </r>
    <r>
      <rPr>
        <b val="true"/>
        <sz val="12"/>
        <rFont val="Noto Sans CJK SC"/>
        <family val="2"/>
      </rPr>
      <t xml:space="preserve">以上・改善余地が最大の層）</t>
    </r>
  </si>
  <si>
    <t xml:space="preserve">想定要因</t>
  </si>
  <si>
    <r>
      <rPr>
        <sz val="10"/>
        <rFont val="Arial"/>
        <family val="0"/>
        <charset val="1"/>
      </rPr>
      <t xml:space="preserve">SNS</t>
    </r>
    <r>
      <rPr>
        <sz val="10"/>
        <rFont val="Noto Sans CJK SC"/>
        <family val="2"/>
      </rPr>
      <t xml:space="preserve">をやる人は天才じゃない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</si>
  <si>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最後まで見られているのに</t>
    </r>
    <r>
      <rPr>
        <sz val="10"/>
        <rFont val="Arial"/>
        <family val="0"/>
        <charset val="1"/>
      </rPr>
      <t xml:space="preserve">CTA</t>
    </r>
    <r>
      <rPr>
        <sz val="10"/>
        <rFont val="Noto Sans CJK SC"/>
        <family val="2"/>
      </rPr>
      <t xml:space="preserve">が弱い</t>
    </r>
  </si>
  <si>
    <r>
      <rPr>
        <sz val="10"/>
        <rFont val="Noto Sans CJK SC"/>
        <family val="2"/>
      </rPr>
      <t xml:space="preserve">バーコードが通らない偽物だった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</si>
  <si>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t xml:space="preserve">2026-08-17</t>
  </si>
  <si>
    <t xml:space="preserve">鬼の元ネタが怖すぎる — 鬼門から来る者を家に入れてはいけない理由【ショート】</t>
  </si>
  <si>
    <r>
      <rPr>
        <sz val="10"/>
        <rFont val="Noto Sans CJK SC"/>
        <family val="2"/>
      </rPr>
      <t xml:space="preserve">中盤で離脱。フック</t>
    </r>
    <r>
      <rPr>
        <sz val="10"/>
        <rFont val="Arial"/>
        <family val="0"/>
        <charset val="1"/>
      </rPr>
      <t xml:space="preserve">/3</t>
    </r>
    <r>
      <rPr>
        <sz val="10"/>
        <rFont val="Noto Sans CJK SC"/>
        <family val="2"/>
      </rPr>
      <t xml:space="preserve">行目の反転が不足</t>
    </r>
  </si>
  <si>
    <t xml:space="preserve">2026-08-13</t>
  </si>
  <si>
    <t xml:space="preserve">のっぺらぼうの正体が怖すぎる — 顔を奪う怪談はなぜ生まれたのか【ショート】</t>
  </si>
  <si>
    <r>
      <rPr>
        <sz val="10"/>
        <rFont val="Noto Sans CJK SC"/>
        <family val="2"/>
      </rPr>
      <t xml:space="preserve">バンギラスとメタグロス、どっちが勝つ？</t>
    </r>
    <r>
      <rPr>
        <sz val="10"/>
        <rFont val="Arial"/>
        <family val="0"/>
        <charset val="1"/>
      </rPr>
      <t xml:space="preserve">600</t>
    </r>
    <r>
      <rPr>
        <sz val="10"/>
        <rFont val="Noto Sans CJK SC"/>
        <family val="2"/>
      </rPr>
      <t xml:space="preserve">族対決は持ち物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つで逆転する【ショート】</t>
    </r>
  </si>
  <si>
    <t xml:space="preserve">ふじのやまの元ネタが怖すぎる — 山に入った人が戻れなくなる禁忌【ショート】</t>
  </si>
  <si>
    <r>
      <rPr>
        <sz val="10"/>
        <rFont val="Noto Sans CJK SC"/>
        <family val="2"/>
      </rPr>
      <t xml:space="preserve">📈退職金の本当は？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社で最大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万円差の実態【ショート】</t>
    </r>
  </si>
  <si>
    <r>
      <rPr>
        <sz val="10"/>
        <rFont val="Noto Sans CJK SC"/>
        <family val="2"/>
      </rPr>
      <t xml:space="preserve">株を渡されない社長は いつでもクビになれる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</si>
  <si>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題材は届いたが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固有の価値が伝わっていない</t>
    </r>
  </si>
  <si>
    <t xml:space="preserve">2026-08-10</t>
  </si>
  <si>
    <t xml:space="preserve">なぜツチノコは家に入る？隠された秘密【ショート】</t>
  </si>
  <si>
    <r>
      <rPr>
        <sz val="10"/>
        <rFont val="Arial"/>
        <family val="0"/>
        <charset val="1"/>
      </rPr>
      <t xml:space="preserve">PC</t>
    </r>
    <r>
      <rPr>
        <sz val="10"/>
        <rFont val="Noto Sans CJK SC"/>
        <family val="2"/>
      </rPr>
      <t xml:space="preserve">パーツ到着時、なぜ箱だけ先に届くのか？【ショート】</t>
    </r>
  </si>
  <si>
    <t xml:space="preserve">なぜパルキアは勝てないと言われる？ウルトラネクロズマとの数字差が意外すぎる【ショート】</t>
  </si>
  <si>
    <t xml:space="preserve">ねちがえる、なぜか夜だけ首を狙う？金縛りの奥にある古い怪異【ショート】</t>
  </si>
  <si>
    <t xml:space="preserve">河童はなぜか子どもだけを呼ぶ？水辺に残された「声」の本当の理由【ショート】</t>
  </si>
  <si>
    <r>
      <rPr>
        <sz val="10"/>
        <rFont val="Noto Sans CJK SC"/>
        <family val="2"/>
      </rPr>
      <t xml:space="preserve">なぜメタグロスはサーフゴーに勝てない？持ち物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つで逆転する本当の理由【ショート】</t>
    </r>
  </si>
  <si>
    <t xml:space="preserve">ワイ、彼女いない歴＝年齢やけど質問ある？【ショート】</t>
  </si>
  <si>
    <t xml:space="preserve">2026-08-18</t>
  </si>
  <si>
    <r>
      <rPr>
        <sz val="10"/>
        <rFont val="Noto Sans CJK SC"/>
        <family val="2"/>
      </rPr>
      <t xml:space="preserve">リザードンとカイリュー、どっちが勝つ？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倍弱点で勝敗がひっくり返る【ショート】</t>
    </r>
  </si>
  <si>
    <t xml:space="preserve">ホウオウとルギア、まともに戦わせたらどっちが勝つのか【ショート】</t>
  </si>
  <si>
    <r>
      <rPr>
        <sz val="10"/>
        <rFont val="Noto Sans CJK SC"/>
        <family val="2"/>
      </rPr>
      <t xml:space="preserve">夏のデート感を詰め込んだ一冊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</si>
  <si>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ワイの今日の昼飯を当てるスレ</t>
    </r>
    <r>
      <rPr>
        <sz val="10"/>
        <rFont val="Arial"/>
        <family val="0"/>
        <charset val="1"/>
      </rPr>
      <t xml:space="preserve">w</t>
    </r>
    <r>
      <rPr>
        <sz val="10"/>
        <rFont val="Noto Sans CJK SC"/>
        <family val="2"/>
      </rPr>
      <t xml:space="preserve">【ショート】</t>
    </r>
  </si>
  <si>
    <r>
      <rPr>
        <sz val="10"/>
        <rFont val="Arial"/>
        <family val="0"/>
        <charset val="1"/>
      </rPr>
      <t xml:space="preserve">💰Uber Eats</t>
    </r>
    <r>
      <rPr>
        <sz val="10"/>
        <rFont val="Noto Sans CJK SC"/>
        <family val="2"/>
      </rPr>
      <t xml:space="preserve">配達員、本当は時給</t>
    </r>
    <r>
      <rPr>
        <sz val="10"/>
        <rFont val="Arial"/>
        <family val="0"/>
        <charset val="1"/>
      </rPr>
      <t xml:space="preserve">2,000</t>
    </r>
    <r>
      <rPr>
        <sz val="10"/>
        <rFont val="Noto Sans CJK SC"/>
        <family val="2"/>
      </rPr>
      <t xml:space="preserve">円超えもある収入の実態【ショート】</t>
    </r>
  </si>
  <si>
    <r>
      <rPr>
        <sz val="10"/>
        <rFont val="Noto Sans CJK SC"/>
        <family val="2"/>
      </rPr>
      <t xml:space="preserve">後輩「敬語って課金制ですよね？」→翌朝、全員が黙った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スカッと</t>
    </r>
  </si>
  <si>
    <t xml:space="preserve">2026-08-16</t>
  </si>
  <si>
    <t xml:space="preserve">なんかスマホの充電だけ遅いんやが【ショート】</t>
  </si>
  <si>
    <r>
      <rPr>
        <sz val="10"/>
        <rFont val="Arial"/>
        <family val="0"/>
        <charset val="1"/>
      </rPr>
      <t xml:space="preserve">💸GU</t>
    </r>
    <r>
      <rPr>
        <sz val="10"/>
        <rFont val="Noto Sans CJK SC"/>
        <family val="2"/>
      </rPr>
      <t xml:space="preserve">の年収、実はポケモンコラボで上がるのか？平均</t>
    </r>
    <r>
      <rPr>
        <sz val="10"/>
        <rFont val="Arial"/>
        <family val="0"/>
        <charset val="1"/>
      </rPr>
      <t xml:space="preserve">959</t>
    </r>
    <r>
      <rPr>
        <sz val="10"/>
        <rFont val="Noto Sans CJK SC"/>
        <family val="2"/>
      </rPr>
      <t xml:space="preserve">万円の裏側💸【ショート】</t>
    </r>
  </si>
  <si>
    <r>
      <rPr>
        <sz val="10"/>
        <rFont val="Noto Sans CJK SC"/>
        <family val="2"/>
      </rPr>
      <t xml:space="preserve">ガブリアスとボーマンダ、素早さ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でどっちが勝つ？君は気づけるか【ショート】</t>
    </r>
  </si>
  <si>
    <t xml:space="preserve">なぜ同じドラゴンなのに勝敗が割れるのか？カイリューとボーマンダの隠された実戦性能の秘密【ショート】</t>
  </si>
  <si>
    <r>
      <rPr>
        <b val="true"/>
        <sz val="12"/>
        <rFont val="Noto Sans CJK SC"/>
        <family val="2"/>
      </rPr>
      <t xml:space="preserve">■ 直近投稿（</t>
    </r>
    <r>
      <rPr>
        <b val="true"/>
        <sz val="12"/>
        <rFont val="Arial"/>
        <family val="0"/>
        <charset val="1"/>
      </rPr>
      <t xml:space="preserve">09-05</t>
    </r>
    <r>
      <rPr>
        <b val="true"/>
        <sz val="12"/>
        <rFont val="Noto Sans CJK SC"/>
        <family val="2"/>
      </rPr>
      <t xml:space="preserve">以降・</t>
    </r>
    <r>
      <rPr>
        <b val="true"/>
        <sz val="12"/>
        <rFont val="Arial"/>
        <family val="0"/>
        <charset val="1"/>
      </rPr>
      <t xml:space="preserve">Analytics 2</t>
    </r>
    <r>
      <rPr>
        <b val="true"/>
        <sz val="12"/>
        <rFont val="Noto Sans CJK SC"/>
        <family val="2"/>
      </rPr>
      <t xml:space="preserve">〜</t>
    </r>
    <r>
      <rPr>
        <b val="true"/>
        <sz val="12"/>
        <rFont val="Arial"/>
        <family val="0"/>
        <charset val="1"/>
      </rPr>
      <t xml:space="preserve">3</t>
    </r>
    <r>
      <rPr>
        <b val="true"/>
        <sz val="12"/>
        <rFont val="Noto Sans CJK SC"/>
        <family val="2"/>
      </rPr>
      <t xml:space="preserve">日遅延のため参考値）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</si>
  <si>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秒で凍結何言った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</si>
  <si>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なぜ親は無言で机を閉めたのか…見つかって終わった物とは？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</si>
  <si>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💦ワイ、同棲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年目やけど質問ある？💦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</si>
  <si>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回目の店謎の予約名 </t>
    </r>
    <r>
      <rPr>
        <sz val="10"/>
        <rFont val="Arial"/>
        <family val="0"/>
        <charset val="1"/>
      </rPr>
      <t xml:space="preserve">#shorts #2ch #</t>
    </r>
    <r>
      <rPr>
        <sz val="10"/>
        <rFont val="Noto Sans CJK SC"/>
        <family val="2"/>
      </rPr>
      <t xml:space="preserve">面白いスレ</t>
    </r>
  </si>
  <si>
    <r>
      <rPr>
        <sz val="10"/>
        <rFont val="Noto Sans CJK SC"/>
        <family val="2"/>
      </rPr>
      <t xml:space="preserve">夜の相性が良いと なかなか抜けられない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</si>
  <si>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今の自分のまま 学生時代に戻りたい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</si>
  <si>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部活は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日で辞めました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</si>
  <si>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「必要とされたい」からこその悩み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</si>
  <si>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斉藤さん企画を終え </t>
    </r>
    <r>
      <rPr>
        <sz val="10"/>
        <rFont val="Arial"/>
        <family val="0"/>
        <charset val="1"/>
      </rPr>
      <t xml:space="preserve">TikToker</t>
    </r>
    <r>
      <rPr>
        <sz val="10"/>
        <rFont val="Noto Sans CJK SC"/>
        <family val="2"/>
      </rPr>
      <t xml:space="preserve">として決意表明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</si>
  <si>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刑務所行きを恐れ 暴力団は来なくなった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</si>
  <si>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男性の被害は 事件化されにくい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</si>
  <si>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弟を亡くした悲しみは </t>
    </r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年経っても消えない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切り抜き</t>
    </r>
  </si>
  <si>
    <r>
      <rPr>
        <sz val="10"/>
        <rFont val="Noto Sans CJK SC"/>
        <family val="2"/>
      </rPr>
      <t xml:space="preserve">キーエンス年収</t>
    </r>
    <r>
      <rPr>
        <sz val="10"/>
        <rFont val="Arial"/>
        <family val="0"/>
        <charset val="1"/>
      </rPr>
      <t xml:space="preserve">2067</t>
    </r>
    <r>
      <rPr>
        <sz val="10"/>
        <rFont val="Noto Sans CJK SC"/>
        <family val="2"/>
      </rPr>
      <t xml:space="preserve">万円の内訳、残業</t>
    </r>
    <r>
      <rPr>
        <sz val="10"/>
        <rFont val="Arial"/>
        <family val="0"/>
        <charset val="1"/>
      </rPr>
      <t xml:space="preserve">37.7</t>
    </r>
    <r>
      <rPr>
        <sz val="10"/>
        <rFont val="Noto Sans CJK SC"/>
        <family val="2"/>
      </rPr>
      <t xml:space="preserve">時間と評価制度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</si>
  <si>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万円、実は転職後に差が出る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</si>
  <si>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東京エレクトロンの年収</t>
    </r>
    <r>
      <rPr>
        <sz val="10"/>
        <rFont val="Arial"/>
        <family val="0"/>
        <charset val="1"/>
      </rPr>
      <t xml:space="preserve">1272</t>
    </r>
    <r>
      <rPr>
        <sz val="10"/>
        <rFont val="Noto Sans CJK SC"/>
        <family val="2"/>
      </rPr>
      <t xml:space="preserve">万円、実は株価上昇の裏側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</si>
  <si>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トヨタ</t>
    </r>
    <r>
      <rPr>
        <sz val="10"/>
        <rFont val="Arial"/>
        <family val="0"/>
        <charset val="1"/>
      </rPr>
      <t xml:space="preserve">895</t>
    </r>
    <r>
      <rPr>
        <sz val="10"/>
        <rFont val="Noto Sans CJK SC"/>
        <family val="2"/>
      </rPr>
      <t xml:space="preserve">万円の実態、ルーミー人気を支える社員の本音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企業分析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年収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転職</t>
    </r>
  </si>
  <si>
    <r>
      <rPr>
        <sz val="10"/>
        <rFont val="Noto Sans CJK SC"/>
        <family val="2"/>
      </rPr>
      <t xml:space="preserve">なぜ壁のシミが顔に見える？</t>
    </r>
    <r>
      <rPr>
        <sz val="10"/>
        <rFont val="Arial"/>
        <family val="0"/>
        <charset val="1"/>
      </rPr>
      <t xml:space="preserve">0.1</t>
    </r>
    <r>
      <rPr>
        <sz val="10"/>
        <rFont val="Noto Sans CJK SC"/>
        <family val="2"/>
      </rPr>
      <t xml:space="preserve">秒の正体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</si>
  <si>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鏡の顔だけ違う？</t>
    </r>
    <r>
      <rPr>
        <sz val="10"/>
        <rFont val="Arial"/>
        <family val="0"/>
        <charset val="1"/>
      </rPr>
      <t xml:space="preserve">99%</t>
    </r>
    <r>
      <rPr>
        <sz val="10"/>
        <rFont val="Noto Sans CJK SC"/>
        <family val="2"/>
      </rPr>
      <t xml:space="preserve">が知らない左右差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</si>
  <si>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なぜあなたは階段で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段だけ外すのか？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</si>
  <si>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あなたの字が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秒で別物に見える？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雑学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豆知識</t>
    </r>
  </si>
  <si>
    <r>
      <rPr>
        <sz val="10"/>
        <rFont val="Noto Sans CJK SC"/>
        <family val="2"/>
      </rPr>
      <t xml:space="preserve">初代図鑑にだけけつばんが現れた本当の理由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</si>
  <si>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君のサンダースだけ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個必要だった時代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</si>
  <si>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Noto Sans CJK SC"/>
        <family val="2"/>
      </rPr>
      <t xml:space="preserve">ハピナス</t>
    </r>
    <r>
      <rPr>
        <sz val="10"/>
        <rFont val="Arial"/>
        <family val="0"/>
        <charset val="1"/>
      </rPr>
      <t xml:space="preserve">HP255</t>
    </r>
    <r>
      <rPr>
        <sz val="10"/>
        <rFont val="Noto Sans CJK SC"/>
        <family val="2"/>
      </rPr>
      <t xml:space="preserve">・特防なのに防御衝撃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</si>
  <si>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秒でわかる？ポリゴンがテレビから消えた本当の理由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ポケモン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ポケモン雑学</t>
    </r>
  </si>
  <si>
    <r>
      <rPr>
        <sz val="10"/>
        <rFont val="Arial"/>
        <family val="0"/>
        <charset val="1"/>
      </rPr>
      <t xml:space="preserve">SCP-2006 </t>
    </r>
    <r>
      <rPr>
        <sz val="10"/>
        <rFont val="Noto Sans CJK SC"/>
        <family val="2"/>
      </rPr>
      <t xml:space="preserve">笑い声を聞いた</t>
    </r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名に起きた異変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</si>
  <si>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SCP-███ </t>
    </r>
    <r>
      <rPr>
        <sz val="10"/>
        <rFont val="Noto Sans CJK SC"/>
        <family val="2"/>
      </rPr>
      <t xml:space="preserve">持ち出した報告書が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日後に戻った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</si>
  <si>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SCP-096</t>
    </r>
    <r>
      <rPr>
        <sz val="10"/>
        <rFont val="Noto Sans CJK SC"/>
        <family val="2"/>
      </rPr>
      <t xml:space="preserve">の顔を見た者に起きた記録消失の真相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</si>
  <si>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Arial"/>
        <family val="0"/>
        <charset val="1"/>
      </rPr>
      <t xml:space="preserve">SCP-2140 </t>
    </r>
    <r>
      <rPr>
        <sz val="10"/>
        <rFont val="Noto Sans CJK SC"/>
        <family val="2"/>
      </rPr>
      <t xml:space="preserve">閲覧後、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人の職員記録が別人に置換された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</si>
  <si>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なぜ非常灯が消えた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秒に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人目の足音がしたのか </t>
    </r>
    <r>
      <rPr>
        <sz val="10"/>
        <rFont val="Arial"/>
        <family val="0"/>
        <charset val="1"/>
      </rPr>
      <t xml:space="preserve">#shorts #SCP #SCP</t>
    </r>
    <r>
      <rPr>
        <sz val="10"/>
        <rFont val="Noto Sans CJK SC"/>
        <family val="2"/>
      </rPr>
      <t xml:space="preserve">解説</t>
    </r>
  </si>
  <si>
    <r>
      <rPr>
        <sz val="10"/>
        <rFont val="Noto Sans CJK SC"/>
        <family val="2"/>
      </rPr>
      <t xml:space="preserve">口裂け女の噂はなぜ全国へ？名前を呼べない本当の理由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</si>
  <si>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雪女が去り際に名を呼ぶ理由…約束を破った男の末路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</si>
  <si>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キュウビが日本へ渡った理由、知ってる？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</si>
  <si>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sz val="10"/>
        <rFont val="Noto Sans CJK SC"/>
        <family val="2"/>
      </rPr>
      <t xml:space="preserve">小豆洗い、姿を消して「音」だけ残った土地の記録 </t>
    </r>
    <r>
      <rPr>
        <sz val="10"/>
        <rFont val="Arial"/>
        <family val="0"/>
        <charset val="1"/>
      </rPr>
      <t xml:space="preserve">#shorts #</t>
    </r>
    <r>
      <rPr>
        <sz val="10"/>
        <rFont val="Noto Sans CJK SC"/>
        <family val="2"/>
      </rPr>
      <t xml:space="preserve">妖怪 </t>
    </r>
    <r>
      <rPr>
        <sz val="10"/>
        <rFont val="Arial"/>
        <family val="0"/>
        <charset val="1"/>
      </rPr>
      <t xml:space="preserve">#</t>
    </r>
    <r>
      <rPr>
        <sz val="10"/>
        <rFont val="Noto Sans CJK SC"/>
        <family val="2"/>
      </rPr>
      <t xml:space="preserve">都市伝説</t>
    </r>
  </si>
  <si>
    <r>
      <rPr>
        <b val="true"/>
        <sz val="14"/>
        <rFont val="Noto Sans CJK SC"/>
        <family val="2"/>
      </rPr>
      <t xml:space="preserve">改善アクション </t>
    </r>
    <r>
      <rPr>
        <b val="true"/>
        <sz val="14"/>
        <rFont val="Arial"/>
        <family val="0"/>
        <charset val="1"/>
      </rPr>
      <t xml:space="preserve">2026-09-11</t>
    </r>
  </si>
  <si>
    <t xml:space="preserve">優先</t>
  </si>
  <si>
    <t xml:space="preserve">対象</t>
  </si>
  <si>
    <t xml:space="preserve">課題（実データ）</t>
  </si>
  <si>
    <t xml:space="preserve">アクション</t>
  </si>
  <si>
    <t xml:space="preserve">実装状況</t>
  </si>
  <si>
    <t xml:space="preserve">検証方法</t>
  </si>
  <si>
    <t xml:space="preserve">評価日</t>
  </si>
  <si>
    <t xml:space="preserve">S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</si>
  <si>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13ch</t>
    </r>
  </si>
  <si>
    <r>
      <rPr>
        <sz val="10"/>
        <rFont val="Arial"/>
        <family val="0"/>
        <charset val="1"/>
      </rPr>
      <t xml:space="preserve">OAuth refresh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invalid_grant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09-09/09-10 </t>
    </r>
    <r>
      <rPr>
        <sz val="10"/>
        <rFont val="Noto Sans CJK SC"/>
        <family val="2"/>
      </rPr>
      <t xml:space="preserve">の公開は各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本のみ（</t>
    </r>
    <r>
      <rPr>
        <sz val="10"/>
        <rFont val="Arial"/>
        <family val="0"/>
        <charset val="1"/>
      </rPr>
      <t xml:space="preserve">09-05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21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33</t>
    </r>
    <r>
      <rPr>
        <sz val="10"/>
        <rFont val="Noto Sans CJK SC"/>
        <family val="2"/>
      </rPr>
      <t xml:space="preserve">本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日）。生成は成功しアップロードだけ失敗している。</t>
    </r>
  </si>
  <si>
    <r>
      <rPr>
        <sz val="10"/>
        <rFont val="Noto Sans CJK SC"/>
        <family val="2"/>
      </rPr>
      <t xml:space="preserve">管理</t>
    </r>
    <r>
      <rPr>
        <sz val="10"/>
        <rFont val="Arial"/>
        <family val="0"/>
        <charset val="1"/>
      </rPr>
      <t xml:space="preserve">UI</t>
    </r>
    <r>
      <rPr>
        <sz val="10"/>
        <rFont val="Noto Sans CJK SC"/>
        <family val="2"/>
      </rPr>
      <t xml:space="preserve">の「</t>
    </r>
    <r>
      <rPr>
        <sz val="10"/>
        <rFont val="Arial"/>
        <family val="0"/>
        <charset val="1"/>
      </rPr>
      <t xml:space="preserve">YouTube</t>
    </r>
    <r>
      <rPr>
        <sz val="10"/>
        <rFont val="Noto Sans CJK SC"/>
        <family val="2"/>
      </rPr>
      <t xml:space="preserve">と連携する」から全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を再認可する。指揮者側では実行不可。</t>
    </r>
  </si>
  <si>
    <t xml:space="preserve">未対応（要ユーザー操作）</t>
  </si>
  <si>
    <r>
      <rPr>
        <sz val="10"/>
        <rFont val="Arial"/>
        <family val="0"/>
        <charset val="1"/>
      </rPr>
      <t xml:space="preserve">backend.log </t>
    </r>
    <r>
      <rPr>
        <sz val="10"/>
        <rFont val="Noto Sans CJK SC"/>
        <family val="2"/>
      </rPr>
      <t xml:space="preserve">の『</t>
    </r>
    <r>
      <rPr>
        <sz val="10"/>
        <rFont val="Arial"/>
        <family val="0"/>
        <charset val="1"/>
      </rPr>
      <t xml:space="preserve">refresh </t>
    </r>
    <r>
      <rPr>
        <sz val="10"/>
        <rFont val="Noto Sans CJK SC"/>
        <family val="2"/>
      </rPr>
      <t xml:space="preserve">失敗』が消え、日次公開が</t>
    </r>
    <r>
      <rPr>
        <sz val="10"/>
        <rFont val="Arial"/>
        <family val="0"/>
        <charset val="1"/>
      </rPr>
      <t xml:space="preserve">15</t>
    </r>
    <r>
      <rPr>
        <sz val="10"/>
        <rFont val="Noto Sans CJK SC"/>
        <family val="2"/>
      </rPr>
      <t xml:space="preserve">本以上に戻ること</t>
    </r>
  </si>
  <si>
    <t xml:space="preserve">2026-09-12</t>
  </si>
  <si>
    <t xml:space="preserve">A</t>
  </si>
  <si>
    <r>
      <rPr>
        <sz val="10"/>
        <rFont val="Arial"/>
        <family val="0"/>
        <charset val="1"/>
      </rPr>
      <t xml:space="preserve">theme_queue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本で枯渇。</t>
    </r>
    <r>
      <rPr>
        <sz val="10"/>
        <rFont val="Arial"/>
        <family val="0"/>
        <charset val="1"/>
      </rPr>
      <t xml:space="preserve">08-25</t>
    </r>
    <r>
      <rPr>
        <sz val="10"/>
        <rFont val="Noto Sans CJK SC"/>
        <family val="2"/>
      </rPr>
      <t xml:space="preserve">以降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 </t>
    </r>
    <r>
      <rPr>
        <sz val="10"/>
        <rFont val="Arial"/>
        <family val="0"/>
        <charset val="1"/>
      </rPr>
      <t xml:space="preserve">0.26→0.20 </t>
    </r>
    <r>
      <rPr>
        <sz val="10"/>
        <rFont val="Noto Sans CJK SC"/>
        <family val="2"/>
      </rPr>
      <t xml:space="preserve">と</t>
    </r>
    <r>
      <rPr>
        <sz val="10"/>
        <rFont val="Arial"/>
        <family val="0"/>
        <charset val="1"/>
      </rPr>
      <t xml:space="preserve">6ch</t>
    </r>
    <r>
      <rPr>
        <sz val="10"/>
        <rFont val="Noto Sans CJK SC"/>
        <family val="2"/>
      </rPr>
      <t xml:space="preserve">中唯一悪化、到達</t>
    </r>
    <r>
      <rPr>
        <sz val="10"/>
        <rFont val="Arial"/>
        <family val="0"/>
        <charset val="1"/>
      </rPr>
      <t xml:space="preserve">CTR 0.69% </t>
    </r>
    <r>
      <rPr>
        <sz val="10"/>
        <rFont val="Noto Sans CJK SC"/>
        <family val="2"/>
      </rPr>
      <t xml:space="preserve">も最下位。</t>
    </r>
  </si>
  <si>
    <r>
      <rPr>
        <sz val="10"/>
        <rFont val="Noto Sans CJK SC"/>
        <family val="2"/>
      </rPr>
      <t xml:space="preserve">実測で効く二人称型（</t>
    </r>
    <r>
      <rPr>
        <sz val="10"/>
        <rFont val="Arial"/>
        <family val="0"/>
        <charset val="1"/>
      </rPr>
      <t xml:space="preserve">0.45 vs 0.15</t>
    </r>
    <r>
      <rPr>
        <sz val="10"/>
        <rFont val="Noto Sans CJK SC"/>
        <family val="2"/>
      </rPr>
      <t xml:space="preserve">）でテーマ</t>
    </r>
    <r>
      <rPr>
        <sz val="10"/>
        <rFont val="Arial"/>
        <family val="0"/>
        <charset val="1"/>
      </rPr>
      <t xml:space="preserve">20</t>
    </r>
    <r>
      <rPr>
        <sz val="10"/>
        <rFont val="Noto Sans CJK SC"/>
        <family val="2"/>
      </rPr>
      <t xml:space="preserve">本を補充。</t>
    </r>
    <r>
      <rPr>
        <sz val="10"/>
        <rFont val="Arial"/>
        <family val="0"/>
        <charset val="1"/>
      </rPr>
      <t xml:space="preserve">title_style </t>
    </r>
    <r>
      <rPr>
        <sz val="10"/>
        <rFont val="Noto Sans CJK SC"/>
        <family val="2"/>
      </rPr>
      <t xml:space="preserve">を二人称主軸・「なぜ」回避へ変更。</t>
    </r>
  </si>
  <si>
    <t xml:space="preserve">反映済</t>
  </si>
  <si>
    <r>
      <rPr>
        <sz val="10"/>
        <rFont val="Noto Sans CJK SC"/>
        <family val="2"/>
      </rPr>
      <t xml:space="preserve">補充テーマ由来の動画の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 が </t>
    </r>
    <r>
      <rPr>
        <sz val="10"/>
        <rFont val="Arial"/>
        <family val="0"/>
        <charset val="1"/>
      </rPr>
      <t xml:space="preserve">0.20 </t>
    </r>
    <r>
      <rPr>
        <sz val="10"/>
        <rFont val="Noto Sans CJK SC"/>
        <family val="2"/>
      </rPr>
      <t xml:space="preserve">を上回るか</t>
    </r>
  </si>
  <si>
    <t xml:space="preserve">2026-09-18</t>
  </si>
  <si>
    <r>
      <rPr>
        <sz val="10"/>
        <rFont val="Noto Sans CJK SC"/>
        <family val="2"/>
      </rPr>
      <t xml:space="preserve">全</t>
    </r>
    <r>
      <rPr>
        <sz val="10"/>
        <rFont val="Arial"/>
        <family val="0"/>
        <charset val="1"/>
      </rPr>
      <t xml:space="preserve">6ch</t>
    </r>
  </si>
  <si>
    <r>
      <rPr>
        <sz val="10"/>
        <rFont val="Noto Sans CJK SC"/>
        <family val="2"/>
      </rPr>
      <t xml:space="preserve">絵文字入りタイトルが </t>
    </r>
    <r>
      <rPr>
        <sz val="10"/>
        <rFont val="Arial"/>
        <family val="0"/>
        <charset val="1"/>
      </rPr>
      <t xml:space="preserve">5/6ch </t>
    </r>
    <r>
      <rPr>
        <sz val="10"/>
        <rFont val="Noto Sans CJK SC"/>
        <family val="2"/>
      </rPr>
      <t xml:space="preserve">で悪化（</t>
    </r>
    <r>
      <rPr>
        <sz val="10"/>
        <rFont val="Arial"/>
        <family val="0"/>
        <charset val="1"/>
      </rPr>
      <t xml:space="preserve">scp-lab 0.32 vs 0.98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max_emoji=0 </t>
    </r>
    <r>
      <rPr>
        <sz val="10"/>
        <rFont val="Noto Sans CJK SC"/>
        <family val="2"/>
      </rPr>
      <t xml:space="preserve">は </t>
    </r>
    <r>
      <rPr>
        <sz val="10"/>
        <rFont val="Arial"/>
        <family val="0"/>
        <charset val="1"/>
      </rPr>
      <t xml:space="preserve">backend </t>
    </r>
    <r>
      <rPr>
        <sz val="10"/>
        <rFont val="Noto Sans CJK SC"/>
        <family val="2"/>
      </rPr>
      <t xml:space="preserve">が読まないキーで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まで毎日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本流出していた。</t>
    </r>
  </si>
  <si>
    <r>
      <rPr>
        <sz val="10"/>
        <rFont val="Arial"/>
        <family val="0"/>
        <charset val="1"/>
      </rPr>
      <t xml:space="preserve">hard_constraints.forbid_patterns </t>
    </r>
    <r>
      <rPr>
        <sz val="10"/>
        <rFont val="Noto Sans CJK SC"/>
        <family val="2"/>
      </rPr>
      <t xml:space="preserve">に絵文字正規表現、</t>
    </r>
    <r>
      <rPr>
        <sz val="10"/>
        <rFont val="Arial"/>
        <family val="0"/>
        <charset val="1"/>
      </rPr>
      <t xml:space="preserve">banned_words </t>
    </r>
    <r>
      <rPr>
        <sz val="10"/>
        <rFont val="Noto Sans CJK SC"/>
        <family val="2"/>
      </rPr>
      <t xml:space="preserve">に流出実績のある</t>
    </r>
    <r>
      <rPr>
        <sz val="10"/>
        <rFont val="Arial"/>
        <family val="0"/>
        <charset val="1"/>
      </rPr>
      <t xml:space="preserve">18</t>
    </r>
    <r>
      <rPr>
        <sz val="10"/>
        <rFont val="Noto Sans CJK SC"/>
        <family val="2"/>
      </rPr>
      <t xml:space="preserve">字を追加。検知＋機械修復の両方を有効化。</t>
    </r>
  </si>
  <si>
    <t xml:space="preserve">反映済・検証済</t>
  </si>
  <si>
    <r>
      <rPr>
        <sz val="10"/>
        <rFont val="Noto Sans CJK SC"/>
        <family val="2"/>
      </rPr>
      <t xml:space="preserve">公開タイトルの絵文字率が </t>
    </r>
    <r>
      <rPr>
        <sz val="10"/>
        <rFont val="Arial"/>
        <family val="0"/>
        <charset val="1"/>
      </rPr>
      <t xml:space="preserve">0% </t>
    </r>
    <r>
      <rPr>
        <sz val="10"/>
        <rFont val="Noto Sans CJK SC"/>
        <family val="2"/>
      </rPr>
      <t xml:space="preserve">を維持すること</t>
    </r>
  </si>
  <si>
    <t xml:space="preserve">2026-09-14</t>
  </si>
  <si>
    <t xml:space="preserve">scp-lab / yokai-watch / daily-science / 2ch-matome</t>
  </si>
  <si>
    <r>
      <rPr>
        <sz val="10"/>
        <rFont val="Noto Sans CJK SC"/>
        <family val="2"/>
      </rPr>
      <t xml:space="preserve">「なぜ〇〇なのか」型の登録効率が非該当の</t>
    </r>
    <r>
      <rPr>
        <sz val="10"/>
        <rFont val="Arial"/>
        <family val="0"/>
        <charset val="1"/>
      </rPr>
      <t xml:space="preserve">1.8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倍（</t>
    </r>
    <r>
      <rPr>
        <sz val="10"/>
        <rFont val="Arial"/>
        <family val="0"/>
        <charset val="1"/>
      </rPr>
      <t xml:space="preserve">scp-lab 1.45 vs 0.45</t>
    </r>
    <r>
      <rPr>
        <sz val="10"/>
        <rFont val="Noto Sans CJK SC"/>
        <family val="2"/>
      </rPr>
      <t xml:space="preserve">）。一方 </t>
    </r>
    <r>
      <rPr>
        <sz val="10"/>
        <rFont val="Arial"/>
        <family val="0"/>
        <charset val="1"/>
      </rPr>
      <t xml:space="preserve">09-08 </t>
    </r>
    <r>
      <rPr>
        <sz val="10"/>
        <rFont val="Noto Sans CJK SC"/>
        <family val="2"/>
      </rPr>
      <t xml:space="preserve">に全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へ入れた答え提示語は単独では効果が確認できない。</t>
    </r>
  </si>
  <si>
    <r>
      <rPr>
        <sz val="10"/>
        <rFont val="Arial"/>
        <family val="0"/>
        <charset val="1"/>
      </rPr>
      <t xml:space="preserve">theme_priority.title_style </t>
    </r>
    <r>
      <rPr>
        <sz val="10"/>
        <rFont val="Noto Sans CJK SC"/>
        <family val="2"/>
      </rPr>
      <t xml:space="preserve">の先頭に『なぜ型を第一候補』を明記。答え提示語は併用条件として残す。</t>
    </r>
  </si>
  <si>
    <r>
      <rPr>
        <sz val="10"/>
        <rFont val="Noto Sans CJK SC"/>
        <family val="2"/>
      </rPr>
      <t xml:space="preserve">「なぜ」型の比率と、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内対照の 登録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千再生 の差</t>
    </r>
  </si>
  <si>
    <t xml:space="preserve">scp-lab / yokai-watch / company-facts / 2ch-matome</t>
  </si>
  <si>
    <r>
      <rPr>
        <sz val="10"/>
        <rFont val="Arial"/>
        <family val="0"/>
        <charset val="1"/>
      </rPr>
      <t xml:space="preserve">theme_queue 142</t>
    </r>
    <r>
      <rPr>
        <sz val="10"/>
        <rFont val="Noto Sans CJK SC"/>
        <family val="2"/>
      </rPr>
      <t xml:space="preserve">本中</t>
    </r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本が </t>
    </r>
    <r>
      <rPr>
        <sz val="10"/>
        <rFont val="Arial"/>
        <family val="0"/>
        <charset val="1"/>
      </rPr>
      <t xml:space="preserve">hard_constraints </t>
    </r>
    <r>
      <rPr>
        <sz val="10"/>
        <rFont val="Noto Sans CJK SC"/>
        <family val="2"/>
      </rPr>
      <t xml:space="preserve">不通過。</t>
    </r>
    <r>
      <rPr>
        <sz val="10"/>
        <rFont val="Arial"/>
        <family val="0"/>
        <charset val="1"/>
      </rPr>
      <t xml:space="preserve">backend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repair() </t>
    </r>
    <r>
      <rPr>
        <sz val="10"/>
        <rFont val="Noto Sans CJK SC"/>
        <family val="2"/>
      </rPr>
      <t xml:space="preserve">が語尾に『の正体』等を機械追加する状態だった。</t>
    </r>
  </si>
  <si>
    <r>
      <rPr>
        <sz val="10"/>
        <rFont val="Arial"/>
        <family val="0"/>
        <charset val="1"/>
      </rPr>
      <t xml:space="preserve">54</t>
    </r>
    <r>
      <rPr>
        <sz val="10"/>
        <rFont val="Noto Sans CJK SC"/>
        <family val="2"/>
      </rPr>
      <t xml:space="preserve">本を実測型に書き直し（</t>
    </r>
    <r>
      <rPr>
        <sz val="10"/>
        <rFont val="Arial"/>
        <family val="0"/>
        <charset val="1"/>
      </rPr>
      <t xml:space="preserve">scp/yokai </t>
    </r>
    <r>
      <rPr>
        <sz val="10"/>
        <rFont val="Noto Sans CJK SC"/>
        <family val="2"/>
      </rPr>
      <t xml:space="preserve">は なぜ型、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は 理由・実態・裏側型、</t>
    </r>
    <r>
      <rPr>
        <sz val="10"/>
        <rFont val="Arial"/>
        <family val="0"/>
        <charset val="1"/>
      </rPr>
      <t xml:space="preserve">2ch </t>
    </r>
    <r>
      <rPr>
        <sz val="10"/>
        <rFont val="Noto Sans CJK SC"/>
        <family val="2"/>
      </rPr>
      <t xml:space="preserve">は ワイ除去）。全件をゲートで事前検証。</t>
    </r>
  </si>
  <si>
    <r>
      <rPr>
        <sz val="10"/>
        <rFont val="Noto Sans CJK SC"/>
        <family val="2"/>
      </rPr>
      <t xml:space="preserve">反映済・検証済（</t>
    </r>
    <r>
      <rPr>
        <sz val="10"/>
        <rFont val="Arial"/>
        <family val="0"/>
        <charset val="1"/>
      </rPr>
      <t xml:space="preserve">NG 0/142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</si>
  <si>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repair() </t>
    </r>
    <r>
      <rPr>
        <sz val="10"/>
        <rFont val="Noto Sans CJK SC"/>
        <family val="2"/>
      </rPr>
      <t xml:space="preserve">発動回数が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に近づくこと</t>
    </r>
  </si>
  <si>
    <t xml:space="preserve">B</t>
  </si>
  <si>
    <r>
      <rPr>
        <sz val="10"/>
        <rFont val="Noto Sans CJK SC"/>
        <family val="2"/>
      </rPr>
      <t xml:space="preserve">維持率は </t>
    </r>
    <r>
      <rPr>
        <sz val="10"/>
        <rFont val="Arial"/>
        <family val="0"/>
        <charset val="1"/>
      </rPr>
      <t xml:space="preserve">15%</t>
    </r>
    <r>
      <rPr>
        <sz val="10"/>
        <rFont val="Noto Sans CJK SC"/>
        <family val="2"/>
      </rPr>
      <t xml:space="preserve">地点</t>
    </r>
    <r>
      <rPr>
        <sz val="10"/>
        <rFont val="Arial"/>
        <family val="0"/>
        <charset val="1"/>
      </rPr>
      <t xml:space="preserve">102% → 20%</t>
    </r>
    <r>
      <rPr>
        <sz val="10"/>
        <rFont val="Noto Sans CJK SC"/>
        <family val="2"/>
      </rPr>
      <t xml:space="preserve">地点</t>
    </r>
    <r>
      <rPr>
        <sz val="10"/>
        <rFont val="Arial"/>
        <family val="0"/>
        <charset val="1"/>
      </rPr>
      <t xml:space="preserve">84% → 30%</t>
    </r>
    <r>
      <rPr>
        <sz val="10"/>
        <rFont val="Noto Sans CJK SC"/>
        <family val="2"/>
      </rPr>
      <t xml:space="preserve">地点</t>
    </r>
    <r>
      <rPr>
        <sz val="10"/>
        <rFont val="Arial"/>
        <family val="0"/>
        <charset val="1"/>
      </rPr>
      <t xml:space="preserve">63% </t>
    </r>
    <r>
      <rPr>
        <sz val="10"/>
        <rFont val="Noto Sans CJK SC"/>
        <family val="2"/>
      </rPr>
      <t xml:space="preserve">と中盤で崖。特に </t>
    </r>
    <r>
      <rPr>
        <sz val="10"/>
        <rFont val="Arial"/>
        <family val="0"/>
        <charset val="1"/>
      </rPr>
      <t xml:space="preserve">2ch-matome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89→53</t>
    </r>
    <r>
      <rPr>
        <sz val="10"/>
        <rFont val="Noto Sans CJK SC"/>
        <family val="2"/>
      </rPr>
      <t xml:space="preserve">）と </t>
    </r>
    <r>
      <rPr>
        <sz val="10"/>
        <rFont val="Arial"/>
        <family val="0"/>
        <charset val="1"/>
      </rPr>
      <t xml:space="preserve">scp-lab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100→59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</si>
  <si>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short_format.extra_rules </t>
    </r>
    <r>
      <rPr>
        <sz val="10"/>
        <rFont val="Noto Sans CJK SC"/>
        <family val="2"/>
      </rPr>
      <t xml:space="preserve">に『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行目に必ず前提を覆す一言か具体数字を置く／説明を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行続けない』を追加。尺は </t>
    </r>
    <r>
      <rPr>
        <sz val="10"/>
        <rFont val="Arial"/>
        <family val="0"/>
        <charset val="1"/>
      </rPr>
      <t xml:space="preserve">09-12 </t>
    </r>
    <r>
      <rPr>
        <sz val="10"/>
        <rFont val="Noto Sans CJK SC"/>
        <family val="2"/>
      </rPr>
      <t xml:space="preserve">の実験ロックを順守し変更しない。</t>
    </r>
  </si>
  <si>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30%</t>
    </r>
    <r>
      <rPr>
        <sz val="10"/>
        <rFont val="Noto Sans CJK SC"/>
        <family val="2"/>
      </rPr>
      <t xml:space="preserve">地点の維持率が各</t>
    </r>
    <r>
      <rPr>
        <sz val="10"/>
        <rFont val="Arial"/>
        <family val="0"/>
        <charset val="1"/>
      </rPr>
      <t xml:space="preserve">+5pt</t>
    </r>
    <r>
      <rPr>
        <sz val="10"/>
        <rFont val="Noto Sans CJK SC"/>
        <family val="2"/>
      </rPr>
      <t xml:space="preserve">改善するか</t>
    </r>
  </si>
  <si>
    <t xml:space="preserve">2026-09-20</t>
  </si>
  <si>
    <t xml:space="preserve">pokemon-lab / scp-lab / yokai-watch</t>
  </si>
  <si>
    <r>
      <rPr>
        <sz val="10"/>
        <rFont val="Noto Sans CJK SC"/>
        <family val="2"/>
      </rPr>
      <t xml:space="preserve">到達</t>
    </r>
    <r>
      <rPr>
        <sz val="10"/>
        <rFont val="Arial"/>
        <family val="0"/>
        <charset val="1"/>
      </rPr>
      <t xml:space="preserve">CTR </t>
    </r>
    <r>
      <rPr>
        <sz val="10"/>
        <rFont val="Noto Sans CJK SC"/>
        <family val="2"/>
      </rPr>
      <t xml:space="preserve">が </t>
    </r>
    <r>
      <rPr>
        <sz val="10"/>
        <rFont val="Arial"/>
        <family val="0"/>
        <charset val="1"/>
      </rPr>
      <t xml:space="preserve">0.69% / 1.30% / 1.39% </t>
    </r>
    <r>
      <rPr>
        <sz val="10"/>
        <rFont val="Noto Sans CJK SC"/>
        <family val="2"/>
      </rPr>
      <t xml:space="preserve">と低位（</t>
    </r>
    <r>
      <rPr>
        <sz val="10"/>
        <rFont val="Arial"/>
        <family val="0"/>
        <charset val="1"/>
      </rPr>
      <t xml:space="preserve">company-facts 2.62%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clip-fukada 4.31% </t>
    </r>
    <r>
      <rPr>
        <sz val="10"/>
        <rFont val="Noto Sans CJK SC"/>
        <family val="2"/>
      </rPr>
      <t xml:space="preserve">と比べ半分以下）。</t>
    </r>
  </si>
  <si>
    <r>
      <rPr>
        <sz val="10"/>
        <rFont val="Noto Sans CJK SC"/>
        <family val="2"/>
      </rPr>
      <t xml:space="preserve">サムネ品質を次サイクルの最優先枠にする。</t>
    </r>
    <r>
      <rPr>
        <sz val="10"/>
        <rFont val="Arial"/>
        <family val="0"/>
        <charset val="1"/>
      </rPr>
      <t xml:space="preserve">company-facts </t>
    </r>
    <r>
      <rPr>
        <sz val="10"/>
        <rFont val="Noto Sans CJK SC"/>
        <family val="2"/>
      </rPr>
      <t xml:space="preserve">のサムネ構成（数字を大きく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つだけ／人物なし）を</t>
    </r>
    <r>
      <rPr>
        <sz val="10"/>
        <rFont val="Arial"/>
        <family val="0"/>
        <charset val="1"/>
      </rPr>
      <t xml:space="preserve">3ch</t>
    </r>
    <r>
      <rPr>
        <sz val="10"/>
        <rFont val="Noto Sans CJK SC"/>
        <family val="2"/>
      </rPr>
      <t xml:space="preserve">へ横展開する案を次回検証。</t>
    </r>
  </si>
  <si>
    <t xml:space="preserve">次サイクルで着手</t>
  </si>
  <si>
    <r>
      <rPr>
        <sz val="10"/>
        <rFont val="Arial"/>
        <family val="0"/>
        <charset val="1"/>
      </rPr>
      <t xml:space="preserve">video_reach_daily </t>
    </r>
    <r>
      <rPr>
        <sz val="10"/>
        <rFont val="Noto Sans CJK SC"/>
        <family val="2"/>
      </rPr>
      <t xml:space="preserve">の </t>
    </r>
    <r>
      <rPr>
        <sz val="10"/>
        <rFont val="Arial"/>
        <family val="0"/>
        <charset val="1"/>
      </rPr>
      <t xml:space="preserve">ch</t>
    </r>
    <r>
      <rPr>
        <sz val="10"/>
        <rFont val="Noto Sans CJK SC"/>
        <family val="2"/>
      </rPr>
      <t xml:space="preserve">別 </t>
    </r>
    <r>
      <rPr>
        <sz val="10"/>
        <rFont val="Arial"/>
        <family val="0"/>
        <charset val="1"/>
      </rPr>
      <t xml:space="preserve">CTR</t>
    </r>
  </si>
  <si>
    <t xml:space="preserve">C</t>
  </si>
  <si>
    <t xml:space="preserve">指揮者基盤</t>
  </si>
  <si>
    <r>
      <rPr>
        <sz val="10"/>
        <rFont val="Arial"/>
        <family val="0"/>
        <charset val="1"/>
      </rPr>
      <t xml:space="preserve">analytics.db </t>
    </r>
    <r>
      <rPr>
        <sz val="10"/>
        <rFont val="Noto Sans CJK SC"/>
        <family val="2"/>
      </rPr>
      <t xml:space="preserve">の最終取得が </t>
    </r>
    <r>
      <rPr>
        <sz val="10"/>
        <rFont val="Arial"/>
        <family val="0"/>
        <charset val="1"/>
      </rPr>
      <t xml:space="preserve">2026-09-08 23:19 </t>
    </r>
    <r>
      <rPr>
        <sz val="10"/>
        <rFont val="Noto Sans CJK SC"/>
        <family val="2"/>
      </rPr>
      <t xml:space="preserve">で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日以上停止。</t>
    </r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以降の実績が評価できない。</t>
    </r>
  </si>
  <si>
    <r>
      <rPr>
        <sz val="10"/>
        <rFont val="Arial"/>
        <family val="0"/>
        <charset val="1"/>
      </rPr>
      <t xml:space="preserve">OAuth </t>
    </r>
    <r>
      <rPr>
        <sz val="10"/>
        <rFont val="Noto Sans CJK SC"/>
        <family val="2"/>
      </rPr>
      <t xml:space="preserve">再認可と同時に </t>
    </r>
    <r>
      <rPr>
        <sz val="10"/>
        <rFont val="Arial"/>
        <family val="0"/>
        <charset val="1"/>
      </rPr>
      <t xml:space="preserve">Analytics </t>
    </r>
    <r>
      <rPr>
        <sz val="10"/>
        <rFont val="Noto Sans CJK SC"/>
        <family val="2"/>
      </rPr>
      <t xml:space="preserve">取得ジョブを手動で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回走らせ、欠測日を埋める。</t>
    </r>
  </si>
  <si>
    <r>
      <rPr>
        <sz val="10"/>
        <rFont val="Noto Sans CJK SC"/>
        <family val="2"/>
      </rPr>
      <t xml:space="preserve">未対応（</t>
    </r>
    <r>
      <rPr>
        <sz val="10"/>
        <rFont val="Arial"/>
        <family val="0"/>
        <charset val="1"/>
      </rPr>
      <t xml:space="preserve">OAuth</t>
    </r>
    <r>
      <rPr>
        <sz val="10"/>
        <rFont val="Noto Sans CJK SC"/>
        <family val="2"/>
      </rPr>
      <t xml:space="preserve">待ち）</t>
    </r>
  </si>
  <si>
    <r>
      <rPr>
        <sz val="10"/>
        <rFont val="Arial"/>
        <family val="0"/>
        <charset val="1"/>
      </rPr>
      <t xml:space="preserve">video_metrics </t>
    </r>
    <r>
      <rPr>
        <sz val="10"/>
        <rFont val="Noto Sans CJK SC"/>
        <family val="2"/>
      </rPr>
      <t xml:space="preserve">に </t>
    </r>
    <r>
      <rPr>
        <sz val="10"/>
        <rFont val="Arial"/>
        <family val="0"/>
        <charset val="1"/>
      </rPr>
      <t xml:space="preserve">09-09 </t>
    </r>
    <r>
      <rPr>
        <sz val="10"/>
        <rFont val="Noto Sans CJK SC"/>
        <family val="2"/>
      </rPr>
      <t xml:space="preserve">以降の行が入ること</t>
    </r>
  </si>
  <si>
    <t xml:space="preserve">トレンド</t>
  </si>
  <si>
    <r>
      <rPr>
        <b val="true"/>
        <sz val="12"/>
        <rFont val="Noto Sans CJK SC"/>
        <family val="2"/>
      </rPr>
      <t xml:space="preserve">■ 施策前後の比較（前期 </t>
    </r>
    <r>
      <rPr>
        <b val="true"/>
        <sz val="12"/>
        <rFont val="Arial"/>
        <family val="0"/>
        <charset val="1"/>
      </rPr>
      <t xml:space="preserve">08-10</t>
    </r>
    <r>
      <rPr>
        <b val="true"/>
        <sz val="12"/>
        <rFont val="Noto Sans CJK SC"/>
        <family val="2"/>
      </rPr>
      <t xml:space="preserve">〜</t>
    </r>
    <r>
      <rPr>
        <b val="true"/>
        <sz val="12"/>
        <rFont val="Arial"/>
        <family val="0"/>
        <charset val="1"/>
      </rPr>
      <t xml:space="preserve">08-24 / </t>
    </r>
    <r>
      <rPr>
        <b val="true"/>
        <sz val="12"/>
        <rFont val="Noto Sans CJK SC"/>
        <family val="2"/>
      </rPr>
      <t xml:space="preserve">後期 </t>
    </r>
    <r>
      <rPr>
        <b val="true"/>
        <sz val="12"/>
        <rFont val="Arial"/>
        <family val="0"/>
        <charset val="1"/>
      </rPr>
      <t xml:space="preserve">08-25</t>
    </r>
    <r>
      <rPr>
        <b val="true"/>
        <sz val="12"/>
        <rFont val="Noto Sans CJK SC"/>
        <family val="2"/>
      </rPr>
      <t xml:space="preserve">〜</t>
    </r>
    <r>
      <rPr>
        <b val="true"/>
        <sz val="12"/>
        <rFont val="Arial"/>
        <family val="0"/>
        <charset val="1"/>
      </rPr>
      <t xml:space="preserve">09-04</t>
    </r>
    <r>
      <rPr>
        <b val="true"/>
        <sz val="12"/>
        <rFont val="Noto Sans CJK SC"/>
        <family val="2"/>
      </rPr>
      <t xml:space="preserve">・登録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Noto Sans CJK SC"/>
        <family val="2"/>
      </rPr>
      <t xml:space="preserve">千再生）</t>
    </r>
  </si>
  <si>
    <t xml:space="preserve">前期 本数</t>
  </si>
  <si>
    <r>
      <rPr>
        <b val="true"/>
        <sz val="10"/>
        <color rgb="FFFFFFFF"/>
        <rFont val="Noto Sans CJK SC"/>
        <family val="2"/>
      </rPr>
      <t xml:space="preserve">前期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</si>
  <si>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t xml:space="preserve">後期 本数</t>
  </si>
  <si>
    <r>
      <rPr>
        <b val="true"/>
        <sz val="10"/>
        <color rgb="FFFFFFFF"/>
        <rFont val="Noto Sans CJK SC"/>
        <family val="2"/>
      </rPr>
      <t xml:space="preserve">後期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</si>
  <si>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t xml:space="preserve">変化</t>
  </si>
  <si>
    <t xml:space="preserve">中央値 再生 前期→後期</t>
  </si>
  <si>
    <t xml:space="preserve">1435 → 780</t>
  </si>
  <si>
    <t xml:space="preserve">906 → 872</t>
  </si>
  <si>
    <t xml:space="preserve">881 → 954</t>
  </si>
  <si>
    <t xml:space="preserve">1117 → 921</t>
  </si>
  <si>
    <t xml:space="preserve">1090 → 1346</t>
  </si>
  <si>
    <t xml:space="preserve">1324 → 875</t>
  </si>
  <si>
    <r>
      <rPr>
        <b val="true"/>
        <sz val="12"/>
        <rFont val="Noto Sans CJK SC"/>
        <family val="2"/>
      </rPr>
      <t xml:space="preserve">■ タイトル型 </t>
    </r>
    <r>
      <rPr>
        <b val="true"/>
        <sz val="12"/>
        <rFont val="Arial"/>
        <family val="0"/>
        <charset val="1"/>
      </rPr>
      <t xml:space="preserve">× </t>
    </r>
    <r>
      <rPr>
        <b val="true"/>
        <sz val="12"/>
        <rFont val="Noto Sans CJK SC"/>
        <family val="2"/>
      </rPr>
      <t xml:space="preserve">チャンネル内対照（登録</t>
    </r>
    <r>
      <rPr>
        <b val="true"/>
        <sz val="12"/>
        <rFont val="Arial"/>
        <family val="0"/>
        <charset val="1"/>
      </rPr>
      <t xml:space="preserve">/</t>
    </r>
    <r>
      <rPr>
        <b val="true"/>
        <sz val="12"/>
        <rFont val="Noto Sans CJK SC"/>
        <family val="2"/>
      </rPr>
      <t xml:space="preserve">千再生・成熟コホート）</t>
    </r>
  </si>
  <si>
    <t xml:space="preserve">型</t>
  </si>
  <si>
    <t xml:space="preserve">該当 本数</t>
  </si>
  <si>
    <r>
      <rPr>
        <b val="true"/>
        <sz val="10"/>
        <color rgb="FFFFFFFF"/>
        <rFont val="Noto Sans CJK SC"/>
        <family val="2"/>
      </rPr>
      <t xml:space="preserve">該当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</si>
  <si>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t xml:space="preserve">非該当 本数</t>
  </si>
  <si>
    <r>
      <rPr>
        <b val="true"/>
        <sz val="10"/>
        <color rgb="FFFFFFFF"/>
        <rFont val="Noto Sans CJK SC"/>
        <family val="2"/>
      </rPr>
      <t xml:space="preserve">非該当 登録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Noto Sans CJK SC"/>
        <family val="2"/>
      </rPr>
      <t xml:space="preserve">千</t>
    </r>
  </si>
  <si>
    <t xml:space="preserve">差</t>
  </si>
  <si>
    <t xml:space="preserve">判定</t>
  </si>
  <si>
    <t xml:space="preserve">「なぜ」疑問形</t>
  </si>
  <si>
    <t xml:space="preserve">採用</t>
  </si>
  <si>
    <t xml:space="preserve">不採用</t>
  </si>
  <si>
    <t xml:space="preserve">絵文字あり</t>
  </si>
  <si>
    <t xml:space="preserve">差なし</t>
  </si>
  <si>
    <r>
      <rPr>
        <sz val="10"/>
        <rFont val="Noto Sans CJK SC"/>
        <family val="2"/>
      </rPr>
      <t xml:space="preserve">二人称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君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あなた</t>
    </r>
    <r>
      <rPr>
        <sz val="10"/>
        <rFont val="Arial"/>
        <family val="0"/>
        <charset val="1"/>
      </rPr>
      <t xml:space="preserve">)</t>
    </r>
  </si>
  <si>
    <t xml:space="preserve">答え提示語</t>
  </si>
  <si>
    <r>
      <rPr>
        <b val="true"/>
        <sz val="12"/>
        <rFont val="Noto Sans CJK SC"/>
        <family val="2"/>
      </rPr>
      <t xml:space="preserve">■ 日次 公開本数の推移（</t>
    </r>
    <r>
      <rPr>
        <b val="true"/>
        <sz val="12"/>
        <rFont val="Arial"/>
        <family val="0"/>
        <charset val="1"/>
      </rPr>
      <t xml:space="preserve">video_publish.db</t>
    </r>
    <r>
      <rPr>
        <b val="true"/>
        <sz val="12"/>
        <rFont val="Noto Sans CJK SC"/>
        <family val="2"/>
      </rPr>
      <t xml:space="preserve">）</t>
    </r>
  </si>
  <si>
    <r>
      <rPr>
        <i val="true"/>
        <sz val="9"/>
        <rFont val="Noto Sans CJK SC"/>
        <family val="2"/>
      </rPr>
      <t xml:space="preserve">※ 赤 </t>
    </r>
    <r>
      <rPr>
        <i val="true"/>
        <sz val="9"/>
        <rFont val="Arial"/>
        <family val="0"/>
        <charset val="1"/>
      </rPr>
      <t xml:space="preserve">= </t>
    </r>
    <r>
      <rPr>
        <i val="true"/>
        <sz val="9"/>
        <rFont val="Noto Sans CJK SC"/>
        <family val="2"/>
      </rPr>
      <t xml:space="preserve">合計</t>
    </r>
    <r>
      <rPr>
        <i val="true"/>
        <sz val="9"/>
        <rFont val="Arial"/>
        <family val="0"/>
        <charset val="1"/>
      </rPr>
      <t xml:space="preserve">4</t>
    </r>
    <r>
      <rPr>
        <i val="true"/>
        <sz val="9"/>
        <rFont val="Noto Sans CJK SC"/>
        <family val="2"/>
      </rPr>
      <t xml:space="preserve">本以下。</t>
    </r>
    <r>
      <rPr>
        <i val="true"/>
        <sz val="9"/>
        <rFont val="Arial"/>
        <family val="0"/>
        <charset val="1"/>
      </rPr>
      <t xml:space="preserve">09-09 </t>
    </r>
    <r>
      <rPr>
        <i val="true"/>
        <sz val="9"/>
        <rFont val="Noto Sans CJK SC"/>
        <family val="2"/>
      </rPr>
      <t xml:space="preserve">以降の落ち込みは </t>
    </r>
    <r>
      <rPr>
        <i val="true"/>
        <sz val="9"/>
        <rFont val="Arial"/>
        <family val="0"/>
        <charset val="1"/>
      </rPr>
      <t xml:space="preserve">OAuth </t>
    </r>
    <r>
      <rPr>
        <i val="true"/>
        <sz val="9"/>
        <rFont val="Noto Sans CJK SC"/>
        <family val="2"/>
      </rPr>
      <t xml:space="preserve">失効による公開失敗（生成自体は継続している）。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</si>
</sst>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#,##0"/>
    <numFmt numFmtId="167" formatCode="0.00"/>
    <numFmt numFmtId="168" formatCode="0.0"/>
    <numFmt numFmtId="169" formatCode="0.000"/>
    <numFmt numFmtId="170" formatCode="#,##0.0"/>
    <numFmt numFmtId="171" formatCode="\+0.00;\-0.00;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9"/>
      <name val="Noto Sans CJK SC"/>
      <family val="2"/>
    </font>
    <font>
      <i val="true"/>
      <sz val="9"/>
      <name val="Arial"/>
      <family val="0"/>
      <charset val="1"/>
    </font>
    <font>
      <b val="true"/>
      <sz val="12"/>
      <color rgb="FF9C0006"/>
      <name val="Noto Sans CJK SC"/>
      <family val="2"/>
    </font>
    <font>
      <b val="true"/>
      <sz val="12"/>
      <color rgb="FF9C0006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b val="true"/>
      <sz val="12"/>
      <name val="Noto Sans CJK SC"/>
      <family val="2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fals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6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34"/>
  </cols>
  <sheetData>
    <row r="1" customFormat="false" ht="21.6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4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</row>
    <row r="6" customFormat="false" ht="15" hidden="false" customHeight="false" outlineLevel="0" collapsed="false">
      <c r="A6" s="5" t="s">
        <v>6</v>
      </c>
      <c r="B6" s="6" t="n">
        <v>16</v>
      </c>
      <c r="C6" s="7" t="s">
        <v>7</v>
      </c>
    </row>
    <row r="7" customFormat="false" ht="15" hidden="false" customHeight="false" outlineLevel="0" collapsed="false">
      <c r="A7" s="5" t="s">
        <v>8</v>
      </c>
      <c r="B7" s="6" t="n">
        <v>8</v>
      </c>
      <c r="C7" s="7" t="s">
        <v>9</v>
      </c>
    </row>
    <row r="8" customFormat="false" ht="15" hidden="false" customHeight="false" outlineLevel="0" collapsed="false">
      <c r="A8" s="5" t="s">
        <v>10</v>
      </c>
      <c r="B8" s="6" t="n">
        <v>11</v>
      </c>
      <c r="C8" s="7" t="s">
        <v>9</v>
      </c>
    </row>
    <row r="9" customFormat="false" ht="15" hidden="false" customHeight="false" outlineLevel="0" collapsed="false">
      <c r="A9" s="5" t="s">
        <v>11</v>
      </c>
      <c r="B9" s="6" t="n">
        <v>9</v>
      </c>
      <c r="C9" s="7" t="s">
        <v>9</v>
      </c>
    </row>
    <row r="10" customFormat="false" ht="15" hidden="false" customHeight="false" outlineLevel="0" collapsed="false">
      <c r="A10" s="8" t="s">
        <v>12</v>
      </c>
      <c r="B10" s="9" t="n">
        <v>2</v>
      </c>
      <c r="C10" s="10" t="s">
        <v>13</v>
      </c>
    </row>
    <row r="11" customFormat="false" ht="15" hidden="false" customHeight="false" outlineLevel="0" collapsed="false">
      <c r="A11" s="8" t="s">
        <v>14</v>
      </c>
      <c r="B11" s="9" t="n">
        <v>2</v>
      </c>
      <c r="C11" s="10" t="s">
        <v>13</v>
      </c>
    </row>
    <row r="12" customFormat="false" ht="15" hidden="false" customHeight="false" outlineLevel="0" collapsed="false">
      <c r="A12" s="5" t="s">
        <v>15</v>
      </c>
      <c r="B12" s="6" t="n">
        <v>12</v>
      </c>
      <c r="C12" s="7" t="s">
        <v>9</v>
      </c>
    </row>
    <row r="13" customFormat="false" ht="15" hidden="false" customHeight="false" outlineLevel="0" collapsed="false">
      <c r="A13" s="5" t="s">
        <v>16</v>
      </c>
      <c r="B13" s="6" t="n">
        <v>25</v>
      </c>
      <c r="C13" s="7" t="s">
        <v>7</v>
      </c>
    </row>
    <row r="14" customFormat="false" ht="15" hidden="false" customHeight="false" outlineLevel="0" collapsed="false">
      <c r="A14" s="5" t="s">
        <v>17</v>
      </c>
      <c r="B14" s="6" t="n">
        <v>33</v>
      </c>
      <c r="C14" s="7" t="s">
        <v>7</v>
      </c>
    </row>
    <row r="15" customFormat="false" ht="15" hidden="false" customHeight="false" outlineLevel="0" collapsed="false">
      <c r="A15" s="5" t="s">
        <v>18</v>
      </c>
      <c r="B15" s="6" t="n">
        <v>30</v>
      </c>
      <c r="C15" s="7" t="s">
        <v>7</v>
      </c>
    </row>
    <row r="16" customFormat="false" ht="15" hidden="false" customHeight="false" outlineLevel="0" collapsed="false">
      <c r="A16" s="5" t="s">
        <v>19</v>
      </c>
      <c r="B16" s="6" t="n">
        <v>27</v>
      </c>
      <c r="C16" s="7" t="s">
        <v>7</v>
      </c>
    </row>
    <row r="17" customFormat="false" ht="15" hidden="false" customHeight="false" outlineLevel="0" collapsed="false">
      <c r="A17" s="5" t="s">
        <v>20</v>
      </c>
      <c r="B17" s="6" t="n">
        <v>21</v>
      </c>
      <c r="C17" s="7" t="s">
        <v>7</v>
      </c>
    </row>
    <row r="18" customFormat="false" ht="15" hidden="false" customHeight="false" outlineLevel="0" collapsed="false">
      <c r="A18" s="8" t="s">
        <v>21</v>
      </c>
      <c r="B18" s="9" t="n">
        <v>2</v>
      </c>
      <c r="C18" s="10" t="s">
        <v>22</v>
      </c>
    </row>
    <row r="19" customFormat="false" ht="15" hidden="false" customHeight="false" outlineLevel="0" collapsed="false">
      <c r="A19" s="8" t="s">
        <v>23</v>
      </c>
      <c r="B19" s="9" t="n">
        <v>2</v>
      </c>
      <c r="C19" s="10" t="s">
        <v>22</v>
      </c>
    </row>
    <row r="20" customFormat="false" ht="15" hidden="false" customHeight="false" outlineLevel="0" collapsed="false">
      <c r="A20" s="11" t="s">
        <v>24</v>
      </c>
      <c r="B20" s="11" t="n">
        <f aca="false">SUM(B6:B19)</f>
        <v>200</v>
      </c>
    </row>
    <row r="22" customFormat="false" ht="15" hidden="false" customHeight="false" outlineLevel="0" collapsed="false">
      <c r="A22" s="12" t="s">
        <v>25</v>
      </c>
    </row>
    <row r="23" customFormat="false" ht="35.05" hidden="false" customHeight="false" outlineLevel="0" collapsed="false">
      <c r="A23" s="13" t="s">
        <v>26</v>
      </c>
      <c r="B23" s="4" t="s">
        <v>27</v>
      </c>
      <c r="C23" s="4" t="s">
        <v>28</v>
      </c>
      <c r="D23" s="4" t="s">
        <v>29</v>
      </c>
      <c r="E23" s="4" t="s">
        <v>30</v>
      </c>
      <c r="F23" s="4" t="s">
        <v>31</v>
      </c>
      <c r="G23" s="4" t="s">
        <v>32</v>
      </c>
      <c r="H23" s="4" t="s">
        <v>33</v>
      </c>
      <c r="I23" s="4" t="s">
        <v>34</v>
      </c>
    </row>
    <row r="24" customFormat="false" ht="15" hidden="false" customHeight="false" outlineLevel="0" collapsed="false">
      <c r="A24" s="5" t="s">
        <v>35</v>
      </c>
      <c r="B24" s="7" t="s">
        <v>36</v>
      </c>
      <c r="C24" s="5" t="n">
        <v>39</v>
      </c>
      <c r="D24" s="14" t="n">
        <v>942</v>
      </c>
      <c r="E24" s="15" t="n">
        <v>0.77</v>
      </c>
      <c r="F24" s="16" t="n">
        <v>37.9</v>
      </c>
      <c r="G24" s="15" t="n">
        <v>1.3</v>
      </c>
      <c r="H24" s="6" t="n">
        <v>13</v>
      </c>
      <c r="I24" s="17" t="s">
        <v>37</v>
      </c>
    </row>
    <row r="25" customFormat="false" ht="15" hidden="false" customHeight="false" outlineLevel="0" collapsed="false">
      <c r="A25" s="5" t="s">
        <v>38</v>
      </c>
      <c r="B25" s="7" t="s">
        <v>39</v>
      </c>
      <c r="C25" s="5" t="n">
        <v>29</v>
      </c>
      <c r="D25" s="14" t="n">
        <v>1198</v>
      </c>
      <c r="E25" s="15" t="n">
        <v>0.72</v>
      </c>
      <c r="F25" s="16" t="n">
        <v>57</v>
      </c>
      <c r="G25" s="15" t="n">
        <v>2.62</v>
      </c>
      <c r="H25" s="6" t="n">
        <v>5</v>
      </c>
      <c r="I25" s="17" t="s">
        <v>37</v>
      </c>
    </row>
    <row r="26" customFormat="false" ht="15" hidden="false" customHeight="false" outlineLevel="0" collapsed="false">
      <c r="A26" s="5" t="s">
        <v>40</v>
      </c>
      <c r="B26" s="7" t="s">
        <v>41</v>
      </c>
      <c r="C26" s="5" t="n">
        <v>8</v>
      </c>
      <c r="D26" s="14" t="n">
        <v>765.5</v>
      </c>
      <c r="E26" s="15" t="n">
        <v>0.57</v>
      </c>
      <c r="F26" s="16" t="n">
        <v>63.5</v>
      </c>
      <c r="G26" s="15" t="n">
        <v>4.26</v>
      </c>
      <c r="H26" s="6" t="n">
        <v>0</v>
      </c>
      <c r="I26" s="17" t="s">
        <v>37</v>
      </c>
    </row>
    <row r="27" customFormat="false" ht="15" hidden="false" customHeight="false" outlineLevel="0" collapsed="false">
      <c r="A27" s="5" t="s">
        <v>42</v>
      </c>
      <c r="B27" s="7" t="s">
        <v>43</v>
      </c>
      <c r="C27" s="5" t="n">
        <v>32</v>
      </c>
      <c r="D27" s="14" t="n">
        <v>871.5</v>
      </c>
      <c r="E27" s="15" t="n">
        <v>0.52</v>
      </c>
      <c r="F27" s="16" t="n">
        <v>42.9</v>
      </c>
      <c r="G27" s="15" t="n">
        <v>1.46</v>
      </c>
      <c r="H27" s="6" t="n">
        <v>2</v>
      </c>
      <c r="I27" s="17" t="s">
        <v>37</v>
      </c>
    </row>
    <row r="28" customFormat="false" ht="15" hidden="false" customHeight="false" outlineLevel="0" collapsed="false">
      <c r="A28" s="5" t="s">
        <v>44</v>
      </c>
      <c r="B28" s="7" t="s">
        <v>45</v>
      </c>
      <c r="C28" s="5" t="n">
        <v>28</v>
      </c>
      <c r="D28" s="14" t="n">
        <v>978</v>
      </c>
      <c r="E28" s="15" t="n">
        <v>0.41</v>
      </c>
      <c r="F28" s="16" t="n">
        <v>41.1</v>
      </c>
      <c r="G28" s="15" t="n">
        <v>1.39</v>
      </c>
      <c r="H28" s="6" t="n">
        <v>8</v>
      </c>
      <c r="I28" s="10" t="s">
        <v>46</v>
      </c>
    </row>
    <row r="29" customFormat="false" ht="15" hidden="false" customHeight="false" outlineLevel="0" collapsed="false">
      <c r="A29" s="5" t="s">
        <v>47</v>
      </c>
      <c r="B29" s="7" t="s">
        <v>48</v>
      </c>
      <c r="C29" s="5" t="n">
        <v>28</v>
      </c>
      <c r="D29" s="14" t="n">
        <v>1000</v>
      </c>
      <c r="E29" s="15" t="n">
        <v>0.24</v>
      </c>
      <c r="F29" s="16" t="n">
        <v>40.9</v>
      </c>
      <c r="G29" s="15" t="n">
        <v>0.69</v>
      </c>
      <c r="H29" s="6" t="n">
        <v>2</v>
      </c>
      <c r="I29" s="10" t="s">
        <v>49</v>
      </c>
    </row>
    <row r="30" customFormat="false" ht="15" hidden="false" customHeight="false" outlineLevel="0" collapsed="false">
      <c r="A30" s="5" t="s">
        <v>50</v>
      </c>
      <c r="B30" s="7" t="s">
        <v>51</v>
      </c>
      <c r="C30" s="5" t="n">
        <v>38</v>
      </c>
      <c r="D30" s="14" t="n">
        <v>967.5</v>
      </c>
      <c r="E30" s="15" t="n">
        <v>0.21</v>
      </c>
      <c r="F30" s="16" t="n">
        <v>49.9</v>
      </c>
      <c r="G30" s="15" t="n">
        <v>2.08</v>
      </c>
      <c r="H30" s="6" t="n">
        <v>2</v>
      </c>
      <c r="I30" s="10" t="s">
        <v>49</v>
      </c>
    </row>
    <row r="31" customFormat="false" ht="15" hidden="false" customHeight="false" outlineLevel="0" collapsed="false">
      <c r="A31" s="5" t="s">
        <v>52</v>
      </c>
      <c r="B31" s="7" t="s">
        <v>53</v>
      </c>
      <c r="C31" s="5" t="n">
        <v>5</v>
      </c>
      <c r="D31" s="14" t="n">
        <v>229</v>
      </c>
      <c r="E31" s="15" t="n">
        <v>0.19</v>
      </c>
      <c r="F31" s="16" t="n">
        <v>72.4</v>
      </c>
      <c r="G31" s="15" t="n">
        <v>4.31</v>
      </c>
      <c r="H31" s="6" t="n">
        <v>2</v>
      </c>
      <c r="I31" s="10" t="s">
        <v>49</v>
      </c>
    </row>
    <row r="32" customFormat="false" ht="15" hidden="false" customHeight="false" outlineLevel="0" collapsed="false">
      <c r="A32" s="5" t="s">
        <v>54</v>
      </c>
      <c r="B32" s="7" t="s">
        <v>55</v>
      </c>
      <c r="C32" s="5" t="n">
        <v>22</v>
      </c>
      <c r="D32" s="14" t="n">
        <v>1132</v>
      </c>
      <c r="E32" s="15" t="n">
        <v>0.18</v>
      </c>
      <c r="F32" s="16" t="n">
        <v>43.6</v>
      </c>
      <c r="G32" s="15" t="n">
        <v>3.25</v>
      </c>
      <c r="H32" s="6" t="n">
        <v>1</v>
      </c>
      <c r="I32" s="10" t="s">
        <v>49</v>
      </c>
    </row>
    <row r="33" customFormat="false" ht="15" hidden="false" customHeight="false" outlineLevel="0" collapsed="false">
      <c r="A33" s="5" t="s">
        <v>56</v>
      </c>
      <c r="B33" s="7" t="s">
        <v>57</v>
      </c>
      <c r="C33" s="5" t="n">
        <v>10</v>
      </c>
      <c r="D33" s="14" t="n">
        <v>1231</v>
      </c>
      <c r="E33" s="15" t="n">
        <v>0</v>
      </c>
      <c r="F33" s="16" t="n">
        <v>56.5</v>
      </c>
      <c r="G33" s="15" t="n">
        <v>2.69</v>
      </c>
      <c r="H33" s="6" t="n">
        <v>1</v>
      </c>
      <c r="I33" s="10" t="s">
        <v>49</v>
      </c>
    </row>
    <row r="34" customFormat="false" ht="15" hidden="false" customHeight="false" outlineLevel="0" collapsed="false">
      <c r="A34" s="5" t="s">
        <v>58</v>
      </c>
      <c r="B34" s="7" t="s">
        <v>59</v>
      </c>
      <c r="C34" s="5" t="n">
        <v>10</v>
      </c>
      <c r="D34" s="14" t="n">
        <v>754.5</v>
      </c>
      <c r="E34" s="15" t="n">
        <v>0</v>
      </c>
      <c r="F34" s="16" t="n">
        <v>42.7</v>
      </c>
      <c r="G34" s="15" t="n">
        <v>0</v>
      </c>
      <c r="H34" s="6" t="n">
        <v>1</v>
      </c>
      <c r="I34" s="10" t="s">
        <v>49</v>
      </c>
    </row>
    <row r="35" customFormat="false" ht="15" hidden="false" customHeight="false" outlineLevel="0" collapsed="false">
      <c r="A35" s="5" t="s">
        <v>60</v>
      </c>
      <c r="B35" s="7" t="s">
        <v>61</v>
      </c>
      <c r="C35" s="5" t="n">
        <v>1</v>
      </c>
      <c r="D35" s="14" t="n">
        <v>17</v>
      </c>
      <c r="E35" s="15" t="n">
        <v>0</v>
      </c>
      <c r="F35" s="16" t="n">
        <v>20.2</v>
      </c>
      <c r="G35" s="15" t="n">
        <v>3.61</v>
      </c>
      <c r="H35" s="6" t="n">
        <v>0</v>
      </c>
      <c r="I35" s="10" t="s">
        <v>49</v>
      </c>
    </row>
    <row r="38" customFormat="false" ht="15" hidden="false" customHeight="false" outlineLevel="0" collapsed="false">
      <c r="A38" s="12" t="s">
        <v>62</v>
      </c>
    </row>
    <row r="39" customFormat="false" ht="15" hidden="false" customHeight="false" outlineLevel="0" collapsed="false">
      <c r="A39" s="13" t="s">
        <v>63</v>
      </c>
      <c r="B39" s="4" t="s">
        <v>64</v>
      </c>
      <c r="C39" s="4" t="s">
        <v>65</v>
      </c>
    </row>
    <row r="40" customFormat="false" ht="45.75" hidden="false" customHeight="true" outlineLevel="0" collapsed="false">
      <c r="A40" s="8" t="s">
        <v>66</v>
      </c>
      <c r="B40" s="18" t="s">
        <v>67</v>
      </c>
      <c r="C40" s="18" t="s">
        <v>68</v>
      </c>
    </row>
    <row r="41" customFormat="false" ht="45.75" hidden="false" customHeight="true" outlineLevel="0" collapsed="false">
      <c r="A41" s="5" t="s">
        <v>69</v>
      </c>
      <c r="B41" s="18" t="s">
        <v>70</v>
      </c>
      <c r="C41" s="19" t="s">
        <v>71</v>
      </c>
    </row>
    <row r="42" customFormat="false" ht="45.75" hidden="false" customHeight="true" outlineLevel="0" collapsed="false">
      <c r="A42" s="5" t="s">
        <v>72</v>
      </c>
      <c r="B42" s="18" t="s">
        <v>73</v>
      </c>
      <c r="C42" s="19" t="s">
        <v>74</v>
      </c>
    </row>
    <row r="43" customFormat="false" ht="45.75" hidden="false" customHeight="true" outlineLevel="0" collapsed="false">
      <c r="A43" s="5" t="s">
        <v>75</v>
      </c>
      <c r="B43" s="19" t="s">
        <v>76</v>
      </c>
      <c r="C43" s="18" t="s">
        <v>77</v>
      </c>
    </row>
    <row r="44" customFormat="false" ht="45.75" hidden="false" customHeight="true" outlineLevel="0" collapsed="false">
      <c r="A44" s="5" t="s">
        <v>78</v>
      </c>
      <c r="B44" s="18" t="s">
        <v>79</v>
      </c>
      <c r="C44" s="19" t="s">
        <v>80</v>
      </c>
    </row>
    <row r="45" customFormat="false" ht="45.75" hidden="false" customHeight="true" outlineLevel="0" collapsed="false">
      <c r="A45" s="5" t="s">
        <v>81</v>
      </c>
      <c r="B45" s="19" t="s">
        <v>82</v>
      </c>
      <c r="C45" s="19" t="s">
        <v>83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9" topLeftCell="A2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"/>
    <col collapsed="false" customWidth="true" hidden="false" outlineLevel="0" max="11" min="3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5"/>
  </cols>
  <sheetData>
    <row r="1" customFormat="false" ht="21.6" hidden="false" customHeight="false" outlineLevel="0" collapsed="false">
      <c r="A1" s="20" t="s">
        <v>84</v>
      </c>
    </row>
    <row r="3" customFormat="false" ht="29.85" hidden="false" customHeight="false" outlineLevel="0" collapsed="false">
      <c r="A3" s="13" t="s">
        <v>26</v>
      </c>
      <c r="B3" s="4" t="s">
        <v>27</v>
      </c>
      <c r="C3" s="4" t="s">
        <v>28</v>
      </c>
      <c r="D3" s="4" t="s">
        <v>85</v>
      </c>
      <c r="E3" s="4" t="s">
        <v>86</v>
      </c>
      <c r="F3" s="4" t="s">
        <v>87</v>
      </c>
      <c r="G3" s="4" t="s">
        <v>30</v>
      </c>
      <c r="H3" s="4" t="s">
        <v>88</v>
      </c>
      <c r="I3" s="4" t="s">
        <v>89</v>
      </c>
      <c r="J3" s="4" t="s">
        <v>31</v>
      </c>
      <c r="K3" s="4" t="s">
        <v>90</v>
      </c>
      <c r="L3" s="4" t="s">
        <v>91</v>
      </c>
      <c r="M3" s="4" t="s">
        <v>92</v>
      </c>
      <c r="N3" s="13" t="s">
        <v>93</v>
      </c>
    </row>
    <row r="4" customFormat="false" ht="15" hidden="false" customHeight="false" outlineLevel="0" collapsed="false">
      <c r="A4" s="5" t="s">
        <v>35</v>
      </c>
      <c r="B4" s="7" t="s">
        <v>36</v>
      </c>
      <c r="C4" s="5" t="n">
        <v>39</v>
      </c>
      <c r="D4" s="14" t="n">
        <v>29763</v>
      </c>
      <c r="E4" s="14" t="n">
        <v>942</v>
      </c>
      <c r="F4" s="5" t="n">
        <v>23</v>
      </c>
      <c r="G4" s="15" t="n">
        <v>0.77</v>
      </c>
      <c r="H4" s="15" t="n">
        <v>0.41</v>
      </c>
      <c r="I4" s="21" t="n">
        <v>0.003</v>
      </c>
      <c r="J4" s="16" t="n">
        <v>37.9</v>
      </c>
      <c r="K4" s="16" t="n">
        <v>14.3</v>
      </c>
      <c r="L4" s="14" t="n">
        <v>8178</v>
      </c>
      <c r="M4" s="15" t="n">
        <v>1.3</v>
      </c>
      <c r="N4" s="6" t="n">
        <v>15</v>
      </c>
    </row>
    <row r="5" customFormat="false" ht="15" hidden="false" customHeight="false" outlineLevel="0" collapsed="false">
      <c r="A5" s="5" t="s">
        <v>38</v>
      </c>
      <c r="B5" s="7" t="s">
        <v>39</v>
      </c>
      <c r="C5" s="5" t="n">
        <v>29</v>
      </c>
      <c r="D5" s="14" t="n">
        <v>40495</v>
      </c>
      <c r="E5" s="14" t="n">
        <v>1198</v>
      </c>
      <c r="F5" s="5" t="n">
        <v>29</v>
      </c>
      <c r="G5" s="15" t="n">
        <v>0.72</v>
      </c>
      <c r="H5" s="15" t="n">
        <v>0.35</v>
      </c>
      <c r="I5" s="21" t="n">
        <v>0.007</v>
      </c>
      <c r="J5" s="16" t="n">
        <v>57</v>
      </c>
      <c r="K5" s="16" t="n">
        <v>31.7</v>
      </c>
      <c r="L5" s="14" t="n">
        <v>2523</v>
      </c>
      <c r="M5" s="15" t="n">
        <v>2.62</v>
      </c>
      <c r="N5" s="6" t="n">
        <v>24</v>
      </c>
    </row>
    <row r="6" customFormat="false" ht="15" hidden="false" customHeight="false" outlineLevel="0" collapsed="false">
      <c r="A6" s="5" t="s">
        <v>40</v>
      </c>
      <c r="B6" s="7" t="s">
        <v>41</v>
      </c>
      <c r="C6" s="5" t="n">
        <v>8</v>
      </c>
      <c r="D6" s="14" t="n">
        <v>5259</v>
      </c>
      <c r="E6" s="14" t="n">
        <v>765.5</v>
      </c>
      <c r="F6" s="5" t="n">
        <v>3</v>
      </c>
      <c r="G6" s="15" t="n">
        <v>0.57</v>
      </c>
      <c r="H6" s="15" t="n">
        <v>0.21</v>
      </c>
      <c r="I6" s="21" t="n">
        <v>0</v>
      </c>
      <c r="J6" s="16" t="n">
        <v>63.5</v>
      </c>
      <c r="K6" s="16" t="n">
        <v>22.6</v>
      </c>
      <c r="L6" s="14" t="n">
        <v>47</v>
      </c>
      <c r="M6" s="15" t="n">
        <v>4.26</v>
      </c>
      <c r="N6" s="6"/>
    </row>
    <row r="7" customFormat="false" ht="15" hidden="false" customHeight="false" outlineLevel="0" collapsed="false">
      <c r="A7" s="5" t="s">
        <v>42</v>
      </c>
      <c r="B7" s="7" t="s">
        <v>43</v>
      </c>
      <c r="C7" s="5" t="n">
        <v>32</v>
      </c>
      <c r="D7" s="14" t="n">
        <v>26818</v>
      </c>
      <c r="E7" s="14" t="n">
        <v>871.5</v>
      </c>
      <c r="F7" s="5" t="n">
        <v>14</v>
      </c>
      <c r="G7" s="15" t="n">
        <v>0.52</v>
      </c>
      <c r="H7" s="15" t="n">
        <v>0.56</v>
      </c>
      <c r="I7" s="21" t="n">
        <v>0.007</v>
      </c>
      <c r="J7" s="16" t="n">
        <v>42.9</v>
      </c>
      <c r="K7" s="16" t="n">
        <v>15</v>
      </c>
      <c r="L7" s="14" t="n">
        <v>1641</v>
      </c>
      <c r="M7" s="15" t="n">
        <v>1.46</v>
      </c>
      <c r="N7" s="6" t="n">
        <v>19</v>
      </c>
    </row>
    <row r="8" customFormat="false" ht="15" hidden="false" customHeight="false" outlineLevel="0" collapsed="false">
      <c r="A8" s="5" t="s">
        <v>44</v>
      </c>
      <c r="B8" s="7" t="s">
        <v>45</v>
      </c>
      <c r="C8" s="5" t="n">
        <v>28</v>
      </c>
      <c r="D8" s="14" t="n">
        <v>26883</v>
      </c>
      <c r="E8" s="14" t="n">
        <v>978</v>
      </c>
      <c r="F8" s="5" t="n">
        <v>11</v>
      </c>
      <c r="G8" s="15" t="n">
        <v>0.41</v>
      </c>
      <c r="H8" s="15" t="n">
        <v>0.44</v>
      </c>
      <c r="I8" s="21" t="n">
        <v>0</v>
      </c>
      <c r="J8" s="16" t="n">
        <v>41.1</v>
      </c>
      <c r="K8" s="16" t="n">
        <v>16.4</v>
      </c>
      <c r="L8" s="14" t="n">
        <v>1652</v>
      </c>
      <c r="M8" s="15" t="n">
        <v>1.39</v>
      </c>
      <c r="N8" s="6" t="n">
        <v>40</v>
      </c>
    </row>
    <row r="9" customFormat="false" ht="15" hidden="false" customHeight="false" outlineLevel="0" collapsed="false">
      <c r="A9" s="5" t="s">
        <v>47</v>
      </c>
      <c r="B9" s="7" t="s">
        <v>48</v>
      </c>
      <c r="C9" s="5" t="n">
        <v>28</v>
      </c>
      <c r="D9" s="14" t="n">
        <v>29197</v>
      </c>
      <c r="E9" s="14" t="n">
        <v>1000</v>
      </c>
      <c r="F9" s="5" t="n">
        <v>7</v>
      </c>
      <c r="G9" s="15" t="n">
        <v>0.24</v>
      </c>
      <c r="H9" s="15" t="n">
        <v>0.23</v>
      </c>
      <c r="I9" s="21" t="n">
        <v>0.021</v>
      </c>
      <c r="J9" s="16" t="n">
        <v>40.9</v>
      </c>
      <c r="K9" s="16" t="n">
        <v>16.3</v>
      </c>
      <c r="L9" s="14" t="n">
        <v>1016</v>
      </c>
      <c r="M9" s="15" t="n">
        <v>0.69</v>
      </c>
      <c r="N9" s="6" t="n">
        <v>20</v>
      </c>
    </row>
    <row r="10" customFormat="false" ht="15" hidden="false" customHeight="false" outlineLevel="0" collapsed="false">
      <c r="A10" s="5" t="s">
        <v>50</v>
      </c>
      <c r="B10" s="7" t="s">
        <v>51</v>
      </c>
      <c r="C10" s="5" t="n">
        <v>38</v>
      </c>
      <c r="D10" s="14" t="n">
        <v>37262</v>
      </c>
      <c r="E10" s="14" t="n">
        <v>967.5</v>
      </c>
      <c r="F10" s="5" t="n">
        <v>8</v>
      </c>
      <c r="G10" s="15" t="n">
        <v>0.21</v>
      </c>
      <c r="H10" s="15" t="n">
        <v>0.24</v>
      </c>
      <c r="I10" s="21" t="n">
        <v>0.016</v>
      </c>
      <c r="J10" s="16" t="n">
        <v>49.9</v>
      </c>
      <c r="K10" s="16" t="n">
        <v>14.9</v>
      </c>
      <c r="L10" s="14" t="n">
        <v>240</v>
      </c>
      <c r="M10" s="15" t="n">
        <v>2.08</v>
      </c>
      <c r="N10" s="6" t="n">
        <v>24</v>
      </c>
    </row>
    <row r="11" customFormat="false" ht="15" hidden="false" customHeight="false" outlineLevel="0" collapsed="false">
      <c r="A11" s="5" t="s">
        <v>52</v>
      </c>
      <c r="B11" s="7" t="s">
        <v>53</v>
      </c>
      <c r="C11" s="5" t="n">
        <v>5</v>
      </c>
      <c r="D11" s="14" t="n">
        <v>21494</v>
      </c>
      <c r="E11" s="14" t="n">
        <v>229</v>
      </c>
      <c r="F11" s="5" t="n">
        <v>4</v>
      </c>
      <c r="G11" s="15" t="n">
        <v>0.19</v>
      </c>
      <c r="H11" s="15" t="n">
        <v>0.24</v>
      </c>
      <c r="I11" s="21" t="n">
        <v>0.005</v>
      </c>
      <c r="J11" s="16" t="n">
        <v>72.4</v>
      </c>
      <c r="K11" s="16" t="n">
        <v>21.4</v>
      </c>
      <c r="L11" s="14" t="n">
        <v>3408</v>
      </c>
      <c r="M11" s="15" t="n">
        <v>4.31</v>
      </c>
      <c r="N11" s="6"/>
    </row>
    <row r="12" customFormat="false" ht="15" hidden="false" customHeight="false" outlineLevel="0" collapsed="false">
      <c r="A12" s="5" t="s">
        <v>54</v>
      </c>
      <c r="B12" s="7" t="s">
        <v>55</v>
      </c>
      <c r="C12" s="5" t="n">
        <v>22</v>
      </c>
      <c r="D12" s="14" t="n">
        <v>22702</v>
      </c>
      <c r="E12" s="14" t="n">
        <v>1132</v>
      </c>
      <c r="F12" s="5" t="n">
        <v>4</v>
      </c>
      <c r="G12" s="15" t="n">
        <v>0.18</v>
      </c>
      <c r="H12" s="15" t="n">
        <v>0.24</v>
      </c>
      <c r="I12" s="21" t="n">
        <v>0.004</v>
      </c>
      <c r="J12" s="16" t="n">
        <v>43.6</v>
      </c>
      <c r="K12" s="16" t="n">
        <v>13.3</v>
      </c>
      <c r="L12" s="14" t="n">
        <v>1137</v>
      </c>
      <c r="M12" s="15" t="n">
        <v>3.25</v>
      </c>
      <c r="N12" s="6"/>
    </row>
    <row r="13" customFormat="false" ht="15" hidden="false" customHeight="false" outlineLevel="0" collapsed="false">
      <c r="A13" s="5" t="s">
        <v>60</v>
      </c>
      <c r="B13" s="7" t="s">
        <v>61</v>
      </c>
      <c r="C13" s="5" t="n">
        <v>1</v>
      </c>
      <c r="D13" s="14" t="n">
        <v>17</v>
      </c>
      <c r="E13" s="14" t="n">
        <v>17</v>
      </c>
      <c r="F13" s="5" t="n">
        <v>0</v>
      </c>
      <c r="G13" s="15" t="n">
        <v>0</v>
      </c>
      <c r="H13" s="15" t="n">
        <v>0</v>
      </c>
      <c r="I13" s="21" t="n">
        <v>0</v>
      </c>
      <c r="J13" s="16" t="n">
        <v>20.2</v>
      </c>
      <c r="K13" s="16" t="n">
        <v>3</v>
      </c>
      <c r="L13" s="14" t="n">
        <v>83</v>
      </c>
      <c r="M13" s="15" t="n">
        <v>3.61</v>
      </c>
      <c r="N13" s="6"/>
    </row>
    <row r="14" customFormat="false" ht="15" hidden="false" customHeight="false" outlineLevel="0" collapsed="false">
      <c r="A14" s="5" t="s">
        <v>56</v>
      </c>
      <c r="B14" s="7" t="s">
        <v>57</v>
      </c>
      <c r="C14" s="5" t="n">
        <v>10</v>
      </c>
      <c r="D14" s="14" t="n">
        <v>33283</v>
      </c>
      <c r="E14" s="14" t="n">
        <v>1231</v>
      </c>
      <c r="F14" s="5" t="n">
        <v>0</v>
      </c>
      <c r="G14" s="15" t="n">
        <v>0</v>
      </c>
      <c r="H14" s="15" t="n">
        <v>0.17</v>
      </c>
      <c r="I14" s="21" t="n">
        <v>0.006</v>
      </c>
      <c r="J14" s="16" t="n">
        <v>56.5</v>
      </c>
      <c r="K14" s="16" t="n">
        <v>19.4</v>
      </c>
      <c r="L14" s="14" t="n">
        <v>521</v>
      </c>
      <c r="M14" s="15" t="n">
        <v>2.69</v>
      </c>
      <c r="N14" s="6"/>
    </row>
    <row r="15" customFormat="false" ht="15" hidden="false" customHeight="false" outlineLevel="0" collapsed="false">
      <c r="A15" s="5" t="s">
        <v>58</v>
      </c>
      <c r="B15" s="7" t="s">
        <v>59</v>
      </c>
      <c r="C15" s="5" t="n">
        <v>10</v>
      </c>
      <c r="D15" s="14" t="n">
        <v>7047</v>
      </c>
      <c r="E15" s="14" t="n">
        <v>754.5</v>
      </c>
      <c r="F15" s="5" t="n">
        <v>0</v>
      </c>
      <c r="G15" s="15" t="n">
        <v>0</v>
      </c>
      <c r="H15" s="15" t="n">
        <v>0.4</v>
      </c>
      <c r="I15" s="21" t="n">
        <v>0.014</v>
      </c>
      <c r="J15" s="16" t="n">
        <v>42.7</v>
      </c>
      <c r="K15" s="16" t="n">
        <v>14.6</v>
      </c>
      <c r="L15" s="14" t="n">
        <v>155</v>
      </c>
      <c r="M15" s="15" t="n">
        <v>0</v>
      </c>
      <c r="N15" s="6"/>
    </row>
    <row r="16" customFormat="false" ht="17.15" hidden="false" customHeight="false" outlineLevel="0" collapsed="false">
      <c r="A16" s="11" t="s">
        <v>94</v>
      </c>
      <c r="C16" s="22" t="n">
        <f aca="false">SUM(C4:C15)</f>
        <v>250</v>
      </c>
      <c r="D16" s="22" t="n">
        <f aca="false">SUM(D4:D15)</f>
        <v>280220</v>
      </c>
      <c r="F16" s="22" t="n">
        <f aca="false">SUM(F4:F15)</f>
        <v>103</v>
      </c>
      <c r="G16" s="23" t="n">
        <f aca="false">IF(D16=0,0,1000*F16/D16)</f>
        <v>0.367568339162087</v>
      </c>
      <c r="J16" s="24" t="n">
        <f aca="false">AVERAGE(J4:J15)</f>
        <v>47.3833333333333</v>
      </c>
      <c r="K16" s="24" t="n">
        <f aca="false">AVERAGE(K4:K15)</f>
        <v>16.9083333333333</v>
      </c>
      <c r="L16" s="22" t="n">
        <f aca="false">SUM(L4:L15)</f>
        <v>20601</v>
      </c>
    </row>
    <row r="18" customFormat="false" ht="19.4" hidden="false" customHeight="false" outlineLevel="0" collapsed="false">
      <c r="A18" s="12" t="s">
        <v>95</v>
      </c>
    </row>
    <row r="19" customFormat="false" ht="15" hidden="false" customHeight="false" outlineLevel="0" collapsed="false">
      <c r="A19" s="13" t="s">
        <v>26</v>
      </c>
      <c r="B19" s="4" t="s">
        <v>28</v>
      </c>
      <c r="C19" s="13" t="s">
        <v>96</v>
      </c>
      <c r="D19" s="13" t="s">
        <v>97</v>
      </c>
      <c r="E19" s="13" t="s">
        <v>98</v>
      </c>
      <c r="F19" s="13" t="s">
        <v>99</v>
      </c>
      <c r="G19" s="13" t="s">
        <v>100</v>
      </c>
      <c r="H19" s="13" t="s">
        <v>101</v>
      </c>
      <c r="I19" s="13" t="s">
        <v>102</v>
      </c>
      <c r="J19" s="13" t="s">
        <v>103</v>
      </c>
      <c r="K19" s="13" t="s">
        <v>104</v>
      </c>
    </row>
    <row r="20" customFormat="false" ht="15" hidden="false" customHeight="false" outlineLevel="0" collapsed="false">
      <c r="A20" s="5" t="s">
        <v>50</v>
      </c>
      <c r="B20" s="5" t="n">
        <v>19</v>
      </c>
      <c r="C20" s="16" t="n">
        <v>109.9</v>
      </c>
      <c r="D20" s="16" t="n">
        <v>106.4</v>
      </c>
      <c r="E20" s="16" t="n">
        <v>89.3</v>
      </c>
      <c r="F20" s="16" t="n">
        <v>72.4</v>
      </c>
      <c r="G20" s="25" t="n">
        <v>52.8</v>
      </c>
      <c r="H20" s="16" t="n">
        <v>33.5</v>
      </c>
      <c r="I20" s="16" t="n">
        <v>24.3</v>
      </c>
      <c r="J20" s="16" t="n">
        <v>13.9</v>
      </c>
      <c r="K20" s="16" t="n">
        <v>11.7</v>
      </c>
    </row>
    <row r="21" customFormat="false" ht="15" hidden="false" customHeight="false" outlineLevel="0" collapsed="false">
      <c r="A21" s="5" t="s">
        <v>40</v>
      </c>
      <c r="B21" s="5" t="n">
        <v>6</v>
      </c>
      <c r="C21" s="16" t="n">
        <v>123.9</v>
      </c>
      <c r="D21" s="16" t="n">
        <v>122</v>
      </c>
      <c r="E21" s="16" t="n">
        <v>103.1</v>
      </c>
      <c r="F21" s="16" t="n">
        <v>78.7</v>
      </c>
      <c r="G21" s="26" t="n">
        <v>61</v>
      </c>
      <c r="H21" s="16" t="n">
        <v>46.1</v>
      </c>
      <c r="I21" s="16" t="n">
        <v>39</v>
      </c>
      <c r="J21" s="16" t="n">
        <v>33.9</v>
      </c>
      <c r="K21" s="16" t="n">
        <v>29.1</v>
      </c>
    </row>
    <row r="22" customFormat="false" ht="15" hidden="false" customHeight="false" outlineLevel="0" collapsed="false">
      <c r="A22" s="5" t="s">
        <v>52</v>
      </c>
      <c r="B22" s="5" t="n">
        <v>7</v>
      </c>
      <c r="C22" s="16" t="n">
        <v>123</v>
      </c>
      <c r="D22" s="16" t="n">
        <v>115.5</v>
      </c>
      <c r="E22" s="16" t="n">
        <v>110</v>
      </c>
      <c r="F22" s="16" t="n">
        <v>94.9</v>
      </c>
      <c r="G22" s="25" t="n">
        <v>77.1</v>
      </c>
      <c r="H22" s="16" t="n">
        <v>58.9</v>
      </c>
      <c r="I22" s="16" t="n">
        <v>49.5</v>
      </c>
      <c r="J22" s="16" t="n">
        <v>42.1</v>
      </c>
      <c r="K22" s="16" t="n">
        <v>40.2</v>
      </c>
    </row>
    <row r="23" customFormat="false" ht="15" hidden="false" customHeight="false" outlineLevel="0" collapsed="false">
      <c r="A23" s="5" t="s">
        <v>54</v>
      </c>
      <c r="B23" s="5" t="n">
        <v>10</v>
      </c>
      <c r="C23" s="16" t="n">
        <v>121.9</v>
      </c>
      <c r="D23" s="16" t="n">
        <v>119.7</v>
      </c>
      <c r="E23" s="16" t="n">
        <v>114.7</v>
      </c>
      <c r="F23" s="16" t="n">
        <v>88.5</v>
      </c>
      <c r="G23" s="26" t="n">
        <v>56.1</v>
      </c>
      <c r="H23" s="16" t="n">
        <v>37.9</v>
      </c>
      <c r="I23" s="16" t="n">
        <v>30</v>
      </c>
      <c r="J23" s="16" t="n">
        <v>26.4</v>
      </c>
      <c r="K23" s="16" t="n">
        <v>25</v>
      </c>
    </row>
    <row r="24" customFormat="false" ht="15" hidden="false" customHeight="false" outlineLevel="0" collapsed="false">
      <c r="A24" s="5" t="s">
        <v>56</v>
      </c>
      <c r="B24" s="5" t="n">
        <v>11</v>
      </c>
      <c r="C24" s="16" t="n">
        <v>128</v>
      </c>
      <c r="D24" s="16" t="n">
        <v>121.6</v>
      </c>
      <c r="E24" s="16" t="n">
        <v>108</v>
      </c>
      <c r="F24" s="16" t="n">
        <v>91.6</v>
      </c>
      <c r="G24" s="25" t="n">
        <v>72</v>
      </c>
      <c r="H24" s="16" t="n">
        <v>53.3</v>
      </c>
      <c r="I24" s="16" t="n">
        <v>45.5</v>
      </c>
      <c r="J24" s="16" t="n">
        <v>38</v>
      </c>
      <c r="K24" s="16" t="n">
        <v>35.1</v>
      </c>
    </row>
    <row r="25" customFormat="false" ht="15" hidden="false" customHeight="false" outlineLevel="0" collapsed="false">
      <c r="A25" s="5" t="s">
        <v>38</v>
      </c>
      <c r="B25" s="5" t="n">
        <v>10</v>
      </c>
      <c r="C25" s="16" t="n">
        <v>125.8</v>
      </c>
      <c r="D25" s="16" t="n">
        <v>115.8</v>
      </c>
      <c r="E25" s="16" t="n">
        <v>94.8</v>
      </c>
      <c r="F25" s="16" t="n">
        <v>83.8</v>
      </c>
      <c r="G25" s="27" t="n">
        <v>69.6</v>
      </c>
      <c r="H25" s="16" t="n">
        <v>59.2</v>
      </c>
      <c r="I25" s="16" t="n">
        <v>52.5</v>
      </c>
      <c r="J25" s="16" t="n">
        <v>42.4</v>
      </c>
      <c r="K25" s="16" t="n">
        <v>25.2</v>
      </c>
    </row>
    <row r="26" customFormat="false" ht="15" hidden="false" customHeight="false" outlineLevel="0" collapsed="false">
      <c r="A26" s="5" t="s">
        <v>42</v>
      </c>
      <c r="B26" s="5" t="n">
        <v>76</v>
      </c>
      <c r="C26" s="16" t="n">
        <v>125</v>
      </c>
      <c r="D26" s="16" t="n">
        <v>121.4</v>
      </c>
      <c r="E26" s="16" t="n">
        <v>109.8</v>
      </c>
      <c r="F26" s="16" t="n">
        <v>90.4</v>
      </c>
      <c r="G26" s="26" t="n">
        <v>68.8</v>
      </c>
      <c r="H26" s="16" t="n">
        <v>51.5</v>
      </c>
      <c r="I26" s="16" t="n">
        <v>43.1</v>
      </c>
      <c r="J26" s="16" t="n">
        <v>30.4</v>
      </c>
      <c r="K26" s="16" t="n">
        <v>27.6</v>
      </c>
    </row>
    <row r="27" customFormat="false" ht="15" hidden="false" customHeight="false" outlineLevel="0" collapsed="false">
      <c r="A27" s="5" t="s">
        <v>58</v>
      </c>
      <c r="B27" s="5" t="n">
        <v>8</v>
      </c>
      <c r="C27" s="16" t="n">
        <v>119.9</v>
      </c>
      <c r="D27" s="16" t="n">
        <v>118.9</v>
      </c>
      <c r="E27" s="16" t="n">
        <v>89.2</v>
      </c>
      <c r="F27" s="16" t="n">
        <v>66.3</v>
      </c>
      <c r="G27" s="26" t="n">
        <v>46.4</v>
      </c>
      <c r="H27" s="16" t="n">
        <v>31.6</v>
      </c>
      <c r="I27" s="16" t="n">
        <v>26.6</v>
      </c>
      <c r="J27" s="16" t="n">
        <v>22.1</v>
      </c>
      <c r="K27" s="16" t="n">
        <v>20.8</v>
      </c>
    </row>
    <row r="28" customFormat="false" ht="15" hidden="false" customHeight="false" outlineLevel="0" collapsed="false">
      <c r="A28" s="5" t="s">
        <v>47</v>
      </c>
      <c r="B28" s="5" t="n">
        <v>34</v>
      </c>
      <c r="C28" s="16" t="n">
        <v>116.8</v>
      </c>
      <c r="D28" s="16" t="n">
        <v>109.7</v>
      </c>
      <c r="E28" s="16" t="n">
        <v>98.3</v>
      </c>
      <c r="F28" s="16" t="n">
        <v>83.4</v>
      </c>
      <c r="G28" s="25" t="n">
        <v>64.2</v>
      </c>
      <c r="H28" s="16" t="n">
        <v>48.3</v>
      </c>
      <c r="I28" s="16" t="n">
        <v>41.9</v>
      </c>
      <c r="J28" s="16" t="n">
        <v>24.7</v>
      </c>
      <c r="K28" s="16" t="n">
        <v>20.9</v>
      </c>
    </row>
    <row r="29" customFormat="false" ht="15" hidden="false" customHeight="false" outlineLevel="0" collapsed="false">
      <c r="A29" s="5" t="s">
        <v>35</v>
      </c>
      <c r="B29" s="5" t="n">
        <v>37</v>
      </c>
      <c r="C29" s="16" t="n">
        <v>112.3</v>
      </c>
      <c r="D29" s="16" t="n">
        <v>108.3</v>
      </c>
      <c r="E29" s="16" t="n">
        <v>99.5</v>
      </c>
      <c r="F29" s="16" t="n">
        <v>80.9</v>
      </c>
      <c r="G29" s="26" t="n">
        <v>58.5</v>
      </c>
      <c r="H29" s="16" t="n">
        <v>41.3</v>
      </c>
      <c r="I29" s="16" t="n">
        <v>34.5</v>
      </c>
      <c r="J29" s="16" t="n">
        <v>21.2</v>
      </c>
      <c r="K29" s="16" t="n">
        <v>16.4</v>
      </c>
    </row>
    <row r="30" customFormat="false" ht="15" hidden="false" customHeight="false" outlineLevel="0" collapsed="false">
      <c r="A30" s="5" t="s">
        <v>44</v>
      </c>
      <c r="B30" s="5" t="n">
        <v>34</v>
      </c>
      <c r="C30" s="16" t="n">
        <v>116.1</v>
      </c>
      <c r="D30" s="16" t="n">
        <v>108.5</v>
      </c>
      <c r="E30" s="16" t="n">
        <v>95.3</v>
      </c>
      <c r="F30" s="16" t="n">
        <v>79.1</v>
      </c>
      <c r="G30" s="25" t="n">
        <v>58.3</v>
      </c>
      <c r="H30" s="16" t="n">
        <v>40.4</v>
      </c>
      <c r="I30" s="16" t="n">
        <v>32.7</v>
      </c>
      <c r="J30" s="16" t="n">
        <v>23.1</v>
      </c>
      <c r="K30" s="16" t="n">
        <v>18.7</v>
      </c>
    </row>
    <row r="32" customFormat="false" ht="15" hidden="false" customHeight="false" outlineLevel="0" collapsed="false">
      <c r="A32" s="28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7" topLeftCell="A6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62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34"/>
    <col collapsed="false" customWidth="true" hidden="false" outlineLevel="0" max="8" min="8" style="0" width="9"/>
    <col collapsed="false" customWidth="true" hidden="false" outlineLevel="0" max="9" min="9" style="0" width="8"/>
  </cols>
  <sheetData>
    <row r="1" customFormat="false" ht="17.35" hidden="false" customHeight="false" outlineLevel="0" collapsed="false">
      <c r="A1" s="20" t="s">
        <v>106</v>
      </c>
    </row>
    <row r="3" customFormat="false" ht="19.4" hidden="false" customHeight="false" outlineLevel="0" collapsed="false">
      <c r="A3" s="12" t="s">
        <v>107</v>
      </c>
    </row>
    <row r="4" customFormat="false" ht="29.85" hidden="false" customHeight="false" outlineLevel="0" collapsed="false">
      <c r="A4" s="13" t="s">
        <v>26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30</v>
      </c>
      <c r="G4" s="4" t="s">
        <v>112</v>
      </c>
      <c r="H4" s="4" t="s">
        <v>113</v>
      </c>
      <c r="I4" s="4" t="s">
        <v>114</v>
      </c>
    </row>
    <row r="5" customFormat="false" ht="15" hidden="false" customHeight="false" outlineLevel="0" collapsed="false">
      <c r="A5" s="5" t="s">
        <v>42</v>
      </c>
      <c r="B5" s="5" t="s">
        <v>11</v>
      </c>
      <c r="C5" s="7" t="s">
        <v>115</v>
      </c>
      <c r="D5" s="14" t="n">
        <v>864</v>
      </c>
      <c r="E5" s="5" t="n">
        <v>3</v>
      </c>
      <c r="F5" s="15" t="n">
        <v>3.47</v>
      </c>
      <c r="G5" s="16" t="n">
        <v>43.88</v>
      </c>
      <c r="H5" s="16" t="n">
        <v>11</v>
      </c>
      <c r="I5" s="5" t="n">
        <v>9</v>
      </c>
    </row>
    <row r="6" customFormat="false" ht="15" hidden="false" customHeight="false" outlineLevel="0" collapsed="false">
      <c r="A6" s="5" t="s">
        <v>44</v>
      </c>
      <c r="B6" s="5" t="s">
        <v>10</v>
      </c>
      <c r="C6" s="5" t="s">
        <v>116</v>
      </c>
      <c r="D6" s="14" t="n">
        <v>315</v>
      </c>
      <c r="E6" s="5" t="n">
        <v>1</v>
      </c>
      <c r="F6" s="15" t="n">
        <v>3.17</v>
      </c>
      <c r="G6" s="16" t="n">
        <v>49.58</v>
      </c>
      <c r="H6" s="16" t="n">
        <v>23</v>
      </c>
      <c r="I6" s="5" t="n">
        <v>1</v>
      </c>
    </row>
    <row r="7" customFormat="false" ht="15" hidden="false" customHeight="false" outlineLevel="0" collapsed="false">
      <c r="A7" s="5" t="s">
        <v>35</v>
      </c>
      <c r="B7" s="5" t="s">
        <v>117</v>
      </c>
      <c r="C7" s="7" t="s">
        <v>118</v>
      </c>
      <c r="D7" s="14" t="n">
        <v>990</v>
      </c>
      <c r="E7" s="5" t="n">
        <v>3</v>
      </c>
      <c r="F7" s="15" t="n">
        <v>3.03</v>
      </c>
      <c r="G7" s="16" t="n">
        <v>33.31</v>
      </c>
      <c r="H7" s="16" t="n">
        <v>13</v>
      </c>
      <c r="I7" s="5" t="n">
        <v>6</v>
      </c>
    </row>
    <row r="8" customFormat="false" ht="15" hidden="false" customHeight="false" outlineLevel="0" collapsed="false">
      <c r="A8" s="5" t="s">
        <v>44</v>
      </c>
      <c r="B8" s="5" t="s">
        <v>16</v>
      </c>
      <c r="C8" s="7" t="s">
        <v>119</v>
      </c>
      <c r="D8" s="14" t="n">
        <v>992</v>
      </c>
      <c r="E8" s="5" t="n">
        <v>3</v>
      </c>
      <c r="F8" s="15" t="n">
        <v>3.02</v>
      </c>
      <c r="G8" s="16" t="n">
        <v>42.37</v>
      </c>
      <c r="H8" s="16" t="n">
        <v>13</v>
      </c>
      <c r="I8" s="5" t="n">
        <v>10</v>
      </c>
    </row>
    <row r="9" customFormat="false" ht="15" hidden="false" customHeight="false" outlineLevel="0" collapsed="false">
      <c r="A9" s="5" t="s">
        <v>42</v>
      </c>
      <c r="B9" s="5" t="s">
        <v>6</v>
      </c>
      <c r="C9" s="5" t="s">
        <v>120</v>
      </c>
      <c r="D9" s="14" t="n">
        <v>825</v>
      </c>
      <c r="E9" s="5" t="n">
        <v>2</v>
      </c>
      <c r="F9" s="15" t="n">
        <v>2.42</v>
      </c>
      <c r="G9" s="16" t="n">
        <v>30.01</v>
      </c>
      <c r="H9" s="16" t="n">
        <v>12</v>
      </c>
      <c r="I9" s="5" t="n">
        <v>5</v>
      </c>
    </row>
    <row r="10" customFormat="false" ht="15" hidden="false" customHeight="false" outlineLevel="0" collapsed="false">
      <c r="A10" s="5" t="s">
        <v>50</v>
      </c>
      <c r="B10" s="5" t="s">
        <v>15</v>
      </c>
      <c r="C10" s="7" t="s">
        <v>121</v>
      </c>
      <c r="D10" s="14" t="n">
        <v>914</v>
      </c>
      <c r="E10" s="5" t="n">
        <v>2</v>
      </c>
      <c r="F10" s="15" t="n">
        <v>2.19</v>
      </c>
      <c r="G10" s="16" t="n">
        <v>38.56</v>
      </c>
      <c r="H10" s="16" t="n">
        <v>11</v>
      </c>
      <c r="I10" s="5" t="n">
        <v>1</v>
      </c>
    </row>
    <row r="11" customFormat="false" ht="15" hidden="false" customHeight="false" outlineLevel="0" collapsed="false">
      <c r="A11" s="5" t="s">
        <v>35</v>
      </c>
      <c r="B11" s="5" t="s">
        <v>12</v>
      </c>
      <c r="C11" s="5" t="s">
        <v>122</v>
      </c>
      <c r="D11" s="14" t="n">
        <v>951</v>
      </c>
      <c r="E11" s="5" t="n">
        <v>2</v>
      </c>
      <c r="F11" s="15" t="n">
        <v>2.1</v>
      </c>
      <c r="G11" s="16" t="n">
        <v>38.39</v>
      </c>
      <c r="H11" s="16" t="n">
        <v>10</v>
      </c>
      <c r="I11" s="5" t="n">
        <v>1</v>
      </c>
    </row>
    <row r="12" customFormat="false" ht="15" hidden="false" customHeight="false" outlineLevel="0" collapsed="false">
      <c r="A12" s="5" t="s">
        <v>35</v>
      </c>
      <c r="B12" s="5" t="s">
        <v>10</v>
      </c>
      <c r="C12" s="5" t="s">
        <v>123</v>
      </c>
      <c r="D12" s="14" t="n">
        <v>961</v>
      </c>
      <c r="E12" s="5" t="n">
        <v>2</v>
      </c>
      <c r="F12" s="15" t="n">
        <v>2.08</v>
      </c>
      <c r="G12" s="16" t="n">
        <v>59.74</v>
      </c>
      <c r="H12" s="16" t="n">
        <v>23</v>
      </c>
      <c r="I12" s="5" t="n">
        <v>1</v>
      </c>
    </row>
    <row r="13" customFormat="false" ht="15" hidden="false" customHeight="false" outlineLevel="0" collapsed="false">
      <c r="A13" s="5" t="s">
        <v>44</v>
      </c>
      <c r="B13" s="5" t="s">
        <v>16</v>
      </c>
      <c r="C13" s="7" t="s">
        <v>124</v>
      </c>
      <c r="D13" s="14" t="n">
        <v>968</v>
      </c>
      <c r="E13" s="5" t="n">
        <v>2</v>
      </c>
      <c r="F13" s="15" t="n">
        <v>2.07</v>
      </c>
      <c r="G13" s="16" t="n">
        <v>52.23</v>
      </c>
      <c r="H13" s="16" t="n">
        <v>17</v>
      </c>
      <c r="I13" s="5" t="n">
        <v>14</v>
      </c>
    </row>
    <row r="14" customFormat="false" ht="15" hidden="false" customHeight="false" outlineLevel="0" collapsed="false">
      <c r="A14" s="5" t="s">
        <v>38</v>
      </c>
      <c r="B14" s="5" t="s">
        <v>11</v>
      </c>
      <c r="C14" s="5" t="s">
        <v>125</v>
      </c>
      <c r="D14" s="14" t="n">
        <v>1010</v>
      </c>
      <c r="E14" s="5" t="n">
        <v>2</v>
      </c>
      <c r="F14" s="15" t="n">
        <v>1.98</v>
      </c>
      <c r="G14" s="16" t="n">
        <v>46.56</v>
      </c>
      <c r="H14" s="16" t="n">
        <v>17</v>
      </c>
      <c r="I14" s="5" t="n">
        <v>3</v>
      </c>
    </row>
    <row r="15" customFormat="false" ht="15" hidden="false" customHeight="false" outlineLevel="0" collapsed="false">
      <c r="A15" s="5" t="s">
        <v>47</v>
      </c>
      <c r="B15" s="5" t="s">
        <v>126</v>
      </c>
      <c r="C15" s="5" t="s">
        <v>127</v>
      </c>
      <c r="D15" s="14" t="n">
        <v>1051</v>
      </c>
      <c r="E15" s="5" t="n">
        <v>2</v>
      </c>
      <c r="F15" s="15" t="n">
        <v>1.9</v>
      </c>
      <c r="G15" s="16" t="n">
        <v>26.7</v>
      </c>
      <c r="H15" s="16" t="n">
        <v>17</v>
      </c>
      <c r="I15" s="5" t="n">
        <v>4</v>
      </c>
    </row>
    <row r="16" customFormat="false" ht="15" hidden="false" customHeight="false" outlineLevel="0" collapsed="false">
      <c r="A16" s="5" t="s">
        <v>38</v>
      </c>
      <c r="B16" s="5" t="s">
        <v>128</v>
      </c>
      <c r="C16" s="7" t="s">
        <v>129</v>
      </c>
      <c r="D16" s="14" t="n">
        <v>1058</v>
      </c>
      <c r="E16" s="5" t="n">
        <v>2</v>
      </c>
      <c r="F16" s="15" t="n">
        <v>1.89</v>
      </c>
      <c r="G16" s="16" t="n">
        <v>39.03</v>
      </c>
      <c r="H16" s="16" t="n">
        <v>30</v>
      </c>
      <c r="I16" s="5" t="n">
        <v>3</v>
      </c>
    </row>
    <row r="17" customFormat="false" ht="15" hidden="false" customHeight="false" outlineLevel="0" collapsed="false">
      <c r="A17" s="5" t="s">
        <v>35</v>
      </c>
      <c r="B17" s="5" t="s">
        <v>130</v>
      </c>
      <c r="C17" s="5" t="s">
        <v>131</v>
      </c>
      <c r="D17" s="14" t="n">
        <v>1064</v>
      </c>
      <c r="E17" s="5" t="n">
        <v>2</v>
      </c>
      <c r="F17" s="15" t="n">
        <v>1.88</v>
      </c>
      <c r="G17" s="16" t="n">
        <v>45.88</v>
      </c>
      <c r="H17" s="16" t="n">
        <v>13</v>
      </c>
      <c r="I17" s="5" t="n">
        <v>5</v>
      </c>
    </row>
    <row r="18" customFormat="false" ht="15" hidden="false" customHeight="false" outlineLevel="0" collapsed="false">
      <c r="A18" s="5" t="s">
        <v>35</v>
      </c>
      <c r="B18" s="5" t="s">
        <v>16</v>
      </c>
      <c r="C18" s="5" t="s">
        <v>132</v>
      </c>
      <c r="D18" s="14" t="n">
        <v>1088</v>
      </c>
      <c r="E18" s="5" t="n">
        <v>2</v>
      </c>
      <c r="F18" s="15" t="n">
        <v>1.84</v>
      </c>
      <c r="G18" s="16" t="n">
        <v>39.77</v>
      </c>
      <c r="H18" s="16" t="n">
        <v>12</v>
      </c>
      <c r="I18" s="5" t="n">
        <v>6</v>
      </c>
    </row>
    <row r="19" customFormat="false" ht="15" hidden="false" customHeight="false" outlineLevel="0" collapsed="false">
      <c r="A19" s="5" t="s">
        <v>38</v>
      </c>
      <c r="B19" s="5" t="s">
        <v>133</v>
      </c>
      <c r="C19" s="7" t="s">
        <v>134</v>
      </c>
      <c r="D19" s="14" t="n">
        <v>1123</v>
      </c>
      <c r="E19" s="5" t="n">
        <v>2</v>
      </c>
      <c r="F19" s="15" t="n">
        <v>1.78</v>
      </c>
      <c r="G19" s="16" t="n">
        <v>42.31</v>
      </c>
      <c r="H19" s="16" t="n">
        <v>33</v>
      </c>
      <c r="I19" s="5" t="n">
        <v>10</v>
      </c>
    </row>
    <row r="20" customFormat="false" ht="15" hidden="false" customHeight="false" outlineLevel="0" collapsed="false">
      <c r="A20" s="5" t="s">
        <v>40</v>
      </c>
      <c r="B20" s="5" t="s">
        <v>135</v>
      </c>
      <c r="C20" s="7" t="s">
        <v>136</v>
      </c>
      <c r="D20" s="14" t="n">
        <v>1172</v>
      </c>
      <c r="E20" s="5" t="n">
        <v>2</v>
      </c>
      <c r="F20" s="15" t="n">
        <v>1.71</v>
      </c>
      <c r="G20" s="16" t="n">
        <v>63.63</v>
      </c>
      <c r="H20" s="16" t="n">
        <v>21</v>
      </c>
      <c r="I20" s="5" t="n">
        <v>4</v>
      </c>
    </row>
    <row r="21" customFormat="false" ht="15" hidden="false" customHeight="false" outlineLevel="0" collapsed="false">
      <c r="A21" s="5" t="s">
        <v>44</v>
      </c>
      <c r="B21" s="5" t="s">
        <v>137</v>
      </c>
      <c r="C21" s="7" t="s">
        <v>138</v>
      </c>
      <c r="D21" s="14" t="n">
        <v>1177</v>
      </c>
      <c r="E21" s="5" t="n">
        <v>2</v>
      </c>
      <c r="F21" s="15" t="n">
        <v>1.7</v>
      </c>
      <c r="G21" s="16" t="n">
        <v>64.95</v>
      </c>
      <c r="H21" s="16" t="n">
        <v>16</v>
      </c>
      <c r="I21" s="5" t="n">
        <v>10</v>
      </c>
    </row>
    <row r="22" customFormat="false" ht="15" hidden="false" customHeight="false" outlineLevel="0" collapsed="false">
      <c r="A22" s="5" t="s">
        <v>38</v>
      </c>
      <c r="B22" s="5" t="s">
        <v>117</v>
      </c>
      <c r="C22" s="7" t="s">
        <v>139</v>
      </c>
      <c r="D22" s="14" t="n">
        <v>3606</v>
      </c>
      <c r="E22" s="5" t="n">
        <v>6</v>
      </c>
      <c r="F22" s="15" t="n">
        <v>1.66</v>
      </c>
      <c r="G22" s="16" t="n">
        <v>79</v>
      </c>
      <c r="H22" s="16" t="n">
        <v>41</v>
      </c>
      <c r="I22" s="5" t="n">
        <v>8</v>
      </c>
    </row>
    <row r="23" customFormat="false" ht="15" hidden="false" customHeight="false" outlineLevel="0" collapsed="false">
      <c r="A23" s="5" t="s">
        <v>35</v>
      </c>
      <c r="B23" s="5" t="s">
        <v>140</v>
      </c>
      <c r="C23" s="7" t="s">
        <v>141</v>
      </c>
      <c r="D23" s="14" t="n">
        <v>644</v>
      </c>
      <c r="E23" s="5" t="n">
        <v>1</v>
      </c>
      <c r="F23" s="15" t="n">
        <v>1.55</v>
      </c>
      <c r="G23" s="16" t="n">
        <v>50.1</v>
      </c>
      <c r="H23" s="16" t="n">
        <v>20</v>
      </c>
      <c r="I23" s="5" t="n">
        <v>4</v>
      </c>
    </row>
    <row r="24" customFormat="false" ht="15" hidden="false" customHeight="false" outlineLevel="0" collapsed="false">
      <c r="A24" s="5" t="s">
        <v>50</v>
      </c>
      <c r="B24" s="5" t="s">
        <v>133</v>
      </c>
      <c r="C24" s="7" t="s">
        <v>142</v>
      </c>
      <c r="D24" s="14" t="n">
        <v>1319</v>
      </c>
      <c r="E24" s="5" t="n">
        <v>2</v>
      </c>
      <c r="F24" s="15" t="n">
        <v>1.52</v>
      </c>
      <c r="G24" s="16" t="n">
        <v>51.49</v>
      </c>
      <c r="H24" s="16" t="n">
        <v>11</v>
      </c>
      <c r="I24" s="5" t="n">
        <v>4</v>
      </c>
    </row>
    <row r="25" customFormat="false" ht="15" hidden="false" customHeight="false" outlineLevel="0" collapsed="false">
      <c r="A25" s="5" t="s">
        <v>38</v>
      </c>
      <c r="B25" s="5" t="s">
        <v>143</v>
      </c>
      <c r="C25" s="7" t="s">
        <v>144</v>
      </c>
      <c r="D25" s="14" t="n">
        <v>2246</v>
      </c>
      <c r="E25" s="5" t="n">
        <v>3</v>
      </c>
      <c r="F25" s="15" t="n">
        <v>1.34</v>
      </c>
      <c r="G25" s="16" t="n">
        <v>89.87</v>
      </c>
      <c r="H25" s="16" t="n">
        <v>44</v>
      </c>
      <c r="I25" s="5" t="n">
        <v>23</v>
      </c>
    </row>
    <row r="26" customFormat="false" ht="15" hidden="false" customHeight="false" outlineLevel="0" collapsed="false">
      <c r="A26" s="5" t="s">
        <v>35</v>
      </c>
      <c r="B26" s="5" t="s">
        <v>128</v>
      </c>
      <c r="C26" s="5" t="s">
        <v>145</v>
      </c>
      <c r="D26" s="14" t="n">
        <v>781</v>
      </c>
      <c r="E26" s="5" t="n">
        <v>1</v>
      </c>
      <c r="F26" s="15" t="n">
        <v>1.28</v>
      </c>
      <c r="G26" s="16" t="n">
        <v>47.13</v>
      </c>
      <c r="H26" s="16" t="n">
        <v>14</v>
      </c>
      <c r="I26" s="5" t="n">
        <v>2</v>
      </c>
    </row>
    <row r="27" customFormat="false" ht="15" hidden="false" customHeight="false" outlineLevel="0" collapsed="false">
      <c r="A27" s="5" t="s">
        <v>42</v>
      </c>
      <c r="B27" s="5" t="s">
        <v>146</v>
      </c>
      <c r="C27" s="5" t="s">
        <v>147</v>
      </c>
      <c r="D27" s="14" t="n">
        <v>816</v>
      </c>
      <c r="E27" s="5" t="n">
        <v>1</v>
      </c>
      <c r="F27" s="15" t="n">
        <v>1.23</v>
      </c>
      <c r="G27" s="16" t="n">
        <v>32.38</v>
      </c>
      <c r="H27" s="16" t="n">
        <v>14</v>
      </c>
      <c r="I27" s="5" t="n">
        <v>6</v>
      </c>
    </row>
    <row r="28" customFormat="false" ht="15" hidden="false" customHeight="false" outlineLevel="0" collapsed="false">
      <c r="A28" s="5" t="s">
        <v>50</v>
      </c>
      <c r="B28" s="5" t="s">
        <v>148</v>
      </c>
      <c r="C28" s="7" t="s">
        <v>149</v>
      </c>
      <c r="D28" s="14" t="n">
        <v>820</v>
      </c>
      <c r="E28" s="5" t="n">
        <v>1</v>
      </c>
      <c r="F28" s="15" t="n">
        <v>1.22</v>
      </c>
      <c r="G28" s="16" t="n">
        <v>31.93</v>
      </c>
      <c r="H28" s="16" t="n">
        <v>14</v>
      </c>
      <c r="I28" s="5" t="n">
        <v>1</v>
      </c>
    </row>
    <row r="29" customFormat="false" ht="15" hidden="false" customHeight="false" outlineLevel="0" collapsed="false">
      <c r="A29" s="5" t="s">
        <v>42</v>
      </c>
      <c r="B29" s="5" t="s">
        <v>143</v>
      </c>
      <c r="C29" s="5" t="s">
        <v>150</v>
      </c>
      <c r="D29" s="14" t="n">
        <v>849</v>
      </c>
      <c r="E29" s="5" t="n">
        <v>1</v>
      </c>
      <c r="F29" s="15" t="n">
        <v>1.18</v>
      </c>
      <c r="G29" s="16" t="n">
        <v>59.57</v>
      </c>
      <c r="H29" s="16" t="n">
        <v>23</v>
      </c>
      <c r="I29" s="5" t="n">
        <v>7</v>
      </c>
    </row>
    <row r="30" customFormat="false" ht="15" hidden="false" customHeight="false" outlineLevel="0" collapsed="false">
      <c r="A30" s="5" t="s">
        <v>47</v>
      </c>
      <c r="B30" s="5" t="s">
        <v>15</v>
      </c>
      <c r="C30" s="7" t="s">
        <v>151</v>
      </c>
      <c r="D30" s="14" t="n">
        <v>861</v>
      </c>
      <c r="E30" s="5" t="n">
        <v>1</v>
      </c>
      <c r="F30" s="15" t="n">
        <v>1.16</v>
      </c>
      <c r="G30" s="16" t="n">
        <v>34.03</v>
      </c>
      <c r="H30" s="16" t="n">
        <v>14</v>
      </c>
      <c r="I30" s="5" t="n">
        <v>3</v>
      </c>
    </row>
    <row r="31" customFormat="false" ht="15" hidden="false" customHeight="false" outlineLevel="0" collapsed="false">
      <c r="A31" s="5" t="s">
        <v>42</v>
      </c>
      <c r="B31" s="5" t="s">
        <v>152</v>
      </c>
      <c r="C31" s="5" t="s">
        <v>153</v>
      </c>
      <c r="D31" s="14" t="n">
        <v>863</v>
      </c>
      <c r="E31" s="5" t="n">
        <v>1</v>
      </c>
      <c r="F31" s="15" t="n">
        <v>1.16</v>
      </c>
      <c r="G31" s="16" t="n">
        <v>31.69</v>
      </c>
      <c r="H31" s="16" t="n">
        <v>15</v>
      </c>
      <c r="I31" s="5" t="n">
        <v>7</v>
      </c>
    </row>
    <row r="32" customFormat="false" ht="15" hidden="false" customHeight="false" outlineLevel="0" collapsed="false">
      <c r="A32" s="5" t="s">
        <v>35</v>
      </c>
      <c r="B32" s="5" t="s">
        <v>11</v>
      </c>
      <c r="C32" s="5" t="s">
        <v>154</v>
      </c>
      <c r="D32" s="14" t="n">
        <v>866</v>
      </c>
      <c r="E32" s="5" t="n">
        <v>1</v>
      </c>
      <c r="F32" s="15" t="n">
        <v>1.15</v>
      </c>
      <c r="G32" s="16" t="n">
        <v>35.29</v>
      </c>
      <c r="H32" s="16" t="n">
        <v>10</v>
      </c>
      <c r="I32" s="5" t="n">
        <v>7</v>
      </c>
    </row>
    <row r="33" customFormat="false" ht="15" hidden="false" customHeight="false" outlineLevel="0" collapsed="false">
      <c r="A33" s="5" t="s">
        <v>42</v>
      </c>
      <c r="B33" s="5" t="s">
        <v>15</v>
      </c>
      <c r="C33" s="7" t="s">
        <v>155</v>
      </c>
      <c r="D33" s="14" t="n">
        <v>890</v>
      </c>
      <c r="E33" s="5" t="n">
        <v>1</v>
      </c>
      <c r="F33" s="15" t="n">
        <v>1.12</v>
      </c>
      <c r="G33" s="16" t="n">
        <v>40.47</v>
      </c>
      <c r="H33" s="16" t="n">
        <v>12</v>
      </c>
      <c r="I33" s="5" t="n">
        <v>10</v>
      </c>
    </row>
    <row r="34" customFormat="false" ht="15" hidden="false" customHeight="false" outlineLevel="0" collapsed="false">
      <c r="A34" s="5" t="s">
        <v>44</v>
      </c>
      <c r="B34" s="5" t="s">
        <v>143</v>
      </c>
      <c r="C34" s="5" t="s">
        <v>156</v>
      </c>
      <c r="D34" s="14" t="n">
        <v>896</v>
      </c>
      <c r="E34" s="5" t="n">
        <v>1</v>
      </c>
      <c r="F34" s="15" t="n">
        <v>1.12</v>
      </c>
      <c r="G34" s="16" t="n">
        <v>0</v>
      </c>
      <c r="H34" s="16" t="n">
        <v>23</v>
      </c>
      <c r="I34" s="5" t="n">
        <v>5</v>
      </c>
    </row>
    <row r="37" customFormat="false" ht="19.4" hidden="false" customHeight="false" outlineLevel="0" collapsed="false">
      <c r="A37" s="12" t="s">
        <v>157</v>
      </c>
    </row>
    <row r="38" customFormat="false" ht="26.85" hidden="false" customHeight="false" outlineLevel="0" collapsed="false">
      <c r="A38" s="13" t="s">
        <v>26</v>
      </c>
      <c r="B38" s="4" t="s">
        <v>108</v>
      </c>
      <c r="C38" s="4" t="s">
        <v>109</v>
      </c>
      <c r="D38" s="4" t="s">
        <v>110</v>
      </c>
      <c r="E38" s="4" t="s">
        <v>112</v>
      </c>
      <c r="F38" s="4" t="s">
        <v>113</v>
      </c>
      <c r="G38" s="4" t="s">
        <v>158</v>
      </c>
    </row>
    <row r="39" customFormat="false" ht="15" hidden="false" customHeight="false" outlineLevel="0" collapsed="false">
      <c r="A39" s="5" t="s">
        <v>56</v>
      </c>
      <c r="B39" s="5" t="s">
        <v>135</v>
      </c>
      <c r="C39" s="5" t="s">
        <v>159</v>
      </c>
      <c r="D39" s="14" t="n">
        <v>12733</v>
      </c>
      <c r="E39" s="16" t="n">
        <v>89.79</v>
      </c>
      <c r="F39" s="16" t="n">
        <v>28</v>
      </c>
      <c r="G39" s="7" t="s">
        <v>160</v>
      </c>
    </row>
    <row r="40" customFormat="false" ht="15" hidden="false" customHeight="false" outlineLevel="0" collapsed="false">
      <c r="A40" s="5" t="s">
        <v>56</v>
      </c>
      <c r="B40" s="5" t="s">
        <v>146</v>
      </c>
      <c r="C40" s="7" t="s">
        <v>161</v>
      </c>
      <c r="D40" s="14" t="n">
        <v>10226</v>
      </c>
      <c r="E40" s="16" t="n">
        <v>70</v>
      </c>
      <c r="F40" s="16" t="n">
        <v>21</v>
      </c>
      <c r="G40" s="7" t="s">
        <v>160</v>
      </c>
    </row>
    <row r="41" customFormat="false" ht="15" hidden="false" customHeight="false" outlineLevel="0" collapsed="false">
      <c r="A41" s="5" t="s">
        <v>44</v>
      </c>
      <c r="B41" s="5" t="s">
        <v>162</v>
      </c>
      <c r="C41" s="7" t="s">
        <v>163</v>
      </c>
      <c r="D41" s="14" t="n">
        <v>2347</v>
      </c>
      <c r="E41" s="16" t="n">
        <v>34.28</v>
      </c>
      <c r="F41" s="16" t="n">
        <v>10</v>
      </c>
      <c r="G41" s="7" t="s">
        <v>164</v>
      </c>
    </row>
    <row r="42" customFormat="false" ht="15" hidden="false" customHeight="false" outlineLevel="0" collapsed="false">
      <c r="A42" s="5" t="s">
        <v>44</v>
      </c>
      <c r="B42" s="5" t="s">
        <v>165</v>
      </c>
      <c r="C42" s="7" t="s">
        <v>166</v>
      </c>
      <c r="D42" s="14" t="n">
        <v>2256</v>
      </c>
      <c r="E42" s="16" t="n">
        <v>85.8</v>
      </c>
      <c r="F42" s="16" t="n">
        <v>26</v>
      </c>
      <c r="G42" s="7" t="s">
        <v>160</v>
      </c>
    </row>
    <row r="43" customFormat="false" ht="15" hidden="false" customHeight="false" outlineLevel="0" collapsed="false">
      <c r="A43" s="5" t="s">
        <v>47</v>
      </c>
      <c r="B43" s="5" t="s">
        <v>162</v>
      </c>
      <c r="C43" s="7" t="s">
        <v>167</v>
      </c>
      <c r="D43" s="14" t="n">
        <v>1971</v>
      </c>
      <c r="E43" s="16" t="n">
        <v>69.43</v>
      </c>
      <c r="F43" s="16" t="n">
        <v>19</v>
      </c>
      <c r="G43" s="7" t="s">
        <v>160</v>
      </c>
    </row>
    <row r="44" customFormat="false" ht="15" hidden="false" customHeight="false" outlineLevel="0" collapsed="false">
      <c r="A44" s="5" t="s">
        <v>44</v>
      </c>
      <c r="B44" s="5" t="s">
        <v>133</v>
      </c>
      <c r="C44" s="7" t="s">
        <v>168</v>
      </c>
      <c r="D44" s="14" t="n">
        <v>1953</v>
      </c>
      <c r="E44" s="16" t="n">
        <v>76.26</v>
      </c>
      <c r="F44" s="16" t="n">
        <v>25</v>
      </c>
      <c r="G44" s="7" t="s">
        <v>160</v>
      </c>
    </row>
    <row r="45" customFormat="false" ht="15" hidden="false" customHeight="false" outlineLevel="0" collapsed="false">
      <c r="A45" s="5" t="s">
        <v>38</v>
      </c>
      <c r="B45" s="5" t="s">
        <v>146</v>
      </c>
      <c r="C45" s="7" t="s">
        <v>169</v>
      </c>
      <c r="D45" s="14" t="n">
        <v>1938</v>
      </c>
      <c r="E45" s="16" t="n">
        <v>68.43</v>
      </c>
      <c r="F45" s="16" t="n">
        <v>44</v>
      </c>
      <c r="G45" s="7" t="s">
        <v>160</v>
      </c>
    </row>
    <row r="46" customFormat="false" ht="15" hidden="false" customHeight="false" outlineLevel="0" collapsed="false">
      <c r="A46" s="5" t="s">
        <v>56</v>
      </c>
      <c r="B46" s="5" t="s">
        <v>16</v>
      </c>
      <c r="C46" s="7" t="s">
        <v>170</v>
      </c>
      <c r="D46" s="14" t="n">
        <v>1930</v>
      </c>
      <c r="E46" s="16" t="n">
        <v>51.12</v>
      </c>
      <c r="F46" s="16" t="n">
        <v>17</v>
      </c>
      <c r="G46" s="7" t="s">
        <v>171</v>
      </c>
    </row>
    <row r="47" customFormat="false" ht="15" hidden="false" customHeight="false" outlineLevel="0" collapsed="false">
      <c r="A47" s="5" t="s">
        <v>44</v>
      </c>
      <c r="B47" s="5" t="s">
        <v>172</v>
      </c>
      <c r="C47" s="7" t="s">
        <v>173</v>
      </c>
      <c r="D47" s="14" t="n">
        <v>1917</v>
      </c>
      <c r="E47" s="16" t="n">
        <v>54.38</v>
      </c>
      <c r="F47" s="16" t="n">
        <v>17</v>
      </c>
      <c r="G47" s="7" t="s">
        <v>171</v>
      </c>
    </row>
    <row r="48" customFormat="false" ht="15" hidden="false" customHeight="false" outlineLevel="0" collapsed="false">
      <c r="A48" s="5" t="s">
        <v>50</v>
      </c>
      <c r="B48" s="5" t="s">
        <v>140</v>
      </c>
      <c r="C48" s="5" t="s">
        <v>174</v>
      </c>
      <c r="D48" s="14" t="n">
        <v>1814</v>
      </c>
      <c r="E48" s="16" t="n">
        <v>41.94</v>
      </c>
      <c r="F48" s="16" t="n">
        <v>13</v>
      </c>
      <c r="G48" s="7" t="s">
        <v>171</v>
      </c>
    </row>
    <row r="49" customFormat="false" ht="15" hidden="false" customHeight="false" outlineLevel="0" collapsed="false">
      <c r="A49" s="5" t="s">
        <v>47</v>
      </c>
      <c r="B49" s="5" t="s">
        <v>128</v>
      </c>
      <c r="C49" s="7" t="s">
        <v>175</v>
      </c>
      <c r="D49" s="14" t="n">
        <v>1790</v>
      </c>
      <c r="E49" s="16" t="n">
        <v>55.07</v>
      </c>
      <c r="F49" s="16" t="n">
        <v>16</v>
      </c>
      <c r="G49" s="7" t="s">
        <v>171</v>
      </c>
    </row>
    <row r="50" customFormat="false" ht="15" hidden="false" customHeight="false" outlineLevel="0" collapsed="false">
      <c r="A50" s="5" t="s">
        <v>44</v>
      </c>
      <c r="B50" s="5" t="s">
        <v>130</v>
      </c>
      <c r="C50" s="7" t="s">
        <v>176</v>
      </c>
      <c r="D50" s="14" t="n">
        <v>1705</v>
      </c>
      <c r="E50" s="16" t="n">
        <v>49.58</v>
      </c>
      <c r="F50" s="16" t="n">
        <v>13</v>
      </c>
      <c r="G50" s="7" t="s">
        <v>171</v>
      </c>
    </row>
    <row r="51" customFormat="false" ht="15" hidden="false" customHeight="false" outlineLevel="0" collapsed="false">
      <c r="A51" s="5" t="s">
        <v>44</v>
      </c>
      <c r="B51" s="5" t="s">
        <v>128</v>
      </c>
      <c r="C51" s="7" t="s">
        <v>177</v>
      </c>
      <c r="D51" s="14" t="n">
        <v>1693</v>
      </c>
      <c r="E51" s="16" t="n">
        <v>38.69</v>
      </c>
      <c r="F51" s="16" t="n">
        <v>10</v>
      </c>
      <c r="G51" s="7" t="s">
        <v>171</v>
      </c>
    </row>
    <row r="52" customFormat="false" ht="15" hidden="false" customHeight="false" outlineLevel="0" collapsed="false">
      <c r="A52" s="5" t="s">
        <v>47</v>
      </c>
      <c r="B52" s="5" t="s">
        <v>130</v>
      </c>
      <c r="C52" s="7" t="s">
        <v>178</v>
      </c>
      <c r="D52" s="14" t="n">
        <v>1679</v>
      </c>
      <c r="E52" s="16" t="n">
        <v>57.04</v>
      </c>
      <c r="F52" s="16" t="n">
        <v>15</v>
      </c>
      <c r="G52" s="7" t="s">
        <v>171</v>
      </c>
    </row>
    <row r="53" customFormat="false" ht="15" hidden="false" customHeight="false" outlineLevel="0" collapsed="false">
      <c r="A53" s="5" t="s">
        <v>50</v>
      </c>
      <c r="B53" s="5" t="s">
        <v>137</v>
      </c>
      <c r="C53" s="7" t="s">
        <v>179</v>
      </c>
      <c r="D53" s="14" t="n">
        <v>1656</v>
      </c>
      <c r="E53" s="16" t="n">
        <v>64.19</v>
      </c>
      <c r="F53" s="16" t="n">
        <v>15</v>
      </c>
      <c r="G53" s="7" t="s">
        <v>160</v>
      </c>
    </row>
    <row r="54" customFormat="false" ht="15" hidden="false" customHeight="false" outlineLevel="0" collapsed="false">
      <c r="A54" s="5" t="s">
        <v>47</v>
      </c>
      <c r="B54" s="5" t="s">
        <v>180</v>
      </c>
      <c r="C54" s="7" t="s">
        <v>181</v>
      </c>
      <c r="D54" s="14" t="n">
        <v>1637</v>
      </c>
      <c r="E54" s="16" t="n">
        <v>70.93</v>
      </c>
      <c r="F54" s="16" t="n">
        <v>19</v>
      </c>
      <c r="G54" s="7" t="s">
        <v>160</v>
      </c>
    </row>
    <row r="55" customFormat="false" ht="15" hidden="false" customHeight="false" outlineLevel="0" collapsed="false">
      <c r="A55" s="5" t="s">
        <v>47</v>
      </c>
      <c r="B55" s="5" t="s">
        <v>137</v>
      </c>
      <c r="C55" s="7" t="s">
        <v>182</v>
      </c>
      <c r="D55" s="14" t="n">
        <v>1557</v>
      </c>
      <c r="E55" s="16" t="n">
        <v>65.26</v>
      </c>
      <c r="F55" s="16" t="n">
        <v>20</v>
      </c>
      <c r="G55" s="7" t="s">
        <v>160</v>
      </c>
    </row>
    <row r="56" customFormat="false" ht="15" hidden="false" customHeight="false" outlineLevel="0" collapsed="false">
      <c r="A56" s="5" t="s">
        <v>54</v>
      </c>
      <c r="B56" s="5" t="s">
        <v>8</v>
      </c>
      <c r="C56" s="7" t="s">
        <v>183</v>
      </c>
      <c r="D56" s="14" t="n">
        <v>1443</v>
      </c>
      <c r="E56" s="16" t="n">
        <v>45.16</v>
      </c>
      <c r="F56" s="16" t="n">
        <v>14</v>
      </c>
      <c r="G56" s="7" t="s">
        <v>171</v>
      </c>
    </row>
    <row r="57" customFormat="false" ht="15" hidden="false" customHeight="false" outlineLevel="0" collapsed="false">
      <c r="A57" s="5" t="s">
        <v>50</v>
      </c>
      <c r="B57" s="5" t="s">
        <v>165</v>
      </c>
      <c r="C57" s="7" t="s">
        <v>184</v>
      </c>
      <c r="D57" s="14" t="n">
        <v>1439</v>
      </c>
      <c r="E57" s="16" t="n">
        <v>66.44</v>
      </c>
      <c r="F57" s="16" t="n">
        <v>13</v>
      </c>
      <c r="G57" s="7" t="s">
        <v>160</v>
      </c>
    </row>
    <row r="58" customFormat="false" ht="15" hidden="false" customHeight="false" outlineLevel="0" collapsed="false">
      <c r="A58" s="5" t="s">
        <v>38</v>
      </c>
      <c r="B58" s="5" t="s">
        <v>135</v>
      </c>
      <c r="C58" s="5" t="s">
        <v>185</v>
      </c>
      <c r="D58" s="14" t="n">
        <v>1393</v>
      </c>
      <c r="E58" s="16" t="n">
        <v>47.89</v>
      </c>
      <c r="F58" s="16" t="n">
        <v>26</v>
      </c>
      <c r="G58" s="7" t="s">
        <v>171</v>
      </c>
    </row>
    <row r="59" customFormat="false" ht="15" hidden="false" customHeight="false" outlineLevel="0" collapsed="false">
      <c r="A59" s="5" t="s">
        <v>50</v>
      </c>
      <c r="B59" s="5" t="s">
        <v>162</v>
      </c>
      <c r="C59" s="7" t="s">
        <v>186</v>
      </c>
      <c r="D59" s="14" t="n">
        <v>1354</v>
      </c>
      <c r="E59" s="16" t="n">
        <v>57.22</v>
      </c>
      <c r="F59" s="16" t="n">
        <v>16</v>
      </c>
      <c r="G59" s="7" t="s">
        <v>171</v>
      </c>
    </row>
    <row r="60" customFormat="false" ht="15" hidden="false" customHeight="false" outlineLevel="0" collapsed="false">
      <c r="A60" s="5" t="s">
        <v>50</v>
      </c>
      <c r="B60" s="5" t="s">
        <v>187</v>
      </c>
      <c r="C60" s="7" t="s">
        <v>188</v>
      </c>
      <c r="D60" s="14" t="n">
        <v>1350</v>
      </c>
      <c r="E60" s="16" t="n">
        <v>72.17</v>
      </c>
      <c r="F60" s="16" t="n">
        <v>16</v>
      </c>
      <c r="G60" s="7" t="s">
        <v>160</v>
      </c>
    </row>
    <row r="61" customFormat="false" ht="15" hidden="false" customHeight="false" outlineLevel="0" collapsed="false">
      <c r="A61" s="5" t="s">
        <v>38</v>
      </c>
      <c r="B61" s="5" t="s">
        <v>8</v>
      </c>
      <c r="C61" s="5" t="s">
        <v>189</v>
      </c>
      <c r="D61" s="14" t="n">
        <v>1349</v>
      </c>
      <c r="E61" s="16" t="n">
        <v>97.32</v>
      </c>
      <c r="F61" s="16" t="n">
        <v>54</v>
      </c>
      <c r="G61" s="7" t="s">
        <v>160</v>
      </c>
    </row>
    <row r="62" customFormat="false" ht="15" hidden="false" customHeight="false" outlineLevel="0" collapsed="false">
      <c r="A62" s="5" t="s">
        <v>47</v>
      </c>
      <c r="B62" s="5" t="s">
        <v>140</v>
      </c>
      <c r="C62" s="7" t="s">
        <v>190</v>
      </c>
      <c r="D62" s="14" t="n">
        <v>1308</v>
      </c>
      <c r="E62" s="16" t="n">
        <v>39.13</v>
      </c>
      <c r="F62" s="16" t="n">
        <v>19</v>
      </c>
      <c r="G62" s="7" t="s">
        <v>171</v>
      </c>
    </row>
    <row r="63" customFormat="false" ht="15" hidden="false" customHeight="false" outlineLevel="0" collapsed="false">
      <c r="A63" s="5" t="s">
        <v>47</v>
      </c>
      <c r="B63" s="5" t="s">
        <v>172</v>
      </c>
      <c r="C63" s="7" t="s">
        <v>191</v>
      </c>
      <c r="D63" s="14" t="n">
        <v>1289</v>
      </c>
      <c r="E63" s="16" t="n">
        <v>53.21</v>
      </c>
      <c r="F63" s="16" t="n">
        <v>17</v>
      </c>
      <c r="G63" s="7" t="s">
        <v>171</v>
      </c>
    </row>
    <row r="66" customFormat="false" ht="19.4" hidden="false" customHeight="false" outlineLevel="0" collapsed="false">
      <c r="A66" s="12" t="s">
        <v>192</v>
      </c>
    </row>
    <row r="67" customFormat="false" ht="15" hidden="false" customHeight="false" outlineLevel="0" collapsed="false">
      <c r="A67" s="13" t="s">
        <v>26</v>
      </c>
      <c r="B67" s="4" t="s">
        <v>108</v>
      </c>
      <c r="C67" s="4" t="s">
        <v>109</v>
      </c>
      <c r="D67" s="4" t="s">
        <v>110</v>
      </c>
      <c r="E67" s="4" t="s">
        <v>111</v>
      </c>
      <c r="F67" s="4" t="s">
        <v>112</v>
      </c>
    </row>
    <row r="68" customFormat="false" ht="15" hidden="false" customHeight="false" outlineLevel="0" collapsed="false">
      <c r="A68" s="5" t="s">
        <v>50</v>
      </c>
      <c r="B68" s="5" t="s">
        <v>17</v>
      </c>
      <c r="C68" s="5" t="s">
        <v>193</v>
      </c>
      <c r="D68" s="14" t="n">
        <v>967</v>
      </c>
      <c r="E68" s="5" t="n">
        <v>0</v>
      </c>
      <c r="F68" s="16" t="n">
        <v>48.49</v>
      </c>
    </row>
    <row r="69" customFormat="false" ht="15" hidden="false" customHeight="false" outlineLevel="0" collapsed="false">
      <c r="A69" s="5" t="s">
        <v>50</v>
      </c>
      <c r="B69" s="5" t="s">
        <v>17</v>
      </c>
      <c r="C69" s="7" t="s">
        <v>194</v>
      </c>
      <c r="D69" s="14" t="n">
        <v>912</v>
      </c>
      <c r="E69" s="5" t="n">
        <v>0</v>
      </c>
      <c r="F69" s="16" t="n">
        <v>36.1</v>
      </c>
    </row>
    <row r="70" customFormat="false" ht="15" hidden="false" customHeight="false" outlineLevel="0" collapsed="false">
      <c r="A70" s="5" t="s">
        <v>50</v>
      </c>
      <c r="B70" s="5" t="s">
        <v>17</v>
      </c>
      <c r="C70" s="7" t="s">
        <v>195</v>
      </c>
      <c r="D70" s="14" t="n">
        <v>190</v>
      </c>
      <c r="E70" s="5" t="n">
        <v>0</v>
      </c>
      <c r="F70" s="16" t="n">
        <v>28.39</v>
      </c>
    </row>
    <row r="71" customFormat="false" ht="15" hidden="false" customHeight="false" outlineLevel="0" collapsed="false">
      <c r="A71" s="5" t="s">
        <v>50</v>
      </c>
      <c r="B71" s="5" t="s">
        <v>18</v>
      </c>
      <c r="C71" s="5" t="s">
        <v>196</v>
      </c>
      <c r="D71" s="14" t="n">
        <v>952</v>
      </c>
      <c r="E71" s="5" t="n">
        <v>0</v>
      </c>
      <c r="F71" s="16" t="n">
        <v>42.67</v>
      </c>
    </row>
    <row r="72" customFormat="false" ht="15" hidden="false" customHeight="false" outlineLevel="0" collapsed="false">
      <c r="A72" s="5" t="s">
        <v>52</v>
      </c>
      <c r="B72" s="5" t="s">
        <v>17</v>
      </c>
      <c r="C72" s="7" t="s">
        <v>197</v>
      </c>
      <c r="D72" s="14" t="n">
        <v>5</v>
      </c>
      <c r="E72" s="5" t="n">
        <v>0</v>
      </c>
      <c r="F72" s="16" t="n">
        <v>26.54</v>
      </c>
    </row>
    <row r="73" customFormat="false" ht="15" hidden="false" customHeight="false" outlineLevel="0" collapsed="false">
      <c r="A73" s="5" t="s">
        <v>52</v>
      </c>
      <c r="B73" s="5" t="s">
        <v>17</v>
      </c>
      <c r="C73" s="7" t="s">
        <v>198</v>
      </c>
      <c r="D73" s="14" t="n">
        <v>1220</v>
      </c>
      <c r="E73" s="5" t="n">
        <v>0</v>
      </c>
      <c r="F73" s="16" t="n">
        <v>49.53</v>
      </c>
    </row>
    <row r="74" customFormat="false" ht="15" hidden="false" customHeight="false" outlineLevel="0" collapsed="false">
      <c r="A74" s="5" t="s">
        <v>52</v>
      </c>
      <c r="B74" s="5" t="s">
        <v>18</v>
      </c>
      <c r="C74" s="7" t="s">
        <v>199</v>
      </c>
      <c r="D74" s="14" t="n">
        <v>985</v>
      </c>
      <c r="E74" s="5" t="n">
        <v>1</v>
      </c>
      <c r="F74" s="16" t="n">
        <v>0</v>
      </c>
    </row>
    <row r="75" customFormat="false" ht="15" hidden="false" customHeight="false" outlineLevel="0" collapsed="false">
      <c r="A75" s="5" t="s">
        <v>54</v>
      </c>
      <c r="B75" s="5" t="s">
        <v>17</v>
      </c>
      <c r="C75" s="7" t="s">
        <v>200</v>
      </c>
      <c r="D75" s="14" t="n">
        <v>2</v>
      </c>
      <c r="E75" s="5" t="n">
        <v>0</v>
      </c>
      <c r="F75" s="16" t="n">
        <v>137.57</v>
      </c>
    </row>
    <row r="76" customFormat="false" ht="15" hidden="false" customHeight="false" outlineLevel="0" collapsed="false">
      <c r="A76" s="5" t="s">
        <v>54</v>
      </c>
      <c r="B76" s="5" t="s">
        <v>17</v>
      </c>
      <c r="C76" s="7" t="s">
        <v>201</v>
      </c>
      <c r="D76" s="14" t="n">
        <v>978</v>
      </c>
      <c r="E76" s="5" t="n">
        <v>0</v>
      </c>
      <c r="F76" s="16" t="n">
        <v>68.8</v>
      </c>
    </row>
    <row r="77" customFormat="false" ht="15" hidden="false" customHeight="false" outlineLevel="0" collapsed="false">
      <c r="A77" s="5" t="s">
        <v>56</v>
      </c>
      <c r="B77" s="5" t="s">
        <v>17</v>
      </c>
      <c r="C77" s="7" t="s">
        <v>202</v>
      </c>
      <c r="D77" s="14" t="n">
        <v>6382</v>
      </c>
      <c r="E77" s="5" t="n">
        <v>1</v>
      </c>
      <c r="F77" s="16" t="n">
        <v>73.26</v>
      </c>
    </row>
    <row r="78" customFormat="false" ht="15" hidden="false" customHeight="false" outlineLevel="0" collapsed="false">
      <c r="A78" s="5" t="s">
        <v>56</v>
      </c>
      <c r="B78" s="5" t="s">
        <v>17</v>
      </c>
      <c r="C78" s="7" t="s">
        <v>203</v>
      </c>
      <c r="D78" s="14" t="n">
        <v>1307</v>
      </c>
      <c r="E78" s="5" t="n">
        <v>0</v>
      </c>
      <c r="F78" s="16" t="n">
        <v>58.28</v>
      </c>
    </row>
    <row r="79" customFormat="false" ht="15" hidden="false" customHeight="false" outlineLevel="0" collapsed="false">
      <c r="A79" s="5" t="s">
        <v>56</v>
      </c>
      <c r="B79" s="5" t="s">
        <v>18</v>
      </c>
      <c r="C79" s="7" t="s">
        <v>204</v>
      </c>
      <c r="D79" s="14" t="n">
        <v>1349</v>
      </c>
      <c r="E79" s="5" t="n">
        <v>0</v>
      </c>
      <c r="F79" s="16" t="n">
        <v>97.44</v>
      </c>
    </row>
    <row r="80" customFormat="false" ht="15" hidden="false" customHeight="false" outlineLevel="0" collapsed="false">
      <c r="A80" s="5" t="s">
        <v>38</v>
      </c>
      <c r="B80" s="5" t="s">
        <v>17</v>
      </c>
      <c r="C80" s="7" t="s">
        <v>205</v>
      </c>
      <c r="D80" s="14" t="n">
        <v>980</v>
      </c>
      <c r="E80" s="5" t="n">
        <v>1</v>
      </c>
      <c r="F80" s="16" t="n">
        <v>59.66</v>
      </c>
    </row>
    <row r="81" customFormat="false" ht="15" hidden="false" customHeight="false" outlineLevel="0" collapsed="false">
      <c r="A81" s="5" t="s">
        <v>38</v>
      </c>
      <c r="B81" s="5" t="s">
        <v>17</v>
      </c>
      <c r="C81" s="7" t="s">
        <v>206</v>
      </c>
      <c r="D81" s="14" t="n">
        <v>942</v>
      </c>
      <c r="E81" s="5" t="n">
        <v>1</v>
      </c>
      <c r="F81" s="16" t="n">
        <v>37.48</v>
      </c>
    </row>
    <row r="82" customFormat="false" ht="15" hidden="false" customHeight="false" outlineLevel="0" collapsed="false">
      <c r="A82" s="5" t="s">
        <v>38</v>
      </c>
      <c r="B82" s="5" t="s">
        <v>17</v>
      </c>
      <c r="C82" s="7" t="s">
        <v>207</v>
      </c>
      <c r="D82" s="14" t="n">
        <v>241</v>
      </c>
      <c r="E82" s="5" t="n">
        <v>0</v>
      </c>
      <c r="F82" s="16" t="n">
        <v>36.86</v>
      </c>
    </row>
    <row r="83" customFormat="false" ht="15" hidden="false" customHeight="false" outlineLevel="0" collapsed="false">
      <c r="A83" s="5" t="s">
        <v>38</v>
      </c>
      <c r="B83" s="5" t="s">
        <v>18</v>
      </c>
      <c r="C83" s="7" t="s">
        <v>208</v>
      </c>
      <c r="D83" s="14" t="n">
        <v>1039</v>
      </c>
      <c r="E83" s="5" t="n">
        <v>0</v>
      </c>
      <c r="F83" s="16" t="n">
        <v>63.79</v>
      </c>
    </row>
    <row r="84" customFormat="false" ht="15" hidden="false" customHeight="false" outlineLevel="0" collapsed="false">
      <c r="A84" s="5" t="s">
        <v>42</v>
      </c>
      <c r="B84" s="5" t="s">
        <v>17</v>
      </c>
      <c r="C84" s="7" t="s">
        <v>209</v>
      </c>
      <c r="D84" s="14" t="n">
        <v>1001</v>
      </c>
      <c r="E84" s="5" t="n">
        <v>1</v>
      </c>
      <c r="F84" s="16" t="n">
        <v>42.2</v>
      </c>
    </row>
    <row r="85" customFormat="false" ht="15" hidden="false" customHeight="false" outlineLevel="0" collapsed="false">
      <c r="A85" s="5" t="s">
        <v>42</v>
      </c>
      <c r="B85" s="5" t="s">
        <v>17</v>
      </c>
      <c r="C85" s="7" t="s">
        <v>210</v>
      </c>
      <c r="D85" s="14" t="n">
        <v>992</v>
      </c>
      <c r="E85" s="5" t="n">
        <v>0</v>
      </c>
      <c r="F85" s="16" t="n">
        <v>91.16</v>
      </c>
    </row>
    <row r="86" customFormat="false" ht="15" hidden="false" customHeight="false" outlineLevel="0" collapsed="false">
      <c r="A86" s="5" t="s">
        <v>42</v>
      </c>
      <c r="B86" s="5" t="s">
        <v>17</v>
      </c>
      <c r="C86" s="7" t="s">
        <v>211</v>
      </c>
      <c r="D86" s="14" t="n">
        <v>1132</v>
      </c>
      <c r="E86" s="5" t="n">
        <v>0</v>
      </c>
      <c r="F86" s="16" t="n">
        <v>120.72</v>
      </c>
    </row>
    <row r="87" customFormat="false" ht="15" hidden="false" customHeight="false" outlineLevel="0" collapsed="false">
      <c r="A87" s="5" t="s">
        <v>42</v>
      </c>
      <c r="B87" s="5" t="s">
        <v>18</v>
      </c>
      <c r="C87" s="7" t="s">
        <v>212</v>
      </c>
      <c r="D87" s="14" t="n">
        <v>899</v>
      </c>
      <c r="E87" s="5" t="n">
        <v>0</v>
      </c>
      <c r="F87" s="16" t="n">
        <v>110.62</v>
      </c>
    </row>
    <row r="88" customFormat="false" ht="15" hidden="false" customHeight="false" outlineLevel="0" collapsed="false">
      <c r="A88" s="5" t="s">
        <v>47</v>
      </c>
      <c r="B88" s="5" t="s">
        <v>17</v>
      </c>
      <c r="C88" s="7" t="s">
        <v>213</v>
      </c>
      <c r="D88" s="14" t="n">
        <v>1020</v>
      </c>
      <c r="E88" s="5" t="n">
        <v>1</v>
      </c>
      <c r="F88" s="16" t="n">
        <v>42.79</v>
      </c>
    </row>
    <row r="89" customFormat="false" ht="15" hidden="false" customHeight="false" outlineLevel="0" collapsed="false">
      <c r="A89" s="5" t="s">
        <v>47</v>
      </c>
      <c r="B89" s="5" t="s">
        <v>17</v>
      </c>
      <c r="C89" s="7" t="s">
        <v>214</v>
      </c>
      <c r="D89" s="14" t="n">
        <v>935</v>
      </c>
      <c r="E89" s="5" t="n">
        <v>0</v>
      </c>
      <c r="F89" s="16" t="n">
        <v>55.9</v>
      </c>
    </row>
    <row r="90" customFormat="false" ht="15" hidden="false" customHeight="false" outlineLevel="0" collapsed="false">
      <c r="A90" s="5" t="s">
        <v>47</v>
      </c>
      <c r="B90" s="5" t="s">
        <v>17</v>
      </c>
      <c r="C90" s="7" t="s">
        <v>215</v>
      </c>
      <c r="D90" s="14" t="n">
        <v>942</v>
      </c>
      <c r="E90" s="5" t="n">
        <v>1</v>
      </c>
      <c r="F90" s="16" t="n">
        <v>43.38</v>
      </c>
    </row>
    <row r="91" customFormat="false" ht="15" hidden="false" customHeight="false" outlineLevel="0" collapsed="false">
      <c r="A91" s="5" t="s">
        <v>47</v>
      </c>
      <c r="B91" s="5" t="s">
        <v>18</v>
      </c>
      <c r="C91" s="5" t="s">
        <v>216</v>
      </c>
      <c r="D91" s="14" t="n">
        <v>346</v>
      </c>
      <c r="E91" s="5" t="n">
        <v>0</v>
      </c>
      <c r="F91" s="16" t="n">
        <v>28.28</v>
      </c>
    </row>
    <row r="92" customFormat="false" ht="15" hidden="false" customHeight="false" outlineLevel="0" collapsed="false">
      <c r="A92" s="5" t="s">
        <v>35</v>
      </c>
      <c r="B92" s="5" t="s">
        <v>17</v>
      </c>
      <c r="C92" s="5" t="s">
        <v>217</v>
      </c>
      <c r="D92" s="14" t="n">
        <v>901</v>
      </c>
      <c r="E92" s="5" t="n">
        <v>0</v>
      </c>
      <c r="F92" s="16" t="n">
        <v>39.05</v>
      </c>
    </row>
    <row r="93" customFormat="false" ht="15" hidden="false" customHeight="false" outlineLevel="0" collapsed="false">
      <c r="A93" s="5" t="s">
        <v>35</v>
      </c>
      <c r="B93" s="5" t="s">
        <v>17</v>
      </c>
      <c r="C93" s="5" t="s">
        <v>218</v>
      </c>
      <c r="D93" s="14" t="n">
        <v>252</v>
      </c>
      <c r="E93" s="5" t="n">
        <v>0</v>
      </c>
      <c r="F93" s="16" t="n">
        <v>29.47</v>
      </c>
    </row>
    <row r="94" customFormat="false" ht="15" hidden="false" customHeight="false" outlineLevel="0" collapsed="false">
      <c r="A94" s="5" t="s">
        <v>35</v>
      </c>
      <c r="B94" s="5" t="s">
        <v>17</v>
      </c>
      <c r="C94" s="5" t="s">
        <v>219</v>
      </c>
      <c r="D94" s="14" t="n">
        <v>911</v>
      </c>
      <c r="E94" s="5" t="n">
        <v>2</v>
      </c>
      <c r="F94" s="16" t="n">
        <v>40.04</v>
      </c>
    </row>
    <row r="95" customFormat="false" ht="15" hidden="false" customHeight="false" outlineLevel="0" collapsed="false">
      <c r="A95" s="5" t="s">
        <v>35</v>
      </c>
      <c r="B95" s="5" t="s">
        <v>17</v>
      </c>
      <c r="C95" s="5" t="s">
        <v>220</v>
      </c>
      <c r="D95" s="14" t="n">
        <v>1003</v>
      </c>
      <c r="E95" s="5" t="n">
        <v>1</v>
      </c>
      <c r="F95" s="16" t="n">
        <v>31.7</v>
      </c>
    </row>
    <row r="96" customFormat="false" ht="15" hidden="false" customHeight="false" outlineLevel="0" collapsed="false">
      <c r="A96" s="5" t="s">
        <v>35</v>
      </c>
      <c r="B96" s="5" t="s">
        <v>18</v>
      </c>
      <c r="C96" s="7" t="s">
        <v>221</v>
      </c>
      <c r="D96" s="14" t="n">
        <v>891</v>
      </c>
      <c r="E96" s="5" t="n">
        <v>0</v>
      </c>
      <c r="F96" s="16" t="n">
        <v>0</v>
      </c>
    </row>
    <row r="97" customFormat="false" ht="15" hidden="false" customHeight="false" outlineLevel="0" collapsed="false">
      <c r="A97" s="5" t="s">
        <v>44</v>
      </c>
      <c r="B97" s="5" t="s">
        <v>17</v>
      </c>
      <c r="C97" s="7" t="s">
        <v>222</v>
      </c>
      <c r="D97" s="14" t="n">
        <v>1074</v>
      </c>
      <c r="E97" s="5" t="n">
        <v>1</v>
      </c>
      <c r="F97" s="16" t="n">
        <v>56.1</v>
      </c>
    </row>
    <row r="98" customFormat="false" ht="15" hidden="false" customHeight="false" outlineLevel="0" collapsed="false">
      <c r="A98" s="5" t="s">
        <v>44</v>
      </c>
      <c r="B98" s="5" t="s">
        <v>17</v>
      </c>
      <c r="C98" s="7" t="s">
        <v>223</v>
      </c>
      <c r="D98" s="14" t="n">
        <v>1008</v>
      </c>
      <c r="E98" s="5" t="n">
        <v>0</v>
      </c>
      <c r="F98" s="16" t="n">
        <v>44.64</v>
      </c>
    </row>
    <row r="99" customFormat="false" ht="15" hidden="false" customHeight="false" outlineLevel="0" collapsed="false">
      <c r="A99" s="5" t="s">
        <v>44</v>
      </c>
      <c r="B99" s="5" t="s">
        <v>17</v>
      </c>
      <c r="C99" s="7" t="s">
        <v>224</v>
      </c>
      <c r="D99" s="14" t="n">
        <v>1013</v>
      </c>
      <c r="E99" s="5" t="n">
        <v>2</v>
      </c>
      <c r="F99" s="16" t="n">
        <v>46.15</v>
      </c>
    </row>
    <row r="100" customFormat="false" ht="15" hidden="false" customHeight="false" outlineLevel="0" collapsed="false">
      <c r="A100" s="5" t="s">
        <v>44</v>
      </c>
      <c r="B100" s="5" t="s">
        <v>18</v>
      </c>
      <c r="C100" s="7" t="s">
        <v>225</v>
      </c>
      <c r="D100" s="14" t="n">
        <v>943</v>
      </c>
      <c r="E100" s="5" t="n">
        <v>1</v>
      </c>
      <c r="F100" s="16" t="n">
        <v>45.05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60"/>
    <col collapsed="false" customWidth="true" hidden="false" outlineLevel="0" max="4" min="4" style="0" width="56"/>
    <col collapsed="false" customWidth="true" hidden="false" outlineLevel="0" max="5" min="5" style="0" width="22"/>
    <col collapsed="false" customWidth="true" hidden="false" outlineLevel="0" max="6" min="6" style="0" width="40"/>
    <col collapsed="false" customWidth="true" hidden="false" outlineLevel="0" max="7" min="7" style="0" width="12"/>
  </cols>
  <sheetData>
    <row r="1" customFormat="false" ht="21.6" hidden="false" customHeight="false" outlineLevel="0" collapsed="false">
      <c r="A1" s="20" t="s">
        <v>226</v>
      </c>
    </row>
    <row r="3" customFormat="false" ht="15" hidden="false" customHeight="false" outlineLevel="0" collapsed="false">
      <c r="A3" s="4" t="s">
        <v>227</v>
      </c>
      <c r="B3" s="4" t="s">
        <v>228</v>
      </c>
      <c r="C3" s="4" t="s">
        <v>229</v>
      </c>
      <c r="D3" s="4" t="s">
        <v>230</v>
      </c>
      <c r="E3" s="4" t="s">
        <v>231</v>
      </c>
      <c r="F3" s="4" t="s">
        <v>232</v>
      </c>
      <c r="G3" s="4" t="s">
        <v>233</v>
      </c>
    </row>
    <row r="4" customFormat="false" ht="61.5" hidden="false" customHeight="true" outlineLevel="0" collapsed="false">
      <c r="A4" s="29" t="s">
        <v>234</v>
      </c>
      <c r="B4" s="7" t="s">
        <v>235</v>
      </c>
      <c r="C4" s="19" t="s">
        <v>236</v>
      </c>
      <c r="D4" s="18" t="s">
        <v>237</v>
      </c>
      <c r="E4" s="7" t="s">
        <v>238</v>
      </c>
      <c r="F4" s="19" t="s">
        <v>239</v>
      </c>
      <c r="G4" s="5" t="s">
        <v>240</v>
      </c>
    </row>
    <row r="5" customFormat="false" ht="61.5" hidden="false" customHeight="true" outlineLevel="0" collapsed="false">
      <c r="A5" s="30" t="s">
        <v>241</v>
      </c>
      <c r="B5" s="5" t="s">
        <v>47</v>
      </c>
      <c r="C5" s="19" t="s">
        <v>242</v>
      </c>
      <c r="D5" s="18" t="s">
        <v>243</v>
      </c>
      <c r="E5" s="7" t="s">
        <v>244</v>
      </c>
      <c r="F5" s="18" t="s">
        <v>245</v>
      </c>
      <c r="G5" s="5" t="s">
        <v>246</v>
      </c>
    </row>
    <row r="6" customFormat="false" ht="61.5" hidden="false" customHeight="true" outlineLevel="0" collapsed="false">
      <c r="A6" s="30" t="s">
        <v>241</v>
      </c>
      <c r="B6" s="7" t="s">
        <v>247</v>
      </c>
      <c r="C6" s="18" t="s">
        <v>248</v>
      </c>
      <c r="D6" s="19" t="s">
        <v>249</v>
      </c>
      <c r="E6" s="7" t="s">
        <v>250</v>
      </c>
      <c r="F6" s="18" t="s">
        <v>251</v>
      </c>
      <c r="G6" s="5" t="s">
        <v>252</v>
      </c>
    </row>
    <row r="7" customFormat="false" ht="61.5" hidden="false" customHeight="true" outlineLevel="0" collapsed="false">
      <c r="A7" s="30" t="s">
        <v>241</v>
      </c>
      <c r="B7" s="5" t="s">
        <v>253</v>
      </c>
      <c r="C7" s="18" t="s">
        <v>254</v>
      </c>
      <c r="D7" s="19" t="s">
        <v>255</v>
      </c>
      <c r="E7" s="7" t="s">
        <v>244</v>
      </c>
      <c r="F7" s="18" t="s">
        <v>256</v>
      </c>
      <c r="G7" s="5" t="s">
        <v>246</v>
      </c>
    </row>
    <row r="8" customFormat="false" ht="61.5" hidden="false" customHeight="true" outlineLevel="0" collapsed="false">
      <c r="A8" s="30" t="s">
        <v>241</v>
      </c>
      <c r="B8" s="5" t="s">
        <v>257</v>
      </c>
      <c r="C8" s="19" t="s">
        <v>258</v>
      </c>
      <c r="D8" s="19" t="s">
        <v>259</v>
      </c>
      <c r="E8" s="7" t="s">
        <v>260</v>
      </c>
      <c r="F8" s="19" t="s">
        <v>261</v>
      </c>
      <c r="G8" s="5" t="s">
        <v>252</v>
      </c>
    </row>
    <row r="9" customFormat="false" ht="61.5" hidden="false" customHeight="true" outlineLevel="0" collapsed="false">
      <c r="A9" s="31" t="s">
        <v>262</v>
      </c>
      <c r="B9" s="7" t="s">
        <v>247</v>
      </c>
      <c r="C9" s="18" t="s">
        <v>263</v>
      </c>
      <c r="D9" s="19" t="s">
        <v>264</v>
      </c>
      <c r="E9" s="7" t="s">
        <v>244</v>
      </c>
      <c r="F9" s="19" t="s">
        <v>265</v>
      </c>
      <c r="G9" s="5" t="s">
        <v>266</v>
      </c>
    </row>
    <row r="10" customFormat="false" ht="61.5" hidden="false" customHeight="true" outlineLevel="0" collapsed="false">
      <c r="A10" s="31" t="s">
        <v>262</v>
      </c>
      <c r="B10" s="5" t="s">
        <v>267</v>
      </c>
      <c r="C10" s="18" t="s">
        <v>268</v>
      </c>
      <c r="D10" s="18" t="s">
        <v>269</v>
      </c>
      <c r="E10" s="7" t="s">
        <v>270</v>
      </c>
      <c r="F10" s="19" t="s">
        <v>271</v>
      </c>
      <c r="G10" s="5" t="s">
        <v>246</v>
      </c>
    </row>
    <row r="11" customFormat="false" ht="61.5" hidden="false" customHeight="true" outlineLevel="0" collapsed="false">
      <c r="A11" s="31" t="s">
        <v>272</v>
      </c>
      <c r="B11" s="7" t="s">
        <v>273</v>
      </c>
      <c r="C11" s="19" t="s">
        <v>274</v>
      </c>
      <c r="D11" s="19" t="s">
        <v>275</v>
      </c>
      <c r="E11" s="7" t="s">
        <v>276</v>
      </c>
      <c r="F11" s="19" t="s">
        <v>277</v>
      </c>
      <c r="G11" s="5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9" topLeftCell="A4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7" min="2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20" t="s">
        <v>278</v>
      </c>
    </row>
    <row r="3" customFormat="false" ht="19.4" hidden="false" customHeight="false" outlineLevel="0" collapsed="false">
      <c r="A3" s="12" t="s">
        <v>279</v>
      </c>
    </row>
    <row r="4" customFormat="false" ht="29.85" hidden="false" customHeight="false" outlineLevel="0" collapsed="false">
      <c r="A4" s="13" t="s">
        <v>26</v>
      </c>
      <c r="B4" s="4" t="s">
        <v>280</v>
      </c>
      <c r="C4" s="4" t="s">
        <v>281</v>
      </c>
      <c r="D4" s="4" t="s">
        <v>282</v>
      </c>
      <c r="E4" s="4" t="s">
        <v>283</v>
      </c>
      <c r="F4" s="4" t="s">
        <v>284</v>
      </c>
      <c r="G4" s="4" t="s">
        <v>285</v>
      </c>
    </row>
    <row r="5" customFormat="false" ht="15" hidden="false" customHeight="false" outlineLevel="0" collapsed="false">
      <c r="A5" s="5" t="s">
        <v>44</v>
      </c>
      <c r="B5" s="5" t="n">
        <v>14</v>
      </c>
      <c r="C5" s="15" t="n">
        <v>0.22</v>
      </c>
      <c r="D5" s="5" t="n">
        <v>14</v>
      </c>
      <c r="E5" s="15" t="n">
        <v>0.77</v>
      </c>
      <c r="F5" s="32" t="n">
        <v>0.55</v>
      </c>
      <c r="G5" s="5" t="s">
        <v>286</v>
      </c>
    </row>
    <row r="6" customFormat="false" ht="15" hidden="false" customHeight="false" outlineLevel="0" collapsed="false">
      <c r="A6" s="5" t="s">
        <v>42</v>
      </c>
      <c r="B6" s="5" t="n">
        <v>18</v>
      </c>
      <c r="C6" s="15" t="n">
        <v>0.33</v>
      </c>
      <c r="D6" s="5" t="n">
        <v>14</v>
      </c>
      <c r="E6" s="15" t="n">
        <v>0.77</v>
      </c>
      <c r="F6" s="32" t="n">
        <v>0.44</v>
      </c>
      <c r="G6" s="5" t="s">
        <v>287</v>
      </c>
    </row>
    <row r="7" customFormat="false" ht="15" hidden="false" customHeight="false" outlineLevel="0" collapsed="false">
      <c r="A7" s="5" t="s">
        <v>35</v>
      </c>
      <c r="B7" s="5" t="n">
        <v>19</v>
      </c>
      <c r="C7" s="15" t="n">
        <v>0.54</v>
      </c>
      <c r="D7" s="5" t="n">
        <v>20</v>
      </c>
      <c r="E7" s="15" t="n">
        <v>0.96</v>
      </c>
      <c r="F7" s="32" t="n">
        <v>0.42</v>
      </c>
      <c r="G7" s="5" t="s">
        <v>288</v>
      </c>
    </row>
    <row r="8" customFormat="false" ht="15" hidden="false" customHeight="false" outlineLevel="0" collapsed="false">
      <c r="A8" s="5" t="s">
        <v>50</v>
      </c>
      <c r="B8" s="5" t="n">
        <v>24</v>
      </c>
      <c r="C8" s="15" t="n">
        <v>0.16</v>
      </c>
      <c r="D8" s="5" t="n">
        <v>14</v>
      </c>
      <c r="E8" s="15" t="n">
        <v>0.32</v>
      </c>
      <c r="F8" s="32" t="n">
        <v>0.16</v>
      </c>
      <c r="G8" s="5" t="s">
        <v>289</v>
      </c>
    </row>
    <row r="9" customFormat="false" ht="15" hidden="false" customHeight="false" outlineLevel="0" collapsed="false">
      <c r="A9" s="5" t="s">
        <v>38</v>
      </c>
      <c r="B9" s="5" t="n">
        <v>14</v>
      </c>
      <c r="C9" s="15" t="n">
        <v>0.63</v>
      </c>
      <c r="D9" s="5" t="n">
        <v>15</v>
      </c>
      <c r="E9" s="15" t="n">
        <v>0.78</v>
      </c>
      <c r="F9" s="32" t="n">
        <v>0.16</v>
      </c>
      <c r="G9" s="5" t="s">
        <v>290</v>
      </c>
    </row>
    <row r="10" customFormat="false" ht="15" hidden="false" customHeight="false" outlineLevel="0" collapsed="false">
      <c r="A10" s="5" t="s">
        <v>47</v>
      </c>
      <c r="B10" s="5" t="n">
        <v>14</v>
      </c>
      <c r="C10" s="15" t="n">
        <v>0.26</v>
      </c>
      <c r="D10" s="5" t="n">
        <v>14</v>
      </c>
      <c r="E10" s="15" t="n">
        <v>0.2</v>
      </c>
      <c r="F10" s="33" t="n">
        <v>-0.07</v>
      </c>
      <c r="G10" s="5" t="s">
        <v>291</v>
      </c>
    </row>
    <row r="13" customFormat="false" ht="19.4" hidden="false" customHeight="false" outlineLevel="0" collapsed="false">
      <c r="A13" s="12" t="s">
        <v>292</v>
      </c>
    </row>
    <row r="14" customFormat="false" ht="15" hidden="false" customHeight="false" outlineLevel="0" collapsed="false">
      <c r="A14" s="4" t="s">
        <v>293</v>
      </c>
      <c r="B14" s="13" t="s">
        <v>26</v>
      </c>
      <c r="C14" s="4" t="s">
        <v>294</v>
      </c>
      <c r="D14" s="4" t="s">
        <v>295</v>
      </c>
      <c r="E14" s="4" t="s">
        <v>296</v>
      </c>
      <c r="F14" s="4" t="s">
        <v>297</v>
      </c>
      <c r="G14" s="4" t="s">
        <v>298</v>
      </c>
      <c r="H14" s="4" t="s">
        <v>299</v>
      </c>
    </row>
    <row r="15" customFormat="false" ht="15" hidden="false" customHeight="false" outlineLevel="0" collapsed="false">
      <c r="A15" s="7" t="s">
        <v>300</v>
      </c>
      <c r="B15" s="5" t="s">
        <v>35</v>
      </c>
      <c r="C15" s="5" t="n">
        <v>11</v>
      </c>
      <c r="D15" s="15" t="n">
        <v>1.45</v>
      </c>
      <c r="E15" s="5" t="n">
        <v>28</v>
      </c>
      <c r="F15" s="15" t="n">
        <v>0.45</v>
      </c>
      <c r="G15" s="34" t="n">
        <v>1</v>
      </c>
      <c r="H15" s="35" t="s">
        <v>301</v>
      </c>
    </row>
    <row r="16" customFormat="false" ht="15" hidden="false" customHeight="false" outlineLevel="0" collapsed="false">
      <c r="A16" s="7" t="s">
        <v>300</v>
      </c>
      <c r="B16" s="5" t="s">
        <v>42</v>
      </c>
      <c r="C16" s="5" t="n">
        <v>28</v>
      </c>
      <c r="D16" s="15" t="n">
        <v>0.56</v>
      </c>
      <c r="E16" s="5" t="n">
        <v>4</v>
      </c>
      <c r="F16" s="15" t="n">
        <v>0.27</v>
      </c>
      <c r="G16" s="34" t="n">
        <v>0.29</v>
      </c>
      <c r="H16" s="35" t="s">
        <v>301</v>
      </c>
    </row>
    <row r="17" customFormat="false" ht="15" hidden="false" customHeight="false" outlineLevel="0" collapsed="false">
      <c r="A17" s="7" t="s">
        <v>300</v>
      </c>
      <c r="B17" s="5" t="s">
        <v>44</v>
      </c>
      <c r="C17" s="5" t="n">
        <v>9</v>
      </c>
      <c r="D17" s="15" t="n">
        <v>0.66</v>
      </c>
      <c r="E17" s="5" t="n">
        <v>19</v>
      </c>
      <c r="F17" s="15" t="n">
        <v>0.2</v>
      </c>
      <c r="G17" s="34" t="n">
        <v>0.46</v>
      </c>
      <c r="H17" s="35" t="s">
        <v>301</v>
      </c>
    </row>
    <row r="18" customFormat="false" ht="15" hidden="false" customHeight="false" outlineLevel="0" collapsed="false">
      <c r="A18" s="7" t="s">
        <v>300</v>
      </c>
      <c r="B18" s="5" t="s">
        <v>47</v>
      </c>
      <c r="C18" s="5" t="n">
        <v>9</v>
      </c>
      <c r="D18" s="15" t="n">
        <v>0</v>
      </c>
      <c r="E18" s="5" t="n">
        <v>19</v>
      </c>
      <c r="F18" s="15" t="n">
        <v>0.37</v>
      </c>
      <c r="G18" s="34" t="n">
        <v>-0.37</v>
      </c>
      <c r="H18" s="10" t="s">
        <v>302</v>
      </c>
    </row>
    <row r="19" customFormat="false" ht="15" hidden="false" customHeight="false" outlineLevel="0" collapsed="false">
      <c r="A19" s="7" t="s">
        <v>300</v>
      </c>
      <c r="B19" s="5" t="s">
        <v>50</v>
      </c>
      <c r="C19" s="5" t="n">
        <v>9</v>
      </c>
      <c r="D19" s="15" t="n">
        <v>0.33</v>
      </c>
      <c r="E19" s="5" t="n">
        <v>29</v>
      </c>
      <c r="F19" s="15" t="n">
        <v>0.18</v>
      </c>
      <c r="G19" s="34" t="n">
        <v>0.15</v>
      </c>
      <c r="H19" s="35" t="s">
        <v>301</v>
      </c>
    </row>
    <row r="20" customFormat="false" ht="15" hidden="false" customHeight="false" outlineLevel="0" collapsed="false">
      <c r="A20" s="7" t="s">
        <v>303</v>
      </c>
      <c r="B20" s="5" t="s">
        <v>35</v>
      </c>
      <c r="C20" s="5" t="n">
        <v>14</v>
      </c>
      <c r="D20" s="15" t="n">
        <v>0.32</v>
      </c>
      <c r="E20" s="5" t="n">
        <v>25</v>
      </c>
      <c r="F20" s="15" t="n">
        <v>0.99</v>
      </c>
      <c r="G20" s="34" t="n">
        <v>-0.67</v>
      </c>
      <c r="H20" s="10" t="s">
        <v>302</v>
      </c>
    </row>
    <row r="21" customFormat="false" ht="15" hidden="false" customHeight="false" outlineLevel="0" collapsed="false">
      <c r="A21" s="7" t="s">
        <v>303</v>
      </c>
      <c r="B21" s="5" t="s">
        <v>42</v>
      </c>
      <c r="C21" s="5" t="n">
        <v>14</v>
      </c>
      <c r="D21" s="15" t="n">
        <v>0.59</v>
      </c>
      <c r="E21" s="5" t="n">
        <v>18</v>
      </c>
      <c r="F21" s="15" t="n">
        <v>0.47</v>
      </c>
      <c r="G21" s="34" t="n">
        <v>0.12</v>
      </c>
      <c r="H21" s="35" t="s">
        <v>301</v>
      </c>
    </row>
    <row r="22" customFormat="false" ht="15" hidden="false" customHeight="false" outlineLevel="0" collapsed="false">
      <c r="A22" s="7" t="s">
        <v>303</v>
      </c>
      <c r="B22" s="5" t="s">
        <v>44</v>
      </c>
      <c r="C22" s="5" t="n">
        <v>10</v>
      </c>
      <c r="D22" s="15" t="n">
        <v>0.19</v>
      </c>
      <c r="E22" s="5" t="n">
        <v>18</v>
      </c>
      <c r="F22" s="15" t="n">
        <v>0.46</v>
      </c>
      <c r="G22" s="34" t="n">
        <v>-0.27</v>
      </c>
      <c r="H22" s="10" t="s">
        <v>302</v>
      </c>
    </row>
    <row r="23" customFormat="false" ht="15" hidden="false" customHeight="false" outlineLevel="0" collapsed="false">
      <c r="A23" s="7" t="s">
        <v>303</v>
      </c>
      <c r="B23" s="5" t="s">
        <v>47</v>
      </c>
      <c r="C23" s="5" t="n">
        <v>13</v>
      </c>
      <c r="D23" s="15" t="n">
        <v>0.27</v>
      </c>
      <c r="E23" s="5" t="n">
        <v>15</v>
      </c>
      <c r="F23" s="15" t="n">
        <v>0.22</v>
      </c>
      <c r="G23" s="34" t="n">
        <v>0.05</v>
      </c>
      <c r="H23" s="17" t="s">
        <v>304</v>
      </c>
    </row>
    <row r="24" customFormat="false" ht="15" hidden="false" customHeight="false" outlineLevel="0" collapsed="false">
      <c r="A24" s="7" t="s">
        <v>303</v>
      </c>
      <c r="B24" s="5" t="s">
        <v>50</v>
      </c>
      <c r="C24" s="5" t="n">
        <v>9</v>
      </c>
      <c r="D24" s="15" t="n">
        <v>0</v>
      </c>
      <c r="E24" s="5" t="n">
        <v>29</v>
      </c>
      <c r="F24" s="15" t="n">
        <v>0.27</v>
      </c>
      <c r="G24" s="34" t="n">
        <v>-0.27</v>
      </c>
      <c r="H24" s="10" t="s">
        <v>302</v>
      </c>
    </row>
    <row r="25" customFormat="false" ht="15" hidden="false" customHeight="false" outlineLevel="0" collapsed="false">
      <c r="A25" s="7" t="s">
        <v>303</v>
      </c>
      <c r="B25" s="5" t="s">
        <v>38</v>
      </c>
      <c r="C25" s="5" t="n">
        <v>15</v>
      </c>
      <c r="D25" s="15" t="n">
        <v>0.68</v>
      </c>
      <c r="E25" s="5" t="n">
        <v>14</v>
      </c>
      <c r="F25" s="15" t="n">
        <v>0.78</v>
      </c>
      <c r="G25" s="34" t="n">
        <v>-0.1</v>
      </c>
      <c r="H25" s="17" t="s">
        <v>304</v>
      </c>
    </row>
    <row r="26" customFormat="false" ht="15" hidden="false" customHeight="false" outlineLevel="0" collapsed="false">
      <c r="A26" s="7" t="s">
        <v>305</v>
      </c>
      <c r="B26" s="5" t="s">
        <v>35</v>
      </c>
      <c r="C26" s="5" t="n">
        <v>6</v>
      </c>
      <c r="D26" s="15" t="n">
        <v>0.24</v>
      </c>
      <c r="E26" s="5" t="n">
        <v>33</v>
      </c>
      <c r="F26" s="15" t="n">
        <v>0.86</v>
      </c>
      <c r="G26" s="34" t="n">
        <v>-0.62</v>
      </c>
      <c r="H26" s="10" t="s">
        <v>302</v>
      </c>
    </row>
    <row r="27" customFormat="false" ht="15" hidden="false" customHeight="false" outlineLevel="0" collapsed="false">
      <c r="A27" s="7" t="s">
        <v>305</v>
      </c>
      <c r="B27" s="5" t="s">
        <v>42</v>
      </c>
      <c r="C27" s="5" t="n">
        <v>14</v>
      </c>
      <c r="D27" s="15" t="n">
        <v>0.42</v>
      </c>
      <c r="E27" s="5" t="n">
        <v>18</v>
      </c>
      <c r="F27" s="15" t="n">
        <v>0.61</v>
      </c>
      <c r="G27" s="34" t="n">
        <v>-0.19</v>
      </c>
      <c r="H27" s="10" t="s">
        <v>302</v>
      </c>
    </row>
    <row r="28" customFormat="false" ht="15" hidden="false" customHeight="false" outlineLevel="0" collapsed="false">
      <c r="A28" s="7" t="s">
        <v>305</v>
      </c>
      <c r="B28" s="5" t="s">
        <v>44</v>
      </c>
      <c r="C28" s="5" t="n">
        <v>8</v>
      </c>
      <c r="D28" s="15" t="n">
        <v>0.18</v>
      </c>
      <c r="E28" s="5" t="n">
        <v>20</v>
      </c>
      <c r="F28" s="15" t="n">
        <v>0.47</v>
      </c>
      <c r="G28" s="34" t="n">
        <v>-0.29</v>
      </c>
      <c r="H28" s="10" t="s">
        <v>302</v>
      </c>
    </row>
    <row r="29" customFormat="false" ht="15" hidden="false" customHeight="false" outlineLevel="0" collapsed="false">
      <c r="A29" s="7" t="s">
        <v>305</v>
      </c>
      <c r="B29" s="5" t="s">
        <v>47</v>
      </c>
      <c r="C29" s="5" t="n">
        <v>10</v>
      </c>
      <c r="D29" s="15" t="n">
        <v>0.45</v>
      </c>
      <c r="E29" s="5" t="n">
        <v>18</v>
      </c>
      <c r="F29" s="15" t="n">
        <v>0.15</v>
      </c>
      <c r="G29" s="34" t="n">
        <v>0.3</v>
      </c>
      <c r="H29" s="35" t="s">
        <v>301</v>
      </c>
    </row>
    <row r="30" customFormat="false" ht="15" hidden="false" customHeight="false" outlineLevel="0" collapsed="false">
      <c r="A30" s="7" t="s">
        <v>306</v>
      </c>
      <c r="B30" s="5" t="s">
        <v>35</v>
      </c>
      <c r="C30" s="5" t="n">
        <v>6</v>
      </c>
      <c r="D30" s="15" t="n">
        <v>0.68</v>
      </c>
      <c r="E30" s="5" t="n">
        <v>33</v>
      </c>
      <c r="F30" s="15" t="n">
        <v>0.78</v>
      </c>
      <c r="G30" s="34" t="n">
        <v>-0.1</v>
      </c>
      <c r="H30" s="17" t="s">
        <v>304</v>
      </c>
    </row>
    <row r="31" customFormat="false" ht="15" hidden="false" customHeight="false" outlineLevel="0" collapsed="false">
      <c r="A31" s="7" t="s">
        <v>306</v>
      </c>
      <c r="B31" s="5" t="s">
        <v>42</v>
      </c>
      <c r="C31" s="5" t="n">
        <v>16</v>
      </c>
      <c r="D31" s="15" t="n">
        <v>0.44</v>
      </c>
      <c r="E31" s="5" t="n">
        <v>16</v>
      </c>
      <c r="F31" s="15" t="n">
        <v>0.6</v>
      </c>
      <c r="G31" s="34" t="n">
        <v>-0.16</v>
      </c>
      <c r="H31" s="10" t="s">
        <v>302</v>
      </c>
    </row>
    <row r="32" customFormat="false" ht="15" hidden="false" customHeight="false" outlineLevel="0" collapsed="false">
      <c r="A32" s="7" t="s">
        <v>306</v>
      </c>
      <c r="B32" s="5" t="s">
        <v>44</v>
      </c>
      <c r="C32" s="5" t="n">
        <v>13</v>
      </c>
      <c r="D32" s="15" t="n">
        <v>0.3</v>
      </c>
      <c r="E32" s="5" t="n">
        <v>15</v>
      </c>
      <c r="F32" s="15" t="n">
        <v>0.52</v>
      </c>
      <c r="G32" s="34" t="n">
        <v>-0.22</v>
      </c>
      <c r="H32" s="10" t="s">
        <v>302</v>
      </c>
    </row>
    <row r="33" customFormat="false" ht="15" hidden="false" customHeight="false" outlineLevel="0" collapsed="false">
      <c r="A33" s="7" t="s">
        <v>306</v>
      </c>
      <c r="B33" s="5" t="s">
        <v>47</v>
      </c>
      <c r="C33" s="5" t="n">
        <v>5</v>
      </c>
      <c r="D33" s="15" t="n">
        <v>0.21</v>
      </c>
      <c r="E33" s="5" t="n">
        <v>23</v>
      </c>
      <c r="F33" s="15" t="n">
        <v>0.25</v>
      </c>
      <c r="G33" s="34" t="n">
        <v>-0.04</v>
      </c>
      <c r="H33" s="17" t="s">
        <v>304</v>
      </c>
    </row>
    <row r="34" customFormat="false" ht="15" hidden="false" customHeight="false" outlineLevel="0" collapsed="false">
      <c r="A34" s="7" t="s">
        <v>306</v>
      </c>
      <c r="B34" s="5" t="s">
        <v>50</v>
      </c>
      <c r="C34" s="5" t="n">
        <v>8</v>
      </c>
      <c r="D34" s="15" t="n">
        <v>0.42</v>
      </c>
      <c r="E34" s="5" t="n">
        <v>30</v>
      </c>
      <c r="F34" s="15" t="n">
        <v>0.17</v>
      </c>
      <c r="G34" s="34" t="n">
        <v>0.25</v>
      </c>
      <c r="H34" s="35" t="s">
        <v>301</v>
      </c>
    </row>
    <row r="35" customFormat="false" ht="15" hidden="false" customHeight="false" outlineLevel="0" collapsed="false">
      <c r="A35" s="7" t="s">
        <v>306</v>
      </c>
      <c r="B35" s="5" t="s">
        <v>38</v>
      </c>
      <c r="C35" s="5" t="n">
        <v>16</v>
      </c>
      <c r="D35" s="15" t="n">
        <v>0.76</v>
      </c>
      <c r="E35" s="5" t="n">
        <v>13</v>
      </c>
      <c r="F35" s="15" t="n">
        <v>0.67</v>
      </c>
      <c r="G35" s="34" t="n">
        <v>0.09</v>
      </c>
      <c r="H35" s="17" t="s">
        <v>304</v>
      </c>
    </row>
    <row r="38" customFormat="false" ht="19.4" hidden="false" customHeight="false" outlineLevel="0" collapsed="false">
      <c r="A38" s="12" t="s">
        <v>307</v>
      </c>
    </row>
    <row r="39" customFormat="false" ht="15" hidden="false" customHeight="false" outlineLevel="0" collapsed="false">
      <c r="A39" s="4" t="s">
        <v>3</v>
      </c>
      <c r="B39" s="13" t="s">
        <v>35</v>
      </c>
      <c r="C39" s="13" t="s">
        <v>42</v>
      </c>
      <c r="D39" s="13" t="s">
        <v>44</v>
      </c>
      <c r="E39" s="13" t="s">
        <v>47</v>
      </c>
      <c r="F39" s="13" t="s">
        <v>50</v>
      </c>
      <c r="G39" s="13" t="s">
        <v>38</v>
      </c>
      <c r="H39" s="4" t="s">
        <v>24</v>
      </c>
    </row>
    <row r="40" customFormat="false" ht="15" hidden="false" customHeight="false" outlineLevel="0" collapsed="false">
      <c r="A40" s="5" t="s">
        <v>6</v>
      </c>
      <c r="B40" s="6" t="n">
        <v>3</v>
      </c>
      <c r="C40" s="6" t="n">
        <v>2</v>
      </c>
      <c r="D40" s="6" t="n">
        <v>2</v>
      </c>
      <c r="E40" s="6" t="n">
        <v>2</v>
      </c>
      <c r="F40" s="6" t="n">
        <v>2</v>
      </c>
      <c r="G40" s="6" t="n">
        <v>3</v>
      </c>
      <c r="H40" s="6" t="n">
        <v>14</v>
      </c>
    </row>
    <row r="41" customFormat="false" ht="15" hidden="false" customHeight="false" outlineLevel="0" collapsed="false">
      <c r="A41" s="5" t="s">
        <v>8</v>
      </c>
      <c r="B41" s="6" t="n">
        <v>2</v>
      </c>
      <c r="C41" s="6" t="n">
        <v>1</v>
      </c>
      <c r="D41" s="6" t="n">
        <v>1</v>
      </c>
      <c r="E41" s="6" t="n">
        <v>1</v>
      </c>
      <c r="F41" s="6" t="n">
        <v>1</v>
      </c>
      <c r="G41" s="6" t="n">
        <v>1</v>
      </c>
      <c r="H41" s="6" t="n">
        <v>7</v>
      </c>
    </row>
    <row r="42" customFormat="false" ht="15" hidden="false" customHeight="false" outlineLevel="0" collapsed="false">
      <c r="A42" s="5" t="s">
        <v>10</v>
      </c>
      <c r="B42" s="6" t="n">
        <v>2</v>
      </c>
      <c r="C42" s="6" t="n">
        <v>2</v>
      </c>
      <c r="D42" s="6" t="n">
        <v>1</v>
      </c>
      <c r="E42" s="6" t="n">
        <v>2</v>
      </c>
      <c r="F42" s="6" t="n">
        <v>2</v>
      </c>
      <c r="G42" s="6" t="n">
        <v>2</v>
      </c>
      <c r="H42" s="6" t="n">
        <v>11</v>
      </c>
    </row>
    <row r="43" customFormat="false" ht="15" hidden="false" customHeight="false" outlineLevel="0" collapsed="false">
      <c r="A43" s="5" t="s">
        <v>11</v>
      </c>
      <c r="B43" s="6" t="n">
        <v>2</v>
      </c>
      <c r="C43" s="6" t="n">
        <v>1</v>
      </c>
      <c r="D43" s="6" t="n">
        <v>1</v>
      </c>
      <c r="E43" s="6" t="n">
        <v>1</v>
      </c>
      <c r="F43" s="6" t="n">
        <v>1</v>
      </c>
      <c r="G43" s="6" t="n">
        <v>1</v>
      </c>
      <c r="H43" s="6" t="n">
        <v>7</v>
      </c>
    </row>
    <row r="44" customFormat="false" ht="15" hidden="false" customHeight="false" outlineLevel="0" collapsed="false">
      <c r="A44" s="8" t="s">
        <v>12</v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</row>
    <row r="45" customFormat="false" ht="15" hidden="false" customHeight="false" outlineLevel="0" collapsed="false">
      <c r="A45" s="8" t="s">
        <v>14</v>
      </c>
      <c r="B45" s="9" t="n">
        <v>0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</row>
    <row r="46" customFormat="false" ht="15" hidden="false" customHeight="false" outlineLevel="0" collapsed="false">
      <c r="A46" s="5" t="s">
        <v>15</v>
      </c>
      <c r="B46" s="6" t="n">
        <v>2</v>
      </c>
      <c r="C46" s="6" t="n">
        <v>1</v>
      </c>
      <c r="D46" s="6" t="n">
        <v>1</v>
      </c>
      <c r="E46" s="6" t="n">
        <v>1</v>
      </c>
      <c r="F46" s="6" t="n">
        <v>1</v>
      </c>
      <c r="G46" s="6" t="n">
        <v>1</v>
      </c>
      <c r="H46" s="6" t="n">
        <v>7</v>
      </c>
    </row>
    <row r="47" customFormat="false" ht="15" hidden="false" customHeight="false" outlineLevel="0" collapsed="false">
      <c r="A47" s="5" t="s">
        <v>16</v>
      </c>
      <c r="B47" s="6" t="n">
        <v>2</v>
      </c>
      <c r="C47" s="6" t="n">
        <v>3</v>
      </c>
      <c r="D47" s="6" t="n">
        <v>3</v>
      </c>
      <c r="E47" s="6" t="n">
        <v>3</v>
      </c>
      <c r="F47" s="6" t="n">
        <v>3</v>
      </c>
      <c r="G47" s="6" t="n">
        <v>3</v>
      </c>
      <c r="H47" s="6" t="n">
        <v>17</v>
      </c>
    </row>
    <row r="48" customFormat="false" ht="15" hidden="false" customHeight="false" outlineLevel="0" collapsed="false">
      <c r="A48" s="5" t="s">
        <v>17</v>
      </c>
      <c r="B48" s="6" t="n">
        <v>4</v>
      </c>
      <c r="C48" s="6" t="n">
        <v>3</v>
      </c>
      <c r="D48" s="6" t="n">
        <v>3</v>
      </c>
      <c r="E48" s="6" t="n">
        <v>3</v>
      </c>
      <c r="F48" s="6" t="n">
        <v>3</v>
      </c>
      <c r="G48" s="6" t="n">
        <v>3</v>
      </c>
      <c r="H48" s="6" t="n">
        <v>19</v>
      </c>
    </row>
    <row r="49" customFormat="false" ht="15" hidden="false" customHeight="false" outlineLevel="0" collapsed="false">
      <c r="A49" s="5" t="s">
        <v>18</v>
      </c>
      <c r="B49" s="6" t="n">
        <v>3</v>
      </c>
      <c r="C49" s="6" t="n">
        <v>3</v>
      </c>
      <c r="D49" s="6" t="n">
        <v>3</v>
      </c>
      <c r="E49" s="6" t="n">
        <v>3</v>
      </c>
      <c r="F49" s="6" t="n">
        <v>3</v>
      </c>
      <c r="G49" s="6" t="n">
        <v>3</v>
      </c>
      <c r="H49" s="6" t="n">
        <v>18</v>
      </c>
    </row>
    <row r="50" customFormat="false" ht="15" hidden="false" customHeight="false" outlineLevel="0" collapsed="false">
      <c r="A50" s="5" t="s">
        <v>19</v>
      </c>
      <c r="B50" s="6" t="n">
        <v>3</v>
      </c>
      <c r="C50" s="6" t="n">
        <v>3</v>
      </c>
      <c r="D50" s="6" t="n">
        <v>2</v>
      </c>
      <c r="E50" s="6" t="n">
        <v>4</v>
      </c>
      <c r="F50" s="6" t="n">
        <v>3</v>
      </c>
      <c r="G50" s="6" t="n">
        <v>3</v>
      </c>
      <c r="H50" s="6" t="n">
        <v>18</v>
      </c>
    </row>
    <row r="51" customFormat="false" ht="15" hidden="false" customHeight="false" outlineLevel="0" collapsed="false">
      <c r="A51" s="5" t="s">
        <v>20</v>
      </c>
      <c r="B51" s="6" t="n">
        <v>3</v>
      </c>
      <c r="C51" s="6" t="n">
        <v>2</v>
      </c>
      <c r="D51" s="6" t="n">
        <v>3</v>
      </c>
      <c r="E51" s="6" t="n">
        <v>2</v>
      </c>
      <c r="F51" s="6" t="n">
        <v>2</v>
      </c>
      <c r="G51" s="6" t="n">
        <v>2</v>
      </c>
      <c r="H51" s="6" t="n">
        <v>14</v>
      </c>
    </row>
    <row r="52" customFormat="false" ht="15" hidden="false" customHeight="false" outlineLevel="0" collapsed="false">
      <c r="A52" s="8" t="s">
        <v>21</v>
      </c>
      <c r="B52" s="9" t="n">
        <v>0</v>
      </c>
      <c r="C52" s="9" t="n">
        <v>1</v>
      </c>
      <c r="D52" s="9" t="n">
        <v>0</v>
      </c>
      <c r="E52" s="9" t="n">
        <v>0</v>
      </c>
      <c r="F52" s="9" t="n">
        <v>0</v>
      </c>
      <c r="G52" s="9" t="n">
        <v>1</v>
      </c>
      <c r="H52" s="9" t="n">
        <v>2</v>
      </c>
    </row>
    <row r="53" customFormat="false" ht="15" hidden="false" customHeight="false" outlineLevel="0" collapsed="false">
      <c r="A53" s="8" t="s">
        <v>23</v>
      </c>
      <c r="B53" s="9" t="n">
        <v>0</v>
      </c>
      <c r="C53" s="9" t="n">
        <v>0</v>
      </c>
      <c r="D53" s="9" t="n">
        <v>0</v>
      </c>
      <c r="E53" s="9" t="n">
        <v>1</v>
      </c>
      <c r="F53" s="9" t="n">
        <v>1</v>
      </c>
      <c r="G53" s="9" t="n">
        <v>0</v>
      </c>
      <c r="H53" s="9" t="n">
        <v>2</v>
      </c>
    </row>
    <row r="55" customFormat="false" ht="15" hidden="false" customHeight="false" outlineLevel="0" collapsed="false">
      <c r="A55" s="36" t="s">
        <v>308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2026-09-11T01:16:47Z</dcterms:created>
  <dc:creator>openpyxl</dc:creator>
  <dc:description/>
  <dc:language>en-US</dc:language>
  <cp:lastModifiedBy/>
  <dcterms:modified xsi:type="dcterms:W3CDTF">2026-09-11T01:16:47Z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