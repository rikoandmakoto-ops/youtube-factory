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チャンネル別詳細" sheetId="2" state="visible" r:id="rId4"/>
    <sheet name="直近動画一覧" sheetId="3" state="visible" r:id="rId5"/>
    <sheet name="改善提案" sheetId="4" state="visible" r:id="rId6"/>
    <sheet name="前回比較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<sst xmlns="http://schemas.openxmlformats.org/spreadsheetml/2006/main" count="999" uniqueCount="543">
  <si>
    <r>
      <rPr>
        <b val="true"/>
        <sz val="14"/>
        <rFont val="Arial"/>
        <family val="0"/>
        <charset val="1"/>
      </rPr>
      <t xml:space="preserve">YouTube Factory </t>
    </r>
    <r>
      <rPr>
        <b val="true"/>
        <sz val="14"/>
        <rFont val="Noto Sans CJK SC"/>
        <family val="2"/>
      </rPr>
      <t xml:space="preserve">指揮者レポート  </t>
    </r>
    <r>
      <rPr>
        <b val="true"/>
        <sz val="14"/>
        <rFont val="Arial"/>
        <family val="0"/>
        <charset val="1"/>
      </rPr>
      <t xml:space="preserve">2026-09-15</t>
    </r>
  </si>
  <si>
    <r>
      <rPr>
        <sz val="9"/>
        <color rgb="FF555555"/>
        <rFont val="Noto Sans CJK SC"/>
        <family val="2"/>
      </rPr>
      <t xml:space="preserve">データ源</t>
    </r>
    <r>
      <rPr>
        <sz val="9"/>
        <color rgb="FF555555"/>
        <rFont val="Arial"/>
        <family val="0"/>
        <charset val="1"/>
      </rPr>
      <t xml:space="preserve">: data/analytics/analytics.db </t>
    </r>
    <r>
      <rPr>
        <sz val="9"/>
        <color rgb="FF555555"/>
        <rFont val="Noto Sans CJK SC"/>
        <family val="2"/>
      </rPr>
      <t xml:space="preserve">のみ（ブラウザ・</t>
    </r>
    <r>
      <rPr>
        <sz val="9"/>
        <color rgb="FF555555"/>
        <rFont val="Arial"/>
        <family val="0"/>
        <charset val="1"/>
      </rPr>
      <t xml:space="preserve">API</t>
    </r>
    <r>
      <rPr>
        <sz val="9"/>
        <color rgb="FF555555"/>
        <rFont val="Noto Sans CJK SC"/>
        <family val="2"/>
      </rPr>
      <t xml:space="preserve">キー不使用）</t>
    </r>
  </si>
  <si>
    <r>
      <rPr>
        <sz val="9"/>
        <color rgb="FF555555"/>
        <rFont val="Noto Sans CJK SC"/>
        <family val="2"/>
      </rPr>
      <t xml:space="preserve">生成</t>
    </r>
    <r>
      <rPr>
        <sz val="9"/>
        <color rgb="FF555555"/>
        <rFont val="Arial"/>
        <family val="0"/>
        <charset val="1"/>
      </rPr>
      <t xml:space="preserve">: 2026-09-15 10:17</t>
    </r>
  </si>
  <si>
    <t xml:space="preserve">■ 本日の結論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</si>
  <si>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本日の新規データは </t>
    </r>
    <r>
      <rPr>
        <sz val="10"/>
        <rFont val="Arial"/>
        <family val="0"/>
        <charset val="1"/>
      </rPr>
      <t xml:space="preserve">09-14 22:31 JST fetch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本のみ（</t>
    </r>
    <r>
      <rPr>
        <sz val="10"/>
        <rFont val="Arial"/>
        <family val="0"/>
        <charset val="1"/>
      </rPr>
      <t xml:space="preserve">video_metrics </t>
    </r>
    <r>
      <rPr>
        <sz val="10"/>
        <rFont val="Noto Sans CJK SC"/>
        <family val="2"/>
      </rPr>
      <t xml:space="preserve">最終日</t>
    </r>
    <r>
      <rPr>
        <sz val="10"/>
        <rFont val="Arial"/>
        <family val="0"/>
        <charset val="1"/>
      </rPr>
      <t xml:space="preserve">=2026-09-14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channel_metrics </t>
    </r>
    <r>
      <rPr>
        <sz val="10"/>
        <rFont val="Noto Sans CJK SC"/>
        <family val="2"/>
      </rPr>
      <t xml:space="preserve">は集計ラグで </t>
    </r>
    <r>
      <rPr>
        <sz val="10"/>
        <rFont val="Arial"/>
        <family val="0"/>
        <charset val="1"/>
      </rPr>
      <t xml:space="preserve">09-11 </t>
    </r>
    <r>
      <rPr>
        <sz val="10"/>
        <rFont val="Noto Sans CJK SC"/>
        <family val="2"/>
      </rPr>
      <t xml:space="preserve">止まり。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</si>
  <si>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【鉄則遵守】同一スナップショットでの二重判断を避けるため、指揮者からの新規 </t>
    </r>
    <r>
      <rPr>
        <sz val="10"/>
        <rFont val="Arial"/>
        <family val="0"/>
        <charset val="1"/>
      </rPr>
      <t xml:space="preserve">config </t>
    </r>
    <r>
      <rPr>
        <sz val="10"/>
        <rFont val="Noto Sans CJK SC"/>
        <family val="2"/>
      </rPr>
      <t xml:space="preserve">変更は行っていない。本日 </t>
    </r>
    <r>
      <rPr>
        <sz val="10"/>
        <rFont val="Arial"/>
        <family val="0"/>
        <charset val="1"/>
      </rPr>
      <t xml:space="preserve">10:08 </t>
    </r>
    <r>
      <rPr>
        <sz val="10"/>
        <rFont val="Noto Sans CJK SC"/>
        <family val="2"/>
      </rPr>
      <t xml:space="preserve">の並走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が適用した変更を独立検算してコミットした。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</si>
  <si>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至上指標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千再生は </t>
    </r>
    <r>
      <rPr>
        <sz val="10"/>
        <rFont val="Arial"/>
        <family val="0"/>
        <charset val="1"/>
      </rPr>
      <t xml:space="preserve">5ch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3ch </t>
    </r>
    <r>
      <rPr>
        <sz val="10"/>
        <rFont val="Noto Sans CJK SC"/>
        <family val="2"/>
      </rPr>
      <t xml:space="preserve">が改善（</t>
    </r>
    <r>
      <rPr>
        <sz val="10"/>
        <rFont val="Arial"/>
        <family val="0"/>
        <charset val="1"/>
      </rPr>
      <t xml:space="preserve">scp-lab +0.044 / yokai-watch +0.054 / daily-science +0.023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2ch </t>
    </r>
    <r>
      <rPr>
        <sz val="10"/>
        <rFont val="Noto Sans CJK SC"/>
        <family val="2"/>
      </rPr>
      <t xml:space="preserve">が悪化（</t>
    </r>
    <r>
      <rPr>
        <sz val="10"/>
        <rFont val="Arial"/>
        <family val="0"/>
        <charset val="1"/>
      </rPr>
      <t xml:space="preserve">company-facts -0.030 / 2ch-matome -0.013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</si>
  <si>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登録の主説明変数は「いいね率」。四分位 </t>
    </r>
    <r>
      <rPr>
        <sz val="10"/>
        <rFont val="Arial"/>
        <family val="0"/>
        <charset val="1"/>
      </rPr>
      <t xml:space="preserve">Q4/Q1 = 3.96</t>
    </r>
    <r>
      <rPr>
        <sz val="10"/>
        <rFont val="Noto Sans CJK SC"/>
        <family val="2"/>
      </rPr>
      <t xml:space="preserve">倍（前日 </t>
    </r>
    <r>
      <rPr>
        <sz val="10"/>
        <rFont val="Arial"/>
        <family val="0"/>
        <charset val="1"/>
      </rPr>
      <t xml:space="preserve">3.90</t>
    </r>
    <r>
      <rPr>
        <sz val="10"/>
        <rFont val="Noto Sans CJK SC"/>
        <family val="2"/>
      </rPr>
      <t xml:space="preserve">倍の独立再現）。伸びている </t>
    </r>
    <r>
      <rPr>
        <sz val="10"/>
        <rFont val="Arial"/>
        <family val="0"/>
        <charset val="1"/>
      </rPr>
      <t xml:space="preserve">3ch </t>
    </r>
    <r>
      <rPr>
        <sz val="10"/>
        <rFont val="Noto Sans CJK SC"/>
        <family val="2"/>
      </rPr>
      <t xml:space="preserve">はいずれも いいね率が同時に上昇している。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</si>
  <si>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【前日の知見を一部修正】維持率の頂点が </t>
    </r>
    <r>
      <rPr>
        <sz val="10"/>
        <rFont val="Arial"/>
        <family val="0"/>
        <charset val="1"/>
      </rPr>
      <t xml:space="preserve">40-50% </t>
    </r>
    <r>
      <rPr>
        <sz val="10"/>
        <rFont val="Noto Sans CJK SC"/>
        <family val="2"/>
      </rPr>
      <t xml:space="preserve">であることは再現した。しかし「</t>
    </r>
    <r>
      <rPr>
        <sz val="10"/>
        <rFont val="Arial"/>
        <family val="0"/>
        <charset val="1"/>
      </rPr>
      <t xml:space="preserve">&gt;=70% </t>
    </r>
    <r>
      <rPr>
        <sz val="10"/>
        <rFont val="Noto Sans CJK SC"/>
        <family val="2"/>
      </rPr>
      <t xml:space="preserve">が最下位」は切り抜き</t>
    </r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clip-lab/clip-fukada </t>
    </r>
    <r>
      <rPr>
        <sz val="10"/>
        <rFont val="Noto Sans CJK SC"/>
        <family val="2"/>
      </rPr>
      <t xml:space="preserve">が当該帯 </t>
    </r>
    <r>
      <rPr>
        <sz val="10"/>
        <rFont val="Arial"/>
        <family val="0"/>
        <charset val="1"/>
      </rPr>
      <t xml:space="preserve">views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58%</t>
    </r>
    <r>
      <rPr>
        <sz val="10"/>
        <rFont val="Noto Sans CJK SC"/>
        <family val="2"/>
      </rPr>
      <t xml:space="preserve">）による交絡で、ゆっくり</t>
    </r>
    <r>
      <rPr>
        <sz val="10"/>
        <rFont val="Arial"/>
        <family val="0"/>
        <charset val="1"/>
      </rPr>
      <t xml:space="preserve">7ch</t>
    </r>
    <r>
      <rPr>
        <sz val="10"/>
        <rFont val="Noto Sans CJK SC"/>
        <family val="2"/>
      </rPr>
      <t xml:space="preserve">に限ると </t>
    </r>
    <r>
      <rPr>
        <sz val="10"/>
        <rFont val="Arial"/>
        <family val="0"/>
        <charset val="1"/>
      </rPr>
      <t xml:space="preserve">&gt;=70%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0.514 </t>
    </r>
    <r>
      <rPr>
        <sz val="10"/>
        <rFont val="Noto Sans CJK SC"/>
        <family val="2"/>
      </rPr>
      <t xml:space="preserve">で最下位ではない。最下位は </t>
    </r>
    <r>
      <rPr>
        <sz val="10"/>
        <rFont val="Arial"/>
        <family val="0"/>
        <charset val="1"/>
      </rPr>
      <t xml:space="preserve">&lt;30%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0.245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</si>
  <si>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6. 09-13 </t>
    </r>
    <r>
      <rPr>
        <sz val="10"/>
        <rFont val="Noto Sans CJK SC"/>
        <family val="2"/>
      </rPr>
      <t xml:space="preserve">以降に公開した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本は全て </t>
    </r>
    <r>
      <rPr>
        <sz val="10"/>
        <rFont val="Arial"/>
        <family val="0"/>
        <charset val="1"/>
      </rPr>
      <t xml:space="preserve">views=0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Analytics </t>
    </r>
    <r>
      <rPr>
        <sz val="10"/>
        <rFont val="Noto Sans CJK SC"/>
        <family val="2"/>
      </rPr>
      <t xml:space="preserve">ラグ）。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の投稿枠・型ルール変更の効果は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本も測れていない。再判定は </t>
    </r>
    <r>
      <rPr>
        <sz val="10"/>
        <rFont val="Arial"/>
        <family val="0"/>
        <charset val="1"/>
      </rPr>
      <t xml:space="preserve">n≧20/ch </t>
    </r>
    <r>
      <rPr>
        <sz val="10"/>
        <rFont val="Noto Sans CJK SC"/>
        <family val="2"/>
      </rPr>
      <t xml:space="preserve">が揃う </t>
    </r>
    <r>
      <rPr>
        <sz val="10"/>
        <rFont val="Arial"/>
        <family val="0"/>
        <charset val="1"/>
      </rPr>
      <t xml:space="preserve">09-21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</si>
  <si>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未解決の人手案件が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件（サムネ</t>
    </r>
    <r>
      <rPr>
        <sz val="10"/>
        <rFont val="Arial"/>
        <family val="0"/>
        <charset val="1"/>
      </rPr>
      <t xml:space="preserve">403=9ch / Anthropic API</t>
    </r>
    <r>
      <rPr>
        <sz val="10"/>
        <rFont val="Noto Sans CJK SC"/>
        <family val="2"/>
      </rPr>
      <t xml:space="preserve">キー</t>
    </r>
    <r>
      <rPr>
        <sz val="10"/>
        <rFont val="Arial"/>
        <family val="0"/>
        <charset val="1"/>
      </rPr>
      <t xml:space="preserve">401 / OAuth</t>
    </r>
    <r>
      <rPr>
        <sz val="10"/>
        <rFont val="Noto Sans CJK SC"/>
        <family val="2"/>
      </rPr>
      <t xml:space="preserve">未再認可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）。特にサムネ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は「サムネ品質最優先」の施策が 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以外に一切届いていないことを意味する。</t>
    </r>
  </si>
  <si>
    <r>
      <rPr>
        <b val="true"/>
        <sz val="10"/>
        <rFont val="Noto Sans CJK SC"/>
        <family val="2"/>
      </rPr>
      <t xml:space="preserve">■ チャンネル別 実績（各</t>
    </r>
    <r>
      <rPr>
        <b val="true"/>
        <sz val="10"/>
        <rFont val="Arial"/>
        <family val="0"/>
        <charset val="1"/>
      </rPr>
      <t xml:space="preserve">ch</t>
    </r>
    <r>
      <rPr>
        <b val="true"/>
        <sz val="10"/>
        <rFont val="Noto Sans CJK SC"/>
        <family val="2"/>
      </rPr>
      <t xml:space="preserve">の最新スナップショット・直近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本ローリング窓の累積）</t>
    </r>
  </si>
  <si>
    <t xml:space="preserve">チャンネル</t>
  </si>
  <si>
    <t xml:space="preserve">名称</t>
  </si>
  <si>
    <t xml:space="preserve">系統</t>
  </si>
  <si>
    <t xml:space="preserve">スナップ</t>
  </si>
  <si>
    <t xml:space="preserve">本数</t>
  </si>
  <si>
    <t xml:space="preserve">総再生</t>
  </si>
  <si>
    <t xml:space="preserve">平均再生</t>
  </si>
  <si>
    <t xml:space="preserve">登録者</t>
  </si>
  <si>
    <r>
      <rPr>
        <b val="true"/>
        <sz val="11"/>
        <color rgb="FFFFFFFF"/>
        <rFont val="Noto Sans CJK SC"/>
        <family val="2"/>
      </rPr>
      <t xml:space="preserve">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千再生</t>
    </r>
  </si>
  <si>
    <t xml:space="preserve">いいね数</t>
  </si>
  <si>
    <r>
      <rPr>
        <b val="true"/>
        <sz val="11"/>
        <color rgb="FFFFFFFF"/>
        <rFont val="Noto Sans CJK SC"/>
        <family val="2"/>
      </rPr>
      <t xml:space="preserve">いいね率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</si>
  <si>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コメント</t>
  </si>
  <si>
    <r>
      <rPr>
        <b val="true"/>
        <sz val="11"/>
        <color rgb="FFFFFFFF"/>
        <rFont val="Noto Sans CJK SC"/>
        <family val="2"/>
      </rPr>
      <t xml:space="preserve">平均維持率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</si>
  <si>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scp-lab</t>
  </si>
  <si>
    <r>
      <rPr>
        <sz val="10"/>
        <rFont val="Noto Sans CJK SC"/>
        <family val="2"/>
      </rPr>
      <t xml:space="preserve">ゆっくり異常存在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ラボ</t>
    </r>
  </si>
  <si>
    <t xml:space="preserve">ゆっくり系</t>
  </si>
  <si>
    <t xml:space="preserve">2026-09-14</t>
  </si>
  <si>
    <t xml:space="preserve">daily-science</t>
  </si>
  <si>
    <t xml:space="preserve">リコとマコトのゆっくり日常科学</t>
  </si>
  <si>
    <t xml:space="preserve">yokai-watch</t>
  </si>
  <si>
    <t xml:space="preserve">ゆっくり妖怪ラボ</t>
  </si>
  <si>
    <t xml:space="preserve">company-facts</t>
  </si>
  <si>
    <t xml:space="preserve">企業のホンネ</t>
  </si>
  <si>
    <t xml:space="preserve">2ch-matome</t>
  </si>
  <si>
    <r>
      <rPr>
        <sz val="10"/>
        <rFont val="Noto Sans CJK SC"/>
        <family val="2"/>
      </rPr>
      <t xml:space="preserve">ゆっくり</t>
    </r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スレまとめ劇場</t>
    </r>
  </si>
  <si>
    <t xml:space="preserve">pokemon-lab</t>
  </si>
  <si>
    <t xml:space="preserve">ゆっくりポケラボ</t>
  </si>
  <si>
    <t xml:space="preserve">2026-09-08</t>
  </si>
  <si>
    <t xml:space="preserve">socio-rx</t>
  </si>
  <si>
    <t xml:space="preserve">社会学の処方箋</t>
  </si>
  <si>
    <t xml:space="preserve">fake-paper</t>
  </si>
  <si>
    <t xml:space="preserve">虚構論文チャンネル</t>
  </si>
  <si>
    <t xml:space="preserve">2026-09-06</t>
  </si>
  <si>
    <t xml:space="preserve">akashic-librarian</t>
  </si>
  <si>
    <t xml:space="preserve">ラグナロクの司書</t>
  </si>
  <si>
    <t xml:space="preserve">長尺系</t>
  </si>
  <si>
    <t xml:space="preserve">clip-lab</t>
  </si>
  <si>
    <t xml:space="preserve">切り抜きラボ（ひろゆき）</t>
  </si>
  <si>
    <t xml:space="preserve">切り抜き系</t>
  </si>
  <si>
    <t xml:space="preserve">clip-fukada</t>
  </si>
  <si>
    <t xml:space="preserve">深田えいみ 切り抜きチャンネル</t>
  </si>
  <si>
    <t xml:space="preserve">clip-kaneko</t>
  </si>
  <si>
    <t xml:space="preserve">金子みゆ 切り抜きチャンネル</t>
  </si>
  <si>
    <t xml:space="preserve">clip-animal</t>
  </si>
  <si>
    <t xml:space="preserve">動物情報局</t>
  </si>
  <si>
    <r>
      <rPr>
        <b val="true"/>
        <sz val="10"/>
        <rFont val="Noto Sans CJK SC"/>
        <family val="2"/>
      </rPr>
      <t xml:space="preserve">合計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加重</t>
    </r>
  </si>
  <si>
    <t xml:space="preserve">13ch</t>
  </si>
  <si>
    <r>
      <rPr>
        <sz val="9"/>
        <color rgb="FF555555"/>
        <rFont val="Noto Sans CJK SC"/>
        <family val="2"/>
      </rPr>
      <t xml:space="preserve">※ 緑</t>
    </r>
    <r>
      <rPr>
        <sz val="9"/>
        <color rgb="FF555555"/>
        <rFont val="Arial"/>
        <family val="0"/>
        <charset val="1"/>
      </rPr>
      <t xml:space="preserve">=</t>
    </r>
    <r>
      <rPr>
        <sz val="9"/>
        <color rgb="FF555555"/>
        <rFont val="Noto Sans CJK SC"/>
        <family val="2"/>
      </rPr>
      <t xml:space="preserve">登録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千再生 </t>
    </r>
    <r>
      <rPr>
        <sz val="9"/>
        <color rgb="FF555555"/>
        <rFont val="Arial"/>
        <family val="0"/>
        <charset val="1"/>
      </rPr>
      <t xml:space="preserve">0.5</t>
    </r>
    <r>
      <rPr>
        <sz val="9"/>
        <color rgb="FF555555"/>
        <rFont val="Noto Sans CJK SC"/>
        <family val="2"/>
      </rPr>
      <t xml:space="preserve">以上 ／ 橙</t>
    </r>
    <r>
      <rPr>
        <sz val="9"/>
        <color rgb="FF555555"/>
        <rFont val="Arial"/>
        <family val="0"/>
        <charset val="1"/>
      </rPr>
      <t xml:space="preserve">=0.2</t>
    </r>
    <r>
      <rPr>
        <sz val="9"/>
        <color rgb="FF555555"/>
        <rFont val="Noto Sans CJK SC"/>
        <family val="2"/>
      </rPr>
      <t xml:space="preserve">未満 ／ 灰</t>
    </r>
    <r>
      <rPr>
        <sz val="9"/>
        <color rgb="FF555555"/>
        <rFont val="Arial"/>
        <family val="0"/>
        <charset val="1"/>
      </rPr>
      <t xml:space="preserve">=</t>
    </r>
    <r>
      <rPr>
        <sz val="9"/>
        <color rgb="FF555555"/>
        <rFont val="Noto Sans CJK SC"/>
        <family val="2"/>
      </rPr>
      <t xml:space="preserve">計測値ゼロ（</t>
    </r>
    <r>
      <rPr>
        <sz val="9"/>
        <color rgb="FF555555"/>
        <rFont val="Arial"/>
        <family val="0"/>
        <charset val="1"/>
      </rPr>
      <t xml:space="preserve">socio-rx </t>
    </r>
    <r>
      <rPr>
        <sz val="9"/>
        <color rgb="FF555555"/>
        <rFont val="Noto Sans CJK SC"/>
        <family val="2"/>
      </rPr>
      <t xml:space="preserve">は公開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Noto Sans CJK SC"/>
        <family val="2"/>
      </rPr>
      <t xml:space="preserve">本すべて </t>
    </r>
    <r>
      <rPr>
        <sz val="9"/>
        <color rgb="FF555555"/>
        <rFont val="Arial"/>
        <family val="0"/>
        <charset val="1"/>
      </rPr>
      <t xml:space="preserve">Analytics </t>
    </r>
    <r>
      <rPr>
        <sz val="9"/>
        <color rgb="FF555555"/>
        <rFont val="Noto Sans CJK SC"/>
        <family val="2"/>
      </rPr>
      <t xml:space="preserve">未集計）。</t>
    </r>
  </si>
  <si>
    <r>
      <rPr>
        <sz val="9"/>
        <color rgb="FF555555"/>
        <rFont val="Noto Sans CJK SC"/>
        <family val="2"/>
      </rPr>
      <t xml:space="preserve">※ スナップ列が </t>
    </r>
    <r>
      <rPr>
        <sz val="9"/>
        <color rgb="FF555555"/>
        <rFont val="Arial"/>
        <family val="0"/>
        <charset val="1"/>
      </rPr>
      <t xml:space="preserve">09-14 </t>
    </r>
    <r>
      <rPr>
        <sz val="9"/>
        <color rgb="FF555555"/>
        <rFont val="Noto Sans CJK SC"/>
        <family val="2"/>
      </rPr>
      <t xml:space="preserve">でない </t>
    </r>
    <r>
      <rPr>
        <sz val="9"/>
        <color rgb="FF555555"/>
        <rFont val="Arial"/>
        <family val="0"/>
        <charset val="1"/>
      </rPr>
      <t xml:space="preserve">8ch </t>
    </r>
    <r>
      <rPr>
        <sz val="9"/>
        <color rgb="FF555555"/>
        <rFont val="Noto Sans CJK SC"/>
        <family val="2"/>
      </rPr>
      <t xml:space="preserve">は </t>
    </r>
    <r>
      <rPr>
        <sz val="9"/>
        <color rgb="FF555555"/>
        <rFont val="Arial"/>
        <family val="0"/>
        <charset val="1"/>
      </rPr>
      <t xml:space="preserve">OAuth invalid_grant </t>
    </r>
    <r>
      <rPr>
        <sz val="9"/>
        <color rgb="FF555555"/>
        <rFont val="Noto Sans CJK SC"/>
        <family val="2"/>
      </rPr>
      <t xml:space="preserve">により </t>
    </r>
    <r>
      <rPr>
        <sz val="9"/>
        <color rgb="FF555555"/>
        <rFont val="Arial"/>
        <family val="0"/>
        <charset val="1"/>
      </rPr>
      <t xml:space="preserve">fetch </t>
    </r>
    <r>
      <rPr>
        <sz val="9"/>
        <color rgb="FF555555"/>
        <rFont val="Noto Sans CJK SC"/>
        <family val="2"/>
      </rPr>
      <t xml:space="preserve">が止まっており、表示値は当該日の最終スナップショット（据え置き）。新規判断には使っていない。</t>
    </r>
  </si>
  <si>
    <r>
      <rPr>
        <b val="true"/>
        <sz val="14"/>
        <rFont val="Noto Sans CJK SC"/>
        <family val="2"/>
      </rPr>
      <t xml:space="preserve">チャンネル別詳細 — 実績・在庫・本日の</t>
    </r>
    <r>
      <rPr>
        <b val="true"/>
        <sz val="14"/>
        <rFont val="Arial"/>
        <family val="0"/>
        <charset val="1"/>
      </rPr>
      <t xml:space="preserve">config</t>
    </r>
    <r>
      <rPr>
        <b val="true"/>
        <sz val="14"/>
        <rFont val="Noto Sans CJK SC"/>
        <family val="2"/>
      </rPr>
      <t xml:space="preserve">状態</t>
    </r>
  </si>
  <si>
    <r>
      <rPr>
        <sz val="9"/>
        <color rgb="FF555555"/>
        <rFont val="Noto Sans CJK SC"/>
        <family val="2"/>
      </rPr>
      <t xml:space="preserve">投稿枠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型ルールは </t>
    </r>
    <r>
      <rPr>
        <sz val="9"/>
        <color rgb="FF555555"/>
        <rFont val="Arial"/>
        <family val="0"/>
        <charset val="1"/>
      </rPr>
      <t xml:space="preserve">09-14 </t>
    </r>
    <r>
      <rPr>
        <sz val="9"/>
        <color rgb="FF555555"/>
        <rFont val="Noto Sans CJK SC"/>
        <family val="2"/>
      </rPr>
      <t xml:space="preserve">に変更済み。本日は据え置き（同一スナップショットでの二重判断回避）。</t>
    </r>
  </si>
  <si>
    <t xml:space="preserve">autopilot</t>
  </si>
  <si>
    <r>
      <rPr>
        <b val="true"/>
        <sz val="11"/>
        <color rgb="FFFFFFFF"/>
        <rFont val="Noto Sans CJK SC"/>
        <family val="2"/>
      </rPr>
      <t xml:space="preserve">投稿枠</t>
    </r>
    <r>
      <rPr>
        <b val="true"/>
        <sz val="11"/>
        <color rgb="FFFFFFFF"/>
        <rFont val="Arial"/>
        <family val="0"/>
        <charset val="1"/>
      </rPr>
      <t xml:space="preserve">(JST)</t>
    </r>
  </si>
  <si>
    <t xml:space="preserve">枠数</t>
  </si>
  <si>
    <t xml:space="preserve">キュー本数</t>
  </si>
  <si>
    <t xml:space="preserve">在庫日数</t>
  </si>
  <si>
    <t xml:space="preserve">維持率目標帯</t>
  </si>
  <si>
    <t xml:space="preserve">本日の変更</t>
  </si>
  <si>
    <r>
      <rPr>
        <b val="true"/>
        <sz val="11"/>
        <color rgb="FFFFFFFF"/>
        <rFont val="Noto Sans CJK SC"/>
        <family val="2"/>
      </rPr>
      <t xml:space="preserve">評価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次アクション</t>
    </r>
  </si>
  <si>
    <t xml:space="preserve">有効</t>
  </si>
  <si>
    <t xml:space="preserve">13:00 / 17:00 / 19:00</t>
  </si>
  <si>
    <t xml:space="preserve">40-50%</t>
  </si>
  <si>
    <r>
      <rPr>
        <sz val="10"/>
        <rFont val="Noto Sans CJK SC"/>
        <family val="2"/>
      </rPr>
      <t xml:space="preserve">キュー 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（在庫 </t>
    </r>
    <r>
      <rPr>
        <sz val="10"/>
        <rFont val="Arial"/>
        <family val="0"/>
        <charset val="1"/>
      </rPr>
      <t xml:space="preserve">6.0→7.0</t>
    </r>
    <r>
      <rPr>
        <sz val="10"/>
        <rFont val="Noto Sans CJK SC"/>
        <family val="2"/>
      </rPr>
      <t xml:space="preserve">日）</t>
    </r>
  </si>
  <si>
    <r>
      <rPr>
        <sz val="10"/>
        <rFont val="Arial"/>
        <family val="0"/>
        <charset val="1"/>
      </rPr>
      <t xml:space="preserve">○ 5ch</t>
    </r>
    <r>
      <rPr>
        <sz val="10"/>
        <rFont val="Noto Sans CJK SC"/>
        <family val="2"/>
      </rPr>
      <t xml:space="preserve">中最良 </t>
    </r>
    <r>
      <rPr>
        <sz val="10"/>
        <rFont val="Arial"/>
        <family val="0"/>
        <charset val="1"/>
      </rPr>
      <t xml:space="preserve">0.863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+0.044</t>
    </r>
    <r>
      <rPr>
        <sz val="10"/>
        <rFont val="Noto Sans CJK SC"/>
        <family val="2"/>
      </rPr>
      <t xml:space="preserve">）。いいね率も上昇。現行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型（疑問＋数字）を継続。次判定 </t>
    </r>
    <r>
      <rPr>
        <sz val="10"/>
        <rFont val="Arial"/>
        <family val="0"/>
        <charset val="1"/>
      </rPr>
      <t xml:space="preserve">09-21</t>
    </r>
  </si>
  <si>
    <t xml:space="preserve">7:30 / 15:00 / 17:00</t>
  </si>
  <si>
    <r>
      <rPr>
        <sz val="10"/>
        <rFont val="Arial"/>
        <family val="0"/>
        <charset val="1"/>
      </rPr>
      <t xml:space="preserve">○ 0.663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+0.023</t>
    </r>
    <r>
      <rPr>
        <sz val="10"/>
        <rFont val="Noto Sans CJK SC"/>
        <family val="2"/>
      </rPr>
      <t xml:space="preserve">）。いいね率 </t>
    </r>
    <r>
      <rPr>
        <sz val="10"/>
        <rFont val="Arial"/>
        <family val="0"/>
        <charset val="1"/>
      </rPr>
      <t xml:space="preserve">0.745% </t>
    </r>
    <r>
      <rPr>
        <sz val="10"/>
        <rFont val="Noto Sans CJK SC"/>
        <family val="2"/>
      </rPr>
      <t xml:space="preserve">で全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最高。カスタムサムネが通る唯一の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＝サムネ改善の効果測定はここでのみ可能</t>
    </r>
  </si>
  <si>
    <t xml:space="preserve">12:00 / 16:00 / 19:00</t>
  </si>
  <si>
    <r>
      <rPr>
        <sz val="10"/>
        <rFont val="Noto Sans CJK SC"/>
        <family val="2"/>
      </rPr>
      <t xml:space="preserve">キュー 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（在庫 </t>
    </r>
    <r>
      <rPr>
        <sz val="10"/>
        <rFont val="Arial"/>
        <family val="0"/>
        <charset val="1"/>
      </rPr>
      <t xml:space="preserve">6.7→7.0</t>
    </r>
    <r>
      <rPr>
        <sz val="10"/>
        <rFont val="Noto Sans CJK SC"/>
        <family val="2"/>
      </rPr>
      <t xml:space="preserve">日）</t>
    </r>
  </si>
  <si>
    <r>
      <rPr>
        <sz val="10"/>
        <rFont val="Arial"/>
        <family val="0"/>
        <charset val="1"/>
      </rPr>
      <t xml:space="preserve">◎ 0.787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+0.054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日で </t>
    </r>
    <r>
      <rPr>
        <sz val="10"/>
        <rFont val="Arial"/>
        <family val="0"/>
        <charset val="1"/>
      </rPr>
      <t xml:space="preserve">+0.324 </t>
    </r>
    <r>
      <rPr>
        <sz val="10"/>
        <rFont val="Noto Sans CJK SC"/>
        <family val="2"/>
      </rPr>
      <t xml:space="preserve">と最速改善。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型（数字を入れない疑問形）が効いている</t>
    </r>
  </si>
  <si>
    <t xml:space="preserve">12:30 / 15:00 / 17:00 / 19:00</t>
  </si>
  <si>
    <r>
      <rPr>
        <sz val="10"/>
        <rFont val="Noto Sans CJK SC"/>
        <family val="2"/>
      </rPr>
      <t xml:space="preserve">キュー 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（在庫 </t>
    </r>
    <r>
      <rPr>
        <sz val="10"/>
        <rFont val="Arial"/>
        <family val="0"/>
        <charset val="1"/>
      </rPr>
      <t xml:space="preserve">6.5→7.0</t>
    </r>
    <r>
      <rPr>
        <sz val="10"/>
        <rFont val="Noto Sans CJK SC"/>
        <family val="2"/>
      </rPr>
      <t xml:space="preserve">日）</t>
    </r>
  </si>
  <si>
    <r>
      <rPr>
        <sz val="10"/>
        <rFont val="Arial"/>
        <family val="0"/>
        <charset val="1"/>
      </rPr>
      <t xml:space="preserve">△ 0.619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-0.030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日連続の低下。総再生は最大だが登録変換が落ちている。いいね率 </t>
    </r>
    <r>
      <rPr>
        <sz val="10"/>
        <rFont val="Arial"/>
        <family val="0"/>
        <charset val="1"/>
      </rPr>
      <t xml:space="preserve">0.304% </t>
    </r>
    <r>
      <rPr>
        <sz val="10"/>
        <rFont val="Noto Sans CJK SC"/>
        <family val="2"/>
      </rPr>
      <t xml:space="preserve">が低い</t>
    </r>
  </si>
  <si>
    <t xml:space="preserve">停止</t>
  </si>
  <si>
    <t xml:space="preserve">7:30 / 12:15 / 17:30</t>
  </si>
  <si>
    <t xml:space="preserve">維持率目標帯のみ明記</t>
  </si>
  <si>
    <r>
      <rPr>
        <sz val="10"/>
        <rFont val="Arial"/>
        <family val="0"/>
        <charset val="1"/>
      </rPr>
      <t xml:space="preserve">× 0.152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-0.013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中最下位。</t>
    </r>
    <r>
      <rPr>
        <sz val="10"/>
        <rFont val="Arial"/>
        <family val="0"/>
        <charset val="1"/>
      </rPr>
      <t xml:space="preserve">autopilot </t>
    </r>
    <r>
      <rPr>
        <sz val="10"/>
        <rFont val="Noto Sans CJK SC"/>
        <family val="2"/>
      </rPr>
      <t xml:space="preserve">停止中で在庫</t>
    </r>
    <r>
      <rPr>
        <sz val="10"/>
        <rFont val="Arial"/>
        <family val="0"/>
        <charset val="1"/>
      </rPr>
      <t xml:space="preserve">8.7</t>
    </r>
    <r>
      <rPr>
        <sz val="10"/>
        <rFont val="Noto Sans CJK SC"/>
        <family val="2"/>
      </rPr>
      <t xml:space="preserve">日。再開前に型の見直しが必要</t>
    </r>
  </si>
  <si>
    <t xml:space="preserve">12:30 / 15:00 / 17:00</t>
  </si>
  <si>
    <r>
      <rPr>
        <sz val="10"/>
        <rFont val="Noto Sans CJK SC"/>
        <family val="2"/>
      </rPr>
      <t xml:space="preserve">－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以降 </t>
    </r>
    <r>
      <rPr>
        <sz val="10"/>
        <rFont val="Arial"/>
        <family val="0"/>
        <charset val="1"/>
      </rPr>
      <t xml:space="preserve">fetch </t>
    </r>
    <r>
      <rPr>
        <sz val="10"/>
        <rFont val="Noto Sans CJK SC"/>
        <family val="2"/>
      </rPr>
      <t xml:space="preserve">停止（</t>
    </r>
    <r>
      <rPr>
        <sz val="10"/>
        <rFont val="Arial"/>
        <family val="0"/>
        <charset val="1"/>
      </rPr>
      <t xml:space="preserve">OAuth invalid_grant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0.272 </t>
    </r>
    <r>
      <rPr>
        <sz val="10"/>
        <rFont val="Noto Sans CJK SC"/>
        <family val="2"/>
      </rPr>
      <t xml:space="preserve">は据え置き値。評価不能</t>
    </r>
  </si>
  <si>
    <t xml:space="preserve">20:00 / 15:00</t>
  </si>
  <si>
    <t xml:space="preserve">未設定</t>
  </si>
  <si>
    <t xml:space="preserve">変更なし</t>
  </si>
  <si>
    <r>
      <rPr>
        <sz val="10"/>
        <rFont val="Noto Sans CJK SC"/>
        <family val="2"/>
      </rPr>
      <t xml:space="preserve">－ 公開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本すべて </t>
    </r>
    <r>
      <rPr>
        <sz val="10"/>
        <rFont val="Arial"/>
        <family val="0"/>
        <charset val="1"/>
      </rPr>
      <t xml:space="preserve">views=0</t>
    </r>
    <r>
      <rPr>
        <sz val="10"/>
        <rFont val="Noto Sans CJK SC"/>
        <family val="2"/>
      </rPr>
      <t xml:space="preserve">。維持率目標帯も未設定（</t>
    </r>
    <r>
      <rPr>
        <sz val="10"/>
        <rFont val="Arial"/>
        <family val="0"/>
        <charset val="1"/>
      </rPr>
      <t xml:space="preserve">09-15</t>
    </r>
    <r>
      <rPr>
        <sz val="10"/>
        <rFont val="Noto Sans CJK SC"/>
        <family val="2"/>
      </rPr>
      <t xml:space="preserve">の適用対象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に含まれず）。評価不能</t>
    </r>
  </si>
  <si>
    <t xml:space="preserve">11:00 / 15:30 / 19:30</t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</si>
  <si>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/7,047</t>
    </r>
    <r>
      <rPr>
        <sz val="10"/>
        <rFont val="Noto Sans CJK SC"/>
        <family val="2"/>
      </rPr>
      <t xml:space="preserve">再生。停止中。据え置き</t>
    </r>
  </si>
  <si>
    <t xml:space="preserve">10:00 / 14:30 / 17:45</t>
  </si>
  <si>
    <r>
      <rPr>
        <sz val="10"/>
        <rFont val="Noto Sans CJK SC"/>
        <family val="2"/>
      </rPr>
      <t xml:space="preserve">－ </t>
    </r>
    <r>
      <rPr>
        <sz val="10"/>
        <rFont val="Arial"/>
        <family val="0"/>
        <charset val="1"/>
      </rPr>
      <t xml:space="preserve">OAuth</t>
    </r>
    <r>
      <rPr>
        <sz val="10"/>
        <rFont val="Noto Sans CJK SC"/>
        <family val="2"/>
      </rPr>
      <t xml:space="preserve">未連携。</t>
    </r>
    <r>
      <rPr>
        <sz val="10"/>
        <rFont val="Arial"/>
        <family val="0"/>
        <charset val="1"/>
      </rPr>
      <t xml:space="preserve">0.570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09-06 </t>
    </r>
    <r>
      <rPr>
        <sz val="10"/>
        <rFont val="Noto Sans CJK SC"/>
        <family val="2"/>
      </rPr>
      <t xml:space="preserve">の据え置き値</t>
    </r>
  </si>
  <si>
    <t xml:space="preserve">11:45 / 17:45 / 20:45</t>
  </si>
  <si>
    <r>
      <rPr>
        <sz val="10"/>
        <rFont val="Arial"/>
        <family val="0"/>
        <charset val="1"/>
      </rPr>
      <t xml:space="preserve">× 0.024</t>
    </r>
    <r>
      <rPr>
        <sz val="10"/>
        <rFont val="Noto Sans CJK SC"/>
        <family val="2"/>
      </rPr>
      <t xml:space="preserve">。総再生</t>
    </r>
    <r>
      <rPr>
        <sz val="10"/>
        <rFont val="Arial"/>
        <family val="0"/>
        <charset val="1"/>
      </rPr>
      <t xml:space="preserve">42,321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位だが登録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人。停止中。構造的に登録に繋がらない</t>
    </r>
  </si>
  <si>
    <t xml:space="preserve">12:45 / 20:00</t>
  </si>
  <si>
    <r>
      <rPr>
        <sz val="10"/>
        <rFont val="Arial"/>
        <family val="0"/>
        <charset val="1"/>
      </rPr>
      <t xml:space="preserve">× 0.211</t>
    </r>
    <r>
      <rPr>
        <sz val="10"/>
        <rFont val="Noto Sans CJK SC"/>
        <family val="2"/>
      </rPr>
      <t xml:space="preserve">。停止中。再生は取れるが登録変換は ゆっくり系の </t>
    </r>
    <r>
      <rPr>
        <sz val="10"/>
        <rFont val="Arial"/>
        <family val="0"/>
        <charset val="1"/>
      </rPr>
      <t xml:space="preserve">1/4</t>
    </r>
  </si>
  <si>
    <t xml:space="preserve">8:00 / 14:00 / 20:30</t>
  </si>
  <si>
    <r>
      <rPr>
        <sz val="10"/>
        <rFont val="Arial"/>
        <family val="0"/>
        <charset val="1"/>
      </rPr>
      <t xml:space="preserve">× 0.169</t>
    </r>
    <r>
      <rPr>
        <sz val="10"/>
        <rFont val="Noto Sans CJK SC"/>
        <family val="2"/>
      </rPr>
      <t xml:space="preserve">。停止中</t>
    </r>
  </si>
  <si>
    <t xml:space="preserve">9:30 / 17:00</t>
  </si>
  <si>
    <r>
      <rPr>
        <sz val="10"/>
        <rFont val="Arial"/>
        <family val="0"/>
        <charset val="1"/>
      </rPr>
      <t xml:space="preserve">× 3</t>
    </r>
    <r>
      <rPr>
        <sz val="10"/>
        <rFont val="Noto Sans CJK SC"/>
        <family val="2"/>
      </rPr>
      <t xml:space="preserve">本・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再生。実質未稼働</t>
    </r>
  </si>
  <si>
    <r>
      <rPr>
        <sz val="9"/>
        <color rgb="FF555555"/>
        <rFont val="Noto Sans CJK SC"/>
        <family val="2"/>
      </rPr>
      <t xml:space="preserve">※ 在庫日数 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キュー本数 </t>
    </r>
    <r>
      <rPr>
        <sz val="9"/>
        <color rgb="FF555555"/>
        <rFont val="Arial"/>
        <family val="0"/>
        <charset val="1"/>
      </rPr>
      <t xml:space="preserve">÷ 1</t>
    </r>
    <r>
      <rPr>
        <sz val="9"/>
        <color rgb="FF555555"/>
        <rFont val="Noto Sans CJK SC"/>
        <family val="2"/>
      </rPr>
      <t xml:space="preserve">日あたり投稿枠数。本日 </t>
    </r>
    <r>
      <rPr>
        <sz val="9"/>
        <color rgb="FF555555"/>
        <rFont val="Arial"/>
        <family val="0"/>
        <charset val="1"/>
      </rPr>
      <t xml:space="preserve">autopilot </t>
    </r>
    <r>
      <rPr>
        <sz val="9"/>
        <color rgb="FF555555"/>
        <rFont val="Noto Sans CJK SC"/>
        <family val="2"/>
      </rPr>
      <t xml:space="preserve">有効な</t>
    </r>
    <r>
      <rPr>
        <sz val="9"/>
        <color rgb="FF555555"/>
        <rFont val="Arial"/>
        <family val="0"/>
        <charset val="1"/>
      </rPr>
      <t xml:space="preserve">4ch</t>
    </r>
    <r>
      <rPr>
        <sz val="9"/>
        <color rgb="FF555555"/>
        <rFont val="Noto Sans CJK SC"/>
        <family val="2"/>
      </rPr>
      <t xml:space="preserve">を </t>
    </r>
    <r>
      <rPr>
        <sz val="9"/>
        <color rgb="FF555555"/>
        <rFont val="Arial"/>
        <family val="0"/>
        <charset val="1"/>
      </rPr>
      <t xml:space="preserve">7.0</t>
    </r>
    <r>
      <rPr>
        <sz val="9"/>
        <color rgb="FF555555"/>
        <rFont val="Noto Sans CJK SC"/>
        <family val="2"/>
      </rPr>
      <t xml:space="preserve">日以上へ補充した（</t>
    </r>
    <r>
      <rPr>
        <sz val="9"/>
        <color rgb="FF555555"/>
        <rFont val="Arial"/>
        <family val="0"/>
        <charset val="1"/>
      </rPr>
      <t xml:space="preserve">10:08 run </t>
    </r>
    <r>
      <rPr>
        <sz val="9"/>
        <color rgb="FF555555"/>
        <rFont val="Noto Sans CJK SC"/>
        <family val="2"/>
      </rPr>
      <t xml:space="preserve">が適用、本 </t>
    </r>
    <r>
      <rPr>
        <sz val="9"/>
        <color rgb="FF555555"/>
        <rFont val="Arial"/>
        <family val="0"/>
        <charset val="1"/>
      </rPr>
      <t xml:space="preserve">run </t>
    </r>
    <r>
      <rPr>
        <sz val="9"/>
        <color rgb="FF555555"/>
        <rFont val="Noto Sans CJK SC"/>
        <family val="2"/>
      </rPr>
      <t xml:space="preserve">で検算）。</t>
    </r>
  </si>
  <si>
    <r>
      <rPr>
        <sz val="9"/>
        <color rgb="FF555555"/>
        <rFont val="Arial"/>
        <family val="0"/>
        <charset val="1"/>
      </rPr>
      <t xml:space="preserve">※ 2ch-matome / pokemon-lab </t>
    </r>
    <r>
      <rPr>
        <sz val="9"/>
        <color rgb="FF555555"/>
        <rFont val="Noto Sans CJK SC"/>
        <family val="2"/>
      </rPr>
      <t xml:space="preserve">は </t>
    </r>
    <r>
      <rPr>
        <sz val="9"/>
        <color rgb="FF555555"/>
        <rFont val="Arial"/>
        <family val="0"/>
        <charset val="1"/>
      </rPr>
      <t xml:space="preserve">autopilot.enabled=false </t>
    </r>
    <r>
      <rPr>
        <sz val="9"/>
        <color rgb="FF555555"/>
        <rFont val="Noto Sans CJK SC"/>
        <family val="2"/>
      </rPr>
      <t xml:space="preserve">のため補充対象外（在庫 </t>
    </r>
    <r>
      <rPr>
        <sz val="9"/>
        <color rgb="FF555555"/>
        <rFont val="Arial"/>
        <family val="0"/>
        <charset val="1"/>
      </rPr>
      <t xml:space="preserve">8.7 / 7.0</t>
    </r>
    <r>
      <rPr>
        <sz val="9"/>
        <color rgb="FF555555"/>
        <rFont val="Noto Sans CJK SC"/>
        <family val="2"/>
      </rPr>
      <t xml:space="preserve">日）。</t>
    </r>
  </si>
  <si>
    <r>
      <rPr>
        <sz val="9"/>
        <color rgb="FF555555"/>
        <rFont val="Noto Sans CJK SC"/>
        <family val="2"/>
      </rPr>
      <t xml:space="preserve">※ 維持率目標帯は現時点でコードから参照されていない（</t>
    </r>
    <r>
      <rPr>
        <sz val="9"/>
        <color rgb="FF555555"/>
        <rFont val="Arial"/>
        <family val="0"/>
        <charset val="1"/>
      </rPr>
      <t xml:space="preserve">grep </t>
    </r>
    <r>
      <rPr>
        <sz val="9"/>
        <color rgb="FF555555"/>
        <rFont val="Noto Sans CJK SC"/>
        <family val="2"/>
      </rPr>
      <t xml:space="preserve">で参照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件）ため、動作への影響はなくドキュメント値として機能する。</t>
    </r>
  </si>
  <si>
    <r>
      <rPr>
        <b val="true"/>
        <sz val="14"/>
        <rFont val="Noto Sans CJK SC"/>
        <family val="2"/>
      </rPr>
      <t xml:space="preserve">直近動画一覧 — </t>
    </r>
    <r>
      <rPr>
        <b val="true"/>
        <sz val="14"/>
        <rFont val="Arial"/>
        <family val="0"/>
        <charset val="1"/>
      </rPr>
      <t xml:space="preserve">2026-09-05 </t>
    </r>
    <r>
      <rPr>
        <b val="true"/>
        <sz val="14"/>
        <rFont val="Noto Sans CJK SC"/>
        <family val="2"/>
      </rPr>
      <t xml:space="preserve">以降に公開した全動画</t>
    </r>
  </si>
  <si>
    <r>
      <rPr>
        <sz val="9"/>
        <color rgb="FF555555"/>
        <rFont val="Arial"/>
        <family val="0"/>
        <charset val="1"/>
      </rPr>
      <t xml:space="preserve">views=0 </t>
    </r>
    <r>
      <rPr>
        <sz val="9"/>
        <color rgb="FF555555"/>
        <rFont val="Noto Sans CJK SC"/>
        <family val="2"/>
      </rPr>
      <t xml:space="preserve">は </t>
    </r>
    <r>
      <rPr>
        <sz val="9"/>
        <color rgb="FF555555"/>
        <rFont val="Arial"/>
        <family val="0"/>
        <charset val="1"/>
      </rPr>
      <t xml:space="preserve">YouTube Analytics </t>
    </r>
    <r>
      <rPr>
        <sz val="9"/>
        <color rgb="FF555555"/>
        <rFont val="Noto Sans CJK SC"/>
        <family val="2"/>
      </rPr>
      <t xml:space="preserve">の集計ラグ（公開から約</t>
    </r>
    <r>
      <rPr>
        <sz val="9"/>
        <color rgb="FF555555"/>
        <rFont val="Arial"/>
        <family val="0"/>
        <charset val="1"/>
      </rPr>
      <t xml:space="preserve">2</t>
    </r>
    <r>
      <rPr>
        <sz val="9"/>
        <color rgb="FF555555"/>
        <rFont val="Noto Sans CJK SC"/>
        <family val="2"/>
      </rPr>
      <t xml:space="preserve">日）。実績ではない。</t>
    </r>
  </si>
  <si>
    <r>
      <rPr>
        <b val="true"/>
        <sz val="11"/>
        <color rgb="FFFFFFFF"/>
        <rFont val="Noto Sans CJK SC"/>
        <family val="2"/>
      </rPr>
      <t xml:space="preserve">公開</t>
    </r>
    <r>
      <rPr>
        <b val="true"/>
        <sz val="11"/>
        <color rgb="FFFFFFFF"/>
        <rFont val="Arial"/>
        <family val="0"/>
        <charset val="1"/>
      </rPr>
      <t xml:space="preserve">(UTC)</t>
    </r>
  </si>
  <si>
    <t xml:space="preserve">タイトル</t>
  </si>
  <si>
    <t xml:space="preserve">再生</t>
  </si>
  <si>
    <t xml:space="preserve">いいね</t>
  </si>
  <si>
    <t xml:space="preserve">登録</t>
  </si>
  <si>
    <r>
      <rPr>
        <b val="true"/>
        <sz val="11"/>
        <color rgb="FFFFFFFF"/>
        <rFont val="Noto Sans CJK SC"/>
        <family val="2"/>
      </rPr>
      <t xml:space="preserve">維持率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</si>
  <si>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平均視聴秒</t>
  </si>
  <si>
    <t xml:space="preserve">CTR</t>
  </si>
  <si>
    <t xml:space="preserve">状態</t>
  </si>
  <si>
    <t xml:space="preserve">2026-09-05T03:15</t>
  </si>
  <si>
    <r>
      <rPr>
        <sz val="10"/>
        <rFont val="Noto Sans CJK SC"/>
        <family val="2"/>
      </rPr>
      <t xml:space="preserve">なぜ親は無言で机を閉めたのか…見つかって終わった物とは？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</si>
  <si>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計測済</t>
  </si>
  <si>
    <t xml:space="preserve">2026-09-05T12:00</t>
  </si>
  <si>
    <r>
      <rPr>
        <sz val="10"/>
        <rFont val="Noto Sans CJK SC"/>
        <family val="2"/>
      </rPr>
      <t xml:space="preserve">💦ワイ、同棲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年目やけど質問ある？💦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</si>
  <si>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2026-09-05T22:00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</si>
  <si>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秒で凍結何言った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</si>
  <si>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2026-09-06T03:15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</si>
  <si>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回目の店謎の予約名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</si>
  <si>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2026-09-06T12:00</t>
  </si>
  <si>
    <r>
      <rPr>
        <sz val="10"/>
        <rFont val="Noto Sans CJK SC"/>
        <family val="2"/>
      </rPr>
      <t xml:space="preserve">ワイ、保健体育歴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w💦 #shorts #2ch #</t>
    </r>
    <r>
      <rPr>
        <sz val="10"/>
        <rFont val="Noto Sans CJK SC"/>
        <family val="2"/>
      </rPr>
      <t xml:space="preserve">面白いスレ</t>
    </r>
  </si>
  <si>
    <t xml:space="preserve">2026-09-06T22:00</t>
  </si>
  <si>
    <r>
      <rPr>
        <sz val="10"/>
        <rFont val="Noto Sans CJK SC"/>
        <family val="2"/>
      </rPr>
      <t xml:space="preserve">湯けむりの奥全員停止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</si>
  <si>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2026-09-07T03:15</t>
  </si>
  <si>
    <r>
      <rPr>
        <sz val="10"/>
        <rFont val="Noto Sans CJK SC"/>
        <family val="2"/>
      </rPr>
      <t xml:space="preserve">大学サークルで語り継がれる伝説、尾ひれがヤバすぎる</t>
    </r>
    <r>
      <rPr>
        <sz val="10"/>
        <rFont val="Arial"/>
        <family val="0"/>
        <charset val="1"/>
      </rPr>
      <t xml:space="preserve">w #shorts #2ch #</t>
    </r>
    <r>
      <rPr>
        <sz val="10"/>
        <rFont val="Noto Sans CJK SC"/>
        <family val="2"/>
      </rPr>
      <t xml:space="preserve">面白いスレ</t>
    </r>
  </si>
  <si>
    <t xml:space="preserve">2026-09-07T12:00</t>
  </si>
  <si>
    <r>
      <rPr>
        <sz val="10"/>
        <rFont val="Noto Sans CJK SC"/>
        <family val="2"/>
      </rPr>
      <t xml:space="preserve">ワイ、毎月大金をムダにしてるけど質問ある？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</si>
  <si>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2026-09-07T22:00</t>
  </si>
  <si>
    <r>
      <rPr>
        <sz val="10"/>
        <rFont val="Noto Sans CJK SC"/>
        <family val="2"/>
      </rPr>
      <t xml:space="preserve">なぜファミマで謎の商品を買ってしまうのか？草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</si>
  <si>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2026-09-08T03:15</t>
  </si>
  <si>
    <r>
      <rPr>
        <sz val="10"/>
        <rFont val="Noto Sans CJK SC"/>
        <family val="2"/>
      </rPr>
      <t xml:space="preserve">ワイの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で彼女が凍った本当の理由</t>
    </r>
    <r>
      <rPr>
        <sz val="10"/>
        <rFont val="Arial"/>
        <family val="0"/>
        <charset val="1"/>
      </rPr>
      <t xml:space="preserve">w💦 #shorts #2ch #</t>
    </r>
    <r>
      <rPr>
        <sz val="10"/>
        <rFont val="Noto Sans CJK SC"/>
        <family val="2"/>
      </rPr>
      <t xml:space="preserve">面白いスレ</t>
    </r>
  </si>
  <si>
    <t xml:space="preserve">2026-09-08T12:00</t>
  </si>
  <si>
    <r>
      <rPr>
        <sz val="10"/>
        <rFont val="Arial"/>
        <family val="0"/>
        <charset val="1"/>
      </rPr>
      <t xml:space="preserve">Apple</t>
    </r>
    <r>
      <rPr>
        <sz val="10"/>
        <rFont val="Noto Sans CJK SC"/>
        <family val="2"/>
      </rPr>
      <t xml:space="preserve">新製品予想、また本命を外して財布が逝く民ｗ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</si>
  <si>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2026-09-09T16:14</t>
  </si>
  <si>
    <r>
      <rPr>
        <sz val="10"/>
        <rFont val="Noto Sans CJK SC"/>
        <family val="2"/>
      </rPr>
      <t xml:space="preserve">ワイの財布から毎月消える謎の正体が判明したｗ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</si>
  <si>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2026-09-05T01:00</t>
  </si>
  <si>
    <r>
      <rPr>
        <sz val="10"/>
        <rFont val="Noto Sans CJK SC"/>
        <family val="2"/>
      </rPr>
      <t xml:space="preserve">努力の前に席は埋まる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</si>
  <si>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未計測</t>
  </si>
  <si>
    <t xml:space="preserve">2026-09-05T05:30</t>
  </si>
  <si>
    <r>
      <rPr>
        <sz val="10"/>
        <rFont val="Noto Sans CJK SC"/>
        <family val="2"/>
      </rPr>
      <t xml:space="preserve">なぜ無料だけ？誰かが黙って払うサービスの本当の理由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</si>
  <si>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2026-09-05T09:45</t>
  </si>
  <si>
    <r>
      <rPr>
        <sz val="10"/>
        <rFont val="Noto Sans CJK SC"/>
        <family val="2"/>
      </rPr>
      <t xml:space="preserve">なぜ通知だけ？消した直後にまた開く本当の理由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</si>
  <si>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2026-09-06T01:00</t>
  </si>
  <si>
    <r>
      <rPr>
        <sz val="10"/>
        <rFont val="Noto Sans CJK SC"/>
        <family val="2"/>
      </rPr>
      <t xml:space="preserve">なぜ失った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時間だけ？人はやめるほどさらに時間を注ぐのか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</si>
  <si>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2026-09-06T05:30</t>
  </si>
  <si>
    <r>
      <rPr>
        <sz val="10"/>
        <rFont val="Noto Sans CJK SC"/>
        <family val="2"/>
      </rPr>
      <t xml:space="preserve">予定が多い休めない理由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</si>
  <si>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2026-09-06T09:45</t>
  </si>
  <si>
    <r>
      <rPr>
        <sz val="10"/>
        <rFont val="Noto Sans CJK SC"/>
        <family val="2"/>
      </rPr>
      <t xml:space="preserve">一人で止まる全員の決定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</si>
  <si>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2026-09-05T09:00</t>
  </si>
  <si>
    <r>
      <rPr>
        <sz val="10"/>
        <rFont val="Noto Sans CJK SC"/>
        <family val="2"/>
      </rPr>
      <t xml:space="preserve">蝶は飛び去れなかった どこかに生命がある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動物</t>
    </r>
  </si>
  <si>
    <t xml:space="preserve">2026-09-06T00:30</t>
  </si>
  <si>
    <r>
      <rPr>
        <sz val="10"/>
        <rFont val="Noto Sans CJK SC"/>
        <family val="2"/>
      </rPr>
      <t xml:space="preserve">飛べない蝶の心臓は 鼓動していた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動物</t>
    </r>
  </si>
  <si>
    <t xml:space="preserve">2026-09-05T03:46</t>
  </si>
  <si>
    <r>
      <rPr>
        <sz val="10"/>
        <rFont val="Noto Sans CJK SC"/>
        <family val="2"/>
      </rPr>
      <t xml:space="preserve">夜の相性が良いと なかなか抜けられない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</si>
  <si>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2026-09-05T11:00</t>
  </si>
  <si>
    <r>
      <rPr>
        <sz val="10"/>
        <rFont val="Noto Sans CJK SC"/>
        <family val="2"/>
      </rPr>
      <t xml:space="preserve">今の自分のまま 学生時代に戻りたい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</si>
  <si>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2026-09-06T03:45</t>
  </si>
  <si>
    <r>
      <rPr>
        <sz val="10"/>
        <rFont val="Noto Sans CJK SC"/>
        <family val="2"/>
      </rPr>
      <t xml:space="preserve">部活は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日で辞めました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</si>
  <si>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2026-09-06T11:00</t>
  </si>
  <si>
    <r>
      <rPr>
        <sz val="10"/>
        <rFont val="Noto Sans CJK SC"/>
        <family val="2"/>
      </rPr>
      <t xml:space="preserve">どの下地よりも 圧倒的に崩れにくかった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</si>
  <si>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2026-09-07T03:45</t>
  </si>
  <si>
    <r>
      <rPr>
        <sz val="10"/>
        <rFont val="Noto Sans CJK SC"/>
        <family val="2"/>
      </rPr>
      <t xml:space="preserve">毎日体重を記録して 増減を意識する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</si>
  <si>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2026-09-07T11:00</t>
  </si>
  <si>
    <r>
      <rPr>
        <sz val="10"/>
        <rFont val="Noto Sans CJK SC"/>
        <family val="2"/>
      </rPr>
      <t xml:space="preserve">クレンジングで落とし切らないと 洗顔しても落ちにくい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</si>
  <si>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2026-09-08T03:45</t>
  </si>
  <si>
    <r>
      <rPr>
        <sz val="10"/>
        <rFont val="Noto Sans CJK SC"/>
        <family val="2"/>
      </rPr>
      <t xml:space="preserve">寝ながら腹筋を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部位鍛える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</si>
  <si>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2026-09-08T11:01</t>
  </si>
  <si>
    <r>
      <rPr>
        <sz val="10"/>
        <rFont val="Noto Sans CJK SC"/>
        <family val="2"/>
      </rPr>
      <t xml:space="preserve">カミソリで剃った結果、地獄だった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</si>
  <si>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2026-09-05T05:00</t>
  </si>
  <si>
    <r>
      <rPr>
        <sz val="10"/>
        <rFont val="Noto Sans CJK SC"/>
        <family val="2"/>
      </rPr>
      <t xml:space="preserve">斉藤さん企画を終え </t>
    </r>
    <r>
      <rPr>
        <sz val="10"/>
        <rFont val="Arial"/>
        <family val="0"/>
        <charset val="1"/>
      </rPr>
      <t xml:space="preserve">TikToker</t>
    </r>
    <r>
      <rPr>
        <sz val="10"/>
        <rFont val="Noto Sans CJK SC"/>
        <family val="2"/>
      </rPr>
      <t xml:space="preserve">として決意表明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</si>
  <si>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2026-09-05T11:30</t>
  </si>
  <si>
    <r>
      <rPr>
        <sz val="10"/>
        <rFont val="Noto Sans CJK SC"/>
        <family val="2"/>
      </rPr>
      <t xml:space="preserve">「必要とされたい」からこその悩み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</si>
  <si>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2026-09-06T11:30</t>
  </si>
  <si>
    <r>
      <rPr>
        <sz val="10"/>
        <rFont val="Noto Sans CJK SC"/>
        <family val="2"/>
      </rPr>
      <t xml:space="preserve">最近出た新曲が 一番好きな曲を更新した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</si>
  <si>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2026-09-06T23:00</t>
  </si>
  <si>
    <r>
      <rPr>
        <sz val="10"/>
        <rFont val="Noto Sans CJK SC"/>
        <family val="2"/>
      </rPr>
      <t xml:space="preserve">サッカーに詳しい人は 恋愛対象として嬉しい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</si>
  <si>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2026-09-07T11:31</t>
  </si>
  <si>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歳を過ぎて気づいた 人それぞれの受け止め方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</si>
  <si>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2026-09-07T23:00</t>
  </si>
  <si>
    <r>
      <rPr>
        <sz val="10"/>
        <rFont val="Arial"/>
        <family val="0"/>
        <charset val="1"/>
      </rPr>
      <t xml:space="preserve">PayPay</t>
    </r>
    <r>
      <rPr>
        <sz val="10"/>
        <rFont val="Noto Sans CJK SC"/>
        <family val="2"/>
      </rPr>
      <t xml:space="preserve">が使えない店で 現金を持っていなかった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</si>
  <si>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2026-09-08T05:03</t>
  </si>
  <si>
    <r>
      <rPr>
        <sz val="10"/>
        <rFont val="Noto Sans CJK SC"/>
        <family val="2"/>
      </rPr>
      <t xml:space="preserve">愛用中のパックが プレゼントに入ってた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</si>
  <si>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2026-09-08T11:30</t>
  </si>
  <si>
    <r>
      <rPr>
        <sz val="10"/>
        <rFont val="Noto Sans CJK SC"/>
        <family val="2"/>
      </rPr>
      <t xml:space="preserve">身長を測ったら</t>
    </r>
    <r>
      <rPr>
        <sz val="10"/>
        <rFont val="Arial"/>
        <family val="0"/>
        <charset val="1"/>
      </rPr>
      <t xml:space="preserve">161cm</t>
    </r>
    <r>
      <rPr>
        <sz val="10"/>
        <rFont val="Noto Sans CJK SC"/>
        <family val="2"/>
      </rPr>
      <t xml:space="preserve">だった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</si>
  <si>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2026-09-05T02:45</t>
  </si>
  <si>
    <r>
      <rPr>
        <sz val="10"/>
        <rFont val="Noto Sans CJK SC"/>
        <family val="2"/>
      </rPr>
      <t xml:space="preserve">男性の被害は 事件化されにくい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</si>
  <si>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2026-09-05T08:45</t>
  </si>
  <si>
    <r>
      <rPr>
        <sz val="10"/>
        <rFont val="Noto Sans CJK SC"/>
        <family val="2"/>
      </rPr>
      <t xml:space="preserve">刑務所行きを恐れ 暴力団は来なくなった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</si>
  <si>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2026-09-06T02:46</t>
  </si>
  <si>
    <r>
      <rPr>
        <sz val="10"/>
        <rFont val="Noto Sans CJK SC"/>
        <family val="2"/>
      </rPr>
      <t xml:space="preserve">弟を亡くした悲しみは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年経っても消えない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</si>
  <si>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2026-09-06T08:46</t>
  </si>
  <si>
    <r>
      <rPr>
        <sz val="10"/>
        <rFont val="Noto Sans CJK SC"/>
        <family val="2"/>
      </rPr>
      <t xml:space="preserve">アラフォー資産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万なら まず生活を優先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</si>
  <si>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2026-09-07T02:45</t>
  </si>
  <si>
    <r>
      <rPr>
        <sz val="10"/>
        <rFont val="Noto Sans CJK SC"/>
        <family val="2"/>
      </rPr>
      <t xml:space="preserve">視聴データが導く 「定番ストーリー」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</si>
  <si>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2026-09-07T08:45</t>
  </si>
  <si>
    <r>
      <rPr>
        <sz val="10"/>
        <rFont val="Noto Sans CJK SC"/>
        <family val="2"/>
      </rPr>
      <t xml:space="preserve">資産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万円で一生暮らすのは厳しい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</si>
  <si>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2026-09-08T02:45</t>
  </si>
  <si>
    <r>
      <rPr>
        <sz val="10"/>
        <rFont val="Noto Sans CJK SC"/>
        <family val="2"/>
      </rPr>
      <t xml:space="preserve">米国景気は 良くないかもしれない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</si>
  <si>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2026-09-08T08:46</t>
  </si>
  <si>
    <r>
      <rPr>
        <sz val="10"/>
        <rFont val="Noto Sans CJK SC"/>
        <family val="2"/>
      </rPr>
      <t xml:space="preserve">リアルロボの操縦席は 腰の位置にある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</si>
  <si>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2026-09-05T04:30</t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</si>
  <si>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万円、実は株価上昇の裏側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</si>
  <si>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2026-09-05T08:00</t>
  </si>
  <si>
    <r>
      <rPr>
        <sz val="10"/>
        <rFont val="Noto Sans CJK SC"/>
        <family val="2"/>
      </rPr>
      <t xml:space="preserve">キーエンス年収</t>
    </r>
    <r>
      <rPr>
        <sz val="10"/>
        <rFont val="Arial"/>
        <family val="0"/>
        <charset val="1"/>
      </rPr>
      <t xml:space="preserve">2067</t>
    </r>
    <r>
      <rPr>
        <sz val="10"/>
        <rFont val="Noto Sans CJK SC"/>
        <family val="2"/>
      </rPr>
      <t xml:space="preserve">万円の内訳、残業</t>
    </r>
    <r>
      <rPr>
        <sz val="10"/>
        <rFont val="Arial"/>
        <family val="0"/>
        <charset val="1"/>
      </rPr>
      <t xml:space="preserve">37.7</t>
    </r>
    <r>
      <rPr>
        <sz val="10"/>
        <rFont val="Noto Sans CJK SC"/>
        <family val="2"/>
      </rPr>
      <t xml:space="preserve">時間と評価制度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</si>
  <si>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2026-09-05T23:15</t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</si>
  <si>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万円、実は転職後に差が出る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</si>
  <si>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2026-09-06T04:30</t>
  </si>
  <si>
    <r>
      <rPr>
        <sz val="10"/>
        <rFont val="Noto Sans CJK SC"/>
        <family val="2"/>
      </rPr>
      <t xml:space="preserve">トヨタ</t>
    </r>
    <r>
      <rPr>
        <sz val="10"/>
        <rFont val="Arial"/>
        <family val="0"/>
        <charset val="1"/>
      </rPr>
      <t xml:space="preserve">895</t>
    </r>
    <r>
      <rPr>
        <sz val="10"/>
        <rFont val="Noto Sans CJK SC"/>
        <family val="2"/>
      </rPr>
      <t xml:space="preserve">万円の実態、ルーミー人気を支える社員の本音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</si>
  <si>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2026-09-06T08:00</t>
  </si>
  <si>
    <r>
      <rPr>
        <sz val="10"/>
        <rFont val="Noto Sans CJK SC"/>
        <family val="2"/>
      </rPr>
      <t xml:space="preserve">伊藤忠商事の平均</t>
    </r>
    <r>
      <rPr>
        <sz val="10"/>
        <rFont val="Arial"/>
        <family val="0"/>
        <charset val="1"/>
      </rPr>
      <t xml:space="preserve">1753</t>
    </r>
    <r>
      <rPr>
        <sz val="10"/>
        <rFont val="Noto Sans CJK SC"/>
        <family val="2"/>
      </rPr>
      <t xml:space="preserve">万円、朝型勤務の実態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</si>
  <si>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2026-09-06T23:15</t>
  </si>
  <si>
    <r>
      <rPr>
        <sz val="10"/>
        <rFont val="Arial"/>
        <family val="0"/>
        <charset val="1"/>
      </rPr>
      <t xml:space="preserve">Apple Japan</t>
    </r>
    <r>
      <rPr>
        <sz val="10"/>
        <rFont val="Noto Sans CJK SC"/>
        <family val="2"/>
      </rPr>
      <t xml:space="preserve">の年収、実は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万円超の実態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</si>
  <si>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2026-09-07T04:30</t>
  </si>
  <si>
    <r>
      <rPr>
        <sz val="10"/>
        <rFont val="Noto Sans CJK SC"/>
        <family val="2"/>
      </rPr>
      <t xml:space="preserve">サイゼリヤの原価率が社員年収に与える意外な影響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</si>
  <si>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2026-09-07T08:00</t>
  </si>
  <si>
    <r>
      <rPr>
        <sz val="10"/>
        <rFont val="Noto Sans CJK SC"/>
        <family val="2"/>
      </rPr>
      <t xml:space="preserve">日本郵政の年収、職種で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倍差がつく理由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</si>
  <si>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2026-09-07T23:15</t>
  </si>
  <si>
    <r>
      <rPr>
        <sz val="10"/>
        <rFont val="Noto Sans CJK SC"/>
        <family val="2"/>
      </rPr>
      <t xml:space="preserve">大和ハウス工業の年収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万円超、残業の実態がヤバい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</si>
  <si>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2026-09-08T08:00</t>
  </si>
  <si>
    <r>
      <rPr>
        <sz val="10"/>
        <rFont val="Arial"/>
        <family val="0"/>
        <charset val="1"/>
      </rPr>
      <t xml:space="preserve">NTT</t>
    </r>
    <r>
      <rPr>
        <sz val="10"/>
        <rFont val="Noto Sans CJK SC"/>
        <family val="2"/>
      </rPr>
      <t xml:space="preserve">データの年収</t>
    </r>
    <r>
      <rPr>
        <sz val="10"/>
        <rFont val="Arial"/>
        <family val="0"/>
        <charset val="1"/>
      </rPr>
      <t xml:space="preserve">905</t>
    </r>
    <r>
      <rPr>
        <sz val="10"/>
        <rFont val="Noto Sans CJK SC"/>
        <family val="2"/>
      </rPr>
      <t xml:space="preserve">万円、実は在宅勤務の裏側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</si>
  <si>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2026-09-08T10:00</t>
  </si>
  <si>
    <r>
      <rPr>
        <sz val="10"/>
        <rFont val="Noto Sans CJK SC"/>
        <family val="2"/>
      </rPr>
      <t xml:space="preserve">ユニクロ店長、売上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億円を任される仕事の実態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</si>
  <si>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2026-09-09T14:57</t>
  </si>
  <si>
    <r>
      <rPr>
        <sz val="10"/>
        <rFont val="Arial"/>
        <family val="0"/>
        <charset val="1"/>
      </rPr>
      <t xml:space="preserve">Apple</t>
    </r>
    <r>
      <rPr>
        <sz val="10"/>
        <rFont val="Noto Sans CJK SC"/>
        <family val="2"/>
      </rPr>
      <t xml:space="preserve">の本当は年収約</t>
    </r>
    <r>
      <rPr>
        <sz val="10"/>
        <rFont val="Arial"/>
        <family val="0"/>
        <charset val="1"/>
      </rPr>
      <t xml:space="preserve">3,800</t>
    </r>
    <r>
      <rPr>
        <sz val="10"/>
        <rFont val="Noto Sans CJK SC"/>
        <family val="2"/>
      </rPr>
      <t xml:space="preserve">万円、新製品発表の裏側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</si>
  <si>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2026-09-13T08:00</t>
  </si>
  <si>
    <r>
      <rPr>
        <sz val="10"/>
        <rFont val="Noto Sans CJK SC"/>
        <family val="2"/>
      </rPr>
      <t xml:space="preserve">ワークマンが一般客を呼んだ転機、売上</t>
    </r>
    <r>
      <rPr>
        <sz val="10"/>
        <rFont val="Arial"/>
        <family val="0"/>
        <charset val="1"/>
      </rPr>
      <t xml:space="preserve">1,283</t>
    </r>
    <r>
      <rPr>
        <sz val="10"/>
        <rFont val="Noto Sans CJK SC"/>
        <family val="2"/>
      </rPr>
      <t xml:space="preserve">億円の裏側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</si>
  <si>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2026-09-13T10:00</t>
  </si>
  <si>
    <r>
      <rPr>
        <sz val="10"/>
        <rFont val="Noto Sans CJK SC"/>
        <family val="2"/>
      </rPr>
      <t xml:space="preserve">スシローが回転をやめた店を増やす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業態の狙い実態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</si>
  <si>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2026-09-13T23:15</t>
  </si>
  <si>
    <r>
      <rPr>
        <sz val="10"/>
        <rFont val="Noto Sans CJK SC"/>
        <family val="2"/>
      </rPr>
      <t xml:space="preserve">コメダ珈琲が</t>
    </r>
    <r>
      <rPr>
        <sz val="10"/>
        <rFont val="Arial"/>
        <family val="0"/>
        <charset val="1"/>
      </rPr>
      <t xml:space="preserve">FC</t>
    </r>
    <r>
      <rPr>
        <sz val="10"/>
        <rFont val="Noto Sans CJK SC"/>
        <family val="2"/>
      </rPr>
      <t xml:space="preserve">比率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にする本当の理由とは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</si>
  <si>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2026-09-14T03:30</t>
  </si>
  <si>
    <r>
      <rPr>
        <sz val="10"/>
        <rFont val="Noto Sans CJK SC"/>
        <family val="2"/>
      </rPr>
      <t xml:space="preserve">任天堂の年収</t>
    </r>
    <r>
      <rPr>
        <sz val="10"/>
        <rFont val="Arial"/>
        <family val="0"/>
        <charset val="1"/>
      </rPr>
      <t xml:space="preserve">986</t>
    </r>
    <r>
      <rPr>
        <sz val="10"/>
        <rFont val="Noto Sans CJK SC"/>
        <family val="2"/>
      </rPr>
      <t xml:space="preserve">万円、実は職種で差が出る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</si>
  <si>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2026-09-14T06:00</t>
  </si>
  <si>
    <r>
      <rPr>
        <sz val="10"/>
        <rFont val="Arial"/>
        <family val="0"/>
        <charset val="1"/>
      </rPr>
      <t xml:space="preserve">USJ</t>
    </r>
    <r>
      <rPr>
        <sz val="10"/>
        <rFont val="Noto Sans CJK SC"/>
        <family val="2"/>
      </rPr>
      <t xml:space="preserve">の年収と福利厚生、その実態とは？人気の裏側を暴露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</si>
  <si>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2026-09-14T08:00</t>
  </si>
  <si>
    <r>
      <rPr>
        <sz val="10"/>
        <rFont val="Noto Sans CJK SC"/>
        <family val="2"/>
      </rPr>
      <t xml:space="preserve">ニトリ</t>
    </r>
    <r>
      <rPr>
        <sz val="10"/>
        <rFont val="Arial"/>
        <family val="0"/>
        <charset val="1"/>
      </rPr>
      <t xml:space="preserve">864</t>
    </r>
    <r>
      <rPr>
        <sz val="10"/>
        <rFont val="Noto Sans CJK SC"/>
        <family val="2"/>
      </rPr>
      <t xml:space="preserve">万円の裏側、配置転換が生む働き方のリアル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</si>
  <si>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2026-09-14T10:00</t>
  </si>
  <si>
    <r>
      <rPr>
        <sz val="10"/>
        <rFont val="Noto Sans CJK SC"/>
        <family val="2"/>
      </rPr>
      <t xml:space="preserve">味の素の給与</t>
    </r>
    <r>
      <rPr>
        <sz val="10"/>
        <rFont val="Arial"/>
        <family val="0"/>
        <charset val="1"/>
      </rPr>
      <t xml:space="preserve">1065</t>
    </r>
    <r>
      <rPr>
        <sz val="10"/>
        <rFont val="Noto Sans CJK SC"/>
        <family val="2"/>
      </rPr>
      <t xml:space="preserve">万円、手当だけではない本当の理由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</si>
  <si>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2026-09-05T03:30</t>
  </si>
  <si>
    <r>
      <rPr>
        <sz val="10"/>
        <rFont val="Noto Sans CJK SC"/>
        <family val="2"/>
      </rPr>
      <t xml:space="preserve">鏡の顔だけ違う？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が知らない左右差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</si>
  <si>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なぜあなたは階段で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段だけ外すのか？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</si>
  <si>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2026-09-05T22:30</t>
  </si>
  <si>
    <r>
      <rPr>
        <sz val="10"/>
        <rFont val="Noto Sans CJK SC"/>
        <family val="2"/>
      </rPr>
      <t xml:space="preserve">なぜ壁のシミが顔に見える？</t>
    </r>
    <r>
      <rPr>
        <sz val="10"/>
        <rFont val="Arial"/>
        <family val="0"/>
        <charset val="1"/>
      </rPr>
      <t xml:space="preserve">0.1</t>
    </r>
    <r>
      <rPr>
        <sz val="10"/>
        <rFont val="Noto Sans CJK SC"/>
        <family val="2"/>
      </rPr>
      <t xml:space="preserve">秒の正体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</si>
  <si>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2026-09-06T03:30</t>
  </si>
  <si>
    <r>
      <rPr>
        <sz val="10"/>
        <rFont val="Noto Sans CJK SC"/>
        <family val="2"/>
      </rPr>
      <t xml:space="preserve">あなたの字が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秒で別物に見える？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</si>
  <si>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実は暗い部屋で音に敏感になるのは、耳が目の代わりをするから？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</si>
  <si>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2026-09-06T22:30</t>
  </si>
  <si>
    <r>
      <rPr>
        <sz val="10"/>
        <rFont val="Noto Sans CJK SC"/>
        <family val="2"/>
      </rPr>
      <t xml:space="preserve">あなたが大雨で不安になる</t>
    </r>
    <r>
      <rPr>
        <sz val="10"/>
        <rFont val="Arial"/>
        <family val="0"/>
        <charset val="1"/>
      </rPr>
      <t xml:space="preserve">3hPa</t>
    </r>
    <r>
      <rPr>
        <sz val="10"/>
        <rFont val="Noto Sans CJK SC"/>
        <family val="2"/>
      </rPr>
      <t xml:space="preserve">の正体？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</si>
  <si>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2026-09-07T03:30</t>
  </si>
  <si>
    <r>
      <rPr>
        <sz val="10"/>
        <rFont val="Noto Sans CJK SC"/>
        <family val="2"/>
      </rPr>
      <t xml:space="preserve">なぜ他人のあくびは約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％もつられる？脳の反応を解説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</si>
  <si>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なぜ冷たい水だけ歯にしみる？歯の中で起きる変化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</si>
  <si>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2026-09-07T22:30</t>
  </si>
  <si>
    <r>
      <rPr>
        <sz val="10"/>
        <rFont val="Noto Sans CJK SC"/>
        <family val="2"/>
      </rPr>
      <t xml:space="preserve">走った後の鉄味、あなたの肺で何が？</t>
    </r>
    <r>
      <rPr>
        <sz val="10"/>
        <rFont val="Arial"/>
        <family val="0"/>
        <charset val="1"/>
      </rPr>
      <t xml:space="preserve">0.1%</t>
    </r>
    <r>
      <rPr>
        <sz val="10"/>
        <rFont val="Noto Sans CJK SC"/>
        <family val="2"/>
      </rPr>
      <t xml:space="preserve">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</si>
  <si>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2026-09-08T03:30</t>
  </si>
  <si>
    <r>
      <rPr>
        <sz val="10"/>
        <rFont val="Noto Sans CJK SC"/>
        <family val="2"/>
      </rPr>
      <t xml:space="preserve">耳を塞ぐと聞こえる</t>
    </r>
    <r>
      <rPr>
        <sz val="10"/>
        <rFont val="Arial"/>
        <family val="0"/>
        <charset val="1"/>
      </rPr>
      <t xml:space="preserve">20Hz</t>
    </r>
    <r>
      <rPr>
        <sz val="10"/>
        <rFont val="Noto Sans CJK SC"/>
        <family val="2"/>
      </rPr>
      <t xml:space="preserve">の正体？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</si>
  <si>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疲れた日の甘い物がすぐ消えるのはなぜ？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</si>
  <si>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2026-09-09T02:57</t>
  </si>
  <si>
    <r>
      <rPr>
        <sz val="10"/>
        <rFont val="Noto Sans CJK SC"/>
        <family val="2"/>
      </rPr>
      <t xml:space="preserve">なぜ寒さで顎が先に震える？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</si>
  <si>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なぜ海で沖へ運ばれる？毎秒</t>
    </r>
    <r>
      <rPr>
        <sz val="10"/>
        <rFont val="Arial"/>
        <family val="0"/>
        <charset val="1"/>
      </rPr>
      <t xml:space="preserve">1m</t>
    </r>
    <r>
      <rPr>
        <sz val="10"/>
        <rFont val="Noto Sans CJK SC"/>
        <family val="2"/>
      </rPr>
      <t xml:space="preserve">の流れの正体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</si>
  <si>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2026-09-13T22:30</t>
  </si>
  <si>
    <r>
      <rPr>
        <sz val="10"/>
        <rFont val="Noto Sans CJK SC"/>
        <family val="2"/>
      </rPr>
      <t xml:space="preserve">なぜあなたはくしゃみの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秒前を予感するのか？本当の正体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</si>
  <si>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なぜ朝は身長が</t>
    </r>
    <r>
      <rPr>
        <sz val="10"/>
        <rFont val="Arial"/>
        <family val="0"/>
        <charset val="1"/>
      </rPr>
      <t xml:space="preserve">2cm</t>
    </r>
    <r>
      <rPr>
        <sz val="10"/>
        <rFont val="Noto Sans CJK SC"/>
        <family val="2"/>
      </rPr>
      <t xml:space="preserve">高いのか？あなたの背中の正体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</si>
  <si>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USJ</t>
    </r>
    <r>
      <rPr>
        <sz val="10"/>
        <rFont val="Noto Sans CJK SC"/>
        <family val="2"/>
      </rPr>
      <t xml:space="preserve">で脳が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時間も興奮するのか？実はその正体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</si>
  <si>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片足立ちが目を閉じた瞬間、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倍ぐらつくワケの正体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</si>
  <si>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2026-09-05T02:00</t>
  </si>
  <si>
    <r>
      <rPr>
        <sz val="10"/>
        <rFont val="Noto Sans CJK SC"/>
        <family val="2"/>
      </rPr>
      <t xml:space="preserve">手書きだけ消えにくい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</si>
  <si>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2026-09-05T06:30</t>
  </si>
  <si>
    <r>
      <rPr>
        <sz val="10"/>
        <rFont val="Noto Sans CJK SC"/>
        <family val="2"/>
      </rPr>
      <t xml:space="preserve">雨の匂いで眠りが変わる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</si>
  <si>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2026-09-05T10:30</t>
  </si>
  <si>
    <r>
      <rPr>
        <sz val="10"/>
        <rFont val="Noto Sans CJK SC"/>
        <family val="2"/>
      </rPr>
      <t xml:space="preserve">古い消しゴムほど字が濃く消える？摩耗面</t>
    </r>
    <r>
      <rPr>
        <sz val="10"/>
        <rFont val="Arial"/>
        <family val="0"/>
        <charset val="1"/>
      </rPr>
      <t xml:space="preserve">731</t>
    </r>
    <r>
      <rPr>
        <sz val="10"/>
        <rFont val="Noto Sans CJK SC"/>
        <family val="2"/>
      </rPr>
      <t xml:space="preserve">個の検証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</si>
  <si>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2026-09-06T02:00</t>
  </si>
  <si>
    <r>
      <rPr>
        <sz val="10"/>
        <rFont val="Noto Sans CJK SC"/>
        <family val="2"/>
      </rPr>
      <t xml:space="preserve">下りだけ段が消える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</si>
  <si>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2026-09-06T06:30</t>
  </si>
  <si>
    <r>
      <rPr>
        <sz val="10"/>
        <rFont val="Noto Sans CJK SC"/>
        <family val="2"/>
      </rPr>
      <t xml:space="preserve">早口の正体遅れて聞こえる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</si>
  <si>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2026-09-06T10:30</t>
  </si>
  <si>
    <r>
      <rPr>
        <sz val="10"/>
        <rFont val="Noto Sans CJK SC"/>
        <family val="2"/>
      </rPr>
      <t xml:space="preserve">なぜエスカレーター右側は左側より</t>
    </r>
    <r>
      <rPr>
        <sz val="10"/>
        <rFont val="Arial"/>
        <family val="0"/>
        <charset val="1"/>
      </rPr>
      <t xml:space="preserve">0.7</t>
    </r>
    <r>
      <rPr>
        <sz val="10"/>
        <rFont val="Noto Sans CJK SC"/>
        <family val="2"/>
      </rPr>
      <t xml:space="preserve">度高いのか？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</si>
  <si>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2026-09-05T06:00</t>
  </si>
  <si>
    <r>
      <rPr>
        <sz val="10"/>
        <rFont val="Noto Sans CJK SC"/>
        <family val="2"/>
      </rPr>
      <t xml:space="preserve">初代図鑑にだけけつばんが現れた本当の理由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</si>
  <si>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2026-09-05T08:30</t>
  </si>
  <si>
    <r>
      <rPr>
        <sz val="10"/>
        <rFont val="Noto Sans CJK SC"/>
        <family val="2"/>
      </rPr>
      <t xml:space="preserve">君のサンダースだけ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個必要だった時代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</si>
  <si>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2026-09-05T23:30</t>
  </si>
  <si>
    <r>
      <rPr>
        <sz val="10"/>
        <rFont val="Noto Sans CJK SC"/>
        <family val="2"/>
      </rPr>
      <t xml:space="preserve">ハピナス</t>
    </r>
    <r>
      <rPr>
        <sz val="10"/>
        <rFont val="Arial"/>
        <family val="0"/>
        <charset val="1"/>
      </rPr>
      <t xml:space="preserve">HP255</t>
    </r>
    <r>
      <rPr>
        <sz val="10"/>
        <rFont val="Noto Sans CJK SC"/>
        <family val="2"/>
      </rPr>
      <t xml:space="preserve">・特防なのに防御衝撃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</si>
  <si>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2026-09-06T06:00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</si>
  <si>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秒でわかる？ポリゴンがテレビから消えた本当の理由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</si>
  <si>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2026-09-06T08:30</t>
  </si>
  <si>
    <r>
      <rPr>
        <sz val="10"/>
        <rFont val="Noto Sans CJK SC"/>
        <family val="2"/>
      </rPr>
      <t xml:space="preserve">ドードリオの首が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つに増えた理由、種族値に出てた説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</si>
  <si>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2026-09-06T23:30</t>
  </si>
  <si>
    <r>
      <rPr>
        <sz val="10"/>
        <rFont val="Noto Sans CJK SC"/>
        <family val="2"/>
      </rPr>
      <t xml:space="preserve">ジムリーダーのタイプ縛り、実は町の役目だった！？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</si>
  <si>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2026-09-07T06:00</t>
  </si>
  <si>
    <r>
      <rPr>
        <sz val="10"/>
        <rFont val="Noto Sans CJK SC"/>
        <family val="2"/>
      </rPr>
      <t xml:space="preserve">四天王の呼び名が定着した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年の謎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</si>
  <si>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2026-09-07T08:30</t>
  </si>
  <si>
    <r>
      <rPr>
        <sz val="10"/>
        <rFont val="Noto Sans CJK SC"/>
        <family val="2"/>
      </rPr>
      <t xml:space="preserve">イーブイの昼夜進化、エーフィとブラッキーに分かれた理由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</si>
  <si>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2026-09-07T10:00</t>
  </si>
  <si>
    <r>
      <rPr>
        <sz val="10"/>
        <rFont val="Noto Sans CJK SC"/>
        <family val="2"/>
      </rPr>
      <t xml:space="preserve">ロケット団の幹部だけ口調が別キャラ級？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作品で徹底比較の本当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</si>
  <si>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2026-09-07T23:30</t>
  </si>
  <si>
    <r>
      <rPr>
        <sz val="10"/>
        <rFont val="Noto Sans CJK SC"/>
        <family val="2"/>
      </rPr>
      <t xml:space="preserve">ソーナンスが反撃しかできない設計の狙いが深すぎる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</si>
  <si>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ドラパルト、子どもを音速超えで撃ち出すってマジ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</si>
  <si>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アンノーン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種類コンプしても完成にならない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</si>
  <si>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2026-09-05T00:00</t>
  </si>
  <si>
    <r>
      <rPr>
        <sz val="10"/>
        <rFont val="Arial"/>
        <family val="0"/>
        <charset val="1"/>
      </rPr>
      <t xml:space="preserve">SCP-2140 </t>
    </r>
    <r>
      <rPr>
        <sz val="10"/>
        <rFont val="Noto Sans CJK SC"/>
        <family val="2"/>
      </rPr>
      <t xml:space="preserve">閲覧後、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人の職員記録が別人に置換された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</si>
  <si>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2026-09-05T04:00</t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</si>
  <si>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持ち出した報告書が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日後に戻った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</si>
  <si>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SCP-2006 </t>
    </r>
    <r>
      <rPr>
        <sz val="10"/>
        <rFont val="Noto Sans CJK SC"/>
        <family val="2"/>
      </rPr>
      <t xml:space="preserve">笑い声を聞いた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</si>
  <si>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2026-09-05T10:00</t>
  </si>
  <si>
    <r>
      <rPr>
        <sz val="10"/>
        <rFont val="Arial"/>
        <family val="0"/>
        <charset val="1"/>
      </rPr>
      <t xml:space="preserve">SCP-096</t>
    </r>
    <r>
      <rPr>
        <sz val="10"/>
        <rFont val="Noto Sans CJK SC"/>
        <family val="2"/>
      </rPr>
      <t xml:space="preserve">の顔を見た者に起きた記録消失の真相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</si>
  <si>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2026-09-06T04:00</t>
  </si>
  <si>
    <r>
      <rPr>
        <sz val="10"/>
        <rFont val="Noto Sans CJK SC"/>
        <family val="2"/>
      </rPr>
      <t xml:space="preserve">なぜ非常灯が消えた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秒に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人目の足音がしたのか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</si>
  <si>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SCP-5800 </t>
    </r>
    <r>
      <rPr>
        <sz val="10"/>
        <rFont val="Noto Sans CJK SC"/>
        <family val="2"/>
      </rPr>
      <t xml:space="preserve">職員証だけが戻った未解決ファイル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</si>
  <si>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2026-09-06T10:00</t>
  </si>
  <si>
    <r>
      <rPr>
        <sz val="10"/>
        <rFont val="Noto Sans CJK SC"/>
        <family val="2"/>
      </rPr>
      <t xml:space="preserve">未来の時刻誰が映る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</si>
  <si>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2026-09-07T04:00</t>
  </si>
  <si>
    <r>
      <rPr>
        <sz val="10"/>
        <rFont val="Arial"/>
        <family val="0"/>
        <charset val="1"/>
      </rPr>
      <t xml:space="preserve">RTX5090</t>
    </r>
    <r>
      <rPr>
        <sz val="10"/>
        <rFont val="Noto Sans CJK SC"/>
        <family val="2"/>
      </rPr>
      <t xml:space="preserve">はで部屋の外から名前を呼ぶのか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</si>
  <si>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なぜこの火山は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時間沈黙し職員が消えるのか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</si>
  <si>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SCP-7241 </t>
    </r>
    <r>
      <rPr>
        <sz val="10"/>
        <rFont val="Noto Sans CJK SC"/>
        <family val="2"/>
      </rPr>
      <t xml:space="preserve">収容違反記録から毎回消える頁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</si>
  <si>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2026-09-08T04:00</t>
  </si>
  <si>
    <r>
      <rPr>
        <sz val="10"/>
        <rFont val="Arial"/>
        <family val="0"/>
        <charset val="1"/>
      </rPr>
      <t xml:space="preserve">SCP-3288 </t>
    </r>
    <r>
      <rPr>
        <sz val="10"/>
        <rFont val="Noto Sans CJK SC"/>
        <family val="2"/>
      </rPr>
      <t xml:space="preserve">大雨の真相 あなたの部屋も沈む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</si>
  <si>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の最後の一行だけが隔離対象になった理由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</si>
  <si>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日間でずつ消えたエージェント名簿異常事件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</si>
  <si>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2026-09-13T04:00</t>
  </si>
  <si>
    <r>
      <rPr>
        <sz val="10"/>
        <rFont val="Noto Sans CJK SC"/>
        <family val="2"/>
      </rPr>
      <t xml:space="preserve">なぜ職員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名は眠れず消えたのか【</t>
    </r>
    <r>
      <rPr>
        <sz val="10"/>
        <rFont val="Arial"/>
        <family val="0"/>
        <charset val="1"/>
      </rPr>
      <t xml:space="preserve">SCP-XXXX</t>
    </r>
    <r>
      <rPr>
        <sz val="10"/>
        <rFont val="Noto Sans CJK SC"/>
        <family val="2"/>
      </rPr>
      <t xml:space="preserve">】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</si>
  <si>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SCP-7777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時間で窓へ接近する理由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</si>
  <si>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2026-09-14T00:00</t>
  </si>
  <si>
    <r>
      <rPr>
        <sz val="10"/>
        <rFont val="Noto Sans CJK SC"/>
        <family val="2"/>
      </rPr>
      <t xml:space="preserve">なぜ堀大輔は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時間眠らないのか？睡眠不足の恐怖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</si>
  <si>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2026-09-14T04:00</t>
  </si>
  <si>
    <r>
      <rPr>
        <sz val="10"/>
        <rFont val="Arial"/>
        <family val="0"/>
        <charset val="1"/>
      </rPr>
      <t xml:space="preserve">SCP-████</t>
    </r>
    <r>
      <rPr>
        <sz val="10"/>
        <rFont val="Noto Sans CJK SC"/>
        <family val="2"/>
      </rPr>
      <t xml:space="preserve">「閲覧禁止文書」読了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名の実態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</si>
  <si>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SCP-3125</t>
    </r>
    <r>
      <rPr>
        <sz val="10"/>
        <rFont val="Noto Sans CJK SC"/>
        <family val="2"/>
      </rPr>
      <t xml:space="preserve">「認識の終点」全員消失の真相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</si>
  <si>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SCP-1440 </t>
    </r>
    <r>
      <rPr>
        <sz val="10"/>
        <rFont val="Noto Sans CJK SC"/>
        <family val="2"/>
      </rPr>
      <t xml:space="preserve">追跡班が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日目に報告をやめた謎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</si>
  <si>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2026-09-13T06:00</t>
  </si>
  <si>
    <r>
      <rPr>
        <sz val="10"/>
        <rFont val="Noto Sans CJK SC"/>
        <family val="2"/>
      </rPr>
      <t xml:space="preserve">なぜ天才は一人で育たないのか フィールズ賞の本当の理由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自己啓発</t>
    </r>
  </si>
  <si>
    <t xml:space="preserve">2026-09-14T11:00</t>
  </si>
  <si>
    <r>
      <rPr>
        <sz val="10"/>
        <rFont val="Noto Sans CJK SC"/>
        <family val="2"/>
      </rPr>
      <t xml:space="preserve">原油高の正体家計に届く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自己啓発</t>
    </r>
  </si>
  <si>
    <t xml:space="preserve">2026-09-05T03:00</t>
  </si>
  <si>
    <r>
      <rPr>
        <sz val="10"/>
        <rFont val="Noto Sans CJK SC"/>
        <family val="2"/>
      </rPr>
      <t xml:space="preserve">口裂け女の噂はなぜ全国へ？名前を呼べない本当の理由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</si>
  <si>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2026-09-05T07:00</t>
  </si>
  <si>
    <r>
      <rPr>
        <sz val="10"/>
        <rFont val="Noto Sans CJK SC"/>
        <family val="2"/>
      </rPr>
      <t xml:space="preserve">キュウビが日本へ渡った理由、知ってる？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</si>
  <si>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雪女が去り際に名を呼ぶ理由…約束を破った男の末路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</si>
  <si>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2026-09-06T03:00</t>
  </si>
  <si>
    <r>
      <rPr>
        <sz val="10"/>
        <rFont val="Noto Sans CJK SC"/>
        <family val="2"/>
      </rPr>
      <t xml:space="preserve">小豆洗い、姿を消して「音」だけ残った土地の記録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</si>
  <si>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2026-09-06T07:00</t>
  </si>
  <si>
    <r>
      <rPr>
        <sz val="10"/>
        <rFont val="Noto Sans CJK SC"/>
        <family val="2"/>
      </rPr>
      <t xml:space="preserve">なぜ妖怪は山を下り里に現れるようになったのか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</si>
  <si>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2026-09-06T08:45</t>
  </si>
  <si>
    <r>
      <rPr>
        <sz val="10"/>
        <rFont val="Noto Sans CJK SC"/>
        <family val="2"/>
      </rPr>
      <t xml:space="preserve">百目なのに一つ目？江戸の絵に隠された不気味な変化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</si>
  <si>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2026-09-07T03:00</t>
  </si>
  <si>
    <r>
      <rPr>
        <sz val="10"/>
        <rFont val="Noto Sans CJK SC"/>
        <family val="2"/>
      </rPr>
      <t xml:space="preserve">人面犬の噂が昭和の学校で生まれた土壌とは…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</si>
  <si>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なぜ狐は人を化かす妖怪にされたのか？江戸の記録に残る事情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</si>
  <si>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2026-09-08T00:30</t>
  </si>
  <si>
    <r>
      <rPr>
        <sz val="10"/>
        <rFont val="Noto Sans CJK SC"/>
        <family val="2"/>
      </rPr>
      <t xml:space="preserve">鬼の角が「目印」になった千年前の変化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</si>
  <si>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2026-09-08T03:00</t>
  </si>
  <si>
    <r>
      <rPr>
        <sz val="10"/>
        <rFont val="Noto Sans CJK SC"/>
        <family val="2"/>
      </rPr>
      <t xml:space="preserve">ろくろ首の正体は飛頭蛮？首が飛ぶ怪異の出どころ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</si>
  <si>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覚の元ネタが怖すぎる…心を先回りする山の怪物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</si>
  <si>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雷獣の爪痕が落雷木に残る…江戸で剥製まで売られた怪異の正体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</si>
  <si>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2026-09-14T00:30</t>
  </si>
  <si>
    <r>
      <rPr>
        <sz val="10"/>
        <rFont val="Noto Sans CJK SC"/>
        <family val="2"/>
      </rPr>
      <t xml:space="preserve">影女の元ネタが怖すぎる…誰もいない家に影が映る理由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</si>
  <si>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2026-09-14T03:00</t>
  </si>
  <si>
    <r>
      <rPr>
        <sz val="10"/>
        <rFont val="Noto Sans CJK SC"/>
        <family val="2"/>
      </rPr>
      <t xml:space="preserve">見越し入道の正体はなぜ見上げると負けるのか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</si>
  <si>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2026-09-14T07:00</t>
  </si>
  <si>
    <r>
      <rPr>
        <sz val="10"/>
        <rFont val="Noto Sans CJK SC"/>
        <family val="2"/>
      </rPr>
      <t xml:space="preserve">河童が相撲を求める理由…本朝俗諺志に残る水難の警告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</si>
  <si>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山彦の声が妖怪になった…江戸時代に描かれた不気味な伝承の正体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</si>
  <si>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9"/>
        <color rgb="FF555555"/>
        <rFont val="Noto Sans CJK SC"/>
        <family val="2"/>
      </rPr>
      <t xml:space="preserve">※ 計 </t>
    </r>
    <r>
      <rPr>
        <sz val="9"/>
        <color rgb="FF555555"/>
        <rFont val="Arial"/>
        <family val="0"/>
        <charset val="1"/>
      </rPr>
      <t xml:space="preserve">135 </t>
    </r>
    <r>
      <rPr>
        <sz val="9"/>
        <color rgb="FF555555"/>
        <rFont val="Noto Sans CJK SC"/>
        <family val="2"/>
      </rPr>
      <t xml:space="preserve">本。うち </t>
    </r>
    <r>
      <rPr>
        <sz val="9"/>
        <color rgb="FF555555"/>
        <rFont val="Arial"/>
        <family val="0"/>
        <charset val="1"/>
      </rPr>
      <t xml:space="preserve">09-13 </t>
    </r>
    <r>
      <rPr>
        <sz val="9"/>
        <color rgb="FF555555"/>
        <rFont val="Noto Sans CJK SC"/>
        <family val="2"/>
      </rPr>
      <t xml:space="preserve">以降公開の </t>
    </r>
    <r>
      <rPr>
        <sz val="9"/>
        <color rgb="FF555555"/>
        <rFont val="Arial"/>
        <family val="0"/>
        <charset val="1"/>
      </rPr>
      <t xml:space="preserve">25 </t>
    </r>
    <r>
      <rPr>
        <sz val="9"/>
        <color rgb="FF555555"/>
        <rFont val="Noto Sans CJK SC"/>
        <family val="2"/>
      </rPr>
      <t xml:space="preserve">本は全て未計測。</t>
    </r>
    <r>
      <rPr>
        <sz val="9"/>
        <color rgb="FF555555"/>
        <rFont val="Arial"/>
        <family val="0"/>
        <charset val="1"/>
      </rPr>
      <t xml:space="preserve">09-14 </t>
    </r>
    <r>
      <rPr>
        <sz val="9"/>
        <color rgb="FF555555"/>
        <rFont val="Noto Sans CJK SC"/>
        <family val="2"/>
      </rPr>
      <t xml:space="preserve">の投稿枠・型ルール変更の効果はこの </t>
    </r>
    <r>
      <rPr>
        <sz val="9"/>
        <color rgb="FF555555"/>
        <rFont val="Arial"/>
        <family val="0"/>
        <charset val="1"/>
      </rPr>
      <t xml:space="preserve">25 </t>
    </r>
    <r>
      <rPr>
        <sz val="9"/>
        <color rgb="FF555555"/>
        <rFont val="Noto Sans CJK SC"/>
        <family val="2"/>
      </rPr>
      <t xml:space="preserve">本が計測されるまで判定できない。</t>
    </r>
  </si>
  <si>
    <r>
      <rPr>
        <sz val="9"/>
        <color rgb="FF555555"/>
        <rFont val="Noto Sans CJK SC"/>
        <family val="2"/>
      </rPr>
      <t xml:space="preserve">※ 緑</t>
    </r>
    <r>
      <rPr>
        <sz val="9"/>
        <color rgb="FF555555"/>
        <rFont val="Arial"/>
        <family val="0"/>
        <charset val="1"/>
      </rPr>
      <t xml:space="preserve">=</t>
    </r>
    <r>
      <rPr>
        <sz val="9"/>
        <color rgb="FF555555"/>
        <rFont val="Noto Sans CJK SC"/>
        <family val="2"/>
      </rPr>
      <t xml:space="preserve">登録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千再生 </t>
    </r>
    <r>
      <rPr>
        <sz val="9"/>
        <color rgb="FF555555"/>
        <rFont val="Arial"/>
        <family val="0"/>
        <charset val="1"/>
      </rPr>
      <t xml:space="preserve">1.0</t>
    </r>
    <r>
      <rPr>
        <sz val="9"/>
        <color rgb="FF555555"/>
        <rFont val="Noto Sans CJK SC"/>
        <family val="2"/>
      </rPr>
      <t xml:space="preserve">以上（当該窓の上位）。灰</t>
    </r>
    <r>
      <rPr>
        <sz val="9"/>
        <color rgb="FF555555"/>
        <rFont val="Arial"/>
        <family val="0"/>
        <charset val="1"/>
      </rPr>
      <t xml:space="preserve">=</t>
    </r>
    <r>
      <rPr>
        <sz val="9"/>
        <color rgb="FF555555"/>
        <rFont val="Noto Sans CJK SC"/>
        <family val="2"/>
      </rPr>
      <t xml:space="preserve">未計測。</t>
    </r>
  </si>
  <si>
    <t xml:space="preserve">改善提案 — 本日の判断と根拠</t>
  </si>
  <si>
    <r>
      <rPr>
        <sz val="9"/>
        <color rgb="FF555555"/>
        <rFont val="Noto Sans CJK SC"/>
        <family val="2"/>
      </rPr>
      <t xml:space="preserve">原則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Noto Sans CJK SC"/>
        <family val="2"/>
      </rPr>
      <t xml:space="preserve">実データのみ。勘・一般論は採用しない。同一スナップショットで二度目の意思決定をしない。</t>
    </r>
  </si>
  <si>
    <r>
      <rPr>
        <b val="true"/>
        <sz val="10"/>
        <rFont val="Arial"/>
        <family val="0"/>
        <charset val="1"/>
      </rPr>
      <t xml:space="preserve">■ A. </t>
    </r>
    <r>
      <rPr>
        <b val="true"/>
        <sz val="10"/>
        <rFont val="Noto Sans CJK SC"/>
        <family val="2"/>
      </rPr>
      <t xml:space="preserve">本日 適用済みの </t>
    </r>
    <r>
      <rPr>
        <b val="true"/>
        <sz val="10"/>
        <rFont val="Arial"/>
        <family val="0"/>
        <charset val="1"/>
      </rPr>
      <t xml:space="preserve">config </t>
    </r>
    <r>
      <rPr>
        <b val="true"/>
        <sz val="10"/>
        <rFont val="Noto Sans CJK SC"/>
        <family val="2"/>
      </rPr>
      <t xml:space="preserve">変更（</t>
    </r>
    <r>
      <rPr>
        <b val="true"/>
        <sz val="10"/>
        <rFont val="Arial"/>
        <family val="0"/>
        <charset val="1"/>
      </rPr>
      <t xml:space="preserve">10:08 </t>
    </r>
    <r>
      <rPr>
        <b val="true"/>
        <sz val="10"/>
        <rFont val="Noto Sans CJK SC"/>
        <family val="2"/>
      </rPr>
      <t xml:space="preserve">の並走 </t>
    </r>
    <r>
      <rPr>
        <b val="true"/>
        <sz val="10"/>
        <rFont val="Arial"/>
        <family val="0"/>
        <charset val="1"/>
      </rPr>
      <t xml:space="preserve">run </t>
    </r>
    <r>
      <rPr>
        <b val="true"/>
        <sz val="10"/>
        <rFont val="Noto Sans CJK SC"/>
        <family val="2"/>
      </rPr>
      <t xml:space="preserve">が適用・本 </t>
    </r>
    <r>
      <rPr>
        <b val="true"/>
        <sz val="10"/>
        <rFont val="Arial"/>
        <family val="0"/>
        <charset val="1"/>
      </rPr>
      <t xml:space="preserve">run </t>
    </r>
    <r>
      <rPr>
        <b val="true"/>
        <sz val="10"/>
        <rFont val="Noto Sans CJK SC"/>
        <family val="2"/>
      </rPr>
      <t xml:space="preserve">で独立検算しコミット）</t>
    </r>
  </si>
  <si>
    <t xml:space="preserve">対象</t>
  </si>
  <si>
    <t xml:space="preserve">変更内容</t>
  </si>
  <si>
    <t xml:space="preserve">根拠（実測）</t>
  </si>
  <si>
    <t xml:space="preserve">検算結果</t>
  </si>
  <si>
    <t xml:space="preserve">次判定日</t>
  </si>
  <si>
    <t xml:space="preserve">daily-science / scp-lab / yokai-watch / company-facts</t>
  </si>
  <si>
    <r>
      <rPr>
        <sz val="10"/>
        <rFont val="Noto Sans CJK SC"/>
        <family val="2"/>
      </rPr>
      <t xml:space="preserve">テーマキュー補充（</t>
    </r>
    <r>
      <rPr>
        <sz val="10"/>
        <rFont val="Arial"/>
        <family val="0"/>
        <charset val="1"/>
      </rPr>
      <t xml:space="preserve">+3 / +3 / +1 / +2</t>
    </r>
    <r>
      <rPr>
        <sz val="10"/>
        <rFont val="Noto Sans CJK SC"/>
        <family val="2"/>
      </rPr>
      <t xml:space="preserve">）在庫を </t>
    </r>
    <r>
      <rPr>
        <sz val="10"/>
        <rFont val="Arial"/>
        <family val="0"/>
        <charset val="1"/>
      </rPr>
      <t xml:space="preserve">7.0</t>
    </r>
    <r>
      <rPr>
        <sz val="10"/>
        <rFont val="Noto Sans CJK SC"/>
        <family val="2"/>
      </rPr>
      <t xml:space="preserve">日以上へ</t>
    </r>
  </si>
  <si>
    <r>
      <rPr>
        <sz val="10"/>
        <rFont val="Noto Sans CJK SC"/>
        <family val="2"/>
      </rPr>
      <t xml:space="preserve">在庫 </t>
    </r>
    <r>
      <rPr>
        <sz val="10"/>
        <rFont val="Arial"/>
        <family val="0"/>
        <charset val="1"/>
      </rPr>
      <t xml:space="preserve">6.0 / 6.0 / 6.7 / 6.5</t>
    </r>
    <r>
      <rPr>
        <sz val="10"/>
        <rFont val="Noto Sans CJK SC"/>
        <family val="2"/>
      </rPr>
      <t xml:space="preserve">日 → 補充後 </t>
    </r>
    <r>
      <rPr>
        <sz val="10"/>
        <rFont val="Arial"/>
        <family val="0"/>
        <charset val="1"/>
      </rPr>
      <t xml:space="preserve">7.0 / 7.0 / 7.0 / 7.0</t>
    </r>
    <r>
      <rPr>
        <sz val="10"/>
        <rFont val="Noto Sans CJK SC"/>
        <family val="2"/>
      </rPr>
      <t xml:space="preserve">日。型は 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内対照で確定した最良型を踏襲</t>
    </r>
  </si>
  <si>
    <r>
      <rPr>
        <sz val="10"/>
        <rFont val="Noto Sans CJK SC"/>
        <family val="2"/>
      </rPr>
      <t xml:space="preserve">○ キュー件数を実ファイルで確認（</t>
    </r>
    <r>
      <rPr>
        <sz val="10"/>
        <rFont val="Arial"/>
        <family val="0"/>
        <charset val="1"/>
      </rPr>
      <t xml:space="preserve">21/21/21/28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パース正常</t>
    </r>
  </si>
  <si>
    <t xml:space="preserve">—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</si>
  <si>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socio-rx </t>
    </r>
    <r>
      <rPr>
        <sz val="10"/>
        <rFont val="Noto Sans CJK SC"/>
        <family val="2"/>
      </rPr>
      <t xml:space="preserve">を除く）</t>
    </r>
  </si>
  <si>
    <r>
      <rPr>
        <sz val="10"/>
        <rFont val="Arial"/>
        <family val="0"/>
        <charset val="1"/>
      </rPr>
      <t xml:space="preserve">optimization.retention_target_band = 40-50%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policy: target_band_not_maximize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</si>
  <si>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公開</t>
    </r>
    <r>
      <rPr>
        <sz val="10"/>
        <rFont val="Arial"/>
        <family val="0"/>
        <charset val="1"/>
      </rPr>
      <t xml:space="preserve">08-01</t>
    </r>
    <r>
      <rPr>
        <sz val="10"/>
        <rFont val="Noto Sans CJK SC"/>
        <family val="2"/>
      </rPr>
      <t xml:space="preserve">以降・</t>
    </r>
    <r>
      <rPr>
        <sz val="10"/>
        <rFont val="Arial"/>
        <family val="0"/>
        <charset val="1"/>
      </rPr>
      <t xml:space="preserve">views≧200 </t>
    </r>
    <r>
      <rPr>
        <sz val="10"/>
        <rFont val="Noto Sans CJK SC"/>
        <family val="2"/>
      </rPr>
      <t xml:space="preserve">のバンド別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: &lt;30% 0.263 / 30-40 0.398 / 40-50 0.649 / 50-60 0.450 / 60-70 0.587 / &gt;=70 0.258</t>
    </r>
  </si>
  <si>
    <r>
      <rPr>
        <sz val="10"/>
        <rFont val="Noto Sans CJK SC"/>
        <family val="2"/>
      </rPr>
      <t xml:space="preserve">△ 頂点</t>
    </r>
    <r>
      <rPr>
        <sz val="10"/>
        <rFont val="Arial"/>
        <family val="0"/>
        <charset val="1"/>
      </rPr>
      <t xml:space="preserve">40-50%</t>
    </r>
    <r>
      <rPr>
        <sz val="10"/>
        <rFont val="Noto Sans CJK SC"/>
        <family val="2"/>
      </rPr>
      <t xml:space="preserve">は再現。ただし『</t>
    </r>
    <r>
      <rPr>
        <sz val="10"/>
        <rFont val="Arial"/>
        <family val="0"/>
        <charset val="1"/>
      </rPr>
      <t xml:space="preserve">&gt;=70%</t>
    </r>
    <r>
      <rPr>
        <sz val="10"/>
        <rFont val="Noto Sans CJK SC"/>
        <family val="2"/>
      </rPr>
      <t xml:space="preserve">が最下位』は切り抜き交絡（下の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参照）</t>
    </r>
  </si>
  <si>
    <t xml:space="preserve">09-21</t>
  </si>
  <si>
    <r>
      <rPr>
        <sz val="10"/>
        <rFont val="Noto Sans CJK SC"/>
        <family val="2"/>
      </rPr>
      <t xml:space="preserve">投稿枠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型ルール </t>
    </r>
    <r>
      <rPr>
        <sz val="10"/>
        <rFont val="Arial"/>
        <family val="0"/>
        <charset val="1"/>
      </rPr>
      <t xml:space="preserve">/ voice_style</t>
    </r>
  </si>
  <si>
    <t xml:space="preserve">変更なし（据え置き）</t>
  </si>
  <si>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に全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で変更済み。その後の公開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本は全て </t>
    </r>
    <r>
      <rPr>
        <sz val="10"/>
        <rFont val="Arial"/>
        <family val="0"/>
        <charset val="1"/>
      </rPr>
      <t xml:space="preserve">views=0 </t>
    </r>
    <r>
      <rPr>
        <sz val="10"/>
        <rFont val="Noto Sans CJK SC"/>
        <family val="2"/>
      </rPr>
      <t xml:space="preserve">で未計測。同一データでの二重判断を回避</t>
    </r>
  </si>
  <si>
    <r>
      <rPr>
        <sz val="10"/>
        <rFont val="Noto Sans CJK SC"/>
        <family val="2"/>
      </rPr>
      <t xml:space="preserve">○ 妥当。</t>
    </r>
    <r>
      <rPr>
        <sz val="10"/>
        <rFont val="Arial"/>
        <family val="0"/>
        <charset val="1"/>
      </rPr>
      <t xml:space="preserve">schedule/title_rules/voice_style </t>
    </r>
    <r>
      <rPr>
        <sz val="10"/>
        <rFont val="Noto Sans CJK SC"/>
        <family val="2"/>
      </rPr>
      <t xml:space="preserve">の差分ゼロを </t>
    </r>
    <r>
      <rPr>
        <sz val="10"/>
        <rFont val="Arial"/>
        <family val="0"/>
        <charset val="1"/>
      </rPr>
      <t xml:space="preserve">git diff </t>
    </r>
    <r>
      <rPr>
        <sz val="10"/>
        <rFont val="Noto Sans CJK SC"/>
        <family val="2"/>
      </rPr>
      <t xml:space="preserve">で確認</t>
    </r>
  </si>
  <si>
    <r>
      <rPr>
        <b val="true"/>
        <sz val="10"/>
        <rFont val="Arial"/>
        <family val="0"/>
        <charset val="1"/>
      </rPr>
      <t xml:space="preserve">■ B. </t>
    </r>
    <r>
      <rPr>
        <b val="true"/>
        <sz val="10"/>
        <rFont val="Noto Sans CJK SC"/>
        <family val="2"/>
      </rPr>
      <t xml:space="preserve">登録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千再生 の主説明変数 — いいね率（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回連続で再現）</t>
    </r>
  </si>
  <si>
    <t xml:space="preserve">いいね率四分位</t>
  </si>
  <si>
    <t xml:space="preserve">登録数</t>
  </si>
  <si>
    <r>
      <rPr>
        <b val="true"/>
        <sz val="11"/>
        <color rgb="FFFFFFFF"/>
        <rFont val="Arial"/>
        <family val="0"/>
        <charset val="1"/>
      </rPr>
      <t xml:space="preserve">Q1</t>
    </r>
    <r>
      <rPr>
        <b val="true"/>
        <sz val="11"/>
        <color rgb="FFFFFFFF"/>
        <rFont val="Noto Sans CJK SC"/>
        <family val="2"/>
      </rPr>
      <t xml:space="preserve">比</t>
    </r>
  </si>
  <si>
    <t xml:space="preserve">Q1</t>
  </si>
  <si>
    <t xml:space="preserve">Q2</t>
  </si>
  <si>
    <t xml:space="preserve">Q3</t>
  </si>
  <si>
    <t xml:space="preserve">Q4</t>
  </si>
  <si>
    <r>
      <rPr>
        <sz val="10"/>
        <rFont val="Arial"/>
        <family val="0"/>
        <charset val="1"/>
      </rPr>
      <t xml:space="preserve">→ Q4/Q1 = 3.96</t>
    </r>
    <r>
      <rPr>
        <sz val="10"/>
        <rFont val="Noto Sans CJK SC"/>
        <family val="2"/>
      </rPr>
      <t xml:space="preserve">倍。前日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3.90</t>
    </r>
    <r>
      <rPr>
        <sz val="10"/>
        <rFont val="Noto Sans CJK SC"/>
        <family val="2"/>
      </rPr>
      <t xml:space="preserve">倍を独立に再現（窓・条件は同一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公開</t>
    </r>
    <r>
      <rPr>
        <sz val="10"/>
        <rFont val="Arial"/>
        <family val="0"/>
        <charset val="1"/>
      </rPr>
      <t xml:space="preserve">08-01</t>
    </r>
    <r>
      <rPr>
        <sz val="10"/>
        <rFont val="Noto Sans CJK SC"/>
        <family val="2"/>
      </rPr>
      <t xml:space="preserve">以降・</t>
    </r>
    <r>
      <rPr>
        <sz val="10"/>
        <rFont val="Arial"/>
        <family val="0"/>
        <charset val="1"/>
      </rPr>
      <t xml:space="preserve">views≧200</t>
    </r>
    <r>
      <rPr>
        <sz val="10"/>
        <rFont val="Noto Sans CJK SC"/>
        <family val="2"/>
      </rPr>
      <t xml:space="preserve">）。施策としては『いいね率を上げる打ち手＝登録を上げる打ち手』として扱ってよい。</t>
    </r>
  </si>
  <si>
    <r>
      <rPr>
        <b val="true"/>
        <sz val="10"/>
        <rFont val="Arial"/>
        <family val="0"/>
        <charset val="1"/>
      </rPr>
      <t xml:space="preserve">■ C. </t>
    </r>
    <r>
      <rPr>
        <b val="true"/>
        <sz val="10"/>
        <rFont val="Noto Sans CJK SC"/>
        <family val="2"/>
      </rPr>
      <t xml:space="preserve">【前日知見の修正】維持率の交絡 — 『</t>
    </r>
    <r>
      <rPr>
        <b val="true"/>
        <sz val="10"/>
        <rFont val="Arial"/>
        <family val="0"/>
        <charset val="1"/>
      </rPr>
      <t xml:space="preserve">&gt;=70% </t>
    </r>
    <r>
      <rPr>
        <b val="true"/>
        <sz val="10"/>
        <rFont val="Noto Sans CJK SC"/>
        <family val="2"/>
      </rPr>
      <t xml:space="preserve">は登録が伸びない』は切り抜き</t>
    </r>
    <r>
      <rPr>
        <b val="true"/>
        <sz val="10"/>
        <rFont val="Arial"/>
        <family val="0"/>
        <charset val="1"/>
      </rPr>
      <t xml:space="preserve">2ch</t>
    </r>
    <r>
      <rPr>
        <b val="true"/>
        <sz val="10"/>
        <rFont val="Noto Sans CJK SC"/>
        <family val="2"/>
      </rPr>
      <t xml:space="preserve">による見かけ</t>
    </r>
  </si>
  <si>
    <t xml:space="preserve">維持率バンド</t>
  </si>
  <si>
    <r>
      <rPr>
        <b val="true"/>
        <sz val="11"/>
        <color rgb="FFFFFFFF"/>
        <rFont val="Noto Sans CJK SC"/>
        <family val="2"/>
      </rPr>
      <t xml:space="preserve">全</t>
    </r>
    <r>
      <rPr>
        <b val="true"/>
        <sz val="11"/>
        <color rgb="FFFFFFFF"/>
        <rFont val="Arial"/>
        <family val="0"/>
        <charset val="1"/>
      </rPr>
      <t xml:space="preserve">13ch </t>
    </r>
    <r>
      <rPr>
        <b val="true"/>
        <sz val="11"/>
        <color rgb="FFFFFFFF"/>
        <rFont val="Noto Sans CJK SC"/>
        <family val="2"/>
      </rPr>
      <t xml:space="preserve">本数</t>
    </r>
  </si>
  <si>
    <r>
      <rPr>
        <b val="true"/>
        <sz val="11"/>
        <color rgb="FFFFFFFF"/>
        <rFont val="Noto Sans CJK SC"/>
        <family val="2"/>
      </rPr>
      <t xml:space="preserve">全</t>
    </r>
    <r>
      <rPr>
        <b val="true"/>
        <sz val="11"/>
        <color rgb="FFFFFFFF"/>
        <rFont val="Arial"/>
        <family val="0"/>
        <charset val="1"/>
      </rPr>
      <t xml:space="preserve">13ch </t>
    </r>
    <r>
      <rPr>
        <b val="true"/>
        <sz val="11"/>
        <color rgb="FFFFFFFF"/>
        <rFont val="Noto Sans CJK SC"/>
        <family val="2"/>
      </rPr>
      <t xml:space="preserve">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</t>
    </r>
  </si>
  <si>
    <r>
      <rPr>
        <b val="true"/>
        <sz val="11"/>
        <color rgb="FFFFFFFF"/>
        <rFont val="Noto Sans CJK SC"/>
        <family val="2"/>
      </rPr>
      <t xml:space="preserve">ゆっくり</t>
    </r>
    <r>
      <rPr>
        <b val="true"/>
        <sz val="11"/>
        <color rgb="FFFFFFFF"/>
        <rFont val="Arial"/>
        <family val="0"/>
        <charset val="1"/>
      </rPr>
      <t xml:space="preserve">7ch </t>
    </r>
    <r>
      <rPr>
        <b val="true"/>
        <sz val="11"/>
        <color rgb="FFFFFFFF"/>
        <rFont val="Noto Sans CJK SC"/>
        <family val="2"/>
      </rPr>
      <t xml:space="preserve">本数</t>
    </r>
  </si>
  <si>
    <r>
      <rPr>
        <b val="true"/>
        <sz val="11"/>
        <color rgb="FFFFFFFF"/>
        <rFont val="Noto Sans CJK SC"/>
        <family val="2"/>
      </rPr>
      <t xml:space="preserve">ゆっくり</t>
    </r>
    <r>
      <rPr>
        <b val="true"/>
        <sz val="11"/>
        <color rgb="FFFFFFFF"/>
        <rFont val="Arial"/>
        <family val="0"/>
        <charset val="1"/>
      </rPr>
      <t xml:space="preserve">7ch </t>
    </r>
    <r>
      <rPr>
        <b val="true"/>
        <sz val="11"/>
        <color rgb="FFFFFFFF"/>
        <rFont val="Noto Sans CJK SC"/>
        <family val="2"/>
      </rPr>
      <t xml:space="preserve">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</t>
    </r>
  </si>
  <si>
    <t xml:space="preserve">差</t>
  </si>
  <si>
    <t xml:space="preserve">判定</t>
  </si>
  <si>
    <t xml:space="preserve">&lt;30%</t>
  </si>
  <si>
    <t xml:space="preserve">○ ゆっくりでの真の最下位</t>
  </si>
  <si>
    <t xml:space="preserve">30-40%</t>
  </si>
  <si>
    <t xml:space="preserve">○ 両方で頂点。目標帯として妥当</t>
  </si>
  <si>
    <t xml:space="preserve">50-60%</t>
  </si>
  <si>
    <t xml:space="preserve">60-70%</t>
  </si>
  <si>
    <t xml:space="preserve">&gt;=70%</t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</si>
  <si>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では最下位だが ゆっくりでは最下位でない</t>
    </r>
  </si>
  <si>
    <r>
      <rPr>
        <b val="true"/>
        <sz val="10"/>
        <rFont val="Noto Sans CJK SC"/>
        <family val="2"/>
      </rPr>
      <t xml:space="preserve">【交絡の実体】維持率</t>
    </r>
    <r>
      <rPr>
        <b val="true"/>
        <sz val="10"/>
        <rFont val="Arial"/>
        <family val="0"/>
        <charset val="1"/>
      </rPr>
      <t xml:space="preserve">&gt;=70% </t>
    </r>
    <r>
      <rPr>
        <b val="true"/>
        <sz val="10"/>
        <rFont val="Noto Sans CJK SC"/>
        <family val="2"/>
      </rPr>
      <t xml:space="preserve">帯の </t>
    </r>
    <r>
      <rPr>
        <b val="true"/>
        <sz val="10"/>
        <rFont val="Arial"/>
        <family val="0"/>
        <charset val="1"/>
      </rPr>
      <t xml:space="preserve">ch </t>
    </r>
    <r>
      <rPr>
        <b val="true"/>
        <sz val="10"/>
        <rFont val="Noto Sans CJK SC"/>
        <family val="2"/>
      </rPr>
      <t xml:space="preserve">構成（</t>
    </r>
    <r>
      <rPr>
        <b val="true"/>
        <sz val="10"/>
        <rFont val="Arial"/>
        <family val="0"/>
        <charset val="1"/>
      </rPr>
      <t xml:space="preserve">views </t>
    </r>
    <r>
      <rPr>
        <b val="true"/>
        <sz val="10"/>
        <rFont val="Noto Sans CJK SC"/>
        <family val="2"/>
      </rPr>
      <t xml:space="preserve">順）</t>
    </r>
  </si>
  <si>
    <r>
      <rPr>
        <b val="true"/>
        <sz val="11"/>
        <color rgb="FFFFFFFF"/>
        <rFont val="Noto Sans CJK SC"/>
        <family val="2"/>
      </rPr>
      <t xml:space="preserve">帯内シェア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</si>
  <si>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</t>
    </r>
  </si>
  <si>
    <r>
      <rPr>
        <sz val="10"/>
        <rFont val="Arial"/>
        <family val="0"/>
        <charset val="1"/>
      </rPr>
      <t xml:space="preserve">→ &gt;=70% </t>
    </r>
    <r>
      <rPr>
        <sz val="10"/>
        <rFont val="Noto Sans CJK SC"/>
        <family val="2"/>
      </rPr>
      <t xml:space="preserve">帯の総再生 </t>
    </r>
    <r>
      <rPr>
        <sz val="10"/>
        <rFont val="Arial"/>
        <family val="0"/>
        <charset val="1"/>
      </rPr>
      <t xml:space="preserve">89,148 </t>
    </r>
    <r>
      <rPr>
        <sz val="10"/>
        <rFont val="Noto Sans CJK SC"/>
        <family val="2"/>
      </rPr>
      <t xml:space="preserve">のうち </t>
    </r>
    <r>
      <rPr>
        <sz val="10"/>
        <rFont val="Arial"/>
        <family val="0"/>
        <charset val="1"/>
      </rPr>
      <t xml:space="preserve">clip-lab 30,690 + clip-fukada 21,011 + clip-kaneko 3,185 = 54,886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61.6%</t>
    </r>
    <r>
      <rPr>
        <sz val="10"/>
        <rFont val="Noto Sans CJK SC"/>
        <family val="2"/>
      </rPr>
      <t xml:space="preserve">）が切り抜き系。</t>
    </r>
  </si>
  <si>
    <r>
      <rPr>
        <sz val="10"/>
        <rFont val="Noto Sans CJK SC"/>
        <family val="2"/>
      </rPr>
      <t xml:space="preserve">→ 切り抜き系は維持率とは無関係に登録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0.137</t>
    </r>
    <r>
      <rPr>
        <sz val="10"/>
        <rFont val="Noto Sans CJK SC"/>
        <family val="2"/>
      </rPr>
      <t xml:space="preserve">（ゆっくり系 </t>
    </r>
    <r>
      <rPr>
        <sz val="10"/>
        <rFont val="Arial"/>
        <family val="0"/>
        <charset val="1"/>
      </rPr>
      <t xml:space="preserve">0.533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1/3.9</t>
    </r>
    <r>
      <rPr>
        <sz val="10"/>
        <rFont val="Noto Sans CJK SC"/>
        <family val="2"/>
      </rPr>
      <t xml:space="preserve">）。この構造差がバンド平均を押し下げていた。</t>
    </r>
  </si>
  <si>
    <r>
      <rPr>
        <sz val="10"/>
        <rFont val="Noto Sans CJK SC"/>
        <family val="2"/>
      </rPr>
      <t xml:space="preserve">→ ゆっくり</t>
    </r>
    <r>
      <rPr>
        <sz val="10"/>
        <rFont val="Arial"/>
        <family val="0"/>
        <charset val="1"/>
      </rPr>
      <t xml:space="preserve">7ch</t>
    </r>
    <r>
      <rPr>
        <sz val="10"/>
        <rFont val="Noto Sans CJK SC"/>
        <family val="2"/>
      </rPr>
      <t xml:space="preserve">に限れば </t>
    </r>
    <r>
      <rPr>
        <sz val="10"/>
        <rFont val="Arial"/>
        <family val="0"/>
        <charset val="1"/>
      </rPr>
      <t xml:space="preserve">&lt;30% 0.245 </t>
    </r>
    <r>
      <rPr>
        <sz val="10"/>
        <rFont val="Noto Sans CJK SC"/>
        <family val="2"/>
      </rPr>
      <t xml:space="preserve">が最下位、</t>
    </r>
    <r>
      <rPr>
        <sz val="10"/>
        <rFont val="Arial"/>
        <family val="0"/>
        <charset val="1"/>
      </rPr>
      <t xml:space="preserve">40-50% 0.714 </t>
    </r>
    <r>
      <rPr>
        <sz val="10"/>
        <rFont val="Noto Sans CJK SC"/>
        <family val="2"/>
      </rPr>
      <t xml:space="preserve">が頂点、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以上は </t>
    </r>
    <r>
      <rPr>
        <sz val="10"/>
        <rFont val="Arial"/>
        <family val="0"/>
        <charset val="1"/>
      </rPr>
      <t xml:space="preserve">0.51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0.58 </t>
    </r>
    <r>
      <rPr>
        <sz val="10"/>
        <rFont val="Noto Sans CJK SC"/>
        <family val="2"/>
      </rPr>
      <t xml:space="preserve">でほぼ平坦。</t>
    </r>
  </si>
  <si>
    <r>
      <rPr>
        <sz val="10"/>
        <rFont val="Noto Sans CJK SC"/>
        <family val="2"/>
      </rPr>
      <t xml:space="preserve">【結論】『</t>
    </r>
    <r>
      <rPr>
        <sz val="10"/>
        <rFont val="Arial"/>
        <family val="0"/>
        <charset val="1"/>
      </rPr>
      <t xml:space="preserve">40-50% </t>
    </r>
    <r>
      <rPr>
        <sz val="10"/>
        <rFont val="Noto Sans CJK SC"/>
        <family val="2"/>
      </rPr>
      <t xml:space="preserve">を目標帯にする』は妥当。『維持率が高すぎると登録が減る』は根拠不足につき撤回する。</t>
    </r>
  </si>
  <si>
    <r>
      <rPr>
        <sz val="10"/>
        <rFont val="Noto Sans CJK SC"/>
        <family val="2"/>
      </rPr>
      <t xml:space="preserve">【次アクション】維持率を下げる方向の施策は打たない。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の再判定で </t>
    </r>
    <r>
      <rPr>
        <sz val="10"/>
        <rFont val="Arial"/>
        <family val="0"/>
        <charset val="1"/>
      </rPr>
      <t xml:space="preserve">&gt;=50% </t>
    </r>
    <r>
      <rPr>
        <sz val="10"/>
        <rFont val="Noto Sans CJK SC"/>
        <family val="2"/>
      </rPr>
      <t xml:space="preserve">帯を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内対照で再検証する（本日は </t>
    </r>
    <r>
      <rPr>
        <sz val="10"/>
        <rFont val="Arial"/>
        <family val="0"/>
        <charset val="1"/>
      </rPr>
      <t xml:space="preserve">config </t>
    </r>
    <r>
      <rPr>
        <sz val="10"/>
        <rFont val="Noto Sans CJK SC"/>
        <family val="2"/>
      </rPr>
      <t xml:space="preserve">を触らない）。</t>
    </r>
  </si>
  <si>
    <r>
      <rPr>
        <b val="true"/>
        <sz val="10"/>
        <rFont val="Arial"/>
        <family val="0"/>
        <charset val="1"/>
      </rPr>
      <t xml:space="preserve">■ D. </t>
    </r>
    <r>
      <rPr>
        <b val="true"/>
        <sz val="10"/>
        <rFont val="Noto Sans CJK SC"/>
        <family val="2"/>
      </rPr>
      <t xml:space="preserve">公開時刻別 登録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千再生（ゆっくり</t>
    </r>
    <r>
      <rPr>
        <b val="true"/>
        <sz val="10"/>
        <rFont val="Arial"/>
        <family val="0"/>
        <charset val="1"/>
      </rPr>
      <t xml:space="preserve">6ch</t>
    </r>
    <r>
      <rPr>
        <b val="true"/>
        <sz val="10"/>
        <rFont val="Noto Sans CJK SC"/>
        <family val="2"/>
      </rPr>
      <t xml:space="preserve">・</t>
    </r>
    <r>
      <rPr>
        <b val="true"/>
        <sz val="10"/>
        <rFont val="Arial"/>
        <family val="0"/>
        <charset val="1"/>
      </rPr>
      <t xml:space="preserve">08-01</t>
    </r>
    <r>
      <rPr>
        <b val="true"/>
        <sz val="10"/>
        <rFont val="Noto Sans CJK SC"/>
        <family val="2"/>
      </rPr>
      <t xml:space="preserve">以降・</t>
    </r>
    <r>
      <rPr>
        <b val="true"/>
        <sz val="10"/>
        <rFont val="Arial"/>
        <family val="0"/>
        <charset val="1"/>
      </rPr>
      <t xml:space="preserve">views≧200</t>
    </r>
    <r>
      <rPr>
        <b val="true"/>
        <sz val="10"/>
        <rFont val="Noto Sans CJK SC"/>
        <family val="2"/>
      </rPr>
      <t xml:space="preserve">・</t>
    </r>
    <r>
      <rPr>
        <b val="true"/>
        <sz val="10"/>
        <rFont val="Arial"/>
        <family val="0"/>
        <charset val="1"/>
      </rPr>
      <t xml:space="preserve">n≧4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</si>
  <si>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公開時刻</t>
    </r>
    <r>
      <rPr>
        <b val="true"/>
        <sz val="11"/>
        <color rgb="FFFFFFFF"/>
        <rFont val="Arial"/>
        <family val="0"/>
        <charset val="1"/>
      </rPr>
      <t xml:space="preserve">(JST)</t>
    </r>
  </si>
  <si>
    <r>
      <rPr>
        <b val="true"/>
        <sz val="11"/>
        <color rgb="FFFFFFFF"/>
        <rFont val="Arial"/>
        <family val="0"/>
        <charset val="1"/>
      </rPr>
      <t xml:space="preserve">09-14</t>
    </r>
    <r>
      <rPr>
        <b val="true"/>
        <sz val="11"/>
        <color rgb="FFFFFFFF"/>
        <rFont val="Noto Sans CJK SC"/>
        <family val="2"/>
      </rPr>
      <t xml:space="preserve">変更後の採用状況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</si>
  <si>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</si>
  <si>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daily-science / 2ch </t>
    </r>
    <r>
      <rPr>
        <sz val="10"/>
        <rFont val="Noto Sans CJK SC"/>
        <family val="2"/>
      </rPr>
      <t xml:space="preserve">が採用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</si>
  <si>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時</t>
    </r>
  </si>
  <si>
    <r>
      <rPr>
        <sz val="10"/>
        <rFont val="Noto Sans CJK SC"/>
        <family val="2"/>
      </rPr>
      <t xml:space="preserve">採用なし（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に全廃）</t>
    </r>
  </si>
  <si>
    <r>
      <rPr>
        <sz val="10"/>
        <rFont val="Noto Sans CJK SC"/>
        <family val="2"/>
      </rPr>
      <t xml:space="preserve">○ 全廃は妥当（</t>
    </r>
    <r>
      <rPr>
        <sz val="10"/>
        <rFont val="Arial"/>
        <family val="0"/>
        <charset val="1"/>
      </rPr>
      <t xml:space="preserve">0.48 / 0.37 / 0.00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</si>
  <si>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</si>
  <si>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</si>
  <si>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yokai-watch / company-facts / pokemon-lab / 2ch </t>
    </r>
    <r>
      <rPr>
        <sz val="10"/>
        <rFont val="Noto Sans CJK SC"/>
        <family val="2"/>
      </rPr>
      <t xml:space="preserve">が採用</t>
    </r>
  </si>
  <si>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</si>
  <si>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scp-lab </t>
    </r>
    <r>
      <rPr>
        <sz val="10"/>
        <rFont val="Noto Sans CJK SC"/>
        <family val="2"/>
      </rPr>
      <t xml:space="preserve">が採用</t>
    </r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</si>
  <si>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時</t>
    </r>
  </si>
  <si>
    <t xml:space="preserve">採用なし</t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</si>
  <si>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</si>
  <si>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daily-science / company-facts / pokemon-lab </t>
    </r>
    <r>
      <rPr>
        <sz val="10"/>
        <rFont val="Noto Sans CJK SC"/>
        <family val="2"/>
      </rPr>
      <t xml:space="preserve">が採用</t>
    </r>
  </si>
  <si>
    <r>
      <rPr>
        <sz val="10"/>
        <rFont val="Arial"/>
        <family val="0"/>
        <charset val="1"/>
      </rPr>
      <t xml:space="preserve">⚠ 0.169(n=7) </t>
    </r>
    <r>
      <rPr>
        <sz val="10"/>
        <rFont val="Noto Sans CJK SC"/>
        <family val="2"/>
      </rPr>
      <t xml:space="preserve">と低いのに </t>
    </r>
    <r>
      <rPr>
        <sz val="10"/>
        <rFont val="Arial"/>
        <family val="0"/>
        <charset val="1"/>
      </rPr>
      <t xml:space="preserve">3ch </t>
    </r>
    <r>
      <rPr>
        <sz val="10"/>
        <rFont val="Noto Sans CJK SC"/>
        <family val="2"/>
      </rPr>
      <t xml:space="preserve">で採用。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が小さく判断保留だが 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に必ず再検証</t>
    </r>
  </si>
  <si>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</si>
  <si>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daily-science / scp-lab / company-facts </t>
    </r>
    <r>
      <rPr>
        <sz val="10"/>
        <rFont val="Noto Sans CJK SC"/>
        <family val="2"/>
      </rPr>
      <t xml:space="preserve">が採用</t>
    </r>
  </si>
  <si>
    <r>
      <rPr>
        <sz val="10"/>
        <rFont val="Noto Sans CJK SC"/>
        <family val="2"/>
      </rPr>
      <t xml:space="preserve">◎ 最良 </t>
    </r>
    <r>
      <rPr>
        <sz val="10"/>
        <rFont val="Arial"/>
        <family val="0"/>
        <charset val="1"/>
      </rPr>
      <t xml:space="preserve">0.831(n=51)</t>
    </r>
    <r>
      <rPr>
        <sz val="10"/>
        <rFont val="Noto Sans CJK SC"/>
        <family val="2"/>
      </rPr>
      <t xml:space="preserve">。採用は妥当</t>
    </r>
  </si>
  <si>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</si>
  <si>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</si>
  <si>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scp-lab / yokai-watch / company-facts </t>
    </r>
    <r>
      <rPr>
        <sz val="10"/>
        <rFont val="Noto Sans CJK SC"/>
        <family val="2"/>
      </rPr>
      <t xml:space="preserve">が採用</t>
    </r>
  </si>
  <si>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時</t>
    </r>
  </si>
  <si>
    <r>
      <rPr>
        <b val="true"/>
        <sz val="10"/>
        <rFont val="Arial"/>
        <family val="0"/>
        <charset val="1"/>
      </rPr>
      <t xml:space="preserve">■ E. </t>
    </r>
    <r>
      <rPr>
        <b val="true"/>
        <sz val="10"/>
        <rFont val="Noto Sans CJK SC"/>
        <family val="2"/>
      </rPr>
      <t xml:space="preserve">人手が必要な未解決案件（エスカレーション）</t>
    </r>
  </si>
  <si>
    <t xml:space="preserve">優先</t>
  </si>
  <si>
    <t xml:space="preserve">案件</t>
  </si>
  <si>
    <t xml:space="preserve">内容</t>
  </si>
  <si>
    <t xml:space="preserve">担当</t>
  </si>
  <si>
    <t xml:space="preserve">影響</t>
  </si>
  <si>
    <r>
      <rPr>
        <sz val="10"/>
        <rFont val="Noto Sans CJK SC"/>
        <family val="2"/>
      </rPr>
      <t xml:space="preserve">カスタムサムネイル 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（要・電話番号確認）</t>
    </r>
  </si>
  <si>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のログでも </t>
    </r>
    <r>
      <rPr>
        <sz val="10"/>
        <rFont val="Arial"/>
        <family val="0"/>
        <charset val="1"/>
      </rPr>
      <t xml:space="preserve">scp-lab / company-facts / yokai-watch </t>
    </r>
    <r>
      <rPr>
        <sz val="10"/>
        <rFont val="Noto Sans CJK SC"/>
        <family val="2"/>
      </rPr>
      <t xml:space="preserve">の全公開で </t>
    </r>
    <r>
      <rPr>
        <sz val="10"/>
        <rFont val="Arial"/>
        <family val="0"/>
        <charset val="1"/>
      </rPr>
      <t xml:space="preserve">403 forbidden </t>
    </r>
    <r>
      <rPr>
        <sz val="10"/>
        <rFont val="Noto Sans CJK SC"/>
        <family val="2"/>
      </rPr>
      <t xml:space="preserve">が継続。成功しているのは 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のみ。</t>
    </r>
    <r>
      <rPr>
        <sz val="10"/>
        <rFont val="Arial"/>
        <family val="0"/>
        <charset val="1"/>
      </rPr>
      <t xml:space="preserve">https://www.youtube.com/verify </t>
    </r>
    <r>
      <rPr>
        <sz val="10"/>
        <rFont val="Noto Sans CJK SC"/>
        <family val="2"/>
      </rPr>
      <t xml:space="preserve">を該当 </t>
    </r>
    <r>
      <rPr>
        <sz val="10"/>
        <rFont val="Arial"/>
        <family val="0"/>
        <charset val="1"/>
      </rPr>
      <t xml:space="preserve">9ch </t>
    </r>
    <r>
      <rPr>
        <sz val="10"/>
        <rFont val="Noto Sans CJK SC"/>
        <family val="2"/>
      </rPr>
      <t xml:space="preserve">で通す。人手のみ。</t>
    </r>
  </si>
  <si>
    <t xml:space="preserve">human</t>
  </si>
  <si>
    <r>
      <rPr>
        <sz val="10"/>
        <rFont val="Noto Sans CJK SC"/>
        <family val="2"/>
      </rPr>
      <t xml:space="preserve">「サムネ品質最優先」の改善が 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以外の </t>
    </r>
    <r>
      <rPr>
        <sz val="10"/>
        <rFont val="Arial"/>
        <family val="0"/>
        <charset val="1"/>
      </rPr>
      <t xml:space="preserve">9ch </t>
    </r>
    <r>
      <rPr>
        <sz val="10"/>
        <rFont val="Noto Sans CJK SC"/>
        <family val="2"/>
      </rPr>
      <t xml:space="preserve">に一切届いていない。登録の主要ドライバを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つ失っている</t>
    </r>
  </si>
  <si>
    <r>
      <rPr>
        <sz val="10"/>
        <rFont val="Arial"/>
        <family val="0"/>
        <charset val="1"/>
      </rPr>
      <t xml:space="preserve">Anthropic API </t>
    </r>
    <r>
      <rPr>
        <sz val="10"/>
        <rFont val="Noto Sans CJK SC"/>
        <family val="2"/>
      </rPr>
      <t xml:space="preserve">キーが </t>
    </r>
    <r>
      <rPr>
        <sz val="10"/>
        <rFont val="Arial"/>
        <family val="0"/>
        <charset val="1"/>
      </rPr>
      <t xml:space="preserve">401</t>
    </r>
    <r>
      <rPr>
        <sz val="10"/>
        <rFont val="Noto Sans CJK SC"/>
        <family val="2"/>
      </rPr>
      <t xml:space="preserve">（新規）</t>
    </r>
  </si>
  <si>
    <r>
      <rPr>
        <sz val="10"/>
        <rFont val="Arial"/>
        <family val="0"/>
        <charset val="1"/>
      </rPr>
      <t xml:space="preserve">backend </t>
    </r>
    <r>
      <rPr>
        <sz val="10"/>
        <rFont val="Noto Sans CJK SC"/>
        <family val="2"/>
      </rPr>
      <t xml:space="preserve">ログに </t>
    </r>
    <r>
      <rPr>
        <sz val="10"/>
        <rFont val="Arial"/>
        <family val="0"/>
        <charset val="1"/>
      </rPr>
      <t xml:space="preserve">claude_client call failed (thumbnail_brief): Error code: 401 API key is invalid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series_engine </t>
    </r>
    <r>
      <rPr>
        <sz val="10"/>
        <rFont val="Noto Sans CJK SC"/>
        <family val="2"/>
      </rPr>
      <t xml:space="preserve">も 『</t>
    </r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未応答のため続編候補を生成しません』で停止している。サムネ指示文と続編候補が両方生成されていない。人手のみ。</t>
    </r>
  </si>
  <si>
    <r>
      <rPr>
        <sz val="10"/>
        <rFont val="Noto Sans CJK SC"/>
        <family val="2"/>
      </rPr>
      <t xml:space="preserve">サムネ指示文（</t>
    </r>
    <r>
      <rPr>
        <sz val="10"/>
        <rFont val="Arial"/>
        <family val="0"/>
        <charset val="1"/>
      </rPr>
      <t xml:space="preserve">thumbnail_brief</t>
    </r>
    <r>
      <rPr>
        <sz val="10"/>
        <rFont val="Noto Sans CJK SC"/>
        <family val="2"/>
      </rPr>
      <t xml:space="preserve">）と続編候補（</t>
    </r>
    <r>
      <rPr>
        <sz val="10"/>
        <rFont val="Arial"/>
        <family val="0"/>
        <charset val="1"/>
      </rPr>
      <t xml:space="preserve">series_engine</t>
    </r>
    <r>
      <rPr>
        <sz val="10"/>
        <rFont val="Noto Sans CJK SC"/>
        <family val="2"/>
      </rPr>
      <t xml:space="preserve">）が生成されていない。両方とも登録に直結する導線</t>
    </r>
  </si>
  <si>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未再認可の </t>
    </r>
    <r>
      <rPr>
        <sz val="10"/>
        <rFont val="Arial"/>
        <family val="0"/>
        <charset val="1"/>
      </rPr>
      <t xml:space="preserve">6ch</t>
    </r>
  </si>
  <si>
    <r>
      <rPr>
        <sz val="10"/>
        <rFont val="Arial"/>
        <family val="0"/>
        <charset val="1"/>
      </rPr>
      <t xml:space="preserve">pokemon-lab / clip-lab / clip-kaneko / clip-fukada / clip-animal / fake-paper / akashic-librarian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invalid_grant </t>
    </r>
    <r>
      <rPr>
        <sz val="10"/>
        <rFont val="Noto Sans CJK SC"/>
        <family val="2"/>
      </rPr>
      <t xml:space="preserve">のまま。</t>
    </r>
    <r>
      <rPr>
        <sz val="10"/>
        <rFont val="Arial"/>
        <family val="0"/>
        <charset val="1"/>
      </rPr>
      <t xml:space="preserve">09-13 </t>
    </r>
    <r>
      <rPr>
        <sz val="10"/>
        <rFont val="Noto Sans CJK SC"/>
        <family val="2"/>
      </rPr>
      <t xml:space="preserve">に再認可した 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daily-science / scp-lab / yokai-watch / company-facts / socio-rx</t>
    </r>
    <r>
      <rPr>
        <sz val="10"/>
        <rFont val="Noto Sans CJK SC"/>
        <family val="2"/>
      </rPr>
      <t xml:space="preserve">）は 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時点で正常。同意画面を『本番』公開 → そのあと再認可の順で。</t>
    </r>
  </si>
  <si>
    <r>
      <rPr>
        <sz val="10"/>
        <rFont val="Arial"/>
        <family val="0"/>
        <charset val="1"/>
      </rPr>
      <t xml:space="preserve">6ch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fetch/</t>
    </r>
    <r>
      <rPr>
        <sz val="10"/>
        <rFont val="Noto Sans CJK SC"/>
        <family val="2"/>
      </rPr>
      <t xml:space="preserve">公開の両方で停止。全</t>
    </r>
    <r>
      <rPr>
        <sz val="10"/>
        <rFont val="Arial"/>
        <family val="0"/>
        <charset val="1"/>
      </rPr>
      <t xml:space="preserve">13ch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5ch </t>
    </r>
    <r>
      <rPr>
        <sz val="10"/>
        <rFont val="Noto Sans CJK SC"/>
        <family val="2"/>
      </rPr>
      <t xml:space="preserve">のみが実質稼働</t>
    </r>
  </si>
  <si>
    <r>
      <rPr>
        <sz val="10"/>
        <rFont val="Arial"/>
        <family val="0"/>
        <charset val="1"/>
      </rPr>
      <t xml:space="preserve">analytics </t>
    </r>
    <r>
      <rPr>
        <sz val="10"/>
        <rFont val="Noto Sans CJK SC"/>
        <family val="2"/>
      </rPr>
      <t xml:space="preserve">バックフィル未実行</t>
    </r>
  </si>
  <si>
    <r>
      <rPr>
        <sz val="10"/>
        <rFont val="Arial"/>
        <family val="0"/>
        <charset val="1"/>
      </rPr>
      <t xml:space="preserve">09-13 </t>
    </r>
    <r>
      <rPr>
        <sz val="10"/>
        <rFont val="Noto Sans CJK SC"/>
        <family val="2"/>
      </rPr>
      <t xml:space="preserve">以降に公開した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本が </t>
    </r>
    <r>
      <rPr>
        <sz val="10"/>
        <rFont val="Arial"/>
        <family val="0"/>
        <charset val="1"/>
      </rPr>
      <t xml:space="preserve">views=0 </t>
    </r>
    <r>
      <rPr>
        <sz val="10"/>
        <rFont val="Noto Sans CJK SC"/>
        <family val="2"/>
      </rPr>
      <t xml:space="preserve">のまま記録されている。</t>
    </r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復旧後のバックフィルが走っていないため、本日の評価対象から除外した。</t>
    </r>
  </si>
  <si>
    <t xml:space="preserve">backend</t>
  </si>
  <si>
    <r>
      <rPr>
        <sz val="10"/>
        <rFont val="Arial"/>
        <family val="0"/>
        <charset val="1"/>
      </rPr>
      <t xml:space="preserve">09-13</t>
    </r>
    <r>
      <rPr>
        <sz val="10"/>
        <rFont val="Noto Sans CJK SC"/>
        <family val="2"/>
      </rPr>
      <t xml:space="preserve">以降の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本が </t>
    </r>
    <r>
      <rPr>
        <sz val="10"/>
        <rFont val="Arial"/>
        <family val="0"/>
        <charset val="1"/>
      </rPr>
      <t xml:space="preserve">views=0 </t>
    </r>
    <r>
      <rPr>
        <sz val="10"/>
        <rFont val="Noto Sans CJK SC"/>
        <family val="2"/>
      </rPr>
      <t xml:space="preserve">のまま。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の施策評価が 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まで不能</t>
    </r>
  </si>
  <si>
    <t xml:space="preserve">前回比較 — 前スナップショット比 と 前回施策の効果検証</t>
  </si>
  <si>
    <r>
      <rPr>
        <sz val="9"/>
        <color rgb="FF555555"/>
        <rFont val="Noto Sans CJK SC"/>
        <family val="2"/>
      </rPr>
      <t xml:space="preserve">比較は同一定義（各</t>
    </r>
    <r>
      <rPr>
        <sz val="9"/>
        <color rgb="FF555555"/>
        <rFont val="Arial"/>
        <family val="0"/>
        <charset val="1"/>
      </rPr>
      <t xml:space="preserve">ch</t>
    </r>
    <r>
      <rPr>
        <sz val="9"/>
        <color rgb="FF555555"/>
        <rFont val="Noto Sans CJK SC"/>
        <family val="2"/>
      </rPr>
      <t xml:space="preserve">の直近</t>
    </r>
    <r>
      <rPr>
        <sz val="9"/>
        <color rgb="FF555555"/>
        <rFont val="Arial"/>
        <family val="0"/>
        <charset val="1"/>
      </rPr>
      <t xml:space="preserve">50</t>
    </r>
    <r>
      <rPr>
        <sz val="9"/>
        <color rgb="FF555555"/>
        <rFont val="Noto Sans CJK SC"/>
        <family val="2"/>
      </rPr>
      <t xml:space="preserve">本ローリング窓の累積合計）。窓の構成が入れ替わるため、総再生の減少は必ずしも実績悪化ではない。</t>
    </r>
  </si>
  <si>
    <r>
      <rPr>
        <b val="true"/>
        <sz val="10"/>
        <rFont val="Arial"/>
        <family val="0"/>
        <charset val="1"/>
      </rPr>
      <t xml:space="preserve">■ 1. </t>
    </r>
    <r>
      <rPr>
        <b val="true"/>
        <sz val="10"/>
        <rFont val="Noto Sans CJK SC"/>
        <family val="2"/>
      </rPr>
      <t xml:space="preserve">前スナップショット比（至上指標 登録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千再生）</t>
    </r>
  </si>
  <si>
    <t xml:space="preserve">前回日</t>
  </si>
  <si>
    <t xml:space="preserve">今回日</t>
  </si>
  <si>
    <r>
      <rPr>
        <b val="true"/>
        <sz val="11"/>
        <color rgb="FFFFFFFF"/>
        <rFont val="Noto Sans CJK SC"/>
        <family val="2"/>
      </rPr>
      <t xml:space="preserve">前回 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</t>
    </r>
  </si>
  <si>
    <r>
      <rPr>
        <b val="true"/>
        <sz val="11"/>
        <color rgb="FFFFFFFF"/>
        <rFont val="Noto Sans CJK SC"/>
        <family val="2"/>
      </rPr>
      <t xml:space="preserve">今回 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</t>
    </r>
  </si>
  <si>
    <r>
      <rPr>
        <b val="true"/>
        <sz val="11"/>
        <color rgb="FFFFFFFF"/>
        <rFont val="Noto Sans CJK SC"/>
        <family val="2"/>
      </rPr>
      <t xml:space="preserve">前回 いいね率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</si>
  <si>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今回 いいね率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</si>
  <si>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いいね率 差</t>
  </si>
  <si>
    <t xml:space="preserve">総再生 前回</t>
  </si>
  <si>
    <t xml:space="preserve">総再生 今回</t>
  </si>
  <si>
    <t xml:space="preserve">2026-09-13</t>
  </si>
  <si>
    <t xml:space="preserve">◎ 改善。いいね率も同時上昇（整合）</t>
  </si>
  <si>
    <r>
      <rPr>
        <sz val="10"/>
        <rFont val="Noto Sans CJK SC"/>
        <family val="2"/>
      </rPr>
      <t xml:space="preserve">◎ 最速改善。いいね率 </t>
    </r>
    <r>
      <rPr>
        <sz val="10"/>
        <rFont val="Arial"/>
        <family val="0"/>
        <charset val="1"/>
      </rPr>
      <t xml:space="preserve">+0.032pt</t>
    </r>
  </si>
  <si>
    <r>
      <rPr>
        <sz val="10"/>
        <rFont val="Noto Sans CJK SC"/>
        <family val="2"/>
      </rPr>
      <t xml:space="preserve">○ 改善。いいね率は全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最高</t>
    </r>
  </si>
  <si>
    <r>
      <rPr>
        <sz val="10"/>
        <rFont val="Arial"/>
        <family val="0"/>
        <charset val="1"/>
      </rPr>
      <t xml:space="preserve">× 3</t>
    </r>
    <r>
      <rPr>
        <sz val="10"/>
        <rFont val="Noto Sans CJK SC"/>
        <family val="2"/>
      </rPr>
      <t xml:space="preserve">日連続低下。いいね率も低下（整合）</t>
    </r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</si>
  <si>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低下。停止中のため施策で動かせない</t>
    </r>
  </si>
  <si>
    <r>
      <rPr>
        <b val="true"/>
        <sz val="10"/>
        <rFont val="Arial"/>
        <family val="0"/>
        <charset val="1"/>
      </rPr>
      <t xml:space="preserve">■ 2. </t>
    </r>
    <r>
      <rPr>
        <b val="true"/>
        <sz val="10"/>
        <rFont val="Noto Sans CJK SC"/>
        <family val="2"/>
      </rPr>
      <t xml:space="preserve">登録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千再生 の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日推移（</t>
    </r>
    <r>
      <rPr>
        <b val="true"/>
        <sz val="10"/>
        <rFont val="Arial"/>
        <family val="0"/>
        <charset val="1"/>
      </rPr>
      <t xml:space="preserve">09-08 → 09-14</t>
    </r>
    <r>
      <rPr>
        <b val="true"/>
        <sz val="10"/>
        <rFont val="Noto Sans CJK SC"/>
        <family val="2"/>
      </rPr>
      <t xml:space="preserve">・同一定義）</t>
    </r>
  </si>
  <si>
    <r>
      <rPr>
        <b val="true"/>
        <sz val="11"/>
        <color rgb="FFFFFFFF"/>
        <rFont val="Arial"/>
        <family val="0"/>
        <charset val="1"/>
      </rPr>
      <t xml:space="preserve">09-08→09-14 </t>
    </r>
    <r>
      <rPr>
        <b val="true"/>
        <sz val="11"/>
        <color rgb="FFFFFFFF"/>
        <rFont val="Noto Sans CJK SC"/>
        <family val="2"/>
      </rPr>
      <t xml:space="preserve">差</t>
    </r>
  </si>
  <si>
    <t xml:space="preserve">トレンド</t>
  </si>
  <si>
    <t xml:space="preserve">上昇</t>
  </si>
  <si>
    <t xml:space="preserve">下降</t>
  </si>
  <si>
    <r>
      <rPr>
        <b val="true"/>
        <sz val="10"/>
        <rFont val="Arial"/>
        <family val="0"/>
        <charset val="1"/>
      </rPr>
      <t xml:space="preserve">■ 3. </t>
    </r>
    <r>
      <rPr>
        <b val="true"/>
        <sz val="10"/>
        <rFont val="Noto Sans CJK SC"/>
        <family val="2"/>
      </rPr>
      <t xml:space="preserve">前回施策の効果検証（差分検証）</t>
    </r>
  </si>
  <si>
    <t xml:space="preserve">実施日</t>
  </si>
  <si>
    <t xml:space="preserve">施策</t>
  </si>
  <si>
    <t xml:space="preserve">前回判定</t>
  </si>
  <si>
    <t xml:space="preserve">本日の判定</t>
  </si>
  <si>
    <t xml:space="preserve">根拠</t>
  </si>
  <si>
    <t xml:space="preserve">次アクション</t>
  </si>
  <si>
    <t xml:space="preserve">09-12</t>
  </si>
  <si>
    <r>
      <rPr>
        <sz val="10"/>
        <rFont val="Arial"/>
        <family val="0"/>
        <charset val="1"/>
      </rPr>
      <t xml:space="preserve">autopilot </t>
    </r>
    <r>
      <rPr>
        <sz val="10"/>
        <rFont val="Noto Sans CJK SC"/>
        <family val="2"/>
      </rPr>
      <t xml:space="preserve">週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日化（週</t>
    </r>
    <r>
      <rPr>
        <sz val="10"/>
        <rFont val="Arial"/>
        <family val="0"/>
        <charset val="1"/>
      </rPr>
      <t xml:space="preserve">15→21</t>
    </r>
    <r>
      <rPr>
        <sz val="10"/>
        <rFont val="Noto Sans CJK SC"/>
        <family val="2"/>
      </rPr>
      <t xml:space="preserve">本）</t>
    </r>
  </si>
  <si>
    <t xml:space="preserve">△ 未測定</t>
  </si>
  <si>
    <t xml:space="preserve">△ 未測定継続</t>
  </si>
  <si>
    <r>
      <rPr>
        <sz val="10"/>
        <rFont val="Arial"/>
        <family val="0"/>
        <charset val="1"/>
      </rPr>
      <t xml:space="preserve">09-13</t>
    </r>
    <r>
      <rPr>
        <sz val="10"/>
        <rFont val="Noto Sans CJK SC"/>
        <family val="2"/>
      </rPr>
      <t xml:space="preserve">以降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本公開・全て </t>
    </r>
    <r>
      <rPr>
        <sz val="10"/>
        <rFont val="Arial"/>
        <family val="0"/>
        <charset val="1"/>
      </rPr>
      <t xml:space="preserve">views=0</t>
    </r>
    <r>
      <rPr>
        <sz val="10"/>
        <rFont val="Noto Sans CJK SC"/>
        <family val="2"/>
      </rPr>
      <t xml:space="preserve">。稼働は確認できたが登録効果は不明</t>
    </r>
  </si>
  <si>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n≧20 </t>
    </r>
    <r>
      <rPr>
        <sz val="10"/>
        <rFont val="Noto Sans CJK SC"/>
        <family val="2"/>
      </rPr>
      <t xml:space="preserve">で再判定</t>
    </r>
  </si>
  <si>
    <r>
      <rPr>
        <sz val="10"/>
        <rFont val="Noto Sans CJK SC"/>
        <family val="2"/>
      </rPr>
      <t xml:space="preserve">投稿枠 </t>
    </r>
    <r>
      <rPr>
        <sz val="10"/>
        <rFont val="Arial"/>
        <family val="0"/>
        <charset val="1"/>
      </rPr>
      <t xml:space="preserve">3→4</t>
    </r>
    <r>
      <rPr>
        <sz val="10"/>
        <rFont val="Noto Sans CJK SC"/>
        <family val="2"/>
      </rPr>
      <t xml:space="preserve">（週</t>
    </r>
    <r>
      <rPr>
        <sz val="10"/>
        <rFont val="Arial"/>
        <family val="0"/>
        <charset val="1"/>
      </rPr>
      <t xml:space="preserve">21→28</t>
    </r>
    <r>
      <rPr>
        <sz val="10"/>
        <rFont val="Noto Sans CJK SC"/>
        <family val="2"/>
      </rPr>
      <t xml:space="preserve">本）</t>
    </r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</si>
  <si>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疑わしい</t>
    </r>
  </si>
  <si>
    <r>
      <rPr>
        <sz val="10"/>
        <rFont val="Noto Sans CJK SC"/>
        <family val="2"/>
      </rPr>
      <t xml:space="preserve">枠増後の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は </t>
    </r>
    <r>
      <rPr>
        <sz val="10"/>
        <rFont val="Arial"/>
        <family val="0"/>
        <charset val="1"/>
      </rPr>
      <t xml:space="preserve">0.715(09-08)→0.649(09-13)→0.619(09-14) </t>
    </r>
    <r>
      <rPr>
        <sz val="10"/>
        <rFont val="Noto Sans CJK SC"/>
        <family val="2"/>
      </rPr>
      <t xml:space="preserve">と単調低下。総再生は最大だが登録変換が落ちている。本数を増やして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本あたりの質が落ちた可能性</t>
    </r>
  </si>
  <si>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に枠を</t>
    </r>
    <r>
      <rPr>
        <sz val="10"/>
        <rFont val="Arial"/>
        <family val="0"/>
        <charset val="1"/>
      </rPr>
      <t xml:space="preserve">4→3</t>
    </r>
    <r>
      <rPr>
        <sz val="10"/>
        <rFont val="Noto Sans CJK SC"/>
        <family val="2"/>
      </rPr>
      <t xml:space="preserve">へ戻す案を検討。本日は据え置き</t>
    </r>
  </si>
  <si>
    <t xml:space="preserve">09-13</t>
  </si>
  <si>
    <t xml:space="preserve">8ch</t>
  </si>
  <si>
    <r>
      <rPr>
        <sz val="10"/>
        <rFont val="Arial"/>
        <family val="0"/>
        <charset val="1"/>
      </rPr>
      <t xml:space="preserve">autopilot </t>
    </r>
    <r>
      <rPr>
        <sz val="10"/>
        <rFont val="Noto Sans CJK SC"/>
        <family val="2"/>
      </rPr>
      <t xml:space="preserve">無効化（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集中）</t>
    </r>
  </si>
  <si>
    <t xml:space="preserve">○ 成立</t>
  </si>
  <si>
    <r>
      <rPr>
        <sz val="10"/>
        <rFont val="Arial"/>
        <family val="0"/>
        <charset val="1"/>
      </rPr>
      <t xml:space="preserve">09-13</t>
    </r>
    <r>
      <rPr>
        <sz val="10"/>
        <rFont val="Noto Sans CJK SC"/>
        <family val="2"/>
      </rPr>
      <t xml:space="preserve">以降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本を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で安定公開。停止</t>
    </r>
    <r>
      <rPr>
        <sz val="10"/>
        <rFont val="Arial"/>
        <family val="0"/>
        <charset val="1"/>
      </rPr>
      <t xml:space="preserve">8ch</t>
    </r>
    <r>
      <rPr>
        <sz val="10"/>
        <rFont val="Noto Sans CJK SC"/>
        <family val="2"/>
      </rPr>
      <t xml:space="preserve">の指標は据え置きのまま悪化なし</t>
    </r>
  </si>
  <si>
    <t xml:space="preserve">継続</t>
  </si>
  <si>
    <t xml:space="preserve">毎日投稿化</t>
  </si>
  <si>
    <r>
      <rPr>
        <sz val="10"/>
        <rFont val="Noto Sans CJK SC"/>
        <family val="2"/>
      </rPr>
      <t xml:space="preserve">○ 成立（ただし </t>
    </r>
    <r>
      <rPr>
        <sz val="10"/>
        <rFont val="Arial"/>
        <family val="0"/>
        <charset val="1"/>
      </rPr>
      <t xml:space="preserve">§2 </t>
    </r>
    <r>
      <rPr>
        <sz val="10"/>
        <rFont val="Noto Sans CJK SC"/>
        <family val="2"/>
      </rPr>
      <t xml:space="preserve">の懸念）</t>
    </r>
  </si>
  <si>
    <r>
      <rPr>
        <sz val="10"/>
        <rFont val="Arial"/>
        <family val="0"/>
        <charset val="1"/>
      </rPr>
      <t xml:space="preserve">09-13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本・</t>
    </r>
    <r>
      <rPr>
        <sz val="10"/>
        <rFont val="Arial"/>
        <family val="0"/>
        <charset val="1"/>
      </rPr>
      <t xml:space="preserve">09-14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本。週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日制約は解けている</t>
    </r>
  </si>
  <si>
    <r>
      <rPr>
        <sz val="10"/>
        <rFont val="Noto Sans CJK SC"/>
        <family val="2"/>
      </rPr>
      <t xml:space="preserve">本数と登録変換のトレードオフを 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に検証</t>
    </r>
  </si>
  <si>
    <t xml:space="preserve">09-14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</si>
  <si>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</si>
  <si>
    <r>
      <rPr>
        <sz val="10"/>
        <rFont val="Noto Sans CJK SC"/>
        <family val="2"/>
      </rPr>
      <t xml:space="preserve">投稿枠を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時中心へ再編・</t>
    </r>
    <r>
      <rPr>
        <sz val="10"/>
        <rFont val="Arial"/>
        <family val="0"/>
        <charset val="1"/>
      </rPr>
      <t xml:space="preserve">9/8/21</t>
    </r>
    <r>
      <rPr>
        <sz val="10"/>
        <rFont val="Noto Sans CJK SC"/>
        <family val="2"/>
      </rPr>
      <t xml:space="preserve">時を全廃</t>
    </r>
  </si>
  <si>
    <t xml:space="preserve">△ 方向は妥当</t>
  </si>
  <si>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時枠は </t>
    </r>
    <r>
      <rPr>
        <sz val="10"/>
        <rFont val="Arial"/>
        <family val="0"/>
        <charset val="1"/>
      </rPr>
      <t xml:space="preserve">0.831(n=51) </t>
    </r>
    <r>
      <rPr>
        <sz val="10"/>
        <rFont val="Noto Sans CJK SC"/>
        <family val="2"/>
      </rPr>
      <t xml:space="preserve">で最良、廃止した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0.483 / 8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0.366 / 21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0.000</t>
    </r>
    <r>
      <rPr>
        <sz val="10"/>
        <rFont val="Noto Sans CJK SC"/>
        <family val="2"/>
      </rPr>
      <t xml:space="preserve">。ただし新設した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時枠は </t>
    </r>
    <r>
      <rPr>
        <sz val="10"/>
        <rFont val="Arial"/>
        <family val="0"/>
        <charset val="1"/>
      </rPr>
      <t xml:space="preserve">0.169(n=7) </t>
    </r>
    <r>
      <rPr>
        <sz val="10"/>
        <rFont val="Noto Sans CJK SC"/>
        <family val="2"/>
      </rPr>
      <t xml:space="preserve">と低い</t>
    </r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</si>
  <si>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時枠を 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に必ず再検証。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が小さいので今は動かさない</t>
    </r>
  </si>
  <si>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別タイトル型ルールの固定</t>
    </r>
  </si>
  <si>
    <r>
      <rPr>
        <sz val="10"/>
        <rFont val="Noto Sans CJK SC"/>
        <family val="2"/>
      </rPr>
      <t xml:space="preserve">型変更後に公開した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本が全て未計測。ただし型を据え置いたまま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千が</t>
    </r>
    <r>
      <rPr>
        <sz val="10"/>
        <rFont val="Arial"/>
        <family val="0"/>
        <charset val="1"/>
      </rPr>
      <t xml:space="preserve">3ch</t>
    </r>
    <r>
      <rPr>
        <sz val="10"/>
        <rFont val="Noto Sans CJK SC"/>
        <family val="2"/>
      </rPr>
      <t xml:space="preserve">改善しているのは既存在庫の効果</t>
    </r>
  </si>
  <si>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内対照で再判定</t>
    </r>
  </si>
  <si>
    <t xml:space="preserve">title_constraints</t>
  </si>
  <si>
    <r>
      <rPr>
        <sz val="10"/>
        <rFont val="Arial"/>
        <family val="0"/>
        <charset val="1"/>
      </rPr>
      <t xml:space="preserve">repair()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forbid_patterns </t>
    </r>
    <r>
      <rPr>
        <sz val="10"/>
        <rFont val="Noto Sans CJK SC"/>
        <family val="2"/>
      </rPr>
      <t xml:space="preserve">対応を追加</t>
    </r>
  </si>
  <si>
    <r>
      <rPr>
        <sz val="10"/>
        <rFont val="Arial"/>
        <family val="0"/>
        <charset val="1"/>
      </rPr>
      <t xml:space="preserve">09-14</t>
    </r>
    <r>
      <rPr>
        <sz val="10"/>
        <rFont val="Noto Sans CJK SC"/>
        <family val="2"/>
      </rPr>
      <t xml:space="preserve">以降に公開した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本のタイトルに </t>
    </r>
    <r>
      <rPr>
        <sz val="10"/>
        <rFont val="Arial"/>
        <family val="0"/>
        <charset val="1"/>
      </rPr>
      <t xml:space="preserve">forbid_patterns </t>
    </r>
    <r>
      <rPr>
        <sz val="10"/>
        <rFont val="Noto Sans CJK SC"/>
        <family val="2"/>
      </rPr>
      <t xml:space="preserve">違反（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型・絵文字）は無い</t>
    </r>
  </si>
  <si>
    <t xml:space="preserve">継続。ゲート検知後に公開を止める分岐の追加は別課題として残る</t>
  </si>
  <si>
    <t xml:space="preserve">09-15</t>
  </si>
  <si>
    <r>
      <rPr>
        <sz val="10"/>
        <rFont val="Noto Sans CJK SC"/>
        <family val="2"/>
      </rPr>
      <t xml:space="preserve">維持率目標帯 </t>
    </r>
    <r>
      <rPr>
        <sz val="10"/>
        <rFont val="Arial"/>
        <family val="0"/>
        <charset val="1"/>
      </rPr>
      <t xml:space="preserve">40-50% </t>
    </r>
    <r>
      <rPr>
        <sz val="10"/>
        <rFont val="Noto Sans CJK SC"/>
        <family val="2"/>
      </rPr>
      <t xml:space="preserve">を明記</t>
    </r>
  </si>
  <si>
    <t xml:space="preserve">△ 一部修正要</t>
  </si>
  <si>
    <r>
      <rPr>
        <sz val="10"/>
        <rFont val="Noto Sans CJK SC"/>
        <family val="2"/>
      </rPr>
      <t xml:space="preserve">頂点</t>
    </r>
    <r>
      <rPr>
        <sz val="10"/>
        <rFont val="Arial"/>
        <family val="0"/>
        <charset val="1"/>
      </rPr>
      <t xml:space="preserve">40-50%</t>
    </r>
    <r>
      <rPr>
        <sz val="10"/>
        <rFont val="Noto Sans CJK SC"/>
        <family val="2"/>
      </rPr>
      <t xml:space="preserve">は再現したが『</t>
    </r>
    <r>
      <rPr>
        <sz val="10"/>
        <rFont val="Arial"/>
        <family val="0"/>
        <charset val="1"/>
      </rPr>
      <t xml:space="preserve">&gt;=70%</t>
    </r>
    <r>
      <rPr>
        <sz val="10"/>
        <rFont val="Noto Sans CJK SC"/>
        <family val="2"/>
      </rPr>
      <t xml:space="preserve">が最下位』は切り抜き交絡。なお当該キーはコードから参照されていないため実害なし</t>
    </r>
  </si>
  <si>
    <r>
      <rPr>
        <sz val="10"/>
        <rFont val="Noto Sans CJK SC"/>
        <family val="2"/>
      </rPr>
      <t xml:space="preserve">維持率を下げる施策は打たない。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内対照で再検証</t>
    </r>
  </si>
  <si>
    <r>
      <rPr>
        <b val="true"/>
        <sz val="10"/>
        <rFont val="Arial"/>
        <family val="0"/>
        <charset val="1"/>
      </rPr>
      <t xml:space="preserve">■ 4. </t>
    </r>
    <r>
      <rPr>
        <b val="true"/>
        <sz val="10"/>
        <rFont val="Noto Sans CJK SC"/>
        <family val="2"/>
      </rPr>
      <t xml:space="preserve">未計測ストック（</t>
    </r>
    <r>
      <rPr>
        <b val="true"/>
        <sz val="10"/>
        <rFont val="Arial"/>
        <family val="0"/>
        <charset val="1"/>
      </rPr>
      <t xml:space="preserve">09-13</t>
    </r>
    <r>
      <rPr>
        <b val="true"/>
        <sz val="10"/>
        <rFont val="Noto Sans CJK SC"/>
        <family val="2"/>
      </rPr>
      <t xml:space="preserve">以降公開・評価対象外）</t>
    </r>
  </si>
  <si>
    <t xml:space="preserve">計測済 再生</t>
  </si>
  <si>
    <r>
      <rPr>
        <sz val="10"/>
        <rFont val="Noto Sans CJK SC"/>
        <family val="2"/>
      </rPr>
      <t xml:space="preserve">未計測（</t>
    </r>
    <r>
      <rPr>
        <sz val="10"/>
        <rFont val="Arial"/>
        <family val="0"/>
        <charset val="1"/>
      </rPr>
      <t xml:space="preserve">Analytics </t>
    </r>
    <r>
      <rPr>
        <sz val="10"/>
        <rFont val="Noto Sans CJK SC"/>
        <family val="2"/>
      </rPr>
      <t xml:space="preserve">ラグ約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日＋バックフィル未実行）</t>
    </r>
  </si>
  <si>
    <t xml:space="preserve">合計</t>
  </si>
  <si>
    <r>
      <rPr>
        <b val="true"/>
        <sz val="10"/>
        <rFont val="Arial"/>
        <family val="0"/>
        <charset val="1"/>
      </rPr>
      <t xml:space="preserve">09-21 </t>
    </r>
    <r>
      <rPr>
        <b val="true"/>
        <sz val="10"/>
        <rFont val="Noto Sans CJK SC"/>
        <family val="2"/>
      </rPr>
      <t xml:space="preserve">に評価可能になる見込み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</si>
</sst>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"/>
    <numFmt numFmtId="167" formatCode="0.0"/>
    <numFmt numFmtId="168" formatCode="0.00"/>
    <numFmt numFmtId="169" formatCode="\+0.000;\-0.000;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555555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  <c r="I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  <c r="I8" s="4"/>
    </row>
    <row r="9" customFormat="false" ht="27.75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  <c r="I9" s="4"/>
    </row>
    <row r="10" customFormat="false" ht="27.75" hidden="false" customHeight="true" outlineLevel="0" collapsed="false">
      <c r="A10" s="4" t="s">
        <v>8</v>
      </c>
      <c r="B10" s="4"/>
      <c r="C10" s="4"/>
      <c r="D10" s="4"/>
      <c r="E10" s="4"/>
      <c r="F10" s="4"/>
      <c r="G10" s="4"/>
      <c r="H10" s="4"/>
      <c r="I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  <c r="H11" s="4"/>
      <c r="I11" s="4"/>
    </row>
    <row r="12" customFormat="false" ht="27.75" hidden="false" customHeight="true" outlineLevel="0" collapsed="false">
      <c r="A12" s="4" t="s">
        <v>10</v>
      </c>
      <c r="B12" s="4"/>
      <c r="C12" s="4"/>
      <c r="D12" s="4"/>
      <c r="E12" s="4"/>
      <c r="F12" s="4"/>
      <c r="G12" s="4"/>
      <c r="H12" s="4"/>
      <c r="I12" s="4"/>
    </row>
    <row r="14" customFormat="false" ht="15" hidden="false" customHeight="false" outlineLevel="0" collapsed="false">
      <c r="A14" s="3" t="s">
        <v>11</v>
      </c>
    </row>
    <row r="15" customFormat="false" ht="30" hidden="false" customHeight="true" outlineLevel="0" collapsed="false">
      <c r="A15" s="5" t="s">
        <v>12</v>
      </c>
      <c r="B15" s="5" t="s">
        <v>13</v>
      </c>
      <c r="C15" s="5" t="s">
        <v>14</v>
      </c>
      <c r="D15" s="5" t="s">
        <v>15</v>
      </c>
      <c r="E15" s="5" t="s">
        <v>16</v>
      </c>
      <c r="F15" s="5" t="s">
        <v>17</v>
      </c>
      <c r="G15" s="5" t="s">
        <v>18</v>
      </c>
      <c r="H15" s="5" t="s">
        <v>19</v>
      </c>
      <c r="I15" s="5" t="s">
        <v>20</v>
      </c>
      <c r="J15" s="5" t="s">
        <v>21</v>
      </c>
      <c r="K15" s="5" t="s">
        <v>22</v>
      </c>
      <c r="L15" s="5" t="s">
        <v>23</v>
      </c>
      <c r="M15" s="5" t="s">
        <v>24</v>
      </c>
    </row>
    <row r="16" customFormat="false" ht="15" hidden="false" customHeight="false" outlineLevel="0" collapsed="false">
      <c r="A16" s="6" t="s">
        <v>25</v>
      </c>
      <c r="B16" s="7" t="s">
        <v>26</v>
      </c>
      <c r="C16" s="7" t="s">
        <v>27</v>
      </c>
      <c r="D16" s="6" t="s">
        <v>28</v>
      </c>
      <c r="E16" s="6" t="n">
        <v>50</v>
      </c>
      <c r="F16" s="8" t="n">
        <v>32455</v>
      </c>
      <c r="G16" s="8" t="n">
        <f aca="false">IFERROR(F16/E16,0)</f>
        <v>649.1</v>
      </c>
      <c r="H16" s="6" t="n">
        <v>28</v>
      </c>
      <c r="I16" s="9" t="n">
        <f aca="false">IFERROR(H16*1000/F16,0)</f>
        <v>0.862733014943768</v>
      </c>
      <c r="J16" s="6" t="n">
        <v>145</v>
      </c>
      <c r="K16" s="9" t="n">
        <f aca="false">IFERROR(J16*100/F16,0)</f>
        <v>0.446772454167309</v>
      </c>
      <c r="L16" s="6" t="n">
        <v>0</v>
      </c>
      <c r="M16" s="10" t="n">
        <v>34.7</v>
      </c>
    </row>
    <row r="17" customFormat="false" ht="15" hidden="false" customHeight="false" outlineLevel="0" collapsed="false">
      <c r="A17" s="6" t="s">
        <v>29</v>
      </c>
      <c r="B17" s="7" t="s">
        <v>30</v>
      </c>
      <c r="C17" s="7" t="s">
        <v>27</v>
      </c>
      <c r="D17" s="6" t="s">
        <v>28</v>
      </c>
      <c r="E17" s="6" t="n">
        <v>50</v>
      </c>
      <c r="F17" s="8" t="n">
        <v>31678</v>
      </c>
      <c r="G17" s="8" t="n">
        <f aca="false">IFERROR(F17/E17,0)</f>
        <v>633.56</v>
      </c>
      <c r="H17" s="6" t="n">
        <v>21</v>
      </c>
      <c r="I17" s="9" t="n">
        <f aca="false">IFERROR(H17*1000/F17,0)</f>
        <v>0.662920638929225</v>
      </c>
      <c r="J17" s="6" t="n">
        <v>236</v>
      </c>
      <c r="K17" s="9" t="n">
        <f aca="false">IFERROR(J17*100/F17,0)</f>
        <v>0.744996527558558</v>
      </c>
      <c r="L17" s="6" t="n">
        <v>2</v>
      </c>
      <c r="M17" s="10" t="n">
        <v>41.87</v>
      </c>
    </row>
    <row r="18" customFormat="false" ht="15" hidden="false" customHeight="false" outlineLevel="0" collapsed="false">
      <c r="A18" s="6" t="s">
        <v>31</v>
      </c>
      <c r="B18" s="7" t="s">
        <v>32</v>
      </c>
      <c r="C18" s="7" t="s">
        <v>27</v>
      </c>
      <c r="D18" s="6" t="s">
        <v>28</v>
      </c>
      <c r="E18" s="6" t="n">
        <v>50</v>
      </c>
      <c r="F18" s="8" t="n">
        <v>26675</v>
      </c>
      <c r="G18" s="8" t="n">
        <f aca="false">IFERROR(F18/E18,0)</f>
        <v>533.5</v>
      </c>
      <c r="H18" s="6" t="n">
        <v>21</v>
      </c>
      <c r="I18" s="9" t="n">
        <f aca="false">IFERROR(H18*1000/F18,0)</f>
        <v>0.787253983130272</v>
      </c>
      <c r="J18" s="6" t="n">
        <v>154</v>
      </c>
      <c r="K18" s="9" t="n">
        <f aca="false">IFERROR(J18*100/F18,0)</f>
        <v>0.577319587628866</v>
      </c>
      <c r="L18" s="6" t="n">
        <v>1</v>
      </c>
      <c r="M18" s="10" t="n">
        <v>38.16</v>
      </c>
    </row>
    <row r="19" customFormat="false" ht="15" hidden="false" customHeight="false" outlineLevel="0" collapsed="false">
      <c r="A19" s="6" t="s">
        <v>33</v>
      </c>
      <c r="B19" s="7" t="s">
        <v>34</v>
      </c>
      <c r="C19" s="7" t="s">
        <v>27</v>
      </c>
      <c r="D19" s="6" t="s">
        <v>28</v>
      </c>
      <c r="E19" s="6" t="n">
        <v>50</v>
      </c>
      <c r="F19" s="8" t="n">
        <v>50065</v>
      </c>
      <c r="G19" s="8" t="n">
        <f aca="false">IFERROR(F19/E19,0)</f>
        <v>1001.3</v>
      </c>
      <c r="H19" s="6" t="n">
        <v>31</v>
      </c>
      <c r="I19" s="9" t="n">
        <f aca="false">IFERROR(H19*1000/F19,0)</f>
        <v>0.619195046439629</v>
      </c>
      <c r="J19" s="6" t="n">
        <v>152</v>
      </c>
      <c r="K19" s="9" t="n">
        <f aca="false">IFERROR(J19*100/F19,0)</f>
        <v>0.303605313092979</v>
      </c>
      <c r="L19" s="6" t="n">
        <v>6</v>
      </c>
      <c r="M19" s="10" t="n">
        <v>48.26</v>
      </c>
    </row>
    <row r="20" customFormat="false" ht="15" hidden="false" customHeight="false" outlineLevel="0" collapsed="false">
      <c r="A20" s="11" t="s">
        <v>35</v>
      </c>
      <c r="B20" s="12" t="s">
        <v>36</v>
      </c>
      <c r="C20" s="12" t="s">
        <v>27</v>
      </c>
      <c r="D20" s="11" t="s">
        <v>28</v>
      </c>
      <c r="E20" s="11" t="n">
        <v>50</v>
      </c>
      <c r="F20" s="13" t="n">
        <v>39353</v>
      </c>
      <c r="G20" s="13" t="n">
        <f aca="false">IFERROR(F20/E20,0)</f>
        <v>787.06</v>
      </c>
      <c r="H20" s="11" t="n">
        <v>6</v>
      </c>
      <c r="I20" s="14" t="n">
        <f aca="false">IFERROR(H20*1000/F20,0)</f>
        <v>0.15246613981145</v>
      </c>
      <c r="J20" s="11" t="n">
        <v>84</v>
      </c>
      <c r="K20" s="14" t="n">
        <f aca="false">IFERROR(J20*100/F20,0)</f>
        <v>0.21345259573603</v>
      </c>
      <c r="L20" s="11" t="n">
        <v>6</v>
      </c>
      <c r="M20" s="15" t="n">
        <v>43.32</v>
      </c>
    </row>
    <row r="21" customFormat="false" ht="15" hidden="false" customHeight="false" outlineLevel="0" collapsed="false">
      <c r="A21" s="16" t="s">
        <v>37</v>
      </c>
      <c r="B21" s="17" t="s">
        <v>38</v>
      </c>
      <c r="C21" s="17" t="s">
        <v>27</v>
      </c>
      <c r="D21" s="16" t="s">
        <v>39</v>
      </c>
      <c r="E21" s="16" t="n">
        <v>49</v>
      </c>
      <c r="F21" s="18" t="n">
        <v>33101</v>
      </c>
      <c r="G21" s="18" t="n">
        <f aca="false">IFERROR(F21/E21,0)</f>
        <v>675.530612244898</v>
      </c>
      <c r="H21" s="16" t="n">
        <v>9</v>
      </c>
      <c r="I21" s="19" t="n">
        <f aca="false">IFERROR(H21*1000/F21,0)</f>
        <v>0.271895108909096</v>
      </c>
      <c r="J21" s="16" t="n">
        <v>83</v>
      </c>
      <c r="K21" s="19" t="n">
        <f aca="false">IFERROR(J21*100/F21,0)</f>
        <v>0.2507477115495</v>
      </c>
      <c r="L21" s="16" t="n">
        <v>6</v>
      </c>
      <c r="M21" s="20" t="n">
        <v>41.25</v>
      </c>
    </row>
    <row r="22" customFormat="false" ht="15" hidden="false" customHeight="false" outlineLevel="0" collapsed="false">
      <c r="A22" s="21" t="s">
        <v>40</v>
      </c>
      <c r="B22" s="22" t="s">
        <v>41</v>
      </c>
      <c r="C22" s="22" t="s">
        <v>27</v>
      </c>
      <c r="D22" s="21" t="s">
        <v>28</v>
      </c>
      <c r="E22" s="21" t="n">
        <v>3</v>
      </c>
      <c r="F22" s="23" t="n">
        <v>0</v>
      </c>
      <c r="G22" s="23" t="n">
        <f aca="false">IFERROR(F22/E22,0)</f>
        <v>0</v>
      </c>
      <c r="H22" s="21" t="n">
        <v>0</v>
      </c>
      <c r="I22" s="24" t="n">
        <f aca="false">IFERROR(H22*1000/F22,0)</f>
        <v>0</v>
      </c>
      <c r="J22" s="21" t="n">
        <v>0</v>
      </c>
      <c r="K22" s="24" t="n">
        <f aca="false">IFERROR(J22*100/F22,0)</f>
        <v>0</v>
      </c>
      <c r="L22" s="21" t="n">
        <v>0</v>
      </c>
      <c r="M22" s="25" t="n">
        <v>0</v>
      </c>
    </row>
    <row r="23" customFormat="false" ht="15" hidden="false" customHeight="false" outlineLevel="0" collapsed="false">
      <c r="A23" s="11" t="s">
        <v>42</v>
      </c>
      <c r="B23" s="12" t="s">
        <v>43</v>
      </c>
      <c r="C23" s="12" t="s">
        <v>27</v>
      </c>
      <c r="D23" s="11" t="s">
        <v>44</v>
      </c>
      <c r="E23" s="11" t="n">
        <v>17</v>
      </c>
      <c r="F23" s="13" t="n">
        <v>7047</v>
      </c>
      <c r="G23" s="13" t="n">
        <f aca="false">IFERROR(F23/E23,0)</f>
        <v>414.529411764706</v>
      </c>
      <c r="H23" s="11" t="n">
        <v>0</v>
      </c>
      <c r="I23" s="14" t="n">
        <f aca="false">IFERROR(H23*1000/F23,0)</f>
        <v>0</v>
      </c>
      <c r="J23" s="11" t="n">
        <v>28</v>
      </c>
      <c r="K23" s="14" t="n">
        <f aca="false">IFERROR(J23*100/F23,0)</f>
        <v>0.397332198098482</v>
      </c>
      <c r="L23" s="11" t="n">
        <v>1</v>
      </c>
      <c r="M23" s="15" t="n">
        <v>25.09</v>
      </c>
    </row>
    <row r="24" customFormat="false" ht="15" hidden="false" customHeight="false" outlineLevel="0" collapsed="false">
      <c r="A24" s="6" t="s">
        <v>45</v>
      </c>
      <c r="B24" s="7" t="s">
        <v>46</v>
      </c>
      <c r="C24" s="7" t="s">
        <v>47</v>
      </c>
      <c r="D24" s="6" t="s">
        <v>44</v>
      </c>
      <c r="E24" s="6" t="n">
        <v>17</v>
      </c>
      <c r="F24" s="8" t="n">
        <v>5259</v>
      </c>
      <c r="G24" s="8" t="n">
        <f aca="false">IFERROR(F24/E24,0)</f>
        <v>309.352941176471</v>
      </c>
      <c r="H24" s="6" t="n">
        <v>3</v>
      </c>
      <c r="I24" s="9" t="n">
        <f aca="false">IFERROR(H24*1000/F24,0)</f>
        <v>0.570450656018254</v>
      </c>
      <c r="J24" s="6" t="n">
        <v>11</v>
      </c>
      <c r="K24" s="9" t="n">
        <f aca="false">IFERROR(J24*100/F24,0)</f>
        <v>0.209165240540027</v>
      </c>
      <c r="L24" s="6" t="n">
        <v>0</v>
      </c>
      <c r="M24" s="10" t="n">
        <v>29.89</v>
      </c>
    </row>
    <row r="25" customFormat="false" ht="15" hidden="false" customHeight="false" outlineLevel="0" collapsed="false">
      <c r="A25" s="11" t="s">
        <v>48</v>
      </c>
      <c r="B25" s="12" t="s">
        <v>49</v>
      </c>
      <c r="C25" s="12" t="s">
        <v>50</v>
      </c>
      <c r="D25" s="11" t="s">
        <v>39</v>
      </c>
      <c r="E25" s="11" t="n">
        <v>18</v>
      </c>
      <c r="F25" s="13" t="n">
        <v>42321</v>
      </c>
      <c r="G25" s="13" t="n">
        <f aca="false">IFERROR(F25/E25,0)</f>
        <v>2351.16666666667</v>
      </c>
      <c r="H25" s="11" t="n">
        <v>1</v>
      </c>
      <c r="I25" s="14" t="n">
        <f aca="false">IFERROR(H25*1000/F25,0)</f>
        <v>0.023628931263439</v>
      </c>
      <c r="J25" s="11" t="n">
        <v>67</v>
      </c>
      <c r="K25" s="14" t="n">
        <f aca="false">IFERROR(J25*100/F25,0)</f>
        <v>0.158313839465041</v>
      </c>
      <c r="L25" s="11" t="n">
        <v>2</v>
      </c>
      <c r="M25" s="15" t="n">
        <v>44.12</v>
      </c>
    </row>
    <row r="26" customFormat="false" ht="15" hidden="false" customHeight="false" outlineLevel="0" collapsed="false">
      <c r="A26" s="16" t="s">
        <v>51</v>
      </c>
      <c r="B26" s="17" t="s">
        <v>52</v>
      </c>
      <c r="C26" s="17" t="s">
        <v>50</v>
      </c>
      <c r="D26" s="16" t="s">
        <v>39</v>
      </c>
      <c r="E26" s="16" t="n">
        <v>13</v>
      </c>
      <c r="F26" s="18" t="n">
        <v>23704</v>
      </c>
      <c r="G26" s="18" t="n">
        <f aca="false">IFERROR(F26/E26,0)</f>
        <v>1823.38461538462</v>
      </c>
      <c r="H26" s="16" t="n">
        <v>5</v>
      </c>
      <c r="I26" s="19" t="n">
        <f aca="false">IFERROR(H26*1000/F26,0)</f>
        <v>0.210934863314209</v>
      </c>
      <c r="J26" s="16" t="n">
        <v>52</v>
      </c>
      <c r="K26" s="19" t="n">
        <f aca="false">IFERROR(J26*100/F26,0)</f>
        <v>0.219372257846777</v>
      </c>
      <c r="L26" s="16" t="n">
        <v>2</v>
      </c>
      <c r="M26" s="20" t="n">
        <v>33.71</v>
      </c>
    </row>
    <row r="27" customFormat="false" ht="15" hidden="false" customHeight="false" outlineLevel="0" collapsed="false">
      <c r="A27" s="11" t="s">
        <v>53</v>
      </c>
      <c r="B27" s="12" t="s">
        <v>54</v>
      </c>
      <c r="C27" s="12" t="s">
        <v>50</v>
      </c>
      <c r="D27" s="11" t="s">
        <v>39</v>
      </c>
      <c r="E27" s="11" t="n">
        <v>30</v>
      </c>
      <c r="F27" s="13" t="n">
        <v>23682</v>
      </c>
      <c r="G27" s="13" t="n">
        <f aca="false">IFERROR(F27/E27,0)</f>
        <v>789.4</v>
      </c>
      <c r="H27" s="11" t="n">
        <v>4</v>
      </c>
      <c r="I27" s="14" t="n">
        <f aca="false">IFERROR(H27*1000/F27,0)</f>
        <v>0.168904653323199</v>
      </c>
      <c r="J27" s="11" t="n">
        <v>55</v>
      </c>
      <c r="K27" s="14" t="n">
        <f aca="false">IFERROR(J27*100/F27,0)</f>
        <v>0.232243898319399</v>
      </c>
      <c r="L27" s="11" t="n">
        <v>1</v>
      </c>
      <c r="M27" s="15" t="n">
        <v>38.82</v>
      </c>
    </row>
    <row r="28" customFormat="false" ht="15" hidden="false" customHeight="false" outlineLevel="0" collapsed="false">
      <c r="A28" s="11" t="s">
        <v>55</v>
      </c>
      <c r="B28" s="12" t="s">
        <v>56</v>
      </c>
      <c r="C28" s="12" t="s">
        <v>50</v>
      </c>
      <c r="D28" s="11" t="s">
        <v>44</v>
      </c>
      <c r="E28" s="11" t="n">
        <v>3</v>
      </c>
      <c r="F28" s="13" t="n">
        <v>17</v>
      </c>
      <c r="G28" s="13" t="n">
        <f aca="false">IFERROR(F28/E28,0)</f>
        <v>5.66666666666667</v>
      </c>
      <c r="H28" s="11" t="n">
        <v>0</v>
      </c>
      <c r="I28" s="14" t="n">
        <f aca="false">IFERROR(H28*1000/F28,0)</f>
        <v>0</v>
      </c>
      <c r="J28" s="11" t="n">
        <v>0</v>
      </c>
      <c r="K28" s="14" t="n">
        <f aca="false">IFERROR(J28*100/F28,0)</f>
        <v>0</v>
      </c>
      <c r="L28" s="11" t="n">
        <v>0</v>
      </c>
      <c r="M28" s="15" t="n">
        <v>6.73</v>
      </c>
    </row>
    <row r="29" customFormat="false" ht="15" hidden="false" customHeight="false" outlineLevel="0" collapsed="false">
      <c r="A29" s="26" t="s">
        <v>57</v>
      </c>
      <c r="B29" s="27" t="s">
        <v>58</v>
      </c>
      <c r="C29" s="26"/>
      <c r="D29" s="26"/>
      <c r="E29" s="28" t="n">
        <f aca="false">SUM(E16:E28)</f>
        <v>400</v>
      </c>
      <c r="F29" s="28" t="n">
        <f aca="false">SUM(F16:F28)</f>
        <v>315357</v>
      </c>
      <c r="G29" s="28" t="n">
        <f aca="false">IFERROR(F29/E29,0)</f>
        <v>788.3925</v>
      </c>
      <c r="H29" s="26" t="n">
        <f aca="false">SUM(H16:H28)</f>
        <v>129</v>
      </c>
      <c r="I29" s="29" t="n">
        <f aca="false">IFERROR(H29*1000/F29,0)</f>
        <v>0.409060207954794</v>
      </c>
      <c r="J29" s="26" t="n">
        <f aca="false">SUM(J16:J28)</f>
        <v>1067</v>
      </c>
      <c r="K29" s="29" t="n">
        <f aca="false">IFERROR(J29*100/F29,0)</f>
        <v>0.338346699137803</v>
      </c>
      <c r="L29" s="26" t="n">
        <f aca="false">SUM(L16:L28)</f>
        <v>27</v>
      </c>
      <c r="M29" s="26"/>
    </row>
    <row r="31" customFormat="false" ht="15" hidden="false" customHeight="false" outlineLevel="0" collapsed="false">
      <c r="A31" s="2" t="s">
        <v>59</v>
      </c>
    </row>
    <row r="32" customFormat="false" ht="15" hidden="false" customHeight="false" outlineLevel="0" collapsed="false">
      <c r="A32" s="2" t="s">
        <v>60</v>
      </c>
    </row>
  </sheetData>
  <mergeCells count="7">
    <mergeCell ref="A6:I6"/>
    <mergeCell ref="A7:I7"/>
    <mergeCell ref="A8:I8"/>
    <mergeCell ref="A9:I9"/>
    <mergeCell ref="A10:I10"/>
    <mergeCell ref="A11:I11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48"/>
  </cols>
  <sheetData>
    <row r="1" customFormat="false" ht="21.6" hidden="false" customHeight="false" outlineLevel="0" collapsed="false">
      <c r="A1" s="30" t="s">
        <v>61</v>
      </c>
    </row>
    <row r="2" customFormat="false" ht="15" hidden="false" customHeight="false" outlineLevel="0" collapsed="false">
      <c r="A2" s="2" t="s">
        <v>62</v>
      </c>
    </row>
    <row r="4" customFormat="false" ht="30" hidden="false" customHeight="true" outlineLevel="0" collapsed="false">
      <c r="A4" s="5" t="s">
        <v>12</v>
      </c>
      <c r="B4" s="31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20</v>
      </c>
      <c r="H4" s="5" t="s">
        <v>22</v>
      </c>
      <c r="I4" s="5" t="s">
        <v>24</v>
      </c>
      <c r="J4" s="5" t="s">
        <v>68</v>
      </c>
      <c r="K4" s="5" t="s">
        <v>69</v>
      </c>
      <c r="L4" s="5" t="s">
        <v>70</v>
      </c>
    </row>
    <row r="5" customFormat="false" ht="30" hidden="false" customHeight="true" outlineLevel="0" collapsed="false">
      <c r="A5" s="6" t="s">
        <v>25</v>
      </c>
      <c r="B5" s="7" t="s">
        <v>71</v>
      </c>
      <c r="C5" s="6" t="s">
        <v>72</v>
      </c>
      <c r="D5" s="6" t="n">
        <v>3</v>
      </c>
      <c r="E5" s="6" t="n">
        <v>21</v>
      </c>
      <c r="F5" s="10" t="n">
        <f aca="false">IFERROR(E5/D5,0)</f>
        <v>7</v>
      </c>
      <c r="G5" s="9" t="n">
        <f aca="false">IFERROR(28*1000/32455,0)</f>
        <v>0.862733014943768</v>
      </c>
      <c r="H5" s="9" t="n">
        <f aca="false">IFERROR(145*100/32455,0)</f>
        <v>0.446772454167309</v>
      </c>
      <c r="I5" s="10" t="n">
        <v>34.7</v>
      </c>
      <c r="J5" s="6" t="s">
        <v>73</v>
      </c>
      <c r="K5" s="7" t="s">
        <v>74</v>
      </c>
      <c r="L5" s="32" t="s">
        <v>75</v>
      </c>
    </row>
    <row r="6" customFormat="false" ht="30" hidden="false" customHeight="true" outlineLevel="0" collapsed="false">
      <c r="A6" s="6" t="s">
        <v>29</v>
      </c>
      <c r="B6" s="7" t="s">
        <v>71</v>
      </c>
      <c r="C6" s="6" t="s">
        <v>76</v>
      </c>
      <c r="D6" s="6" t="n">
        <v>3</v>
      </c>
      <c r="E6" s="6" t="n">
        <v>21</v>
      </c>
      <c r="F6" s="10" t="n">
        <f aca="false">IFERROR(E6/D6,0)</f>
        <v>7</v>
      </c>
      <c r="G6" s="9" t="n">
        <f aca="false">IFERROR(21*1000/31678,0)</f>
        <v>0.662920638929225</v>
      </c>
      <c r="H6" s="9" t="n">
        <f aca="false">IFERROR(236*100/31678,0)</f>
        <v>0.744996527558558</v>
      </c>
      <c r="I6" s="10" t="n">
        <v>41.87</v>
      </c>
      <c r="J6" s="6" t="s">
        <v>73</v>
      </c>
      <c r="K6" s="7" t="s">
        <v>74</v>
      </c>
      <c r="L6" s="32" t="s">
        <v>77</v>
      </c>
    </row>
    <row r="7" customFormat="false" ht="30" hidden="false" customHeight="true" outlineLevel="0" collapsed="false">
      <c r="A7" s="6" t="s">
        <v>31</v>
      </c>
      <c r="B7" s="7" t="s">
        <v>71</v>
      </c>
      <c r="C7" s="6" t="s">
        <v>78</v>
      </c>
      <c r="D7" s="6" t="n">
        <v>3</v>
      </c>
      <c r="E7" s="6" t="n">
        <v>21</v>
      </c>
      <c r="F7" s="10" t="n">
        <f aca="false">IFERROR(E7/D7,0)</f>
        <v>7</v>
      </c>
      <c r="G7" s="9" t="n">
        <f aca="false">IFERROR(21*1000/26675,0)</f>
        <v>0.787253983130272</v>
      </c>
      <c r="H7" s="9" t="n">
        <f aca="false">IFERROR(154*100/26675,0)</f>
        <v>0.577319587628866</v>
      </c>
      <c r="I7" s="10" t="n">
        <v>38.16</v>
      </c>
      <c r="J7" s="6" t="s">
        <v>73</v>
      </c>
      <c r="K7" s="7" t="s">
        <v>79</v>
      </c>
      <c r="L7" s="32" t="s">
        <v>80</v>
      </c>
    </row>
    <row r="8" customFormat="false" ht="30" hidden="false" customHeight="true" outlineLevel="0" collapsed="false">
      <c r="A8" s="6" t="s">
        <v>33</v>
      </c>
      <c r="B8" s="7" t="s">
        <v>71</v>
      </c>
      <c r="C8" s="6" t="s">
        <v>81</v>
      </c>
      <c r="D8" s="6" t="n">
        <v>4</v>
      </c>
      <c r="E8" s="6" t="n">
        <v>28</v>
      </c>
      <c r="F8" s="10" t="n">
        <f aca="false">IFERROR(E8/D8,0)</f>
        <v>7</v>
      </c>
      <c r="G8" s="9" t="n">
        <f aca="false">IFERROR(31*1000/50065,0)</f>
        <v>0.619195046439629</v>
      </c>
      <c r="H8" s="9" t="n">
        <f aca="false">IFERROR(152*100/50065,0)</f>
        <v>0.303605313092979</v>
      </c>
      <c r="I8" s="10" t="n">
        <v>48.26</v>
      </c>
      <c r="J8" s="6" t="s">
        <v>73</v>
      </c>
      <c r="K8" s="7" t="s">
        <v>82</v>
      </c>
      <c r="L8" s="32" t="s">
        <v>83</v>
      </c>
    </row>
    <row r="9" customFormat="false" ht="30" hidden="false" customHeight="true" outlineLevel="0" collapsed="false">
      <c r="A9" s="16" t="s">
        <v>35</v>
      </c>
      <c r="B9" s="17" t="s">
        <v>84</v>
      </c>
      <c r="C9" s="16" t="s">
        <v>85</v>
      </c>
      <c r="D9" s="16" t="n">
        <v>3</v>
      </c>
      <c r="E9" s="16" t="n">
        <v>26</v>
      </c>
      <c r="F9" s="20" t="n">
        <f aca="false">IFERROR(E9/D9,0)</f>
        <v>8.66666666666667</v>
      </c>
      <c r="G9" s="19" t="n">
        <f aca="false">IFERROR(6*1000/39353,0)</f>
        <v>0.15246613981145</v>
      </c>
      <c r="H9" s="19" t="n">
        <f aca="false">IFERROR(84*100/39353,0)</f>
        <v>0.21345259573603</v>
      </c>
      <c r="I9" s="20" t="n">
        <v>43.32</v>
      </c>
      <c r="J9" s="16" t="s">
        <v>73</v>
      </c>
      <c r="K9" s="17" t="s">
        <v>86</v>
      </c>
      <c r="L9" s="33" t="s">
        <v>87</v>
      </c>
    </row>
    <row r="10" customFormat="false" ht="30" hidden="false" customHeight="true" outlineLevel="0" collapsed="false">
      <c r="A10" s="16" t="s">
        <v>37</v>
      </c>
      <c r="B10" s="17" t="s">
        <v>84</v>
      </c>
      <c r="C10" s="16" t="s">
        <v>88</v>
      </c>
      <c r="D10" s="16" t="n">
        <v>3</v>
      </c>
      <c r="E10" s="16" t="n">
        <v>21</v>
      </c>
      <c r="F10" s="20" t="n">
        <f aca="false">IFERROR(E10/D10,0)</f>
        <v>7</v>
      </c>
      <c r="G10" s="19" t="n">
        <f aca="false">IFERROR(9*1000/33101,0)</f>
        <v>0.271895108909096</v>
      </c>
      <c r="H10" s="19" t="n">
        <f aca="false">IFERROR(83*100/33101,0)</f>
        <v>0.2507477115495</v>
      </c>
      <c r="I10" s="20" t="n">
        <v>41.25</v>
      </c>
      <c r="J10" s="16" t="s">
        <v>73</v>
      </c>
      <c r="K10" s="17" t="s">
        <v>86</v>
      </c>
      <c r="L10" s="34" t="s">
        <v>89</v>
      </c>
    </row>
    <row r="11" customFormat="false" ht="30" hidden="false" customHeight="true" outlineLevel="0" collapsed="false">
      <c r="A11" s="6" t="s">
        <v>40</v>
      </c>
      <c r="B11" s="7" t="s">
        <v>71</v>
      </c>
      <c r="C11" s="6" t="s">
        <v>90</v>
      </c>
      <c r="D11" s="6" t="n">
        <v>2</v>
      </c>
      <c r="E11" s="6" t="n">
        <v>13</v>
      </c>
      <c r="F11" s="10" t="n">
        <f aca="false">IFERROR(E11/D11,0)</f>
        <v>6.5</v>
      </c>
      <c r="G11" s="9" t="n">
        <v>0</v>
      </c>
      <c r="H11" s="9" t="n">
        <v>0</v>
      </c>
      <c r="I11" s="10" t="n">
        <v>0</v>
      </c>
      <c r="J11" s="7" t="s">
        <v>91</v>
      </c>
      <c r="K11" s="7" t="s">
        <v>92</v>
      </c>
      <c r="L11" s="35" t="s">
        <v>93</v>
      </c>
    </row>
    <row r="12" customFormat="false" ht="30" hidden="false" customHeight="true" outlineLevel="0" collapsed="false">
      <c r="A12" s="16" t="s">
        <v>42</v>
      </c>
      <c r="B12" s="17" t="s">
        <v>84</v>
      </c>
      <c r="C12" s="16" t="s">
        <v>94</v>
      </c>
      <c r="D12" s="16" t="n">
        <v>3</v>
      </c>
      <c r="E12" s="16" t="n">
        <v>3</v>
      </c>
      <c r="F12" s="20" t="n">
        <f aca="false">IFERROR(E12/D12,0)</f>
        <v>1</v>
      </c>
      <c r="G12" s="19" t="n">
        <f aca="false">IFERROR(0*1000/7047,0)</f>
        <v>0</v>
      </c>
      <c r="H12" s="19" t="n">
        <f aca="false">IFERROR(28*100/7047,0)</f>
        <v>0.397332198098482</v>
      </c>
      <c r="I12" s="20" t="n">
        <v>25.09</v>
      </c>
      <c r="J12" s="17" t="s">
        <v>91</v>
      </c>
      <c r="K12" s="17" t="s">
        <v>92</v>
      </c>
      <c r="L12" s="33" t="s">
        <v>95</v>
      </c>
    </row>
    <row r="13" customFormat="false" ht="30" hidden="false" customHeight="true" outlineLevel="0" collapsed="false">
      <c r="A13" s="16" t="s">
        <v>45</v>
      </c>
      <c r="B13" s="17" t="s">
        <v>84</v>
      </c>
      <c r="C13" s="16" t="s">
        <v>96</v>
      </c>
      <c r="D13" s="16" t="n">
        <v>3</v>
      </c>
      <c r="E13" s="16" t="n">
        <v>11</v>
      </c>
      <c r="F13" s="20" t="n">
        <f aca="false">IFERROR(E13/D13,0)</f>
        <v>3.66666666666667</v>
      </c>
      <c r="G13" s="19" t="n">
        <f aca="false">IFERROR(3*1000/5259,0)</f>
        <v>0.570450656018254</v>
      </c>
      <c r="H13" s="19" t="n">
        <f aca="false">IFERROR(11*100/5259,0)</f>
        <v>0.209165240540027</v>
      </c>
      <c r="I13" s="20" t="n">
        <v>29.89</v>
      </c>
      <c r="J13" s="17" t="s">
        <v>91</v>
      </c>
      <c r="K13" s="17" t="s">
        <v>92</v>
      </c>
      <c r="L13" s="34" t="s">
        <v>97</v>
      </c>
    </row>
    <row r="14" customFormat="false" ht="30" hidden="false" customHeight="true" outlineLevel="0" collapsed="false">
      <c r="A14" s="16" t="s">
        <v>48</v>
      </c>
      <c r="B14" s="17" t="s">
        <v>84</v>
      </c>
      <c r="C14" s="16" t="s">
        <v>98</v>
      </c>
      <c r="D14" s="16" t="n">
        <v>3</v>
      </c>
      <c r="E14" s="16" t="n">
        <v>32</v>
      </c>
      <c r="F14" s="20" t="n">
        <f aca="false">IFERROR(E14/D14,0)</f>
        <v>10.6666666666667</v>
      </c>
      <c r="G14" s="19" t="n">
        <f aca="false">IFERROR(1*1000/42321,0)</f>
        <v>0.023628931263439</v>
      </c>
      <c r="H14" s="19" t="n">
        <f aca="false">IFERROR(67*100/42321,0)</f>
        <v>0.158313839465041</v>
      </c>
      <c r="I14" s="20" t="n">
        <v>44.12</v>
      </c>
      <c r="J14" s="17" t="s">
        <v>91</v>
      </c>
      <c r="K14" s="17" t="s">
        <v>92</v>
      </c>
      <c r="L14" s="33" t="s">
        <v>99</v>
      </c>
    </row>
    <row r="15" customFormat="false" ht="30" hidden="false" customHeight="true" outlineLevel="0" collapsed="false">
      <c r="A15" s="16" t="s">
        <v>51</v>
      </c>
      <c r="B15" s="17" t="s">
        <v>84</v>
      </c>
      <c r="C15" s="16" t="s">
        <v>100</v>
      </c>
      <c r="D15" s="16" t="n">
        <v>2</v>
      </c>
      <c r="E15" s="16" t="n">
        <v>30</v>
      </c>
      <c r="F15" s="20" t="n">
        <f aca="false">IFERROR(E15/D15,0)</f>
        <v>15</v>
      </c>
      <c r="G15" s="19" t="n">
        <f aca="false">IFERROR(5*1000/23704,0)</f>
        <v>0.210934863314209</v>
      </c>
      <c r="H15" s="19" t="n">
        <f aca="false">IFERROR(52*100/23704,0)</f>
        <v>0.219372257846777</v>
      </c>
      <c r="I15" s="20" t="n">
        <v>33.71</v>
      </c>
      <c r="J15" s="17" t="s">
        <v>91</v>
      </c>
      <c r="K15" s="17" t="s">
        <v>92</v>
      </c>
      <c r="L15" s="33" t="s">
        <v>101</v>
      </c>
    </row>
    <row r="16" customFormat="false" ht="30" hidden="false" customHeight="true" outlineLevel="0" collapsed="false">
      <c r="A16" s="16" t="s">
        <v>53</v>
      </c>
      <c r="B16" s="17" t="s">
        <v>84</v>
      </c>
      <c r="C16" s="16" t="s">
        <v>102</v>
      </c>
      <c r="D16" s="16" t="n">
        <v>3</v>
      </c>
      <c r="E16" s="16" t="n">
        <v>36</v>
      </c>
      <c r="F16" s="20" t="n">
        <f aca="false">IFERROR(E16/D16,0)</f>
        <v>12</v>
      </c>
      <c r="G16" s="19" t="n">
        <f aca="false">IFERROR(4*1000/23682,0)</f>
        <v>0.168904653323199</v>
      </c>
      <c r="H16" s="19" t="n">
        <f aca="false">IFERROR(55*100/23682,0)</f>
        <v>0.232243898319399</v>
      </c>
      <c r="I16" s="20" t="n">
        <v>38.82</v>
      </c>
      <c r="J16" s="17" t="s">
        <v>91</v>
      </c>
      <c r="K16" s="17" t="s">
        <v>92</v>
      </c>
      <c r="L16" s="33" t="s">
        <v>103</v>
      </c>
    </row>
    <row r="17" customFormat="false" ht="30" hidden="false" customHeight="true" outlineLevel="0" collapsed="false">
      <c r="A17" s="16" t="s">
        <v>55</v>
      </c>
      <c r="B17" s="17" t="s">
        <v>84</v>
      </c>
      <c r="C17" s="16" t="s">
        <v>104</v>
      </c>
      <c r="D17" s="16" t="n">
        <v>2</v>
      </c>
      <c r="E17" s="16" t="n">
        <v>13</v>
      </c>
      <c r="F17" s="20" t="n">
        <f aca="false">IFERROR(E17/D17,0)</f>
        <v>6.5</v>
      </c>
      <c r="G17" s="19" t="n">
        <f aca="false">IFERROR(0*1000/17,0)</f>
        <v>0</v>
      </c>
      <c r="H17" s="19" t="n">
        <f aca="false">IFERROR(0*100/17,0)</f>
        <v>0</v>
      </c>
      <c r="I17" s="20" t="n">
        <v>6.73</v>
      </c>
      <c r="J17" s="17" t="s">
        <v>91</v>
      </c>
      <c r="K17" s="17" t="s">
        <v>92</v>
      </c>
      <c r="L17" s="33" t="s">
        <v>105</v>
      </c>
    </row>
    <row r="19" customFormat="false" ht="15" hidden="false" customHeight="false" outlineLevel="0" collapsed="false">
      <c r="A19" s="2" t="s">
        <v>106</v>
      </c>
    </row>
    <row r="20" customFormat="false" ht="15" hidden="false" customHeight="false" outlineLevel="0" collapsed="false">
      <c r="A20" s="36" t="s">
        <v>107</v>
      </c>
    </row>
    <row r="21" customFormat="false" ht="15" hidden="false" customHeight="false" outlineLevel="0" collapsed="false">
      <c r="A21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56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12"/>
  </cols>
  <sheetData>
    <row r="1" customFormat="false" ht="21.6" hidden="false" customHeight="false" outlineLevel="0" collapsed="false">
      <c r="A1" s="30" t="s">
        <v>109</v>
      </c>
    </row>
    <row r="2" customFormat="false" ht="15" hidden="false" customHeight="false" outlineLevel="0" collapsed="false">
      <c r="A2" s="36" t="s">
        <v>110</v>
      </c>
    </row>
    <row r="4" customFormat="false" ht="30" hidden="false" customHeight="true" outlineLevel="0" collapsed="false">
      <c r="A4" s="5" t="s">
        <v>12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22</v>
      </c>
      <c r="G4" s="5" t="s">
        <v>23</v>
      </c>
      <c r="H4" s="5" t="s">
        <v>115</v>
      </c>
      <c r="I4" s="5" t="s">
        <v>20</v>
      </c>
      <c r="J4" s="5" t="s">
        <v>116</v>
      </c>
      <c r="K4" s="5" t="s">
        <v>117</v>
      </c>
      <c r="L4" s="31" t="s">
        <v>118</v>
      </c>
      <c r="M4" s="5" t="s">
        <v>119</v>
      </c>
    </row>
    <row r="5" customFormat="false" ht="15" hidden="false" customHeight="false" outlineLevel="0" collapsed="false">
      <c r="A5" s="16" t="s">
        <v>35</v>
      </c>
      <c r="B5" s="16" t="s">
        <v>120</v>
      </c>
      <c r="C5" s="17" t="s">
        <v>121</v>
      </c>
      <c r="D5" s="18" t="n">
        <v>1018</v>
      </c>
      <c r="E5" s="16" t="n">
        <v>0</v>
      </c>
      <c r="F5" s="19" t="n">
        <f aca="false">IFERROR(E5*100/D5,0)</f>
        <v>0</v>
      </c>
      <c r="G5" s="16" t="n">
        <v>0</v>
      </c>
      <c r="H5" s="16" t="n">
        <v>0</v>
      </c>
      <c r="I5" s="19" t="n">
        <f aca="false">IFERROR(H5*1000/D5,0)</f>
        <v>0</v>
      </c>
      <c r="J5" s="20" t="n">
        <v>36.14</v>
      </c>
      <c r="K5" s="20" t="n">
        <v>11</v>
      </c>
      <c r="L5" s="19" t="n">
        <v>0</v>
      </c>
      <c r="M5" s="17" t="s">
        <v>122</v>
      </c>
    </row>
    <row r="6" customFormat="false" ht="15" hidden="false" customHeight="false" outlineLevel="0" collapsed="false">
      <c r="A6" s="16" t="s">
        <v>35</v>
      </c>
      <c r="B6" s="16" t="s">
        <v>123</v>
      </c>
      <c r="C6" s="17" t="s">
        <v>124</v>
      </c>
      <c r="D6" s="18" t="n">
        <v>190</v>
      </c>
      <c r="E6" s="16" t="n">
        <v>0</v>
      </c>
      <c r="F6" s="19" t="n">
        <f aca="false">IFERROR(E6*100/D6,0)</f>
        <v>0</v>
      </c>
      <c r="G6" s="16" t="n">
        <v>0</v>
      </c>
      <c r="H6" s="16" t="n">
        <v>0</v>
      </c>
      <c r="I6" s="19" t="n">
        <f aca="false">IFERROR(H6*1000/D6,0)</f>
        <v>0</v>
      </c>
      <c r="J6" s="20" t="n">
        <v>27.94</v>
      </c>
      <c r="K6" s="20" t="n">
        <v>8</v>
      </c>
      <c r="L6" s="19" t="n">
        <v>0</v>
      </c>
      <c r="M6" s="17" t="s">
        <v>122</v>
      </c>
    </row>
    <row r="7" customFormat="false" ht="15" hidden="false" customHeight="false" outlineLevel="0" collapsed="false">
      <c r="A7" s="16" t="s">
        <v>35</v>
      </c>
      <c r="B7" s="16" t="s">
        <v>125</v>
      </c>
      <c r="C7" s="16" t="s">
        <v>126</v>
      </c>
      <c r="D7" s="18" t="n">
        <v>1131</v>
      </c>
      <c r="E7" s="16" t="n">
        <v>2</v>
      </c>
      <c r="F7" s="19" t="n">
        <f aca="false">IFERROR(E7*100/D7,0)</f>
        <v>0.17683465959328</v>
      </c>
      <c r="G7" s="16" t="n">
        <v>1</v>
      </c>
      <c r="H7" s="16" t="n">
        <v>0</v>
      </c>
      <c r="I7" s="19" t="n">
        <f aca="false">IFERROR(H7*1000/D7,0)</f>
        <v>0</v>
      </c>
      <c r="J7" s="20" t="n">
        <v>49.25</v>
      </c>
      <c r="K7" s="20" t="n">
        <v>15</v>
      </c>
      <c r="L7" s="19" t="n">
        <v>0</v>
      </c>
      <c r="M7" s="17" t="s">
        <v>122</v>
      </c>
    </row>
    <row r="8" customFormat="false" ht="15" hidden="false" customHeight="false" outlineLevel="0" collapsed="false">
      <c r="A8" s="16" t="s">
        <v>35</v>
      </c>
      <c r="B8" s="16" t="s">
        <v>127</v>
      </c>
      <c r="C8" s="16" t="s">
        <v>128</v>
      </c>
      <c r="D8" s="18" t="n">
        <v>1025</v>
      </c>
      <c r="E8" s="16" t="n">
        <v>0</v>
      </c>
      <c r="F8" s="19" t="n">
        <f aca="false">IFERROR(E8*100/D8,0)</f>
        <v>0</v>
      </c>
      <c r="G8" s="16" t="n">
        <v>0</v>
      </c>
      <c r="H8" s="16" t="n">
        <v>0</v>
      </c>
      <c r="I8" s="19" t="n">
        <f aca="false">IFERROR(H8*1000/D8,0)</f>
        <v>0</v>
      </c>
      <c r="J8" s="20" t="n">
        <v>42.18</v>
      </c>
      <c r="K8" s="20" t="n">
        <v>13</v>
      </c>
      <c r="L8" s="19" t="n">
        <v>0</v>
      </c>
      <c r="M8" s="17" t="s">
        <v>122</v>
      </c>
    </row>
    <row r="9" customFormat="false" ht="15" hidden="false" customHeight="false" outlineLevel="0" collapsed="false">
      <c r="A9" s="16" t="s">
        <v>35</v>
      </c>
      <c r="B9" s="16" t="s">
        <v>129</v>
      </c>
      <c r="C9" s="17" t="s">
        <v>130</v>
      </c>
      <c r="D9" s="18" t="n">
        <v>285</v>
      </c>
      <c r="E9" s="16" t="n">
        <v>0</v>
      </c>
      <c r="F9" s="19" t="n">
        <f aca="false">IFERROR(E9*100/D9,0)</f>
        <v>0</v>
      </c>
      <c r="G9" s="16" t="n">
        <v>0</v>
      </c>
      <c r="H9" s="16" t="n">
        <v>0</v>
      </c>
      <c r="I9" s="19" t="n">
        <f aca="false">IFERROR(H9*1000/D9,0)</f>
        <v>0</v>
      </c>
      <c r="J9" s="20" t="n">
        <v>38.68</v>
      </c>
      <c r="K9" s="20" t="n">
        <v>13</v>
      </c>
      <c r="L9" s="19" t="n">
        <v>0</v>
      </c>
      <c r="M9" s="17" t="s">
        <v>122</v>
      </c>
    </row>
    <row r="10" customFormat="false" ht="15" hidden="false" customHeight="false" outlineLevel="0" collapsed="false">
      <c r="A10" s="6" t="s">
        <v>35</v>
      </c>
      <c r="B10" s="6" t="s">
        <v>131</v>
      </c>
      <c r="C10" s="7" t="s">
        <v>132</v>
      </c>
      <c r="D10" s="8" t="n">
        <v>873</v>
      </c>
      <c r="E10" s="6" t="n">
        <v>1</v>
      </c>
      <c r="F10" s="9" t="n">
        <f aca="false">IFERROR(E10*100/D10,0)</f>
        <v>0.11454753722795</v>
      </c>
      <c r="G10" s="6" t="n">
        <v>0</v>
      </c>
      <c r="H10" s="6" t="n">
        <v>1</v>
      </c>
      <c r="I10" s="9" t="n">
        <f aca="false">IFERROR(H10*1000/D10,0)</f>
        <v>1.1454753722795</v>
      </c>
      <c r="J10" s="10" t="n">
        <v>36.63</v>
      </c>
      <c r="K10" s="10" t="n">
        <v>11</v>
      </c>
      <c r="L10" s="9" t="n">
        <v>0.166666666666667</v>
      </c>
      <c r="M10" s="7" t="s">
        <v>122</v>
      </c>
    </row>
    <row r="11" customFormat="false" ht="15" hidden="false" customHeight="false" outlineLevel="0" collapsed="false">
      <c r="A11" s="16" t="s">
        <v>35</v>
      </c>
      <c r="B11" s="16" t="s">
        <v>133</v>
      </c>
      <c r="C11" s="17" t="s">
        <v>134</v>
      </c>
      <c r="D11" s="18" t="n">
        <v>999</v>
      </c>
      <c r="E11" s="16" t="n">
        <v>1</v>
      </c>
      <c r="F11" s="19" t="n">
        <f aca="false">IFERROR(E11*100/D11,0)</f>
        <v>0.1001001001001</v>
      </c>
      <c r="G11" s="16" t="n">
        <v>0</v>
      </c>
      <c r="H11" s="16" t="n">
        <v>0</v>
      </c>
      <c r="I11" s="19" t="n">
        <f aca="false">IFERROR(H11*1000/D11,0)</f>
        <v>0</v>
      </c>
      <c r="J11" s="20" t="n">
        <v>30.94</v>
      </c>
      <c r="K11" s="20" t="n">
        <v>10</v>
      </c>
      <c r="L11" s="19" t="n">
        <v>0</v>
      </c>
      <c r="M11" s="17" t="s">
        <v>122</v>
      </c>
    </row>
    <row r="12" customFormat="false" ht="15" hidden="false" customHeight="false" outlineLevel="0" collapsed="false">
      <c r="A12" s="16" t="s">
        <v>35</v>
      </c>
      <c r="B12" s="16" t="s">
        <v>135</v>
      </c>
      <c r="C12" s="17" t="s">
        <v>136</v>
      </c>
      <c r="D12" s="18" t="n">
        <v>264</v>
      </c>
      <c r="E12" s="16" t="n">
        <v>1</v>
      </c>
      <c r="F12" s="19" t="n">
        <f aca="false">IFERROR(E12*100/D12,0)</f>
        <v>0.378787878787879</v>
      </c>
      <c r="G12" s="16" t="n">
        <v>0</v>
      </c>
      <c r="H12" s="16" t="n">
        <v>0</v>
      </c>
      <c r="I12" s="19" t="n">
        <f aca="false">IFERROR(H12*1000/D12,0)</f>
        <v>0</v>
      </c>
      <c r="J12" s="20" t="n">
        <v>43.61</v>
      </c>
      <c r="K12" s="20" t="n">
        <v>16</v>
      </c>
      <c r="L12" s="19" t="n">
        <v>0</v>
      </c>
      <c r="M12" s="17" t="s">
        <v>122</v>
      </c>
    </row>
    <row r="13" customFormat="false" ht="15" hidden="false" customHeight="false" outlineLevel="0" collapsed="false">
      <c r="A13" s="16" t="s">
        <v>35</v>
      </c>
      <c r="B13" s="16" t="s">
        <v>137</v>
      </c>
      <c r="C13" s="17" t="s">
        <v>138</v>
      </c>
      <c r="D13" s="18" t="n">
        <v>665</v>
      </c>
      <c r="E13" s="16" t="n">
        <v>0</v>
      </c>
      <c r="F13" s="19" t="n">
        <f aca="false">IFERROR(E13*100/D13,0)</f>
        <v>0</v>
      </c>
      <c r="G13" s="16" t="n">
        <v>0</v>
      </c>
      <c r="H13" s="16" t="n">
        <v>0</v>
      </c>
      <c r="I13" s="19" t="n">
        <f aca="false">IFERROR(H13*1000/D13,0)</f>
        <v>0</v>
      </c>
      <c r="J13" s="20" t="n">
        <v>40.83</v>
      </c>
      <c r="K13" s="20" t="n">
        <v>13</v>
      </c>
      <c r="L13" s="19" t="n">
        <v>0</v>
      </c>
      <c r="M13" s="17" t="s">
        <v>122</v>
      </c>
    </row>
    <row r="14" customFormat="false" ht="15" hidden="false" customHeight="false" outlineLevel="0" collapsed="false">
      <c r="A14" s="16" t="s">
        <v>35</v>
      </c>
      <c r="B14" s="16" t="s">
        <v>139</v>
      </c>
      <c r="C14" s="17" t="s">
        <v>140</v>
      </c>
      <c r="D14" s="18" t="n">
        <v>683</v>
      </c>
      <c r="E14" s="16" t="n">
        <v>1</v>
      </c>
      <c r="F14" s="19" t="n">
        <f aca="false">IFERROR(E14*100/D14,0)</f>
        <v>0.146412884333821</v>
      </c>
      <c r="G14" s="16" t="n">
        <v>1</v>
      </c>
      <c r="H14" s="16" t="n">
        <v>0</v>
      </c>
      <c r="I14" s="19" t="n">
        <f aca="false">IFERROR(H14*1000/D14,0)</f>
        <v>0</v>
      </c>
      <c r="J14" s="20" t="n">
        <v>35.83</v>
      </c>
      <c r="K14" s="20" t="n">
        <v>12</v>
      </c>
      <c r="L14" s="19" t="n">
        <v>0</v>
      </c>
      <c r="M14" s="17" t="s">
        <v>122</v>
      </c>
    </row>
    <row r="15" customFormat="false" ht="15" hidden="false" customHeight="false" outlineLevel="0" collapsed="false">
      <c r="A15" s="16" t="s">
        <v>35</v>
      </c>
      <c r="B15" s="16" t="s">
        <v>141</v>
      </c>
      <c r="C15" s="16" t="s">
        <v>142</v>
      </c>
      <c r="D15" s="18" t="n">
        <v>794</v>
      </c>
      <c r="E15" s="16" t="n">
        <v>1</v>
      </c>
      <c r="F15" s="19" t="n">
        <f aca="false">IFERROR(E15*100/D15,0)</f>
        <v>0.125944584382872</v>
      </c>
      <c r="G15" s="16" t="n">
        <v>0</v>
      </c>
      <c r="H15" s="16" t="n">
        <v>0</v>
      </c>
      <c r="I15" s="19" t="n">
        <f aca="false">IFERROR(H15*1000/D15,0)</f>
        <v>0</v>
      </c>
      <c r="J15" s="20" t="n">
        <v>35.09</v>
      </c>
      <c r="K15" s="20" t="n">
        <v>11</v>
      </c>
      <c r="L15" s="19" t="n">
        <v>0</v>
      </c>
      <c r="M15" s="17" t="s">
        <v>122</v>
      </c>
    </row>
    <row r="16" customFormat="false" ht="15" hidden="false" customHeight="false" outlineLevel="0" collapsed="false">
      <c r="A16" s="16" t="s">
        <v>35</v>
      </c>
      <c r="B16" s="16" t="s">
        <v>143</v>
      </c>
      <c r="C16" s="17" t="s">
        <v>144</v>
      </c>
      <c r="D16" s="18" t="n">
        <v>954</v>
      </c>
      <c r="E16" s="16" t="n">
        <v>1</v>
      </c>
      <c r="F16" s="19" t="n">
        <f aca="false">IFERROR(E16*100/D16,0)</f>
        <v>0.10482180293501</v>
      </c>
      <c r="G16" s="16" t="n">
        <v>0</v>
      </c>
      <c r="H16" s="16" t="n">
        <v>0</v>
      </c>
      <c r="I16" s="19" t="n">
        <f aca="false">IFERROR(H16*1000/D16,0)</f>
        <v>0</v>
      </c>
      <c r="J16" s="20" t="n">
        <v>69.49</v>
      </c>
      <c r="K16" s="20" t="n">
        <v>20</v>
      </c>
      <c r="L16" s="19" t="n">
        <v>0</v>
      </c>
      <c r="M16" s="17" t="s">
        <v>122</v>
      </c>
    </row>
    <row r="17" customFormat="false" ht="15" hidden="false" customHeight="false" outlineLevel="0" collapsed="false">
      <c r="A17" s="21" t="s">
        <v>45</v>
      </c>
      <c r="B17" s="21" t="s">
        <v>145</v>
      </c>
      <c r="C17" s="22" t="s">
        <v>146</v>
      </c>
      <c r="D17" s="23" t="n">
        <v>0</v>
      </c>
      <c r="E17" s="21" t="n">
        <v>0</v>
      </c>
      <c r="F17" s="24" t="n">
        <f aca="false">IFERROR(E17*100/D17,0)</f>
        <v>0</v>
      </c>
      <c r="G17" s="21" t="n">
        <v>0</v>
      </c>
      <c r="H17" s="21" t="n">
        <v>0</v>
      </c>
      <c r="I17" s="24" t="n">
        <f aca="false">IFERROR(H17*1000/D17,0)</f>
        <v>0</v>
      </c>
      <c r="J17" s="25" t="n">
        <v>0</v>
      </c>
      <c r="K17" s="25" t="n">
        <v>0</v>
      </c>
      <c r="L17" s="24" t="n">
        <v>0</v>
      </c>
      <c r="M17" s="22" t="s">
        <v>147</v>
      </c>
    </row>
    <row r="18" customFormat="false" ht="15" hidden="false" customHeight="false" outlineLevel="0" collapsed="false">
      <c r="A18" s="21" t="s">
        <v>45</v>
      </c>
      <c r="B18" s="21" t="s">
        <v>148</v>
      </c>
      <c r="C18" s="22" t="s">
        <v>149</v>
      </c>
      <c r="D18" s="23" t="n">
        <v>0</v>
      </c>
      <c r="E18" s="21" t="n">
        <v>0</v>
      </c>
      <c r="F18" s="24" t="n">
        <f aca="false">IFERROR(E18*100/D18,0)</f>
        <v>0</v>
      </c>
      <c r="G18" s="21" t="n">
        <v>0</v>
      </c>
      <c r="H18" s="21" t="n">
        <v>0</v>
      </c>
      <c r="I18" s="24" t="n">
        <f aca="false">IFERROR(H18*1000/D18,0)</f>
        <v>0</v>
      </c>
      <c r="J18" s="25" t="n">
        <v>0</v>
      </c>
      <c r="K18" s="25" t="n">
        <v>0</v>
      </c>
      <c r="L18" s="24" t="n">
        <v>0</v>
      </c>
      <c r="M18" s="22" t="s">
        <v>147</v>
      </c>
    </row>
    <row r="19" customFormat="false" ht="15" hidden="false" customHeight="false" outlineLevel="0" collapsed="false">
      <c r="A19" s="21" t="s">
        <v>45</v>
      </c>
      <c r="B19" s="21" t="s">
        <v>150</v>
      </c>
      <c r="C19" s="22" t="s">
        <v>151</v>
      </c>
      <c r="D19" s="23" t="n">
        <v>0</v>
      </c>
      <c r="E19" s="21" t="n">
        <v>0</v>
      </c>
      <c r="F19" s="24" t="n">
        <f aca="false">IFERROR(E19*100/D19,0)</f>
        <v>0</v>
      </c>
      <c r="G19" s="21" t="n">
        <v>0</v>
      </c>
      <c r="H19" s="21" t="n">
        <v>0</v>
      </c>
      <c r="I19" s="24" t="n">
        <f aca="false">IFERROR(H19*1000/D19,0)</f>
        <v>0</v>
      </c>
      <c r="J19" s="25" t="n">
        <v>0</v>
      </c>
      <c r="K19" s="25" t="n">
        <v>0</v>
      </c>
      <c r="L19" s="24" t="n">
        <v>0</v>
      </c>
      <c r="M19" s="22" t="s">
        <v>147</v>
      </c>
    </row>
    <row r="20" customFormat="false" ht="15" hidden="false" customHeight="false" outlineLevel="0" collapsed="false">
      <c r="A20" s="21" t="s">
        <v>45</v>
      </c>
      <c r="B20" s="21" t="s">
        <v>152</v>
      </c>
      <c r="C20" s="22" t="s">
        <v>153</v>
      </c>
      <c r="D20" s="23" t="n">
        <v>0</v>
      </c>
      <c r="E20" s="21" t="n">
        <v>0</v>
      </c>
      <c r="F20" s="24" t="n">
        <f aca="false">IFERROR(E20*100/D20,0)</f>
        <v>0</v>
      </c>
      <c r="G20" s="21" t="n">
        <v>0</v>
      </c>
      <c r="H20" s="21" t="n">
        <v>0</v>
      </c>
      <c r="I20" s="24" t="n">
        <f aca="false">IFERROR(H20*1000/D20,0)</f>
        <v>0</v>
      </c>
      <c r="J20" s="25" t="n">
        <v>0</v>
      </c>
      <c r="K20" s="25" t="n">
        <v>0</v>
      </c>
      <c r="L20" s="24" t="n">
        <v>0</v>
      </c>
      <c r="M20" s="22" t="s">
        <v>147</v>
      </c>
    </row>
    <row r="21" customFormat="false" ht="15" hidden="false" customHeight="false" outlineLevel="0" collapsed="false">
      <c r="A21" s="21" t="s">
        <v>45</v>
      </c>
      <c r="B21" s="21" t="s">
        <v>154</v>
      </c>
      <c r="C21" s="22" t="s">
        <v>155</v>
      </c>
      <c r="D21" s="23" t="n">
        <v>0</v>
      </c>
      <c r="E21" s="21" t="n">
        <v>0</v>
      </c>
      <c r="F21" s="24" t="n">
        <f aca="false">IFERROR(E21*100/D21,0)</f>
        <v>0</v>
      </c>
      <c r="G21" s="21" t="n">
        <v>0</v>
      </c>
      <c r="H21" s="21" t="n">
        <v>0</v>
      </c>
      <c r="I21" s="24" t="n">
        <f aca="false">IFERROR(H21*1000/D21,0)</f>
        <v>0</v>
      </c>
      <c r="J21" s="25" t="n">
        <v>0</v>
      </c>
      <c r="K21" s="25" t="n">
        <v>0</v>
      </c>
      <c r="L21" s="24" t="n">
        <v>0</v>
      </c>
      <c r="M21" s="22" t="s">
        <v>147</v>
      </c>
    </row>
    <row r="22" customFormat="false" ht="15" hidden="false" customHeight="false" outlineLevel="0" collapsed="false">
      <c r="A22" s="21" t="s">
        <v>45</v>
      </c>
      <c r="B22" s="21" t="s">
        <v>156</v>
      </c>
      <c r="C22" s="22" t="s">
        <v>157</v>
      </c>
      <c r="D22" s="23" t="n">
        <v>0</v>
      </c>
      <c r="E22" s="21" t="n">
        <v>0</v>
      </c>
      <c r="F22" s="24" t="n">
        <f aca="false">IFERROR(E22*100/D22,0)</f>
        <v>0</v>
      </c>
      <c r="G22" s="21" t="n">
        <v>0</v>
      </c>
      <c r="H22" s="21" t="n">
        <v>0</v>
      </c>
      <c r="I22" s="24" t="n">
        <f aca="false">IFERROR(H22*1000/D22,0)</f>
        <v>0</v>
      </c>
      <c r="J22" s="25" t="n">
        <v>0</v>
      </c>
      <c r="K22" s="25" t="n">
        <v>0</v>
      </c>
      <c r="L22" s="24" t="n">
        <v>0</v>
      </c>
      <c r="M22" s="22" t="s">
        <v>147</v>
      </c>
    </row>
    <row r="23" customFormat="false" ht="15" hidden="false" customHeight="false" outlineLevel="0" collapsed="false">
      <c r="A23" s="21" t="s">
        <v>55</v>
      </c>
      <c r="B23" s="21" t="s">
        <v>158</v>
      </c>
      <c r="C23" s="22" t="s">
        <v>159</v>
      </c>
      <c r="D23" s="23" t="n">
        <v>0</v>
      </c>
      <c r="E23" s="21" t="n">
        <v>0</v>
      </c>
      <c r="F23" s="24" t="n">
        <f aca="false">IFERROR(E23*100/D23,0)</f>
        <v>0</v>
      </c>
      <c r="G23" s="21" t="n">
        <v>0</v>
      </c>
      <c r="H23" s="21" t="n">
        <v>0</v>
      </c>
      <c r="I23" s="24" t="n">
        <f aca="false">IFERROR(H23*1000/D23,0)</f>
        <v>0</v>
      </c>
      <c r="J23" s="25" t="n">
        <v>0</v>
      </c>
      <c r="K23" s="25" t="n">
        <v>0</v>
      </c>
      <c r="L23" s="24" t="n">
        <v>0</v>
      </c>
      <c r="M23" s="22" t="s">
        <v>147</v>
      </c>
    </row>
    <row r="24" customFormat="false" ht="15" hidden="false" customHeight="false" outlineLevel="0" collapsed="false">
      <c r="A24" s="21" t="s">
        <v>55</v>
      </c>
      <c r="B24" s="21" t="s">
        <v>160</v>
      </c>
      <c r="C24" s="22" t="s">
        <v>161</v>
      </c>
      <c r="D24" s="23" t="n">
        <v>0</v>
      </c>
      <c r="E24" s="21" t="n">
        <v>0</v>
      </c>
      <c r="F24" s="24" t="n">
        <f aca="false">IFERROR(E24*100/D24,0)</f>
        <v>0</v>
      </c>
      <c r="G24" s="21" t="n">
        <v>0</v>
      </c>
      <c r="H24" s="21" t="n">
        <v>0</v>
      </c>
      <c r="I24" s="24" t="n">
        <f aca="false">IFERROR(H24*1000/D24,0)</f>
        <v>0</v>
      </c>
      <c r="J24" s="25" t="n">
        <v>0</v>
      </c>
      <c r="K24" s="25" t="n">
        <v>0</v>
      </c>
      <c r="L24" s="24" t="n">
        <v>0</v>
      </c>
      <c r="M24" s="22" t="s">
        <v>147</v>
      </c>
    </row>
    <row r="25" customFormat="false" ht="15" hidden="false" customHeight="false" outlineLevel="0" collapsed="false">
      <c r="A25" s="16" t="s">
        <v>51</v>
      </c>
      <c r="B25" s="16" t="s">
        <v>162</v>
      </c>
      <c r="C25" s="17" t="s">
        <v>163</v>
      </c>
      <c r="D25" s="18" t="n">
        <v>5</v>
      </c>
      <c r="E25" s="16" t="n">
        <v>0</v>
      </c>
      <c r="F25" s="19" t="n">
        <f aca="false">IFERROR(E25*100/D25,0)</f>
        <v>0</v>
      </c>
      <c r="G25" s="16" t="n">
        <v>0</v>
      </c>
      <c r="H25" s="16" t="n">
        <v>0</v>
      </c>
      <c r="I25" s="19" t="n">
        <f aca="false">IFERROR(H25*1000/D25,0)</f>
        <v>0</v>
      </c>
      <c r="J25" s="20" t="n">
        <v>26.54</v>
      </c>
      <c r="K25" s="20" t="n">
        <v>7</v>
      </c>
      <c r="L25" s="19" t="n">
        <v>0.0294117647058824</v>
      </c>
      <c r="M25" s="17" t="s">
        <v>122</v>
      </c>
    </row>
    <row r="26" customFormat="false" ht="15" hidden="false" customHeight="false" outlineLevel="0" collapsed="false">
      <c r="A26" s="16" t="s">
        <v>51</v>
      </c>
      <c r="B26" s="16" t="s">
        <v>164</v>
      </c>
      <c r="C26" s="17" t="s">
        <v>165</v>
      </c>
      <c r="D26" s="18" t="n">
        <v>1220</v>
      </c>
      <c r="E26" s="16" t="n">
        <v>1</v>
      </c>
      <c r="F26" s="19" t="n">
        <f aca="false">IFERROR(E26*100/D26,0)</f>
        <v>0.0819672131147541</v>
      </c>
      <c r="G26" s="16" t="n">
        <v>0</v>
      </c>
      <c r="H26" s="16" t="n">
        <v>0</v>
      </c>
      <c r="I26" s="19" t="n">
        <f aca="false">IFERROR(H26*1000/D26,0)</f>
        <v>0</v>
      </c>
      <c r="J26" s="20" t="n">
        <v>49.53</v>
      </c>
      <c r="K26" s="20" t="n">
        <v>13</v>
      </c>
      <c r="L26" s="19" t="n">
        <v>0.0157894736842105</v>
      </c>
      <c r="M26" s="17" t="s">
        <v>122</v>
      </c>
    </row>
    <row r="27" customFormat="false" ht="15" hidden="false" customHeight="false" outlineLevel="0" collapsed="false">
      <c r="A27" s="6" t="s">
        <v>51</v>
      </c>
      <c r="B27" s="6" t="s">
        <v>166</v>
      </c>
      <c r="C27" s="7" t="s">
        <v>167</v>
      </c>
      <c r="D27" s="8" t="n">
        <v>985</v>
      </c>
      <c r="E27" s="6" t="n">
        <v>0</v>
      </c>
      <c r="F27" s="9" t="n">
        <f aca="false">IFERROR(E27*100/D27,0)</f>
        <v>0</v>
      </c>
      <c r="G27" s="6" t="n">
        <v>1</v>
      </c>
      <c r="H27" s="6" t="n">
        <v>1</v>
      </c>
      <c r="I27" s="9" t="n">
        <f aca="false">IFERROR(H27*1000/D27,0)</f>
        <v>1.01522842639594</v>
      </c>
      <c r="J27" s="10" t="n">
        <v>0</v>
      </c>
      <c r="K27" s="10" t="n">
        <v>14</v>
      </c>
      <c r="L27" s="9" t="n">
        <v>0.166666666666667</v>
      </c>
      <c r="M27" s="7" t="s">
        <v>122</v>
      </c>
    </row>
    <row r="28" customFormat="false" ht="15" hidden="false" customHeight="false" outlineLevel="0" collapsed="false">
      <c r="A28" s="21" t="s">
        <v>51</v>
      </c>
      <c r="B28" s="21" t="s">
        <v>168</v>
      </c>
      <c r="C28" s="22" t="s">
        <v>169</v>
      </c>
      <c r="D28" s="23" t="n">
        <v>0</v>
      </c>
      <c r="E28" s="21" t="n">
        <v>0</v>
      </c>
      <c r="F28" s="24" t="n">
        <f aca="false">IFERROR(E28*100/D28,0)</f>
        <v>0</v>
      </c>
      <c r="G28" s="21" t="n">
        <v>0</v>
      </c>
      <c r="H28" s="21" t="n">
        <v>0</v>
      </c>
      <c r="I28" s="24" t="n">
        <f aca="false">IFERROR(H28*1000/D28,0)</f>
        <v>0</v>
      </c>
      <c r="J28" s="25" t="n">
        <v>0</v>
      </c>
      <c r="K28" s="25" t="n">
        <v>0</v>
      </c>
      <c r="L28" s="24" t="n">
        <v>0.0110497237569061</v>
      </c>
      <c r="M28" s="22" t="s">
        <v>147</v>
      </c>
    </row>
    <row r="29" customFormat="false" ht="15" hidden="false" customHeight="false" outlineLevel="0" collapsed="false">
      <c r="A29" s="21" t="s">
        <v>51</v>
      </c>
      <c r="B29" s="21" t="s">
        <v>170</v>
      </c>
      <c r="C29" s="22" t="s">
        <v>171</v>
      </c>
      <c r="D29" s="23" t="n">
        <v>0</v>
      </c>
      <c r="E29" s="21" t="n">
        <v>0</v>
      </c>
      <c r="F29" s="24" t="n">
        <f aca="false">IFERROR(E29*100/D29,0)</f>
        <v>0</v>
      </c>
      <c r="G29" s="21" t="n">
        <v>0</v>
      </c>
      <c r="H29" s="21" t="n">
        <v>0</v>
      </c>
      <c r="I29" s="24" t="n">
        <f aca="false">IFERROR(H29*1000/D29,0)</f>
        <v>0</v>
      </c>
      <c r="J29" s="25" t="n">
        <v>0</v>
      </c>
      <c r="K29" s="25" t="n">
        <v>0</v>
      </c>
      <c r="L29" s="24" t="n">
        <v>0.0227272727272727</v>
      </c>
      <c r="M29" s="22" t="s">
        <v>147</v>
      </c>
    </row>
    <row r="30" customFormat="false" ht="15" hidden="false" customHeight="false" outlineLevel="0" collapsed="false">
      <c r="A30" s="21" t="s">
        <v>51</v>
      </c>
      <c r="B30" s="21" t="s">
        <v>172</v>
      </c>
      <c r="C30" s="22" t="s">
        <v>173</v>
      </c>
      <c r="D30" s="23" t="n">
        <v>0</v>
      </c>
      <c r="E30" s="21" t="n">
        <v>0</v>
      </c>
      <c r="F30" s="24" t="n">
        <f aca="false">IFERROR(E30*100/D30,0)</f>
        <v>0</v>
      </c>
      <c r="G30" s="21" t="n">
        <v>0</v>
      </c>
      <c r="H30" s="21" t="n">
        <v>0</v>
      </c>
      <c r="I30" s="24" t="n">
        <f aca="false">IFERROR(H30*1000/D30,0)</f>
        <v>0</v>
      </c>
      <c r="J30" s="25" t="n">
        <v>0</v>
      </c>
      <c r="K30" s="25" t="n">
        <v>0</v>
      </c>
      <c r="L30" s="24" t="n">
        <v>0</v>
      </c>
      <c r="M30" s="22" t="s">
        <v>147</v>
      </c>
    </row>
    <row r="31" customFormat="false" ht="15" hidden="false" customHeight="false" outlineLevel="0" collapsed="false">
      <c r="A31" s="21" t="s">
        <v>51</v>
      </c>
      <c r="B31" s="21" t="s">
        <v>174</v>
      </c>
      <c r="C31" s="22" t="s">
        <v>175</v>
      </c>
      <c r="D31" s="23" t="n">
        <v>0</v>
      </c>
      <c r="E31" s="21" t="n">
        <v>0</v>
      </c>
      <c r="F31" s="24" t="n">
        <f aca="false">IFERROR(E31*100/D31,0)</f>
        <v>0</v>
      </c>
      <c r="G31" s="21" t="n">
        <v>0</v>
      </c>
      <c r="H31" s="21" t="n">
        <v>0</v>
      </c>
      <c r="I31" s="24" t="n">
        <f aca="false">IFERROR(H31*1000/D31,0)</f>
        <v>0</v>
      </c>
      <c r="J31" s="25" t="n">
        <v>0</v>
      </c>
      <c r="K31" s="25" t="n">
        <v>0</v>
      </c>
      <c r="L31" s="24" t="n">
        <v>0</v>
      </c>
      <c r="M31" s="22" t="s">
        <v>147</v>
      </c>
    </row>
    <row r="32" customFormat="false" ht="15" hidden="false" customHeight="false" outlineLevel="0" collapsed="false">
      <c r="A32" s="21" t="s">
        <v>51</v>
      </c>
      <c r="B32" s="21" t="s">
        <v>176</v>
      </c>
      <c r="C32" s="22" t="s">
        <v>177</v>
      </c>
      <c r="D32" s="23" t="n">
        <v>0</v>
      </c>
      <c r="E32" s="21" t="n">
        <v>0</v>
      </c>
      <c r="F32" s="24" t="n">
        <f aca="false">IFERROR(E32*100/D32,0)</f>
        <v>0</v>
      </c>
      <c r="G32" s="21" t="n">
        <v>0</v>
      </c>
      <c r="H32" s="21" t="n">
        <v>0</v>
      </c>
      <c r="I32" s="24" t="n">
        <f aca="false">IFERROR(H32*1000/D32,0)</f>
        <v>0</v>
      </c>
      <c r="J32" s="25" t="n">
        <v>0</v>
      </c>
      <c r="K32" s="25" t="n">
        <v>0</v>
      </c>
      <c r="L32" s="24" t="n">
        <v>0</v>
      </c>
      <c r="M32" s="22" t="s">
        <v>147</v>
      </c>
    </row>
    <row r="33" customFormat="false" ht="15" hidden="false" customHeight="false" outlineLevel="0" collapsed="false">
      <c r="A33" s="16" t="s">
        <v>53</v>
      </c>
      <c r="B33" s="16" t="s">
        <v>178</v>
      </c>
      <c r="C33" s="17" t="s">
        <v>179</v>
      </c>
      <c r="D33" s="18" t="n">
        <v>978</v>
      </c>
      <c r="E33" s="16" t="n">
        <v>1</v>
      </c>
      <c r="F33" s="19" t="n">
        <f aca="false">IFERROR(E33*100/D33,0)</f>
        <v>0.102249488752556</v>
      </c>
      <c r="G33" s="16" t="n">
        <v>0</v>
      </c>
      <c r="H33" s="16" t="n">
        <v>0</v>
      </c>
      <c r="I33" s="19" t="n">
        <f aca="false">IFERROR(H33*1000/D33,0)</f>
        <v>0</v>
      </c>
      <c r="J33" s="20" t="n">
        <v>68.8</v>
      </c>
      <c r="K33" s="20" t="n">
        <v>19</v>
      </c>
      <c r="L33" s="19" t="n">
        <v>0.0300751879699248</v>
      </c>
      <c r="M33" s="17" t="s">
        <v>122</v>
      </c>
    </row>
    <row r="34" customFormat="false" ht="15" hidden="false" customHeight="false" outlineLevel="0" collapsed="false">
      <c r="A34" s="16" t="s">
        <v>53</v>
      </c>
      <c r="B34" s="16" t="s">
        <v>180</v>
      </c>
      <c r="C34" s="17" t="s">
        <v>181</v>
      </c>
      <c r="D34" s="18" t="n">
        <v>2</v>
      </c>
      <c r="E34" s="16" t="n">
        <v>0</v>
      </c>
      <c r="F34" s="19" t="n">
        <f aca="false">IFERROR(E34*100/D34,0)</f>
        <v>0</v>
      </c>
      <c r="G34" s="16" t="n">
        <v>0</v>
      </c>
      <c r="H34" s="16" t="n">
        <v>0</v>
      </c>
      <c r="I34" s="19" t="n">
        <f aca="false">IFERROR(H34*1000/D34,0)</f>
        <v>0</v>
      </c>
      <c r="J34" s="20" t="n">
        <v>137.57</v>
      </c>
      <c r="K34" s="20" t="n">
        <v>41</v>
      </c>
      <c r="L34" s="19" t="n">
        <v>0.16</v>
      </c>
      <c r="M34" s="17" t="s">
        <v>122</v>
      </c>
    </row>
    <row r="35" customFormat="false" ht="15" hidden="false" customHeight="false" outlineLevel="0" collapsed="false">
      <c r="A35" s="21" t="s">
        <v>53</v>
      </c>
      <c r="B35" s="21" t="s">
        <v>182</v>
      </c>
      <c r="C35" s="22" t="s">
        <v>183</v>
      </c>
      <c r="D35" s="23" t="n">
        <v>0</v>
      </c>
      <c r="E35" s="21" t="n">
        <v>0</v>
      </c>
      <c r="F35" s="24" t="n">
        <f aca="false">IFERROR(E35*100/D35,0)</f>
        <v>0</v>
      </c>
      <c r="G35" s="21" t="n">
        <v>0</v>
      </c>
      <c r="H35" s="21" t="n">
        <v>0</v>
      </c>
      <c r="I35" s="24" t="n">
        <f aca="false">IFERROR(H35*1000/D35,0)</f>
        <v>0</v>
      </c>
      <c r="J35" s="25" t="n">
        <v>0</v>
      </c>
      <c r="K35" s="25" t="n">
        <v>0</v>
      </c>
      <c r="L35" s="24" t="n">
        <v>0</v>
      </c>
      <c r="M35" s="22" t="s">
        <v>147</v>
      </c>
    </row>
    <row r="36" customFormat="false" ht="15" hidden="false" customHeight="false" outlineLevel="0" collapsed="false">
      <c r="A36" s="21" t="s">
        <v>53</v>
      </c>
      <c r="B36" s="21" t="s">
        <v>184</v>
      </c>
      <c r="C36" s="22" t="s">
        <v>185</v>
      </c>
      <c r="D36" s="23" t="n">
        <v>0</v>
      </c>
      <c r="E36" s="21" t="n">
        <v>0</v>
      </c>
      <c r="F36" s="24" t="n">
        <f aca="false">IFERROR(E36*100/D36,0)</f>
        <v>0</v>
      </c>
      <c r="G36" s="21" t="n">
        <v>0</v>
      </c>
      <c r="H36" s="21" t="n">
        <v>0</v>
      </c>
      <c r="I36" s="24" t="n">
        <f aca="false">IFERROR(H36*1000/D36,0)</f>
        <v>0</v>
      </c>
      <c r="J36" s="25" t="n">
        <v>0</v>
      </c>
      <c r="K36" s="25" t="n">
        <v>0</v>
      </c>
      <c r="L36" s="24" t="n">
        <v>0</v>
      </c>
      <c r="M36" s="22" t="s">
        <v>147</v>
      </c>
    </row>
    <row r="37" customFormat="false" ht="15" hidden="false" customHeight="false" outlineLevel="0" collapsed="false">
      <c r="A37" s="21" t="s">
        <v>53</v>
      </c>
      <c r="B37" s="21" t="s">
        <v>186</v>
      </c>
      <c r="C37" s="21" t="s">
        <v>187</v>
      </c>
      <c r="D37" s="23" t="n">
        <v>0</v>
      </c>
      <c r="E37" s="21" t="n">
        <v>0</v>
      </c>
      <c r="F37" s="24" t="n">
        <f aca="false">IFERROR(E37*100/D37,0)</f>
        <v>0</v>
      </c>
      <c r="G37" s="21" t="n">
        <v>0</v>
      </c>
      <c r="H37" s="21" t="n">
        <v>0</v>
      </c>
      <c r="I37" s="24" t="n">
        <f aca="false">IFERROR(H37*1000/D37,0)</f>
        <v>0</v>
      </c>
      <c r="J37" s="25" t="n">
        <v>0</v>
      </c>
      <c r="K37" s="25" t="n">
        <v>0</v>
      </c>
      <c r="L37" s="24" t="n">
        <v>0</v>
      </c>
      <c r="M37" s="22" t="s">
        <v>147</v>
      </c>
    </row>
    <row r="38" customFormat="false" ht="15" hidden="false" customHeight="false" outlineLevel="0" collapsed="false">
      <c r="A38" s="21" t="s">
        <v>53</v>
      </c>
      <c r="B38" s="21" t="s">
        <v>188</v>
      </c>
      <c r="C38" s="21" t="s">
        <v>189</v>
      </c>
      <c r="D38" s="23" t="n">
        <v>0</v>
      </c>
      <c r="E38" s="21" t="n">
        <v>0</v>
      </c>
      <c r="F38" s="24" t="n">
        <f aca="false">IFERROR(E38*100/D38,0)</f>
        <v>0</v>
      </c>
      <c r="G38" s="21" t="n">
        <v>0</v>
      </c>
      <c r="H38" s="21" t="n">
        <v>0</v>
      </c>
      <c r="I38" s="24" t="n">
        <f aca="false">IFERROR(H38*1000/D38,0)</f>
        <v>0</v>
      </c>
      <c r="J38" s="25" t="n">
        <v>0</v>
      </c>
      <c r="K38" s="25" t="n">
        <v>0</v>
      </c>
      <c r="L38" s="24" t="n">
        <v>0</v>
      </c>
      <c r="M38" s="22" t="s">
        <v>147</v>
      </c>
    </row>
    <row r="39" customFormat="false" ht="15" hidden="false" customHeight="false" outlineLevel="0" collapsed="false">
      <c r="A39" s="21" t="s">
        <v>53</v>
      </c>
      <c r="B39" s="21" t="s">
        <v>190</v>
      </c>
      <c r="C39" s="22" t="s">
        <v>191</v>
      </c>
      <c r="D39" s="23" t="n">
        <v>0</v>
      </c>
      <c r="E39" s="21" t="n">
        <v>0</v>
      </c>
      <c r="F39" s="24" t="n">
        <f aca="false">IFERROR(E39*100/D39,0)</f>
        <v>0</v>
      </c>
      <c r="G39" s="21" t="n">
        <v>0</v>
      </c>
      <c r="H39" s="21" t="n">
        <v>0</v>
      </c>
      <c r="I39" s="24" t="n">
        <f aca="false">IFERROR(H39*1000/D39,0)</f>
        <v>0</v>
      </c>
      <c r="J39" s="25" t="n">
        <v>0</v>
      </c>
      <c r="K39" s="25" t="n">
        <v>0</v>
      </c>
      <c r="L39" s="24" t="n">
        <v>0</v>
      </c>
      <c r="M39" s="22" t="s">
        <v>147</v>
      </c>
    </row>
    <row r="40" customFormat="false" ht="15" hidden="false" customHeight="false" outlineLevel="0" collapsed="false">
      <c r="A40" s="21" t="s">
        <v>53</v>
      </c>
      <c r="B40" s="21" t="s">
        <v>192</v>
      </c>
      <c r="C40" s="22" t="s">
        <v>193</v>
      </c>
      <c r="D40" s="23" t="n">
        <v>0</v>
      </c>
      <c r="E40" s="21" t="n">
        <v>0</v>
      </c>
      <c r="F40" s="24" t="n">
        <f aca="false">IFERROR(E40*100/D40,0)</f>
        <v>0</v>
      </c>
      <c r="G40" s="21" t="n">
        <v>0</v>
      </c>
      <c r="H40" s="21" t="n">
        <v>0</v>
      </c>
      <c r="I40" s="24" t="n">
        <f aca="false">IFERROR(H40*1000/D40,0)</f>
        <v>0</v>
      </c>
      <c r="J40" s="25" t="n">
        <v>0</v>
      </c>
      <c r="K40" s="25" t="n">
        <v>0</v>
      </c>
      <c r="L40" s="24" t="n">
        <v>0</v>
      </c>
      <c r="M40" s="22" t="s">
        <v>147</v>
      </c>
    </row>
    <row r="41" customFormat="false" ht="15" hidden="false" customHeight="false" outlineLevel="0" collapsed="false">
      <c r="A41" s="16" t="s">
        <v>48</v>
      </c>
      <c r="B41" s="16" t="s">
        <v>194</v>
      </c>
      <c r="C41" s="17" t="s">
        <v>195</v>
      </c>
      <c r="D41" s="18" t="n">
        <v>1307</v>
      </c>
      <c r="E41" s="16" t="n">
        <v>2</v>
      </c>
      <c r="F41" s="19" t="n">
        <f aca="false">IFERROR(E41*100/D41,0)</f>
        <v>0.153022188217292</v>
      </c>
      <c r="G41" s="16" t="n">
        <v>0</v>
      </c>
      <c r="H41" s="16" t="n">
        <v>0</v>
      </c>
      <c r="I41" s="19" t="n">
        <f aca="false">IFERROR(H41*1000/D41,0)</f>
        <v>0</v>
      </c>
      <c r="J41" s="20" t="n">
        <v>58.28</v>
      </c>
      <c r="K41" s="20" t="n">
        <v>19</v>
      </c>
      <c r="L41" s="19" t="n">
        <v>0</v>
      </c>
      <c r="M41" s="17" t="s">
        <v>122</v>
      </c>
    </row>
    <row r="42" customFormat="false" ht="15" hidden="false" customHeight="false" outlineLevel="0" collapsed="false">
      <c r="A42" s="16" t="s">
        <v>48</v>
      </c>
      <c r="B42" s="16" t="s">
        <v>196</v>
      </c>
      <c r="C42" s="17" t="s">
        <v>197</v>
      </c>
      <c r="D42" s="18" t="n">
        <v>6382</v>
      </c>
      <c r="E42" s="16" t="n">
        <v>6</v>
      </c>
      <c r="F42" s="19" t="n">
        <f aca="false">IFERROR(E42*100/D42,0)</f>
        <v>0.0940144155437167</v>
      </c>
      <c r="G42" s="16" t="n">
        <v>0</v>
      </c>
      <c r="H42" s="16" t="n">
        <v>1</v>
      </c>
      <c r="I42" s="19" t="n">
        <f aca="false">IFERROR(H42*1000/D42,0)</f>
        <v>0.156690692572861</v>
      </c>
      <c r="J42" s="20" t="n">
        <v>73.26</v>
      </c>
      <c r="K42" s="20" t="n">
        <v>24</v>
      </c>
      <c r="L42" s="19" t="n">
        <v>0</v>
      </c>
      <c r="M42" s="17" t="s">
        <v>122</v>
      </c>
    </row>
    <row r="43" customFormat="false" ht="15" hidden="false" customHeight="false" outlineLevel="0" collapsed="false">
      <c r="A43" s="16" t="s">
        <v>48</v>
      </c>
      <c r="B43" s="16" t="s">
        <v>198</v>
      </c>
      <c r="C43" s="17" t="s">
        <v>199</v>
      </c>
      <c r="D43" s="18" t="n">
        <v>1349</v>
      </c>
      <c r="E43" s="16" t="n">
        <v>2</v>
      </c>
      <c r="F43" s="19" t="n">
        <f aca="false">IFERROR(E43*100/D43,0)</f>
        <v>0.148257968865827</v>
      </c>
      <c r="G43" s="16" t="n">
        <v>0</v>
      </c>
      <c r="H43" s="16" t="n">
        <v>0</v>
      </c>
      <c r="I43" s="19" t="n">
        <f aca="false">IFERROR(H43*1000/D43,0)</f>
        <v>0</v>
      </c>
      <c r="J43" s="20" t="n">
        <v>97.44</v>
      </c>
      <c r="K43" s="20" t="n">
        <v>32</v>
      </c>
      <c r="L43" s="19" t="n">
        <v>0.138888888888889</v>
      </c>
      <c r="M43" s="17" t="s">
        <v>122</v>
      </c>
    </row>
    <row r="44" customFormat="false" ht="15" hidden="false" customHeight="false" outlineLevel="0" collapsed="false">
      <c r="A44" s="21" t="s">
        <v>48</v>
      </c>
      <c r="B44" s="21" t="s">
        <v>200</v>
      </c>
      <c r="C44" s="22" t="s">
        <v>201</v>
      </c>
      <c r="D44" s="23" t="n">
        <v>0</v>
      </c>
      <c r="E44" s="21" t="n">
        <v>0</v>
      </c>
      <c r="F44" s="24" t="n">
        <f aca="false">IFERROR(E44*100/D44,0)</f>
        <v>0</v>
      </c>
      <c r="G44" s="21" t="n">
        <v>0</v>
      </c>
      <c r="H44" s="21" t="n">
        <v>0</v>
      </c>
      <c r="I44" s="24" t="n">
        <f aca="false">IFERROR(H44*1000/D44,0)</f>
        <v>0</v>
      </c>
      <c r="J44" s="25" t="n">
        <v>0</v>
      </c>
      <c r="K44" s="25" t="n">
        <v>0</v>
      </c>
      <c r="L44" s="24" t="n">
        <v>0.08</v>
      </c>
      <c r="M44" s="22" t="s">
        <v>147</v>
      </c>
    </row>
    <row r="45" customFormat="false" ht="15" hidden="false" customHeight="false" outlineLevel="0" collapsed="false">
      <c r="A45" s="21" t="s">
        <v>48</v>
      </c>
      <c r="B45" s="21" t="s">
        <v>202</v>
      </c>
      <c r="C45" s="22" t="s">
        <v>203</v>
      </c>
      <c r="D45" s="23" t="n">
        <v>0</v>
      </c>
      <c r="E45" s="21" t="n">
        <v>0</v>
      </c>
      <c r="F45" s="24" t="n">
        <f aca="false">IFERROR(E45*100/D45,0)</f>
        <v>0</v>
      </c>
      <c r="G45" s="21" t="n">
        <v>0</v>
      </c>
      <c r="H45" s="21" t="n">
        <v>0</v>
      </c>
      <c r="I45" s="24" t="n">
        <f aca="false">IFERROR(H45*1000/D45,0)</f>
        <v>0</v>
      </c>
      <c r="J45" s="25" t="n">
        <v>0</v>
      </c>
      <c r="K45" s="25" t="n">
        <v>0</v>
      </c>
      <c r="L45" s="24" t="n">
        <v>0</v>
      </c>
      <c r="M45" s="22" t="s">
        <v>147</v>
      </c>
    </row>
    <row r="46" customFormat="false" ht="15" hidden="false" customHeight="false" outlineLevel="0" collapsed="false">
      <c r="A46" s="21" t="s">
        <v>48</v>
      </c>
      <c r="B46" s="21" t="s">
        <v>204</v>
      </c>
      <c r="C46" s="22" t="s">
        <v>205</v>
      </c>
      <c r="D46" s="23" t="n">
        <v>0</v>
      </c>
      <c r="E46" s="21" t="n">
        <v>0</v>
      </c>
      <c r="F46" s="24" t="n">
        <f aca="false">IFERROR(E46*100/D46,0)</f>
        <v>0</v>
      </c>
      <c r="G46" s="21" t="n">
        <v>0</v>
      </c>
      <c r="H46" s="21" t="n">
        <v>0</v>
      </c>
      <c r="I46" s="24" t="n">
        <f aca="false">IFERROR(H46*1000/D46,0)</f>
        <v>0</v>
      </c>
      <c r="J46" s="25" t="n">
        <v>0</v>
      </c>
      <c r="K46" s="25" t="n">
        <v>0</v>
      </c>
      <c r="L46" s="24" t="n">
        <v>0</v>
      </c>
      <c r="M46" s="22" t="s">
        <v>147</v>
      </c>
    </row>
    <row r="47" customFormat="false" ht="15" hidden="false" customHeight="false" outlineLevel="0" collapsed="false">
      <c r="A47" s="21" t="s">
        <v>48</v>
      </c>
      <c r="B47" s="21" t="s">
        <v>206</v>
      </c>
      <c r="C47" s="22" t="s">
        <v>207</v>
      </c>
      <c r="D47" s="23" t="n">
        <v>0</v>
      </c>
      <c r="E47" s="21" t="n">
        <v>0</v>
      </c>
      <c r="F47" s="24" t="n">
        <f aca="false">IFERROR(E47*100/D47,0)</f>
        <v>0</v>
      </c>
      <c r="G47" s="21" t="n">
        <v>0</v>
      </c>
      <c r="H47" s="21" t="n">
        <v>0</v>
      </c>
      <c r="I47" s="24" t="n">
        <f aca="false">IFERROR(H47*1000/D47,0)</f>
        <v>0</v>
      </c>
      <c r="J47" s="25" t="n">
        <v>0</v>
      </c>
      <c r="K47" s="25" t="n">
        <v>0</v>
      </c>
      <c r="L47" s="24" t="n">
        <v>0</v>
      </c>
      <c r="M47" s="22" t="s">
        <v>147</v>
      </c>
    </row>
    <row r="48" customFormat="false" ht="15" hidden="false" customHeight="false" outlineLevel="0" collapsed="false">
      <c r="A48" s="21" t="s">
        <v>48</v>
      </c>
      <c r="B48" s="21" t="s">
        <v>208</v>
      </c>
      <c r="C48" s="22" t="s">
        <v>209</v>
      </c>
      <c r="D48" s="23" t="n">
        <v>0</v>
      </c>
      <c r="E48" s="21" t="n">
        <v>0</v>
      </c>
      <c r="F48" s="24" t="n">
        <f aca="false">IFERROR(E48*100/D48,0)</f>
        <v>0</v>
      </c>
      <c r="G48" s="21" t="n">
        <v>0</v>
      </c>
      <c r="H48" s="21" t="n">
        <v>0</v>
      </c>
      <c r="I48" s="24" t="n">
        <f aca="false">IFERROR(H48*1000/D48,0)</f>
        <v>0</v>
      </c>
      <c r="J48" s="25" t="n">
        <v>0</v>
      </c>
      <c r="K48" s="25" t="n">
        <v>0</v>
      </c>
      <c r="L48" s="24" t="n">
        <v>0</v>
      </c>
      <c r="M48" s="22" t="s">
        <v>147</v>
      </c>
    </row>
    <row r="49" customFormat="false" ht="15" hidden="false" customHeight="false" outlineLevel="0" collapsed="false">
      <c r="A49" s="16" t="s">
        <v>33</v>
      </c>
      <c r="B49" s="16" t="s">
        <v>210</v>
      </c>
      <c r="C49" s="17" t="s">
        <v>211</v>
      </c>
      <c r="D49" s="18" t="n">
        <v>282</v>
      </c>
      <c r="E49" s="16" t="n">
        <v>0</v>
      </c>
      <c r="F49" s="19" t="n">
        <f aca="false">IFERROR(E49*100/D49,0)</f>
        <v>0</v>
      </c>
      <c r="G49" s="16" t="n">
        <v>0</v>
      </c>
      <c r="H49" s="16" t="n">
        <v>0</v>
      </c>
      <c r="I49" s="19" t="n">
        <f aca="false">IFERROR(H49*1000/D49,0)</f>
        <v>0</v>
      </c>
      <c r="J49" s="20" t="n">
        <v>36.95</v>
      </c>
      <c r="K49" s="20" t="n">
        <v>16</v>
      </c>
      <c r="L49" s="19" t="n">
        <v>0.0576923076923077</v>
      </c>
      <c r="M49" s="17" t="s">
        <v>122</v>
      </c>
    </row>
    <row r="50" customFormat="false" ht="15" hidden="false" customHeight="false" outlineLevel="0" collapsed="false">
      <c r="A50" s="6" t="s">
        <v>33</v>
      </c>
      <c r="B50" s="6" t="s">
        <v>212</v>
      </c>
      <c r="C50" s="7" t="s">
        <v>213</v>
      </c>
      <c r="D50" s="8" t="n">
        <v>988</v>
      </c>
      <c r="E50" s="6" t="n">
        <v>3</v>
      </c>
      <c r="F50" s="9" t="n">
        <f aca="false">IFERROR(E50*100/D50,0)</f>
        <v>0.303643724696356</v>
      </c>
      <c r="G50" s="6" t="n">
        <v>0</v>
      </c>
      <c r="H50" s="6" t="n">
        <v>1</v>
      </c>
      <c r="I50" s="9" t="n">
        <f aca="false">IFERROR(H50*1000/D50,0)</f>
        <v>1.01214574898785</v>
      </c>
      <c r="J50" s="10" t="n">
        <v>59.74</v>
      </c>
      <c r="K50" s="10" t="n">
        <v>26</v>
      </c>
      <c r="L50" s="9" t="n">
        <v>0.00716845878136201</v>
      </c>
      <c r="M50" s="7" t="s">
        <v>122</v>
      </c>
    </row>
    <row r="51" customFormat="false" ht="15" hidden="false" customHeight="false" outlineLevel="0" collapsed="false">
      <c r="A51" s="6" t="s">
        <v>33</v>
      </c>
      <c r="B51" s="6" t="s">
        <v>214</v>
      </c>
      <c r="C51" s="7" t="s">
        <v>215</v>
      </c>
      <c r="D51" s="8" t="n">
        <v>986</v>
      </c>
      <c r="E51" s="6" t="n">
        <v>1</v>
      </c>
      <c r="F51" s="9" t="n">
        <f aca="false">IFERROR(E51*100/D51,0)</f>
        <v>0.101419878296146</v>
      </c>
      <c r="G51" s="6" t="n">
        <v>0</v>
      </c>
      <c r="H51" s="6" t="n">
        <v>1</v>
      </c>
      <c r="I51" s="9" t="n">
        <f aca="false">IFERROR(H51*1000/D51,0)</f>
        <v>1.01419878296146</v>
      </c>
      <c r="J51" s="10" t="n">
        <v>39.68</v>
      </c>
      <c r="K51" s="10" t="n">
        <v>17</v>
      </c>
      <c r="L51" s="9" t="n">
        <v>0.0381944444444445</v>
      </c>
      <c r="M51" s="7" t="s">
        <v>122</v>
      </c>
    </row>
    <row r="52" customFormat="false" ht="15" hidden="false" customHeight="false" outlineLevel="0" collapsed="false">
      <c r="A52" s="16" t="s">
        <v>33</v>
      </c>
      <c r="B52" s="16" t="s">
        <v>216</v>
      </c>
      <c r="C52" s="17" t="s">
        <v>217</v>
      </c>
      <c r="D52" s="18" t="n">
        <v>1066</v>
      </c>
      <c r="E52" s="16" t="n">
        <v>2</v>
      </c>
      <c r="F52" s="19" t="n">
        <f aca="false">IFERROR(E52*100/D52,0)</f>
        <v>0.187617260787992</v>
      </c>
      <c r="G52" s="16" t="n">
        <v>0</v>
      </c>
      <c r="H52" s="16" t="n">
        <v>0</v>
      </c>
      <c r="I52" s="19" t="n">
        <f aca="false">IFERROR(H52*1000/D52,0)</f>
        <v>0</v>
      </c>
      <c r="J52" s="20" t="n">
        <v>63.6</v>
      </c>
      <c r="K52" s="20" t="n">
        <v>26</v>
      </c>
      <c r="L52" s="19" t="n">
        <v>0.0190476190476191</v>
      </c>
      <c r="M52" s="17" t="s">
        <v>122</v>
      </c>
    </row>
    <row r="53" customFormat="false" ht="15" hidden="false" customHeight="false" outlineLevel="0" collapsed="false">
      <c r="A53" s="16" t="s">
        <v>33</v>
      </c>
      <c r="B53" s="16" t="s">
        <v>218</v>
      </c>
      <c r="C53" s="17" t="s">
        <v>219</v>
      </c>
      <c r="D53" s="18" t="n">
        <v>1159</v>
      </c>
      <c r="E53" s="16" t="n">
        <v>5</v>
      </c>
      <c r="F53" s="19" t="n">
        <f aca="false">IFERROR(E53*100/D53,0)</f>
        <v>0.431406384814495</v>
      </c>
      <c r="G53" s="16" t="n">
        <v>1</v>
      </c>
      <c r="H53" s="16" t="n">
        <v>1</v>
      </c>
      <c r="I53" s="19" t="n">
        <f aca="false">IFERROR(H53*1000/D53,0)</f>
        <v>0.862812769628991</v>
      </c>
      <c r="J53" s="20" t="n">
        <v>54.38</v>
      </c>
      <c r="K53" s="20" t="n">
        <v>22</v>
      </c>
      <c r="L53" s="19" t="n">
        <v>0.0106382978723404</v>
      </c>
      <c r="M53" s="17" t="s">
        <v>122</v>
      </c>
    </row>
    <row r="54" customFormat="false" ht="15" hidden="false" customHeight="false" outlineLevel="0" collapsed="false">
      <c r="A54" s="16" t="s">
        <v>33</v>
      </c>
      <c r="B54" s="16" t="s">
        <v>220</v>
      </c>
      <c r="C54" s="16" t="s">
        <v>221</v>
      </c>
      <c r="D54" s="18" t="n">
        <v>975</v>
      </c>
      <c r="E54" s="16" t="n">
        <v>1</v>
      </c>
      <c r="F54" s="19" t="n">
        <f aca="false">IFERROR(E54*100/D54,0)</f>
        <v>0.102564102564103</v>
      </c>
      <c r="G54" s="16" t="n">
        <v>0</v>
      </c>
      <c r="H54" s="16" t="n">
        <v>0</v>
      </c>
      <c r="I54" s="19" t="n">
        <f aca="false">IFERROR(H54*1000/D54,0)</f>
        <v>0</v>
      </c>
      <c r="J54" s="20" t="n">
        <v>73.48</v>
      </c>
      <c r="K54" s="20" t="n">
        <v>29</v>
      </c>
      <c r="L54" s="19" t="n">
        <v>0.0206185567010309</v>
      </c>
      <c r="M54" s="17" t="s">
        <v>122</v>
      </c>
    </row>
    <row r="55" customFormat="false" ht="15" hidden="false" customHeight="false" outlineLevel="0" collapsed="false">
      <c r="A55" s="16" t="s">
        <v>33</v>
      </c>
      <c r="B55" s="16" t="s">
        <v>222</v>
      </c>
      <c r="C55" s="17" t="s">
        <v>223</v>
      </c>
      <c r="D55" s="18" t="n">
        <v>1010</v>
      </c>
      <c r="E55" s="16" t="n">
        <v>3</v>
      </c>
      <c r="F55" s="19" t="n">
        <f aca="false">IFERROR(E55*100/D55,0)</f>
        <v>0.297029702970297</v>
      </c>
      <c r="G55" s="16" t="n">
        <v>0</v>
      </c>
      <c r="H55" s="16" t="n">
        <v>0</v>
      </c>
      <c r="I55" s="19" t="n">
        <f aca="false">IFERROR(H55*1000/D55,0)</f>
        <v>0</v>
      </c>
      <c r="J55" s="20" t="n">
        <v>52.69</v>
      </c>
      <c r="K55" s="20" t="n">
        <v>22</v>
      </c>
      <c r="L55" s="19" t="n">
        <v>0.0263157894736842</v>
      </c>
      <c r="M55" s="17" t="s">
        <v>122</v>
      </c>
    </row>
    <row r="56" customFormat="false" ht="15" hidden="false" customHeight="false" outlineLevel="0" collapsed="false">
      <c r="A56" s="16" t="s">
        <v>33</v>
      </c>
      <c r="B56" s="16" t="s">
        <v>224</v>
      </c>
      <c r="C56" s="17" t="s">
        <v>225</v>
      </c>
      <c r="D56" s="18" t="n">
        <v>1052</v>
      </c>
      <c r="E56" s="16" t="n">
        <v>4</v>
      </c>
      <c r="F56" s="19" t="n">
        <f aca="false">IFERROR(E56*100/D56,0)</f>
        <v>0.380228136882129</v>
      </c>
      <c r="G56" s="16" t="n">
        <v>0</v>
      </c>
      <c r="H56" s="16" t="n">
        <v>0</v>
      </c>
      <c r="I56" s="19" t="n">
        <f aca="false">IFERROR(H56*1000/D56,0)</f>
        <v>0</v>
      </c>
      <c r="J56" s="20" t="n">
        <v>56.54</v>
      </c>
      <c r="K56" s="20" t="n">
        <v>24</v>
      </c>
      <c r="L56" s="19" t="n">
        <v>0.0491803278688525</v>
      </c>
      <c r="M56" s="17" t="s">
        <v>122</v>
      </c>
    </row>
    <row r="57" customFormat="false" ht="15" hidden="false" customHeight="false" outlineLevel="0" collapsed="false">
      <c r="A57" s="16" t="s">
        <v>33</v>
      </c>
      <c r="B57" s="16" t="s">
        <v>226</v>
      </c>
      <c r="C57" s="17" t="s">
        <v>227</v>
      </c>
      <c r="D57" s="18" t="n">
        <v>1050</v>
      </c>
      <c r="E57" s="16" t="n">
        <v>1</v>
      </c>
      <c r="F57" s="19" t="n">
        <f aca="false">IFERROR(E57*100/D57,0)</f>
        <v>0.0952380952380952</v>
      </c>
      <c r="G57" s="16" t="n">
        <v>1</v>
      </c>
      <c r="H57" s="16" t="n">
        <v>0</v>
      </c>
      <c r="I57" s="19" t="n">
        <f aca="false">IFERROR(H57*1000/D57,0)</f>
        <v>0</v>
      </c>
      <c r="J57" s="20" t="n">
        <v>45.97</v>
      </c>
      <c r="K57" s="20" t="n">
        <v>19</v>
      </c>
      <c r="L57" s="19" t="n">
        <v>0.0289156626506024</v>
      </c>
      <c r="M57" s="17" t="s">
        <v>122</v>
      </c>
    </row>
    <row r="58" customFormat="false" ht="15" hidden="false" customHeight="false" outlineLevel="0" collapsed="false">
      <c r="A58" s="16" t="s">
        <v>33</v>
      </c>
      <c r="B58" s="16" t="s">
        <v>228</v>
      </c>
      <c r="C58" s="16" t="s">
        <v>229</v>
      </c>
      <c r="D58" s="18" t="n">
        <v>1003</v>
      </c>
      <c r="E58" s="16" t="n">
        <v>3</v>
      </c>
      <c r="F58" s="19" t="n">
        <f aca="false">IFERROR(E58*100/D58,0)</f>
        <v>0.299102691924227</v>
      </c>
      <c r="G58" s="16" t="n">
        <v>0</v>
      </c>
      <c r="H58" s="16" t="n">
        <v>1</v>
      </c>
      <c r="I58" s="19" t="n">
        <f aca="false">IFERROR(H58*1000/D58,0)</f>
        <v>0.997008973080758</v>
      </c>
      <c r="J58" s="20" t="n">
        <v>45.02</v>
      </c>
      <c r="K58" s="20" t="n">
        <v>18</v>
      </c>
      <c r="L58" s="19" t="n">
        <v>0.0194552529182879</v>
      </c>
      <c r="M58" s="17" t="s">
        <v>122</v>
      </c>
    </row>
    <row r="59" customFormat="false" ht="15" hidden="false" customHeight="false" outlineLevel="0" collapsed="false">
      <c r="A59" s="16" t="s">
        <v>33</v>
      </c>
      <c r="B59" s="16" t="s">
        <v>230</v>
      </c>
      <c r="C59" s="17" t="s">
        <v>231</v>
      </c>
      <c r="D59" s="18" t="n">
        <v>1092</v>
      </c>
      <c r="E59" s="16" t="n">
        <v>4</v>
      </c>
      <c r="F59" s="19" t="n">
        <f aca="false">IFERROR(E59*100/D59,0)</f>
        <v>0.366300366300366</v>
      </c>
      <c r="G59" s="16" t="n">
        <v>0</v>
      </c>
      <c r="H59" s="16" t="n">
        <v>0</v>
      </c>
      <c r="I59" s="19" t="n">
        <f aca="false">IFERROR(H59*1000/D59,0)</f>
        <v>0</v>
      </c>
      <c r="J59" s="20" t="n">
        <v>45.12</v>
      </c>
      <c r="K59" s="20" t="n">
        <v>18</v>
      </c>
      <c r="L59" s="19" t="n">
        <v>0.0338983050847458</v>
      </c>
      <c r="M59" s="17" t="s">
        <v>122</v>
      </c>
    </row>
    <row r="60" customFormat="false" ht="15" hidden="false" customHeight="false" outlineLevel="0" collapsed="false">
      <c r="A60" s="6" t="s">
        <v>33</v>
      </c>
      <c r="B60" s="6" t="s">
        <v>232</v>
      </c>
      <c r="C60" s="6" t="s">
        <v>233</v>
      </c>
      <c r="D60" s="8" t="n">
        <v>1185</v>
      </c>
      <c r="E60" s="6" t="n">
        <v>1</v>
      </c>
      <c r="F60" s="9" t="n">
        <f aca="false">IFERROR(E60*100/D60,0)</f>
        <v>0.0843881856540084</v>
      </c>
      <c r="G60" s="6" t="n">
        <v>0</v>
      </c>
      <c r="H60" s="6" t="n">
        <v>2</v>
      </c>
      <c r="I60" s="9" t="n">
        <f aca="false">IFERROR(H60*1000/D60,0)</f>
        <v>1.68776371308017</v>
      </c>
      <c r="J60" s="10" t="n">
        <v>87.79</v>
      </c>
      <c r="K60" s="10" t="n">
        <v>37</v>
      </c>
      <c r="L60" s="9" t="n">
        <v>0</v>
      </c>
      <c r="M60" s="7" t="s">
        <v>122</v>
      </c>
    </row>
    <row r="61" customFormat="false" ht="15" hidden="false" customHeight="false" outlineLevel="0" collapsed="false">
      <c r="A61" s="21" t="s">
        <v>33</v>
      </c>
      <c r="B61" s="21" t="s">
        <v>234</v>
      </c>
      <c r="C61" s="22" t="s">
        <v>235</v>
      </c>
      <c r="D61" s="23" t="n">
        <v>0</v>
      </c>
      <c r="E61" s="21" t="n">
        <v>0</v>
      </c>
      <c r="F61" s="24" t="n">
        <f aca="false">IFERROR(E61*100/D61,0)</f>
        <v>0</v>
      </c>
      <c r="G61" s="21" t="n">
        <v>0</v>
      </c>
      <c r="H61" s="21" t="n">
        <v>0</v>
      </c>
      <c r="I61" s="24" t="n">
        <f aca="false">IFERROR(H61*1000/D61,0)</f>
        <v>0</v>
      </c>
      <c r="J61" s="25" t="n">
        <v>0</v>
      </c>
      <c r="K61" s="25" t="n">
        <v>0</v>
      </c>
      <c r="L61" s="24" t="n">
        <v>0</v>
      </c>
      <c r="M61" s="22" t="s">
        <v>147</v>
      </c>
    </row>
    <row r="62" customFormat="false" ht="15" hidden="false" customHeight="false" outlineLevel="0" collapsed="false">
      <c r="A62" s="21" t="s">
        <v>33</v>
      </c>
      <c r="B62" s="21" t="s">
        <v>236</v>
      </c>
      <c r="C62" s="22" t="s">
        <v>237</v>
      </c>
      <c r="D62" s="23" t="n">
        <v>0</v>
      </c>
      <c r="E62" s="21" t="n">
        <v>0</v>
      </c>
      <c r="F62" s="24" t="n">
        <f aca="false">IFERROR(E62*100/D62,0)</f>
        <v>0</v>
      </c>
      <c r="G62" s="21" t="n">
        <v>0</v>
      </c>
      <c r="H62" s="21" t="n">
        <v>0</v>
      </c>
      <c r="I62" s="24" t="n">
        <f aca="false">IFERROR(H62*1000/D62,0)</f>
        <v>0</v>
      </c>
      <c r="J62" s="25" t="n">
        <v>0</v>
      </c>
      <c r="K62" s="25" t="n">
        <v>0</v>
      </c>
      <c r="L62" s="24" t="n">
        <v>0</v>
      </c>
      <c r="M62" s="22" t="s">
        <v>147</v>
      </c>
    </row>
    <row r="63" customFormat="false" ht="15" hidden="false" customHeight="false" outlineLevel="0" collapsed="false">
      <c r="A63" s="21" t="s">
        <v>33</v>
      </c>
      <c r="B63" s="21" t="s">
        <v>238</v>
      </c>
      <c r="C63" s="22" t="s">
        <v>239</v>
      </c>
      <c r="D63" s="23" t="n">
        <v>0</v>
      </c>
      <c r="E63" s="21" t="n">
        <v>0</v>
      </c>
      <c r="F63" s="24" t="n">
        <f aca="false">IFERROR(E63*100/D63,0)</f>
        <v>0</v>
      </c>
      <c r="G63" s="21" t="n">
        <v>0</v>
      </c>
      <c r="H63" s="21" t="n">
        <v>0</v>
      </c>
      <c r="I63" s="24" t="n">
        <f aca="false">IFERROR(H63*1000/D63,0)</f>
        <v>0</v>
      </c>
      <c r="J63" s="25" t="n">
        <v>0</v>
      </c>
      <c r="K63" s="25" t="n">
        <v>0</v>
      </c>
      <c r="L63" s="24" t="n">
        <v>0</v>
      </c>
      <c r="M63" s="22" t="s">
        <v>147</v>
      </c>
    </row>
    <row r="64" customFormat="false" ht="15" hidden="false" customHeight="false" outlineLevel="0" collapsed="false">
      <c r="A64" s="21" t="s">
        <v>33</v>
      </c>
      <c r="B64" s="21" t="s">
        <v>240</v>
      </c>
      <c r="C64" s="22" t="s">
        <v>241</v>
      </c>
      <c r="D64" s="23" t="n">
        <v>0</v>
      </c>
      <c r="E64" s="21" t="n">
        <v>0</v>
      </c>
      <c r="F64" s="24" t="n">
        <f aca="false">IFERROR(E64*100/D64,0)</f>
        <v>0</v>
      </c>
      <c r="G64" s="21" t="n">
        <v>0</v>
      </c>
      <c r="H64" s="21" t="n">
        <v>0</v>
      </c>
      <c r="I64" s="24" t="n">
        <f aca="false">IFERROR(H64*1000/D64,0)</f>
        <v>0</v>
      </c>
      <c r="J64" s="25" t="n">
        <v>0</v>
      </c>
      <c r="K64" s="25" t="n">
        <v>0</v>
      </c>
      <c r="L64" s="24" t="n">
        <v>0</v>
      </c>
      <c r="M64" s="22" t="s">
        <v>147</v>
      </c>
    </row>
    <row r="65" customFormat="false" ht="15" hidden="false" customHeight="false" outlineLevel="0" collapsed="false">
      <c r="A65" s="21" t="s">
        <v>33</v>
      </c>
      <c r="B65" s="21" t="s">
        <v>242</v>
      </c>
      <c r="C65" s="21" t="s">
        <v>243</v>
      </c>
      <c r="D65" s="23" t="n">
        <v>0</v>
      </c>
      <c r="E65" s="21" t="n">
        <v>0</v>
      </c>
      <c r="F65" s="24" t="n">
        <f aca="false">IFERROR(E65*100/D65,0)</f>
        <v>0</v>
      </c>
      <c r="G65" s="21" t="n">
        <v>0</v>
      </c>
      <c r="H65" s="21" t="n">
        <v>0</v>
      </c>
      <c r="I65" s="24" t="n">
        <f aca="false">IFERROR(H65*1000/D65,0)</f>
        <v>0</v>
      </c>
      <c r="J65" s="25" t="n">
        <v>0</v>
      </c>
      <c r="K65" s="25" t="n">
        <v>0</v>
      </c>
      <c r="L65" s="24" t="n">
        <v>0</v>
      </c>
      <c r="M65" s="22" t="s">
        <v>147</v>
      </c>
    </row>
    <row r="66" customFormat="false" ht="15" hidden="false" customHeight="false" outlineLevel="0" collapsed="false">
      <c r="A66" s="21" t="s">
        <v>33</v>
      </c>
      <c r="B66" s="21" t="s">
        <v>244</v>
      </c>
      <c r="C66" s="22" t="s">
        <v>245</v>
      </c>
      <c r="D66" s="23" t="n">
        <v>0</v>
      </c>
      <c r="E66" s="21" t="n">
        <v>0</v>
      </c>
      <c r="F66" s="24" t="n">
        <f aca="false">IFERROR(E66*100/D66,0)</f>
        <v>0</v>
      </c>
      <c r="G66" s="21" t="n">
        <v>0</v>
      </c>
      <c r="H66" s="21" t="n">
        <v>0</v>
      </c>
      <c r="I66" s="24" t="n">
        <f aca="false">IFERROR(H66*1000/D66,0)</f>
        <v>0</v>
      </c>
      <c r="J66" s="25" t="n">
        <v>0</v>
      </c>
      <c r="K66" s="25" t="n">
        <v>0</v>
      </c>
      <c r="L66" s="24" t="n">
        <v>0</v>
      </c>
      <c r="M66" s="22" t="s">
        <v>147</v>
      </c>
    </row>
    <row r="67" customFormat="false" ht="15" hidden="false" customHeight="false" outlineLevel="0" collapsed="false">
      <c r="A67" s="21" t="s">
        <v>33</v>
      </c>
      <c r="B67" s="21" t="s">
        <v>246</v>
      </c>
      <c r="C67" s="22" t="s">
        <v>247</v>
      </c>
      <c r="D67" s="23" t="n">
        <v>0</v>
      </c>
      <c r="E67" s="21" t="n">
        <v>0</v>
      </c>
      <c r="F67" s="24" t="n">
        <f aca="false">IFERROR(E67*100/D67,0)</f>
        <v>0</v>
      </c>
      <c r="G67" s="21" t="n">
        <v>0</v>
      </c>
      <c r="H67" s="21" t="n">
        <v>0</v>
      </c>
      <c r="I67" s="24" t="n">
        <f aca="false">IFERROR(H67*1000/D67,0)</f>
        <v>0</v>
      </c>
      <c r="J67" s="25" t="n">
        <v>0</v>
      </c>
      <c r="K67" s="25" t="n">
        <v>0</v>
      </c>
      <c r="L67" s="24" t="n">
        <v>0</v>
      </c>
      <c r="M67" s="22" t="s">
        <v>147</v>
      </c>
    </row>
    <row r="68" customFormat="false" ht="15" hidden="false" customHeight="false" outlineLevel="0" collapsed="false">
      <c r="A68" s="16" t="s">
        <v>29</v>
      </c>
      <c r="B68" s="16" t="s">
        <v>248</v>
      </c>
      <c r="C68" s="17" t="s">
        <v>249</v>
      </c>
      <c r="D68" s="18" t="n">
        <v>1009</v>
      </c>
      <c r="E68" s="16" t="n">
        <v>4</v>
      </c>
      <c r="F68" s="19" t="n">
        <f aca="false">IFERROR(E68*100/D68,0)</f>
        <v>0.396432111000991</v>
      </c>
      <c r="G68" s="16" t="n">
        <v>0</v>
      </c>
      <c r="H68" s="16" t="n">
        <v>0</v>
      </c>
      <c r="I68" s="19" t="n">
        <f aca="false">IFERROR(H68*1000/D68,0)</f>
        <v>0</v>
      </c>
      <c r="J68" s="20" t="n">
        <v>91</v>
      </c>
      <c r="K68" s="20" t="n">
        <v>31</v>
      </c>
      <c r="L68" s="19" t="n">
        <v>0</v>
      </c>
      <c r="M68" s="17" t="s">
        <v>122</v>
      </c>
    </row>
    <row r="69" customFormat="false" ht="15" hidden="false" customHeight="false" outlineLevel="0" collapsed="false">
      <c r="A69" s="16" t="s">
        <v>29</v>
      </c>
      <c r="B69" s="16" t="s">
        <v>212</v>
      </c>
      <c r="C69" s="17" t="s">
        <v>250</v>
      </c>
      <c r="D69" s="18" t="n">
        <v>1129</v>
      </c>
      <c r="E69" s="16" t="n">
        <v>5</v>
      </c>
      <c r="F69" s="19" t="n">
        <f aca="false">IFERROR(E69*100/D69,0)</f>
        <v>0.442869796279894</v>
      </c>
      <c r="G69" s="16" t="n">
        <v>0</v>
      </c>
      <c r="H69" s="16" t="n">
        <v>0</v>
      </c>
      <c r="I69" s="19" t="n">
        <f aca="false">IFERROR(H69*1000/D69,0)</f>
        <v>0</v>
      </c>
      <c r="J69" s="20" t="n">
        <v>121.02</v>
      </c>
      <c r="K69" s="20" t="n">
        <v>43</v>
      </c>
      <c r="L69" s="19" t="n">
        <v>0</v>
      </c>
      <c r="M69" s="17" t="s">
        <v>122</v>
      </c>
    </row>
    <row r="70" customFormat="false" ht="15" hidden="false" customHeight="false" outlineLevel="0" collapsed="false">
      <c r="A70" s="16" t="s">
        <v>29</v>
      </c>
      <c r="B70" s="16" t="s">
        <v>251</v>
      </c>
      <c r="C70" s="17" t="s">
        <v>252</v>
      </c>
      <c r="D70" s="18" t="n">
        <v>1005</v>
      </c>
      <c r="E70" s="16" t="n">
        <v>13</v>
      </c>
      <c r="F70" s="19" t="n">
        <f aca="false">IFERROR(E70*100/D70,0)</f>
        <v>1.29353233830846</v>
      </c>
      <c r="G70" s="16" t="n">
        <v>0</v>
      </c>
      <c r="H70" s="16" t="n">
        <v>1</v>
      </c>
      <c r="I70" s="19" t="n">
        <f aca="false">IFERROR(H70*1000/D70,0)</f>
        <v>0.995024875621891</v>
      </c>
      <c r="J70" s="20" t="n">
        <v>41.78</v>
      </c>
      <c r="K70" s="20" t="n">
        <v>14</v>
      </c>
      <c r="L70" s="19" t="n">
        <v>0</v>
      </c>
      <c r="M70" s="17" t="s">
        <v>122</v>
      </c>
    </row>
    <row r="71" customFormat="false" ht="15" hidden="false" customHeight="false" outlineLevel="0" collapsed="false">
      <c r="A71" s="16" t="s">
        <v>29</v>
      </c>
      <c r="B71" s="16" t="s">
        <v>253</v>
      </c>
      <c r="C71" s="17" t="s">
        <v>254</v>
      </c>
      <c r="D71" s="18" t="n">
        <v>904</v>
      </c>
      <c r="E71" s="16" t="n">
        <v>7</v>
      </c>
      <c r="F71" s="19" t="n">
        <f aca="false">IFERROR(E71*100/D71,0)</f>
        <v>0.774336283185841</v>
      </c>
      <c r="G71" s="16" t="n">
        <v>1</v>
      </c>
      <c r="H71" s="16" t="n">
        <v>0</v>
      </c>
      <c r="I71" s="19" t="n">
        <f aca="false">IFERROR(H71*1000/D71,0)</f>
        <v>0</v>
      </c>
      <c r="J71" s="20" t="n">
        <v>109.66</v>
      </c>
      <c r="K71" s="20" t="n">
        <v>37</v>
      </c>
      <c r="L71" s="19" t="n">
        <v>0</v>
      </c>
      <c r="M71" s="17" t="s">
        <v>122</v>
      </c>
    </row>
    <row r="72" customFormat="false" ht="15" hidden="false" customHeight="false" outlineLevel="0" collapsed="false">
      <c r="A72" s="16" t="s">
        <v>29</v>
      </c>
      <c r="B72" s="16" t="s">
        <v>218</v>
      </c>
      <c r="C72" s="17" t="s">
        <v>255</v>
      </c>
      <c r="D72" s="18" t="n">
        <v>927</v>
      </c>
      <c r="E72" s="16" t="n">
        <v>5</v>
      </c>
      <c r="F72" s="19" t="n">
        <f aca="false">IFERROR(E72*100/D72,0)</f>
        <v>0.539374325782093</v>
      </c>
      <c r="G72" s="16" t="n">
        <v>0</v>
      </c>
      <c r="H72" s="16" t="n">
        <v>0</v>
      </c>
      <c r="I72" s="19" t="n">
        <f aca="false">IFERROR(H72*1000/D72,0)</f>
        <v>0</v>
      </c>
      <c r="J72" s="20" t="n">
        <v>51.54</v>
      </c>
      <c r="K72" s="20" t="n">
        <v>18</v>
      </c>
      <c r="L72" s="19" t="n">
        <v>0</v>
      </c>
      <c r="M72" s="17" t="s">
        <v>122</v>
      </c>
    </row>
    <row r="73" customFormat="false" ht="15" hidden="false" customHeight="false" outlineLevel="0" collapsed="false">
      <c r="A73" s="21" t="s">
        <v>29</v>
      </c>
      <c r="B73" s="21" t="s">
        <v>256</v>
      </c>
      <c r="C73" s="22" t="s">
        <v>257</v>
      </c>
      <c r="D73" s="23" t="n">
        <v>0</v>
      </c>
      <c r="E73" s="21" t="n">
        <v>0</v>
      </c>
      <c r="F73" s="24" t="n">
        <f aca="false">IFERROR(E73*100/D73,0)</f>
        <v>0</v>
      </c>
      <c r="G73" s="21" t="n">
        <v>0</v>
      </c>
      <c r="H73" s="21" t="n">
        <v>0</v>
      </c>
      <c r="I73" s="24" t="n">
        <f aca="false">IFERROR(H73*1000/D73,0)</f>
        <v>0</v>
      </c>
      <c r="J73" s="25" t="n">
        <v>0</v>
      </c>
      <c r="K73" s="25" t="n">
        <v>0</v>
      </c>
      <c r="L73" s="24" t="n">
        <v>0</v>
      </c>
      <c r="M73" s="22" t="s">
        <v>147</v>
      </c>
    </row>
    <row r="74" customFormat="false" ht="15" hidden="false" customHeight="false" outlineLevel="0" collapsed="false">
      <c r="A74" s="16" t="s">
        <v>29</v>
      </c>
      <c r="B74" s="16" t="s">
        <v>258</v>
      </c>
      <c r="C74" s="17" t="s">
        <v>259</v>
      </c>
      <c r="D74" s="18" t="n">
        <v>975</v>
      </c>
      <c r="E74" s="16" t="n">
        <v>10</v>
      </c>
      <c r="F74" s="19" t="n">
        <f aca="false">IFERROR(E74*100/D74,0)</f>
        <v>1.02564102564103</v>
      </c>
      <c r="G74" s="16" t="n">
        <v>0</v>
      </c>
      <c r="H74" s="16" t="n">
        <v>0</v>
      </c>
      <c r="I74" s="19" t="n">
        <f aca="false">IFERROR(H74*1000/D74,0)</f>
        <v>0</v>
      </c>
      <c r="J74" s="20" t="n">
        <v>40.24</v>
      </c>
      <c r="K74" s="20" t="n">
        <v>13</v>
      </c>
      <c r="L74" s="19" t="n">
        <v>0</v>
      </c>
      <c r="M74" s="17" t="s">
        <v>122</v>
      </c>
    </row>
    <row r="75" customFormat="false" ht="15" hidden="false" customHeight="false" outlineLevel="0" collapsed="false">
      <c r="A75" s="6" t="s">
        <v>29</v>
      </c>
      <c r="B75" s="6" t="s">
        <v>224</v>
      </c>
      <c r="C75" s="7" t="s">
        <v>260</v>
      </c>
      <c r="D75" s="8" t="n">
        <v>949</v>
      </c>
      <c r="E75" s="6" t="n">
        <v>12</v>
      </c>
      <c r="F75" s="9" t="n">
        <f aca="false">IFERROR(E75*100/D75,0)</f>
        <v>1.26448893572181</v>
      </c>
      <c r="G75" s="6" t="n">
        <v>0</v>
      </c>
      <c r="H75" s="6" t="n">
        <v>2</v>
      </c>
      <c r="I75" s="9" t="n">
        <f aca="false">IFERROR(H75*1000/D75,0)</f>
        <v>2.10748155953635</v>
      </c>
      <c r="J75" s="10" t="n">
        <v>42.66</v>
      </c>
      <c r="K75" s="10" t="n">
        <v>14</v>
      </c>
      <c r="L75" s="9" t="n">
        <v>0.0113636363636364</v>
      </c>
      <c r="M75" s="7" t="s">
        <v>122</v>
      </c>
    </row>
    <row r="76" customFormat="false" ht="15" hidden="false" customHeight="false" outlineLevel="0" collapsed="false">
      <c r="A76" s="16" t="s">
        <v>29</v>
      </c>
      <c r="B76" s="16" t="s">
        <v>261</v>
      </c>
      <c r="C76" s="17" t="s">
        <v>262</v>
      </c>
      <c r="D76" s="18" t="n">
        <v>1116</v>
      </c>
      <c r="E76" s="16" t="n">
        <v>10</v>
      </c>
      <c r="F76" s="19" t="n">
        <f aca="false">IFERROR(E76*100/D76,0)</f>
        <v>0.896057347670251</v>
      </c>
      <c r="G76" s="16" t="n">
        <v>0</v>
      </c>
      <c r="H76" s="16" t="n">
        <v>0</v>
      </c>
      <c r="I76" s="19" t="n">
        <f aca="false">IFERROR(H76*1000/D76,0)</f>
        <v>0</v>
      </c>
      <c r="J76" s="20" t="n">
        <v>46.46</v>
      </c>
      <c r="K76" s="20" t="n">
        <v>16</v>
      </c>
      <c r="L76" s="19" t="n">
        <v>0</v>
      </c>
      <c r="M76" s="17" t="s">
        <v>122</v>
      </c>
    </row>
    <row r="77" customFormat="false" ht="15" hidden="false" customHeight="false" outlineLevel="0" collapsed="false">
      <c r="A77" s="16" t="s">
        <v>29</v>
      </c>
      <c r="B77" s="16" t="s">
        <v>263</v>
      </c>
      <c r="C77" s="17" t="s">
        <v>264</v>
      </c>
      <c r="D77" s="18" t="n">
        <v>1051</v>
      </c>
      <c r="E77" s="16" t="n">
        <v>15</v>
      </c>
      <c r="F77" s="19" t="n">
        <f aca="false">IFERROR(E77*100/D77,0)</f>
        <v>1.42721217887726</v>
      </c>
      <c r="G77" s="16" t="n">
        <v>0</v>
      </c>
      <c r="H77" s="16" t="n">
        <v>0</v>
      </c>
      <c r="I77" s="19" t="n">
        <f aca="false">IFERROR(H77*1000/D77,0)</f>
        <v>0</v>
      </c>
      <c r="J77" s="20" t="n">
        <v>45.99</v>
      </c>
      <c r="K77" s="20" t="n">
        <v>15</v>
      </c>
      <c r="L77" s="19" t="n">
        <v>0.0190476190476191</v>
      </c>
      <c r="M77" s="17" t="s">
        <v>122</v>
      </c>
    </row>
    <row r="78" customFormat="false" ht="15" hidden="false" customHeight="false" outlineLevel="0" collapsed="false">
      <c r="A78" s="6" t="s">
        <v>29</v>
      </c>
      <c r="B78" s="6" t="s">
        <v>228</v>
      </c>
      <c r="C78" s="7" t="s">
        <v>265</v>
      </c>
      <c r="D78" s="8" t="n">
        <v>912</v>
      </c>
      <c r="E78" s="6" t="n">
        <v>12</v>
      </c>
      <c r="F78" s="9" t="n">
        <f aca="false">IFERROR(E78*100/D78,0)</f>
        <v>1.31578947368421</v>
      </c>
      <c r="G78" s="6" t="n">
        <v>0</v>
      </c>
      <c r="H78" s="6" t="n">
        <v>3</v>
      </c>
      <c r="I78" s="9" t="n">
        <f aca="false">IFERROR(H78*1000/D78,0)</f>
        <v>3.28947368421053</v>
      </c>
      <c r="J78" s="10" t="n">
        <v>69.56</v>
      </c>
      <c r="K78" s="10" t="n">
        <v>22</v>
      </c>
      <c r="L78" s="9" t="n">
        <v>0</v>
      </c>
      <c r="M78" s="7" t="s">
        <v>122</v>
      </c>
    </row>
    <row r="79" customFormat="false" ht="15" hidden="false" customHeight="false" outlineLevel="0" collapsed="false">
      <c r="A79" s="6" t="s">
        <v>29</v>
      </c>
      <c r="B79" s="6" t="s">
        <v>266</v>
      </c>
      <c r="C79" s="7" t="s">
        <v>267</v>
      </c>
      <c r="D79" s="8" t="n">
        <v>1138</v>
      </c>
      <c r="E79" s="6" t="n">
        <v>15</v>
      </c>
      <c r="F79" s="9" t="n">
        <f aca="false">IFERROR(E79*100/D79,0)</f>
        <v>1.31810193321617</v>
      </c>
      <c r="G79" s="6" t="n">
        <v>0</v>
      </c>
      <c r="H79" s="6" t="n">
        <v>2</v>
      </c>
      <c r="I79" s="9" t="n">
        <f aca="false">IFERROR(H79*1000/D79,0)</f>
        <v>1.75746924428823</v>
      </c>
      <c r="J79" s="10" t="n">
        <v>38.08</v>
      </c>
      <c r="K79" s="10" t="n">
        <v>11</v>
      </c>
      <c r="L79" s="9" t="n">
        <v>0</v>
      </c>
      <c r="M79" s="7" t="s">
        <v>122</v>
      </c>
    </row>
    <row r="80" customFormat="false" ht="15" hidden="false" customHeight="false" outlineLevel="0" collapsed="false">
      <c r="A80" s="21" t="s">
        <v>29</v>
      </c>
      <c r="B80" s="21" t="s">
        <v>234</v>
      </c>
      <c r="C80" s="22" t="s">
        <v>268</v>
      </c>
      <c r="D80" s="23" t="n">
        <v>0</v>
      </c>
      <c r="E80" s="21" t="n">
        <v>0</v>
      </c>
      <c r="F80" s="24" t="n">
        <f aca="false">IFERROR(E80*100/D80,0)</f>
        <v>0</v>
      </c>
      <c r="G80" s="21" t="n">
        <v>0</v>
      </c>
      <c r="H80" s="21" t="n">
        <v>0</v>
      </c>
      <c r="I80" s="24" t="n">
        <f aca="false">IFERROR(H80*1000/D80,0)</f>
        <v>0</v>
      </c>
      <c r="J80" s="25" t="n">
        <v>0</v>
      </c>
      <c r="K80" s="25" t="n">
        <v>0</v>
      </c>
      <c r="L80" s="24" t="n">
        <v>0</v>
      </c>
      <c r="M80" s="22" t="s">
        <v>147</v>
      </c>
    </row>
    <row r="81" customFormat="false" ht="15" hidden="false" customHeight="false" outlineLevel="0" collapsed="false">
      <c r="A81" s="21" t="s">
        <v>29</v>
      </c>
      <c r="B81" s="21" t="s">
        <v>269</v>
      </c>
      <c r="C81" s="22" t="s">
        <v>270</v>
      </c>
      <c r="D81" s="23" t="n">
        <v>0</v>
      </c>
      <c r="E81" s="21" t="n">
        <v>0</v>
      </c>
      <c r="F81" s="24" t="n">
        <f aca="false">IFERROR(E81*100/D81,0)</f>
        <v>0</v>
      </c>
      <c r="G81" s="21" t="n">
        <v>0</v>
      </c>
      <c r="H81" s="21" t="n">
        <v>0</v>
      </c>
      <c r="I81" s="24" t="n">
        <f aca="false">IFERROR(H81*1000/D81,0)</f>
        <v>0</v>
      </c>
      <c r="J81" s="25" t="n">
        <v>0</v>
      </c>
      <c r="K81" s="25" t="n">
        <v>0</v>
      </c>
      <c r="L81" s="24" t="n">
        <v>0</v>
      </c>
      <c r="M81" s="22" t="s">
        <v>147</v>
      </c>
    </row>
    <row r="82" customFormat="false" ht="15" hidden="false" customHeight="false" outlineLevel="0" collapsed="false">
      <c r="A82" s="21" t="s">
        <v>29</v>
      </c>
      <c r="B82" s="21" t="s">
        <v>240</v>
      </c>
      <c r="C82" s="22" t="s">
        <v>271</v>
      </c>
      <c r="D82" s="23" t="n">
        <v>0</v>
      </c>
      <c r="E82" s="21" t="n">
        <v>0</v>
      </c>
      <c r="F82" s="24" t="n">
        <f aca="false">IFERROR(E82*100/D82,0)</f>
        <v>0</v>
      </c>
      <c r="G82" s="21" t="n">
        <v>0</v>
      </c>
      <c r="H82" s="21" t="n">
        <v>0</v>
      </c>
      <c r="I82" s="24" t="n">
        <f aca="false">IFERROR(H82*1000/D82,0)</f>
        <v>0</v>
      </c>
      <c r="J82" s="25" t="n">
        <v>0</v>
      </c>
      <c r="K82" s="25" t="n">
        <v>0</v>
      </c>
      <c r="L82" s="24" t="n">
        <v>0</v>
      </c>
      <c r="M82" s="22" t="s">
        <v>147</v>
      </c>
    </row>
    <row r="83" customFormat="false" ht="15" hidden="false" customHeight="false" outlineLevel="0" collapsed="false">
      <c r="A83" s="21" t="s">
        <v>29</v>
      </c>
      <c r="B83" s="21" t="s">
        <v>242</v>
      </c>
      <c r="C83" s="22" t="s">
        <v>272</v>
      </c>
      <c r="D83" s="23" t="n">
        <v>0</v>
      </c>
      <c r="E83" s="21" t="n">
        <v>0</v>
      </c>
      <c r="F83" s="24" t="n">
        <f aca="false">IFERROR(E83*100/D83,0)</f>
        <v>0</v>
      </c>
      <c r="G83" s="21" t="n">
        <v>0</v>
      </c>
      <c r="H83" s="21" t="n">
        <v>0</v>
      </c>
      <c r="I83" s="24" t="n">
        <f aca="false">IFERROR(H83*1000/D83,0)</f>
        <v>0</v>
      </c>
      <c r="J83" s="25" t="n">
        <v>0</v>
      </c>
      <c r="K83" s="25" t="n">
        <v>0</v>
      </c>
      <c r="L83" s="24" t="n">
        <v>0</v>
      </c>
      <c r="M83" s="22" t="s">
        <v>147</v>
      </c>
    </row>
    <row r="84" customFormat="false" ht="15" hidden="false" customHeight="false" outlineLevel="0" collapsed="false">
      <c r="A84" s="21" t="s">
        <v>29</v>
      </c>
      <c r="B84" s="21" t="s">
        <v>244</v>
      </c>
      <c r="C84" s="22" t="s">
        <v>273</v>
      </c>
      <c r="D84" s="23" t="n">
        <v>0</v>
      </c>
      <c r="E84" s="21" t="n">
        <v>0</v>
      </c>
      <c r="F84" s="24" t="n">
        <f aca="false">IFERROR(E84*100/D84,0)</f>
        <v>0</v>
      </c>
      <c r="G84" s="21" t="n">
        <v>0</v>
      </c>
      <c r="H84" s="21" t="n">
        <v>0</v>
      </c>
      <c r="I84" s="24" t="n">
        <f aca="false">IFERROR(H84*1000/D84,0)</f>
        <v>0</v>
      </c>
      <c r="J84" s="25" t="n">
        <v>0</v>
      </c>
      <c r="K84" s="25" t="n">
        <v>0</v>
      </c>
      <c r="L84" s="24" t="n">
        <v>0</v>
      </c>
      <c r="M84" s="22" t="s">
        <v>147</v>
      </c>
    </row>
    <row r="85" customFormat="false" ht="15" hidden="false" customHeight="false" outlineLevel="0" collapsed="false">
      <c r="A85" s="21" t="s">
        <v>42</v>
      </c>
      <c r="B85" s="21" t="s">
        <v>274</v>
      </c>
      <c r="C85" s="22" t="s">
        <v>275</v>
      </c>
      <c r="D85" s="23" t="n">
        <v>0</v>
      </c>
      <c r="E85" s="21" t="n">
        <v>0</v>
      </c>
      <c r="F85" s="24" t="n">
        <f aca="false">IFERROR(E85*100/D85,0)</f>
        <v>0</v>
      </c>
      <c r="G85" s="21" t="n">
        <v>0</v>
      </c>
      <c r="H85" s="21" t="n">
        <v>0</v>
      </c>
      <c r="I85" s="24" t="n">
        <f aca="false">IFERROR(H85*1000/D85,0)</f>
        <v>0</v>
      </c>
      <c r="J85" s="25" t="n">
        <v>0</v>
      </c>
      <c r="K85" s="25" t="n">
        <v>0</v>
      </c>
      <c r="L85" s="24" t="n">
        <v>0</v>
      </c>
      <c r="M85" s="22" t="s">
        <v>147</v>
      </c>
    </row>
    <row r="86" customFormat="false" ht="15" hidden="false" customHeight="false" outlineLevel="0" collapsed="false">
      <c r="A86" s="21" t="s">
        <v>42</v>
      </c>
      <c r="B86" s="21" t="s">
        <v>276</v>
      </c>
      <c r="C86" s="22" t="s">
        <v>277</v>
      </c>
      <c r="D86" s="23" t="n">
        <v>0</v>
      </c>
      <c r="E86" s="21" t="n">
        <v>0</v>
      </c>
      <c r="F86" s="24" t="n">
        <f aca="false">IFERROR(E86*100/D86,0)</f>
        <v>0</v>
      </c>
      <c r="G86" s="21" t="n">
        <v>0</v>
      </c>
      <c r="H86" s="21" t="n">
        <v>0</v>
      </c>
      <c r="I86" s="24" t="n">
        <f aca="false">IFERROR(H86*1000/D86,0)</f>
        <v>0</v>
      </c>
      <c r="J86" s="25" t="n">
        <v>0</v>
      </c>
      <c r="K86" s="25" t="n">
        <v>0</v>
      </c>
      <c r="L86" s="24" t="n">
        <v>0</v>
      </c>
      <c r="M86" s="22" t="s">
        <v>147</v>
      </c>
    </row>
    <row r="87" customFormat="false" ht="15" hidden="false" customHeight="false" outlineLevel="0" collapsed="false">
      <c r="A87" s="21" t="s">
        <v>42</v>
      </c>
      <c r="B87" s="21" t="s">
        <v>278</v>
      </c>
      <c r="C87" s="22" t="s">
        <v>279</v>
      </c>
      <c r="D87" s="23" t="n">
        <v>0</v>
      </c>
      <c r="E87" s="21" t="n">
        <v>0</v>
      </c>
      <c r="F87" s="24" t="n">
        <f aca="false">IFERROR(E87*100/D87,0)</f>
        <v>0</v>
      </c>
      <c r="G87" s="21" t="n">
        <v>0</v>
      </c>
      <c r="H87" s="21" t="n">
        <v>0</v>
      </c>
      <c r="I87" s="24" t="n">
        <f aca="false">IFERROR(H87*1000/D87,0)</f>
        <v>0</v>
      </c>
      <c r="J87" s="25" t="n">
        <v>0</v>
      </c>
      <c r="K87" s="25" t="n">
        <v>0</v>
      </c>
      <c r="L87" s="24" t="n">
        <v>0</v>
      </c>
      <c r="M87" s="22" t="s">
        <v>147</v>
      </c>
    </row>
    <row r="88" customFormat="false" ht="15" hidden="false" customHeight="false" outlineLevel="0" collapsed="false">
      <c r="A88" s="21" t="s">
        <v>42</v>
      </c>
      <c r="B88" s="21" t="s">
        <v>280</v>
      </c>
      <c r="C88" s="22" t="s">
        <v>281</v>
      </c>
      <c r="D88" s="23" t="n">
        <v>0</v>
      </c>
      <c r="E88" s="21" t="n">
        <v>0</v>
      </c>
      <c r="F88" s="24" t="n">
        <f aca="false">IFERROR(E88*100/D88,0)</f>
        <v>0</v>
      </c>
      <c r="G88" s="21" t="n">
        <v>0</v>
      </c>
      <c r="H88" s="21" t="n">
        <v>0</v>
      </c>
      <c r="I88" s="24" t="n">
        <f aca="false">IFERROR(H88*1000/D88,0)</f>
        <v>0</v>
      </c>
      <c r="J88" s="25" t="n">
        <v>0</v>
      </c>
      <c r="K88" s="25" t="n">
        <v>0</v>
      </c>
      <c r="L88" s="24" t="n">
        <v>0</v>
      </c>
      <c r="M88" s="22" t="s">
        <v>147</v>
      </c>
    </row>
    <row r="89" customFormat="false" ht="15" hidden="false" customHeight="false" outlineLevel="0" collapsed="false">
      <c r="A89" s="21" t="s">
        <v>42</v>
      </c>
      <c r="B89" s="21" t="s">
        <v>282</v>
      </c>
      <c r="C89" s="22" t="s">
        <v>283</v>
      </c>
      <c r="D89" s="23" t="n">
        <v>0</v>
      </c>
      <c r="E89" s="21" t="n">
        <v>0</v>
      </c>
      <c r="F89" s="24" t="n">
        <f aca="false">IFERROR(E89*100/D89,0)</f>
        <v>0</v>
      </c>
      <c r="G89" s="21" t="n">
        <v>0</v>
      </c>
      <c r="H89" s="21" t="n">
        <v>0</v>
      </c>
      <c r="I89" s="24" t="n">
        <f aca="false">IFERROR(H89*1000/D89,0)</f>
        <v>0</v>
      </c>
      <c r="J89" s="25" t="n">
        <v>0</v>
      </c>
      <c r="K89" s="25" t="n">
        <v>0</v>
      </c>
      <c r="L89" s="24" t="n">
        <v>0</v>
      </c>
      <c r="M89" s="22" t="s">
        <v>147</v>
      </c>
    </row>
    <row r="90" customFormat="false" ht="15" hidden="false" customHeight="false" outlineLevel="0" collapsed="false">
      <c r="A90" s="21" t="s">
        <v>42</v>
      </c>
      <c r="B90" s="21" t="s">
        <v>284</v>
      </c>
      <c r="C90" s="22" t="s">
        <v>285</v>
      </c>
      <c r="D90" s="23" t="n">
        <v>0</v>
      </c>
      <c r="E90" s="21" t="n">
        <v>0</v>
      </c>
      <c r="F90" s="24" t="n">
        <f aca="false">IFERROR(E90*100/D90,0)</f>
        <v>0</v>
      </c>
      <c r="G90" s="21" t="n">
        <v>0</v>
      </c>
      <c r="H90" s="21" t="n">
        <v>0</v>
      </c>
      <c r="I90" s="24" t="n">
        <f aca="false">IFERROR(H90*1000/D90,0)</f>
        <v>0</v>
      </c>
      <c r="J90" s="25" t="n">
        <v>0</v>
      </c>
      <c r="K90" s="25" t="n">
        <v>0</v>
      </c>
      <c r="L90" s="24" t="n">
        <v>0</v>
      </c>
      <c r="M90" s="22" t="s">
        <v>147</v>
      </c>
    </row>
    <row r="91" customFormat="false" ht="15" hidden="false" customHeight="false" outlineLevel="0" collapsed="false">
      <c r="A91" s="16" t="s">
        <v>37</v>
      </c>
      <c r="B91" s="16" t="s">
        <v>286</v>
      </c>
      <c r="C91" s="17" t="s">
        <v>287</v>
      </c>
      <c r="D91" s="18" t="n">
        <v>1020</v>
      </c>
      <c r="E91" s="16" t="n">
        <v>1</v>
      </c>
      <c r="F91" s="19" t="n">
        <f aca="false">IFERROR(E91*100/D91,0)</f>
        <v>0.0980392156862745</v>
      </c>
      <c r="G91" s="16" t="n">
        <v>0</v>
      </c>
      <c r="H91" s="16" t="n">
        <v>1</v>
      </c>
      <c r="I91" s="19" t="n">
        <f aca="false">IFERROR(H91*1000/D91,0)</f>
        <v>0.980392156862745</v>
      </c>
      <c r="J91" s="20" t="n">
        <v>42.79</v>
      </c>
      <c r="K91" s="20" t="n">
        <v>17</v>
      </c>
      <c r="L91" s="19" t="n">
        <v>0</v>
      </c>
      <c r="M91" s="17" t="s">
        <v>122</v>
      </c>
    </row>
    <row r="92" customFormat="false" ht="15" hidden="false" customHeight="false" outlineLevel="0" collapsed="false">
      <c r="A92" s="16" t="s">
        <v>37</v>
      </c>
      <c r="B92" s="16" t="s">
        <v>288</v>
      </c>
      <c r="C92" s="17" t="s">
        <v>289</v>
      </c>
      <c r="D92" s="18" t="n">
        <v>935</v>
      </c>
      <c r="E92" s="16" t="n">
        <v>0</v>
      </c>
      <c r="F92" s="19" t="n">
        <f aca="false">IFERROR(E92*100/D92,0)</f>
        <v>0</v>
      </c>
      <c r="G92" s="16" t="n">
        <v>0</v>
      </c>
      <c r="H92" s="16" t="n">
        <v>0</v>
      </c>
      <c r="I92" s="19" t="n">
        <f aca="false">IFERROR(H92*1000/D92,0)</f>
        <v>0</v>
      </c>
      <c r="J92" s="20" t="n">
        <v>55.9</v>
      </c>
      <c r="K92" s="20" t="n">
        <v>24</v>
      </c>
      <c r="L92" s="19" t="n">
        <v>0</v>
      </c>
      <c r="M92" s="17" t="s">
        <v>122</v>
      </c>
    </row>
    <row r="93" customFormat="false" ht="15" hidden="false" customHeight="false" outlineLevel="0" collapsed="false">
      <c r="A93" s="6" t="s">
        <v>37</v>
      </c>
      <c r="B93" s="6" t="s">
        <v>290</v>
      </c>
      <c r="C93" s="7" t="s">
        <v>291</v>
      </c>
      <c r="D93" s="8" t="n">
        <v>942</v>
      </c>
      <c r="E93" s="6" t="n">
        <v>2</v>
      </c>
      <c r="F93" s="9" t="n">
        <f aca="false">IFERROR(E93*100/D93,0)</f>
        <v>0.212314225053079</v>
      </c>
      <c r="G93" s="6" t="n">
        <v>0</v>
      </c>
      <c r="H93" s="6" t="n">
        <v>1</v>
      </c>
      <c r="I93" s="9" t="n">
        <f aca="false">IFERROR(H93*1000/D93,0)</f>
        <v>1.06157112526539</v>
      </c>
      <c r="J93" s="10" t="n">
        <v>43.38</v>
      </c>
      <c r="K93" s="10" t="n">
        <v>16</v>
      </c>
      <c r="L93" s="9" t="n">
        <v>0.0114942528735632</v>
      </c>
      <c r="M93" s="7" t="s">
        <v>122</v>
      </c>
    </row>
    <row r="94" customFormat="false" ht="15" hidden="false" customHeight="false" outlineLevel="0" collapsed="false">
      <c r="A94" s="16" t="s">
        <v>37</v>
      </c>
      <c r="B94" s="16" t="s">
        <v>292</v>
      </c>
      <c r="C94" s="16" t="s">
        <v>293</v>
      </c>
      <c r="D94" s="18" t="n">
        <v>346</v>
      </c>
      <c r="E94" s="16" t="n">
        <v>2</v>
      </c>
      <c r="F94" s="19" t="n">
        <f aca="false">IFERROR(E94*100/D94,0)</f>
        <v>0.578034682080925</v>
      </c>
      <c r="G94" s="16" t="n">
        <v>0</v>
      </c>
      <c r="H94" s="16" t="n">
        <v>0</v>
      </c>
      <c r="I94" s="19" t="n">
        <f aca="false">IFERROR(H94*1000/D94,0)</f>
        <v>0</v>
      </c>
      <c r="J94" s="20" t="n">
        <v>28.28</v>
      </c>
      <c r="K94" s="20" t="n">
        <v>12</v>
      </c>
      <c r="L94" s="19" t="n">
        <v>0.0350877192982456</v>
      </c>
      <c r="M94" s="17" t="s">
        <v>122</v>
      </c>
    </row>
    <row r="95" customFormat="false" ht="15" hidden="false" customHeight="false" outlineLevel="0" collapsed="false">
      <c r="A95" s="21" t="s">
        <v>37</v>
      </c>
      <c r="B95" s="21" t="s">
        <v>294</v>
      </c>
      <c r="C95" s="22" t="s">
        <v>295</v>
      </c>
      <c r="D95" s="23" t="n">
        <v>0</v>
      </c>
      <c r="E95" s="21" t="n">
        <v>0</v>
      </c>
      <c r="F95" s="24" t="n">
        <f aca="false">IFERROR(E95*100/D95,0)</f>
        <v>0</v>
      </c>
      <c r="G95" s="21" t="n">
        <v>0</v>
      </c>
      <c r="H95" s="21" t="n">
        <v>0</v>
      </c>
      <c r="I95" s="24" t="n">
        <f aca="false">IFERROR(H95*1000/D95,0)</f>
        <v>0</v>
      </c>
      <c r="J95" s="25" t="n">
        <v>0</v>
      </c>
      <c r="K95" s="25" t="n">
        <v>0</v>
      </c>
      <c r="L95" s="24" t="n">
        <v>0</v>
      </c>
      <c r="M95" s="22" t="s">
        <v>147</v>
      </c>
    </row>
    <row r="96" customFormat="false" ht="15" hidden="false" customHeight="false" outlineLevel="0" collapsed="false">
      <c r="A96" s="21" t="s">
        <v>37</v>
      </c>
      <c r="B96" s="21" t="s">
        <v>296</v>
      </c>
      <c r="C96" s="22" t="s">
        <v>297</v>
      </c>
      <c r="D96" s="23" t="n">
        <v>0</v>
      </c>
      <c r="E96" s="21" t="n">
        <v>0</v>
      </c>
      <c r="F96" s="24" t="n">
        <f aca="false">IFERROR(E96*100/D96,0)</f>
        <v>0</v>
      </c>
      <c r="G96" s="21" t="n">
        <v>0</v>
      </c>
      <c r="H96" s="21" t="n">
        <v>0</v>
      </c>
      <c r="I96" s="24" t="n">
        <f aca="false">IFERROR(H96*1000/D96,0)</f>
        <v>0</v>
      </c>
      <c r="J96" s="25" t="n">
        <v>0</v>
      </c>
      <c r="K96" s="25" t="n">
        <v>0</v>
      </c>
      <c r="L96" s="24" t="n">
        <v>0</v>
      </c>
      <c r="M96" s="22" t="s">
        <v>147</v>
      </c>
    </row>
    <row r="97" customFormat="false" ht="15" hidden="false" customHeight="false" outlineLevel="0" collapsed="false">
      <c r="A97" s="21" t="s">
        <v>37</v>
      </c>
      <c r="B97" s="21" t="s">
        <v>298</v>
      </c>
      <c r="C97" s="22" t="s">
        <v>299</v>
      </c>
      <c r="D97" s="23" t="n">
        <v>0</v>
      </c>
      <c r="E97" s="21" t="n">
        <v>0</v>
      </c>
      <c r="F97" s="24" t="n">
        <f aca="false">IFERROR(E97*100/D97,0)</f>
        <v>0</v>
      </c>
      <c r="G97" s="21" t="n">
        <v>0</v>
      </c>
      <c r="H97" s="21" t="n">
        <v>0</v>
      </c>
      <c r="I97" s="24" t="n">
        <f aca="false">IFERROR(H97*1000/D97,0)</f>
        <v>0</v>
      </c>
      <c r="J97" s="25" t="n">
        <v>0</v>
      </c>
      <c r="K97" s="25" t="n">
        <v>0</v>
      </c>
      <c r="L97" s="24" t="n">
        <v>0</v>
      </c>
      <c r="M97" s="22" t="s">
        <v>147</v>
      </c>
    </row>
    <row r="98" customFormat="false" ht="15" hidden="false" customHeight="false" outlineLevel="0" collapsed="false">
      <c r="A98" s="21" t="s">
        <v>37</v>
      </c>
      <c r="B98" s="21" t="s">
        <v>300</v>
      </c>
      <c r="C98" s="22" t="s">
        <v>301</v>
      </c>
      <c r="D98" s="23" t="n">
        <v>0</v>
      </c>
      <c r="E98" s="21" t="n">
        <v>0</v>
      </c>
      <c r="F98" s="24" t="n">
        <f aca="false">IFERROR(E98*100/D98,0)</f>
        <v>0</v>
      </c>
      <c r="G98" s="21" t="n">
        <v>0</v>
      </c>
      <c r="H98" s="21" t="n">
        <v>0</v>
      </c>
      <c r="I98" s="24" t="n">
        <f aca="false">IFERROR(H98*1000/D98,0)</f>
        <v>0</v>
      </c>
      <c r="J98" s="25" t="n">
        <v>0</v>
      </c>
      <c r="K98" s="25" t="n">
        <v>0</v>
      </c>
      <c r="L98" s="24" t="n">
        <v>0</v>
      </c>
      <c r="M98" s="22" t="s">
        <v>147</v>
      </c>
    </row>
    <row r="99" customFormat="false" ht="15" hidden="false" customHeight="false" outlineLevel="0" collapsed="false">
      <c r="A99" s="21" t="s">
        <v>37</v>
      </c>
      <c r="B99" s="21" t="s">
        <v>302</v>
      </c>
      <c r="C99" s="22" t="s">
        <v>303</v>
      </c>
      <c r="D99" s="23" t="n">
        <v>0</v>
      </c>
      <c r="E99" s="21" t="n">
        <v>0</v>
      </c>
      <c r="F99" s="24" t="n">
        <f aca="false">IFERROR(E99*100/D99,0)</f>
        <v>0</v>
      </c>
      <c r="G99" s="21" t="n">
        <v>0</v>
      </c>
      <c r="H99" s="21" t="n">
        <v>0</v>
      </c>
      <c r="I99" s="24" t="n">
        <f aca="false">IFERROR(H99*1000/D99,0)</f>
        <v>0</v>
      </c>
      <c r="J99" s="25" t="n">
        <v>0</v>
      </c>
      <c r="K99" s="25" t="n">
        <v>0</v>
      </c>
      <c r="L99" s="24" t="n">
        <v>0</v>
      </c>
      <c r="M99" s="22" t="s">
        <v>147</v>
      </c>
    </row>
    <row r="100" customFormat="false" ht="15" hidden="false" customHeight="false" outlineLevel="0" collapsed="false">
      <c r="A100" s="21" t="s">
        <v>37</v>
      </c>
      <c r="B100" s="21" t="s">
        <v>304</v>
      </c>
      <c r="C100" s="22" t="s">
        <v>305</v>
      </c>
      <c r="D100" s="23" t="n">
        <v>0</v>
      </c>
      <c r="E100" s="21" t="n">
        <v>0</v>
      </c>
      <c r="F100" s="24" t="n">
        <f aca="false">IFERROR(E100*100/D100,0)</f>
        <v>0</v>
      </c>
      <c r="G100" s="21" t="n">
        <v>0</v>
      </c>
      <c r="H100" s="21" t="n">
        <v>0</v>
      </c>
      <c r="I100" s="24" t="n">
        <f aca="false">IFERROR(H100*1000/D100,0)</f>
        <v>0</v>
      </c>
      <c r="J100" s="25" t="n">
        <v>0</v>
      </c>
      <c r="K100" s="25" t="n">
        <v>0</v>
      </c>
      <c r="L100" s="24" t="n">
        <v>0</v>
      </c>
      <c r="M100" s="22" t="s">
        <v>147</v>
      </c>
    </row>
    <row r="101" customFormat="false" ht="15" hidden="false" customHeight="false" outlineLevel="0" collapsed="false">
      <c r="A101" s="21" t="s">
        <v>37</v>
      </c>
      <c r="B101" s="21" t="s">
        <v>228</v>
      </c>
      <c r="C101" s="22" t="s">
        <v>306</v>
      </c>
      <c r="D101" s="23" t="n">
        <v>0</v>
      </c>
      <c r="E101" s="21" t="n">
        <v>0</v>
      </c>
      <c r="F101" s="24" t="n">
        <f aca="false">IFERROR(E101*100/D101,0)</f>
        <v>0</v>
      </c>
      <c r="G101" s="21" t="n">
        <v>0</v>
      </c>
      <c r="H101" s="21" t="n">
        <v>0</v>
      </c>
      <c r="I101" s="24" t="n">
        <f aca="false">IFERROR(H101*1000/D101,0)</f>
        <v>0</v>
      </c>
      <c r="J101" s="25" t="n">
        <v>0</v>
      </c>
      <c r="K101" s="25" t="n">
        <v>0</v>
      </c>
      <c r="L101" s="24" t="n">
        <v>0</v>
      </c>
      <c r="M101" s="22" t="s">
        <v>147</v>
      </c>
    </row>
    <row r="102" customFormat="false" ht="15" hidden="false" customHeight="false" outlineLevel="0" collapsed="false">
      <c r="A102" s="21" t="s">
        <v>37</v>
      </c>
      <c r="B102" s="21" t="s">
        <v>230</v>
      </c>
      <c r="C102" s="22" t="s">
        <v>307</v>
      </c>
      <c r="D102" s="23" t="n">
        <v>0</v>
      </c>
      <c r="E102" s="21" t="n">
        <v>0</v>
      </c>
      <c r="F102" s="24" t="n">
        <f aca="false">IFERROR(E102*100/D102,0)</f>
        <v>0</v>
      </c>
      <c r="G102" s="21" t="n">
        <v>0</v>
      </c>
      <c r="H102" s="21" t="n">
        <v>0</v>
      </c>
      <c r="I102" s="24" t="n">
        <f aca="false">IFERROR(H102*1000/D102,0)</f>
        <v>0</v>
      </c>
      <c r="J102" s="25" t="n">
        <v>0</v>
      </c>
      <c r="K102" s="25" t="n">
        <v>0</v>
      </c>
      <c r="L102" s="24" t="n">
        <v>0</v>
      </c>
      <c r="M102" s="22" t="s">
        <v>147</v>
      </c>
    </row>
    <row r="103" customFormat="false" ht="15" hidden="false" customHeight="false" outlineLevel="0" collapsed="false">
      <c r="A103" s="16" t="s">
        <v>25</v>
      </c>
      <c r="B103" s="16" t="s">
        <v>308</v>
      </c>
      <c r="C103" s="16" t="s">
        <v>309</v>
      </c>
      <c r="D103" s="18" t="n">
        <v>1007</v>
      </c>
      <c r="E103" s="16" t="n">
        <v>3</v>
      </c>
      <c r="F103" s="19" t="n">
        <f aca="false">IFERROR(E103*100/D103,0)</f>
        <v>0.297914597815293</v>
      </c>
      <c r="G103" s="16" t="n">
        <v>0</v>
      </c>
      <c r="H103" s="16" t="n">
        <v>1</v>
      </c>
      <c r="I103" s="19" t="n">
        <f aca="false">IFERROR(H103*1000/D103,0)</f>
        <v>0.99304865938431</v>
      </c>
      <c r="J103" s="20" t="n">
        <v>31.63</v>
      </c>
      <c r="K103" s="20" t="n">
        <v>11</v>
      </c>
      <c r="L103" s="19" t="n">
        <v>0.0185185185185185</v>
      </c>
      <c r="M103" s="17" t="s">
        <v>122</v>
      </c>
    </row>
    <row r="104" customFormat="false" ht="15" hidden="false" customHeight="false" outlineLevel="0" collapsed="false">
      <c r="A104" s="16" t="s">
        <v>25</v>
      </c>
      <c r="B104" s="16" t="s">
        <v>310</v>
      </c>
      <c r="C104" s="16" t="s">
        <v>311</v>
      </c>
      <c r="D104" s="18" t="n">
        <v>283</v>
      </c>
      <c r="E104" s="16" t="n">
        <v>3</v>
      </c>
      <c r="F104" s="19" t="n">
        <f aca="false">IFERROR(E104*100/D104,0)</f>
        <v>1.06007067137809</v>
      </c>
      <c r="G104" s="16" t="n">
        <v>0</v>
      </c>
      <c r="H104" s="16" t="n">
        <v>0</v>
      </c>
      <c r="I104" s="19" t="n">
        <f aca="false">IFERROR(H104*1000/D104,0)</f>
        <v>0</v>
      </c>
      <c r="J104" s="20" t="n">
        <v>40.14</v>
      </c>
      <c r="K104" s="20" t="n">
        <v>13</v>
      </c>
      <c r="L104" s="19" t="n">
        <v>0</v>
      </c>
      <c r="M104" s="17" t="s">
        <v>122</v>
      </c>
    </row>
    <row r="105" customFormat="false" ht="15" hidden="false" customHeight="false" outlineLevel="0" collapsed="false">
      <c r="A105" s="16" t="s">
        <v>25</v>
      </c>
      <c r="B105" s="16" t="s">
        <v>212</v>
      </c>
      <c r="C105" s="16" t="s">
        <v>312</v>
      </c>
      <c r="D105" s="18" t="n">
        <v>912</v>
      </c>
      <c r="E105" s="16" t="n">
        <v>5</v>
      </c>
      <c r="F105" s="19" t="n">
        <f aca="false">IFERROR(E105*100/D105,0)</f>
        <v>0.548245614035088</v>
      </c>
      <c r="G105" s="16" t="n">
        <v>0</v>
      </c>
      <c r="H105" s="16" t="n">
        <v>0</v>
      </c>
      <c r="I105" s="19" t="n">
        <f aca="false">IFERROR(H105*1000/D105,0)</f>
        <v>0</v>
      </c>
      <c r="J105" s="20" t="n">
        <v>39.45</v>
      </c>
      <c r="K105" s="20" t="n">
        <v>13</v>
      </c>
      <c r="L105" s="19" t="n">
        <v>0.00865051903114187</v>
      </c>
      <c r="M105" s="17" t="s">
        <v>122</v>
      </c>
    </row>
    <row r="106" customFormat="false" ht="15" hidden="false" customHeight="false" outlineLevel="0" collapsed="false">
      <c r="A106" s="6" t="s">
        <v>25</v>
      </c>
      <c r="B106" s="6" t="s">
        <v>313</v>
      </c>
      <c r="C106" s="6" t="s">
        <v>314</v>
      </c>
      <c r="D106" s="8" t="n">
        <v>919</v>
      </c>
      <c r="E106" s="6" t="n">
        <v>8</v>
      </c>
      <c r="F106" s="9" t="n">
        <f aca="false">IFERROR(E106*100/D106,0)</f>
        <v>0.870511425462459</v>
      </c>
      <c r="G106" s="6" t="n">
        <v>0</v>
      </c>
      <c r="H106" s="6" t="n">
        <v>2</v>
      </c>
      <c r="I106" s="9" t="n">
        <f aca="false">IFERROR(H106*1000/D106,0)</f>
        <v>2.17627856365615</v>
      </c>
      <c r="J106" s="10" t="n">
        <v>39.98</v>
      </c>
      <c r="K106" s="10" t="n">
        <v>13</v>
      </c>
      <c r="L106" s="9" t="n">
        <v>0.02088772845953</v>
      </c>
      <c r="M106" s="7" t="s">
        <v>122</v>
      </c>
    </row>
    <row r="107" customFormat="false" ht="15" hidden="false" customHeight="false" outlineLevel="0" collapsed="false">
      <c r="A107" s="16" t="s">
        <v>25</v>
      </c>
      <c r="B107" s="16" t="s">
        <v>315</v>
      </c>
      <c r="C107" s="17" t="s">
        <v>316</v>
      </c>
      <c r="D107" s="18" t="n">
        <v>896</v>
      </c>
      <c r="E107" s="16" t="n">
        <v>3</v>
      </c>
      <c r="F107" s="19" t="n">
        <f aca="false">IFERROR(E107*100/D107,0)</f>
        <v>0.334821428571429</v>
      </c>
      <c r="G107" s="16" t="n">
        <v>0</v>
      </c>
      <c r="H107" s="16" t="n">
        <v>0</v>
      </c>
      <c r="I107" s="19" t="n">
        <f aca="false">IFERROR(H107*1000/D107,0)</f>
        <v>0</v>
      </c>
      <c r="J107" s="20" t="n">
        <v>42.11</v>
      </c>
      <c r="K107" s="20" t="n">
        <v>13</v>
      </c>
      <c r="L107" s="19" t="n">
        <v>0.0289855072463768</v>
      </c>
      <c r="M107" s="17" t="s">
        <v>122</v>
      </c>
    </row>
    <row r="108" customFormat="false" ht="15" hidden="false" customHeight="false" outlineLevel="0" collapsed="false">
      <c r="A108" s="6" t="s">
        <v>25</v>
      </c>
      <c r="B108" s="6" t="s">
        <v>218</v>
      </c>
      <c r="C108" s="6" t="s">
        <v>317</v>
      </c>
      <c r="D108" s="8" t="n">
        <v>1055</v>
      </c>
      <c r="E108" s="6" t="n">
        <v>3</v>
      </c>
      <c r="F108" s="9" t="n">
        <f aca="false">IFERROR(E108*100/D108,0)</f>
        <v>0.28436018957346</v>
      </c>
      <c r="G108" s="6" t="n">
        <v>0</v>
      </c>
      <c r="H108" s="6" t="n">
        <v>2</v>
      </c>
      <c r="I108" s="9" t="n">
        <f aca="false">IFERROR(H108*1000/D108,0)</f>
        <v>1.8957345971564</v>
      </c>
      <c r="J108" s="10" t="n">
        <v>43.39</v>
      </c>
      <c r="K108" s="10" t="n">
        <v>11</v>
      </c>
      <c r="L108" s="9" t="n">
        <v>0.00513874614594039</v>
      </c>
      <c r="M108" s="7" t="s">
        <v>122</v>
      </c>
    </row>
    <row r="109" customFormat="false" ht="15" hidden="false" customHeight="false" outlineLevel="0" collapsed="false">
      <c r="A109" s="16" t="s">
        <v>25</v>
      </c>
      <c r="B109" s="16" t="s">
        <v>318</v>
      </c>
      <c r="C109" s="17" t="s">
        <v>319</v>
      </c>
      <c r="D109" s="18" t="n">
        <v>1037</v>
      </c>
      <c r="E109" s="16" t="n">
        <v>5</v>
      </c>
      <c r="F109" s="19" t="n">
        <f aca="false">IFERROR(E109*100/D109,0)</f>
        <v>0.482160077145612</v>
      </c>
      <c r="G109" s="16" t="n">
        <v>0</v>
      </c>
      <c r="H109" s="16" t="n">
        <v>0</v>
      </c>
      <c r="I109" s="19" t="n">
        <f aca="false">IFERROR(H109*1000/D109,0)</f>
        <v>0</v>
      </c>
      <c r="J109" s="20" t="n">
        <v>42.69</v>
      </c>
      <c r="K109" s="20" t="n">
        <v>11</v>
      </c>
      <c r="L109" s="19" t="n">
        <v>0.00914634146341463</v>
      </c>
      <c r="M109" s="17" t="s">
        <v>122</v>
      </c>
    </row>
    <row r="110" customFormat="false" ht="15" hidden="false" customHeight="false" outlineLevel="0" collapsed="false">
      <c r="A110" s="16" t="s">
        <v>25</v>
      </c>
      <c r="B110" s="16" t="s">
        <v>320</v>
      </c>
      <c r="C110" s="16" t="s">
        <v>321</v>
      </c>
      <c r="D110" s="18" t="n">
        <v>902</v>
      </c>
      <c r="E110" s="16" t="n">
        <v>2</v>
      </c>
      <c r="F110" s="19" t="n">
        <f aca="false">IFERROR(E110*100/D110,0)</f>
        <v>0.221729490022173</v>
      </c>
      <c r="G110" s="16" t="n">
        <v>0</v>
      </c>
      <c r="H110" s="16" t="n">
        <v>0</v>
      </c>
      <c r="I110" s="19" t="n">
        <f aca="false">IFERROR(H110*1000/D110,0)</f>
        <v>0</v>
      </c>
      <c r="J110" s="20" t="n">
        <v>43.31</v>
      </c>
      <c r="K110" s="20" t="n">
        <v>13</v>
      </c>
      <c r="L110" s="19" t="n">
        <v>0.0172413793103448</v>
      </c>
      <c r="M110" s="17" t="s">
        <v>122</v>
      </c>
    </row>
    <row r="111" customFormat="false" ht="15" hidden="false" customHeight="false" outlineLevel="0" collapsed="false">
      <c r="A111" s="6" t="s">
        <v>25</v>
      </c>
      <c r="B111" s="6" t="s">
        <v>224</v>
      </c>
      <c r="C111" s="7" t="s">
        <v>322</v>
      </c>
      <c r="D111" s="8" t="n">
        <v>900</v>
      </c>
      <c r="E111" s="6" t="n">
        <v>4</v>
      </c>
      <c r="F111" s="9" t="n">
        <f aca="false">IFERROR(E111*100/D111,0)</f>
        <v>0.444444444444444</v>
      </c>
      <c r="G111" s="6" t="n">
        <v>0</v>
      </c>
      <c r="H111" s="6" t="n">
        <v>1</v>
      </c>
      <c r="I111" s="9" t="n">
        <f aca="false">IFERROR(H111*1000/D111,0)</f>
        <v>1.11111111111111</v>
      </c>
      <c r="J111" s="10" t="n">
        <v>48.55</v>
      </c>
      <c r="K111" s="10" t="n">
        <v>15</v>
      </c>
      <c r="L111" s="9" t="n">
        <v>0</v>
      </c>
      <c r="M111" s="7" t="s">
        <v>122</v>
      </c>
    </row>
    <row r="112" customFormat="false" ht="15" hidden="false" customHeight="false" outlineLevel="0" collapsed="false">
      <c r="A112" s="6" t="s">
        <v>25</v>
      </c>
      <c r="B112" s="6" t="s">
        <v>302</v>
      </c>
      <c r="C112" s="6" t="s">
        <v>323</v>
      </c>
      <c r="D112" s="8" t="n">
        <v>182</v>
      </c>
      <c r="E112" s="6" t="n">
        <v>1</v>
      </c>
      <c r="F112" s="9" t="n">
        <f aca="false">IFERROR(E112*100/D112,0)</f>
        <v>0.54945054945055</v>
      </c>
      <c r="G112" s="6" t="n">
        <v>0</v>
      </c>
      <c r="H112" s="6" t="n">
        <v>1</v>
      </c>
      <c r="I112" s="9" t="n">
        <f aca="false">IFERROR(H112*1000/D112,0)</f>
        <v>5.49450549450549</v>
      </c>
      <c r="J112" s="10" t="n">
        <v>32.34</v>
      </c>
      <c r="K112" s="10" t="n">
        <v>10</v>
      </c>
      <c r="L112" s="9" t="n">
        <v>0.00980392156862745</v>
      </c>
      <c r="M112" s="7" t="s">
        <v>122</v>
      </c>
    </row>
    <row r="113" customFormat="false" ht="15" hidden="false" customHeight="false" outlineLevel="0" collapsed="false">
      <c r="A113" s="16" t="s">
        <v>25</v>
      </c>
      <c r="B113" s="16" t="s">
        <v>324</v>
      </c>
      <c r="C113" s="16" t="s">
        <v>325</v>
      </c>
      <c r="D113" s="18" t="n">
        <v>381</v>
      </c>
      <c r="E113" s="16" t="n">
        <v>4</v>
      </c>
      <c r="F113" s="19" t="n">
        <f aca="false">IFERROR(E113*100/D113,0)</f>
        <v>1.0498687664042</v>
      </c>
      <c r="G113" s="16" t="n">
        <v>0</v>
      </c>
      <c r="H113" s="16" t="n">
        <v>0</v>
      </c>
      <c r="I113" s="19" t="n">
        <f aca="false">IFERROR(H113*1000/D113,0)</f>
        <v>0</v>
      </c>
      <c r="J113" s="20" t="n">
        <v>154.54</v>
      </c>
      <c r="K113" s="20" t="n">
        <v>47</v>
      </c>
      <c r="L113" s="19" t="n">
        <v>0.00826446280991736</v>
      </c>
      <c r="M113" s="17" t="s">
        <v>122</v>
      </c>
    </row>
    <row r="114" customFormat="false" ht="15" hidden="false" customHeight="false" outlineLevel="0" collapsed="false">
      <c r="A114" s="6" t="s">
        <v>25</v>
      </c>
      <c r="B114" s="6" t="s">
        <v>228</v>
      </c>
      <c r="C114" s="6" t="s">
        <v>326</v>
      </c>
      <c r="D114" s="8" t="n">
        <v>912</v>
      </c>
      <c r="E114" s="6" t="n">
        <v>4</v>
      </c>
      <c r="F114" s="9" t="n">
        <f aca="false">IFERROR(E114*100/D114,0)</f>
        <v>0.43859649122807</v>
      </c>
      <c r="G114" s="6" t="n">
        <v>0</v>
      </c>
      <c r="H114" s="6" t="n">
        <v>2</v>
      </c>
      <c r="I114" s="9" t="n">
        <f aca="false">IFERROR(H114*1000/D114,0)</f>
        <v>2.19298245614035</v>
      </c>
      <c r="J114" s="10" t="n">
        <v>45.86</v>
      </c>
      <c r="K114" s="10" t="n">
        <v>13</v>
      </c>
      <c r="L114" s="9" t="n">
        <v>0.00401606425702811</v>
      </c>
      <c r="M114" s="7" t="s">
        <v>122</v>
      </c>
    </row>
    <row r="115" customFormat="false" ht="15" hidden="false" customHeight="false" outlineLevel="0" collapsed="false">
      <c r="A115" s="16" t="s">
        <v>25</v>
      </c>
      <c r="B115" s="16" t="s">
        <v>230</v>
      </c>
      <c r="C115" s="16" t="s">
        <v>327</v>
      </c>
      <c r="D115" s="18" t="n">
        <v>140</v>
      </c>
      <c r="E115" s="16" t="n">
        <v>0</v>
      </c>
      <c r="F115" s="19" t="n">
        <f aca="false">IFERROR(E115*100/D115,0)</f>
        <v>0</v>
      </c>
      <c r="G115" s="16" t="n">
        <v>0</v>
      </c>
      <c r="H115" s="16" t="n">
        <v>0</v>
      </c>
      <c r="I115" s="19" t="n">
        <f aca="false">IFERROR(H115*1000/D115,0)</f>
        <v>0</v>
      </c>
      <c r="J115" s="20" t="n">
        <v>38.42</v>
      </c>
      <c r="K115" s="20" t="n">
        <v>11</v>
      </c>
      <c r="L115" s="19" t="n">
        <v>0.00685871056241427</v>
      </c>
      <c r="M115" s="17" t="s">
        <v>122</v>
      </c>
    </row>
    <row r="116" customFormat="false" ht="15" hidden="false" customHeight="false" outlineLevel="0" collapsed="false">
      <c r="A116" s="21" t="s">
        <v>25</v>
      </c>
      <c r="B116" s="21" t="s">
        <v>328</v>
      </c>
      <c r="C116" s="22" t="s">
        <v>329</v>
      </c>
      <c r="D116" s="23" t="n">
        <v>0</v>
      </c>
      <c r="E116" s="21" t="n">
        <v>0</v>
      </c>
      <c r="F116" s="24" t="n">
        <f aca="false">IFERROR(E116*100/D116,0)</f>
        <v>0</v>
      </c>
      <c r="G116" s="21" t="n">
        <v>0</v>
      </c>
      <c r="H116" s="21" t="n">
        <v>0</v>
      </c>
      <c r="I116" s="24" t="n">
        <f aca="false">IFERROR(H116*1000/D116,0)</f>
        <v>0</v>
      </c>
      <c r="J116" s="25" t="n">
        <v>0</v>
      </c>
      <c r="K116" s="25" t="n">
        <v>0</v>
      </c>
      <c r="L116" s="24" t="n">
        <v>0.0481927710843374</v>
      </c>
      <c r="M116" s="22" t="s">
        <v>147</v>
      </c>
    </row>
    <row r="117" customFormat="false" ht="15" hidden="false" customHeight="false" outlineLevel="0" collapsed="false">
      <c r="A117" s="21" t="s">
        <v>25</v>
      </c>
      <c r="B117" s="21" t="s">
        <v>236</v>
      </c>
      <c r="C117" s="21" t="s">
        <v>330</v>
      </c>
      <c r="D117" s="23" t="n">
        <v>0</v>
      </c>
      <c r="E117" s="21" t="n">
        <v>0</v>
      </c>
      <c r="F117" s="24" t="n">
        <f aca="false">IFERROR(E117*100/D117,0)</f>
        <v>0</v>
      </c>
      <c r="G117" s="21" t="n">
        <v>0</v>
      </c>
      <c r="H117" s="21" t="n">
        <v>0</v>
      </c>
      <c r="I117" s="24" t="n">
        <f aca="false">IFERROR(H117*1000/D117,0)</f>
        <v>0</v>
      </c>
      <c r="J117" s="25" t="n">
        <v>0</v>
      </c>
      <c r="K117" s="25" t="n">
        <v>0</v>
      </c>
      <c r="L117" s="24" t="n">
        <v>0</v>
      </c>
      <c r="M117" s="22" t="s">
        <v>147</v>
      </c>
    </row>
    <row r="118" customFormat="false" ht="15" hidden="false" customHeight="false" outlineLevel="0" collapsed="false">
      <c r="A118" s="21" t="s">
        <v>25</v>
      </c>
      <c r="B118" s="21" t="s">
        <v>331</v>
      </c>
      <c r="C118" s="22" t="s">
        <v>332</v>
      </c>
      <c r="D118" s="23" t="n">
        <v>0</v>
      </c>
      <c r="E118" s="21" t="n">
        <v>0</v>
      </c>
      <c r="F118" s="24" t="n">
        <f aca="false">IFERROR(E118*100/D118,0)</f>
        <v>0</v>
      </c>
      <c r="G118" s="21" t="n">
        <v>0</v>
      </c>
      <c r="H118" s="21" t="n">
        <v>0</v>
      </c>
      <c r="I118" s="24" t="n">
        <f aca="false">IFERROR(H118*1000/D118,0)</f>
        <v>0</v>
      </c>
      <c r="J118" s="25" t="n">
        <v>0</v>
      </c>
      <c r="K118" s="25" t="n">
        <v>0</v>
      </c>
      <c r="L118" s="24" t="n">
        <v>0</v>
      </c>
      <c r="M118" s="22" t="s">
        <v>147</v>
      </c>
    </row>
    <row r="119" customFormat="false" ht="15" hidden="false" customHeight="false" outlineLevel="0" collapsed="false">
      <c r="A119" s="21" t="s">
        <v>25</v>
      </c>
      <c r="B119" s="21" t="s">
        <v>333</v>
      </c>
      <c r="C119" s="21" t="s">
        <v>334</v>
      </c>
      <c r="D119" s="23" t="n">
        <v>0</v>
      </c>
      <c r="E119" s="21" t="n">
        <v>0</v>
      </c>
      <c r="F119" s="24" t="n">
        <f aca="false">IFERROR(E119*100/D119,0)</f>
        <v>0</v>
      </c>
      <c r="G119" s="21" t="n">
        <v>0</v>
      </c>
      <c r="H119" s="21" t="n">
        <v>0</v>
      </c>
      <c r="I119" s="24" t="n">
        <f aca="false">IFERROR(H119*1000/D119,0)</f>
        <v>0</v>
      </c>
      <c r="J119" s="25" t="n">
        <v>0</v>
      </c>
      <c r="K119" s="25" t="n">
        <v>0</v>
      </c>
      <c r="L119" s="24" t="n">
        <v>0</v>
      </c>
      <c r="M119" s="22" t="s">
        <v>147</v>
      </c>
    </row>
    <row r="120" customFormat="false" ht="15" hidden="false" customHeight="false" outlineLevel="0" collapsed="false">
      <c r="A120" s="21" t="s">
        <v>25</v>
      </c>
      <c r="B120" s="21" t="s">
        <v>244</v>
      </c>
      <c r="C120" s="21" t="s">
        <v>335</v>
      </c>
      <c r="D120" s="23" t="n">
        <v>0</v>
      </c>
      <c r="E120" s="21" t="n">
        <v>0</v>
      </c>
      <c r="F120" s="24" t="n">
        <f aca="false">IFERROR(E120*100/D120,0)</f>
        <v>0</v>
      </c>
      <c r="G120" s="21" t="n">
        <v>0</v>
      </c>
      <c r="H120" s="21" t="n">
        <v>0</v>
      </c>
      <c r="I120" s="24" t="n">
        <f aca="false">IFERROR(H120*1000/D120,0)</f>
        <v>0</v>
      </c>
      <c r="J120" s="25" t="n">
        <v>0</v>
      </c>
      <c r="K120" s="25" t="n">
        <v>0</v>
      </c>
      <c r="L120" s="24" t="n">
        <v>0</v>
      </c>
      <c r="M120" s="22" t="s">
        <v>147</v>
      </c>
    </row>
    <row r="121" customFormat="false" ht="15" hidden="false" customHeight="false" outlineLevel="0" collapsed="false">
      <c r="A121" s="21" t="s">
        <v>25</v>
      </c>
      <c r="B121" s="21" t="s">
        <v>246</v>
      </c>
      <c r="C121" s="21" t="s">
        <v>336</v>
      </c>
      <c r="D121" s="23" t="n">
        <v>0</v>
      </c>
      <c r="E121" s="21" t="n">
        <v>0</v>
      </c>
      <c r="F121" s="24" t="n">
        <f aca="false">IFERROR(E121*100/D121,0)</f>
        <v>0</v>
      </c>
      <c r="G121" s="21" t="n">
        <v>0</v>
      </c>
      <c r="H121" s="21" t="n">
        <v>0</v>
      </c>
      <c r="I121" s="24" t="n">
        <f aca="false">IFERROR(H121*1000/D121,0)</f>
        <v>0</v>
      </c>
      <c r="J121" s="25" t="n">
        <v>0</v>
      </c>
      <c r="K121" s="25" t="n">
        <v>0</v>
      </c>
      <c r="L121" s="24" t="n">
        <v>0</v>
      </c>
      <c r="M121" s="22" t="s">
        <v>147</v>
      </c>
    </row>
    <row r="122" customFormat="false" ht="15" hidden="false" customHeight="false" outlineLevel="0" collapsed="false">
      <c r="A122" s="21" t="s">
        <v>40</v>
      </c>
      <c r="B122" s="21" t="s">
        <v>337</v>
      </c>
      <c r="C122" s="22" t="s">
        <v>338</v>
      </c>
      <c r="D122" s="23" t="n">
        <v>0</v>
      </c>
      <c r="E122" s="21" t="n">
        <v>0</v>
      </c>
      <c r="F122" s="24" t="n">
        <f aca="false">IFERROR(E122*100/D122,0)</f>
        <v>0</v>
      </c>
      <c r="G122" s="21" t="n">
        <v>0</v>
      </c>
      <c r="H122" s="21" t="n">
        <v>0</v>
      </c>
      <c r="I122" s="24" t="n">
        <f aca="false">IFERROR(H122*1000/D122,0)</f>
        <v>0</v>
      </c>
      <c r="J122" s="25" t="n">
        <v>0</v>
      </c>
      <c r="K122" s="25" t="n">
        <v>0</v>
      </c>
      <c r="L122" s="24" t="n">
        <v>0</v>
      </c>
      <c r="M122" s="22" t="s">
        <v>147</v>
      </c>
    </row>
    <row r="123" customFormat="false" ht="15" hidden="false" customHeight="false" outlineLevel="0" collapsed="false">
      <c r="A123" s="21" t="s">
        <v>40</v>
      </c>
      <c r="B123" s="21" t="s">
        <v>339</v>
      </c>
      <c r="C123" s="22" t="s">
        <v>340</v>
      </c>
      <c r="D123" s="23" t="n">
        <v>0</v>
      </c>
      <c r="E123" s="21" t="n">
        <v>0</v>
      </c>
      <c r="F123" s="24" t="n">
        <f aca="false">IFERROR(E123*100/D123,0)</f>
        <v>0</v>
      </c>
      <c r="G123" s="21" t="n">
        <v>0</v>
      </c>
      <c r="H123" s="21" t="n">
        <v>0</v>
      </c>
      <c r="I123" s="24" t="n">
        <f aca="false">IFERROR(H123*1000/D123,0)</f>
        <v>0</v>
      </c>
      <c r="J123" s="25" t="n">
        <v>0</v>
      </c>
      <c r="K123" s="25" t="n">
        <v>0</v>
      </c>
      <c r="L123" s="24" t="n">
        <v>0</v>
      </c>
      <c r="M123" s="22" t="s">
        <v>147</v>
      </c>
    </row>
    <row r="124" customFormat="false" ht="15" hidden="false" customHeight="false" outlineLevel="0" collapsed="false">
      <c r="A124" s="16" t="s">
        <v>31</v>
      </c>
      <c r="B124" s="16" t="s">
        <v>341</v>
      </c>
      <c r="C124" s="17" t="s">
        <v>342</v>
      </c>
      <c r="D124" s="18" t="n">
        <v>1078</v>
      </c>
      <c r="E124" s="16" t="n">
        <v>14</v>
      </c>
      <c r="F124" s="19" t="n">
        <f aca="false">IFERROR(E124*100/D124,0)</f>
        <v>1.2987012987013</v>
      </c>
      <c r="G124" s="16" t="n">
        <v>0</v>
      </c>
      <c r="H124" s="16" t="n">
        <v>1</v>
      </c>
      <c r="I124" s="19" t="n">
        <f aca="false">IFERROR(H124*1000/D124,0)</f>
        <v>0.927643784786642</v>
      </c>
      <c r="J124" s="20" t="n">
        <v>55.99</v>
      </c>
      <c r="K124" s="20" t="n">
        <v>17</v>
      </c>
      <c r="L124" s="19" t="n">
        <v>0.0136518771331058</v>
      </c>
      <c r="M124" s="17" t="s">
        <v>122</v>
      </c>
    </row>
    <row r="125" customFormat="false" ht="15" hidden="false" customHeight="false" outlineLevel="0" collapsed="false">
      <c r="A125" s="6" t="s">
        <v>31</v>
      </c>
      <c r="B125" s="6" t="s">
        <v>343</v>
      </c>
      <c r="C125" s="7" t="s">
        <v>344</v>
      </c>
      <c r="D125" s="8" t="n">
        <v>1020</v>
      </c>
      <c r="E125" s="6" t="n">
        <v>6</v>
      </c>
      <c r="F125" s="9" t="n">
        <f aca="false">IFERROR(E125*100/D125,0)</f>
        <v>0.588235294117647</v>
      </c>
      <c r="G125" s="6" t="n">
        <v>0</v>
      </c>
      <c r="H125" s="6" t="n">
        <v>2</v>
      </c>
      <c r="I125" s="9" t="n">
        <f aca="false">IFERROR(H125*1000/D125,0)</f>
        <v>1.96078431372549</v>
      </c>
      <c r="J125" s="10" t="n">
        <v>46.07</v>
      </c>
      <c r="K125" s="10" t="n">
        <v>13</v>
      </c>
      <c r="L125" s="9" t="n">
        <v>0.0346820809248555</v>
      </c>
      <c r="M125" s="7" t="s">
        <v>122</v>
      </c>
    </row>
    <row r="126" customFormat="false" ht="15" hidden="false" customHeight="false" outlineLevel="0" collapsed="false">
      <c r="A126" s="16" t="s">
        <v>31</v>
      </c>
      <c r="B126" s="16" t="s">
        <v>196</v>
      </c>
      <c r="C126" s="17" t="s">
        <v>345</v>
      </c>
      <c r="D126" s="18" t="n">
        <v>1011</v>
      </c>
      <c r="E126" s="16" t="n">
        <v>2</v>
      </c>
      <c r="F126" s="19" t="n">
        <f aca="false">IFERROR(E126*100/D126,0)</f>
        <v>0.19782393669634</v>
      </c>
      <c r="G126" s="16" t="n">
        <v>0</v>
      </c>
      <c r="H126" s="16" t="n">
        <v>0</v>
      </c>
      <c r="I126" s="19" t="n">
        <f aca="false">IFERROR(H126*1000/D126,0)</f>
        <v>0</v>
      </c>
      <c r="J126" s="20" t="n">
        <v>44.46</v>
      </c>
      <c r="K126" s="20" t="n">
        <v>15</v>
      </c>
      <c r="L126" s="19" t="n">
        <v>0.0263157894736842</v>
      </c>
      <c r="M126" s="17" t="s">
        <v>122</v>
      </c>
    </row>
    <row r="127" customFormat="false" ht="15" hidden="false" customHeight="false" outlineLevel="0" collapsed="false">
      <c r="A127" s="6" t="s">
        <v>31</v>
      </c>
      <c r="B127" s="6" t="s">
        <v>346</v>
      </c>
      <c r="C127" s="7" t="s">
        <v>347</v>
      </c>
      <c r="D127" s="8" t="n">
        <v>1000</v>
      </c>
      <c r="E127" s="6" t="n">
        <v>7</v>
      </c>
      <c r="F127" s="9" t="n">
        <f aca="false">IFERROR(E127*100/D127,0)</f>
        <v>0.7</v>
      </c>
      <c r="G127" s="6" t="n">
        <v>0</v>
      </c>
      <c r="H127" s="6" t="n">
        <v>1</v>
      </c>
      <c r="I127" s="9" t="n">
        <f aca="false">IFERROR(H127*1000/D127,0)</f>
        <v>1</v>
      </c>
      <c r="J127" s="10" t="n">
        <v>44.48</v>
      </c>
      <c r="K127" s="10" t="n">
        <v>15</v>
      </c>
      <c r="L127" s="9" t="n">
        <v>0</v>
      </c>
      <c r="M127" s="7" t="s">
        <v>122</v>
      </c>
    </row>
    <row r="128" customFormat="false" ht="15" hidden="false" customHeight="false" outlineLevel="0" collapsed="false">
      <c r="A128" s="16" t="s">
        <v>31</v>
      </c>
      <c r="B128" s="16" t="s">
        <v>348</v>
      </c>
      <c r="C128" s="17" t="s">
        <v>349</v>
      </c>
      <c r="D128" s="18" t="n">
        <v>2</v>
      </c>
      <c r="E128" s="16" t="n">
        <v>0</v>
      </c>
      <c r="F128" s="19" t="n">
        <f aca="false">IFERROR(E128*100/D128,0)</f>
        <v>0</v>
      </c>
      <c r="G128" s="16" t="n">
        <v>0</v>
      </c>
      <c r="H128" s="16" t="n">
        <v>0</v>
      </c>
      <c r="I128" s="19" t="n">
        <f aca="false">IFERROR(H128*1000/D128,0)</f>
        <v>0</v>
      </c>
      <c r="J128" s="20" t="n">
        <v>20.47</v>
      </c>
      <c r="K128" s="20" t="n">
        <v>6</v>
      </c>
      <c r="L128" s="19" t="n">
        <v>0</v>
      </c>
      <c r="M128" s="17" t="s">
        <v>122</v>
      </c>
    </row>
    <row r="129" customFormat="false" ht="15" hidden="false" customHeight="false" outlineLevel="0" collapsed="false">
      <c r="A129" s="16" t="s">
        <v>31</v>
      </c>
      <c r="B129" s="16" t="s">
        <v>350</v>
      </c>
      <c r="C129" s="17" t="s">
        <v>351</v>
      </c>
      <c r="D129" s="18" t="n">
        <v>867</v>
      </c>
      <c r="E129" s="16" t="n">
        <v>6</v>
      </c>
      <c r="F129" s="19" t="n">
        <f aca="false">IFERROR(E129*100/D129,0)</f>
        <v>0.692041522491349</v>
      </c>
      <c r="G129" s="16" t="n">
        <v>0</v>
      </c>
      <c r="H129" s="16" t="n">
        <v>0</v>
      </c>
      <c r="I129" s="19" t="n">
        <f aca="false">IFERROR(H129*1000/D129,0)</f>
        <v>0</v>
      </c>
      <c r="J129" s="20" t="n">
        <v>153.83</v>
      </c>
      <c r="K129" s="20" t="n">
        <v>44</v>
      </c>
      <c r="L129" s="19" t="n">
        <v>0</v>
      </c>
      <c r="M129" s="17" t="s">
        <v>122</v>
      </c>
    </row>
    <row r="130" customFormat="false" ht="15" hidden="false" customHeight="false" outlineLevel="0" collapsed="false">
      <c r="A130" s="6" t="s">
        <v>31</v>
      </c>
      <c r="B130" s="6" t="s">
        <v>352</v>
      </c>
      <c r="C130" s="7" t="s">
        <v>353</v>
      </c>
      <c r="D130" s="8" t="n">
        <v>1173</v>
      </c>
      <c r="E130" s="6" t="n">
        <v>13</v>
      </c>
      <c r="F130" s="9" t="n">
        <f aca="false">IFERROR(E130*100/D130,0)</f>
        <v>1.10826939471441</v>
      </c>
      <c r="G130" s="6" t="n">
        <v>0</v>
      </c>
      <c r="H130" s="6" t="n">
        <v>3</v>
      </c>
      <c r="I130" s="9" t="n">
        <f aca="false">IFERROR(H130*1000/D130,0)</f>
        <v>2.55754475703325</v>
      </c>
      <c r="J130" s="10" t="n">
        <v>51.57</v>
      </c>
      <c r="K130" s="10" t="n">
        <v>16</v>
      </c>
      <c r="L130" s="9" t="n">
        <v>0</v>
      </c>
      <c r="M130" s="7" t="s">
        <v>122</v>
      </c>
    </row>
    <row r="131" customFormat="false" ht="15" hidden="false" customHeight="false" outlineLevel="0" collapsed="false">
      <c r="A131" s="6" t="s">
        <v>31</v>
      </c>
      <c r="B131" s="6" t="s">
        <v>204</v>
      </c>
      <c r="C131" s="7" t="s">
        <v>354</v>
      </c>
      <c r="D131" s="8" t="n">
        <v>851</v>
      </c>
      <c r="E131" s="6" t="n">
        <v>9</v>
      </c>
      <c r="F131" s="9" t="n">
        <f aca="false">IFERROR(E131*100/D131,0)</f>
        <v>1.05757931844888</v>
      </c>
      <c r="G131" s="6" t="n">
        <v>0</v>
      </c>
      <c r="H131" s="6" t="n">
        <v>1</v>
      </c>
      <c r="I131" s="9" t="n">
        <f aca="false">IFERROR(H131*1000/D131,0)</f>
        <v>1.17508813160987</v>
      </c>
      <c r="J131" s="10" t="n">
        <v>48.62</v>
      </c>
      <c r="K131" s="10" t="n">
        <v>16</v>
      </c>
      <c r="L131" s="9" t="n">
        <v>0.037037037037037</v>
      </c>
      <c r="M131" s="7" t="s">
        <v>122</v>
      </c>
    </row>
    <row r="132" customFormat="false" ht="15" hidden="false" customHeight="false" outlineLevel="0" collapsed="false">
      <c r="A132" s="16" t="s">
        <v>31</v>
      </c>
      <c r="B132" s="16" t="s">
        <v>355</v>
      </c>
      <c r="C132" s="17" t="s">
        <v>356</v>
      </c>
      <c r="D132" s="18" t="n">
        <v>230</v>
      </c>
      <c r="E132" s="16" t="n">
        <v>0</v>
      </c>
      <c r="F132" s="19" t="n">
        <f aca="false">IFERROR(E132*100/D132,0)</f>
        <v>0</v>
      </c>
      <c r="G132" s="16" t="n">
        <v>0</v>
      </c>
      <c r="H132" s="16" t="n">
        <v>0</v>
      </c>
      <c r="I132" s="19" t="n">
        <f aca="false">IFERROR(H132*1000/D132,0)</f>
        <v>0</v>
      </c>
      <c r="J132" s="20" t="n">
        <v>38.85</v>
      </c>
      <c r="K132" s="20" t="n">
        <v>13</v>
      </c>
      <c r="L132" s="19" t="n">
        <v>0.00598802395209581</v>
      </c>
      <c r="M132" s="17" t="s">
        <v>122</v>
      </c>
    </row>
    <row r="133" customFormat="false" ht="15" hidden="false" customHeight="false" outlineLevel="0" collapsed="false">
      <c r="A133" s="16" t="s">
        <v>31</v>
      </c>
      <c r="B133" s="16" t="s">
        <v>357</v>
      </c>
      <c r="C133" s="17" t="s">
        <v>358</v>
      </c>
      <c r="D133" s="18" t="n">
        <v>1100</v>
      </c>
      <c r="E133" s="16" t="n">
        <v>6</v>
      </c>
      <c r="F133" s="19" t="n">
        <f aca="false">IFERROR(E133*100/D133,0)</f>
        <v>0.545454545454545</v>
      </c>
      <c r="G133" s="16" t="n">
        <v>1</v>
      </c>
      <c r="H133" s="16" t="n">
        <v>1</v>
      </c>
      <c r="I133" s="19" t="n">
        <f aca="false">IFERROR(H133*1000/D133,0)</f>
        <v>0.909090909090909</v>
      </c>
      <c r="J133" s="20" t="n">
        <v>44.45</v>
      </c>
      <c r="K133" s="20" t="n">
        <v>15</v>
      </c>
      <c r="L133" s="19" t="n">
        <v>0.018018018018018</v>
      </c>
      <c r="M133" s="17" t="s">
        <v>122</v>
      </c>
    </row>
    <row r="134" customFormat="false" ht="15" hidden="false" customHeight="false" outlineLevel="0" collapsed="false">
      <c r="A134" s="6" t="s">
        <v>31</v>
      </c>
      <c r="B134" s="6" t="s">
        <v>228</v>
      </c>
      <c r="C134" s="7" t="s">
        <v>359</v>
      </c>
      <c r="D134" s="8" t="n">
        <v>781</v>
      </c>
      <c r="E134" s="6" t="n">
        <v>6</v>
      </c>
      <c r="F134" s="9" t="n">
        <f aca="false">IFERROR(E134*100/D134,0)</f>
        <v>0.768245838668374</v>
      </c>
      <c r="G134" s="6" t="n">
        <v>0</v>
      </c>
      <c r="H134" s="6" t="n">
        <v>1</v>
      </c>
      <c r="I134" s="9" t="n">
        <f aca="false">IFERROR(H134*1000/D134,0)</f>
        <v>1.28040973111396</v>
      </c>
      <c r="J134" s="10" t="n">
        <v>38.36</v>
      </c>
      <c r="K134" s="10" t="n">
        <v>11</v>
      </c>
      <c r="L134" s="9" t="n">
        <v>0.0262008733624454</v>
      </c>
      <c r="M134" s="7" t="s">
        <v>122</v>
      </c>
    </row>
    <row r="135" customFormat="false" ht="15" hidden="false" customHeight="false" outlineLevel="0" collapsed="false">
      <c r="A135" s="21" t="s">
        <v>31</v>
      </c>
      <c r="B135" s="21" t="s">
        <v>234</v>
      </c>
      <c r="C135" s="22" t="s">
        <v>360</v>
      </c>
      <c r="D135" s="23" t="n">
        <v>0</v>
      </c>
      <c r="E135" s="21" t="n">
        <v>0</v>
      </c>
      <c r="F135" s="24" t="n">
        <f aca="false">IFERROR(E135*100/D135,0)</f>
        <v>0</v>
      </c>
      <c r="G135" s="21" t="n">
        <v>0</v>
      </c>
      <c r="H135" s="21" t="n">
        <v>0</v>
      </c>
      <c r="I135" s="24" t="n">
        <f aca="false">IFERROR(H135*1000/D135,0)</f>
        <v>0</v>
      </c>
      <c r="J135" s="25" t="n">
        <v>0</v>
      </c>
      <c r="K135" s="25" t="n">
        <v>0</v>
      </c>
      <c r="L135" s="24" t="n">
        <v>0</v>
      </c>
      <c r="M135" s="22" t="s">
        <v>147</v>
      </c>
    </row>
    <row r="136" customFormat="false" ht="15" hidden="false" customHeight="false" outlineLevel="0" collapsed="false">
      <c r="A136" s="21" t="s">
        <v>31</v>
      </c>
      <c r="B136" s="21" t="s">
        <v>361</v>
      </c>
      <c r="C136" s="22" t="s">
        <v>362</v>
      </c>
      <c r="D136" s="23" t="n">
        <v>0</v>
      </c>
      <c r="E136" s="21" t="n">
        <v>0</v>
      </c>
      <c r="F136" s="24" t="n">
        <f aca="false">IFERROR(E136*100/D136,0)</f>
        <v>0</v>
      </c>
      <c r="G136" s="21" t="n">
        <v>0</v>
      </c>
      <c r="H136" s="21" t="n">
        <v>0</v>
      </c>
      <c r="I136" s="24" t="n">
        <f aca="false">IFERROR(H136*1000/D136,0)</f>
        <v>0</v>
      </c>
      <c r="J136" s="25" t="n">
        <v>0</v>
      </c>
      <c r="K136" s="25" t="n">
        <v>0</v>
      </c>
      <c r="L136" s="24" t="n">
        <v>0</v>
      </c>
      <c r="M136" s="22" t="s">
        <v>147</v>
      </c>
    </row>
    <row r="137" customFormat="false" ht="15" hidden="false" customHeight="false" outlineLevel="0" collapsed="false">
      <c r="A137" s="21" t="s">
        <v>31</v>
      </c>
      <c r="B137" s="21" t="s">
        <v>363</v>
      </c>
      <c r="C137" s="22" t="s">
        <v>364</v>
      </c>
      <c r="D137" s="23" t="n">
        <v>0</v>
      </c>
      <c r="E137" s="21" t="n">
        <v>0</v>
      </c>
      <c r="F137" s="24" t="n">
        <f aca="false">IFERROR(E137*100/D137,0)</f>
        <v>0</v>
      </c>
      <c r="G137" s="21" t="n">
        <v>0</v>
      </c>
      <c r="H137" s="21" t="n">
        <v>0</v>
      </c>
      <c r="I137" s="24" t="n">
        <f aca="false">IFERROR(H137*1000/D137,0)</f>
        <v>0</v>
      </c>
      <c r="J137" s="25" t="n">
        <v>0</v>
      </c>
      <c r="K137" s="25" t="n">
        <v>0</v>
      </c>
      <c r="L137" s="24" t="n">
        <v>0</v>
      </c>
      <c r="M137" s="22" t="s">
        <v>147</v>
      </c>
    </row>
    <row r="138" customFormat="false" ht="15" hidden="false" customHeight="false" outlineLevel="0" collapsed="false">
      <c r="A138" s="21" t="s">
        <v>31</v>
      </c>
      <c r="B138" s="21" t="s">
        <v>365</v>
      </c>
      <c r="C138" s="22" t="s">
        <v>366</v>
      </c>
      <c r="D138" s="23" t="n">
        <v>0</v>
      </c>
      <c r="E138" s="21" t="n">
        <v>0</v>
      </c>
      <c r="F138" s="24" t="n">
        <f aca="false">IFERROR(E138*100/D138,0)</f>
        <v>0</v>
      </c>
      <c r="G138" s="21" t="n">
        <v>0</v>
      </c>
      <c r="H138" s="21" t="n">
        <v>0</v>
      </c>
      <c r="I138" s="24" t="n">
        <f aca="false">IFERROR(H138*1000/D138,0)</f>
        <v>0</v>
      </c>
      <c r="J138" s="25" t="n">
        <v>0</v>
      </c>
      <c r="K138" s="25" t="n">
        <v>0</v>
      </c>
      <c r="L138" s="24" t="n">
        <v>0</v>
      </c>
      <c r="M138" s="22" t="s">
        <v>147</v>
      </c>
    </row>
    <row r="139" customFormat="false" ht="15" hidden="false" customHeight="false" outlineLevel="0" collapsed="false">
      <c r="A139" s="21" t="s">
        <v>31</v>
      </c>
      <c r="B139" s="21" t="s">
        <v>246</v>
      </c>
      <c r="C139" s="22" t="s">
        <v>367</v>
      </c>
      <c r="D139" s="23" t="n">
        <v>0</v>
      </c>
      <c r="E139" s="21" t="n">
        <v>0</v>
      </c>
      <c r="F139" s="24" t="n">
        <f aca="false">IFERROR(E139*100/D139,0)</f>
        <v>0</v>
      </c>
      <c r="G139" s="21" t="n">
        <v>0</v>
      </c>
      <c r="H139" s="21" t="n">
        <v>0</v>
      </c>
      <c r="I139" s="24" t="n">
        <f aca="false">IFERROR(H139*1000/D139,0)</f>
        <v>0</v>
      </c>
      <c r="J139" s="25" t="n">
        <v>0</v>
      </c>
      <c r="K139" s="25" t="n">
        <v>0</v>
      </c>
      <c r="L139" s="24" t="n">
        <v>0</v>
      </c>
      <c r="M139" s="22" t="s">
        <v>147</v>
      </c>
    </row>
    <row r="141" customFormat="false" ht="15" hidden="false" customHeight="false" outlineLevel="0" collapsed="false">
      <c r="A141" s="2" t="s">
        <v>368</v>
      </c>
    </row>
    <row r="142" customFormat="false" ht="15" hidden="false" customHeight="false" outlineLevel="0" collapsed="false">
      <c r="A142" s="2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30" t="s">
        <v>370</v>
      </c>
    </row>
    <row r="2" customFormat="false" ht="15" hidden="false" customHeight="false" outlineLevel="0" collapsed="false">
      <c r="A2" s="2" t="s">
        <v>371</v>
      </c>
    </row>
    <row r="4" customFormat="false" ht="15" hidden="false" customHeight="false" outlineLevel="0" collapsed="false">
      <c r="A4" s="37" t="s">
        <v>372</v>
      </c>
    </row>
    <row r="5" customFormat="false" ht="30" hidden="false" customHeight="true" outlineLevel="0" collapsed="false">
      <c r="A5" s="5" t="s">
        <v>373</v>
      </c>
      <c r="B5" s="5" t="s">
        <v>374</v>
      </c>
      <c r="C5" s="5" t="s">
        <v>375</v>
      </c>
      <c r="D5" s="5" t="s">
        <v>376</v>
      </c>
      <c r="E5" s="5" t="s">
        <v>377</v>
      </c>
    </row>
    <row r="6" customFormat="false" ht="45.75" hidden="false" customHeight="true" outlineLevel="0" collapsed="false">
      <c r="A6" s="16" t="s">
        <v>378</v>
      </c>
      <c r="B6" s="34" t="s">
        <v>379</v>
      </c>
      <c r="C6" s="34" t="s">
        <v>380</v>
      </c>
      <c r="D6" s="34" t="s">
        <v>381</v>
      </c>
      <c r="E6" s="16" t="s">
        <v>382</v>
      </c>
    </row>
    <row r="7" customFormat="false" ht="45.75" hidden="false" customHeight="true" outlineLevel="0" collapsed="false">
      <c r="A7" s="17" t="s">
        <v>383</v>
      </c>
      <c r="B7" s="33" t="s">
        <v>384</v>
      </c>
      <c r="C7" s="34" t="s">
        <v>385</v>
      </c>
      <c r="D7" s="34" t="s">
        <v>386</v>
      </c>
      <c r="E7" s="16" t="s">
        <v>387</v>
      </c>
    </row>
    <row r="8" customFormat="false" ht="45.75" hidden="false" customHeight="true" outlineLevel="0" collapsed="false">
      <c r="A8" s="17" t="s">
        <v>388</v>
      </c>
      <c r="B8" s="34" t="s">
        <v>389</v>
      </c>
      <c r="C8" s="33" t="s">
        <v>390</v>
      </c>
      <c r="D8" s="34" t="s">
        <v>391</v>
      </c>
      <c r="E8" s="16" t="s">
        <v>387</v>
      </c>
    </row>
    <row r="11" customFormat="false" ht="15" hidden="false" customHeight="false" outlineLevel="0" collapsed="false">
      <c r="A11" s="37" t="s">
        <v>392</v>
      </c>
    </row>
    <row r="12" customFormat="false" ht="30" hidden="false" customHeight="true" outlineLevel="0" collapsed="false">
      <c r="A12" s="5" t="s">
        <v>393</v>
      </c>
      <c r="B12" s="5" t="s">
        <v>16</v>
      </c>
      <c r="C12" s="5" t="s">
        <v>17</v>
      </c>
      <c r="D12" s="5" t="s">
        <v>22</v>
      </c>
      <c r="E12" s="5" t="s">
        <v>394</v>
      </c>
      <c r="F12" s="5" t="s">
        <v>20</v>
      </c>
      <c r="G12" s="31" t="s">
        <v>395</v>
      </c>
    </row>
    <row r="13" customFormat="false" ht="15" hidden="false" customHeight="false" outlineLevel="0" collapsed="false">
      <c r="A13" s="16" t="s">
        <v>396</v>
      </c>
      <c r="B13" s="16" t="n">
        <v>70</v>
      </c>
      <c r="C13" s="18" t="n">
        <v>68698</v>
      </c>
      <c r="D13" s="19" t="n">
        <f aca="false">IFERROR(46*100/68698,0)</f>
        <v>0.0669597368191214</v>
      </c>
      <c r="E13" s="16" t="n">
        <v>16</v>
      </c>
      <c r="F13" s="19" t="n">
        <f aca="false">IFERROR(E13*1000/C13,0)</f>
        <v>0.232903432414335</v>
      </c>
      <c r="G13" s="38" t="n">
        <f aca="false">IFERROR(F13/$F$13,0)</f>
        <v>1</v>
      </c>
    </row>
    <row r="14" customFormat="false" ht="15" hidden="false" customHeight="false" outlineLevel="0" collapsed="false">
      <c r="A14" s="16" t="s">
        <v>397</v>
      </c>
      <c r="B14" s="16" t="n">
        <v>71</v>
      </c>
      <c r="C14" s="18" t="n">
        <v>122390</v>
      </c>
      <c r="D14" s="19" t="n">
        <f aca="false">IFERROR(262*100/122390,0)</f>
        <v>0.214069776942561</v>
      </c>
      <c r="E14" s="16" t="n">
        <v>31</v>
      </c>
      <c r="F14" s="19" t="n">
        <f aca="false">IFERROR(E14*1000/C14,0)</f>
        <v>0.253288667374786</v>
      </c>
      <c r="G14" s="38" t="n">
        <f aca="false">IFERROR(F14/$F$13,0)</f>
        <v>1.08752655445706</v>
      </c>
    </row>
    <row r="15" customFormat="false" ht="15" hidden="false" customHeight="false" outlineLevel="0" collapsed="false">
      <c r="A15" s="16" t="s">
        <v>398</v>
      </c>
      <c r="B15" s="16" t="n">
        <v>70</v>
      </c>
      <c r="C15" s="18" t="n">
        <v>72512</v>
      </c>
      <c r="D15" s="19" t="n">
        <f aca="false">IFERROR(281*100/72512,0)</f>
        <v>0.387522065313327</v>
      </c>
      <c r="E15" s="16" t="n">
        <v>30</v>
      </c>
      <c r="F15" s="19" t="n">
        <f aca="false">IFERROR(E15*1000/C15,0)</f>
        <v>0.413724624889673</v>
      </c>
      <c r="G15" s="38" t="n">
        <f aca="false">IFERROR(F15/$F$13,0)</f>
        <v>1.77637839254192</v>
      </c>
    </row>
    <row r="16" customFormat="false" ht="15" hidden="false" customHeight="false" outlineLevel="0" collapsed="false">
      <c r="A16" s="6" t="s">
        <v>399</v>
      </c>
      <c r="B16" s="6" t="n">
        <v>71</v>
      </c>
      <c r="C16" s="8" t="n">
        <v>65049</v>
      </c>
      <c r="D16" s="9" t="n">
        <f aca="false">IFERROR(538*100/65049,0)</f>
        <v>0.827068825039586</v>
      </c>
      <c r="E16" s="6" t="n">
        <v>60</v>
      </c>
      <c r="F16" s="9" t="n">
        <f aca="false">IFERROR(E16*1000/C16,0)</f>
        <v>0.922381589263478</v>
      </c>
      <c r="G16" s="39" t="n">
        <f aca="false">IFERROR(F16/$F$13,0)</f>
        <v>3.9603606512014</v>
      </c>
    </row>
    <row r="18" customFormat="false" ht="15" hidden="false" customHeight="false" outlineLevel="0" collapsed="false">
      <c r="A18" s="40" t="s">
        <v>400</v>
      </c>
    </row>
    <row r="21" customFormat="false" ht="15" hidden="false" customHeight="false" outlineLevel="0" collapsed="false">
      <c r="A21" s="37" t="s">
        <v>401</v>
      </c>
    </row>
    <row r="22" customFormat="false" ht="30" hidden="false" customHeight="true" outlineLevel="0" collapsed="false">
      <c r="A22" s="5" t="s">
        <v>402</v>
      </c>
      <c r="B22" s="5" t="s">
        <v>403</v>
      </c>
      <c r="C22" s="5" t="s">
        <v>404</v>
      </c>
      <c r="D22" s="5" t="s">
        <v>405</v>
      </c>
      <c r="E22" s="5" t="s">
        <v>406</v>
      </c>
      <c r="F22" s="5" t="s">
        <v>407</v>
      </c>
      <c r="G22" s="5" t="s">
        <v>408</v>
      </c>
    </row>
    <row r="23" customFormat="false" ht="15" hidden="false" customHeight="false" outlineLevel="0" collapsed="false">
      <c r="A23" s="16" t="s">
        <v>409</v>
      </c>
      <c r="B23" s="16" t="n">
        <v>30</v>
      </c>
      <c r="C23" s="19" t="n">
        <f aca="false">IFERROR(7*1000/26649,0)</f>
        <v>0.26267402153927</v>
      </c>
      <c r="D23" s="16" t="n">
        <v>28</v>
      </c>
      <c r="E23" s="19" t="n">
        <f aca="false">IFERROR(6*1000/24534,0)</f>
        <v>0.244558571777941</v>
      </c>
      <c r="F23" s="19" t="n">
        <f aca="false">IFERROR(E23-C23,0)</f>
        <v>-0.018115449761329</v>
      </c>
      <c r="G23" s="17" t="s">
        <v>410</v>
      </c>
    </row>
    <row r="24" customFormat="false" ht="15" hidden="false" customHeight="false" outlineLevel="0" collapsed="false">
      <c r="A24" s="16" t="s">
        <v>411</v>
      </c>
      <c r="B24" s="16" t="n">
        <v>81</v>
      </c>
      <c r="C24" s="19" t="n">
        <f aca="false">IFERROR(28*1000/70398,0)</f>
        <v>0.397738572118526</v>
      </c>
      <c r="D24" s="16" t="n">
        <v>72</v>
      </c>
      <c r="E24" s="19" t="n">
        <f aca="false">IFERROR(28*1000/60995,0)</f>
        <v>0.459054020821379</v>
      </c>
      <c r="F24" s="19" t="n">
        <f aca="false">IFERROR(E24-C24,0)</f>
        <v>0.0613154487028527</v>
      </c>
      <c r="G24" s="16"/>
    </row>
    <row r="25" customFormat="false" ht="15" hidden="false" customHeight="false" outlineLevel="0" collapsed="false">
      <c r="A25" s="6" t="s">
        <v>73</v>
      </c>
      <c r="B25" s="6" t="n">
        <v>68</v>
      </c>
      <c r="C25" s="9" t="n">
        <f aca="false">IFERROR(41*1000/63134,0)</f>
        <v>0.649412361009915</v>
      </c>
      <c r="D25" s="6" t="n">
        <v>59</v>
      </c>
      <c r="E25" s="9" t="n">
        <f aca="false">IFERROR(38*1000/53188,0)</f>
        <v>0.714446867714522</v>
      </c>
      <c r="F25" s="9" t="n">
        <f aca="false">IFERROR(E25-C25,0)</f>
        <v>0.0650345067046066</v>
      </c>
      <c r="G25" s="7" t="s">
        <v>412</v>
      </c>
    </row>
    <row r="26" customFormat="false" ht="15" hidden="false" customHeight="false" outlineLevel="0" collapsed="false">
      <c r="A26" s="16" t="s">
        <v>413</v>
      </c>
      <c r="B26" s="16" t="n">
        <v>52</v>
      </c>
      <c r="C26" s="19" t="n">
        <f aca="false">IFERROR(28*1000/62271,0)</f>
        <v>0.449647508471038</v>
      </c>
      <c r="D26" s="16" t="n">
        <v>41</v>
      </c>
      <c r="E26" s="19" t="n">
        <f aca="false">IFERROR(28*1000/48547,0)</f>
        <v>0.576760664922652</v>
      </c>
      <c r="F26" s="19" t="n">
        <f aca="false">IFERROR(E26-C26,0)</f>
        <v>0.127113156451614</v>
      </c>
      <c r="G26" s="16"/>
    </row>
    <row r="27" customFormat="false" ht="15" hidden="false" customHeight="false" outlineLevel="0" collapsed="false">
      <c r="A27" s="16" t="s">
        <v>414</v>
      </c>
      <c r="B27" s="16" t="n">
        <v>15</v>
      </c>
      <c r="C27" s="19" t="n">
        <f aca="false">IFERROR(10*1000/17049,0)</f>
        <v>0.586544665376268</v>
      </c>
      <c r="D27" s="16" t="n">
        <v>11</v>
      </c>
      <c r="E27" s="19" t="n">
        <f aca="false">IFERROR(7*1000/13613,0)</f>
        <v>0.514214353926394</v>
      </c>
      <c r="F27" s="19" t="n">
        <f aca="false">IFERROR(E27-C27,0)</f>
        <v>-0.0723303114498745</v>
      </c>
      <c r="G27" s="16"/>
    </row>
    <row r="28" customFormat="false" ht="15" hidden="false" customHeight="false" outlineLevel="0" collapsed="false">
      <c r="A28" s="11" t="s">
        <v>415</v>
      </c>
      <c r="B28" s="11" t="n">
        <v>36</v>
      </c>
      <c r="C28" s="14" t="n">
        <f aca="false">IFERROR(23*1000/89148,0)</f>
        <v>0.257997936016512</v>
      </c>
      <c r="D28" s="11" t="n">
        <v>26</v>
      </c>
      <c r="E28" s="14" t="n">
        <f aca="false">IFERROR(17*1000/33086,0)</f>
        <v>0.513812488665901</v>
      </c>
      <c r="F28" s="14" t="n">
        <f aca="false">IFERROR(E28-C28,0)</f>
        <v>0.255814552649389</v>
      </c>
      <c r="G28" s="11" t="s">
        <v>416</v>
      </c>
    </row>
    <row r="30" customFormat="false" ht="15" hidden="false" customHeight="false" outlineLevel="0" collapsed="false">
      <c r="A30" s="3" t="s">
        <v>417</v>
      </c>
    </row>
    <row r="31" customFormat="false" ht="30" hidden="false" customHeight="true" outlineLevel="0" collapsed="false">
      <c r="A31" s="5" t="s">
        <v>12</v>
      </c>
      <c r="B31" s="5" t="s">
        <v>16</v>
      </c>
      <c r="C31" s="5" t="s">
        <v>17</v>
      </c>
      <c r="D31" s="5" t="s">
        <v>418</v>
      </c>
      <c r="E31" s="5" t="s">
        <v>115</v>
      </c>
      <c r="F31" s="5" t="s">
        <v>419</v>
      </c>
    </row>
    <row r="32" customFormat="false" ht="15" hidden="false" customHeight="false" outlineLevel="0" collapsed="false">
      <c r="A32" s="11" t="s">
        <v>48</v>
      </c>
      <c r="B32" s="11" t="n">
        <v>4</v>
      </c>
      <c r="C32" s="13" t="n">
        <v>30690</v>
      </c>
      <c r="D32" s="15" t="n">
        <f aca="false">IFERROR(C32*100/89148,0)</f>
        <v>34.4258985058554</v>
      </c>
      <c r="E32" s="11" t="n">
        <v>1</v>
      </c>
      <c r="F32" s="14" t="n">
        <f aca="false">IFERROR(E32*1000/C32,0)</f>
        <v>0.0325839035516455</v>
      </c>
    </row>
    <row r="33" customFormat="false" ht="15" hidden="false" customHeight="false" outlineLevel="0" collapsed="false">
      <c r="A33" s="11" t="s">
        <v>51</v>
      </c>
      <c r="B33" s="11" t="n">
        <v>2</v>
      </c>
      <c r="C33" s="13" t="n">
        <v>21011</v>
      </c>
      <c r="D33" s="15" t="n">
        <f aca="false">IFERROR(C33*100/89148,0)</f>
        <v>23.5686723201867</v>
      </c>
      <c r="E33" s="11" t="n">
        <v>4</v>
      </c>
      <c r="F33" s="14" t="n">
        <f aca="false">IFERROR(E33*1000/C33,0)</f>
        <v>0.190376469468374</v>
      </c>
    </row>
    <row r="34" customFormat="false" ht="15" hidden="false" customHeight="false" outlineLevel="0" collapsed="false">
      <c r="A34" s="16" t="s">
        <v>33</v>
      </c>
      <c r="B34" s="16" t="n">
        <v>10</v>
      </c>
      <c r="C34" s="18" t="n">
        <v>17028</v>
      </c>
      <c r="D34" s="20" t="n">
        <f aca="false">IFERROR(C34*100/89148,0)</f>
        <v>19.1008211064746</v>
      </c>
      <c r="E34" s="16" t="n">
        <v>15</v>
      </c>
      <c r="F34" s="19" t="n">
        <f aca="false">IFERROR(E34*1000/C34,0)</f>
        <v>0.880902043692741</v>
      </c>
    </row>
    <row r="35" customFormat="false" ht="15" hidden="false" customHeight="false" outlineLevel="0" collapsed="false">
      <c r="A35" s="16" t="s">
        <v>35</v>
      </c>
      <c r="B35" s="16" t="n">
        <v>4</v>
      </c>
      <c r="C35" s="18" t="n">
        <v>4706</v>
      </c>
      <c r="D35" s="20" t="n">
        <f aca="false">IFERROR(C35*100/89148,0)</f>
        <v>5.27886211692915</v>
      </c>
      <c r="E35" s="16" t="n">
        <v>0</v>
      </c>
      <c r="F35" s="19" t="n">
        <f aca="false">IFERROR(E35*1000/C35,0)</f>
        <v>0</v>
      </c>
    </row>
    <row r="36" customFormat="false" ht="15" hidden="false" customHeight="false" outlineLevel="0" collapsed="false">
      <c r="A36" s="16" t="s">
        <v>29</v>
      </c>
      <c r="B36" s="16" t="n">
        <v>4</v>
      </c>
      <c r="C36" s="18" t="n">
        <v>4107</v>
      </c>
      <c r="D36" s="20" t="n">
        <f aca="false">IFERROR(C36*100/89148,0)</f>
        <v>4.60694575312963</v>
      </c>
      <c r="E36" s="16" t="n">
        <v>0</v>
      </c>
      <c r="F36" s="19" t="n">
        <f aca="false">IFERROR(E36*1000/C36,0)</f>
        <v>0</v>
      </c>
    </row>
    <row r="37" customFormat="false" ht="15" hidden="false" customHeight="false" outlineLevel="0" collapsed="false">
      <c r="A37" s="11" t="s">
        <v>53</v>
      </c>
      <c r="B37" s="11" t="n">
        <v>3</v>
      </c>
      <c r="C37" s="13" t="n">
        <v>3185</v>
      </c>
      <c r="D37" s="15" t="n">
        <f aca="false">IFERROR(C37*100/89148,0)</f>
        <v>3.57271054875039</v>
      </c>
      <c r="E37" s="11" t="n">
        <v>1</v>
      </c>
      <c r="F37" s="14" t="n">
        <f aca="false">IFERROR(E37*1000/C37,0)</f>
        <v>0.313971742543171</v>
      </c>
    </row>
    <row r="38" customFormat="false" ht="15" hidden="false" customHeight="false" outlineLevel="0" collapsed="false">
      <c r="A38" s="16" t="s">
        <v>25</v>
      </c>
      <c r="B38" s="16" t="n">
        <v>4</v>
      </c>
      <c r="C38" s="18" t="n">
        <v>2747</v>
      </c>
      <c r="D38" s="20" t="n">
        <f aca="false">IFERROR(C38*100/89148,0)</f>
        <v>3.08139274016243</v>
      </c>
      <c r="E38" s="16" t="n">
        <v>1</v>
      </c>
      <c r="F38" s="19" t="n">
        <f aca="false">IFERROR(E38*1000/C38,0)</f>
        <v>0.36403349108118</v>
      </c>
    </row>
    <row r="39" customFormat="false" ht="15" hidden="false" customHeight="false" outlineLevel="0" collapsed="false">
      <c r="A39" s="16" t="s">
        <v>31</v>
      </c>
      <c r="B39" s="16" t="n">
        <v>2</v>
      </c>
      <c r="C39" s="18" t="n">
        <v>1767</v>
      </c>
      <c r="D39" s="20" t="n">
        <f aca="false">IFERROR(C39*100/89148,0)</f>
        <v>1.98209718670077</v>
      </c>
      <c r="E39" s="16" t="n">
        <v>1</v>
      </c>
      <c r="F39" s="19" t="n">
        <f aca="false">IFERROR(E39*1000/C39,0)</f>
        <v>0.565930956423316</v>
      </c>
    </row>
    <row r="40" customFormat="false" ht="15" hidden="false" customHeight="false" outlineLevel="0" collapsed="false">
      <c r="A40" s="16" t="s">
        <v>37</v>
      </c>
      <c r="B40" s="16" t="n">
        <v>1</v>
      </c>
      <c r="C40" s="18" t="n">
        <v>1637</v>
      </c>
      <c r="D40" s="20" t="n">
        <f aca="false">IFERROR(C40*100/89148,0)</f>
        <v>1.83627226634361</v>
      </c>
      <c r="E40" s="16" t="n">
        <v>0</v>
      </c>
      <c r="F40" s="19" t="n">
        <f aca="false">IFERROR(E40*1000/C40,0)</f>
        <v>0</v>
      </c>
    </row>
    <row r="41" customFormat="false" ht="15" hidden="false" customHeight="false" outlineLevel="0" collapsed="false">
      <c r="A41" s="16" t="s">
        <v>45</v>
      </c>
      <c r="B41" s="16" t="n">
        <v>1</v>
      </c>
      <c r="C41" s="18" t="n">
        <v>1176</v>
      </c>
      <c r="D41" s="20" t="n">
        <f aca="false">IFERROR(C41*100/89148,0)</f>
        <v>1.31915466415399</v>
      </c>
      <c r="E41" s="16" t="n">
        <v>0</v>
      </c>
      <c r="F41" s="19" t="n">
        <f aca="false">IFERROR(E41*1000/C41,0)</f>
        <v>0</v>
      </c>
    </row>
    <row r="42" customFormat="false" ht="15" hidden="false" customHeight="false" outlineLevel="0" collapsed="false">
      <c r="A42" s="16" t="s">
        <v>42</v>
      </c>
      <c r="B42" s="16" t="n">
        <v>1</v>
      </c>
      <c r="C42" s="18" t="n">
        <v>1094</v>
      </c>
      <c r="D42" s="20" t="n">
        <f aca="false">IFERROR(C42*100/89148,0)</f>
        <v>1.22717279131332</v>
      </c>
      <c r="E42" s="16" t="n">
        <v>0</v>
      </c>
      <c r="F42" s="19" t="n">
        <f aca="false">IFERROR(E42*1000/C42,0)</f>
        <v>0</v>
      </c>
    </row>
    <row r="44" customFormat="false" ht="15" hidden="false" customHeight="true" outlineLevel="0" collapsed="false">
      <c r="A44" s="4" t="s">
        <v>420</v>
      </c>
      <c r="B44" s="4"/>
      <c r="C44" s="4"/>
      <c r="D44" s="4"/>
      <c r="E44" s="4"/>
      <c r="F44" s="4"/>
      <c r="G44" s="4"/>
    </row>
    <row r="45" customFormat="false" ht="15" hidden="false" customHeight="true" outlineLevel="0" collapsed="false">
      <c r="A45" s="41" t="s">
        <v>421</v>
      </c>
      <c r="B45" s="41"/>
      <c r="C45" s="41"/>
      <c r="D45" s="41"/>
      <c r="E45" s="41"/>
      <c r="F45" s="41"/>
      <c r="G45" s="41"/>
    </row>
    <row r="46" customFormat="false" ht="15" hidden="false" customHeight="true" outlineLevel="0" collapsed="false">
      <c r="A46" s="41" t="s">
        <v>422</v>
      </c>
      <c r="B46" s="41"/>
      <c r="C46" s="41"/>
      <c r="D46" s="41"/>
      <c r="E46" s="41"/>
      <c r="F46" s="41"/>
      <c r="G46" s="41"/>
    </row>
    <row r="47" customFormat="false" ht="15" hidden="false" customHeight="true" outlineLevel="0" collapsed="false">
      <c r="A47" s="41" t="s">
        <v>423</v>
      </c>
      <c r="B47" s="41"/>
      <c r="C47" s="41"/>
      <c r="D47" s="41"/>
      <c r="E47" s="41"/>
      <c r="F47" s="41"/>
      <c r="G47" s="41"/>
    </row>
    <row r="48" customFormat="false" ht="15" hidden="false" customHeight="true" outlineLevel="0" collapsed="false">
      <c r="A48" s="41" t="s">
        <v>424</v>
      </c>
      <c r="B48" s="41"/>
      <c r="C48" s="41"/>
      <c r="D48" s="41"/>
      <c r="E48" s="41"/>
      <c r="F48" s="41"/>
      <c r="G48" s="41"/>
    </row>
    <row r="51" customFormat="false" ht="15" hidden="false" customHeight="false" outlineLevel="0" collapsed="false">
      <c r="A51" s="37" t="s">
        <v>425</v>
      </c>
    </row>
    <row r="52" customFormat="false" ht="30" hidden="false" customHeight="true" outlineLevel="0" collapsed="false">
      <c r="A52" s="5" t="s">
        <v>426</v>
      </c>
      <c r="B52" s="5" t="s">
        <v>16</v>
      </c>
      <c r="C52" s="5" t="s">
        <v>17</v>
      </c>
      <c r="D52" s="5" t="s">
        <v>115</v>
      </c>
      <c r="E52" s="5" t="s">
        <v>20</v>
      </c>
      <c r="F52" s="31" t="s">
        <v>427</v>
      </c>
      <c r="G52" s="5" t="s">
        <v>408</v>
      </c>
    </row>
    <row r="53" customFormat="false" ht="15" hidden="false" customHeight="false" outlineLevel="0" collapsed="false">
      <c r="A53" s="16" t="s">
        <v>428</v>
      </c>
      <c r="B53" s="16" t="n">
        <v>7</v>
      </c>
      <c r="C53" s="18" t="n">
        <v>6139</v>
      </c>
      <c r="D53" s="16" t="n">
        <v>2</v>
      </c>
      <c r="E53" s="19" t="n">
        <f aca="false">IFERROR(D53*1000/C53,0)</f>
        <v>0.325785958625183</v>
      </c>
      <c r="F53" s="16" t="s">
        <v>429</v>
      </c>
      <c r="G53" s="33"/>
    </row>
    <row r="54" customFormat="false" ht="15" hidden="false" customHeight="false" outlineLevel="0" collapsed="false">
      <c r="A54" s="16" t="s">
        <v>430</v>
      </c>
      <c r="B54" s="16" t="n">
        <v>6</v>
      </c>
      <c r="C54" s="18" t="n">
        <v>5466</v>
      </c>
      <c r="D54" s="16" t="n">
        <v>2</v>
      </c>
      <c r="E54" s="19" t="n">
        <f aca="false">IFERROR(D54*1000/C54,0)</f>
        <v>0.365898280278083</v>
      </c>
      <c r="F54" s="17" t="s">
        <v>431</v>
      </c>
      <c r="G54" s="34" t="s">
        <v>432</v>
      </c>
    </row>
    <row r="55" customFormat="false" ht="15" hidden="false" customHeight="false" outlineLevel="0" collapsed="false">
      <c r="A55" s="16" t="s">
        <v>433</v>
      </c>
      <c r="B55" s="16" t="n">
        <v>18</v>
      </c>
      <c r="C55" s="18" t="n">
        <v>16580</v>
      </c>
      <c r="D55" s="16" t="n">
        <v>8</v>
      </c>
      <c r="E55" s="19" t="n">
        <f aca="false">IFERROR(D55*1000/C55,0)</f>
        <v>0.482509047044632</v>
      </c>
      <c r="F55" s="17" t="s">
        <v>431</v>
      </c>
      <c r="G55" s="34" t="s">
        <v>432</v>
      </c>
    </row>
    <row r="56" customFormat="false" ht="15" hidden="false" customHeight="false" outlineLevel="0" collapsed="false">
      <c r="A56" s="16" t="s">
        <v>434</v>
      </c>
      <c r="B56" s="16" t="n">
        <v>34</v>
      </c>
      <c r="C56" s="18" t="n">
        <v>32264</v>
      </c>
      <c r="D56" s="16" t="n">
        <v>20</v>
      </c>
      <c r="E56" s="19" t="n">
        <f aca="false">IFERROR(D56*1000/C56,0)</f>
        <v>0.619885940986859</v>
      </c>
      <c r="F56" s="16" t="s">
        <v>435</v>
      </c>
      <c r="G56" s="33"/>
    </row>
    <row r="57" customFormat="false" ht="15" hidden="false" customHeight="false" outlineLevel="0" collapsed="false">
      <c r="A57" s="16" t="s">
        <v>436</v>
      </c>
      <c r="B57" s="16" t="n">
        <v>16</v>
      </c>
      <c r="C57" s="18" t="n">
        <v>13565</v>
      </c>
      <c r="D57" s="16" t="n">
        <v>5</v>
      </c>
      <c r="E57" s="19" t="n">
        <f aca="false">IFERROR(D57*1000/C57,0)</f>
        <v>0.368595650571323</v>
      </c>
      <c r="F57" s="16" t="s">
        <v>437</v>
      </c>
      <c r="G57" s="33"/>
    </row>
    <row r="58" customFormat="false" ht="15" hidden="false" customHeight="false" outlineLevel="0" collapsed="false">
      <c r="A58" s="16" t="s">
        <v>438</v>
      </c>
      <c r="B58" s="16" t="n">
        <v>10</v>
      </c>
      <c r="C58" s="18" t="n">
        <v>11778</v>
      </c>
      <c r="D58" s="16" t="n">
        <v>3</v>
      </c>
      <c r="E58" s="19" t="n">
        <f aca="false">IFERROR(D58*1000/C58,0)</f>
        <v>0.254712175241977</v>
      </c>
      <c r="F58" s="17" t="s">
        <v>439</v>
      </c>
      <c r="G58" s="33"/>
    </row>
    <row r="59" customFormat="false" ht="29.85" hidden="false" customHeight="false" outlineLevel="0" collapsed="false">
      <c r="A59" s="11" t="s">
        <v>440</v>
      </c>
      <c r="B59" s="11" t="n">
        <v>7</v>
      </c>
      <c r="C59" s="13" t="n">
        <v>5921</v>
      </c>
      <c r="D59" s="11" t="n">
        <v>1</v>
      </c>
      <c r="E59" s="14" t="n">
        <f aca="false">IFERROR(D59*1000/C59,0)</f>
        <v>0.168890390136801</v>
      </c>
      <c r="F59" s="11" t="s">
        <v>441</v>
      </c>
      <c r="G59" s="42" t="s">
        <v>442</v>
      </c>
    </row>
    <row r="60" customFormat="false" ht="15" hidden="false" customHeight="false" outlineLevel="0" collapsed="false">
      <c r="A60" s="6" t="s">
        <v>443</v>
      </c>
      <c r="B60" s="6" t="n">
        <v>51</v>
      </c>
      <c r="C60" s="8" t="n">
        <v>60155</v>
      </c>
      <c r="D60" s="6" t="n">
        <v>50</v>
      </c>
      <c r="E60" s="9" t="n">
        <f aca="false">IFERROR(D60*1000/C60,0)</f>
        <v>0.831186102568365</v>
      </c>
      <c r="F60" s="6" t="s">
        <v>444</v>
      </c>
      <c r="G60" s="35" t="s">
        <v>445</v>
      </c>
    </row>
    <row r="61" customFormat="false" ht="15" hidden="false" customHeight="false" outlineLevel="0" collapsed="false">
      <c r="A61" s="16" t="s">
        <v>446</v>
      </c>
      <c r="B61" s="16" t="n">
        <v>39</v>
      </c>
      <c r="C61" s="18" t="n">
        <v>39941</v>
      </c>
      <c r="D61" s="16" t="n">
        <v>10</v>
      </c>
      <c r="E61" s="19" t="n">
        <f aca="false">IFERROR(D61*1000/C61,0)</f>
        <v>0.250369294709697</v>
      </c>
      <c r="F61" s="17" t="s">
        <v>439</v>
      </c>
      <c r="G61" s="33"/>
    </row>
    <row r="62" customFormat="false" ht="15" hidden="false" customHeight="false" outlineLevel="0" collapsed="false">
      <c r="A62" s="16" t="s">
        <v>447</v>
      </c>
      <c r="B62" s="16" t="n">
        <v>27</v>
      </c>
      <c r="C62" s="18" t="n">
        <v>24487</v>
      </c>
      <c r="D62" s="16" t="n">
        <v>16</v>
      </c>
      <c r="E62" s="19" t="n">
        <f aca="false">IFERROR(D62*1000/C62,0)</f>
        <v>0.653407930738759</v>
      </c>
      <c r="F62" s="16" t="s">
        <v>448</v>
      </c>
      <c r="G62" s="33"/>
    </row>
    <row r="63" customFormat="false" ht="15" hidden="false" customHeight="false" outlineLevel="0" collapsed="false">
      <c r="A63" s="16" t="s">
        <v>449</v>
      </c>
      <c r="B63" s="16" t="n">
        <v>5</v>
      </c>
      <c r="C63" s="18" t="n">
        <v>3235</v>
      </c>
      <c r="D63" s="16" t="n">
        <v>0</v>
      </c>
      <c r="E63" s="19" t="n">
        <f aca="false">IFERROR(D63*1000/C63,0)</f>
        <v>0</v>
      </c>
      <c r="F63" s="17" t="s">
        <v>431</v>
      </c>
      <c r="G63" s="34" t="s">
        <v>432</v>
      </c>
    </row>
    <row r="66" customFormat="false" ht="15" hidden="false" customHeight="false" outlineLevel="0" collapsed="false">
      <c r="A66" s="37" t="s">
        <v>450</v>
      </c>
    </row>
    <row r="67" customFormat="false" ht="30" hidden="false" customHeight="true" outlineLevel="0" collapsed="false">
      <c r="A67" s="5" t="s">
        <v>451</v>
      </c>
      <c r="B67" s="5" t="s">
        <v>452</v>
      </c>
      <c r="C67" s="5" t="s">
        <v>453</v>
      </c>
      <c r="D67" s="5" t="s">
        <v>454</v>
      </c>
      <c r="E67" s="5" t="s">
        <v>455</v>
      </c>
    </row>
    <row r="68" customFormat="false" ht="45.75" hidden="false" customHeight="true" outlineLevel="0" collapsed="false">
      <c r="A68" s="11" t="n">
        <v>1</v>
      </c>
      <c r="B68" s="12" t="s">
        <v>456</v>
      </c>
      <c r="C68" s="42" t="s">
        <v>457</v>
      </c>
      <c r="D68" s="11" t="s">
        <v>458</v>
      </c>
      <c r="E68" s="43" t="s">
        <v>459</v>
      </c>
    </row>
    <row r="69" customFormat="false" ht="45.75" hidden="false" customHeight="true" outlineLevel="0" collapsed="false">
      <c r="A69" s="11" t="n">
        <v>2</v>
      </c>
      <c r="B69" s="11" t="s">
        <v>460</v>
      </c>
      <c r="C69" s="42" t="s">
        <v>461</v>
      </c>
      <c r="D69" s="11" t="s">
        <v>458</v>
      </c>
      <c r="E69" s="43" t="s">
        <v>462</v>
      </c>
    </row>
    <row r="70" customFormat="false" ht="45.75" hidden="false" customHeight="true" outlineLevel="0" collapsed="false">
      <c r="A70" s="16" t="n">
        <v>3</v>
      </c>
      <c r="B70" s="16" t="s">
        <v>463</v>
      </c>
      <c r="C70" s="33" t="s">
        <v>464</v>
      </c>
      <c r="D70" s="16" t="s">
        <v>458</v>
      </c>
      <c r="E70" s="33" t="s">
        <v>465</v>
      </c>
    </row>
    <row r="71" customFormat="false" ht="45.75" hidden="false" customHeight="true" outlineLevel="0" collapsed="false">
      <c r="A71" s="16" t="n">
        <v>4</v>
      </c>
      <c r="B71" s="16" t="s">
        <v>466</v>
      </c>
      <c r="C71" s="33" t="s">
        <v>467</v>
      </c>
      <c r="D71" s="16" t="s">
        <v>468</v>
      </c>
      <c r="E71" s="33" t="s">
        <v>469</v>
      </c>
    </row>
  </sheetData>
  <mergeCells count="5">
    <mergeCell ref="A44:G44"/>
    <mergeCell ref="A45:G45"/>
    <mergeCell ref="A46:G46"/>
    <mergeCell ref="A47:G47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54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30" t="s">
        <v>470</v>
      </c>
    </row>
    <row r="2" customFormat="false" ht="15" hidden="false" customHeight="false" outlineLevel="0" collapsed="false">
      <c r="A2" s="2" t="s">
        <v>471</v>
      </c>
    </row>
    <row r="4" customFormat="false" ht="15" hidden="false" customHeight="false" outlineLevel="0" collapsed="false">
      <c r="A4" s="37" t="s">
        <v>472</v>
      </c>
    </row>
    <row r="5" customFormat="false" ht="30" hidden="false" customHeight="true" outlineLevel="0" collapsed="false">
      <c r="A5" s="5" t="s">
        <v>12</v>
      </c>
      <c r="B5" s="5" t="s">
        <v>473</v>
      </c>
      <c r="C5" s="5" t="s">
        <v>474</v>
      </c>
      <c r="D5" s="5" t="s">
        <v>475</v>
      </c>
      <c r="E5" s="5" t="s">
        <v>476</v>
      </c>
      <c r="F5" s="5" t="s">
        <v>407</v>
      </c>
      <c r="G5" s="5" t="s">
        <v>477</v>
      </c>
      <c r="H5" s="5" t="s">
        <v>478</v>
      </c>
      <c r="I5" s="5" t="s">
        <v>479</v>
      </c>
      <c r="J5" s="5" t="s">
        <v>480</v>
      </c>
      <c r="K5" s="5" t="s">
        <v>481</v>
      </c>
      <c r="L5" s="5" t="s">
        <v>408</v>
      </c>
    </row>
    <row r="6" customFormat="false" ht="15" hidden="false" customHeight="false" outlineLevel="0" collapsed="false">
      <c r="A6" s="6" t="s">
        <v>25</v>
      </c>
      <c r="B6" s="6" t="s">
        <v>482</v>
      </c>
      <c r="C6" s="6" t="s">
        <v>28</v>
      </c>
      <c r="D6" s="9" t="n">
        <f aca="false">IFERROR(28*1000/34196,0)</f>
        <v>0.818809217452334</v>
      </c>
      <c r="E6" s="9" t="n">
        <f aca="false">IFERROR(28*1000/32455,0)</f>
        <v>0.862733014943768</v>
      </c>
      <c r="F6" s="44" t="n">
        <f aca="false">IFERROR(E6-D6,0)</f>
        <v>0.0439237974914347</v>
      </c>
      <c r="G6" s="9" t="n">
        <f aca="false">IFERROR(150*100/34196,0)</f>
        <v>0.43864779506375</v>
      </c>
      <c r="H6" s="9" t="n">
        <f aca="false">IFERROR(145*100/32455,0)</f>
        <v>0.446772454167309</v>
      </c>
      <c r="I6" s="44" t="n">
        <f aca="false">IFERROR(H6-G6,0)</f>
        <v>0.00812465910355847</v>
      </c>
      <c r="J6" s="8" t="n">
        <v>34196</v>
      </c>
      <c r="K6" s="8" t="n">
        <v>32455</v>
      </c>
      <c r="L6" s="7" t="s">
        <v>483</v>
      </c>
    </row>
    <row r="7" customFormat="false" ht="15" hidden="false" customHeight="false" outlineLevel="0" collapsed="false">
      <c r="A7" s="6" t="s">
        <v>31</v>
      </c>
      <c r="B7" s="6" t="s">
        <v>482</v>
      </c>
      <c r="C7" s="6" t="s">
        <v>28</v>
      </c>
      <c r="D7" s="9" t="n">
        <f aca="false">IFERROR(21*1000/28638,0)</f>
        <v>0.73329143096585</v>
      </c>
      <c r="E7" s="9" t="n">
        <f aca="false">IFERROR(21*1000/26675,0)</f>
        <v>0.787253983130272</v>
      </c>
      <c r="F7" s="44" t="n">
        <f aca="false">IFERROR(E7-D7,0)</f>
        <v>0.0539625521644223</v>
      </c>
      <c r="G7" s="9" t="n">
        <f aca="false">IFERROR(156*100/28638,0)</f>
        <v>0.544730777288917</v>
      </c>
      <c r="H7" s="9" t="n">
        <f aca="false">IFERROR(154*100/26675,0)</f>
        <v>0.577319587628866</v>
      </c>
      <c r="I7" s="44" t="n">
        <f aca="false">IFERROR(H7-G7,0)</f>
        <v>0.0325888103399491</v>
      </c>
      <c r="J7" s="8" t="n">
        <v>28638</v>
      </c>
      <c r="K7" s="8" t="n">
        <v>26675</v>
      </c>
      <c r="L7" s="7" t="s">
        <v>484</v>
      </c>
    </row>
    <row r="8" customFormat="false" ht="15" hidden="false" customHeight="false" outlineLevel="0" collapsed="false">
      <c r="A8" s="6" t="s">
        <v>29</v>
      </c>
      <c r="B8" s="6" t="s">
        <v>482</v>
      </c>
      <c r="C8" s="6" t="s">
        <v>28</v>
      </c>
      <c r="D8" s="9" t="n">
        <f aca="false">IFERROR(21*1000/32803,0)</f>
        <v>0.640185348901015</v>
      </c>
      <c r="E8" s="9" t="n">
        <f aca="false">IFERROR(21*1000/31678,0)</f>
        <v>0.662920638929225</v>
      </c>
      <c r="F8" s="44" t="n">
        <f aca="false">IFERROR(E8-D8,0)</f>
        <v>0.0227352900282102</v>
      </c>
      <c r="G8" s="9" t="n">
        <f aca="false">IFERROR(239*100/32803,0)</f>
        <v>0.728591897082584</v>
      </c>
      <c r="H8" s="9" t="n">
        <f aca="false">IFERROR(236*100/31678,0)</f>
        <v>0.744996527558558</v>
      </c>
      <c r="I8" s="44" t="n">
        <f aca="false">IFERROR(H8-G8,0)</f>
        <v>0.0164046304759741</v>
      </c>
      <c r="J8" s="8" t="n">
        <v>32803</v>
      </c>
      <c r="K8" s="8" t="n">
        <v>31678</v>
      </c>
      <c r="L8" s="7" t="s">
        <v>485</v>
      </c>
    </row>
    <row r="9" customFormat="false" ht="15" hidden="false" customHeight="false" outlineLevel="0" collapsed="false">
      <c r="A9" s="11" t="s">
        <v>33</v>
      </c>
      <c r="B9" s="11" t="s">
        <v>482</v>
      </c>
      <c r="C9" s="11" t="s">
        <v>28</v>
      </c>
      <c r="D9" s="14" t="n">
        <f aca="false">IFERROR(33*1000/50825,0)</f>
        <v>0.649286768322676</v>
      </c>
      <c r="E9" s="14" t="n">
        <f aca="false">IFERROR(31*1000/50065,0)</f>
        <v>0.619195046439629</v>
      </c>
      <c r="F9" s="45" t="n">
        <f aca="false">IFERROR(E9-D9,0)</f>
        <v>-0.0300917218830473</v>
      </c>
      <c r="G9" s="14" t="n">
        <f aca="false">IFERROR(160*100/50825,0)</f>
        <v>0.314805705853419</v>
      </c>
      <c r="H9" s="14" t="n">
        <f aca="false">IFERROR(152*100/50065,0)</f>
        <v>0.303605313092979</v>
      </c>
      <c r="I9" s="45" t="n">
        <f aca="false">IFERROR(H9-G9,0)</f>
        <v>-0.0112003927604395</v>
      </c>
      <c r="J9" s="13" t="n">
        <v>50825</v>
      </c>
      <c r="K9" s="13" t="n">
        <v>50065</v>
      </c>
      <c r="L9" s="11" t="s">
        <v>486</v>
      </c>
    </row>
    <row r="10" customFormat="false" ht="15" hidden="false" customHeight="false" outlineLevel="0" collapsed="false">
      <c r="A10" s="11" t="s">
        <v>35</v>
      </c>
      <c r="B10" s="11" t="s">
        <v>482</v>
      </c>
      <c r="C10" s="11" t="s">
        <v>28</v>
      </c>
      <c r="D10" s="14" t="n">
        <f aca="false">IFERROR(7*1000/42396,0)</f>
        <v>0.165109916029814</v>
      </c>
      <c r="E10" s="14" t="n">
        <f aca="false">IFERROR(6*1000/39353,0)</f>
        <v>0.15246613981145</v>
      </c>
      <c r="F10" s="45" t="n">
        <f aca="false">IFERROR(E10-D10,0)</f>
        <v>-0.0126437762183639</v>
      </c>
      <c r="G10" s="14" t="n">
        <f aca="false">IFERROR(91*100/42396,0)</f>
        <v>0.214642890838758</v>
      </c>
      <c r="H10" s="14" t="n">
        <f aca="false">IFERROR(84*100/39353,0)</f>
        <v>0.21345259573603</v>
      </c>
      <c r="I10" s="45" t="n">
        <f aca="false">IFERROR(H10-G10,0)</f>
        <v>-0.00119029510272808</v>
      </c>
      <c r="J10" s="13" t="n">
        <v>42396</v>
      </c>
      <c r="K10" s="13" t="n">
        <v>39353</v>
      </c>
      <c r="L10" s="11" t="s">
        <v>487</v>
      </c>
    </row>
    <row r="13" customFormat="false" ht="15" hidden="false" customHeight="false" outlineLevel="0" collapsed="false">
      <c r="A13" s="37" t="s">
        <v>488</v>
      </c>
    </row>
    <row r="14" customFormat="false" ht="30" hidden="false" customHeight="true" outlineLevel="0" collapsed="false">
      <c r="A14" s="5" t="s">
        <v>12</v>
      </c>
      <c r="B14" s="31" t="s">
        <v>39</v>
      </c>
      <c r="C14" s="31" t="s">
        <v>482</v>
      </c>
      <c r="D14" s="31" t="s">
        <v>28</v>
      </c>
      <c r="E14" s="31" t="s">
        <v>489</v>
      </c>
      <c r="F14" s="5" t="s">
        <v>490</v>
      </c>
    </row>
    <row r="15" customFormat="false" ht="15" hidden="false" customHeight="false" outlineLevel="0" collapsed="false">
      <c r="A15" s="6" t="s">
        <v>25</v>
      </c>
      <c r="B15" s="9" t="n">
        <v>0.791</v>
      </c>
      <c r="C15" s="9" t="n">
        <v>0.819</v>
      </c>
      <c r="D15" s="9" t="n">
        <v>0.863</v>
      </c>
      <c r="E15" s="44" t="n">
        <f aca="false">IFERROR(D15-B15,0)</f>
        <v>0.072</v>
      </c>
      <c r="F15" s="7" t="s">
        <v>491</v>
      </c>
    </row>
    <row r="16" customFormat="false" ht="15" hidden="false" customHeight="false" outlineLevel="0" collapsed="false">
      <c r="A16" s="6" t="s">
        <v>31</v>
      </c>
      <c r="B16" s="9" t="n">
        <v>0.463</v>
      </c>
      <c r="C16" s="9" t="n">
        <v>0.733</v>
      </c>
      <c r="D16" s="9" t="n">
        <v>0.787</v>
      </c>
      <c r="E16" s="44" t="n">
        <f aca="false">IFERROR(D16-B16,0)</f>
        <v>0.324</v>
      </c>
      <c r="F16" s="7" t="s">
        <v>491</v>
      </c>
    </row>
    <row r="17" customFormat="false" ht="15" hidden="false" customHeight="false" outlineLevel="0" collapsed="false">
      <c r="A17" s="6" t="s">
        <v>29</v>
      </c>
      <c r="B17" s="9" t="n">
        <v>0.467</v>
      </c>
      <c r="C17" s="9" t="n">
        <v>0.64</v>
      </c>
      <c r="D17" s="9" t="n">
        <v>0.663</v>
      </c>
      <c r="E17" s="44" t="n">
        <f aca="false">IFERROR(D17-B17,0)</f>
        <v>0.196</v>
      </c>
      <c r="F17" s="7" t="s">
        <v>491</v>
      </c>
    </row>
    <row r="18" customFormat="false" ht="15" hidden="false" customHeight="false" outlineLevel="0" collapsed="false">
      <c r="A18" s="11" t="s">
        <v>33</v>
      </c>
      <c r="B18" s="14" t="n">
        <v>0.715</v>
      </c>
      <c r="C18" s="14" t="n">
        <v>0.649</v>
      </c>
      <c r="D18" s="14" t="n">
        <v>0.619</v>
      </c>
      <c r="E18" s="45" t="n">
        <f aca="false">IFERROR(D18-B18,0)</f>
        <v>-0.096</v>
      </c>
      <c r="F18" s="12" t="s">
        <v>492</v>
      </c>
    </row>
    <row r="19" customFormat="false" ht="15" hidden="false" customHeight="false" outlineLevel="0" collapsed="false">
      <c r="A19" s="11" t="s">
        <v>35</v>
      </c>
      <c r="B19" s="14" t="n">
        <v>0.199</v>
      </c>
      <c r="C19" s="14" t="n">
        <v>0.165</v>
      </c>
      <c r="D19" s="14" t="n">
        <v>0.152</v>
      </c>
      <c r="E19" s="45" t="n">
        <f aca="false">IFERROR(D19-B19,0)</f>
        <v>-0.047</v>
      </c>
      <c r="F19" s="12" t="s">
        <v>492</v>
      </c>
    </row>
    <row r="22" customFormat="false" ht="15" hidden="false" customHeight="false" outlineLevel="0" collapsed="false">
      <c r="A22" s="37" t="s">
        <v>493</v>
      </c>
    </row>
    <row r="23" customFormat="false" ht="30" hidden="false" customHeight="true" outlineLevel="0" collapsed="false">
      <c r="A23" s="5" t="s">
        <v>494</v>
      </c>
      <c r="B23" s="5" t="s">
        <v>373</v>
      </c>
      <c r="C23" s="5" t="s">
        <v>495</v>
      </c>
      <c r="D23" s="5" t="s">
        <v>496</v>
      </c>
      <c r="E23" s="5" t="s">
        <v>497</v>
      </c>
      <c r="F23" s="5" t="s">
        <v>498</v>
      </c>
      <c r="G23" s="5" t="s">
        <v>499</v>
      </c>
    </row>
    <row r="24" customFormat="false" ht="43.5" hidden="false" customHeight="true" outlineLevel="0" collapsed="false">
      <c r="A24" s="16" t="s">
        <v>500</v>
      </c>
      <c r="B24" s="16" t="s">
        <v>25</v>
      </c>
      <c r="C24" s="33" t="s">
        <v>501</v>
      </c>
      <c r="D24" s="17" t="s">
        <v>502</v>
      </c>
      <c r="E24" s="17" t="s">
        <v>503</v>
      </c>
      <c r="F24" s="33" t="s">
        <v>504</v>
      </c>
      <c r="G24" s="33" t="s">
        <v>505</v>
      </c>
    </row>
    <row r="25" customFormat="false" ht="43.5" hidden="false" customHeight="true" outlineLevel="0" collapsed="false">
      <c r="A25" s="16" t="s">
        <v>500</v>
      </c>
      <c r="B25" s="16" t="s">
        <v>33</v>
      </c>
      <c r="C25" s="34" t="s">
        <v>506</v>
      </c>
      <c r="D25" s="17" t="s">
        <v>502</v>
      </c>
      <c r="E25" s="16" t="s">
        <v>507</v>
      </c>
      <c r="F25" s="34" t="s">
        <v>508</v>
      </c>
      <c r="G25" s="33" t="s">
        <v>509</v>
      </c>
    </row>
    <row r="26" customFormat="false" ht="43.5" hidden="false" customHeight="true" outlineLevel="0" collapsed="false">
      <c r="A26" s="16" t="s">
        <v>510</v>
      </c>
      <c r="B26" s="16" t="s">
        <v>511</v>
      </c>
      <c r="C26" s="33" t="s">
        <v>512</v>
      </c>
      <c r="D26" s="17" t="s">
        <v>513</v>
      </c>
      <c r="E26" s="17" t="s">
        <v>513</v>
      </c>
      <c r="F26" s="33" t="s">
        <v>514</v>
      </c>
      <c r="G26" s="34" t="s">
        <v>515</v>
      </c>
    </row>
    <row r="27" customFormat="false" ht="43.5" hidden="false" customHeight="true" outlineLevel="0" collapsed="false">
      <c r="A27" s="16" t="s">
        <v>510</v>
      </c>
      <c r="B27" s="16" t="s">
        <v>33</v>
      </c>
      <c r="C27" s="34" t="s">
        <v>516</v>
      </c>
      <c r="D27" s="17" t="s">
        <v>513</v>
      </c>
      <c r="E27" s="17" t="s">
        <v>517</v>
      </c>
      <c r="F27" s="33" t="s">
        <v>518</v>
      </c>
      <c r="G27" s="34" t="s">
        <v>519</v>
      </c>
    </row>
    <row r="28" customFormat="false" ht="43.5" hidden="false" customHeight="true" outlineLevel="0" collapsed="false">
      <c r="A28" s="16" t="s">
        <v>520</v>
      </c>
      <c r="B28" s="17" t="s">
        <v>521</v>
      </c>
      <c r="C28" s="34" t="s">
        <v>522</v>
      </c>
      <c r="D28" s="16" t="s">
        <v>382</v>
      </c>
      <c r="E28" s="17" t="s">
        <v>523</v>
      </c>
      <c r="F28" s="33" t="s">
        <v>524</v>
      </c>
      <c r="G28" s="33" t="s">
        <v>525</v>
      </c>
    </row>
    <row r="29" customFormat="false" ht="43.5" hidden="false" customHeight="true" outlineLevel="0" collapsed="false">
      <c r="A29" s="16" t="s">
        <v>520</v>
      </c>
      <c r="B29" s="17" t="s">
        <v>521</v>
      </c>
      <c r="C29" s="33" t="s">
        <v>526</v>
      </c>
      <c r="D29" s="16" t="s">
        <v>382</v>
      </c>
      <c r="E29" s="17" t="s">
        <v>502</v>
      </c>
      <c r="F29" s="34" t="s">
        <v>527</v>
      </c>
      <c r="G29" s="33" t="s">
        <v>528</v>
      </c>
    </row>
    <row r="30" customFormat="false" ht="43.5" hidden="false" customHeight="true" outlineLevel="0" collapsed="false">
      <c r="A30" s="16" t="s">
        <v>520</v>
      </c>
      <c r="B30" s="16" t="s">
        <v>529</v>
      </c>
      <c r="C30" s="33" t="s">
        <v>530</v>
      </c>
      <c r="D30" s="16" t="s">
        <v>382</v>
      </c>
      <c r="E30" s="17" t="s">
        <v>513</v>
      </c>
      <c r="F30" s="33" t="s">
        <v>531</v>
      </c>
      <c r="G30" s="34" t="s">
        <v>532</v>
      </c>
    </row>
    <row r="31" customFormat="false" ht="43.5" hidden="false" customHeight="true" outlineLevel="0" collapsed="false">
      <c r="A31" s="16" t="s">
        <v>533</v>
      </c>
      <c r="B31" s="17" t="s">
        <v>521</v>
      </c>
      <c r="C31" s="34" t="s">
        <v>534</v>
      </c>
      <c r="D31" s="16" t="s">
        <v>382</v>
      </c>
      <c r="E31" s="17" t="s">
        <v>535</v>
      </c>
      <c r="F31" s="34" t="s">
        <v>536</v>
      </c>
      <c r="G31" s="34" t="s">
        <v>537</v>
      </c>
    </row>
    <row r="34" customFormat="false" ht="15" hidden="false" customHeight="false" outlineLevel="0" collapsed="false">
      <c r="A34" s="37" t="s">
        <v>538</v>
      </c>
    </row>
    <row r="35" customFormat="false" ht="30" hidden="false" customHeight="true" outlineLevel="0" collapsed="false">
      <c r="A35" s="5" t="s">
        <v>12</v>
      </c>
      <c r="B35" s="5" t="s">
        <v>16</v>
      </c>
      <c r="C35" s="5" t="s">
        <v>539</v>
      </c>
      <c r="D35" s="5" t="s">
        <v>119</v>
      </c>
    </row>
    <row r="36" customFormat="false" ht="15" hidden="false" customHeight="false" outlineLevel="0" collapsed="false">
      <c r="A36" s="21" t="s">
        <v>33</v>
      </c>
      <c r="B36" s="21" t="n">
        <v>7</v>
      </c>
      <c r="C36" s="21" t="n">
        <v>0</v>
      </c>
      <c r="D36" s="22" t="s">
        <v>540</v>
      </c>
    </row>
    <row r="37" customFormat="false" ht="15" hidden="false" customHeight="false" outlineLevel="0" collapsed="false">
      <c r="A37" s="21" t="s">
        <v>29</v>
      </c>
      <c r="B37" s="21" t="n">
        <v>5</v>
      </c>
      <c r="C37" s="21" t="n">
        <v>0</v>
      </c>
      <c r="D37" s="22" t="s">
        <v>540</v>
      </c>
    </row>
    <row r="38" customFormat="false" ht="15" hidden="false" customHeight="false" outlineLevel="0" collapsed="false">
      <c r="A38" s="21" t="s">
        <v>25</v>
      </c>
      <c r="B38" s="21" t="n">
        <v>6</v>
      </c>
      <c r="C38" s="21" t="n">
        <v>0</v>
      </c>
      <c r="D38" s="22" t="s">
        <v>540</v>
      </c>
    </row>
    <row r="39" customFormat="false" ht="15" hidden="false" customHeight="false" outlineLevel="0" collapsed="false">
      <c r="A39" s="21" t="s">
        <v>40</v>
      </c>
      <c r="B39" s="21" t="n">
        <v>2</v>
      </c>
      <c r="C39" s="21" t="n">
        <v>0</v>
      </c>
      <c r="D39" s="22" t="s">
        <v>540</v>
      </c>
    </row>
    <row r="40" customFormat="false" ht="15" hidden="false" customHeight="false" outlineLevel="0" collapsed="false">
      <c r="A40" s="21" t="s">
        <v>31</v>
      </c>
      <c r="B40" s="21" t="n">
        <v>5</v>
      </c>
      <c r="C40" s="21" t="n">
        <v>0</v>
      </c>
      <c r="D40" s="22" t="s">
        <v>540</v>
      </c>
    </row>
    <row r="41" customFormat="false" ht="15" hidden="false" customHeight="false" outlineLevel="0" collapsed="false">
      <c r="A41" s="26" t="s">
        <v>541</v>
      </c>
      <c r="B41" s="26" t="n">
        <v>25</v>
      </c>
      <c r="C41" s="26" t="n">
        <v>0</v>
      </c>
      <c r="D41" s="27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2026-09-15T01:17:06Z</dcterms:created>
  <dc:creator>openpyxl</dc:creator>
  <dc:description/>
  <dc:language>en-US</dc:language>
  <cp:lastModifiedBy/>
  <dcterms:modified xsi:type="dcterms:W3CDTF">2026-09-15T01:17:06Z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