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動画別パフォーマンス!$A$4:$N$196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<sst xmlns="http://schemas.openxmlformats.org/spreadsheetml/2006/main" count="1365" uniqueCount="467">
  <si>
    <r>
      <rPr>
        <b val="true"/>
        <sz val="14"/>
        <color rgb="FF1F3864"/>
        <rFont val="Arial"/>
        <family val="0"/>
        <charset val="1"/>
      </rPr>
      <t xml:space="preserve">YouTube Factory </t>
    </r>
    <r>
      <rPr>
        <b val="true"/>
        <sz val="14"/>
        <color rgb="FF1F3864"/>
        <rFont val="Noto Sans CJK SC"/>
        <family val="2"/>
      </rPr>
      <t xml:space="preserve">指揮者レポート  </t>
    </r>
    <r>
      <rPr>
        <b val="true"/>
        <sz val="14"/>
        <color rgb="FF1F3864"/>
        <rFont val="Arial"/>
        <family val="0"/>
        <charset val="1"/>
      </rPr>
      <t xml:space="preserve">2026-09-14</t>
    </r>
  </si>
  <si>
    <r>
      <rPr>
        <i val="true"/>
        <sz val="9"/>
        <color rgb="FF666666"/>
        <rFont val="Noto Sans CJK SC"/>
        <family val="2"/>
      </rPr>
      <t xml:space="preserve">データ源</t>
    </r>
    <r>
      <rPr>
        <i val="true"/>
        <sz val="9"/>
        <color rgb="FF666666"/>
        <rFont val="Arial"/>
        <family val="0"/>
        <charset val="1"/>
      </rPr>
      <t xml:space="preserve">: data/analytics/analytics.db</t>
    </r>
    <r>
      <rPr>
        <i val="true"/>
        <sz val="9"/>
        <color rgb="FF666666"/>
        <rFont val="Noto Sans CJK SC"/>
        <family val="2"/>
      </rPr>
      <t xml:space="preserve">（最終同期 </t>
    </r>
    <r>
      <rPr>
        <i val="true"/>
        <sz val="9"/>
        <color rgb="FF666666"/>
        <rFont val="Arial"/>
        <family val="0"/>
        <charset val="1"/>
      </rPr>
      <t xml:space="preserve">2026-09-13 13:40 UTC</t>
    </r>
    <r>
      <rPr>
        <i val="true"/>
        <sz val="9"/>
        <color rgb="FF666666"/>
        <rFont val="Noto Sans CJK SC"/>
        <family val="2"/>
      </rPr>
      <t xml:space="preserve">）。</t>
    </r>
    <r>
      <rPr>
        <i val="true"/>
        <sz val="9"/>
        <color rgb="FF666666"/>
        <rFont val="Arial"/>
        <family val="0"/>
        <charset val="1"/>
      </rPr>
      <t xml:space="preserve">video_metrics </t>
    </r>
    <r>
      <rPr>
        <i val="true"/>
        <sz val="9"/>
        <color rgb="FF666666"/>
        <rFont val="Noto Sans CJK SC"/>
        <family val="2"/>
      </rPr>
      <t xml:space="preserve">を </t>
    </r>
    <r>
      <rPr>
        <i val="true"/>
        <sz val="9"/>
        <color rgb="FF666666"/>
        <rFont val="Arial"/>
        <family val="0"/>
        <charset val="1"/>
      </rPr>
      <t xml:space="preserve">video_id </t>
    </r>
    <r>
      <rPr>
        <i val="true"/>
        <sz val="9"/>
        <color rgb="FF666666"/>
        <rFont val="Noto Sans CJK SC"/>
        <family val="2"/>
      </rPr>
      <t xml:space="preserve">ごとの最新スナップショット</t>
    </r>
    <r>
      <rPr>
        <i val="true"/>
        <sz val="9"/>
        <color rgb="FF666666"/>
        <rFont val="Arial"/>
        <family val="0"/>
        <charset val="1"/>
      </rPr>
      <t xml:space="preserve">1</t>
    </r>
    <r>
      <rPr>
        <i val="true"/>
        <sz val="9"/>
        <color rgb="FF666666"/>
        <rFont val="Noto Sans CJK SC"/>
        <family val="2"/>
      </rPr>
      <t xml:space="preserve">行に畳んで集計。判断軸は至上目標である 登録者</t>
    </r>
    <r>
      <rPr>
        <i val="true"/>
        <sz val="9"/>
        <color rgb="FF666666"/>
        <rFont val="Arial"/>
        <family val="0"/>
        <charset val="1"/>
      </rPr>
      <t xml:space="preserve">/</t>
    </r>
    <r>
      <rPr>
        <i val="true"/>
        <sz val="9"/>
        <color rgb="FF666666"/>
        <rFont val="Noto Sans CJK SC"/>
        <family val="2"/>
      </rPr>
      <t xml:space="preserve">千再生。</t>
    </r>
  </si>
  <si>
    <t xml:space="preserve">■ 本日の結論</t>
  </si>
  <si>
    <r>
      <rPr>
        <sz val="10"/>
        <rFont val="Arial"/>
        <family val="0"/>
        <charset val="1"/>
      </rPr>
      <t xml:space="preserve">1. OAuth </t>
    </r>
    <r>
      <rPr>
        <sz val="10"/>
        <rFont val="Noto Sans CJK SC"/>
        <family val="2"/>
      </rPr>
      <t xml:space="preserve">は </t>
    </r>
    <r>
      <rPr>
        <sz val="10"/>
        <rFont val="Arial"/>
        <family val="0"/>
        <charset val="1"/>
      </rPr>
      <t xml:space="preserve">2026-09-13 </t>
    </r>
    <r>
      <rPr>
        <sz val="10"/>
        <rFont val="Noto Sans CJK SC"/>
        <family val="2"/>
      </rPr>
      <t xml:space="preserve">に復旧した。</t>
    </r>
    <r>
      <rPr>
        <sz val="10"/>
        <rFont val="Arial"/>
        <family val="0"/>
        <charset val="1"/>
      </rPr>
      <t xml:space="preserve">09-09 </t>
    </r>
    <r>
      <rPr>
        <sz val="10"/>
        <rFont val="Noto Sans CJK SC"/>
        <family val="2"/>
      </rPr>
      <t xml:space="preserve">から </t>
    </r>
    <r>
      <rPr>
        <sz val="10"/>
        <rFont val="Arial"/>
        <family val="0"/>
        <charset val="1"/>
      </rPr>
      <t xml:space="preserve">5 </t>
    </r>
    <r>
      <rPr>
        <sz val="10"/>
        <rFont val="Noto Sans CJK SC"/>
        <family val="2"/>
      </rPr>
      <t xml:space="preserve">日間ゼロだった公開が再開し、バックエンドログの直近 </t>
    </r>
    <r>
      <rPr>
        <sz val="10"/>
        <rFont val="Arial"/>
        <family val="0"/>
        <charset val="1"/>
      </rPr>
      <t xml:space="preserve">200KB </t>
    </r>
    <r>
      <rPr>
        <sz val="10"/>
        <rFont val="Noto Sans CJK SC"/>
        <family val="2"/>
      </rPr>
      <t xml:space="preserve">に </t>
    </r>
    <r>
      <rPr>
        <sz val="10"/>
        <rFont val="Arial"/>
        <family val="0"/>
        <charset val="1"/>
      </rPr>
      <t xml:space="preserve">invalid_grant </t>
    </r>
    <r>
      <rPr>
        <sz val="10"/>
        <rFont val="Noto Sans CJK SC"/>
        <family val="2"/>
      </rPr>
      <t xml:space="preserve">は </t>
    </r>
    <r>
      <rPr>
        <sz val="10"/>
        <rFont val="Arial"/>
        <family val="0"/>
        <charset val="1"/>
      </rPr>
      <t xml:space="preserve">1 </t>
    </r>
    <r>
      <rPr>
        <sz val="10"/>
        <rFont val="Noto Sans CJK SC"/>
        <family val="2"/>
      </rPr>
      <t xml:space="preserve">件も出ていない。</t>
    </r>
  </si>
  <si>
    <r>
      <rPr>
        <sz val="10"/>
        <rFont val="Arial"/>
        <family val="0"/>
        <charset val="1"/>
      </rPr>
      <t xml:space="preserve">2. </t>
    </r>
    <r>
      <rPr>
        <sz val="10"/>
        <rFont val="Noto Sans CJK SC"/>
        <family val="2"/>
      </rPr>
      <t xml:space="preserve">ただしカスタムサムネイルは </t>
    </r>
    <r>
      <rPr>
        <sz val="10"/>
        <rFont val="Arial"/>
        <family val="0"/>
        <charset val="1"/>
      </rPr>
      <t xml:space="preserve">10ch </t>
    </r>
    <r>
      <rPr>
        <sz val="10"/>
        <rFont val="Noto Sans CJK SC"/>
        <family val="2"/>
      </rPr>
      <t xml:space="preserve">中 </t>
    </r>
    <r>
      <rPr>
        <sz val="10"/>
        <rFont val="Arial"/>
        <family val="0"/>
        <charset val="1"/>
      </rPr>
      <t xml:space="preserve">daily-science </t>
    </r>
    <r>
      <rPr>
        <sz val="10"/>
        <rFont val="Noto Sans CJK SC"/>
        <family val="2"/>
      </rPr>
      <t xml:space="preserve">の </t>
    </r>
    <r>
      <rPr>
        <sz val="10"/>
        <rFont val="Arial"/>
        <family val="0"/>
        <charset val="1"/>
      </rPr>
      <t xml:space="preserve">1ch </t>
    </r>
    <r>
      <rPr>
        <sz val="10"/>
        <rFont val="Noto Sans CJK SC"/>
        <family val="2"/>
      </rPr>
      <t xml:space="preserve">でしか設定できていない。ログ全体で 成功 </t>
    </r>
    <r>
      <rPr>
        <sz val="10"/>
        <rFont val="Arial"/>
        <family val="0"/>
        <charset val="1"/>
      </rPr>
      <t xml:space="preserve">21 </t>
    </r>
    <r>
      <rPr>
        <sz val="10"/>
        <rFont val="Noto Sans CJK SC"/>
        <family val="2"/>
      </rPr>
      <t xml:space="preserve">本（全部 </t>
    </r>
    <r>
      <rPr>
        <sz val="10"/>
        <rFont val="Arial"/>
        <family val="0"/>
        <charset val="1"/>
      </rPr>
      <t xml:space="preserve">daily-science</t>
    </r>
    <r>
      <rPr>
        <sz val="10"/>
        <rFont val="Noto Sans CJK SC"/>
        <family val="2"/>
      </rPr>
      <t xml:space="preserve">）／失敗 </t>
    </r>
    <r>
      <rPr>
        <sz val="10"/>
        <rFont val="Arial"/>
        <family val="0"/>
        <charset val="1"/>
      </rPr>
      <t xml:space="preserve">163 </t>
    </r>
    <r>
      <rPr>
        <sz val="10"/>
        <rFont val="Noto Sans CJK SC"/>
        <family val="2"/>
      </rPr>
      <t xml:space="preserve">本（他 </t>
    </r>
    <r>
      <rPr>
        <sz val="10"/>
        <rFont val="Arial"/>
        <family val="0"/>
        <charset val="1"/>
      </rPr>
      <t xml:space="preserve">9ch </t>
    </r>
    <r>
      <rPr>
        <sz val="10"/>
        <rFont val="Noto Sans CJK SC"/>
        <family val="2"/>
      </rPr>
      <t xml:space="preserve">全部）。原因は </t>
    </r>
    <r>
      <rPr>
        <sz val="10"/>
        <rFont val="Arial"/>
        <family val="0"/>
        <charset val="1"/>
      </rPr>
      <t xml:space="preserve">YouTube </t>
    </r>
    <r>
      <rPr>
        <sz val="10"/>
        <rFont val="Noto Sans CJK SC"/>
        <family val="2"/>
      </rPr>
      <t xml:space="preserve">アカウントの電話番号確認が未了であること。パイプラインでは直せない。</t>
    </r>
  </si>
  <si>
    <r>
      <rPr>
        <sz val="10"/>
        <rFont val="Arial"/>
        <family val="0"/>
        <charset val="1"/>
      </rPr>
      <t xml:space="preserve">3. </t>
    </r>
    <r>
      <rPr>
        <sz val="10"/>
        <rFont val="Noto Sans CJK SC"/>
        <family val="2"/>
      </rPr>
      <t xml:space="preserve">直近</t>
    </r>
    <r>
      <rPr>
        <sz val="10"/>
        <rFont val="Arial"/>
        <family val="0"/>
        <charset val="1"/>
      </rPr>
      <t xml:space="preserve">14</t>
    </r>
    <r>
      <rPr>
        <sz val="10"/>
        <rFont val="Noto Sans CJK SC"/>
        <family val="2"/>
      </rPr>
      <t xml:space="preserve">日の全体 登録</t>
    </r>
    <r>
      <rPr>
        <sz val="10"/>
        <rFont val="Arial"/>
        <family val="0"/>
        <charset val="1"/>
      </rPr>
      <t xml:space="preserve">/</t>
    </r>
    <r>
      <rPr>
        <sz val="10"/>
        <rFont val="Noto Sans CJK SC"/>
        <family val="2"/>
      </rPr>
      <t xml:space="preserve">千再生は </t>
    </r>
    <r>
      <rPr>
        <sz val="10"/>
        <rFont val="Arial"/>
        <family val="0"/>
        <charset val="1"/>
      </rPr>
      <t xml:space="preserve">0.708 </t>
    </r>
    <r>
      <rPr>
        <sz val="10"/>
        <rFont val="Noto Sans CJK SC"/>
        <family val="2"/>
      </rPr>
      <t xml:space="preserve">で、コホート全期間 </t>
    </r>
    <r>
      <rPr>
        <sz val="10"/>
        <rFont val="Arial"/>
        <family val="0"/>
        <charset val="1"/>
      </rPr>
      <t xml:space="preserve">0.544 </t>
    </r>
    <r>
      <rPr>
        <sz val="10"/>
        <rFont val="Noto Sans CJK SC"/>
        <family val="2"/>
      </rPr>
      <t xml:space="preserve">から </t>
    </r>
    <r>
      <rPr>
        <sz val="10"/>
        <rFont val="Arial"/>
        <family val="0"/>
        <charset val="1"/>
      </rPr>
      <t xml:space="preserve">+30%</t>
    </r>
    <r>
      <rPr>
        <sz val="10"/>
        <rFont val="Noto Sans CJK SC"/>
        <family val="2"/>
      </rPr>
      <t xml:space="preserve">。改善方向は正しい。</t>
    </r>
  </si>
  <si>
    <r>
      <rPr>
        <sz val="10"/>
        <rFont val="Arial"/>
        <family val="0"/>
        <charset val="1"/>
      </rPr>
      <t xml:space="preserve">4. </t>
    </r>
    <r>
      <rPr>
        <sz val="10"/>
        <rFont val="Noto Sans CJK SC"/>
        <family val="2"/>
      </rPr>
      <t xml:space="preserve">タイトルの「型」が登録変換をチャンネルごとに強く分ける。本日この型ルールを </t>
    </r>
    <r>
      <rPr>
        <sz val="10"/>
        <rFont val="Arial"/>
        <family val="0"/>
        <charset val="1"/>
      </rPr>
      <t xml:space="preserve">6ch </t>
    </r>
    <r>
      <rPr>
        <sz val="10"/>
        <rFont val="Noto Sans CJK SC"/>
        <family val="2"/>
      </rPr>
      <t xml:space="preserve">全部に反映した。</t>
    </r>
  </si>
  <si>
    <r>
      <rPr>
        <sz val="10"/>
        <rFont val="Arial"/>
        <family val="0"/>
        <charset val="1"/>
      </rPr>
      <t xml:space="preserve">5. </t>
    </r>
    <r>
      <rPr>
        <sz val="10"/>
        <rFont val="Noto Sans CJK SC"/>
        <family val="2"/>
      </rPr>
      <t xml:space="preserve">投稿枠は </t>
    </r>
    <r>
      <rPr>
        <sz val="10"/>
        <rFont val="Arial"/>
        <family val="0"/>
        <charset val="1"/>
      </rPr>
      <t xml:space="preserve">17 </t>
    </r>
    <r>
      <rPr>
        <sz val="10"/>
        <rFont val="Noto Sans CJK SC"/>
        <family val="2"/>
      </rPr>
      <t xml:space="preserve">時前後が </t>
    </r>
    <r>
      <rPr>
        <sz val="10"/>
        <rFont val="Arial"/>
        <family val="0"/>
        <charset val="1"/>
      </rPr>
      <t xml:space="preserve">4ch </t>
    </r>
    <r>
      <rPr>
        <sz val="10"/>
        <rFont val="Noto Sans CJK SC"/>
        <family val="2"/>
      </rPr>
      <t xml:space="preserve">で最良。登録ゼロの枠（</t>
    </r>
    <r>
      <rPr>
        <sz val="10"/>
        <rFont val="Arial"/>
        <family val="0"/>
        <charset val="1"/>
      </rPr>
      <t xml:space="preserve">2ch-matome 21</t>
    </r>
    <r>
      <rPr>
        <sz val="10"/>
        <rFont val="Noto Sans CJK SC"/>
        <family val="2"/>
      </rPr>
      <t xml:space="preserve">時 など）を潰して夕方へ寄せた。</t>
    </r>
  </si>
  <si>
    <r>
      <rPr>
        <b val="true"/>
        <sz val="10"/>
        <rFont val="Noto Sans CJK SC"/>
        <family val="2"/>
      </rPr>
      <t xml:space="preserve">■ チャンネル別 実績（左</t>
    </r>
    <r>
      <rPr>
        <b val="true"/>
        <sz val="10"/>
        <rFont val="Arial"/>
        <family val="0"/>
        <charset val="1"/>
      </rPr>
      <t xml:space="preserve">: </t>
    </r>
    <r>
      <rPr>
        <b val="true"/>
        <sz val="10"/>
        <rFont val="Noto Sans CJK SC"/>
        <family val="2"/>
      </rPr>
      <t xml:space="preserve">公開</t>
    </r>
    <r>
      <rPr>
        <b val="true"/>
        <sz val="10"/>
        <rFont val="Arial"/>
        <family val="0"/>
        <charset val="1"/>
      </rPr>
      <t xml:space="preserve">2026-08-10</t>
    </r>
    <r>
      <rPr>
        <b val="true"/>
        <sz val="10"/>
        <rFont val="Noto Sans CJK SC"/>
        <family val="2"/>
      </rPr>
      <t xml:space="preserve">以降の全コホート </t>
    </r>
    <r>
      <rPr>
        <b val="true"/>
        <sz val="10"/>
        <rFont val="Arial"/>
        <family val="0"/>
        <charset val="1"/>
      </rPr>
      <t xml:space="preserve">/ </t>
    </r>
    <r>
      <rPr>
        <b val="true"/>
        <sz val="10"/>
        <rFont val="Noto Sans CJK SC"/>
        <family val="2"/>
      </rPr>
      <t xml:space="preserve">右</t>
    </r>
    <r>
      <rPr>
        <b val="true"/>
        <sz val="10"/>
        <rFont val="Arial"/>
        <family val="0"/>
        <charset val="1"/>
      </rPr>
      <t xml:space="preserve">: </t>
    </r>
    <r>
      <rPr>
        <b val="true"/>
        <sz val="10"/>
        <rFont val="Noto Sans CJK SC"/>
        <family val="2"/>
      </rPr>
      <t xml:space="preserve">直近</t>
    </r>
    <r>
      <rPr>
        <b val="true"/>
        <sz val="10"/>
        <rFont val="Arial"/>
        <family val="0"/>
        <charset val="1"/>
      </rPr>
      <t xml:space="preserve">14</t>
    </r>
    <r>
      <rPr>
        <b val="true"/>
        <sz val="10"/>
        <rFont val="Noto Sans CJK SC"/>
        <family val="2"/>
      </rPr>
      <t xml:space="preserve">日 公開</t>
    </r>
    <r>
      <rPr>
        <b val="true"/>
        <sz val="10"/>
        <rFont val="Arial"/>
        <family val="0"/>
        <charset val="1"/>
      </rPr>
      <t xml:space="preserve">2026-08-31</t>
    </r>
    <r>
      <rPr>
        <b val="true"/>
        <sz val="10"/>
        <rFont val="Noto Sans CJK SC"/>
        <family val="2"/>
      </rPr>
      <t xml:space="preserve">以降）</t>
    </r>
  </si>
  <si>
    <t xml:space="preserve">チャンネル</t>
  </si>
  <si>
    <t xml:space="preserve">名称</t>
  </si>
  <si>
    <t xml:space="preserve">本数</t>
  </si>
  <si>
    <t xml:space="preserve">総再生</t>
  </si>
  <si>
    <t xml:space="preserve">平均再生</t>
  </si>
  <si>
    <t xml:space="preserve">登録者</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</si>
  <si>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</si>
  <si>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r>
      <rPr>
        <b val="true"/>
        <sz val="10"/>
        <color rgb="FFFFFFFF"/>
        <rFont val="Noto Sans CJK SC"/>
        <family val="2"/>
      </rPr>
      <t xml:space="preserve">高評価率</t>
    </r>
    <r>
      <rPr>
        <b val="true"/>
        <sz val="10"/>
        <color rgb="FFFFFFFF"/>
        <rFont val="Arial"/>
        <family val="0"/>
        <charset val="1"/>
      </rPr>
      <t xml:space="preserve">%</t>
    </r>
  </si>
  <si>
    <r>
      <rPr>
        <b val="true"/>
        <sz val="10"/>
        <color rgb="FFFFFFFF"/>
        <rFont val="Noto Sans CJK SC"/>
        <family val="2"/>
      </rPr>
      <t xml:space="preserve">平均維持率</t>
    </r>
    <r>
      <rPr>
        <b val="true"/>
        <sz val="10"/>
        <color rgb="FFFFFFFF"/>
        <rFont val="Arial"/>
        <family val="0"/>
        <charset val="1"/>
      </rPr>
      <t xml:space="preserve">%</t>
    </r>
  </si>
  <si>
    <r>
      <rPr>
        <b val="true"/>
        <sz val="10"/>
        <color rgb="FFFFFFFF"/>
        <rFont val="Noto Sans CJK SC"/>
        <family val="2"/>
      </rPr>
      <t xml:space="preserve">直近</t>
    </r>
    <r>
      <rPr>
        <b val="true"/>
        <sz val="10"/>
        <color rgb="FFFFFFFF"/>
        <rFont val="Arial"/>
        <family val="0"/>
        <charset val="1"/>
      </rPr>
      <t xml:space="preserve">14</t>
    </r>
    <r>
      <rPr>
        <b val="true"/>
        <sz val="10"/>
        <color rgb="FFFFFFFF"/>
        <rFont val="Noto Sans CJK SC"/>
        <family val="2"/>
      </rPr>
      <t xml:space="preserve">日 本数</t>
    </r>
  </si>
  <si>
    <r>
      <rPr>
        <b val="true"/>
        <sz val="10"/>
        <color rgb="FFFFFFFF"/>
        <rFont val="Noto Sans CJK SC"/>
        <family val="2"/>
      </rPr>
      <t xml:space="preserve">直近</t>
    </r>
    <r>
      <rPr>
        <b val="true"/>
        <sz val="10"/>
        <color rgb="FFFFFFFF"/>
        <rFont val="Arial"/>
        <family val="0"/>
        <charset val="1"/>
      </rPr>
      <t xml:space="preserve">14</t>
    </r>
    <r>
      <rPr>
        <b val="true"/>
        <sz val="10"/>
        <color rgb="FFFFFFFF"/>
        <rFont val="Noto Sans CJK SC"/>
        <family val="2"/>
      </rPr>
      <t xml:space="preserve">日 登録</t>
    </r>
    <r>
      <rPr>
        <b val="true"/>
        <sz val="10"/>
        <color rgb="FFFFFFFF"/>
        <rFont val="Arial"/>
        <family val="0"/>
        <charset val="1"/>
      </rPr>
      <t xml:space="preserve">/</t>
    </r>
    <r>
      <rPr>
        <b val="true"/>
        <sz val="10"/>
        <color rgb="FFFFFFFF"/>
        <rFont val="Noto Sans CJK SC"/>
        <family val="2"/>
      </rPr>
      <t xml:space="preserve">千</t>
    </r>
  </si>
  <si>
    <t xml:space="preserve">前期比</t>
  </si>
  <si>
    <t xml:space="preserve">daily-science</t>
  </si>
  <si>
    <t xml:space="preserve">リコとマコトのゆっくり日常科学</t>
  </si>
  <si>
    <t xml:space="preserve">scp-lab</t>
  </si>
  <si>
    <r>
      <rPr>
        <sz val="10"/>
        <rFont val="Noto Sans CJK SC"/>
        <family val="2"/>
      </rPr>
      <t xml:space="preserve">異常存在</t>
    </r>
    <r>
      <rPr>
        <sz val="10"/>
        <rFont val="Arial"/>
        <family val="0"/>
        <charset val="1"/>
      </rPr>
      <t xml:space="preserve">SCP</t>
    </r>
    <r>
      <rPr>
        <sz val="10"/>
        <rFont val="Noto Sans CJK SC"/>
        <family val="2"/>
      </rPr>
      <t xml:space="preserve">ゆっくり解説ラボ</t>
    </r>
  </si>
  <si>
    <t xml:space="preserve">yokai-watch</t>
  </si>
  <si>
    <t xml:space="preserve">ゆっくり妖怪ラボ</t>
  </si>
  <si>
    <t xml:space="preserve">company-facts</t>
  </si>
  <si>
    <t xml:space="preserve">企業のホンネ</t>
  </si>
  <si>
    <t xml:space="preserve">pokemon-lab</t>
  </si>
  <si>
    <t xml:space="preserve">ゆっくりポケラボ</t>
  </si>
  <si>
    <t xml:space="preserve">2ch-matome</t>
  </si>
  <si>
    <r>
      <rPr>
        <sz val="10"/>
        <rFont val="Noto Sans CJK SC"/>
        <family val="2"/>
      </rPr>
      <t xml:space="preserve">ゆっくり</t>
    </r>
    <r>
      <rPr>
        <sz val="10"/>
        <rFont val="Arial"/>
        <family val="0"/>
        <charset val="1"/>
      </rPr>
      <t xml:space="preserve">2ch</t>
    </r>
    <r>
      <rPr>
        <sz val="10"/>
        <rFont val="Noto Sans CJK SC"/>
        <family val="2"/>
      </rPr>
      <t xml:space="preserve">スレまとめ劇場</t>
    </r>
  </si>
  <si>
    <r>
      <rPr>
        <b val="true"/>
        <sz val="10"/>
        <rFont val="Noto Sans CJK SC"/>
        <family val="2"/>
      </rPr>
      <t xml:space="preserve">合計 </t>
    </r>
    <r>
      <rPr>
        <b val="true"/>
        <sz val="10"/>
        <rFont val="Arial"/>
        <family val="0"/>
        <charset val="1"/>
      </rPr>
      <t xml:space="preserve">/ </t>
    </r>
    <r>
      <rPr>
        <b val="true"/>
        <sz val="10"/>
        <rFont val="Noto Sans CJK SC"/>
        <family val="2"/>
      </rPr>
      <t xml:space="preserve">加重平均</t>
    </r>
  </si>
  <si>
    <t xml:space="preserve">moviepy 6ch</t>
  </si>
  <si>
    <t xml:space="preserve">■ ブロッカー（指揮者では解消できない・人の作業が必要）</t>
  </si>
  <si>
    <t xml:space="preserve">項目</t>
  </si>
  <si>
    <t xml:space="preserve">状態</t>
  </si>
  <si>
    <t xml:space="preserve">影響</t>
  </si>
  <si>
    <t xml:space="preserve">必要な作業</t>
  </si>
  <si>
    <t xml:space="preserve">期限感</t>
  </si>
  <si>
    <t xml:space="preserve">カスタムサムネイル権限</t>
  </si>
  <si>
    <r>
      <rPr>
        <b val="true"/>
        <sz val="10"/>
        <color rgb="FF9C0006"/>
        <rFont val="Arial"/>
        <family val="0"/>
        <charset val="1"/>
      </rPr>
      <t xml:space="preserve">9ch </t>
    </r>
    <r>
      <rPr>
        <b val="true"/>
        <sz val="10"/>
        <color rgb="FF9C0006"/>
        <rFont val="Noto Sans CJK SC"/>
        <family val="2"/>
      </rPr>
      <t xml:space="preserve">で </t>
    </r>
    <r>
      <rPr>
        <b val="true"/>
        <sz val="10"/>
        <color rgb="FF9C0006"/>
        <rFont val="Arial"/>
        <family val="0"/>
        <charset val="1"/>
      </rPr>
      <t xml:space="preserve">403</t>
    </r>
    <r>
      <rPr>
        <b val="true"/>
        <sz val="10"/>
        <color rgb="FF9C0006"/>
        <rFont val="Noto Sans CJK SC"/>
        <family val="2"/>
      </rPr>
      <t xml:space="preserve">（未解決）</t>
    </r>
  </si>
  <si>
    <r>
      <rPr>
        <sz val="10"/>
        <rFont val="Arial"/>
        <family val="0"/>
        <charset val="1"/>
      </rPr>
      <t xml:space="preserve">daily-science </t>
    </r>
    <r>
      <rPr>
        <sz val="10"/>
        <rFont val="Noto Sans CJK SC"/>
        <family val="2"/>
      </rPr>
      <t xml:space="preserve">以外の全 </t>
    </r>
    <r>
      <rPr>
        <sz val="10"/>
        <rFont val="Arial"/>
        <family val="0"/>
        <charset val="1"/>
      </rPr>
      <t xml:space="preserve">ch </t>
    </r>
    <r>
      <rPr>
        <sz val="10"/>
        <rFont val="Noto Sans CJK SC"/>
        <family val="2"/>
      </rPr>
      <t xml:space="preserve">で自作サムネが </t>
    </r>
    <r>
      <rPr>
        <sz val="10"/>
        <rFont val="Arial"/>
        <family val="0"/>
        <charset val="1"/>
      </rPr>
      <t xml:space="preserve">1 </t>
    </r>
    <r>
      <rPr>
        <sz val="10"/>
        <rFont val="Noto Sans CJK SC"/>
        <family val="2"/>
      </rPr>
      <t xml:space="preserve">枚も反映されていない（失敗 </t>
    </r>
    <r>
      <rPr>
        <sz val="10"/>
        <rFont val="Arial"/>
        <family val="0"/>
        <charset val="1"/>
      </rPr>
      <t xml:space="preserve">163 </t>
    </r>
    <r>
      <rPr>
        <sz val="10"/>
        <rFont val="Noto Sans CJK SC"/>
        <family val="2"/>
      </rPr>
      <t xml:space="preserve">本 </t>
    </r>
    <r>
      <rPr>
        <sz val="10"/>
        <rFont val="Arial"/>
        <family val="0"/>
        <charset val="1"/>
      </rPr>
      <t xml:space="preserve">/ </t>
    </r>
    <r>
      <rPr>
        <sz val="10"/>
        <rFont val="Noto Sans CJK SC"/>
        <family val="2"/>
      </rPr>
      <t xml:space="preserve">成功 </t>
    </r>
    <r>
      <rPr>
        <sz val="10"/>
        <rFont val="Arial"/>
        <family val="0"/>
        <charset val="1"/>
      </rPr>
      <t xml:space="preserve">21 </t>
    </r>
    <r>
      <rPr>
        <sz val="10"/>
        <rFont val="Noto Sans CJK SC"/>
        <family val="2"/>
      </rPr>
      <t xml:space="preserve">本）。</t>
    </r>
    <r>
      <rPr>
        <sz val="10"/>
        <rFont val="Arial"/>
        <family val="0"/>
        <charset val="1"/>
      </rPr>
      <t xml:space="preserve">YouTube </t>
    </r>
    <r>
      <rPr>
        <sz val="10"/>
        <rFont val="Noto Sans CJK SC"/>
        <family val="2"/>
      </rPr>
      <t xml:space="preserve">の自動抽出フレームがサムネになっている。</t>
    </r>
  </si>
  <si>
    <r>
      <rPr>
        <sz val="10"/>
        <rFont val="Noto Sans CJK SC"/>
        <family val="2"/>
      </rPr>
      <t xml:space="preserve">各チャンネルで </t>
    </r>
    <r>
      <rPr>
        <sz val="10"/>
        <rFont val="Arial"/>
        <family val="0"/>
        <charset val="1"/>
      </rPr>
      <t xml:space="preserve">https://www.youtube.com/verify </t>
    </r>
    <r>
      <rPr>
        <sz val="10"/>
        <rFont val="Noto Sans CJK SC"/>
        <family val="2"/>
      </rPr>
      <t xml:space="preserve">を開き電話番号確認を通す（</t>
    </r>
    <r>
      <rPr>
        <sz val="10"/>
        <rFont val="Arial"/>
        <family val="0"/>
        <charset val="1"/>
      </rPr>
      <t xml:space="preserve">9 ch </t>
    </r>
    <r>
      <rPr>
        <sz val="10"/>
        <rFont val="Noto Sans CJK SC"/>
        <family val="2"/>
      </rPr>
      <t xml:space="preserve">分）。反映まで最大</t>
    </r>
    <r>
      <rPr>
        <sz val="10"/>
        <rFont val="Arial"/>
        <family val="0"/>
        <charset val="1"/>
      </rPr>
      <t xml:space="preserve">24</t>
    </r>
    <r>
      <rPr>
        <sz val="10"/>
        <rFont val="Noto Sans CJK SC"/>
        <family val="2"/>
      </rPr>
      <t xml:space="preserve">時間。</t>
    </r>
  </si>
  <si>
    <t xml:space="preserve">最優先</t>
  </si>
  <si>
    <r>
      <rPr>
        <sz val="10"/>
        <rFont val="Arial"/>
        <family val="0"/>
        <charset val="1"/>
      </rPr>
      <t xml:space="preserve">OAuth </t>
    </r>
    <r>
      <rPr>
        <sz val="10"/>
        <rFont val="Noto Sans CJK SC"/>
        <family val="2"/>
      </rPr>
      <t xml:space="preserve">同意画面が「テスト」</t>
    </r>
  </si>
  <si>
    <t xml:space="preserve">未対応（再発リスク）</t>
  </si>
  <si>
    <r>
      <rPr>
        <sz val="10"/>
        <rFont val="Noto Sans CJK SC"/>
        <family val="2"/>
      </rPr>
      <t xml:space="preserve">テスト状態のリフレッシュトークンは </t>
    </r>
    <r>
      <rPr>
        <sz val="10"/>
        <rFont val="Arial"/>
        <family val="0"/>
        <charset val="1"/>
      </rPr>
      <t xml:space="preserve">7 </t>
    </r>
    <r>
      <rPr>
        <sz val="10"/>
        <rFont val="Noto Sans CJK SC"/>
        <family val="2"/>
      </rPr>
      <t xml:space="preserve">日で失効する。</t>
    </r>
    <r>
      <rPr>
        <sz val="10"/>
        <rFont val="Arial"/>
        <family val="0"/>
        <charset val="1"/>
      </rPr>
      <t xml:space="preserve">09-01/09-07/09-09 </t>
    </r>
    <r>
      <rPr>
        <sz val="10"/>
        <rFont val="Noto Sans CJK SC"/>
        <family val="2"/>
      </rPr>
      <t xml:space="preserve">と </t>
    </r>
    <r>
      <rPr>
        <sz val="10"/>
        <rFont val="Arial"/>
        <family val="0"/>
        <charset val="1"/>
      </rPr>
      <t xml:space="preserve">3 </t>
    </r>
    <r>
      <rPr>
        <sz val="10"/>
        <rFont val="Noto Sans CJK SC"/>
        <family val="2"/>
      </rPr>
      <t xml:space="preserve">回再発している。</t>
    </r>
  </si>
  <si>
    <r>
      <rPr>
        <sz val="10"/>
        <rFont val="Arial"/>
        <family val="0"/>
        <charset val="1"/>
      </rPr>
      <t xml:space="preserve">GCP </t>
    </r>
    <r>
      <rPr>
        <sz val="10"/>
        <rFont val="Noto Sans CJK SC"/>
        <family val="2"/>
      </rPr>
      <t xml:space="preserve">の </t>
    </r>
    <r>
      <rPr>
        <sz val="10"/>
        <rFont val="Arial"/>
        <family val="0"/>
        <charset val="1"/>
      </rPr>
      <t xml:space="preserve">OAuth </t>
    </r>
    <r>
      <rPr>
        <sz val="10"/>
        <rFont val="Noto Sans CJK SC"/>
        <family val="2"/>
      </rPr>
      <t xml:space="preserve">同意画面を「本番」に公開 → そのあと全 </t>
    </r>
    <r>
      <rPr>
        <sz val="10"/>
        <rFont val="Arial"/>
        <family val="0"/>
        <charset val="1"/>
      </rPr>
      <t xml:space="preserve">ch </t>
    </r>
    <r>
      <rPr>
        <sz val="10"/>
        <rFont val="Noto Sans CJK SC"/>
        <family val="2"/>
      </rPr>
      <t xml:space="preserve">を再認可（順序が逆だと意味がない）。</t>
    </r>
  </si>
  <si>
    <r>
      <rPr>
        <sz val="10"/>
        <rFont val="Arial"/>
        <family val="0"/>
        <charset val="1"/>
      </rPr>
      <t xml:space="preserve">2026-09-20 </t>
    </r>
    <r>
      <rPr>
        <sz val="10"/>
        <rFont val="Noto Sans CJK SC"/>
        <family val="2"/>
      </rPr>
      <t xml:space="preserve">前後に再発</t>
    </r>
  </si>
  <si>
    <r>
      <rPr>
        <sz val="10"/>
        <rFont val="Arial"/>
        <family val="0"/>
        <charset val="1"/>
      </rPr>
      <t xml:space="preserve">pokemon-lab </t>
    </r>
    <r>
      <rPr>
        <sz val="10"/>
        <rFont val="Noto Sans CJK SC"/>
        <family val="2"/>
      </rPr>
      <t xml:space="preserve">の再認可</t>
    </r>
  </si>
  <si>
    <t xml:space="preserve">未実施</t>
  </si>
  <si>
    <r>
      <rPr>
        <sz val="10"/>
        <rFont val="Noto Sans CJK SC"/>
        <family val="2"/>
      </rPr>
      <t xml:space="preserve">他 </t>
    </r>
    <r>
      <rPr>
        <sz val="10"/>
        <rFont val="Arial"/>
        <family val="0"/>
        <charset val="1"/>
      </rPr>
      <t xml:space="preserve">4ch </t>
    </r>
    <r>
      <rPr>
        <sz val="10"/>
        <rFont val="Noto Sans CJK SC"/>
        <family val="2"/>
      </rPr>
      <t xml:space="preserve">は </t>
    </r>
    <r>
      <rPr>
        <sz val="10"/>
        <rFont val="Arial"/>
        <family val="0"/>
        <charset val="1"/>
      </rPr>
      <t xml:space="preserve">09-13 </t>
    </r>
    <r>
      <rPr>
        <sz val="10"/>
        <rFont val="Noto Sans CJK SC"/>
        <family val="2"/>
      </rPr>
      <t xml:space="preserve">に再認可済みだが </t>
    </r>
    <r>
      <rPr>
        <sz val="10"/>
        <rFont val="Arial"/>
        <family val="0"/>
        <charset val="1"/>
      </rPr>
      <t xml:space="preserve">pokemon-lab </t>
    </r>
    <r>
      <rPr>
        <sz val="10"/>
        <rFont val="Noto Sans CJK SC"/>
        <family val="2"/>
      </rPr>
      <t xml:space="preserve">のトークンは </t>
    </r>
    <r>
      <rPr>
        <sz val="10"/>
        <rFont val="Arial"/>
        <family val="0"/>
        <charset val="1"/>
      </rPr>
      <t xml:space="preserve">09-09 </t>
    </r>
    <r>
      <rPr>
        <sz val="10"/>
        <rFont val="Noto Sans CJK SC"/>
        <family val="2"/>
      </rPr>
      <t xml:space="preserve">以降更新なし。公開は落ちたまま。</t>
    </r>
  </si>
  <si>
    <r>
      <rPr>
        <sz val="10"/>
        <rFont val="Noto Sans CJK SC"/>
        <family val="2"/>
      </rPr>
      <t xml:space="preserve">管理画面 → チャンネル設定 → </t>
    </r>
    <r>
      <rPr>
        <sz val="10"/>
        <rFont val="Arial"/>
        <family val="0"/>
        <charset val="1"/>
      </rPr>
      <t xml:space="preserve">YouTube </t>
    </r>
    <r>
      <rPr>
        <sz val="10"/>
        <rFont val="Noto Sans CJK SC"/>
        <family val="2"/>
      </rPr>
      <t xml:space="preserve">連携 → 再認可。</t>
    </r>
  </si>
  <si>
    <t xml:space="preserve">高</t>
  </si>
  <si>
    <r>
      <rPr>
        <sz val="10"/>
        <rFont val="Arial"/>
        <family val="0"/>
        <charset val="1"/>
      </rPr>
      <t xml:space="preserve">analytics </t>
    </r>
    <r>
      <rPr>
        <sz val="10"/>
        <rFont val="Noto Sans CJK SC"/>
        <family val="2"/>
      </rPr>
      <t xml:space="preserve">同期</t>
    </r>
  </si>
  <si>
    <r>
      <rPr>
        <b val="true"/>
        <sz val="10"/>
        <color rgb="FF9C0006"/>
        <rFont val="Noto Sans CJK SC"/>
        <family val="2"/>
      </rPr>
      <t xml:space="preserve">最終 </t>
    </r>
    <r>
      <rPr>
        <b val="true"/>
        <sz val="10"/>
        <color rgb="FF9C0006"/>
        <rFont val="Arial"/>
        <family val="0"/>
        <charset val="1"/>
      </rPr>
      <t xml:space="preserve">2026-09-13 13:40 UTC</t>
    </r>
  </si>
  <si>
    <r>
      <rPr>
        <sz val="10"/>
        <rFont val="Arial"/>
        <family val="0"/>
        <charset val="1"/>
      </rPr>
      <t xml:space="preserve">09-13 </t>
    </r>
    <r>
      <rPr>
        <sz val="10"/>
        <rFont val="Noto Sans CJK SC"/>
        <family val="2"/>
      </rPr>
      <t xml:space="preserve">公開分 </t>
    </r>
    <r>
      <rPr>
        <sz val="10"/>
        <rFont val="Arial"/>
        <family val="0"/>
        <charset val="1"/>
      </rPr>
      <t xml:space="preserve">7 </t>
    </r>
    <r>
      <rPr>
        <sz val="10"/>
        <rFont val="Noto Sans CJK SC"/>
        <family val="2"/>
      </rPr>
      <t xml:space="preserve">本は再生数 </t>
    </r>
    <r>
      <rPr>
        <sz val="10"/>
        <rFont val="Arial"/>
        <family val="0"/>
        <charset val="1"/>
      </rPr>
      <t xml:space="preserve">0 </t>
    </r>
    <r>
      <rPr>
        <sz val="10"/>
        <rFont val="Noto Sans CJK SC"/>
        <family val="2"/>
      </rPr>
      <t xml:space="preserve">で記録されており、実績ではなく未計測。本日の集計から除外している。</t>
    </r>
  </si>
  <si>
    <r>
      <rPr>
        <sz val="10"/>
        <rFont val="Noto Sans CJK SC"/>
        <family val="2"/>
      </rPr>
      <t xml:space="preserve">復旧後に </t>
    </r>
    <r>
      <rPr>
        <sz val="10"/>
        <rFont val="Arial"/>
        <family val="0"/>
        <charset val="1"/>
      </rPr>
      <t xml:space="preserve">backfill </t>
    </r>
    <r>
      <rPr>
        <sz val="10"/>
        <rFont val="Noto Sans CJK SC"/>
        <family val="2"/>
      </rPr>
      <t xml:space="preserve">を流す。</t>
    </r>
  </si>
  <si>
    <t xml:space="preserve">中</t>
  </si>
  <si>
    <r>
      <rPr>
        <sz val="10"/>
        <rFont val="Arial"/>
        <family val="0"/>
        <charset val="1"/>
      </rPr>
      <t xml:space="preserve">autopilot </t>
    </r>
    <r>
      <rPr>
        <sz val="10"/>
        <rFont val="Noto Sans CJK SC"/>
        <family val="2"/>
      </rPr>
      <t xml:space="preserve">無効の </t>
    </r>
    <r>
      <rPr>
        <sz val="10"/>
        <rFont val="Arial"/>
        <family val="0"/>
        <charset val="1"/>
      </rPr>
      <t xml:space="preserve">2ch</t>
    </r>
  </si>
  <si>
    <t xml:space="preserve">2ch-matome / pokemon-lab</t>
  </si>
  <si>
    <r>
      <rPr>
        <sz val="10"/>
        <rFont val="Noto Sans CJK SC"/>
        <family val="2"/>
      </rPr>
      <t xml:space="preserve">生成が止まっている。指揮者は </t>
    </r>
    <r>
      <rPr>
        <sz val="10"/>
        <rFont val="Arial"/>
        <family val="0"/>
        <charset val="1"/>
      </rPr>
      <t xml:space="preserve">enabled </t>
    </r>
    <r>
      <rPr>
        <sz val="10"/>
        <rFont val="Noto Sans CJK SC"/>
        <family val="2"/>
      </rPr>
      <t xml:space="preserve">を変更していない（人が落とした状態のため）。</t>
    </r>
  </si>
  <si>
    <r>
      <rPr>
        <sz val="10"/>
        <rFont val="Noto Sans CJK SC"/>
        <family val="2"/>
      </rPr>
      <t xml:space="preserve">サムネ権限の解消後に有効化を判断。</t>
    </r>
    <r>
      <rPr>
        <sz val="10"/>
        <rFont val="Arial"/>
        <family val="0"/>
        <charset val="1"/>
      </rPr>
      <t xml:space="preserve">pokemon-lab </t>
    </r>
    <r>
      <rPr>
        <sz val="10"/>
        <rFont val="Noto Sans CJK SC"/>
        <family val="2"/>
      </rPr>
      <t xml:space="preserve">は再認可が先。</t>
    </r>
  </si>
  <si>
    <t xml:space="preserve">サムネ解消後</t>
  </si>
  <si>
    <t xml:space="preserve">チャンネル別詳細 — 本日のコンフィグ変更と根拠</t>
  </si>
  <si>
    <r>
      <rPr>
        <b val="true"/>
        <sz val="10"/>
        <color rgb="FFFFFFFF"/>
        <rFont val="Noto Sans CJK SC"/>
        <family val="2"/>
      </rPr>
      <t xml:space="preserve">投稿枠</t>
    </r>
    <r>
      <rPr>
        <b val="true"/>
        <sz val="10"/>
        <color rgb="FFFFFFFF"/>
        <rFont val="Arial"/>
        <family val="0"/>
        <charset val="1"/>
      </rPr>
      <t xml:space="preserve">(</t>
    </r>
    <r>
      <rPr>
        <b val="true"/>
        <sz val="10"/>
        <color rgb="FFFFFFFF"/>
        <rFont val="Noto Sans CJK SC"/>
        <family val="2"/>
      </rPr>
      <t xml:space="preserve">変更前</t>
    </r>
    <r>
      <rPr>
        <b val="true"/>
        <sz val="10"/>
        <color rgb="FFFFFFFF"/>
        <rFont val="Arial"/>
        <family val="0"/>
        <charset val="1"/>
      </rPr>
      <t xml:space="preserve">)</t>
    </r>
  </si>
  <si>
    <r>
      <rPr>
        <b val="true"/>
        <sz val="10"/>
        <color rgb="FFFFFFFF"/>
        <rFont val="Noto Sans CJK SC"/>
        <family val="2"/>
      </rPr>
      <t xml:space="preserve">投稿枠</t>
    </r>
    <r>
      <rPr>
        <b val="true"/>
        <sz val="10"/>
        <color rgb="FFFFFFFF"/>
        <rFont val="Arial"/>
        <family val="0"/>
        <charset val="1"/>
      </rPr>
      <t xml:space="preserve">(</t>
    </r>
    <r>
      <rPr>
        <b val="true"/>
        <sz val="10"/>
        <color rgb="FFFFFFFF"/>
        <rFont val="Noto Sans CJK SC"/>
        <family val="2"/>
      </rPr>
      <t xml:space="preserve">変更後</t>
    </r>
    <r>
      <rPr>
        <b val="true"/>
        <sz val="10"/>
        <color rgb="FFFFFFFF"/>
        <rFont val="Arial"/>
        <family val="0"/>
        <charset val="1"/>
      </rPr>
      <t xml:space="preserve">)</t>
    </r>
  </si>
  <si>
    <t xml:space="preserve">投稿枠の根拠</t>
  </si>
  <si>
    <t xml:space="preserve">目標タイトル型</t>
  </si>
  <si>
    <t xml:space="preserve">型ルール</t>
  </si>
  <si>
    <t xml:space="preserve">型の根拠</t>
  </si>
  <si>
    <t xml:space="preserve">キュー本数</t>
  </si>
  <si>
    <t xml:space="preserve">残日数</t>
  </si>
  <si>
    <t xml:space="preserve">autopilot</t>
  </si>
  <si>
    <t xml:space="preserve">7:30 / 12:30 / 17:00</t>
  </si>
  <si>
    <t xml:space="preserve">7:30 / 15:00 / 17:00</t>
  </si>
  <si>
    <r>
      <rPr>
        <sz val="10"/>
        <rFont val="Arial"/>
        <family val="0"/>
        <charset val="1"/>
      </rPr>
      <t xml:space="preserve">12:30</t>
    </r>
    <r>
      <rPr>
        <sz val="10"/>
        <rFont val="Noto Sans CJK SC"/>
        <family val="2"/>
      </rPr>
      <t xml:space="preserve">枠は登録</t>
    </r>
    <r>
      <rPr>
        <sz val="10"/>
        <rFont val="Arial"/>
        <family val="0"/>
        <charset val="1"/>
      </rPr>
      <t xml:space="preserve">/</t>
    </r>
    <r>
      <rPr>
        <sz val="10"/>
        <rFont val="Noto Sans CJK SC"/>
        <family val="2"/>
      </rPr>
      <t xml:space="preserve">千 </t>
    </r>
    <r>
      <rPr>
        <sz val="10"/>
        <rFont val="Arial"/>
        <family val="0"/>
        <charset val="1"/>
      </rPr>
      <t xml:space="preserve">0.180(n=6)</t>
    </r>
    <r>
      <rPr>
        <sz val="10"/>
        <rFont val="Noto Sans CJK SC"/>
        <family val="2"/>
      </rPr>
      <t xml:space="preserve">、</t>
    </r>
    <r>
      <rPr>
        <sz val="10"/>
        <rFont val="Arial"/>
        <family val="0"/>
        <charset val="1"/>
      </rPr>
      <t xml:space="preserve">17:00</t>
    </r>
    <r>
      <rPr>
        <sz val="10"/>
        <rFont val="Noto Sans CJK SC"/>
        <family val="2"/>
      </rPr>
      <t xml:space="preserve">枠は </t>
    </r>
    <r>
      <rPr>
        <sz val="10"/>
        <rFont val="Arial"/>
        <family val="0"/>
        <charset val="1"/>
      </rPr>
      <t xml:space="preserve">1.236(n=14) </t>
    </r>
    <r>
      <rPr>
        <sz val="10"/>
        <rFont val="Noto Sans CJK SC"/>
        <family val="2"/>
      </rPr>
      <t xml:space="preserve">で </t>
    </r>
    <r>
      <rPr>
        <sz val="10"/>
        <rFont val="Arial"/>
        <family val="0"/>
        <charset val="1"/>
      </rPr>
      <t xml:space="preserve">6.9 </t>
    </r>
    <r>
      <rPr>
        <sz val="10"/>
        <rFont val="Noto Sans CJK SC"/>
        <family val="2"/>
      </rPr>
      <t xml:space="preserve">倍。</t>
    </r>
    <r>
      <rPr>
        <sz val="10"/>
        <rFont val="Arial"/>
        <family val="0"/>
        <charset val="1"/>
      </rPr>
      <t xml:space="preserve">12:30 </t>
    </r>
    <r>
      <rPr>
        <sz val="10"/>
        <rFont val="Noto Sans CJK SC"/>
        <family val="2"/>
      </rPr>
      <t xml:space="preserve">を夕方ピーク寄りの </t>
    </r>
    <r>
      <rPr>
        <sz val="10"/>
        <rFont val="Arial"/>
        <family val="0"/>
        <charset val="1"/>
      </rPr>
      <t xml:space="preserve">15:00 </t>
    </r>
    <r>
      <rPr>
        <sz val="10"/>
        <rFont val="Noto Sans CJK SC"/>
        <family val="2"/>
      </rPr>
      <t xml:space="preserve">へ前倒し（</t>
    </r>
    <r>
      <rPr>
        <sz val="10"/>
        <rFont val="Arial"/>
        <family val="0"/>
        <charset val="1"/>
      </rPr>
      <t xml:space="preserve">17:00 </t>
    </r>
    <r>
      <rPr>
        <sz val="10"/>
        <rFont val="Noto Sans CJK SC"/>
        <family val="2"/>
      </rPr>
      <t xml:space="preserve">と </t>
    </r>
    <r>
      <rPr>
        <sz val="10"/>
        <rFont val="Arial"/>
        <family val="0"/>
        <charset val="1"/>
      </rPr>
      <t xml:space="preserve">120 </t>
    </r>
    <r>
      <rPr>
        <sz val="10"/>
        <rFont val="Noto Sans CJK SC"/>
        <family val="2"/>
      </rPr>
      <t xml:space="preserve">分間隔で </t>
    </r>
    <r>
      <rPr>
        <sz val="10"/>
        <rFont val="Arial"/>
        <family val="0"/>
        <charset val="1"/>
      </rPr>
      <t xml:space="preserve">burst guard </t>
    </r>
    <r>
      <rPr>
        <sz val="10"/>
        <rFont val="Noto Sans CJK SC"/>
        <family val="2"/>
      </rPr>
      <t xml:space="preserve">を満たす）。</t>
    </r>
  </si>
  <si>
    <r>
      <rPr>
        <sz val="10"/>
        <rFont val="Arial"/>
        <family val="0"/>
        <charset val="1"/>
      </rPr>
      <t xml:space="preserve">A</t>
    </r>
    <r>
      <rPr>
        <sz val="10"/>
        <rFont val="Noto Sans CJK SC"/>
        <family val="2"/>
      </rPr>
      <t xml:space="preserve">（毎日起きる身体感覚＋具体的な倍率・秒数を</t>
    </r>
    <r>
      <rPr>
        <sz val="10"/>
        <rFont val="Arial"/>
        <family val="0"/>
        <charset val="1"/>
      </rPr>
      <t xml:space="preserve">1</t>
    </r>
    <r>
      <rPr>
        <sz val="10"/>
        <rFont val="Noto Sans CJK SC"/>
        <family val="2"/>
      </rPr>
      <t xml:space="preserve">つ）</t>
    </r>
  </si>
  <si>
    <r>
      <rPr>
        <sz val="10"/>
        <rFont val="Noto Sans CJK SC"/>
        <family val="2"/>
      </rPr>
      <t xml:space="preserve">身体で毎日起きる現象を疑問フレームで立て、倍率・秒数・圧力などの数字をちょうど</t>
    </r>
    <r>
      <rPr>
        <sz val="10"/>
        <rFont val="Arial"/>
        <family val="0"/>
        <charset val="1"/>
      </rPr>
      <t xml:space="preserve">1</t>
    </r>
    <r>
      <rPr>
        <sz val="10"/>
        <rFont val="Noto Sans CJK SC"/>
        <family val="2"/>
      </rPr>
      <t xml:space="preserve">つ入れる。</t>
    </r>
  </si>
  <si>
    <r>
      <rPr>
        <sz val="10"/>
        <rFont val="Arial"/>
        <family val="0"/>
        <charset val="1"/>
      </rPr>
      <t xml:space="preserve">A</t>
    </r>
    <r>
      <rPr>
        <sz val="10"/>
        <rFont val="Noto Sans CJK SC"/>
        <family val="2"/>
      </rPr>
      <t xml:space="preserve">型 </t>
    </r>
    <r>
      <rPr>
        <sz val="10"/>
        <rFont val="Arial"/>
        <family val="0"/>
        <charset val="1"/>
      </rPr>
      <t xml:space="preserve">0.59(n=30) &gt; C</t>
    </r>
    <r>
      <rPr>
        <sz val="10"/>
        <rFont val="Noto Sans CJK SC"/>
        <family val="2"/>
      </rPr>
      <t xml:space="preserve">型 </t>
    </r>
    <r>
      <rPr>
        <sz val="10"/>
        <rFont val="Arial"/>
        <family val="0"/>
        <charset val="1"/>
      </rPr>
      <t xml:space="preserve">0.00(n=3)</t>
    </r>
    <r>
      <rPr>
        <sz val="10"/>
        <rFont val="Noto Sans CJK SC"/>
        <family val="2"/>
      </rPr>
      <t xml:space="preserve">。実測トップは『圧力</t>
    </r>
    <r>
      <rPr>
        <sz val="10"/>
        <rFont val="Arial"/>
        <family val="0"/>
        <charset val="1"/>
      </rPr>
      <t xml:space="preserve">1.4</t>
    </r>
    <r>
      <rPr>
        <sz val="10"/>
        <rFont val="Noto Sans CJK SC"/>
        <family val="2"/>
      </rPr>
      <t xml:space="preserve">倍』</t>
    </r>
    <r>
      <rPr>
        <sz val="10"/>
        <rFont val="Arial"/>
        <family val="0"/>
        <charset val="1"/>
      </rPr>
      <t xml:space="preserve">(3.48)</t>
    </r>
    <r>
      <rPr>
        <sz val="10"/>
        <rFont val="Noto Sans CJK SC"/>
        <family val="2"/>
      </rPr>
      <t xml:space="preserve">・『</t>
    </r>
    <r>
      <rPr>
        <sz val="10"/>
        <rFont val="Arial"/>
        <family val="0"/>
        <charset val="1"/>
      </rPr>
      <t xml:space="preserve">3</t>
    </r>
    <r>
      <rPr>
        <sz val="10"/>
        <rFont val="Noto Sans CJK SC"/>
        <family val="2"/>
      </rPr>
      <t xml:space="preserve">倍』</t>
    </r>
    <r>
      <rPr>
        <sz val="10"/>
        <rFont val="Arial"/>
        <family val="0"/>
        <charset val="1"/>
      </rPr>
      <t xml:space="preserve">(2.43)</t>
    </r>
    <r>
      <rPr>
        <sz val="10"/>
        <rFont val="Noto Sans CJK SC"/>
        <family val="2"/>
      </rPr>
      <t xml:space="preserve">。現行の型が最良のため維持。</t>
    </r>
  </si>
  <si>
    <t xml:space="preserve">有効</t>
  </si>
  <si>
    <t xml:space="preserve">9:00 / 13:00 / 19:00</t>
  </si>
  <si>
    <t xml:space="preserve">13:00 / 17:00 / 19:00</t>
  </si>
  <si>
    <r>
      <rPr>
        <sz val="10"/>
        <rFont val="Arial"/>
        <family val="0"/>
        <charset val="1"/>
      </rPr>
      <t xml:space="preserve">9:00</t>
    </r>
    <r>
      <rPr>
        <sz val="10"/>
        <rFont val="Noto Sans CJK SC"/>
        <family val="2"/>
      </rPr>
      <t xml:space="preserve">枠は登録</t>
    </r>
    <r>
      <rPr>
        <sz val="10"/>
        <rFont val="Arial"/>
        <family val="0"/>
        <charset val="1"/>
      </rPr>
      <t xml:space="preserve">/</t>
    </r>
    <r>
      <rPr>
        <sz val="10"/>
        <rFont val="Noto Sans CJK SC"/>
        <family val="2"/>
      </rPr>
      <t xml:space="preserve">千 </t>
    </r>
    <r>
      <rPr>
        <sz val="10"/>
        <rFont val="Arial"/>
        <family val="0"/>
        <charset val="1"/>
      </rPr>
      <t xml:space="preserve">0.520(n=8) </t>
    </r>
    <r>
      <rPr>
        <sz val="10"/>
        <rFont val="Noto Sans CJK SC"/>
        <family val="2"/>
      </rPr>
      <t xml:space="preserve">で当</t>
    </r>
    <r>
      <rPr>
        <sz val="10"/>
        <rFont val="Arial"/>
        <family val="0"/>
        <charset val="1"/>
      </rPr>
      <t xml:space="preserve">ch</t>
    </r>
    <r>
      <rPr>
        <sz val="10"/>
        <rFont val="Noto Sans CJK SC"/>
        <family val="2"/>
      </rPr>
      <t xml:space="preserve">最下位。実測最良の </t>
    </r>
    <r>
      <rPr>
        <sz val="10"/>
        <rFont val="Arial"/>
        <family val="0"/>
        <charset val="1"/>
      </rPr>
      <t xml:space="preserve">17</t>
    </r>
    <r>
      <rPr>
        <sz val="10"/>
        <rFont val="Noto Sans CJK SC"/>
        <family val="2"/>
      </rPr>
      <t xml:space="preserve">時</t>
    </r>
    <r>
      <rPr>
        <sz val="10"/>
        <rFont val="Arial"/>
        <family val="0"/>
        <charset val="1"/>
      </rPr>
      <t xml:space="preserve">(1.321) </t>
    </r>
    <r>
      <rPr>
        <sz val="10"/>
        <rFont val="Noto Sans CJK SC"/>
        <family val="2"/>
      </rPr>
      <t xml:space="preserve">へ移設。</t>
    </r>
    <r>
      <rPr>
        <sz val="10"/>
        <rFont val="Arial"/>
        <family val="0"/>
        <charset val="1"/>
      </rPr>
      <t xml:space="preserve">19:00(1.194,n=17) </t>
    </r>
    <r>
      <rPr>
        <sz val="10"/>
        <rFont val="Noto Sans CJK SC"/>
        <family val="2"/>
      </rPr>
      <t xml:space="preserve">と </t>
    </r>
    <r>
      <rPr>
        <sz val="10"/>
        <rFont val="Arial"/>
        <family val="0"/>
        <charset val="1"/>
      </rPr>
      <t xml:space="preserve">13:00(0.569,n=9) </t>
    </r>
    <r>
      <rPr>
        <sz val="10"/>
        <rFont val="Noto Sans CJK SC"/>
        <family val="2"/>
      </rPr>
      <t xml:space="preserve">は維持。間隔 </t>
    </r>
    <r>
      <rPr>
        <sz val="10"/>
        <rFont val="Arial"/>
        <family val="0"/>
        <charset val="1"/>
      </rPr>
      <t xml:space="preserve">240/120 </t>
    </r>
    <r>
      <rPr>
        <sz val="10"/>
        <rFont val="Noto Sans CJK SC"/>
        <family val="2"/>
      </rPr>
      <t xml:space="preserve">分。</t>
    </r>
  </si>
  <si>
    <r>
      <rPr>
        <sz val="10"/>
        <rFont val="Arial"/>
        <family val="0"/>
        <charset val="1"/>
      </rPr>
      <t xml:space="preserve">A</t>
    </r>
    <r>
      <rPr>
        <sz val="10"/>
        <rFont val="Noto Sans CJK SC"/>
        <family val="2"/>
      </rPr>
      <t xml:space="preserve">（</t>
    </r>
    <r>
      <rPr>
        <sz val="10"/>
        <rFont val="Arial"/>
        <family val="0"/>
        <charset val="1"/>
      </rPr>
      <t xml:space="preserve">SCP</t>
    </r>
    <r>
      <rPr>
        <sz val="10"/>
        <rFont val="Noto Sans CJK SC"/>
        <family val="2"/>
      </rPr>
      <t xml:space="preserve">番号・具体数字＋消失／途絶の未解決な問い）</t>
    </r>
  </si>
  <si>
    <r>
      <rPr>
        <sz val="10"/>
        <rFont val="Arial"/>
        <family val="0"/>
        <charset val="1"/>
      </rPr>
      <t xml:space="preserve">SCP</t>
    </r>
    <r>
      <rPr>
        <sz val="10"/>
        <rFont val="Noto Sans CJK SC"/>
        <family val="2"/>
      </rPr>
      <t xml:space="preserve">番号または具体的な数字（時間・人数・回数）を</t>
    </r>
    <r>
      <rPr>
        <sz val="10"/>
        <rFont val="Arial"/>
        <family val="0"/>
        <charset val="1"/>
      </rPr>
      <t xml:space="preserve">1</t>
    </r>
    <r>
      <rPr>
        <sz val="10"/>
        <rFont val="Noto Sans CJK SC"/>
        <family val="2"/>
      </rPr>
      <t xml:space="preserve">つ入れ、『なぜ〜のか』の未解決な問いで締める。数字のみの言い切りタイトルは先頭に置かない。</t>
    </r>
  </si>
  <si>
    <r>
      <rPr>
        <sz val="10"/>
        <rFont val="Arial"/>
        <family val="0"/>
        <charset val="1"/>
      </rPr>
      <t xml:space="preserve">A</t>
    </r>
    <r>
      <rPr>
        <sz val="10"/>
        <rFont val="Noto Sans CJK SC"/>
        <family val="2"/>
      </rPr>
      <t xml:space="preserve">型 </t>
    </r>
    <r>
      <rPr>
        <sz val="10"/>
        <rFont val="Arial"/>
        <family val="0"/>
        <charset val="1"/>
      </rPr>
      <t xml:space="preserve">1.00(n=25) </t>
    </r>
    <r>
      <rPr>
        <sz val="10"/>
        <rFont val="Noto Sans CJK SC"/>
        <family val="2"/>
      </rPr>
      <t xml:space="preserve">に対し </t>
    </r>
    <r>
      <rPr>
        <sz val="10"/>
        <rFont val="Arial"/>
        <family val="0"/>
        <charset val="1"/>
      </rPr>
      <t xml:space="preserve">C</t>
    </r>
    <r>
      <rPr>
        <sz val="10"/>
        <rFont val="Noto Sans CJK SC"/>
        <family val="2"/>
      </rPr>
      <t xml:space="preserve">型 </t>
    </r>
    <r>
      <rPr>
        <sz val="10"/>
        <rFont val="Arial"/>
        <family val="0"/>
        <charset val="1"/>
      </rPr>
      <t xml:space="preserve">0.49(n=26)</t>
    </r>
    <r>
      <rPr>
        <sz val="10"/>
        <rFont val="Noto Sans CJK SC"/>
        <family val="2"/>
      </rPr>
      <t xml:space="preserve">。</t>
    </r>
    <r>
      <rPr>
        <sz val="10"/>
        <rFont val="Arial"/>
        <family val="0"/>
        <charset val="1"/>
      </rPr>
      <t xml:space="preserve">A</t>
    </r>
    <r>
      <rPr>
        <sz val="10"/>
        <rFont val="Noto Sans CJK SC"/>
        <family val="2"/>
      </rPr>
      <t xml:space="preserve">型は</t>
    </r>
    <r>
      <rPr>
        <sz val="10"/>
        <rFont val="Arial"/>
        <family val="0"/>
        <charset val="1"/>
      </rPr>
      <t xml:space="preserve">2.0</t>
    </r>
    <r>
      <rPr>
        <sz val="10"/>
        <rFont val="Noto Sans CJK SC"/>
        <family val="2"/>
      </rPr>
      <t xml:space="preserve">倍。</t>
    </r>
  </si>
  <si>
    <t xml:space="preserve">12:00 / 9:30 / 17:00</t>
  </si>
  <si>
    <t xml:space="preserve">12:00 / 16:00 / 19:00</t>
  </si>
  <si>
    <r>
      <rPr>
        <sz val="10"/>
        <rFont val="Arial"/>
        <family val="0"/>
        <charset val="1"/>
      </rPr>
      <t xml:space="preserve">9:30</t>
    </r>
    <r>
      <rPr>
        <sz val="10"/>
        <rFont val="Noto Sans CJK SC"/>
        <family val="2"/>
      </rPr>
      <t xml:space="preserve">枠は </t>
    </r>
    <r>
      <rPr>
        <sz val="10"/>
        <rFont val="Arial"/>
        <family val="0"/>
        <charset val="1"/>
      </rPr>
      <t xml:space="preserve">n&lt;3 </t>
    </r>
    <r>
      <rPr>
        <sz val="10"/>
        <rFont val="Noto Sans CJK SC"/>
        <family val="2"/>
      </rPr>
      <t xml:space="preserve">で評価不能。測定済み上位の </t>
    </r>
    <r>
      <rPr>
        <sz val="10"/>
        <rFont val="Arial"/>
        <family val="0"/>
        <charset val="1"/>
      </rPr>
      <t xml:space="preserve">12</t>
    </r>
    <r>
      <rPr>
        <sz val="10"/>
        <rFont val="Noto Sans CJK SC"/>
        <family val="2"/>
      </rPr>
      <t xml:space="preserve">時</t>
    </r>
    <r>
      <rPr>
        <sz val="10"/>
        <rFont val="Arial"/>
        <family val="0"/>
        <charset val="1"/>
      </rPr>
      <t xml:space="preserve">(1.215,n=11)</t>
    </r>
    <r>
      <rPr>
        <sz val="10"/>
        <rFont val="Noto Sans CJK SC"/>
        <family val="2"/>
      </rPr>
      <t xml:space="preserve">・</t>
    </r>
    <r>
      <rPr>
        <sz val="10"/>
        <rFont val="Arial"/>
        <family val="0"/>
        <charset val="1"/>
      </rPr>
      <t xml:space="preserve">16</t>
    </r>
    <r>
      <rPr>
        <sz val="10"/>
        <rFont val="Noto Sans CJK SC"/>
        <family val="2"/>
      </rPr>
      <t xml:space="preserve">時</t>
    </r>
    <r>
      <rPr>
        <sz val="10"/>
        <rFont val="Arial"/>
        <family val="0"/>
        <charset val="1"/>
      </rPr>
      <t xml:space="preserve">(1.650,n=3)</t>
    </r>
    <r>
      <rPr>
        <sz val="10"/>
        <rFont val="Noto Sans CJK SC"/>
        <family val="2"/>
      </rPr>
      <t xml:space="preserve">・</t>
    </r>
    <r>
      <rPr>
        <sz val="10"/>
        <rFont val="Arial"/>
        <family val="0"/>
        <charset val="1"/>
      </rPr>
      <t xml:space="preserve">19</t>
    </r>
    <r>
      <rPr>
        <sz val="10"/>
        <rFont val="Noto Sans CJK SC"/>
        <family val="2"/>
      </rPr>
      <t xml:space="preserve">時</t>
    </r>
    <r>
      <rPr>
        <sz val="10"/>
        <rFont val="Arial"/>
        <family val="0"/>
        <charset val="1"/>
      </rPr>
      <t xml:space="preserve">(0.502,n=10) </t>
    </r>
    <r>
      <rPr>
        <sz val="10"/>
        <rFont val="Noto Sans CJK SC"/>
        <family val="2"/>
      </rPr>
      <t xml:space="preserve">の</t>
    </r>
    <r>
      <rPr>
        <sz val="10"/>
        <rFont val="Arial"/>
        <family val="0"/>
        <charset val="1"/>
      </rPr>
      <t xml:space="preserve">3</t>
    </r>
    <r>
      <rPr>
        <sz val="10"/>
        <rFont val="Noto Sans CJK SC"/>
        <family val="2"/>
      </rPr>
      <t xml:space="preserve">枠へ再配置。</t>
    </r>
    <r>
      <rPr>
        <sz val="10"/>
        <rFont val="Arial"/>
        <family val="0"/>
        <charset val="1"/>
      </rPr>
      <t xml:space="preserve">17</t>
    </r>
    <r>
      <rPr>
        <sz val="10"/>
        <rFont val="Noto Sans CJK SC"/>
        <family val="2"/>
      </rPr>
      <t xml:space="preserve">時</t>
    </r>
    <r>
      <rPr>
        <sz val="10"/>
        <rFont val="Arial"/>
        <family val="0"/>
        <charset val="1"/>
      </rPr>
      <t xml:space="preserve">(0.569,n=4) </t>
    </r>
    <r>
      <rPr>
        <sz val="10"/>
        <rFont val="Noto Sans CJK SC"/>
        <family val="2"/>
      </rPr>
      <t xml:space="preserve">は隣接する </t>
    </r>
    <r>
      <rPr>
        <sz val="10"/>
        <rFont val="Arial"/>
        <family val="0"/>
        <charset val="1"/>
      </rPr>
      <t xml:space="preserve">16</t>
    </r>
    <r>
      <rPr>
        <sz val="10"/>
        <rFont val="Noto Sans CJK SC"/>
        <family val="2"/>
      </rPr>
      <t xml:space="preserve">時へ統合。間隔 </t>
    </r>
    <r>
      <rPr>
        <sz val="10"/>
        <rFont val="Arial"/>
        <family val="0"/>
        <charset val="1"/>
      </rPr>
      <t xml:space="preserve">240/180 </t>
    </r>
    <r>
      <rPr>
        <sz val="10"/>
        <rFont val="Noto Sans CJK SC"/>
        <family val="2"/>
      </rPr>
      <t xml:space="preserve">分。</t>
    </r>
  </si>
  <si>
    <r>
      <rPr>
        <sz val="10"/>
        <rFont val="Arial"/>
        <family val="0"/>
        <charset val="1"/>
      </rPr>
      <t xml:space="preserve">B</t>
    </r>
    <r>
      <rPr>
        <sz val="10"/>
        <rFont val="Noto Sans CJK SC"/>
        <family val="2"/>
      </rPr>
      <t xml:space="preserve">（疑問フレームのみ・数字を入れない）</t>
    </r>
  </si>
  <si>
    <t xml:space="preserve">『なぜ〜のか』『〜の正体』の疑問フレームのみで構成し、タイトルに数字を入れない。通し番号・体系番号も入れない。</t>
  </si>
  <si>
    <r>
      <rPr>
        <sz val="10"/>
        <rFont val="Arial"/>
        <family val="0"/>
        <charset val="1"/>
      </rPr>
      <t xml:space="preserve">B</t>
    </r>
    <r>
      <rPr>
        <sz val="10"/>
        <rFont val="Noto Sans CJK SC"/>
        <family val="2"/>
      </rPr>
      <t xml:space="preserve">型 </t>
    </r>
    <r>
      <rPr>
        <sz val="10"/>
        <rFont val="Arial"/>
        <family val="0"/>
        <charset val="1"/>
      </rPr>
      <t xml:space="preserve">1.37(n=9) &gt; D</t>
    </r>
    <r>
      <rPr>
        <sz val="10"/>
        <rFont val="Noto Sans CJK SC"/>
        <family val="2"/>
      </rPr>
      <t xml:space="preserve">型 </t>
    </r>
    <r>
      <rPr>
        <sz val="10"/>
        <rFont val="Arial"/>
        <family val="0"/>
        <charset val="1"/>
      </rPr>
      <t xml:space="preserve">0.53(n=8) &gt; C</t>
    </r>
    <r>
      <rPr>
        <sz val="10"/>
        <rFont val="Noto Sans CJK SC"/>
        <family val="2"/>
      </rPr>
      <t xml:space="preserve">型 </t>
    </r>
    <r>
      <rPr>
        <sz val="10"/>
        <rFont val="Arial"/>
        <family val="0"/>
        <charset val="1"/>
      </rPr>
      <t xml:space="preserve">0.39(n=8) &gt; A</t>
    </r>
    <r>
      <rPr>
        <sz val="10"/>
        <rFont val="Noto Sans CJK SC"/>
        <family val="2"/>
      </rPr>
      <t xml:space="preserve">型 </t>
    </r>
    <r>
      <rPr>
        <sz val="10"/>
        <rFont val="Arial"/>
        <family val="0"/>
        <charset val="1"/>
      </rPr>
      <t xml:space="preserve">0.00(n=5)</t>
    </r>
    <r>
      <rPr>
        <sz val="10"/>
        <rFont val="Noto Sans CJK SC"/>
        <family val="2"/>
      </rPr>
      <t xml:space="preserve">。当</t>
    </r>
    <r>
      <rPr>
        <sz val="10"/>
        <rFont val="Arial"/>
        <family val="0"/>
        <charset val="1"/>
      </rPr>
      <t xml:space="preserve">ch</t>
    </r>
    <r>
      <rPr>
        <sz val="10"/>
        <rFont val="Noto Sans CJK SC"/>
        <family val="2"/>
      </rPr>
      <t xml:space="preserve">は数字を入れた瞬間に登録がゼロになる（</t>
    </r>
    <r>
      <rPr>
        <sz val="10"/>
        <rFont val="Arial"/>
        <family val="0"/>
        <charset val="1"/>
      </rPr>
      <t xml:space="preserve">A</t>
    </r>
    <r>
      <rPr>
        <sz val="10"/>
        <rFont val="Noto Sans CJK SC"/>
        <family val="2"/>
      </rPr>
      <t xml:space="preserve">型 </t>
    </r>
    <r>
      <rPr>
        <sz val="10"/>
        <rFont val="Arial"/>
        <family val="0"/>
        <charset val="1"/>
      </rPr>
      <t xml:space="preserve">n=5 </t>
    </r>
    <r>
      <rPr>
        <sz val="10"/>
        <rFont val="Noto Sans CJK SC"/>
        <family val="2"/>
      </rPr>
      <t xml:space="preserve">で登録</t>
    </r>
    <r>
      <rPr>
        <sz val="10"/>
        <rFont val="Arial"/>
        <family val="0"/>
        <charset val="1"/>
      </rPr>
      <t xml:space="preserve">0</t>
    </r>
    <r>
      <rPr>
        <sz val="10"/>
        <rFont val="Noto Sans CJK SC"/>
        <family val="2"/>
      </rPr>
      <t xml:space="preserve">人）。</t>
    </r>
  </si>
  <si>
    <t xml:space="preserve">8:15 / 19:00 / 17:00 / 12:30</t>
  </si>
  <si>
    <t xml:space="preserve">12:30 / 15:00 / 17:00 / 19:00</t>
  </si>
  <si>
    <r>
      <rPr>
        <sz val="10"/>
        <rFont val="Arial"/>
        <family val="0"/>
        <charset val="1"/>
      </rPr>
      <t xml:space="preserve">8:15</t>
    </r>
    <r>
      <rPr>
        <sz val="10"/>
        <rFont val="Noto Sans CJK SC"/>
        <family val="2"/>
      </rPr>
      <t xml:space="preserve">枠は登録</t>
    </r>
    <r>
      <rPr>
        <sz val="10"/>
        <rFont val="Arial"/>
        <family val="0"/>
        <charset val="1"/>
      </rPr>
      <t xml:space="preserve">/</t>
    </r>
    <r>
      <rPr>
        <sz val="10"/>
        <rFont val="Noto Sans CJK SC"/>
        <family val="2"/>
      </rPr>
      <t xml:space="preserve">千 </t>
    </r>
    <r>
      <rPr>
        <sz val="10"/>
        <rFont val="Arial"/>
        <family val="0"/>
        <charset val="1"/>
      </rPr>
      <t xml:space="preserve">0.235(n=4)</t>
    </r>
    <r>
      <rPr>
        <sz val="10"/>
        <rFont val="Noto Sans CJK SC"/>
        <family val="2"/>
      </rPr>
      <t xml:space="preserve">。</t>
    </r>
    <r>
      <rPr>
        <sz val="10"/>
        <rFont val="Arial"/>
        <family val="0"/>
        <charset val="1"/>
      </rPr>
      <t xml:space="preserve">17</t>
    </r>
    <r>
      <rPr>
        <sz val="10"/>
        <rFont val="Noto Sans CJK SC"/>
        <family val="2"/>
      </rPr>
      <t xml:space="preserve">時</t>
    </r>
    <r>
      <rPr>
        <sz val="10"/>
        <rFont val="Arial"/>
        <family val="0"/>
        <charset val="1"/>
      </rPr>
      <t xml:space="preserve">(0.824,n=15) </t>
    </r>
    <r>
      <rPr>
        <sz val="10"/>
        <rFont val="Noto Sans CJK SC"/>
        <family val="2"/>
      </rPr>
      <t xml:space="preserve">を軸に夕方へ寄せ、</t>
    </r>
    <r>
      <rPr>
        <sz val="10"/>
        <rFont val="Arial"/>
        <family val="0"/>
        <charset val="1"/>
      </rPr>
      <t xml:space="preserve">8:15 </t>
    </r>
    <r>
      <rPr>
        <sz val="10"/>
        <rFont val="Noto Sans CJK SC"/>
        <family val="2"/>
      </rPr>
      <t xml:space="preserve">を </t>
    </r>
    <r>
      <rPr>
        <sz val="10"/>
        <rFont val="Arial"/>
        <family val="0"/>
        <charset val="1"/>
      </rPr>
      <t xml:space="preserve">15:00 </t>
    </r>
    <r>
      <rPr>
        <sz val="10"/>
        <rFont val="Noto Sans CJK SC"/>
        <family val="2"/>
      </rPr>
      <t xml:space="preserve">へ移設。間隔 </t>
    </r>
    <r>
      <rPr>
        <sz val="10"/>
        <rFont val="Arial"/>
        <family val="0"/>
        <charset val="1"/>
      </rPr>
      <t xml:space="preserve">150/120/120 </t>
    </r>
    <r>
      <rPr>
        <sz val="10"/>
        <rFont val="Noto Sans CJK SC"/>
        <family val="2"/>
      </rPr>
      <t xml:space="preserve">分。</t>
    </r>
  </si>
  <si>
    <r>
      <rPr>
        <sz val="10"/>
        <rFont val="Arial"/>
        <family val="0"/>
        <charset val="1"/>
      </rPr>
      <t xml:space="preserve">C</t>
    </r>
    <r>
      <rPr>
        <sz val="10"/>
        <rFont val="Noto Sans CJK SC"/>
        <family val="2"/>
      </rPr>
      <t xml:space="preserve">（企業名＋具体金額・具体数字）</t>
    </r>
  </si>
  <si>
    <t xml:space="preserve">企業名と具体的な金額・比率・年数を提示する言い切り型を優先する。疑問フレームは必須にしない。</t>
  </si>
  <si>
    <r>
      <rPr>
        <sz val="10"/>
        <rFont val="Arial"/>
        <family val="0"/>
        <charset val="1"/>
      </rPr>
      <t xml:space="preserve">C</t>
    </r>
    <r>
      <rPr>
        <sz val="10"/>
        <rFont val="Noto Sans CJK SC"/>
        <family val="2"/>
      </rPr>
      <t xml:space="preserve">型 </t>
    </r>
    <r>
      <rPr>
        <sz val="10"/>
        <rFont val="Arial"/>
        <family val="0"/>
        <charset val="1"/>
      </rPr>
      <t xml:space="preserve">0.66(n=31) ≧ A</t>
    </r>
    <r>
      <rPr>
        <sz val="10"/>
        <rFont val="Noto Sans CJK SC"/>
        <family val="2"/>
      </rPr>
      <t xml:space="preserve">型 </t>
    </r>
    <r>
      <rPr>
        <sz val="10"/>
        <rFont val="Arial"/>
        <family val="0"/>
        <charset val="1"/>
      </rPr>
      <t xml:space="preserve">0.55(n=4)</t>
    </r>
    <r>
      <rPr>
        <sz val="10"/>
        <rFont val="Noto Sans CJK SC"/>
        <family val="2"/>
      </rPr>
      <t xml:space="preserve">。現行の型が最良のため維持。</t>
    </r>
  </si>
  <si>
    <t xml:space="preserve">8:30 / 15:00 / 17:00</t>
  </si>
  <si>
    <t xml:space="preserve">12:30 / 15:00 / 17:00</t>
  </si>
  <si>
    <r>
      <rPr>
        <sz val="10"/>
        <rFont val="Arial"/>
        <family val="0"/>
        <charset val="1"/>
      </rPr>
      <t xml:space="preserve">8:30</t>
    </r>
    <r>
      <rPr>
        <sz val="10"/>
        <rFont val="Noto Sans CJK SC"/>
        <family val="2"/>
      </rPr>
      <t xml:space="preserve">枠は実測サンプルが </t>
    </r>
    <r>
      <rPr>
        <sz val="10"/>
        <rFont val="Arial"/>
        <family val="0"/>
        <charset val="1"/>
      </rPr>
      <t xml:space="preserve">n&lt;3 </t>
    </r>
    <r>
      <rPr>
        <sz val="10"/>
        <rFont val="Noto Sans CJK SC"/>
        <family val="2"/>
      </rPr>
      <t xml:space="preserve">で評価不能。測定済みで最良の </t>
    </r>
    <r>
      <rPr>
        <sz val="10"/>
        <rFont val="Arial"/>
        <family val="0"/>
        <charset val="1"/>
      </rPr>
      <t xml:space="preserve">17</t>
    </r>
    <r>
      <rPr>
        <sz val="10"/>
        <rFont val="Noto Sans CJK SC"/>
        <family val="2"/>
      </rPr>
      <t xml:space="preserve">時</t>
    </r>
    <r>
      <rPr>
        <sz val="10"/>
        <rFont val="Arial"/>
        <family val="0"/>
        <charset val="1"/>
      </rPr>
      <t xml:space="preserve">(0.369,n=12)</t>
    </r>
    <r>
      <rPr>
        <sz val="10"/>
        <rFont val="Noto Sans CJK SC"/>
        <family val="2"/>
      </rPr>
      <t xml:space="preserve">・</t>
    </r>
    <r>
      <rPr>
        <sz val="10"/>
        <rFont val="Arial"/>
        <family val="0"/>
        <charset val="1"/>
      </rPr>
      <t xml:space="preserve">15</t>
    </r>
    <r>
      <rPr>
        <sz val="10"/>
        <rFont val="Noto Sans CJK SC"/>
        <family val="2"/>
      </rPr>
      <t xml:space="preserve">時</t>
    </r>
    <r>
      <rPr>
        <sz val="10"/>
        <rFont val="Arial"/>
        <family val="0"/>
        <charset val="1"/>
      </rPr>
      <t xml:space="preserve">(0.296,n=4)</t>
    </r>
    <r>
      <rPr>
        <sz val="10"/>
        <rFont val="Noto Sans CJK SC"/>
        <family val="2"/>
      </rPr>
      <t xml:space="preserve">・</t>
    </r>
    <r>
      <rPr>
        <sz val="10"/>
        <rFont val="Arial"/>
        <family val="0"/>
        <charset val="1"/>
      </rPr>
      <t xml:space="preserve">12</t>
    </r>
    <r>
      <rPr>
        <sz val="10"/>
        <rFont val="Noto Sans CJK SC"/>
        <family val="2"/>
      </rPr>
      <t xml:space="preserve">時</t>
    </r>
    <r>
      <rPr>
        <sz val="10"/>
        <rFont val="Arial"/>
        <family val="0"/>
        <charset val="1"/>
      </rPr>
      <t xml:space="preserve">(0.269,n=4) </t>
    </r>
    <r>
      <rPr>
        <sz val="10"/>
        <rFont val="Noto Sans CJK SC"/>
        <family val="2"/>
      </rPr>
      <t xml:space="preserve">の</t>
    </r>
    <r>
      <rPr>
        <sz val="10"/>
        <rFont val="Arial"/>
        <family val="0"/>
        <charset val="1"/>
      </rPr>
      <t xml:space="preserve">3</t>
    </r>
    <r>
      <rPr>
        <sz val="10"/>
        <rFont val="Noto Sans CJK SC"/>
        <family val="2"/>
      </rPr>
      <t xml:space="preserve">枠に集約。間隔 </t>
    </r>
    <r>
      <rPr>
        <sz val="10"/>
        <rFont val="Arial"/>
        <family val="0"/>
        <charset val="1"/>
      </rPr>
      <t xml:space="preserve">150/120 </t>
    </r>
    <r>
      <rPr>
        <sz val="10"/>
        <rFont val="Noto Sans CJK SC"/>
        <family val="2"/>
      </rPr>
      <t xml:space="preserve">分。</t>
    </r>
  </si>
  <si>
    <r>
      <rPr>
        <sz val="10"/>
        <rFont val="Arial"/>
        <family val="0"/>
        <charset val="1"/>
      </rPr>
      <t xml:space="preserve">C</t>
    </r>
    <r>
      <rPr>
        <sz val="10"/>
        <rFont val="Noto Sans CJK SC"/>
        <family val="2"/>
      </rPr>
      <t xml:space="preserve">（種族値など具体数値の提示）</t>
    </r>
  </si>
  <si>
    <r>
      <rPr>
        <sz val="10"/>
        <rFont val="Noto Sans CJK SC"/>
        <family val="2"/>
      </rPr>
      <t xml:space="preserve">種族値・世代・数値を提示する言い切り型を最優先する。『なぜ〜？』の疑問フレームは当</t>
    </r>
    <r>
      <rPr>
        <sz val="10"/>
        <rFont val="Arial"/>
        <family val="0"/>
        <charset val="1"/>
      </rPr>
      <t xml:space="preserve">ch</t>
    </r>
    <r>
      <rPr>
        <sz val="10"/>
        <rFont val="Noto Sans CJK SC"/>
        <family val="2"/>
      </rPr>
      <t xml:space="preserve">では登録に変換しないため使わない。</t>
    </r>
  </si>
  <si>
    <r>
      <rPr>
        <sz val="10"/>
        <rFont val="Arial"/>
        <family val="0"/>
        <charset val="1"/>
      </rPr>
      <t xml:space="preserve">C</t>
    </r>
    <r>
      <rPr>
        <sz val="10"/>
        <rFont val="Noto Sans CJK SC"/>
        <family val="2"/>
      </rPr>
      <t xml:space="preserve">型 </t>
    </r>
    <r>
      <rPr>
        <sz val="10"/>
        <rFont val="Arial"/>
        <family val="0"/>
        <charset val="1"/>
      </rPr>
      <t xml:space="preserve">0.53(n=9) &gt; B</t>
    </r>
    <r>
      <rPr>
        <sz val="10"/>
        <rFont val="Noto Sans CJK SC"/>
        <family val="2"/>
      </rPr>
      <t xml:space="preserve">型 </t>
    </r>
    <r>
      <rPr>
        <sz val="10"/>
        <rFont val="Arial"/>
        <family val="0"/>
        <charset val="1"/>
      </rPr>
      <t xml:space="preserve">0.35(n=6) &gt; A</t>
    </r>
    <r>
      <rPr>
        <sz val="10"/>
        <rFont val="Noto Sans CJK SC"/>
        <family val="2"/>
      </rPr>
      <t xml:space="preserve">型 </t>
    </r>
    <r>
      <rPr>
        <sz val="10"/>
        <rFont val="Arial"/>
        <family val="0"/>
        <charset val="1"/>
      </rPr>
      <t xml:space="preserve">0.17(n=16)</t>
    </r>
    <r>
      <rPr>
        <sz val="10"/>
        <rFont val="Noto Sans CJK SC"/>
        <family val="2"/>
      </rPr>
      <t xml:space="preserve">。疑問フレームを数字と併用した </t>
    </r>
    <r>
      <rPr>
        <sz val="10"/>
        <rFont val="Arial"/>
        <family val="0"/>
        <charset val="1"/>
      </rPr>
      <t xml:space="preserve">A</t>
    </r>
    <r>
      <rPr>
        <sz val="10"/>
        <rFont val="Noto Sans CJK SC"/>
        <family val="2"/>
      </rPr>
      <t xml:space="preserve">型は </t>
    </r>
    <r>
      <rPr>
        <sz val="10"/>
        <rFont val="Arial"/>
        <family val="0"/>
        <charset val="1"/>
      </rPr>
      <t xml:space="preserve">C</t>
    </r>
    <r>
      <rPr>
        <sz val="10"/>
        <rFont val="Noto Sans CJK SC"/>
        <family val="2"/>
      </rPr>
      <t xml:space="preserve">型の </t>
    </r>
    <r>
      <rPr>
        <sz val="10"/>
        <rFont val="Arial"/>
        <family val="0"/>
        <charset val="1"/>
      </rPr>
      <t xml:space="preserve">1/3</t>
    </r>
    <r>
      <rPr>
        <sz val="10"/>
        <rFont val="Noto Sans CJK SC"/>
        <family val="2"/>
      </rPr>
      <t xml:space="preserve">。</t>
    </r>
    <r>
      <rPr>
        <sz val="10"/>
        <rFont val="Arial"/>
        <family val="0"/>
        <charset val="1"/>
      </rPr>
      <t xml:space="preserve">09-13 </t>
    </r>
    <r>
      <rPr>
        <sz val="10"/>
        <rFont val="Noto Sans CJK SC"/>
        <family val="2"/>
      </rPr>
      <t xml:space="preserve">の『数値提示型 </t>
    </r>
    <r>
      <rPr>
        <sz val="10"/>
        <rFont val="Arial"/>
        <family val="0"/>
        <charset val="1"/>
      </rPr>
      <t xml:space="preserve">0.429 vs </t>
    </r>
    <r>
      <rPr>
        <sz val="10"/>
        <rFont val="Noto Sans CJK SC"/>
        <family val="2"/>
      </rPr>
      <t xml:space="preserve">対決型 </t>
    </r>
    <r>
      <rPr>
        <sz val="10"/>
        <rFont val="Arial"/>
        <family val="0"/>
        <charset val="1"/>
      </rPr>
      <t xml:space="preserve">0.191</t>
    </r>
    <r>
      <rPr>
        <sz val="10"/>
        <rFont val="Noto Sans CJK SC"/>
        <family val="2"/>
      </rPr>
      <t xml:space="preserve">』とも整合。</t>
    </r>
  </si>
  <si>
    <t xml:space="preserve">無効</t>
  </si>
  <si>
    <t xml:space="preserve">9:00 / 12:15 / 21:00</t>
  </si>
  <si>
    <t xml:space="preserve">7:30 / 12:15 / 17:30</t>
  </si>
  <si>
    <r>
      <rPr>
        <sz val="10"/>
        <rFont val="Arial"/>
        <family val="0"/>
        <charset val="1"/>
      </rPr>
      <t xml:space="preserve">21:00</t>
    </r>
    <r>
      <rPr>
        <sz val="10"/>
        <rFont val="Noto Sans CJK SC"/>
        <family val="2"/>
      </rPr>
      <t xml:space="preserve">枠は </t>
    </r>
    <r>
      <rPr>
        <sz val="10"/>
        <rFont val="Arial"/>
        <family val="0"/>
        <charset val="1"/>
      </rPr>
      <t xml:space="preserve">n=7</t>
    </r>
    <r>
      <rPr>
        <sz val="10"/>
        <rFont val="Noto Sans CJK SC"/>
        <family val="2"/>
      </rPr>
      <t xml:space="preserve">・</t>
    </r>
    <r>
      <rPr>
        <sz val="10"/>
        <rFont val="Arial"/>
        <family val="0"/>
        <charset val="1"/>
      </rPr>
      <t xml:space="preserve">3,430</t>
    </r>
    <r>
      <rPr>
        <sz val="10"/>
        <rFont val="Noto Sans CJK SC"/>
        <family val="2"/>
      </rPr>
      <t xml:space="preserve">再生で登録</t>
    </r>
    <r>
      <rPr>
        <sz val="10"/>
        <rFont val="Arial"/>
        <family val="0"/>
        <charset val="1"/>
      </rPr>
      <t xml:space="preserve">0</t>
    </r>
    <r>
      <rPr>
        <sz val="10"/>
        <rFont val="Noto Sans CJK SC"/>
        <family val="2"/>
      </rPr>
      <t xml:space="preserve">人、</t>
    </r>
    <r>
      <rPr>
        <sz val="10"/>
        <rFont val="Arial"/>
        <family val="0"/>
        <charset val="1"/>
      </rPr>
      <t xml:space="preserve">9:00</t>
    </r>
    <r>
      <rPr>
        <sz val="10"/>
        <rFont val="Noto Sans CJK SC"/>
        <family val="2"/>
      </rPr>
      <t xml:space="preserve">枠も </t>
    </r>
    <r>
      <rPr>
        <sz val="10"/>
        <rFont val="Arial"/>
        <family val="0"/>
        <charset val="1"/>
      </rPr>
      <t xml:space="preserve">n=3 </t>
    </r>
    <r>
      <rPr>
        <sz val="10"/>
        <rFont val="Noto Sans CJK SC"/>
        <family val="2"/>
      </rPr>
      <t xml:space="preserve">で登録</t>
    </r>
    <r>
      <rPr>
        <sz val="10"/>
        <rFont val="Arial"/>
        <family val="0"/>
        <charset val="1"/>
      </rPr>
      <t xml:space="preserve">0</t>
    </r>
    <r>
      <rPr>
        <sz val="10"/>
        <rFont val="Noto Sans CJK SC"/>
        <family val="2"/>
      </rPr>
      <t xml:space="preserve">人。実測で唯一プラスの </t>
    </r>
    <r>
      <rPr>
        <sz val="10"/>
        <rFont val="Arial"/>
        <family val="0"/>
        <charset val="1"/>
      </rPr>
      <t xml:space="preserve">7</t>
    </r>
    <r>
      <rPr>
        <sz val="10"/>
        <rFont val="Noto Sans CJK SC"/>
        <family val="2"/>
      </rPr>
      <t xml:space="preserve">時</t>
    </r>
    <r>
      <rPr>
        <sz val="10"/>
        <rFont val="Arial"/>
        <family val="0"/>
        <charset val="1"/>
      </rPr>
      <t xml:space="preserve">(0.339,n=4)</t>
    </r>
    <r>
      <rPr>
        <sz val="10"/>
        <rFont val="Noto Sans CJK SC"/>
        <family val="2"/>
      </rPr>
      <t xml:space="preserve">・</t>
    </r>
    <r>
      <rPr>
        <sz val="10"/>
        <rFont val="Arial"/>
        <family val="0"/>
        <charset val="1"/>
      </rPr>
      <t xml:space="preserve">17</t>
    </r>
    <r>
      <rPr>
        <sz val="10"/>
        <rFont val="Noto Sans CJK SC"/>
        <family val="2"/>
      </rPr>
      <t xml:space="preserve">時</t>
    </r>
    <r>
      <rPr>
        <sz val="10"/>
        <rFont val="Arial"/>
        <family val="0"/>
        <charset val="1"/>
      </rPr>
      <t xml:space="preserve">(0.279,n=3) </t>
    </r>
    <r>
      <rPr>
        <sz val="10"/>
        <rFont val="Noto Sans CJK SC"/>
        <family val="2"/>
      </rPr>
      <t xml:space="preserve">へ振り替え、</t>
    </r>
    <r>
      <rPr>
        <sz val="10"/>
        <rFont val="Arial"/>
        <family val="0"/>
        <charset val="1"/>
      </rPr>
      <t xml:space="preserve">12:15(0.204,n=10) </t>
    </r>
    <r>
      <rPr>
        <sz val="10"/>
        <rFont val="Noto Sans CJK SC"/>
        <family val="2"/>
      </rPr>
      <t xml:space="preserve">は維持。間隔 </t>
    </r>
    <r>
      <rPr>
        <sz val="10"/>
        <rFont val="Arial"/>
        <family val="0"/>
        <charset val="1"/>
      </rPr>
      <t xml:space="preserve">285/315 </t>
    </r>
    <r>
      <rPr>
        <sz val="10"/>
        <rFont val="Noto Sans CJK SC"/>
        <family val="2"/>
      </rPr>
      <t xml:space="preserve">分。</t>
    </r>
  </si>
  <si>
    <r>
      <rPr>
        <sz val="10"/>
        <rFont val="Arial"/>
        <family val="0"/>
        <charset val="1"/>
      </rPr>
      <t xml:space="preserve">A</t>
    </r>
    <r>
      <rPr>
        <sz val="10"/>
        <rFont val="Noto Sans CJK SC"/>
        <family val="2"/>
      </rPr>
      <t xml:space="preserve">（疑問フレーム＋具体数字）</t>
    </r>
  </si>
  <si>
    <r>
      <rPr>
        <sz val="10"/>
        <rFont val="Noto Sans CJK SC"/>
        <family val="2"/>
      </rPr>
      <t xml:space="preserve">タイトルは必ず『なぜ／本当の理由／正体／実は〜のか』の疑問フレームで終わらせ、本文で扱う具体的な数（品数・人数・値段・年数）を</t>
    </r>
    <r>
      <rPr>
        <sz val="10"/>
        <rFont val="Arial"/>
        <family val="0"/>
        <charset val="1"/>
      </rPr>
      <t xml:space="preserve">1</t>
    </r>
    <r>
      <rPr>
        <sz val="10"/>
        <rFont val="Noto Sans CJK SC"/>
        <family val="2"/>
      </rPr>
      <t xml:space="preserve">つだけ入れる。下ネタ・エロ面白のジャンルは維持する（変えるのは型であってジャンルではない）。『〜あげてけ』『〜選手権』『質問ある？』等の大喜利・参加型の言い切りタイトルは登録に変換しないため先頭に置かない。</t>
    </r>
  </si>
  <si>
    <r>
      <rPr>
        <sz val="10"/>
        <rFont val="Arial"/>
        <family val="0"/>
        <charset val="1"/>
      </rPr>
      <t xml:space="preserve">A</t>
    </r>
    <r>
      <rPr>
        <sz val="10"/>
        <rFont val="Noto Sans CJK SC"/>
        <family val="2"/>
      </rPr>
      <t xml:space="preserve">型 </t>
    </r>
    <r>
      <rPr>
        <sz val="10"/>
        <rFont val="Arial"/>
        <family val="0"/>
        <charset val="1"/>
      </rPr>
      <t xml:space="preserve">0.36(n=16) </t>
    </r>
    <r>
      <rPr>
        <sz val="10"/>
        <rFont val="Noto Sans CJK SC"/>
        <family val="2"/>
      </rPr>
      <t xml:space="preserve">に対し </t>
    </r>
    <r>
      <rPr>
        <sz val="10"/>
        <rFont val="Arial"/>
        <family val="0"/>
        <charset val="1"/>
      </rPr>
      <t xml:space="preserve">C</t>
    </r>
    <r>
      <rPr>
        <sz val="10"/>
        <rFont val="Noto Sans CJK SC"/>
        <family val="2"/>
      </rPr>
      <t xml:space="preserve">型 </t>
    </r>
    <r>
      <rPr>
        <sz val="10"/>
        <rFont val="Arial"/>
        <family val="0"/>
        <charset val="1"/>
      </rPr>
      <t xml:space="preserve">0.07(n=16)</t>
    </r>
    <r>
      <rPr>
        <sz val="10"/>
        <rFont val="Noto Sans CJK SC"/>
        <family val="2"/>
      </rPr>
      <t xml:space="preserve">・</t>
    </r>
    <r>
      <rPr>
        <sz val="10"/>
        <rFont val="Arial"/>
        <family val="0"/>
        <charset val="1"/>
      </rPr>
      <t xml:space="preserve">D</t>
    </r>
    <r>
      <rPr>
        <sz val="10"/>
        <rFont val="Noto Sans CJK SC"/>
        <family val="2"/>
      </rPr>
      <t xml:space="preserve">型 </t>
    </r>
    <r>
      <rPr>
        <sz val="10"/>
        <rFont val="Arial"/>
        <family val="0"/>
        <charset val="1"/>
      </rPr>
      <t xml:space="preserve">0.09(n=10)</t>
    </r>
    <r>
      <rPr>
        <sz val="10"/>
        <rFont val="Noto Sans CJK SC"/>
        <family val="2"/>
      </rPr>
      <t xml:space="preserve">。</t>
    </r>
    <r>
      <rPr>
        <sz val="10"/>
        <rFont val="Arial"/>
        <family val="0"/>
        <charset val="1"/>
      </rPr>
      <t xml:space="preserve">A</t>
    </r>
    <r>
      <rPr>
        <sz val="10"/>
        <rFont val="Noto Sans CJK SC"/>
        <family val="2"/>
      </rPr>
      <t xml:space="preserve">型は他型の約</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倍。実測トップは『実はマックに神メニュー</t>
    </r>
    <r>
      <rPr>
        <sz val="10"/>
        <rFont val="Arial"/>
        <family val="0"/>
        <charset val="1"/>
      </rPr>
      <t xml:space="preserve">3</t>
    </r>
    <r>
      <rPr>
        <sz val="10"/>
        <rFont val="Noto Sans CJK SC"/>
        <family val="2"/>
      </rPr>
      <t xml:space="preserve">品が決まらない本当の理由とは？』</t>
    </r>
    <r>
      <rPr>
        <sz val="10"/>
        <rFont val="Arial"/>
        <family val="0"/>
        <charset val="1"/>
      </rPr>
      <t xml:space="preserve">(2.19)</t>
    </r>
    <r>
      <rPr>
        <sz val="10"/>
        <rFont val="Noto Sans CJK SC"/>
        <family val="2"/>
      </rPr>
      <t xml:space="preserve">。逆に再生上位</t>
    </r>
    <r>
      <rPr>
        <sz val="10"/>
        <rFont val="Arial"/>
        <family val="0"/>
        <charset val="1"/>
      </rPr>
      <t xml:space="preserve">5</t>
    </r>
    <r>
      <rPr>
        <sz val="10"/>
        <rFont val="Noto Sans CJK SC"/>
        <family val="2"/>
      </rPr>
      <t xml:space="preserve">本（</t>
    </r>
    <r>
      <rPr>
        <sz val="10"/>
        <rFont val="Arial"/>
        <family val="0"/>
        <charset val="1"/>
      </rPr>
      <t xml:space="preserve">1,236</t>
    </r>
    <r>
      <rPr>
        <sz val="10"/>
        <rFont val="Noto Sans CJK SC"/>
        <family val="2"/>
      </rPr>
      <t xml:space="preserve">〜</t>
    </r>
    <r>
      <rPr>
        <sz val="10"/>
        <rFont val="Arial"/>
        <family val="0"/>
        <charset val="1"/>
      </rPr>
      <t xml:space="preserve">1,815</t>
    </r>
    <r>
      <rPr>
        <sz val="10"/>
        <rFont val="Noto Sans CJK SC"/>
        <family val="2"/>
      </rPr>
      <t xml:space="preserve">再生・維持率</t>
    </r>
    <r>
      <rPr>
        <sz val="10"/>
        <rFont val="Arial"/>
        <family val="0"/>
        <charset val="1"/>
      </rPr>
      <t xml:space="preserve">41.9</t>
    </r>
    <r>
      <rPr>
        <sz val="10"/>
        <rFont val="Noto Sans CJK SC"/>
        <family val="2"/>
      </rPr>
      <t xml:space="preserve">〜</t>
    </r>
    <r>
      <rPr>
        <sz val="10"/>
        <rFont val="Arial"/>
        <family val="0"/>
        <charset val="1"/>
      </rPr>
      <t xml:space="preserve">81.4%</t>
    </r>
    <r>
      <rPr>
        <sz val="10"/>
        <rFont val="Noto Sans CJK SC"/>
        <family val="2"/>
      </rPr>
      <t xml:space="preserve">）はすべて共感あるある型で登録</t>
    </r>
    <r>
      <rPr>
        <sz val="10"/>
        <rFont val="Arial"/>
        <family val="0"/>
        <charset val="1"/>
      </rPr>
      <t xml:space="preserve">0</t>
    </r>
    <r>
      <rPr>
        <sz val="10"/>
        <rFont val="Noto Sans CJK SC"/>
        <family val="2"/>
      </rPr>
      <t xml:space="preserve">人。</t>
    </r>
  </si>
  <si>
    <r>
      <rPr>
        <i val="true"/>
        <sz val="9"/>
        <color rgb="FF666666"/>
        <rFont val="Noto Sans CJK SC"/>
        <family val="2"/>
      </rPr>
      <t xml:space="preserve">※ 残日数 </t>
    </r>
    <r>
      <rPr>
        <i val="true"/>
        <sz val="9"/>
        <color rgb="FF666666"/>
        <rFont val="Arial"/>
        <family val="0"/>
        <charset val="1"/>
      </rPr>
      <t xml:space="preserve">= </t>
    </r>
    <r>
      <rPr>
        <i val="true"/>
        <sz val="9"/>
        <color rgb="FF666666"/>
        <rFont val="Noto Sans CJK SC"/>
        <family val="2"/>
      </rPr>
      <t xml:space="preserve">キュー本数 </t>
    </r>
    <r>
      <rPr>
        <i val="true"/>
        <sz val="9"/>
        <color rgb="FF666666"/>
        <rFont val="Arial"/>
        <family val="0"/>
        <charset val="1"/>
      </rPr>
      <t xml:space="preserve">÷ 1</t>
    </r>
    <r>
      <rPr>
        <i val="true"/>
        <sz val="9"/>
        <color rgb="FF666666"/>
        <rFont val="Noto Sans CJK SC"/>
        <family val="2"/>
      </rPr>
      <t xml:space="preserve">日あたりの投稿枠数。目標は </t>
    </r>
    <r>
      <rPr>
        <i val="true"/>
        <sz val="9"/>
        <color rgb="FF666666"/>
        <rFont val="Arial"/>
        <family val="0"/>
        <charset val="1"/>
      </rPr>
      <t xml:space="preserve">7 </t>
    </r>
    <r>
      <rPr>
        <i val="true"/>
        <sz val="9"/>
        <color rgb="FF666666"/>
        <rFont val="Noto Sans CJK SC"/>
        <family val="2"/>
      </rPr>
      <t xml:space="preserve">日分以上。</t>
    </r>
  </si>
  <si>
    <r>
      <rPr>
        <i val="true"/>
        <sz val="9"/>
        <color rgb="FF666666"/>
        <rFont val="Arial"/>
        <family val="0"/>
        <charset val="1"/>
      </rPr>
      <t xml:space="preserve">※ autopilot.enabled </t>
    </r>
    <r>
      <rPr>
        <i val="true"/>
        <sz val="9"/>
        <color rgb="FF666666"/>
        <rFont val="Noto Sans CJK SC"/>
        <family val="2"/>
      </rPr>
      <t xml:space="preserve">は指揮者では変更していない。この</t>
    </r>
    <r>
      <rPr>
        <i val="true"/>
        <sz val="9"/>
        <color rgb="FF666666"/>
        <rFont val="Arial"/>
        <family val="0"/>
        <charset val="1"/>
      </rPr>
      <t xml:space="preserve">2ch</t>
    </r>
    <r>
      <rPr>
        <i val="true"/>
        <sz val="9"/>
        <color rgb="FF666666"/>
        <rFont val="Noto Sans CJK SC"/>
        <family val="2"/>
      </rPr>
      <t xml:space="preserve">の </t>
    </r>
    <r>
      <rPr>
        <i val="true"/>
        <sz val="9"/>
        <color rgb="FF666666"/>
        <rFont val="Arial"/>
        <family val="0"/>
        <charset val="1"/>
      </rPr>
      <t xml:space="preserve">autopilot.enabled </t>
    </r>
    <r>
      <rPr>
        <i val="true"/>
        <sz val="9"/>
        <color rgb="FF666666"/>
        <rFont val="Noto Sans CJK SC"/>
        <family val="2"/>
      </rPr>
      <t xml:space="preserve">は指揮者の分析の外側で人が </t>
    </r>
    <r>
      <rPr>
        <i val="true"/>
        <sz val="9"/>
        <color rgb="FF666666"/>
        <rFont val="Arial"/>
        <family val="0"/>
        <charset val="1"/>
      </rPr>
      <t xml:space="preserve">false </t>
    </r>
    <r>
      <rPr>
        <i val="true"/>
        <sz val="9"/>
        <color rgb="FF666666"/>
        <rFont val="Noto Sans CJK SC"/>
        <family val="2"/>
      </rPr>
      <t xml:space="preserve">にした状態であり、本日の実測データはこの値を動かす根拠にならない。さらに </t>
    </r>
    <r>
      <rPr>
        <i val="true"/>
        <sz val="9"/>
        <color rgb="FF666666"/>
        <rFont val="Arial"/>
        <family val="0"/>
        <charset val="1"/>
      </rPr>
      <t xml:space="preserve">pokemon-lab </t>
    </r>
    <r>
      <rPr>
        <i val="true"/>
        <sz val="9"/>
        <color rgb="FF666666"/>
        <rFont val="Noto Sans CJK SC"/>
        <family val="2"/>
      </rPr>
      <t xml:space="preserve">は </t>
    </r>
    <r>
      <rPr>
        <i val="true"/>
        <sz val="9"/>
        <color rgb="FF666666"/>
        <rFont val="Arial"/>
        <family val="0"/>
        <charset val="1"/>
      </rPr>
      <t xml:space="preserve">OAuth </t>
    </r>
    <r>
      <rPr>
        <i val="true"/>
        <sz val="9"/>
        <color rgb="FF666666"/>
        <rFont val="Noto Sans CJK SC"/>
        <family val="2"/>
      </rPr>
      <t xml:space="preserve">トークンが </t>
    </r>
    <r>
      <rPr>
        <i val="true"/>
        <sz val="9"/>
        <color rgb="FF666666"/>
        <rFont val="Arial"/>
        <family val="0"/>
        <charset val="1"/>
      </rPr>
      <t xml:space="preserve">2026-09-09 </t>
    </r>
    <r>
      <rPr>
        <i val="true"/>
        <sz val="9"/>
        <color rgb="FF666666"/>
        <rFont val="Noto Sans CJK SC"/>
        <family val="2"/>
      </rPr>
      <t xml:space="preserve">以降更新されておらず（他</t>
    </r>
    <r>
      <rPr>
        <i val="true"/>
        <sz val="9"/>
        <color rgb="FF666666"/>
        <rFont val="Arial"/>
        <family val="0"/>
        <charset val="1"/>
      </rPr>
      <t xml:space="preserve">4ch</t>
    </r>
    <r>
      <rPr>
        <i val="true"/>
        <sz val="9"/>
        <color rgb="FF666666"/>
        <rFont val="Noto Sans CJK SC"/>
        <family val="2"/>
      </rPr>
      <t xml:space="preserve">は </t>
    </r>
    <r>
      <rPr>
        <i val="true"/>
        <sz val="9"/>
        <color rgb="FF666666"/>
        <rFont val="Arial"/>
        <family val="0"/>
        <charset val="1"/>
      </rPr>
      <t xml:space="preserve">09-13 </t>
    </r>
    <r>
      <rPr>
        <i val="true"/>
        <sz val="9"/>
        <color rgb="FF666666"/>
        <rFont val="Noto Sans CJK SC"/>
        <family val="2"/>
      </rPr>
      <t xml:space="preserve">に再認可済み）、有効化しても公開に到達せず 未公開在庫を増やすだけである。加えて全</t>
    </r>
    <r>
      <rPr>
        <i val="true"/>
        <sz val="9"/>
        <color rgb="FF666666"/>
        <rFont val="Arial"/>
        <family val="0"/>
        <charset val="1"/>
      </rPr>
      <t xml:space="preserve">10ch</t>
    </r>
    <r>
      <rPr>
        <i val="true"/>
        <sz val="9"/>
        <color rgb="FF666666"/>
        <rFont val="Noto Sans CJK SC"/>
        <family val="2"/>
      </rPr>
      <t xml:space="preserve">中 </t>
    </r>
    <r>
      <rPr>
        <i val="true"/>
        <sz val="9"/>
        <color rgb="FF666666"/>
        <rFont val="Arial"/>
        <family val="0"/>
        <charset val="1"/>
      </rPr>
      <t xml:space="preserve">daily-science </t>
    </r>
    <r>
      <rPr>
        <i val="true"/>
        <sz val="9"/>
        <color rgb="FF666666"/>
        <rFont val="Noto Sans CJK SC"/>
        <family val="2"/>
      </rPr>
      <t xml:space="preserve">以外はカスタムサムネイルを </t>
    </r>
    <r>
      <rPr>
        <i val="true"/>
        <sz val="9"/>
        <color rgb="FF666666"/>
        <rFont val="Arial"/>
        <family val="0"/>
        <charset val="1"/>
      </rPr>
      <t xml:space="preserve">1</t>
    </r>
    <r>
      <rPr>
        <i val="true"/>
        <sz val="9"/>
        <color rgb="FF666666"/>
        <rFont val="Noto Sans CJK SC"/>
        <family val="2"/>
      </rPr>
      <t xml:space="preserve">枚も設定できていない（後述）ため、この状態で生成を増やすと不適切な自動生成サムネの動画が 増えるだけになる。サムネ権限の解消後に再判断する。</t>
    </r>
  </si>
  <si>
    <r>
      <rPr>
        <b val="true"/>
        <sz val="14"/>
        <color rgb="FF1F3864"/>
        <rFont val="Noto Sans CJK SC"/>
        <family val="2"/>
      </rPr>
      <t xml:space="preserve">動画別パフォーマンス（公開 </t>
    </r>
    <r>
      <rPr>
        <b val="true"/>
        <sz val="14"/>
        <color rgb="FF1F3864"/>
        <rFont val="Arial"/>
        <family val="0"/>
        <charset val="1"/>
      </rPr>
      <t xml:space="preserve">2026-08-20 </t>
    </r>
    <r>
      <rPr>
        <b val="true"/>
        <sz val="14"/>
        <color rgb="FF1F3864"/>
        <rFont val="Noto Sans CJK SC"/>
        <family val="2"/>
      </rPr>
      <t xml:space="preserve">以降・</t>
    </r>
    <r>
      <rPr>
        <b val="true"/>
        <sz val="14"/>
        <color rgb="FF1F3864"/>
        <rFont val="Arial"/>
        <family val="0"/>
        <charset val="1"/>
      </rPr>
      <t xml:space="preserve">views&gt;0</t>
    </r>
    <r>
      <rPr>
        <b val="true"/>
        <sz val="14"/>
        <color rgb="FF1F3864"/>
        <rFont val="Noto Sans CJK SC"/>
        <family val="2"/>
      </rPr>
      <t xml:space="preserve">）</t>
    </r>
  </si>
  <si>
    <r>
      <rPr>
        <i val="true"/>
        <sz val="9"/>
        <color rgb="FF666666"/>
        <rFont val="Noto Sans CJK SC"/>
        <family val="2"/>
      </rPr>
      <t xml:space="preserve">型</t>
    </r>
    <r>
      <rPr>
        <i val="true"/>
        <sz val="9"/>
        <color rgb="FF666666"/>
        <rFont val="Arial"/>
        <family val="0"/>
        <charset val="1"/>
      </rPr>
      <t xml:space="preserve">: A=</t>
    </r>
    <r>
      <rPr>
        <i val="true"/>
        <sz val="9"/>
        <color rgb="FF666666"/>
        <rFont val="Noto Sans CJK SC"/>
        <family val="2"/>
      </rPr>
      <t xml:space="preserve">疑問フレーム</t>
    </r>
    <r>
      <rPr>
        <i val="true"/>
        <sz val="9"/>
        <color rgb="FF666666"/>
        <rFont val="Arial"/>
        <family val="0"/>
        <charset val="1"/>
      </rPr>
      <t xml:space="preserve">+</t>
    </r>
    <r>
      <rPr>
        <i val="true"/>
        <sz val="9"/>
        <color rgb="FF666666"/>
        <rFont val="Noto Sans CJK SC"/>
        <family val="2"/>
      </rPr>
      <t xml:space="preserve">数字 </t>
    </r>
    <r>
      <rPr>
        <i val="true"/>
        <sz val="9"/>
        <color rgb="FF666666"/>
        <rFont val="Arial"/>
        <family val="0"/>
        <charset val="1"/>
      </rPr>
      <t xml:space="preserve">/ B=</t>
    </r>
    <r>
      <rPr>
        <i val="true"/>
        <sz val="9"/>
        <color rgb="FF666666"/>
        <rFont val="Noto Sans CJK SC"/>
        <family val="2"/>
      </rPr>
      <t xml:space="preserve">疑問フレームのみ </t>
    </r>
    <r>
      <rPr>
        <i val="true"/>
        <sz val="9"/>
        <color rgb="FF666666"/>
        <rFont val="Arial"/>
        <family val="0"/>
        <charset val="1"/>
      </rPr>
      <t xml:space="preserve">/ C=</t>
    </r>
    <r>
      <rPr>
        <i val="true"/>
        <sz val="9"/>
        <color rgb="FF666666"/>
        <rFont val="Noto Sans CJK SC"/>
        <family val="2"/>
      </rPr>
      <t xml:space="preserve">数字のみ </t>
    </r>
    <r>
      <rPr>
        <i val="true"/>
        <sz val="9"/>
        <color rgb="FF666666"/>
        <rFont val="Arial"/>
        <family val="0"/>
        <charset val="1"/>
      </rPr>
      <t xml:space="preserve">/ D=</t>
    </r>
    <r>
      <rPr>
        <i val="true"/>
        <sz val="9"/>
        <color rgb="FF666666"/>
        <rFont val="Noto Sans CJK SC"/>
        <family val="2"/>
      </rPr>
      <t xml:space="preserve">共感・あるある</t>
    </r>
  </si>
  <si>
    <t xml:space="preserve">公開日</t>
  </si>
  <si>
    <r>
      <rPr>
        <b val="true"/>
        <sz val="10"/>
        <color rgb="FFFFFFFF"/>
        <rFont val="Noto Sans CJK SC"/>
        <family val="2"/>
      </rPr>
      <t xml:space="preserve">投稿時刻</t>
    </r>
    <r>
      <rPr>
        <b val="true"/>
        <sz val="10"/>
        <color rgb="FFFFFFFF"/>
        <rFont val="Arial"/>
        <family val="0"/>
        <charset val="1"/>
      </rPr>
      <t xml:space="preserve">(JST)</t>
    </r>
  </si>
  <si>
    <t xml:space="preserve">型</t>
  </si>
  <si>
    <t xml:space="preserve">タイトル</t>
  </si>
  <si>
    <t xml:space="preserve">再生</t>
  </si>
  <si>
    <t xml:space="preserve">高評価</t>
  </si>
  <si>
    <t xml:space="preserve">コメント</t>
  </si>
  <si>
    <r>
      <rPr>
        <b val="true"/>
        <sz val="10"/>
        <color rgb="FFFFFFFF"/>
        <rFont val="Noto Sans CJK SC"/>
        <family val="2"/>
      </rPr>
      <t xml:space="preserve">維持率</t>
    </r>
    <r>
      <rPr>
        <b val="true"/>
        <sz val="10"/>
        <color rgb="FFFFFFFF"/>
        <rFont val="Arial"/>
        <family val="0"/>
        <charset val="1"/>
      </rPr>
      <t xml:space="preserve">%</t>
    </r>
  </si>
  <si>
    <t xml:space="preserve">インプ</t>
  </si>
  <si>
    <t xml:space="preserve">CTR%</t>
  </si>
  <si>
    <t xml:space="preserve">2026-08-22</t>
  </si>
  <si>
    <r>
      <rPr>
        <sz val="10"/>
        <rFont val="Arial"/>
        <family val="0"/>
        <charset val="1"/>
      </rPr>
      <t xml:space="preserve">19</t>
    </r>
    <r>
      <rPr>
        <sz val="10"/>
        <rFont val="Noto Sans CJK SC"/>
        <family val="2"/>
      </rPr>
      <t xml:space="preserve">時</t>
    </r>
  </si>
  <si>
    <t xml:space="preserve">A</t>
  </si>
  <si>
    <r>
      <rPr>
        <sz val="10"/>
        <rFont val="Noto Sans CJK SC"/>
        <family val="2"/>
      </rPr>
      <t xml:space="preserve">実は完治後に</t>
    </r>
    <r>
      <rPr>
        <sz val="10"/>
        <rFont val="Arial"/>
        <family val="0"/>
        <charset val="1"/>
      </rPr>
      <t xml:space="preserve">4</t>
    </r>
    <r>
      <rPr>
        <sz val="10"/>
        <rFont val="Noto Sans CJK SC"/>
        <family val="2"/>
      </rPr>
      <t xml:space="preserve">人が戻れなかった本当の理由とは？【ショート】</t>
    </r>
  </si>
  <si>
    <t xml:space="preserve">2026-09-07</t>
  </si>
  <si>
    <t xml:space="preserve">C</t>
  </si>
  <si>
    <r>
      <rPr>
        <sz val="10"/>
        <rFont val="Arial"/>
        <family val="0"/>
        <charset val="1"/>
      </rPr>
      <t xml:space="preserve">SCP-7241 </t>
    </r>
    <r>
      <rPr>
        <sz val="10"/>
        <rFont val="Noto Sans CJK SC"/>
        <family val="2"/>
      </rPr>
      <t xml:space="preserve">収容違反記録から毎回消える頁 </t>
    </r>
    <r>
      <rPr>
        <sz val="10"/>
        <rFont val="Arial"/>
        <family val="0"/>
        <charset val="1"/>
      </rPr>
      <t xml:space="preserve">#shorts #SCP #SCP</t>
    </r>
    <r>
      <rPr>
        <sz val="10"/>
        <rFont val="Noto Sans CJK SC"/>
        <family val="2"/>
      </rPr>
      <t xml:space="preserve">解説</t>
    </r>
  </si>
  <si>
    <t xml:space="preserve">2026-08-31</t>
  </si>
  <si>
    <r>
      <rPr>
        <sz val="10"/>
        <rFont val="Arial"/>
        <family val="0"/>
        <charset val="1"/>
      </rPr>
      <t xml:space="preserve">17</t>
    </r>
    <r>
      <rPr>
        <sz val="10"/>
        <rFont val="Noto Sans CJK SC"/>
        <family val="2"/>
      </rPr>
      <t xml:space="preserve">時</t>
    </r>
  </si>
  <si>
    <r>
      <rPr>
        <sz val="10"/>
        <rFont val="Noto Sans CJK SC"/>
        <family val="2"/>
      </rPr>
      <t xml:space="preserve">なぜ座ると腰だけ痛い？圧力</t>
    </r>
    <r>
      <rPr>
        <sz val="10"/>
        <rFont val="Arial"/>
        <family val="0"/>
        <charset val="1"/>
      </rPr>
      <t xml:space="preserve">1.4</t>
    </r>
    <r>
      <rPr>
        <sz val="10"/>
        <rFont val="Noto Sans CJK SC"/>
        <family val="2"/>
      </rPr>
      <t xml:space="preserve">倍【ショート】</t>
    </r>
  </si>
  <si>
    <t xml:space="preserve">2026-09-08</t>
  </si>
  <si>
    <t xml:space="preserve">B</t>
  </si>
  <si>
    <r>
      <rPr>
        <sz val="10"/>
        <rFont val="Noto Sans CJK SC"/>
        <family val="2"/>
      </rPr>
      <t xml:space="preserve">疲れた日の甘い物がすぐ消えるのはなぜ？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</si>
  <si>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2026-08-30</t>
  </si>
  <si>
    <r>
      <rPr>
        <sz val="10"/>
        <rFont val="Arial"/>
        <family val="0"/>
        <charset val="1"/>
      </rPr>
      <t xml:space="preserve">12</t>
    </r>
    <r>
      <rPr>
        <sz val="10"/>
        <rFont val="Noto Sans CJK SC"/>
        <family val="2"/>
      </rPr>
      <t xml:space="preserve">時</t>
    </r>
  </si>
  <si>
    <r>
      <rPr>
        <sz val="10"/>
        <rFont val="Arial"/>
        <family val="0"/>
        <charset val="1"/>
      </rPr>
      <t xml:space="preserve">1</t>
    </r>
    <r>
      <rPr>
        <sz val="10"/>
        <rFont val="Noto Sans CJK SC"/>
        <family val="2"/>
      </rPr>
      <t xml:space="preserve">分妖怪ファイル </t>
    </r>
    <r>
      <rPr>
        <sz val="10"/>
        <rFont val="Arial"/>
        <family val="0"/>
        <charset val="1"/>
      </rPr>
      <t xml:space="preserve">#20</t>
    </r>
    <r>
      <rPr>
        <sz val="10"/>
        <rFont val="Noto Sans CJK SC"/>
        <family val="2"/>
      </rPr>
      <t xml:space="preserve">：🔍スネイキーに隠された秘密、</t>
    </r>
    <r>
      <rPr>
        <sz val="10"/>
        <rFont val="Arial"/>
        <family val="0"/>
        <charset val="1"/>
      </rPr>
      <t xml:space="preserve">3</t>
    </r>
    <r>
      <rPr>
        <sz val="10"/>
        <rFont val="Noto Sans CJK SC"/>
        <family val="2"/>
      </rPr>
      <t xml:space="preserve">段階進化の元ネタは蛇神だった？👁️【ショート】</t>
    </r>
  </si>
  <si>
    <t xml:space="preserve">2026-09-04</t>
  </si>
  <si>
    <r>
      <rPr>
        <sz val="10"/>
        <rFont val="Noto Sans CJK SC"/>
        <family val="2"/>
      </rPr>
      <t xml:space="preserve">犬神憑きはなぜ家系ごと記録されたのか 恒一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</si>
  <si>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2026-08-26</t>
  </si>
  <si>
    <r>
      <rPr>
        <sz val="10"/>
        <rFont val="Noto Sans CJK SC"/>
        <family val="2"/>
      </rPr>
      <t xml:space="preserve">なぜ調査員は</t>
    </r>
    <r>
      <rPr>
        <sz val="10"/>
        <rFont val="Arial"/>
        <family val="0"/>
        <charset val="1"/>
      </rPr>
      <t xml:space="preserve">SCP-1283-JP</t>
    </r>
    <r>
      <rPr>
        <sz val="10"/>
        <rFont val="Noto Sans CJK SC"/>
        <family val="2"/>
      </rPr>
      <t xml:space="preserve">の踏切のむこうで消えたのか？【ショート】</t>
    </r>
  </si>
  <si>
    <t xml:space="preserve">D</t>
  </si>
  <si>
    <r>
      <rPr>
        <sz val="10"/>
        <rFont val="Noto Sans CJK SC"/>
        <family val="2"/>
      </rPr>
      <t xml:space="preserve">人面犬の噂が昭和の学校で生まれた土壌とは…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</si>
  <si>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2026-08-28</t>
  </si>
  <si>
    <r>
      <rPr>
        <sz val="10"/>
        <rFont val="Arial"/>
        <family val="0"/>
        <charset val="1"/>
      </rPr>
      <t xml:space="preserve">1</t>
    </r>
    <r>
      <rPr>
        <sz val="10"/>
        <rFont val="Noto Sans CJK SC"/>
        <family val="2"/>
      </rPr>
      <t xml:space="preserve">分科学 </t>
    </r>
    <r>
      <rPr>
        <sz val="10"/>
        <rFont val="Arial"/>
        <family val="0"/>
        <charset val="1"/>
      </rPr>
      <t xml:space="preserve">#99</t>
    </r>
    <r>
      <rPr>
        <sz val="10"/>
        <rFont val="Noto Sans CJK SC"/>
        <family val="2"/>
      </rPr>
      <t xml:space="preserve">：🧪なぜ濡れた紙は</t>
    </r>
    <r>
      <rPr>
        <sz val="10"/>
        <rFont val="Arial"/>
        <family val="0"/>
        <charset val="1"/>
      </rPr>
      <t xml:space="preserve">3</t>
    </r>
    <r>
      <rPr>
        <sz val="10"/>
        <rFont val="Noto Sans CJK SC"/>
        <family val="2"/>
      </rPr>
      <t xml:space="preserve">倍も破れやすい？あなたが毎日触る繊維の正体【ショート】</t>
    </r>
  </si>
  <si>
    <r>
      <rPr>
        <sz val="10"/>
        <rFont val="Arial"/>
        <family val="0"/>
        <charset val="1"/>
      </rPr>
      <t xml:space="preserve">SCP</t>
    </r>
    <r>
      <rPr>
        <sz val="10"/>
        <rFont val="Noto Sans CJK SC"/>
        <family val="2"/>
      </rPr>
      <t xml:space="preserve">の最後の一行だけが隔離対象になった理由 </t>
    </r>
    <r>
      <rPr>
        <sz val="10"/>
        <rFont val="Arial"/>
        <family val="0"/>
        <charset val="1"/>
      </rPr>
      <t xml:space="preserve">#shorts #SCP #SCP</t>
    </r>
    <r>
      <rPr>
        <sz val="10"/>
        <rFont val="Noto Sans CJK SC"/>
        <family val="2"/>
      </rPr>
      <t xml:space="preserve">解説</t>
    </r>
  </si>
  <si>
    <t xml:space="preserve">2026-09-03</t>
  </si>
  <si>
    <r>
      <rPr>
        <sz val="10"/>
        <rFont val="Arial"/>
        <family val="0"/>
        <charset val="1"/>
      </rPr>
      <t xml:space="preserve">18</t>
    </r>
    <r>
      <rPr>
        <sz val="10"/>
        <rFont val="Noto Sans CJK SC"/>
        <family val="2"/>
      </rPr>
      <t xml:space="preserve">時</t>
    </r>
  </si>
  <si>
    <r>
      <rPr>
        <sz val="10"/>
        <rFont val="Noto Sans CJK SC"/>
        <family val="2"/>
      </rPr>
      <t xml:space="preserve">実はマックに神メニュー</t>
    </r>
    <r>
      <rPr>
        <sz val="10"/>
        <rFont val="Arial"/>
        <family val="0"/>
        <charset val="1"/>
      </rPr>
      <t xml:space="preserve">3</t>
    </r>
    <r>
      <rPr>
        <sz val="10"/>
        <rFont val="Noto Sans CJK SC"/>
        <family val="2"/>
      </rPr>
      <t xml:space="preserve">品が決まらない本当の理由とは？ </t>
    </r>
    <r>
      <rPr>
        <sz val="10"/>
        <rFont val="Arial"/>
        <family val="0"/>
        <charset val="1"/>
      </rPr>
      <t xml:space="preserve">#shorts #2ch #</t>
    </r>
    <r>
      <rPr>
        <sz val="10"/>
        <rFont val="Noto Sans CJK SC"/>
        <family val="2"/>
      </rPr>
      <t xml:space="preserve">面白いスレ</t>
    </r>
  </si>
  <si>
    <t xml:space="preserve">2026-09-05</t>
  </si>
  <si>
    <r>
      <rPr>
        <sz val="10"/>
        <rFont val="Arial"/>
        <family val="0"/>
        <charset val="1"/>
      </rPr>
      <t xml:space="preserve">SCP-096</t>
    </r>
    <r>
      <rPr>
        <sz val="10"/>
        <rFont val="Noto Sans CJK SC"/>
        <family val="2"/>
      </rPr>
      <t xml:space="preserve">の顔を見た者に起きた記録消失の真相 </t>
    </r>
    <r>
      <rPr>
        <sz val="10"/>
        <rFont val="Arial"/>
        <family val="0"/>
        <charset val="1"/>
      </rPr>
      <t xml:space="preserve">#shorts #SCP #SCP</t>
    </r>
    <r>
      <rPr>
        <sz val="10"/>
        <rFont val="Noto Sans CJK SC"/>
        <family val="2"/>
      </rPr>
      <t xml:space="preserve">解説</t>
    </r>
  </si>
  <si>
    <r>
      <rPr>
        <sz val="10"/>
        <rFont val="Noto Sans CJK SC"/>
        <family val="2"/>
      </rPr>
      <t xml:space="preserve">なぜ冷たい水だけ歯にしみる？歯の中で起きる変化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</si>
  <si>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SCP-4335</t>
    </r>
    <r>
      <rPr>
        <sz val="10"/>
        <rFont val="Noto Sans CJK SC"/>
        <family val="2"/>
      </rPr>
      <t xml:space="preserve">を見た海域で、なぜ観測記録が途絶えたのか？【ショート】</t>
    </r>
  </si>
  <si>
    <r>
      <rPr>
        <sz val="10"/>
        <rFont val="Noto Sans CJK SC"/>
        <family val="2"/>
      </rPr>
      <t xml:space="preserve">じんめん犬はなぜ笑い話になった？消えた恐怖の噂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</si>
  <si>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Netflix</t>
    </r>
    <r>
      <rPr>
        <sz val="10"/>
        <rFont val="Noto Sans CJK SC"/>
        <family val="2"/>
      </rPr>
      <t xml:space="preserve">の月額</t>
    </r>
    <r>
      <rPr>
        <sz val="10"/>
        <rFont val="Arial"/>
        <family val="0"/>
        <charset val="1"/>
      </rPr>
      <t xml:space="preserve">1,590</t>
    </r>
    <r>
      <rPr>
        <sz val="10"/>
        <rFont val="Noto Sans CJK SC"/>
        <family val="2"/>
      </rPr>
      <t xml:space="preserve">円、本当はどこに消える？【ショート】</t>
    </r>
  </si>
  <si>
    <r>
      <rPr>
        <sz val="10"/>
        <rFont val="Arial"/>
        <family val="0"/>
        <charset val="1"/>
      </rPr>
      <t xml:space="preserve">16</t>
    </r>
    <r>
      <rPr>
        <sz val="10"/>
        <rFont val="Noto Sans CJK SC"/>
        <family val="2"/>
      </rPr>
      <t xml:space="preserve">時</t>
    </r>
  </si>
  <si>
    <r>
      <rPr>
        <sz val="10"/>
        <rFont val="Noto Sans CJK SC"/>
        <family val="2"/>
      </rPr>
      <t xml:space="preserve">キュウビが日本へ渡った理由、知ってる？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</si>
  <si>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2026-08-21</t>
  </si>
  <si>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</si>
  <si>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t xml:space="preserve">2026-09-06</t>
  </si>
  <si>
    <r>
      <rPr>
        <sz val="10"/>
        <rFont val="Arial"/>
        <family val="0"/>
        <charset val="1"/>
      </rPr>
      <t xml:space="preserve">SCP-5800 </t>
    </r>
    <r>
      <rPr>
        <sz val="10"/>
        <rFont val="Noto Sans CJK SC"/>
        <family val="2"/>
      </rPr>
      <t xml:space="preserve">職員証だけが戻った未解決ファイル </t>
    </r>
    <r>
      <rPr>
        <sz val="10"/>
        <rFont val="Arial"/>
        <family val="0"/>
        <charset val="1"/>
      </rPr>
      <t xml:space="preserve">#shorts #SCP #SCP</t>
    </r>
    <r>
      <rPr>
        <sz val="10"/>
        <rFont val="Noto Sans CJK SC"/>
        <family val="2"/>
      </rPr>
      <t xml:space="preserve">解説</t>
    </r>
  </si>
  <si>
    <r>
      <rPr>
        <sz val="10"/>
        <rFont val="Arial"/>
        <family val="0"/>
        <charset val="1"/>
      </rPr>
      <t xml:space="preserve">13</t>
    </r>
    <r>
      <rPr>
        <sz val="10"/>
        <rFont val="Noto Sans CJK SC"/>
        <family val="2"/>
      </rPr>
      <t xml:space="preserve">時</t>
    </r>
  </si>
  <si>
    <r>
      <rPr>
        <sz val="10"/>
        <rFont val="Arial"/>
        <family val="0"/>
        <charset val="1"/>
      </rPr>
      <t xml:space="preserve">SCP-6121 </t>
    </r>
    <r>
      <rPr>
        <sz val="10"/>
        <rFont val="Noto Sans CJK SC"/>
        <family val="2"/>
      </rPr>
      <t xml:space="preserve">毎晩</t>
    </r>
    <r>
      <rPr>
        <sz val="10"/>
        <rFont val="Arial"/>
        <family val="0"/>
        <charset val="1"/>
      </rPr>
      <t xml:space="preserve">1cm</t>
    </r>
    <r>
      <rPr>
        <sz val="10"/>
        <rFont val="Noto Sans CJK SC"/>
        <family val="2"/>
      </rPr>
      <t xml:space="preserve">動く椅子、</t>
    </r>
    <r>
      <rPr>
        <sz val="10"/>
        <rFont val="Arial"/>
        <family val="0"/>
        <charset val="1"/>
      </rPr>
      <t xml:space="preserve">14</t>
    </r>
    <r>
      <rPr>
        <sz val="10"/>
        <rFont val="Noto Sans CJK SC"/>
        <family val="2"/>
      </rPr>
      <t xml:space="preserve">日目に起きた異変 </t>
    </r>
    <r>
      <rPr>
        <sz val="10"/>
        <rFont val="Arial"/>
        <family val="0"/>
        <charset val="1"/>
      </rPr>
      <t xml:space="preserve">#shorts #SCP #SCP</t>
    </r>
    <r>
      <rPr>
        <sz val="10"/>
        <rFont val="Noto Sans CJK SC"/>
        <family val="2"/>
      </rPr>
      <t xml:space="preserve">解説</t>
    </r>
  </si>
  <si>
    <t xml:space="preserve">2026-09-09</t>
  </si>
  <si>
    <r>
      <rPr>
        <sz val="10"/>
        <rFont val="Arial"/>
        <family val="0"/>
        <charset val="1"/>
      </rPr>
      <t xml:space="preserve">11</t>
    </r>
    <r>
      <rPr>
        <sz val="10"/>
        <rFont val="Noto Sans CJK SC"/>
        <family val="2"/>
      </rPr>
      <t xml:space="preserve">時</t>
    </r>
  </si>
  <si>
    <r>
      <rPr>
        <sz val="10"/>
        <rFont val="Noto Sans CJK SC"/>
        <family val="2"/>
      </rPr>
      <t xml:space="preserve">なぜ寒さで顎が先に震える？</t>
    </r>
    <r>
      <rPr>
        <sz val="10"/>
        <rFont val="Arial"/>
        <family val="0"/>
        <charset val="1"/>
      </rPr>
      <t xml:space="preserve">3</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</si>
  <si>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23</t>
    </r>
    <r>
      <rPr>
        <sz val="10"/>
        <rFont val="Noto Sans CJK SC"/>
        <family val="2"/>
      </rPr>
      <t xml:space="preserve">時</t>
    </r>
  </si>
  <si>
    <r>
      <rPr>
        <sz val="10"/>
        <rFont val="Arial"/>
        <family val="0"/>
        <charset val="1"/>
      </rPr>
      <t xml:space="preserve">Apple</t>
    </r>
    <r>
      <rPr>
        <sz val="10"/>
        <rFont val="Noto Sans CJK SC"/>
        <family val="2"/>
      </rPr>
      <t xml:space="preserve">の本当は年収約</t>
    </r>
    <r>
      <rPr>
        <sz val="10"/>
        <rFont val="Arial"/>
        <family val="0"/>
        <charset val="1"/>
      </rPr>
      <t xml:space="preserve">3,800</t>
    </r>
    <r>
      <rPr>
        <sz val="10"/>
        <rFont val="Noto Sans CJK SC"/>
        <family val="2"/>
      </rPr>
      <t xml:space="preserve">万円、新製品発表の裏側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</si>
  <si>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💸トヨタ自動車の年収</t>
    </r>
    <r>
      <rPr>
        <sz val="10"/>
        <rFont val="Arial"/>
        <family val="0"/>
        <charset val="1"/>
      </rPr>
      <t xml:space="preserve">982</t>
    </r>
    <r>
      <rPr>
        <sz val="10"/>
        <rFont val="Noto Sans CJK SC"/>
        <family val="2"/>
      </rPr>
      <t xml:space="preserve">万円、実は手当の中身が違う【ショート】</t>
    </r>
  </si>
  <si>
    <t xml:space="preserve">2026-08-27</t>
  </si>
  <si>
    <r>
      <rPr>
        <sz val="10"/>
        <rFont val="Noto Sans CJK SC"/>
        <family val="2"/>
      </rPr>
      <t xml:space="preserve">📉大谷翔平の年収が実は約</t>
    </r>
    <r>
      <rPr>
        <sz val="10"/>
        <rFont val="Arial"/>
        <family val="0"/>
        <charset val="1"/>
      </rPr>
      <t xml:space="preserve">160</t>
    </r>
    <r>
      <rPr>
        <sz val="10"/>
        <rFont val="Noto Sans CJK SC"/>
        <family val="2"/>
      </rPr>
      <t xml:space="preserve">億円？スポンサー契約の裏側📉【ショート】</t>
    </r>
  </si>
  <si>
    <r>
      <rPr>
        <sz val="10"/>
        <rFont val="Noto Sans CJK SC"/>
        <family val="2"/>
      </rPr>
      <t xml:space="preserve">覚の元ネタが怖すぎる…心を先回りする山の怪物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</si>
  <si>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2026-08-24</t>
  </si>
  <si>
    <r>
      <rPr>
        <sz val="10"/>
        <rFont val="Arial"/>
        <family val="0"/>
        <charset val="1"/>
      </rPr>
      <t xml:space="preserve">1</t>
    </r>
    <r>
      <rPr>
        <sz val="10"/>
        <rFont val="Noto Sans CJK SC"/>
        <family val="2"/>
      </rPr>
      <t xml:space="preserve">分科学 </t>
    </r>
    <r>
      <rPr>
        <sz val="10"/>
        <rFont val="Arial"/>
        <family val="0"/>
        <charset val="1"/>
      </rPr>
      <t xml:space="preserve">#93</t>
    </r>
    <r>
      <rPr>
        <sz val="10"/>
        <rFont val="Noto Sans CJK SC"/>
        <family val="2"/>
      </rPr>
      <t xml:space="preserve">：🔍なぜ満月の夜だけ夢を覚えている？月齢</t>
    </r>
    <r>
      <rPr>
        <sz val="10"/>
        <rFont val="Arial"/>
        <family val="0"/>
        <charset val="1"/>
      </rPr>
      <t xml:space="preserve">29.5</t>
    </r>
    <r>
      <rPr>
        <sz val="10"/>
        <rFont val="Noto Sans CJK SC"/>
        <family val="2"/>
      </rPr>
      <t xml:space="preserve">日に隠れた睡眠の正体【ショート】</t>
    </r>
  </si>
  <si>
    <t xml:space="preserve">2026-08-20</t>
  </si>
  <si>
    <r>
      <rPr>
        <sz val="10"/>
        <rFont val="Noto Sans CJK SC"/>
        <family val="2"/>
      </rPr>
      <t xml:space="preserve">ちいかわチョコサプ、なぜ中身が攻めすぎなのか？</t>
    </r>
    <r>
      <rPr>
        <sz val="10"/>
        <rFont val="Arial"/>
        <family val="0"/>
        <charset val="1"/>
      </rPr>
      <t xml:space="preserve">3</t>
    </r>
    <r>
      <rPr>
        <sz val="10"/>
        <rFont val="Noto Sans CJK SC"/>
        <family val="2"/>
      </rPr>
      <t xml:space="preserve">秒予想してみたら草【ショート】</t>
    </r>
  </si>
  <si>
    <r>
      <rPr>
        <sz val="10"/>
        <rFont val="Arial"/>
        <family val="0"/>
        <charset val="1"/>
      </rPr>
      <t xml:space="preserve">1</t>
    </r>
    <r>
      <rPr>
        <sz val="10"/>
        <rFont val="Noto Sans CJK SC"/>
        <family val="2"/>
      </rPr>
      <t xml:space="preserve">分科学 </t>
    </r>
    <r>
      <rPr>
        <sz val="10"/>
        <rFont val="Arial"/>
        <family val="0"/>
        <charset val="1"/>
      </rPr>
      <t xml:space="preserve">#97</t>
    </r>
    <r>
      <rPr>
        <sz val="10"/>
        <rFont val="Noto Sans CJK SC"/>
        <family val="2"/>
      </rPr>
      <t xml:space="preserve">：🧬なぜ大谷翔平は睡眠を最優先するのか？</t>
    </r>
    <r>
      <rPr>
        <sz val="10"/>
        <rFont val="Arial"/>
        <family val="0"/>
        <charset val="1"/>
      </rPr>
      <t xml:space="preserve">8</t>
    </r>
    <r>
      <rPr>
        <sz val="10"/>
        <rFont val="Noto Sans CJK SC"/>
        <family val="2"/>
      </rPr>
      <t xml:space="preserve">時間超が支える体の正体【ショート】</t>
    </r>
  </si>
  <si>
    <r>
      <rPr>
        <sz val="10"/>
        <rFont val="Noto Sans CJK SC"/>
        <family val="2"/>
      </rPr>
      <t xml:space="preserve">なぜ狐は人を化かす妖怪にされたのか？江戸の記録に残る事情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</si>
  <si>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SCP-093</t>
    </r>
    <r>
      <rPr>
        <sz val="10"/>
        <rFont val="Noto Sans CJK SC"/>
        <family val="2"/>
      </rPr>
      <t xml:space="preserve">の</t>
    </r>
    <r>
      <rPr>
        <sz val="10"/>
        <rFont val="Arial"/>
        <family val="0"/>
        <charset val="1"/>
      </rPr>
      <t xml:space="preserve">6</t>
    </r>
    <r>
      <rPr>
        <sz val="10"/>
        <rFont val="Noto Sans CJK SC"/>
        <family val="2"/>
      </rPr>
      <t xml:space="preserve">色記録 なぜ戻れた？【ショート】</t>
    </r>
  </si>
  <si>
    <r>
      <rPr>
        <sz val="10"/>
        <rFont val="Noto Sans CJK SC"/>
        <family val="2"/>
      </rPr>
      <t xml:space="preserve">君が知らないシェイミ</t>
    </r>
    <r>
      <rPr>
        <sz val="10"/>
        <rFont val="Arial"/>
        <family val="0"/>
        <charset val="1"/>
      </rPr>
      <t xml:space="preserve">2</t>
    </r>
    <r>
      <rPr>
        <sz val="10"/>
        <rFont val="Noto Sans CJK SC"/>
        <family val="2"/>
      </rPr>
      <t xml:space="preserve">形態の正体</t>
    </r>
    <r>
      <rPr>
        <sz val="10"/>
        <rFont val="Arial"/>
        <family val="0"/>
        <charset val="1"/>
      </rPr>
      <t xml:space="preserve">127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</si>
  <si>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2026-08-25</t>
  </si>
  <si>
    <r>
      <rPr>
        <sz val="10"/>
        <rFont val="Arial"/>
        <family val="0"/>
        <charset val="1"/>
      </rPr>
      <t xml:space="preserve">1</t>
    </r>
    <r>
      <rPr>
        <sz val="10"/>
        <rFont val="Noto Sans CJK SC"/>
        <family val="2"/>
      </rPr>
      <t xml:space="preserve">分科学 </t>
    </r>
    <r>
      <rPr>
        <sz val="10"/>
        <rFont val="Arial"/>
        <family val="0"/>
        <charset val="1"/>
      </rPr>
      <t xml:space="preserve">#94</t>
    </r>
    <r>
      <rPr>
        <sz val="10"/>
        <rFont val="Noto Sans CJK SC"/>
        <family val="2"/>
      </rPr>
      <t xml:space="preserve">：🧬なぜ甘い物のあと塩気が欲しい？あなたの舌で</t>
    </r>
    <r>
      <rPr>
        <sz val="10"/>
        <rFont val="Arial"/>
        <family val="0"/>
        <charset val="1"/>
      </rPr>
      <t xml:space="preserve">3</t>
    </r>
    <r>
      <rPr>
        <sz val="10"/>
        <rFont val="Noto Sans CJK SC"/>
        <family val="2"/>
      </rPr>
      <t xml:space="preserve">分起きる感度の正体【ショート】</t>
    </r>
  </si>
  <si>
    <r>
      <rPr>
        <sz val="10"/>
        <rFont val="Arial"/>
        <family val="0"/>
        <charset val="1"/>
      </rPr>
      <t xml:space="preserve">07</t>
    </r>
    <r>
      <rPr>
        <sz val="10"/>
        <rFont val="Noto Sans CJK SC"/>
        <family val="2"/>
      </rPr>
      <t xml:space="preserve">時</t>
    </r>
  </si>
  <si>
    <r>
      <rPr>
        <sz val="10"/>
        <rFont val="Noto Sans CJK SC"/>
        <family val="2"/>
      </rPr>
      <t xml:space="preserve">湯けむりの奥全員停止 </t>
    </r>
    <r>
      <rPr>
        <sz val="10"/>
        <rFont val="Arial"/>
        <family val="0"/>
        <charset val="1"/>
      </rPr>
      <t xml:space="preserve">#shorts #2ch #</t>
    </r>
    <r>
      <rPr>
        <sz val="10"/>
        <rFont val="Noto Sans CJK SC"/>
        <family val="2"/>
      </rPr>
      <t xml:space="preserve">面白いスレ</t>
    </r>
  </si>
  <si>
    <r>
      <rPr>
        <sz val="10"/>
        <rFont val="Noto Sans CJK SC"/>
        <family val="2"/>
      </rPr>
      <t xml:space="preserve">歩き方を意識した</t>
    </r>
    <r>
      <rPr>
        <sz val="10"/>
        <rFont val="Arial"/>
        <family val="0"/>
        <charset val="1"/>
      </rPr>
      <t xml:space="preserve">3</t>
    </r>
    <r>
      <rPr>
        <sz val="10"/>
        <rFont val="Noto Sans CJK SC"/>
        <family val="2"/>
      </rPr>
      <t xml:space="preserve">秒で迷う正体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</si>
  <si>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分科学：なぜ蚊に刺された場所は数分後から痒くなるのか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</si>
  <si>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なぜこの火山は</t>
    </r>
    <r>
      <rPr>
        <sz val="10"/>
        <rFont val="Arial"/>
        <family val="0"/>
        <charset val="1"/>
      </rPr>
      <t xml:space="preserve">72</t>
    </r>
    <r>
      <rPr>
        <sz val="10"/>
        <rFont val="Noto Sans CJK SC"/>
        <family val="2"/>
      </rPr>
      <t xml:space="preserve">時間沈黙し職員が消えるのか </t>
    </r>
    <r>
      <rPr>
        <sz val="10"/>
        <rFont val="Arial"/>
        <family val="0"/>
        <charset val="1"/>
      </rPr>
      <t xml:space="preserve">#shorts #SCP #SCP</t>
    </r>
    <r>
      <rPr>
        <sz val="10"/>
        <rFont val="Noto Sans CJK SC"/>
        <family val="2"/>
      </rPr>
      <t xml:space="preserve">解説</t>
    </r>
  </si>
  <si>
    <r>
      <rPr>
        <sz val="10"/>
        <rFont val="Arial"/>
        <family val="0"/>
        <charset val="1"/>
      </rPr>
      <t xml:space="preserve">1</t>
    </r>
    <r>
      <rPr>
        <sz val="10"/>
        <rFont val="Noto Sans CJK SC"/>
        <family val="2"/>
      </rPr>
      <t xml:space="preserve">分妖怪ファイル：キュウビの元ネタ玉藻前、殺生石になった結末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</si>
  <si>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SCP-███ </t>
    </r>
    <r>
      <rPr>
        <sz val="10"/>
        <rFont val="Noto Sans CJK SC"/>
        <family val="2"/>
      </rPr>
      <t xml:space="preserve">なぜ扉に</t>
    </r>
    <r>
      <rPr>
        <sz val="10"/>
        <rFont val="Arial"/>
        <family val="0"/>
        <charset val="1"/>
      </rPr>
      <t xml:space="preserve">3</t>
    </r>
    <r>
      <rPr>
        <sz val="10"/>
        <rFont val="Noto Sans CJK SC"/>
        <family val="2"/>
      </rPr>
      <t xml:space="preserve">枚目の札がある？ </t>
    </r>
    <r>
      <rPr>
        <sz val="10"/>
        <rFont val="Arial"/>
        <family val="0"/>
        <charset val="1"/>
      </rPr>
      <t xml:space="preserve">#shorts #SCP #SCP</t>
    </r>
    <r>
      <rPr>
        <sz val="10"/>
        <rFont val="Noto Sans CJK SC"/>
        <family val="2"/>
      </rPr>
      <t xml:space="preserve">解説</t>
    </r>
  </si>
  <si>
    <t xml:space="preserve">2026-09-01</t>
  </si>
  <si>
    <r>
      <rPr>
        <sz val="10"/>
        <rFont val="Arial"/>
        <family val="0"/>
        <charset val="1"/>
      </rPr>
      <t xml:space="preserve">09</t>
    </r>
    <r>
      <rPr>
        <sz val="10"/>
        <rFont val="Noto Sans CJK SC"/>
        <family val="2"/>
      </rPr>
      <t xml:space="preserve">時</t>
    </r>
  </si>
  <si>
    <r>
      <rPr>
        <sz val="10"/>
        <rFont val="Arial"/>
        <family val="0"/>
        <charset val="1"/>
      </rPr>
      <t xml:space="preserve">SCP-1987 </t>
    </r>
    <r>
      <rPr>
        <sz val="10"/>
        <rFont val="Noto Sans CJK SC"/>
        <family val="2"/>
      </rPr>
      <t xml:space="preserve">なぜ</t>
    </r>
    <r>
      <rPr>
        <sz val="10"/>
        <rFont val="Arial"/>
        <family val="0"/>
        <charset val="1"/>
      </rPr>
      <t xml:space="preserve">24</t>
    </r>
    <r>
      <rPr>
        <sz val="10"/>
        <rFont val="Noto Sans CJK SC"/>
        <family val="2"/>
      </rPr>
      <t xml:space="preserve">時間ごとに被害が増える？【ショート】</t>
    </r>
  </si>
  <si>
    <r>
      <rPr>
        <sz val="10"/>
        <rFont val="Arial"/>
        <family val="0"/>
        <charset val="1"/>
      </rPr>
      <t xml:space="preserve">08</t>
    </r>
    <r>
      <rPr>
        <sz val="10"/>
        <rFont val="Noto Sans CJK SC"/>
        <family val="2"/>
      </rPr>
      <t xml:space="preserve">時</t>
    </r>
  </si>
  <si>
    <r>
      <rPr>
        <sz val="10"/>
        <rFont val="Noto Sans CJK SC"/>
        <family val="2"/>
      </rPr>
      <t xml:space="preserve">ハピナス</t>
    </r>
    <r>
      <rPr>
        <sz val="10"/>
        <rFont val="Arial"/>
        <family val="0"/>
        <charset val="1"/>
      </rPr>
      <t xml:space="preserve">HP255</t>
    </r>
    <r>
      <rPr>
        <sz val="10"/>
        <rFont val="Noto Sans CJK SC"/>
        <family val="2"/>
      </rPr>
      <t xml:space="preserve">・特防なのに防御衝撃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</si>
  <si>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1</t>
    </r>
    <r>
      <rPr>
        <sz val="10"/>
        <rFont val="Noto Sans CJK SC"/>
        <family val="2"/>
      </rPr>
      <t xml:space="preserve">分ポケモン研究：ヌメルゴンとバンギラス、特防が高いのはどっち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</si>
  <si>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なぜ「死亡者</t>
    </r>
    <r>
      <rPr>
        <sz val="10"/>
        <rFont val="Arial"/>
        <family val="0"/>
        <charset val="1"/>
      </rPr>
      <t xml:space="preserve">0</t>
    </r>
    <r>
      <rPr>
        <sz val="10"/>
        <rFont val="Noto Sans CJK SC"/>
        <family val="2"/>
      </rPr>
      <t xml:space="preserve">人」の日々で人々が消えたのか【</t>
    </r>
    <r>
      <rPr>
        <sz val="10"/>
        <rFont val="Arial"/>
        <family val="0"/>
        <charset val="1"/>
      </rPr>
      <t xml:space="preserve">SCP-3519</t>
    </r>
    <r>
      <rPr>
        <sz val="10"/>
        <rFont val="Noto Sans CJK SC"/>
        <family val="2"/>
      </rPr>
      <t xml:space="preserve">】【ショート】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</si>
  <si>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#13</t>
    </r>
    <r>
      <rPr>
        <sz val="10"/>
        <rFont val="Noto Sans CJK SC"/>
        <family val="2"/>
      </rPr>
      <t xml:space="preserve">：👀グリーンに隠された</t>
    </r>
    <r>
      <rPr>
        <sz val="10"/>
        <rFont val="Arial"/>
        <family val="0"/>
        <charset val="1"/>
      </rPr>
      <t xml:space="preserve">3</t>
    </r>
    <r>
      <rPr>
        <sz val="10"/>
        <rFont val="Noto Sans CJK SC"/>
        <family val="2"/>
      </rPr>
      <t xml:space="preserve">つの秘密、あなたは本当の役割に気づいた？【ショート】</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</si>
  <si>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万円、実は転職後に差が出る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</si>
  <si>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SCP-006-JP</t>
    </r>
    <r>
      <rPr>
        <sz val="10"/>
        <rFont val="Noto Sans CJK SC"/>
        <family val="2"/>
      </rPr>
      <t xml:space="preserve">「あけろ」ドアの向こうの記録 </t>
    </r>
    <r>
      <rPr>
        <sz val="10"/>
        <rFont val="Arial"/>
        <family val="0"/>
        <charset val="1"/>
      </rPr>
      <t xml:space="preserve">#shorts #SCP #SCP</t>
    </r>
    <r>
      <rPr>
        <sz val="10"/>
        <rFont val="Noto Sans CJK SC"/>
        <family val="2"/>
      </rPr>
      <t xml:space="preserve">解説</t>
    </r>
  </si>
  <si>
    <r>
      <rPr>
        <sz val="10"/>
        <rFont val="Noto Sans CJK SC"/>
        <family val="2"/>
      </rPr>
      <t xml:space="preserve">キーエンス年収</t>
    </r>
    <r>
      <rPr>
        <sz val="10"/>
        <rFont val="Arial"/>
        <family val="0"/>
        <charset val="1"/>
      </rPr>
      <t xml:space="preserve">2067</t>
    </r>
    <r>
      <rPr>
        <sz val="10"/>
        <rFont val="Noto Sans CJK SC"/>
        <family val="2"/>
      </rPr>
      <t xml:space="preserve">万円の内訳、残業</t>
    </r>
    <r>
      <rPr>
        <sz val="10"/>
        <rFont val="Arial"/>
        <family val="0"/>
        <charset val="1"/>
      </rPr>
      <t xml:space="preserve">37.7</t>
    </r>
    <r>
      <rPr>
        <sz val="10"/>
        <rFont val="Noto Sans CJK SC"/>
        <family val="2"/>
      </rPr>
      <t xml:space="preserve">時間と評価制度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</si>
  <si>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三菱商事の平均年収</t>
    </r>
    <r>
      <rPr>
        <sz val="10"/>
        <rFont val="Arial"/>
        <family val="0"/>
        <charset val="1"/>
      </rPr>
      <t xml:space="preserve">2033</t>
    </r>
    <r>
      <rPr>
        <sz val="10"/>
        <rFont val="Noto Sans CJK SC"/>
        <family val="2"/>
      </rPr>
      <t xml:space="preserve">万円、その中身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</si>
  <si>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NTT</t>
    </r>
    <r>
      <rPr>
        <sz val="10"/>
        <rFont val="Noto Sans CJK SC"/>
        <family val="2"/>
      </rPr>
      <t xml:space="preserve">データの年収</t>
    </r>
    <r>
      <rPr>
        <sz val="10"/>
        <rFont val="Arial"/>
        <family val="0"/>
        <charset val="1"/>
      </rPr>
      <t xml:space="preserve">905</t>
    </r>
    <r>
      <rPr>
        <sz val="10"/>
        <rFont val="Noto Sans CJK SC"/>
        <family val="2"/>
      </rPr>
      <t xml:space="preserve">万円、実は在宅勤務の裏側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</si>
  <si>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小豆洗い、姿を消して「音」だけ残った土地の記録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</si>
  <si>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</si>
  <si>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r>
      <rPr>
        <sz val="10"/>
        <rFont val="Arial"/>
        <family val="0"/>
        <charset val="1"/>
      </rPr>
      <t xml:space="preserve">SCP-2140 </t>
    </r>
    <r>
      <rPr>
        <sz val="10"/>
        <rFont val="Noto Sans CJK SC"/>
        <family val="2"/>
      </rPr>
      <t xml:space="preserve">閲覧後、</t>
    </r>
    <r>
      <rPr>
        <sz val="10"/>
        <rFont val="Arial"/>
        <family val="0"/>
        <charset val="1"/>
      </rPr>
      <t xml:space="preserve">8</t>
    </r>
    <r>
      <rPr>
        <sz val="10"/>
        <rFont val="Noto Sans CJK SC"/>
        <family val="2"/>
      </rPr>
      <t xml:space="preserve">人の職員記録が別人に置換された </t>
    </r>
    <r>
      <rPr>
        <sz val="10"/>
        <rFont val="Arial"/>
        <family val="0"/>
        <charset val="1"/>
      </rPr>
      <t xml:space="preserve">#shorts #SCP #SCP</t>
    </r>
    <r>
      <rPr>
        <sz val="10"/>
        <rFont val="Noto Sans CJK SC"/>
        <family val="2"/>
      </rPr>
      <t xml:space="preserve">解説</t>
    </r>
  </si>
  <si>
    <r>
      <rPr>
        <sz val="10"/>
        <rFont val="Noto Sans CJK SC"/>
        <family val="2"/>
      </rPr>
      <t xml:space="preserve">なぜ壁のシミが顔に見える？</t>
    </r>
    <r>
      <rPr>
        <sz val="10"/>
        <rFont val="Arial"/>
        <family val="0"/>
        <charset val="1"/>
      </rPr>
      <t xml:space="preserve">0.1</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</si>
  <si>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15</t>
    </r>
    <r>
      <rPr>
        <sz val="10"/>
        <rFont val="Noto Sans CJK SC"/>
        <family val="2"/>
      </rPr>
      <t xml:space="preserve">時</t>
    </r>
  </si>
  <si>
    <r>
      <rPr>
        <sz val="10"/>
        <rFont val="Noto Sans CJK SC"/>
        <family val="2"/>
      </rPr>
      <t xml:space="preserve">初代図鑑にだけけつばんが現れた本当の理由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</si>
  <si>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2026-08-23</t>
  </si>
  <si>
    <r>
      <rPr>
        <sz val="10"/>
        <rFont val="Noto Sans CJK SC"/>
        <family val="2"/>
      </rPr>
      <t xml:space="preserve">一口</t>
    </r>
    <r>
      <rPr>
        <sz val="10"/>
        <rFont val="Arial"/>
        <family val="0"/>
        <charset val="1"/>
      </rPr>
      <t xml:space="preserve">SCP #96</t>
    </r>
    <r>
      <rPr>
        <sz val="10"/>
        <rFont val="Noto Sans CJK SC"/>
        <family val="2"/>
      </rPr>
      <t xml:space="preserve">：🫣</t>
    </r>
    <r>
      <rPr>
        <sz val="10"/>
        <rFont val="Arial"/>
        <family val="0"/>
        <charset val="1"/>
      </rPr>
      <t xml:space="preserve">SCP-507</t>
    </r>
    <r>
      <rPr>
        <sz val="10"/>
        <rFont val="Noto Sans CJK SC"/>
        <family val="2"/>
      </rPr>
      <t xml:space="preserve">「不本意な次元旅行者」あなたの部屋にも戻るかもしれない恐怖【ショート】</t>
    </r>
  </si>
  <si>
    <r>
      <rPr>
        <sz val="10"/>
        <rFont val="Arial"/>
        <family val="0"/>
        <charset val="1"/>
      </rPr>
      <t xml:space="preserve">SCP-███ </t>
    </r>
    <r>
      <rPr>
        <sz val="10"/>
        <rFont val="Noto Sans CJK SC"/>
        <family val="2"/>
      </rPr>
      <t xml:space="preserve">正体は</t>
    </r>
    <r>
      <rPr>
        <sz val="10"/>
        <rFont val="Arial"/>
        <family val="0"/>
        <charset val="1"/>
      </rPr>
      <t xml:space="preserve">0</t>
    </r>
    <r>
      <rPr>
        <sz val="10"/>
        <rFont val="Noto Sans CJK SC"/>
        <family val="2"/>
      </rPr>
      <t xml:space="preserve">秒の無音録音 </t>
    </r>
    <r>
      <rPr>
        <sz val="10"/>
        <rFont val="Arial"/>
        <family val="0"/>
        <charset val="1"/>
      </rPr>
      <t xml:space="preserve">#shorts #SCP #SCP</t>
    </r>
    <r>
      <rPr>
        <sz val="10"/>
        <rFont val="Noto Sans CJK SC"/>
        <family val="2"/>
      </rPr>
      <t xml:space="preserve">解説</t>
    </r>
  </si>
  <si>
    <r>
      <rPr>
        <sz val="10"/>
        <rFont val="Noto Sans CJK SC"/>
        <family val="2"/>
      </rPr>
      <t xml:space="preserve">動画作りに</t>
    </r>
    <r>
      <rPr>
        <sz val="10"/>
        <rFont val="Arial"/>
        <family val="0"/>
        <charset val="1"/>
      </rPr>
      <t xml:space="preserve">7</t>
    </r>
    <r>
      <rPr>
        <sz val="10"/>
        <rFont val="Noto Sans CJK SC"/>
        <family val="2"/>
      </rPr>
      <t xml:space="preserve">万課金した男、なぜ昼飯が塩むすびになったのか？【ショート】</t>
    </r>
  </si>
  <si>
    <t xml:space="preserve">2026-08-29</t>
  </si>
  <si>
    <r>
      <rPr>
        <sz val="10"/>
        <rFont val="Noto Sans CJK SC"/>
        <family val="2"/>
      </rPr>
      <t xml:space="preserve">一口</t>
    </r>
    <r>
      <rPr>
        <sz val="10"/>
        <rFont val="Arial"/>
        <family val="0"/>
        <charset val="1"/>
      </rPr>
      <t xml:space="preserve">SCP #108</t>
    </r>
    <r>
      <rPr>
        <sz val="10"/>
        <rFont val="Noto Sans CJK SC"/>
        <family val="2"/>
      </rPr>
      <t xml:space="preserve">：🫣</t>
    </r>
    <r>
      <rPr>
        <sz val="10"/>
        <rFont val="Arial"/>
        <family val="0"/>
        <charset val="1"/>
      </rPr>
      <t xml:space="preserve">SCP-6670</t>
    </r>
    <r>
      <rPr>
        <sz val="10"/>
        <rFont val="Noto Sans CJK SC"/>
        <family val="2"/>
      </rPr>
      <t xml:space="preserve">「完全な破滅」人類全員を消す報告書の恐怖【ショート】</t>
    </r>
  </si>
  <si>
    <r>
      <rPr>
        <sz val="10"/>
        <rFont val="Noto Sans CJK SC"/>
        <family val="2"/>
      </rPr>
      <t xml:space="preserve">一口</t>
    </r>
    <r>
      <rPr>
        <sz val="10"/>
        <rFont val="Arial"/>
        <family val="0"/>
        <charset val="1"/>
      </rPr>
      <t xml:space="preserve">SCP #105</t>
    </r>
    <r>
      <rPr>
        <sz val="10"/>
        <rFont val="Noto Sans CJK SC"/>
        <family val="2"/>
      </rPr>
      <t xml:space="preserve">：💀</t>
    </r>
    <r>
      <rPr>
        <sz val="10"/>
        <rFont val="Arial"/>
        <family val="0"/>
        <charset val="1"/>
      </rPr>
      <t xml:space="preserve">SCP-239</t>
    </r>
    <r>
      <rPr>
        <sz val="10"/>
        <rFont val="Noto Sans CJK SC"/>
        <family val="2"/>
      </rPr>
      <t xml:space="preserve">「魔女の子供」眠る</t>
    </r>
    <r>
      <rPr>
        <sz val="10"/>
        <rFont val="Arial"/>
        <family val="0"/>
        <charset val="1"/>
      </rPr>
      <t xml:space="preserve">8</t>
    </r>
    <r>
      <rPr>
        <sz val="10"/>
        <rFont val="Noto Sans CJK SC"/>
        <family val="2"/>
      </rPr>
      <t xml:space="preserve">歳を財団が恐れた収容記録😱【ショート】</t>
    </r>
  </si>
  <si>
    <r>
      <rPr>
        <sz val="10"/>
        <rFont val="Arial"/>
        <family val="0"/>
        <charset val="1"/>
      </rPr>
      <t xml:space="preserve">1</t>
    </r>
    <r>
      <rPr>
        <sz val="10"/>
        <rFont val="Noto Sans CJK SC"/>
        <family val="2"/>
      </rPr>
      <t xml:space="preserve">分科学 </t>
    </r>
    <r>
      <rPr>
        <sz val="10"/>
        <rFont val="Arial"/>
        <family val="0"/>
        <charset val="1"/>
      </rPr>
      <t xml:space="preserve">#92</t>
    </r>
    <r>
      <rPr>
        <sz val="10"/>
        <rFont val="Noto Sans CJK SC"/>
        <family val="2"/>
      </rPr>
      <t xml:space="preserve">：🌍なぜ目をこすると光が見える？あなたの網膜で起きる</t>
    </r>
    <r>
      <rPr>
        <sz val="10"/>
        <rFont val="Arial"/>
        <family val="0"/>
        <charset val="1"/>
      </rPr>
      <t xml:space="preserve">3</t>
    </r>
    <r>
      <rPr>
        <sz val="10"/>
        <rFont val="Noto Sans CJK SC"/>
        <family val="2"/>
      </rPr>
      <t xml:space="preserve">秒の勘違い💡【ショート】</t>
    </r>
  </si>
  <si>
    <r>
      <rPr>
        <sz val="10"/>
        <rFont val="Noto Sans CJK SC"/>
        <family val="2"/>
      </rPr>
      <t xml:space="preserve">口裂け女の噂はなぜ全国へ？名前を呼べない本当の理由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</si>
  <si>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ろくろ首の正体は飛頭蛮？首が飛ぶ怪異の出どころ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</si>
  <si>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伊藤忠商事の平均</t>
    </r>
    <r>
      <rPr>
        <sz val="10"/>
        <rFont val="Arial"/>
        <family val="0"/>
        <charset val="1"/>
      </rPr>
      <t xml:space="preserve">1753</t>
    </r>
    <r>
      <rPr>
        <sz val="10"/>
        <rFont val="Noto Sans CJK SC"/>
        <family val="2"/>
      </rPr>
      <t xml:space="preserve">万円、朝型勤務の実態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</si>
  <si>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t>
    </r>
    <r>
      <rPr>
        <sz val="10"/>
        <rFont val="Arial"/>
        <family val="0"/>
        <charset val="1"/>
      </rPr>
      <t xml:space="preserve">PS5 Pro</t>
    </r>
    <r>
      <rPr>
        <sz val="10"/>
        <rFont val="Noto Sans CJK SC"/>
        <family val="2"/>
      </rPr>
      <t xml:space="preserve">に期待する？値段で胃が痛い理由とは</t>
    </r>
    <r>
      <rPr>
        <sz val="10"/>
        <rFont val="Arial"/>
        <family val="0"/>
        <charset val="1"/>
      </rPr>
      <t xml:space="preserve">w</t>
    </r>
    <r>
      <rPr>
        <sz val="10"/>
        <rFont val="Noto Sans CJK SC"/>
        <family val="2"/>
      </rPr>
      <t xml:space="preserve">【ショート】</t>
    </r>
  </si>
  <si>
    <r>
      <rPr>
        <sz val="10"/>
        <rFont val="Noto Sans CJK SC"/>
        <family val="2"/>
      </rPr>
      <t xml:space="preserve">💰アジア大会の裏方企業、年収</t>
    </r>
    <r>
      <rPr>
        <sz val="10"/>
        <rFont val="Arial"/>
        <family val="0"/>
        <charset val="1"/>
      </rPr>
      <t xml:space="preserve">932</t>
    </r>
    <r>
      <rPr>
        <sz val="10"/>
        <rFont val="Noto Sans CJK SC"/>
        <family val="2"/>
      </rPr>
      <t xml:space="preserve">万円の実態💰【ショート】</t>
    </r>
  </si>
  <si>
    <r>
      <rPr>
        <sz val="10"/>
        <rFont val="Arial"/>
        <family val="0"/>
        <charset val="1"/>
      </rPr>
      <t xml:space="preserve">14</t>
    </r>
    <r>
      <rPr>
        <sz val="10"/>
        <rFont val="Noto Sans CJK SC"/>
        <family val="2"/>
      </rPr>
      <t xml:space="preserve">時</t>
    </r>
  </si>
  <si>
    <r>
      <rPr>
        <sz val="10"/>
        <rFont val="Noto Sans CJK SC"/>
        <family val="2"/>
      </rPr>
      <t xml:space="preserve">💸資生堂の年収</t>
    </r>
    <r>
      <rPr>
        <sz val="10"/>
        <rFont val="Arial"/>
        <family val="0"/>
        <charset val="1"/>
      </rPr>
      <t xml:space="preserve">729</t>
    </r>
    <r>
      <rPr>
        <sz val="10"/>
        <rFont val="Noto Sans CJK SC"/>
        <family val="2"/>
      </rPr>
      <t xml:space="preserve">万円、実はダイバーシティの裏で何がある？【ショート】</t>
    </r>
  </si>
  <si>
    <r>
      <rPr>
        <sz val="10"/>
        <rFont val="Noto Sans CJK SC"/>
        <family val="2"/>
      </rPr>
      <t xml:space="preserve">💰味の素の有給取得率、実は</t>
    </r>
    <r>
      <rPr>
        <sz val="10"/>
        <rFont val="Arial"/>
        <family val="0"/>
        <charset val="1"/>
      </rPr>
      <t xml:space="preserve">76.8% </t>
    </r>
    <r>
      <rPr>
        <sz val="10"/>
        <rFont val="Noto Sans CJK SC"/>
        <family val="2"/>
      </rPr>
      <t xml:space="preserve">年収と残業の本当は？💸【ショート】</t>
    </r>
  </si>
  <si>
    <r>
      <rPr>
        <sz val="10"/>
        <rFont val="Arial"/>
        <family val="0"/>
        <charset val="1"/>
      </rPr>
      <t xml:space="preserve">📉JR</t>
    </r>
    <r>
      <rPr>
        <sz val="10"/>
        <rFont val="Noto Sans CJK SC"/>
        <family val="2"/>
      </rPr>
      <t xml:space="preserve">東日本の年収</t>
    </r>
    <r>
      <rPr>
        <sz val="10"/>
        <rFont val="Arial"/>
        <family val="0"/>
        <charset val="1"/>
      </rPr>
      <t xml:space="preserve">810</t>
    </r>
    <r>
      <rPr>
        <sz val="10"/>
        <rFont val="Noto Sans CJK SC"/>
        <family val="2"/>
      </rPr>
      <t xml:space="preserve">万円、本当は休日</t>
    </r>
    <r>
      <rPr>
        <sz val="10"/>
        <rFont val="Arial"/>
        <family val="0"/>
        <charset val="1"/>
      </rPr>
      <t xml:space="preserve">124</t>
    </r>
    <r>
      <rPr>
        <sz val="10"/>
        <rFont val="Noto Sans CJK SC"/>
        <family val="2"/>
      </rPr>
      <t xml:space="preserve">日とのバランス💸【ショート】</t>
    </r>
  </si>
  <si>
    <r>
      <rPr>
        <sz val="10"/>
        <rFont val="Noto Sans CJK SC"/>
        <family val="2"/>
      </rPr>
      <t xml:space="preserve">📉花王の男性育休</t>
    </r>
    <r>
      <rPr>
        <sz val="10"/>
        <rFont val="Arial"/>
        <family val="0"/>
        <charset val="1"/>
      </rPr>
      <t xml:space="preserve">100%</t>
    </r>
    <r>
      <rPr>
        <sz val="10"/>
        <rFont val="Noto Sans CJK SC"/>
        <family val="2"/>
      </rPr>
      <t xml:space="preserve">、年収はいくら？実は数字の裏も見る【ショート】</t>
    </r>
  </si>
  <si>
    <r>
      <rPr>
        <sz val="10"/>
        <rFont val="Noto Sans CJK SC"/>
        <family val="2"/>
      </rPr>
      <t xml:space="preserve">💸不二家の半額ケーキ、実は年収</t>
    </r>
    <r>
      <rPr>
        <sz val="10"/>
        <rFont val="Arial"/>
        <family val="0"/>
        <charset val="1"/>
      </rPr>
      <t xml:space="preserve">549</t>
    </r>
    <r>
      <rPr>
        <sz val="10"/>
        <rFont val="Noto Sans CJK SC"/>
        <family val="2"/>
      </rPr>
      <t xml:space="preserve">万円とどう関係する？【ショート】</t>
    </r>
  </si>
  <si>
    <r>
      <rPr>
        <sz val="10"/>
        <rFont val="Noto Sans CJK SC"/>
        <family val="2"/>
      </rPr>
      <t xml:space="preserve">日本マクドナルドの正体、年収</t>
    </r>
    <r>
      <rPr>
        <sz val="10"/>
        <rFont val="Arial"/>
        <family val="0"/>
        <charset val="1"/>
      </rPr>
      <t xml:space="preserve">670</t>
    </r>
    <r>
      <rPr>
        <sz val="10"/>
        <rFont val="Noto Sans CJK SC"/>
        <family val="2"/>
      </rPr>
      <t xml:space="preserve">万円の裏側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</si>
  <si>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📈退職金の本当は？</t>
    </r>
    <r>
      <rPr>
        <sz val="10"/>
        <rFont val="Arial"/>
        <family val="0"/>
        <charset val="1"/>
      </rPr>
      <t xml:space="preserve">3</t>
    </r>
    <r>
      <rPr>
        <sz val="10"/>
        <rFont val="Noto Sans CJK SC"/>
        <family val="2"/>
      </rPr>
      <t xml:space="preserve">社で最大</t>
    </r>
    <r>
      <rPr>
        <sz val="10"/>
        <rFont val="Arial"/>
        <family val="0"/>
        <charset val="1"/>
      </rPr>
      <t xml:space="preserve">2,000</t>
    </r>
    <r>
      <rPr>
        <sz val="10"/>
        <rFont val="Noto Sans CJK SC"/>
        <family val="2"/>
      </rPr>
      <t xml:space="preserve">万円差の実態【ショート】</t>
    </r>
  </si>
  <si>
    <r>
      <rPr>
        <sz val="10"/>
        <rFont val="Arial"/>
        <family val="0"/>
        <charset val="1"/>
      </rPr>
      <t xml:space="preserve">💰Uber Eats</t>
    </r>
    <r>
      <rPr>
        <sz val="10"/>
        <rFont val="Noto Sans CJK SC"/>
        <family val="2"/>
      </rPr>
      <t xml:space="preserve">配達員、本当は時給</t>
    </r>
    <r>
      <rPr>
        <sz val="10"/>
        <rFont val="Arial"/>
        <family val="0"/>
        <charset val="1"/>
      </rPr>
      <t xml:space="preserve">2,000</t>
    </r>
    <r>
      <rPr>
        <sz val="10"/>
        <rFont val="Noto Sans CJK SC"/>
        <family val="2"/>
      </rPr>
      <t xml:space="preserve">円超えもある収入の実態【ショート】</t>
    </r>
  </si>
  <si>
    <r>
      <rPr>
        <sz val="10"/>
        <rFont val="Arial"/>
        <family val="0"/>
        <charset val="1"/>
      </rPr>
      <t xml:space="preserve">💸GU</t>
    </r>
    <r>
      <rPr>
        <sz val="10"/>
        <rFont val="Noto Sans CJK SC"/>
        <family val="2"/>
      </rPr>
      <t xml:space="preserve">の年収、実はポケモンコラボで上がるのか？平均</t>
    </r>
    <r>
      <rPr>
        <sz val="10"/>
        <rFont val="Arial"/>
        <family val="0"/>
        <charset val="1"/>
      </rPr>
      <t xml:space="preserve">959</t>
    </r>
    <r>
      <rPr>
        <sz val="10"/>
        <rFont val="Noto Sans CJK SC"/>
        <family val="2"/>
      </rPr>
      <t xml:space="preserve">万円の裏側💸【ショート】</t>
    </r>
  </si>
  <si>
    <r>
      <rPr>
        <sz val="10"/>
        <rFont val="Noto Sans CJK SC"/>
        <family val="2"/>
      </rPr>
      <t xml:space="preserve">😱ソニーグループの年収がヤバい </t>
    </r>
    <r>
      <rPr>
        <sz val="10"/>
        <rFont val="Arial"/>
        <family val="0"/>
        <charset val="1"/>
      </rPr>
      <t xml:space="preserve">1118</t>
    </r>
    <r>
      <rPr>
        <sz val="10"/>
        <rFont val="Noto Sans CJK SC"/>
        <family val="2"/>
      </rPr>
      <t xml:space="preserve">万円と</t>
    </r>
    <r>
      <rPr>
        <sz val="10"/>
        <rFont val="Arial"/>
        <family val="0"/>
        <charset val="1"/>
      </rPr>
      <t xml:space="preserve">DualSense</t>
    </r>
    <r>
      <rPr>
        <sz val="10"/>
        <rFont val="Noto Sans CJK SC"/>
        <family val="2"/>
      </rPr>
      <t xml:space="preserve">の仕事【ショート】</t>
    </r>
  </si>
  <si>
    <r>
      <rPr>
        <sz val="10"/>
        <rFont val="Noto Sans CJK SC"/>
        <family val="2"/>
      </rPr>
      <t xml:space="preserve">航空自衛隊千歳の正体、年収</t>
    </r>
    <r>
      <rPr>
        <sz val="10"/>
        <rFont val="Arial"/>
        <family val="0"/>
        <charset val="1"/>
      </rPr>
      <t xml:space="preserve">400</t>
    </r>
    <r>
      <rPr>
        <sz val="10"/>
        <rFont val="Noto Sans CJK SC"/>
        <family val="2"/>
      </rPr>
      <t xml:space="preserve">万円台の実態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</si>
  <si>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味の素</t>
    </r>
    <r>
      <rPr>
        <sz val="10"/>
        <rFont val="Arial"/>
        <family val="0"/>
        <charset val="1"/>
      </rPr>
      <t xml:space="preserve">3</t>
    </r>
    <r>
      <rPr>
        <sz val="10"/>
        <rFont val="Noto Sans CJK SC"/>
        <family val="2"/>
      </rPr>
      <t xml:space="preserve">粒、実は何に使うのか？意外すぎる活用法をあげてけｗ【ショート】</t>
    </r>
  </si>
  <si>
    <r>
      <rPr>
        <sz val="10"/>
        <rFont val="Arial"/>
        <family val="0"/>
        <charset val="1"/>
      </rPr>
      <t xml:space="preserve">3</t>
    </r>
    <r>
      <rPr>
        <sz val="10"/>
        <rFont val="Noto Sans CJK SC"/>
        <family val="2"/>
      </rPr>
      <t xml:space="preserve">秒で凍結何言った </t>
    </r>
    <r>
      <rPr>
        <sz val="10"/>
        <rFont val="Arial"/>
        <family val="0"/>
        <charset val="1"/>
      </rPr>
      <t xml:space="preserve">#shorts #2ch #</t>
    </r>
    <r>
      <rPr>
        <sz val="10"/>
        <rFont val="Noto Sans CJK SC"/>
        <family val="2"/>
      </rPr>
      <t xml:space="preserve">面白いスレ</t>
    </r>
  </si>
  <si>
    <r>
      <rPr>
        <sz val="10"/>
        <rFont val="Noto Sans CJK SC"/>
        <family val="2"/>
      </rPr>
      <t xml:space="preserve">なぜあなたは階段で</t>
    </r>
    <r>
      <rPr>
        <sz val="10"/>
        <rFont val="Arial"/>
        <family val="0"/>
        <charset val="1"/>
      </rPr>
      <t xml:space="preserve">1</t>
    </r>
    <r>
      <rPr>
        <sz val="10"/>
        <rFont val="Noto Sans CJK SC"/>
        <family val="2"/>
      </rPr>
      <t xml:space="preserve">段だけ外すのか？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</si>
  <si>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走った後の鉄味、あなたの肺で何が？</t>
    </r>
    <r>
      <rPr>
        <sz val="10"/>
        <rFont val="Arial"/>
        <family val="0"/>
        <charset val="1"/>
      </rPr>
      <t xml:space="preserve">0.1%</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</si>
  <si>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分科学 </t>
    </r>
    <r>
      <rPr>
        <sz val="10"/>
        <rFont val="Arial"/>
        <family val="0"/>
        <charset val="1"/>
      </rPr>
      <t xml:space="preserve">#98</t>
    </r>
    <r>
      <rPr>
        <sz val="10"/>
        <rFont val="Noto Sans CJK SC"/>
        <family val="2"/>
      </rPr>
      <t xml:space="preserve">：🌍なぜ歩くと腕と足は逆に動くのか？あなたの体が毎秒行う回転制御の正体【ショート】</t>
    </r>
  </si>
  <si>
    <r>
      <rPr>
        <sz val="10"/>
        <rFont val="Noto Sans CJK SC"/>
        <family val="2"/>
      </rPr>
      <t xml:space="preserve">📈動画作りに課金しすぎた男、年収</t>
    </r>
    <r>
      <rPr>
        <sz val="10"/>
        <rFont val="Arial"/>
        <family val="0"/>
        <charset val="1"/>
      </rPr>
      <t xml:space="preserve">480</t>
    </r>
    <r>
      <rPr>
        <sz val="10"/>
        <rFont val="Noto Sans CJK SC"/>
        <family val="2"/>
      </rPr>
      <t xml:space="preserve">万円で転職できる？【ショート】</t>
    </r>
  </si>
  <si>
    <r>
      <rPr>
        <sz val="10"/>
        <rFont val="Noto Sans CJK SC"/>
        <family val="2"/>
      </rPr>
      <t xml:space="preserve">ワイ、</t>
    </r>
    <r>
      <rPr>
        <sz val="10"/>
        <rFont val="Arial"/>
        <family val="0"/>
        <charset val="1"/>
      </rPr>
      <t xml:space="preserve">GTA6</t>
    </r>
    <r>
      <rPr>
        <sz val="10"/>
        <rFont val="Noto Sans CJK SC"/>
        <family val="2"/>
      </rPr>
      <t xml:space="preserve">妄想歴</t>
    </r>
    <r>
      <rPr>
        <sz val="10"/>
        <rFont val="Arial"/>
        <family val="0"/>
        <charset val="1"/>
      </rPr>
      <t xml:space="preserve">6</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</si>
  <si>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ユニクロ店長、売上</t>
    </r>
    <r>
      <rPr>
        <sz val="10"/>
        <rFont val="Arial"/>
        <family val="0"/>
        <charset val="1"/>
      </rPr>
      <t xml:space="preserve">1</t>
    </r>
    <r>
      <rPr>
        <sz val="10"/>
        <rFont val="Noto Sans CJK SC"/>
        <family val="2"/>
      </rPr>
      <t xml:space="preserve">億円を任される仕事の実態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</si>
  <si>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t>
    </r>
    <r>
      <rPr>
        <sz val="10"/>
        <rFont val="Arial"/>
        <family val="0"/>
        <charset val="1"/>
      </rPr>
      <t xml:space="preserve">3</t>
    </r>
    <r>
      <rPr>
        <sz val="10"/>
        <rFont val="Noto Sans CJK SC"/>
        <family val="2"/>
      </rPr>
      <t xml:space="preserve">秒でバレる？お前らをブラックラグーンで例えた結果【ショート】</t>
    </r>
  </si>
  <si>
    <r>
      <rPr>
        <sz val="10"/>
        <rFont val="Noto Sans CJK SC"/>
        <family val="2"/>
      </rPr>
      <t xml:space="preserve">トヨタ</t>
    </r>
    <r>
      <rPr>
        <sz val="10"/>
        <rFont val="Arial"/>
        <family val="0"/>
        <charset val="1"/>
      </rPr>
      <t xml:space="preserve">895</t>
    </r>
    <r>
      <rPr>
        <sz val="10"/>
        <rFont val="Noto Sans CJK SC"/>
        <family val="2"/>
      </rPr>
      <t xml:space="preserve">万円の実態、ルーミー人気を支える社員の本音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</si>
  <si>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</si>
  <si>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r>
      <rPr>
        <sz val="10"/>
        <rFont val="Noto Sans CJK SC"/>
        <family val="2"/>
      </rPr>
      <t xml:space="preserve">あなたの耳が</t>
    </r>
    <r>
      <rPr>
        <sz val="10"/>
        <rFont val="Arial"/>
        <family val="0"/>
        <charset val="1"/>
      </rPr>
      <t xml:space="preserve">3</t>
    </r>
    <r>
      <rPr>
        <sz val="10"/>
        <rFont val="Noto Sans CJK SC"/>
        <family val="2"/>
      </rPr>
      <t xml:space="preserve">秒で抜ける正体は？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</si>
  <si>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分科学 </t>
    </r>
    <r>
      <rPr>
        <sz val="10"/>
        <rFont val="Arial"/>
        <family val="0"/>
        <charset val="1"/>
      </rPr>
      <t xml:space="preserve">#100</t>
    </r>
    <r>
      <rPr>
        <sz val="10"/>
        <rFont val="Noto Sans CJK SC"/>
        <family val="2"/>
      </rPr>
      <t xml:space="preserve">：🧬なぜあなたはポケモンの夢で技まで使える？</t>
    </r>
    <r>
      <rPr>
        <sz val="10"/>
        <rFont val="Arial"/>
        <family val="0"/>
        <charset val="1"/>
      </rPr>
      <t xml:space="preserve">REM</t>
    </r>
    <r>
      <rPr>
        <sz val="10"/>
        <rFont val="Noto Sans CJK SC"/>
        <family val="2"/>
      </rPr>
      <t xml:space="preserve">睡眠</t>
    </r>
    <r>
      <rPr>
        <sz val="10"/>
        <rFont val="Arial"/>
        <family val="0"/>
        <charset val="1"/>
      </rPr>
      <t xml:space="preserve">90</t>
    </r>
    <r>
      <rPr>
        <sz val="10"/>
        <rFont val="Noto Sans CJK SC"/>
        <family val="2"/>
      </rPr>
      <t xml:space="preserve">分にある記憶の正体【ショート】</t>
    </r>
  </si>
  <si>
    <r>
      <rPr>
        <sz val="10"/>
        <rFont val="Noto Sans CJK SC"/>
        <family val="2"/>
      </rPr>
      <t xml:space="preserve">星野リゾートの推定年収</t>
    </r>
    <r>
      <rPr>
        <sz val="10"/>
        <rFont val="Arial"/>
        <family val="0"/>
        <charset val="1"/>
      </rPr>
      <t xml:space="preserve">400</t>
    </r>
    <r>
      <rPr>
        <sz val="10"/>
        <rFont val="Noto Sans CJK SC"/>
        <family val="2"/>
      </rPr>
      <t xml:space="preserve">万円、業界平均と比べると？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</si>
  <si>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t>
    </r>
    <r>
      <rPr>
        <sz val="10"/>
        <rFont val="Arial"/>
        <family val="0"/>
        <charset val="1"/>
      </rPr>
      <t xml:space="preserve">PS</t>
    </r>
    <r>
      <rPr>
        <sz val="10"/>
        <rFont val="Noto Sans CJK SC"/>
        <family val="2"/>
      </rPr>
      <t xml:space="preserve">で一番いらないゲームが生まれるのか？ 博牛【ショート】</t>
    </r>
  </si>
  <si>
    <r>
      <rPr>
        <sz val="10"/>
        <rFont val="Noto Sans CJK SC"/>
        <family val="2"/>
      </rPr>
      <t xml:space="preserve">耳を塞ぐと聞こえる</t>
    </r>
    <r>
      <rPr>
        <sz val="10"/>
        <rFont val="Arial"/>
        <family val="0"/>
        <charset val="1"/>
      </rPr>
      <t xml:space="preserve">20Hz</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</si>
  <si>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日本郵政の年収、職種で</t>
    </r>
    <r>
      <rPr>
        <sz val="10"/>
        <rFont val="Arial"/>
        <family val="0"/>
        <charset val="1"/>
      </rPr>
      <t xml:space="preserve">2</t>
    </r>
    <r>
      <rPr>
        <sz val="10"/>
        <rFont val="Noto Sans CJK SC"/>
        <family val="2"/>
      </rPr>
      <t xml:space="preserve">倍差がつく理由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</si>
  <si>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1</t>
    </r>
    <r>
      <rPr>
        <sz val="10"/>
        <rFont val="Noto Sans CJK SC"/>
        <family val="2"/>
      </rPr>
      <t xml:space="preserve">分ポケモン研究 </t>
    </r>
    <r>
      <rPr>
        <sz val="10"/>
        <rFont val="Arial"/>
        <family val="0"/>
        <charset val="1"/>
      </rPr>
      <t xml:space="preserve">#20</t>
    </r>
    <r>
      <rPr>
        <sz val="10"/>
        <rFont val="Noto Sans CJK SC"/>
        <family val="2"/>
      </rPr>
      <t xml:space="preserve">：👀</t>
    </r>
    <r>
      <rPr>
        <sz val="10"/>
        <rFont val="Arial"/>
        <family val="0"/>
        <charset val="1"/>
      </rPr>
      <t xml:space="preserve">GU</t>
    </r>
    <r>
      <rPr>
        <sz val="10"/>
        <rFont val="Noto Sans CJK SC"/>
        <family val="2"/>
      </rPr>
      <t xml:space="preserve">ポケモンコラボに隠された</t>
    </r>
    <r>
      <rPr>
        <sz val="10"/>
        <rFont val="Arial"/>
        <family val="0"/>
        <charset val="1"/>
      </rPr>
      <t xml:space="preserve">5</t>
    </r>
    <r>
      <rPr>
        <sz val="10"/>
        <rFont val="Noto Sans CJK SC"/>
        <family val="2"/>
      </rPr>
      <t xml:space="preserve">つの秘密、ピカチュウだけじゃない理由は？❓【ショート】</t>
    </r>
  </si>
  <si>
    <r>
      <rPr>
        <sz val="10"/>
        <rFont val="Arial"/>
        <family val="0"/>
        <charset val="1"/>
      </rPr>
      <t xml:space="preserve">1</t>
    </r>
    <r>
      <rPr>
        <sz val="10"/>
        <rFont val="Noto Sans CJK SC"/>
        <family val="2"/>
      </rPr>
      <t xml:space="preserve">分科学 </t>
    </r>
    <r>
      <rPr>
        <sz val="10"/>
        <rFont val="Arial"/>
        <family val="0"/>
        <charset val="1"/>
      </rPr>
      <t xml:space="preserve">#91</t>
    </r>
    <r>
      <rPr>
        <sz val="10"/>
        <rFont val="Noto Sans CJK SC"/>
        <family val="2"/>
      </rPr>
      <t xml:space="preserve">：💯なぜ人混みであなたの名前だけ聞こえるのか？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秒の選別💯【ショート】</t>
    </r>
  </si>
  <si>
    <r>
      <rPr>
        <sz val="10"/>
        <rFont val="Noto Sans CJK SC"/>
        <family val="2"/>
      </rPr>
      <t xml:space="preserve">大和ハウス工業の年収</t>
    </r>
    <r>
      <rPr>
        <sz val="10"/>
        <rFont val="Arial"/>
        <family val="0"/>
        <charset val="1"/>
      </rPr>
      <t xml:space="preserve">1000</t>
    </r>
    <r>
      <rPr>
        <sz val="10"/>
        <rFont val="Noto Sans CJK SC"/>
        <family val="2"/>
      </rPr>
      <t xml:space="preserve">万円超、残業の実態がヤバい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</si>
  <si>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1</t>
    </r>
    <r>
      <rPr>
        <sz val="10"/>
        <rFont val="Noto Sans CJK SC"/>
        <family val="2"/>
      </rPr>
      <t xml:space="preserve">分妖怪ファイル </t>
    </r>
    <r>
      <rPr>
        <sz val="10"/>
        <rFont val="Arial"/>
        <family val="0"/>
        <charset val="1"/>
      </rPr>
      <t xml:space="preserve">#18</t>
    </r>
    <r>
      <rPr>
        <sz val="10"/>
        <rFont val="Noto Sans CJK SC"/>
        <family val="2"/>
      </rPr>
      <t xml:space="preserve">：👁️エンマ大王に隠された</t>
    </r>
    <r>
      <rPr>
        <sz val="10"/>
        <rFont val="Arial"/>
        <family val="0"/>
        <charset val="1"/>
      </rPr>
      <t xml:space="preserve">3</t>
    </r>
    <r>
      <rPr>
        <sz val="10"/>
        <rFont val="Noto Sans CJK SC"/>
        <family val="2"/>
      </rPr>
      <t xml:space="preserve">つの条件、あなたは本当に仲間にできる？【ショート】</t>
    </r>
  </si>
  <si>
    <r>
      <rPr>
        <sz val="10"/>
        <rFont val="Arial"/>
        <family val="0"/>
        <charset val="1"/>
      </rPr>
      <t xml:space="preserve">3</t>
    </r>
    <r>
      <rPr>
        <sz val="10"/>
        <rFont val="Noto Sans CJK SC"/>
        <family val="2"/>
      </rPr>
      <t xml:space="preserve">回目の店謎の予約名 </t>
    </r>
    <r>
      <rPr>
        <sz val="10"/>
        <rFont val="Arial"/>
        <family val="0"/>
        <charset val="1"/>
      </rPr>
      <t xml:space="preserve">#shorts #2ch #</t>
    </r>
    <r>
      <rPr>
        <sz val="10"/>
        <rFont val="Noto Sans CJK SC"/>
        <family val="2"/>
      </rPr>
      <t xml:space="preserve">面白いスレ</t>
    </r>
  </si>
  <si>
    <r>
      <rPr>
        <sz val="10"/>
        <rFont val="Noto Sans CJK SC"/>
        <family val="2"/>
      </rPr>
      <t xml:space="preserve">未来の時刻誰が映る </t>
    </r>
    <r>
      <rPr>
        <sz val="10"/>
        <rFont val="Arial"/>
        <family val="0"/>
        <charset val="1"/>
      </rPr>
      <t xml:space="preserve">#shorts #SCP #SCP</t>
    </r>
    <r>
      <rPr>
        <sz val="10"/>
        <rFont val="Noto Sans CJK SC"/>
        <family val="2"/>
      </rPr>
      <t xml:space="preserve">解説</t>
    </r>
  </si>
  <si>
    <r>
      <rPr>
        <sz val="10"/>
        <rFont val="Noto Sans CJK SC"/>
        <family val="2"/>
      </rPr>
      <t xml:space="preserve">📉サイバーエージェントの年収</t>
    </r>
    <r>
      <rPr>
        <sz val="10"/>
        <rFont val="Arial"/>
        <family val="0"/>
        <charset val="1"/>
      </rPr>
      <t xml:space="preserve">773</t>
    </r>
    <r>
      <rPr>
        <sz val="10"/>
        <rFont val="Noto Sans CJK SC"/>
        <family val="2"/>
      </rPr>
      <t xml:space="preserve">万円、平均年齢</t>
    </r>
    <r>
      <rPr>
        <sz val="10"/>
        <rFont val="Arial"/>
        <family val="0"/>
        <charset val="1"/>
      </rPr>
      <t xml:space="preserve">33</t>
    </r>
    <r>
      <rPr>
        <sz val="10"/>
        <rFont val="Noto Sans CJK SC"/>
        <family val="2"/>
      </rPr>
      <t xml:space="preserve">歳の本当は【ショート】</t>
    </r>
  </si>
  <si>
    <r>
      <rPr>
        <sz val="10"/>
        <rFont val="Noto Sans CJK SC"/>
        <family val="2"/>
      </rPr>
      <t xml:space="preserve">なぜ親は無言で机を閉めたのか…見つかって終わった物とは？ </t>
    </r>
    <r>
      <rPr>
        <sz val="10"/>
        <rFont val="Arial"/>
        <family val="0"/>
        <charset val="1"/>
      </rPr>
      <t xml:space="preserve">#shorts #2ch #</t>
    </r>
    <r>
      <rPr>
        <sz val="10"/>
        <rFont val="Noto Sans CJK SC"/>
        <family val="2"/>
      </rPr>
      <t xml:space="preserve">面白いスレ</t>
    </r>
  </si>
  <si>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</si>
  <si>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r>
      <rPr>
        <sz val="10"/>
        <rFont val="Noto Sans CJK SC"/>
        <family val="2"/>
      </rPr>
      <t xml:space="preserve">雪女が去り際に名を呼ぶ理由…約束を破った男の末路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</si>
  <si>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一口</t>
    </r>
    <r>
      <rPr>
        <sz val="10"/>
        <rFont val="Arial"/>
        <family val="0"/>
        <charset val="1"/>
      </rPr>
      <t xml:space="preserve">SCP #98</t>
    </r>
    <r>
      <rPr>
        <sz val="10"/>
        <rFont val="Noto Sans CJK SC"/>
        <family val="2"/>
      </rPr>
      <t xml:space="preserve">：🫣</t>
    </r>
    <r>
      <rPr>
        <sz val="10"/>
        <rFont val="Arial"/>
        <family val="0"/>
        <charset val="1"/>
      </rPr>
      <t xml:space="preserve">SCP-1048</t>
    </r>
    <r>
      <rPr>
        <sz val="10"/>
        <rFont val="Noto Sans CJK SC"/>
        <family val="2"/>
      </rPr>
      <t xml:space="preserve">「ビルダーベア」</t>
    </r>
    <r>
      <rPr>
        <sz val="10"/>
        <rFont val="Arial"/>
        <family val="0"/>
        <charset val="1"/>
      </rPr>
      <t xml:space="preserve">Safe</t>
    </r>
    <r>
      <rPr>
        <sz val="10"/>
        <rFont val="Noto Sans CJK SC"/>
        <family val="2"/>
      </rPr>
      <t xml:space="preserve">判定が招いた収容違反の恐怖😱【ショート】</t>
    </r>
  </si>
  <si>
    <r>
      <rPr>
        <sz val="10"/>
        <rFont val="Noto Sans CJK SC"/>
        <family val="2"/>
      </rPr>
      <t xml:space="preserve">ふぶき姫の約束を破るとどうなる？</t>
    </r>
    <r>
      <rPr>
        <sz val="10"/>
        <rFont val="Arial"/>
        <family val="0"/>
        <charset val="1"/>
      </rPr>
      <t xml:space="preserve">3</t>
    </r>
    <r>
      <rPr>
        <sz val="10"/>
        <rFont val="Noto Sans CJK SC"/>
        <family val="2"/>
      </rPr>
      <t xml:space="preserve">つの雪女記録【ショート】</t>
    </r>
  </si>
  <si>
    <r>
      <rPr>
        <sz val="10"/>
        <rFont val="Noto Sans CJK SC"/>
        <family val="2"/>
      </rPr>
      <t xml:space="preserve">サイゼリヤの原価率が社員年収に与える意外な影響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</si>
  <si>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鏡の顔だけ違う？</t>
    </r>
    <r>
      <rPr>
        <sz val="10"/>
        <rFont val="Arial"/>
        <family val="0"/>
        <charset val="1"/>
      </rPr>
      <t xml:space="preserve">99%</t>
    </r>
    <r>
      <rPr>
        <sz val="10"/>
        <rFont val="Noto Sans CJK SC"/>
        <family val="2"/>
      </rPr>
      <t xml:space="preserve">が知らない左右差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</si>
  <si>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分妖怪ファイル </t>
    </r>
    <r>
      <rPr>
        <sz val="10"/>
        <rFont val="Arial"/>
        <family val="0"/>
        <charset val="1"/>
      </rPr>
      <t xml:space="preserve">#19</t>
    </r>
    <r>
      <rPr>
        <sz val="10"/>
        <rFont val="Noto Sans CJK SC"/>
        <family val="2"/>
      </rPr>
      <t xml:space="preserve">：👁️フユニャンに隠された秘密、あなたが知らない</t>
    </r>
    <r>
      <rPr>
        <sz val="10"/>
        <rFont val="Arial"/>
        <family val="0"/>
        <charset val="1"/>
      </rPr>
      <t xml:space="preserve">2</t>
    </r>
    <r>
      <rPr>
        <sz val="10"/>
        <rFont val="Noto Sans CJK SC"/>
        <family val="2"/>
      </rPr>
      <t xml:space="preserve">つの元ネタとは？【ショート】</t>
    </r>
  </si>
  <si>
    <r>
      <rPr>
        <sz val="10"/>
        <rFont val="Noto Sans CJK SC"/>
        <family val="2"/>
      </rPr>
      <t xml:space="preserve">日本マクドナルドの年収</t>
    </r>
    <r>
      <rPr>
        <sz val="10"/>
        <rFont val="Arial"/>
        <family val="0"/>
        <charset val="1"/>
      </rPr>
      <t xml:space="preserve">576</t>
    </r>
    <r>
      <rPr>
        <sz val="10"/>
        <rFont val="Noto Sans CJK SC"/>
        <family val="2"/>
      </rPr>
      <t xml:space="preserve">万円、その内訳とは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</si>
  <si>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1</t>
    </r>
    <r>
      <rPr>
        <sz val="10"/>
        <rFont val="Noto Sans CJK SC"/>
        <family val="2"/>
      </rPr>
      <t xml:space="preserve">分ポケモン研究 </t>
    </r>
    <r>
      <rPr>
        <sz val="10"/>
        <rFont val="Arial"/>
        <family val="0"/>
        <charset val="1"/>
      </rPr>
      <t xml:space="preserve">#21</t>
    </r>
    <r>
      <rPr>
        <sz val="10"/>
        <rFont val="Noto Sans CJK SC"/>
        <family val="2"/>
      </rPr>
      <t xml:space="preserve">：👀カビゴンが道を塞ぐ理由に隠された</t>
    </r>
    <r>
      <rPr>
        <sz val="10"/>
        <rFont val="Arial"/>
        <family val="0"/>
        <charset val="1"/>
      </rPr>
      <t xml:space="preserve">1</t>
    </r>
    <r>
      <rPr>
        <sz val="10"/>
        <rFont val="Noto Sans CJK SC"/>
        <family val="2"/>
      </rPr>
      <t xml:space="preserve">日の秘密、あなたは気づいた？🔍【ショート】</t>
    </r>
  </si>
  <si>
    <r>
      <rPr>
        <sz val="10"/>
        <rFont val="Noto Sans CJK SC"/>
        <family val="2"/>
      </rPr>
      <t xml:space="preserve">一口</t>
    </r>
    <r>
      <rPr>
        <sz val="10"/>
        <rFont val="Arial"/>
        <family val="0"/>
        <charset val="1"/>
      </rPr>
      <t xml:space="preserve">SCP #101</t>
    </r>
    <r>
      <rPr>
        <sz val="10"/>
        <rFont val="Noto Sans CJK SC"/>
        <family val="2"/>
      </rPr>
      <t xml:space="preserve">：🫣</t>
    </r>
    <r>
      <rPr>
        <sz val="10"/>
        <rFont val="Arial"/>
        <family val="0"/>
        <charset val="1"/>
      </rPr>
      <t xml:space="preserve">SCP-</t>
    </r>
    <r>
      <rPr>
        <sz val="10"/>
        <rFont val="Noto Sans CJK SC"/>
        <family val="2"/>
      </rPr>
      <t xml:space="preserve">雷撃記録、あなたの部屋まで届く落雷恐怖【ショート】</t>
    </r>
  </si>
  <si>
    <r>
      <rPr>
        <sz val="10"/>
        <rFont val="Noto Sans CJK SC"/>
        <family val="2"/>
      </rPr>
      <t xml:space="preserve">大学サークルで語り継がれる伝説、尾ひれがヤバすぎる</t>
    </r>
    <r>
      <rPr>
        <sz val="10"/>
        <rFont val="Arial"/>
        <family val="0"/>
        <charset val="1"/>
      </rPr>
      <t xml:space="preserve">w #shorts #2ch #</t>
    </r>
    <r>
      <rPr>
        <sz val="10"/>
        <rFont val="Noto Sans CJK SC"/>
        <family val="2"/>
      </rPr>
      <t xml:space="preserve">面白いスレ</t>
    </r>
  </si>
  <si>
    <r>
      <rPr>
        <sz val="10"/>
        <rFont val="Noto Sans CJK SC"/>
        <family val="2"/>
      </rPr>
      <t xml:space="preserve">エースバーンのリベロ、</t>
    </r>
    <r>
      <rPr>
        <sz val="10"/>
        <rFont val="Arial"/>
        <family val="0"/>
        <charset val="1"/>
      </rPr>
      <t xml:space="preserve">1</t>
    </r>
    <r>
      <rPr>
        <sz val="10"/>
        <rFont val="Noto Sans CJK SC"/>
        <family val="2"/>
      </rPr>
      <t xml:space="preserve">試合でしか変われない</t>
    </r>
    <r>
      <rPr>
        <sz val="10"/>
        <rFont val="Arial"/>
        <family val="0"/>
        <charset val="1"/>
      </rPr>
      <t xml:space="preserve">!?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</si>
  <si>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1</t>
    </r>
    <r>
      <rPr>
        <sz val="10"/>
        <rFont val="Noto Sans CJK SC"/>
        <family val="2"/>
      </rPr>
      <t xml:space="preserve">分妖怪ファイル </t>
    </r>
    <r>
      <rPr>
        <sz val="10"/>
        <rFont val="Arial"/>
        <family val="0"/>
        <charset val="1"/>
      </rPr>
      <t xml:space="preserve">#12</t>
    </r>
    <r>
      <rPr>
        <sz val="10"/>
        <rFont val="Noto Sans CJK SC"/>
        <family val="2"/>
      </rPr>
      <t xml:space="preserve">：👁️両面宿儺に隠された</t>
    </r>
    <r>
      <rPr>
        <sz val="10"/>
        <rFont val="Arial"/>
        <family val="0"/>
        <charset val="1"/>
      </rPr>
      <t xml:space="preserve">2</t>
    </r>
    <r>
      <rPr>
        <sz val="10"/>
        <rFont val="Noto Sans CJK SC"/>
        <family val="2"/>
      </rPr>
      <t xml:space="preserve">つの秘密、君は古文書の正体を知ってる？【ショート】</t>
    </r>
  </si>
  <si>
    <r>
      <rPr>
        <sz val="10"/>
        <rFont val="Noto Sans CJK SC"/>
        <family val="2"/>
      </rPr>
      <t xml:space="preserve">一口</t>
    </r>
    <r>
      <rPr>
        <sz val="10"/>
        <rFont val="Arial"/>
        <family val="0"/>
        <charset val="1"/>
      </rPr>
      <t xml:space="preserve">SCP #110</t>
    </r>
    <r>
      <rPr>
        <sz val="10"/>
        <rFont val="Noto Sans CJK SC"/>
        <family val="2"/>
      </rPr>
      <t xml:space="preserve">：🫣</t>
    </r>
    <r>
      <rPr>
        <sz val="10"/>
        <rFont val="Arial"/>
        <family val="0"/>
        <charset val="1"/>
      </rPr>
      <t xml:space="preserve">SCP-███</t>
    </r>
    <r>
      <rPr>
        <sz val="10"/>
        <rFont val="Noto Sans CJK SC"/>
        <family val="2"/>
      </rPr>
      <t xml:space="preserve">「投稿者の編集室」君の部屋にも現れる課金地獄の恐怖💀【ショート】</t>
    </r>
  </si>
  <si>
    <r>
      <rPr>
        <sz val="10"/>
        <rFont val="Noto Sans CJK SC"/>
        <family val="2"/>
      </rPr>
      <t xml:space="preserve">なぜ他人のあくびは約</t>
    </r>
    <r>
      <rPr>
        <sz val="10"/>
        <rFont val="Arial"/>
        <family val="0"/>
        <charset val="1"/>
      </rPr>
      <t xml:space="preserve">45</t>
    </r>
    <r>
      <rPr>
        <sz val="10"/>
        <rFont val="Noto Sans CJK SC"/>
        <family val="2"/>
      </rPr>
      <t xml:space="preserve">％もつられる？脳の反応を解説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</si>
  <si>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Apple Japan</t>
    </r>
    <r>
      <rPr>
        <sz val="10"/>
        <rFont val="Noto Sans CJK SC"/>
        <family val="2"/>
      </rPr>
      <t xml:space="preserve">の年収、実は</t>
    </r>
    <r>
      <rPr>
        <sz val="10"/>
        <rFont val="Arial"/>
        <family val="0"/>
        <charset val="1"/>
      </rPr>
      <t xml:space="preserve">1,000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</si>
  <si>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なぜ熱闘甲子園の夜だけ空気が変わる？お前らの夏の思い出</t>
    </r>
    <r>
      <rPr>
        <sz val="10"/>
        <rFont val="Arial"/>
        <family val="0"/>
        <charset val="1"/>
      </rPr>
      <t xml:space="preserve">5</t>
    </r>
    <r>
      <rPr>
        <sz val="10"/>
        <rFont val="Noto Sans CJK SC"/>
        <family val="2"/>
      </rPr>
      <t xml:space="preserve">つ聞かせろ【ショート】</t>
    </r>
  </si>
  <si>
    <r>
      <rPr>
        <sz val="10"/>
        <rFont val="Arial"/>
        <family val="0"/>
        <charset val="1"/>
      </rPr>
      <t xml:space="preserve">3</t>
    </r>
    <r>
      <rPr>
        <sz val="10"/>
        <rFont val="Noto Sans CJK SC"/>
        <family val="2"/>
      </rPr>
      <t xml:space="preserve">秒で考えろ！この戦闘機の名前が親戚回避型な理由とは？【ショート】</t>
    </r>
  </si>
  <si>
    <t xml:space="preserve">実は迷子続出？ドラゴンボールパークで何が起きたのか【ショート】</t>
  </si>
  <si>
    <r>
      <rPr>
        <sz val="10"/>
        <rFont val="Noto Sans CJK SC"/>
        <family val="2"/>
      </rPr>
      <t xml:space="preserve">一口</t>
    </r>
    <r>
      <rPr>
        <sz val="10"/>
        <rFont val="Arial"/>
        <family val="0"/>
        <charset val="1"/>
      </rPr>
      <t xml:space="preserve">SCP #92</t>
    </r>
    <r>
      <rPr>
        <sz val="10"/>
        <rFont val="Noto Sans CJK SC"/>
        <family val="2"/>
      </rPr>
      <t xml:space="preserve">：👁️</t>
    </r>
    <r>
      <rPr>
        <sz val="10"/>
        <rFont val="Arial"/>
        <family val="0"/>
        <charset val="1"/>
      </rPr>
      <t xml:space="preserve">SCP-3120</t>
    </r>
    <r>
      <rPr>
        <sz val="10"/>
        <rFont val="Noto Sans CJK SC"/>
        <family val="2"/>
      </rPr>
      <t xml:space="preserve">「異常な戦闘機」— 試験飛行</t>
    </r>
    <r>
      <rPr>
        <sz val="10"/>
        <rFont val="Arial"/>
        <family val="0"/>
        <charset val="1"/>
      </rPr>
      <t xml:space="preserve">9</t>
    </r>
    <r>
      <rPr>
        <sz val="10"/>
        <rFont val="Noto Sans CJK SC"/>
        <family val="2"/>
      </rPr>
      <t xml:space="preserve">回、操縦席から帰還した隊員は</t>
    </r>
    <r>
      <rPr>
        <sz val="10"/>
        <rFont val="Arial"/>
        <family val="0"/>
        <charset val="1"/>
      </rPr>
      <t xml:space="preserve">1</t>
    </r>
    <r>
      <rPr>
        <sz val="10"/>
        <rFont val="Noto Sans CJK SC"/>
        <family val="2"/>
      </rPr>
      <t xml:space="preserve">名だった【ショート】</t>
    </r>
  </si>
  <si>
    <r>
      <rPr>
        <sz val="10"/>
        <rFont val="Noto Sans CJK SC"/>
        <family val="2"/>
      </rPr>
      <t xml:space="preserve">🤣ワイ、大谷の昼飯を</t>
    </r>
    <r>
      <rPr>
        <sz val="10"/>
        <rFont val="Arial"/>
        <family val="0"/>
        <charset val="1"/>
      </rPr>
      <t xml:space="preserve">3</t>
    </r>
    <r>
      <rPr>
        <sz val="10"/>
        <rFont val="Noto Sans CJK SC"/>
        <family val="2"/>
      </rPr>
      <t xml:space="preserve">秒で当てるスレ</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</si>
  <si>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</si>
  <si>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r>
      <rPr>
        <sz val="10"/>
        <rFont val="Noto Sans CJK SC"/>
        <family val="2"/>
      </rPr>
      <t xml:space="preserve">一口</t>
    </r>
    <r>
      <rPr>
        <sz val="10"/>
        <rFont val="Arial"/>
        <family val="0"/>
        <charset val="1"/>
      </rPr>
      <t xml:space="preserve">SCP #106</t>
    </r>
    <r>
      <rPr>
        <sz val="10"/>
        <rFont val="Noto Sans CJK SC"/>
        <family val="2"/>
      </rPr>
      <t xml:space="preserve">：🫣</t>
    </r>
    <r>
      <rPr>
        <sz val="10"/>
        <rFont val="Arial"/>
        <family val="0"/>
        <charset val="1"/>
      </rPr>
      <t xml:space="preserve">MTF</t>
    </r>
    <r>
      <rPr>
        <sz val="10"/>
        <rFont val="Noto Sans CJK SC"/>
        <family val="2"/>
      </rPr>
      <t xml:space="preserve">アルファからオメガ、あなたの部屋にも来る財団極秘作戦の恐怖💀【ショート】</t>
    </r>
  </si>
  <si>
    <r>
      <rPr>
        <sz val="10"/>
        <rFont val="Arial"/>
        <family val="0"/>
        <charset val="1"/>
      </rPr>
      <t xml:space="preserve">01</t>
    </r>
    <r>
      <rPr>
        <sz val="10"/>
        <rFont val="Noto Sans CJK SC"/>
        <family val="2"/>
      </rPr>
      <t xml:space="preserve">時</t>
    </r>
  </si>
  <si>
    <r>
      <rPr>
        <sz val="10"/>
        <rFont val="Noto Sans CJK SC"/>
        <family val="2"/>
      </rPr>
      <t xml:space="preserve">ワイの財布から毎月消える謎の正体が判明したｗ </t>
    </r>
    <r>
      <rPr>
        <sz val="10"/>
        <rFont val="Arial"/>
        <family val="0"/>
        <charset val="1"/>
      </rPr>
      <t xml:space="preserve">#shorts #2ch #</t>
    </r>
    <r>
      <rPr>
        <sz val="10"/>
        <rFont val="Noto Sans CJK SC"/>
        <family val="2"/>
      </rPr>
      <t xml:space="preserve">面白いスレ</t>
    </r>
  </si>
  <si>
    <r>
      <rPr>
        <sz val="10"/>
        <rFont val="Noto Sans CJK SC"/>
        <family val="2"/>
      </rPr>
      <t xml:space="preserve">ワイ、サーモス歴</t>
    </r>
    <r>
      <rPr>
        <sz val="10"/>
        <rFont val="Arial"/>
        <family val="0"/>
        <charset val="1"/>
      </rPr>
      <t xml:space="preserve">3</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</si>
  <si>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なぜ友達の風呂で</t>
    </r>
    <r>
      <rPr>
        <sz val="10"/>
        <rFont val="Arial"/>
        <family val="0"/>
        <charset val="1"/>
      </rPr>
      <t xml:space="preserve">3</t>
    </r>
    <r>
      <rPr>
        <sz val="10"/>
        <rFont val="Noto Sans CJK SC"/>
        <family val="2"/>
      </rPr>
      <t xml:space="preserve">回もやらかしたのか？ｗ </t>
    </r>
    <r>
      <rPr>
        <sz val="10"/>
        <rFont val="Arial"/>
        <family val="0"/>
        <charset val="1"/>
      </rPr>
      <t xml:space="preserve">#shorts #2ch #</t>
    </r>
    <r>
      <rPr>
        <sz val="10"/>
        <rFont val="Noto Sans CJK SC"/>
        <family val="2"/>
      </rPr>
      <t xml:space="preserve">面白いスレ</t>
    </r>
  </si>
  <si>
    <r>
      <rPr>
        <sz val="10"/>
        <rFont val="Arial"/>
        <family val="0"/>
        <charset val="1"/>
      </rPr>
      <t xml:space="preserve">1</t>
    </r>
    <r>
      <rPr>
        <sz val="10"/>
        <rFont val="Noto Sans CJK SC"/>
        <family val="2"/>
      </rPr>
      <t xml:space="preserve">分科学 </t>
    </r>
    <r>
      <rPr>
        <sz val="10"/>
        <rFont val="Arial"/>
        <family val="0"/>
        <charset val="1"/>
      </rPr>
      <t xml:space="preserve">#95</t>
    </r>
    <r>
      <rPr>
        <sz val="10"/>
        <rFont val="Noto Sans CJK SC"/>
        <family val="2"/>
      </rPr>
      <t xml:space="preserve">：🧪なぜ雷鳴の</t>
    </r>
    <r>
      <rPr>
        <sz val="10"/>
        <rFont val="Arial"/>
        <family val="0"/>
        <charset val="1"/>
      </rPr>
      <t xml:space="preserve">3</t>
    </r>
    <r>
      <rPr>
        <sz val="10"/>
        <rFont val="Noto Sans CJK SC"/>
        <family val="2"/>
      </rPr>
      <t xml:space="preserve">秒前から体が固まるのか？あなたの脳に起きる反応の正体🧬【ショート】</t>
    </r>
  </si>
  <si>
    <r>
      <rPr>
        <sz val="10"/>
        <rFont val="Noto Sans CJK SC"/>
        <family val="2"/>
      </rPr>
      <t xml:space="preserve">なぜ航路の先で記録が消えるのか？</t>
    </r>
    <r>
      <rPr>
        <sz val="10"/>
        <rFont val="Arial"/>
        <family val="0"/>
        <charset val="1"/>
      </rPr>
      <t xml:space="preserve">SCP-1783-JP</t>
    </r>
    <r>
      <rPr>
        <sz val="10"/>
        <rFont val="Noto Sans CJK SC"/>
        <family val="2"/>
      </rPr>
      <t xml:space="preserve">の本当の恐怖【ショート】</t>
    </r>
  </si>
  <si>
    <r>
      <rPr>
        <sz val="10"/>
        <rFont val="Noto Sans CJK SC"/>
        <family val="2"/>
      </rPr>
      <t xml:space="preserve">君のサンダースだけ</t>
    </r>
    <r>
      <rPr>
        <sz val="10"/>
        <rFont val="Arial"/>
        <family val="0"/>
        <charset val="1"/>
      </rPr>
      <t xml:space="preserve">3</t>
    </r>
    <r>
      <rPr>
        <sz val="10"/>
        <rFont val="Noto Sans CJK SC"/>
        <family val="2"/>
      </rPr>
      <t xml:space="preserve">個必要だった時代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</si>
  <si>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1</t>
    </r>
    <r>
      <rPr>
        <sz val="10"/>
        <rFont val="Noto Sans CJK SC"/>
        <family val="2"/>
      </rPr>
      <t xml:space="preserve">分ポケモン研究 </t>
    </r>
    <r>
      <rPr>
        <sz val="10"/>
        <rFont val="Arial"/>
        <family val="0"/>
        <charset val="1"/>
      </rPr>
      <t xml:space="preserve">#19</t>
    </r>
    <r>
      <rPr>
        <sz val="10"/>
        <rFont val="Noto Sans CJK SC"/>
        <family val="2"/>
      </rPr>
      <t xml:space="preserve">：🕵️ケッキングに隠された</t>
    </r>
    <r>
      <rPr>
        <sz val="10"/>
        <rFont val="Arial"/>
        <family val="0"/>
        <charset val="1"/>
      </rPr>
      <t xml:space="preserve">2</t>
    </r>
    <r>
      <rPr>
        <sz val="10"/>
        <rFont val="Noto Sans CJK SC"/>
        <family val="2"/>
      </rPr>
      <t xml:space="preserve">ターンの秘密、種族値</t>
    </r>
    <r>
      <rPr>
        <sz val="10"/>
        <rFont val="Arial"/>
        <family val="0"/>
        <charset val="1"/>
      </rPr>
      <t xml:space="preserve">670</t>
    </r>
    <r>
      <rPr>
        <sz val="10"/>
        <rFont val="Noto Sans CJK SC"/>
        <family val="2"/>
      </rPr>
      <t xml:space="preserve">なのになぜ使えない？【ショート】</t>
    </r>
  </si>
  <si>
    <r>
      <rPr>
        <sz val="10"/>
        <rFont val="Noto Sans CJK SC"/>
        <family val="2"/>
      </rPr>
      <t xml:space="preserve">🤣ワイ、落雷を</t>
    </r>
    <r>
      <rPr>
        <sz val="10"/>
        <rFont val="Arial"/>
        <family val="0"/>
        <charset val="1"/>
      </rPr>
      <t xml:space="preserve">3</t>
    </r>
    <r>
      <rPr>
        <sz val="10"/>
        <rFont val="Noto Sans CJK SC"/>
        <family val="2"/>
      </rPr>
      <t xml:space="preserve">秒で見たんやが質問ある？</t>
    </r>
    <r>
      <rPr>
        <sz val="10"/>
        <rFont val="Arial"/>
        <family val="0"/>
        <charset val="1"/>
      </rPr>
      <t xml:space="preserve">w🍑</t>
    </r>
    <r>
      <rPr>
        <sz val="10"/>
        <rFont val="Noto Sans CJK SC"/>
        <family val="2"/>
      </rPr>
      <t xml:space="preserve">【ショート】</t>
    </r>
  </si>
  <si>
    <r>
      <rPr>
        <sz val="10"/>
        <rFont val="Noto Sans CJK SC"/>
        <family val="2"/>
      </rPr>
      <t xml:space="preserve">実は暗い部屋で音に敏感になるのは、耳が目の代わりをするから？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</si>
  <si>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分ポケモン研究 </t>
    </r>
    <r>
      <rPr>
        <sz val="10"/>
        <rFont val="Arial"/>
        <family val="0"/>
        <charset val="1"/>
      </rPr>
      <t xml:space="preserve">#15</t>
    </r>
    <r>
      <rPr>
        <sz val="10"/>
        <rFont val="Noto Sans CJK SC"/>
        <family val="2"/>
      </rPr>
      <t xml:space="preserve">：👀シャンデラに隠された秘密、なぜ霊タイプ？君が知らない</t>
    </r>
    <r>
      <rPr>
        <sz val="10"/>
        <rFont val="Arial"/>
        <family val="0"/>
        <charset val="1"/>
      </rPr>
      <t xml:space="preserve">3</t>
    </r>
    <r>
      <rPr>
        <sz val="10"/>
        <rFont val="Noto Sans CJK SC"/>
        <family val="2"/>
      </rPr>
      <t xml:space="preserve">つの由来【ショート】</t>
    </r>
  </si>
  <si>
    <r>
      <rPr>
        <sz val="10"/>
        <rFont val="Arial"/>
        <family val="0"/>
        <charset val="1"/>
      </rPr>
      <t xml:space="preserve">SCP-2006 </t>
    </r>
    <r>
      <rPr>
        <sz val="10"/>
        <rFont val="Noto Sans CJK SC"/>
        <family val="2"/>
      </rPr>
      <t xml:space="preserve">笑い声を聞いた</t>
    </r>
    <r>
      <rPr>
        <sz val="10"/>
        <rFont val="Arial"/>
        <family val="0"/>
        <charset val="1"/>
      </rPr>
      <t xml:space="preserve">12</t>
    </r>
    <r>
      <rPr>
        <sz val="10"/>
        <rFont val="Noto Sans CJK SC"/>
        <family val="2"/>
      </rPr>
      <t xml:space="preserve">名に起きた異変 </t>
    </r>
    <r>
      <rPr>
        <sz val="10"/>
        <rFont val="Arial"/>
        <family val="0"/>
        <charset val="1"/>
      </rPr>
      <t xml:space="preserve">#shorts #SCP #SCP</t>
    </r>
    <r>
      <rPr>
        <sz val="10"/>
        <rFont val="Noto Sans CJK SC"/>
        <family val="2"/>
      </rPr>
      <t xml:space="preserve">解説</t>
    </r>
  </si>
  <si>
    <r>
      <rPr>
        <sz val="10"/>
        <rFont val="Noto Sans CJK SC"/>
        <family val="2"/>
      </rPr>
      <t xml:space="preserve">あなたの字が</t>
    </r>
    <r>
      <rPr>
        <sz val="10"/>
        <rFont val="Arial"/>
        <family val="0"/>
        <charset val="1"/>
      </rPr>
      <t xml:space="preserve">30</t>
    </r>
    <r>
      <rPr>
        <sz val="10"/>
        <rFont val="Noto Sans CJK SC"/>
        <family val="2"/>
      </rPr>
      <t xml:space="preserve">秒で別物に見える？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</si>
  <si>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なぜ非常灯が消えた</t>
    </r>
    <r>
      <rPr>
        <sz val="10"/>
        <rFont val="Arial"/>
        <family val="0"/>
        <charset val="1"/>
      </rPr>
      <t xml:space="preserve">3</t>
    </r>
    <r>
      <rPr>
        <sz val="10"/>
        <rFont val="Noto Sans CJK SC"/>
        <family val="2"/>
      </rPr>
      <t xml:space="preserve">秒に</t>
    </r>
    <r>
      <rPr>
        <sz val="10"/>
        <rFont val="Arial"/>
        <family val="0"/>
        <charset val="1"/>
      </rPr>
      <t xml:space="preserve">5</t>
    </r>
    <r>
      <rPr>
        <sz val="10"/>
        <rFont val="Noto Sans CJK SC"/>
        <family val="2"/>
      </rPr>
      <t xml:space="preserve">人目の足音がしたのか </t>
    </r>
    <r>
      <rPr>
        <sz val="10"/>
        <rFont val="Arial"/>
        <family val="0"/>
        <charset val="1"/>
      </rPr>
      <t xml:space="preserve">#shorts #SCP #SCP</t>
    </r>
    <r>
      <rPr>
        <sz val="10"/>
        <rFont val="Noto Sans CJK SC"/>
        <family val="2"/>
      </rPr>
      <t xml:space="preserve">解説</t>
    </r>
  </si>
  <si>
    <t xml:space="preserve">実は家族に見られた通販履歴…一番言い訳できない理由は？【ショート】</t>
  </si>
  <si>
    <r>
      <rPr>
        <sz val="10"/>
        <rFont val="Arial"/>
        <family val="0"/>
        <charset val="1"/>
      </rPr>
      <t xml:space="preserve">RTX5090</t>
    </r>
    <r>
      <rPr>
        <sz val="10"/>
        <rFont val="Noto Sans CJK SC"/>
        <family val="2"/>
      </rPr>
      <t xml:space="preserve">はで部屋の外から名前を呼ぶのか </t>
    </r>
    <r>
      <rPr>
        <sz val="10"/>
        <rFont val="Arial"/>
        <family val="0"/>
        <charset val="1"/>
      </rPr>
      <t xml:space="preserve">#shorts #SCP #SCP</t>
    </r>
    <r>
      <rPr>
        <sz val="10"/>
        <rFont val="Noto Sans CJK SC"/>
        <family val="2"/>
      </rPr>
      <t xml:space="preserve">解説</t>
    </r>
  </si>
  <si>
    <r>
      <rPr>
        <sz val="10"/>
        <rFont val="Noto Sans CJK SC"/>
        <family val="2"/>
      </rPr>
      <t xml:space="preserve">ピカチュウは</t>
    </r>
    <r>
      <rPr>
        <sz val="10"/>
        <rFont val="Arial"/>
        <family val="0"/>
        <charset val="1"/>
      </rPr>
      <t xml:space="preserve">10%</t>
    </r>
    <r>
      <rPr>
        <sz val="10"/>
        <rFont val="Noto Sans CJK SC"/>
        <family val="2"/>
      </rPr>
      <t xml:space="preserve">なのになぜ看板？【ショート】</t>
    </r>
  </si>
  <si>
    <r>
      <rPr>
        <sz val="10"/>
        <rFont val="Noto Sans CJK SC"/>
        <family val="2"/>
      </rPr>
      <t xml:space="preserve">💦ワイ、夫が寝た後の秘密</t>
    </r>
    <r>
      <rPr>
        <sz val="10"/>
        <rFont val="Arial"/>
        <family val="0"/>
        <charset val="1"/>
      </rPr>
      <t xml:space="preserve">3</t>
    </r>
    <r>
      <rPr>
        <sz val="10"/>
        <rFont val="Noto Sans CJK SC"/>
        <family val="2"/>
      </rPr>
      <t xml:space="preserve">つあげてけ</t>
    </r>
    <r>
      <rPr>
        <sz val="10"/>
        <rFont val="Arial"/>
        <family val="0"/>
        <charset val="1"/>
      </rPr>
      <t xml:space="preserve">w🤣</t>
    </r>
    <r>
      <rPr>
        <sz val="10"/>
        <rFont val="Noto Sans CJK SC"/>
        <family val="2"/>
      </rPr>
      <t xml:space="preserve">【ショート】</t>
    </r>
  </si>
  <si>
    <r>
      <rPr>
        <sz val="10"/>
        <rFont val="Noto Sans CJK SC"/>
        <family val="2"/>
      </rPr>
      <t xml:space="preserve">泳いでいる脳が</t>
    </r>
    <r>
      <rPr>
        <sz val="10"/>
        <rFont val="Arial"/>
        <family val="0"/>
        <charset val="1"/>
      </rPr>
      <t xml:space="preserve">3</t>
    </r>
    <r>
      <rPr>
        <sz val="10"/>
        <rFont val="Noto Sans CJK SC"/>
        <family val="2"/>
      </rPr>
      <t xml:space="preserve">秒ごとに息継ぎを気にするワケ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</si>
  <si>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百目なのに一つ目？江戸の絵に隠された不気味な変化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</si>
  <si>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1</t>
    </r>
    <r>
      <rPr>
        <sz val="10"/>
        <rFont val="Noto Sans CJK SC"/>
        <family val="2"/>
      </rPr>
      <t xml:space="preserve">分ポケモン研究 </t>
    </r>
    <r>
      <rPr>
        <sz val="10"/>
        <rFont val="Arial"/>
        <family val="0"/>
        <charset val="1"/>
      </rPr>
      <t xml:space="preserve">#17</t>
    </r>
    <r>
      <rPr>
        <sz val="10"/>
        <rFont val="Noto Sans CJK SC"/>
        <family val="2"/>
      </rPr>
      <t xml:space="preserve">：👀ミュウツーに隠された</t>
    </r>
    <r>
      <rPr>
        <sz val="10"/>
        <rFont val="Arial"/>
        <family val="0"/>
        <charset val="1"/>
      </rPr>
      <t xml:space="preserve">3</t>
    </r>
    <r>
      <rPr>
        <sz val="10"/>
        <rFont val="Noto Sans CJK SC"/>
        <family val="2"/>
      </rPr>
      <t xml:space="preserve">手先の秘密、</t>
    </r>
    <r>
      <rPr>
        <sz val="10"/>
        <rFont val="Arial"/>
        <family val="0"/>
        <charset val="1"/>
      </rPr>
      <t xml:space="preserve">AI</t>
    </r>
    <r>
      <rPr>
        <sz val="10"/>
        <rFont val="Noto Sans CJK SC"/>
        <family val="2"/>
      </rPr>
      <t xml:space="preserve">はなぜ交代を読める？【ショート】</t>
    </r>
  </si>
  <si>
    <r>
      <rPr>
        <sz val="10"/>
        <rFont val="Noto Sans CJK SC"/>
        <family val="2"/>
      </rPr>
      <t xml:space="preserve">🤯ワイ、友達の家でヤバい物を</t>
    </r>
    <r>
      <rPr>
        <sz val="10"/>
        <rFont val="Arial"/>
        <family val="0"/>
        <charset val="1"/>
      </rPr>
      <t xml:space="preserve">3</t>
    </r>
    <r>
      <rPr>
        <sz val="10"/>
        <rFont val="Noto Sans CJK SC"/>
        <family val="2"/>
      </rPr>
      <t xml:space="preserve">個見たんやが</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</si>
  <si>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分科学 </t>
    </r>
    <r>
      <rPr>
        <sz val="10"/>
        <rFont val="Arial"/>
        <family val="0"/>
        <charset val="1"/>
      </rPr>
      <t xml:space="preserve">#102</t>
    </r>
    <r>
      <rPr>
        <sz val="10"/>
        <rFont val="Noto Sans CJK SC"/>
        <family val="2"/>
      </rPr>
      <t xml:space="preserve">：🌍なぜ寝起きの口だけネバつくのか？あなたの唾液が眠る</t>
    </r>
    <r>
      <rPr>
        <sz val="10"/>
        <rFont val="Arial"/>
        <family val="0"/>
        <charset val="1"/>
      </rPr>
      <t xml:space="preserve">8</t>
    </r>
    <r>
      <rPr>
        <sz val="10"/>
        <rFont val="Noto Sans CJK SC"/>
        <family val="2"/>
      </rPr>
      <t xml:space="preserve">時間の正体【ショート】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</si>
  <si>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#14</t>
    </r>
    <r>
      <rPr>
        <sz val="10"/>
        <rFont val="Noto Sans CJK SC"/>
        <family val="2"/>
      </rPr>
      <t xml:space="preserve">：👀ロケット団に隠された</t>
    </r>
    <r>
      <rPr>
        <sz val="10"/>
        <rFont val="Arial"/>
        <family val="0"/>
        <charset val="1"/>
      </rPr>
      <t xml:space="preserve">3</t>
    </r>
    <r>
      <rPr>
        <sz val="10"/>
        <rFont val="Noto Sans CJK SC"/>
        <family val="2"/>
      </rPr>
      <t xml:space="preserve">つの秘密、あなたは本当の目的を知ってる？【ショート】</t>
    </r>
  </si>
  <si>
    <r>
      <rPr>
        <sz val="10"/>
        <rFont val="Noto Sans CJK SC"/>
        <family val="2"/>
      </rPr>
      <t xml:space="preserve">彼女の家で開けたらアカン引き出し開けたんやが </t>
    </r>
    <r>
      <rPr>
        <sz val="10"/>
        <rFont val="Arial"/>
        <family val="0"/>
        <charset val="1"/>
      </rPr>
      <t xml:space="preserve">#shorts #2ch #</t>
    </r>
    <r>
      <rPr>
        <sz val="10"/>
        <rFont val="Noto Sans CJK SC"/>
        <family val="2"/>
      </rPr>
      <t xml:space="preserve">面白いスレ</t>
    </r>
  </si>
  <si>
    <r>
      <rPr>
        <sz val="10"/>
        <rFont val="Noto Sans CJK SC"/>
        <family val="2"/>
      </rPr>
      <t xml:space="preserve">正体を大人が知る</t>
    </r>
    <r>
      <rPr>
        <sz val="10"/>
        <rFont val="Arial"/>
        <family val="0"/>
        <charset val="1"/>
      </rPr>
      <t xml:space="preserve">3</t>
    </r>
    <r>
      <rPr>
        <sz val="10"/>
        <rFont val="Noto Sans CJK SC"/>
        <family val="2"/>
      </rPr>
      <t xml:space="preserve">秒の言葉あげてけ</t>
    </r>
    <r>
      <rPr>
        <sz val="10"/>
        <rFont val="Arial"/>
        <family val="0"/>
        <charset val="1"/>
      </rPr>
      <t xml:space="preserve">w😂 #shorts #2ch #</t>
    </r>
    <r>
      <rPr>
        <sz val="10"/>
        <rFont val="Noto Sans CJK SC"/>
        <family val="2"/>
      </rPr>
      <t xml:space="preserve">面白いスレ</t>
    </r>
  </si>
  <si>
    <r>
      <rPr>
        <sz val="10"/>
        <rFont val="Arial"/>
        <family val="0"/>
        <charset val="1"/>
      </rPr>
      <t xml:space="preserve">21</t>
    </r>
    <r>
      <rPr>
        <sz val="10"/>
        <rFont val="Noto Sans CJK SC"/>
        <family val="2"/>
      </rPr>
      <t xml:space="preserve">時</t>
    </r>
  </si>
  <si>
    <r>
      <rPr>
        <sz val="10"/>
        <rFont val="Arial"/>
        <family val="0"/>
        <charset val="1"/>
      </rPr>
      <t xml:space="preserve">Apple</t>
    </r>
    <r>
      <rPr>
        <sz val="10"/>
        <rFont val="Noto Sans CJK SC"/>
        <family val="2"/>
      </rPr>
      <t xml:space="preserve">新製品予想、また本命を外して財布が逝く民ｗ </t>
    </r>
    <r>
      <rPr>
        <sz val="10"/>
        <rFont val="Arial"/>
        <family val="0"/>
        <charset val="1"/>
      </rPr>
      <t xml:space="preserve">#shorts #2ch #</t>
    </r>
    <r>
      <rPr>
        <sz val="10"/>
        <rFont val="Noto Sans CJK SC"/>
        <family val="2"/>
      </rPr>
      <t xml:space="preserve">面白いスレ</t>
    </r>
  </si>
  <si>
    <r>
      <rPr>
        <sz val="10"/>
        <rFont val="Noto Sans CJK SC"/>
        <family val="2"/>
      </rPr>
      <t xml:space="preserve">一口</t>
    </r>
    <r>
      <rPr>
        <sz val="10"/>
        <rFont val="Arial"/>
        <family val="0"/>
        <charset val="1"/>
      </rPr>
      <t xml:space="preserve">SCP #109</t>
    </r>
    <r>
      <rPr>
        <sz val="10"/>
        <rFont val="Noto Sans CJK SC"/>
        <family val="2"/>
      </rPr>
      <t xml:space="preserve">：🫣</t>
    </r>
    <r>
      <rPr>
        <sz val="10"/>
        <rFont val="Arial"/>
        <family val="0"/>
        <charset val="1"/>
      </rPr>
      <t xml:space="preserve">SCP-2480</t>
    </r>
    <r>
      <rPr>
        <sz val="10"/>
        <rFont val="Noto Sans CJK SC"/>
        <family val="2"/>
      </rPr>
      <t xml:space="preserve">「未完の儀式」記録</t>
    </r>
    <r>
      <rPr>
        <sz val="10"/>
        <rFont val="Arial"/>
        <family val="0"/>
        <charset val="1"/>
      </rPr>
      <t xml:space="preserve">9</t>
    </r>
    <r>
      <rPr>
        <sz val="10"/>
        <rFont val="Noto Sans CJK SC"/>
        <family val="2"/>
      </rPr>
      <t xml:space="preserve">名だけが残った収容不能の恐怖【ショート】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</si>
  <si>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#12</t>
    </r>
    <r>
      <rPr>
        <sz val="10"/>
        <rFont val="Noto Sans CJK SC"/>
        <family val="2"/>
      </rPr>
      <t xml:space="preserve">：💧サーナイトとエルレイド、君はなぜ</t>
    </r>
    <r>
      <rPr>
        <sz val="10"/>
        <rFont val="Arial"/>
        <family val="0"/>
        <charset val="1"/>
      </rPr>
      <t xml:space="preserve">2</t>
    </r>
    <r>
      <rPr>
        <sz val="10"/>
        <rFont val="Noto Sans CJK SC"/>
        <family val="2"/>
      </rPr>
      <t xml:space="preserve">つの攻撃で迷う？【ショート】</t>
    </r>
  </si>
  <si>
    <r>
      <rPr>
        <sz val="10"/>
        <rFont val="Noto Sans CJK SC"/>
        <family val="2"/>
      </rPr>
      <t xml:space="preserve">黙読中の喉、なぜ声なしで</t>
    </r>
    <r>
      <rPr>
        <sz val="10"/>
        <rFont val="Arial"/>
        <family val="0"/>
        <charset val="1"/>
      </rPr>
      <t xml:space="preserve">1</t>
    </r>
    <r>
      <rPr>
        <sz val="10"/>
        <rFont val="Noto Sans CJK SC"/>
        <family val="2"/>
      </rPr>
      <t xml:space="preserve">秒だけ動く？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</si>
  <si>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ワイの</t>
    </r>
    <r>
      <rPr>
        <sz val="10"/>
        <rFont val="Arial"/>
        <family val="0"/>
        <charset val="1"/>
      </rPr>
      <t xml:space="preserve">PC</t>
    </r>
    <r>
      <rPr>
        <sz val="10"/>
        <rFont val="Noto Sans CJK SC"/>
        <family val="2"/>
      </rPr>
      <t xml:space="preserve">で彼女が凍った本当の理由</t>
    </r>
    <r>
      <rPr>
        <sz val="10"/>
        <rFont val="Arial"/>
        <family val="0"/>
        <charset val="1"/>
      </rPr>
      <t xml:space="preserve">w💦 #shorts #2ch #</t>
    </r>
    <r>
      <rPr>
        <sz val="10"/>
        <rFont val="Noto Sans CJK SC"/>
        <family val="2"/>
      </rPr>
      <t xml:space="preserve">面白いスレ</t>
    </r>
  </si>
  <si>
    <r>
      <rPr>
        <sz val="10"/>
        <rFont val="Noto Sans CJK SC"/>
        <family val="2"/>
      </rPr>
      <t xml:space="preserve">なぜファミマで謎の商品を買ってしまうのか？草 </t>
    </r>
    <r>
      <rPr>
        <sz val="10"/>
        <rFont val="Arial"/>
        <family val="0"/>
        <charset val="1"/>
      </rPr>
      <t xml:space="preserve">#shorts #2ch #</t>
    </r>
    <r>
      <rPr>
        <sz val="10"/>
        <rFont val="Noto Sans CJK SC"/>
        <family val="2"/>
      </rPr>
      <t xml:space="preserve">面白いスレ</t>
    </r>
  </si>
  <si>
    <r>
      <rPr>
        <sz val="10"/>
        <rFont val="Arial"/>
        <family val="0"/>
        <charset val="1"/>
      </rPr>
      <t xml:space="preserve">1</t>
    </r>
    <r>
      <rPr>
        <sz val="10"/>
        <rFont val="Noto Sans CJK SC"/>
        <family val="2"/>
      </rPr>
      <t xml:space="preserve">分妖怪ファイル </t>
    </r>
    <r>
      <rPr>
        <sz val="10"/>
        <rFont val="Arial"/>
        <family val="0"/>
        <charset val="1"/>
      </rPr>
      <t xml:space="preserve">#13</t>
    </r>
    <r>
      <rPr>
        <sz val="10"/>
        <rFont val="Noto Sans CJK SC"/>
        <family val="2"/>
      </rPr>
      <t xml:space="preserve">：👁️妖怪ウォッチ元祖に隠された</t>
    </r>
    <r>
      <rPr>
        <sz val="10"/>
        <rFont val="Arial"/>
        <family val="0"/>
        <charset val="1"/>
      </rPr>
      <t xml:space="preserve">3</t>
    </r>
    <r>
      <rPr>
        <sz val="10"/>
        <rFont val="Noto Sans CJK SC"/>
        <family val="2"/>
      </rPr>
      <t xml:space="preserve">つの秘密、あなたは名前の意味に気づいた？【ショート】</t>
    </r>
  </si>
  <si>
    <r>
      <rPr>
        <sz val="10"/>
        <rFont val="Noto Sans CJK SC"/>
        <family val="2"/>
      </rPr>
      <t xml:space="preserve">実は</t>
    </r>
    <r>
      <rPr>
        <sz val="10"/>
        <rFont val="Arial"/>
        <family val="0"/>
        <charset val="1"/>
      </rPr>
      <t xml:space="preserve">3</t>
    </r>
    <r>
      <rPr>
        <sz val="10"/>
        <rFont val="Noto Sans CJK SC"/>
        <family val="2"/>
      </rPr>
      <t xml:space="preserve">秒で全生命が死んだ地球、その本当の理由はなぜ？【ショート】</t>
    </r>
  </si>
  <si>
    <r>
      <rPr>
        <sz val="10"/>
        <rFont val="Arial"/>
        <family val="0"/>
        <charset val="1"/>
      </rPr>
      <t xml:space="preserve">3</t>
    </r>
    <r>
      <rPr>
        <sz val="10"/>
        <rFont val="Noto Sans CJK SC"/>
        <family val="2"/>
      </rPr>
      <t xml:space="preserve">秒で消える？天狗と山伏、神隠しの本当の理由【ショート】</t>
    </r>
  </si>
  <si>
    <r>
      <rPr>
        <sz val="10"/>
        <rFont val="Noto Sans CJK SC"/>
        <family val="2"/>
      </rPr>
      <t xml:space="preserve">ワイ、アジア大会珍プレー歴</t>
    </r>
    <r>
      <rPr>
        <sz val="10"/>
        <rFont val="Arial"/>
        <family val="0"/>
        <charset val="1"/>
      </rPr>
      <t xml:space="preserve">0</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</si>
  <si>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#16</t>
    </r>
    <r>
      <rPr>
        <sz val="10"/>
        <rFont val="Noto Sans CJK SC"/>
        <family val="2"/>
      </rPr>
      <t xml:space="preserve">：👁️妖怪ウォッチに隠された</t>
    </r>
    <r>
      <rPr>
        <sz val="10"/>
        <rFont val="Arial"/>
        <family val="0"/>
        <charset val="1"/>
      </rPr>
      <t xml:space="preserve">3</t>
    </r>
    <r>
      <rPr>
        <sz val="10"/>
        <rFont val="Noto Sans CJK SC"/>
        <family val="2"/>
      </rPr>
      <t xml:space="preserve">つの秘密、大谷翔平と妖怪伝説の関係は？【ショート】</t>
    </r>
  </si>
  <si>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</si>
  <si>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r>
      <rPr>
        <sz val="10"/>
        <rFont val="Noto Sans CJK SC"/>
        <family val="2"/>
      </rPr>
      <t xml:space="preserve">一口</t>
    </r>
    <r>
      <rPr>
        <sz val="10"/>
        <rFont val="Arial"/>
        <family val="0"/>
        <charset val="1"/>
      </rPr>
      <t xml:space="preserve">SCP #94</t>
    </r>
    <r>
      <rPr>
        <sz val="10"/>
        <rFont val="Noto Sans CJK SC"/>
        <family val="2"/>
      </rPr>
      <t xml:space="preserve">：🔒</t>
    </r>
    <r>
      <rPr>
        <sz val="10"/>
        <rFont val="Arial"/>
        <family val="0"/>
        <charset val="1"/>
      </rPr>
      <t xml:space="preserve">SCP-2306</t>
    </r>
    <r>
      <rPr>
        <sz val="10"/>
        <rFont val="Noto Sans CJK SC"/>
        <family val="2"/>
      </rPr>
      <t xml:space="preserve">「実在しない部屋」— 図面に無い</t>
    </r>
    <r>
      <rPr>
        <sz val="10"/>
        <rFont val="Arial"/>
        <family val="0"/>
        <charset val="1"/>
      </rPr>
      <t xml:space="preserve">1</t>
    </r>
    <r>
      <rPr>
        <sz val="10"/>
        <rFont val="Noto Sans CJK SC"/>
        <family val="2"/>
      </rPr>
      <t xml:space="preserve">室、調査員</t>
    </r>
    <r>
      <rPr>
        <sz val="10"/>
        <rFont val="Arial"/>
        <family val="0"/>
        <charset val="1"/>
      </rPr>
      <t xml:space="preserve">4</t>
    </r>
    <r>
      <rPr>
        <sz val="10"/>
        <rFont val="Noto Sans CJK SC"/>
        <family val="2"/>
      </rPr>
      <t xml:space="preserve">名の記録だけが残った⚠️【ショート】</t>
    </r>
  </si>
  <si>
    <r>
      <rPr>
        <sz val="10"/>
        <rFont val="Arial"/>
        <family val="0"/>
        <charset val="1"/>
      </rPr>
      <t xml:space="preserve">SCP-3288 </t>
    </r>
    <r>
      <rPr>
        <sz val="10"/>
        <rFont val="Noto Sans CJK SC"/>
        <family val="2"/>
      </rPr>
      <t xml:space="preserve">大雨の真相 あなたの部屋も沈む </t>
    </r>
    <r>
      <rPr>
        <sz val="10"/>
        <rFont val="Arial"/>
        <family val="0"/>
        <charset val="1"/>
      </rPr>
      <t xml:space="preserve">#shorts #SCP #SCP</t>
    </r>
    <r>
      <rPr>
        <sz val="10"/>
        <rFont val="Noto Sans CJK SC"/>
        <family val="2"/>
      </rPr>
      <t xml:space="preserve">解説</t>
    </r>
  </si>
  <si>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</si>
  <si>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r>
      <rPr>
        <sz val="10"/>
        <rFont val="Noto Sans CJK SC"/>
        <family val="2"/>
      </rPr>
      <t xml:space="preserve">なぜ猫又の尻尾は</t>
    </r>
    <r>
      <rPr>
        <sz val="10"/>
        <rFont val="Arial"/>
        <family val="0"/>
        <charset val="1"/>
      </rPr>
      <t xml:space="preserve">2</t>
    </r>
    <r>
      <rPr>
        <sz val="10"/>
        <rFont val="Noto Sans CJK SC"/>
        <family val="2"/>
      </rPr>
      <t xml:space="preserve">つ？実は老猫を恐れた江戸の記録が怖い【ショート】</t>
    </r>
  </si>
  <si>
    <r>
      <rPr>
        <sz val="10"/>
        <rFont val="Arial"/>
        <family val="0"/>
        <charset val="1"/>
      </rPr>
      <t xml:space="preserve">3</t>
    </r>
    <r>
      <rPr>
        <sz val="10"/>
        <rFont val="Noto Sans CJK SC"/>
        <family val="2"/>
      </rPr>
      <t xml:space="preserve">秒でわかる？ポリゴンがテレビから消えた本当の理由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</si>
  <si>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1</t>
    </r>
    <r>
      <rPr>
        <sz val="10"/>
        <rFont val="Noto Sans CJK SC"/>
        <family val="2"/>
      </rPr>
      <t xml:space="preserve">分ポケモン研究 </t>
    </r>
    <r>
      <rPr>
        <sz val="10"/>
        <rFont val="Arial"/>
        <family val="0"/>
        <charset val="1"/>
      </rPr>
      <t xml:space="preserve">#22</t>
    </r>
    <r>
      <rPr>
        <sz val="10"/>
        <rFont val="Noto Sans CJK SC"/>
        <family val="2"/>
      </rPr>
      <t xml:space="preserve">：😨ラプラスに隠された秘密、図鑑の</t>
    </r>
    <r>
      <rPr>
        <sz val="10"/>
        <rFont val="Arial"/>
        <family val="0"/>
        <charset val="1"/>
      </rPr>
      <t xml:space="preserve">1</t>
    </r>
    <r>
      <rPr>
        <sz val="10"/>
        <rFont val="Noto Sans CJK SC"/>
        <family val="2"/>
      </rPr>
      <t xml:space="preserve">文で人間側がヤバい？【ショート】</t>
    </r>
  </si>
  <si>
    <r>
      <rPr>
        <sz val="10"/>
        <rFont val="Noto Sans CJK SC"/>
        <family val="2"/>
      </rPr>
      <t xml:space="preserve">ワイ、保健体育歴</t>
    </r>
    <r>
      <rPr>
        <sz val="10"/>
        <rFont val="Arial"/>
        <family val="0"/>
        <charset val="1"/>
      </rPr>
      <t xml:space="preserve">3</t>
    </r>
    <r>
      <rPr>
        <sz val="10"/>
        <rFont val="Noto Sans CJK SC"/>
        <family val="2"/>
      </rPr>
      <t xml:space="preserve">年やけど質問ある？</t>
    </r>
    <r>
      <rPr>
        <sz val="10"/>
        <rFont val="Arial"/>
        <family val="0"/>
        <charset val="1"/>
      </rPr>
      <t xml:space="preserve">w💦 #shorts #2ch #</t>
    </r>
    <r>
      <rPr>
        <sz val="10"/>
        <rFont val="Noto Sans CJK SC"/>
        <family val="2"/>
      </rPr>
      <t xml:space="preserve">面白いスレ</t>
    </r>
  </si>
  <si>
    <r>
      <rPr>
        <sz val="10"/>
        <rFont val="Arial"/>
        <family val="0"/>
        <charset val="1"/>
      </rPr>
      <t xml:space="preserve">SCP-███ </t>
    </r>
    <r>
      <rPr>
        <sz val="10"/>
        <rFont val="Noto Sans CJK SC"/>
        <family val="2"/>
      </rPr>
      <t xml:space="preserve">持ち出した報告書が</t>
    </r>
    <r>
      <rPr>
        <sz val="10"/>
        <rFont val="Arial"/>
        <family val="0"/>
        <charset val="1"/>
      </rPr>
      <t xml:space="preserve">3</t>
    </r>
    <r>
      <rPr>
        <sz val="10"/>
        <rFont val="Noto Sans CJK SC"/>
        <family val="2"/>
      </rPr>
      <t xml:space="preserve">日後に戻った </t>
    </r>
    <r>
      <rPr>
        <sz val="10"/>
        <rFont val="Arial"/>
        <family val="0"/>
        <charset val="1"/>
      </rPr>
      <t xml:space="preserve">#shorts #SCP #SCP</t>
    </r>
    <r>
      <rPr>
        <sz val="10"/>
        <rFont val="Noto Sans CJK SC"/>
        <family val="2"/>
      </rPr>
      <t xml:space="preserve">解説</t>
    </r>
  </si>
  <si>
    <r>
      <rPr>
        <sz val="10"/>
        <rFont val="Noto Sans CJK SC"/>
        <family val="2"/>
      </rPr>
      <t xml:space="preserve">🤣ワイ健康診断歴</t>
    </r>
    <r>
      <rPr>
        <sz val="10"/>
        <rFont val="Arial"/>
        <family val="0"/>
        <charset val="1"/>
      </rPr>
      <t xml:space="preserve">3</t>
    </r>
    <r>
      <rPr>
        <sz val="10"/>
        <rFont val="Noto Sans CJK SC"/>
        <family val="2"/>
      </rPr>
      <t xml:space="preserve">年やけど正体ある</t>
    </r>
    <r>
      <rPr>
        <sz val="10"/>
        <rFont val="Arial"/>
        <family val="0"/>
        <charset val="1"/>
      </rPr>
      <t xml:space="preserve">w🍑 #shorts #2ch #</t>
    </r>
    <r>
      <rPr>
        <sz val="10"/>
        <rFont val="Noto Sans CJK SC"/>
        <family val="2"/>
      </rPr>
      <t xml:space="preserve">面白いスレ</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</si>
  <si>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万円、実は株価上昇の裏側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</si>
  <si>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ワイ、毎月大金をムダにしてるけど質問ある？ </t>
    </r>
    <r>
      <rPr>
        <sz val="10"/>
        <rFont val="Arial"/>
        <family val="0"/>
        <charset val="1"/>
      </rPr>
      <t xml:space="preserve">#shorts #2ch #</t>
    </r>
    <r>
      <rPr>
        <sz val="10"/>
        <rFont val="Noto Sans CJK SC"/>
        <family val="2"/>
      </rPr>
      <t xml:space="preserve">面白いスレ</t>
    </r>
  </si>
  <si>
    <r>
      <rPr>
        <sz val="10"/>
        <rFont val="Arial"/>
        <family val="0"/>
        <charset val="1"/>
      </rPr>
      <t xml:space="preserve">SCP</t>
    </r>
    <r>
      <rPr>
        <sz val="10"/>
        <rFont val="Noto Sans CJK SC"/>
        <family val="2"/>
      </rPr>
      <t xml:space="preserve">記録係</t>
    </r>
    <r>
      <rPr>
        <sz val="10"/>
        <rFont val="Arial"/>
        <family val="0"/>
        <charset val="1"/>
      </rPr>
      <t xml:space="preserve">12</t>
    </r>
    <r>
      <rPr>
        <sz val="10"/>
        <rFont val="Noto Sans CJK SC"/>
        <family val="2"/>
      </rPr>
      <t xml:space="preserve">名が最後に揃って書いた</t>
    </r>
    <r>
      <rPr>
        <sz val="10"/>
        <rFont val="Arial"/>
        <family val="0"/>
        <charset val="1"/>
      </rPr>
      <t xml:space="preserve">42</t>
    </r>
    <r>
      <rPr>
        <sz val="10"/>
        <rFont val="Noto Sans CJK SC"/>
        <family val="2"/>
      </rPr>
      <t xml:space="preserve">字 </t>
    </r>
    <r>
      <rPr>
        <sz val="10"/>
        <rFont val="Arial"/>
        <family val="0"/>
        <charset val="1"/>
      </rPr>
      <t xml:space="preserve">#shorts #SCP #SCP</t>
    </r>
    <r>
      <rPr>
        <sz val="10"/>
        <rFont val="Noto Sans CJK SC"/>
        <family val="2"/>
      </rPr>
      <t xml:space="preserve">解説</t>
    </r>
  </si>
  <si>
    <r>
      <rPr>
        <sz val="10"/>
        <rFont val="Noto Sans CJK SC"/>
        <family val="2"/>
      </rPr>
      <t xml:space="preserve">雪女が</t>
    </r>
    <r>
      <rPr>
        <sz val="10"/>
        <rFont val="Arial"/>
        <family val="0"/>
        <charset val="1"/>
      </rPr>
      <t xml:space="preserve">3</t>
    </r>
    <r>
      <rPr>
        <sz val="10"/>
        <rFont val="Noto Sans CJK SC"/>
        <family val="2"/>
      </rPr>
      <t xml:space="preserve">日黙れと言う…実は誰にも言えない恐怖があった【ショート】</t>
    </r>
  </si>
  <si>
    <r>
      <rPr>
        <sz val="10"/>
        <rFont val="Noto Sans CJK SC"/>
        <family val="2"/>
      </rPr>
      <t xml:space="preserve">太陽系の番人</t>
    </r>
    <r>
      <rPr>
        <sz val="10"/>
        <rFont val="Arial"/>
        <family val="0"/>
        <charset val="1"/>
      </rPr>
      <t xml:space="preserve">SCP-179</t>
    </r>
    <r>
      <rPr>
        <sz val="10"/>
        <rFont val="Noto Sans CJK SC"/>
        <family val="2"/>
      </rPr>
      <t xml:space="preserve">が沈黙を恐れる理由【ショート】</t>
    </r>
  </si>
  <si>
    <r>
      <rPr>
        <sz val="10"/>
        <rFont val="Noto Sans CJK SC"/>
        <family val="2"/>
      </rPr>
      <t xml:space="preserve">ポケモンセンターが治療費</t>
    </r>
    <r>
      <rPr>
        <sz val="10"/>
        <rFont val="Arial"/>
        <family val="0"/>
        <charset val="1"/>
      </rPr>
      <t xml:space="preserve">0</t>
    </r>
    <r>
      <rPr>
        <sz val="10"/>
        <rFont val="Noto Sans CJK SC"/>
        <family val="2"/>
      </rPr>
      <t xml:space="preserve">円で成り立つ理由がヤバい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</si>
  <si>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鬼の角が「目印」になった千年前の変化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</si>
  <si>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小豆洗いの正体 </t>
    </r>
    <r>
      <rPr>
        <sz val="10"/>
        <rFont val="Arial"/>
        <family val="0"/>
        <charset val="1"/>
      </rPr>
      <t xml:space="preserve">127</t>
    </r>
    <r>
      <rPr>
        <sz val="10"/>
        <rFont val="Noto Sans CJK SC"/>
        <family val="2"/>
      </rPr>
      <t xml:space="preserve">年の川音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</si>
  <si>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💦ワイ、同棲</t>
    </r>
    <r>
      <rPr>
        <sz val="10"/>
        <rFont val="Arial"/>
        <family val="0"/>
        <charset val="1"/>
      </rPr>
      <t xml:space="preserve">3</t>
    </r>
    <r>
      <rPr>
        <sz val="10"/>
        <rFont val="Noto Sans CJK SC"/>
        <family val="2"/>
      </rPr>
      <t xml:space="preserve">年目やけど質問ある？💦 </t>
    </r>
    <r>
      <rPr>
        <sz val="10"/>
        <rFont val="Arial"/>
        <family val="0"/>
        <charset val="1"/>
      </rPr>
      <t xml:space="preserve">#shorts #2ch #</t>
    </r>
    <r>
      <rPr>
        <sz val="10"/>
        <rFont val="Noto Sans CJK SC"/>
        <family val="2"/>
      </rPr>
      <t xml:space="preserve">面白いスレ</t>
    </r>
  </si>
  <si>
    <r>
      <rPr>
        <sz val="10"/>
        <rFont val="Noto Sans CJK SC"/>
        <family val="2"/>
      </rPr>
      <t xml:space="preserve">御三家の相性が三すくみになったワケ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</si>
  <si>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雪夜に顔を隠す白粉婆…雪女とは違う恐ろしさ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</si>
  <si>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1</t>
    </r>
    <r>
      <rPr>
        <sz val="10"/>
        <rFont val="Noto Sans CJK SC"/>
        <family val="2"/>
      </rPr>
      <t xml:space="preserve">分ポケモン研究 </t>
    </r>
    <r>
      <rPr>
        <sz val="10"/>
        <rFont val="Arial"/>
        <family val="0"/>
        <charset val="1"/>
      </rPr>
      <t xml:space="preserve">#18</t>
    </r>
    <r>
      <rPr>
        <sz val="10"/>
        <rFont val="Noto Sans CJK SC"/>
        <family val="2"/>
      </rPr>
      <t xml:space="preserve">：👀ポケモンタワーに隠された秘密、あなたが見落とす</t>
    </r>
    <r>
      <rPr>
        <sz val="10"/>
        <rFont val="Arial"/>
        <family val="0"/>
        <charset val="1"/>
      </rPr>
      <t xml:space="preserve">3</t>
    </r>
    <r>
      <rPr>
        <sz val="10"/>
        <rFont val="Noto Sans CJK SC"/>
        <family val="2"/>
      </rPr>
      <t xml:space="preserve">つの違和感は？👀【ショート】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</si>
  <si>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#17</t>
    </r>
    <r>
      <rPr>
        <sz val="10"/>
        <rFont val="Noto Sans CJK SC"/>
        <family val="2"/>
      </rPr>
      <t xml:space="preserve">：❓妖怪ウォッチの将門伝説に隠された秘密、あなたが知らない</t>
    </r>
    <r>
      <rPr>
        <sz val="10"/>
        <rFont val="Arial"/>
        <family val="0"/>
        <charset val="1"/>
      </rPr>
      <t xml:space="preserve">3</t>
    </r>
    <r>
      <rPr>
        <sz val="10"/>
        <rFont val="Noto Sans CJK SC"/>
        <family val="2"/>
      </rPr>
      <t xml:space="preserve">つの異変？🔍【ショート】</t>
    </r>
  </si>
  <si>
    <r>
      <rPr>
        <sz val="10"/>
        <rFont val="Arial"/>
        <family val="0"/>
        <charset val="1"/>
      </rPr>
      <t xml:space="preserve">7</t>
    </r>
    <r>
      <rPr>
        <sz val="10"/>
        <rFont val="Noto Sans CJK SC"/>
        <family val="2"/>
      </rPr>
      <t xml:space="preserve">日間でずつ消えたエージェント名簿異常事件 </t>
    </r>
    <r>
      <rPr>
        <sz val="10"/>
        <rFont val="Arial"/>
        <family val="0"/>
        <charset val="1"/>
      </rPr>
      <t xml:space="preserve">#shorts #SCP #SCP</t>
    </r>
    <r>
      <rPr>
        <sz val="10"/>
        <rFont val="Noto Sans CJK SC"/>
        <family val="2"/>
      </rPr>
      <t xml:space="preserve">解説</t>
    </r>
  </si>
  <si>
    <r>
      <rPr>
        <sz val="10"/>
        <rFont val="Arial"/>
        <family val="0"/>
        <charset val="1"/>
      </rPr>
      <t xml:space="preserve">1</t>
    </r>
    <r>
      <rPr>
        <sz val="10"/>
        <rFont val="Noto Sans CJK SC"/>
        <family val="2"/>
      </rPr>
      <t xml:space="preserve">分妖怪ファイル </t>
    </r>
    <r>
      <rPr>
        <sz val="10"/>
        <rFont val="Arial"/>
        <family val="0"/>
        <charset val="1"/>
      </rPr>
      <t xml:space="preserve">#11</t>
    </r>
    <r>
      <rPr>
        <sz val="10"/>
        <rFont val="Noto Sans CJK SC"/>
        <family val="2"/>
      </rPr>
      <t xml:space="preserve">：🔍ぬらりひょんに隠された</t>
    </r>
    <r>
      <rPr>
        <sz val="10"/>
        <rFont val="Arial"/>
        <family val="0"/>
        <charset val="1"/>
      </rPr>
      <t xml:space="preserve">3</t>
    </r>
    <r>
      <rPr>
        <sz val="10"/>
        <rFont val="Noto Sans CJK SC"/>
        <family val="2"/>
      </rPr>
      <t xml:space="preserve">つの秘密、あなたの知る総大将はいつ生まれた？【ショート】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</si>
  <si>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#14</t>
    </r>
    <r>
      <rPr>
        <sz val="10"/>
        <rFont val="Noto Sans CJK SC"/>
        <family val="2"/>
      </rPr>
      <t xml:space="preserve">：❓コマさんとコマじろうの秘密、</t>
    </r>
    <r>
      <rPr>
        <sz val="10"/>
        <rFont val="Arial"/>
        <family val="0"/>
        <charset val="1"/>
      </rPr>
      <t xml:space="preserve">2</t>
    </r>
    <r>
      <rPr>
        <sz val="10"/>
        <rFont val="Noto Sans CJK SC"/>
        <family val="2"/>
      </rPr>
      <t xml:space="preserve">体で狛犬になる本当の理由は？【ショート】</t>
    </r>
  </si>
  <si>
    <r>
      <rPr>
        <sz val="10"/>
        <rFont val="Noto Sans CJK SC"/>
        <family val="2"/>
      </rPr>
      <t xml:space="preserve">一口</t>
    </r>
    <r>
      <rPr>
        <sz val="10"/>
        <rFont val="Arial"/>
        <family val="0"/>
        <charset val="1"/>
      </rPr>
      <t xml:space="preserve">SCP #107</t>
    </r>
    <r>
      <rPr>
        <sz val="10"/>
        <rFont val="Noto Sans CJK SC"/>
        <family val="2"/>
      </rPr>
      <t xml:space="preserve">：🫣</t>
    </r>
    <r>
      <rPr>
        <sz val="10"/>
        <rFont val="Arial"/>
        <family val="0"/>
        <charset val="1"/>
      </rPr>
      <t xml:space="preserve">SCP-4885</t>
    </r>
    <r>
      <rPr>
        <sz val="10"/>
        <rFont val="Noto Sans CJK SC"/>
        <family val="2"/>
      </rPr>
      <t xml:space="preserve">「ジョン・ウィルクス・ブース」写真を見るあなたへ迫る恐怖【ショート】</t>
    </r>
  </si>
  <si>
    <r>
      <rPr>
        <sz val="10"/>
        <rFont val="Noto Sans CJK SC"/>
        <family val="2"/>
      </rPr>
      <t xml:space="preserve">一口</t>
    </r>
    <r>
      <rPr>
        <sz val="10"/>
        <rFont val="Arial"/>
        <family val="0"/>
        <charset val="1"/>
      </rPr>
      <t xml:space="preserve">SCP #97</t>
    </r>
    <r>
      <rPr>
        <sz val="10"/>
        <rFont val="Noto Sans CJK SC"/>
        <family val="2"/>
      </rPr>
      <t xml:space="preserve">：💀</t>
    </r>
    <r>
      <rPr>
        <sz val="10"/>
        <rFont val="Arial"/>
        <family val="0"/>
        <charset val="1"/>
      </rPr>
      <t xml:space="preserve">SCP-3002</t>
    </r>
    <r>
      <rPr>
        <sz val="10"/>
        <rFont val="Noto Sans CJK SC"/>
        <family val="2"/>
      </rPr>
      <t xml:space="preserve">「情報災害」あなたの記憶まで消す報告書の恐怖【ショート】</t>
    </r>
  </si>
  <si>
    <r>
      <rPr>
        <sz val="10"/>
        <rFont val="Noto Sans CJK SC"/>
        <family val="2"/>
      </rPr>
      <t xml:space="preserve">一口</t>
    </r>
    <r>
      <rPr>
        <sz val="10"/>
        <rFont val="Arial"/>
        <family val="0"/>
        <charset val="1"/>
      </rPr>
      <t xml:space="preserve">SCP #91</t>
    </r>
    <r>
      <rPr>
        <sz val="10"/>
        <rFont val="Noto Sans CJK SC"/>
        <family val="2"/>
      </rPr>
      <t xml:space="preserve">：⚠️</t>
    </r>
    <r>
      <rPr>
        <sz val="10"/>
        <rFont val="Arial"/>
        <family val="0"/>
        <charset val="1"/>
      </rPr>
      <t xml:space="preserve">SCP-1523-JP</t>
    </r>
    <r>
      <rPr>
        <sz val="10"/>
        <rFont val="Noto Sans CJK SC"/>
        <family val="2"/>
      </rPr>
      <t xml:space="preserve">「かまいたち」— 被害記録</t>
    </r>
    <r>
      <rPr>
        <sz val="10"/>
        <rFont val="Arial"/>
        <family val="0"/>
        <charset val="1"/>
      </rPr>
      <t xml:space="preserve">17</t>
    </r>
    <r>
      <rPr>
        <sz val="10"/>
        <rFont val="Noto Sans CJK SC"/>
        <family val="2"/>
      </rPr>
      <t xml:space="preserve">件、傷だけ残った夜【ショート】</t>
    </r>
  </si>
  <si>
    <r>
      <rPr>
        <sz val="10"/>
        <rFont val="Noto Sans CJK SC"/>
        <family val="2"/>
      </rPr>
      <t xml:space="preserve">一口</t>
    </r>
    <r>
      <rPr>
        <sz val="10"/>
        <rFont val="Arial"/>
        <family val="0"/>
        <charset val="1"/>
      </rPr>
      <t xml:space="preserve">SCP #93</t>
    </r>
    <r>
      <rPr>
        <sz val="10"/>
        <rFont val="Noto Sans CJK SC"/>
        <family val="2"/>
      </rPr>
      <t xml:space="preserve">：⚠️</t>
    </r>
    <r>
      <rPr>
        <sz val="10"/>
        <rFont val="Arial"/>
        <family val="0"/>
        <charset val="1"/>
      </rPr>
      <t xml:space="preserve">SCP-1689</t>
    </r>
    <r>
      <rPr>
        <sz val="10"/>
        <rFont val="Noto Sans CJK SC"/>
        <family val="2"/>
      </rPr>
      <t xml:space="preserve">「黒いジャガイモ」— 摂取実験</t>
    </r>
    <r>
      <rPr>
        <sz val="10"/>
        <rFont val="Arial"/>
        <family val="0"/>
        <charset val="1"/>
      </rPr>
      <t xml:space="preserve">8</t>
    </r>
    <r>
      <rPr>
        <sz val="10"/>
        <rFont val="Noto Sans CJK SC"/>
        <family val="2"/>
      </rPr>
      <t xml:space="preserve">件、帰還率</t>
    </r>
    <r>
      <rPr>
        <sz val="10"/>
        <rFont val="Arial"/>
        <family val="0"/>
        <charset val="1"/>
      </rPr>
      <t xml:space="preserve">0%</t>
    </r>
    <r>
      <rPr>
        <sz val="10"/>
        <rFont val="Noto Sans CJK SC"/>
        <family val="2"/>
      </rPr>
      <t xml:space="preserve">だった【ショート】</t>
    </r>
  </si>
  <si>
    <r>
      <rPr>
        <sz val="10"/>
        <rFont val="Noto Sans CJK SC"/>
        <family val="2"/>
      </rPr>
      <t xml:space="preserve">⚠️三菱重工の年収がヤバい 平均</t>
    </r>
    <r>
      <rPr>
        <sz val="10"/>
        <rFont val="Arial"/>
        <family val="0"/>
        <charset val="1"/>
      </rPr>
      <t xml:space="preserve">965</t>
    </r>
    <r>
      <rPr>
        <sz val="10"/>
        <rFont val="Noto Sans CJK SC"/>
        <family val="2"/>
      </rPr>
      <t xml:space="preserve">万円、その裏側【ショート】</t>
    </r>
  </si>
  <si>
    <r>
      <rPr>
        <sz val="10"/>
        <rFont val="Arial"/>
        <family val="0"/>
        <charset val="1"/>
      </rPr>
      <t xml:space="preserve">1</t>
    </r>
    <r>
      <rPr>
        <sz val="10"/>
        <rFont val="Noto Sans CJK SC"/>
        <family val="2"/>
      </rPr>
      <t xml:space="preserve">分科学 </t>
    </r>
    <r>
      <rPr>
        <sz val="10"/>
        <rFont val="Arial"/>
        <family val="0"/>
        <charset val="1"/>
      </rPr>
      <t xml:space="preserve">#101</t>
    </r>
    <r>
      <rPr>
        <sz val="10"/>
        <rFont val="Noto Sans CJK SC"/>
        <family val="2"/>
      </rPr>
      <t xml:space="preserve">：🧪なぜ</t>
    </r>
    <r>
      <rPr>
        <sz val="10"/>
        <rFont val="Arial"/>
        <family val="0"/>
        <charset val="1"/>
      </rPr>
      <t xml:space="preserve">24</t>
    </r>
    <r>
      <rPr>
        <sz val="10"/>
        <rFont val="Noto Sans CJK SC"/>
        <family val="2"/>
      </rPr>
      <t xml:space="preserve">時間テレビを</t>
    </r>
    <r>
      <rPr>
        <sz val="10"/>
        <rFont val="Arial"/>
        <family val="0"/>
        <charset val="1"/>
      </rPr>
      <t xml:space="preserve">2</t>
    </r>
    <r>
      <rPr>
        <sz val="10"/>
        <rFont val="Noto Sans CJK SC"/>
        <family val="2"/>
      </rPr>
      <t xml:space="preserve">時間見ると寝つきが変わる？あなたの夢に残る映像の正体【ショート】</t>
    </r>
  </si>
  <si>
    <r>
      <rPr>
        <sz val="10"/>
        <rFont val="Noto Sans CJK SC"/>
        <family val="2"/>
      </rPr>
      <t xml:space="preserve">なぜ妖怪は山を下り里に現れるようになったのか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</si>
  <si>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i val="true"/>
        <sz val="9"/>
        <color rgb="FF666666"/>
        <rFont val="Noto Sans CJK SC"/>
        <family val="2"/>
      </rPr>
      <t xml:space="preserve">※ 緑</t>
    </r>
    <r>
      <rPr>
        <i val="true"/>
        <sz val="9"/>
        <color rgb="FF666666"/>
        <rFont val="Arial"/>
        <family val="0"/>
        <charset val="1"/>
      </rPr>
      <t xml:space="preserve">=</t>
    </r>
    <r>
      <rPr>
        <i val="true"/>
        <sz val="9"/>
        <color rgb="FF666666"/>
        <rFont val="Noto Sans CJK SC"/>
        <family val="2"/>
      </rPr>
      <t xml:space="preserve">登録</t>
    </r>
    <r>
      <rPr>
        <i val="true"/>
        <sz val="9"/>
        <color rgb="FF666666"/>
        <rFont val="Arial"/>
        <family val="0"/>
        <charset val="1"/>
      </rPr>
      <t xml:space="preserve">/</t>
    </r>
    <r>
      <rPr>
        <i val="true"/>
        <sz val="9"/>
        <color rgb="FF666666"/>
        <rFont val="Noto Sans CJK SC"/>
        <family val="2"/>
      </rPr>
      <t xml:space="preserve">千再生 </t>
    </r>
    <r>
      <rPr>
        <i val="true"/>
        <sz val="9"/>
        <color rgb="FF666666"/>
        <rFont val="Arial"/>
        <family val="0"/>
        <charset val="1"/>
      </rPr>
      <t xml:space="preserve">1.5 </t>
    </r>
    <r>
      <rPr>
        <i val="true"/>
        <sz val="9"/>
        <color rgb="FF666666"/>
        <rFont val="Noto Sans CJK SC"/>
        <family val="2"/>
      </rPr>
      <t xml:space="preserve">以上 </t>
    </r>
    <r>
      <rPr>
        <i val="true"/>
        <sz val="9"/>
        <color rgb="FF666666"/>
        <rFont val="Arial"/>
        <family val="0"/>
        <charset val="1"/>
      </rPr>
      <t xml:space="preserve">/ </t>
    </r>
    <r>
      <rPr>
        <i val="true"/>
        <sz val="9"/>
        <color rgb="FF666666"/>
        <rFont val="Noto Sans CJK SC"/>
        <family val="2"/>
      </rPr>
      <t xml:space="preserve">赤</t>
    </r>
    <r>
      <rPr>
        <i val="true"/>
        <sz val="9"/>
        <color rgb="FF666666"/>
        <rFont val="Arial"/>
        <family val="0"/>
        <charset val="1"/>
      </rPr>
      <t xml:space="preserve">=800</t>
    </r>
    <r>
      <rPr>
        <i val="true"/>
        <sz val="9"/>
        <color rgb="FF666666"/>
        <rFont val="Noto Sans CJK SC"/>
        <family val="2"/>
      </rPr>
      <t xml:space="preserve">再生以上あるのに登録 </t>
    </r>
    <r>
      <rPr>
        <i val="true"/>
        <sz val="9"/>
        <color rgb="FF666666"/>
        <rFont val="Arial"/>
        <family val="0"/>
        <charset val="1"/>
      </rPr>
      <t xml:space="preserve">0 </t>
    </r>
    <r>
      <rPr>
        <i val="true"/>
        <sz val="9"/>
        <color rgb="FF666666"/>
        <rFont val="Noto Sans CJK SC"/>
        <family val="2"/>
      </rPr>
      <t xml:space="preserve">人。※ インプレッションと</t>
    </r>
    <r>
      <rPr>
        <i val="true"/>
        <sz val="9"/>
        <color rgb="FF666666"/>
        <rFont val="Arial"/>
        <family val="0"/>
        <charset val="1"/>
      </rPr>
      <t xml:space="preserve">CTR</t>
    </r>
    <r>
      <rPr>
        <i val="true"/>
        <sz val="9"/>
        <color rgb="FF666666"/>
        <rFont val="Noto Sans CJK SC"/>
        <family val="2"/>
      </rPr>
      <t xml:space="preserve">は </t>
    </r>
    <r>
      <rPr>
        <i val="true"/>
        <sz val="9"/>
        <color rgb="FF666666"/>
        <rFont val="Arial"/>
        <family val="0"/>
        <charset val="1"/>
      </rPr>
      <t xml:space="preserve">Shorts </t>
    </r>
    <r>
      <rPr>
        <i val="true"/>
        <sz val="9"/>
        <color rgb="FF666666"/>
        <rFont val="Noto Sans CJK SC"/>
        <family val="2"/>
      </rPr>
      <t xml:space="preserve">では大半が未計測のため参考値。</t>
    </r>
  </si>
  <si>
    <t xml:space="preserve">改善アクション</t>
  </si>
  <si>
    <t xml:space="preserve">#</t>
  </si>
  <si>
    <t xml:space="preserve">優先</t>
  </si>
  <si>
    <t xml:space="preserve">対象</t>
  </si>
  <si>
    <t xml:space="preserve">アクション</t>
  </si>
  <si>
    <t xml:space="preserve">根拠（実測）</t>
  </si>
  <si>
    <t xml:space="preserve">実施状況</t>
  </si>
  <si>
    <t xml:space="preserve">期待効果</t>
  </si>
  <si>
    <t xml:space="preserve">検証日</t>
  </si>
  <si>
    <r>
      <rPr>
        <sz val="10"/>
        <rFont val="Noto Sans CJK SC"/>
        <family val="2"/>
      </rPr>
      <t xml:space="preserve">全</t>
    </r>
    <r>
      <rPr>
        <sz val="10"/>
        <rFont val="Arial"/>
        <family val="0"/>
        <charset val="1"/>
      </rPr>
      <t xml:space="preserve">9ch</t>
    </r>
  </si>
  <si>
    <r>
      <rPr>
        <sz val="10"/>
        <rFont val="Noto Sans CJK SC"/>
        <family val="2"/>
      </rPr>
      <t xml:space="preserve">各チャンネルで </t>
    </r>
    <r>
      <rPr>
        <sz val="10"/>
        <rFont val="Arial"/>
        <family val="0"/>
        <charset val="1"/>
      </rPr>
      <t xml:space="preserve">youtube.com/verify </t>
    </r>
    <r>
      <rPr>
        <sz val="10"/>
        <rFont val="Noto Sans CJK SC"/>
        <family val="2"/>
      </rPr>
      <t xml:space="preserve">から電話番号確認を通し、カスタムサムネイル権限を取得する。取得後に滞留分のサムネを貼り直す。</t>
    </r>
  </si>
  <si>
    <r>
      <rPr>
        <sz val="10"/>
        <rFont val="Noto Sans CJK SC"/>
        <family val="2"/>
      </rPr>
      <t xml:space="preserve">バックエンドログ全体</t>
    </r>
    <r>
      <rPr>
        <sz val="10"/>
        <rFont val="Arial"/>
        <family val="0"/>
        <charset val="1"/>
      </rPr>
      <t xml:space="preserve">(84MB)</t>
    </r>
    <r>
      <rPr>
        <sz val="10"/>
        <rFont val="Noto Sans CJK SC"/>
        <family val="2"/>
      </rPr>
      <t xml:space="preserve">を横断集計。サムネ設定成功</t>
    </r>
    <r>
      <rPr>
        <sz val="10"/>
        <rFont val="Arial"/>
        <family val="0"/>
        <charset val="1"/>
      </rPr>
      <t xml:space="preserve">=daily-science 21</t>
    </r>
    <r>
      <rPr>
        <sz val="10"/>
        <rFont val="Noto Sans CJK SC"/>
        <family val="2"/>
      </rPr>
      <t xml:space="preserve">本のみ、失敗</t>
    </r>
    <r>
      <rPr>
        <sz val="10"/>
        <rFont val="Arial"/>
        <family val="0"/>
        <charset val="1"/>
      </rPr>
      <t xml:space="preserve">=</t>
    </r>
    <r>
      <rPr>
        <sz val="10"/>
        <rFont val="Noto Sans CJK SC"/>
        <family val="2"/>
      </rPr>
      <t xml:space="preserve">他</t>
    </r>
    <r>
      <rPr>
        <sz val="10"/>
        <rFont val="Arial"/>
        <family val="0"/>
        <charset val="1"/>
      </rPr>
      <t xml:space="preserve">9ch 163</t>
    </r>
    <r>
      <rPr>
        <sz val="10"/>
        <rFont val="Noto Sans CJK SC"/>
        <family val="2"/>
      </rPr>
      <t xml:space="preserve">本。全件 </t>
    </r>
    <r>
      <rPr>
        <sz val="10"/>
        <rFont val="Arial"/>
        <family val="0"/>
        <charset val="1"/>
      </rPr>
      <t xml:space="preserve">HTTP 403 'doesn't have permissions to upload and set custom video thumbnails'</t>
    </r>
    <r>
      <rPr>
        <sz val="10"/>
        <rFont val="Noto Sans CJK SC"/>
        <family val="2"/>
      </rPr>
      <t xml:space="preserve">。</t>
    </r>
  </si>
  <si>
    <t xml:space="preserve">★人の作業が必要（未実施）</t>
  </si>
  <si>
    <r>
      <rPr>
        <sz val="10"/>
        <rFont val="Noto Sans CJK SC"/>
        <family val="2"/>
      </rPr>
      <t xml:space="preserve">サムネ改善施策が初めて視聴者に届く。</t>
    </r>
    <r>
      <rPr>
        <sz val="10"/>
        <rFont val="Arial"/>
        <family val="0"/>
        <charset val="1"/>
      </rPr>
      <t xml:space="preserve">CTR</t>
    </r>
    <r>
      <rPr>
        <sz val="10"/>
        <rFont val="Noto Sans CJK SC"/>
        <family val="2"/>
      </rPr>
      <t xml:space="preserve">経由で再生・登録の双方に効く。</t>
    </r>
  </si>
  <si>
    <t xml:space="preserve">2026-09-21</t>
  </si>
  <si>
    <t xml:space="preserve">GCP</t>
  </si>
  <si>
    <r>
      <rPr>
        <sz val="10"/>
        <rFont val="Arial"/>
        <family val="0"/>
        <charset val="1"/>
      </rPr>
      <t xml:space="preserve">OAuth </t>
    </r>
    <r>
      <rPr>
        <sz val="10"/>
        <rFont val="Noto Sans CJK SC"/>
        <family val="2"/>
      </rPr>
      <t xml:space="preserve">同意画面を「テスト」→「本番」に公開し、そのあと全 </t>
    </r>
    <r>
      <rPr>
        <sz val="10"/>
        <rFont val="Arial"/>
        <family val="0"/>
        <charset val="1"/>
      </rPr>
      <t xml:space="preserve">ch </t>
    </r>
    <r>
      <rPr>
        <sz val="10"/>
        <rFont val="Noto Sans CJK SC"/>
        <family val="2"/>
      </rPr>
      <t xml:space="preserve">を再認可する。</t>
    </r>
  </si>
  <si>
    <r>
      <rPr>
        <sz val="10"/>
        <rFont val="Noto Sans CJK SC"/>
        <family val="2"/>
      </rPr>
      <t xml:space="preserve">テスト状態のリフレッシュトークンは </t>
    </r>
    <r>
      <rPr>
        <sz val="10"/>
        <rFont val="Arial"/>
        <family val="0"/>
        <charset val="1"/>
      </rPr>
      <t xml:space="preserve">7 </t>
    </r>
    <r>
      <rPr>
        <sz val="10"/>
        <rFont val="Noto Sans CJK SC"/>
        <family val="2"/>
      </rPr>
      <t xml:space="preserve">日で失効。</t>
    </r>
    <r>
      <rPr>
        <sz val="10"/>
        <rFont val="Arial"/>
        <family val="0"/>
        <charset val="1"/>
      </rPr>
      <t xml:space="preserve">09-01/09-07/09-09 </t>
    </r>
    <r>
      <rPr>
        <sz val="10"/>
        <rFont val="Noto Sans CJK SC"/>
        <family val="2"/>
      </rPr>
      <t xml:space="preserve">と </t>
    </r>
    <r>
      <rPr>
        <sz val="10"/>
        <rFont val="Arial"/>
        <family val="0"/>
        <charset val="1"/>
      </rPr>
      <t xml:space="preserve">3 </t>
    </r>
    <r>
      <rPr>
        <sz val="10"/>
        <rFont val="Noto Sans CJK SC"/>
        <family val="2"/>
      </rPr>
      <t xml:space="preserve">回全 </t>
    </r>
    <r>
      <rPr>
        <sz val="10"/>
        <rFont val="Arial"/>
        <family val="0"/>
        <charset val="1"/>
      </rPr>
      <t xml:space="preserve">ch </t>
    </r>
    <r>
      <rPr>
        <sz val="10"/>
        <rFont val="Noto Sans CJK SC"/>
        <family val="2"/>
      </rPr>
      <t xml:space="preserve">同時に落ちている。</t>
    </r>
  </si>
  <si>
    <r>
      <rPr>
        <sz val="10"/>
        <rFont val="Arial"/>
        <family val="0"/>
        <charset val="1"/>
      </rPr>
      <t xml:space="preserve">7</t>
    </r>
    <r>
      <rPr>
        <sz val="10"/>
        <rFont val="Noto Sans CJK SC"/>
        <family val="2"/>
      </rPr>
      <t xml:space="preserve">日周期の全停止が止まる。前回の逸失は</t>
    </r>
    <r>
      <rPr>
        <sz val="10"/>
        <rFont val="Arial"/>
        <family val="0"/>
        <charset val="1"/>
      </rPr>
      <t xml:space="preserve">5</t>
    </r>
    <r>
      <rPr>
        <sz val="10"/>
        <rFont val="Noto Sans CJK SC"/>
        <family val="2"/>
      </rPr>
      <t xml:space="preserve">日で約</t>
    </r>
    <r>
      <rPr>
        <sz val="10"/>
        <rFont val="Arial"/>
        <family val="0"/>
        <charset val="1"/>
      </rPr>
      <t xml:space="preserve">77,300</t>
    </r>
    <r>
      <rPr>
        <sz val="10"/>
        <rFont val="Noto Sans CJK SC"/>
        <family val="2"/>
      </rPr>
      <t xml:space="preserve">再生・登録</t>
    </r>
    <r>
      <rPr>
        <sz val="10"/>
        <rFont val="Arial"/>
        <family val="0"/>
        <charset val="1"/>
      </rPr>
      <t xml:space="preserve">38</t>
    </r>
    <r>
      <rPr>
        <sz val="10"/>
        <rFont val="Noto Sans CJK SC"/>
        <family val="2"/>
      </rPr>
      <t xml:space="preserve">人相当。</t>
    </r>
  </si>
  <si>
    <t xml:space="preserve">2026-09-20</t>
  </si>
  <si>
    <r>
      <rPr>
        <sz val="10"/>
        <rFont val="Noto Sans CJK SC"/>
        <family val="2"/>
      </rPr>
      <t xml:space="preserve">タイトルを「なぜ／本当の理由＋具体数字」の </t>
    </r>
    <r>
      <rPr>
        <sz val="10"/>
        <rFont val="Arial"/>
        <family val="0"/>
        <charset val="1"/>
      </rPr>
      <t xml:space="preserve">A </t>
    </r>
    <r>
      <rPr>
        <sz val="10"/>
        <rFont val="Noto Sans CJK SC"/>
        <family val="2"/>
      </rPr>
      <t xml:space="preserve">型に統一。大喜利・参加型・共感あるある型は先頭に置かない。下ネタ・面白ジャンルは維持（変えるのは型）。</t>
    </r>
  </si>
  <si>
    <r>
      <rPr>
        <sz val="10"/>
        <rFont val="Arial"/>
        <family val="0"/>
        <charset val="1"/>
      </rPr>
      <t xml:space="preserve">A</t>
    </r>
    <r>
      <rPr>
        <sz val="10"/>
        <rFont val="Noto Sans CJK SC"/>
        <family val="2"/>
      </rPr>
      <t xml:space="preserve">型 </t>
    </r>
    <r>
      <rPr>
        <sz val="10"/>
        <rFont val="Arial"/>
        <family val="0"/>
        <charset val="1"/>
      </rPr>
      <t xml:space="preserve">0.36(n=16) </t>
    </r>
    <r>
      <rPr>
        <sz val="10"/>
        <rFont val="Noto Sans CJK SC"/>
        <family val="2"/>
      </rPr>
      <t xml:space="preserve">に対し </t>
    </r>
    <r>
      <rPr>
        <sz val="10"/>
        <rFont val="Arial"/>
        <family val="0"/>
        <charset val="1"/>
      </rPr>
      <t xml:space="preserve">C</t>
    </r>
    <r>
      <rPr>
        <sz val="10"/>
        <rFont val="Noto Sans CJK SC"/>
        <family val="2"/>
      </rPr>
      <t xml:space="preserve">型 </t>
    </r>
    <r>
      <rPr>
        <sz val="10"/>
        <rFont val="Arial"/>
        <family val="0"/>
        <charset val="1"/>
      </rPr>
      <t xml:space="preserve">0.07(n=16)</t>
    </r>
    <r>
      <rPr>
        <sz val="10"/>
        <rFont val="Noto Sans CJK SC"/>
        <family val="2"/>
      </rPr>
      <t xml:space="preserve">・</t>
    </r>
    <r>
      <rPr>
        <sz val="10"/>
        <rFont val="Arial"/>
        <family val="0"/>
        <charset val="1"/>
      </rPr>
      <t xml:space="preserve">D</t>
    </r>
    <r>
      <rPr>
        <sz val="10"/>
        <rFont val="Noto Sans CJK SC"/>
        <family val="2"/>
      </rPr>
      <t xml:space="preserve">型 </t>
    </r>
    <r>
      <rPr>
        <sz val="10"/>
        <rFont val="Arial"/>
        <family val="0"/>
        <charset val="1"/>
      </rPr>
      <t xml:space="preserve">0.09(n=10)</t>
    </r>
    <r>
      <rPr>
        <sz val="10"/>
        <rFont val="Noto Sans CJK SC"/>
        <family val="2"/>
      </rPr>
      <t xml:space="preserve">。</t>
    </r>
    <r>
      <rPr>
        <sz val="10"/>
        <rFont val="Arial"/>
        <family val="0"/>
        <charset val="1"/>
      </rPr>
      <t xml:space="preserve">A</t>
    </r>
    <r>
      <rPr>
        <sz val="10"/>
        <rFont val="Noto Sans CJK SC"/>
        <family val="2"/>
      </rPr>
      <t xml:space="preserve">型は他型の</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倍。再生上位</t>
    </r>
    <r>
      <rPr>
        <sz val="10"/>
        <rFont val="Arial"/>
        <family val="0"/>
        <charset val="1"/>
      </rPr>
      <t xml:space="preserve">5</t>
    </r>
    <r>
      <rPr>
        <sz val="10"/>
        <rFont val="Noto Sans CJK SC"/>
        <family val="2"/>
      </rPr>
      <t xml:space="preserve">本（</t>
    </r>
    <r>
      <rPr>
        <sz val="10"/>
        <rFont val="Arial"/>
        <family val="0"/>
        <charset val="1"/>
      </rPr>
      <t xml:space="preserve">1,236</t>
    </r>
    <r>
      <rPr>
        <sz val="10"/>
        <rFont val="Noto Sans CJK SC"/>
        <family val="2"/>
      </rPr>
      <t xml:space="preserve">〜</t>
    </r>
    <r>
      <rPr>
        <sz val="10"/>
        <rFont val="Arial"/>
        <family val="0"/>
        <charset val="1"/>
      </rPr>
      <t xml:space="preserve">1,815</t>
    </r>
    <r>
      <rPr>
        <sz val="10"/>
        <rFont val="Noto Sans CJK SC"/>
        <family val="2"/>
      </rPr>
      <t xml:space="preserve">再生・維持率</t>
    </r>
    <r>
      <rPr>
        <sz val="10"/>
        <rFont val="Arial"/>
        <family val="0"/>
        <charset val="1"/>
      </rPr>
      <t xml:space="preserve">41.9</t>
    </r>
    <r>
      <rPr>
        <sz val="10"/>
        <rFont val="Noto Sans CJK SC"/>
        <family val="2"/>
      </rPr>
      <t xml:space="preserve">〜</t>
    </r>
    <r>
      <rPr>
        <sz val="10"/>
        <rFont val="Arial"/>
        <family val="0"/>
        <charset val="1"/>
      </rPr>
      <t xml:space="preserve">81.4%</t>
    </r>
    <r>
      <rPr>
        <sz val="10"/>
        <rFont val="Noto Sans CJK SC"/>
        <family val="2"/>
      </rPr>
      <t xml:space="preserve">）はすべて共感型で登録</t>
    </r>
    <r>
      <rPr>
        <sz val="10"/>
        <rFont val="Arial"/>
        <family val="0"/>
        <charset val="1"/>
      </rPr>
      <t xml:space="preserve">0</t>
    </r>
    <r>
      <rPr>
        <sz val="10"/>
        <rFont val="Noto Sans CJK SC"/>
        <family val="2"/>
      </rPr>
      <t xml:space="preserve">人。</t>
    </r>
  </si>
  <si>
    <r>
      <rPr>
        <sz val="10"/>
        <rFont val="Noto Sans CJK SC"/>
        <family val="2"/>
      </rPr>
      <t xml:space="preserve">✅ 本日適用（キュー再配置＋</t>
    </r>
    <r>
      <rPr>
        <sz val="10"/>
        <rFont val="Arial"/>
        <family val="0"/>
        <charset val="1"/>
      </rPr>
      <t xml:space="preserve">5</t>
    </r>
    <r>
      <rPr>
        <sz val="10"/>
        <rFont val="Noto Sans CJK SC"/>
        <family val="2"/>
      </rPr>
      <t xml:space="preserve">件補充）</t>
    </r>
  </si>
  <si>
    <r>
      <rPr>
        <sz val="10"/>
        <rFont val="Noto Sans CJK SC"/>
        <family val="2"/>
      </rPr>
      <t xml:space="preserve">当</t>
    </r>
    <r>
      <rPr>
        <sz val="10"/>
        <rFont val="Arial"/>
        <family val="0"/>
        <charset val="1"/>
      </rPr>
      <t xml:space="preserve">ch </t>
    </r>
    <r>
      <rPr>
        <sz val="10"/>
        <rFont val="Noto Sans CJK SC"/>
        <family val="2"/>
      </rPr>
      <t xml:space="preserve">登録</t>
    </r>
    <r>
      <rPr>
        <sz val="10"/>
        <rFont val="Arial"/>
        <family val="0"/>
        <charset val="1"/>
      </rPr>
      <t xml:space="preserve">/</t>
    </r>
    <r>
      <rPr>
        <sz val="10"/>
        <rFont val="Noto Sans CJK SC"/>
        <family val="2"/>
      </rPr>
      <t xml:space="preserve">千 </t>
    </r>
    <r>
      <rPr>
        <sz val="10"/>
        <rFont val="Arial"/>
        <family val="0"/>
        <charset val="1"/>
      </rPr>
      <t xml:space="preserve">0.184 → 0.35 </t>
    </r>
    <r>
      <rPr>
        <sz val="10"/>
        <rFont val="Noto Sans CJK SC"/>
        <family val="2"/>
      </rPr>
      <t xml:space="preserve">前後</t>
    </r>
  </si>
  <si>
    <r>
      <rPr>
        <sz val="10"/>
        <rFont val="Noto Sans CJK SC"/>
        <family val="2"/>
      </rPr>
      <t xml:space="preserve">タイトルから数字を完全に排除し、疑問フレームのみの </t>
    </r>
    <r>
      <rPr>
        <sz val="10"/>
        <rFont val="Arial"/>
        <family val="0"/>
        <charset val="1"/>
      </rPr>
      <t xml:space="preserve">B </t>
    </r>
    <r>
      <rPr>
        <sz val="10"/>
        <rFont val="Noto Sans CJK SC"/>
        <family val="2"/>
      </rPr>
      <t xml:space="preserve">型に統一する。</t>
    </r>
  </si>
  <si>
    <r>
      <rPr>
        <sz val="10"/>
        <rFont val="Arial"/>
        <family val="0"/>
        <charset val="1"/>
      </rPr>
      <t xml:space="preserve">B</t>
    </r>
    <r>
      <rPr>
        <sz val="10"/>
        <rFont val="Noto Sans CJK SC"/>
        <family val="2"/>
      </rPr>
      <t xml:space="preserve">型 </t>
    </r>
    <r>
      <rPr>
        <sz val="10"/>
        <rFont val="Arial"/>
        <family val="0"/>
        <charset val="1"/>
      </rPr>
      <t xml:space="preserve">1.37(n=9) &gt; D</t>
    </r>
    <r>
      <rPr>
        <sz val="10"/>
        <rFont val="Noto Sans CJK SC"/>
        <family val="2"/>
      </rPr>
      <t xml:space="preserve">型 </t>
    </r>
    <r>
      <rPr>
        <sz val="10"/>
        <rFont val="Arial"/>
        <family val="0"/>
        <charset val="1"/>
      </rPr>
      <t xml:space="preserve">0.53(n=8) &gt; C</t>
    </r>
    <r>
      <rPr>
        <sz val="10"/>
        <rFont val="Noto Sans CJK SC"/>
        <family val="2"/>
      </rPr>
      <t xml:space="preserve">型 </t>
    </r>
    <r>
      <rPr>
        <sz val="10"/>
        <rFont val="Arial"/>
        <family val="0"/>
        <charset val="1"/>
      </rPr>
      <t xml:space="preserve">0.39(n=8) &gt; A</t>
    </r>
    <r>
      <rPr>
        <sz val="10"/>
        <rFont val="Noto Sans CJK SC"/>
        <family val="2"/>
      </rPr>
      <t xml:space="preserve">型 </t>
    </r>
    <r>
      <rPr>
        <sz val="10"/>
        <rFont val="Arial"/>
        <family val="0"/>
        <charset val="1"/>
      </rPr>
      <t xml:space="preserve">0.00(n=5)</t>
    </r>
    <r>
      <rPr>
        <sz val="10"/>
        <rFont val="Noto Sans CJK SC"/>
        <family val="2"/>
      </rPr>
      <t xml:space="preserve">。数字を入れた瞬間に登録がゼロになる。</t>
    </r>
  </si>
  <si>
    <r>
      <rPr>
        <sz val="10"/>
        <rFont val="Noto Sans CJK SC"/>
        <family val="2"/>
      </rPr>
      <t xml:space="preserve">✅ 本日適用（型ルール設定・キュー全</t>
    </r>
    <r>
      <rPr>
        <sz val="10"/>
        <rFont val="Arial"/>
        <family val="0"/>
        <charset val="1"/>
      </rPr>
      <t xml:space="preserve">23</t>
    </r>
    <r>
      <rPr>
        <sz val="10"/>
        <rFont val="Noto Sans CJK SC"/>
        <family val="2"/>
      </rPr>
      <t xml:space="preserve">件が</t>
    </r>
    <r>
      <rPr>
        <sz val="10"/>
        <rFont val="Arial"/>
        <family val="0"/>
        <charset val="1"/>
      </rPr>
      <t xml:space="preserve">B</t>
    </r>
    <r>
      <rPr>
        <sz val="10"/>
        <rFont val="Noto Sans CJK SC"/>
        <family val="2"/>
      </rPr>
      <t xml:space="preserve">型）</t>
    </r>
  </si>
  <si>
    <r>
      <rPr>
        <sz val="10"/>
        <rFont val="Noto Sans CJK SC"/>
        <family val="2"/>
      </rPr>
      <t xml:space="preserve">直近</t>
    </r>
    <r>
      <rPr>
        <sz val="10"/>
        <rFont val="Arial"/>
        <family val="0"/>
        <charset val="1"/>
      </rPr>
      <t xml:space="preserve">14</t>
    </r>
    <r>
      <rPr>
        <sz val="10"/>
        <rFont val="Noto Sans CJK SC"/>
        <family val="2"/>
      </rPr>
      <t xml:space="preserve">日 </t>
    </r>
    <r>
      <rPr>
        <sz val="10"/>
        <rFont val="Arial"/>
        <family val="0"/>
        <charset val="1"/>
      </rPr>
      <t xml:space="preserve">1.202 </t>
    </r>
    <r>
      <rPr>
        <sz val="10"/>
        <rFont val="Noto Sans CJK SC"/>
        <family val="2"/>
      </rPr>
      <t xml:space="preserve">の水準を維持・上積み</t>
    </r>
  </si>
  <si>
    <r>
      <rPr>
        <sz val="10"/>
        <rFont val="Noto Sans CJK SC"/>
        <family val="2"/>
      </rPr>
      <t xml:space="preserve">数値提示（</t>
    </r>
    <r>
      <rPr>
        <sz val="10"/>
        <rFont val="Arial"/>
        <family val="0"/>
        <charset val="1"/>
      </rPr>
      <t xml:space="preserve">C</t>
    </r>
    <r>
      <rPr>
        <sz val="10"/>
        <rFont val="Noto Sans CJK SC"/>
        <family val="2"/>
      </rPr>
      <t xml:space="preserve">型）を最優先に据え、「なぜ〜？」の疑問フレームは当</t>
    </r>
    <r>
      <rPr>
        <sz val="10"/>
        <rFont val="Arial"/>
        <family val="0"/>
        <charset val="1"/>
      </rPr>
      <t xml:space="preserve">ch</t>
    </r>
    <r>
      <rPr>
        <sz val="10"/>
        <rFont val="Noto Sans CJK SC"/>
        <family val="2"/>
      </rPr>
      <t xml:space="preserve">では使わない。</t>
    </r>
  </si>
  <si>
    <r>
      <rPr>
        <sz val="10"/>
        <rFont val="Arial"/>
        <family val="0"/>
        <charset val="1"/>
      </rPr>
      <t xml:space="preserve">C</t>
    </r>
    <r>
      <rPr>
        <sz val="10"/>
        <rFont val="Noto Sans CJK SC"/>
        <family val="2"/>
      </rPr>
      <t xml:space="preserve">型 </t>
    </r>
    <r>
      <rPr>
        <sz val="10"/>
        <rFont val="Arial"/>
        <family val="0"/>
        <charset val="1"/>
      </rPr>
      <t xml:space="preserve">0.53(n=9) &gt; B</t>
    </r>
    <r>
      <rPr>
        <sz val="10"/>
        <rFont val="Noto Sans CJK SC"/>
        <family val="2"/>
      </rPr>
      <t xml:space="preserve">型 </t>
    </r>
    <r>
      <rPr>
        <sz val="10"/>
        <rFont val="Arial"/>
        <family val="0"/>
        <charset val="1"/>
      </rPr>
      <t xml:space="preserve">0.35(n=6) &gt; A</t>
    </r>
    <r>
      <rPr>
        <sz val="10"/>
        <rFont val="Noto Sans CJK SC"/>
        <family val="2"/>
      </rPr>
      <t xml:space="preserve">型 </t>
    </r>
    <r>
      <rPr>
        <sz val="10"/>
        <rFont val="Arial"/>
        <family val="0"/>
        <charset val="1"/>
      </rPr>
      <t xml:space="preserve">0.17(n=16)</t>
    </r>
    <r>
      <rPr>
        <sz val="10"/>
        <rFont val="Noto Sans CJK SC"/>
        <family val="2"/>
      </rPr>
      <t xml:space="preserve">。</t>
    </r>
    <r>
      <rPr>
        <sz val="10"/>
        <rFont val="Arial"/>
        <family val="0"/>
        <charset val="1"/>
      </rPr>
      <t xml:space="preserve">09-13 </t>
    </r>
    <r>
      <rPr>
        <sz val="10"/>
        <rFont val="Noto Sans CJK SC"/>
        <family val="2"/>
      </rPr>
      <t xml:space="preserve">の『数値提示型 </t>
    </r>
    <r>
      <rPr>
        <sz val="10"/>
        <rFont val="Arial"/>
        <family val="0"/>
        <charset val="1"/>
      </rPr>
      <t xml:space="preserve">0.429 vs </t>
    </r>
    <r>
      <rPr>
        <sz val="10"/>
        <rFont val="Noto Sans CJK SC"/>
        <family val="2"/>
      </rPr>
      <t xml:space="preserve">対決型 </t>
    </r>
    <r>
      <rPr>
        <sz val="10"/>
        <rFont val="Arial"/>
        <family val="0"/>
        <charset val="1"/>
      </rPr>
      <t xml:space="preserve">0.191</t>
    </r>
    <r>
      <rPr>
        <sz val="10"/>
        <rFont val="Noto Sans CJK SC"/>
        <family val="2"/>
      </rPr>
      <t xml:space="preserve">』とも整合し</t>
    </r>
    <r>
      <rPr>
        <sz val="10"/>
        <rFont val="Arial"/>
        <family val="0"/>
        <charset val="1"/>
      </rPr>
      <t xml:space="preserve">2</t>
    </r>
    <r>
      <rPr>
        <sz val="10"/>
        <rFont val="Noto Sans CJK SC"/>
        <family val="2"/>
      </rPr>
      <t xml:space="preserve">回目の再現。</t>
    </r>
  </si>
  <si>
    <r>
      <rPr>
        <sz val="10"/>
        <rFont val="Noto Sans CJK SC"/>
        <family val="2"/>
      </rPr>
      <t xml:space="preserve">✅ 本日適用（キューを</t>
    </r>
    <r>
      <rPr>
        <sz val="10"/>
        <rFont val="Arial"/>
        <family val="0"/>
        <charset val="1"/>
      </rPr>
      <t xml:space="preserve">C</t>
    </r>
    <r>
      <rPr>
        <sz val="10"/>
        <rFont val="Noto Sans CJK SC"/>
        <family val="2"/>
      </rPr>
      <t xml:space="preserve">型先頭へ再配置）</t>
    </r>
  </si>
  <si>
    <r>
      <rPr>
        <sz val="10"/>
        <rFont val="Arial"/>
        <family val="0"/>
        <charset val="1"/>
      </rPr>
      <t xml:space="preserve">0.277 → 0.45 </t>
    </r>
    <r>
      <rPr>
        <sz val="10"/>
        <rFont val="Noto Sans CJK SC"/>
        <family val="2"/>
      </rPr>
      <t xml:space="preserve">前後（直近</t>
    </r>
    <r>
      <rPr>
        <sz val="10"/>
        <rFont val="Arial"/>
        <family val="0"/>
        <charset val="1"/>
      </rPr>
      <t xml:space="preserve">14</t>
    </r>
    <r>
      <rPr>
        <sz val="10"/>
        <rFont val="Noto Sans CJK SC"/>
        <family val="2"/>
      </rPr>
      <t xml:space="preserve">日は既に </t>
    </r>
    <r>
      <rPr>
        <sz val="10"/>
        <rFont val="Arial"/>
        <family val="0"/>
        <charset val="1"/>
      </rPr>
      <t xml:space="preserve">0.467</t>
    </r>
    <r>
      <rPr>
        <sz val="10"/>
        <rFont val="Noto Sans CJK SC"/>
        <family val="2"/>
      </rPr>
      <t xml:space="preserve">）</t>
    </r>
  </si>
  <si>
    <r>
      <rPr>
        <sz val="10"/>
        <rFont val="Arial"/>
        <family val="0"/>
        <charset val="1"/>
      </rPr>
      <t xml:space="preserve">SCP</t>
    </r>
    <r>
      <rPr>
        <sz val="10"/>
        <rFont val="Noto Sans CJK SC"/>
        <family val="2"/>
      </rPr>
      <t xml:space="preserve">番号・具体数字と『なぜ〜のか』を併用する </t>
    </r>
    <r>
      <rPr>
        <sz val="10"/>
        <rFont val="Arial"/>
        <family val="0"/>
        <charset val="1"/>
      </rPr>
      <t xml:space="preserve">A </t>
    </r>
    <r>
      <rPr>
        <sz val="10"/>
        <rFont val="Noto Sans CJK SC"/>
        <family val="2"/>
      </rPr>
      <t xml:space="preserve">型を先頭に置く。</t>
    </r>
  </si>
  <si>
    <r>
      <rPr>
        <sz val="10"/>
        <rFont val="Arial"/>
        <family val="0"/>
        <charset val="1"/>
      </rPr>
      <t xml:space="preserve">A</t>
    </r>
    <r>
      <rPr>
        <sz val="10"/>
        <rFont val="Noto Sans CJK SC"/>
        <family val="2"/>
      </rPr>
      <t xml:space="preserve">型 </t>
    </r>
    <r>
      <rPr>
        <sz val="10"/>
        <rFont val="Arial"/>
        <family val="0"/>
        <charset val="1"/>
      </rPr>
      <t xml:space="preserve">1.00(n=25) &gt; C</t>
    </r>
    <r>
      <rPr>
        <sz val="10"/>
        <rFont val="Noto Sans CJK SC"/>
        <family val="2"/>
      </rPr>
      <t xml:space="preserve">型 </t>
    </r>
    <r>
      <rPr>
        <sz val="10"/>
        <rFont val="Arial"/>
        <family val="0"/>
        <charset val="1"/>
      </rPr>
      <t xml:space="preserve">0.49(n=26)</t>
    </r>
    <r>
      <rPr>
        <sz val="10"/>
        <rFont val="Noto Sans CJK SC"/>
        <family val="2"/>
      </rPr>
      <t xml:space="preserve">。</t>
    </r>
    <r>
      <rPr>
        <sz val="10"/>
        <rFont val="Arial"/>
        <family val="0"/>
        <charset val="1"/>
      </rPr>
      <t xml:space="preserve">A</t>
    </r>
    <r>
      <rPr>
        <sz val="10"/>
        <rFont val="Noto Sans CJK SC"/>
        <family val="2"/>
      </rPr>
      <t xml:space="preserve">型は</t>
    </r>
    <r>
      <rPr>
        <sz val="10"/>
        <rFont val="Arial"/>
        <family val="0"/>
        <charset val="1"/>
      </rPr>
      <t xml:space="preserve">2.0</t>
    </r>
    <r>
      <rPr>
        <sz val="10"/>
        <rFont val="Noto Sans CJK SC"/>
        <family val="2"/>
      </rPr>
      <t xml:space="preserve">倍。</t>
    </r>
  </si>
  <si>
    <r>
      <rPr>
        <sz val="10"/>
        <rFont val="Noto Sans CJK SC"/>
        <family val="2"/>
      </rPr>
      <t xml:space="preserve">✅ 本日適用（キューを</t>
    </r>
    <r>
      <rPr>
        <sz val="10"/>
        <rFont val="Arial"/>
        <family val="0"/>
        <charset val="1"/>
      </rPr>
      <t xml:space="preserve">A</t>
    </r>
    <r>
      <rPr>
        <sz val="10"/>
        <rFont val="Noto Sans CJK SC"/>
        <family val="2"/>
      </rPr>
      <t xml:space="preserve">型先頭へ再配置）</t>
    </r>
  </si>
  <si>
    <r>
      <rPr>
        <sz val="10"/>
        <rFont val="Arial"/>
        <family val="0"/>
        <charset val="1"/>
      </rPr>
      <t xml:space="preserve">0.831 → 1.0 </t>
    </r>
    <r>
      <rPr>
        <sz val="10"/>
        <rFont val="Noto Sans CJK SC"/>
        <family val="2"/>
      </rPr>
      <t xml:space="preserve">前後</t>
    </r>
  </si>
  <si>
    <r>
      <rPr>
        <sz val="10"/>
        <rFont val="Noto Sans CJK SC"/>
        <family val="2"/>
      </rPr>
      <t xml:space="preserve">投稿枠 </t>
    </r>
    <r>
      <rPr>
        <sz val="10"/>
        <rFont val="Arial"/>
        <family val="0"/>
        <charset val="1"/>
      </rPr>
      <t xml:space="preserve">9:00 / 21:00 </t>
    </r>
    <r>
      <rPr>
        <sz val="10"/>
        <rFont val="Noto Sans CJK SC"/>
        <family val="2"/>
      </rPr>
      <t xml:space="preserve">を廃止し、</t>
    </r>
    <r>
      <rPr>
        <sz val="10"/>
        <rFont val="Arial"/>
        <family val="0"/>
        <charset val="1"/>
      </rPr>
      <t xml:space="preserve">7:30 / 12:15 / 17:30 </t>
    </r>
    <r>
      <rPr>
        <sz val="10"/>
        <rFont val="Noto Sans CJK SC"/>
        <family val="2"/>
      </rPr>
      <t xml:space="preserve">へ移す。</t>
    </r>
  </si>
  <si>
    <r>
      <rPr>
        <sz val="10"/>
        <rFont val="Arial"/>
        <family val="0"/>
        <charset val="1"/>
      </rPr>
      <t xml:space="preserve">21</t>
    </r>
    <r>
      <rPr>
        <sz val="10"/>
        <rFont val="Noto Sans CJK SC"/>
        <family val="2"/>
      </rPr>
      <t xml:space="preserve">時枠は </t>
    </r>
    <r>
      <rPr>
        <sz val="10"/>
        <rFont val="Arial"/>
        <family val="0"/>
        <charset val="1"/>
      </rPr>
      <t xml:space="preserve">n=7</t>
    </r>
    <r>
      <rPr>
        <sz val="10"/>
        <rFont val="Noto Sans CJK SC"/>
        <family val="2"/>
      </rPr>
      <t xml:space="preserve">・</t>
    </r>
    <r>
      <rPr>
        <sz val="10"/>
        <rFont val="Arial"/>
        <family val="0"/>
        <charset val="1"/>
      </rPr>
      <t xml:space="preserve">3,430</t>
    </r>
    <r>
      <rPr>
        <sz val="10"/>
        <rFont val="Noto Sans CJK SC"/>
        <family val="2"/>
      </rPr>
      <t xml:space="preserve">再生で登録</t>
    </r>
    <r>
      <rPr>
        <sz val="10"/>
        <rFont val="Arial"/>
        <family val="0"/>
        <charset val="1"/>
      </rPr>
      <t xml:space="preserve">0</t>
    </r>
    <r>
      <rPr>
        <sz val="10"/>
        <rFont val="Noto Sans CJK SC"/>
        <family val="2"/>
      </rPr>
      <t xml:space="preserve">人、</t>
    </r>
    <r>
      <rPr>
        <sz val="10"/>
        <rFont val="Arial"/>
        <family val="0"/>
        <charset val="1"/>
      </rPr>
      <t xml:space="preserve">9</t>
    </r>
    <r>
      <rPr>
        <sz val="10"/>
        <rFont val="Noto Sans CJK SC"/>
        <family val="2"/>
      </rPr>
      <t xml:space="preserve">時枠も </t>
    </r>
    <r>
      <rPr>
        <sz val="10"/>
        <rFont val="Arial"/>
        <family val="0"/>
        <charset val="1"/>
      </rPr>
      <t xml:space="preserve">n=3 </t>
    </r>
    <r>
      <rPr>
        <sz val="10"/>
        <rFont val="Noto Sans CJK SC"/>
        <family val="2"/>
      </rPr>
      <t xml:space="preserve">で登録</t>
    </r>
    <r>
      <rPr>
        <sz val="10"/>
        <rFont val="Arial"/>
        <family val="0"/>
        <charset val="1"/>
      </rPr>
      <t xml:space="preserve">0</t>
    </r>
    <r>
      <rPr>
        <sz val="10"/>
        <rFont val="Noto Sans CJK SC"/>
        <family val="2"/>
      </rPr>
      <t xml:space="preserve">人。</t>
    </r>
    <r>
      <rPr>
        <sz val="10"/>
        <rFont val="Arial"/>
        <family val="0"/>
        <charset val="1"/>
      </rPr>
      <t xml:space="preserve">7</t>
    </r>
    <r>
      <rPr>
        <sz val="10"/>
        <rFont val="Noto Sans CJK SC"/>
        <family val="2"/>
      </rPr>
      <t xml:space="preserve">時 </t>
    </r>
    <r>
      <rPr>
        <sz val="10"/>
        <rFont val="Arial"/>
        <family val="0"/>
        <charset val="1"/>
      </rPr>
      <t xml:space="preserve">0.339 / 17</t>
    </r>
    <r>
      <rPr>
        <sz val="10"/>
        <rFont val="Noto Sans CJK SC"/>
        <family val="2"/>
      </rPr>
      <t xml:space="preserve">時 </t>
    </r>
    <r>
      <rPr>
        <sz val="10"/>
        <rFont val="Arial"/>
        <family val="0"/>
        <charset val="1"/>
      </rPr>
      <t xml:space="preserve">0.279 / 12</t>
    </r>
    <r>
      <rPr>
        <sz val="10"/>
        <rFont val="Noto Sans CJK SC"/>
        <family val="2"/>
      </rPr>
      <t xml:space="preserve">時 </t>
    </r>
    <r>
      <rPr>
        <sz val="10"/>
        <rFont val="Arial"/>
        <family val="0"/>
        <charset val="1"/>
      </rPr>
      <t xml:space="preserve">0.204</t>
    </r>
    <r>
      <rPr>
        <sz val="10"/>
        <rFont val="Noto Sans CJK SC"/>
        <family val="2"/>
      </rPr>
      <t xml:space="preserve">。</t>
    </r>
  </si>
  <si>
    <t xml:space="preserve">✅ 本日適用</t>
  </si>
  <si>
    <r>
      <rPr>
        <sz val="10"/>
        <rFont val="Noto Sans CJK SC"/>
        <family val="2"/>
      </rPr>
      <t xml:space="preserve">死に枠の除去で当</t>
    </r>
    <r>
      <rPr>
        <sz val="10"/>
        <rFont val="Arial"/>
        <family val="0"/>
        <charset val="1"/>
      </rPr>
      <t xml:space="preserve">ch</t>
    </r>
    <r>
      <rPr>
        <sz val="10"/>
        <rFont val="Noto Sans CJK SC"/>
        <family val="2"/>
      </rPr>
      <t xml:space="preserve">の登録</t>
    </r>
    <r>
      <rPr>
        <sz val="10"/>
        <rFont val="Arial"/>
        <family val="0"/>
        <charset val="1"/>
      </rPr>
      <t xml:space="preserve">/</t>
    </r>
    <r>
      <rPr>
        <sz val="10"/>
        <rFont val="Noto Sans CJK SC"/>
        <family val="2"/>
      </rPr>
      <t xml:space="preserve">千が底上げされる</t>
    </r>
  </si>
  <si>
    <r>
      <rPr>
        <sz val="10"/>
        <rFont val="Noto Sans CJK SC"/>
        <family val="2"/>
      </rPr>
      <t xml:space="preserve">投稿枠 </t>
    </r>
    <r>
      <rPr>
        <sz val="10"/>
        <rFont val="Arial"/>
        <family val="0"/>
        <charset val="1"/>
      </rPr>
      <t xml:space="preserve">12:30 </t>
    </r>
    <r>
      <rPr>
        <sz val="10"/>
        <rFont val="Noto Sans CJK SC"/>
        <family val="2"/>
      </rPr>
      <t xml:space="preserve">を </t>
    </r>
    <r>
      <rPr>
        <sz val="10"/>
        <rFont val="Arial"/>
        <family val="0"/>
        <charset val="1"/>
      </rPr>
      <t xml:space="preserve">15:00 </t>
    </r>
    <r>
      <rPr>
        <sz val="10"/>
        <rFont val="Noto Sans CJK SC"/>
        <family val="2"/>
      </rPr>
      <t xml:space="preserve">へ前倒しし、夕方ピークに寄せる。</t>
    </r>
  </si>
  <si>
    <r>
      <rPr>
        <sz val="10"/>
        <rFont val="Arial"/>
        <family val="0"/>
        <charset val="1"/>
      </rPr>
      <t xml:space="preserve">17</t>
    </r>
    <r>
      <rPr>
        <sz val="10"/>
        <rFont val="Noto Sans CJK SC"/>
        <family val="2"/>
      </rPr>
      <t xml:space="preserve">時 </t>
    </r>
    <r>
      <rPr>
        <sz val="10"/>
        <rFont val="Arial"/>
        <family val="0"/>
        <charset val="1"/>
      </rPr>
      <t xml:space="preserve">1.236(n=14) vs 12</t>
    </r>
    <r>
      <rPr>
        <sz val="10"/>
        <rFont val="Noto Sans CJK SC"/>
        <family val="2"/>
      </rPr>
      <t xml:space="preserve">時 </t>
    </r>
    <r>
      <rPr>
        <sz val="10"/>
        <rFont val="Arial"/>
        <family val="0"/>
        <charset val="1"/>
      </rPr>
      <t xml:space="preserve">0.180(n=6)</t>
    </r>
    <r>
      <rPr>
        <sz val="10"/>
        <rFont val="Noto Sans CJK SC"/>
        <family val="2"/>
      </rPr>
      <t xml:space="preserve">。</t>
    </r>
    <r>
      <rPr>
        <sz val="10"/>
        <rFont val="Arial"/>
        <family val="0"/>
        <charset val="1"/>
      </rPr>
      <t xml:space="preserve">6.9</t>
    </r>
    <r>
      <rPr>
        <sz val="10"/>
        <rFont val="Noto Sans CJK SC"/>
        <family val="2"/>
      </rPr>
      <t xml:space="preserve">倍の差。</t>
    </r>
  </si>
  <si>
    <r>
      <rPr>
        <sz val="10"/>
        <rFont val="Arial"/>
        <family val="0"/>
        <charset val="1"/>
      </rPr>
      <t xml:space="preserve">1</t>
    </r>
    <r>
      <rPr>
        <sz val="10"/>
        <rFont val="Noto Sans CJK SC"/>
        <family val="2"/>
      </rPr>
      <t xml:space="preserve">枠あたりの登録変換が改善</t>
    </r>
  </si>
  <si>
    <t xml:space="preserve">scp-lab / company-facts / pokemon-lab</t>
  </si>
  <si>
    <r>
      <rPr>
        <sz val="10"/>
        <rFont val="Noto Sans CJK SC"/>
        <family val="2"/>
      </rPr>
      <t xml:space="preserve">朝枠（</t>
    </r>
    <r>
      <rPr>
        <sz val="10"/>
        <rFont val="Arial"/>
        <family val="0"/>
        <charset val="1"/>
      </rPr>
      <t xml:space="preserve">9:00 / 8:15 / 8:30</t>
    </r>
    <r>
      <rPr>
        <sz val="10"/>
        <rFont val="Noto Sans CJK SC"/>
        <family val="2"/>
      </rPr>
      <t xml:space="preserve">）を廃止し、実測最良の </t>
    </r>
    <r>
      <rPr>
        <sz val="10"/>
        <rFont val="Arial"/>
        <family val="0"/>
        <charset val="1"/>
      </rPr>
      <t xml:space="preserve">17 </t>
    </r>
    <r>
      <rPr>
        <sz val="10"/>
        <rFont val="Noto Sans CJK SC"/>
        <family val="2"/>
      </rPr>
      <t xml:space="preserve">時前後へ集約する。</t>
    </r>
  </si>
  <si>
    <r>
      <rPr>
        <sz val="10"/>
        <rFont val="Arial"/>
        <family val="0"/>
        <charset val="1"/>
      </rPr>
      <t xml:space="preserve">scp-lab 9</t>
    </r>
    <r>
      <rPr>
        <sz val="10"/>
        <rFont val="Noto Sans CJK SC"/>
        <family val="2"/>
      </rPr>
      <t xml:space="preserve">時 </t>
    </r>
    <r>
      <rPr>
        <sz val="10"/>
        <rFont val="Arial"/>
        <family val="0"/>
        <charset val="1"/>
      </rPr>
      <t xml:space="preserve">0.520 vs 17</t>
    </r>
    <r>
      <rPr>
        <sz val="10"/>
        <rFont val="Noto Sans CJK SC"/>
        <family val="2"/>
      </rPr>
      <t xml:space="preserve">時 </t>
    </r>
    <r>
      <rPr>
        <sz val="10"/>
        <rFont val="Arial"/>
        <family val="0"/>
        <charset val="1"/>
      </rPr>
      <t xml:space="preserve">1.321 / company-facts 8</t>
    </r>
    <r>
      <rPr>
        <sz val="10"/>
        <rFont val="Noto Sans CJK SC"/>
        <family val="2"/>
      </rPr>
      <t xml:space="preserve">時 </t>
    </r>
    <r>
      <rPr>
        <sz val="10"/>
        <rFont val="Arial"/>
        <family val="0"/>
        <charset val="1"/>
      </rPr>
      <t xml:space="preserve">0.235 vs 17</t>
    </r>
    <r>
      <rPr>
        <sz val="10"/>
        <rFont val="Noto Sans CJK SC"/>
        <family val="2"/>
      </rPr>
      <t xml:space="preserve">時 </t>
    </r>
    <r>
      <rPr>
        <sz val="10"/>
        <rFont val="Arial"/>
        <family val="0"/>
        <charset val="1"/>
      </rPr>
      <t xml:space="preserve">0.824 / pokemon-lab 17</t>
    </r>
    <r>
      <rPr>
        <sz val="10"/>
        <rFont val="Noto Sans CJK SC"/>
        <family val="2"/>
      </rPr>
      <t xml:space="preserve">時 </t>
    </r>
    <r>
      <rPr>
        <sz val="10"/>
        <rFont val="Arial"/>
        <family val="0"/>
        <charset val="1"/>
      </rPr>
      <t xml:space="preserve">0.369 </t>
    </r>
    <r>
      <rPr>
        <sz val="10"/>
        <rFont val="Noto Sans CJK SC"/>
        <family val="2"/>
      </rPr>
      <t xml:space="preserve">が当</t>
    </r>
    <r>
      <rPr>
        <sz val="10"/>
        <rFont val="Arial"/>
        <family val="0"/>
        <charset val="1"/>
      </rPr>
      <t xml:space="preserve">ch</t>
    </r>
    <r>
      <rPr>
        <sz val="10"/>
        <rFont val="Noto Sans CJK SC"/>
        <family val="2"/>
      </rPr>
      <t xml:space="preserve">最良。朝枠はいずれも下位かサンプル不足。</t>
    </r>
  </si>
  <si>
    <r>
      <rPr>
        <sz val="10"/>
        <rFont val="Arial"/>
        <family val="0"/>
        <charset val="1"/>
      </rPr>
      <t xml:space="preserve">3ch </t>
    </r>
    <r>
      <rPr>
        <sz val="10"/>
        <rFont val="Noto Sans CJK SC"/>
        <family val="2"/>
      </rPr>
      <t xml:space="preserve">とも</t>
    </r>
    <r>
      <rPr>
        <sz val="10"/>
        <rFont val="Arial"/>
        <family val="0"/>
        <charset val="1"/>
      </rPr>
      <t xml:space="preserve">1</t>
    </r>
    <r>
      <rPr>
        <sz val="10"/>
        <rFont val="Noto Sans CJK SC"/>
        <family val="2"/>
      </rPr>
      <t xml:space="preserve">枠あたりの登録変換が改善</t>
    </r>
  </si>
  <si>
    <r>
      <rPr>
        <sz val="10"/>
        <rFont val="Noto Sans CJK SC"/>
        <family val="2"/>
      </rPr>
      <t xml:space="preserve">全</t>
    </r>
    <r>
      <rPr>
        <sz val="10"/>
        <rFont val="Arial"/>
        <family val="0"/>
        <charset val="1"/>
      </rPr>
      <t xml:space="preserve">6ch</t>
    </r>
  </si>
  <si>
    <r>
      <rPr>
        <sz val="10"/>
        <rFont val="Noto Sans CJK SC"/>
        <family val="2"/>
      </rPr>
      <t xml:space="preserve">テーマキューを </t>
    </r>
    <r>
      <rPr>
        <sz val="10"/>
        <rFont val="Arial"/>
        <family val="0"/>
        <charset val="1"/>
      </rPr>
      <t xml:space="preserve">7 </t>
    </r>
    <r>
      <rPr>
        <sz val="10"/>
        <rFont val="Noto Sans CJK SC"/>
        <family val="2"/>
      </rPr>
      <t xml:space="preserve">日分以上に維持する（本日 </t>
    </r>
    <r>
      <rPr>
        <sz val="10"/>
        <rFont val="Arial"/>
        <family val="0"/>
        <charset val="1"/>
      </rPr>
      <t xml:space="preserve">daily-science 21 / company-facts 28 / 2ch-matome 21</t>
    </r>
    <r>
      <rPr>
        <sz val="10"/>
        <rFont val="Noto Sans CJK SC"/>
        <family val="2"/>
      </rPr>
      <t xml:space="preserve">）。</t>
    </r>
  </si>
  <si>
    <t xml:space="preserve">枯渇すると型ルールの効かない即席テーマで埋まるため。</t>
  </si>
  <si>
    <r>
      <rPr>
        <sz val="10"/>
        <rFont val="Noto Sans CJK SC"/>
        <family val="2"/>
      </rPr>
      <t xml:space="preserve">✅ 本日適用（計</t>
    </r>
    <r>
      <rPr>
        <sz val="10"/>
        <rFont val="Arial"/>
        <family val="0"/>
        <charset val="1"/>
      </rPr>
      <t xml:space="preserve">14</t>
    </r>
    <r>
      <rPr>
        <sz val="10"/>
        <rFont val="Noto Sans CJK SC"/>
        <family val="2"/>
      </rPr>
      <t xml:space="preserve">件補充）</t>
    </r>
  </si>
  <si>
    <t xml:space="preserve">型ルールの適用率が保たれる</t>
  </si>
  <si>
    <t xml:space="preserve">継続</t>
  </si>
  <si>
    <t xml:space="preserve">保留</t>
  </si>
  <si>
    <r>
      <rPr>
        <sz val="10"/>
        <rFont val="Arial"/>
        <family val="0"/>
        <charset val="1"/>
      </rPr>
      <t xml:space="preserve">autopilot.enabled </t>
    </r>
    <r>
      <rPr>
        <sz val="10"/>
        <rFont val="Noto Sans CJK SC"/>
        <family val="2"/>
      </rPr>
      <t xml:space="preserve">を </t>
    </r>
    <r>
      <rPr>
        <sz val="10"/>
        <rFont val="Arial"/>
        <family val="0"/>
        <charset val="1"/>
      </rPr>
      <t xml:space="preserve">true </t>
    </r>
    <r>
      <rPr>
        <sz val="10"/>
        <rFont val="Noto Sans CJK SC"/>
        <family val="2"/>
      </rPr>
      <t xml:space="preserve">に戻すかを判断する。</t>
    </r>
  </si>
  <si>
    <r>
      <rPr>
        <sz val="10"/>
        <rFont val="Noto Sans CJK SC"/>
        <family val="2"/>
      </rPr>
      <t xml:space="preserve">現在 </t>
    </r>
    <r>
      <rPr>
        <sz val="10"/>
        <rFont val="Arial"/>
        <family val="0"/>
        <charset val="1"/>
      </rPr>
      <t xml:space="preserve">false</t>
    </r>
    <r>
      <rPr>
        <sz val="10"/>
        <rFont val="Noto Sans CJK SC"/>
        <family val="2"/>
      </rPr>
      <t xml:space="preserve">。指揮者の分析の外側で人が落とした状態であり、本日のデータはこの値を動かす根拠にならない。さらにサムネ権限が未解決のまま生成を増やすと、自動生成サムネの動画が増えるだけになる。</t>
    </r>
  </si>
  <si>
    <t xml:space="preserve">⏸ 保留（サムネ権限の解消後に再判断）</t>
  </si>
  <si>
    <t xml:space="preserve">—</t>
  </si>
  <si>
    <t xml:space="preserve">トレンド</t>
  </si>
  <si>
    <r>
      <rPr>
        <b val="true"/>
        <sz val="10"/>
        <rFont val="Noto Sans CJK SC"/>
        <family val="2"/>
      </rPr>
      <t xml:space="preserve">■ 投稿時刻（</t>
    </r>
    <r>
      <rPr>
        <b val="true"/>
        <sz val="10"/>
        <rFont val="Arial"/>
        <family val="0"/>
        <charset val="1"/>
      </rPr>
      <t xml:space="preserve">JST</t>
    </r>
    <r>
      <rPr>
        <b val="true"/>
        <sz val="10"/>
        <rFont val="Noto Sans CJK SC"/>
        <family val="2"/>
      </rPr>
      <t xml:space="preserve">）</t>
    </r>
    <r>
      <rPr>
        <b val="true"/>
        <sz val="10"/>
        <rFont val="Arial"/>
        <family val="0"/>
        <charset val="1"/>
      </rPr>
      <t xml:space="preserve">× </t>
    </r>
    <r>
      <rPr>
        <b val="true"/>
        <sz val="10"/>
        <rFont val="Noto Sans CJK SC"/>
        <family val="2"/>
      </rPr>
      <t xml:space="preserve">登録</t>
    </r>
    <r>
      <rPr>
        <b val="true"/>
        <sz val="10"/>
        <rFont val="Arial"/>
        <family val="0"/>
        <charset val="1"/>
      </rPr>
      <t xml:space="preserve">/</t>
    </r>
    <r>
      <rPr>
        <b val="true"/>
        <sz val="10"/>
        <rFont val="Noto Sans CJK SC"/>
        <family val="2"/>
      </rPr>
      <t xml:space="preserve">千再生 — 公開 </t>
    </r>
    <r>
      <rPr>
        <b val="true"/>
        <sz val="10"/>
        <rFont val="Arial"/>
        <family val="0"/>
        <charset val="1"/>
      </rPr>
      <t xml:space="preserve">2026-08-15 </t>
    </r>
    <r>
      <rPr>
        <b val="true"/>
        <sz val="10"/>
        <rFont val="Noto Sans CJK SC"/>
        <family val="2"/>
      </rPr>
      <t xml:space="preserve">以降・</t>
    </r>
    <r>
      <rPr>
        <b val="true"/>
        <sz val="10"/>
        <rFont val="Arial"/>
        <family val="0"/>
        <charset val="1"/>
      </rPr>
      <t xml:space="preserve">n&gt;=3 </t>
    </r>
    <r>
      <rPr>
        <b val="true"/>
        <sz val="10"/>
        <rFont val="Noto Sans CJK SC"/>
        <family val="2"/>
      </rPr>
      <t xml:space="preserve">の枠のみ</t>
    </r>
  </si>
  <si>
    <r>
      <rPr>
        <b val="true"/>
        <sz val="10"/>
        <color rgb="FFFFFFFF"/>
        <rFont val="Noto Sans CJK SC"/>
        <family val="2"/>
      </rPr>
      <t xml:space="preserve">時刻</t>
    </r>
    <r>
      <rPr>
        <b val="true"/>
        <sz val="10"/>
        <color rgb="FFFFFFFF"/>
        <rFont val="Arial"/>
        <family val="0"/>
        <charset val="1"/>
      </rPr>
      <t xml:space="preserve">(JST)</t>
    </r>
  </si>
  <si>
    <t xml:space="preserve">判定</t>
  </si>
  <si>
    <r>
      <rPr>
        <sz val="10"/>
        <rFont val="Noto Sans CJK SC"/>
        <family val="2"/>
      </rPr>
      <t xml:space="preserve">当</t>
    </r>
    <r>
      <rPr>
        <sz val="10"/>
        <rFont val="Arial"/>
        <family val="0"/>
        <charset val="1"/>
      </rPr>
      <t xml:space="preserve">ch</t>
    </r>
    <r>
      <rPr>
        <sz val="10"/>
        <rFont val="Noto Sans CJK SC"/>
        <family val="2"/>
      </rPr>
      <t xml:space="preserve">最良帯</t>
    </r>
  </si>
  <si>
    <t xml:space="preserve">登録ゼロ — 枠を潰した</t>
  </si>
  <si>
    <r>
      <rPr>
        <b val="true"/>
        <sz val="10"/>
        <rFont val="Noto Sans CJK SC"/>
        <family val="2"/>
      </rPr>
      <t xml:space="preserve">■ 日次トレンド（公開日ベース・</t>
    </r>
    <r>
      <rPr>
        <b val="true"/>
        <sz val="10"/>
        <rFont val="Arial"/>
        <family val="0"/>
        <charset val="1"/>
      </rPr>
      <t xml:space="preserve">moviepy 6ch </t>
    </r>
    <r>
      <rPr>
        <b val="true"/>
        <sz val="10"/>
        <rFont val="Noto Sans CJK SC"/>
        <family val="2"/>
      </rPr>
      <t xml:space="preserve">合計）</t>
    </r>
  </si>
  <si>
    <t xml:space="preserve">備考</t>
  </si>
  <si>
    <t xml:space="preserve">2026-08-15</t>
  </si>
  <si>
    <t xml:space="preserve">2026-08-16</t>
  </si>
  <si>
    <t xml:space="preserve">2026-08-17</t>
  </si>
  <si>
    <t xml:space="preserve">2026-08-18</t>
  </si>
  <si>
    <t xml:space="preserve">2026-08-19</t>
  </si>
  <si>
    <r>
      <rPr>
        <sz val="10"/>
        <rFont val="Arial"/>
        <family val="0"/>
        <charset val="1"/>
      </rPr>
      <t xml:space="preserve">OAuth </t>
    </r>
    <r>
      <rPr>
        <sz val="10"/>
        <rFont val="Noto Sans CJK SC"/>
        <family val="2"/>
      </rPr>
      <t xml:space="preserve">失効期間</t>
    </r>
  </si>
  <si>
    <t xml:space="preserve">2026-09-13</t>
  </si>
  <si>
    <r>
      <rPr>
        <b val="true"/>
        <sz val="10"/>
        <color rgb="FF9C0006"/>
        <rFont val="Arial"/>
        <family val="0"/>
        <charset val="1"/>
      </rPr>
      <t xml:space="preserve">OAuth </t>
    </r>
    <r>
      <rPr>
        <b val="true"/>
        <sz val="10"/>
        <color rgb="FF9C0006"/>
        <rFont val="Noto Sans CJK SC"/>
        <family val="2"/>
      </rPr>
      <t xml:space="preserve">復旧・公開再開（再生数は未計測）</t>
    </r>
  </si>
  <si>
    <t xml:space="preserve">2026-09-10</t>
  </si>
  <si>
    <r>
      <rPr>
        <b val="true"/>
        <sz val="10"/>
        <color rgb="FF9C0006"/>
        <rFont val="Arial"/>
        <family val="0"/>
        <charset val="1"/>
      </rPr>
      <t xml:space="preserve">OAuth </t>
    </r>
    <r>
      <rPr>
        <b val="true"/>
        <sz val="10"/>
        <color rgb="FF9C0006"/>
        <rFont val="Noto Sans CJK SC"/>
        <family val="2"/>
      </rPr>
      <t xml:space="preserve">失効で公開ゼロ（生成は継続）</t>
    </r>
  </si>
  <si>
    <t xml:space="preserve">2026-09-11</t>
  </si>
  <si>
    <t xml:space="preserve">2026-09-12</t>
  </si>
  <si>
    <r>
      <rPr>
        <b val="true"/>
        <sz val="10"/>
        <rFont val="Noto Sans CJK SC"/>
        <family val="2"/>
      </rPr>
      <t xml:space="preserve">■ タイトル型 </t>
    </r>
    <r>
      <rPr>
        <b val="true"/>
        <sz val="10"/>
        <rFont val="Arial"/>
        <family val="0"/>
        <charset val="1"/>
      </rPr>
      <t xml:space="preserve">× </t>
    </r>
    <r>
      <rPr>
        <b val="true"/>
        <sz val="10"/>
        <rFont val="Noto Sans CJK SC"/>
        <family val="2"/>
      </rPr>
      <t xml:space="preserve">登録</t>
    </r>
    <r>
      <rPr>
        <b val="true"/>
        <sz val="10"/>
        <rFont val="Arial"/>
        <family val="0"/>
        <charset val="1"/>
      </rPr>
      <t xml:space="preserve">/</t>
    </r>
    <r>
      <rPr>
        <b val="true"/>
        <sz val="10"/>
        <rFont val="Noto Sans CJK SC"/>
        <family val="2"/>
      </rPr>
      <t xml:space="preserve">千再生（公開 </t>
    </r>
    <r>
      <rPr>
        <b val="true"/>
        <sz val="10"/>
        <rFont val="Arial"/>
        <family val="0"/>
        <charset val="1"/>
      </rPr>
      <t xml:space="preserve">2026-08-01 </t>
    </r>
    <r>
      <rPr>
        <b val="true"/>
        <sz val="10"/>
        <rFont val="Noto Sans CJK SC"/>
        <family val="2"/>
      </rPr>
      <t xml:space="preserve">以降・</t>
    </r>
    <r>
      <rPr>
        <b val="true"/>
        <sz val="10"/>
        <rFont val="Arial"/>
        <family val="0"/>
        <charset val="1"/>
      </rPr>
      <t xml:space="preserve">views&gt;=200</t>
    </r>
    <r>
      <rPr>
        <b val="true"/>
        <sz val="10"/>
        <rFont val="Noto Sans CJK SC"/>
        <family val="2"/>
      </rPr>
      <t xml:space="preserve">・</t>
    </r>
    <r>
      <rPr>
        <b val="true"/>
        <sz val="10"/>
        <rFont val="Arial"/>
        <family val="0"/>
        <charset val="1"/>
      </rPr>
      <t xml:space="preserve">ch</t>
    </r>
    <r>
      <rPr>
        <b val="true"/>
        <sz val="10"/>
        <rFont val="Noto Sans CJK SC"/>
        <family val="2"/>
      </rPr>
      <t xml:space="preserve">内対照）</t>
    </r>
  </si>
  <si>
    <r>
      <rPr>
        <b val="true"/>
        <sz val="10"/>
        <color rgb="FFFFFFFF"/>
        <rFont val="Arial"/>
        <family val="0"/>
        <charset val="1"/>
      </rPr>
      <t xml:space="preserve">A </t>
    </r>
    <r>
      <rPr>
        <b val="true"/>
        <sz val="10"/>
        <color rgb="FFFFFFFF"/>
        <rFont val="Noto Sans CJK SC"/>
        <family val="2"/>
      </rPr>
      <t xml:space="preserve">疑問</t>
    </r>
    <r>
      <rPr>
        <b val="true"/>
        <sz val="10"/>
        <color rgb="FFFFFFFF"/>
        <rFont val="Arial"/>
        <family val="0"/>
        <charset val="1"/>
      </rPr>
      <t xml:space="preserve">+</t>
    </r>
    <r>
      <rPr>
        <b val="true"/>
        <sz val="10"/>
        <color rgb="FFFFFFFF"/>
        <rFont val="Noto Sans CJK SC"/>
        <family val="2"/>
      </rPr>
      <t xml:space="preserve">数字</t>
    </r>
  </si>
  <si>
    <r>
      <rPr>
        <b val="true"/>
        <sz val="10"/>
        <color rgb="FFFFFFFF"/>
        <rFont val="Arial"/>
        <family val="0"/>
        <charset val="1"/>
      </rPr>
      <t xml:space="preserve">B </t>
    </r>
    <r>
      <rPr>
        <b val="true"/>
        <sz val="10"/>
        <color rgb="FFFFFFFF"/>
        <rFont val="Noto Sans CJK SC"/>
        <family val="2"/>
      </rPr>
      <t xml:space="preserve">疑問のみ</t>
    </r>
  </si>
  <si>
    <r>
      <rPr>
        <b val="true"/>
        <sz val="10"/>
        <color rgb="FFFFFFFF"/>
        <rFont val="Arial"/>
        <family val="0"/>
        <charset val="1"/>
      </rPr>
      <t xml:space="preserve">C </t>
    </r>
    <r>
      <rPr>
        <b val="true"/>
        <sz val="10"/>
        <color rgb="FFFFFFFF"/>
        <rFont val="Noto Sans CJK SC"/>
        <family val="2"/>
      </rPr>
      <t xml:space="preserve">数字のみ</t>
    </r>
  </si>
  <si>
    <r>
      <rPr>
        <b val="true"/>
        <sz val="10"/>
        <color rgb="FFFFFFFF"/>
        <rFont val="Arial"/>
        <family val="0"/>
        <charset val="1"/>
      </rPr>
      <t xml:space="preserve">D </t>
    </r>
    <r>
      <rPr>
        <b val="true"/>
        <sz val="10"/>
        <color rgb="FFFFFFFF"/>
        <rFont val="Noto Sans CJK SC"/>
        <family val="2"/>
      </rPr>
      <t xml:space="preserve">共感</t>
    </r>
    <r>
      <rPr>
        <b val="true"/>
        <sz val="10"/>
        <color rgb="FFFFFFFF"/>
        <rFont val="Arial"/>
        <family val="0"/>
        <charset val="1"/>
      </rPr>
      <t xml:space="preserve">/</t>
    </r>
    <r>
      <rPr>
        <b val="true"/>
        <sz val="10"/>
        <color rgb="FFFFFFFF"/>
        <rFont val="Noto Sans CJK SC"/>
        <family val="2"/>
      </rPr>
      <t xml:space="preserve">あるある</t>
    </r>
  </si>
  <si>
    <t xml:space="preserve">最良型</t>
  </si>
  <si>
    <t xml:space="preserve">本日の対応</t>
  </si>
  <si>
    <t xml:space="preserve">1.00 (n=25)</t>
  </si>
  <si>
    <t xml:space="preserve">0.49 (n=26)</t>
  </si>
  <si>
    <r>
      <rPr>
        <sz val="10"/>
        <rFont val="Arial"/>
        <family val="0"/>
        <charset val="1"/>
      </rPr>
      <t xml:space="preserve">A</t>
    </r>
    <r>
      <rPr>
        <sz val="10"/>
        <rFont val="Noto Sans CJK SC"/>
        <family val="2"/>
      </rPr>
      <t xml:space="preserve">型を先頭へ再配置</t>
    </r>
  </si>
  <si>
    <t xml:space="preserve">0.00 (n=5)</t>
  </si>
  <si>
    <t xml:space="preserve">1.37 (n=9)</t>
  </si>
  <si>
    <t xml:space="preserve">0.39 (n=8)</t>
  </si>
  <si>
    <t xml:space="preserve">0.53 (n=8)</t>
  </si>
  <si>
    <t xml:space="preserve">タイトルから数字を排除</t>
  </si>
  <si>
    <t xml:space="preserve">0.59 (n=30)</t>
  </si>
  <si>
    <t xml:space="preserve">0.00 (n=3)</t>
  </si>
  <si>
    <t xml:space="preserve">現行が最良のため維持</t>
  </si>
  <si>
    <t xml:space="preserve">0.55 (n=4)</t>
  </si>
  <si>
    <t xml:space="preserve">0.66 (n=31)</t>
  </si>
  <si>
    <t xml:space="preserve">0.17 (n=16)</t>
  </si>
  <si>
    <t xml:space="preserve">0.35 (n=6)</t>
  </si>
  <si>
    <t xml:space="preserve">0.53 (n=9)</t>
  </si>
  <si>
    <r>
      <rPr>
        <sz val="10"/>
        <rFont val="Arial"/>
        <family val="0"/>
        <charset val="1"/>
      </rPr>
      <t xml:space="preserve">C</t>
    </r>
    <r>
      <rPr>
        <sz val="10"/>
        <rFont val="Noto Sans CJK SC"/>
        <family val="2"/>
      </rPr>
      <t xml:space="preserve">型を先頭へ・疑問フレーム不使用</t>
    </r>
  </si>
  <si>
    <t xml:space="preserve">0.36 (n=16)</t>
  </si>
  <si>
    <t xml:space="preserve">0.07 (n=16)</t>
  </si>
  <si>
    <t xml:space="preserve">0.09 (n=10)</t>
  </si>
  <si>
    <r>
      <rPr>
        <sz val="10"/>
        <rFont val="Arial"/>
        <family val="0"/>
        <charset val="1"/>
      </rPr>
      <t xml:space="preserve">A</t>
    </r>
    <r>
      <rPr>
        <sz val="10"/>
        <rFont val="Noto Sans CJK SC"/>
        <family val="2"/>
      </rPr>
      <t xml:space="preserve">型を先頭へ・</t>
    </r>
    <r>
      <rPr>
        <sz val="10"/>
        <rFont val="Arial"/>
        <family val="0"/>
        <charset val="1"/>
      </rPr>
      <t xml:space="preserve">5</t>
    </r>
    <r>
      <rPr>
        <sz val="10"/>
        <rFont val="Noto Sans CJK SC"/>
        <family val="2"/>
      </rPr>
      <t xml:space="preserve">件補充</t>
    </r>
  </si>
  <si>
    <r>
      <rPr>
        <i val="true"/>
        <sz val="9"/>
        <color rgb="FF666666"/>
        <rFont val="Noto Sans CJK SC"/>
        <family val="2"/>
      </rPr>
      <t xml:space="preserve">※ 型の効き方はチャンネルごとに逆向きになる。</t>
    </r>
    <r>
      <rPr>
        <i val="true"/>
        <sz val="9"/>
        <color rgb="FF666666"/>
        <rFont val="Arial"/>
        <family val="0"/>
        <charset val="1"/>
      </rPr>
      <t xml:space="preserve">yokai-watch </t>
    </r>
    <r>
      <rPr>
        <i val="true"/>
        <sz val="9"/>
        <color rgb="FF666666"/>
        <rFont val="Noto Sans CJK SC"/>
        <family val="2"/>
      </rPr>
      <t xml:space="preserve">は数字を入れると登録が消え、</t>
    </r>
    <r>
      <rPr>
        <i val="true"/>
        <sz val="9"/>
        <color rgb="FF666666"/>
        <rFont val="Arial"/>
        <family val="0"/>
        <charset val="1"/>
      </rPr>
      <t xml:space="preserve">pokemon-lab </t>
    </r>
    <r>
      <rPr>
        <i val="true"/>
        <sz val="9"/>
        <color rgb="FF666666"/>
        <rFont val="Noto Sans CJK SC"/>
        <family val="2"/>
      </rPr>
      <t xml:space="preserve">は逆に数字だけが効く。全</t>
    </r>
    <r>
      <rPr>
        <i val="true"/>
        <sz val="9"/>
        <color rgb="FF666666"/>
        <rFont val="Arial"/>
        <family val="0"/>
        <charset val="1"/>
      </rPr>
      <t xml:space="preserve">ch</t>
    </r>
    <r>
      <rPr>
        <i val="true"/>
        <sz val="9"/>
        <color rgb="FF666666"/>
        <rFont val="Noto Sans CJK SC"/>
        <family val="2"/>
      </rPr>
      <t xml:space="preserve">共通の型ルールは存在しない。</t>
    </r>
  </si>
</sst>
</file>

<file path=xl/styles.xml><?xml version="1.0" encoding="utf-8"?>
<styleSheet xmlns="http://schemas.openxmlformats.org/spreadsheetml/2006/main">
  <numFmts count="6">
    <numFmt numFmtId="164" formatCode="General"/>
    <numFmt numFmtId="165" formatCode="#,##0"/>
    <numFmt numFmtId="166" formatCode="0.000"/>
    <numFmt numFmtId="167" formatCode="0.0"/>
    <numFmt numFmtId="168" formatCode="0.00\x"/>
    <numFmt numFmtId="169" formatCode="0.0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i val="true"/>
      <sz val="9"/>
      <color rgb="FF666666"/>
      <name val="Noto Sans CJK SC"/>
      <family val="2"/>
    </font>
    <font>
      <i val="true"/>
      <sz val="9"/>
      <color rgb="FF666666"/>
      <name val="Arial"/>
      <family val="0"/>
      <charset val="1"/>
    </font>
    <font>
      <b val="true"/>
      <sz val="10"/>
      <name val="Noto Sans CJK SC"/>
      <family val="2"/>
    </font>
    <font>
      <sz val="10"/>
      <name val="Arial"/>
      <family val="0"/>
      <charset val="1"/>
    </font>
    <font>
      <sz val="10"/>
      <name val="Noto Sans CJK SC"/>
      <family val="2"/>
    </font>
    <font>
      <b val="true"/>
      <sz val="10"/>
      <name val="Arial"/>
      <family val="0"/>
      <charset val="1"/>
    </font>
    <font>
      <b val="true"/>
      <sz val="10"/>
      <color rgb="FFFFFFFF"/>
      <name val="Noto Sans CJK SC"/>
      <family val="2"/>
    </font>
    <font>
      <b val="true"/>
      <sz val="10"/>
      <color rgb="FFFFFFFF"/>
      <name val="Arial"/>
      <family val="0"/>
      <charset val="1"/>
    </font>
    <font>
      <b val="true"/>
      <sz val="10"/>
      <color rgb="FF9C0006"/>
      <name val="Arial"/>
      <family val="0"/>
      <charset val="1"/>
    </font>
    <font>
      <b val="true"/>
      <sz val="10"/>
      <color rgb="FF9C0006"/>
      <name val="Noto Sans CJK SC"/>
      <family val="2"/>
    </font>
  </fonts>
  <fills count="7">
    <fill>
      <patternFill patternType="none"/>
    </fill>
    <fill>
      <patternFill patternType="gray125"/>
    </fill>
    <fill>
      <patternFill patternType="solid">
        <fgColor rgb="FF1F3864"/>
        <bgColor rgb="FF333333"/>
      </patternFill>
    </fill>
    <fill>
      <patternFill patternType="solid">
        <fgColor rgb="FFD9E1F2"/>
        <bgColor rgb="FFC6EFCE"/>
      </patternFill>
    </fill>
    <fill>
      <patternFill patternType="solid">
        <fgColor rgb="FFFFC7CE"/>
        <bgColor rgb="FFD9E1F2"/>
      </patternFill>
    </fill>
    <fill>
      <patternFill patternType="solid">
        <fgColor rgb="FFC6EFCE"/>
        <bgColor rgb="FFD9E1F2"/>
      </patternFill>
    </fill>
    <fill>
      <patternFill patternType="solid">
        <fgColor rgb="FFFFEB9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9" fontId="9" fillId="5"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6" fontId="9" fillId="5"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true" showOutlineSymbols="true" defaultGridColor="true" view="normal" topLeftCell="A23"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4" min="3" style="0" width="46"/>
    <col collapsed="false" customWidth="true" hidden="false" outlineLevel="0" max="5" min="5" style="0" width="16"/>
    <col collapsed="false" customWidth="true" hidden="false" outlineLevel="0" max="6" min="6" style="0" width="8"/>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3"/>
    <col collapsed="false" customWidth="true" hidden="false" outlineLevel="0" max="11" min="11" style="0" width="15"/>
    <col collapsed="false" customWidth="true" hidden="false" outlineLevel="0" max="12" min="12" style="0" width="9"/>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c r="C5" s="4"/>
      <c r="D5" s="4"/>
      <c r="E5" s="4"/>
      <c r="F5" s="4"/>
      <c r="G5" s="4"/>
      <c r="H5" s="4"/>
      <c r="I5" s="4"/>
    </row>
    <row r="6" customFormat="false" ht="30" hidden="false" customHeight="true" outlineLevel="0" collapsed="false">
      <c r="A6" s="4" t="s">
        <v>4</v>
      </c>
      <c r="B6" s="4"/>
      <c r="C6" s="4"/>
      <c r="D6" s="4"/>
      <c r="E6" s="4"/>
      <c r="F6" s="4"/>
      <c r="G6" s="4"/>
      <c r="H6" s="4"/>
      <c r="I6" s="4"/>
    </row>
    <row r="7" customFormat="false" ht="30" hidden="false" customHeight="true" outlineLevel="0" collapsed="false">
      <c r="A7" s="4" t="s">
        <v>5</v>
      </c>
      <c r="B7" s="4"/>
      <c r="C7" s="4"/>
      <c r="D7" s="4"/>
      <c r="E7" s="4"/>
      <c r="F7" s="4"/>
      <c r="G7" s="4"/>
      <c r="H7" s="4"/>
      <c r="I7" s="4"/>
    </row>
    <row r="8" customFormat="false" ht="30" hidden="false" customHeight="true" outlineLevel="0" collapsed="false">
      <c r="A8" s="4" t="s">
        <v>6</v>
      </c>
      <c r="B8" s="4"/>
      <c r="C8" s="4"/>
      <c r="D8" s="4"/>
      <c r="E8" s="4"/>
      <c r="F8" s="4"/>
      <c r="G8" s="4"/>
      <c r="H8" s="4"/>
      <c r="I8" s="4"/>
    </row>
    <row r="9" customFormat="false" ht="30" hidden="false" customHeight="true" outlineLevel="0" collapsed="false">
      <c r="A9" s="4" t="s">
        <v>7</v>
      </c>
      <c r="B9" s="4"/>
      <c r="C9" s="4"/>
      <c r="D9" s="4"/>
      <c r="E9" s="4"/>
      <c r="F9" s="4"/>
      <c r="G9" s="4"/>
      <c r="H9" s="4"/>
      <c r="I9" s="4"/>
    </row>
    <row r="11" customFormat="false" ht="15" hidden="false" customHeight="false" outlineLevel="0" collapsed="false">
      <c r="A11" s="3" t="s">
        <v>8</v>
      </c>
    </row>
    <row r="12" customFormat="false" ht="15" hidden="false" customHeight="false" outlineLevel="0" collapsed="false">
      <c r="A12" s="5" t="s">
        <v>9</v>
      </c>
      <c r="B12" s="5" t="s">
        <v>10</v>
      </c>
      <c r="C12" s="5" t="s">
        <v>11</v>
      </c>
      <c r="D12" s="5" t="s">
        <v>12</v>
      </c>
      <c r="E12" s="5" t="s">
        <v>13</v>
      </c>
      <c r="F12" s="5" t="s">
        <v>14</v>
      </c>
      <c r="G12" s="5" t="s">
        <v>15</v>
      </c>
      <c r="H12" s="5" t="s">
        <v>16</v>
      </c>
      <c r="I12" s="5" t="s">
        <v>17</v>
      </c>
      <c r="J12" s="5" t="s">
        <v>18</v>
      </c>
      <c r="K12" s="5" t="s">
        <v>19</v>
      </c>
      <c r="L12" s="5" t="s">
        <v>20</v>
      </c>
    </row>
    <row r="13" customFormat="false" ht="15" hidden="false" customHeight="false" outlineLevel="0" collapsed="false">
      <c r="A13" s="6" t="s">
        <v>21</v>
      </c>
      <c r="B13" s="7" t="s">
        <v>22</v>
      </c>
      <c r="C13" s="8" t="n">
        <v>41</v>
      </c>
      <c r="D13" s="8" t="n">
        <v>32790</v>
      </c>
      <c r="E13" s="8" t="n">
        <f aca="false">IFERROR(D13/C13,0)</f>
        <v>799.756097560976</v>
      </c>
      <c r="F13" s="8" t="n">
        <v>21</v>
      </c>
      <c r="G13" s="9" t="n">
        <f aca="false">IFERROR(F13*1000/D13,0)</f>
        <v>0.640439158279963</v>
      </c>
      <c r="H13" s="9" t="n">
        <v>0.728880756328149</v>
      </c>
      <c r="I13" s="10" t="n">
        <v>50.5</v>
      </c>
      <c r="J13" s="8" t="n">
        <v>16</v>
      </c>
      <c r="K13" s="9" t="n">
        <v>0.772151084228814</v>
      </c>
      <c r="L13" s="11" t="n">
        <f aca="false">IFERROR(K13/G13,0)</f>
        <v>1.20565876437442</v>
      </c>
    </row>
    <row r="14" customFormat="false" ht="15" hidden="false" customHeight="false" outlineLevel="0" collapsed="false">
      <c r="A14" s="6" t="s">
        <v>23</v>
      </c>
      <c r="B14" s="7" t="s">
        <v>24</v>
      </c>
      <c r="C14" s="8" t="n">
        <v>52</v>
      </c>
      <c r="D14" s="8" t="n">
        <v>37295</v>
      </c>
      <c r="E14" s="8" t="n">
        <f aca="false">IFERROR(D14/C14,0)</f>
        <v>717.211538461539</v>
      </c>
      <c r="F14" s="8" t="n">
        <v>31</v>
      </c>
      <c r="G14" s="9" t="n">
        <f aca="false">IFERROR(F14*1000/D14,0)</f>
        <v>0.831210618045314</v>
      </c>
      <c r="H14" s="9" t="n">
        <v>0.437055905617375</v>
      </c>
      <c r="I14" s="10" t="n">
        <v>41.6</v>
      </c>
      <c r="J14" s="8" t="n">
        <v>20</v>
      </c>
      <c r="K14" s="9" t="n">
        <v>0.981803901034167</v>
      </c>
      <c r="L14" s="11" t="n">
        <f aca="false">IFERROR(K14/G14,0)</f>
        <v>1.18117343513127</v>
      </c>
    </row>
    <row r="15" customFormat="false" ht="15" hidden="false" customHeight="false" outlineLevel="0" collapsed="false">
      <c r="A15" s="6" t="s">
        <v>25</v>
      </c>
      <c r="B15" s="7" t="s">
        <v>26</v>
      </c>
      <c r="C15" s="8" t="n">
        <v>39</v>
      </c>
      <c r="D15" s="8" t="n">
        <v>28494</v>
      </c>
      <c r="E15" s="8" t="n">
        <f aca="false">IFERROR(D15/C15,0)</f>
        <v>730.615384615385</v>
      </c>
      <c r="F15" s="8" t="n">
        <v>21</v>
      </c>
      <c r="G15" s="9" t="n">
        <f aca="false">IFERROR(F15*1000/D15,0)</f>
        <v>0.736997262581596</v>
      </c>
      <c r="H15" s="9" t="n">
        <v>0.5474836807749</v>
      </c>
      <c r="I15" s="10" t="n">
        <v>44</v>
      </c>
      <c r="J15" s="8" t="n">
        <v>16</v>
      </c>
      <c r="K15" s="9" t="n">
        <v>1.20192307692308</v>
      </c>
      <c r="L15" s="11" t="n">
        <f aca="false">IFERROR(K15/G15,0)</f>
        <v>1.63083791208791</v>
      </c>
    </row>
    <row r="16" customFormat="false" ht="15" hidden="false" customHeight="false" outlineLevel="0" collapsed="false">
      <c r="A16" s="6" t="s">
        <v>27</v>
      </c>
      <c r="B16" s="7" t="s">
        <v>28</v>
      </c>
      <c r="C16" s="8" t="n">
        <v>41</v>
      </c>
      <c r="D16" s="8" t="n">
        <v>50729</v>
      </c>
      <c r="E16" s="8" t="n">
        <f aca="false">IFERROR(D16/C16,0)</f>
        <v>1237.29268292683</v>
      </c>
      <c r="F16" s="8" t="n">
        <v>33</v>
      </c>
      <c r="G16" s="9" t="n">
        <f aca="false">IFERROR(F16*1000/D16,0)</f>
        <v>0.650515484239784</v>
      </c>
      <c r="H16" s="9" t="n">
        <v>0.315401446904138</v>
      </c>
      <c r="I16" s="10" t="n">
        <v>57.2</v>
      </c>
      <c r="J16" s="8" t="n">
        <v>17</v>
      </c>
      <c r="K16" s="9" t="n">
        <v>0.502765208647562</v>
      </c>
      <c r="L16" s="11" t="n">
        <f aca="false">IFERROR(K16/G16,0)</f>
        <v>0.772872008166126</v>
      </c>
    </row>
    <row r="17" customFormat="false" ht="15" hidden="false" customHeight="false" outlineLevel="0" collapsed="false">
      <c r="A17" s="6" t="s">
        <v>29</v>
      </c>
      <c r="B17" s="7" t="s">
        <v>30</v>
      </c>
      <c r="C17" s="8" t="n">
        <v>32</v>
      </c>
      <c r="D17" s="8" t="n">
        <v>32440</v>
      </c>
      <c r="E17" s="8" t="n">
        <f aca="false">IFERROR(D17/C17,0)</f>
        <v>1013.75</v>
      </c>
      <c r="F17" s="8" t="n">
        <v>9</v>
      </c>
      <c r="G17" s="9" t="n">
        <f aca="false">IFERROR(F17*1000/D17,0)</f>
        <v>0.277435265104809</v>
      </c>
      <c r="H17" s="9" t="n">
        <v>0.218865598027127</v>
      </c>
      <c r="I17" s="10" t="n">
        <v>41.1</v>
      </c>
      <c r="J17" s="8" t="n">
        <v>9</v>
      </c>
      <c r="K17" s="9" t="n">
        <v>0.467289719626168</v>
      </c>
      <c r="L17" s="11" t="n">
        <f aca="false">IFERROR(K17/G17,0)</f>
        <v>1.68431983385254</v>
      </c>
    </row>
    <row r="18" customFormat="false" ht="15" hidden="false" customHeight="false" outlineLevel="0" collapsed="false">
      <c r="A18" s="6" t="s">
        <v>31</v>
      </c>
      <c r="B18" s="7" t="s">
        <v>32</v>
      </c>
      <c r="C18" s="8" t="n">
        <v>50</v>
      </c>
      <c r="D18" s="8" t="n">
        <v>42396</v>
      </c>
      <c r="E18" s="8" t="n">
        <f aca="false">IFERROR(D18/C18,0)</f>
        <v>847.92</v>
      </c>
      <c r="F18" s="8" t="n">
        <v>7</v>
      </c>
      <c r="G18" s="9" t="n">
        <f aca="false">IFERROR(F18*1000/D18,0)</f>
        <v>0.165109916029814</v>
      </c>
      <c r="H18" s="9" t="n">
        <v>0.214642890838758</v>
      </c>
      <c r="I18" s="10" t="n">
        <v>46.8</v>
      </c>
      <c r="J18" s="8" t="n">
        <v>17</v>
      </c>
      <c r="K18" s="9" t="n">
        <v>0.232342007434944</v>
      </c>
      <c r="L18" s="11" t="n">
        <f aca="false">IFERROR(K18/G18,0)</f>
        <v>1.40719596388741</v>
      </c>
    </row>
    <row r="19" customFormat="false" ht="15" hidden="false" customHeight="false" outlineLevel="0" collapsed="false">
      <c r="A19" s="12" t="s">
        <v>33</v>
      </c>
      <c r="B19" s="13" t="s">
        <v>34</v>
      </c>
      <c r="C19" s="14" t="n">
        <f aca="false">SUM(C13:C18)</f>
        <v>255</v>
      </c>
      <c r="D19" s="14" t="n">
        <f aca="false">SUM(D13:D18)</f>
        <v>224144</v>
      </c>
      <c r="E19" s="14" t="n">
        <f aca="false">IFERROR(D19/C19,0)</f>
        <v>878.996078431373</v>
      </c>
      <c r="F19" s="14" t="n">
        <f aca="false">SUM(F13:F18)</f>
        <v>122</v>
      </c>
      <c r="G19" s="15" t="n">
        <f aca="false">IFERROR(F19*1000/D19,0)</f>
        <v>0.544292954529231</v>
      </c>
      <c r="H19" s="15" t="n">
        <v>0.392604754086659</v>
      </c>
      <c r="I19" s="12"/>
      <c r="J19" s="14" t="n">
        <f aca="false">SUM(J13:J18)</f>
        <v>95</v>
      </c>
      <c r="K19" s="15" t="n">
        <v>0.707793175383699</v>
      </c>
      <c r="L19" s="16" t="n">
        <f aca="false">IFERROR(K19/G19,0)</f>
        <v>1.300390110682</v>
      </c>
    </row>
    <row r="21" customFormat="false" ht="15" hidden="false" customHeight="false" outlineLevel="0" collapsed="false">
      <c r="A21" s="3" t="s">
        <v>35</v>
      </c>
    </row>
    <row r="22" customFormat="false" ht="15" hidden="false" customHeight="false" outlineLevel="0" collapsed="false">
      <c r="A22" s="5" t="s">
        <v>36</v>
      </c>
      <c r="B22" s="5" t="s">
        <v>37</v>
      </c>
      <c r="C22" s="5" t="s">
        <v>38</v>
      </c>
      <c r="D22" s="5" t="s">
        <v>39</v>
      </c>
      <c r="E22" s="5" t="s">
        <v>40</v>
      </c>
    </row>
    <row r="23" customFormat="false" ht="45.75" hidden="false" customHeight="true" outlineLevel="0" collapsed="false">
      <c r="A23" s="17" t="s">
        <v>41</v>
      </c>
      <c r="B23" s="18" t="s">
        <v>42</v>
      </c>
      <c r="C23" s="19" t="s">
        <v>43</v>
      </c>
      <c r="D23" s="17" t="s">
        <v>44</v>
      </c>
      <c r="E23" s="17" t="s">
        <v>45</v>
      </c>
    </row>
    <row r="24" customFormat="false" ht="45.75" hidden="false" customHeight="true" outlineLevel="0" collapsed="false">
      <c r="A24" s="19" t="s">
        <v>46</v>
      </c>
      <c r="B24" s="20" t="s">
        <v>47</v>
      </c>
      <c r="C24" s="17" t="s">
        <v>48</v>
      </c>
      <c r="D24" s="19" t="s">
        <v>49</v>
      </c>
      <c r="E24" s="19" t="s">
        <v>50</v>
      </c>
    </row>
    <row r="25" customFormat="false" ht="45.75" hidden="false" customHeight="true" outlineLevel="0" collapsed="false">
      <c r="A25" s="19" t="s">
        <v>51</v>
      </c>
      <c r="B25" s="20" t="s">
        <v>52</v>
      </c>
      <c r="C25" s="17" t="s">
        <v>53</v>
      </c>
      <c r="D25" s="17" t="s">
        <v>54</v>
      </c>
      <c r="E25" s="17" t="s">
        <v>55</v>
      </c>
    </row>
    <row r="26" customFormat="false" ht="45.75" hidden="false" customHeight="true" outlineLevel="0" collapsed="false">
      <c r="A26" s="19" t="s">
        <v>56</v>
      </c>
      <c r="B26" s="20" t="s">
        <v>57</v>
      </c>
      <c r="C26" s="19" t="s">
        <v>58</v>
      </c>
      <c r="D26" s="17" t="s">
        <v>59</v>
      </c>
      <c r="E26" s="17" t="s">
        <v>60</v>
      </c>
    </row>
    <row r="27" customFormat="false" ht="45.75" hidden="false" customHeight="true" outlineLevel="0" collapsed="false">
      <c r="A27" s="19" t="s">
        <v>61</v>
      </c>
      <c r="B27" s="18" t="s">
        <v>62</v>
      </c>
      <c r="C27" s="17" t="s">
        <v>63</v>
      </c>
      <c r="D27" s="17" t="s">
        <v>64</v>
      </c>
      <c r="E27" s="17" t="s">
        <v>65</v>
      </c>
    </row>
  </sheetData>
  <mergeCells count="5">
    <mergeCell ref="A5:I5"/>
    <mergeCell ref="A6:I6"/>
    <mergeCell ref="A7:I7"/>
    <mergeCell ref="A8:I8"/>
    <mergeCell ref="A9:I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3" min="2" style="0" width="22"/>
    <col collapsed="false" customWidth="true" hidden="false" outlineLevel="0" max="4" min="4" style="0" width="52"/>
    <col collapsed="false" customWidth="true" hidden="false" outlineLevel="0" max="5" min="5" style="0" width="26"/>
    <col collapsed="false" customWidth="true" hidden="false" outlineLevel="0" max="7" min="6" style="0" width="52"/>
    <col collapsed="false" customWidth="true" hidden="false" outlineLevel="0" max="8" min="8" style="0" width="10"/>
    <col collapsed="false" customWidth="true" hidden="false" outlineLevel="0" max="9" min="9" style="0" width="9"/>
    <col collapsed="false" customWidth="true" hidden="false" outlineLevel="0" max="10" min="10" style="0" width="11"/>
  </cols>
  <sheetData>
    <row r="1" customFormat="false" ht="17.35" hidden="false" customHeight="false" outlineLevel="0" collapsed="false">
      <c r="A1" s="21" t="s">
        <v>66</v>
      </c>
    </row>
    <row r="3" customFormat="false" ht="15" hidden="false" customHeight="false" outlineLevel="0" collapsed="false">
      <c r="A3" s="5" t="s">
        <v>9</v>
      </c>
      <c r="B3" s="5" t="s">
        <v>67</v>
      </c>
      <c r="C3" s="5" t="s">
        <v>68</v>
      </c>
      <c r="D3" s="5" t="s">
        <v>69</v>
      </c>
      <c r="E3" s="5" t="s">
        <v>70</v>
      </c>
      <c r="F3" s="5" t="s">
        <v>71</v>
      </c>
      <c r="G3" s="5" t="s">
        <v>72</v>
      </c>
      <c r="H3" s="5" t="s">
        <v>73</v>
      </c>
      <c r="I3" s="5" t="s">
        <v>74</v>
      </c>
      <c r="J3" s="22" t="s">
        <v>75</v>
      </c>
    </row>
    <row r="4" customFormat="false" ht="91.5" hidden="false" customHeight="true" outlineLevel="0" collapsed="false">
      <c r="A4" s="19" t="s">
        <v>21</v>
      </c>
      <c r="B4" s="19" t="s">
        <v>76</v>
      </c>
      <c r="C4" s="19" t="s">
        <v>77</v>
      </c>
      <c r="D4" s="19" t="s">
        <v>78</v>
      </c>
      <c r="E4" s="19" t="s">
        <v>79</v>
      </c>
      <c r="F4" s="17" t="s">
        <v>80</v>
      </c>
      <c r="G4" s="19" t="s">
        <v>81</v>
      </c>
      <c r="H4" s="23" t="n">
        <v>21</v>
      </c>
      <c r="I4" s="24" t="n">
        <f aca="false">IFERROR(H4/3,0)</f>
        <v>7</v>
      </c>
      <c r="J4" s="25" t="s">
        <v>82</v>
      </c>
    </row>
    <row r="5" customFormat="false" ht="91.5" hidden="false" customHeight="true" outlineLevel="0" collapsed="false">
      <c r="A5" s="19" t="s">
        <v>23</v>
      </c>
      <c r="B5" s="19" t="s">
        <v>83</v>
      </c>
      <c r="C5" s="19" t="s">
        <v>84</v>
      </c>
      <c r="D5" s="19" t="s">
        <v>85</v>
      </c>
      <c r="E5" s="19" t="s">
        <v>86</v>
      </c>
      <c r="F5" s="19" t="s">
        <v>87</v>
      </c>
      <c r="G5" s="19" t="s">
        <v>88</v>
      </c>
      <c r="H5" s="23" t="n">
        <v>22</v>
      </c>
      <c r="I5" s="24" t="n">
        <f aca="false">IFERROR(H5/3,0)</f>
        <v>7.33333333333333</v>
      </c>
      <c r="J5" s="25" t="s">
        <v>82</v>
      </c>
    </row>
    <row r="6" customFormat="false" ht="91.5" hidden="false" customHeight="true" outlineLevel="0" collapsed="false">
      <c r="A6" s="19" t="s">
        <v>25</v>
      </c>
      <c r="B6" s="19" t="s">
        <v>89</v>
      </c>
      <c r="C6" s="19" t="s">
        <v>90</v>
      </c>
      <c r="D6" s="19" t="s">
        <v>91</v>
      </c>
      <c r="E6" s="19" t="s">
        <v>92</v>
      </c>
      <c r="F6" s="17" t="s">
        <v>93</v>
      </c>
      <c r="G6" s="19" t="s">
        <v>94</v>
      </c>
      <c r="H6" s="23" t="n">
        <v>23</v>
      </c>
      <c r="I6" s="24" t="n">
        <f aca="false">IFERROR(H6/3,0)</f>
        <v>7.66666666666667</v>
      </c>
      <c r="J6" s="25" t="s">
        <v>82</v>
      </c>
    </row>
    <row r="7" customFormat="false" ht="91.5" hidden="false" customHeight="true" outlineLevel="0" collapsed="false">
      <c r="A7" s="19" t="s">
        <v>27</v>
      </c>
      <c r="B7" s="19" t="s">
        <v>95</v>
      </c>
      <c r="C7" s="19" t="s">
        <v>96</v>
      </c>
      <c r="D7" s="19" t="s">
        <v>97</v>
      </c>
      <c r="E7" s="19" t="s">
        <v>98</v>
      </c>
      <c r="F7" s="17" t="s">
        <v>99</v>
      </c>
      <c r="G7" s="19" t="s">
        <v>100</v>
      </c>
      <c r="H7" s="23" t="n">
        <v>28</v>
      </c>
      <c r="I7" s="24" t="n">
        <f aca="false">IFERROR(H7/4,0)</f>
        <v>7</v>
      </c>
      <c r="J7" s="25" t="s">
        <v>82</v>
      </c>
    </row>
    <row r="8" customFormat="false" ht="91.5" hidden="false" customHeight="true" outlineLevel="0" collapsed="false">
      <c r="A8" s="19" t="s">
        <v>29</v>
      </c>
      <c r="B8" s="19" t="s">
        <v>101</v>
      </c>
      <c r="C8" s="19" t="s">
        <v>102</v>
      </c>
      <c r="D8" s="19" t="s">
        <v>103</v>
      </c>
      <c r="E8" s="19" t="s">
        <v>104</v>
      </c>
      <c r="F8" s="17" t="s">
        <v>105</v>
      </c>
      <c r="G8" s="19" t="s">
        <v>106</v>
      </c>
      <c r="H8" s="23" t="n">
        <v>21</v>
      </c>
      <c r="I8" s="24" t="n">
        <f aca="false">IFERROR(H8/3,0)</f>
        <v>7</v>
      </c>
      <c r="J8" s="26" t="s">
        <v>107</v>
      </c>
    </row>
    <row r="9" customFormat="false" ht="91.5" hidden="false" customHeight="true" outlineLevel="0" collapsed="false">
      <c r="A9" s="19" t="s">
        <v>31</v>
      </c>
      <c r="B9" s="19" t="s">
        <v>108</v>
      </c>
      <c r="C9" s="19" t="s">
        <v>109</v>
      </c>
      <c r="D9" s="19" t="s">
        <v>110</v>
      </c>
      <c r="E9" s="19" t="s">
        <v>111</v>
      </c>
      <c r="F9" s="17" t="s">
        <v>112</v>
      </c>
      <c r="G9" s="19" t="s">
        <v>113</v>
      </c>
      <c r="H9" s="23" t="n">
        <v>26</v>
      </c>
      <c r="I9" s="24" t="n">
        <f aca="false">IFERROR(H9/3,0)</f>
        <v>8.66666666666667</v>
      </c>
      <c r="J9" s="26" t="s">
        <v>107</v>
      </c>
    </row>
    <row r="11" customFormat="false" ht="15" hidden="false" customHeight="false" outlineLevel="0" collapsed="false">
      <c r="A11" s="2" t="s">
        <v>114</v>
      </c>
    </row>
    <row r="12" customFormat="false" ht="60" hidden="false" customHeight="true" outlineLevel="0" collapsed="false">
      <c r="A12" s="27" t="s">
        <v>115</v>
      </c>
      <c r="B12" s="27"/>
      <c r="C12" s="27"/>
      <c r="D12" s="27"/>
      <c r="E12" s="27"/>
      <c r="F12" s="27"/>
      <c r="G12" s="27"/>
      <c r="H12" s="27"/>
      <c r="I12" s="27"/>
      <c r="J12" s="27"/>
    </row>
  </sheetData>
  <mergeCells count="1">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13"/>
    <col collapsed="false" customWidth="true" hidden="false" outlineLevel="0" max="4" min="4" style="0" width="6"/>
    <col collapsed="false" customWidth="true" hidden="false" outlineLevel="0" max="5" min="5" style="0" width="56"/>
    <col collapsed="false" customWidth="true" hidden="false" outlineLevel="0" max="6" min="6" style="0" width="9"/>
    <col collapsed="false" customWidth="true" hidden="false" outlineLevel="0" max="7" min="7" style="0" width="8"/>
    <col collapsed="false" customWidth="true" hidden="false" outlineLevel="0" max="8" min="8" style="0" width="12"/>
    <col collapsed="false" customWidth="true" hidden="false" outlineLevel="0" max="9" min="9" style="0" width="8"/>
    <col collapsed="false" customWidth="true" hidden="false" outlineLevel="0" max="10" min="10" style="0" width="11"/>
    <col collapsed="false" customWidth="true" hidden="false" outlineLevel="0" max="12" min="11" style="0" width="10"/>
    <col collapsed="false" customWidth="true" hidden="false" outlineLevel="0" max="13" min="13" style="0" width="9"/>
    <col collapsed="false" customWidth="true" hidden="false" outlineLevel="0" max="14" min="14" style="0" width="8"/>
  </cols>
  <sheetData>
    <row r="1" customFormat="false" ht="21.6" hidden="false" customHeight="false" outlineLevel="0" collapsed="false">
      <c r="A1" s="21" t="s">
        <v>116</v>
      </c>
    </row>
    <row r="2" customFormat="false" ht="15" hidden="false" customHeight="false" outlineLevel="0" collapsed="false">
      <c r="A2" s="2" t="s">
        <v>117</v>
      </c>
    </row>
    <row r="4" customFormat="false" ht="29.85" hidden="false" customHeight="false" outlineLevel="0" collapsed="false">
      <c r="A4" s="5" t="s">
        <v>9</v>
      </c>
      <c r="B4" s="5" t="s">
        <v>118</v>
      </c>
      <c r="C4" s="5" t="s">
        <v>119</v>
      </c>
      <c r="D4" s="5" t="s">
        <v>120</v>
      </c>
      <c r="E4" s="5" t="s">
        <v>121</v>
      </c>
      <c r="F4" s="5" t="s">
        <v>122</v>
      </c>
      <c r="G4" s="5" t="s">
        <v>14</v>
      </c>
      <c r="H4" s="5" t="s">
        <v>15</v>
      </c>
      <c r="I4" s="5" t="s">
        <v>123</v>
      </c>
      <c r="J4" s="5" t="s">
        <v>16</v>
      </c>
      <c r="K4" s="5" t="s">
        <v>124</v>
      </c>
      <c r="L4" s="5" t="s">
        <v>125</v>
      </c>
      <c r="M4" s="5" t="s">
        <v>126</v>
      </c>
      <c r="N4" s="22" t="s">
        <v>127</v>
      </c>
    </row>
    <row r="5" customFormat="false" ht="15" hidden="false" customHeight="false" outlineLevel="0" collapsed="false">
      <c r="A5" s="6" t="s">
        <v>23</v>
      </c>
      <c r="B5" s="6" t="s">
        <v>128</v>
      </c>
      <c r="C5" s="6" t="s">
        <v>129</v>
      </c>
      <c r="D5" s="6" t="s">
        <v>130</v>
      </c>
      <c r="E5" s="7" t="s">
        <v>131</v>
      </c>
      <c r="F5" s="8" t="n">
        <v>178</v>
      </c>
      <c r="G5" s="8" t="n">
        <v>1</v>
      </c>
      <c r="H5" s="28" t="n">
        <f aca="false">IFERROR(G5*1000/F5,0)</f>
        <v>5.61797752808989</v>
      </c>
      <c r="I5" s="8" t="n">
        <v>0</v>
      </c>
      <c r="J5" s="9" t="n">
        <f aca="false">IFERROR(I5*100/F5,0)</f>
        <v>0</v>
      </c>
      <c r="K5" s="8" t="n">
        <v>0</v>
      </c>
      <c r="L5" s="10" t="n">
        <v>25.4</v>
      </c>
      <c r="M5" s="8" t="n">
        <v>57</v>
      </c>
      <c r="N5" s="29" t="n">
        <v>1.75438596491228</v>
      </c>
    </row>
    <row r="6" customFormat="false" ht="15" hidden="false" customHeight="false" outlineLevel="0" collapsed="false">
      <c r="A6" s="6" t="s">
        <v>23</v>
      </c>
      <c r="B6" s="6" t="s">
        <v>132</v>
      </c>
      <c r="C6" s="6" t="s">
        <v>129</v>
      </c>
      <c r="D6" s="6" t="s">
        <v>133</v>
      </c>
      <c r="E6" s="6" t="s">
        <v>134</v>
      </c>
      <c r="F6" s="8" t="n">
        <v>182</v>
      </c>
      <c r="G6" s="8" t="n">
        <v>1</v>
      </c>
      <c r="H6" s="28" t="n">
        <f aca="false">IFERROR(G6*1000/F6,0)</f>
        <v>5.49450549450549</v>
      </c>
      <c r="I6" s="8" t="n">
        <v>1</v>
      </c>
      <c r="J6" s="9" t="n">
        <f aca="false">IFERROR(I6*100/F6,0)</f>
        <v>0.54945054945055</v>
      </c>
      <c r="K6" s="8" t="n">
        <v>0</v>
      </c>
      <c r="L6" s="10" t="n">
        <v>32.3</v>
      </c>
      <c r="M6" s="8" t="n">
        <v>202</v>
      </c>
      <c r="N6" s="29" t="n">
        <v>0.99009900990099</v>
      </c>
    </row>
    <row r="7" customFormat="false" ht="15" hidden="false" customHeight="false" outlineLevel="0" collapsed="false">
      <c r="A7" s="6" t="s">
        <v>21</v>
      </c>
      <c r="B7" s="6" t="s">
        <v>135</v>
      </c>
      <c r="C7" s="6" t="s">
        <v>136</v>
      </c>
      <c r="D7" s="6" t="s">
        <v>130</v>
      </c>
      <c r="E7" s="7" t="s">
        <v>137</v>
      </c>
      <c r="F7" s="8" t="n">
        <v>863</v>
      </c>
      <c r="G7" s="8" t="n">
        <v>3</v>
      </c>
      <c r="H7" s="28" t="n">
        <f aca="false">IFERROR(G7*1000/F7,0)</f>
        <v>3.47624565469293</v>
      </c>
      <c r="I7" s="8" t="n">
        <v>9</v>
      </c>
      <c r="J7" s="9" t="n">
        <f aca="false">IFERROR(I7*100/F7,0)</f>
        <v>1.04287369640788</v>
      </c>
      <c r="K7" s="8" t="n">
        <v>0</v>
      </c>
      <c r="L7" s="10" t="n">
        <v>43.9</v>
      </c>
      <c r="M7" s="8" t="n">
        <v>142</v>
      </c>
      <c r="N7" s="29" t="n">
        <v>0</v>
      </c>
    </row>
    <row r="8" customFormat="false" ht="15" hidden="false" customHeight="false" outlineLevel="0" collapsed="false">
      <c r="A8" s="6" t="s">
        <v>21</v>
      </c>
      <c r="B8" s="6" t="s">
        <v>138</v>
      </c>
      <c r="C8" s="6" t="s">
        <v>136</v>
      </c>
      <c r="D8" s="6" t="s">
        <v>139</v>
      </c>
      <c r="E8" s="7" t="s">
        <v>140</v>
      </c>
      <c r="F8" s="8" t="n">
        <v>912</v>
      </c>
      <c r="G8" s="8" t="n">
        <v>3</v>
      </c>
      <c r="H8" s="28" t="n">
        <f aca="false">IFERROR(G8*1000/F8,0)</f>
        <v>3.28947368421053</v>
      </c>
      <c r="I8" s="8" t="n">
        <v>12</v>
      </c>
      <c r="J8" s="9" t="n">
        <f aca="false">IFERROR(I8*100/F8,0)</f>
        <v>1.31578947368421</v>
      </c>
      <c r="K8" s="8" t="n">
        <v>0</v>
      </c>
      <c r="L8" s="10" t="n">
        <v>69</v>
      </c>
      <c r="M8" s="8" t="n">
        <v>18</v>
      </c>
      <c r="N8" s="29" t="n">
        <v>0</v>
      </c>
    </row>
    <row r="9" customFormat="false" ht="15" hidden="false" customHeight="false" outlineLevel="0" collapsed="false">
      <c r="A9" s="6" t="s">
        <v>25</v>
      </c>
      <c r="B9" s="6" t="s">
        <v>141</v>
      </c>
      <c r="C9" s="6" t="s">
        <v>142</v>
      </c>
      <c r="D9" s="6" t="s">
        <v>133</v>
      </c>
      <c r="E9" s="6" t="s">
        <v>143</v>
      </c>
      <c r="F9" s="8" t="n">
        <v>315</v>
      </c>
      <c r="G9" s="8" t="n">
        <v>1</v>
      </c>
      <c r="H9" s="28" t="n">
        <f aca="false">IFERROR(G9*1000/F9,0)</f>
        <v>3.17460317460317</v>
      </c>
      <c r="I9" s="8" t="n">
        <v>1</v>
      </c>
      <c r="J9" s="9" t="n">
        <f aca="false">IFERROR(I9*100/F9,0)</f>
        <v>0.317460317460317</v>
      </c>
      <c r="K9" s="8" t="n">
        <v>0</v>
      </c>
      <c r="L9" s="10" t="n">
        <v>49.6</v>
      </c>
      <c r="M9" s="8" t="n">
        <v>48</v>
      </c>
      <c r="N9" s="29" t="n">
        <v>0</v>
      </c>
    </row>
    <row r="10" customFormat="false" ht="15" hidden="false" customHeight="false" outlineLevel="0" collapsed="false">
      <c r="A10" s="6" t="s">
        <v>25</v>
      </c>
      <c r="B10" s="6" t="s">
        <v>144</v>
      </c>
      <c r="C10" s="6" t="s">
        <v>142</v>
      </c>
      <c r="D10" s="6" t="s">
        <v>139</v>
      </c>
      <c r="E10" s="7" t="s">
        <v>145</v>
      </c>
      <c r="F10" s="8" t="n">
        <v>992</v>
      </c>
      <c r="G10" s="8" t="n">
        <v>3</v>
      </c>
      <c r="H10" s="28" t="n">
        <f aca="false">IFERROR(G10*1000/F10,0)</f>
        <v>3.0241935483871</v>
      </c>
      <c r="I10" s="8" t="n">
        <v>10</v>
      </c>
      <c r="J10" s="9" t="n">
        <f aca="false">IFERROR(I10*100/F10,0)</f>
        <v>1.00806451612903</v>
      </c>
      <c r="K10" s="8" t="n">
        <v>0</v>
      </c>
      <c r="L10" s="10" t="n">
        <v>42.5</v>
      </c>
      <c r="M10" s="8" t="n">
        <v>119</v>
      </c>
      <c r="N10" s="29" t="n">
        <v>0</v>
      </c>
    </row>
    <row r="11" customFormat="false" ht="15" hidden="false" customHeight="false" outlineLevel="0" collapsed="false">
      <c r="A11" s="6" t="s">
        <v>23</v>
      </c>
      <c r="B11" s="6" t="s">
        <v>146</v>
      </c>
      <c r="C11" s="6" t="s">
        <v>129</v>
      </c>
      <c r="D11" s="6" t="s">
        <v>130</v>
      </c>
      <c r="E11" s="7" t="s">
        <v>147</v>
      </c>
      <c r="F11" s="8" t="n">
        <v>993</v>
      </c>
      <c r="G11" s="8" t="n">
        <v>3</v>
      </c>
      <c r="H11" s="28" t="n">
        <f aca="false">IFERROR(G11*1000/F11,0)</f>
        <v>3.02114803625378</v>
      </c>
      <c r="I11" s="8" t="n">
        <v>6</v>
      </c>
      <c r="J11" s="9" t="n">
        <f aca="false">IFERROR(I11*100/F11,0)</f>
        <v>0.604229607250755</v>
      </c>
      <c r="K11" s="8" t="n">
        <v>0</v>
      </c>
      <c r="L11" s="10" t="n">
        <v>33</v>
      </c>
      <c r="M11" s="8" t="n">
        <v>664</v>
      </c>
      <c r="N11" s="29" t="n">
        <v>2.10843373493976</v>
      </c>
    </row>
    <row r="12" customFormat="false" ht="15" hidden="false" customHeight="false" outlineLevel="0" collapsed="false">
      <c r="A12" s="6" t="s">
        <v>25</v>
      </c>
      <c r="B12" s="6" t="s">
        <v>132</v>
      </c>
      <c r="C12" s="6" t="s">
        <v>142</v>
      </c>
      <c r="D12" s="6" t="s">
        <v>148</v>
      </c>
      <c r="E12" s="7" t="s">
        <v>149</v>
      </c>
      <c r="F12" s="8" t="n">
        <v>1173</v>
      </c>
      <c r="G12" s="8" t="n">
        <v>3</v>
      </c>
      <c r="H12" s="28" t="n">
        <f aca="false">IFERROR(G12*1000/F12,0)</f>
        <v>2.55754475703325</v>
      </c>
      <c r="I12" s="8" t="n">
        <v>13</v>
      </c>
      <c r="J12" s="9" t="n">
        <f aca="false">IFERROR(I12*100/F12,0)</f>
        <v>1.10826939471441</v>
      </c>
      <c r="K12" s="8" t="n">
        <v>0</v>
      </c>
      <c r="L12" s="10" t="n">
        <v>51.6</v>
      </c>
      <c r="M12" s="8" t="n">
        <v>102</v>
      </c>
      <c r="N12" s="29" t="n">
        <v>0</v>
      </c>
    </row>
    <row r="13" customFormat="false" ht="15" hidden="false" customHeight="false" outlineLevel="0" collapsed="false">
      <c r="A13" s="6" t="s">
        <v>21</v>
      </c>
      <c r="B13" s="6" t="s">
        <v>150</v>
      </c>
      <c r="C13" s="6" t="s">
        <v>136</v>
      </c>
      <c r="D13" s="6" t="s">
        <v>130</v>
      </c>
      <c r="E13" s="6" t="s">
        <v>151</v>
      </c>
      <c r="F13" s="8" t="n">
        <v>824</v>
      </c>
      <c r="G13" s="8" t="n">
        <v>2</v>
      </c>
      <c r="H13" s="28" t="n">
        <f aca="false">IFERROR(G13*1000/F13,0)</f>
        <v>2.42718446601942</v>
      </c>
      <c r="I13" s="8" t="n">
        <v>5</v>
      </c>
      <c r="J13" s="9" t="n">
        <f aca="false">IFERROR(I13*100/F13,0)</f>
        <v>0.606796116504854</v>
      </c>
      <c r="K13" s="8" t="n">
        <v>0</v>
      </c>
      <c r="L13" s="10" t="n">
        <v>30</v>
      </c>
      <c r="M13" s="8" t="n">
        <v>75</v>
      </c>
      <c r="N13" s="29" t="n">
        <v>1.33333333333333</v>
      </c>
    </row>
    <row r="14" customFormat="false" ht="15" hidden="false" customHeight="false" outlineLevel="0" collapsed="false">
      <c r="A14" s="6" t="s">
        <v>23</v>
      </c>
      <c r="B14" s="6" t="s">
        <v>138</v>
      </c>
      <c r="C14" s="6" t="s">
        <v>136</v>
      </c>
      <c r="D14" s="6" t="s">
        <v>148</v>
      </c>
      <c r="E14" s="6" t="s">
        <v>152</v>
      </c>
      <c r="F14" s="8" t="n">
        <v>911</v>
      </c>
      <c r="G14" s="8" t="n">
        <v>2</v>
      </c>
      <c r="H14" s="28" t="n">
        <f aca="false">IFERROR(G14*1000/F14,0)</f>
        <v>2.1953896816685</v>
      </c>
      <c r="I14" s="8" t="n">
        <v>4</v>
      </c>
      <c r="J14" s="9" t="n">
        <f aca="false">IFERROR(I14*100/F14,0)</f>
        <v>0.439077936333699</v>
      </c>
      <c r="K14" s="8" t="n">
        <v>0</v>
      </c>
      <c r="L14" s="10" t="n">
        <v>45.9</v>
      </c>
      <c r="M14" s="8" t="n">
        <v>493</v>
      </c>
      <c r="N14" s="29" t="n">
        <v>0.405679513184584</v>
      </c>
    </row>
    <row r="15" customFormat="false" ht="15" hidden="false" customHeight="false" outlineLevel="0" collapsed="false">
      <c r="A15" s="6" t="s">
        <v>31</v>
      </c>
      <c r="B15" s="6" t="s">
        <v>153</v>
      </c>
      <c r="C15" s="6" t="s">
        <v>154</v>
      </c>
      <c r="D15" s="6" t="s">
        <v>130</v>
      </c>
      <c r="E15" s="7" t="s">
        <v>155</v>
      </c>
      <c r="F15" s="8" t="n">
        <v>914</v>
      </c>
      <c r="G15" s="8" t="n">
        <v>2</v>
      </c>
      <c r="H15" s="28" t="n">
        <f aca="false">IFERROR(G15*1000/F15,0)</f>
        <v>2.18818380743982</v>
      </c>
      <c r="I15" s="8" t="n">
        <v>1</v>
      </c>
      <c r="J15" s="9" t="n">
        <f aca="false">IFERROR(I15*100/F15,0)</f>
        <v>0.109409190371991</v>
      </c>
      <c r="K15" s="8" t="n">
        <v>0</v>
      </c>
      <c r="L15" s="10" t="n">
        <v>38.6</v>
      </c>
      <c r="M15" s="8" t="n">
        <v>20</v>
      </c>
      <c r="N15" s="29" t="n">
        <v>0</v>
      </c>
    </row>
    <row r="16" customFormat="false" ht="15" hidden="false" customHeight="false" outlineLevel="0" collapsed="false">
      <c r="A16" s="6" t="s">
        <v>23</v>
      </c>
      <c r="B16" s="6" t="s">
        <v>156</v>
      </c>
      <c r="C16" s="6" t="s">
        <v>129</v>
      </c>
      <c r="D16" s="6" t="s">
        <v>130</v>
      </c>
      <c r="E16" s="6" t="s">
        <v>157</v>
      </c>
      <c r="F16" s="8" t="n">
        <v>932</v>
      </c>
      <c r="G16" s="8" t="n">
        <v>2</v>
      </c>
      <c r="H16" s="28" t="n">
        <f aca="false">IFERROR(G16*1000/F16,0)</f>
        <v>2.14592274678112</v>
      </c>
      <c r="I16" s="8" t="n">
        <v>8</v>
      </c>
      <c r="J16" s="9" t="n">
        <f aca="false">IFERROR(I16*100/F16,0)</f>
        <v>0.858369098712446</v>
      </c>
      <c r="K16" s="8" t="n">
        <v>0</v>
      </c>
      <c r="L16" s="10" t="n">
        <v>40</v>
      </c>
      <c r="M16" s="8" t="n">
        <v>379</v>
      </c>
      <c r="N16" s="29" t="n">
        <v>2.11081794195251</v>
      </c>
    </row>
    <row r="17" customFormat="false" ht="15" hidden="false" customHeight="false" outlineLevel="0" collapsed="false">
      <c r="A17" s="6" t="s">
        <v>21</v>
      </c>
      <c r="B17" s="6" t="s">
        <v>132</v>
      </c>
      <c r="C17" s="6" t="s">
        <v>136</v>
      </c>
      <c r="D17" s="6" t="s">
        <v>139</v>
      </c>
      <c r="E17" s="7" t="s">
        <v>158</v>
      </c>
      <c r="F17" s="8" t="n">
        <v>949</v>
      </c>
      <c r="G17" s="8" t="n">
        <v>2</v>
      </c>
      <c r="H17" s="28" t="n">
        <f aca="false">IFERROR(G17*1000/F17,0)</f>
        <v>2.10748155953635</v>
      </c>
      <c r="I17" s="8" t="n">
        <v>12</v>
      </c>
      <c r="J17" s="9" t="n">
        <f aca="false">IFERROR(I17*100/F17,0)</f>
        <v>1.26448893572181</v>
      </c>
      <c r="K17" s="8" t="n">
        <v>0</v>
      </c>
      <c r="L17" s="10" t="n">
        <v>42.7</v>
      </c>
      <c r="M17" s="8" t="n">
        <v>85</v>
      </c>
      <c r="N17" s="29" t="n">
        <v>0</v>
      </c>
    </row>
    <row r="18" customFormat="false" ht="15" hidden="false" customHeight="false" outlineLevel="0" collapsed="false">
      <c r="A18" s="6" t="s">
        <v>23</v>
      </c>
      <c r="B18" s="6" t="s">
        <v>141</v>
      </c>
      <c r="C18" s="6" t="s">
        <v>154</v>
      </c>
      <c r="D18" s="6" t="s">
        <v>130</v>
      </c>
      <c r="E18" s="6" t="s">
        <v>159</v>
      </c>
      <c r="F18" s="8" t="n">
        <v>954</v>
      </c>
      <c r="G18" s="8" t="n">
        <v>2</v>
      </c>
      <c r="H18" s="28" t="n">
        <f aca="false">IFERROR(G18*1000/F18,0)</f>
        <v>2.09643605870021</v>
      </c>
      <c r="I18" s="8" t="n">
        <v>1</v>
      </c>
      <c r="J18" s="9" t="n">
        <f aca="false">IFERROR(I18*100/F18,0)</f>
        <v>0.10482180293501</v>
      </c>
      <c r="K18" s="8" t="n">
        <v>0</v>
      </c>
      <c r="L18" s="10" t="n">
        <v>59.7</v>
      </c>
      <c r="M18" s="8" t="n">
        <v>311</v>
      </c>
      <c r="N18" s="29" t="n">
        <v>0.964630225080386</v>
      </c>
    </row>
    <row r="19" customFormat="false" ht="15" hidden="false" customHeight="false" outlineLevel="0" collapsed="false">
      <c r="A19" s="6" t="s">
        <v>25</v>
      </c>
      <c r="B19" s="6" t="s">
        <v>144</v>
      </c>
      <c r="C19" s="6" t="s">
        <v>129</v>
      </c>
      <c r="D19" s="6" t="s">
        <v>139</v>
      </c>
      <c r="E19" s="7" t="s">
        <v>160</v>
      </c>
      <c r="F19" s="8" t="n">
        <v>969</v>
      </c>
      <c r="G19" s="8" t="n">
        <v>2</v>
      </c>
      <c r="H19" s="28" t="n">
        <f aca="false">IFERROR(G19*1000/F19,0)</f>
        <v>2.0639834881321</v>
      </c>
      <c r="I19" s="8" t="n">
        <v>14</v>
      </c>
      <c r="J19" s="9" t="n">
        <f aca="false">IFERROR(I19*100/F19,0)</f>
        <v>1.44478844169247</v>
      </c>
      <c r="K19" s="8" t="n">
        <v>0</v>
      </c>
      <c r="L19" s="10" t="n">
        <v>52.2</v>
      </c>
      <c r="M19" s="8" t="n">
        <v>123</v>
      </c>
      <c r="N19" s="29" t="n">
        <v>0</v>
      </c>
    </row>
    <row r="20" customFormat="false" ht="15" hidden="false" customHeight="false" outlineLevel="0" collapsed="false">
      <c r="A20" s="6" t="s">
        <v>27</v>
      </c>
      <c r="B20" s="6" t="s">
        <v>135</v>
      </c>
      <c r="C20" s="6" t="s">
        <v>136</v>
      </c>
      <c r="D20" s="6" t="s">
        <v>130</v>
      </c>
      <c r="E20" s="6" t="s">
        <v>161</v>
      </c>
      <c r="F20" s="8" t="n">
        <v>1009</v>
      </c>
      <c r="G20" s="8" t="n">
        <v>2</v>
      </c>
      <c r="H20" s="28" t="n">
        <f aca="false">IFERROR(G20*1000/F20,0)</f>
        <v>1.98216055500496</v>
      </c>
      <c r="I20" s="8" t="n">
        <v>3</v>
      </c>
      <c r="J20" s="9" t="n">
        <f aca="false">IFERROR(I20*100/F20,0)</f>
        <v>0.297324083250743</v>
      </c>
      <c r="K20" s="8" t="n">
        <v>0</v>
      </c>
      <c r="L20" s="10" t="n">
        <v>46.6</v>
      </c>
      <c r="M20" s="8" t="n">
        <v>29</v>
      </c>
      <c r="N20" s="29" t="n">
        <v>0</v>
      </c>
    </row>
    <row r="21" customFormat="false" ht="15" hidden="false" customHeight="false" outlineLevel="0" collapsed="false">
      <c r="A21" s="6" t="s">
        <v>25</v>
      </c>
      <c r="B21" s="6" t="s">
        <v>156</v>
      </c>
      <c r="C21" s="6" t="s">
        <v>162</v>
      </c>
      <c r="D21" s="6" t="s">
        <v>139</v>
      </c>
      <c r="E21" s="7" t="s">
        <v>163</v>
      </c>
      <c r="F21" s="8" t="n">
        <v>1021</v>
      </c>
      <c r="G21" s="8" t="n">
        <v>2</v>
      </c>
      <c r="H21" s="28" t="n">
        <f aca="false">IFERROR(G21*1000/F21,0)</f>
        <v>1.9588638589618</v>
      </c>
      <c r="I21" s="8" t="n">
        <v>6</v>
      </c>
      <c r="J21" s="9" t="n">
        <f aca="false">IFERROR(I21*100/F21,0)</f>
        <v>0.587659157688541</v>
      </c>
      <c r="K21" s="8" t="n">
        <v>0</v>
      </c>
      <c r="L21" s="10" t="n">
        <v>46.1</v>
      </c>
      <c r="M21" s="8" t="n">
        <v>165</v>
      </c>
      <c r="N21" s="29" t="n">
        <v>3.63636363636364</v>
      </c>
    </row>
    <row r="22" customFormat="false" ht="15" hidden="false" customHeight="false" outlineLevel="0" collapsed="false">
      <c r="A22" s="6" t="s">
        <v>29</v>
      </c>
      <c r="B22" s="6" t="s">
        <v>164</v>
      </c>
      <c r="C22" s="6" t="s">
        <v>136</v>
      </c>
      <c r="D22" s="6" t="s">
        <v>133</v>
      </c>
      <c r="E22" s="6" t="s">
        <v>165</v>
      </c>
      <c r="F22" s="8" t="n">
        <v>1051</v>
      </c>
      <c r="G22" s="8" t="n">
        <v>2</v>
      </c>
      <c r="H22" s="28" t="n">
        <f aca="false">IFERROR(G22*1000/F22,0)</f>
        <v>1.90294957183635</v>
      </c>
      <c r="I22" s="8" t="n">
        <v>4</v>
      </c>
      <c r="J22" s="9" t="n">
        <f aca="false">IFERROR(I22*100/F22,0)</f>
        <v>0.380589914367269</v>
      </c>
      <c r="K22" s="8" t="n">
        <v>0</v>
      </c>
      <c r="L22" s="10" t="n">
        <v>26.7</v>
      </c>
      <c r="M22" s="8" t="n">
        <v>111</v>
      </c>
      <c r="N22" s="29" t="n">
        <v>4.50450450450451</v>
      </c>
    </row>
    <row r="23" customFormat="false" ht="15" hidden="false" customHeight="false" outlineLevel="0" collapsed="false">
      <c r="A23" s="6" t="s">
        <v>23</v>
      </c>
      <c r="B23" s="6" t="s">
        <v>166</v>
      </c>
      <c r="C23" s="6" t="s">
        <v>136</v>
      </c>
      <c r="D23" s="6" t="s">
        <v>133</v>
      </c>
      <c r="E23" s="6" t="s">
        <v>167</v>
      </c>
      <c r="F23" s="8" t="n">
        <v>1055</v>
      </c>
      <c r="G23" s="8" t="n">
        <v>2</v>
      </c>
      <c r="H23" s="28" t="n">
        <f aca="false">IFERROR(G23*1000/F23,0)</f>
        <v>1.8957345971564</v>
      </c>
      <c r="I23" s="8" t="n">
        <v>3</v>
      </c>
      <c r="J23" s="9" t="n">
        <f aca="false">IFERROR(I23*100/F23,0)</f>
        <v>0.28436018957346</v>
      </c>
      <c r="K23" s="8" t="n">
        <v>0</v>
      </c>
      <c r="L23" s="10" t="n">
        <v>43.4</v>
      </c>
      <c r="M23" s="8" t="n">
        <v>969</v>
      </c>
      <c r="N23" s="29" t="n">
        <v>0.515995872033024</v>
      </c>
    </row>
    <row r="24" customFormat="false" ht="15" hidden="false" customHeight="false" outlineLevel="0" collapsed="false">
      <c r="A24" s="6" t="s">
        <v>23</v>
      </c>
      <c r="B24" s="6" t="s">
        <v>144</v>
      </c>
      <c r="C24" s="6" t="s">
        <v>168</v>
      </c>
      <c r="D24" s="6" t="s">
        <v>133</v>
      </c>
      <c r="E24" s="6" t="s">
        <v>169</v>
      </c>
      <c r="F24" s="8" t="n">
        <v>1093</v>
      </c>
      <c r="G24" s="8" t="n">
        <v>2</v>
      </c>
      <c r="H24" s="28" t="n">
        <f aca="false">IFERROR(G24*1000/F24,0)</f>
        <v>1.82982616651418</v>
      </c>
      <c r="I24" s="8" t="n">
        <v>6</v>
      </c>
      <c r="J24" s="9" t="n">
        <f aca="false">IFERROR(I24*100/F24,0)</f>
        <v>0.548947849954254</v>
      </c>
      <c r="K24" s="8" t="n">
        <v>0</v>
      </c>
      <c r="L24" s="10" t="n">
        <v>40.3</v>
      </c>
      <c r="M24" s="8" t="n">
        <v>429</v>
      </c>
      <c r="N24" s="29" t="n">
        <v>0.932400932400932</v>
      </c>
    </row>
    <row r="25" customFormat="false" ht="15" hidden="false" customHeight="false" outlineLevel="0" collapsed="false">
      <c r="A25" s="6" t="s">
        <v>21</v>
      </c>
      <c r="B25" s="6" t="s">
        <v>170</v>
      </c>
      <c r="C25" s="6" t="s">
        <v>171</v>
      </c>
      <c r="D25" s="6" t="s">
        <v>130</v>
      </c>
      <c r="E25" s="7" t="s">
        <v>172</v>
      </c>
      <c r="F25" s="8" t="n">
        <v>1138</v>
      </c>
      <c r="G25" s="8" t="n">
        <v>2</v>
      </c>
      <c r="H25" s="28" t="n">
        <f aca="false">IFERROR(G25*1000/F25,0)</f>
        <v>1.75746924428823</v>
      </c>
      <c r="I25" s="8" t="n">
        <v>15</v>
      </c>
      <c r="J25" s="9" t="n">
        <f aca="false">IFERROR(I25*100/F25,0)</f>
        <v>1.31810193321617</v>
      </c>
      <c r="K25" s="8" t="n">
        <v>0</v>
      </c>
      <c r="L25" s="10" t="n">
        <v>38.1</v>
      </c>
      <c r="M25" s="8" t="n">
        <v>11</v>
      </c>
      <c r="N25" s="29" t="n">
        <v>0</v>
      </c>
    </row>
    <row r="26" customFormat="false" ht="15" hidden="false" customHeight="false" outlineLevel="0" collapsed="false">
      <c r="A26" s="6" t="s">
        <v>27</v>
      </c>
      <c r="B26" s="6" t="s">
        <v>170</v>
      </c>
      <c r="C26" s="6" t="s">
        <v>173</v>
      </c>
      <c r="D26" s="6" t="s">
        <v>133</v>
      </c>
      <c r="E26" s="6" t="s">
        <v>174</v>
      </c>
      <c r="F26" s="8" t="n">
        <v>1148</v>
      </c>
      <c r="G26" s="8" t="n">
        <v>2</v>
      </c>
      <c r="H26" s="28" t="n">
        <f aca="false">IFERROR(G26*1000/F26,0)</f>
        <v>1.74216027874564</v>
      </c>
      <c r="I26" s="8" t="n">
        <v>1</v>
      </c>
      <c r="J26" s="9" t="n">
        <f aca="false">IFERROR(I26*100/F26,0)</f>
        <v>0.0871080139372822</v>
      </c>
      <c r="K26" s="8" t="n">
        <v>0</v>
      </c>
      <c r="L26" s="10" t="n">
        <v>90</v>
      </c>
      <c r="M26" s="8" t="n">
        <v>121</v>
      </c>
      <c r="N26" s="29" t="n">
        <v>0</v>
      </c>
    </row>
    <row r="27" customFormat="false" ht="15" hidden="false" customHeight="false" outlineLevel="0" collapsed="false">
      <c r="A27" s="6" t="s">
        <v>27</v>
      </c>
      <c r="B27" s="6" t="s">
        <v>146</v>
      </c>
      <c r="C27" s="6" t="s">
        <v>136</v>
      </c>
      <c r="D27" s="6" t="s">
        <v>133</v>
      </c>
      <c r="E27" s="7" t="s">
        <v>175</v>
      </c>
      <c r="F27" s="8" t="n">
        <v>3599</v>
      </c>
      <c r="G27" s="8" t="n">
        <v>6</v>
      </c>
      <c r="H27" s="28" t="n">
        <f aca="false">IFERROR(G27*1000/F27,0)</f>
        <v>1.66712975826619</v>
      </c>
      <c r="I27" s="8" t="n">
        <v>8</v>
      </c>
      <c r="J27" s="9" t="n">
        <f aca="false">IFERROR(I27*100/F27,0)</f>
        <v>0.222283967768825</v>
      </c>
      <c r="K27" s="8" t="n">
        <v>0</v>
      </c>
      <c r="L27" s="10" t="n">
        <v>79</v>
      </c>
      <c r="M27" s="8" t="n">
        <v>300</v>
      </c>
      <c r="N27" s="29" t="n">
        <v>3</v>
      </c>
    </row>
    <row r="28" customFormat="false" ht="15" hidden="false" customHeight="false" outlineLevel="0" collapsed="false">
      <c r="A28" s="6" t="s">
        <v>27</v>
      </c>
      <c r="B28" s="6" t="s">
        <v>176</v>
      </c>
      <c r="C28" s="6" t="s">
        <v>136</v>
      </c>
      <c r="D28" s="6" t="s">
        <v>133</v>
      </c>
      <c r="E28" s="7" t="s">
        <v>177</v>
      </c>
      <c r="F28" s="8" t="n">
        <v>2246</v>
      </c>
      <c r="G28" s="8" t="n">
        <v>3</v>
      </c>
      <c r="H28" s="29" t="n">
        <f aca="false">IFERROR(G28*1000/F28,0)</f>
        <v>1.33570792520036</v>
      </c>
      <c r="I28" s="8" t="n">
        <v>23</v>
      </c>
      <c r="J28" s="9" t="n">
        <f aca="false">IFERROR(I28*100/F28,0)</f>
        <v>1.02404274265361</v>
      </c>
      <c r="K28" s="8" t="n">
        <v>0</v>
      </c>
      <c r="L28" s="10" t="n">
        <v>89.8</v>
      </c>
      <c r="M28" s="8" t="n">
        <v>323</v>
      </c>
      <c r="N28" s="29" t="n">
        <v>2.1671826625387</v>
      </c>
    </row>
    <row r="29" customFormat="false" ht="15" hidden="false" customHeight="false" outlineLevel="0" collapsed="false">
      <c r="A29" s="6" t="s">
        <v>25</v>
      </c>
      <c r="B29" s="6" t="s">
        <v>138</v>
      </c>
      <c r="C29" s="6" t="s">
        <v>136</v>
      </c>
      <c r="D29" s="6" t="s">
        <v>148</v>
      </c>
      <c r="E29" s="7" t="s">
        <v>178</v>
      </c>
      <c r="F29" s="8" t="n">
        <v>780</v>
      </c>
      <c r="G29" s="8" t="n">
        <v>1</v>
      </c>
      <c r="H29" s="29" t="n">
        <f aca="false">IFERROR(G29*1000/F29,0)</f>
        <v>1.28205128205128</v>
      </c>
      <c r="I29" s="8" t="n">
        <v>6</v>
      </c>
      <c r="J29" s="9" t="n">
        <f aca="false">IFERROR(I29*100/F29,0)</f>
        <v>0.769230769230769</v>
      </c>
      <c r="K29" s="8" t="n">
        <v>0</v>
      </c>
      <c r="L29" s="10" t="n">
        <v>38.2</v>
      </c>
      <c r="M29" s="8" t="n">
        <v>201</v>
      </c>
      <c r="N29" s="29" t="n">
        <v>1.49253731343284</v>
      </c>
    </row>
    <row r="30" customFormat="false" ht="15" hidden="false" customHeight="false" outlineLevel="0" collapsed="false">
      <c r="A30" s="6" t="s">
        <v>21</v>
      </c>
      <c r="B30" s="6" t="s">
        <v>179</v>
      </c>
      <c r="C30" s="6" t="s">
        <v>136</v>
      </c>
      <c r="D30" s="6" t="s">
        <v>130</v>
      </c>
      <c r="E30" s="6" t="s">
        <v>180</v>
      </c>
      <c r="F30" s="8" t="n">
        <v>816</v>
      </c>
      <c r="G30" s="8" t="n">
        <v>1</v>
      </c>
      <c r="H30" s="29" t="n">
        <f aca="false">IFERROR(G30*1000/F30,0)</f>
        <v>1.22549019607843</v>
      </c>
      <c r="I30" s="8" t="n">
        <v>6</v>
      </c>
      <c r="J30" s="9" t="n">
        <f aca="false">IFERROR(I30*100/F30,0)</f>
        <v>0.735294117647059</v>
      </c>
      <c r="K30" s="8" t="n">
        <v>0</v>
      </c>
      <c r="L30" s="10" t="n">
        <v>32.4</v>
      </c>
      <c r="M30" s="8" t="n">
        <v>82</v>
      </c>
      <c r="N30" s="29" t="n">
        <v>1.21951219512195</v>
      </c>
    </row>
    <row r="31" customFormat="false" ht="15" hidden="false" customHeight="false" outlineLevel="0" collapsed="false">
      <c r="A31" s="6" t="s">
        <v>31</v>
      </c>
      <c r="B31" s="6" t="s">
        <v>181</v>
      </c>
      <c r="C31" s="6" t="s">
        <v>136</v>
      </c>
      <c r="D31" s="6" t="s">
        <v>130</v>
      </c>
      <c r="E31" s="7" t="s">
        <v>182</v>
      </c>
      <c r="F31" s="8" t="n">
        <v>820</v>
      </c>
      <c r="G31" s="8" t="n">
        <v>1</v>
      </c>
      <c r="H31" s="29" t="n">
        <f aca="false">IFERROR(G31*1000/F31,0)</f>
        <v>1.21951219512195</v>
      </c>
      <c r="I31" s="8" t="n">
        <v>1</v>
      </c>
      <c r="J31" s="9" t="n">
        <f aca="false">IFERROR(I31*100/F31,0)</f>
        <v>0.121951219512195</v>
      </c>
      <c r="K31" s="8" t="n">
        <v>0</v>
      </c>
      <c r="L31" s="10" t="n">
        <v>31.9</v>
      </c>
      <c r="M31" s="8" t="n">
        <v>27</v>
      </c>
      <c r="N31" s="29" t="n">
        <v>0</v>
      </c>
    </row>
    <row r="32" customFormat="false" ht="15" hidden="false" customHeight="false" outlineLevel="0" collapsed="false">
      <c r="A32" s="6" t="s">
        <v>21</v>
      </c>
      <c r="B32" s="6" t="s">
        <v>176</v>
      </c>
      <c r="C32" s="6" t="s">
        <v>136</v>
      </c>
      <c r="D32" s="6" t="s">
        <v>130</v>
      </c>
      <c r="E32" s="6" t="s">
        <v>183</v>
      </c>
      <c r="F32" s="8" t="n">
        <v>848</v>
      </c>
      <c r="G32" s="8" t="n">
        <v>1</v>
      </c>
      <c r="H32" s="29" t="n">
        <f aca="false">IFERROR(G32*1000/F32,0)</f>
        <v>1.17924528301887</v>
      </c>
      <c r="I32" s="8" t="n">
        <v>7</v>
      </c>
      <c r="J32" s="9" t="n">
        <f aca="false">IFERROR(I32*100/F32,0)</f>
        <v>0.825471698113208</v>
      </c>
      <c r="K32" s="8" t="n">
        <v>0</v>
      </c>
      <c r="L32" s="10" t="n">
        <v>59.6</v>
      </c>
      <c r="M32" s="8" t="n">
        <v>125</v>
      </c>
      <c r="N32" s="29" t="n">
        <v>0.8</v>
      </c>
    </row>
    <row r="33" customFormat="false" ht="15" hidden="false" customHeight="false" outlineLevel="0" collapsed="false">
      <c r="A33" s="6" t="s">
        <v>25</v>
      </c>
      <c r="B33" s="6" t="s">
        <v>132</v>
      </c>
      <c r="C33" s="6" t="s">
        <v>136</v>
      </c>
      <c r="D33" s="6" t="s">
        <v>139</v>
      </c>
      <c r="E33" s="7" t="s">
        <v>184</v>
      </c>
      <c r="F33" s="8" t="n">
        <v>851</v>
      </c>
      <c r="G33" s="8" t="n">
        <v>1</v>
      </c>
      <c r="H33" s="29" t="n">
        <f aca="false">IFERROR(G33*1000/F33,0)</f>
        <v>1.17508813160987</v>
      </c>
      <c r="I33" s="8" t="n">
        <v>9</v>
      </c>
      <c r="J33" s="9" t="n">
        <f aca="false">IFERROR(I33*100/F33,0)</f>
        <v>1.05757931844888</v>
      </c>
      <c r="K33" s="8" t="n">
        <v>0</v>
      </c>
      <c r="L33" s="10" t="n">
        <v>48.6</v>
      </c>
      <c r="M33" s="8" t="n">
        <v>75</v>
      </c>
      <c r="N33" s="29" t="n">
        <v>4</v>
      </c>
    </row>
    <row r="34" customFormat="false" ht="15" hidden="false" customHeight="false" outlineLevel="0" collapsed="false">
      <c r="A34" s="6" t="s">
        <v>23</v>
      </c>
      <c r="B34" s="6" t="s">
        <v>135</v>
      </c>
      <c r="C34" s="6" t="s">
        <v>129</v>
      </c>
      <c r="D34" s="6" t="s">
        <v>130</v>
      </c>
      <c r="E34" s="6" t="s">
        <v>185</v>
      </c>
      <c r="F34" s="8" t="n">
        <v>858</v>
      </c>
      <c r="G34" s="8" t="n">
        <v>1</v>
      </c>
      <c r="H34" s="29" t="n">
        <f aca="false">IFERROR(G34*1000/F34,0)</f>
        <v>1.16550116550117</v>
      </c>
      <c r="I34" s="8" t="n">
        <v>7</v>
      </c>
      <c r="J34" s="9" t="n">
        <f aca="false">IFERROR(I34*100/F34,0)</f>
        <v>0.815850815850816</v>
      </c>
      <c r="K34" s="8" t="n">
        <v>0</v>
      </c>
      <c r="L34" s="10" t="n">
        <v>35.2</v>
      </c>
      <c r="M34" s="8" t="n">
        <v>220</v>
      </c>
      <c r="N34" s="29" t="n">
        <v>1.81818181818182</v>
      </c>
    </row>
    <row r="35" customFormat="false" ht="15" hidden="false" customHeight="false" outlineLevel="0" collapsed="false">
      <c r="A35" s="6" t="s">
        <v>29</v>
      </c>
      <c r="B35" s="6" t="s">
        <v>153</v>
      </c>
      <c r="C35" s="6" t="s">
        <v>136</v>
      </c>
      <c r="D35" s="6" t="s">
        <v>130</v>
      </c>
      <c r="E35" s="7" t="s">
        <v>186</v>
      </c>
      <c r="F35" s="8" t="n">
        <v>861</v>
      </c>
      <c r="G35" s="8" t="n">
        <v>1</v>
      </c>
      <c r="H35" s="29" t="n">
        <f aca="false">IFERROR(G35*1000/F35,0)</f>
        <v>1.16144018583043</v>
      </c>
      <c r="I35" s="8" t="n">
        <v>3</v>
      </c>
      <c r="J35" s="9" t="n">
        <f aca="false">IFERROR(I35*100/F35,0)</f>
        <v>0.348432055749129</v>
      </c>
      <c r="K35" s="8" t="n">
        <v>0</v>
      </c>
      <c r="L35" s="10" t="n">
        <v>34</v>
      </c>
      <c r="M35" s="8" t="n">
        <v>104</v>
      </c>
      <c r="N35" s="29" t="n">
        <v>0.961538461538462</v>
      </c>
    </row>
    <row r="36" customFormat="false" ht="15" hidden="false" customHeight="false" outlineLevel="0" collapsed="false">
      <c r="A36" s="6" t="s">
        <v>21</v>
      </c>
      <c r="B36" s="6" t="s">
        <v>187</v>
      </c>
      <c r="C36" s="6" t="s">
        <v>136</v>
      </c>
      <c r="D36" s="6" t="s">
        <v>130</v>
      </c>
      <c r="E36" s="6" t="s">
        <v>188</v>
      </c>
      <c r="F36" s="8" t="n">
        <v>863</v>
      </c>
      <c r="G36" s="8" t="n">
        <v>1</v>
      </c>
      <c r="H36" s="29" t="n">
        <f aca="false">IFERROR(G36*1000/F36,0)</f>
        <v>1.15874855156431</v>
      </c>
      <c r="I36" s="8" t="n">
        <v>7</v>
      </c>
      <c r="J36" s="9" t="n">
        <f aca="false">IFERROR(I36*100/F36,0)</f>
        <v>0.811123986095017</v>
      </c>
      <c r="K36" s="8" t="n">
        <v>0</v>
      </c>
      <c r="L36" s="10" t="n">
        <v>31.7</v>
      </c>
      <c r="M36" s="8" t="n">
        <v>33</v>
      </c>
      <c r="N36" s="29" t="n">
        <v>3.03030303030303</v>
      </c>
    </row>
    <row r="37" customFormat="false" ht="15" hidden="false" customHeight="false" outlineLevel="0" collapsed="false">
      <c r="A37" s="6" t="s">
        <v>31</v>
      </c>
      <c r="B37" s="6" t="s">
        <v>166</v>
      </c>
      <c r="C37" s="6" t="s">
        <v>189</v>
      </c>
      <c r="D37" s="6" t="s">
        <v>133</v>
      </c>
      <c r="E37" s="7" t="s">
        <v>190</v>
      </c>
      <c r="F37" s="8" t="n">
        <v>873</v>
      </c>
      <c r="G37" s="8" t="n">
        <v>1</v>
      </c>
      <c r="H37" s="29" t="n">
        <f aca="false">IFERROR(G37*1000/F37,0)</f>
        <v>1.1454753722795</v>
      </c>
      <c r="I37" s="8" t="n">
        <v>1</v>
      </c>
      <c r="J37" s="9" t="n">
        <f aca="false">IFERROR(I37*100/F37,0)</f>
        <v>0.11454753722795</v>
      </c>
      <c r="K37" s="8" t="n">
        <v>0</v>
      </c>
      <c r="L37" s="10" t="n">
        <v>36.6</v>
      </c>
      <c r="M37" s="8" t="n">
        <v>6</v>
      </c>
      <c r="N37" s="29" t="n">
        <v>16.6666666666667</v>
      </c>
    </row>
    <row r="38" customFormat="false" ht="15" hidden="false" customHeight="false" outlineLevel="0" collapsed="false">
      <c r="A38" s="6" t="s">
        <v>21</v>
      </c>
      <c r="B38" s="6" t="s">
        <v>153</v>
      </c>
      <c r="C38" s="6" t="s">
        <v>136</v>
      </c>
      <c r="D38" s="6" t="s">
        <v>130</v>
      </c>
      <c r="E38" s="7" t="s">
        <v>191</v>
      </c>
      <c r="F38" s="8" t="n">
        <v>891</v>
      </c>
      <c r="G38" s="8" t="n">
        <v>1</v>
      </c>
      <c r="H38" s="29" t="n">
        <f aca="false">IFERROR(G38*1000/F38,0)</f>
        <v>1.12233445566779</v>
      </c>
      <c r="I38" s="8" t="n">
        <v>10</v>
      </c>
      <c r="J38" s="9" t="n">
        <f aca="false">IFERROR(I38*100/F38,0)</f>
        <v>1.12233445566779</v>
      </c>
      <c r="K38" s="8" t="n">
        <v>0</v>
      </c>
      <c r="L38" s="10" t="n">
        <v>40.5</v>
      </c>
      <c r="M38" s="8" t="n">
        <v>97</v>
      </c>
      <c r="N38" s="29" t="n">
        <v>0</v>
      </c>
    </row>
    <row r="39" customFormat="false" ht="15" hidden="false" customHeight="false" outlineLevel="0" collapsed="false">
      <c r="A39" s="6" t="s">
        <v>21</v>
      </c>
      <c r="B39" s="6" t="s">
        <v>176</v>
      </c>
      <c r="C39" s="6" t="s">
        <v>142</v>
      </c>
      <c r="D39" s="6" t="s">
        <v>130</v>
      </c>
      <c r="E39" s="6" t="s">
        <v>192</v>
      </c>
      <c r="F39" s="8" t="n">
        <v>900</v>
      </c>
      <c r="G39" s="8" t="n">
        <v>1</v>
      </c>
      <c r="H39" s="29" t="n">
        <f aca="false">IFERROR(G39*1000/F39,0)</f>
        <v>1.11111111111111</v>
      </c>
      <c r="I39" s="8" t="n">
        <v>6</v>
      </c>
      <c r="J39" s="9" t="n">
        <f aca="false">IFERROR(I39*100/F39,0)</f>
        <v>0.666666666666667</v>
      </c>
      <c r="K39" s="8" t="n">
        <v>0</v>
      </c>
      <c r="L39" s="10" t="n">
        <v>53.4</v>
      </c>
      <c r="M39" s="8" t="n">
        <v>66</v>
      </c>
      <c r="N39" s="29" t="n">
        <v>1.51515151515152</v>
      </c>
    </row>
    <row r="40" customFormat="false" ht="15" hidden="false" customHeight="false" outlineLevel="0" collapsed="false">
      <c r="A40" s="6" t="s">
        <v>23</v>
      </c>
      <c r="B40" s="6" t="s">
        <v>132</v>
      </c>
      <c r="C40" s="6" t="s">
        <v>136</v>
      </c>
      <c r="D40" s="6" t="s">
        <v>130</v>
      </c>
      <c r="E40" s="7" t="s">
        <v>193</v>
      </c>
      <c r="F40" s="8" t="n">
        <v>900</v>
      </c>
      <c r="G40" s="8" t="n">
        <v>1</v>
      </c>
      <c r="H40" s="29" t="n">
        <f aca="false">IFERROR(G40*1000/F40,0)</f>
        <v>1.11111111111111</v>
      </c>
      <c r="I40" s="8" t="n">
        <v>4</v>
      </c>
      <c r="J40" s="9" t="n">
        <f aca="false">IFERROR(I40*100/F40,0)</f>
        <v>0.444444444444444</v>
      </c>
      <c r="K40" s="8" t="n">
        <v>0</v>
      </c>
      <c r="L40" s="10" t="n">
        <v>48.6</v>
      </c>
      <c r="M40" s="8" t="n">
        <v>65</v>
      </c>
      <c r="N40" s="29" t="n">
        <v>0</v>
      </c>
    </row>
    <row r="41" customFormat="false" ht="15" hidden="false" customHeight="false" outlineLevel="0" collapsed="false">
      <c r="A41" s="6" t="s">
        <v>25</v>
      </c>
      <c r="B41" s="6" t="s">
        <v>176</v>
      </c>
      <c r="C41" s="6" t="s">
        <v>142</v>
      </c>
      <c r="D41" s="6" t="s">
        <v>133</v>
      </c>
      <c r="E41" s="6" t="s">
        <v>194</v>
      </c>
      <c r="F41" s="8" t="n">
        <v>900</v>
      </c>
      <c r="G41" s="8" t="n">
        <v>1</v>
      </c>
      <c r="H41" s="29" t="n">
        <f aca="false">IFERROR(G41*1000/F41,0)</f>
        <v>1.11111111111111</v>
      </c>
      <c r="I41" s="8" t="n">
        <v>5</v>
      </c>
      <c r="J41" s="9" t="n">
        <f aca="false">IFERROR(I41*100/F41,0)</f>
        <v>0.555555555555556</v>
      </c>
      <c r="K41" s="8" t="n">
        <v>0</v>
      </c>
      <c r="L41" s="10" t="n">
        <v>79.6</v>
      </c>
      <c r="M41" s="8" t="n">
        <v>153</v>
      </c>
      <c r="N41" s="29" t="n">
        <v>0.65359477124183</v>
      </c>
    </row>
    <row r="42" customFormat="false" ht="15" hidden="false" customHeight="false" outlineLevel="0" collapsed="false">
      <c r="A42" s="6" t="s">
        <v>23</v>
      </c>
      <c r="B42" s="6" t="s">
        <v>153</v>
      </c>
      <c r="C42" s="6" t="s">
        <v>162</v>
      </c>
      <c r="D42" s="6" t="s">
        <v>130</v>
      </c>
      <c r="E42" s="6" t="s">
        <v>195</v>
      </c>
      <c r="F42" s="8" t="n">
        <v>910</v>
      </c>
      <c r="G42" s="8" t="n">
        <v>1</v>
      </c>
      <c r="H42" s="29" t="n">
        <f aca="false">IFERROR(G42*1000/F42,0)</f>
        <v>1.0989010989011</v>
      </c>
      <c r="I42" s="8" t="n">
        <v>6</v>
      </c>
      <c r="J42" s="9" t="n">
        <f aca="false">IFERROR(I42*100/F42,0)</f>
        <v>0.659340659340659</v>
      </c>
      <c r="K42" s="8" t="n">
        <v>0</v>
      </c>
      <c r="L42" s="10" t="n">
        <v>37</v>
      </c>
      <c r="M42" s="8" t="n">
        <v>464</v>
      </c>
      <c r="N42" s="29" t="n">
        <v>0.431034482758621</v>
      </c>
    </row>
    <row r="43" customFormat="false" ht="15" hidden="false" customHeight="false" outlineLevel="0" collapsed="false">
      <c r="A43" s="6" t="s">
        <v>23</v>
      </c>
      <c r="B43" s="6" t="s">
        <v>196</v>
      </c>
      <c r="C43" s="6" t="s">
        <v>197</v>
      </c>
      <c r="D43" s="6" t="s">
        <v>130</v>
      </c>
      <c r="E43" s="6" t="s">
        <v>198</v>
      </c>
      <c r="F43" s="8" t="n">
        <v>940</v>
      </c>
      <c r="G43" s="8" t="n">
        <v>1</v>
      </c>
      <c r="H43" s="29" t="n">
        <f aca="false">IFERROR(G43*1000/F43,0)</f>
        <v>1.06382978723404</v>
      </c>
      <c r="I43" s="8" t="n">
        <v>1</v>
      </c>
      <c r="J43" s="9" t="n">
        <f aca="false">IFERROR(I43*100/F43,0)</f>
        <v>0.106382978723404</v>
      </c>
      <c r="K43" s="8" t="n">
        <v>0</v>
      </c>
      <c r="L43" s="10" t="n">
        <v>38.5</v>
      </c>
      <c r="M43" s="8" t="n">
        <v>178</v>
      </c>
      <c r="N43" s="29" t="n">
        <v>0.561797752808989</v>
      </c>
    </row>
    <row r="44" customFormat="false" ht="15" hidden="false" customHeight="false" outlineLevel="0" collapsed="false">
      <c r="A44" s="6" t="s">
        <v>29</v>
      </c>
      <c r="B44" s="6" t="s">
        <v>156</v>
      </c>
      <c r="C44" s="6" t="s">
        <v>199</v>
      </c>
      <c r="D44" s="6" t="s">
        <v>133</v>
      </c>
      <c r="E44" s="7" t="s">
        <v>200</v>
      </c>
      <c r="F44" s="8" t="n">
        <v>942</v>
      </c>
      <c r="G44" s="8" t="n">
        <v>1</v>
      </c>
      <c r="H44" s="29" t="n">
        <f aca="false">IFERROR(G44*1000/F44,0)</f>
        <v>1.06157112526539</v>
      </c>
      <c r="I44" s="8" t="n">
        <v>2</v>
      </c>
      <c r="J44" s="9" t="n">
        <f aca="false">IFERROR(I44*100/F44,0)</f>
        <v>0.212314225053079</v>
      </c>
      <c r="K44" s="8" t="n">
        <v>0</v>
      </c>
      <c r="L44" s="10" t="n">
        <v>43.4</v>
      </c>
      <c r="M44" s="8" t="n">
        <v>87</v>
      </c>
      <c r="N44" s="29" t="n">
        <v>1.14942528735632</v>
      </c>
    </row>
    <row r="45" customFormat="false" ht="15" hidden="false" customHeight="false" outlineLevel="0" collapsed="false">
      <c r="A45" s="6" t="s">
        <v>29</v>
      </c>
      <c r="B45" s="6" t="s">
        <v>176</v>
      </c>
      <c r="C45" s="6" t="s">
        <v>142</v>
      </c>
      <c r="D45" s="6" t="s">
        <v>133</v>
      </c>
      <c r="E45" s="6" t="s">
        <v>201</v>
      </c>
      <c r="F45" s="8" t="n">
        <v>953</v>
      </c>
      <c r="G45" s="8" t="n">
        <v>1</v>
      </c>
      <c r="H45" s="29" t="n">
        <f aca="false">IFERROR(G45*1000/F45,0)</f>
        <v>1.04931794333683</v>
      </c>
      <c r="I45" s="8" t="n">
        <v>2</v>
      </c>
      <c r="J45" s="9" t="n">
        <f aca="false">IFERROR(I45*100/F45,0)</f>
        <v>0.209863588667366</v>
      </c>
      <c r="K45" s="8" t="n">
        <v>0</v>
      </c>
      <c r="L45" s="10" t="n">
        <v>37</v>
      </c>
      <c r="M45" s="8" t="n">
        <v>171</v>
      </c>
      <c r="N45" s="29" t="n">
        <v>2.33918128654971</v>
      </c>
    </row>
    <row r="46" customFormat="false" ht="15" hidden="false" customHeight="false" outlineLevel="0" collapsed="false">
      <c r="A46" s="6" t="s">
        <v>23</v>
      </c>
      <c r="B46" s="6" t="s">
        <v>176</v>
      </c>
      <c r="C46" s="6" t="s">
        <v>129</v>
      </c>
      <c r="D46" s="6" t="s">
        <v>130</v>
      </c>
      <c r="E46" s="7" t="s">
        <v>202</v>
      </c>
      <c r="F46" s="8" t="n">
        <v>955</v>
      </c>
      <c r="G46" s="8" t="n">
        <v>1</v>
      </c>
      <c r="H46" s="29" t="n">
        <f aca="false">IFERROR(G46*1000/F46,0)</f>
        <v>1.04712041884817</v>
      </c>
      <c r="I46" s="8" t="n">
        <v>4</v>
      </c>
      <c r="J46" s="9" t="n">
        <f aca="false">IFERROR(I46*100/F46,0)</f>
        <v>0.418848167539267</v>
      </c>
      <c r="K46" s="8" t="n">
        <v>0</v>
      </c>
      <c r="L46" s="10" t="n">
        <v>29</v>
      </c>
      <c r="M46" s="8" t="n">
        <v>1123</v>
      </c>
      <c r="N46" s="29" t="n">
        <v>0.890471950133571</v>
      </c>
    </row>
    <row r="47" customFormat="false" ht="15" hidden="false" customHeight="false" outlineLevel="0" collapsed="false">
      <c r="A47" s="6" t="s">
        <v>29</v>
      </c>
      <c r="B47" s="6" t="s">
        <v>179</v>
      </c>
      <c r="C47" s="6" t="s">
        <v>136</v>
      </c>
      <c r="D47" s="6" t="s">
        <v>133</v>
      </c>
      <c r="E47" s="6" t="s">
        <v>203</v>
      </c>
      <c r="F47" s="8" t="n">
        <v>977</v>
      </c>
      <c r="G47" s="8" t="n">
        <v>1</v>
      </c>
      <c r="H47" s="29" t="n">
        <f aca="false">IFERROR(G47*1000/F47,0)</f>
        <v>1.02354145342886</v>
      </c>
      <c r="I47" s="8" t="n">
        <v>1</v>
      </c>
      <c r="J47" s="9" t="n">
        <f aca="false">IFERROR(I47*100/F47,0)</f>
        <v>0.102354145342886</v>
      </c>
      <c r="K47" s="8" t="n">
        <v>0</v>
      </c>
      <c r="L47" s="10" t="n">
        <v>22.5</v>
      </c>
      <c r="M47" s="8" t="n">
        <v>60</v>
      </c>
      <c r="N47" s="29" t="n">
        <v>0</v>
      </c>
    </row>
    <row r="48" customFormat="false" ht="15" hidden="false" customHeight="false" outlineLevel="0" collapsed="false">
      <c r="A48" s="6" t="s">
        <v>27</v>
      </c>
      <c r="B48" s="6" t="s">
        <v>156</v>
      </c>
      <c r="C48" s="6" t="s">
        <v>199</v>
      </c>
      <c r="D48" s="6" t="s">
        <v>133</v>
      </c>
      <c r="E48" s="7" t="s">
        <v>204</v>
      </c>
      <c r="F48" s="8" t="n">
        <v>978</v>
      </c>
      <c r="G48" s="8" t="n">
        <v>1</v>
      </c>
      <c r="H48" s="29" t="n">
        <f aca="false">IFERROR(G48*1000/F48,0)</f>
        <v>1.02249488752556</v>
      </c>
      <c r="I48" s="8" t="n">
        <v>1</v>
      </c>
      <c r="J48" s="9" t="n">
        <f aca="false">IFERROR(I48*100/F48,0)</f>
        <v>0.102249488752556</v>
      </c>
      <c r="K48" s="8" t="n">
        <v>0</v>
      </c>
      <c r="L48" s="10" t="n">
        <v>39.4</v>
      </c>
      <c r="M48" s="8" t="n">
        <v>278</v>
      </c>
      <c r="N48" s="29" t="n">
        <v>3.9568345323741</v>
      </c>
    </row>
    <row r="49" customFormat="false" ht="15" hidden="false" customHeight="false" outlineLevel="0" collapsed="false">
      <c r="A49" s="6" t="s">
        <v>23</v>
      </c>
      <c r="B49" s="6" t="s">
        <v>176</v>
      </c>
      <c r="C49" s="6" t="s">
        <v>142</v>
      </c>
      <c r="D49" s="6" t="s">
        <v>133</v>
      </c>
      <c r="E49" s="7" t="s">
        <v>205</v>
      </c>
      <c r="F49" s="8" t="n">
        <v>988</v>
      </c>
      <c r="G49" s="8" t="n">
        <v>1</v>
      </c>
      <c r="H49" s="29" t="n">
        <f aca="false">IFERROR(G49*1000/F49,0)</f>
        <v>1.01214574898785</v>
      </c>
      <c r="I49" s="8" t="n">
        <v>5</v>
      </c>
      <c r="J49" s="9" t="n">
        <f aca="false">IFERROR(I49*100/F49,0)</f>
        <v>0.506072874493927</v>
      </c>
      <c r="K49" s="8" t="n">
        <v>0</v>
      </c>
      <c r="L49" s="10" t="n">
        <v>67.8</v>
      </c>
      <c r="M49" s="8" t="n">
        <v>592</v>
      </c>
      <c r="N49" s="29" t="n">
        <v>1.85810810810811</v>
      </c>
    </row>
    <row r="50" customFormat="false" ht="15" hidden="false" customHeight="false" outlineLevel="0" collapsed="false">
      <c r="A50" s="6" t="s">
        <v>27</v>
      </c>
      <c r="B50" s="6" t="s">
        <v>156</v>
      </c>
      <c r="C50" s="6" t="s">
        <v>136</v>
      </c>
      <c r="D50" s="6" t="s">
        <v>133</v>
      </c>
      <c r="E50" s="7" t="s">
        <v>206</v>
      </c>
      <c r="F50" s="8" t="n">
        <v>992</v>
      </c>
      <c r="G50" s="8" t="n">
        <v>1</v>
      </c>
      <c r="H50" s="29" t="n">
        <f aca="false">IFERROR(G50*1000/F50,0)</f>
        <v>1.00806451612903</v>
      </c>
      <c r="I50" s="8" t="n">
        <v>3</v>
      </c>
      <c r="J50" s="9" t="n">
        <f aca="false">IFERROR(I50*100/F50,0)</f>
        <v>0.30241935483871</v>
      </c>
      <c r="K50" s="8" t="n">
        <v>0</v>
      </c>
      <c r="L50" s="10" t="n">
        <v>59.7</v>
      </c>
      <c r="M50" s="8" t="n">
        <v>261</v>
      </c>
      <c r="N50" s="29" t="n">
        <v>0.766283524904215</v>
      </c>
    </row>
    <row r="51" customFormat="false" ht="15" hidden="false" customHeight="false" outlineLevel="0" collapsed="false">
      <c r="A51" s="6" t="s">
        <v>27</v>
      </c>
      <c r="B51" s="6" t="s">
        <v>176</v>
      </c>
      <c r="C51" s="6" t="s">
        <v>142</v>
      </c>
      <c r="D51" s="6" t="s">
        <v>133</v>
      </c>
      <c r="E51" s="7" t="s">
        <v>207</v>
      </c>
      <c r="F51" s="8" t="n">
        <v>1990</v>
      </c>
      <c r="G51" s="8" t="n">
        <v>2</v>
      </c>
      <c r="H51" s="29" t="n">
        <f aca="false">IFERROR(G51*1000/F51,0)</f>
        <v>1.00502512562814</v>
      </c>
      <c r="I51" s="8" t="n">
        <v>16</v>
      </c>
      <c r="J51" s="9" t="n">
        <f aca="false">IFERROR(I51*100/F51,0)</f>
        <v>0.804020100502513</v>
      </c>
      <c r="K51" s="8" t="n">
        <v>0</v>
      </c>
      <c r="L51" s="10" t="n">
        <v>73.4</v>
      </c>
      <c r="M51" s="8" t="n">
        <v>382</v>
      </c>
      <c r="N51" s="29" t="n">
        <v>5.23560209424084</v>
      </c>
    </row>
    <row r="52" customFormat="false" ht="15" hidden="false" customHeight="false" outlineLevel="0" collapsed="false">
      <c r="A52" s="6" t="s">
        <v>27</v>
      </c>
      <c r="B52" s="6" t="s">
        <v>138</v>
      </c>
      <c r="C52" s="6" t="s">
        <v>136</v>
      </c>
      <c r="D52" s="6" t="s">
        <v>133</v>
      </c>
      <c r="E52" s="6" t="s">
        <v>208</v>
      </c>
      <c r="F52" s="8" t="n">
        <v>1000</v>
      </c>
      <c r="G52" s="8" t="n">
        <v>1</v>
      </c>
      <c r="H52" s="29" t="n">
        <f aca="false">IFERROR(G52*1000/F52,0)</f>
        <v>1</v>
      </c>
      <c r="I52" s="8" t="n">
        <v>3</v>
      </c>
      <c r="J52" s="9" t="n">
        <f aca="false">IFERROR(I52*100/F52,0)</f>
        <v>0.3</v>
      </c>
      <c r="K52" s="8" t="n">
        <v>0</v>
      </c>
      <c r="L52" s="10" t="n">
        <v>45</v>
      </c>
      <c r="M52" s="8" t="n">
        <v>232</v>
      </c>
      <c r="N52" s="29" t="n">
        <v>1.72413793103448</v>
      </c>
    </row>
    <row r="53" customFormat="false" ht="15" hidden="false" customHeight="false" outlineLevel="0" collapsed="false">
      <c r="A53" s="6" t="s">
        <v>25</v>
      </c>
      <c r="B53" s="6" t="s">
        <v>166</v>
      </c>
      <c r="C53" s="6" t="s">
        <v>142</v>
      </c>
      <c r="D53" s="6" t="s">
        <v>148</v>
      </c>
      <c r="E53" s="7" t="s">
        <v>209</v>
      </c>
      <c r="F53" s="8" t="n">
        <v>1004</v>
      </c>
      <c r="G53" s="8" t="n">
        <v>1</v>
      </c>
      <c r="H53" s="29" t="n">
        <f aca="false">IFERROR(G53*1000/F53,0)</f>
        <v>0.99601593625498</v>
      </c>
      <c r="I53" s="8" t="n">
        <v>7</v>
      </c>
      <c r="J53" s="9" t="n">
        <f aca="false">IFERROR(I53*100/F53,0)</f>
        <v>0.697211155378486</v>
      </c>
      <c r="K53" s="8" t="n">
        <v>0</v>
      </c>
      <c r="L53" s="10" t="n">
        <v>44.5</v>
      </c>
      <c r="M53" s="8" t="n">
        <v>94</v>
      </c>
      <c r="N53" s="29" t="n">
        <v>0</v>
      </c>
    </row>
    <row r="54" customFormat="false" ht="15" hidden="false" customHeight="false" outlineLevel="0" collapsed="false">
      <c r="A54" s="6" t="s">
        <v>21</v>
      </c>
      <c r="B54" s="6" t="s">
        <v>181</v>
      </c>
      <c r="C54" s="6" t="s">
        <v>154</v>
      </c>
      <c r="D54" s="6" t="s">
        <v>130</v>
      </c>
      <c r="E54" s="6" t="s">
        <v>210</v>
      </c>
      <c r="F54" s="8" t="n">
        <v>1007</v>
      </c>
      <c r="G54" s="8" t="n">
        <v>1</v>
      </c>
      <c r="H54" s="29" t="n">
        <f aca="false">IFERROR(G54*1000/F54,0)</f>
        <v>0.99304865938431</v>
      </c>
      <c r="I54" s="8" t="n">
        <v>8</v>
      </c>
      <c r="J54" s="9" t="n">
        <f aca="false">IFERROR(I54*100/F54,0)</f>
        <v>0.794438927507448</v>
      </c>
      <c r="K54" s="8" t="n">
        <v>0</v>
      </c>
      <c r="L54" s="10" t="n">
        <v>35.4</v>
      </c>
      <c r="M54" s="8" t="n">
        <v>82</v>
      </c>
      <c r="N54" s="29" t="n">
        <v>1.21951219512195</v>
      </c>
    </row>
    <row r="55" customFormat="false" ht="15" hidden="false" customHeight="false" outlineLevel="0" collapsed="false">
      <c r="A55" s="6" t="s">
        <v>23</v>
      </c>
      <c r="B55" s="6" t="s">
        <v>156</v>
      </c>
      <c r="C55" s="6" t="s">
        <v>197</v>
      </c>
      <c r="D55" s="6" t="s">
        <v>133</v>
      </c>
      <c r="E55" s="6" t="s">
        <v>211</v>
      </c>
      <c r="F55" s="8" t="n">
        <v>1008</v>
      </c>
      <c r="G55" s="8" t="n">
        <v>1</v>
      </c>
      <c r="H55" s="29" t="n">
        <f aca="false">IFERROR(G55*1000/F55,0)</f>
        <v>0.992063492063492</v>
      </c>
      <c r="I55" s="8" t="n">
        <v>3</v>
      </c>
      <c r="J55" s="9" t="n">
        <f aca="false">IFERROR(I55*100/F55,0)</f>
        <v>0.297619047619048</v>
      </c>
      <c r="K55" s="8" t="n">
        <v>0</v>
      </c>
      <c r="L55" s="10" t="n">
        <v>31.6</v>
      </c>
      <c r="M55" s="8" t="n">
        <v>158</v>
      </c>
      <c r="N55" s="29" t="n">
        <v>1.89873417721519</v>
      </c>
    </row>
    <row r="56" customFormat="false" ht="15" hidden="false" customHeight="false" outlineLevel="0" collapsed="false">
      <c r="A56" s="6" t="s">
        <v>21</v>
      </c>
      <c r="B56" s="6" t="s">
        <v>156</v>
      </c>
      <c r="C56" s="6" t="s">
        <v>189</v>
      </c>
      <c r="D56" s="6" t="s">
        <v>130</v>
      </c>
      <c r="E56" s="7" t="s">
        <v>212</v>
      </c>
      <c r="F56" s="8" t="n">
        <v>1009</v>
      </c>
      <c r="G56" s="8" t="n">
        <v>1</v>
      </c>
      <c r="H56" s="29" t="n">
        <f aca="false">IFERROR(G56*1000/F56,0)</f>
        <v>0.991080277502478</v>
      </c>
      <c r="I56" s="8" t="n">
        <v>13</v>
      </c>
      <c r="J56" s="9" t="n">
        <f aca="false">IFERROR(I56*100/F56,0)</f>
        <v>1.28840436075322</v>
      </c>
      <c r="K56" s="8" t="n">
        <v>0</v>
      </c>
      <c r="L56" s="10" t="n">
        <v>41.8</v>
      </c>
      <c r="M56" s="8" t="n">
        <v>58</v>
      </c>
      <c r="N56" s="29" t="n">
        <v>0</v>
      </c>
    </row>
    <row r="57" customFormat="false" ht="15" hidden="false" customHeight="false" outlineLevel="0" collapsed="false">
      <c r="A57" s="6" t="s">
        <v>29</v>
      </c>
      <c r="B57" s="6" t="s">
        <v>156</v>
      </c>
      <c r="C57" s="6" t="s">
        <v>213</v>
      </c>
      <c r="D57" s="6" t="s">
        <v>139</v>
      </c>
      <c r="E57" s="7" t="s">
        <v>214</v>
      </c>
      <c r="F57" s="8" t="n">
        <v>1020</v>
      </c>
      <c r="G57" s="8" t="n">
        <v>1</v>
      </c>
      <c r="H57" s="29" t="n">
        <f aca="false">IFERROR(G57*1000/F57,0)</f>
        <v>0.980392156862745</v>
      </c>
      <c r="I57" s="8" t="n">
        <v>1</v>
      </c>
      <c r="J57" s="9" t="n">
        <f aca="false">IFERROR(I57*100/F57,0)</f>
        <v>0.0980392156862745</v>
      </c>
      <c r="K57" s="8" t="n">
        <v>0</v>
      </c>
      <c r="L57" s="10" t="n">
        <v>42.8</v>
      </c>
      <c r="M57" s="8" t="n">
        <v>184</v>
      </c>
      <c r="N57" s="29" t="n">
        <v>0</v>
      </c>
    </row>
    <row r="58" customFormat="false" ht="15" hidden="false" customHeight="false" outlineLevel="0" collapsed="false">
      <c r="A58" s="6" t="s">
        <v>23</v>
      </c>
      <c r="B58" s="6" t="s">
        <v>215</v>
      </c>
      <c r="C58" s="6" t="s">
        <v>168</v>
      </c>
      <c r="D58" s="6" t="s">
        <v>133</v>
      </c>
      <c r="E58" s="7" t="s">
        <v>216</v>
      </c>
      <c r="F58" s="8" t="n">
        <v>1034</v>
      </c>
      <c r="G58" s="8" t="n">
        <v>1</v>
      </c>
      <c r="H58" s="29" t="n">
        <f aca="false">IFERROR(G58*1000/F58,0)</f>
        <v>0.967117988394584</v>
      </c>
      <c r="I58" s="8" t="n">
        <v>2</v>
      </c>
      <c r="J58" s="9" t="n">
        <f aca="false">IFERROR(I58*100/F58,0)</f>
        <v>0.193423597678917</v>
      </c>
      <c r="K58" s="8" t="n">
        <v>0</v>
      </c>
      <c r="L58" s="10" t="n">
        <v>23.8</v>
      </c>
      <c r="M58" s="8" t="n">
        <v>264</v>
      </c>
      <c r="N58" s="29" t="n">
        <v>1.13636363636364</v>
      </c>
    </row>
    <row r="59" customFormat="false" ht="15" hidden="false" customHeight="false" outlineLevel="0" collapsed="false">
      <c r="A59" s="6" t="s">
        <v>23</v>
      </c>
      <c r="B59" s="6" t="s">
        <v>153</v>
      </c>
      <c r="C59" s="6" t="s">
        <v>129</v>
      </c>
      <c r="D59" s="6" t="s">
        <v>130</v>
      </c>
      <c r="E59" s="6" t="s">
        <v>217</v>
      </c>
      <c r="F59" s="8" t="n">
        <v>1035</v>
      </c>
      <c r="G59" s="8" t="n">
        <v>1</v>
      </c>
      <c r="H59" s="29" t="n">
        <f aca="false">IFERROR(G59*1000/F59,0)</f>
        <v>0.966183574879227</v>
      </c>
      <c r="I59" s="8" t="n">
        <v>7</v>
      </c>
      <c r="J59" s="9" t="n">
        <f aca="false">IFERROR(I59*100/F59,0)</f>
        <v>0.676328502415459</v>
      </c>
      <c r="K59" s="8" t="n">
        <v>0</v>
      </c>
      <c r="L59" s="10" t="n">
        <v>44.3</v>
      </c>
      <c r="M59" s="8" t="n">
        <v>771</v>
      </c>
      <c r="N59" s="29" t="n">
        <v>0.518806744487678</v>
      </c>
    </row>
    <row r="60" customFormat="false" ht="15" hidden="false" customHeight="false" outlineLevel="0" collapsed="false">
      <c r="A60" s="6" t="s">
        <v>31</v>
      </c>
      <c r="B60" s="6" t="s">
        <v>141</v>
      </c>
      <c r="C60" s="6" t="s">
        <v>142</v>
      </c>
      <c r="D60" s="6" t="s">
        <v>130</v>
      </c>
      <c r="E60" s="7" t="s">
        <v>218</v>
      </c>
      <c r="F60" s="8" t="n">
        <v>1037</v>
      </c>
      <c r="G60" s="8" t="n">
        <v>1</v>
      </c>
      <c r="H60" s="29" t="n">
        <f aca="false">IFERROR(G60*1000/F60,0)</f>
        <v>0.964320154291225</v>
      </c>
      <c r="I60" s="8" t="n">
        <v>3</v>
      </c>
      <c r="J60" s="9" t="n">
        <f aca="false">IFERROR(I60*100/F60,0)</f>
        <v>0.289296046287367</v>
      </c>
      <c r="K60" s="8" t="n">
        <v>0</v>
      </c>
      <c r="L60" s="10" t="n">
        <v>32.5</v>
      </c>
      <c r="M60" s="8" t="n">
        <v>63</v>
      </c>
      <c r="N60" s="29" t="n">
        <v>0</v>
      </c>
    </row>
    <row r="61" customFormat="false" ht="15" hidden="false" customHeight="false" outlineLevel="0" collapsed="false">
      <c r="A61" s="6" t="s">
        <v>23</v>
      </c>
      <c r="B61" s="6" t="s">
        <v>219</v>
      </c>
      <c r="C61" s="6" t="s">
        <v>168</v>
      </c>
      <c r="D61" s="6" t="s">
        <v>133</v>
      </c>
      <c r="E61" s="7" t="s">
        <v>220</v>
      </c>
      <c r="F61" s="8" t="n">
        <v>1047</v>
      </c>
      <c r="G61" s="8" t="n">
        <v>1</v>
      </c>
      <c r="H61" s="29" t="n">
        <f aca="false">IFERROR(G61*1000/F61,0)</f>
        <v>0.955109837631328</v>
      </c>
      <c r="I61" s="8" t="n">
        <v>2</v>
      </c>
      <c r="J61" s="9" t="n">
        <f aca="false">IFERROR(I61*100/F61,0)</f>
        <v>0.191021967526266</v>
      </c>
      <c r="K61" s="8" t="n">
        <v>0</v>
      </c>
      <c r="L61" s="10" t="n">
        <v>23.7</v>
      </c>
      <c r="M61" s="8" t="n">
        <v>2237</v>
      </c>
      <c r="N61" s="29" t="n">
        <v>1.29637907912383</v>
      </c>
    </row>
    <row r="62" customFormat="false" ht="15" hidden="false" customHeight="false" outlineLevel="0" collapsed="false">
      <c r="A62" s="6" t="s">
        <v>23</v>
      </c>
      <c r="B62" s="6" t="s">
        <v>150</v>
      </c>
      <c r="C62" s="6" t="s">
        <v>197</v>
      </c>
      <c r="D62" s="6" t="s">
        <v>133</v>
      </c>
      <c r="E62" s="7" t="s">
        <v>221</v>
      </c>
      <c r="F62" s="8" t="n">
        <v>1051</v>
      </c>
      <c r="G62" s="8" t="n">
        <v>1</v>
      </c>
      <c r="H62" s="29" t="n">
        <f aca="false">IFERROR(G62*1000/F62,0)</f>
        <v>0.951474785918173</v>
      </c>
      <c r="I62" s="8" t="n">
        <v>3</v>
      </c>
      <c r="J62" s="9" t="n">
        <f aca="false">IFERROR(I62*100/F62,0)</f>
        <v>0.285442435775452</v>
      </c>
      <c r="K62" s="8" t="n">
        <v>0</v>
      </c>
      <c r="L62" s="10" t="n">
        <v>31.3</v>
      </c>
      <c r="M62" s="8" t="n">
        <v>173</v>
      </c>
      <c r="N62" s="29" t="n">
        <v>2.3121387283237</v>
      </c>
    </row>
    <row r="63" customFormat="false" ht="15" hidden="false" customHeight="false" outlineLevel="0" collapsed="false">
      <c r="A63" s="6" t="s">
        <v>21</v>
      </c>
      <c r="B63" s="6" t="s">
        <v>215</v>
      </c>
      <c r="C63" s="6" t="s">
        <v>168</v>
      </c>
      <c r="D63" s="6" t="s">
        <v>130</v>
      </c>
      <c r="E63" s="6" t="s">
        <v>222</v>
      </c>
      <c r="F63" s="8" t="n">
        <v>1076</v>
      </c>
      <c r="G63" s="8" t="n">
        <v>1</v>
      </c>
      <c r="H63" s="29" t="n">
        <f aca="false">IFERROR(G63*1000/F63,0)</f>
        <v>0.929368029739777</v>
      </c>
      <c r="I63" s="8" t="n">
        <v>10</v>
      </c>
      <c r="J63" s="9" t="n">
        <f aca="false">IFERROR(I63*100/F63,0)</f>
        <v>0.929368029739777</v>
      </c>
      <c r="K63" s="8" t="n">
        <v>0</v>
      </c>
      <c r="L63" s="10" t="n">
        <v>35.2</v>
      </c>
      <c r="M63" s="8" t="n">
        <v>27</v>
      </c>
      <c r="N63" s="29" t="n">
        <v>3.7037037037037</v>
      </c>
    </row>
    <row r="64" customFormat="false" ht="15" hidden="false" customHeight="false" outlineLevel="0" collapsed="false">
      <c r="A64" s="6" t="s">
        <v>25</v>
      </c>
      <c r="B64" s="6" t="s">
        <v>156</v>
      </c>
      <c r="C64" s="6" t="s">
        <v>142</v>
      </c>
      <c r="D64" s="6" t="s">
        <v>139</v>
      </c>
      <c r="E64" s="7" t="s">
        <v>223</v>
      </c>
      <c r="F64" s="8" t="n">
        <v>1078</v>
      </c>
      <c r="G64" s="8" t="n">
        <v>1</v>
      </c>
      <c r="H64" s="29" t="n">
        <f aca="false">IFERROR(G64*1000/F64,0)</f>
        <v>0.927643784786642</v>
      </c>
      <c r="I64" s="8" t="n">
        <v>14</v>
      </c>
      <c r="J64" s="9" t="n">
        <f aca="false">IFERROR(I64*100/F64,0)</f>
        <v>1.2987012987013</v>
      </c>
      <c r="K64" s="8" t="n">
        <v>0</v>
      </c>
      <c r="L64" s="10" t="n">
        <v>56</v>
      </c>
      <c r="M64" s="8" t="n">
        <v>273</v>
      </c>
      <c r="N64" s="29" t="n">
        <v>1.46520146520147</v>
      </c>
    </row>
    <row r="65" customFormat="false" ht="15" hidden="false" customHeight="false" outlineLevel="0" collapsed="false">
      <c r="A65" s="6" t="s">
        <v>25</v>
      </c>
      <c r="B65" s="6" t="s">
        <v>138</v>
      </c>
      <c r="C65" s="6" t="s">
        <v>142</v>
      </c>
      <c r="D65" s="6" t="s">
        <v>139</v>
      </c>
      <c r="E65" s="7" t="s">
        <v>224</v>
      </c>
      <c r="F65" s="8" t="n">
        <v>1096</v>
      </c>
      <c r="G65" s="8" t="n">
        <v>1</v>
      </c>
      <c r="H65" s="29" t="n">
        <f aca="false">IFERROR(G65*1000/F65,0)</f>
        <v>0.912408759124088</v>
      </c>
      <c r="I65" s="8" t="n">
        <v>6</v>
      </c>
      <c r="J65" s="9" t="n">
        <f aca="false">IFERROR(I65*100/F65,0)</f>
        <v>0.547445255474453</v>
      </c>
      <c r="K65" s="8" t="n">
        <v>1</v>
      </c>
      <c r="L65" s="10" t="n">
        <v>44.5</v>
      </c>
      <c r="M65" s="8" t="n">
        <v>369</v>
      </c>
      <c r="N65" s="29" t="n">
        <v>2.1680216802168</v>
      </c>
    </row>
    <row r="66" customFormat="false" ht="15" hidden="false" customHeight="false" outlineLevel="0" collapsed="false">
      <c r="A66" s="6" t="s">
        <v>27</v>
      </c>
      <c r="B66" s="6" t="s">
        <v>166</v>
      </c>
      <c r="C66" s="6" t="s">
        <v>136</v>
      </c>
      <c r="D66" s="6" t="s">
        <v>133</v>
      </c>
      <c r="E66" s="7" t="s">
        <v>225</v>
      </c>
      <c r="F66" s="8" t="n">
        <v>1155</v>
      </c>
      <c r="G66" s="8" t="n">
        <v>1</v>
      </c>
      <c r="H66" s="29" t="n">
        <f aca="false">IFERROR(G66*1000/F66,0)</f>
        <v>0.865800865800866</v>
      </c>
      <c r="I66" s="8" t="n">
        <v>5</v>
      </c>
      <c r="J66" s="9" t="n">
        <f aca="false">IFERROR(I66*100/F66,0)</f>
        <v>0.432900432900433</v>
      </c>
      <c r="K66" s="8" t="n">
        <v>1</v>
      </c>
      <c r="L66" s="10" t="n">
        <v>54.5</v>
      </c>
      <c r="M66" s="8" t="n">
        <v>512</v>
      </c>
      <c r="N66" s="29" t="n">
        <v>0.9765625</v>
      </c>
    </row>
    <row r="67" customFormat="false" ht="15" hidden="false" customHeight="false" outlineLevel="0" collapsed="false">
      <c r="A67" s="6" t="s">
        <v>31</v>
      </c>
      <c r="B67" s="6" t="s">
        <v>219</v>
      </c>
      <c r="C67" s="6" t="s">
        <v>142</v>
      </c>
      <c r="D67" s="6" t="s">
        <v>130</v>
      </c>
      <c r="E67" s="7" t="s">
        <v>226</v>
      </c>
      <c r="F67" s="8" t="n">
        <v>1199</v>
      </c>
      <c r="G67" s="8" t="n">
        <v>1</v>
      </c>
      <c r="H67" s="29" t="n">
        <f aca="false">IFERROR(G67*1000/F67,0)</f>
        <v>0.834028356964137</v>
      </c>
      <c r="I67" s="8" t="n">
        <v>4</v>
      </c>
      <c r="J67" s="9" t="n">
        <f aca="false">IFERROR(I67*100/F67,0)</f>
        <v>0.333611342785655</v>
      </c>
      <c r="K67" s="8" t="n">
        <v>2</v>
      </c>
      <c r="L67" s="10" t="n">
        <v>61.7</v>
      </c>
      <c r="M67" s="8" t="n">
        <v>67</v>
      </c>
      <c r="N67" s="29" t="n">
        <v>1.49253731343284</v>
      </c>
    </row>
    <row r="68" customFormat="false" ht="15" hidden="false" customHeight="false" outlineLevel="0" collapsed="false">
      <c r="A68" s="6" t="s">
        <v>27</v>
      </c>
      <c r="B68" s="6" t="s">
        <v>181</v>
      </c>
      <c r="C68" s="6" t="s">
        <v>136</v>
      </c>
      <c r="D68" s="6" t="s">
        <v>133</v>
      </c>
      <c r="E68" s="7" t="s">
        <v>227</v>
      </c>
      <c r="F68" s="8" t="n">
        <v>5205</v>
      </c>
      <c r="G68" s="8" t="n">
        <v>4</v>
      </c>
      <c r="H68" s="29" t="n">
        <f aca="false">IFERROR(G68*1000/F68,0)</f>
        <v>0.768491834774256</v>
      </c>
      <c r="I68" s="8" t="n">
        <v>10</v>
      </c>
      <c r="J68" s="9" t="n">
        <f aca="false">IFERROR(I68*100/F68,0)</f>
        <v>0.192122958693564</v>
      </c>
      <c r="K68" s="8" t="n">
        <v>0</v>
      </c>
      <c r="L68" s="10" t="n">
        <v>50.1</v>
      </c>
      <c r="M68" s="8" t="n">
        <v>225</v>
      </c>
      <c r="N68" s="29" t="n">
        <v>0.888888888888889</v>
      </c>
    </row>
    <row r="69" customFormat="false" ht="15" hidden="false" customHeight="false" outlineLevel="0" collapsed="false">
      <c r="A69" s="6" t="s">
        <v>27</v>
      </c>
      <c r="B69" s="6" t="s">
        <v>215</v>
      </c>
      <c r="C69" s="6" t="s">
        <v>228</v>
      </c>
      <c r="D69" s="6" t="s">
        <v>133</v>
      </c>
      <c r="E69" s="7" t="s">
        <v>229</v>
      </c>
      <c r="F69" s="8" t="n">
        <v>1331</v>
      </c>
      <c r="G69" s="8" t="n">
        <v>1</v>
      </c>
      <c r="H69" s="29" t="n">
        <f aca="false">IFERROR(G69*1000/F69,0)</f>
        <v>0.751314800901578</v>
      </c>
      <c r="I69" s="8" t="n">
        <v>4</v>
      </c>
      <c r="J69" s="9" t="n">
        <f aca="false">IFERROR(I69*100/F69,0)</f>
        <v>0.300525920360631</v>
      </c>
      <c r="K69" s="8" t="n">
        <v>0</v>
      </c>
      <c r="L69" s="10" t="n">
        <v>53.7</v>
      </c>
      <c r="M69" s="8" t="n">
        <v>150</v>
      </c>
      <c r="N69" s="29" t="n">
        <v>3.33333333333333</v>
      </c>
    </row>
    <row r="70" customFormat="false" ht="15" hidden="false" customHeight="false" outlineLevel="0" collapsed="false">
      <c r="A70" s="6" t="s">
        <v>27</v>
      </c>
      <c r="B70" s="6" t="s">
        <v>150</v>
      </c>
      <c r="C70" s="6" t="s">
        <v>228</v>
      </c>
      <c r="D70" s="6" t="s">
        <v>133</v>
      </c>
      <c r="E70" s="7" t="s">
        <v>230</v>
      </c>
      <c r="F70" s="8" t="n">
        <v>1336</v>
      </c>
      <c r="G70" s="8" t="n">
        <v>1</v>
      </c>
      <c r="H70" s="29" t="n">
        <f aca="false">IFERROR(G70*1000/F70,0)</f>
        <v>0.748502994011976</v>
      </c>
      <c r="I70" s="8" t="n">
        <v>5</v>
      </c>
      <c r="J70" s="9" t="n">
        <f aca="false">IFERROR(I70*100/F70,0)</f>
        <v>0.374251497005988</v>
      </c>
      <c r="K70" s="8" t="n">
        <v>0</v>
      </c>
      <c r="L70" s="10" t="n">
        <v>56.1</v>
      </c>
      <c r="M70" s="8" t="n">
        <v>122</v>
      </c>
      <c r="N70" s="29" t="n">
        <v>0</v>
      </c>
    </row>
    <row r="71" customFormat="false" ht="15" hidden="false" customHeight="false" outlineLevel="0" collapsed="false">
      <c r="A71" s="6" t="s">
        <v>27</v>
      </c>
      <c r="B71" s="6" t="s">
        <v>150</v>
      </c>
      <c r="C71" s="6" t="s">
        <v>228</v>
      </c>
      <c r="D71" s="6" t="s">
        <v>133</v>
      </c>
      <c r="E71" s="6" t="s">
        <v>231</v>
      </c>
      <c r="F71" s="8" t="n">
        <v>1351</v>
      </c>
      <c r="G71" s="8" t="n">
        <v>1</v>
      </c>
      <c r="H71" s="29" t="n">
        <f aca="false">IFERROR(G71*1000/F71,0)</f>
        <v>0.74019245003701</v>
      </c>
      <c r="I71" s="8" t="n">
        <v>4</v>
      </c>
      <c r="J71" s="9" t="n">
        <f aca="false">IFERROR(I71*100/F71,0)</f>
        <v>0.296076980014804</v>
      </c>
      <c r="K71" s="8" t="n">
        <v>0</v>
      </c>
      <c r="L71" s="10" t="n">
        <v>80.8</v>
      </c>
      <c r="M71" s="8" t="n">
        <v>75</v>
      </c>
      <c r="N71" s="29" t="n">
        <v>4</v>
      </c>
    </row>
    <row r="72" customFormat="false" ht="15" hidden="false" customHeight="false" outlineLevel="0" collapsed="false">
      <c r="A72" s="6" t="s">
        <v>27</v>
      </c>
      <c r="B72" s="6" t="s">
        <v>150</v>
      </c>
      <c r="C72" s="6" t="s">
        <v>136</v>
      </c>
      <c r="D72" s="6" t="s">
        <v>133</v>
      </c>
      <c r="E72" s="7" t="s">
        <v>232</v>
      </c>
      <c r="F72" s="8" t="n">
        <v>1487</v>
      </c>
      <c r="G72" s="8" t="n">
        <v>1</v>
      </c>
      <c r="H72" s="29" t="n">
        <f aca="false">IFERROR(G72*1000/F72,0)</f>
        <v>0.672494956287828</v>
      </c>
      <c r="I72" s="8" t="n">
        <v>2</v>
      </c>
      <c r="J72" s="9" t="n">
        <f aca="false">IFERROR(I72*100/F72,0)</f>
        <v>0.134498991257566</v>
      </c>
      <c r="K72" s="8" t="n">
        <v>0</v>
      </c>
      <c r="L72" s="10" t="n">
        <v>59.2</v>
      </c>
      <c r="M72" s="8" t="n">
        <v>148</v>
      </c>
      <c r="N72" s="29" t="n">
        <v>4.05405405405405</v>
      </c>
    </row>
    <row r="73" customFormat="false" ht="15" hidden="false" customHeight="false" outlineLevel="0" collapsed="false">
      <c r="A73" s="6" t="s">
        <v>27</v>
      </c>
      <c r="B73" s="6" t="s">
        <v>187</v>
      </c>
      <c r="C73" s="6" t="s">
        <v>136</v>
      </c>
      <c r="D73" s="6" t="s">
        <v>133</v>
      </c>
      <c r="E73" s="7" t="s">
        <v>233</v>
      </c>
      <c r="F73" s="8" t="n">
        <v>1674</v>
      </c>
      <c r="G73" s="8" t="n">
        <v>1</v>
      </c>
      <c r="H73" s="29" t="n">
        <f aca="false">IFERROR(G73*1000/F73,0)</f>
        <v>0.597371565113501</v>
      </c>
      <c r="I73" s="8" t="n">
        <v>3</v>
      </c>
      <c r="J73" s="9" t="n">
        <f aca="false">IFERROR(I73*100/F73,0)</f>
        <v>0.17921146953405</v>
      </c>
      <c r="K73" s="8" t="n">
        <v>0</v>
      </c>
      <c r="L73" s="10" t="n">
        <v>58.7</v>
      </c>
      <c r="M73" s="8" t="n">
        <v>109</v>
      </c>
      <c r="N73" s="29" t="n">
        <v>1.8348623853211</v>
      </c>
    </row>
    <row r="74" customFormat="false" ht="15" hidden="false" customHeight="false" outlineLevel="0" collapsed="false">
      <c r="A74" s="6" t="s">
        <v>27</v>
      </c>
      <c r="B74" s="6" t="s">
        <v>153</v>
      </c>
      <c r="C74" s="6" t="s">
        <v>136</v>
      </c>
      <c r="D74" s="6" t="s">
        <v>130</v>
      </c>
      <c r="E74" s="7" t="s">
        <v>234</v>
      </c>
      <c r="F74" s="8" t="n">
        <v>1788</v>
      </c>
      <c r="G74" s="8" t="n">
        <v>1</v>
      </c>
      <c r="H74" s="29" t="n">
        <f aca="false">IFERROR(G74*1000/F74,0)</f>
        <v>0.559284116331096</v>
      </c>
      <c r="I74" s="8" t="n">
        <v>7</v>
      </c>
      <c r="J74" s="9" t="n">
        <f aca="false">IFERROR(I74*100/F74,0)</f>
        <v>0.391498881431767</v>
      </c>
      <c r="K74" s="8" t="n">
        <v>1</v>
      </c>
      <c r="L74" s="10" t="n">
        <v>72.5</v>
      </c>
      <c r="M74" s="8" t="n">
        <v>279</v>
      </c>
      <c r="N74" s="29" t="n">
        <v>2.5089605734767</v>
      </c>
    </row>
    <row r="75" customFormat="false" ht="15" hidden="false" customHeight="false" outlineLevel="0" collapsed="false">
      <c r="A75" s="6" t="s">
        <v>27</v>
      </c>
      <c r="B75" s="6" t="s">
        <v>179</v>
      </c>
      <c r="C75" s="6" t="s">
        <v>136</v>
      </c>
      <c r="D75" s="6" t="s">
        <v>133</v>
      </c>
      <c r="E75" s="7" t="s">
        <v>235</v>
      </c>
      <c r="F75" s="8" t="n">
        <v>1942</v>
      </c>
      <c r="G75" s="8" t="n">
        <v>0</v>
      </c>
      <c r="H75" s="30" t="n">
        <f aca="false">IFERROR(G75*1000/F75,0)</f>
        <v>0</v>
      </c>
      <c r="I75" s="8" t="n">
        <v>2</v>
      </c>
      <c r="J75" s="9" t="n">
        <f aca="false">IFERROR(I75*100/F75,0)</f>
        <v>0.102986611740474</v>
      </c>
      <c r="K75" s="8" t="n">
        <v>0</v>
      </c>
      <c r="L75" s="10" t="n">
        <v>68.4</v>
      </c>
      <c r="M75" s="8" t="n">
        <v>152</v>
      </c>
      <c r="N75" s="29" t="n">
        <v>0.657894736842105</v>
      </c>
    </row>
    <row r="76" customFormat="false" ht="15" hidden="false" customHeight="false" outlineLevel="0" collapsed="false">
      <c r="A76" s="6" t="s">
        <v>27</v>
      </c>
      <c r="B76" s="6" t="s">
        <v>128</v>
      </c>
      <c r="C76" s="6" t="s">
        <v>228</v>
      </c>
      <c r="D76" s="6" t="s">
        <v>133</v>
      </c>
      <c r="E76" s="6" t="s">
        <v>236</v>
      </c>
      <c r="F76" s="8" t="n">
        <v>1398</v>
      </c>
      <c r="G76" s="8" t="n">
        <v>0</v>
      </c>
      <c r="H76" s="30" t="n">
        <f aca="false">IFERROR(G76*1000/F76,0)</f>
        <v>0</v>
      </c>
      <c r="I76" s="8" t="n">
        <v>9</v>
      </c>
      <c r="J76" s="9" t="n">
        <f aca="false">IFERROR(I76*100/F76,0)</f>
        <v>0.643776824034335</v>
      </c>
      <c r="K76" s="8" t="n">
        <v>0</v>
      </c>
      <c r="L76" s="10" t="n">
        <v>47.8</v>
      </c>
      <c r="M76" s="8" t="n">
        <v>1008</v>
      </c>
      <c r="N76" s="29" t="n">
        <v>1.88492063492064</v>
      </c>
    </row>
    <row r="77" customFormat="false" ht="15" hidden="false" customHeight="false" outlineLevel="0" collapsed="false">
      <c r="A77" s="6" t="s">
        <v>27</v>
      </c>
      <c r="B77" s="6" t="s">
        <v>219</v>
      </c>
      <c r="C77" s="6" t="s">
        <v>228</v>
      </c>
      <c r="D77" s="6" t="s">
        <v>130</v>
      </c>
      <c r="E77" s="6" t="s">
        <v>237</v>
      </c>
      <c r="F77" s="8" t="n">
        <v>1347</v>
      </c>
      <c r="G77" s="8" t="n">
        <v>0</v>
      </c>
      <c r="H77" s="30" t="n">
        <f aca="false">IFERROR(G77*1000/F77,0)</f>
        <v>0</v>
      </c>
      <c r="I77" s="8" t="n">
        <v>5</v>
      </c>
      <c r="J77" s="9" t="n">
        <f aca="false">IFERROR(I77*100/F77,0)</f>
        <v>0.371195248700817</v>
      </c>
      <c r="K77" s="8" t="n">
        <v>0</v>
      </c>
      <c r="L77" s="10" t="n">
        <v>97.4</v>
      </c>
      <c r="M77" s="8" t="n">
        <v>77</v>
      </c>
      <c r="N77" s="29" t="n">
        <v>0</v>
      </c>
    </row>
    <row r="78" customFormat="false" ht="15" hidden="false" customHeight="false" outlineLevel="0" collapsed="false">
      <c r="A78" s="6" t="s">
        <v>27</v>
      </c>
      <c r="B78" s="6" t="s">
        <v>164</v>
      </c>
      <c r="C78" s="6" t="s">
        <v>136</v>
      </c>
      <c r="D78" s="6" t="s">
        <v>133</v>
      </c>
      <c r="E78" s="7" t="s">
        <v>238</v>
      </c>
      <c r="F78" s="8" t="n">
        <v>1276</v>
      </c>
      <c r="G78" s="8" t="n">
        <v>0</v>
      </c>
      <c r="H78" s="30" t="n">
        <f aca="false">IFERROR(G78*1000/F78,0)</f>
        <v>0</v>
      </c>
      <c r="I78" s="8" t="n">
        <v>6</v>
      </c>
      <c r="J78" s="9" t="n">
        <f aca="false">IFERROR(I78*100/F78,0)</f>
        <v>0.470219435736677</v>
      </c>
      <c r="K78" s="8" t="n">
        <v>1</v>
      </c>
      <c r="L78" s="10" t="n">
        <v>78.6</v>
      </c>
      <c r="M78" s="8" t="n">
        <v>125</v>
      </c>
      <c r="N78" s="29" t="n">
        <v>2.4</v>
      </c>
    </row>
    <row r="79" customFormat="false" ht="15" hidden="false" customHeight="false" outlineLevel="0" collapsed="false">
      <c r="A79" s="6" t="s">
        <v>27</v>
      </c>
      <c r="B79" s="6" t="s">
        <v>144</v>
      </c>
      <c r="C79" s="6" t="s">
        <v>199</v>
      </c>
      <c r="D79" s="6" t="s">
        <v>130</v>
      </c>
      <c r="E79" s="7" t="s">
        <v>239</v>
      </c>
      <c r="F79" s="8" t="n">
        <v>1265</v>
      </c>
      <c r="G79" s="8" t="n">
        <v>0</v>
      </c>
      <c r="H79" s="30" t="n">
        <f aca="false">IFERROR(G79*1000/F79,0)</f>
        <v>0</v>
      </c>
      <c r="I79" s="8" t="n">
        <v>5</v>
      </c>
      <c r="J79" s="9" t="n">
        <f aca="false">IFERROR(I79*100/F79,0)</f>
        <v>0.395256916996047</v>
      </c>
      <c r="K79" s="8" t="n">
        <v>1</v>
      </c>
      <c r="L79" s="10" t="n">
        <v>88.9</v>
      </c>
      <c r="M79" s="8" t="n">
        <v>297</v>
      </c>
      <c r="N79" s="29" t="n">
        <v>2.69360269360269</v>
      </c>
    </row>
    <row r="80" customFormat="false" ht="15" hidden="false" customHeight="false" outlineLevel="0" collapsed="false">
      <c r="A80" s="6" t="s">
        <v>31</v>
      </c>
      <c r="B80" s="6" t="s">
        <v>179</v>
      </c>
      <c r="C80" s="6" t="s">
        <v>154</v>
      </c>
      <c r="D80" s="6" t="s">
        <v>130</v>
      </c>
      <c r="E80" s="7" t="s">
        <v>240</v>
      </c>
      <c r="F80" s="8" t="n">
        <v>1154</v>
      </c>
      <c r="G80" s="8" t="n">
        <v>0</v>
      </c>
      <c r="H80" s="30" t="n">
        <f aca="false">IFERROR(G80*1000/F80,0)</f>
        <v>0</v>
      </c>
      <c r="I80" s="8" t="n">
        <v>7</v>
      </c>
      <c r="J80" s="9" t="n">
        <f aca="false">IFERROR(I80*100/F80,0)</f>
        <v>0.606585788561525</v>
      </c>
      <c r="K80" s="8" t="n">
        <v>0</v>
      </c>
      <c r="L80" s="10" t="n">
        <v>26.6</v>
      </c>
      <c r="M80" s="8" t="n">
        <v>62</v>
      </c>
      <c r="N80" s="29" t="n">
        <v>0</v>
      </c>
    </row>
    <row r="81" customFormat="false" ht="15" hidden="false" customHeight="false" outlineLevel="0" collapsed="false">
      <c r="A81" s="6" t="s">
        <v>31</v>
      </c>
      <c r="B81" s="6" t="s">
        <v>156</v>
      </c>
      <c r="C81" s="6" t="s">
        <v>189</v>
      </c>
      <c r="D81" s="6" t="s">
        <v>133</v>
      </c>
      <c r="E81" s="6" t="s">
        <v>241</v>
      </c>
      <c r="F81" s="8" t="n">
        <v>1134</v>
      </c>
      <c r="G81" s="8" t="n">
        <v>0</v>
      </c>
      <c r="H81" s="30" t="n">
        <f aca="false">IFERROR(G81*1000/F81,0)</f>
        <v>0</v>
      </c>
      <c r="I81" s="8" t="n">
        <v>2</v>
      </c>
      <c r="J81" s="9" t="n">
        <f aca="false">IFERROR(I81*100/F81,0)</f>
        <v>0.17636684303351</v>
      </c>
      <c r="K81" s="8" t="n">
        <v>1</v>
      </c>
      <c r="L81" s="10" t="n">
        <v>49.3</v>
      </c>
      <c r="M81" s="8" t="n">
        <v>17</v>
      </c>
      <c r="N81" s="29" t="n">
        <v>0</v>
      </c>
    </row>
    <row r="82" customFormat="false" ht="15" hidden="false" customHeight="false" outlineLevel="0" collapsed="false">
      <c r="A82" s="6" t="s">
        <v>21</v>
      </c>
      <c r="B82" s="6" t="s">
        <v>156</v>
      </c>
      <c r="C82" s="6" t="s">
        <v>136</v>
      </c>
      <c r="D82" s="6" t="s">
        <v>130</v>
      </c>
      <c r="E82" s="7" t="s">
        <v>242</v>
      </c>
      <c r="F82" s="8" t="n">
        <v>1132</v>
      </c>
      <c r="G82" s="8" t="n">
        <v>0</v>
      </c>
      <c r="H82" s="30" t="n">
        <f aca="false">IFERROR(G82*1000/F82,0)</f>
        <v>0</v>
      </c>
      <c r="I82" s="8" t="n">
        <v>5</v>
      </c>
      <c r="J82" s="9" t="n">
        <f aca="false">IFERROR(I82*100/F82,0)</f>
        <v>0.441696113074205</v>
      </c>
      <c r="K82" s="8" t="n">
        <v>0</v>
      </c>
      <c r="L82" s="10" t="n">
        <v>121</v>
      </c>
      <c r="M82" s="8" t="n">
        <v>33</v>
      </c>
      <c r="N82" s="29" t="n">
        <v>0</v>
      </c>
    </row>
    <row r="83" customFormat="false" ht="15" hidden="false" customHeight="false" outlineLevel="0" collapsed="false">
      <c r="A83" s="6" t="s">
        <v>21</v>
      </c>
      <c r="B83" s="6" t="s">
        <v>132</v>
      </c>
      <c r="C83" s="6" t="s">
        <v>189</v>
      </c>
      <c r="D83" s="6" t="s">
        <v>130</v>
      </c>
      <c r="E83" s="7" t="s">
        <v>243</v>
      </c>
      <c r="F83" s="8" t="n">
        <v>1116</v>
      </c>
      <c r="G83" s="8" t="n">
        <v>0</v>
      </c>
      <c r="H83" s="30" t="n">
        <f aca="false">IFERROR(G83*1000/F83,0)</f>
        <v>0</v>
      </c>
      <c r="I83" s="8" t="n">
        <v>10</v>
      </c>
      <c r="J83" s="9" t="n">
        <f aca="false">IFERROR(I83*100/F83,0)</f>
        <v>0.896057347670251</v>
      </c>
      <c r="K83" s="8" t="n">
        <v>0</v>
      </c>
      <c r="L83" s="10" t="n">
        <v>46.5</v>
      </c>
      <c r="M83" s="8" t="n">
        <v>32</v>
      </c>
      <c r="N83" s="29" t="n">
        <v>0</v>
      </c>
    </row>
    <row r="84" customFormat="false" ht="15" hidden="false" customHeight="false" outlineLevel="0" collapsed="false">
      <c r="A84" s="6" t="s">
        <v>21</v>
      </c>
      <c r="B84" s="6" t="s">
        <v>150</v>
      </c>
      <c r="C84" s="6" t="s">
        <v>228</v>
      </c>
      <c r="D84" s="6" t="s">
        <v>130</v>
      </c>
      <c r="E84" s="6" t="s">
        <v>244</v>
      </c>
      <c r="F84" s="8" t="n">
        <v>1115</v>
      </c>
      <c r="G84" s="8" t="n">
        <v>0</v>
      </c>
      <c r="H84" s="30" t="n">
        <f aca="false">IFERROR(G84*1000/F84,0)</f>
        <v>0</v>
      </c>
      <c r="I84" s="8" t="n">
        <v>2</v>
      </c>
      <c r="J84" s="9" t="n">
        <f aca="false">IFERROR(I84*100/F84,0)</f>
        <v>0.179372197309417</v>
      </c>
      <c r="K84" s="8" t="n">
        <v>1</v>
      </c>
      <c r="L84" s="10" t="n">
        <v>32.5</v>
      </c>
      <c r="M84" s="8" t="n">
        <v>38</v>
      </c>
      <c r="N84" s="29" t="n">
        <v>0</v>
      </c>
    </row>
    <row r="85" customFormat="false" ht="15" hidden="false" customHeight="false" outlineLevel="0" collapsed="false">
      <c r="A85" s="6" t="s">
        <v>27</v>
      </c>
      <c r="B85" s="6" t="s">
        <v>141</v>
      </c>
      <c r="C85" s="6" t="s">
        <v>228</v>
      </c>
      <c r="D85" s="6" t="s">
        <v>133</v>
      </c>
      <c r="E85" s="7" t="s">
        <v>245</v>
      </c>
      <c r="F85" s="8" t="n">
        <v>1107</v>
      </c>
      <c r="G85" s="8" t="n">
        <v>0</v>
      </c>
      <c r="H85" s="30" t="n">
        <f aca="false">IFERROR(G85*1000/F85,0)</f>
        <v>0</v>
      </c>
      <c r="I85" s="8" t="n">
        <v>3</v>
      </c>
      <c r="J85" s="9" t="n">
        <f aca="false">IFERROR(I85*100/F85,0)</f>
        <v>0.2710027100271</v>
      </c>
      <c r="K85" s="8" t="n">
        <v>0</v>
      </c>
      <c r="L85" s="10" t="n">
        <v>50.4</v>
      </c>
      <c r="M85" s="8" t="n">
        <v>83</v>
      </c>
      <c r="N85" s="29" t="n">
        <v>1.20481927710843</v>
      </c>
    </row>
    <row r="86" customFormat="false" ht="15" hidden="false" customHeight="false" outlineLevel="0" collapsed="false">
      <c r="A86" s="6" t="s">
        <v>31</v>
      </c>
      <c r="B86" s="6" t="s">
        <v>215</v>
      </c>
      <c r="C86" s="6" t="s">
        <v>142</v>
      </c>
      <c r="D86" s="6" t="s">
        <v>133</v>
      </c>
      <c r="E86" s="7" t="s">
        <v>246</v>
      </c>
      <c r="F86" s="8" t="n">
        <v>1090</v>
      </c>
      <c r="G86" s="8" t="n">
        <v>0</v>
      </c>
      <c r="H86" s="30" t="n">
        <f aca="false">IFERROR(G86*1000/F86,0)</f>
        <v>0</v>
      </c>
      <c r="I86" s="8" t="n">
        <v>0</v>
      </c>
      <c r="J86" s="9" t="n">
        <f aca="false">IFERROR(I86*100/F86,0)</f>
        <v>0</v>
      </c>
      <c r="K86" s="8" t="n">
        <v>0</v>
      </c>
      <c r="L86" s="10" t="n">
        <v>23.1</v>
      </c>
      <c r="M86" s="8" t="n">
        <v>48</v>
      </c>
      <c r="N86" s="29" t="n">
        <v>0</v>
      </c>
    </row>
    <row r="87" customFormat="false" ht="15" hidden="false" customHeight="false" outlineLevel="0" collapsed="false">
      <c r="A87" s="6" t="s">
        <v>27</v>
      </c>
      <c r="B87" s="6" t="s">
        <v>138</v>
      </c>
      <c r="C87" s="6" t="s">
        <v>129</v>
      </c>
      <c r="D87" s="6" t="s">
        <v>133</v>
      </c>
      <c r="E87" s="7" t="s">
        <v>247</v>
      </c>
      <c r="F87" s="8" t="n">
        <v>1090</v>
      </c>
      <c r="G87" s="8" t="n">
        <v>0</v>
      </c>
      <c r="H87" s="30" t="n">
        <f aca="false">IFERROR(G87*1000/F87,0)</f>
        <v>0</v>
      </c>
      <c r="I87" s="8" t="n">
        <v>4</v>
      </c>
      <c r="J87" s="9" t="n">
        <f aca="false">IFERROR(I87*100/F87,0)</f>
        <v>0.36697247706422</v>
      </c>
      <c r="K87" s="8" t="n">
        <v>0</v>
      </c>
      <c r="L87" s="10" t="n">
        <v>45.1</v>
      </c>
      <c r="M87" s="8" t="n">
        <v>173</v>
      </c>
      <c r="N87" s="29" t="n">
        <v>3.46820809248555</v>
      </c>
    </row>
    <row r="88" customFormat="false" ht="15" hidden="false" customHeight="false" outlineLevel="0" collapsed="false">
      <c r="A88" s="6" t="s">
        <v>31</v>
      </c>
      <c r="B88" s="6" t="s">
        <v>128</v>
      </c>
      <c r="C88" s="6" t="s">
        <v>142</v>
      </c>
      <c r="D88" s="6" t="s">
        <v>130</v>
      </c>
      <c r="E88" s="7" t="s">
        <v>248</v>
      </c>
      <c r="F88" s="8" t="n">
        <v>1088</v>
      </c>
      <c r="G88" s="8" t="n">
        <v>0</v>
      </c>
      <c r="H88" s="30" t="n">
        <f aca="false">IFERROR(G88*1000/F88,0)</f>
        <v>0</v>
      </c>
      <c r="I88" s="8" t="n">
        <v>1</v>
      </c>
      <c r="J88" s="9" t="n">
        <f aca="false">IFERROR(I88*100/F88,0)</f>
        <v>0.0919117647058824</v>
      </c>
      <c r="K88" s="8" t="n">
        <v>0</v>
      </c>
      <c r="L88" s="10" t="n">
        <v>27.1</v>
      </c>
      <c r="M88" s="8" t="n">
        <v>257</v>
      </c>
      <c r="N88" s="29" t="n">
        <v>0.389105058365759</v>
      </c>
    </row>
    <row r="89" customFormat="false" ht="15" hidden="false" customHeight="false" outlineLevel="0" collapsed="false">
      <c r="A89" s="6" t="s">
        <v>27</v>
      </c>
      <c r="B89" s="6" t="s">
        <v>166</v>
      </c>
      <c r="C89" s="6" t="s">
        <v>168</v>
      </c>
      <c r="D89" s="6" t="s">
        <v>133</v>
      </c>
      <c r="E89" s="7" t="s">
        <v>249</v>
      </c>
      <c r="F89" s="8" t="n">
        <v>1078</v>
      </c>
      <c r="G89" s="8" t="n">
        <v>0</v>
      </c>
      <c r="H89" s="30" t="n">
        <f aca="false">IFERROR(G89*1000/F89,0)</f>
        <v>0</v>
      </c>
      <c r="I89" s="8" t="n">
        <v>2</v>
      </c>
      <c r="J89" s="9" t="n">
        <f aca="false">IFERROR(I89*100/F89,0)</f>
        <v>0.185528756957328</v>
      </c>
      <c r="K89" s="8" t="n">
        <v>0</v>
      </c>
      <c r="L89" s="10" t="n">
        <v>63.6</v>
      </c>
      <c r="M89" s="8" t="n">
        <v>313</v>
      </c>
      <c r="N89" s="29" t="n">
        <v>1.91693290734824</v>
      </c>
    </row>
    <row r="90" customFormat="false" ht="15" hidden="false" customHeight="false" outlineLevel="0" collapsed="false">
      <c r="A90" s="6" t="s">
        <v>29</v>
      </c>
      <c r="B90" s="6" t="s">
        <v>181</v>
      </c>
      <c r="C90" s="6" t="s">
        <v>136</v>
      </c>
      <c r="D90" s="6" t="s">
        <v>133</v>
      </c>
      <c r="E90" s="6" t="s">
        <v>250</v>
      </c>
      <c r="F90" s="8" t="n">
        <v>1075</v>
      </c>
      <c r="G90" s="8" t="n">
        <v>0</v>
      </c>
      <c r="H90" s="30" t="n">
        <f aca="false">IFERROR(G90*1000/F90,0)</f>
        <v>0</v>
      </c>
      <c r="I90" s="8" t="n">
        <v>1</v>
      </c>
      <c r="J90" s="9" t="n">
        <f aca="false">IFERROR(I90*100/F90,0)</f>
        <v>0.0930232558139535</v>
      </c>
      <c r="K90" s="8" t="n">
        <v>1</v>
      </c>
      <c r="L90" s="10" t="n">
        <v>27.5</v>
      </c>
      <c r="M90" s="8" t="n">
        <v>45</v>
      </c>
      <c r="N90" s="29" t="n">
        <v>0</v>
      </c>
    </row>
    <row r="91" customFormat="false" ht="15" hidden="false" customHeight="false" outlineLevel="0" collapsed="false">
      <c r="A91" s="6" t="s">
        <v>21</v>
      </c>
      <c r="B91" s="6" t="s">
        <v>144</v>
      </c>
      <c r="C91" s="6" t="s">
        <v>189</v>
      </c>
      <c r="D91" s="6" t="s">
        <v>130</v>
      </c>
      <c r="E91" s="7" t="s">
        <v>251</v>
      </c>
      <c r="F91" s="8" t="n">
        <v>1073</v>
      </c>
      <c r="G91" s="8" t="n">
        <v>0</v>
      </c>
      <c r="H91" s="30" t="n">
        <f aca="false">IFERROR(G91*1000/F91,0)</f>
        <v>0</v>
      </c>
      <c r="I91" s="8" t="n">
        <v>8</v>
      </c>
      <c r="J91" s="9" t="n">
        <f aca="false">IFERROR(I91*100/F91,0)</f>
        <v>0.745573159366263</v>
      </c>
      <c r="K91" s="8" t="n">
        <v>0</v>
      </c>
      <c r="L91" s="10" t="n">
        <v>36.8</v>
      </c>
      <c r="M91" s="8" t="n">
        <v>102</v>
      </c>
      <c r="N91" s="29" t="n">
        <v>0</v>
      </c>
    </row>
    <row r="92" customFormat="false" ht="15" hidden="false" customHeight="false" outlineLevel="0" collapsed="false">
      <c r="A92" s="6" t="s">
        <v>21</v>
      </c>
      <c r="B92" s="6" t="s">
        <v>219</v>
      </c>
      <c r="C92" s="6" t="s">
        <v>168</v>
      </c>
      <c r="D92" s="6" t="s">
        <v>130</v>
      </c>
      <c r="E92" s="6" t="s">
        <v>252</v>
      </c>
      <c r="F92" s="8" t="n">
        <v>1065</v>
      </c>
      <c r="G92" s="8" t="n">
        <v>0</v>
      </c>
      <c r="H92" s="30" t="n">
        <f aca="false">IFERROR(G92*1000/F92,0)</f>
        <v>0</v>
      </c>
      <c r="I92" s="8" t="n">
        <v>5</v>
      </c>
      <c r="J92" s="9" t="n">
        <f aca="false">IFERROR(I92*100/F92,0)</f>
        <v>0.469483568075117</v>
      </c>
      <c r="K92" s="8" t="n">
        <v>0</v>
      </c>
      <c r="L92" s="10" t="n">
        <v>98.9</v>
      </c>
      <c r="M92" s="8" t="n">
        <v>80</v>
      </c>
      <c r="N92" s="29" t="n">
        <v>1.25</v>
      </c>
    </row>
    <row r="93" customFormat="false" ht="15" hidden="false" customHeight="false" outlineLevel="0" collapsed="false">
      <c r="A93" s="6" t="s">
        <v>27</v>
      </c>
      <c r="B93" s="6" t="s">
        <v>144</v>
      </c>
      <c r="C93" s="6" t="s">
        <v>136</v>
      </c>
      <c r="D93" s="6" t="s">
        <v>133</v>
      </c>
      <c r="E93" s="7" t="s">
        <v>253</v>
      </c>
      <c r="F93" s="8" t="n">
        <v>1053</v>
      </c>
      <c r="G93" s="8" t="n">
        <v>0</v>
      </c>
      <c r="H93" s="30" t="n">
        <f aca="false">IFERROR(G93*1000/F93,0)</f>
        <v>0</v>
      </c>
      <c r="I93" s="8" t="n">
        <v>0</v>
      </c>
      <c r="J93" s="9" t="n">
        <f aca="false">IFERROR(I93*100/F93,0)</f>
        <v>0</v>
      </c>
      <c r="K93" s="8" t="n">
        <v>0</v>
      </c>
      <c r="L93" s="10" t="n">
        <v>66.1</v>
      </c>
      <c r="M93" s="8" t="n">
        <v>150</v>
      </c>
      <c r="N93" s="29" t="n">
        <v>2.66666666666667</v>
      </c>
    </row>
    <row r="94" customFormat="false" ht="15" hidden="false" customHeight="false" outlineLevel="0" collapsed="false">
      <c r="A94" s="6" t="s">
        <v>31</v>
      </c>
      <c r="B94" s="6" t="s">
        <v>135</v>
      </c>
      <c r="C94" s="6" t="s">
        <v>154</v>
      </c>
      <c r="D94" s="6" t="s">
        <v>139</v>
      </c>
      <c r="E94" s="7" t="s">
        <v>254</v>
      </c>
      <c r="F94" s="8" t="n">
        <v>1052</v>
      </c>
      <c r="G94" s="8" t="n">
        <v>0</v>
      </c>
      <c r="H94" s="30" t="n">
        <f aca="false">IFERROR(G94*1000/F94,0)</f>
        <v>0</v>
      </c>
      <c r="I94" s="8" t="n">
        <v>3</v>
      </c>
      <c r="J94" s="9" t="n">
        <f aca="false">IFERROR(I94*100/F94,0)</f>
        <v>0.285171102661597</v>
      </c>
      <c r="K94" s="8" t="n">
        <v>0</v>
      </c>
      <c r="L94" s="10" t="n">
        <v>33.1</v>
      </c>
      <c r="M94" s="8" t="n">
        <v>38</v>
      </c>
      <c r="N94" s="29" t="n">
        <v>2.63157894736842</v>
      </c>
    </row>
    <row r="95" customFormat="false" ht="15" hidden="false" customHeight="false" outlineLevel="0" collapsed="false">
      <c r="A95" s="6" t="s">
        <v>21</v>
      </c>
      <c r="B95" s="6" t="s">
        <v>138</v>
      </c>
      <c r="C95" s="6" t="s">
        <v>142</v>
      </c>
      <c r="D95" s="6" t="s">
        <v>130</v>
      </c>
      <c r="E95" s="7" t="s">
        <v>255</v>
      </c>
      <c r="F95" s="8" t="n">
        <v>1051</v>
      </c>
      <c r="G95" s="8" t="n">
        <v>0</v>
      </c>
      <c r="H95" s="30" t="n">
        <f aca="false">IFERROR(G95*1000/F95,0)</f>
        <v>0</v>
      </c>
      <c r="I95" s="8" t="n">
        <v>15</v>
      </c>
      <c r="J95" s="9" t="n">
        <f aca="false">IFERROR(I95*100/F95,0)</f>
        <v>1.42721217887726</v>
      </c>
      <c r="K95" s="8" t="n">
        <v>0</v>
      </c>
      <c r="L95" s="10" t="n">
        <v>46</v>
      </c>
      <c r="M95" s="8" t="n">
        <v>103</v>
      </c>
      <c r="N95" s="29" t="n">
        <v>1.94174757281553</v>
      </c>
    </row>
    <row r="96" customFormat="false" ht="15" hidden="false" customHeight="false" outlineLevel="0" collapsed="false">
      <c r="A96" s="6" t="s">
        <v>27</v>
      </c>
      <c r="B96" s="6" t="s">
        <v>132</v>
      </c>
      <c r="C96" s="6" t="s">
        <v>136</v>
      </c>
      <c r="D96" s="6" t="s">
        <v>133</v>
      </c>
      <c r="E96" s="7" t="s">
        <v>256</v>
      </c>
      <c r="F96" s="8" t="n">
        <v>1050</v>
      </c>
      <c r="G96" s="8" t="n">
        <v>0</v>
      </c>
      <c r="H96" s="30" t="n">
        <f aca="false">IFERROR(G96*1000/F96,0)</f>
        <v>0</v>
      </c>
      <c r="I96" s="8" t="n">
        <v>4</v>
      </c>
      <c r="J96" s="9" t="n">
        <f aca="false">IFERROR(I96*100/F96,0)</f>
        <v>0.380952380952381</v>
      </c>
      <c r="K96" s="8" t="n">
        <v>0</v>
      </c>
      <c r="L96" s="10" t="n">
        <v>56.5</v>
      </c>
      <c r="M96" s="8" t="n">
        <v>55</v>
      </c>
      <c r="N96" s="29" t="n">
        <v>3.63636363636364</v>
      </c>
    </row>
    <row r="97" customFormat="false" ht="15" hidden="false" customHeight="false" outlineLevel="0" collapsed="false">
      <c r="A97" s="6" t="s">
        <v>29</v>
      </c>
      <c r="B97" s="6" t="s">
        <v>219</v>
      </c>
      <c r="C97" s="6" t="s">
        <v>142</v>
      </c>
      <c r="D97" s="6" t="s">
        <v>133</v>
      </c>
      <c r="E97" s="6" t="s">
        <v>257</v>
      </c>
      <c r="F97" s="8" t="n">
        <v>1046</v>
      </c>
      <c r="G97" s="8" t="n">
        <v>0</v>
      </c>
      <c r="H97" s="30" t="n">
        <f aca="false">IFERROR(G97*1000/F97,0)</f>
        <v>0</v>
      </c>
      <c r="I97" s="8" t="n">
        <v>3</v>
      </c>
      <c r="J97" s="9" t="n">
        <f aca="false">IFERROR(I97*100/F97,0)</f>
        <v>0.286806883365201</v>
      </c>
      <c r="K97" s="8" t="n">
        <v>0</v>
      </c>
      <c r="L97" s="10" t="n">
        <v>37.7</v>
      </c>
      <c r="M97" s="8" t="n">
        <v>57</v>
      </c>
      <c r="N97" s="29" t="n">
        <v>1.75438596491228</v>
      </c>
    </row>
    <row r="98" customFormat="false" ht="15" hidden="false" customHeight="false" outlineLevel="0" collapsed="false">
      <c r="A98" s="6" t="s">
        <v>21</v>
      </c>
      <c r="B98" s="6" t="s">
        <v>128</v>
      </c>
      <c r="C98" s="6" t="s">
        <v>168</v>
      </c>
      <c r="D98" s="6" t="s">
        <v>130</v>
      </c>
      <c r="E98" s="6" t="s">
        <v>258</v>
      </c>
      <c r="F98" s="8" t="n">
        <v>1042</v>
      </c>
      <c r="G98" s="8" t="n">
        <v>0</v>
      </c>
      <c r="H98" s="30" t="n">
        <f aca="false">IFERROR(G98*1000/F98,0)</f>
        <v>0</v>
      </c>
      <c r="I98" s="8" t="n">
        <v>6</v>
      </c>
      <c r="J98" s="9" t="n">
        <f aca="false">IFERROR(I98*100/F98,0)</f>
        <v>0.575815738963532</v>
      </c>
      <c r="K98" s="8" t="n">
        <v>0</v>
      </c>
      <c r="L98" s="10" t="n">
        <v>25.6</v>
      </c>
      <c r="M98" s="8" t="n">
        <v>36</v>
      </c>
      <c r="N98" s="29" t="n">
        <v>0</v>
      </c>
    </row>
    <row r="99" customFormat="false" ht="15" hidden="false" customHeight="false" outlineLevel="0" collapsed="false">
      <c r="A99" s="6" t="s">
        <v>27</v>
      </c>
      <c r="B99" s="6" t="s">
        <v>132</v>
      </c>
      <c r="C99" s="6" t="s">
        <v>199</v>
      </c>
      <c r="D99" s="6" t="s">
        <v>133</v>
      </c>
      <c r="E99" s="7" t="s">
        <v>259</v>
      </c>
      <c r="F99" s="8" t="n">
        <v>1041</v>
      </c>
      <c r="G99" s="8" t="n">
        <v>0</v>
      </c>
      <c r="H99" s="30" t="n">
        <f aca="false">IFERROR(G99*1000/F99,0)</f>
        <v>0</v>
      </c>
      <c r="I99" s="8" t="n">
        <v>1</v>
      </c>
      <c r="J99" s="9" t="n">
        <f aca="false">IFERROR(I99*100/F99,0)</f>
        <v>0.0960614793467819</v>
      </c>
      <c r="K99" s="8" t="n">
        <v>1</v>
      </c>
      <c r="L99" s="10" t="n">
        <v>45.9</v>
      </c>
      <c r="M99" s="8" t="n">
        <v>401</v>
      </c>
      <c r="N99" s="29" t="n">
        <v>2.9925187032419</v>
      </c>
    </row>
    <row r="100" customFormat="false" ht="15" hidden="false" customHeight="false" outlineLevel="0" collapsed="false">
      <c r="A100" s="6" t="s">
        <v>25</v>
      </c>
      <c r="B100" s="6" t="s">
        <v>150</v>
      </c>
      <c r="C100" s="6" t="s">
        <v>129</v>
      </c>
      <c r="D100" s="6" t="s">
        <v>133</v>
      </c>
      <c r="E100" s="6" t="s">
        <v>260</v>
      </c>
      <c r="F100" s="8" t="n">
        <v>1038</v>
      </c>
      <c r="G100" s="8" t="n">
        <v>0</v>
      </c>
      <c r="H100" s="30" t="n">
        <f aca="false">IFERROR(G100*1000/F100,0)</f>
        <v>0</v>
      </c>
      <c r="I100" s="8" t="n">
        <v>4</v>
      </c>
      <c r="J100" s="9" t="n">
        <f aca="false">IFERROR(I100*100/F100,0)</f>
        <v>0.385356454720617</v>
      </c>
      <c r="K100" s="8" t="n">
        <v>0</v>
      </c>
      <c r="L100" s="10" t="n">
        <v>32.6</v>
      </c>
      <c r="M100" s="8" t="n">
        <v>500</v>
      </c>
      <c r="N100" s="29" t="n">
        <v>0.6</v>
      </c>
    </row>
    <row r="101" customFormat="false" ht="15" hidden="false" customHeight="false" outlineLevel="0" collapsed="false">
      <c r="A101" s="6" t="s">
        <v>31</v>
      </c>
      <c r="B101" s="6" t="s">
        <v>166</v>
      </c>
      <c r="C101" s="6" t="s">
        <v>142</v>
      </c>
      <c r="D101" s="6" t="s">
        <v>133</v>
      </c>
      <c r="E101" s="6" t="s">
        <v>261</v>
      </c>
      <c r="F101" s="8" t="n">
        <v>1037</v>
      </c>
      <c r="G101" s="8" t="n">
        <v>0</v>
      </c>
      <c r="H101" s="30" t="n">
        <f aca="false">IFERROR(G101*1000/F101,0)</f>
        <v>0</v>
      </c>
      <c r="I101" s="8" t="n">
        <v>0</v>
      </c>
      <c r="J101" s="9" t="n">
        <f aca="false">IFERROR(I101*100/F101,0)</f>
        <v>0</v>
      </c>
      <c r="K101" s="8" t="n">
        <v>0</v>
      </c>
      <c r="L101" s="10" t="n">
        <v>42.2</v>
      </c>
      <c r="M101" s="8" t="n">
        <v>20</v>
      </c>
      <c r="N101" s="29" t="n">
        <v>0</v>
      </c>
    </row>
    <row r="102" customFormat="false" ht="15" hidden="false" customHeight="false" outlineLevel="0" collapsed="false">
      <c r="A102" s="6" t="s">
        <v>23</v>
      </c>
      <c r="B102" s="6" t="s">
        <v>166</v>
      </c>
      <c r="C102" s="6" t="s">
        <v>129</v>
      </c>
      <c r="D102" s="6" t="s">
        <v>148</v>
      </c>
      <c r="E102" s="7" t="s">
        <v>262</v>
      </c>
      <c r="F102" s="8" t="n">
        <v>1037</v>
      </c>
      <c r="G102" s="8" t="n">
        <v>0</v>
      </c>
      <c r="H102" s="30" t="n">
        <f aca="false">IFERROR(G102*1000/F102,0)</f>
        <v>0</v>
      </c>
      <c r="I102" s="8" t="n">
        <v>5</v>
      </c>
      <c r="J102" s="9" t="n">
        <f aca="false">IFERROR(I102*100/F102,0)</f>
        <v>0.482160077145612</v>
      </c>
      <c r="K102" s="8" t="n">
        <v>0</v>
      </c>
      <c r="L102" s="10" t="n">
        <v>42.7</v>
      </c>
      <c r="M102" s="8" t="n">
        <v>326</v>
      </c>
      <c r="N102" s="29" t="n">
        <v>0.920245398773006</v>
      </c>
    </row>
    <row r="103" customFormat="false" ht="15" hidden="false" customHeight="false" outlineLevel="0" collapsed="false">
      <c r="A103" s="6" t="s">
        <v>27</v>
      </c>
      <c r="B103" s="6" t="s">
        <v>141</v>
      </c>
      <c r="C103" s="6" t="s">
        <v>154</v>
      </c>
      <c r="D103" s="6" t="s">
        <v>133</v>
      </c>
      <c r="E103" s="7" t="s">
        <v>263</v>
      </c>
      <c r="F103" s="8" t="n">
        <v>1025</v>
      </c>
      <c r="G103" s="8" t="n">
        <v>0</v>
      </c>
      <c r="H103" s="30" t="n">
        <f aca="false">IFERROR(G103*1000/F103,0)</f>
        <v>0</v>
      </c>
      <c r="I103" s="8" t="n">
        <v>1</v>
      </c>
      <c r="J103" s="9" t="n">
        <f aca="false">IFERROR(I103*100/F103,0)</f>
        <v>0.0975609756097561</v>
      </c>
      <c r="K103" s="8" t="n">
        <v>1</v>
      </c>
      <c r="L103" s="10" t="n">
        <v>36.3</v>
      </c>
      <c r="M103" s="8" t="n">
        <v>73</v>
      </c>
      <c r="N103" s="29" t="n">
        <v>2.73972602739726</v>
      </c>
    </row>
    <row r="104" customFormat="false" ht="15" hidden="false" customHeight="false" outlineLevel="0" collapsed="false">
      <c r="A104" s="6" t="s">
        <v>31</v>
      </c>
      <c r="B104" s="6" t="s">
        <v>156</v>
      </c>
      <c r="C104" s="6" t="s">
        <v>142</v>
      </c>
      <c r="D104" s="6" t="s">
        <v>130</v>
      </c>
      <c r="E104" s="7" t="s">
        <v>264</v>
      </c>
      <c r="F104" s="8" t="n">
        <v>1018</v>
      </c>
      <c r="G104" s="8" t="n">
        <v>0</v>
      </c>
      <c r="H104" s="30" t="n">
        <f aca="false">IFERROR(G104*1000/F104,0)</f>
        <v>0</v>
      </c>
      <c r="I104" s="8" t="n">
        <v>0</v>
      </c>
      <c r="J104" s="9" t="n">
        <f aca="false">IFERROR(I104*100/F104,0)</f>
        <v>0</v>
      </c>
      <c r="K104" s="8" t="n">
        <v>0</v>
      </c>
      <c r="L104" s="10" t="n">
        <v>36.1</v>
      </c>
      <c r="M104" s="8" t="n">
        <v>9</v>
      </c>
      <c r="N104" s="29" t="n">
        <v>0</v>
      </c>
    </row>
    <row r="105" customFormat="false" ht="15" hidden="false" customHeight="false" outlineLevel="0" collapsed="false">
      <c r="A105" s="6" t="s">
        <v>29</v>
      </c>
      <c r="B105" s="6" t="s">
        <v>164</v>
      </c>
      <c r="C105" s="6" t="s">
        <v>213</v>
      </c>
      <c r="D105" s="6" t="s">
        <v>130</v>
      </c>
      <c r="E105" s="6" t="s">
        <v>265</v>
      </c>
      <c r="F105" s="8" t="n">
        <v>1017</v>
      </c>
      <c r="G105" s="8" t="n">
        <v>0</v>
      </c>
      <c r="H105" s="30" t="n">
        <f aca="false">IFERROR(G105*1000/F105,0)</f>
        <v>0</v>
      </c>
      <c r="I105" s="8" t="n">
        <v>3</v>
      </c>
      <c r="J105" s="9" t="n">
        <f aca="false">IFERROR(I105*100/F105,0)</f>
        <v>0.294985250737463</v>
      </c>
      <c r="K105" s="8" t="n">
        <v>0</v>
      </c>
      <c r="L105" s="10" t="n">
        <v>23.5</v>
      </c>
      <c r="M105" s="8" t="n">
        <v>35</v>
      </c>
      <c r="N105" s="29" t="n">
        <v>0</v>
      </c>
    </row>
    <row r="106" customFormat="false" ht="15" hidden="false" customHeight="false" outlineLevel="0" collapsed="false">
      <c r="A106" s="6" t="s">
        <v>25</v>
      </c>
      <c r="B106" s="6" t="s">
        <v>156</v>
      </c>
      <c r="C106" s="6" t="s">
        <v>136</v>
      </c>
      <c r="D106" s="6" t="s">
        <v>148</v>
      </c>
      <c r="E106" s="7" t="s">
        <v>266</v>
      </c>
      <c r="F106" s="8" t="n">
        <v>1015</v>
      </c>
      <c r="G106" s="8" t="n">
        <v>0</v>
      </c>
      <c r="H106" s="30" t="n">
        <f aca="false">IFERROR(G106*1000/F106,0)</f>
        <v>0</v>
      </c>
      <c r="I106" s="8" t="n">
        <v>2</v>
      </c>
      <c r="J106" s="9" t="n">
        <f aca="false">IFERROR(I106*100/F106,0)</f>
        <v>0.197044334975369</v>
      </c>
      <c r="K106" s="8" t="n">
        <v>0</v>
      </c>
      <c r="L106" s="10" t="n">
        <v>44.5</v>
      </c>
      <c r="M106" s="8" t="n">
        <v>93</v>
      </c>
      <c r="N106" s="29" t="n">
        <v>3.2258064516129</v>
      </c>
    </row>
    <row r="107" customFormat="false" ht="15" hidden="false" customHeight="false" outlineLevel="0" collapsed="false">
      <c r="A107" s="6" t="s">
        <v>23</v>
      </c>
      <c r="B107" s="6" t="s">
        <v>179</v>
      </c>
      <c r="C107" s="6" t="s">
        <v>197</v>
      </c>
      <c r="D107" s="6" t="s">
        <v>133</v>
      </c>
      <c r="E107" s="7" t="s">
        <v>267</v>
      </c>
      <c r="F107" s="8" t="n">
        <v>1014</v>
      </c>
      <c r="G107" s="8" t="n">
        <v>0</v>
      </c>
      <c r="H107" s="30" t="n">
        <f aca="false">IFERROR(G107*1000/F107,0)</f>
        <v>0</v>
      </c>
      <c r="I107" s="8" t="n">
        <v>3</v>
      </c>
      <c r="J107" s="9" t="n">
        <f aca="false">IFERROR(I107*100/F107,0)</f>
        <v>0.295857988165681</v>
      </c>
      <c r="K107" s="8" t="n">
        <v>0</v>
      </c>
      <c r="L107" s="10" t="n">
        <v>24.8</v>
      </c>
      <c r="M107" s="8" t="n">
        <v>494</v>
      </c>
      <c r="N107" s="29" t="n">
        <v>0.607287449392713</v>
      </c>
    </row>
    <row r="108" customFormat="false" ht="15" hidden="false" customHeight="false" outlineLevel="0" collapsed="false">
      <c r="A108" s="6" t="s">
        <v>25</v>
      </c>
      <c r="B108" s="6" t="s">
        <v>135</v>
      </c>
      <c r="C108" s="6" t="s">
        <v>129</v>
      </c>
      <c r="D108" s="6" t="s">
        <v>133</v>
      </c>
      <c r="E108" s="7" t="s">
        <v>268</v>
      </c>
      <c r="F108" s="8" t="n">
        <v>1012</v>
      </c>
      <c r="G108" s="8" t="n">
        <v>0</v>
      </c>
      <c r="H108" s="30" t="n">
        <f aca="false">IFERROR(G108*1000/F108,0)</f>
        <v>0</v>
      </c>
      <c r="I108" s="8" t="n">
        <v>4</v>
      </c>
      <c r="J108" s="9" t="n">
        <f aca="false">IFERROR(I108*100/F108,0)</f>
        <v>0.395256916996047</v>
      </c>
      <c r="K108" s="8" t="n">
        <v>0</v>
      </c>
      <c r="L108" s="10" t="n">
        <v>33.1</v>
      </c>
      <c r="M108" s="8" t="n">
        <v>366</v>
      </c>
      <c r="N108" s="29" t="n">
        <v>3.00546448087432</v>
      </c>
    </row>
    <row r="109" customFormat="false" ht="15" hidden="false" customHeight="false" outlineLevel="0" collapsed="false">
      <c r="A109" s="6" t="s">
        <v>27</v>
      </c>
      <c r="B109" s="6" t="s">
        <v>132</v>
      </c>
      <c r="C109" s="6" t="s">
        <v>168</v>
      </c>
      <c r="D109" s="6" t="s">
        <v>148</v>
      </c>
      <c r="E109" s="7" t="s">
        <v>269</v>
      </c>
      <c r="F109" s="8" t="n">
        <v>1010</v>
      </c>
      <c r="G109" s="8" t="n">
        <v>0</v>
      </c>
      <c r="H109" s="30" t="n">
        <f aca="false">IFERROR(G109*1000/F109,0)</f>
        <v>0</v>
      </c>
      <c r="I109" s="8" t="n">
        <v>3</v>
      </c>
      <c r="J109" s="9" t="n">
        <f aca="false">IFERROR(I109*100/F109,0)</f>
        <v>0.297029702970297</v>
      </c>
      <c r="K109" s="8" t="n">
        <v>0</v>
      </c>
      <c r="L109" s="10" t="n">
        <v>52.7</v>
      </c>
      <c r="M109" s="8" t="n">
        <v>33</v>
      </c>
      <c r="N109" s="29" t="n">
        <v>3.03030303030303</v>
      </c>
    </row>
    <row r="110" customFormat="false" ht="15" hidden="false" customHeight="false" outlineLevel="0" collapsed="false">
      <c r="A110" s="6" t="s">
        <v>21</v>
      </c>
      <c r="B110" s="6" t="s">
        <v>156</v>
      </c>
      <c r="C110" s="6" t="s">
        <v>142</v>
      </c>
      <c r="D110" s="6" t="s">
        <v>133</v>
      </c>
      <c r="E110" s="7" t="s">
        <v>270</v>
      </c>
      <c r="F110" s="8" t="n">
        <v>1009</v>
      </c>
      <c r="G110" s="8" t="n">
        <v>0</v>
      </c>
      <c r="H110" s="30" t="n">
        <f aca="false">IFERROR(G110*1000/F110,0)</f>
        <v>0</v>
      </c>
      <c r="I110" s="8" t="n">
        <v>4</v>
      </c>
      <c r="J110" s="9" t="n">
        <f aca="false">IFERROR(I110*100/F110,0)</f>
        <v>0.396432111000991</v>
      </c>
      <c r="K110" s="8" t="n">
        <v>0</v>
      </c>
      <c r="L110" s="10" t="n">
        <v>91</v>
      </c>
      <c r="M110" s="8" t="n">
        <v>27</v>
      </c>
      <c r="N110" s="29" t="n">
        <v>0</v>
      </c>
    </row>
    <row r="111" customFormat="false" ht="15" hidden="false" customHeight="false" outlineLevel="0" collapsed="false">
      <c r="A111" s="6" t="s">
        <v>25</v>
      </c>
      <c r="B111" s="6" t="s">
        <v>219</v>
      </c>
      <c r="C111" s="6" t="s">
        <v>142</v>
      </c>
      <c r="D111" s="6" t="s">
        <v>130</v>
      </c>
      <c r="E111" s="6" t="s">
        <v>271</v>
      </c>
      <c r="F111" s="8" t="n">
        <v>1009</v>
      </c>
      <c r="G111" s="8" t="n">
        <v>0</v>
      </c>
      <c r="H111" s="30" t="n">
        <f aca="false">IFERROR(G111*1000/F111,0)</f>
        <v>0</v>
      </c>
      <c r="I111" s="8" t="n">
        <v>6</v>
      </c>
      <c r="J111" s="9" t="n">
        <f aca="false">IFERROR(I111*100/F111,0)</f>
        <v>0.594648166501487</v>
      </c>
      <c r="K111" s="8" t="n">
        <v>0</v>
      </c>
      <c r="L111" s="10" t="n">
        <v>38.1</v>
      </c>
      <c r="M111" s="8" t="n">
        <v>76</v>
      </c>
      <c r="N111" s="29" t="n">
        <v>1.31578947368421</v>
      </c>
    </row>
    <row r="112" customFormat="false" ht="15" hidden="false" customHeight="false" outlineLevel="0" collapsed="false">
      <c r="A112" s="6" t="s">
        <v>27</v>
      </c>
      <c r="B112" s="6" t="s">
        <v>144</v>
      </c>
      <c r="C112" s="6" t="s">
        <v>168</v>
      </c>
      <c r="D112" s="6" t="s">
        <v>133</v>
      </c>
      <c r="E112" s="7" t="s">
        <v>272</v>
      </c>
      <c r="F112" s="8" t="n">
        <v>1005</v>
      </c>
      <c r="G112" s="8" t="n">
        <v>0</v>
      </c>
      <c r="H112" s="30" t="n">
        <f aca="false">IFERROR(G112*1000/F112,0)</f>
        <v>0</v>
      </c>
      <c r="I112" s="8" t="n">
        <v>1</v>
      </c>
      <c r="J112" s="9" t="n">
        <f aca="false">IFERROR(I112*100/F112,0)</f>
        <v>0.0995024875621891</v>
      </c>
      <c r="K112" s="8" t="n">
        <v>0</v>
      </c>
      <c r="L112" s="10" t="n">
        <v>44.3</v>
      </c>
      <c r="M112" s="8" t="n">
        <v>124</v>
      </c>
      <c r="N112" s="29" t="n">
        <v>0.806451612903226</v>
      </c>
    </row>
    <row r="113" customFormat="false" ht="15" hidden="false" customHeight="false" outlineLevel="0" collapsed="false">
      <c r="A113" s="6" t="s">
        <v>29</v>
      </c>
      <c r="B113" s="6" t="s">
        <v>141</v>
      </c>
      <c r="C113" s="6" t="s">
        <v>142</v>
      </c>
      <c r="D113" s="6" t="s">
        <v>133</v>
      </c>
      <c r="E113" s="6" t="s">
        <v>273</v>
      </c>
      <c r="F113" s="8" t="n">
        <v>1004</v>
      </c>
      <c r="G113" s="8" t="n">
        <v>0</v>
      </c>
      <c r="H113" s="30" t="n">
        <f aca="false">IFERROR(G113*1000/F113,0)</f>
        <v>0</v>
      </c>
      <c r="I113" s="8" t="n">
        <v>2</v>
      </c>
      <c r="J113" s="9" t="n">
        <f aca="false">IFERROR(I113*100/F113,0)</f>
        <v>0.199203187250996</v>
      </c>
      <c r="K113" s="8" t="n">
        <v>0</v>
      </c>
      <c r="L113" s="10" t="n">
        <v>41</v>
      </c>
      <c r="M113" s="8" t="n">
        <v>59</v>
      </c>
      <c r="N113" s="29" t="n">
        <v>1.69491525423729</v>
      </c>
    </row>
    <row r="114" customFormat="false" ht="15" hidden="false" customHeight="false" outlineLevel="0" collapsed="false">
      <c r="A114" s="6" t="s">
        <v>23</v>
      </c>
      <c r="B114" s="6" t="s">
        <v>146</v>
      </c>
      <c r="C114" s="6" t="s">
        <v>197</v>
      </c>
      <c r="D114" s="6" t="s">
        <v>133</v>
      </c>
      <c r="E114" s="7" t="s">
        <v>274</v>
      </c>
      <c r="F114" s="8" t="n">
        <v>1003</v>
      </c>
      <c r="G114" s="8" t="n">
        <v>0</v>
      </c>
      <c r="H114" s="30" t="n">
        <f aca="false">IFERROR(G114*1000/F114,0)</f>
        <v>0</v>
      </c>
      <c r="I114" s="8" t="n">
        <v>7</v>
      </c>
      <c r="J114" s="9" t="n">
        <f aca="false">IFERROR(I114*100/F114,0)</f>
        <v>0.69790628115653</v>
      </c>
      <c r="K114" s="8" t="n">
        <v>0</v>
      </c>
      <c r="L114" s="10" t="n">
        <v>24.9</v>
      </c>
      <c r="M114" s="8" t="n">
        <v>72</v>
      </c>
      <c r="N114" s="29" t="n">
        <v>0</v>
      </c>
    </row>
    <row r="115" customFormat="false" ht="15" hidden="false" customHeight="false" outlineLevel="0" collapsed="false">
      <c r="A115" s="6" t="s">
        <v>31</v>
      </c>
      <c r="B115" s="6" t="s">
        <v>132</v>
      </c>
      <c r="C115" s="6" t="s">
        <v>142</v>
      </c>
      <c r="D115" s="6" t="s">
        <v>133</v>
      </c>
      <c r="E115" s="7" t="s">
        <v>275</v>
      </c>
      <c r="F115" s="8" t="n">
        <v>999</v>
      </c>
      <c r="G115" s="8" t="n">
        <v>0</v>
      </c>
      <c r="H115" s="30" t="n">
        <f aca="false">IFERROR(G115*1000/F115,0)</f>
        <v>0</v>
      </c>
      <c r="I115" s="8" t="n">
        <v>1</v>
      </c>
      <c r="J115" s="9" t="n">
        <f aca="false">IFERROR(I115*100/F115,0)</f>
        <v>0.1001001001001</v>
      </c>
      <c r="K115" s="8" t="n">
        <v>0</v>
      </c>
      <c r="L115" s="10" t="n">
        <v>30.9</v>
      </c>
      <c r="M115" s="8" t="n">
        <v>68</v>
      </c>
      <c r="N115" s="29" t="n">
        <v>0</v>
      </c>
    </row>
    <row r="116" customFormat="false" ht="15" hidden="false" customHeight="false" outlineLevel="0" collapsed="false">
      <c r="A116" s="6" t="s">
        <v>29</v>
      </c>
      <c r="B116" s="6" t="s">
        <v>144</v>
      </c>
      <c r="C116" s="6" t="s">
        <v>213</v>
      </c>
      <c r="D116" s="6" t="s">
        <v>133</v>
      </c>
      <c r="E116" s="7" t="s">
        <v>276</v>
      </c>
      <c r="F116" s="8" t="n">
        <v>996</v>
      </c>
      <c r="G116" s="8" t="n">
        <v>0</v>
      </c>
      <c r="H116" s="30" t="n">
        <f aca="false">IFERROR(G116*1000/F116,0)</f>
        <v>0</v>
      </c>
      <c r="I116" s="8" t="n">
        <v>2</v>
      </c>
      <c r="J116" s="9" t="n">
        <f aca="false">IFERROR(I116*100/F116,0)</f>
        <v>0.200803212851406</v>
      </c>
      <c r="K116" s="8" t="n">
        <v>0</v>
      </c>
      <c r="L116" s="10" t="n">
        <v>31.2</v>
      </c>
      <c r="M116" s="8" t="n">
        <v>52</v>
      </c>
      <c r="N116" s="29" t="n">
        <v>1.92307692307692</v>
      </c>
    </row>
    <row r="117" customFormat="false" ht="15" hidden="false" customHeight="false" outlineLevel="0" collapsed="false">
      <c r="A117" s="6" t="s">
        <v>25</v>
      </c>
      <c r="B117" s="6" t="s">
        <v>187</v>
      </c>
      <c r="C117" s="6" t="s">
        <v>142</v>
      </c>
      <c r="D117" s="6" t="s">
        <v>130</v>
      </c>
      <c r="E117" s="6" t="s">
        <v>277</v>
      </c>
      <c r="F117" s="8" t="n">
        <v>988</v>
      </c>
      <c r="G117" s="8" t="n">
        <v>0</v>
      </c>
      <c r="H117" s="30" t="n">
        <f aca="false">IFERROR(G117*1000/F117,0)</f>
        <v>0</v>
      </c>
      <c r="I117" s="8" t="n">
        <v>4</v>
      </c>
      <c r="J117" s="9" t="n">
        <f aca="false">IFERROR(I117*100/F117,0)</f>
        <v>0.404858299595142</v>
      </c>
      <c r="K117" s="8" t="n">
        <v>0</v>
      </c>
      <c r="L117" s="10" t="n">
        <v>28.6</v>
      </c>
      <c r="M117" s="8" t="n">
        <v>90</v>
      </c>
      <c r="N117" s="29" t="n">
        <v>1.11111111111111</v>
      </c>
    </row>
    <row r="118" customFormat="false" ht="15" hidden="false" customHeight="false" outlineLevel="0" collapsed="false">
      <c r="A118" s="6" t="s">
        <v>23</v>
      </c>
      <c r="B118" s="6" t="s">
        <v>141</v>
      </c>
      <c r="C118" s="6" t="s">
        <v>168</v>
      </c>
      <c r="D118" s="6" t="s">
        <v>133</v>
      </c>
      <c r="E118" s="7" t="s">
        <v>278</v>
      </c>
      <c r="F118" s="8" t="n">
        <v>984</v>
      </c>
      <c r="G118" s="8" t="n">
        <v>0</v>
      </c>
      <c r="H118" s="30" t="n">
        <f aca="false">IFERROR(G118*1000/F118,0)</f>
        <v>0</v>
      </c>
      <c r="I118" s="8" t="n">
        <v>8</v>
      </c>
      <c r="J118" s="9" t="n">
        <f aca="false">IFERROR(I118*100/F118,0)</f>
        <v>0.813008130081301</v>
      </c>
      <c r="K118" s="8" t="n">
        <v>0</v>
      </c>
      <c r="L118" s="10" t="n">
        <v>28.3</v>
      </c>
      <c r="M118" s="8" t="n">
        <v>95</v>
      </c>
      <c r="N118" s="29" t="n">
        <v>2.10526315789474</v>
      </c>
    </row>
    <row r="119" customFormat="false" ht="15" hidden="false" customHeight="false" outlineLevel="0" collapsed="false">
      <c r="A119" s="6" t="s">
        <v>21</v>
      </c>
      <c r="B119" s="6" t="s">
        <v>132</v>
      </c>
      <c r="C119" s="6" t="s">
        <v>142</v>
      </c>
      <c r="D119" s="6" t="s">
        <v>130</v>
      </c>
      <c r="E119" s="7" t="s">
        <v>279</v>
      </c>
      <c r="F119" s="8" t="n">
        <v>975</v>
      </c>
      <c r="G119" s="8" t="n">
        <v>0</v>
      </c>
      <c r="H119" s="30" t="n">
        <f aca="false">IFERROR(G119*1000/F119,0)</f>
        <v>0</v>
      </c>
      <c r="I119" s="8" t="n">
        <v>10</v>
      </c>
      <c r="J119" s="9" t="n">
        <f aca="false">IFERROR(I119*100/F119,0)</f>
        <v>1.02564102564103</v>
      </c>
      <c r="K119" s="8" t="n">
        <v>0</v>
      </c>
      <c r="L119" s="10" t="n">
        <v>40.2</v>
      </c>
      <c r="M119" s="8" t="n">
        <v>36</v>
      </c>
      <c r="N119" s="29" t="n">
        <v>0</v>
      </c>
    </row>
    <row r="120" customFormat="false" ht="15" hidden="false" customHeight="false" outlineLevel="0" collapsed="false">
      <c r="A120" s="6" t="s">
        <v>27</v>
      </c>
      <c r="B120" s="6" t="s">
        <v>166</v>
      </c>
      <c r="C120" s="6" t="s">
        <v>199</v>
      </c>
      <c r="D120" s="6" t="s">
        <v>133</v>
      </c>
      <c r="E120" s="6" t="s">
        <v>280</v>
      </c>
      <c r="F120" s="8" t="n">
        <v>970</v>
      </c>
      <c r="G120" s="8" t="n">
        <v>0</v>
      </c>
      <c r="H120" s="30" t="n">
        <f aca="false">IFERROR(G120*1000/F120,0)</f>
        <v>0</v>
      </c>
      <c r="I120" s="8" t="n">
        <v>1</v>
      </c>
      <c r="J120" s="9" t="n">
        <f aca="false">IFERROR(I120*100/F120,0)</f>
        <v>0.103092783505155</v>
      </c>
      <c r="K120" s="8" t="n">
        <v>0</v>
      </c>
      <c r="L120" s="10" t="n">
        <v>72.7</v>
      </c>
      <c r="M120" s="8" t="n">
        <v>91</v>
      </c>
      <c r="N120" s="29" t="n">
        <v>2.1978021978022</v>
      </c>
    </row>
    <row r="121" customFormat="false" ht="15" hidden="false" customHeight="false" outlineLevel="0" collapsed="false">
      <c r="A121" s="6" t="s">
        <v>31</v>
      </c>
      <c r="B121" s="6" t="s">
        <v>164</v>
      </c>
      <c r="C121" s="6" t="s">
        <v>129</v>
      </c>
      <c r="D121" s="6" t="s">
        <v>130</v>
      </c>
      <c r="E121" s="7" t="s">
        <v>281</v>
      </c>
      <c r="F121" s="8" t="n">
        <v>968</v>
      </c>
      <c r="G121" s="8" t="n">
        <v>0</v>
      </c>
      <c r="H121" s="30" t="n">
        <f aca="false">IFERROR(G121*1000/F121,0)</f>
        <v>0</v>
      </c>
      <c r="I121" s="8" t="n">
        <v>5</v>
      </c>
      <c r="J121" s="9" t="n">
        <f aca="false">IFERROR(I121*100/F121,0)</f>
        <v>0.516528925619835</v>
      </c>
      <c r="K121" s="8" t="n">
        <v>0</v>
      </c>
      <c r="L121" s="10" t="n">
        <v>30.2</v>
      </c>
      <c r="M121" s="8" t="n">
        <v>53</v>
      </c>
      <c r="N121" s="29" t="n">
        <v>0</v>
      </c>
    </row>
    <row r="122" customFormat="false" ht="15" hidden="false" customHeight="false" outlineLevel="0" collapsed="false">
      <c r="A122" s="6" t="s">
        <v>31</v>
      </c>
      <c r="B122" s="6" t="s">
        <v>164</v>
      </c>
      <c r="C122" s="6" t="s">
        <v>213</v>
      </c>
      <c r="D122" s="6" t="s">
        <v>130</v>
      </c>
      <c r="E122" s="6" t="s">
        <v>282</v>
      </c>
      <c r="F122" s="8" t="n">
        <v>968</v>
      </c>
      <c r="G122" s="8" t="n">
        <v>0</v>
      </c>
      <c r="H122" s="30" t="n">
        <f aca="false">IFERROR(G122*1000/F122,0)</f>
        <v>0</v>
      </c>
      <c r="I122" s="8" t="n">
        <v>5</v>
      </c>
      <c r="J122" s="9" t="n">
        <f aca="false">IFERROR(I122*100/F122,0)</f>
        <v>0.516528925619835</v>
      </c>
      <c r="K122" s="8" t="n">
        <v>0</v>
      </c>
      <c r="L122" s="10" t="n">
        <v>32.6</v>
      </c>
      <c r="M122" s="8" t="n">
        <v>26</v>
      </c>
      <c r="N122" s="29" t="n">
        <v>0</v>
      </c>
    </row>
    <row r="123" customFormat="false" ht="15" hidden="false" customHeight="false" outlineLevel="0" collapsed="false">
      <c r="A123" s="6" t="s">
        <v>31</v>
      </c>
      <c r="B123" s="6" t="s">
        <v>146</v>
      </c>
      <c r="C123" s="6" t="s">
        <v>154</v>
      </c>
      <c r="D123" s="6" t="s">
        <v>139</v>
      </c>
      <c r="E123" s="7" t="s">
        <v>283</v>
      </c>
      <c r="F123" s="8" t="n">
        <v>963</v>
      </c>
      <c r="G123" s="8" t="n">
        <v>0</v>
      </c>
      <c r="H123" s="30" t="n">
        <f aca="false">IFERROR(G123*1000/F123,0)</f>
        <v>0</v>
      </c>
      <c r="I123" s="8" t="n">
        <v>5</v>
      </c>
      <c r="J123" s="9" t="n">
        <f aca="false">IFERROR(I123*100/F123,0)</f>
        <v>0.519210799584631</v>
      </c>
      <c r="K123" s="8" t="n">
        <v>0</v>
      </c>
      <c r="L123" s="10" t="n">
        <v>34.7</v>
      </c>
      <c r="M123" s="8" t="n">
        <v>76</v>
      </c>
      <c r="N123" s="29" t="n">
        <v>1.31578947368421</v>
      </c>
    </row>
    <row r="124" customFormat="false" ht="15" hidden="false" customHeight="false" outlineLevel="0" collapsed="false">
      <c r="A124" s="6" t="s">
        <v>23</v>
      </c>
      <c r="B124" s="6" t="s">
        <v>164</v>
      </c>
      <c r="C124" s="6" t="s">
        <v>213</v>
      </c>
      <c r="D124" s="6" t="s">
        <v>133</v>
      </c>
      <c r="E124" s="7" t="s">
        <v>284</v>
      </c>
      <c r="F124" s="8" t="n">
        <v>962</v>
      </c>
      <c r="G124" s="8" t="n">
        <v>0</v>
      </c>
      <c r="H124" s="30" t="n">
        <f aca="false">IFERROR(G124*1000/F124,0)</f>
        <v>0</v>
      </c>
      <c r="I124" s="8" t="n">
        <v>5</v>
      </c>
      <c r="J124" s="9" t="n">
        <f aca="false">IFERROR(I124*100/F124,0)</f>
        <v>0.51975051975052</v>
      </c>
      <c r="K124" s="8" t="n">
        <v>0</v>
      </c>
      <c r="L124" s="10" t="n">
        <v>26.7</v>
      </c>
      <c r="M124" s="8" t="n">
        <v>1109</v>
      </c>
      <c r="N124" s="29" t="n">
        <v>0.450856627592426</v>
      </c>
    </row>
    <row r="125" customFormat="false" ht="15" hidden="false" customHeight="false" outlineLevel="0" collapsed="false">
      <c r="A125" s="6" t="s">
        <v>31</v>
      </c>
      <c r="B125" s="6" t="s">
        <v>176</v>
      </c>
      <c r="C125" s="6" t="s">
        <v>154</v>
      </c>
      <c r="D125" s="6" t="s">
        <v>133</v>
      </c>
      <c r="E125" s="7" t="s">
        <v>285</v>
      </c>
      <c r="F125" s="8" t="n">
        <v>958</v>
      </c>
      <c r="G125" s="8" t="n">
        <v>0</v>
      </c>
      <c r="H125" s="30" t="n">
        <f aca="false">IFERROR(G125*1000/F125,0)</f>
        <v>0</v>
      </c>
      <c r="I125" s="8" t="n">
        <v>3</v>
      </c>
      <c r="J125" s="9" t="n">
        <f aca="false">IFERROR(I125*100/F125,0)</f>
        <v>0.313152400835073</v>
      </c>
      <c r="K125" s="8" t="n">
        <v>0</v>
      </c>
      <c r="L125" s="10" t="n">
        <v>144.8</v>
      </c>
      <c r="M125" s="8" t="n">
        <v>62</v>
      </c>
      <c r="N125" s="29" t="n">
        <v>0</v>
      </c>
    </row>
    <row r="126" customFormat="false" ht="15" hidden="false" customHeight="false" outlineLevel="0" collapsed="false">
      <c r="A126" s="6" t="s">
        <v>21</v>
      </c>
      <c r="B126" s="6" t="s">
        <v>164</v>
      </c>
      <c r="C126" s="6" t="s">
        <v>228</v>
      </c>
      <c r="D126" s="6" t="s">
        <v>130</v>
      </c>
      <c r="E126" s="6" t="s">
        <v>286</v>
      </c>
      <c r="F126" s="8" t="n">
        <v>955</v>
      </c>
      <c r="G126" s="8" t="n">
        <v>0</v>
      </c>
      <c r="H126" s="30" t="n">
        <f aca="false">IFERROR(G126*1000/F126,0)</f>
        <v>0</v>
      </c>
      <c r="I126" s="8" t="n">
        <v>7</v>
      </c>
      <c r="J126" s="9" t="n">
        <f aca="false">IFERROR(I126*100/F126,0)</f>
        <v>0.732984293193717</v>
      </c>
      <c r="K126" s="8" t="n">
        <v>0</v>
      </c>
      <c r="L126" s="10" t="n">
        <v>30.1</v>
      </c>
      <c r="M126" s="8" t="n">
        <v>30</v>
      </c>
      <c r="N126" s="29" t="n">
        <v>0</v>
      </c>
    </row>
    <row r="127" customFormat="false" ht="15" hidden="false" customHeight="false" outlineLevel="0" collapsed="false">
      <c r="A127" s="6" t="s">
        <v>23</v>
      </c>
      <c r="B127" s="6" t="s">
        <v>150</v>
      </c>
      <c r="C127" s="6" t="s">
        <v>228</v>
      </c>
      <c r="D127" s="6" t="s">
        <v>133</v>
      </c>
      <c r="E127" s="7" t="s">
        <v>287</v>
      </c>
      <c r="F127" s="8" t="n">
        <v>955</v>
      </c>
      <c r="G127" s="8" t="n">
        <v>0</v>
      </c>
      <c r="H127" s="30" t="n">
        <f aca="false">IFERROR(G127*1000/F127,0)</f>
        <v>0</v>
      </c>
      <c r="I127" s="8" t="n">
        <v>4</v>
      </c>
      <c r="J127" s="9" t="n">
        <f aca="false">IFERROR(I127*100/F127,0)</f>
        <v>0.418848167539267</v>
      </c>
      <c r="K127" s="8" t="n">
        <v>0</v>
      </c>
      <c r="L127" s="10" t="n">
        <v>27.4</v>
      </c>
      <c r="M127" s="8" t="n">
        <v>1169</v>
      </c>
      <c r="N127" s="29" t="n">
        <v>0.940975192472198</v>
      </c>
    </row>
    <row r="128" customFormat="false" ht="15" hidden="false" customHeight="false" outlineLevel="0" collapsed="false">
      <c r="A128" s="6" t="s">
        <v>31</v>
      </c>
      <c r="B128" s="6" t="s">
        <v>170</v>
      </c>
      <c r="C128" s="6" t="s">
        <v>288</v>
      </c>
      <c r="D128" s="6" t="s">
        <v>130</v>
      </c>
      <c r="E128" s="7" t="s">
        <v>289</v>
      </c>
      <c r="F128" s="8" t="n">
        <v>954</v>
      </c>
      <c r="G128" s="8" t="n">
        <v>0</v>
      </c>
      <c r="H128" s="30" t="n">
        <f aca="false">IFERROR(G128*1000/F128,0)</f>
        <v>0</v>
      </c>
      <c r="I128" s="8" t="n">
        <v>1</v>
      </c>
      <c r="J128" s="9" t="n">
        <f aca="false">IFERROR(I128*100/F128,0)</f>
        <v>0.10482180293501</v>
      </c>
      <c r="K128" s="8" t="n">
        <v>0</v>
      </c>
      <c r="L128" s="10" t="n">
        <v>69.5</v>
      </c>
      <c r="M128" s="8" t="n">
        <v>4</v>
      </c>
      <c r="N128" s="29" t="n">
        <v>0</v>
      </c>
    </row>
    <row r="129" customFormat="false" ht="15" hidden="false" customHeight="false" outlineLevel="0" collapsed="false">
      <c r="A129" s="6" t="s">
        <v>31</v>
      </c>
      <c r="B129" s="6" t="s">
        <v>164</v>
      </c>
      <c r="C129" s="6" t="s">
        <v>136</v>
      </c>
      <c r="D129" s="6" t="s">
        <v>133</v>
      </c>
      <c r="E129" s="7" t="s">
        <v>290</v>
      </c>
      <c r="F129" s="8" t="n">
        <v>951</v>
      </c>
      <c r="G129" s="8" t="n">
        <v>0</v>
      </c>
      <c r="H129" s="30" t="n">
        <f aca="false">IFERROR(G129*1000/F129,0)</f>
        <v>0</v>
      </c>
      <c r="I129" s="8" t="n">
        <v>3</v>
      </c>
      <c r="J129" s="9" t="n">
        <f aca="false">IFERROR(I129*100/F129,0)</f>
        <v>0.315457413249211</v>
      </c>
      <c r="K129" s="8" t="n">
        <v>0</v>
      </c>
      <c r="L129" s="10" t="n">
        <v>36.4</v>
      </c>
      <c r="M129" s="8" t="n">
        <v>32</v>
      </c>
      <c r="N129" s="29" t="n">
        <v>0</v>
      </c>
    </row>
    <row r="130" customFormat="false" ht="15" hidden="false" customHeight="false" outlineLevel="0" collapsed="false">
      <c r="A130" s="6" t="s">
        <v>31</v>
      </c>
      <c r="B130" s="6" t="s">
        <v>144</v>
      </c>
      <c r="C130" s="6" t="s">
        <v>154</v>
      </c>
      <c r="D130" s="6" t="s">
        <v>130</v>
      </c>
      <c r="E130" s="7" t="s">
        <v>291</v>
      </c>
      <c r="F130" s="8" t="n">
        <v>948</v>
      </c>
      <c r="G130" s="8" t="n">
        <v>0</v>
      </c>
      <c r="H130" s="30" t="n">
        <f aca="false">IFERROR(G130*1000/F130,0)</f>
        <v>0</v>
      </c>
      <c r="I130" s="8" t="n">
        <v>2</v>
      </c>
      <c r="J130" s="9" t="n">
        <f aca="false">IFERROR(I130*100/F130,0)</f>
        <v>0.210970464135021</v>
      </c>
      <c r="K130" s="8" t="n">
        <v>0</v>
      </c>
      <c r="L130" s="10" t="n">
        <v>32.2</v>
      </c>
      <c r="M130" s="8" t="n">
        <v>21</v>
      </c>
      <c r="N130" s="29" t="n">
        <v>0</v>
      </c>
    </row>
    <row r="131" customFormat="false" ht="15" hidden="false" customHeight="false" outlineLevel="0" collapsed="false">
      <c r="A131" s="6" t="s">
        <v>21</v>
      </c>
      <c r="B131" s="6" t="s">
        <v>146</v>
      </c>
      <c r="C131" s="6" t="s">
        <v>136</v>
      </c>
      <c r="D131" s="6" t="s">
        <v>130</v>
      </c>
      <c r="E131" s="6" t="s">
        <v>292</v>
      </c>
      <c r="F131" s="8" t="n">
        <v>944</v>
      </c>
      <c r="G131" s="8" t="n">
        <v>0</v>
      </c>
      <c r="H131" s="30" t="n">
        <f aca="false">IFERROR(G131*1000/F131,0)</f>
        <v>0</v>
      </c>
      <c r="I131" s="8" t="n">
        <v>7</v>
      </c>
      <c r="J131" s="9" t="n">
        <f aca="false">IFERROR(I131*100/F131,0)</f>
        <v>0.741525423728814</v>
      </c>
      <c r="K131" s="8" t="n">
        <v>0</v>
      </c>
      <c r="L131" s="10" t="n">
        <v>41.7</v>
      </c>
      <c r="M131" s="8" t="n">
        <v>17</v>
      </c>
      <c r="N131" s="29" t="n">
        <v>0</v>
      </c>
    </row>
    <row r="132" customFormat="false" ht="15" hidden="false" customHeight="false" outlineLevel="0" collapsed="false">
      <c r="A132" s="6" t="s">
        <v>23</v>
      </c>
      <c r="B132" s="6" t="s">
        <v>187</v>
      </c>
      <c r="C132" s="6" t="s">
        <v>129</v>
      </c>
      <c r="D132" s="6" t="s">
        <v>130</v>
      </c>
      <c r="E132" s="7" t="s">
        <v>293</v>
      </c>
      <c r="F132" s="8" t="n">
        <v>942</v>
      </c>
      <c r="G132" s="8" t="n">
        <v>0</v>
      </c>
      <c r="H132" s="30" t="n">
        <f aca="false">IFERROR(G132*1000/F132,0)</f>
        <v>0</v>
      </c>
      <c r="I132" s="8" t="n">
        <v>0</v>
      </c>
      <c r="J132" s="9" t="n">
        <f aca="false">IFERROR(I132*100/F132,0)</f>
        <v>0</v>
      </c>
      <c r="K132" s="8" t="n">
        <v>0</v>
      </c>
      <c r="L132" s="10" t="n">
        <v>32.8</v>
      </c>
      <c r="M132" s="8" t="n">
        <v>113</v>
      </c>
      <c r="N132" s="29" t="n">
        <v>3.53982300884956</v>
      </c>
    </row>
    <row r="133" customFormat="false" ht="15" hidden="false" customHeight="false" outlineLevel="0" collapsed="false">
      <c r="A133" s="6" t="s">
        <v>29</v>
      </c>
      <c r="B133" s="6" t="s">
        <v>156</v>
      </c>
      <c r="C133" s="6" t="s">
        <v>136</v>
      </c>
      <c r="D133" s="6" t="s">
        <v>133</v>
      </c>
      <c r="E133" s="7" t="s">
        <v>294</v>
      </c>
      <c r="F133" s="8" t="n">
        <v>935</v>
      </c>
      <c r="G133" s="8" t="n">
        <v>0</v>
      </c>
      <c r="H133" s="30" t="n">
        <f aca="false">IFERROR(G133*1000/F133,0)</f>
        <v>0</v>
      </c>
      <c r="I133" s="8" t="n">
        <v>0</v>
      </c>
      <c r="J133" s="9" t="n">
        <f aca="false">IFERROR(I133*100/F133,0)</f>
        <v>0</v>
      </c>
      <c r="K133" s="8" t="n">
        <v>0</v>
      </c>
      <c r="L133" s="10" t="n">
        <v>55.9</v>
      </c>
      <c r="M133" s="8" t="n">
        <v>26</v>
      </c>
      <c r="N133" s="29" t="n">
        <v>0</v>
      </c>
    </row>
    <row r="134" customFormat="false" ht="15" hidden="false" customHeight="false" outlineLevel="0" collapsed="false">
      <c r="A134" s="6" t="s">
        <v>29</v>
      </c>
      <c r="B134" s="6" t="s">
        <v>150</v>
      </c>
      <c r="C134" s="6" t="s">
        <v>136</v>
      </c>
      <c r="D134" s="6" t="s">
        <v>130</v>
      </c>
      <c r="E134" s="6" t="s">
        <v>295</v>
      </c>
      <c r="F134" s="8" t="n">
        <v>934</v>
      </c>
      <c r="G134" s="8" t="n">
        <v>0</v>
      </c>
      <c r="H134" s="30" t="n">
        <f aca="false">IFERROR(G134*1000/F134,0)</f>
        <v>0</v>
      </c>
      <c r="I134" s="8" t="n">
        <v>3</v>
      </c>
      <c r="J134" s="9" t="n">
        <f aca="false">IFERROR(I134*100/F134,0)</f>
        <v>0.321199143468951</v>
      </c>
      <c r="K134" s="8" t="n">
        <v>0</v>
      </c>
      <c r="L134" s="10" t="n">
        <v>39.4</v>
      </c>
      <c r="M134" s="8" t="n">
        <v>45</v>
      </c>
      <c r="N134" s="29" t="n">
        <v>0</v>
      </c>
    </row>
    <row r="135" customFormat="false" ht="15" hidden="false" customHeight="false" outlineLevel="0" collapsed="false">
      <c r="A135" s="6" t="s">
        <v>31</v>
      </c>
      <c r="B135" s="6" t="s">
        <v>150</v>
      </c>
      <c r="C135" s="6" t="s">
        <v>154</v>
      </c>
      <c r="D135" s="6" t="s">
        <v>133</v>
      </c>
      <c r="E135" s="7" t="s">
        <v>296</v>
      </c>
      <c r="F135" s="8" t="n">
        <v>928</v>
      </c>
      <c r="G135" s="8" t="n">
        <v>0</v>
      </c>
      <c r="H135" s="30" t="n">
        <f aca="false">IFERROR(G135*1000/F135,0)</f>
        <v>0</v>
      </c>
      <c r="I135" s="8" t="n">
        <v>4</v>
      </c>
      <c r="J135" s="9" t="n">
        <f aca="false">IFERROR(I135*100/F135,0)</f>
        <v>0.431034482758621</v>
      </c>
      <c r="K135" s="8" t="n">
        <v>0</v>
      </c>
      <c r="L135" s="10" t="n">
        <v>30.7</v>
      </c>
      <c r="M135" s="8" t="n">
        <v>53</v>
      </c>
      <c r="N135" s="29" t="n">
        <v>0</v>
      </c>
    </row>
    <row r="136" customFormat="false" ht="15" hidden="false" customHeight="false" outlineLevel="0" collapsed="false">
      <c r="A136" s="6" t="s">
        <v>21</v>
      </c>
      <c r="B136" s="6" t="s">
        <v>166</v>
      </c>
      <c r="C136" s="6" t="s">
        <v>136</v>
      </c>
      <c r="D136" s="6" t="s">
        <v>148</v>
      </c>
      <c r="E136" s="7" t="s">
        <v>297</v>
      </c>
      <c r="F136" s="8" t="n">
        <v>927</v>
      </c>
      <c r="G136" s="8" t="n">
        <v>0</v>
      </c>
      <c r="H136" s="30" t="n">
        <f aca="false">IFERROR(G136*1000/F136,0)</f>
        <v>0</v>
      </c>
      <c r="I136" s="8" t="n">
        <v>5</v>
      </c>
      <c r="J136" s="9" t="n">
        <f aca="false">IFERROR(I136*100/F136,0)</f>
        <v>0.539374325782093</v>
      </c>
      <c r="K136" s="8" t="n">
        <v>0</v>
      </c>
      <c r="L136" s="10" t="n">
        <v>51.5</v>
      </c>
      <c r="M136" s="8" t="n">
        <v>46</v>
      </c>
      <c r="N136" s="29" t="n">
        <v>0</v>
      </c>
    </row>
    <row r="137" customFormat="false" ht="15" hidden="false" customHeight="false" outlineLevel="0" collapsed="false">
      <c r="A137" s="6" t="s">
        <v>29</v>
      </c>
      <c r="B137" s="6" t="s">
        <v>146</v>
      </c>
      <c r="C137" s="6" t="s">
        <v>136</v>
      </c>
      <c r="D137" s="6" t="s">
        <v>130</v>
      </c>
      <c r="E137" s="6" t="s">
        <v>298</v>
      </c>
      <c r="F137" s="8" t="n">
        <v>921</v>
      </c>
      <c r="G137" s="8" t="n">
        <v>0</v>
      </c>
      <c r="H137" s="30" t="n">
        <f aca="false">IFERROR(G137*1000/F137,0)</f>
        <v>0</v>
      </c>
      <c r="I137" s="8" t="n">
        <v>1</v>
      </c>
      <c r="J137" s="9" t="n">
        <f aca="false">IFERROR(I137*100/F137,0)</f>
        <v>0.1085776330076</v>
      </c>
      <c r="K137" s="8" t="n">
        <v>0</v>
      </c>
      <c r="L137" s="10" t="n">
        <v>25</v>
      </c>
      <c r="M137" s="8" t="n">
        <v>40</v>
      </c>
      <c r="N137" s="29" t="n">
        <v>0</v>
      </c>
    </row>
    <row r="138" customFormat="false" ht="15" hidden="false" customHeight="false" outlineLevel="0" collapsed="false">
      <c r="A138" s="6" t="s">
        <v>23</v>
      </c>
      <c r="B138" s="6" t="s">
        <v>156</v>
      </c>
      <c r="C138" s="6" t="s">
        <v>136</v>
      </c>
      <c r="D138" s="6" t="s">
        <v>133</v>
      </c>
      <c r="E138" s="6" t="s">
        <v>299</v>
      </c>
      <c r="F138" s="8" t="n">
        <v>918</v>
      </c>
      <c r="G138" s="8" t="n">
        <v>0</v>
      </c>
      <c r="H138" s="30" t="n">
        <f aca="false">IFERROR(G138*1000/F138,0)</f>
        <v>0</v>
      </c>
      <c r="I138" s="8" t="n">
        <v>5</v>
      </c>
      <c r="J138" s="9" t="n">
        <f aca="false">IFERROR(I138*100/F138,0)</f>
        <v>0.544662309368192</v>
      </c>
      <c r="K138" s="8" t="n">
        <v>0</v>
      </c>
      <c r="L138" s="10" t="n">
        <v>39.5</v>
      </c>
      <c r="M138" s="8" t="n">
        <v>576</v>
      </c>
      <c r="N138" s="29" t="n">
        <v>0.868055555555556</v>
      </c>
    </row>
    <row r="139" customFormat="false" ht="15" hidden="false" customHeight="false" outlineLevel="0" collapsed="false">
      <c r="A139" s="6" t="s">
        <v>21</v>
      </c>
      <c r="B139" s="6" t="s">
        <v>166</v>
      </c>
      <c r="C139" s="6" t="s">
        <v>142</v>
      </c>
      <c r="D139" s="6" t="s">
        <v>133</v>
      </c>
      <c r="E139" s="7" t="s">
        <v>300</v>
      </c>
      <c r="F139" s="8" t="n">
        <v>910</v>
      </c>
      <c r="G139" s="8" t="n">
        <v>0</v>
      </c>
      <c r="H139" s="30" t="n">
        <f aca="false">IFERROR(G139*1000/F139,0)</f>
        <v>0</v>
      </c>
      <c r="I139" s="8" t="n">
        <v>7</v>
      </c>
      <c r="J139" s="9" t="n">
        <f aca="false">IFERROR(I139*100/F139,0)</f>
        <v>0.769230769230769</v>
      </c>
      <c r="K139" s="8" t="n">
        <v>1</v>
      </c>
      <c r="L139" s="10" t="n">
        <v>109.7</v>
      </c>
      <c r="M139" s="8" t="n">
        <v>50</v>
      </c>
      <c r="N139" s="29" t="n">
        <v>0</v>
      </c>
    </row>
    <row r="140" customFormat="false" ht="15" hidden="false" customHeight="false" outlineLevel="0" collapsed="false">
      <c r="A140" s="6" t="s">
        <v>23</v>
      </c>
      <c r="B140" s="6" t="s">
        <v>166</v>
      </c>
      <c r="C140" s="6" t="s">
        <v>168</v>
      </c>
      <c r="D140" s="6" t="s">
        <v>130</v>
      </c>
      <c r="E140" s="7" t="s">
        <v>301</v>
      </c>
      <c r="F140" s="8" t="n">
        <v>908</v>
      </c>
      <c r="G140" s="8" t="n">
        <v>0</v>
      </c>
      <c r="H140" s="30" t="n">
        <f aca="false">IFERROR(G140*1000/F140,0)</f>
        <v>0</v>
      </c>
      <c r="I140" s="8" t="n">
        <v>3</v>
      </c>
      <c r="J140" s="9" t="n">
        <f aca="false">IFERROR(I140*100/F140,0)</f>
        <v>0.330396475770925</v>
      </c>
      <c r="K140" s="8" t="n">
        <v>0</v>
      </c>
      <c r="L140" s="10" t="n">
        <v>42.1</v>
      </c>
      <c r="M140" s="8" t="n">
        <v>137</v>
      </c>
      <c r="N140" s="29" t="n">
        <v>2.91970802919708</v>
      </c>
    </row>
    <row r="141" customFormat="false" ht="15" hidden="false" customHeight="false" outlineLevel="0" collapsed="false">
      <c r="A141" s="6" t="s">
        <v>31</v>
      </c>
      <c r="B141" s="6" t="s">
        <v>141</v>
      </c>
      <c r="C141" s="6" t="s">
        <v>154</v>
      </c>
      <c r="D141" s="6" t="s">
        <v>148</v>
      </c>
      <c r="E141" s="7" t="s">
        <v>302</v>
      </c>
      <c r="F141" s="8" t="n">
        <v>906</v>
      </c>
      <c r="G141" s="8" t="n">
        <v>0</v>
      </c>
      <c r="H141" s="30" t="n">
        <f aca="false">IFERROR(G141*1000/F141,0)</f>
        <v>0</v>
      </c>
      <c r="I141" s="8" t="n">
        <v>2</v>
      </c>
      <c r="J141" s="9" t="n">
        <f aca="false">IFERROR(I141*100/F141,0)</f>
        <v>0.22075055187638</v>
      </c>
      <c r="K141" s="8" t="n">
        <v>0</v>
      </c>
      <c r="L141" s="10" t="n">
        <v>27.2</v>
      </c>
      <c r="M141" s="8" t="n">
        <v>36</v>
      </c>
      <c r="N141" s="29" t="n">
        <v>0</v>
      </c>
    </row>
    <row r="142" customFormat="false" ht="15" hidden="false" customHeight="false" outlineLevel="0" collapsed="false">
      <c r="A142" s="6" t="s">
        <v>23</v>
      </c>
      <c r="B142" s="6" t="s">
        <v>132</v>
      </c>
      <c r="C142" s="6" t="s">
        <v>168</v>
      </c>
      <c r="D142" s="6" t="s">
        <v>130</v>
      </c>
      <c r="E142" s="6" t="s">
        <v>303</v>
      </c>
      <c r="F142" s="8" t="n">
        <v>902</v>
      </c>
      <c r="G142" s="8" t="n">
        <v>0</v>
      </c>
      <c r="H142" s="30" t="n">
        <f aca="false">IFERROR(G142*1000/F142,0)</f>
        <v>0</v>
      </c>
      <c r="I142" s="8" t="n">
        <v>2</v>
      </c>
      <c r="J142" s="9" t="n">
        <f aca="false">IFERROR(I142*100/F142,0)</f>
        <v>0.221729490022173</v>
      </c>
      <c r="K142" s="8" t="n">
        <v>0</v>
      </c>
      <c r="L142" s="10" t="n">
        <v>43.3</v>
      </c>
      <c r="M142" s="8" t="n">
        <v>109</v>
      </c>
      <c r="N142" s="29" t="n">
        <v>1.8348623853211</v>
      </c>
    </row>
    <row r="143" customFormat="false" ht="15" hidden="false" customHeight="false" outlineLevel="0" collapsed="false">
      <c r="A143" s="6" t="s">
        <v>29</v>
      </c>
      <c r="B143" s="6" t="s">
        <v>135</v>
      </c>
      <c r="C143" s="6" t="s">
        <v>136</v>
      </c>
      <c r="D143" s="6" t="s">
        <v>130</v>
      </c>
      <c r="E143" s="7" t="s">
        <v>304</v>
      </c>
      <c r="F143" s="8" t="n">
        <v>884</v>
      </c>
      <c r="G143" s="8" t="n">
        <v>0</v>
      </c>
      <c r="H143" s="30" t="n">
        <f aca="false">IFERROR(G143*1000/F143,0)</f>
        <v>0</v>
      </c>
      <c r="I143" s="8" t="n">
        <v>4</v>
      </c>
      <c r="J143" s="9" t="n">
        <f aca="false">IFERROR(I143*100/F143,0)</f>
        <v>0.452488687782805</v>
      </c>
      <c r="K143" s="8" t="n">
        <v>0</v>
      </c>
      <c r="L143" s="10" t="n">
        <v>46.1</v>
      </c>
      <c r="M143" s="8" t="n">
        <v>70</v>
      </c>
      <c r="N143" s="29" t="n">
        <v>0</v>
      </c>
    </row>
    <row r="144" customFormat="false" ht="15" hidden="false" customHeight="false" outlineLevel="0" collapsed="false">
      <c r="A144" s="6" t="s">
        <v>31</v>
      </c>
      <c r="B144" s="6" t="s">
        <v>150</v>
      </c>
      <c r="C144" s="6" t="s">
        <v>228</v>
      </c>
      <c r="D144" s="6" t="s">
        <v>133</v>
      </c>
      <c r="E144" s="7" t="s">
        <v>305</v>
      </c>
      <c r="F144" s="8" t="n">
        <v>882</v>
      </c>
      <c r="G144" s="8" t="n">
        <v>0</v>
      </c>
      <c r="H144" s="30" t="n">
        <f aca="false">IFERROR(G144*1000/F144,0)</f>
        <v>0</v>
      </c>
      <c r="I144" s="8" t="n">
        <v>1</v>
      </c>
      <c r="J144" s="9" t="n">
        <f aca="false">IFERROR(I144*100/F144,0)</f>
        <v>0.113378684807256</v>
      </c>
      <c r="K144" s="8" t="n">
        <v>0</v>
      </c>
      <c r="L144" s="10" t="n">
        <v>35.7</v>
      </c>
      <c r="M144" s="8" t="n">
        <v>36</v>
      </c>
      <c r="N144" s="29" t="n">
        <v>0</v>
      </c>
    </row>
    <row r="145" customFormat="false" ht="15" hidden="false" customHeight="false" outlineLevel="0" collapsed="false">
      <c r="A145" s="6" t="s">
        <v>21</v>
      </c>
      <c r="B145" s="6" t="s">
        <v>144</v>
      </c>
      <c r="C145" s="6" t="s">
        <v>136</v>
      </c>
      <c r="D145" s="6" t="s">
        <v>133</v>
      </c>
      <c r="E145" s="7" t="s">
        <v>306</v>
      </c>
      <c r="F145" s="8" t="n">
        <v>879</v>
      </c>
      <c r="G145" s="8" t="n">
        <v>0</v>
      </c>
      <c r="H145" s="30" t="n">
        <f aca="false">IFERROR(G145*1000/F145,0)</f>
        <v>0</v>
      </c>
      <c r="I145" s="8" t="n">
        <v>5</v>
      </c>
      <c r="J145" s="9" t="n">
        <f aca="false">IFERROR(I145*100/F145,0)</f>
        <v>0.568828213879408</v>
      </c>
      <c r="K145" s="8" t="n">
        <v>0</v>
      </c>
      <c r="L145" s="10" t="n">
        <v>58.8</v>
      </c>
      <c r="M145" s="8" t="n">
        <v>53</v>
      </c>
      <c r="N145" s="29" t="n">
        <v>0</v>
      </c>
    </row>
    <row r="146" customFormat="false" ht="15" hidden="false" customHeight="false" outlineLevel="0" collapsed="false">
      <c r="A146" s="6" t="s">
        <v>25</v>
      </c>
      <c r="B146" s="6" t="s">
        <v>166</v>
      </c>
      <c r="C146" s="6" t="s">
        <v>136</v>
      </c>
      <c r="D146" s="6" t="s">
        <v>148</v>
      </c>
      <c r="E146" s="7" t="s">
        <v>307</v>
      </c>
      <c r="F146" s="8" t="n">
        <v>867</v>
      </c>
      <c r="G146" s="8" t="n">
        <v>0</v>
      </c>
      <c r="H146" s="30" t="n">
        <f aca="false">IFERROR(G146*1000/F146,0)</f>
        <v>0</v>
      </c>
      <c r="I146" s="8" t="n">
        <v>6</v>
      </c>
      <c r="J146" s="9" t="n">
        <f aca="false">IFERROR(I146*100/F146,0)</f>
        <v>0.692041522491349</v>
      </c>
      <c r="K146" s="8" t="n">
        <v>0</v>
      </c>
      <c r="L146" s="10" t="n">
        <v>153.8</v>
      </c>
      <c r="M146" s="8" t="n">
        <v>78</v>
      </c>
      <c r="N146" s="29" t="n">
        <v>0</v>
      </c>
    </row>
    <row r="147" customFormat="false" ht="15" hidden="false" customHeight="false" outlineLevel="0" collapsed="false">
      <c r="A147" s="6" t="s">
        <v>29</v>
      </c>
      <c r="B147" s="6" t="s">
        <v>176</v>
      </c>
      <c r="C147" s="6" t="s">
        <v>136</v>
      </c>
      <c r="D147" s="6" t="s">
        <v>130</v>
      </c>
      <c r="E147" s="6" t="s">
        <v>308</v>
      </c>
      <c r="F147" s="8" t="n">
        <v>866</v>
      </c>
      <c r="G147" s="8" t="n">
        <v>0</v>
      </c>
      <c r="H147" s="30" t="n">
        <f aca="false">IFERROR(G147*1000/F147,0)</f>
        <v>0</v>
      </c>
      <c r="I147" s="8" t="n">
        <v>3</v>
      </c>
      <c r="J147" s="9" t="n">
        <f aca="false">IFERROR(I147*100/F147,0)</f>
        <v>0.346420323325635</v>
      </c>
      <c r="K147" s="8" t="n">
        <v>1</v>
      </c>
      <c r="L147" s="10" t="n">
        <v>41.9</v>
      </c>
      <c r="M147" s="8" t="n">
        <v>69</v>
      </c>
      <c r="N147" s="29" t="n">
        <v>0</v>
      </c>
    </row>
    <row r="148" customFormat="false" ht="15" hidden="false" customHeight="false" outlineLevel="0" collapsed="false">
      <c r="A148" s="6" t="s">
        <v>31</v>
      </c>
      <c r="B148" s="6" t="s">
        <v>187</v>
      </c>
      <c r="C148" s="6" t="s">
        <v>154</v>
      </c>
      <c r="D148" s="6" t="s">
        <v>133</v>
      </c>
      <c r="E148" s="7" t="s">
        <v>309</v>
      </c>
      <c r="F148" s="8" t="n">
        <v>856</v>
      </c>
      <c r="G148" s="8" t="n">
        <v>0</v>
      </c>
      <c r="H148" s="30" t="n">
        <f aca="false">IFERROR(G148*1000/F148,0)</f>
        <v>0</v>
      </c>
      <c r="I148" s="8" t="n">
        <v>2</v>
      </c>
      <c r="J148" s="9" t="n">
        <f aca="false">IFERROR(I148*100/F148,0)</f>
        <v>0.233644859813084</v>
      </c>
      <c r="K148" s="8" t="n">
        <v>0</v>
      </c>
      <c r="L148" s="10" t="n">
        <v>39.1</v>
      </c>
      <c r="M148" s="8" t="n">
        <v>26</v>
      </c>
      <c r="N148" s="29" t="n">
        <v>0</v>
      </c>
    </row>
    <row r="149" customFormat="false" ht="15" hidden="false" customHeight="false" outlineLevel="0" collapsed="false">
      <c r="A149" s="6" t="s">
        <v>21</v>
      </c>
      <c r="B149" s="6" t="s">
        <v>141</v>
      </c>
      <c r="C149" s="6" t="s">
        <v>154</v>
      </c>
      <c r="D149" s="6" t="s">
        <v>130</v>
      </c>
      <c r="E149" s="6" t="s">
        <v>310</v>
      </c>
      <c r="F149" s="8" t="n">
        <v>846</v>
      </c>
      <c r="G149" s="8" t="n">
        <v>0</v>
      </c>
      <c r="H149" s="30" t="n">
        <f aca="false">IFERROR(G149*1000/F149,0)</f>
        <v>0</v>
      </c>
      <c r="I149" s="8" t="n">
        <v>6</v>
      </c>
      <c r="J149" s="9" t="n">
        <f aca="false">IFERROR(I149*100/F149,0)</f>
        <v>0.709219858156028</v>
      </c>
      <c r="K149" s="8" t="n">
        <v>0</v>
      </c>
      <c r="L149" s="10" t="n">
        <v>35.7</v>
      </c>
      <c r="M149" s="8" t="n">
        <v>63</v>
      </c>
      <c r="N149" s="29" t="n">
        <v>0</v>
      </c>
    </row>
    <row r="150" customFormat="false" ht="15" hidden="false" customHeight="false" outlineLevel="0" collapsed="false">
      <c r="A150" s="6" t="s">
        <v>29</v>
      </c>
      <c r="B150" s="6" t="s">
        <v>187</v>
      </c>
      <c r="C150" s="6" t="s">
        <v>136</v>
      </c>
      <c r="D150" s="6" t="s">
        <v>130</v>
      </c>
      <c r="E150" s="6" t="s">
        <v>311</v>
      </c>
      <c r="F150" s="8" t="n">
        <v>842</v>
      </c>
      <c r="G150" s="8" t="n">
        <v>0</v>
      </c>
      <c r="H150" s="30" t="n">
        <f aca="false">IFERROR(G150*1000/F150,0)</f>
        <v>0</v>
      </c>
      <c r="I150" s="8" t="n">
        <v>3</v>
      </c>
      <c r="J150" s="9" t="n">
        <f aca="false">IFERROR(I150*100/F150,0)</f>
        <v>0.356294536817102</v>
      </c>
      <c r="K150" s="8" t="n">
        <v>0</v>
      </c>
      <c r="L150" s="10" t="n">
        <v>35.1</v>
      </c>
      <c r="M150" s="8" t="n">
        <v>116</v>
      </c>
      <c r="N150" s="29" t="n">
        <v>0.862068965517241</v>
      </c>
    </row>
    <row r="151" customFormat="false" ht="15" hidden="false" customHeight="false" outlineLevel="0" collapsed="false">
      <c r="A151" s="6" t="s">
        <v>31</v>
      </c>
      <c r="B151" s="6" t="s">
        <v>176</v>
      </c>
      <c r="C151" s="6" t="s">
        <v>142</v>
      </c>
      <c r="D151" s="6" t="s">
        <v>133</v>
      </c>
      <c r="E151" s="7" t="s">
        <v>312</v>
      </c>
      <c r="F151" s="8" t="n">
        <v>841</v>
      </c>
      <c r="G151" s="8" t="n">
        <v>0</v>
      </c>
      <c r="H151" s="30" t="n">
        <f aca="false">IFERROR(G151*1000/F151,0)</f>
        <v>0</v>
      </c>
      <c r="I151" s="8" t="n">
        <v>1</v>
      </c>
      <c r="J151" s="9" t="n">
        <f aca="false">IFERROR(I151*100/F151,0)</f>
        <v>0.118906064209275</v>
      </c>
      <c r="K151" s="8" t="n">
        <v>0</v>
      </c>
      <c r="L151" s="10" t="n">
        <v>50.5</v>
      </c>
      <c r="M151" s="8" t="n">
        <v>116</v>
      </c>
      <c r="N151" s="29" t="n">
        <v>0.862068965517241</v>
      </c>
    </row>
    <row r="152" customFormat="false" ht="15" hidden="false" customHeight="false" outlineLevel="0" collapsed="false">
      <c r="A152" s="6" t="s">
        <v>31</v>
      </c>
      <c r="B152" s="6" t="s">
        <v>144</v>
      </c>
      <c r="C152" s="6" t="s">
        <v>142</v>
      </c>
      <c r="D152" s="6" t="s">
        <v>130</v>
      </c>
      <c r="E152" s="7" t="s">
        <v>313</v>
      </c>
      <c r="F152" s="8" t="n">
        <v>826</v>
      </c>
      <c r="G152" s="8" t="n">
        <v>0</v>
      </c>
      <c r="H152" s="30" t="n">
        <f aca="false">IFERROR(G152*1000/F152,0)</f>
        <v>0</v>
      </c>
      <c r="I152" s="8" t="n">
        <v>1</v>
      </c>
      <c r="J152" s="9" t="n">
        <f aca="false">IFERROR(I152*100/F152,0)</f>
        <v>0.121065375302663</v>
      </c>
      <c r="K152" s="8" t="n">
        <v>0</v>
      </c>
      <c r="L152" s="10" t="n">
        <v>42.4</v>
      </c>
      <c r="M152" s="8" t="n">
        <v>23</v>
      </c>
      <c r="N152" s="29" t="n">
        <v>0</v>
      </c>
    </row>
    <row r="153" customFormat="false" ht="15" hidden="false" customHeight="false" outlineLevel="0" collapsed="false">
      <c r="A153" s="6" t="s">
        <v>31</v>
      </c>
      <c r="B153" s="6" t="s">
        <v>138</v>
      </c>
      <c r="C153" s="6" t="s">
        <v>314</v>
      </c>
      <c r="D153" s="6" t="s">
        <v>133</v>
      </c>
      <c r="E153" s="6" t="s">
        <v>315</v>
      </c>
      <c r="F153" s="8" t="n">
        <v>793</v>
      </c>
      <c r="G153" s="8" t="n">
        <v>0</v>
      </c>
      <c r="H153" s="29" t="n">
        <f aca="false">IFERROR(G153*1000/F153,0)</f>
        <v>0</v>
      </c>
      <c r="I153" s="8" t="n">
        <v>1</v>
      </c>
      <c r="J153" s="9" t="n">
        <f aca="false">IFERROR(I153*100/F153,0)</f>
        <v>0.126103404791929</v>
      </c>
      <c r="K153" s="8" t="n">
        <v>0</v>
      </c>
      <c r="L153" s="10" t="n">
        <v>35.1</v>
      </c>
      <c r="M153" s="8" t="n">
        <v>7</v>
      </c>
      <c r="N153" s="29" t="n">
        <v>0</v>
      </c>
    </row>
    <row r="154" customFormat="false" ht="15" hidden="false" customHeight="false" outlineLevel="0" collapsed="false">
      <c r="A154" s="6" t="s">
        <v>23</v>
      </c>
      <c r="B154" s="6" t="s">
        <v>219</v>
      </c>
      <c r="C154" s="6" t="s">
        <v>129</v>
      </c>
      <c r="D154" s="6" t="s">
        <v>133</v>
      </c>
      <c r="E154" s="7" t="s">
        <v>316</v>
      </c>
      <c r="F154" s="8" t="n">
        <v>717</v>
      </c>
      <c r="G154" s="8" t="n">
        <v>0</v>
      </c>
      <c r="H154" s="29" t="n">
        <f aca="false">IFERROR(G154*1000/F154,0)</f>
        <v>0</v>
      </c>
      <c r="I154" s="8" t="n">
        <v>0</v>
      </c>
      <c r="J154" s="9" t="n">
        <f aca="false">IFERROR(I154*100/F154,0)</f>
        <v>0</v>
      </c>
      <c r="K154" s="8" t="n">
        <v>0</v>
      </c>
      <c r="L154" s="10" t="n">
        <v>39.1</v>
      </c>
      <c r="M154" s="8" t="n">
        <v>137</v>
      </c>
      <c r="N154" s="29" t="n">
        <v>0</v>
      </c>
    </row>
    <row r="155" customFormat="false" ht="15" hidden="false" customHeight="false" outlineLevel="0" collapsed="false">
      <c r="A155" s="6" t="s">
        <v>29</v>
      </c>
      <c r="B155" s="6" t="s">
        <v>128</v>
      </c>
      <c r="C155" s="6" t="s">
        <v>142</v>
      </c>
      <c r="D155" s="6" t="s">
        <v>130</v>
      </c>
      <c r="E155" s="6" t="s">
        <v>317</v>
      </c>
      <c r="F155" s="8" t="n">
        <v>712</v>
      </c>
      <c r="G155" s="8" t="n">
        <v>0</v>
      </c>
      <c r="H155" s="29" t="n">
        <f aca="false">IFERROR(G155*1000/F155,0)</f>
        <v>0</v>
      </c>
      <c r="I155" s="8" t="n">
        <v>0</v>
      </c>
      <c r="J155" s="9" t="n">
        <f aca="false">IFERROR(I155*100/F155,0)</f>
        <v>0</v>
      </c>
      <c r="K155" s="8" t="n">
        <v>0</v>
      </c>
      <c r="L155" s="10" t="n">
        <v>25.4</v>
      </c>
      <c r="M155" s="8" t="n">
        <v>95</v>
      </c>
      <c r="N155" s="29" t="n">
        <v>1.05263157894737</v>
      </c>
    </row>
    <row r="156" customFormat="false" ht="15" hidden="false" customHeight="false" outlineLevel="0" collapsed="false">
      <c r="A156" s="6" t="s">
        <v>21</v>
      </c>
      <c r="B156" s="6" t="s">
        <v>144</v>
      </c>
      <c r="C156" s="6" t="s">
        <v>142</v>
      </c>
      <c r="D156" s="6" t="s">
        <v>130</v>
      </c>
      <c r="E156" s="7" t="s">
        <v>318</v>
      </c>
      <c r="F156" s="8" t="n">
        <v>707</v>
      </c>
      <c r="G156" s="8" t="n">
        <v>0</v>
      </c>
      <c r="H156" s="29" t="n">
        <f aca="false">IFERROR(G156*1000/F156,0)</f>
        <v>0</v>
      </c>
      <c r="I156" s="8" t="n">
        <v>3</v>
      </c>
      <c r="J156" s="9" t="n">
        <f aca="false">IFERROR(I156*100/F156,0)</f>
        <v>0.424328147100424</v>
      </c>
      <c r="K156" s="8" t="n">
        <v>0</v>
      </c>
      <c r="L156" s="10" t="n">
        <v>38.5</v>
      </c>
      <c r="M156" s="8" t="n">
        <v>25</v>
      </c>
      <c r="N156" s="29" t="n">
        <v>4</v>
      </c>
    </row>
    <row r="157" customFormat="false" ht="15" hidden="false" customHeight="false" outlineLevel="0" collapsed="false">
      <c r="A157" s="6" t="s">
        <v>31</v>
      </c>
      <c r="B157" s="6" t="s">
        <v>138</v>
      </c>
      <c r="C157" s="6" t="s">
        <v>142</v>
      </c>
      <c r="D157" s="6" t="s">
        <v>130</v>
      </c>
      <c r="E157" s="7" t="s">
        <v>319</v>
      </c>
      <c r="F157" s="8" t="n">
        <v>683</v>
      </c>
      <c r="G157" s="8" t="n">
        <v>0</v>
      </c>
      <c r="H157" s="29" t="n">
        <f aca="false">IFERROR(G157*1000/F157,0)</f>
        <v>0</v>
      </c>
      <c r="I157" s="8" t="n">
        <v>1</v>
      </c>
      <c r="J157" s="9" t="n">
        <f aca="false">IFERROR(I157*100/F157,0)</f>
        <v>0.146412884333821</v>
      </c>
      <c r="K157" s="8" t="n">
        <v>1</v>
      </c>
      <c r="L157" s="10" t="n">
        <v>35.8</v>
      </c>
      <c r="M157" s="8" t="n">
        <v>5</v>
      </c>
      <c r="N157" s="29" t="n">
        <v>0</v>
      </c>
    </row>
    <row r="158" customFormat="false" ht="15" hidden="false" customHeight="false" outlineLevel="0" collapsed="false">
      <c r="A158" s="6" t="s">
        <v>31</v>
      </c>
      <c r="B158" s="6" t="s">
        <v>132</v>
      </c>
      <c r="C158" s="6" t="s">
        <v>189</v>
      </c>
      <c r="D158" s="6" t="s">
        <v>130</v>
      </c>
      <c r="E158" s="7" t="s">
        <v>320</v>
      </c>
      <c r="F158" s="8" t="n">
        <v>665</v>
      </c>
      <c r="G158" s="8" t="n">
        <v>0</v>
      </c>
      <c r="H158" s="29" t="n">
        <f aca="false">IFERROR(G158*1000/F158,0)</f>
        <v>0</v>
      </c>
      <c r="I158" s="8" t="n">
        <v>0</v>
      </c>
      <c r="J158" s="9" t="n">
        <f aca="false">IFERROR(I158*100/F158,0)</f>
        <v>0</v>
      </c>
      <c r="K158" s="8" t="n">
        <v>0</v>
      </c>
      <c r="L158" s="10" t="n">
        <v>40.8</v>
      </c>
      <c r="M158" s="8" t="n">
        <v>36</v>
      </c>
      <c r="N158" s="29" t="n">
        <v>0</v>
      </c>
    </row>
    <row r="159" customFormat="false" ht="15" hidden="false" customHeight="false" outlineLevel="0" collapsed="false">
      <c r="A159" s="6" t="s">
        <v>25</v>
      </c>
      <c r="B159" s="6" t="s">
        <v>187</v>
      </c>
      <c r="C159" s="6" t="s">
        <v>129</v>
      </c>
      <c r="D159" s="6" t="s">
        <v>133</v>
      </c>
      <c r="E159" s="6" t="s">
        <v>321</v>
      </c>
      <c r="F159" s="8" t="n">
        <v>664</v>
      </c>
      <c r="G159" s="8" t="n">
        <v>0</v>
      </c>
      <c r="H159" s="29" t="n">
        <f aca="false">IFERROR(G159*1000/F159,0)</f>
        <v>0</v>
      </c>
      <c r="I159" s="8" t="n">
        <v>0</v>
      </c>
      <c r="J159" s="9" t="n">
        <f aca="false">IFERROR(I159*100/F159,0)</f>
        <v>0</v>
      </c>
      <c r="K159" s="8" t="n">
        <v>0</v>
      </c>
      <c r="L159" s="10" t="n">
        <v>55</v>
      </c>
      <c r="M159" s="8" t="n">
        <v>211</v>
      </c>
      <c r="N159" s="29" t="n">
        <v>1.8957345971564</v>
      </c>
    </row>
    <row r="160" customFormat="false" ht="15" hidden="false" customHeight="false" outlineLevel="0" collapsed="false">
      <c r="A160" s="6" t="s">
        <v>23</v>
      </c>
      <c r="B160" s="6" t="s">
        <v>135</v>
      </c>
      <c r="C160" s="6" t="s">
        <v>197</v>
      </c>
      <c r="D160" s="6" t="s">
        <v>130</v>
      </c>
      <c r="E160" s="7" t="s">
        <v>322</v>
      </c>
      <c r="F160" s="8" t="n">
        <v>622</v>
      </c>
      <c r="G160" s="8" t="n">
        <v>0</v>
      </c>
      <c r="H160" s="29" t="n">
        <f aca="false">IFERROR(G160*1000/F160,0)</f>
        <v>0</v>
      </c>
      <c r="I160" s="8" t="n">
        <v>1</v>
      </c>
      <c r="J160" s="9" t="n">
        <f aca="false">IFERROR(I160*100/F160,0)</f>
        <v>0.160771704180064</v>
      </c>
      <c r="K160" s="8" t="n">
        <v>0</v>
      </c>
      <c r="L160" s="10" t="n">
        <v>49</v>
      </c>
      <c r="M160" s="8" t="n">
        <v>77</v>
      </c>
      <c r="N160" s="29" t="n">
        <v>0</v>
      </c>
    </row>
    <row r="161" customFormat="false" ht="15" hidden="false" customHeight="false" outlineLevel="0" collapsed="false">
      <c r="A161" s="6" t="s">
        <v>25</v>
      </c>
      <c r="B161" s="6" t="s">
        <v>164</v>
      </c>
      <c r="C161" s="6" t="s">
        <v>213</v>
      </c>
      <c r="D161" s="6" t="s">
        <v>130</v>
      </c>
      <c r="E161" s="6" t="s">
        <v>323</v>
      </c>
      <c r="F161" s="8" t="n">
        <v>612</v>
      </c>
      <c r="G161" s="8" t="n">
        <v>0</v>
      </c>
      <c r="H161" s="29" t="n">
        <f aca="false">IFERROR(G161*1000/F161,0)</f>
        <v>0</v>
      </c>
      <c r="I161" s="8" t="n">
        <v>2</v>
      </c>
      <c r="J161" s="9" t="n">
        <f aca="false">IFERROR(I161*100/F161,0)</f>
        <v>0.326797385620915</v>
      </c>
      <c r="K161" s="8" t="n">
        <v>0</v>
      </c>
      <c r="L161" s="10" t="n">
        <v>28.4</v>
      </c>
      <c r="M161" s="8" t="n">
        <v>55</v>
      </c>
      <c r="N161" s="29" t="n">
        <v>0</v>
      </c>
    </row>
    <row r="162" customFormat="false" ht="15" hidden="false" customHeight="false" outlineLevel="0" collapsed="false">
      <c r="A162" s="6" t="s">
        <v>31</v>
      </c>
      <c r="B162" s="6" t="s">
        <v>181</v>
      </c>
      <c r="C162" s="6" t="s">
        <v>129</v>
      </c>
      <c r="D162" s="6" t="s">
        <v>133</v>
      </c>
      <c r="E162" s="7" t="s">
        <v>324</v>
      </c>
      <c r="F162" s="8" t="n">
        <v>589</v>
      </c>
      <c r="G162" s="8" t="n">
        <v>0</v>
      </c>
      <c r="H162" s="29" t="n">
        <f aca="false">IFERROR(G162*1000/F162,0)</f>
        <v>0</v>
      </c>
      <c r="I162" s="8" t="n">
        <v>1</v>
      </c>
      <c r="J162" s="9" t="n">
        <f aca="false">IFERROR(I162*100/F162,0)</f>
        <v>0.169779286926995</v>
      </c>
      <c r="K162" s="8" t="n">
        <v>0</v>
      </c>
      <c r="L162" s="10" t="n">
        <v>24.5</v>
      </c>
      <c r="M162" s="8" t="n">
        <v>57</v>
      </c>
      <c r="N162" s="29" t="n">
        <v>1.75438596491228</v>
      </c>
    </row>
    <row r="163" customFormat="false" ht="15" hidden="false" customHeight="false" outlineLevel="0" collapsed="false">
      <c r="A163" s="6" t="s">
        <v>25</v>
      </c>
      <c r="B163" s="6" t="s">
        <v>176</v>
      </c>
      <c r="C163" s="6" t="s">
        <v>129</v>
      </c>
      <c r="D163" s="6" t="s">
        <v>133</v>
      </c>
      <c r="E163" s="6" t="s">
        <v>325</v>
      </c>
      <c r="F163" s="8" t="n">
        <v>514</v>
      </c>
      <c r="G163" s="8" t="n">
        <v>0</v>
      </c>
      <c r="H163" s="29" t="n">
        <f aca="false">IFERROR(G163*1000/F163,0)</f>
        <v>0</v>
      </c>
      <c r="I163" s="8" t="n">
        <v>2</v>
      </c>
      <c r="J163" s="9" t="n">
        <f aca="false">IFERROR(I163*100/F163,0)</f>
        <v>0.389105058365759</v>
      </c>
      <c r="K163" s="8" t="n">
        <v>0</v>
      </c>
      <c r="L163" s="10" t="n">
        <v>32.4</v>
      </c>
      <c r="M163" s="8" t="n">
        <v>224</v>
      </c>
      <c r="N163" s="29" t="n">
        <v>1.33928571428571</v>
      </c>
    </row>
    <row r="164" customFormat="false" ht="15" hidden="false" customHeight="false" outlineLevel="0" collapsed="false">
      <c r="A164" s="6" t="s">
        <v>21</v>
      </c>
      <c r="B164" s="6" t="s">
        <v>164</v>
      </c>
      <c r="C164" s="6" t="s">
        <v>154</v>
      </c>
      <c r="D164" s="6" t="s">
        <v>130</v>
      </c>
      <c r="E164" s="6" t="s">
        <v>326</v>
      </c>
      <c r="F164" s="8" t="n">
        <v>481</v>
      </c>
      <c r="G164" s="8" t="n">
        <v>0</v>
      </c>
      <c r="H164" s="29" t="n">
        <f aca="false">IFERROR(G164*1000/F164,0)</f>
        <v>0</v>
      </c>
      <c r="I164" s="8" t="n">
        <v>1</v>
      </c>
      <c r="J164" s="9" t="n">
        <f aca="false">IFERROR(I164*100/F164,0)</f>
        <v>0.207900207900208</v>
      </c>
      <c r="K164" s="8" t="n">
        <v>0</v>
      </c>
      <c r="L164" s="10" t="n">
        <v>29.5</v>
      </c>
      <c r="M164" s="8" t="n">
        <v>57</v>
      </c>
      <c r="N164" s="29" t="n">
        <v>1.75438596491228</v>
      </c>
    </row>
    <row r="165" customFormat="false" ht="15" hidden="false" customHeight="false" outlineLevel="0" collapsed="false">
      <c r="A165" s="6" t="s">
        <v>23</v>
      </c>
      <c r="B165" s="6" t="s">
        <v>128</v>
      </c>
      <c r="C165" s="6" t="s">
        <v>168</v>
      </c>
      <c r="D165" s="6" t="s">
        <v>133</v>
      </c>
      <c r="E165" s="7" t="s">
        <v>327</v>
      </c>
      <c r="F165" s="8" t="n">
        <v>396</v>
      </c>
      <c r="G165" s="8" t="n">
        <v>0</v>
      </c>
      <c r="H165" s="29" t="n">
        <f aca="false">IFERROR(G165*1000/F165,0)</f>
        <v>0</v>
      </c>
      <c r="I165" s="8" t="n">
        <v>3</v>
      </c>
      <c r="J165" s="9" t="n">
        <f aca="false">IFERROR(I165*100/F165,0)</f>
        <v>0.757575757575758</v>
      </c>
      <c r="K165" s="8" t="n">
        <v>0</v>
      </c>
      <c r="L165" s="10" t="n">
        <v>26.2</v>
      </c>
      <c r="M165" s="8" t="n">
        <v>875</v>
      </c>
      <c r="N165" s="29" t="n">
        <v>1.25714285714286</v>
      </c>
    </row>
    <row r="166" customFormat="false" ht="15" hidden="false" customHeight="false" outlineLevel="0" collapsed="false">
      <c r="A166" s="6" t="s">
        <v>23</v>
      </c>
      <c r="B166" s="6" t="s">
        <v>138</v>
      </c>
      <c r="C166" s="6" t="s">
        <v>168</v>
      </c>
      <c r="D166" s="6" t="s">
        <v>130</v>
      </c>
      <c r="E166" s="6" t="s">
        <v>328</v>
      </c>
      <c r="F166" s="8" t="n">
        <v>381</v>
      </c>
      <c r="G166" s="8" t="n">
        <v>0</v>
      </c>
      <c r="H166" s="29" t="n">
        <f aca="false">IFERROR(G166*1000/F166,0)</f>
        <v>0</v>
      </c>
      <c r="I166" s="8" t="n">
        <v>4</v>
      </c>
      <c r="J166" s="9" t="n">
        <f aca="false">IFERROR(I166*100/F166,0)</f>
        <v>1.0498687664042</v>
      </c>
      <c r="K166" s="8" t="n">
        <v>0</v>
      </c>
      <c r="L166" s="10" t="n">
        <v>154.1</v>
      </c>
      <c r="M166" s="8" t="n">
        <v>238</v>
      </c>
      <c r="N166" s="29" t="n">
        <v>0.420168067226891</v>
      </c>
    </row>
    <row r="167" customFormat="false" ht="15" hidden="false" customHeight="false" outlineLevel="0" collapsed="false">
      <c r="A167" s="6" t="s">
        <v>25</v>
      </c>
      <c r="B167" s="6" t="s">
        <v>181</v>
      </c>
      <c r="C167" s="6" t="s">
        <v>154</v>
      </c>
      <c r="D167" s="6" t="s">
        <v>133</v>
      </c>
      <c r="E167" s="6" t="s">
        <v>329</v>
      </c>
      <c r="F167" s="8" t="n">
        <v>371</v>
      </c>
      <c r="G167" s="8" t="n">
        <v>0</v>
      </c>
      <c r="H167" s="29" t="n">
        <f aca="false">IFERROR(G167*1000/F167,0)</f>
        <v>0</v>
      </c>
      <c r="I167" s="8" t="n">
        <v>4</v>
      </c>
      <c r="J167" s="9" t="n">
        <f aca="false">IFERROR(I167*100/F167,0)</f>
        <v>1.07816711590296</v>
      </c>
      <c r="K167" s="8" t="n">
        <v>0</v>
      </c>
      <c r="L167" s="10" t="n">
        <v>39.5</v>
      </c>
      <c r="M167" s="8" t="n">
        <v>126</v>
      </c>
      <c r="N167" s="29" t="n">
        <v>0.793650793650794</v>
      </c>
    </row>
    <row r="168" customFormat="false" ht="15" hidden="false" customHeight="false" outlineLevel="0" collapsed="false">
      <c r="A168" s="6" t="s">
        <v>25</v>
      </c>
      <c r="B168" s="6" t="s">
        <v>128</v>
      </c>
      <c r="C168" s="6" t="s">
        <v>142</v>
      </c>
      <c r="D168" s="6" t="s">
        <v>130</v>
      </c>
      <c r="E168" s="7" t="s">
        <v>330</v>
      </c>
      <c r="F168" s="8" t="n">
        <v>361</v>
      </c>
      <c r="G168" s="8" t="n">
        <v>0</v>
      </c>
      <c r="H168" s="29" t="n">
        <f aca="false">IFERROR(G168*1000/F168,0)</f>
        <v>0</v>
      </c>
      <c r="I168" s="8" t="n">
        <v>3</v>
      </c>
      <c r="J168" s="9" t="n">
        <f aca="false">IFERROR(I168*100/F168,0)</f>
        <v>0.831024930747922</v>
      </c>
      <c r="K168" s="8" t="n">
        <v>0</v>
      </c>
      <c r="L168" s="10" t="n">
        <v>33</v>
      </c>
      <c r="M168" s="8" t="n">
        <v>115</v>
      </c>
      <c r="N168" s="29" t="n">
        <v>0</v>
      </c>
    </row>
    <row r="169" customFormat="false" ht="15" hidden="false" customHeight="false" outlineLevel="0" collapsed="false">
      <c r="A169" s="6" t="s">
        <v>29</v>
      </c>
      <c r="B169" s="6" t="s">
        <v>166</v>
      </c>
      <c r="C169" s="6" t="s">
        <v>213</v>
      </c>
      <c r="D169" s="6" t="s">
        <v>130</v>
      </c>
      <c r="E169" s="6" t="s">
        <v>331</v>
      </c>
      <c r="F169" s="8" t="n">
        <v>346</v>
      </c>
      <c r="G169" s="8" t="n">
        <v>0</v>
      </c>
      <c r="H169" s="29" t="n">
        <f aca="false">IFERROR(G169*1000/F169,0)</f>
        <v>0</v>
      </c>
      <c r="I169" s="8" t="n">
        <v>2</v>
      </c>
      <c r="J169" s="9" t="n">
        <f aca="false">IFERROR(I169*100/F169,0)</f>
        <v>0.578034682080925</v>
      </c>
      <c r="K169" s="8" t="n">
        <v>0</v>
      </c>
      <c r="L169" s="10" t="n">
        <v>28.3</v>
      </c>
      <c r="M169" s="8" t="n">
        <v>57</v>
      </c>
      <c r="N169" s="29" t="n">
        <v>3.50877192982456</v>
      </c>
    </row>
    <row r="170" customFormat="false" ht="15" hidden="false" customHeight="false" outlineLevel="0" collapsed="false">
      <c r="A170" s="6" t="s">
        <v>29</v>
      </c>
      <c r="B170" s="6" t="s">
        <v>141</v>
      </c>
      <c r="C170" s="6" t="s">
        <v>154</v>
      </c>
      <c r="D170" s="6" t="s">
        <v>133</v>
      </c>
      <c r="E170" s="6" t="s">
        <v>332</v>
      </c>
      <c r="F170" s="8" t="n">
        <v>322</v>
      </c>
      <c r="G170" s="8" t="n">
        <v>0</v>
      </c>
      <c r="H170" s="29" t="n">
        <f aca="false">IFERROR(G170*1000/F170,0)</f>
        <v>0</v>
      </c>
      <c r="I170" s="8" t="n">
        <v>0</v>
      </c>
      <c r="J170" s="9" t="n">
        <f aca="false">IFERROR(I170*100/F170,0)</f>
        <v>0</v>
      </c>
      <c r="K170" s="8" t="n">
        <v>0</v>
      </c>
      <c r="L170" s="10" t="n">
        <v>30.9</v>
      </c>
      <c r="M170" s="8" t="n">
        <v>61</v>
      </c>
      <c r="N170" s="29" t="n">
        <v>1.63934426229508</v>
      </c>
    </row>
    <row r="171" customFormat="false" ht="15" hidden="false" customHeight="false" outlineLevel="0" collapsed="false">
      <c r="A171" s="6" t="s">
        <v>31</v>
      </c>
      <c r="B171" s="6" t="s">
        <v>166</v>
      </c>
      <c r="C171" s="6" t="s">
        <v>314</v>
      </c>
      <c r="D171" s="6" t="s">
        <v>133</v>
      </c>
      <c r="E171" s="7" t="s">
        <v>333</v>
      </c>
      <c r="F171" s="8" t="n">
        <v>285</v>
      </c>
      <c r="G171" s="8" t="n">
        <v>0</v>
      </c>
      <c r="H171" s="29" t="n">
        <f aca="false">IFERROR(G171*1000/F171,0)</f>
        <v>0</v>
      </c>
      <c r="I171" s="8" t="n">
        <v>0</v>
      </c>
      <c r="J171" s="9" t="n">
        <f aca="false">IFERROR(I171*100/F171,0)</f>
        <v>0</v>
      </c>
      <c r="K171" s="8" t="n">
        <v>0</v>
      </c>
      <c r="L171" s="10" t="n">
        <v>38.7</v>
      </c>
      <c r="M171" s="8" t="n">
        <v>4</v>
      </c>
      <c r="N171" s="29" t="n">
        <v>0</v>
      </c>
    </row>
    <row r="172" customFormat="false" ht="15" hidden="false" customHeight="false" outlineLevel="0" collapsed="false">
      <c r="A172" s="6" t="s">
        <v>23</v>
      </c>
      <c r="B172" s="6" t="s">
        <v>156</v>
      </c>
      <c r="C172" s="6" t="s">
        <v>168</v>
      </c>
      <c r="D172" s="6" t="s">
        <v>133</v>
      </c>
      <c r="E172" s="6" t="s">
        <v>334</v>
      </c>
      <c r="F172" s="8" t="n">
        <v>283</v>
      </c>
      <c r="G172" s="8" t="n">
        <v>0</v>
      </c>
      <c r="H172" s="29" t="n">
        <f aca="false">IFERROR(G172*1000/F172,0)</f>
        <v>0</v>
      </c>
      <c r="I172" s="8" t="n">
        <v>3</v>
      </c>
      <c r="J172" s="9" t="n">
        <f aca="false">IFERROR(I172*100/F172,0)</f>
        <v>1.06007067137809</v>
      </c>
      <c r="K172" s="8" t="n">
        <v>0</v>
      </c>
      <c r="L172" s="10" t="n">
        <v>40.1</v>
      </c>
      <c r="M172" s="8" t="n">
        <v>141</v>
      </c>
      <c r="N172" s="29" t="n">
        <v>0</v>
      </c>
    </row>
    <row r="173" customFormat="false" ht="15" hidden="false" customHeight="false" outlineLevel="0" collapsed="false">
      <c r="A173" s="6" t="s">
        <v>31</v>
      </c>
      <c r="B173" s="6" t="s">
        <v>144</v>
      </c>
      <c r="C173" s="6" t="s">
        <v>189</v>
      </c>
      <c r="D173" s="6" t="s">
        <v>130</v>
      </c>
      <c r="E173" s="7" t="s">
        <v>335</v>
      </c>
      <c r="F173" s="8" t="n">
        <v>276</v>
      </c>
      <c r="G173" s="8" t="n">
        <v>0</v>
      </c>
      <c r="H173" s="29" t="n">
        <f aca="false">IFERROR(G173*1000/F173,0)</f>
        <v>0</v>
      </c>
      <c r="I173" s="8" t="n">
        <v>0</v>
      </c>
      <c r="J173" s="9" t="n">
        <f aca="false">IFERROR(I173*100/F173,0)</f>
        <v>0</v>
      </c>
      <c r="K173" s="8" t="n">
        <v>0</v>
      </c>
      <c r="L173" s="10" t="n">
        <v>31.7</v>
      </c>
      <c r="M173" s="8" t="n">
        <v>9</v>
      </c>
      <c r="N173" s="29" t="n">
        <v>0</v>
      </c>
    </row>
    <row r="174" customFormat="false" ht="15" hidden="false" customHeight="false" outlineLevel="0" collapsed="false">
      <c r="A174" s="6" t="s">
        <v>27</v>
      </c>
      <c r="B174" s="6" t="s">
        <v>156</v>
      </c>
      <c r="C174" s="6" t="s">
        <v>168</v>
      </c>
      <c r="D174" s="6" t="s">
        <v>133</v>
      </c>
      <c r="E174" s="7" t="s">
        <v>336</v>
      </c>
      <c r="F174" s="8" t="n">
        <v>269</v>
      </c>
      <c r="G174" s="8" t="n">
        <v>0</v>
      </c>
      <c r="H174" s="29" t="n">
        <f aca="false">IFERROR(G174*1000/F174,0)</f>
        <v>0</v>
      </c>
      <c r="I174" s="8" t="n">
        <v>0</v>
      </c>
      <c r="J174" s="9" t="n">
        <f aca="false">IFERROR(I174*100/F174,0)</f>
        <v>0</v>
      </c>
      <c r="K174" s="8" t="n">
        <v>0</v>
      </c>
      <c r="L174" s="10" t="n">
        <v>38.1</v>
      </c>
      <c r="M174" s="8" t="n">
        <v>350</v>
      </c>
      <c r="N174" s="29" t="n">
        <v>6</v>
      </c>
    </row>
    <row r="175" customFormat="false" ht="15" hidden="false" customHeight="false" outlineLevel="0" collapsed="false">
      <c r="A175" s="6" t="s">
        <v>31</v>
      </c>
      <c r="B175" s="6" t="s">
        <v>132</v>
      </c>
      <c r="C175" s="6" t="s">
        <v>314</v>
      </c>
      <c r="D175" s="6" t="s">
        <v>133</v>
      </c>
      <c r="E175" s="7" t="s">
        <v>337</v>
      </c>
      <c r="F175" s="8" t="n">
        <v>264</v>
      </c>
      <c r="G175" s="8" t="n">
        <v>0</v>
      </c>
      <c r="H175" s="29" t="n">
        <f aca="false">IFERROR(G175*1000/F175,0)</f>
        <v>0</v>
      </c>
      <c r="I175" s="8" t="n">
        <v>1</v>
      </c>
      <c r="J175" s="9" t="n">
        <f aca="false">IFERROR(I175*100/F175,0)</f>
        <v>0.378787878787879</v>
      </c>
      <c r="K175" s="8" t="n">
        <v>0</v>
      </c>
      <c r="L175" s="10" t="n">
        <v>43.6</v>
      </c>
      <c r="M175" s="8" t="n">
        <v>16</v>
      </c>
      <c r="N175" s="29" t="n">
        <v>0</v>
      </c>
    </row>
    <row r="176" customFormat="false" ht="15" hidden="false" customHeight="false" outlineLevel="0" collapsed="false">
      <c r="A176" s="6" t="s">
        <v>23</v>
      </c>
      <c r="B176" s="6" t="s">
        <v>144</v>
      </c>
      <c r="C176" s="6" t="s">
        <v>129</v>
      </c>
      <c r="D176" s="6" t="s">
        <v>133</v>
      </c>
      <c r="E176" s="6" t="s">
        <v>338</v>
      </c>
      <c r="F176" s="8" t="n">
        <v>263</v>
      </c>
      <c r="G176" s="8" t="n">
        <v>0</v>
      </c>
      <c r="H176" s="29" t="n">
        <f aca="false">IFERROR(G176*1000/F176,0)</f>
        <v>0</v>
      </c>
      <c r="I176" s="8" t="n">
        <v>0</v>
      </c>
      <c r="J176" s="9" t="n">
        <f aca="false">IFERROR(I176*100/F176,0)</f>
        <v>0</v>
      </c>
      <c r="K176" s="8" t="n">
        <v>0</v>
      </c>
      <c r="L176" s="10" t="n">
        <v>43.2</v>
      </c>
      <c r="M176" s="8" t="n">
        <v>79</v>
      </c>
      <c r="N176" s="29" t="n">
        <v>0</v>
      </c>
    </row>
    <row r="177" customFormat="false" ht="15" hidden="false" customHeight="false" outlineLevel="0" collapsed="false">
      <c r="A177" s="6" t="s">
        <v>25</v>
      </c>
      <c r="B177" s="6" t="s">
        <v>164</v>
      </c>
      <c r="C177" s="6" t="s">
        <v>154</v>
      </c>
      <c r="D177" s="6" t="s">
        <v>133</v>
      </c>
      <c r="E177" s="7" t="s">
        <v>339</v>
      </c>
      <c r="F177" s="8" t="n">
        <v>261</v>
      </c>
      <c r="G177" s="8" t="n">
        <v>0</v>
      </c>
      <c r="H177" s="29" t="n">
        <f aca="false">IFERROR(G177*1000/F177,0)</f>
        <v>0</v>
      </c>
      <c r="I177" s="8" t="n">
        <v>0</v>
      </c>
      <c r="J177" s="9" t="n">
        <f aca="false">IFERROR(I177*100/F177,0)</f>
        <v>0</v>
      </c>
      <c r="K177" s="8" t="n">
        <v>0</v>
      </c>
      <c r="L177" s="10" t="n">
        <v>24.3</v>
      </c>
      <c r="M177" s="8" t="n">
        <v>194</v>
      </c>
      <c r="N177" s="29" t="n">
        <v>1.54639175257732</v>
      </c>
    </row>
    <row r="178" customFormat="false" ht="15" hidden="false" customHeight="false" outlineLevel="0" collapsed="false">
      <c r="A178" s="6" t="s">
        <v>23</v>
      </c>
      <c r="B178" s="6" t="s">
        <v>187</v>
      </c>
      <c r="C178" s="6" t="s">
        <v>142</v>
      </c>
      <c r="D178" s="6" t="s">
        <v>133</v>
      </c>
      <c r="E178" s="7" t="s">
        <v>340</v>
      </c>
      <c r="F178" s="8" t="n">
        <v>255</v>
      </c>
      <c r="G178" s="8" t="n">
        <v>0</v>
      </c>
      <c r="H178" s="29" t="n">
        <f aca="false">IFERROR(G178*1000/F178,0)</f>
        <v>0</v>
      </c>
      <c r="I178" s="8" t="n">
        <v>0</v>
      </c>
      <c r="J178" s="9" t="n">
        <f aca="false">IFERROR(I178*100/F178,0)</f>
        <v>0</v>
      </c>
      <c r="K178" s="8" t="n">
        <v>0</v>
      </c>
      <c r="L178" s="10" t="n">
        <v>37.9</v>
      </c>
      <c r="M178" s="8" t="n">
        <v>404</v>
      </c>
      <c r="N178" s="29" t="n">
        <v>1.23762376237624</v>
      </c>
    </row>
    <row r="179" customFormat="false" ht="15" hidden="false" customHeight="false" outlineLevel="0" collapsed="false">
      <c r="A179" s="6" t="s">
        <v>29</v>
      </c>
      <c r="B179" s="6" t="s">
        <v>144</v>
      </c>
      <c r="C179" s="6" t="s">
        <v>199</v>
      </c>
      <c r="D179" s="6" t="s">
        <v>133</v>
      </c>
      <c r="E179" s="7" t="s">
        <v>341</v>
      </c>
      <c r="F179" s="8" t="n">
        <v>247</v>
      </c>
      <c r="G179" s="8" t="n">
        <v>0</v>
      </c>
      <c r="H179" s="29" t="n">
        <f aca="false">IFERROR(G179*1000/F179,0)</f>
        <v>0</v>
      </c>
      <c r="I179" s="8" t="n">
        <v>0</v>
      </c>
      <c r="J179" s="9" t="n">
        <f aca="false">IFERROR(I179*100/F179,0)</f>
        <v>0</v>
      </c>
      <c r="K179" s="8" t="n">
        <v>0</v>
      </c>
      <c r="L179" s="10" t="n">
        <v>46.7</v>
      </c>
      <c r="M179" s="8" t="n">
        <v>42</v>
      </c>
      <c r="N179" s="29" t="n">
        <v>0</v>
      </c>
    </row>
    <row r="180" customFormat="false" ht="15" hidden="false" customHeight="false" outlineLevel="0" collapsed="false">
      <c r="A180" s="6" t="s">
        <v>25</v>
      </c>
      <c r="B180" s="6" t="s">
        <v>138</v>
      </c>
      <c r="C180" s="6" t="s">
        <v>197</v>
      </c>
      <c r="D180" s="6" t="s">
        <v>148</v>
      </c>
      <c r="E180" s="7" t="s">
        <v>342</v>
      </c>
      <c r="F180" s="8" t="n">
        <v>230</v>
      </c>
      <c r="G180" s="8" t="n">
        <v>0</v>
      </c>
      <c r="H180" s="29" t="n">
        <f aca="false">IFERROR(G180*1000/F180,0)</f>
        <v>0</v>
      </c>
      <c r="I180" s="8" t="n">
        <v>0</v>
      </c>
      <c r="J180" s="9" t="n">
        <f aca="false">IFERROR(I180*100/F180,0)</f>
        <v>0</v>
      </c>
      <c r="K180" s="8" t="n">
        <v>0</v>
      </c>
      <c r="L180" s="10" t="n">
        <v>38.9</v>
      </c>
      <c r="M180" s="8" t="n">
        <v>157</v>
      </c>
      <c r="N180" s="29" t="n">
        <v>0.636942675159236</v>
      </c>
    </row>
    <row r="181" customFormat="false" ht="15" hidden="false" customHeight="false" outlineLevel="0" collapsed="false">
      <c r="A181" s="6" t="s">
        <v>25</v>
      </c>
      <c r="B181" s="6" t="s">
        <v>153</v>
      </c>
      <c r="C181" s="6" t="s">
        <v>129</v>
      </c>
      <c r="D181" s="6" t="s">
        <v>130</v>
      </c>
      <c r="E181" s="7" t="s">
        <v>343</v>
      </c>
      <c r="F181" s="8" t="n">
        <v>201</v>
      </c>
      <c r="G181" s="8" t="n">
        <v>0</v>
      </c>
      <c r="H181" s="29" t="n">
        <f aca="false">IFERROR(G181*1000/F181,0)</f>
        <v>0</v>
      </c>
      <c r="I181" s="8" t="n">
        <v>0</v>
      </c>
      <c r="J181" s="9" t="n">
        <f aca="false">IFERROR(I181*100/F181,0)</f>
        <v>0</v>
      </c>
      <c r="K181" s="8" t="n">
        <v>0</v>
      </c>
      <c r="L181" s="10" t="n">
        <v>44.6</v>
      </c>
      <c r="M181" s="8" t="n">
        <v>64</v>
      </c>
      <c r="N181" s="29" t="n">
        <v>1.5625</v>
      </c>
    </row>
    <row r="182" customFormat="false" ht="15" hidden="false" customHeight="false" outlineLevel="0" collapsed="false">
      <c r="A182" s="6" t="s">
        <v>31</v>
      </c>
      <c r="B182" s="6" t="s">
        <v>156</v>
      </c>
      <c r="C182" s="6" t="s">
        <v>314</v>
      </c>
      <c r="D182" s="6" t="s">
        <v>133</v>
      </c>
      <c r="E182" s="7" t="s">
        <v>344</v>
      </c>
      <c r="F182" s="8" t="n">
        <v>191</v>
      </c>
      <c r="G182" s="8" t="n">
        <v>0</v>
      </c>
      <c r="H182" s="29" t="n">
        <f aca="false">IFERROR(G182*1000/F182,0)</f>
        <v>0</v>
      </c>
      <c r="I182" s="8" t="n">
        <v>0</v>
      </c>
      <c r="J182" s="9" t="n">
        <f aca="false">IFERROR(I182*100/F182,0)</f>
        <v>0</v>
      </c>
      <c r="K182" s="8" t="n">
        <v>0</v>
      </c>
      <c r="L182" s="10" t="n">
        <v>27.9</v>
      </c>
      <c r="M182" s="8" t="n">
        <v>17</v>
      </c>
      <c r="N182" s="29" t="n">
        <v>0</v>
      </c>
    </row>
    <row r="183" customFormat="false" ht="15" hidden="false" customHeight="false" outlineLevel="0" collapsed="false">
      <c r="A183" s="6" t="s">
        <v>29</v>
      </c>
      <c r="B183" s="6" t="s">
        <v>144</v>
      </c>
      <c r="C183" s="6" t="s">
        <v>136</v>
      </c>
      <c r="D183" s="6" t="s">
        <v>148</v>
      </c>
      <c r="E183" s="7" t="s">
        <v>345</v>
      </c>
      <c r="F183" s="8" t="n">
        <v>189</v>
      </c>
      <c r="G183" s="8" t="n">
        <v>0</v>
      </c>
      <c r="H183" s="29" t="n">
        <f aca="false">IFERROR(G183*1000/F183,0)</f>
        <v>0</v>
      </c>
      <c r="I183" s="8" t="n">
        <v>0</v>
      </c>
      <c r="J183" s="9" t="n">
        <f aca="false">IFERROR(I183*100/F183,0)</f>
        <v>0</v>
      </c>
      <c r="K183" s="8" t="n">
        <v>0</v>
      </c>
      <c r="L183" s="10" t="n">
        <v>39.2</v>
      </c>
      <c r="M183" s="8" t="n">
        <v>18</v>
      </c>
      <c r="N183" s="29" t="n">
        <v>0</v>
      </c>
    </row>
    <row r="184" customFormat="false" ht="15" hidden="false" customHeight="false" outlineLevel="0" collapsed="false">
      <c r="A184" s="6" t="s">
        <v>25</v>
      </c>
      <c r="B184" s="6" t="s">
        <v>144</v>
      </c>
      <c r="C184" s="6" t="s">
        <v>162</v>
      </c>
      <c r="D184" s="6" t="s">
        <v>148</v>
      </c>
      <c r="E184" s="7" t="s">
        <v>346</v>
      </c>
      <c r="F184" s="8" t="n">
        <v>189</v>
      </c>
      <c r="G184" s="8" t="n">
        <v>0</v>
      </c>
      <c r="H184" s="29" t="n">
        <f aca="false">IFERROR(G184*1000/F184,0)</f>
        <v>0</v>
      </c>
      <c r="I184" s="8" t="n">
        <v>0</v>
      </c>
      <c r="J184" s="9" t="n">
        <f aca="false">IFERROR(I184*100/F184,0)</f>
        <v>0</v>
      </c>
      <c r="K184" s="8" t="n">
        <v>0</v>
      </c>
      <c r="L184" s="10" t="n">
        <v>31.7</v>
      </c>
      <c r="M184" s="8" t="n">
        <v>180</v>
      </c>
      <c r="N184" s="29" t="n">
        <v>1.66666666666667</v>
      </c>
    </row>
    <row r="185" customFormat="false" ht="15" hidden="false" customHeight="false" outlineLevel="0" collapsed="false">
      <c r="A185" s="6" t="s">
        <v>29</v>
      </c>
      <c r="B185" s="6" t="s">
        <v>150</v>
      </c>
      <c r="C185" s="6" t="s">
        <v>228</v>
      </c>
      <c r="D185" s="6" t="s">
        <v>133</v>
      </c>
      <c r="E185" s="6" t="s">
        <v>347</v>
      </c>
      <c r="F185" s="8" t="n">
        <v>163</v>
      </c>
      <c r="G185" s="8" t="n">
        <v>0</v>
      </c>
      <c r="H185" s="29" t="n">
        <f aca="false">IFERROR(G185*1000/F185,0)</f>
        <v>0</v>
      </c>
      <c r="I185" s="8" t="n">
        <v>0</v>
      </c>
      <c r="J185" s="9" t="n">
        <f aca="false">IFERROR(I185*100/F185,0)</f>
        <v>0</v>
      </c>
      <c r="K185" s="8" t="n">
        <v>0</v>
      </c>
      <c r="L185" s="10" t="n">
        <v>21.6</v>
      </c>
      <c r="M185" s="8" t="n">
        <v>37</v>
      </c>
      <c r="N185" s="29" t="n">
        <v>0</v>
      </c>
    </row>
    <row r="186" customFormat="false" ht="15" hidden="false" customHeight="false" outlineLevel="0" collapsed="false">
      <c r="A186" s="6" t="s">
        <v>25</v>
      </c>
      <c r="B186" s="6" t="s">
        <v>150</v>
      </c>
      <c r="C186" s="6" t="s">
        <v>228</v>
      </c>
      <c r="D186" s="6" t="s">
        <v>133</v>
      </c>
      <c r="E186" s="6" t="s">
        <v>348</v>
      </c>
      <c r="F186" s="8" t="n">
        <v>154</v>
      </c>
      <c r="G186" s="8" t="n">
        <v>0</v>
      </c>
      <c r="H186" s="29" t="n">
        <f aca="false">IFERROR(G186*1000/F186,0)</f>
        <v>0</v>
      </c>
      <c r="I186" s="8" t="n">
        <v>0</v>
      </c>
      <c r="J186" s="9" t="n">
        <f aca="false">IFERROR(I186*100/F186,0)</f>
        <v>0</v>
      </c>
      <c r="K186" s="8" t="n">
        <v>0</v>
      </c>
      <c r="L186" s="10" t="n">
        <v>46.2</v>
      </c>
      <c r="M186" s="8" t="n">
        <v>81</v>
      </c>
      <c r="N186" s="29" t="n">
        <v>1.23456790123457</v>
      </c>
    </row>
    <row r="187" customFormat="false" ht="15" hidden="false" customHeight="false" outlineLevel="0" collapsed="false">
      <c r="A187" s="6" t="s">
        <v>23</v>
      </c>
      <c r="B187" s="6" t="s">
        <v>138</v>
      </c>
      <c r="C187" s="6" t="s">
        <v>129</v>
      </c>
      <c r="D187" s="6" t="s">
        <v>133</v>
      </c>
      <c r="E187" s="6" t="s">
        <v>349</v>
      </c>
      <c r="F187" s="8" t="n">
        <v>140</v>
      </c>
      <c r="G187" s="8" t="n">
        <v>0</v>
      </c>
      <c r="H187" s="29" t="n">
        <f aca="false">IFERROR(G187*1000/F187,0)</f>
        <v>0</v>
      </c>
      <c r="I187" s="8" t="n">
        <v>0</v>
      </c>
      <c r="J187" s="9" t="n">
        <f aca="false">IFERROR(I187*100/F187,0)</f>
        <v>0</v>
      </c>
      <c r="K187" s="8" t="n">
        <v>0</v>
      </c>
      <c r="L187" s="10" t="n">
        <v>38.4</v>
      </c>
      <c r="M187" s="8" t="n">
        <v>717</v>
      </c>
      <c r="N187" s="29" t="n">
        <v>0.557880055788006</v>
      </c>
    </row>
    <row r="188" customFormat="false" ht="15" hidden="false" customHeight="false" outlineLevel="0" collapsed="false">
      <c r="A188" s="6" t="s">
        <v>25</v>
      </c>
      <c r="B188" s="6" t="s">
        <v>215</v>
      </c>
      <c r="C188" s="6" t="s">
        <v>142</v>
      </c>
      <c r="D188" s="6" t="s">
        <v>133</v>
      </c>
      <c r="E188" s="6" t="s">
        <v>350</v>
      </c>
      <c r="F188" s="8" t="n">
        <v>139</v>
      </c>
      <c r="G188" s="8" t="n">
        <v>0</v>
      </c>
      <c r="H188" s="29" t="n">
        <f aca="false">IFERROR(G188*1000/F188,0)</f>
        <v>0</v>
      </c>
      <c r="I188" s="8" t="n">
        <v>0</v>
      </c>
      <c r="J188" s="9" t="n">
        <f aca="false">IFERROR(I188*100/F188,0)</f>
        <v>0</v>
      </c>
      <c r="K188" s="8" t="n">
        <v>0</v>
      </c>
      <c r="L188" s="10" t="n">
        <v>15.9</v>
      </c>
      <c r="M188" s="8" t="n">
        <v>140</v>
      </c>
      <c r="N188" s="29" t="n">
        <v>1.42857142857143</v>
      </c>
    </row>
    <row r="189" customFormat="false" ht="15" hidden="false" customHeight="false" outlineLevel="0" collapsed="false">
      <c r="A189" s="6" t="s">
        <v>25</v>
      </c>
      <c r="B189" s="6" t="s">
        <v>146</v>
      </c>
      <c r="C189" s="6" t="s">
        <v>129</v>
      </c>
      <c r="D189" s="6" t="s">
        <v>130</v>
      </c>
      <c r="E189" s="6" t="s">
        <v>351</v>
      </c>
      <c r="F189" s="8" t="n">
        <v>126</v>
      </c>
      <c r="G189" s="8" t="n">
        <v>0</v>
      </c>
      <c r="H189" s="29" t="n">
        <f aca="false">IFERROR(G189*1000/F189,0)</f>
        <v>0</v>
      </c>
      <c r="I189" s="8" t="n">
        <v>0</v>
      </c>
      <c r="J189" s="9" t="n">
        <f aca="false">IFERROR(I189*100/F189,0)</f>
        <v>0</v>
      </c>
      <c r="K189" s="8" t="n">
        <v>0</v>
      </c>
      <c r="L189" s="10" t="n">
        <v>21.3</v>
      </c>
      <c r="M189" s="8" t="n">
        <v>64</v>
      </c>
      <c r="N189" s="29" t="n">
        <v>3.125</v>
      </c>
    </row>
    <row r="190" customFormat="false" ht="15" hidden="false" customHeight="false" outlineLevel="0" collapsed="false">
      <c r="A190" s="6" t="s">
        <v>23</v>
      </c>
      <c r="B190" s="6" t="s">
        <v>150</v>
      </c>
      <c r="C190" s="6" t="s">
        <v>129</v>
      </c>
      <c r="D190" s="6" t="s">
        <v>133</v>
      </c>
      <c r="E190" s="7" t="s">
        <v>352</v>
      </c>
      <c r="F190" s="8" t="n">
        <v>118</v>
      </c>
      <c r="G190" s="8" t="n">
        <v>0</v>
      </c>
      <c r="H190" s="29" t="n">
        <f aca="false">IFERROR(G190*1000/F190,0)</f>
        <v>0</v>
      </c>
      <c r="I190" s="8" t="n">
        <v>0</v>
      </c>
      <c r="J190" s="9" t="n">
        <f aca="false">IFERROR(I190*100/F190,0)</f>
        <v>0</v>
      </c>
      <c r="K190" s="8" t="n">
        <v>0</v>
      </c>
      <c r="L190" s="10" t="n">
        <v>25.5</v>
      </c>
      <c r="M190" s="8" t="n">
        <v>621</v>
      </c>
      <c r="N190" s="29" t="n">
        <v>1.28824476650564</v>
      </c>
    </row>
    <row r="191" customFormat="false" ht="15" hidden="false" customHeight="false" outlineLevel="0" collapsed="false">
      <c r="A191" s="6" t="s">
        <v>23</v>
      </c>
      <c r="B191" s="6" t="s">
        <v>215</v>
      </c>
      <c r="C191" s="6" t="s">
        <v>129</v>
      </c>
      <c r="D191" s="6" t="s">
        <v>133</v>
      </c>
      <c r="E191" s="7" t="s">
        <v>353</v>
      </c>
      <c r="F191" s="8" t="n">
        <v>80</v>
      </c>
      <c r="G191" s="8" t="n">
        <v>0</v>
      </c>
      <c r="H191" s="29" t="n">
        <f aca="false">IFERROR(G191*1000/F191,0)</f>
        <v>0</v>
      </c>
      <c r="I191" s="8" t="n">
        <v>0</v>
      </c>
      <c r="J191" s="9" t="n">
        <f aca="false">IFERROR(I191*100/F191,0)</f>
        <v>0</v>
      </c>
      <c r="K191" s="8" t="n">
        <v>0</v>
      </c>
      <c r="L191" s="10" t="n">
        <v>18.7</v>
      </c>
      <c r="M191" s="8" t="n">
        <v>338</v>
      </c>
      <c r="N191" s="29" t="n">
        <v>0.591715976331361</v>
      </c>
    </row>
    <row r="192" customFormat="false" ht="15" hidden="false" customHeight="false" outlineLevel="0" collapsed="false">
      <c r="A192" s="6" t="s">
        <v>23</v>
      </c>
      <c r="B192" s="6" t="s">
        <v>181</v>
      </c>
      <c r="C192" s="6" t="s">
        <v>129</v>
      </c>
      <c r="D192" s="6" t="s">
        <v>133</v>
      </c>
      <c r="E192" s="7" t="s">
        <v>354</v>
      </c>
      <c r="F192" s="8" t="n">
        <v>76</v>
      </c>
      <c r="G192" s="8" t="n">
        <v>0</v>
      </c>
      <c r="H192" s="29" t="n">
        <f aca="false">IFERROR(G192*1000/F192,0)</f>
        <v>0</v>
      </c>
      <c r="I192" s="8" t="n">
        <v>0</v>
      </c>
      <c r="J192" s="9" t="n">
        <f aca="false">IFERROR(I192*100/F192,0)</f>
        <v>0</v>
      </c>
      <c r="K192" s="8" t="n">
        <v>0</v>
      </c>
      <c r="L192" s="10" t="n">
        <v>21.4</v>
      </c>
      <c r="M192" s="8" t="n">
        <v>390</v>
      </c>
      <c r="N192" s="29" t="n">
        <v>1.7948717948718</v>
      </c>
    </row>
    <row r="193" customFormat="false" ht="15" hidden="false" customHeight="false" outlineLevel="0" collapsed="false">
      <c r="A193" s="6" t="s">
        <v>23</v>
      </c>
      <c r="B193" s="6" t="s">
        <v>164</v>
      </c>
      <c r="C193" s="6" t="s">
        <v>129</v>
      </c>
      <c r="D193" s="6" t="s">
        <v>133</v>
      </c>
      <c r="E193" s="7" t="s">
        <v>355</v>
      </c>
      <c r="F193" s="8" t="n">
        <v>62</v>
      </c>
      <c r="G193" s="8" t="n">
        <v>0</v>
      </c>
      <c r="H193" s="29" t="n">
        <f aca="false">IFERROR(G193*1000/F193,0)</f>
        <v>0</v>
      </c>
      <c r="I193" s="8" t="n">
        <v>0</v>
      </c>
      <c r="J193" s="9" t="n">
        <f aca="false">IFERROR(I193*100/F193,0)</f>
        <v>0</v>
      </c>
      <c r="K193" s="8" t="n">
        <v>0</v>
      </c>
      <c r="L193" s="10" t="n">
        <v>26.4</v>
      </c>
      <c r="M193" s="8" t="n">
        <v>258</v>
      </c>
      <c r="N193" s="29" t="n">
        <v>1.16279069767442</v>
      </c>
    </row>
    <row r="194" customFormat="false" ht="15" hidden="false" customHeight="false" outlineLevel="0" collapsed="false">
      <c r="A194" s="6" t="s">
        <v>27</v>
      </c>
      <c r="B194" s="6" t="s">
        <v>164</v>
      </c>
      <c r="C194" s="6" t="s">
        <v>228</v>
      </c>
      <c r="D194" s="6" t="s">
        <v>133</v>
      </c>
      <c r="E194" s="7" t="s">
        <v>356</v>
      </c>
      <c r="F194" s="8" t="n">
        <v>52</v>
      </c>
      <c r="G194" s="8" t="n">
        <v>0</v>
      </c>
      <c r="H194" s="29" t="n">
        <f aca="false">IFERROR(G194*1000/F194,0)</f>
        <v>0</v>
      </c>
      <c r="I194" s="8" t="n">
        <v>0</v>
      </c>
      <c r="J194" s="9" t="n">
        <f aca="false">IFERROR(I194*100/F194,0)</f>
        <v>0</v>
      </c>
      <c r="K194" s="8" t="n">
        <v>0</v>
      </c>
      <c r="L194" s="10" t="n">
        <v>48.2</v>
      </c>
      <c r="M194" s="8" t="n">
        <v>314</v>
      </c>
      <c r="N194" s="29" t="n">
        <v>5.09554140127389</v>
      </c>
    </row>
    <row r="195" customFormat="false" ht="15" hidden="false" customHeight="false" outlineLevel="0" collapsed="false">
      <c r="A195" s="6" t="s">
        <v>21</v>
      </c>
      <c r="B195" s="6" t="s">
        <v>141</v>
      </c>
      <c r="C195" s="6" t="s">
        <v>168</v>
      </c>
      <c r="D195" s="6" t="s">
        <v>130</v>
      </c>
      <c r="E195" s="6" t="s">
        <v>357</v>
      </c>
      <c r="F195" s="8" t="n">
        <v>12</v>
      </c>
      <c r="G195" s="8" t="n">
        <v>0</v>
      </c>
      <c r="H195" s="29" t="n">
        <f aca="false">IFERROR(G195*1000/F195,0)</f>
        <v>0</v>
      </c>
      <c r="I195" s="8" t="n">
        <v>2</v>
      </c>
      <c r="J195" s="9" t="n">
        <f aca="false">IFERROR(I195*100/F195,0)</f>
        <v>16.6666666666667</v>
      </c>
      <c r="K195" s="8" t="n">
        <v>0</v>
      </c>
      <c r="L195" s="10" t="n">
        <v>28.4</v>
      </c>
      <c r="M195" s="8" t="n">
        <v>98</v>
      </c>
      <c r="N195" s="29" t="n">
        <v>1.02040816326531</v>
      </c>
    </row>
    <row r="196" customFormat="false" ht="15" hidden="false" customHeight="false" outlineLevel="0" collapsed="false">
      <c r="A196" s="6" t="s">
        <v>25</v>
      </c>
      <c r="B196" s="6" t="s">
        <v>166</v>
      </c>
      <c r="C196" s="6" t="s">
        <v>162</v>
      </c>
      <c r="D196" s="6" t="s">
        <v>139</v>
      </c>
      <c r="E196" s="7" t="s">
        <v>358</v>
      </c>
      <c r="F196" s="8" t="n">
        <v>2</v>
      </c>
      <c r="G196" s="8" t="n">
        <v>0</v>
      </c>
      <c r="H196" s="29" t="n">
        <f aca="false">IFERROR(G196*1000/F196,0)</f>
        <v>0</v>
      </c>
      <c r="I196" s="8" t="n">
        <v>0</v>
      </c>
      <c r="J196" s="9" t="n">
        <f aca="false">IFERROR(I196*100/F196,0)</f>
        <v>0</v>
      </c>
      <c r="K196" s="8" t="n">
        <v>0</v>
      </c>
      <c r="L196" s="10" t="n">
        <v>20.5</v>
      </c>
      <c r="M196" s="8" t="n">
        <v>36</v>
      </c>
      <c r="N196" s="29" t="n">
        <v>0</v>
      </c>
    </row>
    <row r="198" customFormat="false" ht="15" hidden="false" customHeight="false" outlineLevel="0" collapsed="false">
      <c r="A198" s="2" t="s">
        <v>359</v>
      </c>
    </row>
  </sheetData>
  <autoFilter ref="A4:N1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6"/>
    <col collapsed="false" customWidth="true" hidden="false" outlineLevel="0" max="4" min="4" style="0" width="50"/>
    <col collapsed="false" customWidth="true" hidden="false" outlineLevel="0" max="5" min="5" style="0" width="56"/>
    <col collapsed="false" customWidth="true" hidden="false" outlineLevel="0" max="6" min="6" style="0" width="20"/>
    <col collapsed="false" customWidth="true" hidden="false" outlineLevel="0" max="7" min="7" style="0" width="32"/>
    <col collapsed="false" customWidth="true" hidden="false" outlineLevel="0" max="8" min="8" style="0" width="12"/>
  </cols>
  <sheetData>
    <row r="1" customFormat="false" ht="17.35" hidden="false" customHeight="false" outlineLevel="0" collapsed="false">
      <c r="A1" s="21" t="s">
        <v>360</v>
      </c>
    </row>
    <row r="3" customFormat="false" ht="15" hidden="false" customHeight="false" outlineLevel="0" collapsed="false">
      <c r="A3" s="22" t="s">
        <v>361</v>
      </c>
      <c r="B3" s="5" t="s">
        <v>362</v>
      </c>
      <c r="C3" s="5" t="s">
        <v>363</v>
      </c>
      <c r="D3" s="5" t="s">
        <v>364</v>
      </c>
      <c r="E3" s="5" t="s">
        <v>365</v>
      </c>
      <c r="F3" s="5" t="s">
        <v>366</v>
      </c>
      <c r="G3" s="5" t="s">
        <v>367</v>
      </c>
      <c r="H3" s="5" t="s">
        <v>368</v>
      </c>
    </row>
    <row r="4" customFormat="false" ht="61.5" hidden="false" customHeight="true" outlineLevel="0" collapsed="false">
      <c r="A4" s="19" t="n">
        <v>1</v>
      </c>
      <c r="B4" s="31" t="s">
        <v>45</v>
      </c>
      <c r="C4" s="17" t="s">
        <v>369</v>
      </c>
      <c r="D4" s="17" t="s">
        <v>370</v>
      </c>
      <c r="E4" s="17" t="s">
        <v>371</v>
      </c>
      <c r="F4" s="26" t="s">
        <v>372</v>
      </c>
      <c r="G4" s="17" t="s">
        <v>373</v>
      </c>
      <c r="H4" s="19" t="s">
        <v>374</v>
      </c>
    </row>
    <row r="5" customFormat="false" ht="61.5" hidden="false" customHeight="true" outlineLevel="0" collapsed="false">
      <c r="A5" s="19" t="n">
        <v>2</v>
      </c>
      <c r="B5" s="31" t="s">
        <v>45</v>
      </c>
      <c r="C5" s="19" t="s">
        <v>375</v>
      </c>
      <c r="D5" s="19" t="s">
        <v>376</v>
      </c>
      <c r="E5" s="17" t="s">
        <v>377</v>
      </c>
      <c r="F5" s="26" t="s">
        <v>372</v>
      </c>
      <c r="G5" s="19" t="s">
        <v>378</v>
      </c>
      <c r="H5" s="19" t="s">
        <v>379</v>
      </c>
    </row>
    <row r="6" customFormat="false" ht="61.5" hidden="false" customHeight="true" outlineLevel="0" collapsed="false">
      <c r="A6" s="19" t="n">
        <v>3</v>
      </c>
      <c r="B6" s="31" t="s">
        <v>55</v>
      </c>
      <c r="C6" s="19" t="s">
        <v>31</v>
      </c>
      <c r="D6" s="17" t="s">
        <v>380</v>
      </c>
      <c r="E6" s="19" t="s">
        <v>381</v>
      </c>
      <c r="F6" s="25" t="s">
        <v>382</v>
      </c>
      <c r="G6" s="17" t="s">
        <v>383</v>
      </c>
      <c r="H6" s="19" t="s">
        <v>374</v>
      </c>
    </row>
    <row r="7" customFormat="false" ht="61.5" hidden="false" customHeight="true" outlineLevel="0" collapsed="false">
      <c r="A7" s="19" t="n">
        <v>4</v>
      </c>
      <c r="B7" s="31" t="s">
        <v>55</v>
      </c>
      <c r="C7" s="19" t="s">
        <v>25</v>
      </c>
      <c r="D7" s="17" t="s">
        <v>384</v>
      </c>
      <c r="E7" s="19" t="s">
        <v>385</v>
      </c>
      <c r="F7" s="25" t="s">
        <v>386</v>
      </c>
      <c r="G7" s="17" t="s">
        <v>387</v>
      </c>
      <c r="H7" s="19" t="s">
        <v>374</v>
      </c>
    </row>
    <row r="8" customFormat="false" ht="61.5" hidden="false" customHeight="true" outlineLevel="0" collapsed="false">
      <c r="A8" s="19" t="n">
        <v>5</v>
      </c>
      <c r="B8" s="31" t="s">
        <v>55</v>
      </c>
      <c r="C8" s="19" t="s">
        <v>29</v>
      </c>
      <c r="D8" s="17" t="s">
        <v>388</v>
      </c>
      <c r="E8" s="19" t="s">
        <v>389</v>
      </c>
      <c r="F8" s="25" t="s">
        <v>390</v>
      </c>
      <c r="G8" s="19" t="s">
        <v>391</v>
      </c>
      <c r="H8" s="19" t="s">
        <v>374</v>
      </c>
    </row>
    <row r="9" customFormat="false" ht="61.5" hidden="false" customHeight="true" outlineLevel="0" collapsed="false">
      <c r="A9" s="19" t="n">
        <v>6</v>
      </c>
      <c r="B9" s="31" t="s">
        <v>55</v>
      </c>
      <c r="C9" s="19" t="s">
        <v>23</v>
      </c>
      <c r="D9" s="19" t="s">
        <v>392</v>
      </c>
      <c r="E9" s="19" t="s">
        <v>393</v>
      </c>
      <c r="F9" s="25" t="s">
        <v>394</v>
      </c>
      <c r="G9" s="19" t="s">
        <v>395</v>
      </c>
      <c r="H9" s="19" t="s">
        <v>374</v>
      </c>
    </row>
    <row r="10" customFormat="false" ht="61.5" hidden="false" customHeight="true" outlineLevel="0" collapsed="false">
      <c r="A10" s="19" t="n">
        <v>7</v>
      </c>
      <c r="B10" s="32" t="s">
        <v>60</v>
      </c>
      <c r="C10" s="19" t="s">
        <v>31</v>
      </c>
      <c r="D10" s="17" t="s">
        <v>396</v>
      </c>
      <c r="E10" s="19" t="s">
        <v>397</v>
      </c>
      <c r="F10" s="25" t="s">
        <v>398</v>
      </c>
      <c r="G10" s="17" t="s">
        <v>399</v>
      </c>
      <c r="H10" s="19" t="s">
        <v>374</v>
      </c>
    </row>
    <row r="11" customFormat="false" ht="61.5" hidden="false" customHeight="true" outlineLevel="0" collapsed="false">
      <c r="A11" s="19" t="n">
        <v>8</v>
      </c>
      <c r="B11" s="32" t="s">
        <v>60</v>
      </c>
      <c r="C11" s="19" t="s">
        <v>21</v>
      </c>
      <c r="D11" s="17" t="s">
        <v>400</v>
      </c>
      <c r="E11" s="19" t="s">
        <v>401</v>
      </c>
      <c r="F11" s="25" t="s">
        <v>398</v>
      </c>
      <c r="G11" s="19" t="s">
        <v>402</v>
      </c>
      <c r="H11" s="19" t="s">
        <v>374</v>
      </c>
    </row>
    <row r="12" customFormat="false" ht="61.5" hidden="false" customHeight="true" outlineLevel="0" collapsed="false">
      <c r="A12" s="19" t="n">
        <v>9</v>
      </c>
      <c r="B12" s="32" t="s">
        <v>60</v>
      </c>
      <c r="C12" s="19" t="s">
        <v>403</v>
      </c>
      <c r="D12" s="17" t="s">
        <v>404</v>
      </c>
      <c r="E12" s="19" t="s">
        <v>405</v>
      </c>
      <c r="F12" s="25" t="s">
        <v>398</v>
      </c>
      <c r="G12" s="19" t="s">
        <v>406</v>
      </c>
      <c r="H12" s="19" t="s">
        <v>374</v>
      </c>
    </row>
    <row r="13" customFormat="false" ht="61.5" hidden="false" customHeight="true" outlineLevel="0" collapsed="false">
      <c r="A13" s="19" t="n">
        <v>10</v>
      </c>
      <c r="B13" s="32" t="s">
        <v>60</v>
      </c>
      <c r="C13" s="17" t="s">
        <v>407</v>
      </c>
      <c r="D13" s="17" t="s">
        <v>408</v>
      </c>
      <c r="E13" s="17" t="s">
        <v>409</v>
      </c>
      <c r="F13" s="25" t="s">
        <v>410</v>
      </c>
      <c r="G13" s="17" t="s">
        <v>411</v>
      </c>
      <c r="H13" s="17" t="s">
        <v>412</v>
      </c>
    </row>
    <row r="14" customFormat="false" ht="61.5" hidden="false" customHeight="true" outlineLevel="0" collapsed="false">
      <c r="A14" s="19" t="n">
        <v>11</v>
      </c>
      <c r="B14" s="32" t="s">
        <v>413</v>
      </c>
      <c r="C14" s="19" t="s">
        <v>62</v>
      </c>
      <c r="D14" s="19" t="s">
        <v>414</v>
      </c>
      <c r="E14" s="17" t="s">
        <v>415</v>
      </c>
      <c r="F14" s="26" t="s">
        <v>416</v>
      </c>
      <c r="G14" s="19" t="s">
        <v>417</v>
      </c>
      <c r="H14" s="17"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2" topLeftCell="A7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4" min="3" style="0" width="15"/>
    <col collapsed="false" customWidth="true" hidden="false" outlineLevel="0" max="5" min="5" style="0" width="18"/>
    <col collapsed="false" customWidth="true" hidden="false" outlineLevel="0" max="6" min="6" style="0" width="16"/>
    <col collapsed="false" customWidth="true" hidden="false" outlineLevel="0" max="7" min="7" style="0" width="40"/>
  </cols>
  <sheetData>
    <row r="1" customFormat="false" ht="17.35" hidden="false" customHeight="false" outlineLevel="0" collapsed="false">
      <c r="A1" s="21" t="s">
        <v>418</v>
      </c>
    </row>
    <row r="3" customFormat="false" ht="15" hidden="false" customHeight="false" outlineLevel="0" collapsed="false">
      <c r="A3" s="3" t="s">
        <v>419</v>
      </c>
    </row>
    <row r="4" customFormat="false" ht="15" hidden="false" customHeight="false" outlineLevel="0" collapsed="false">
      <c r="A4" s="5" t="s">
        <v>9</v>
      </c>
      <c r="B4" s="5" t="s">
        <v>420</v>
      </c>
      <c r="C4" s="5" t="s">
        <v>11</v>
      </c>
      <c r="D4" s="5" t="s">
        <v>12</v>
      </c>
      <c r="E4" s="5" t="s">
        <v>14</v>
      </c>
      <c r="F4" s="5" t="s">
        <v>15</v>
      </c>
      <c r="G4" s="5" t="s">
        <v>421</v>
      </c>
    </row>
    <row r="5" customFormat="false" ht="15" hidden="false" customHeight="false" outlineLevel="0" collapsed="false">
      <c r="A5" s="6" t="s">
        <v>31</v>
      </c>
      <c r="B5" s="6" t="s">
        <v>189</v>
      </c>
      <c r="C5" s="8" t="n">
        <v>4</v>
      </c>
      <c r="D5" s="8" t="n">
        <v>2948</v>
      </c>
      <c r="E5" s="8" t="n">
        <v>1</v>
      </c>
      <c r="F5" s="33" t="n">
        <f aca="false">IFERROR(E5*1000/D5,0)</f>
        <v>0.33921302578019</v>
      </c>
      <c r="G5" s="7" t="s">
        <v>422</v>
      </c>
    </row>
    <row r="6" customFormat="false" ht="15" hidden="false" customHeight="false" outlineLevel="0" collapsed="false">
      <c r="A6" s="6" t="s">
        <v>31</v>
      </c>
      <c r="B6" s="6" t="s">
        <v>136</v>
      </c>
      <c r="C6" s="8" t="n">
        <v>3</v>
      </c>
      <c r="D6" s="8" t="n">
        <v>3586</v>
      </c>
      <c r="E6" s="8" t="n">
        <v>1</v>
      </c>
      <c r="F6" s="9" t="n">
        <f aca="false">IFERROR(E6*1000/D6,0)</f>
        <v>0.278862242052426</v>
      </c>
      <c r="G6" s="6"/>
    </row>
    <row r="7" customFormat="false" ht="15" hidden="false" customHeight="false" outlineLevel="0" collapsed="false">
      <c r="A7" s="6" t="s">
        <v>31</v>
      </c>
      <c r="B7" s="6" t="s">
        <v>142</v>
      </c>
      <c r="C7" s="8" t="n">
        <v>10</v>
      </c>
      <c r="D7" s="8" t="n">
        <v>9818</v>
      </c>
      <c r="E7" s="8" t="n">
        <v>2</v>
      </c>
      <c r="F7" s="9" t="n">
        <f aca="false">IFERROR(E7*1000/D7,0)</f>
        <v>0.203707476064372</v>
      </c>
      <c r="G7" s="6"/>
    </row>
    <row r="8" customFormat="false" ht="15" hidden="false" customHeight="false" outlineLevel="0" collapsed="false">
      <c r="A8" s="6" t="s">
        <v>31</v>
      </c>
      <c r="B8" s="6" t="s">
        <v>154</v>
      </c>
      <c r="C8" s="8" t="n">
        <v>13</v>
      </c>
      <c r="D8" s="8" t="n">
        <v>12433</v>
      </c>
      <c r="E8" s="8" t="n">
        <v>2</v>
      </c>
      <c r="F8" s="9" t="n">
        <f aca="false">IFERROR(E8*1000/D8,0)</f>
        <v>0.160862221507279</v>
      </c>
      <c r="G8" s="6"/>
    </row>
    <row r="9" customFormat="false" ht="15" hidden="false" customHeight="false" outlineLevel="0" collapsed="false">
      <c r="A9" s="6" t="s">
        <v>31</v>
      </c>
      <c r="B9" s="6" t="s">
        <v>197</v>
      </c>
      <c r="C9" s="8" t="n">
        <v>3</v>
      </c>
      <c r="D9" s="8" t="n">
        <v>4150</v>
      </c>
      <c r="E9" s="8" t="n">
        <v>0</v>
      </c>
      <c r="F9" s="34" t="n">
        <f aca="false">IFERROR(E9*1000/D9,0)</f>
        <v>0</v>
      </c>
      <c r="G9" s="7" t="s">
        <v>423</v>
      </c>
    </row>
    <row r="10" customFormat="false" ht="15" hidden="false" customHeight="false" outlineLevel="0" collapsed="false">
      <c r="A10" s="6" t="s">
        <v>31</v>
      </c>
      <c r="B10" s="6" t="s">
        <v>129</v>
      </c>
      <c r="C10" s="8" t="n">
        <v>3</v>
      </c>
      <c r="D10" s="8" t="n">
        <v>1806</v>
      </c>
      <c r="E10" s="8" t="n">
        <v>0</v>
      </c>
      <c r="F10" s="34" t="n">
        <f aca="false">IFERROR(E10*1000/D10,0)</f>
        <v>0</v>
      </c>
      <c r="G10" s="7" t="s">
        <v>423</v>
      </c>
    </row>
    <row r="11" customFormat="false" ht="15" hidden="false" customHeight="false" outlineLevel="0" collapsed="false">
      <c r="A11" s="6" t="s">
        <v>31</v>
      </c>
      <c r="B11" s="6" t="s">
        <v>314</v>
      </c>
      <c r="C11" s="8" t="n">
        <v>7</v>
      </c>
      <c r="D11" s="8" t="n">
        <v>3427</v>
      </c>
      <c r="E11" s="8" t="n">
        <v>0</v>
      </c>
      <c r="F11" s="34" t="n">
        <f aca="false">IFERROR(E11*1000/D11,0)</f>
        <v>0</v>
      </c>
      <c r="G11" s="7" t="s">
        <v>423</v>
      </c>
    </row>
    <row r="12" customFormat="false" ht="15" hidden="false" customHeight="false" outlineLevel="0" collapsed="false">
      <c r="A12" s="6" t="s">
        <v>27</v>
      </c>
      <c r="B12" s="6" t="s">
        <v>136</v>
      </c>
      <c r="C12" s="8" t="n">
        <v>15</v>
      </c>
      <c r="D12" s="8" t="n">
        <v>25487</v>
      </c>
      <c r="E12" s="8" t="n">
        <v>21</v>
      </c>
      <c r="F12" s="33" t="n">
        <f aca="false">IFERROR(E12*1000/D12,0)</f>
        <v>0.823949464432848</v>
      </c>
      <c r="G12" s="7" t="s">
        <v>422</v>
      </c>
    </row>
    <row r="13" customFormat="false" ht="15" hidden="false" customHeight="false" outlineLevel="0" collapsed="false">
      <c r="A13" s="6" t="s">
        <v>27</v>
      </c>
      <c r="B13" s="6" t="s">
        <v>228</v>
      </c>
      <c r="C13" s="8" t="n">
        <v>7</v>
      </c>
      <c r="D13" s="8" t="n">
        <v>7922</v>
      </c>
      <c r="E13" s="8" t="n">
        <v>3</v>
      </c>
      <c r="F13" s="9" t="n">
        <f aca="false">IFERROR(E13*1000/D13,0)</f>
        <v>0.378692249431962</v>
      </c>
      <c r="G13" s="6"/>
    </row>
    <row r="14" customFormat="false" ht="15" hidden="false" customHeight="false" outlineLevel="0" collapsed="false">
      <c r="A14" s="6" t="s">
        <v>27</v>
      </c>
      <c r="B14" s="6" t="s">
        <v>129</v>
      </c>
      <c r="C14" s="8" t="n">
        <v>4</v>
      </c>
      <c r="D14" s="8" t="n">
        <v>3317</v>
      </c>
      <c r="E14" s="8" t="n">
        <v>1</v>
      </c>
      <c r="F14" s="9" t="n">
        <f aca="false">IFERROR(E14*1000/D14,0)</f>
        <v>0.301477238468496</v>
      </c>
      <c r="G14" s="6"/>
    </row>
    <row r="15" customFormat="false" ht="15" hidden="false" customHeight="false" outlineLevel="0" collapsed="false">
      <c r="A15" s="6" t="s">
        <v>27</v>
      </c>
      <c r="B15" s="6" t="s">
        <v>199</v>
      </c>
      <c r="C15" s="8" t="n">
        <v>4</v>
      </c>
      <c r="D15" s="8" t="n">
        <v>4254</v>
      </c>
      <c r="E15" s="8" t="n">
        <v>1</v>
      </c>
      <c r="F15" s="9" t="n">
        <f aca="false">IFERROR(E15*1000/D15,0)</f>
        <v>0.235072872590503</v>
      </c>
      <c r="G15" s="6"/>
    </row>
    <row r="16" customFormat="false" ht="15" hidden="false" customHeight="false" outlineLevel="0" collapsed="false">
      <c r="A16" s="6" t="s">
        <v>27</v>
      </c>
      <c r="B16" s="6" t="s">
        <v>168</v>
      </c>
      <c r="C16" s="8" t="n">
        <v>4</v>
      </c>
      <c r="D16" s="8" t="n">
        <v>3362</v>
      </c>
      <c r="E16" s="8" t="n">
        <v>0</v>
      </c>
      <c r="F16" s="34" t="n">
        <f aca="false">IFERROR(E16*1000/D16,0)</f>
        <v>0</v>
      </c>
      <c r="G16" s="7" t="s">
        <v>423</v>
      </c>
    </row>
    <row r="17" customFormat="false" ht="15" hidden="false" customHeight="false" outlineLevel="0" collapsed="false">
      <c r="A17" s="6" t="s">
        <v>21</v>
      </c>
      <c r="B17" s="6" t="s">
        <v>136</v>
      </c>
      <c r="C17" s="8" t="n">
        <v>14</v>
      </c>
      <c r="D17" s="8" t="n">
        <v>12135</v>
      </c>
      <c r="E17" s="8" t="n">
        <v>15</v>
      </c>
      <c r="F17" s="33" t="n">
        <f aca="false">IFERROR(E17*1000/D17,0)</f>
        <v>1.23609394313968</v>
      </c>
      <c r="G17" s="7" t="s">
        <v>422</v>
      </c>
    </row>
    <row r="18" customFormat="false" ht="15" hidden="false" customHeight="false" outlineLevel="0" collapsed="false">
      <c r="A18" s="6" t="s">
        <v>21</v>
      </c>
      <c r="B18" s="6" t="s">
        <v>168</v>
      </c>
      <c r="C18" s="8" t="n">
        <v>4</v>
      </c>
      <c r="D18" s="8" t="n">
        <v>3195</v>
      </c>
      <c r="E18" s="8" t="n">
        <v>1</v>
      </c>
      <c r="F18" s="9" t="n">
        <f aca="false">IFERROR(E18*1000/D18,0)</f>
        <v>0.312989045383412</v>
      </c>
      <c r="G18" s="6"/>
    </row>
    <row r="19" customFormat="false" ht="15" hidden="false" customHeight="false" outlineLevel="0" collapsed="false">
      <c r="A19" s="6" t="s">
        <v>21</v>
      </c>
      <c r="B19" s="6" t="s">
        <v>189</v>
      </c>
      <c r="C19" s="8" t="n">
        <v>3</v>
      </c>
      <c r="D19" s="8" t="n">
        <v>3198</v>
      </c>
      <c r="E19" s="8" t="n">
        <v>1</v>
      </c>
      <c r="F19" s="9" t="n">
        <f aca="false">IFERROR(E19*1000/D19,0)</f>
        <v>0.312695434646654</v>
      </c>
      <c r="G19" s="6"/>
    </row>
    <row r="20" customFormat="false" ht="15" hidden="false" customHeight="false" outlineLevel="0" collapsed="false">
      <c r="A20" s="6" t="s">
        <v>21</v>
      </c>
      <c r="B20" s="6" t="s">
        <v>154</v>
      </c>
      <c r="C20" s="8" t="n">
        <v>6</v>
      </c>
      <c r="D20" s="8" t="n">
        <v>4378</v>
      </c>
      <c r="E20" s="8" t="n">
        <v>1</v>
      </c>
      <c r="F20" s="9" t="n">
        <f aca="false">IFERROR(E20*1000/D20,0)</f>
        <v>0.228414801279123</v>
      </c>
      <c r="G20" s="6"/>
    </row>
    <row r="21" customFormat="false" ht="15" hidden="false" customHeight="false" outlineLevel="0" collapsed="false">
      <c r="A21" s="6" t="s">
        <v>21</v>
      </c>
      <c r="B21" s="6" t="s">
        <v>142</v>
      </c>
      <c r="C21" s="8" t="n">
        <v>6</v>
      </c>
      <c r="D21" s="8" t="n">
        <v>5552</v>
      </c>
      <c r="E21" s="8" t="n">
        <v>1</v>
      </c>
      <c r="F21" s="9" t="n">
        <f aca="false">IFERROR(E21*1000/D21,0)</f>
        <v>0.180115273775216</v>
      </c>
      <c r="G21" s="6"/>
    </row>
    <row r="22" customFormat="false" ht="15" hidden="false" customHeight="false" outlineLevel="0" collapsed="false">
      <c r="A22" s="6" t="s">
        <v>29</v>
      </c>
      <c r="B22" s="6" t="s">
        <v>136</v>
      </c>
      <c r="C22" s="8" t="n">
        <v>12</v>
      </c>
      <c r="D22" s="8" t="n">
        <v>10843</v>
      </c>
      <c r="E22" s="8" t="n">
        <v>4</v>
      </c>
      <c r="F22" s="33" t="n">
        <f aca="false">IFERROR(E22*1000/D22,0)</f>
        <v>0.368901595499401</v>
      </c>
      <c r="G22" s="7" t="s">
        <v>422</v>
      </c>
    </row>
    <row r="23" customFormat="false" ht="15" hidden="false" customHeight="false" outlineLevel="0" collapsed="false">
      <c r="A23" s="6" t="s">
        <v>29</v>
      </c>
      <c r="B23" s="6" t="s">
        <v>213</v>
      </c>
      <c r="C23" s="8" t="n">
        <v>4</v>
      </c>
      <c r="D23" s="8" t="n">
        <v>3379</v>
      </c>
      <c r="E23" s="8" t="n">
        <v>1</v>
      </c>
      <c r="F23" s="9" t="n">
        <f aca="false">IFERROR(E23*1000/D23,0)</f>
        <v>0.295945546019532</v>
      </c>
      <c r="G23" s="6"/>
    </row>
    <row r="24" customFormat="false" ht="15" hidden="false" customHeight="false" outlineLevel="0" collapsed="false">
      <c r="A24" s="6" t="s">
        <v>29</v>
      </c>
      <c r="B24" s="6" t="s">
        <v>142</v>
      </c>
      <c r="C24" s="8" t="n">
        <v>4</v>
      </c>
      <c r="D24" s="8" t="n">
        <v>3715</v>
      </c>
      <c r="E24" s="8" t="n">
        <v>1</v>
      </c>
      <c r="F24" s="9" t="n">
        <f aca="false">IFERROR(E24*1000/D24,0)</f>
        <v>0.269179004037685</v>
      </c>
      <c r="G24" s="6"/>
    </row>
    <row r="25" customFormat="false" ht="15" hidden="false" customHeight="false" outlineLevel="0" collapsed="false">
      <c r="A25" s="6" t="s">
        <v>29</v>
      </c>
      <c r="B25" s="6" t="s">
        <v>154</v>
      </c>
      <c r="C25" s="8" t="n">
        <v>4</v>
      </c>
      <c r="D25" s="8" t="n">
        <v>5487</v>
      </c>
      <c r="E25" s="8" t="n">
        <v>0</v>
      </c>
      <c r="F25" s="34" t="n">
        <f aca="false">IFERROR(E25*1000/D25,0)</f>
        <v>0</v>
      </c>
      <c r="G25" s="7" t="s">
        <v>423</v>
      </c>
    </row>
    <row r="26" customFormat="false" ht="15" hidden="false" customHeight="false" outlineLevel="0" collapsed="false">
      <c r="A26" s="6" t="s">
        <v>23</v>
      </c>
      <c r="B26" s="6" t="s">
        <v>136</v>
      </c>
      <c r="C26" s="8" t="n">
        <v>4</v>
      </c>
      <c r="D26" s="8" t="n">
        <v>3784</v>
      </c>
      <c r="E26" s="8" t="n">
        <v>5</v>
      </c>
      <c r="F26" s="33" t="n">
        <f aca="false">IFERROR(E26*1000/D26,0)</f>
        <v>1.32135306553911</v>
      </c>
      <c r="G26" s="7" t="s">
        <v>422</v>
      </c>
    </row>
    <row r="27" customFormat="false" ht="15" hidden="false" customHeight="false" outlineLevel="0" collapsed="false">
      <c r="A27" s="6" t="s">
        <v>23</v>
      </c>
      <c r="B27" s="6" t="s">
        <v>129</v>
      </c>
      <c r="C27" s="8" t="n">
        <v>17</v>
      </c>
      <c r="D27" s="8" t="n">
        <v>9212</v>
      </c>
      <c r="E27" s="8" t="n">
        <v>11</v>
      </c>
      <c r="F27" s="33" t="n">
        <f aca="false">IFERROR(E27*1000/D27,0)</f>
        <v>1.19409465914025</v>
      </c>
      <c r="G27" s="7" t="s">
        <v>422</v>
      </c>
    </row>
    <row r="28" customFormat="false" ht="15" hidden="false" customHeight="false" outlineLevel="0" collapsed="false">
      <c r="A28" s="6" t="s">
        <v>23</v>
      </c>
      <c r="B28" s="6" t="s">
        <v>154</v>
      </c>
      <c r="C28" s="8" t="n">
        <v>3</v>
      </c>
      <c r="D28" s="8" t="n">
        <v>2762</v>
      </c>
      <c r="E28" s="8" t="n">
        <v>2</v>
      </c>
      <c r="F28" s="9" t="n">
        <f aca="false">IFERROR(E28*1000/D28,0)</f>
        <v>0.724112961622013</v>
      </c>
      <c r="G28" s="6"/>
    </row>
    <row r="29" customFormat="false" ht="15" hidden="false" customHeight="false" outlineLevel="0" collapsed="false">
      <c r="A29" s="6" t="s">
        <v>23</v>
      </c>
      <c r="B29" s="6" t="s">
        <v>168</v>
      </c>
      <c r="C29" s="8" t="n">
        <v>9</v>
      </c>
      <c r="D29" s="8" t="n">
        <v>7028</v>
      </c>
      <c r="E29" s="8" t="n">
        <v>4</v>
      </c>
      <c r="F29" s="9" t="n">
        <f aca="false">IFERROR(E29*1000/D29,0)</f>
        <v>0.569151963574274</v>
      </c>
      <c r="G29" s="6"/>
    </row>
    <row r="30" customFormat="false" ht="15" hidden="false" customHeight="false" outlineLevel="0" collapsed="false">
      <c r="A30" s="6" t="s">
        <v>23</v>
      </c>
      <c r="B30" s="6" t="s">
        <v>197</v>
      </c>
      <c r="C30" s="8" t="n">
        <v>8</v>
      </c>
      <c r="D30" s="8" t="n">
        <v>7691</v>
      </c>
      <c r="E30" s="8" t="n">
        <v>4</v>
      </c>
      <c r="F30" s="9" t="n">
        <f aca="false">IFERROR(E30*1000/D30,0)</f>
        <v>0.520088415030555</v>
      </c>
      <c r="G30" s="6"/>
    </row>
    <row r="31" customFormat="false" ht="15" hidden="false" customHeight="false" outlineLevel="0" collapsed="false">
      <c r="A31" s="6" t="s">
        <v>25</v>
      </c>
      <c r="B31" s="6" t="s">
        <v>162</v>
      </c>
      <c r="C31" s="8" t="n">
        <v>3</v>
      </c>
      <c r="D31" s="8" t="n">
        <v>1212</v>
      </c>
      <c r="E31" s="8" t="n">
        <v>2</v>
      </c>
      <c r="F31" s="33" t="n">
        <f aca="false">IFERROR(E31*1000/D31,0)</f>
        <v>1.65016501650165</v>
      </c>
      <c r="G31" s="7" t="s">
        <v>422</v>
      </c>
    </row>
    <row r="32" customFormat="false" ht="15" hidden="false" customHeight="false" outlineLevel="0" collapsed="false">
      <c r="A32" s="6" t="s">
        <v>25</v>
      </c>
      <c r="B32" s="6" t="s">
        <v>142</v>
      </c>
      <c r="C32" s="8" t="n">
        <v>11</v>
      </c>
      <c r="D32" s="8" t="n">
        <v>9055</v>
      </c>
      <c r="E32" s="8" t="n">
        <v>11</v>
      </c>
      <c r="F32" s="9" t="n">
        <f aca="false">IFERROR(E32*1000/D32,0)</f>
        <v>1.21479845389288</v>
      </c>
      <c r="G32" s="6"/>
    </row>
    <row r="33" customFormat="false" ht="15" hidden="false" customHeight="false" outlineLevel="0" collapsed="false">
      <c r="A33" s="6" t="s">
        <v>25</v>
      </c>
      <c r="B33" s="6" t="s">
        <v>154</v>
      </c>
      <c r="C33" s="8" t="n">
        <v>3</v>
      </c>
      <c r="D33" s="8" t="n">
        <v>1743</v>
      </c>
      <c r="E33" s="8" t="n">
        <v>1</v>
      </c>
      <c r="F33" s="9" t="n">
        <f aca="false">IFERROR(E33*1000/D33,0)</f>
        <v>0.57372346528973</v>
      </c>
      <c r="G33" s="6"/>
    </row>
    <row r="34" customFormat="false" ht="15" hidden="false" customHeight="false" outlineLevel="0" collapsed="false">
      <c r="A34" s="6" t="s">
        <v>25</v>
      </c>
      <c r="B34" s="6" t="s">
        <v>136</v>
      </c>
      <c r="C34" s="8" t="n">
        <v>4</v>
      </c>
      <c r="D34" s="8" t="n">
        <v>3513</v>
      </c>
      <c r="E34" s="8" t="n">
        <v>2</v>
      </c>
      <c r="F34" s="9" t="n">
        <f aca="false">IFERROR(E34*1000/D34,0)</f>
        <v>0.569313976658127</v>
      </c>
      <c r="G34" s="6"/>
    </row>
    <row r="35" customFormat="false" ht="15" hidden="false" customHeight="false" outlineLevel="0" collapsed="false">
      <c r="A35" s="6" t="s">
        <v>25</v>
      </c>
      <c r="B35" s="6" t="s">
        <v>129</v>
      </c>
      <c r="C35" s="8" t="n">
        <v>10</v>
      </c>
      <c r="D35" s="8" t="n">
        <v>9963</v>
      </c>
      <c r="E35" s="8" t="n">
        <v>5</v>
      </c>
      <c r="F35" s="9" t="n">
        <f aca="false">IFERROR(E35*1000/D35,0)</f>
        <v>0.501856870420556</v>
      </c>
      <c r="G35" s="6"/>
    </row>
    <row r="38" customFormat="false" ht="15" hidden="false" customHeight="false" outlineLevel="0" collapsed="false">
      <c r="A38" s="3" t="s">
        <v>424</v>
      </c>
    </row>
    <row r="39" customFormat="false" ht="15" hidden="false" customHeight="false" outlineLevel="0" collapsed="false">
      <c r="A39" s="5" t="s">
        <v>118</v>
      </c>
      <c r="B39" s="5" t="s">
        <v>11</v>
      </c>
      <c r="C39" s="5" t="s">
        <v>12</v>
      </c>
      <c r="D39" s="5" t="s">
        <v>14</v>
      </c>
      <c r="E39" s="5" t="s">
        <v>15</v>
      </c>
      <c r="F39" s="5" t="s">
        <v>425</v>
      </c>
    </row>
    <row r="40" customFormat="false" ht="15" hidden="false" customHeight="false" outlineLevel="0" collapsed="false">
      <c r="A40" s="6" t="s">
        <v>426</v>
      </c>
      <c r="B40" s="8" t="n">
        <v>7</v>
      </c>
      <c r="C40" s="8" t="n">
        <v>7921</v>
      </c>
      <c r="D40" s="8" t="n">
        <v>2</v>
      </c>
      <c r="E40" s="9" t="n">
        <f aca="false">IFERROR(D40*1000/C40,0)</f>
        <v>0.252493372048984</v>
      </c>
      <c r="F40" s="6"/>
    </row>
    <row r="41" customFormat="false" ht="15" hidden="false" customHeight="false" outlineLevel="0" collapsed="false">
      <c r="A41" s="6" t="s">
        <v>427</v>
      </c>
      <c r="B41" s="8" t="n">
        <v>1</v>
      </c>
      <c r="C41" s="8" t="n">
        <v>1350</v>
      </c>
      <c r="D41" s="8" t="n">
        <v>0</v>
      </c>
      <c r="E41" s="9" t="n">
        <f aca="false">IFERROR(D41*1000/C41,0)</f>
        <v>0</v>
      </c>
      <c r="F41" s="6"/>
    </row>
    <row r="42" customFormat="false" ht="15" hidden="false" customHeight="false" outlineLevel="0" collapsed="false">
      <c r="A42" s="6" t="s">
        <v>428</v>
      </c>
      <c r="B42" s="8" t="n">
        <v>13</v>
      </c>
      <c r="C42" s="8" t="n">
        <v>13115</v>
      </c>
      <c r="D42" s="8" t="n">
        <v>1</v>
      </c>
      <c r="E42" s="9" t="n">
        <f aca="false">IFERROR(D42*1000/C42,0)</f>
        <v>0.0762485703393061</v>
      </c>
      <c r="F42" s="6"/>
    </row>
    <row r="43" customFormat="false" ht="15" hidden="false" customHeight="false" outlineLevel="0" collapsed="false">
      <c r="A43" s="6" t="s">
        <v>429</v>
      </c>
      <c r="B43" s="8" t="n">
        <v>7</v>
      </c>
      <c r="C43" s="8" t="n">
        <v>7422</v>
      </c>
      <c r="D43" s="8" t="n">
        <v>3</v>
      </c>
      <c r="E43" s="9" t="n">
        <f aca="false">IFERROR(D43*1000/C43,0)</f>
        <v>0.404203718674212</v>
      </c>
      <c r="F43" s="6"/>
    </row>
    <row r="44" customFormat="false" ht="15" hidden="false" customHeight="false" outlineLevel="0" collapsed="false">
      <c r="A44" s="6" t="s">
        <v>430</v>
      </c>
      <c r="B44" s="8" t="n">
        <v>7</v>
      </c>
      <c r="C44" s="8" t="n">
        <v>6177</v>
      </c>
      <c r="D44" s="8" t="n">
        <v>2</v>
      </c>
      <c r="E44" s="9" t="n">
        <f aca="false">IFERROR(D44*1000/C44,0)</f>
        <v>0.323781771086288</v>
      </c>
      <c r="F44" s="6"/>
    </row>
    <row r="45" customFormat="false" ht="15" hidden="false" customHeight="false" outlineLevel="0" collapsed="false">
      <c r="A45" s="6" t="s">
        <v>181</v>
      </c>
      <c r="B45" s="8" t="n">
        <v>7</v>
      </c>
      <c r="C45" s="8" t="n">
        <v>9143</v>
      </c>
      <c r="D45" s="8" t="n">
        <v>6</v>
      </c>
      <c r="E45" s="9" t="n">
        <f aca="false">IFERROR(D45*1000/C45,0)</f>
        <v>0.656239746253965</v>
      </c>
      <c r="F45" s="6"/>
    </row>
    <row r="46" customFormat="false" ht="15" hidden="false" customHeight="false" outlineLevel="0" collapsed="false">
      <c r="A46" s="6" t="s">
        <v>164</v>
      </c>
      <c r="B46" s="8" t="n">
        <v>13</v>
      </c>
      <c r="C46" s="8" t="n">
        <v>9616</v>
      </c>
      <c r="D46" s="8" t="n">
        <v>2</v>
      </c>
      <c r="E46" s="9" t="n">
        <f aca="false">IFERROR(D46*1000/C46,0)</f>
        <v>0.207986688851914</v>
      </c>
      <c r="F46" s="6"/>
    </row>
    <row r="47" customFormat="false" ht="15" hidden="false" customHeight="false" outlineLevel="0" collapsed="false">
      <c r="A47" s="6" t="s">
        <v>128</v>
      </c>
      <c r="B47" s="8" t="n">
        <v>7</v>
      </c>
      <c r="C47" s="8" t="n">
        <v>5175</v>
      </c>
      <c r="D47" s="8" t="n">
        <v>1</v>
      </c>
      <c r="E47" s="9" t="n">
        <f aca="false">IFERROR(D47*1000/C47,0)</f>
        <v>0.193236714975845</v>
      </c>
      <c r="F47" s="6"/>
    </row>
    <row r="48" customFormat="false" ht="15" hidden="false" customHeight="false" outlineLevel="0" collapsed="false">
      <c r="A48" s="6" t="s">
        <v>215</v>
      </c>
      <c r="B48" s="8" t="n">
        <v>6</v>
      </c>
      <c r="C48" s="8" t="n">
        <v>4750</v>
      </c>
      <c r="D48" s="8" t="n">
        <v>3</v>
      </c>
      <c r="E48" s="9" t="n">
        <f aca="false">IFERROR(D48*1000/C48,0)</f>
        <v>0.631578947368421</v>
      </c>
      <c r="F48" s="6"/>
    </row>
    <row r="49" customFormat="false" ht="15" hidden="false" customHeight="false" outlineLevel="0" collapsed="false">
      <c r="A49" s="6" t="s">
        <v>179</v>
      </c>
      <c r="B49" s="8" t="n">
        <v>5</v>
      </c>
      <c r="C49" s="8" t="n">
        <v>5903</v>
      </c>
      <c r="D49" s="8" t="n">
        <v>2</v>
      </c>
      <c r="E49" s="9" t="n">
        <f aca="false">IFERROR(D49*1000/C49,0)</f>
        <v>0.338810774182619</v>
      </c>
      <c r="F49" s="6"/>
    </row>
    <row r="50" customFormat="false" ht="15" hidden="false" customHeight="false" outlineLevel="0" collapsed="false">
      <c r="A50" s="6" t="s">
        <v>187</v>
      </c>
      <c r="B50" s="8" t="n">
        <v>8</v>
      </c>
      <c r="C50" s="8" t="n">
        <v>7084</v>
      </c>
      <c r="D50" s="8" t="n">
        <v>2</v>
      </c>
      <c r="E50" s="9" t="n">
        <f aca="false">IFERROR(D50*1000/C50,0)</f>
        <v>0.282326369282891</v>
      </c>
      <c r="F50" s="6"/>
    </row>
    <row r="51" customFormat="false" ht="15" hidden="false" customHeight="false" outlineLevel="0" collapsed="false">
      <c r="A51" s="6" t="s">
        <v>146</v>
      </c>
      <c r="B51" s="8" t="n">
        <v>7</v>
      </c>
      <c r="C51" s="8" t="n">
        <v>8549</v>
      </c>
      <c r="D51" s="8" t="n">
        <v>9</v>
      </c>
      <c r="E51" s="9" t="n">
        <f aca="false">IFERROR(D51*1000/C51,0)</f>
        <v>1.052754708153</v>
      </c>
      <c r="F51" s="6"/>
    </row>
    <row r="52" customFormat="false" ht="15" hidden="false" customHeight="false" outlineLevel="0" collapsed="false">
      <c r="A52" s="6" t="s">
        <v>176</v>
      </c>
      <c r="B52" s="8" t="n">
        <v>12</v>
      </c>
      <c r="C52" s="8" t="n">
        <v>12959</v>
      </c>
      <c r="D52" s="8" t="n">
        <v>11</v>
      </c>
      <c r="E52" s="9" t="n">
        <f aca="false">IFERROR(D52*1000/C52,0)</f>
        <v>0.84883092831237</v>
      </c>
      <c r="F52" s="6"/>
    </row>
    <row r="53" customFormat="false" ht="15" hidden="false" customHeight="false" outlineLevel="0" collapsed="false">
      <c r="A53" s="6" t="s">
        <v>150</v>
      </c>
      <c r="B53" s="8" t="n">
        <v>14</v>
      </c>
      <c r="C53" s="8" t="n">
        <v>12336</v>
      </c>
      <c r="D53" s="8" t="n">
        <v>6</v>
      </c>
      <c r="E53" s="9" t="n">
        <f aca="false">IFERROR(D53*1000/C53,0)</f>
        <v>0.486381322957198</v>
      </c>
      <c r="F53" s="6"/>
    </row>
    <row r="54" customFormat="false" ht="15" hidden="false" customHeight="false" outlineLevel="0" collapsed="false">
      <c r="A54" s="6" t="s">
        <v>219</v>
      </c>
      <c r="B54" s="8" t="n">
        <v>7</v>
      </c>
      <c r="C54" s="8" t="n">
        <v>7430</v>
      </c>
      <c r="D54" s="8" t="n">
        <v>2</v>
      </c>
      <c r="E54" s="9" t="n">
        <f aca="false">IFERROR(D54*1000/C54,0)</f>
        <v>0.269179004037685</v>
      </c>
      <c r="F54" s="6"/>
    </row>
    <row r="55" customFormat="false" ht="15" hidden="false" customHeight="false" outlineLevel="0" collapsed="false">
      <c r="A55" s="6" t="s">
        <v>141</v>
      </c>
      <c r="B55" s="8" t="n">
        <v>11</v>
      </c>
      <c r="C55" s="8" t="n">
        <v>8512</v>
      </c>
      <c r="D55" s="8" t="n">
        <v>4</v>
      </c>
      <c r="E55" s="9" t="n">
        <f aca="false">IFERROR(D55*1000/C55,0)</f>
        <v>0.469924812030075</v>
      </c>
      <c r="F55" s="6"/>
    </row>
    <row r="56" customFormat="false" ht="15" hidden="false" customHeight="false" outlineLevel="0" collapsed="false">
      <c r="A56" s="6" t="s">
        <v>135</v>
      </c>
      <c r="B56" s="8" t="n">
        <v>7</v>
      </c>
      <c r="C56" s="8" t="n">
        <v>6300</v>
      </c>
      <c r="D56" s="8" t="n">
        <v>6</v>
      </c>
      <c r="E56" s="9" t="n">
        <f aca="false">IFERROR(D56*1000/C56,0)</f>
        <v>0.952380952380952</v>
      </c>
      <c r="F56" s="6"/>
    </row>
    <row r="57" customFormat="false" ht="15" hidden="false" customHeight="false" outlineLevel="0" collapsed="false">
      <c r="A57" s="6" t="s">
        <v>196</v>
      </c>
      <c r="B57" s="8" t="n">
        <v>1</v>
      </c>
      <c r="C57" s="8" t="n">
        <v>940</v>
      </c>
      <c r="D57" s="8" t="n">
        <v>1</v>
      </c>
      <c r="E57" s="9" t="n">
        <f aca="false">IFERROR(D57*1000/C57,0)</f>
        <v>1.06382978723404</v>
      </c>
      <c r="F57" s="6"/>
    </row>
    <row r="58" customFormat="false" ht="15" hidden="false" customHeight="false" outlineLevel="0" collapsed="false">
      <c r="A58" s="6" t="s">
        <v>153</v>
      </c>
      <c r="B58" s="8" t="n">
        <v>7</v>
      </c>
      <c r="C58" s="8" t="n">
        <v>6600</v>
      </c>
      <c r="D58" s="8" t="n">
        <v>7</v>
      </c>
      <c r="E58" s="9" t="n">
        <f aca="false">IFERROR(D58*1000/C58,0)</f>
        <v>1.06060606060606</v>
      </c>
      <c r="F58" s="6"/>
    </row>
    <row r="59" customFormat="false" ht="15" hidden="false" customHeight="false" outlineLevel="0" collapsed="false">
      <c r="A59" s="6" t="s">
        <v>144</v>
      </c>
      <c r="B59" s="8" t="n">
        <v>17</v>
      </c>
      <c r="C59" s="8" t="n">
        <v>12970</v>
      </c>
      <c r="D59" s="8" t="n">
        <v>7</v>
      </c>
      <c r="E59" s="9" t="n">
        <f aca="false">IFERROR(D59*1000/C59,0)</f>
        <v>0.539707016191211</v>
      </c>
      <c r="F59" s="6"/>
    </row>
    <row r="60" customFormat="false" ht="15" hidden="false" customHeight="false" outlineLevel="0" collapsed="false">
      <c r="A60" s="6" t="s">
        <v>156</v>
      </c>
      <c r="B60" s="8" t="n">
        <v>19</v>
      </c>
      <c r="C60" s="8" t="n">
        <v>16884</v>
      </c>
      <c r="D60" s="8" t="n">
        <v>11</v>
      </c>
      <c r="E60" s="9" t="n">
        <f aca="false">IFERROR(D60*1000/C60,0)</f>
        <v>0.651504382847666</v>
      </c>
      <c r="F60" s="6"/>
    </row>
    <row r="61" customFormat="false" ht="15" hidden="false" customHeight="false" outlineLevel="0" collapsed="false">
      <c r="A61" s="6" t="s">
        <v>166</v>
      </c>
      <c r="B61" s="8" t="n">
        <v>18</v>
      </c>
      <c r="C61" s="8" t="n">
        <v>12454</v>
      </c>
      <c r="D61" s="8" t="n">
        <v>5</v>
      </c>
      <c r="E61" s="9" t="n">
        <f aca="false">IFERROR(D61*1000/C61,0)</f>
        <v>0.401477436968042</v>
      </c>
      <c r="F61" s="6"/>
    </row>
    <row r="62" customFormat="false" ht="15" hidden="false" customHeight="false" outlineLevel="0" collapsed="false">
      <c r="A62" s="6" t="s">
        <v>132</v>
      </c>
      <c r="B62" s="8" t="n">
        <v>18</v>
      </c>
      <c r="C62" s="8" t="n">
        <v>12077</v>
      </c>
      <c r="D62" s="8" t="n">
        <v>8</v>
      </c>
      <c r="E62" s="9" t="n">
        <f aca="false">IFERROR(D62*1000/C62,0)</f>
        <v>0.662416162954376</v>
      </c>
      <c r="F62" s="6"/>
    </row>
    <row r="63" customFormat="false" ht="15" hidden="false" customHeight="false" outlineLevel="0" collapsed="false">
      <c r="A63" s="6" t="s">
        <v>138</v>
      </c>
      <c r="B63" s="8" t="n">
        <v>14</v>
      </c>
      <c r="C63" s="8" t="n">
        <v>9067</v>
      </c>
      <c r="D63" s="8" t="n">
        <v>8</v>
      </c>
      <c r="E63" s="9" t="n">
        <f aca="false">IFERROR(D63*1000/C63,0)</f>
        <v>0.882320502922687</v>
      </c>
      <c r="F63" s="6"/>
    </row>
    <row r="64" customFormat="false" ht="15" hidden="false" customHeight="false" outlineLevel="0" collapsed="false">
      <c r="A64" s="6" t="s">
        <v>170</v>
      </c>
      <c r="B64" s="8" t="n">
        <v>3</v>
      </c>
      <c r="C64" s="8" t="n">
        <v>3240</v>
      </c>
      <c r="D64" s="8" t="n">
        <v>4</v>
      </c>
      <c r="E64" s="9" t="n">
        <f aca="false">IFERROR(D64*1000/C64,0)</f>
        <v>1.23456790123457</v>
      </c>
      <c r="F64" s="6" t="s">
        <v>431</v>
      </c>
    </row>
    <row r="65" customFormat="false" ht="15" hidden="false" customHeight="false" outlineLevel="0" collapsed="false">
      <c r="A65" s="6" t="s">
        <v>432</v>
      </c>
      <c r="B65" s="8" t="n">
        <v>6</v>
      </c>
      <c r="C65" s="8" t="n">
        <v>0</v>
      </c>
      <c r="D65" s="8" t="n">
        <v>0</v>
      </c>
      <c r="E65" s="9" t="n">
        <f aca="false">IFERROR(D65*1000/C65,0)</f>
        <v>0</v>
      </c>
      <c r="F65" s="35" t="s">
        <v>433</v>
      </c>
    </row>
    <row r="66" customFormat="false" ht="15" hidden="false" customHeight="false" outlineLevel="0" collapsed="false">
      <c r="A66" s="6" t="s">
        <v>434</v>
      </c>
      <c r="B66" s="8" t="n">
        <v>0</v>
      </c>
      <c r="C66" s="8" t="n">
        <v>0</v>
      </c>
      <c r="D66" s="8" t="n">
        <v>0</v>
      </c>
      <c r="E66" s="9" t="n">
        <v>0</v>
      </c>
      <c r="F66" s="35" t="s">
        <v>435</v>
      </c>
    </row>
    <row r="67" customFormat="false" ht="15" hidden="false" customHeight="false" outlineLevel="0" collapsed="false">
      <c r="A67" s="6" t="s">
        <v>436</v>
      </c>
      <c r="B67" s="8" t="n">
        <v>0</v>
      </c>
      <c r="C67" s="8" t="n">
        <v>0</v>
      </c>
      <c r="D67" s="8" t="n">
        <v>0</v>
      </c>
      <c r="E67" s="9" t="n">
        <v>0</v>
      </c>
      <c r="F67" s="35" t="s">
        <v>435</v>
      </c>
    </row>
    <row r="68" customFormat="false" ht="15" hidden="false" customHeight="false" outlineLevel="0" collapsed="false">
      <c r="A68" s="6" t="s">
        <v>437</v>
      </c>
      <c r="B68" s="8" t="n">
        <v>0</v>
      </c>
      <c r="C68" s="8" t="n">
        <v>0</v>
      </c>
      <c r="D68" s="8" t="n">
        <v>0</v>
      </c>
      <c r="E68" s="9" t="n">
        <v>0</v>
      </c>
      <c r="F68" s="35" t="s">
        <v>435</v>
      </c>
    </row>
    <row r="71" customFormat="false" ht="15" hidden="false" customHeight="false" outlineLevel="0" collapsed="false">
      <c r="A71" s="3" t="s">
        <v>438</v>
      </c>
    </row>
    <row r="72" customFormat="false" ht="15" hidden="false" customHeight="false" outlineLevel="0" collapsed="false">
      <c r="A72" s="5" t="s">
        <v>9</v>
      </c>
      <c r="B72" s="22" t="s">
        <v>439</v>
      </c>
      <c r="C72" s="22" t="s">
        <v>440</v>
      </c>
      <c r="D72" s="22" t="s">
        <v>441</v>
      </c>
      <c r="E72" s="22" t="s">
        <v>442</v>
      </c>
      <c r="F72" s="5" t="s">
        <v>443</v>
      </c>
      <c r="G72" s="5" t="s">
        <v>444</v>
      </c>
    </row>
    <row r="73" customFormat="false" ht="15" hidden="false" customHeight="false" outlineLevel="0" collapsed="false">
      <c r="A73" s="19" t="s">
        <v>23</v>
      </c>
      <c r="B73" s="19" t="s">
        <v>445</v>
      </c>
      <c r="C73" s="19" t="s">
        <v>417</v>
      </c>
      <c r="D73" s="19" t="s">
        <v>446</v>
      </c>
      <c r="E73" s="19" t="s">
        <v>417</v>
      </c>
      <c r="F73" s="36" t="s">
        <v>130</v>
      </c>
      <c r="G73" s="19" t="s">
        <v>447</v>
      </c>
    </row>
    <row r="74" customFormat="false" ht="15" hidden="false" customHeight="false" outlineLevel="0" collapsed="false">
      <c r="A74" s="19" t="s">
        <v>25</v>
      </c>
      <c r="B74" s="19" t="s">
        <v>448</v>
      </c>
      <c r="C74" s="19" t="s">
        <v>449</v>
      </c>
      <c r="D74" s="19" t="s">
        <v>450</v>
      </c>
      <c r="E74" s="19" t="s">
        <v>451</v>
      </c>
      <c r="F74" s="36" t="s">
        <v>139</v>
      </c>
      <c r="G74" s="17" t="s">
        <v>452</v>
      </c>
    </row>
    <row r="75" customFormat="false" ht="15" hidden="false" customHeight="false" outlineLevel="0" collapsed="false">
      <c r="A75" s="19" t="s">
        <v>21</v>
      </c>
      <c r="B75" s="19" t="s">
        <v>453</v>
      </c>
      <c r="C75" s="19" t="s">
        <v>417</v>
      </c>
      <c r="D75" s="19" t="s">
        <v>454</v>
      </c>
      <c r="E75" s="19" t="s">
        <v>417</v>
      </c>
      <c r="F75" s="36" t="s">
        <v>130</v>
      </c>
      <c r="G75" s="17" t="s">
        <v>455</v>
      </c>
    </row>
    <row r="76" customFormat="false" ht="15" hidden="false" customHeight="false" outlineLevel="0" collapsed="false">
      <c r="A76" s="19" t="s">
        <v>27</v>
      </c>
      <c r="B76" s="19" t="s">
        <v>456</v>
      </c>
      <c r="C76" s="19" t="s">
        <v>417</v>
      </c>
      <c r="D76" s="19" t="s">
        <v>457</v>
      </c>
      <c r="E76" s="19" t="s">
        <v>417</v>
      </c>
      <c r="F76" s="36" t="s">
        <v>133</v>
      </c>
      <c r="G76" s="17" t="s">
        <v>455</v>
      </c>
    </row>
    <row r="77" customFormat="false" ht="15" hidden="false" customHeight="false" outlineLevel="0" collapsed="false">
      <c r="A77" s="19" t="s">
        <v>29</v>
      </c>
      <c r="B77" s="19" t="s">
        <v>458</v>
      </c>
      <c r="C77" s="19" t="s">
        <v>459</v>
      </c>
      <c r="D77" s="19" t="s">
        <v>460</v>
      </c>
      <c r="E77" s="19" t="s">
        <v>417</v>
      </c>
      <c r="F77" s="36" t="s">
        <v>133</v>
      </c>
      <c r="G77" s="19" t="s">
        <v>461</v>
      </c>
    </row>
    <row r="78" customFormat="false" ht="15" hidden="false" customHeight="false" outlineLevel="0" collapsed="false">
      <c r="A78" s="19" t="s">
        <v>31</v>
      </c>
      <c r="B78" s="19" t="s">
        <v>462</v>
      </c>
      <c r="C78" s="19" t="s">
        <v>417</v>
      </c>
      <c r="D78" s="19" t="s">
        <v>463</v>
      </c>
      <c r="E78" s="19" t="s">
        <v>464</v>
      </c>
      <c r="F78" s="36" t="s">
        <v>130</v>
      </c>
      <c r="G78" s="19" t="s">
        <v>465</v>
      </c>
    </row>
    <row r="80" customFormat="false" ht="31.5" hidden="false" customHeight="true" outlineLevel="0" collapsed="false">
      <c r="A80" s="37" t="s">
        <v>466</v>
      </c>
      <c r="B80" s="37"/>
      <c r="C80" s="37"/>
      <c r="D80" s="37"/>
      <c r="E80" s="37"/>
      <c r="F80" s="37"/>
      <c r="G80" s="37"/>
    </row>
  </sheetData>
  <mergeCells count="1">
    <mergeCell ref="A80:G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2026-09-14T01:16:44Z</dcterms:created>
  <dc:creator>openpyxl</dc:creator>
  <dc:description/>
  <dc:language>en-US</dc:language>
  <cp:lastModifiedBy/>
  <dcterms:modified xsi:type="dcterms:W3CDTF">2026-09-14T01:16:45Z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