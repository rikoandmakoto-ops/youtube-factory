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サマリー" sheetId="1" state="visible" r:id="rId1"/>
    <sheet xmlns:r="http://schemas.openxmlformats.org/officeDocument/2006/relationships" name="チャンネル別詳細" sheetId="2" state="visible" r:id="rId2"/>
    <sheet xmlns:r="http://schemas.openxmlformats.org/officeDocument/2006/relationships" name="動画別パフォーマンス" sheetId="3" state="visible" r:id="rId3"/>
    <sheet xmlns:r="http://schemas.openxmlformats.org/officeDocument/2006/relationships" name="改善アクション" sheetId="4" state="visible" r:id="rId4"/>
    <sheet xmlns:r="http://schemas.openxmlformats.org/officeDocument/2006/relationships" name="トレンド" sheetId="5" state="visible" r:id="rId5"/>
  </sheets>
  <definedNames>
    <definedName name="_xlnm._FilterDatabase" localSheetId="2" hidden="1">'動画別パフォーマンス'!$A$4:$N$196</definedName>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0x"/>
  </numFmts>
  <fonts count="7">
    <font>
      <name val="Calibri"/>
      <family val="2"/>
      <color theme="1"/>
      <sz val="11"/>
      <scheme val="minor"/>
    </font>
    <font>
      <name val="Arial"/>
      <b val="1"/>
      <color rgb="001F3864"/>
      <sz val="14"/>
    </font>
    <font>
      <name val="Arial"/>
      <i val="1"/>
      <color rgb="00666666"/>
      <sz val="9"/>
    </font>
    <font>
      <name val="Arial"/>
      <b val="1"/>
      <sz val="10"/>
    </font>
    <font>
      <name val="Arial"/>
      <sz val="10"/>
    </font>
    <font>
      <name val="Arial"/>
      <b val="1"/>
      <color rgb="00FFFFFF"/>
      <sz val="10"/>
    </font>
    <font>
      <name val="Arial"/>
      <b val="1"/>
      <color rgb="009C0006"/>
      <sz val="10"/>
    </font>
  </fonts>
  <fills count="7">
    <fill>
      <patternFill/>
    </fill>
    <fill>
      <patternFill patternType="gray125"/>
    </fill>
    <fill>
      <patternFill patternType="solid">
        <fgColor rgb="001F3864"/>
      </patternFill>
    </fill>
    <fill>
      <patternFill patternType="solid">
        <fgColor rgb="00D9E1F2"/>
      </patternFill>
    </fill>
    <fill>
      <patternFill patternType="solid">
        <fgColor rgb="00FFC7CE"/>
      </patternFill>
    </fill>
    <fill>
      <patternFill patternType="solid">
        <fgColor rgb="00C6EF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4"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0" fontId="3" fillId="3" borderId="1" pivotButton="0" quotePrefix="0" xfId="0"/>
    <xf numFmtId="3" fontId="3" fillId="3" borderId="1" pivotButton="0" quotePrefix="0" xfId="0"/>
    <xf numFmtId="164" fontId="3" fillId="3" borderId="1" pivotButton="0" quotePrefix="0" xfId="0"/>
    <xf numFmtId="166" fontId="3" fillId="3" borderId="1" pivotButton="0" quotePrefix="0" xfId="0"/>
    <xf numFmtId="0" fontId="4" fillId="0" borderId="1" applyAlignment="1" pivotButton="0" quotePrefix="0" xfId="0">
      <alignment vertical="top" wrapText="1"/>
    </xf>
    <xf numFmtId="0" fontId="6" fillId="4" borderId="1" applyAlignment="1" pivotButton="0" quotePrefix="0" xfId="0">
      <alignment vertical="top" wrapText="1"/>
    </xf>
    <xf numFmtId="3" fontId="4" fillId="0" borderId="1" applyAlignment="1" pivotButton="0" quotePrefix="0" xfId="0">
      <alignment vertical="top" wrapText="1"/>
    </xf>
    <xf numFmtId="165" fontId="4" fillId="0" borderId="1" applyAlignment="1" pivotButton="0" quotePrefix="0" xfId="0">
      <alignment vertical="top" wrapText="1"/>
    </xf>
    <xf numFmtId="0" fontId="4" fillId="5" borderId="1" applyAlignment="1" pivotButton="0" quotePrefix="0" xfId="0">
      <alignment vertical="top" wrapText="1"/>
    </xf>
    <xf numFmtId="0" fontId="4" fillId="4" borderId="1" applyAlignment="1" pivotButton="0" quotePrefix="0" xfId="0">
      <alignment vertical="top" wrapText="1"/>
    </xf>
    <xf numFmtId="0" fontId="2" fillId="0" borderId="0" applyAlignment="1" pivotButton="0" quotePrefix="0" xfId="0">
      <alignment vertical="top" wrapText="1"/>
    </xf>
    <xf numFmtId="2" fontId="4" fillId="5" borderId="1" pivotButton="0" quotePrefix="0" xfId="0"/>
    <xf numFmtId="2" fontId="4" fillId="0" borderId="1" pivotButton="0" quotePrefix="0" xfId="0"/>
    <xf numFmtId="2" fontId="4" fillId="4" borderId="1" pivotButton="0" quotePrefix="0" xfId="0"/>
    <xf numFmtId="0" fontId="3" fillId="4" borderId="1" applyAlignment="1" pivotButton="0" quotePrefix="0" xfId="0">
      <alignment vertical="top" wrapText="1"/>
    </xf>
    <xf numFmtId="0" fontId="3" fillId="6" borderId="1" applyAlignment="1" pivotButton="0" quotePrefix="0" xfId="0">
      <alignment vertical="top" wrapText="1"/>
    </xf>
    <xf numFmtId="164" fontId="4" fillId="5" borderId="1" pivotButton="0" quotePrefix="0" xfId="0"/>
    <xf numFmtId="164" fontId="4" fillId="4" borderId="1" pivotButton="0" quotePrefix="0" xfId="0"/>
    <xf numFmtId="0" fontId="6" fillId="4" borderId="1" pivotButton="0" quotePrefix="0" xfId="0"/>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7"/>
  <sheetViews>
    <sheetView workbookViewId="0">
      <pane ySplit="22" topLeftCell="A23" activePane="bottomLeft" state="frozen"/>
      <selection pane="bottomLeft" activeCell="A1" sqref="A1"/>
    </sheetView>
  </sheetViews>
  <sheetFormatPr baseColWidth="8" defaultRowHeight="15"/>
  <cols>
    <col width="26" customWidth="1" min="1" max="1"/>
    <col width="22" customWidth="1" min="2" max="2"/>
    <col width="46" customWidth="1" min="3" max="3"/>
    <col width="46" customWidth="1" min="4" max="4"/>
    <col width="16" customWidth="1" min="5" max="5"/>
    <col width="8" customWidth="1" min="6" max="6"/>
    <col width="12" customWidth="1" min="7" max="7"/>
    <col width="11" customWidth="1" min="8" max="8"/>
    <col width="12" customWidth="1" min="9" max="9"/>
    <col width="13" customWidth="1" min="10" max="10"/>
    <col width="15" customWidth="1" min="11" max="11"/>
    <col width="9" customWidth="1" min="12" max="12"/>
  </cols>
  <sheetData>
    <row r="1">
      <c r="A1" s="1" t="inlineStr">
        <is>
          <t>YouTube Factory 指揮者レポート  2026-09-14</t>
        </is>
      </c>
    </row>
    <row r="2">
      <c r="A2" s="2" t="inlineStr">
        <is>
          <t>データ源: data/analytics/analytics.db（最終同期 2026-09-13 13:40 UTC）。video_metrics を video_id ごとの最新スナップショット1行に畳んで集計。判断軸は至上目標である 登録者/千再生。</t>
        </is>
      </c>
    </row>
    <row r="3"/>
    <row r="4">
      <c r="A4" s="3" t="inlineStr">
        <is>
          <t>■ 本日の結論</t>
        </is>
      </c>
    </row>
    <row r="5" ht="30" customHeight="1">
      <c r="A5" s="4" t="inlineStr">
        <is>
          <t>1. OAuth は 2026-09-13 に復旧した。09-09 から 5 日間ゼロだった公開が再開し、バックエンドログの直近 200KB に invalid_grant は 1 件も出ていない。</t>
        </is>
      </c>
    </row>
    <row r="6" ht="30" customHeight="1">
      <c r="A6" s="4" t="inlineStr">
        <is>
          <t>2. ただしカスタムサムネイルは 10ch 中 daily-science の 1ch でしか設定できていない。ログ全体で 成功 21 本（全部 daily-science）／失敗 163 本（他 9ch 全部）。原因は YouTube アカウントの電話番号確認が未了であること。パイプラインでは直せない。</t>
        </is>
      </c>
    </row>
    <row r="7" ht="30" customHeight="1">
      <c r="A7" s="4" t="inlineStr">
        <is>
          <t>3. 直近14日の全体 登録/千再生は 0.708 で、コホート全期間 0.544 から +30%。改善方向は正しい。</t>
        </is>
      </c>
    </row>
    <row r="8" ht="30" customHeight="1">
      <c r="A8" s="4" t="inlineStr">
        <is>
          <t>4. タイトルの「型」が登録変換をチャンネルごとに強く分ける。本日この型ルールを 6ch 全部に反映した。</t>
        </is>
      </c>
    </row>
    <row r="9" ht="30" customHeight="1">
      <c r="A9" s="4" t="inlineStr">
        <is>
          <t>5. 投稿枠は 17 時前後が 4ch で最良。登録ゼロの枠（2ch-matome 21時 など）を潰して夕方へ寄せた。</t>
        </is>
      </c>
    </row>
    <row r="10"/>
    <row r="11">
      <c r="A11" s="3" t="inlineStr">
        <is>
          <t>■ チャンネル別 実績（左: 公開2026-08-10以降の全コホート / 右: 直近14日 公開2026-08-31以降）</t>
        </is>
      </c>
    </row>
    <row r="12">
      <c r="A12" s="5" t="inlineStr">
        <is>
          <t>チャンネル</t>
        </is>
      </c>
      <c r="B12" s="5" t="inlineStr">
        <is>
          <t>名称</t>
        </is>
      </c>
      <c r="C12" s="5" t="inlineStr">
        <is>
          <t>本数</t>
        </is>
      </c>
      <c r="D12" s="5" t="inlineStr">
        <is>
          <t>総再生</t>
        </is>
      </c>
      <c r="E12" s="5" t="inlineStr">
        <is>
          <t>平均再生</t>
        </is>
      </c>
      <c r="F12" s="5" t="inlineStr">
        <is>
          <t>登録者</t>
        </is>
      </c>
      <c r="G12" s="5" t="inlineStr">
        <is>
          <t>登録/千再生</t>
        </is>
      </c>
      <c r="H12" s="5" t="inlineStr">
        <is>
          <t>高評価率%</t>
        </is>
      </c>
      <c r="I12" s="5" t="inlineStr">
        <is>
          <t>平均維持率%</t>
        </is>
      </c>
      <c r="J12" s="5" t="inlineStr">
        <is>
          <t>直近14日 本数</t>
        </is>
      </c>
      <c r="K12" s="5" t="inlineStr">
        <is>
          <t>直近14日 登録/千</t>
        </is>
      </c>
      <c r="L12" s="5" t="inlineStr">
        <is>
          <t>前期比</t>
        </is>
      </c>
    </row>
    <row r="13">
      <c r="A13" s="6" t="inlineStr">
        <is>
          <t>daily-science</t>
        </is>
      </c>
      <c r="B13" s="6" t="inlineStr">
        <is>
          <t>リコとマコトのゆっくり日常科学</t>
        </is>
      </c>
      <c r="C13" s="7" t="n">
        <v>41</v>
      </c>
      <c r="D13" s="7" t="n">
        <v>32790</v>
      </c>
      <c r="E13" s="7">
        <f>IFERROR(D13/C13,0)</f>
        <v/>
      </c>
      <c r="F13" s="7" t="n">
        <v>21</v>
      </c>
      <c r="G13" s="8">
        <f>IFERROR(F13*1000/D13,0)</f>
        <v/>
      </c>
      <c r="H13" s="8" t="n">
        <v>0.7288807563281489</v>
      </c>
      <c r="I13" s="9" t="n">
        <v>50.5</v>
      </c>
      <c r="J13" s="7" t="n">
        <v>16</v>
      </c>
      <c r="K13" s="8" t="n">
        <v>0.7721510842288141</v>
      </c>
      <c r="L13" s="10">
        <f>IFERROR(K13/G13,0)</f>
        <v/>
      </c>
    </row>
    <row r="14">
      <c r="A14" s="6" t="inlineStr">
        <is>
          <t>scp-lab</t>
        </is>
      </c>
      <c r="B14" s="6" t="inlineStr">
        <is>
          <t>異常存在SCPゆっくり解説ラボ</t>
        </is>
      </c>
      <c r="C14" s="7" t="n">
        <v>52</v>
      </c>
      <c r="D14" s="7" t="n">
        <v>37295</v>
      </c>
      <c r="E14" s="7">
        <f>IFERROR(D14/C14,0)</f>
        <v/>
      </c>
      <c r="F14" s="7" t="n">
        <v>31</v>
      </c>
      <c r="G14" s="8">
        <f>IFERROR(F14*1000/D14,0)</f>
        <v/>
      </c>
      <c r="H14" s="8" t="n">
        <v>0.437055905617375</v>
      </c>
      <c r="I14" s="9" t="n">
        <v>41.6</v>
      </c>
      <c r="J14" s="7" t="n">
        <v>20</v>
      </c>
      <c r="K14" s="8" t="n">
        <v>0.9818039010341668</v>
      </c>
      <c r="L14" s="10">
        <f>IFERROR(K14/G14,0)</f>
        <v/>
      </c>
    </row>
    <row r="15">
      <c r="A15" s="6" t="inlineStr">
        <is>
          <t>yokai-watch</t>
        </is>
      </c>
      <c r="B15" s="6" t="inlineStr">
        <is>
          <t>ゆっくり妖怪ラボ</t>
        </is>
      </c>
      <c r="C15" s="7" t="n">
        <v>39</v>
      </c>
      <c r="D15" s="7" t="n">
        <v>28494</v>
      </c>
      <c r="E15" s="7">
        <f>IFERROR(D15/C15,0)</f>
        <v/>
      </c>
      <c r="F15" s="7" t="n">
        <v>21</v>
      </c>
      <c r="G15" s="8">
        <f>IFERROR(F15*1000/D15,0)</f>
        <v/>
      </c>
      <c r="H15" s="8" t="n">
        <v>0.5474836807749</v>
      </c>
      <c r="I15" s="9" t="n">
        <v>44</v>
      </c>
      <c r="J15" s="7" t="n">
        <v>16</v>
      </c>
      <c r="K15" s="8" t="n">
        <v>1.201923076923077</v>
      </c>
      <c r="L15" s="10">
        <f>IFERROR(K15/G15,0)</f>
        <v/>
      </c>
    </row>
    <row r="16">
      <c r="A16" s="6" t="inlineStr">
        <is>
          <t>company-facts</t>
        </is>
      </c>
      <c r="B16" s="6" t="inlineStr">
        <is>
          <t>企業のホンネ</t>
        </is>
      </c>
      <c r="C16" s="7" t="n">
        <v>41</v>
      </c>
      <c r="D16" s="7" t="n">
        <v>50729</v>
      </c>
      <c r="E16" s="7">
        <f>IFERROR(D16/C16,0)</f>
        <v/>
      </c>
      <c r="F16" s="7" t="n">
        <v>33</v>
      </c>
      <c r="G16" s="8">
        <f>IFERROR(F16*1000/D16,0)</f>
        <v/>
      </c>
      <c r="H16" s="8" t="n">
        <v>0.3154014469041377</v>
      </c>
      <c r="I16" s="9" t="n">
        <v>57.2</v>
      </c>
      <c r="J16" s="7" t="n">
        <v>17</v>
      </c>
      <c r="K16" s="8" t="n">
        <v>0.5027652086475616</v>
      </c>
      <c r="L16" s="10">
        <f>IFERROR(K16/G16,0)</f>
        <v/>
      </c>
    </row>
    <row r="17">
      <c r="A17" s="6" t="inlineStr">
        <is>
          <t>pokemon-lab</t>
        </is>
      </c>
      <c r="B17" s="6" t="inlineStr">
        <is>
          <t>ゆっくりポケラボ</t>
        </is>
      </c>
      <c r="C17" s="7" t="n">
        <v>32</v>
      </c>
      <c r="D17" s="7" t="n">
        <v>32440</v>
      </c>
      <c r="E17" s="7">
        <f>IFERROR(D17/C17,0)</f>
        <v/>
      </c>
      <c r="F17" s="7" t="n">
        <v>9</v>
      </c>
      <c r="G17" s="8">
        <f>IFERROR(F17*1000/D17,0)</f>
        <v/>
      </c>
      <c r="H17" s="8" t="n">
        <v>0.218865598027127</v>
      </c>
      <c r="I17" s="9" t="n">
        <v>41.1</v>
      </c>
      <c r="J17" s="7" t="n">
        <v>9</v>
      </c>
      <c r="K17" s="8" t="n">
        <v>0.4672897196261682</v>
      </c>
      <c r="L17" s="10">
        <f>IFERROR(K17/G17,0)</f>
        <v/>
      </c>
    </row>
    <row r="18">
      <c r="A18" s="6" t="inlineStr">
        <is>
          <t>2ch-matome</t>
        </is>
      </c>
      <c r="B18" s="6" t="inlineStr">
        <is>
          <t>ゆっくり2chスレまとめ劇場</t>
        </is>
      </c>
      <c r="C18" s="7" t="n">
        <v>50</v>
      </c>
      <c r="D18" s="7" t="n">
        <v>42396</v>
      </c>
      <c r="E18" s="7">
        <f>IFERROR(D18/C18,0)</f>
        <v/>
      </c>
      <c r="F18" s="7" t="n">
        <v>7</v>
      </c>
      <c r="G18" s="8">
        <f>IFERROR(F18*1000/D18,0)</f>
        <v/>
      </c>
      <c r="H18" s="8" t="n">
        <v>0.2146428908387584</v>
      </c>
      <c r="I18" s="9" t="n">
        <v>46.8</v>
      </c>
      <c r="J18" s="7" t="n">
        <v>17</v>
      </c>
      <c r="K18" s="8" t="n">
        <v>0.2323420074349442</v>
      </c>
      <c r="L18" s="10">
        <f>IFERROR(K18/G18,0)</f>
        <v/>
      </c>
    </row>
    <row r="19">
      <c r="A19" s="11" t="inlineStr">
        <is>
          <t>合計 / 加重平均</t>
        </is>
      </c>
      <c r="B19" s="11" t="inlineStr">
        <is>
          <t>moviepy 6ch</t>
        </is>
      </c>
      <c r="C19" s="12">
        <f>SUM(C13:C18)</f>
        <v/>
      </c>
      <c r="D19" s="12">
        <f>SUM(D13:D18)</f>
        <v/>
      </c>
      <c r="E19" s="12">
        <f>IFERROR(D19/C19,0)</f>
        <v/>
      </c>
      <c r="F19" s="12">
        <f>SUM(F13:F18)</f>
        <v/>
      </c>
      <c r="G19" s="13">
        <f>IFERROR(F19*1000/D19,0)</f>
        <v/>
      </c>
      <c r="H19" s="13" t="n">
        <v>0.3926047540866586</v>
      </c>
      <c r="I19" s="11" t="inlineStr"/>
      <c r="J19" s="12">
        <f>SUM(J13:J18)</f>
        <v/>
      </c>
      <c r="K19" s="13" t="n">
        <v>0.7077931753836985</v>
      </c>
      <c r="L19" s="14">
        <f>IFERROR(K19/G19,0)</f>
        <v/>
      </c>
    </row>
    <row r="20"/>
    <row r="21">
      <c r="A21" s="3" t="inlineStr">
        <is>
          <t>■ ブロッカー（指揮者では解消できない・人の作業が必要）</t>
        </is>
      </c>
    </row>
    <row r="22">
      <c r="A22" s="5" t="inlineStr">
        <is>
          <t>項目</t>
        </is>
      </c>
      <c r="B22" s="5" t="inlineStr">
        <is>
          <t>状態</t>
        </is>
      </c>
      <c r="C22" s="5" t="inlineStr">
        <is>
          <t>影響</t>
        </is>
      </c>
      <c r="D22" s="5" t="inlineStr">
        <is>
          <t>必要な作業</t>
        </is>
      </c>
      <c r="E22" s="5" t="inlineStr">
        <is>
          <t>期限感</t>
        </is>
      </c>
    </row>
    <row r="23" ht="46" customHeight="1">
      <c r="A23" s="15" t="inlineStr">
        <is>
          <t>カスタムサムネイル権限</t>
        </is>
      </c>
      <c r="B23" s="16" t="inlineStr">
        <is>
          <t>9ch で 403（未解決）</t>
        </is>
      </c>
      <c r="C23" s="15" t="inlineStr">
        <is>
          <t>daily-science 以外の全 ch で自作サムネが 1 枚も反映されていない（失敗 163 本 / 成功 21 本）。YouTube の自動抽出フレームがサムネになっている。</t>
        </is>
      </c>
      <c r="D23" s="15" t="inlineStr">
        <is>
          <t>各チャンネルで https://www.youtube.com/verify を開き電話番号確認を通す（9 ch 分）。反映まで最大24時間。</t>
        </is>
      </c>
      <c r="E23" s="15" t="inlineStr">
        <is>
          <t>最優先</t>
        </is>
      </c>
    </row>
    <row r="24" ht="46" customHeight="1">
      <c r="A24" s="15" t="inlineStr">
        <is>
          <t>OAuth 同意画面が「テスト」</t>
        </is>
      </c>
      <c r="B24" s="16" t="inlineStr">
        <is>
          <t>未対応（再発リスク）</t>
        </is>
      </c>
      <c r="C24" s="15" t="inlineStr">
        <is>
          <t>テスト状態のリフレッシュトークンは 7 日で失効する。09-01/09-07/09-09 と 3 回再発している。</t>
        </is>
      </c>
      <c r="D24" s="15" t="inlineStr">
        <is>
          <t>GCP の OAuth 同意画面を「本番」に公開 → そのあと全 ch を再認可（順序が逆だと意味がない）。</t>
        </is>
      </c>
      <c r="E24" s="15" t="inlineStr">
        <is>
          <t>2026-09-20 前後に再発</t>
        </is>
      </c>
    </row>
    <row r="25" ht="46" customHeight="1">
      <c r="A25" s="15" t="inlineStr">
        <is>
          <t>pokemon-lab の再認可</t>
        </is>
      </c>
      <c r="B25" s="16" t="inlineStr">
        <is>
          <t>未実施</t>
        </is>
      </c>
      <c r="C25" s="15" t="inlineStr">
        <is>
          <t>他 4ch は 09-13 に再認可済みだが pokemon-lab のトークンは 09-09 以降更新なし。公開は落ちたまま。</t>
        </is>
      </c>
      <c r="D25" s="15" t="inlineStr">
        <is>
          <t>管理画面 → チャンネル設定 → YouTube 連携 → 再認可。</t>
        </is>
      </c>
      <c r="E25" s="15" t="inlineStr">
        <is>
          <t>高</t>
        </is>
      </c>
    </row>
    <row r="26" ht="46" customHeight="1">
      <c r="A26" s="15" t="inlineStr">
        <is>
          <t>analytics 同期</t>
        </is>
      </c>
      <c r="B26" s="16" t="inlineStr">
        <is>
          <t>最終 2026-09-13 13:40 UTC</t>
        </is>
      </c>
      <c r="C26" s="15" t="inlineStr">
        <is>
          <t>09-13 公開分 7 本は再生数 0 で記録されており、実績ではなく未計測。本日の集計から除外している。</t>
        </is>
      </c>
      <c r="D26" s="15" t="inlineStr">
        <is>
          <t>復旧後に backfill を流す。</t>
        </is>
      </c>
      <c r="E26" s="15" t="inlineStr">
        <is>
          <t>中</t>
        </is>
      </c>
    </row>
    <row r="27" ht="46" customHeight="1">
      <c r="A27" s="15" t="inlineStr">
        <is>
          <t>autopilot 無効の 2ch</t>
        </is>
      </c>
      <c r="B27" s="16" t="inlineStr">
        <is>
          <t>2ch-matome / pokemon-lab</t>
        </is>
      </c>
      <c r="C27" s="15" t="inlineStr">
        <is>
          <t>生成が止まっている。指揮者は enabled を変更していない（人が落とした状態のため）。</t>
        </is>
      </c>
      <c r="D27" s="15" t="inlineStr">
        <is>
          <t>サムネ権限の解消後に有効化を判断。pokemon-lab は再認可が先。</t>
        </is>
      </c>
      <c r="E27" s="15" t="inlineStr">
        <is>
          <t>サムネ解消後</t>
        </is>
      </c>
    </row>
  </sheetData>
  <mergeCells count="5">
    <mergeCell ref="A7:I7"/>
    <mergeCell ref="A5:I5"/>
    <mergeCell ref="A9:I9"/>
    <mergeCell ref="A8:I8"/>
    <mergeCell ref="A6:I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22" customWidth="1" min="3" max="3"/>
    <col width="52" customWidth="1" min="4" max="4"/>
    <col width="26" customWidth="1" min="5" max="5"/>
    <col width="52" customWidth="1" min="6" max="6"/>
    <col width="52" customWidth="1" min="7" max="7"/>
    <col width="10" customWidth="1" min="8" max="8"/>
    <col width="9" customWidth="1" min="9" max="9"/>
    <col width="11" customWidth="1" min="10" max="10"/>
  </cols>
  <sheetData>
    <row r="1">
      <c r="A1" s="1" t="inlineStr">
        <is>
          <t>チャンネル別詳細 — 本日のコンフィグ変更と根拠</t>
        </is>
      </c>
    </row>
    <row r="2"/>
    <row r="3">
      <c r="A3" s="5" t="inlineStr">
        <is>
          <t>チャンネル</t>
        </is>
      </c>
      <c r="B3" s="5" t="inlineStr">
        <is>
          <t>投稿枠(変更前)</t>
        </is>
      </c>
      <c r="C3" s="5" t="inlineStr">
        <is>
          <t>投稿枠(変更後)</t>
        </is>
      </c>
      <c r="D3" s="5" t="inlineStr">
        <is>
          <t>投稿枠の根拠</t>
        </is>
      </c>
      <c r="E3" s="5" t="inlineStr">
        <is>
          <t>目標タイトル型</t>
        </is>
      </c>
      <c r="F3" s="5" t="inlineStr">
        <is>
          <t>型ルール</t>
        </is>
      </c>
      <c r="G3" s="5" t="inlineStr">
        <is>
          <t>型の根拠</t>
        </is>
      </c>
      <c r="H3" s="5" t="inlineStr">
        <is>
          <t>キュー本数</t>
        </is>
      </c>
      <c r="I3" s="5" t="inlineStr">
        <is>
          <t>残日数</t>
        </is>
      </c>
      <c r="J3" s="5" t="inlineStr">
        <is>
          <t>autopilot</t>
        </is>
      </c>
    </row>
    <row r="4" ht="92" customHeight="1">
      <c r="A4" s="15" t="inlineStr">
        <is>
          <t>daily-science</t>
        </is>
      </c>
      <c r="B4" s="15" t="inlineStr">
        <is>
          <t>7:30 / 12:30 / 17:00</t>
        </is>
      </c>
      <c r="C4" s="15" t="inlineStr">
        <is>
          <t>7:30 / 15:00 / 17:00</t>
        </is>
      </c>
      <c r="D4" s="15" t="inlineStr">
        <is>
          <t>12:30枠は登録/千 0.180(n=6)、17:00枠は 1.236(n=14) で 6.9 倍。12:30 を夕方ピーク寄りの 15:00 へ前倒し（17:00 と 120 分間隔で burst guard を満たす）。</t>
        </is>
      </c>
      <c r="E4" s="15" t="inlineStr">
        <is>
          <t>A（毎日起きる身体感覚＋具体的な倍率・秒数を1つ）</t>
        </is>
      </c>
      <c r="F4" s="15" t="inlineStr">
        <is>
          <t>身体で毎日起きる現象を疑問フレームで立て、倍率・秒数・圧力などの数字をちょうど1つ入れる。</t>
        </is>
      </c>
      <c r="G4" s="15" t="inlineStr">
        <is>
          <t>A型 0.59(n=30) &gt; C型 0.00(n=3)。実測トップは『圧力1.4倍』(3.48)・『3倍』(2.43)。現行の型が最良のため維持。</t>
        </is>
      </c>
      <c r="H4" s="17" t="n">
        <v>21</v>
      </c>
      <c r="I4" s="18">
        <f>IFERROR(H4/3,0)</f>
        <v/>
      </c>
      <c r="J4" s="19" t="inlineStr">
        <is>
          <t>有効</t>
        </is>
      </c>
    </row>
    <row r="5" ht="92" customHeight="1">
      <c r="A5" s="15" t="inlineStr">
        <is>
          <t>scp-lab</t>
        </is>
      </c>
      <c r="B5" s="15" t="inlineStr">
        <is>
          <t>9:00 / 13:00 / 19:00</t>
        </is>
      </c>
      <c r="C5" s="15" t="inlineStr">
        <is>
          <t>13:00 / 17:00 / 19:00</t>
        </is>
      </c>
      <c r="D5" s="15" t="inlineStr">
        <is>
          <t>9:00枠は登録/千 0.520(n=8) で当ch最下位。実測最良の 17時(1.321) へ移設。19:00(1.194,n=17) と 13:00(0.569,n=9) は維持。間隔 240/120 分。</t>
        </is>
      </c>
      <c r="E5" s="15" t="inlineStr">
        <is>
          <t>A（SCP番号・具体数字＋消失／途絶の未解決な問い）</t>
        </is>
      </c>
      <c r="F5" s="15" t="inlineStr">
        <is>
          <t>SCP番号または具体的な数字（時間・人数・回数）を1つ入れ、『なぜ〜のか』の未解決な問いで締める。数字のみの言い切りタイトルは先頭に置かない。</t>
        </is>
      </c>
      <c r="G5" s="15" t="inlineStr">
        <is>
          <t>A型 1.00(n=25) に対し C型 0.49(n=26)。A型は2.0倍。</t>
        </is>
      </c>
      <c r="H5" s="17" t="n">
        <v>22</v>
      </c>
      <c r="I5" s="18">
        <f>IFERROR(H5/3,0)</f>
        <v/>
      </c>
      <c r="J5" s="19" t="inlineStr">
        <is>
          <t>有効</t>
        </is>
      </c>
    </row>
    <row r="6" ht="92" customHeight="1">
      <c r="A6" s="15" t="inlineStr">
        <is>
          <t>yokai-watch</t>
        </is>
      </c>
      <c r="B6" s="15" t="inlineStr">
        <is>
          <t>12:00 / 9:30 / 17:00</t>
        </is>
      </c>
      <c r="C6" s="15" t="inlineStr">
        <is>
          <t>12:00 / 16:00 / 19:00</t>
        </is>
      </c>
      <c r="D6" s="15" t="inlineStr">
        <is>
          <t>9:30枠は n&lt;3 で評価不能。測定済み上位の 12時(1.215,n=11)・16時(1.650,n=3)・19時(0.502,n=10) の3枠へ再配置。17時(0.569,n=4) は隣接する 16時へ統合。間隔 240/180 分。</t>
        </is>
      </c>
      <c r="E6" s="15" t="inlineStr">
        <is>
          <t>B（疑問フレームのみ・数字を入れない）</t>
        </is>
      </c>
      <c r="F6" s="15" t="inlineStr">
        <is>
          <t>『なぜ〜のか』『〜の正体』の疑問フレームのみで構成し、タイトルに数字を入れない。通し番号・体系番号も入れない。</t>
        </is>
      </c>
      <c r="G6" s="15" t="inlineStr">
        <is>
          <t>B型 1.37(n=9) &gt; D型 0.53(n=8) &gt; C型 0.39(n=8) &gt; A型 0.00(n=5)。当chは数字を入れた瞬間に登録がゼロになる（A型 n=5 で登録0人）。</t>
        </is>
      </c>
      <c r="H6" s="17" t="n">
        <v>23</v>
      </c>
      <c r="I6" s="18">
        <f>IFERROR(H6/3,0)</f>
        <v/>
      </c>
      <c r="J6" s="19" t="inlineStr">
        <is>
          <t>有効</t>
        </is>
      </c>
    </row>
    <row r="7" ht="92" customHeight="1">
      <c r="A7" s="15" t="inlineStr">
        <is>
          <t>company-facts</t>
        </is>
      </c>
      <c r="B7" s="15" t="inlineStr">
        <is>
          <t>8:15 / 19:00 / 17:00 / 12:30</t>
        </is>
      </c>
      <c r="C7" s="15" t="inlineStr">
        <is>
          <t>12:30 / 15:00 / 17:00 / 19:00</t>
        </is>
      </c>
      <c r="D7" s="15" t="inlineStr">
        <is>
          <t>8:15枠は登録/千 0.235(n=4)。17時(0.824,n=15) を軸に夕方へ寄せ、8:15 を 15:00 へ移設。間隔 150/120/120 分。</t>
        </is>
      </c>
      <c r="E7" s="15" t="inlineStr">
        <is>
          <t>C（企業名＋具体金額・具体数字）</t>
        </is>
      </c>
      <c r="F7" s="15" t="inlineStr">
        <is>
          <t>企業名と具体的な金額・比率・年数を提示する言い切り型を優先する。疑問フレームは必須にしない。</t>
        </is>
      </c>
      <c r="G7" s="15" t="inlineStr">
        <is>
          <t>C型 0.66(n=31) ≧ A型 0.55(n=4)。現行の型が最良のため維持。</t>
        </is>
      </c>
      <c r="H7" s="17" t="n">
        <v>28</v>
      </c>
      <c r="I7" s="18">
        <f>IFERROR(H7/4,0)</f>
        <v/>
      </c>
      <c r="J7" s="19" t="inlineStr">
        <is>
          <t>有効</t>
        </is>
      </c>
    </row>
    <row r="8" ht="92" customHeight="1">
      <c r="A8" s="15" t="inlineStr">
        <is>
          <t>pokemon-lab</t>
        </is>
      </c>
      <c r="B8" s="15" t="inlineStr">
        <is>
          <t>8:30 / 15:00 / 17:00</t>
        </is>
      </c>
      <c r="C8" s="15" t="inlineStr">
        <is>
          <t>12:30 / 15:00 / 17:00</t>
        </is>
      </c>
      <c r="D8" s="15" t="inlineStr">
        <is>
          <t>8:30枠は実測サンプルが n&lt;3 で評価不能。測定済みで最良の 17時(0.369,n=12)・15時(0.296,n=4)・12時(0.269,n=4) の3枠に集約。間隔 150/120 分。</t>
        </is>
      </c>
      <c r="E8" s="15" t="inlineStr">
        <is>
          <t>C（種族値など具体数値の提示）</t>
        </is>
      </c>
      <c r="F8" s="15" t="inlineStr">
        <is>
          <t>種族値・世代・数値を提示する言い切り型を最優先する。『なぜ〜？』の疑問フレームは当chでは登録に変換しないため使わない。</t>
        </is>
      </c>
      <c r="G8" s="15" t="inlineStr">
        <is>
          <t>C型 0.53(n=9) &gt; B型 0.35(n=6) &gt; A型 0.17(n=16)。疑問フレームを数字と併用した A型は C型の 1/3。09-13 の『数値提示型 0.429 vs 対決型 0.191』とも整合。</t>
        </is>
      </c>
      <c r="H8" s="17" t="n">
        <v>21</v>
      </c>
      <c r="I8" s="18">
        <f>IFERROR(H8/3,0)</f>
        <v/>
      </c>
      <c r="J8" s="20" t="inlineStr">
        <is>
          <t>無効</t>
        </is>
      </c>
    </row>
    <row r="9" ht="92" customHeight="1">
      <c r="A9" s="15" t="inlineStr">
        <is>
          <t>2ch-matome</t>
        </is>
      </c>
      <c r="B9" s="15" t="inlineStr">
        <is>
          <t>9:00 / 12:15 / 21:00</t>
        </is>
      </c>
      <c r="C9" s="15" t="inlineStr">
        <is>
          <t>7:30 / 12:15 / 17:30</t>
        </is>
      </c>
      <c r="D9" s="15" t="inlineStr">
        <is>
          <t>21:00枠は n=7・3,430再生で登録0人、9:00枠も n=3 で登録0人。実測で唯一プラスの 7時(0.339,n=4)・17時(0.279,n=3) へ振り替え、12:15(0.204,n=10) は維持。間隔 285/315 分。</t>
        </is>
      </c>
      <c r="E9" s="15" t="inlineStr">
        <is>
          <t>A（疑問フレーム＋具体数字）</t>
        </is>
      </c>
      <c r="F9" s="15" t="inlineStr">
        <is>
          <t>タイトルは必ず『なぜ／本当の理由／正体／実は〜のか』の疑問フレームで終わらせ、本文で扱う具体的な数（品数・人数・値段・年数）を1つだけ入れる。下ネタ・エロ面白のジャンルは維持する（変えるのは型であってジャンルではない）。『〜あげてけ』『〜選手権』『質問ある？』等の大喜利・参加型の言い切りタイトルは登録に変換しないため先頭に置かない。</t>
        </is>
      </c>
      <c r="G9" s="15" t="inlineStr">
        <is>
          <t>A型 0.36(n=16) に対し C型 0.07(n=16)・D型 0.09(n=10)。A型は他型の約4〜5倍。実測トップは『実はマックに神メニュー3品が決まらない本当の理由とは？』(2.19)。逆に再生上位5本（1,236〜1,815再生・維持率41.9〜81.4%）はすべて共感あるある型で登録0人。</t>
        </is>
      </c>
      <c r="H9" s="17" t="n">
        <v>26</v>
      </c>
      <c r="I9" s="18">
        <f>IFERROR(H9/3,0)</f>
        <v/>
      </c>
      <c r="J9" s="20" t="inlineStr">
        <is>
          <t>無効</t>
        </is>
      </c>
    </row>
    <row r="10"/>
    <row r="11">
      <c r="A11" s="2" t="inlineStr">
        <is>
          <t>※ 残日数 = キュー本数 ÷ 1日あたりの投稿枠数。目標は 7 日分以上。</t>
        </is>
      </c>
    </row>
    <row r="12" ht="60" customHeight="1">
      <c r="A12" s="21" t="inlineStr">
        <is>
          <t>※ autopilot.enabled は指揮者では変更していない。この2chの autopilot.enabled は指揮者の分析の外側で人が false にした状態であり、本日の実測データはこの値を動かす根拠にならない。さらに pokemon-lab は OAuth トークンが 2026-09-09 以降更新されておらず（他4chは 09-13 に再認可済み）、有効化しても公開に到達せず 未公開在庫を増やすだけである。加えて全10ch中 daily-science 以外はカスタムサムネイルを 1枚も設定できていない（後述）ため、この状態で生成を増やすと不適切な自動生成サムネの動画が 増えるだけになる。サムネ権限の解消後に再判断する。</t>
        </is>
      </c>
    </row>
  </sheetData>
  <mergeCells count="1">
    <mergeCell ref="A12:J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98"/>
  <sheetViews>
    <sheetView workbookViewId="0">
      <pane ySplit="4" topLeftCell="A5" activePane="bottomLeft" state="frozen"/>
      <selection pane="bottomLeft" activeCell="A1" sqref="A1"/>
    </sheetView>
  </sheetViews>
  <sheetFormatPr baseColWidth="8" defaultRowHeight="15"/>
  <cols>
    <col width="15" customWidth="1" min="1" max="1"/>
    <col width="11" customWidth="1" min="2" max="2"/>
    <col width="13" customWidth="1" min="3" max="3"/>
    <col width="6" customWidth="1" min="4" max="4"/>
    <col width="56" customWidth="1" min="5" max="5"/>
    <col width="9" customWidth="1" min="6" max="6"/>
    <col width="8" customWidth="1" min="7" max="7"/>
    <col width="12" customWidth="1" min="8" max="8"/>
    <col width="8" customWidth="1" min="9" max="9"/>
    <col width="11" customWidth="1" min="10" max="10"/>
    <col width="10" customWidth="1" min="11" max="11"/>
    <col width="10" customWidth="1" min="12" max="12"/>
    <col width="9" customWidth="1" min="13" max="13"/>
    <col width="8" customWidth="1" min="14" max="14"/>
  </cols>
  <sheetData>
    <row r="1">
      <c r="A1" s="1" t="inlineStr">
        <is>
          <t>動画別パフォーマンス（公開 2026-08-20 以降・views&gt;0）</t>
        </is>
      </c>
    </row>
    <row r="2">
      <c r="A2" s="2" t="inlineStr">
        <is>
          <t>型: A=疑問フレーム+数字 / B=疑問フレームのみ / C=数字のみ / D=共感・あるある</t>
        </is>
      </c>
    </row>
    <row r="3"/>
    <row r="4">
      <c r="A4" s="5" t="inlineStr">
        <is>
          <t>チャンネル</t>
        </is>
      </c>
      <c r="B4" s="5" t="inlineStr">
        <is>
          <t>公開日</t>
        </is>
      </c>
      <c r="C4" s="5" t="inlineStr">
        <is>
          <t>投稿時刻(JST)</t>
        </is>
      </c>
      <c r="D4" s="5" t="inlineStr">
        <is>
          <t>型</t>
        </is>
      </c>
      <c r="E4" s="5" t="inlineStr">
        <is>
          <t>タイトル</t>
        </is>
      </c>
      <c r="F4" s="5" t="inlineStr">
        <is>
          <t>再生</t>
        </is>
      </c>
      <c r="G4" s="5" t="inlineStr">
        <is>
          <t>登録者</t>
        </is>
      </c>
      <c r="H4" s="5" t="inlineStr">
        <is>
          <t>登録/千再生</t>
        </is>
      </c>
      <c r="I4" s="5" t="inlineStr">
        <is>
          <t>高評価</t>
        </is>
      </c>
      <c r="J4" s="5" t="inlineStr">
        <is>
          <t>高評価率%</t>
        </is>
      </c>
      <c r="K4" s="5" t="inlineStr">
        <is>
          <t>コメント</t>
        </is>
      </c>
      <c r="L4" s="5" t="inlineStr">
        <is>
          <t>維持率%</t>
        </is>
      </c>
      <c r="M4" s="5" t="inlineStr">
        <is>
          <t>インプ</t>
        </is>
      </c>
      <c r="N4" s="5" t="inlineStr">
        <is>
          <t>CTR%</t>
        </is>
      </c>
    </row>
    <row r="5">
      <c r="A5" s="6" t="inlineStr">
        <is>
          <t>scp-lab</t>
        </is>
      </c>
      <c r="B5" s="6" t="inlineStr">
        <is>
          <t>2026-08-22</t>
        </is>
      </c>
      <c r="C5" s="6" t="inlineStr">
        <is>
          <t>19時</t>
        </is>
      </c>
      <c r="D5" s="6" t="inlineStr">
        <is>
          <t>A</t>
        </is>
      </c>
      <c r="E5" s="6" t="inlineStr">
        <is>
          <t>実は完治後に4人が戻れなかった本当の理由とは？【ショート】</t>
        </is>
      </c>
      <c r="F5" s="7" t="n">
        <v>178</v>
      </c>
      <c r="G5" s="7" t="n">
        <v>1</v>
      </c>
      <c r="H5" s="22">
        <f>IFERROR(G5*1000/F5,0)</f>
        <v/>
      </c>
      <c r="I5" s="7" t="n">
        <v>0</v>
      </c>
      <c r="J5" s="8">
        <f>IFERROR(I5*100/F5,0)</f>
        <v/>
      </c>
      <c r="K5" s="7" t="n">
        <v>0</v>
      </c>
      <c r="L5" s="9" t="n">
        <v>25.4</v>
      </c>
      <c r="M5" s="7" t="n">
        <v>57</v>
      </c>
      <c r="N5" s="23" t="n">
        <v>1.754385964912281</v>
      </c>
    </row>
    <row r="6">
      <c r="A6" s="6" t="inlineStr">
        <is>
          <t>scp-lab</t>
        </is>
      </c>
      <c r="B6" s="6" t="inlineStr">
        <is>
          <t>2026-09-07</t>
        </is>
      </c>
      <c r="C6" s="6" t="inlineStr">
        <is>
          <t>19時</t>
        </is>
      </c>
      <c r="D6" s="6" t="inlineStr">
        <is>
          <t>C</t>
        </is>
      </c>
      <c r="E6" s="6" t="inlineStr">
        <is>
          <t>SCP-7241 収容違反記録から毎回消える頁 #shorts #SCP #SCP解説</t>
        </is>
      </c>
      <c r="F6" s="7" t="n">
        <v>182</v>
      </c>
      <c r="G6" s="7" t="n">
        <v>1</v>
      </c>
      <c r="H6" s="22">
        <f>IFERROR(G6*1000/F6,0)</f>
        <v/>
      </c>
      <c r="I6" s="7" t="n">
        <v>1</v>
      </c>
      <c r="J6" s="8">
        <f>IFERROR(I6*100/F6,0)</f>
        <v/>
      </c>
      <c r="K6" s="7" t="n">
        <v>0</v>
      </c>
      <c r="L6" s="9" t="n">
        <v>32.3</v>
      </c>
      <c r="M6" s="7" t="n">
        <v>202</v>
      </c>
      <c r="N6" s="23" t="n">
        <v>0.9900990099009901</v>
      </c>
    </row>
    <row r="7">
      <c r="A7" s="6" t="inlineStr">
        <is>
          <t>daily-science</t>
        </is>
      </c>
      <c r="B7" s="6" t="inlineStr">
        <is>
          <t>2026-08-31</t>
        </is>
      </c>
      <c r="C7" s="6" t="inlineStr">
        <is>
          <t>17時</t>
        </is>
      </c>
      <c r="D7" s="6" t="inlineStr">
        <is>
          <t>A</t>
        </is>
      </c>
      <c r="E7" s="6" t="inlineStr">
        <is>
          <t>なぜ座ると腰だけ痛い？圧力1.4倍【ショート】</t>
        </is>
      </c>
      <c r="F7" s="7" t="n">
        <v>863</v>
      </c>
      <c r="G7" s="7" t="n">
        <v>3</v>
      </c>
      <c r="H7" s="22">
        <f>IFERROR(G7*1000/F7,0)</f>
        <v/>
      </c>
      <c r="I7" s="7" t="n">
        <v>9</v>
      </c>
      <c r="J7" s="8">
        <f>IFERROR(I7*100/F7,0)</f>
        <v/>
      </c>
      <c r="K7" s="7" t="n">
        <v>0</v>
      </c>
      <c r="L7" s="9" t="n">
        <v>43.9</v>
      </c>
      <c r="M7" s="7" t="n">
        <v>142</v>
      </c>
      <c r="N7" s="23" t="n">
        <v>0</v>
      </c>
    </row>
    <row r="8">
      <c r="A8" s="6" t="inlineStr">
        <is>
          <t>daily-science</t>
        </is>
      </c>
      <c r="B8" s="6" t="inlineStr">
        <is>
          <t>2026-09-08</t>
        </is>
      </c>
      <c r="C8" s="6" t="inlineStr">
        <is>
          <t>17時</t>
        </is>
      </c>
      <c r="D8" s="6" t="inlineStr">
        <is>
          <t>B</t>
        </is>
      </c>
      <c r="E8" s="6" t="inlineStr">
        <is>
          <t>疲れた日の甘い物がすぐ消えるのはなぜ？ #shorts #雑学 #豆知識</t>
        </is>
      </c>
      <c r="F8" s="7" t="n">
        <v>912</v>
      </c>
      <c r="G8" s="7" t="n">
        <v>3</v>
      </c>
      <c r="H8" s="22">
        <f>IFERROR(G8*1000/F8,0)</f>
        <v/>
      </c>
      <c r="I8" s="7" t="n">
        <v>12</v>
      </c>
      <c r="J8" s="8">
        <f>IFERROR(I8*100/F8,0)</f>
        <v/>
      </c>
      <c r="K8" s="7" t="n">
        <v>0</v>
      </c>
      <c r="L8" s="9" t="n">
        <v>69</v>
      </c>
      <c r="M8" s="7" t="n">
        <v>18</v>
      </c>
      <c r="N8" s="23" t="n">
        <v>0</v>
      </c>
    </row>
    <row r="9">
      <c r="A9" s="6" t="inlineStr">
        <is>
          <t>yokai-watch</t>
        </is>
      </c>
      <c r="B9" s="6" t="inlineStr">
        <is>
          <t>2026-08-30</t>
        </is>
      </c>
      <c r="C9" s="6" t="inlineStr">
        <is>
          <t>12時</t>
        </is>
      </c>
      <c r="D9" s="6" t="inlineStr">
        <is>
          <t>C</t>
        </is>
      </c>
      <c r="E9" s="6" t="inlineStr">
        <is>
          <t>1分妖怪ファイル #20：🔍スネイキーに隠された秘密、3段階進化の元ネタは蛇神だった？👁️【ショート】</t>
        </is>
      </c>
      <c r="F9" s="7" t="n">
        <v>315</v>
      </c>
      <c r="G9" s="7" t="n">
        <v>1</v>
      </c>
      <c r="H9" s="22">
        <f>IFERROR(G9*1000/F9,0)</f>
        <v/>
      </c>
      <c r="I9" s="7" t="n">
        <v>1</v>
      </c>
      <c r="J9" s="8">
        <f>IFERROR(I9*100/F9,0)</f>
        <v/>
      </c>
      <c r="K9" s="7" t="n">
        <v>0</v>
      </c>
      <c r="L9" s="9" t="n">
        <v>49.6</v>
      </c>
      <c r="M9" s="7" t="n">
        <v>48</v>
      </c>
      <c r="N9" s="23" t="n">
        <v>0</v>
      </c>
    </row>
    <row r="10">
      <c r="A10" s="6" t="inlineStr">
        <is>
          <t>yokai-watch</t>
        </is>
      </c>
      <c r="B10" s="6" t="inlineStr">
        <is>
          <t>2026-09-04</t>
        </is>
      </c>
      <c r="C10" s="6" t="inlineStr">
        <is>
          <t>12時</t>
        </is>
      </c>
      <c r="D10" s="6" t="inlineStr">
        <is>
          <t>B</t>
        </is>
      </c>
      <c r="E10" s="6" t="inlineStr">
        <is>
          <t>犬神憑きはなぜ家系ごと記録されたのか 恒一 #shorts #妖怪 #都市伝説</t>
        </is>
      </c>
      <c r="F10" s="7" t="n">
        <v>992</v>
      </c>
      <c r="G10" s="7" t="n">
        <v>3</v>
      </c>
      <c r="H10" s="22">
        <f>IFERROR(G10*1000/F10,0)</f>
        <v/>
      </c>
      <c r="I10" s="7" t="n">
        <v>10</v>
      </c>
      <c r="J10" s="8">
        <f>IFERROR(I10*100/F10,0)</f>
        <v/>
      </c>
      <c r="K10" s="7" t="n">
        <v>0</v>
      </c>
      <c r="L10" s="9" t="n">
        <v>42.5</v>
      </c>
      <c r="M10" s="7" t="n">
        <v>119</v>
      </c>
      <c r="N10" s="23" t="n">
        <v>0</v>
      </c>
    </row>
    <row r="11">
      <c r="A11" s="6" t="inlineStr">
        <is>
          <t>scp-lab</t>
        </is>
      </c>
      <c r="B11" s="6" t="inlineStr">
        <is>
          <t>2026-08-26</t>
        </is>
      </c>
      <c r="C11" s="6" t="inlineStr">
        <is>
          <t>19時</t>
        </is>
      </c>
      <c r="D11" s="6" t="inlineStr">
        <is>
          <t>A</t>
        </is>
      </c>
      <c r="E11" s="6" t="inlineStr">
        <is>
          <t>なぜ調査員はSCP-1283-JPの踏切のむこうで消えたのか？【ショート】</t>
        </is>
      </c>
      <c r="F11" s="7" t="n">
        <v>993</v>
      </c>
      <c r="G11" s="7" t="n">
        <v>3</v>
      </c>
      <c r="H11" s="22">
        <f>IFERROR(G11*1000/F11,0)</f>
        <v/>
      </c>
      <c r="I11" s="7" t="n">
        <v>6</v>
      </c>
      <c r="J11" s="8">
        <f>IFERROR(I11*100/F11,0)</f>
        <v/>
      </c>
      <c r="K11" s="7" t="n">
        <v>0</v>
      </c>
      <c r="L11" s="9" t="n">
        <v>33</v>
      </c>
      <c r="M11" s="7" t="n">
        <v>664</v>
      </c>
      <c r="N11" s="23" t="n">
        <v>2.108433734939759</v>
      </c>
    </row>
    <row r="12">
      <c r="A12" s="6" t="inlineStr">
        <is>
          <t>yokai-watch</t>
        </is>
      </c>
      <c r="B12" s="6" t="inlineStr">
        <is>
          <t>2026-09-07</t>
        </is>
      </c>
      <c r="C12" s="6" t="inlineStr">
        <is>
          <t>12時</t>
        </is>
      </c>
      <c r="D12" s="6" t="inlineStr">
        <is>
          <t>D</t>
        </is>
      </c>
      <c r="E12" s="6" t="inlineStr">
        <is>
          <t>人面犬の噂が昭和の学校で生まれた土壌とは… #shorts #妖怪 #都市伝説</t>
        </is>
      </c>
      <c r="F12" s="7" t="n">
        <v>1173</v>
      </c>
      <c r="G12" s="7" t="n">
        <v>3</v>
      </c>
      <c r="H12" s="22">
        <f>IFERROR(G12*1000/F12,0)</f>
        <v/>
      </c>
      <c r="I12" s="7" t="n">
        <v>13</v>
      </c>
      <c r="J12" s="8">
        <f>IFERROR(I12*100/F12,0)</f>
        <v/>
      </c>
      <c r="K12" s="7" t="n">
        <v>0</v>
      </c>
      <c r="L12" s="9" t="n">
        <v>51.6</v>
      </c>
      <c r="M12" s="7" t="n">
        <v>102</v>
      </c>
      <c r="N12" s="23" t="n">
        <v>0</v>
      </c>
    </row>
    <row r="13">
      <c r="A13" s="6" t="inlineStr">
        <is>
          <t>daily-science</t>
        </is>
      </c>
      <c r="B13" s="6" t="inlineStr">
        <is>
          <t>2026-08-28</t>
        </is>
      </c>
      <c r="C13" s="6" t="inlineStr">
        <is>
          <t>17時</t>
        </is>
      </c>
      <c r="D13" s="6" t="inlineStr">
        <is>
          <t>A</t>
        </is>
      </c>
      <c r="E13" s="6" t="inlineStr">
        <is>
          <t>1分科学 #99：🧪なぜ濡れた紙は3倍も破れやすい？あなたが毎日触る繊維の正体【ショート】</t>
        </is>
      </c>
      <c r="F13" s="7" t="n">
        <v>824</v>
      </c>
      <c r="G13" s="7" t="n">
        <v>2</v>
      </c>
      <c r="H13" s="22">
        <f>IFERROR(G13*1000/F13,0)</f>
        <v/>
      </c>
      <c r="I13" s="7" t="n">
        <v>5</v>
      </c>
      <c r="J13" s="8">
        <f>IFERROR(I13*100/F13,0)</f>
        <v/>
      </c>
      <c r="K13" s="7" t="n">
        <v>0</v>
      </c>
      <c r="L13" s="9" t="n">
        <v>30</v>
      </c>
      <c r="M13" s="7" t="n">
        <v>75</v>
      </c>
      <c r="N13" s="23" t="n">
        <v>1.333333333333333</v>
      </c>
    </row>
    <row r="14">
      <c r="A14" s="6" t="inlineStr">
        <is>
          <t>scp-lab</t>
        </is>
      </c>
      <c r="B14" s="6" t="inlineStr">
        <is>
          <t>2026-09-08</t>
        </is>
      </c>
      <c r="C14" s="6" t="inlineStr">
        <is>
          <t>17時</t>
        </is>
      </c>
      <c r="D14" s="6" t="inlineStr">
        <is>
          <t>D</t>
        </is>
      </c>
      <c r="E14" s="6" t="inlineStr">
        <is>
          <t>SCPの最後の一行だけが隔離対象になった理由 #shorts #SCP #SCP解説</t>
        </is>
      </c>
      <c r="F14" s="7" t="n">
        <v>911</v>
      </c>
      <c r="G14" s="7" t="n">
        <v>2</v>
      </c>
      <c r="H14" s="22">
        <f>IFERROR(G14*1000/F14,0)</f>
        <v/>
      </c>
      <c r="I14" s="7" t="n">
        <v>4</v>
      </c>
      <c r="J14" s="8">
        <f>IFERROR(I14*100/F14,0)</f>
        <v/>
      </c>
      <c r="K14" s="7" t="n">
        <v>0</v>
      </c>
      <c r="L14" s="9" t="n">
        <v>45.9</v>
      </c>
      <c r="M14" s="7" t="n">
        <v>493</v>
      </c>
      <c r="N14" s="23" t="n">
        <v>0.4056795131845842</v>
      </c>
    </row>
    <row r="15">
      <c r="A15" s="6" t="inlineStr">
        <is>
          <t>2ch-matome</t>
        </is>
      </c>
      <c r="B15" s="6" t="inlineStr">
        <is>
          <t>2026-09-03</t>
        </is>
      </c>
      <c r="C15" s="6" t="inlineStr">
        <is>
          <t>18時</t>
        </is>
      </c>
      <c r="D15" s="6" t="inlineStr">
        <is>
          <t>A</t>
        </is>
      </c>
      <c r="E15" s="6" t="inlineStr">
        <is>
          <t>実はマックに神メニュー3品が決まらない本当の理由とは？ #shorts #2ch #面白いスレ</t>
        </is>
      </c>
      <c r="F15" s="7" t="n">
        <v>914</v>
      </c>
      <c r="G15" s="7" t="n">
        <v>2</v>
      </c>
      <c r="H15" s="22">
        <f>IFERROR(G15*1000/F15,0)</f>
        <v/>
      </c>
      <c r="I15" s="7" t="n">
        <v>1</v>
      </c>
      <c r="J15" s="8">
        <f>IFERROR(I15*100/F15,0)</f>
        <v/>
      </c>
      <c r="K15" s="7" t="n">
        <v>0</v>
      </c>
      <c r="L15" s="9" t="n">
        <v>38.6</v>
      </c>
      <c r="M15" s="7" t="n">
        <v>20</v>
      </c>
      <c r="N15" s="23" t="n">
        <v>0</v>
      </c>
    </row>
    <row r="16">
      <c r="A16" s="6" t="inlineStr">
        <is>
          <t>scp-lab</t>
        </is>
      </c>
      <c r="B16" s="6" t="inlineStr">
        <is>
          <t>2026-09-05</t>
        </is>
      </c>
      <c r="C16" s="6" t="inlineStr">
        <is>
          <t>19時</t>
        </is>
      </c>
      <c r="D16" s="6" t="inlineStr">
        <is>
          <t>A</t>
        </is>
      </c>
      <c r="E16" s="6" t="inlineStr">
        <is>
          <t>SCP-096の顔を見た者に起きた記録消失の真相 #shorts #SCP #SCP解説</t>
        </is>
      </c>
      <c r="F16" s="7" t="n">
        <v>932</v>
      </c>
      <c r="G16" s="7" t="n">
        <v>2</v>
      </c>
      <c r="H16" s="22">
        <f>IFERROR(G16*1000/F16,0)</f>
        <v/>
      </c>
      <c r="I16" s="7" t="n">
        <v>8</v>
      </c>
      <c r="J16" s="8">
        <f>IFERROR(I16*100/F16,0)</f>
        <v/>
      </c>
      <c r="K16" s="7" t="n">
        <v>0</v>
      </c>
      <c r="L16" s="9" t="n">
        <v>40</v>
      </c>
      <c r="M16" s="7" t="n">
        <v>379</v>
      </c>
      <c r="N16" s="23" t="n">
        <v>2.110817941952507</v>
      </c>
    </row>
    <row r="17">
      <c r="A17" s="6" t="inlineStr">
        <is>
          <t>daily-science</t>
        </is>
      </c>
      <c r="B17" s="6" t="inlineStr">
        <is>
          <t>2026-09-07</t>
        </is>
      </c>
      <c r="C17" s="6" t="inlineStr">
        <is>
          <t>17時</t>
        </is>
      </c>
      <c r="D17" s="6" t="inlineStr">
        <is>
          <t>B</t>
        </is>
      </c>
      <c r="E17" s="6" t="inlineStr">
        <is>
          <t>なぜ冷たい水だけ歯にしみる？歯の中で起きる変化 #shorts #雑学 #豆知識</t>
        </is>
      </c>
      <c r="F17" s="7" t="n">
        <v>949</v>
      </c>
      <c r="G17" s="7" t="n">
        <v>2</v>
      </c>
      <c r="H17" s="22">
        <f>IFERROR(G17*1000/F17,0)</f>
        <v/>
      </c>
      <c r="I17" s="7" t="n">
        <v>12</v>
      </c>
      <c r="J17" s="8">
        <f>IFERROR(I17*100/F17,0)</f>
        <v/>
      </c>
      <c r="K17" s="7" t="n">
        <v>0</v>
      </c>
      <c r="L17" s="9" t="n">
        <v>42.7</v>
      </c>
      <c r="M17" s="7" t="n">
        <v>85</v>
      </c>
      <c r="N17" s="23" t="n">
        <v>0</v>
      </c>
    </row>
    <row r="18">
      <c r="A18" s="6" t="inlineStr">
        <is>
          <t>scp-lab</t>
        </is>
      </c>
      <c r="B18" s="6" t="inlineStr">
        <is>
          <t>2026-08-30</t>
        </is>
      </c>
      <c r="C18" s="6" t="inlineStr">
        <is>
          <t>18時</t>
        </is>
      </c>
      <c r="D18" s="6" t="inlineStr">
        <is>
          <t>A</t>
        </is>
      </c>
      <c r="E18" s="6" t="inlineStr">
        <is>
          <t>SCP-4335を見た海域で、なぜ観測記録が途絶えたのか？【ショート】</t>
        </is>
      </c>
      <c r="F18" s="7" t="n">
        <v>954</v>
      </c>
      <c r="G18" s="7" t="n">
        <v>2</v>
      </c>
      <c r="H18" s="22">
        <f>IFERROR(G18*1000/F18,0)</f>
        <v/>
      </c>
      <c r="I18" s="7" t="n">
        <v>1</v>
      </c>
      <c r="J18" s="8">
        <f>IFERROR(I18*100/F18,0)</f>
        <v/>
      </c>
      <c r="K18" s="7" t="n">
        <v>0</v>
      </c>
      <c r="L18" s="9" t="n">
        <v>59.7</v>
      </c>
      <c r="M18" s="7" t="n">
        <v>311</v>
      </c>
      <c r="N18" s="23" t="n">
        <v>0.964630225080386</v>
      </c>
    </row>
    <row r="19">
      <c r="A19" s="6" t="inlineStr">
        <is>
          <t>yokai-watch</t>
        </is>
      </c>
      <c r="B19" s="6" t="inlineStr">
        <is>
          <t>2026-09-04</t>
        </is>
      </c>
      <c r="C19" s="6" t="inlineStr">
        <is>
          <t>19時</t>
        </is>
      </c>
      <c r="D19" s="6" t="inlineStr">
        <is>
          <t>B</t>
        </is>
      </c>
      <c r="E19" s="6" t="inlineStr">
        <is>
          <t>じんめん犬はなぜ笑い話になった？消えた恐怖の噂 #shorts #妖怪 #都市伝説</t>
        </is>
      </c>
      <c r="F19" s="7" t="n">
        <v>969</v>
      </c>
      <c r="G19" s="7" t="n">
        <v>2</v>
      </c>
      <c r="H19" s="22">
        <f>IFERROR(G19*1000/F19,0)</f>
        <v/>
      </c>
      <c r="I19" s="7" t="n">
        <v>14</v>
      </c>
      <c r="J19" s="8">
        <f>IFERROR(I19*100/F19,0)</f>
        <v/>
      </c>
      <c r="K19" s="7" t="n">
        <v>0</v>
      </c>
      <c r="L19" s="9" t="n">
        <v>52.2</v>
      </c>
      <c r="M19" s="7" t="n">
        <v>123</v>
      </c>
      <c r="N19" s="23" t="n">
        <v>0</v>
      </c>
    </row>
    <row r="20">
      <c r="A20" s="6" t="inlineStr">
        <is>
          <t>company-facts</t>
        </is>
      </c>
      <c r="B20" s="6" t="inlineStr">
        <is>
          <t>2026-08-31</t>
        </is>
      </c>
      <c r="C20" s="6" t="inlineStr">
        <is>
          <t>17時</t>
        </is>
      </c>
      <c r="D20" s="6" t="inlineStr">
        <is>
          <t>A</t>
        </is>
      </c>
      <c r="E20" s="6" t="inlineStr">
        <is>
          <t>Netflixの月額1,590円、本当はどこに消える？【ショート】</t>
        </is>
      </c>
      <c r="F20" s="7" t="n">
        <v>1009</v>
      </c>
      <c r="G20" s="7" t="n">
        <v>2</v>
      </c>
      <c r="H20" s="22">
        <f>IFERROR(G20*1000/F20,0)</f>
        <v/>
      </c>
      <c r="I20" s="7" t="n">
        <v>3</v>
      </c>
      <c r="J20" s="8">
        <f>IFERROR(I20*100/F20,0)</f>
        <v/>
      </c>
      <c r="K20" s="7" t="n">
        <v>0</v>
      </c>
      <c r="L20" s="9" t="n">
        <v>46.6</v>
      </c>
      <c r="M20" s="7" t="n">
        <v>29</v>
      </c>
      <c r="N20" s="23" t="n">
        <v>0</v>
      </c>
    </row>
    <row r="21">
      <c r="A21" s="6" t="inlineStr">
        <is>
          <t>yokai-watch</t>
        </is>
      </c>
      <c r="B21" s="6" t="inlineStr">
        <is>
          <t>2026-09-05</t>
        </is>
      </c>
      <c r="C21" s="6" t="inlineStr">
        <is>
          <t>16時</t>
        </is>
      </c>
      <c r="D21" s="6" t="inlineStr">
        <is>
          <t>B</t>
        </is>
      </c>
      <c r="E21" s="6" t="inlineStr">
        <is>
          <t>キュウビが日本へ渡った理由、知ってる？ #shorts #妖怪 #都市伝説</t>
        </is>
      </c>
      <c r="F21" s="7" t="n">
        <v>1021</v>
      </c>
      <c r="G21" s="7" t="n">
        <v>2</v>
      </c>
      <c r="H21" s="22">
        <f>IFERROR(G21*1000/F21,0)</f>
        <v/>
      </c>
      <c r="I21" s="7" t="n">
        <v>6</v>
      </c>
      <c r="J21" s="8">
        <f>IFERROR(I21*100/F21,0)</f>
        <v/>
      </c>
      <c r="K21" s="7" t="n">
        <v>0</v>
      </c>
      <c r="L21" s="9" t="n">
        <v>46.1</v>
      </c>
      <c r="M21" s="7" t="n">
        <v>165</v>
      </c>
      <c r="N21" s="23" t="n">
        <v>3.636363636363636</v>
      </c>
    </row>
    <row r="22">
      <c r="A22" s="6" t="inlineStr">
        <is>
          <t>pokemon-lab</t>
        </is>
      </c>
      <c r="B22" s="6" t="inlineStr">
        <is>
          <t>2026-08-21</t>
        </is>
      </c>
      <c r="C22" s="6" t="inlineStr">
        <is>
          <t>17時</t>
        </is>
      </c>
      <c r="D22" s="6" t="inlineStr">
        <is>
          <t>C</t>
        </is>
      </c>
      <c r="E22" s="6" t="inlineStr">
        <is>
          <t>1分ポケモン研究 #11：🔥ドラパルトとガブリアス、君は3秒で速さの壁を越えられる？【ショート】</t>
        </is>
      </c>
      <c r="F22" s="7" t="n">
        <v>1051</v>
      </c>
      <c r="G22" s="7" t="n">
        <v>2</v>
      </c>
      <c r="H22" s="22">
        <f>IFERROR(G22*1000/F22,0)</f>
        <v/>
      </c>
      <c r="I22" s="7" t="n">
        <v>4</v>
      </c>
      <c r="J22" s="8">
        <f>IFERROR(I22*100/F22,0)</f>
        <v/>
      </c>
      <c r="K22" s="7" t="n">
        <v>0</v>
      </c>
      <c r="L22" s="9" t="n">
        <v>26.7</v>
      </c>
      <c r="M22" s="7" t="n">
        <v>111</v>
      </c>
      <c r="N22" s="23" t="n">
        <v>4.504504504504505</v>
      </c>
    </row>
    <row r="23">
      <c r="A23" s="6" t="inlineStr">
        <is>
          <t>scp-lab</t>
        </is>
      </c>
      <c r="B23" s="6" t="inlineStr">
        <is>
          <t>2026-09-06</t>
        </is>
      </c>
      <c r="C23" s="6" t="inlineStr">
        <is>
          <t>17時</t>
        </is>
      </c>
      <c r="D23" s="6" t="inlineStr">
        <is>
          <t>C</t>
        </is>
      </c>
      <c r="E23" s="6" t="inlineStr">
        <is>
          <t>SCP-5800 職員証だけが戻った未解決ファイル #shorts #SCP #SCP解説</t>
        </is>
      </c>
      <c r="F23" s="7" t="n">
        <v>1055</v>
      </c>
      <c r="G23" s="7" t="n">
        <v>2</v>
      </c>
      <c r="H23" s="22">
        <f>IFERROR(G23*1000/F23,0)</f>
        <v/>
      </c>
      <c r="I23" s="7" t="n">
        <v>3</v>
      </c>
      <c r="J23" s="8">
        <f>IFERROR(I23*100/F23,0)</f>
        <v/>
      </c>
      <c r="K23" s="7" t="n">
        <v>0</v>
      </c>
      <c r="L23" s="9" t="n">
        <v>43.4</v>
      </c>
      <c r="M23" s="7" t="n">
        <v>969</v>
      </c>
      <c r="N23" s="23" t="n">
        <v>0.5159958720330238</v>
      </c>
    </row>
    <row r="24">
      <c r="A24" s="6" t="inlineStr">
        <is>
          <t>scp-lab</t>
        </is>
      </c>
      <c r="B24" s="6" t="inlineStr">
        <is>
          <t>2026-09-04</t>
        </is>
      </c>
      <c r="C24" s="6" t="inlineStr">
        <is>
          <t>13時</t>
        </is>
      </c>
      <c r="D24" s="6" t="inlineStr">
        <is>
          <t>C</t>
        </is>
      </c>
      <c r="E24" s="6" t="inlineStr">
        <is>
          <t>SCP-6121 毎晩1cm動く椅子、14日目に起きた異変 #shorts #SCP #SCP解説</t>
        </is>
      </c>
      <c r="F24" s="7" t="n">
        <v>1093</v>
      </c>
      <c r="G24" s="7" t="n">
        <v>2</v>
      </c>
      <c r="H24" s="22">
        <f>IFERROR(G24*1000/F24,0)</f>
        <v/>
      </c>
      <c r="I24" s="7" t="n">
        <v>6</v>
      </c>
      <c r="J24" s="8">
        <f>IFERROR(I24*100/F24,0)</f>
        <v/>
      </c>
      <c r="K24" s="7" t="n">
        <v>0</v>
      </c>
      <c r="L24" s="9" t="n">
        <v>40.3</v>
      </c>
      <c r="M24" s="7" t="n">
        <v>429</v>
      </c>
      <c r="N24" s="23" t="n">
        <v>0.9324009324009324</v>
      </c>
    </row>
    <row r="25">
      <c r="A25" s="6" t="inlineStr">
        <is>
          <t>daily-science</t>
        </is>
      </c>
      <c r="B25" s="6" t="inlineStr">
        <is>
          <t>2026-09-09</t>
        </is>
      </c>
      <c r="C25" s="6" t="inlineStr">
        <is>
          <t>11時</t>
        </is>
      </c>
      <c r="D25" s="6" t="inlineStr">
        <is>
          <t>A</t>
        </is>
      </c>
      <c r="E25" s="6" t="inlineStr">
        <is>
          <t>なぜ寒さで顎が先に震える？3秒の正体 #shorts #雑学 #豆知識</t>
        </is>
      </c>
      <c r="F25" s="7" t="n">
        <v>1138</v>
      </c>
      <c r="G25" s="7" t="n">
        <v>2</v>
      </c>
      <c r="H25" s="22">
        <f>IFERROR(G25*1000/F25,0)</f>
        <v/>
      </c>
      <c r="I25" s="7" t="n">
        <v>15</v>
      </c>
      <c r="J25" s="8">
        <f>IFERROR(I25*100/F25,0)</f>
        <v/>
      </c>
      <c r="K25" s="7" t="n">
        <v>0</v>
      </c>
      <c r="L25" s="9" t="n">
        <v>38.1</v>
      </c>
      <c r="M25" s="7" t="n">
        <v>11</v>
      </c>
      <c r="N25" s="23" t="n">
        <v>0</v>
      </c>
    </row>
    <row r="26">
      <c r="A26" s="6" t="inlineStr">
        <is>
          <t>company-facts</t>
        </is>
      </c>
      <c r="B26" s="6" t="inlineStr">
        <is>
          <t>2026-09-09</t>
        </is>
      </c>
      <c r="C26" s="6" t="inlineStr">
        <is>
          <t>23時</t>
        </is>
      </c>
      <c r="D26" s="6" t="inlineStr">
        <is>
          <t>C</t>
        </is>
      </c>
      <c r="E26" s="6" t="inlineStr">
        <is>
          <t>Appleの本当は年収約3,800万円、新製品発表の裏側 #shorts #企業分析 #年収 #転職</t>
        </is>
      </c>
      <c r="F26" s="7" t="n">
        <v>1148</v>
      </c>
      <c r="G26" s="7" t="n">
        <v>2</v>
      </c>
      <c r="H26" s="22">
        <f>IFERROR(G26*1000/F26,0)</f>
        <v/>
      </c>
      <c r="I26" s="7" t="n">
        <v>1</v>
      </c>
      <c r="J26" s="8">
        <f>IFERROR(I26*100/F26,0)</f>
        <v/>
      </c>
      <c r="K26" s="7" t="n">
        <v>0</v>
      </c>
      <c r="L26" s="9" t="n">
        <v>90</v>
      </c>
      <c r="M26" s="7" t="n">
        <v>121</v>
      </c>
      <c r="N26" s="23" t="n">
        <v>0</v>
      </c>
    </row>
    <row r="27">
      <c r="A27" s="6" t="inlineStr">
        <is>
          <t>company-facts</t>
        </is>
      </c>
      <c r="B27" s="6" t="inlineStr">
        <is>
          <t>2026-08-26</t>
        </is>
      </c>
      <c r="C27" s="6" t="inlineStr">
        <is>
          <t>17時</t>
        </is>
      </c>
      <c r="D27" s="6" t="inlineStr">
        <is>
          <t>C</t>
        </is>
      </c>
      <c r="E27" s="6" t="inlineStr">
        <is>
          <t>💸トヨタ自動車の年収982万円、実は手当の中身が違う【ショート】</t>
        </is>
      </c>
      <c r="F27" s="7" t="n">
        <v>3599</v>
      </c>
      <c r="G27" s="7" t="n">
        <v>6</v>
      </c>
      <c r="H27" s="22">
        <f>IFERROR(G27*1000/F27,0)</f>
        <v/>
      </c>
      <c r="I27" s="7" t="n">
        <v>8</v>
      </c>
      <c r="J27" s="8">
        <f>IFERROR(I27*100/F27,0)</f>
        <v/>
      </c>
      <c r="K27" s="7" t="n">
        <v>0</v>
      </c>
      <c r="L27" s="9" t="n">
        <v>79</v>
      </c>
      <c r="M27" s="7" t="n">
        <v>300</v>
      </c>
      <c r="N27" s="23" t="n">
        <v>3</v>
      </c>
    </row>
    <row r="28">
      <c r="A28" s="6" t="inlineStr">
        <is>
          <t>company-facts</t>
        </is>
      </c>
      <c r="B28" s="6" t="inlineStr">
        <is>
          <t>2026-08-27</t>
        </is>
      </c>
      <c r="C28" s="6" t="inlineStr">
        <is>
          <t>17時</t>
        </is>
      </c>
      <c r="D28" s="6" t="inlineStr">
        <is>
          <t>C</t>
        </is>
      </c>
      <c r="E28" s="6" t="inlineStr">
        <is>
          <t>📉大谷翔平の年収が実は約160億円？スポンサー契約の裏側📉【ショート】</t>
        </is>
      </c>
      <c r="F28" s="7" t="n">
        <v>2246</v>
      </c>
      <c r="G28" s="7" t="n">
        <v>3</v>
      </c>
      <c r="H28" s="23">
        <f>IFERROR(G28*1000/F28,0)</f>
        <v/>
      </c>
      <c r="I28" s="7" t="n">
        <v>23</v>
      </c>
      <c r="J28" s="8">
        <f>IFERROR(I28*100/F28,0)</f>
        <v/>
      </c>
      <c r="K28" s="7" t="n">
        <v>0</v>
      </c>
      <c r="L28" s="9" t="n">
        <v>89.8</v>
      </c>
      <c r="M28" s="7" t="n">
        <v>323</v>
      </c>
      <c r="N28" s="23" t="n">
        <v>2.1671826625387</v>
      </c>
    </row>
    <row r="29">
      <c r="A29" s="6" t="inlineStr">
        <is>
          <t>yokai-watch</t>
        </is>
      </c>
      <c r="B29" s="6" t="inlineStr">
        <is>
          <t>2026-09-08</t>
        </is>
      </c>
      <c r="C29" s="6" t="inlineStr">
        <is>
          <t>17時</t>
        </is>
      </c>
      <c r="D29" s="6" t="inlineStr">
        <is>
          <t>D</t>
        </is>
      </c>
      <c r="E29" s="6" t="inlineStr">
        <is>
          <t>覚の元ネタが怖すぎる…心を先回りする山の怪物 #shorts #妖怪 #都市伝説</t>
        </is>
      </c>
      <c r="F29" s="7" t="n">
        <v>780</v>
      </c>
      <c r="G29" s="7" t="n">
        <v>1</v>
      </c>
      <c r="H29" s="23">
        <f>IFERROR(G29*1000/F29,0)</f>
        <v/>
      </c>
      <c r="I29" s="7" t="n">
        <v>6</v>
      </c>
      <c r="J29" s="8">
        <f>IFERROR(I29*100/F29,0)</f>
        <v/>
      </c>
      <c r="K29" s="7" t="n">
        <v>0</v>
      </c>
      <c r="L29" s="9" t="n">
        <v>38.2</v>
      </c>
      <c r="M29" s="7" t="n">
        <v>201</v>
      </c>
      <c r="N29" s="23" t="n">
        <v>1.492537313432836</v>
      </c>
    </row>
    <row r="30">
      <c r="A30" s="6" t="inlineStr">
        <is>
          <t>daily-science</t>
        </is>
      </c>
      <c r="B30" s="6" t="inlineStr">
        <is>
          <t>2026-08-24</t>
        </is>
      </c>
      <c r="C30" s="6" t="inlineStr">
        <is>
          <t>17時</t>
        </is>
      </c>
      <c r="D30" s="6" t="inlineStr">
        <is>
          <t>A</t>
        </is>
      </c>
      <c r="E30" s="6" t="inlineStr">
        <is>
          <t>1分科学 #93：🔍なぜ満月の夜だけ夢を覚えている？月齢29.5日に隠れた睡眠の正体【ショート】</t>
        </is>
      </c>
      <c r="F30" s="7" t="n">
        <v>816</v>
      </c>
      <c r="G30" s="7" t="n">
        <v>1</v>
      </c>
      <c r="H30" s="23">
        <f>IFERROR(G30*1000/F30,0)</f>
        <v/>
      </c>
      <c r="I30" s="7" t="n">
        <v>6</v>
      </c>
      <c r="J30" s="8">
        <f>IFERROR(I30*100/F30,0)</f>
        <v/>
      </c>
      <c r="K30" s="7" t="n">
        <v>0</v>
      </c>
      <c r="L30" s="9" t="n">
        <v>32.4</v>
      </c>
      <c r="M30" s="7" t="n">
        <v>82</v>
      </c>
      <c r="N30" s="23" t="n">
        <v>1.219512195121951</v>
      </c>
    </row>
    <row r="31">
      <c r="A31" s="6" t="inlineStr">
        <is>
          <t>2ch-matome</t>
        </is>
      </c>
      <c r="B31" s="6" t="inlineStr">
        <is>
          <t>2026-08-20</t>
        </is>
      </c>
      <c r="C31" s="6" t="inlineStr">
        <is>
          <t>17時</t>
        </is>
      </c>
      <c r="D31" s="6" t="inlineStr">
        <is>
          <t>A</t>
        </is>
      </c>
      <c r="E31" s="6" t="inlineStr">
        <is>
          <t>ちいかわチョコサプ、なぜ中身が攻めすぎなのか？3秒予想してみたら草【ショート】</t>
        </is>
      </c>
      <c r="F31" s="7" t="n">
        <v>820</v>
      </c>
      <c r="G31" s="7" t="n">
        <v>1</v>
      </c>
      <c r="H31" s="23">
        <f>IFERROR(G31*1000/F31,0)</f>
        <v/>
      </c>
      <c r="I31" s="7" t="n">
        <v>1</v>
      </c>
      <c r="J31" s="8">
        <f>IFERROR(I31*100/F31,0)</f>
        <v/>
      </c>
      <c r="K31" s="7" t="n">
        <v>0</v>
      </c>
      <c r="L31" s="9" t="n">
        <v>31.9</v>
      </c>
      <c r="M31" s="7" t="n">
        <v>27</v>
      </c>
      <c r="N31" s="23" t="n">
        <v>0</v>
      </c>
    </row>
    <row r="32">
      <c r="A32" s="6" t="inlineStr">
        <is>
          <t>daily-science</t>
        </is>
      </c>
      <c r="B32" s="6" t="inlineStr">
        <is>
          <t>2026-08-27</t>
        </is>
      </c>
      <c r="C32" s="6" t="inlineStr">
        <is>
          <t>17時</t>
        </is>
      </c>
      <c r="D32" s="6" t="inlineStr">
        <is>
          <t>A</t>
        </is>
      </c>
      <c r="E32" s="6" t="inlineStr">
        <is>
          <t>1分科学 #97：🧬なぜ大谷翔平は睡眠を最優先するのか？8時間超が支える体の正体【ショート】</t>
        </is>
      </c>
      <c r="F32" s="7" t="n">
        <v>848</v>
      </c>
      <c r="G32" s="7" t="n">
        <v>1</v>
      </c>
      <c r="H32" s="23">
        <f>IFERROR(G32*1000/F32,0)</f>
        <v/>
      </c>
      <c r="I32" s="7" t="n">
        <v>7</v>
      </c>
      <c r="J32" s="8">
        <f>IFERROR(I32*100/F32,0)</f>
        <v/>
      </c>
      <c r="K32" s="7" t="n">
        <v>0</v>
      </c>
      <c r="L32" s="9" t="n">
        <v>59.6</v>
      </c>
      <c r="M32" s="7" t="n">
        <v>125</v>
      </c>
      <c r="N32" s="23" t="n">
        <v>0.8</v>
      </c>
    </row>
    <row r="33">
      <c r="A33" s="6" t="inlineStr">
        <is>
          <t>yokai-watch</t>
        </is>
      </c>
      <c r="B33" s="6" t="inlineStr">
        <is>
          <t>2026-09-07</t>
        </is>
      </c>
      <c r="C33" s="6" t="inlineStr">
        <is>
          <t>17時</t>
        </is>
      </c>
      <c r="D33" s="6" t="inlineStr">
        <is>
          <t>B</t>
        </is>
      </c>
      <c r="E33" s="6" t="inlineStr">
        <is>
          <t>なぜ狐は人を化かす妖怪にされたのか？江戸の記録に残る事情 #shorts #妖怪 #都市伝説</t>
        </is>
      </c>
      <c r="F33" s="7" t="n">
        <v>851</v>
      </c>
      <c r="G33" s="7" t="n">
        <v>1</v>
      </c>
      <c r="H33" s="23">
        <f>IFERROR(G33*1000/F33,0)</f>
        <v/>
      </c>
      <c r="I33" s="7" t="n">
        <v>9</v>
      </c>
      <c r="J33" s="8">
        <f>IFERROR(I33*100/F33,0)</f>
        <v/>
      </c>
      <c r="K33" s="7" t="n">
        <v>0</v>
      </c>
      <c r="L33" s="9" t="n">
        <v>48.6</v>
      </c>
      <c r="M33" s="7" t="n">
        <v>75</v>
      </c>
      <c r="N33" s="23" t="n">
        <v>4</v>
      </c>
    </row>
    <row r="34">
      <c r="A34" s="6" t="inlineStr">
        <is>
          <t>scp-lab</t>
        </is>
      </c>
      <c r="B34" s="6" t="inlineStr">
        <is>
          <t>2026-08-31</t>
        </is>
      </c>
      <c r="C34" s="6" t="inlineStr">
        <is>
          <t>19時</t>
        </is>
      </c>
      <c r="D34" s="6" t="inlineStr">
        <is>
          <t>A</t>
        </is>
      </c>
      <c r="E34" s="6" t="inlineStr">
        <is>
          <t>SCP-093の6色記録 なぜ戻れた？【ショート】</t>
        </is>
      </c>
      <c r="F34" s="7" t="n">
        <v>858</v>
      </c>
      <c r="G34" s="7" t="n">
        <v>1</v>
      </c>
      <c r="H34" s="23">
        <f>IFERROR(G34*1000/F34,0)</f>
        <v/>
      </c>
      <c r="I34" s="7" t="n">
        <v>7</v>
      </c>
      <c r="J34" s="8">
        <f>IFERROR(I34*100/F34,0)</f>
        <v/>
      </c>
      <c r="K34" s="7" t="n">
        <v>0</v>
      </c>
      <c r="L34" s="9" t="n">
        <v>35.2</v>
      </c>
      <c r="M34" s="7" t="n">
        <v>220</v>
      </c>
      <c r="N34" s="23" t="n">
        <v>1.818181818181818</v>
      </c>
    </row>
    <row r="35">
      <c r="A35" s="6" t="inlineStr">
        <is>
          <t>pokemon-lab</t>
        </is>
      </c>
      <c r="B35" s="6" t="inlineStr">
        <is>
          <t>2026-09-03</t>
        </is>
      </c>
      <c r="C35" s="6" t="inlineStr">
        <is>
          <t>17時</t>
        </is>
      </c>
      <c r="D35" s="6" t="inlineStr">
        <is>
          <t>A</t>
        </is>
      </c>
      <c r="E35" s="6" t="inlineStr">
        <is>
          <t>君が知らないシェイミ2形態の正体127 #shorts #ポケモン #ポケモン雑学</t>
        </is>
      </c>
      <c r="F35" s="7" t="n">
        <v>861</v>
      </c>
      <c r="G35" s="7" t="n">
        <v>1</v>
      </c>
      <c r="H35" s="23">
        <f>IFERROR(G35*1000/F35,0)</f>
        <v/>
      </c>
      <c r="I35" s="7" t="n">
        <v>3</v>
      </c>
      <c r="J35" s="8">
        <f>IFERROR(I35*100/F35,0)</f>
        <v/>
      </c>
      <c r="K35" s="7" t="n">
        <v>0</v>
      </c>
      <c r="L35" s="9" t="n">
        <v>34</v>
      </c>
      <c r="M35" s="7" t="n">
        <v>104</v>
      </c>
      <c r="N35" s="23" t="n">
        <v>0.9615384615384616</v>
      </c>
    </row>
    <row r="36">
      <c r="A36" s="6" t="inlineStr">
        <is>
          <t>daily-science</t>
        </is>
      </c>
      <c r="B36" s="6" t="inlineStr">
        <is>
          <t>2026-08-25</t>
        </is>
      </c>
      <c r="C36" s="6" t="inlineStr">
        <is>
          <t>17時</t>
        </is>
      </c>
      <c r="D36" s="6" t="inlineStr">
        <is>
          <t>A</t>
        </is>
      </c>
      <c r="E36" s="6" t="inlineStr">
        <is>
          <t>1分科学 #94：🧬なぜ甘い物のあと塩気が欲しい？あなたの舌で3分起きる感度の正体【ショート】</t>
        </is>
      </c>
      <c r="F36" s="7" t="n">
        <v>863</v>
      </c>
      <c r="G36" s="7" t="n">
        <v>1</v>
      </c>
      <c r="H36" s="23">
        <f>IFERROR(G36*1000/F36,0)</f>
        <v/>
      </c>
      <c r="I36" s="7" t="n">
        <v>7</v>
      </c>
      <c r="J36" s="8">
        <f>IFERROR(I36*100/F36,0)</f>
        <v/>
      </c>
      <c r="K36" s="7" t="n">
        <v>0</v>
      </c>
      <c r="L36" s="9" t="n">
        <v>31.7</v>
      </c>
      <c r="M36" s="7" t="n">
        <v>33</v>
      </c>
      <c r="N36" s="23" t="n">
        <v>3.03030303030303</v>
      </c>
    </row>
    <row r="37">
      <c r="A37" s="6" t="inlineStr">
        <is>
          <t>2ch-matome</t>
        </is>
      </c>
      <c r="B37" s="6" t="inlineStr">
        <is>
          <t>2026-09-06</t>
        </is>
      </c>
      <c r="C37" s="6" t="inlineStr">
        <is>
          <t>07時</t>
        </is>
      </c>
      <c r="D37" s="6" t="inlineStr">
        <is>
          <t>C</t>
        </is>
      </c>
      <c r="E37" s="6" t="inlineStr">
        <is>
          <t>湯けむりの奥全員停止 #shorts #2ch #面白いスレ</t>
        </is>
      </c>
      <c r="F37" s="7" t="n">
        <v>873</v>
      </c>
      <c r="G37" s="7" t="n">
        <v>1</v>
      </c>
      <c r="H37" s="23">
        <f>IFERROR(G37*1000/F37,0)</f>
        <v/>
      </c>
      <c r="I37" s="7" t="n">
        <v>1</v>
      </c>
      <c r="J37" s="8">
        <f>IFERROR(I37*100/F37,0)</f>
        <v/>
      </c>
      <c r="K37" s="7" t="n">
        <v>0</v>
      </c>
      <c r="L37" s="9" t="n">
        <v>36.6</v>
      </c>
      <c r="M37" s="7" t="n">
        <v>6</v>
      </c>
      <c r="N37" s="23" t="n">
        <v>16.66666666666666</v>
      </c>
    </row>
    <row r="38">
      <c r="A38" s="6" t="inlineStr">
        <is>
          <t>daily-science</t>
        </is>
      </c>
      <c r="B38" s="6" t="inlineStr">
        <is>
          <t>2026-09-03</t>
        </is>
      </c>
      <c r="C38" s="6" t="inlineStr">
        <is>
          <t>17時</t>
        </is>
      </c>
      <c r="D38" s="6" t="inlineStr">
        <is>
          <t>A</t>
        </is>
      </c>
      <c r="E38" s="6" t="inlineStr">
        <is>
          <t>歩き方を意識した3秒で迷う正体 #shorts #雑学 #豆知識</t>
        </is>
      </c>
      <c r="F38" s="7" t="n">
        <v>891</v>
      </c>
      <c r="G38" s="7" t="n">
        <v>1</v>
      </c>
      <c r="H38" s="23">
        <f>IFERROR(G38*1000/F38,0)</f>
        <v/>
      </c>
      <c r="I38" s="7" t="n">
        <v>10</v>
      </c>
      <c r="J38" s="8">
        <f>IFERROR(I38*100/F38,0)</f>
        <v/>
      </c>
      <c r="K38" s="7" t="n">
        <v>0</v>
      </c>
      <c r="L38" s="9" t="n">
        <v>40.5</v>
      </c>
      <c r="M38" s="7" t="n">
        <v>97</v>
      </c>
      <c r="N38" s="23" t="n">
        <v>0</v>
      </c>
    </row>
    <row r="39">
      <c r="A39" s="6" t="inlineStr">
        <is>
          <t>daily-science</t>
        </is>
      </c>
      <c r="B39" s="6" t="inlineStr">
        <is>
          <t>2026-08-27</t>
        </is>
      </c>
      <c r="C39" s="6" t="inlineStr">
        <is>
          <t>12時</t>
        </is>
      </c>
      <c r="D39" s="6" t="inlineStr">
        <is>
          <t>A</t>
        </is>
      </c>
      <c r="E39" s="6" t="inlineStr">
        <is>
          <t>1分科学：なぜ蚊に刺された場所は数分後から痒くなるのか #shorts #雑学 #豆知識</t>
        </is>
      </c>
      <c r="F39" s="7" t="n">
        <v>900</v>
      </c>
      <c r="G39" s="7" t="n">
        <v>1</v>
      </c>
      <c r="H39" s="23">
        <f>IFERROR(G39*1000/F39,0)</f>
        <v/>
      </c>
      <c r="I39" s="7" t="n">
        <v>6</v>
      </c>
      <c r="J39" s="8">
        <f>IFERROR(I39*100/F39,0)</f>
        <v/>
      </c>
      <c r="K39" s="7" t="n">
        <v>0</v>
      </c>
      <c r="L39" s="9" t="n">
        <v>53.4</v>
      </c>
      <c r="M39" s="7" t="n">
        <v>66</v>
      </c>
      <c r="N39" s="23" t="n">
        <v>1.515151515151515</v>
      </c>
    </row>
    <row r="40">
      <c r="A40" s="6" t="inlineStr">
        <is>
          <t>scp-lab</t>
        </is>
      </c>
      <c r="B40" s="6" t="inlineStr">
        <is>
          <t>2026-09-07</t>
        </is>
      </c>
      <c r="C40" s="6" t="inlineStr">
        <is>
          <t>17時</t>
        </is>
      </c>
      <c r="D40" s="6" t="inlineStr">
        <is>
          <t>A</t>
        </is>
      </c>
      <c r="E40" s="6" t="inlineStr">
        <is>
          <t>なぜこの火山は72時間沈黙し職員が消えるのか #shorts #SCP #SCP解説</t>
        </is>
      </c>
      <c r="F40" s="7" t="n">
        <v>900</v>
      </c>
      <c r="G40" s="7" t="n">
        <v>1</v>
      </c>
      <c r="H40" s="23">
        <f>IFERROR(G40*1000/F40,0)</f>
        <v/>
      </c>
      <c r="I40" s="7" t="n">
        <v>4</v>
      </c>
      <c r="J40" s="8">
        <f>IFERROR(I40*100/F40,0)</f>
        <v/>
      </c>
      <c r="K40" s="7" t="n">
        <v>0</v>
      </c>
      <c r="L40" s="9" t="n">
        <v>48.6</v>
      </c>
      <c r="M40" s="7" t="n">
        <v>65</v>
      </c>
      <c r="N40" s="23" t="n">
        <v>0</v>
      </c>
    </row>
    <row r="41">
      <c r="A41" s="6" t="inlineStr">
        <is>
          <t>yokai-watch</t>
        </is>
      </c>
      <c r="B41" s="6" t="inlineStr">
        <is>
          <t>2026-08-27</t>
        </is>
      </c>
      <c r="C41" s="6" t="inlineStr">
        <is>
          <t>12時</t>
        </is>
      </c>
      <c r="D41" s="6" t="inlineStr">
        <is>
          <t>C</t>
        </is>
      </c>
      <c r="E41" s="6" t="inlineStr">
        <is>
          <t>1分妖怪ファイル：キュウビの元ネタ玉藻前、殺生石になった結末 #shorts #妖怪 #都市伝説</t>
        </is>
      </c>
      <c r="F41" s="7" t="n">
        <v>900</v>
      </c>
      <c r="G41" s="7" t="n">
        <v>1</v>
      </c>
      <c r="H41" s="23">
        <f>IFERROR(G41*1000/F41,0)</f>
        <v/>
      </c>
      <c r="I41" s="7" t="n">
        <v>5</v>
      </c>
      <c r="J41" s="8">
        <f>IFERROR(I41*100/F41,0)</f>
        <v/>
      </c>
      <c r="K41" s="7" t="n">
        <v>0</v>
      </c>
      <c r="L41" s="9" t="n">
        <v>79.59999999999999</v>
      </c>
      <c r="M41" s="7" t="n">
        <v>153</v>
      </c>
      <c r="N41" s="23" t="n">
        <v>0.6535947712418301</v>
      </c>
    </row>
    <row r="42">
      <c r="A42" s="6" t="inlineStr">
        <is>
          <t>scp-lab</t>
        </is>
      </c>
      <c r="B42" s="6" t="inlineStr">
        <is>
          <t>2026-09-03</t>
        </is>
      </c>
      <c r="C42" s="6" t="inlineStr">
        <is>
          <t>16時</t>
        </is>
      </c>
      <c r="D42" s="6" t="inlineStr">
        <is>
          <t>A</t>
        </is>
      </c>
      <c r="E42" s="6" t="inlineStr">
        <is>
          <t>SCP-███ なぜ扉に3枚目の札がある？ #shorts #SCP #SCP解説</t>
        </is>
      </c>
      <c r="F42" s="7" t="n">
        <v>910</v>
      </c>
      <c r="G42" s="7" t="n">
        <v>1</v>
      </c>
      <c r="H42" s="23">
        <f>IFERROR(G42*1000/F42,0)</f>
        <v/>
      </c>
      <c r="I42" s="7" t="n">
        <v>6</v>
      </c>
      <c r="J42" s="8">
        <f>IFERROR(I42*100/F42,0)</f>
        <v/>
      </c>
      <c r="K42" s="7" t="n">
        <v>0</v>
      </c>
      <c r="L42" s="9" t="n">
        <v>37</v>
      </c>
      <c r="M42" s="7" t="n">
        <v>464</v>
      </c>
      <c r="N42" s="23" t="n">
        <v>0.4310344827586207</v>
      </c>
    </row>
    <row r="43">
      <c r="A43" s="6" t="inlineStr">
        <is>
          <t>scp-lab</t>
        </is>
      </c>
      <c r="B43" s="6" t="inlineStr">
        <is>
          <t>2026-09-01</t>
        </is>
      </c>
      <c r="C43" s="6" t="inlineStr">
        <is>
          <t>09時</t>
        </is>
      </c>
      <c r="D43" s="6" t="inlineStr">
        <is>
          <t>A</t>
        </is>
      </c>
      <c r="E43" s="6" t="inlineStr">
        <is>
          <t>SCP-1987 なぜ24時間ごとに被害が増える？【ショート】</t>
        </is>
      </c>
      <c r="F43" s="7" t="n">
        <v>940</v>
      </c>
      <c r="G43" s="7" t="n">
        <v>1</v>
      </c>
      <c r="H43" s="23">
        <f>IFERROR(G43*1000/F43,0)</f>
        <v/>
      </c>
      <c r="I43" s="7" t="n">
        <v>1</v>
      </c>
      <c r="J43" s="8">
        <f>IFERROR(I43*100/F43,0)</f>
        <v/>
      </c>
      <c r="K43" s="7" t="n">
        <v>0</v>
      </c>
      <c r="L43" s="9" t="n">
        <v>38.5</v>
      </c>
      <c r="M43" s="7" t="n">
        <v>178</v>
      </c>
      <c r="N43" s="23" t="n">
        <v>0.5617977528089888</v>
      </c>
    </row>
    <row r="44">
      <c r="A44" s="6" t="inlineStr">
        <is>
          <t>pokemon-lab</t>
        </is>
      </c>
      <c r="B44" s="6" t="inlineStr">
        <is>
          <t>2026-09-05</t>
        </is>
      </c>
      <c r="C44" s="6" t="inlineStr">
        <is>
          <t>08時</t>
        </is>
      </c>
      <c r="D44" s="6" t="inlineStr">
        <is>
          <t>C</t>
        </is>
      </c>
      <c r="E44" s="6" t="inlineStr">
        <is>
          <t>ハピナスHP255・特防なのに防御衝撃 #shorts #ポケモン #ポケモン雑学</t>
        </is>
      </c>
      <c r="F44" s="7" t="n">
        <v>942</v>
      </c>
      <c r="G44" s="7" t="n">
        <v>1</v>
      </c>
      <c r="H44" s="23">
        <f>IFERROR(G44*1000/F44,0)</f>
        <v/>
      </c>
      <c r="I44" s="7" t="n">
        <v>2</v>
      </c>
      <c r="J44" s="8">
        <f>IFERROR(I44*100/F44,0)</f>
        <v/>
      </c>
      <c r="K44" s="7" t="n">
        <v>0</v>
      </c>
      <c r="L44" s="9" t="n">
        <v>43.4</v>
      </c>
      <c r="M44" s="7" t="n">
        <v>87</v>
      </c>
      <c r="N44" s="23" t="n">
        <v>1.149425287356322</v>
      </c>
    </row>
    <row r="45">
      <c r="A45" s="6" t="inlineStr">
        <is>
          <t>pokemon-lab</t>
        </is>
      </c>
      <c r="B45" s="6" t="inlineStr">
        <is>
          <t>2026-08-27</t>
        </is>
      </c>
      <c r="C45" s="6" t="inlineStr">
        <is>
          <t>12時</t>
        </is>
      </c>
      <c r="D45" s="6" t="inlineStr">
        <is>
          <t>C</t>
        </is>
      </c>
      <c r="E45" s="6" t="inlineStr">
        <is>
          <t>1分ポケモン研究：ヌメルゴンとバンギラス、特防が高いのはどっち #shorts #ポケモン #ポケモン雑学</t>
        </is>
      </c>
      <c r="F45" s="7" t="n">
        <v>953</v>
      </c>
      <c r="G45" s="7" t="n">
        <v>1</v>
      </c>
      <c r="H45" s="23">
        <f>IFERROR(G45*1000/F45,0)</f>
        <v/>
      </c>
      <c r="I45" s="7" t="n">
        <v>2</v>
      </c>
      <c r="J45" s="8">
        <f>IFERROR(I45*100/F45,0)</f>
        <v/>
      </c>
      <c r="K45" s="7" t="n">
        <v>0</v>
      </c>
      <c r="L45" s="9" t="n">
        <v>37</v>
      </c>
      <c r="M45" s="7" t="n">
        <v>171</v>
      </c>
      <c r="N45" s="23" t="n">
        <v>2.339181286549707</v>
      </c>
    </row>
    <row r="46">
      <c r="A46" s="6" t="inlineStr">
        <is>
          <t>scp-lab</t>
        </is>
      </c>
      <c r="B46" s="6" t="inlineStr">
        <is>
          <t>2026-08-27</t>
        </is>
      </c>
      <c r="C46" s="6" t="inlineStr">
        <is>
          <t>19時</t>
        </is>
      </c>
      <c r="D46" s="6" t="inlineStr">
        <is>
          <t>A</t>
        </is>
      </c>
      <c r="E46" s="6" t="inlineStr">
        <is>
          <t>なぜ「死亡者0人」の日々で人々が消えたのか【SCP-3519】【ショート】</t>
        </is>
      </c>
      <c r="F46" s="7" t="n">
        <v>955</v>
      </c>
      <c r="G46" s="7" t="n">
        <v>1</v>
      </c>
      <c r="H46" s="23">
        <f>IFERROR(G46*1000/F46,0)</f>
        <v/>
      </c>
      <c r="I46" s="7" t="n">
        <v>4</v>
      </c>
      <c r="J46" s="8">
        <f>IFERROR(I46*100/F46,0)</f>
        <v/>
      </c>
      <c r="K46" s="7" t="n">
        <v>0</v>
      </c>
      <c r="L46" s="9" t="n">
        <v>29</v>
      </c>
      <c r="M46" s="7" t="n">
        <v>1123</v>
      </c>
      <c r="N46" s="23" t="n">
        <v>0.8904719501335707</v>
      </c>
    </row>
    <row r="47">
      <c r="A47" s="6" t="inlineStr">
        <is>
          <t>pokemon-lab</t>
        </is>
      </c>
      <c r="B47" s="6" t="inlineStr">
        <is>
          <t>2026-08-24</t>
        </is>
      </c>
      <c r="C47" s="6" t="inlineStr">
        <is>
          <t>17時</t>
        </is>
      </c>
      <c r="D47" s="6" t="inlineStr">
        <is>
          <t>C</t>
        </is>
      </c>
      <c r="E47" s="6" t="inlineStr">
        <is>
          <t>1分ポケモン研究 #13：👀グリーンに隠された3つの秘密、あなたは本当の役割に気づいた？【ショート】</t>
        </is>
      </c>
      <c r="F47" s="7" t="n">
        <v>977</v>
      </c>
      <c r="G47" s="7" t="n">
        <v>1</v>
      </c>
      <c r="H47" s="23">
        <f>IFERROR(G47*1000/F47,0)</f>
        <v/>
      </c>
      <c r="I47" s="7" t="n">
        <v>1</v>
      </c>
      <c r="J47" s="8">
        <f>IFERROR(I47*100/F47,0)</f>
        <v/>
      </c>
      <c r="K47" s="7" t="n">
        <v>0</v>
      </c>
      <c r="L47" s="9" t="n">
        <v>22.5</v>
      </c>
      <c r="M47" s="7" t="n">
        <v>60</v>
      </c>
      <c r="N47" s="23" t="n">
        <v>0</v>
      </c>
    </row>
    <row r="48">
      <c r="A48" s="6" t="inlineStr">
        <is>
          <t>company-facts</t>
        </is>
      </c>
      <c r="B48" s="6" t="inlineStr">
        <is>
          <t>2026-09-05</t>
        </is>
      </c>
      <c r="C48" s="6" t="inlineStr">
        <is>
          <t>08時</t>
        </is>
      </c>
      <c r="D48" s="6" t="inlineStr">
        <is>
          <t>C</t>
        </is>
      </c>
      <c r="E48" s="6" t="inlineStr">
        <is>
          <t>東京エレクトロンの年収1272万円、実は転職後に差が出る #shorts #企業分析 #年収 #転職</t>
        </is>
      </c>
      <c r="F48" s="7" t="n">
        <v>978</v>
      </c>
      <c r="G48" s="7" t="n">
        <v>1</v>
      </c>
      <c r="H48" s="23">
        <f>IFERROR(G48*1000/F48,0)</f>
        <v/>
      </c>
      <c r="I48" s="7" t="n">
        <v>1</v>
      </c>
      <c r="J48" s="8">
        <f>IFERROR(I48*100/F48,0)</f>
        <v/>
      </c>
      <c r="K48" s="7" t="n">
        <v>0</v>
      </c>
      <c r="L48" s="9" t="n">
        <v>39.4</v>
      </c>
      <c r="M48" s="7" t="n">
        <v>278</v>
      </c>
      <c r="N48" s="23" t="n">
        <v>3.956834532374101</v>
      </c>
    </row>
    <row r="49">
      <c r="A49" s="6" t="inlineStr">
        <is>
          <t>scp-lab</t>
        </is>
      </c>
      <c r="B49" s="6" t="inlineStr">
        <is>
          <t>2026-08-27</t>
        </is>
      </c>
      <c r="C49" s="6" t="inlineStr">
        <is>
          <t>12時</t>
        </is>
      </c>
      <c r="D49" s="6" t="inlineStr">
        <is>
          <t>C</t>
        </is>
      </c>
      <c r="E49" s="6" t="inlineStr">
        <is>
          <t>一口SCP：SCP-006-JP「あけろ」ドアの向こうの記録 #shorts #SCP #SCP解説</t>
        </is>
      </c>
      <c r="F49" s="7" t="n">
        <v>988</v>
      </c>
      <c r="G49" s="7" t="n">
        <v>1</v>
      </c>
      <c r="H49" s="23">
        <f>IFERROR(G49*1000/F49,0)</f>
        <v/>
      </c>
      <c r="I49" s="7" t="n">
        <v>5</v>
      </c>
      <c r="J49" s="8">
        <f>IFERROR(I49*100/F49,0)</f>
        <v/>
      </c>
      <c r="K49" s="7" t="n">
        <v>0</v>
      </c>
      <c r="L49" s="9" t="n">
        <v>67.8</v>
      </c>
      <c r="M49" s="7" t="n">
        <v>592</v>
      </c>
      <c r="N49" s="23" t="n">
        <v>1.858108108108108</v>
      </c>
    </row>
    <row r="50">
      <c r="A50" s="6" t="inlineStr">
        <is>
          <t>company-facts</t>
        </is>
      </c>
      <c r="B50" s="6" t="inlineStr">
        <is>
          <t>2026-09-05</t>
        </is>
      </c>
      <c r="C50" s="6" t="inlineStr">
        <is>
          <t>17時</t>
        </is>
      </c>
      <c r="D50" s="6" t="inlineStr">
        <is>
          <t>C</t>
        </is>
      </c>
      <c r="E50" s="6" t="inlineStr">
        <is>
          <t>キーエンス年収2067万円の内訳、残業37.7時間と評価制度 #shorts #企業分析 #年収 #転職</t>
        </is>
      </c>
      <c r="F50" s="7" t="n">
        <v>992</v>
      </c>
      <c r="G50" s="7" t="n">
        <v>1</v>
      </c>
      <c r="H50" s="23">
        <f>IFERROR(G50*1000/F50,0)</f>
        <v/>
      </c>
      <c r="I50" s="7" t="n">
        <v>3</v>
      </c>
      <c r="J50" s="8">
        <f>IFERROR(I50*100/F50,0)</f>
        <v/>
      </c>
      <c r="K50" s="7" t="n">
        <v>0</v>
      </c>
      <c r="L50" s="9" t="n">
        <v>59.7</v>
      </c>
      <c r="M50" s="7" t="n">
        <v>261</v>
      </c>
      <c r="N50" s="23" t="n">
        <v>0.7662835249042145</v>
      </c>
    </row>
    <row r="51">
      <c r="A51" s="6" t="inlineStr">
        <is>
          <t>company-facts</t>
        </is>
      </c>
      <c r="B51" s="6" t="inlineStr">
        <is>
          <t>2026-08-27</t>
        </is>
      </c>
      <c r="C51" s="6" t="inlineStr">
        <is>
          <t>12時</t>
        </is>
      </c>
      <c r="D51" s="6" t="inlineStr">
        <is>
          <t>C</t>
        </is>
      </c>
      <c r="E51" s="6" t="inlineStr">
        <is>
          <t>三菱商事の平均年収2033万円、その中身 #shorts #企業分析 #年収 #転職</t>
        </is>
      </c>
      <c r="F51" s="7" t="n">
        <v>1990</v>
      </c>
      <c r="G51" s="7" t="n">
        <v>2</v>
      </c>
      <c r="H51" s="23">
        <f>IFERROR(G51*1000/F51,0)</f>
        <v/>
      </c>
      <c r="I51" s="7" t="n">
        <v>16</v>
      </c>
      <c r="J51" s="8">
        <f>IFERROR(I51*100/F51,0)</f>
        <v/>
      </c>
      <c r="K51" s="7" t="n">
        <v>0</v>
      </c>
      <c r="L51" s="9" t="n">
        <v>73.40000000000001</v>
      </c>
      <c r="M51" s="7" t="n">
        <v>382</v>
      </c>
      <c r="N51" s="23" t="n">
        <v>5.235602094240837</v>
      </c>
    </row>
    <row r="52">
      <c r="A52" s="6" t="inlineStr">
        <is>
          <t>company-facts</t>
        </is>
      </c>
      <c r="B52" s="6" t="inlineStr">
        <is>
          <t>2026-09-08</t>
        </is>
      </c>
      <c r="C52" s="6" t="inlineStr">
        <is>
          <t>17時</t>
        </is>
      </c>
      <c r="D52" s="6" t="inlineStr">
        <is>
          <t>C</t>
        </is>
      </c>
      <c r="E52" s="6" t="inlineStr">
        <is>
          <t>NTTデータの年収905万円、実は在宅勤務の裏側 #shorts #企業分析 #年収 #転職</t>
        </is>
      </c>
      <c r="F52" s="7" t="n">
        <v>1000</v>
      </c>
      <c r="G52" s="7" t="n">
        <v>1</v>
      </c>
      <c r="H52" s="23">
        <f>IFERROR(G52*1000/F52,0)</f>
        <v/>
      </c>
      <c r="I52" s="7" t="n">
        <v>3</v>
      </c>
      <c r="J52" s="8">
        <f>IFERROR(I52*100/F52,0)</f>
        <v/>
      </c>
      <c r="K52" s="7" t="n">
        <v>0</v>
      </c>
      <c r="L52" s="9" t="n">
        <v>45</v>
      </c>
      <c r="M52" s="7" t="n">
        <v>232</v>
      </c>
      <c r="N52" s="23" t="n">
        <v>1.724137931034483</v>
      </c>
    </row>
    <row r="53">
      <c r="A53" s="6" t="inlineStr">
        <is>
          <t>yokai-watch</t>
        </is>
      </c>
      <c r="B53" s="6" t="inlineStr">
        <is>
          <t>2026-09-06</t>
        </is>
      </c>
      <c r="C53" s="6" t="inlineStr">
        <is>
          <t>12時</t>
        </is>
      </c>
      <c r="D53" s="6" t="inlineStr">
        <is>
          <t>D</t>
        </is>
      </c>
      <c r="E53" s="6" t="inlineStr">
        <is>
          <t>小豆洗い、姿を消して「音」だけ残った土地の記録 #shorts #妖怪 #都市伝説</t>
        </is>
      </c>
      <c r="F53" s="7" t="n">
        <v>1004</v>
      </c>
      <c r="G53" s="7" t="n">
        <v>1</v>
      </c>
      <c r="H53" s="23">
        <f>IFERROR(G53*1000/F53,0)</f>
        <v/>
      </c>
      <c r="I53" s="7" t="n">
        <v>7</v>
      </c>
      <c r="J53" s="8">
        <f>IFERROR(I53*100/F53,0)</f>
        <v/>
      </c>
      <c r="K53" s="7" t="n">
        <v>0</v>
      </c>
      <c r="L53" s="9" t="n">
        <v>44.5</v>
      </c>
      <c r="M53" s="7" t="n">
        <v>94</v>
      </c>
      <c r="N53" s="23" t="n">
        <v>0</v>
      </c>
    </row>
    <row r="54">
      <c r="A54" s="6" t="inlineStr">
        <is>
          <t>daily-science</t>
        </is>
      </c>
      <c r="B54" s="6" t="inlineStr">
        <is>
          <t>2026-08-20</t>
        </is>
      </c>
      <c r="C54" s="6" t="inlineStr">
        <is>
          <t>18時</t>
        </is>
      </c>
      <c r="D54" s="6" t="inlineStr">
        <is>
          <t>A</t>
        </is>
      </c>
      <c r="E54" s="6" t="inlineStr">
        <is>
          <t>1分科学 #88：📈なぜあなたは最後の1段だけ踏み外す？99%が知らない0.3秒のズレ📊【ショート】</t>
        </is>
      </c>
      <c r="F54" s="7" t="n">
        <v>1007</v>
      </c>
      <c r="G54" s="7" t="n">
        <v>1</v>
      </c>
      <c r="H54" s="23">
        <f>IFERROR(G54*1000/F54,0)</f>
        <v/>
      </c>
      <c r="I54" s="7" t="n">
        <v>8</v>
      </c>
      <c r="J54" s="8">
        <f>IFERROR(I54*100/F54,0)</f>
        <v/>
      </c>
      <c r="K54" s="7" t="n">
        <v>0</v>
      </c>
      <c r="L54" s="9" t="n">
        <v>35.4</v>
      </c>
      <c r="M54" s="7" t="n">
        <v>82</v>
      </c>
      <c r="N54" s="23" t="n">
        <v>1.219512195121951</v>
      </c>
    </row>
    <row r="55">
      <c r="A55" s="6" t="inlineStr">
        <is>
          <t>scp-lab</t>
        </is>
      </c>
      <c r="B55" s="6" t="inlineStr">
        <is>
          <t>2026-09-05</t>
        </is>
      </c>
      <c r="C55" s="6" t="inlineStr">
        <is>
          <t>09時</t>
        </is>
      </c>
      <c r="D55" s="6" t="inlineStr">
        <is>
          <t>C</t>
        </is>
      </c>
      <c r="E55" s="6" t="inlineStr">
        <is>
          <t>SCP-2140 閲覧後、8人の職員記録が別人に置換された #shorts #SCP #SCP解説</t>
        </is>
      </c>
      <c r="F55" s="7" t="n">
        <v>1008</v>
      </c>
      <c r="G55" s="7" t="n">
        <v>1</v>
      </c>
      <c r="H55" s="23">
        <f>IFERROR(G55*1000/F55,0)</f>
        <v/>
      </c>
      <c r="I55" s="7" t="n">
        <v>3</v>
      </c>
      <c r="J55" s="8">
        <f>IFERROR(I55*100/F55,0)</f>
        <v/>
      </c>
      <c r="K55" s="7" t="n">
        <v>0</v>
      </c>
      <c r="L55" s="9" t="n">
        <v>31.6</v>
      </c>
      <c r="M55" s="7" t="n">
        <v>158</v>
      </c>
      <c r="N55" s="23" t="n">
        <v>1.89873417721519</v>
      </c>
    </row>
    <row r="56">
      <c r="A56" s="6" t="inlineStr">
        <is>
          <t>daily-science</t>
        </is>
      </c>
      <c r="B56" s="6" t="inlineStr">
        <is>
          <t>2026-09-05</t>
        </is>
      </c>
      <c r="C56" s="6" t="inlineStr">
        <is>
          <t>07時</t>
        </is>
      </c>
      <c r="D56" s="6" t="inlineStr">
        <is>
          <t>A</t>
        </is>
      </c>
      <c r="E56" s="6" t="inlineStr">
        <is>
          <t>なぜ壁のシミが顔に見える？0.1秒の正体 #shorts #雑学 #豆知識</t>
        </is>
      </c>
      <c r="F56" s="7" t="n">
        <v>1009</v>
      </c>
      <c r="G56" s="7" t="n">
        <v>1</v>
      </c>
      <c r="H56" s="23">
        <f>IFERROR(G56*1000/F56,0)</f>
        <v/>
      </c>
      <c r="I56" s="7" t="n">
        <v>13</v>
      </c>
      <c r="J56" s="8">
        <f>IFERROR(I56*100/F56,0)</f>
        <v/>
      </c>
      <c r="K56" s="7" t="n">
        <v>0</v>
      </c>
      <c r="L56" s="9" t="n">
        <v>41.8</v>
      </c>
      <c r="M56" s="7" t="n">
        <v>58</v>
      </c>
      <c r="N56" s="23" t="n">
        <v>0</v>
      </c>
    </row>
    <row r="57">
      <c r="A57" s="6" t="inlineStr">
        <is>
          <t>pokemon-lab</t>
        </is>
      </c>
      <c r="B57" s="6" t="inlineStr">
        <is>
          <t>2026-09-05</t>
        </is>
      </c>
      <c r="C57" s="6" t="inlineStr">
        <is>
          <t>15時</t>
        </is>
      </c>
      <c r="D57" s="6" t="inlineStr">
        <is>
          <t>B</t>
        </is>
      </c>
      <c r="E57" s="6" t="inlineStr">
        <is>
          <t>初代図鑑にだけけつばんが現れた本当の理由 #shorts #ポケモン #ポケモン雑学</t>
        </is>
      </c>
      <c r="F57" s="7" t="n">
        <v>1020</v>
      </c>
      <c r="G57" s="7" t="n">
        <v>1</v>
      </c>
      <c r="H57" s="23">
        <f>IFERROR(G57*1000/F57,0)</f>
        <v/>
      </c>
      <c r="I57" s="7" t="n">
        <v>1</v>
      </c>
      <c r="J57" s="8">
        <f>IFERROR(I57*100/F57,0)</f>
        <v/>
      </c>
      <c r="K57" s="7" t="n">
        <v>0</v>
      </c>
      <c r="L57" s="9" t="n">
        <v>42.8</v>
      </c>
      <c r="M57" s="7" t="n">
        <v>184</v>
      </c>
      <c r="N57" s="23" t="n">
        <v>0</v>
      </c>
    </row>
    <row r="58">
      <c r="A58" s="6" t="inlineStr">
        <is>
          <t>scp-lab</t>
        </is>
      </c>
      <c r="B58" s="6" t="inlineStr">
        <is>
          <t>2026-08-23</t>
        </is>
      </c>
      <c r="C58" s="6" t="inlineStr">
        <is>
          <t>13時</t>
        </is>
      </c>
      <c r="D58" s="6" t="inlineStr">
        <is>
          <t>C</t>
        </is>
      </c>
      <c r="E58" s="6" t="inlineStr">
        <is>
          <t>一口SCP #96：🫣SCP-507「不本意な次元旅行者」あなたの部屋にも戻るかもしれない恐怖【ショート】</t>
        </is>
      </c>
      <c r="F58" s="7" t="n">
        <v>1034</v>
      </c>
      <c r="G58" s="7" t="n">
        <v>1</v>
      </c>
      <c r="H58" s="23">
        <f>IFERROR(G58*1000/F58,0)</f>
        <v/>
      </c>
      <c r="I58" s="7" t="n">
        <v>2</v>
      </c>
      <c r="J58" s="8">
        <f>IFERROR(I58*100/F58,0)</f>
        <v/>
      </c>
      <c r="K58" s="7" t="n">
        <v>0</v>
      </c>
      <c r="L58" s="9" t="n">
        <v>23.8</v>
      </c>
      <c r="M58" s="7" t="n">
        <v>264</v>
      </c>
      <c r="N58" s="23" t="n">
        <v>1.136363636363636</v>
      </c>
    </row>
    <row r="59">
      <c r="A59" s="6" t="inlineStr">
        <is>
          <t>scp-lab</t>
        </is>
      </c>
      <c r="B59" s="6" t="inlineStr">
        <is>
          <t>2026-09-03</t>
        </is>
      </c>
      <c r="C59" s="6" t="inlineStr">
        <is>
          <t>19時</t>
        </is>
      </c>
      <c r="D59" s="6" t="inlineStr">
        <is>
          <t>A</t>
        </is>
      </c>
      <c r="E59" s="6" t="inlineStr">
        <is>
          <t>SCP-███ 正体は0秒の無音録音 #shorts #SCP #SCP解説</t>
        </is>
      </c>
      <c r="F59" s="7" t="n">
        <v>1035</v>
      </c>
      <c r="G59" s="7" t="n">
        <v>1</v>
      </c>
      <c r="H59" s="23">
        <f>IFERROR(G59*1000/F59,0)</f>
        <v/>
      </c>
      <c r="I59" s="7" t="n">
        <v>7</v>
      </c>
      <c r="J59" s="8">
        <f>IFERROR(I59*100/F59,0)</f>
        <v/>
      </c>
      <c r="K59" s="7" t="n">
        <v>0</v>
      </c>
      <c r="L59" s="9" t="n">
        <v>44.3</v>
      </c>
      <c r="M59" s="7" t="n">
        <v>771</v>
      </c>
      <c r="N59" s="23" t="n">
        <v>0.5188067444876783</v>
      </c>
    </row>
    <row r="60">
      <c r="A60" s="6" t="inlineStr">
        <is>
          <t>2ch-matome</t>
        </is>
      </c>
      <c r="B60" s="6" t="inlineStr">
        <is>
          <t>2026-08-30</t>
        </is>
      </c>
      <c r="C60" s="6" t="inlineStr">
        <is>
          <t>12時</t>
        </is>
      </c>
      <c r="D60" s="6" t="inlineStr">
        <is>
          <t>A</t>
        </is>
      </c>
      <c r="E60" s="6" t="inlineStr">
        <is>
          <t>動画作りに7万課金した男、なぜ昼飯が塩むすびになったのか？【ショート】</t>
        </is>
      </c>
      <c r="F60" s="7" t="n">
        <v>1037</v>
      </c>
      <c r="G60" s="7" t="n">
        <v>1</v>
      </c>
      <c r="H60" s="23">
        <f>IFERROR(G60*1000/F60,0)</f>
        <v/>
      </c>
      <c r="I60" s="7" t="n">
        <v>3</v>
      </c>
      <c r="J60" s="8">
        <f>IFERROR(I60*100/F60,0)</f>
        <v/>
      </c>
      <c r="K60" s="7" t="n">
        <v>0</v>
      </c>
      <c r="L60" s="9" t="n">
        <v>32.5</v>
      </c>
      <c r="M60" s="7" t="n">
        <v>63</v>
      </c>
      <c r="N60" s="23" t="n">
        <v>0</v>
      </c>
    </row>
    <row r="61">
      <c r="A61" s="6" t="inlineStr">
        <is>
          <t>scp-lab</t>
        </is>
      </c>
      <c r="B61" s="6" t="inlineStr">
        <is>
          <t>2026-08-29</t>
        </is>
      </c>
      <c r="C61" s="6" t="inlineStr">
        <is>
          <t>13時</t>
        </is>
      </c>
      <c r="D61" s="6" t="inlineStr">
        <is>
          <t>C</t>
        </is>
      </c>
      <c r="E61" s="6" t="inlineStr">
        <is>
          <t>一口SCP #108：🫣SCP-6670「完全な破滅」人類全員を消す報告書の恐怖【ショート】</t>
        </is>
      </c>
      <c r="F61" s="7" t="n">
        <v>1047</v>
      </c>
      <c r="G61" s="7" t="n">
        <v>1</v>
      </c>
      <c r="H61" s="23">
        <f>IFERROR(G61*1000/F61,0)</f>
        <v/>
      </c>
      <c r="I61" s="7" t="n">
        <v>2</v>
      </c>
      <c r="J61" s="8">
        <f>IFERROR(I61*100/F61,0)</f>
        <v/>
      </c>
      <c r="K61" s="7" t="n">
        <v>0</v>
      </c>
      <c r="L61" s="9" t="n">
        <v>23.7</v>
      </c>
      <c r="M61" s="7" t="n">
        <v>2237</v>
      </c>
      <c r="N61" s="23" t="n">
        <v>1.296379079123827</v>
      </c>
    </row>
    <row r="62">
      <c r="A62" s="6" t="inlineStr">
        <is>
          <t>scp-lab</t>
        </is>
      </c>
      <c r="B62" s="6" t="inlineStr">
        <is>
          <t>2026-08-28</t>
        </is>
      </c>
      <c r="C62" s="6" t="inlineStr">
        <is>
          <t>09時</t>
        </is>
      </c>
      <c r="D62" s="6" t="inlineStr">
        <is>
          <t>C</t>
        </is>
      </c>
      <c r="E62" s="6" t="inlineStr">
        <is>
          <t>一口SCP #105：💀SCP-239「魔女の子供」眠る8歳を財団が恐れた収容記録😱【ショート】</t>
        </is>
      </c>
      <c r="F62" s="7" t="n">
        <v>1051</v>
      </c>
      <c r="G62" s="7" t="n">
        <v>1</v>
      </c>
      <c r="H62" s="23">
        <f>IFERROR(G62*1000/F62,0)</f>
        <v/>
      </c>
      <c r="I62" s="7" t="n">
        <v>3</v>
      </c>
      <c r="J62" s="8">
        <f>IFERROR(I62*100/F62,0)</f>
        <v/>
      </c>
      <c r="K62" s="7" t="n">
        <v>0</v>
      </c>
      <c r="L62" s="9" t="n">
        <v>31.3</v>
      </c>
      <c r="M62" s="7" t="n">
        <v>173</v>
      </c>
      <c r="N62" s="23" t="n">
        <v>2.312138728323699</v>
      </c>
    </row>
    <row r="63">
      <c r="A63" s="6" t="inlineStr">
        <is>
          <t>daily-science</t>
        </is>
      </c>
      <c r="B63" s="6" t="inlineStr">
        <is>
          <t>2026-08-23</t>
        </is>
      </c>
      <c r="C63" s="6" t="inlineStr">
        <is>
          <t>13時</t>
        </is>
      </c>
      <c r="D63" s="6" t="inlineStr">
        <is>
          <t>A</t>
        </is>
      </c>
      <c r="E63" s="6" t="inlineStr">
        <is>
          <t>1分科学 #92：🌍なぜ目をこすると光が見える？あなたの網膜で起きる3秒の勘違い💡【ショート】</t>
        </is>
      </c>
      <c r="F63" s="7" t="n">
        <v>1076</v>
      </c>
      <c r="G63" s="7" t="n">
        <v>1</v>
      </c>
      <c r="H63" s="23">
        <f>IFERROR(G63*1000/F63,0)</f>
        <v/>
      </c>
      <c r="I63" s="7" t="n">
        <v>10</v>
      </c>
      <c r="J63" s="8">
        <f>IFERROR(I63*100/F63,0)</f>
        <v/>
      </c>
      <c r="K63" s="7" t="n">
        <v>0</v>
      </c>
      <c r="L63" s="9" t="n">
        <v>35.2</v>
      </c>
      <c r="M63" s="7" t="n">
        <v>27</v>
      </c>
      <c r="N63" s="23" t="n">
        <v>3.703703703703703</v>
      </c>
    </row>
    <row r="64">
      <c r="A64" s="6" t="inlineStr">
        <is>
          <t>yokai-watch</t>
        </is>
      </c>
      <c r="B64" s="6" t="inlineStr">
        <is>
          <t>2026-09-05</t>
        </is>
      </c>
      <c r="C64" s="6" t="inlineStr">
        <is>
          <t>12時</t>
        </is>
      </c>
      <c r="D64" s="6" t="inlineStr">
        <is>
          <t>B</t>
        </is>
      </c>
      <c r="E64" s="6" t="inlineStr">
        <is>
          <t>口裂け女の噂はなぜ全国へ？名前を呼べない本当の理由 #shorts #妖怪 #都市伝説</t>
        </is>
      </c>
      <c r="F64" s="7" t="n">
        <v>1078</v>
      </c>
      <c r="G64" s="7" t="n">
        <v>1</v>
      </c>
      <c r="H64" s="23">
        <f>IFERROR(G64*1000/F64,0)</f>
        <v/>
      </c>
      <c r="I64" s="7" t="n">
        <v>14</v>
      </c>
      <c r="J64" s="8">
        <f>IFERROR(I64*100/F64,0)</f>
        <v/>
      </c>
      <c r="K64" s="7" t="n">
        <v>0</v>
      </c>
      <c r="L64" s="9" t="n">
        <v>56</v>
      </c>
      <c r="M64" s="7" t="n">
        <v>273</v>
      </c>
      <c r="N64" s="23" t="n">
        <v>1.465201465201465</v>
      </c>
    </row>
    <row r="65">
      <c r="A65" s="6" t="inlineStr">
        <is>
          <t>yokai-watch</t>
        </is>
      </c>
      <c r="B65" s="6" t="inlineStr">
        <is>
          <t>2026-09-08</t>
        </is>
      </c>
      <c r="C65" s="6" t="inlineStr">
        <is>
          <t>12時</t>
        </is>
      </c>
      <c r="D65" s="6" t="inlineStr">
        <is>
          <t>B</t>
        </is>
      </c>
      <c r="E65" s="6" t="inlineStr">
        <is>
          <t>ろくろ首の正体は飛頭蛮？首が飛ぶ怪異の出どころ #shorts #妖怪 #都市伝説</t>
        </is>
      </c>
      <c r="F65" s="7" t="n">
        <v>1096</v>
      </c>
      <c r="G65" s="7" t="n">
        <v>1</v>
      </c>
      <c r="H65" s="23">
        <f>IFERROR(G65*1000/F65,0)</f>
        <v/>
      </c>
      <c r="I65" s="7" t="n">
        <v>6</v>
      </c>
      <c r="J65" s="8">
        <f>IFERROR(I65*100/F65,0)</f>
        <v/>
      </c>
      <c r="K65" s="7" t="n">
        <v>1</v>
      </c>
      <c r="L65" s="9" t="n">
        <v>44.5</v>
      </c>
      <c r="M65" s="7" t="n">
        <v>369</v>
      </c>
      <c r="N65" s="23" t="n">
        <v>2.168021680216802</v>
      </c>
    </row>
    <row r="66">
      <c r="A66" s="6" t="inlineStr">
        <is>
          <t>company-facts</t>
        </is>
      </c>
      <c r="B66" s="6" t="inlineStr">
        <is>
          <t>2026-09-06</t>
        </is>
      </c>
      <c r="C66" s="6" t="inlineStr">
        <is>
          <t>17時</t>
        </is>
      </c>
      <c r="D66" s="6" t="inlineStr">
        <is>
          <t>C</t>
        </is>
      </c>
      <c r="E66" s="6" t="inlineStr">
        <is>
          <t>伊藤忠商事の平均1753万円、朝型勤務の実態 #shorts #企業分析 #年収 #転職</t>
        </is>
      </c>
      <c r="F66" s="7" t="n">
        <v>1155</v>
      </c>
      <c r="G66" s="7" t="n">
        <v>1</v>
      </c>
      <c r="H66" s="23">
        <f>IFERROR(G66*1000/F66,0)</f>
        <v/>
      </c>
      <c r="I66" s="7" t="n">
        <v>5</v>
      </c>
      <c r="J66" s="8">
        <f>IFERROR(I66*100/F66,0)</f>
        <v/>
      </c>
      <c r="K66" s="7" t="n">
        <v>1</v>
      </c>
      <c r="L66" s="9" t="n">
        <v>54.5</v>
      </c>
      <c r="M66" s="7" t="n">
        <v>512</v>
      </c>
      <c r="N66" s="23" t="n">
        <v>0.9765625</v>
      </c>
    </row>
    <row r="67">
      <c r="A67" s="6" t="inlineStr">
        <is>
          <t>2ch-matome</t>
        </is>
      </c>
      <c r="B67" s="6" t="inlineStr">
        <is>
          <t>2026-08-29</t>
        </is>
      </c>
      <c r="C67" s="6" t="inlineStr">
        <is>
          <t>12時</t>
        </is>
      </c>
      <c r="D67" s="6" t="inlineStr">
        <is>
          <t>A</t>
        </is>
      </c>
      <c r="E67" s="6" t="inlineStr">
        <is>
          <t>なぜPS5 Proに期待する？値段で胃が痛い理由とはw【ショート】</t>
        </is>
      </c>
      <c r="F67" s="7" t="n">
        <v>1199</v>
      </c>
      <c r="G67" s="7" t="n">
        <v>1</v>
      </c>
      <c r="H67" s="23">
        <f>IFERROR(G67*1000/F67,0)</f>
        <v/>
      </c>
      <c r="I67" s="7" t="n">
        <v>4</v>
      </c>
      <c r="J67" s="8">
        <f>IFERROR(I67*100/F67,0)</f>
        <v/>
      </c>
      <c r="K67" s="7" t="n">
        <v>2</v>
      </c>
      <c r="L67" s="9" t="n">
        <v>61.7</v>
      </c>
      <c r="M67" s="7" t="n">
        <v>67</v>
      </c>
      <c r="N67" s="23" t="n">
        <v>1.492537313432836</v>
      </c>
    </row>
    <row r="68">
      <c r="A68" s="6" t="inlineStr">
        <is>
          <t>company-facts</t>
        </is>
      </c>
      <c r="B68" s="6" t="inlineStr">
        <is>
          <t>2026-08-20</t>
        </is>
      </c>
      <c r="C68" s="6" t="inlineStr">
        <is>
          <t>17時</t>
        </is>
      </c>
      <c r="D68" s="6" t="inlineStr">
        <is>
          <t>C</t>
        </is>
      </c>
      <c r="E68" s="6" t="inlineStr">
        <is>
          <t>💰アジア大会の裏方企業、年収932万円の実態💰【ショート】</t>
        </is>
      </c>
      <c r="F68" s="7" t="n">
        <v>5205</v>
      </c>
      <c r="G68" s="7" t="n">
        <v>4</v>
      </c>
      <c r="H68" s="23">
        <f>IFERROR(G68*1000/F68,0)</f>
        <v/>
      </c>
      <c r="I68" s="7" t="n">
        <v>10</v>
      </c>
      <c r="J68" s="8">
        <f>IFERROR(I68*100/F68,0)</f>
        <v/>
      </c>
      <c r="K68" s="7" t="n">
        <v>0</v>
      </c>
      <c r="L68" s="9" t="n">
        <v>50.1</v>
      </c>
      <c r="M68" s="7" t="n">
        <v>225</v>
      </c>
      <c r="N68" s="23" t="n">
        <v>0.8888888888888888</v>
      </c>
    </row>
    <row r="69">
      <c r="A69" s="6" t="inlineStr">
        <is>
          <t>company-facts</t>
        </is>
      </c>
      <c r="B69" s="6" t="inlineStr">
        <is>
          <t>2026-08-23</t>
        </is>
      </c>
      <c r="C69" s="6" t="inlineStr">
        <is>
          <t>14時</t>
        </is>
      </c>
      <c r="D69" s="6" t="inlineStr">
        <is>
          <t>C</t>
        </is>
      </c>
      <c r="E69" s="6" t="inlineStr">
        <is>
          <t>💸資生堂の年収729万円、実はダイバーシティの裏で何がある？【ショート】</t>
        </is>
      </c>
      <c r="F69" s="7" t="n">
        <v>1331</v>
      </c>
      <c r="G69" s="7" t="n">
        <v>1</v>
      </c>
      <c r="H69" s="23">
        <f>IFERROR(G69*1000/F69,0)</f>
        <v/>
      </c>
      <c r="I69" s="7" t="n">
        <v>4</v>
      </c>
      <c r="J69" s="8">
        <f>IFERROR(I69*100/F69,0)</f>
        <v/>
      </c>
      <c r="K69" s="7" t="n">
        <v>0</v>
      </c>
      <c r="L69" s="9" t="n">
        <v>53.7</v>
      </c>
      <c r="M69" s="7" t="n">
        <v>150</v>
      </c>
      <c r="N69" s="23" t="n">
        <v>3.333333333333333</v>
      </c>
    </row>
    <row r="70">
      <c r="A70" s="6" t="inlineStr">
        <is>
          <t>company-facts</t>
        </is>
      </c>
      <c r="B70" s="6" t="inlineStr">
        <is>
          <t>2026-08-28</t>
        </is>
      </c>
      <c r="C70" s="6" t="inlineStr">
        <is>
          <t>14時</t>
        </is>
      </c>
      <c r="D70" s="6" t="inlineStr">
        <is>
          <t>C</t>
        </is>
      </c>
      <c r="E70" s="6" t="inlineStr">
        <is>
          <t>💰味の素の有給取得率、実は76.8% 年収と残業の本当は？💸【ショート】</t>
        </is>
      </c>
      <c r="F70" s="7" t="n">
        <v>1336</v>
      </c>
      <c r="G70" s="7" t="n">
        <v>1</v>
      </c>
      <c r="H70" s="23">
        <f>IFERROR(G70*1000/F70,0)</f>
        <v/>
      </c>
      <c r="I70" s="7" t="n">
        <v>5</v>
      </c>
      <c r="J70" s="8">
        <f>IFERROR(I70*100/F70,0)</f>
        <v/>
      </c>
      <c r="K70" s="7" t="n">
        <v>0</v>
      </c>
      <c r="L70" s="9" t="n">
        <v>56.1</v>
      </c>
      <c r="M70" s="7" t="n">
        <v>122</v>
      </c>
      <c r="N70" s="23" t="n">
        <v>0</v>
      </c>
    </row>
    <row r="71">
      <c r="A71" s="6" t="inlineStr">
        <is>
          <t>company-facts</t>
        </is>
      </c>
      <c r="B71" s="6" t="inlineStr">
        <is>
          <t>2026-08-28</t>
        </is>
      </c>
      <c r="C71" s="6" t="inlineStr">
        <is>
          <t>14時</t>
        </is>
      </c>
      <c r="D71" s="6" t="inlineStr">
        <is>
          <t>C</t>
        </is>
      </c>
      <c r="E71" s="6" t="inlineStr">
        <is>
          <t>📉JR東日本の年収810万円、本当は休日124日とのバランス💸【ショート】</t>
        </is>
      </c>
      <c r="F71" s="7" t="n">
        <v>1351</v>
      </c>
      <c r="G71" s="7" t="n">
        <v>1</v>
      </c>
      <c r="H71" s="23">
        <f>IFERROR(G71*1000/F71,0)</f>
        <v/>
      </c>
      <c r="I71" s="7" t="n">
        <v>4</v>
      </c>
      <c r="J71" s="8">
        <f>IFERROR(I71*100/F71,0)</f>
        <v/>
      </c>
      <c r="K71" s="7" t="n">
        <v>0</v>
      </c>
      <c r="L71" s="9" t="n">
        <v>80.8</v>
      </c>
      <c r="M71" s="7" t="n">
        <v>75</v>
      </c>
      <c r="N71" s="23" t="n">
        <v>4</v>
      </c>
    </row>
    <row r="72">
      <c r="A72" s="6" t="inlineStr">
        <is>
          <t>company-facts</t>
        </is>
      </c>
      <c r="B72" s="6" t="inlineStr">
        <is>
          <t>2026-08-28</t>
        </is>
      </c>
      <c r="C72" s="6" t="inlineStr">
        <is>
          <t>17時</t>
        </is>
      </c>
      <c r="D72" s="6" t="inlineStr">
        <is>
          <t>C</t>
        </is>
      </c>
      <c r="E72" s="6" t="inlineStr">
        <is>
          <t>📉花王の男性育休100%、年収はいくら？実は数字の裏も見る【ショート】</t>
        </is>
      </c>
      <c r="F72" s="7" t="n">
        <v>1487</v>
      </c>
      <c r="G72" s="7" t="n">
        <v>1</v>
      </c>
      <c r="H72" s="23">
        <f>IFERROR(G72*1000/F72,0)</f>
        <v/>
      </c>
      <c r="I72" s="7" t="n">
        <v>2</v>
      </c>
      <c r="J72" s="8">
        <f>IFERROR(I72*100/F72,0)</f>
        <v/>
      </c>
      <c r="K72" s="7" t="n">
        <v>0</v>
      </c>
      <c r="L72" s="9" t="n">
        <v>59.2</v>
      </c>
      <c r="M72" s="7" t="n">
        <v>148</v>
      </c>
      <c r="N72" s="23" t="n">
        <v>4.054054054054054</v>
      </c>
    </row>
    <row r="73">
      <c r="A73" s="6" t="inlineStr">
        <is>
          <t>company-facts</t>
        </is>
      </c>
      <c r="B73" s="6" t="inlineStr">
        <is>
          <t>2026-08-25</t>
        </is>
      </c>
      <c r="C73" s="6" t="inlineStr">
        <is>
          <t>17時</t>
        </is>
      </c>
      <c r="D73" s="6" t="inlineStr">
        <is>
          <t>C</t>
        </is>
      </c>
      <c r="E73" s="6" t="inlineStr">
        <is>
          <t>💸不二家の半額ケーキ、実は年収549万円とどう関係する？【ショート】</t>
        </is>
      </c>
      <c r="F73" s="7" t="n">
        <v>1674</v>
      </c>
      <c r="G73" s="7" t="n">
        <v>1</v>
      </c>
      <c r="H73" s="23">
        <f>IFERROR(G73*1000/F73,0)</f>
        <v/>
      </c>
      <c r="I73" s="7" t="n">
        <v>3</v>
      </c>
      <c r="J73" s="8">
        <f>IFERROR(I73*100/F73,0)</f>
        <v/>
      </c>
      <c r="K73" s="7" t="n">
        <v>0</v>
      </c>
      <c r="L73" s="9" t="n">
        <v>58.7</v>
      </c>
      <c r="M73" s="7" t="n">
        <v>109</v>
      </c>
      <c r="N73" s="23" t="n">
        <v>1.834862385321101</v>
      </c>
    </row>
    <row r="74">
      <c r="A74" s="6" t="inlineStr">
        <is>
          <t>company-facts</t>
        </is>
      </c>
      <c r="B74" s="6" t="inlineStr">
        <is>
          <t>2026-09-03</t>
        </is>
      </c>
      <c r="C74" s="6" t="inlineStr">
        <is>
          <t>17時</t>
        </is>
      </c>
      <c r="D74" s="6" t="inlineStr">
        <is>
          <t>A</t>
        </is>
      </c>
      <c r="E74" s="6" t="inlineStr">
        <is>
          <t>日本マクドナルドの正体、年収670万円の裏側 #shorts #企業分析 #年収 #転職</t>
        </is>
      </c>
      <c r="F74" s="7" t="n">
        <v>1788</v>
      </c>
      <c r="G74" s="7" t="n">
        <v>1</v>
      </c>
      <c r="H74" s="23">
        <f>IFERROR(G74*1000/F74,0)</f>
        <v/>
      </c>
      <c r="I74" s="7" t="n">
        <v>7</v>
      </c>
      <c r="J74" s="8">
        <f>IFERROR(I74*100/F74,0)</f>
        <v/>
      </c>
      <c r="K74" s="7" t="n">
        <v>1</v>
      </c>
      <c r="L74" s="9" t="n">
        <v>72.5</v>
      </c>
      <c r="M74" s="7" t="n">
        <v>279</v>
      </c>
      <c r="N74" s="23" t="n">
        <v>2.508960573476703</v>
      </c>
    </row>
    <row r="75">
      <c r="A75" s="6" t="inlineStr">
        <is>
          <t>company-facts</t>
        </is>
      </c>
      <c r="B75" s="6" t="inlineStr">
        <is>
          <t>2026-08-24</t>
        </is>
      </c>
      <c r="C75" s="6" t="inlineStr">
        <is>
          <t>17時</t>
        </is>
      </c>
      <c r="D75" s="6" t="inlineStr">
        <is>
          <t>C</t>
        </is>
      </c>
      <c r="E75" s="6" t="inlineStr">
        <is>
          <t>📈退職金の本当は？3社で最大2,000万円差の実態【ショート】</t>
        </is>
      </c>
      <c r="F75" s="7" t="n">
        <v>1942</v>
      </c>
      <c r="G75" s="7" t="n">
        <v>0</v>
      </c>
      <c r="H75" s="24">
        <f>IFERROR(G75*1000/F75,0)</f>
        <v/>
      </c>
      <c r="I75" s="7" t="n">
        <v>2</v>
      </c>
      <c r="J75" s="8">
        <f>IFERROR(I75*100/F75,0)</f>
        <v/>
      </c>
      <c r="K75" s="7" t="n">
        <v>0</v>
      </c>
      <c r="L75" s="9" t="n">
        <v>68.40000000000001</v>
      </c>
      <c r="M75" s="7" t="n">
        <v>152</v>
      </c>
      <c r="N75" s="23" t="n">
        <v>0.6578947368421052</v>
      </c>
    </row>
    <row r="76">
      <c r="A76" s="6" t="inlineStr">
        <is>
          <t>company-facts</t>
        </is>
      </c>
      <c r="B76" s="6" t="inlineStr">
        <is>
          <t>2026-08-22</t>
        </is>
      </c>
      <c r="C76" s="6" t="inlineStr">
        <is>
          <t>14時</t>
        </is>
      </c>
      <c r="D76" s="6" t="inlineStr">
        <is>
          <t>C</t>
        </is>
      </c>
      <c r="E76" s="6" t="inlineStr">
        <is>
          <t>💰Uber Eats配達員、本当は時給2,000円超えもある収入の実態【ショート】</t>
        </is>
      </c>
      <c r="F76" s="7" t="n">
        <v>1398</v>
      </c>
      <c r="G76" s="7" t="n">
        <v>0</v>
      </c>
      <c r="H76" s="24">
        <f>IFERROR(G76*1000/F76,0)</f>
        <v/>
      </c>
      <c r="I76" s="7" t="n">
        <v>9</v>
      </c>
      <c r="J76" s="8">
        <f>IFERROR(I76*100/F76,0)</f>
        <v/>
      </c>
      <c r="K76" s="7" t="n">
        <v>0</v>
      </c>
      <c r="L76" s="9" t="n">
        <v>47.8</v>
      </c>
      <c r="M76" s="7" t="n">
        <v>1008</v>
      </c>
      <c r="N76" s="23" t="n">
        <v>1.884920634920635</v>
      </c>
    </row>
    <row r="77">
      <c r="A77" s="6" t="inlineStr">
        <is>
          <t>company-facts</t>
        </is>
      </c>
      <c r="B77" s="6" t="inlineStr">
        <is>
          <t>2026-08-29</t>
        </is>
      </c>
      <c r="C77" s="6" t="inlineStr">
        <is>
          <t>14時</t>
        </is>
      </c>
      <c r="D77" s="6" t="inlineStr">
        <is>
          <t>A</t>
        </is>
      </c>
      <c r="E77" s="6" t="inlineStr">
        <is>
          <t>💸GUの年収、実はポケモンコラボで上がるのか？平均959万円の裏側💸【ショート】</t>
        </is>
      </c>
      <c r="F77" s="7" t="n">
        <v>1347</v>
      </c>
      <c r="G77" s="7" t="n">
        <v>0</v>
      </c>
      <c r="H77" s="24">
        <f>IFERROR(G77*1000/F77,0)</f>
        <v/>
      </c>
      <c r="I77" s="7" t="n">
        <v>5</v>
      </c>
      <c r="J77" s="8">
        <f>IFERROR(I77*100/F77,0)</f>
        <v/>
      </c>
      <c r="K77" s="7" t="n">
        <v>0</v>
      </c>
      <c r="L77" s="9" t="n">
        <v>97.40000000000001</v>
      </c>
      <c r="M77" s="7" t="n">
        <v>77</v>
      </c>
      <c r="N77" s="23" t="n">
        <v>0</v>
      </c>
    </row>
    <row r="78">
      <c r="A78" s="6" t="inlineStr">
        <is>
          <t>company-facts</t>
        </is>
      </c>
      <c r="B78" s="6" t="inlineStr">
        <is>
          <t>2026-08-21</t>
        </is>
      </c>
      <c r="C78" s="6" t="inlineStr">
        <is>
          <t>17時</t>
        </is>
      </c>
      <c r="D78" s="6" t="inlineStr">
        <is>
          <t>C</t>
        </is>
      </c>
      <c r="E78" s="6" t="inlineStr">
        <is>
          <t>😱ソニーグループの年収がヤバい 1118万円とDualSenseの仕事【ショート】</t>
        </is>
      </c>
      <c r="F78" s="7" t="n">
        <v>1276</v>
      </c>
      <c r="G78" s="7" t="n">
        <v>0</v>
      </c>
      <c r="H78" s="24">
        <f>IFERROR(G78*1000/F78,0)</f>
        <v/>
      </c>
      <c r="I78" s="7" t="n">
        <v>6</v>
      </c>
      <c r="J78" s="8">
        <f>IFERROR(I78*100/F78,0)</f>
        <v/>
      </c>
      <c r="K78" s="7" t="n">
        <v>1</v>
      </c>
      <c r="L78" s="9" t="n">
        <v>78.59999999999999</v>
      </c>
      <c r="M78" s="7" t="n">
        <v>125</v>
      </c>
      <c r="N78" s="23" t="n">
        <v>2.4</v>
      </c>
    </row>
    <row r="79">
      <c r="A79" s="6" t="inlineStr">
        <is>
          <t>company-facts</t>
        </is>
      </c>
      <c r="B79" s="6" t="inlineStr">
        <is>
          <t>2026-09-04</t>
        </is>
      </c>
      <c r="C79" s="6" t="inlineStr">
        <is>
          <t>08時</t>
        </is>
      </c>
      <c r="D79" s="6" t="inlineStr">
        <is>
          <t>A</t>
        </is>
      </c>
      <c r="E79" s="6" t="inlineStr">
        <is>
          <t>航空自衛隊千歳の正体、年収400万円台の実態 #shorts #企業分析 #年収 #転職</t>
        </is>
      </c>
      <c r="F79" s="7" t="n">
        <v>1265</v>
      </c>
      <c r="G79" s="7" t="n">
        <v>0</v>
      </c>
      <c r="H79" s="24">
        <f>IFERROR(G79*1000/F79,0)</f>
        <v/>
      </c>
      <c r="I79" s="7" t="n">
        <v>5</v>
      </c>
      <c r="J79" s="8">
        <f>IFERROR(I79*100/F79,0)</f>
        <v/>
      </c>
      <c r="K79" s="7" t="n">
        <v>1</v>
      </c>
      <c r="L79" s="9" t="n">
        <v>88.90000000000001</v>
      </c>
      <c r="M79" s="7" t="n">
        <v>297</v>
      </c>
      <c r="N79" s="23" t="n">
        <v>2.693602693602693</v>
      </c>
    </row>
    <row r="80">
      <c r="A80" s="6" t="inlineStr">
        <is>
          <t>2ch-matome</t>
        </is>
      </c>
      <c r="B80" s="6" t="inlineStr">
        <is>
          <t>2026-08-24</t>
        </is>
      </c>
      <c r="C80" s="6" t="inlineStr">
        <is>
          <t>18時</t>
        </is>
      </c>
      <c r="D80" s="6" t="inlineStr">
        <is>
          <t>A</t>
        </is>
      </c>
      <c r="E80" s="6" t="inlineStr">
        <is>
          <t>味の素3粒、実は何に使うのか？意外すぎる活用法をあげてけｗ【ショート】</t>
        </is>
      </c>
      <c r="F80" s="7" t="n">
        <v>1154</v>
      </c>
      <c r="G80" s="7" t="n">
        <v>0</v>
      </c>
      <c r="H80" s="24">
        <f>IFERROR(G80*1000/F80,0)</f>
        <v/>
      </c>
      <c r="I80" s="7" t="n">
        <v>7</v>
      </c>
      <c r="J80" s="8">
        <f>IFERROR(I80*100/F80,0)</f>
        <v/>
      </c>
      <c r="K80" s="7" t="n">
        <v>0</v>
      </c>
      <c r="L80" s="9" t="n">
        <v>26.6</v>
      </c>
      <c r="M80" s="7" t="n">
        <v>62</v>
      </c>
      <c r="N80" s="23" t="n">
        <v>0</v>
      </c>
    </row>
    <row r="81">
      <c r="A81" s="6" t="inlineStr">
        <is>
          <t>2ch-matome</t>
        </is>
      </c>
      <c r="B81" s="6" t="inlineStr">
        <is>
          <t>2026-09-05</t>
        </is>
      </c>
      <c r="C81" s="6" t="inlineStr">
        <is>
          <t>07時</t>
        </is>
      </c>
      <c r="D81" s="6" t="inlineStr">
        <is>
          <t>C</t>
        </is>
      </c>
      <c r="E81" s="6" t="inlineStr">
        <is>
          <t>3秒で凍結何言った #shorts #2ch #面白いスレ</t>
        </is>
      </c>
      <c r="F81" s="7" t="n">
        <v>1134</v>
      </c>
      <c r="G81" s="7" t="n">
        <v>0</v>
      </c>
      <c r="H81" s="24">
        <f>IFERROR(G81*1000/F81,0)</f>
        <v/>
      </c>
      <c r="I81" s="7" t="n">
        <v>2</v>
      </c>
      <c r="J81" s="8">
        <f>IFERROR(I81*100/F81,0)</f>
        <v/>
      </c>
      <c r="K81" s="7" t="n">
        <v>1</v>
      </c>
      <c r="L81" s="9" t="n">
        <v>49.3</v>
      </c>
      <c r="M81" s="7" t="n">
        <v>17</v>
      </c>
      <c r="N81" s="23" t="n">
        <v>0</v>
      </c>
    </row>
    <row r="82">
      <c r="A82" s="6" t="inlineStr">
        <is>
          <t>daily-science</t>
        </is>
      </c>
      <c r="B82" s="6" t="inlineStr">
        <is>
          <t>2026-09-05</t>
        </is>
      </c>
      <c r="C82" s="6" t="inlineStr">
        <is>
          <t>17時</t>
        </is>
      </c>
      <c r="D82" s="6" t="inlineStr">
        <is>
          <t>A</t>
        </is>
      </c>
      <c r="E82" s="6" t="inlineStr">
        <is>
          <t>なぜあなたは階段で1段だけ外すのか？ #shorts #雑学 #豆知識</t>
        </is>
      </c>
      <c r="F82" s="7" t="n">
        <v>1132</v>
      </c>
      <c r="G82" s="7" t="n">
        <v>0</v>
      </c>
      <c r="H82" s="24">
        <f>IFERROR(G82*1000/F82,0)</f>
        <v/>
      </c>
      <c r="I82" s="7" t="n">
        <v>5</v>
      </c>
      <c r="J82" s="8">
        <f>IFERROR(I82*100/F82,0)</f>
        <v/>
      </c>
      <c r="K82" s="7" t="n">
        <v>0</v>
      </c>
      <c r="L82" s="9" t="n">
        <v>121</v>
      </c>
      <c r="M82" s="7" t="n">
        <v>33</v>
      </c>
      <c r="N82" s="23" t="n">
        <v>0</v>
      </c>
    </row>
    <row r="83">
      <c r="A83" s="6" t="inlineStr">
        <is>
          <t>daily-science</t>
        </is>
      </c>
      <c r="B83" s="6" t="inlineStr">
        <is>
          <t>2026-09-07</t>
        </is>
      </c>
      <c r="C83" s="6" t="inlineStr">
        <is>
          <t>07時</t>
        </is>
      </c>
      <c r="D83" s="6" t="inlineStr">
        <is>
          <t>A</t>
        </is>
      </c>
      <c r="E83" s="6" t="inlineStr">
        <is>
          <t>走った後の鉄味、あなたの肺で何が？0.1%の正体 #shorts #雑学 #豆知識</t>
        </is>
      </c>
      <c r="F83" s="7" t="n">
        <v>1116</v>
      </c>
      <c r="G83" s="7" t="n">
        <v>0</v>
      </c>
      <c r="H83" s="24">
        <f>IFERROR(G83*1000/F83,0)</f>
        <v/>
      </c>
      <c r="I83" s="7" t="n">
        <v>10</v>
      </c>
      <c r="J83" s="8">
        <f>IFERROR(I83*100/F83,0)</f>
        <v/>
      </c>
      <c r="K83" s="7" t="n">
        <v>0</v>
      </c>
      <c r="L83" s="9" t="n">
        <v>46.5</v>
      </c>
      <c r="M83" s="7" t="n">
        <v>32</v>
      </c>
      <c r="N83" s="23" t="n">
        <v>0</v>
      </c>
    </row>
    <row r="84">
      <c r="A84" s="6" t="inlineStr">
        <is>
          <t>daily-science</t>
        </is>
      </c>
      <c r="B84" s="6" t="inlineStr">
        <is>
          <t>2026-08-28</t>
        </is>
      </c>
      <c r="C84" s="6" t="inlineStr">
        <is>
          <t>14時</t>
        </is>
      </c>
      <c r="D84" s="6" t="inlineStr">
        <is>
          <t>A</t>
        </is>
      </c>
      <c r="E84" s="6" t="inlineStr">
        <is>
          <t>1分科学 #98：🌍なぜ歩くと腕と足は逆に動くのか？あなたの体が毎秒行う回転制御の正体【ショート】</t>
        </is>
      </c>
      <c r="F84" s="7" t="n">
        <v>1115</v>
      </c>
      <c r="G84" s="7" t="n">
        <v>0</v>
      </c>
      <c r="H84" s="24">
        <f>IFERROR(G84*1000/F84,0)</f>
        <v/>
      </c>
      <c r="I84" s="7" t="n">
        <v>2</v>
      </c>
      <c r="J84" s="8">
        <f>IFERROR(I84*100/F84,0)</f>
        <v/>
      </c>
      <c r="K84" s="7" t="n">
        <v>1</v>
      </c>
      <c r="L84" s="9" t="n">
        <v>32.5</v>
      </c>
      <c r="M84" s="7" t="n">
        <v>38</v>
      </c>
      <c r="N84" s="23" t="n">
        <v>0</v>
      </c>
    </row>
    <row r="85">
      <c r="A85" s="6" t="inlineStr">
        <is>
          <t>company-facts</t>
        </is>
      </c>
      <c r="B85" s="6" t="inlineStr">
        <is>
          <t>2026-08-30</t>
        </is>
      </c>
      <c r="C85" s="6" t="inlineStr">
        <is>
          <t>14時</t>
        </is>
      </c>
      <c r="D85" s="6" t="inlineStr">
        <is>
          <t>C</t>
        </is>
      </c>
      <c r="E85" s="6" t="inlineStr">
        <is>
          <t>📈動画作りに課金しすぎた男、年収480万円で転職できる？【ショート】</t>
        </is>
      </c>
      <c r="F85" s="7" t="n">
        <v>1107</v>
      </c>
      <c r="G85" s="7" t="n">
        <v>0</v>
      </c>
      <c r="H85" s="24">
        <f>IFERROR(G85*1000/F85,0)</f>
        <v/>
      </c>
      <c r="I85" s="7" t="n">
        <v>3</v>
      </c>
      <c r="J85" s="8">
        <f>IFERROR(I85*100/F85,0)</f>
        <v/>
      </c>
      <c r="K85" s="7" t="n">
        <v>0</v>
      </c>
      <c r="L85" s="9" t="n">
        <v>50.4</v>
      </c>
      <c r="M85" s="7" t="n">
        <v>83</v>
      </c>
      <c r="N85" s="23" t="n">
        <v>1.204819277108434</v>
      </c>
    </row>
    <row r="86">
      <c r="A86" s="6" t="inlineStr">
        <is>
          <t>2ch-matome</t>
        </is>
      </c>
      <c r="B86" s="6" t="inlineStr">
        <is>
          <t>2026-08-23</t>
        </is>
      </c>
      <c r="C86" s="6" t="inlineStr">
        <is>
          <t>12時</t>
        </is>
      </c>
      <c r="D86" s="6" t="inlineStr">
        <is>
          <t>C</t>
        </is>
      </c>
      <c r="E86" s="6" t="inlineStr">
        <is>
          <t>ワイ、GTA6妄想歴6年やけど質問ある？w💦【ショート】</t>
        </is>
      </c>
      <c r="F86" s="7" t="n">
        <v>1090</v>
      </c>
      <c r="G86" s="7" t="n">
        <v>0</v>
      </c>
      <c r="H86" s="24">
        <f>IFERROR(G86*1000/F86,0)</f>
        <v/>
      </c>
      <c r="I86" s="7" t="n">
        <v>0</v>
      </c>
      <c r="J86" s="8">
        <f>IFERROR(I86*100/F86,0)</f>
        <v/>
      </c>
      <c r="K86" s="7" t="n">
        <v>0</v>
      </c>
      <c r="L86" s="9" t="n">
        <v>23.1</v>
      </c>
      <c r="M86" s="7" t="n">
        <v>48</v>
      </c>
      <c r="N86" s="23" t="n">
        <v>0</v>
      </c>
    </row>
    <row r="87">
      <c r="A87" s="6" t="inlineStr">
        <is>
          <t>company-facts</t>
        </is>
      </c>
      <c r="B87" s="6" t="inlineStr">
        <is>
          <t>2026-09-08</t>
        </is>
      </c>
      <c r="C87" s="6" t="inlineStr">
        <is>
          <t>19時</t>
        </is>
      </c>
      <c r="D87" s="6" t="inlineStr">
        <is>
          <t>C</t>
        </is>
      </c>
      <c r="E87" s="6" t="inlineStr">
        <is>
          <t>ユニクロ店長、売上1億円を任される仕事の実態 #shorts #企業分析 #年収 #転職</t>
        </is>
      </c>
      <c r="F87" s="7" t="n">
        <v>1090</v>
      </c>
      <c r="G87" s="7" t="n">
        <v>0</v>
      </c>
      <c r="H87" s="24">
        <f>IFERROR(G87*1000/F87,0)</f>
        <v/>
      </c>
      <c r="I87" s="7" t="n">
        <v>4</v>
      </c>
      <c r="J87" s="8">
        <f>IFERROR(I87*100/F87,0)</f>
        <v/>
      </c>
      <c r="K87" s="7" t="n">
        <v>0</v>
      </c>
      <c r="L87" s="9" t="n">
        <v>45.1</v>
      </c>
      <c r="M87" s="7" t="n">
        <v>173</v>
      </c>
      <c r="N87" s="23" t="n">
        <v>3.468208092485549</v>
      </c>
    </row>
    <row r="88">
      <c r="A88" s="6" t="inlineStr">
        <is>
          <t>2ch-matome</t>
        </is>
      </c>
      <c r="B88" s="6" t="inlineStr">
        <is>
          <t>2026-08-22</t>
        </is>
      </c>
      <c r="C88" s="6" t="inlineStr">
        <is>
          <t>12時</t>
        </is>
      </c>
      <c r="D88" s="6" t="inlineStr">
        <is>
          <t>A</t>
        </is>
      </c>
      <c r="E88" s="6" t="inlineStr">
        <is>
          <t>なぜ3秒でバレる？お前らをブラックラグーンで例えた結果【ショート】</t>
        </is>
      </c>
      <c r="F88" s="7" t="n">
        <v>1088</v>
      </c>
      <c r="G88" s="7" t="n">
        <v>0</v>
      </c>
      <c r="H88" s="24">
        <f>IFERROR(G88*1000/F88,0)</f>
        <v/>
      </c>
      <c r="I88" s="7" t="n">
        <v>1</v>
      </c>
      <c r="J88" s="8">
        <f>IFERROR(I88*100/F88,0)</f>
        <v/>
      </c>
      <c r="K88" s="7" t="n">
        <v>0</v>
      </c>
      <c r="L88" s="9" t="n">
        <v>27.1</v>
      </c>
      <c r="M88" s="7" t="n">
        <v>257</v>
      </c>
      <c r="N88" s="23" t="n">
        <v>0.3891050583657588</v>
      </c>
    </row>
    <row r="89">
      <c r="A89" s="6" t="inlineStr">
        <is>
          <t>company-facts</t>
        </is>
      </c>
      <c r="B89" s="6" t="inlineStr">
        <is>
          <t>2026-09-06</t>
        </is>
      </c>
      <c r="C89" s="6" t="inlineStr">
        <is>
          <t>13時</t>
        </is>
      </c>
      <c r="D89" s="6" t="inlineStr">
        <is>
          <t>C</t>
        </is>
      </c>
      <c r="E89" s="6" t="inlineStr">
        <is>
          <t>トヨタ895万円の実態、ルーミー人気を支える社員の本音 #shorts #企業分析 #年収 #転職</t>
        </is>
      </c>
      <c r="F89" s="7" t="n">
        <v>1078</v>
      </c>
      <c r="G89" s="7" t="n">
        <v>0</v>
      </c>
      <c r="H89" s="24">
        <f>IFERROR(G89*1000/F89,0)</f>
        <v/>
      </c>
      <c r="I89" s="7" t="n">
        <v>2</v>
      </c>
      <c r="J89" s="8">
        <f>IFERROR(I89*100/F89,0)</f>
        <v/>
      </c>
      <c r="K89" s="7" t="n">
        <v>0</v>
      </c>
      <c r="L89" s="9" t="n">
        <v>63.6</v>
      </c>
      <c r="M89" s="7" t="n">
        <v>313</v>
      </c>
      <c r="N89" s="23" t="n">
        <v>1.916932907348243</v>
      </c>
    </row>
    <row r="90">
      <c r="A90" s="6" t="inlineStr">
        <is>
          <t>pokemon-lab</t>
        </is>
      </c>
      <c r="B90" s="6" t="inlineStr">
        <is>
          <t>2026-08-20</t>
        </is>
      </c>
      <c r="C90" s="6" t="inlineStr">
        <is>
          <t>17時</t>
        </is>
      </c>
      <c r="D90" s="6" t="inlineStr">
        <is>
          <t>C</t>
        </is>
      </c>
      <c r="E90" s="6" t="inlineStr">
        <is>
          <t>1分ポケモン研究 #9：🎮カイオーガとグラードン、天候を2回張ったらどっちが勝つ？【ショート】</t>
        </is>
      </c>
      <c r="F90" s="7" t="n">
        <v>1075</v>
      </c>
      <c r="G90" s="7" t="n">
        <v>0</v>
      </c>
      <c r="H90" s="24">
        <f>IFERROR(G90*1000/F90,0)</f>
        <v/>
      </c>
      <c r="I90" s="7" t="n">
        <v>1</v>
      </c>
      <c r="J90" s="8">
        <f>IFERROR(I90*100/F90,0)</f>
        <v/>
      </c>
      <c r="K90" s="7" t="n">
        <v>1</v>
      </c>
      <c r="L90" s="9" t="n">
        <v>27.5</v>
      </c>
      <c r="M90" s="7" t="n">
        <v>45</v>
      </c>
      <c r="N90" s="23" t="n">
        <v>0</v>
      </c>
    </row>
    <row r="91">
      <c r="A91" s="6" t="inlineStr">
        <is>
          <t>daily-science</t>
        </is>
      </c>
      <c r="B91" s="6" t="inlineStr">
        <is>
          <t>2026-09-04</t>
        </is>
      </c>
      <c r="C91" s="6" t="inlineStr">
        <is>
          <t>07時</t>
        </is>
      </c>
      <c r="D91" s="6" t="inlineStr">
        <is>
          <t>A</t>
        </is>
      </c>
      <c r="E91" s="6" t="inlineStr">
        <is>
          <t>あなたの耳が3秒で抜ける正体は？ #shorts #雑学 #豆知識</t>
        </is>
      </c>
      <c r="F91" s="7" t="n">
        <v>1073</v>
      </c>
      <c r="G91" s="7" t="n">
        <v>0</v>
      </c>
      <c r="H91" s="24">
        <f>IFERROR(G91*1000/F91,0)</f>
        <v/>
      </c>
      <c r="I91" s="7" t="n">
        <v>8</v>
      </c>
      <c r="J91" s="8">
        <f>IFERROR(I91*100/F91,0)</f>
        <v/>
      </c>
      <c r="K91" s="7" t="n">
        <v>0</v>
      </c>
      <c r="L91" s="9" t="n">
        <v>36.8</v>
      </c>
      <c r="M91" s="7" t="n">
        <v>102</v>
      </c>
      <c r="N91" s="23" t="n">
        <v>0</v>
      </c>
    </row>
    <row r="92">
      <c r="A92" s="6" t="inlineStr">
        <is>
          <t>daily-science</t>
        </is>
      </c>
      <c r="B92" s="6" t="inlineStr">
        <is>
          <t>2026-08-29</t>
        </is>
      </c>
      <c r="C92" s="6" t="inlineStr">
        <is>
          <t>13時</t>
        </is>
      </c>
      <c r="D92" s="6" t="inlineStr">
        <is>
          <t>A</t>
        </is>
      </c>
      <c r="E92" s="6" t="inlineStr">
        <is>
          <t>1分科学 #100：🧬なぜあなたはポケモンの夢で技まで使える？REM睡眠90分にある記憶の正体【ショート】</t>
        </is>
      </c>
      <c r="F92" s="7" t="n">
        <v>1065</v>
      </c>
      <c r="G92" s="7" t="n">
        <v>0</v>
      </c>
      <c r="H92" s="24">
        <f>IFERROR(G92*1000/F92,0)</f>
        <v/>
      </c>
      <c r="I92" s="7" t="n">
        <v>5</v>
      </c>
      <c r="J92" s="8">
        <f>IFERROR(I92*100/F92,0)</f>
        <v/>
      </c>
      <c r="K92" s="7" t="n">
        <v>0</v>
      </c>
      <c r="L92" s="9" t="n">
        <v>98.90000000000001</v>
      </c>
      <c r="M92" s="7" t="n">
        <v>80</v>
      </c>
      <c r="N92" s="23" t="n">
        <v>1.25</v>
      </c>
    </row>
    <row r="93">
      <c r="A93" s="6" t="inlineStr">
        <is>
          <t>company-facts</t>
        </is>
      </c>
      <c r="B93" s="6" t="inlineStr">
        <is>
          <t>2026-09-04</t>
        </is>
      </c>
      <c r="C93" s="6" t="inlineStr">
        <is>
          <t>17時</t>
        </is>
      </c>
      <c r="D93" s="6" t="inlineStr">
        <is>
          <t>C</t>
        </is>
      </c>
      <c r="E93" s="6" t="inlineStr">
        <is>
          <t>星野リゾートの推定年収400万円、業界平均と比べると？ #shorts #企業分析 #年収 #転職</t>
        </is>
      </c>
      <c r="F93" s="7" t="n">
        <v>1053</v>
      </c>
      <c r="G93" s="7" t="n">
        <v>0</v>
      </c>
      <c r="H93" s="24">
        <f>IFERROR(G93*1000/F93,0)</f>
        <v/>
      </c>
      <c r="I93" s="7" t="n">
        <v>0</v>
      </c>
      <c r="J93" s="8">
        <f>IFERROR(I93*100/F93,0)</f>
        <v/>
      </c>
      <c r="K93" s="7" t="n">
        <v>0</v>
      </c>
      <c r="L93" s="9" t="n">
        <v>66.09999999999999</v>
      </c>
      <c r="M93" s="7" t="n">
        <v>150</v>
      </c>
      <c r="N93" s="23" t="n">
        <v>2.666666666666667</v>
      </c>
    </row>
    <row r="94">
      <c r="A94" s="6" t="inlineStr">
        <is>
          <t>2ch-matome</t>
        </is>
      </c>
      <c r="B94" s="6" t="inlineStr">
        <is>
          <t>2026-08-31</t>
        </is>
      </c>
      <c r="C94" s="6" t="inlineStr">
        <is>
          <t>18時</t>
        </is>
      </c>
      <c r="D94" s="6" t="inlineStr">
        <is>
          <t>B</t>
        </is>
      </c>
      <c r="E94" s="6" t="inlineStr">
        <is>
          <t>なぜPSで一番いらないゲームが生まれるのか？ 博牛【ショート】</t>
        </is>
      </c>
      <c r="F94" s="7" t="n">
        <v>1052</v>
      </c>
      <c r="G94" s="7" t="n">
        <v>0</v>
      </c>
      <c r="H94" s="24">
        <f>IFERROR(G94*1000/F94,0)</f>
        <v/>
      </c>
      <c r="I94" s="7" t="n">
        <v>3</v>
      </c>
      <c r="J94" s="8">
        <f>IFERROR(I94*100/F94,0)</f>
        <v/>
      </c>
      <c r="K94" s="7" t="n">
        <v>0</v>
      </c>
      <c r="L94" s="9" t="n">
        <v>33.1</v>
      </c>
      <c r="M94" s="7" t="n">
        <v>38</v>
      </c>
      <c r="N94" s="23" t="n">
        <v>2.631578947368421</v>
      </c>
    </row>
    <row r="95">
      <c r="A95" s="6" t="inlineStr">
        <is>
          <t>daily-science</t>
        </is>
      </c>
      <c r="B95" s="6" t="inlineStr">
        <is>
          <t>2026-09-08</t>
        </is>
      </c>
      <c r="C95" s="6" t="inlineStr">
        <is>
          <t>12時</t>
        </is>
      </c>
      <c r="D95" s="6" t="inlineStr">
        <is>
          <t>A</t>
        </is>
      </c>
      <c r="E95" s="6" t="inlineStr">
        <is>
          <t>耳を塞ぐと聞こえる20Hzの正体？ #shorts #雑学 #豆知識</t>
        </is>
      </c>
      <c r="F95" s="7" t="n">
        <v>1051</v>
      </c>
      <c r="G95" s="7" t="n">
        <v>0</v>
      </c>
      <c r="H95" s="24">
        <f>IFERROR(G95*1000/F95,0)</f>
        <v/>
      </c>
      <c r="I95" s="7" t="n">
        <v>15</v>
      </c>
      <c r="J95" s="8">
        <f>IFERROR(I95*100/F95,0)</f>
        <v/>
      </c>
      <c r="K95" s="7" t="n">
        <v>0</v>
      </c>
      <c r="L95" s="9" t="n">
        <v>46</v>
      </c>
      <c r="M95" s="7" t="n">
        <v>103</v>
      </c>
      <c r="N95" s="23" t="n">
        <v>1.941747572815534</v>
      </c>
    </row>
    <row r="96">
      <c r="A96" s="6" t="inlineStr">
        <is>
          <t>company-facts</t>
        </is>
      </c>
      <c r="B96" s="6" t="inlineStr">
        <is>
          <t>2026-09-07</t>
        </is>
      </c>
      <c r="C96" s="6" t="inlineStr">
        <is>
          <t>17時</t>
        </is>
      </c>
      <c r="D96" s="6" t="inlineStr">
        <is>
          <t>C</t>
        </is>
      </c>
      <c r="E96" s="6" t="inlineStr">
        <is>
          <t>日本郵政の年収、職種で2倍差がつく理由 #shorts #企業分析 #年収 #転職</t>
        </is>
      </c>
      <c r="F96" s="7" t="n">
        <v>1050</v>
      </c>
      <c r="G96" s="7" t="n">
        <v>0</v>
      </c>
      <c r="H96" s="24">
        <f>IFERROR(G96*1000/F96,0)</f>
        <v/>
      </c>
      <c r="I96" s="7" t="n">
        <v>4</v>
      </c>
      <c r="J96" s="8">
        <f>IFERROR(I96*100/F96,0)</f>
        <v/>
      </c>
      <c r="K96" s="7" t="n">
        <v>0</v>
      </c>
      <c r="L96" s="9" t="n">
        <v>56.5</v>
      </c>
      <c r="M96" s="7" t="n">
        <v>55</v>
      </c>
      <c r="N96" s="23" t="n">
        <v>3.636363636363636</v>
      </c>
    </row>
    <row r="97">
      <c r="A97" s="6" t="inlineStr">
        <is>
          <t>pokemon-lab</t>
        </is>
      </c>
      <c r="B97" s="6" t="inlineStr">
        <is>
          <t>2026-08-29</t>
        </is>
      </c>
      <c r="C97" s="6" t="inlineStr">
        <is>
          <t>12時</t>
        </is>
      </c>
      <c r="D97" s="6" t="inlineStr">
        <is>
          <t>C</t>
        </is>
      </c>
      <c r="E97" s="6" t="inlineStr">
        <is>
          <t>1分ポケモン研究 #20：👀GUポケモンコラボに隠された5つの秘密、ピカチュウだけじゃない理由は？❓【ショート】</t>
        </is>
      </c>
      <c r="F97" s="7" t="n">
        <v>1046</v>
      </c>
      <c r="G97" s="7" t="n">
        <v>0</v>
      </c>
      <c r="H97" s="24">
        <f>IFERROR(G97*1000/F97,0)</f>
        <v/>
      </c>
      <c r="I97" s="7" t="n">
        <v>3</v>
      </c>
      <c r="J97" s="8">
        <f>IFERROR(I97*100/F97,0)</f>
        <v/>
      </c>
      <c r="K97" s="7" t="n">
        <v>0</v>
      </c>
      <c r="L97" s="9" t="n">
        <v>37.7</v>
      </c>
      <c r="M97" s="7" t="n">
        <v>57</v>
      </c>
      <c r="N97" s="23" t="n">
        <v>1.754385964912281</v>
      </c>
    </row>
    <row r="98">
      <c r="A98" s="6" t="inlineStr">
        <is>
          <t>daily-science</t>
        </is>
      </c>
      <c r="B98" s="6" t="inlineStr">
        <is>
          <t>2026-08-22</t>
        </is>
      </c>
      <c r="C98" s="6" t="inlineStr">
        <is>
          <t>13時</t>
        </is>
      </c>
      <c r="D98" s="6" t="inlineStr">
        <is>
          <t>A</t>
        </is>
      </c>
      <c r="E98" s="6" t="inlineStr">
        <is>
          <t>1分科学 #91：💯なぜ人混みであなたの名前だけ聞こえるのか？99%が知らない0.3秒の選別💯【ショート】</t>
        </is>
      </c>
      <c r="F98" s="7" t="n">
        <v>1042</v>
      </c>
      <c r="G98" s="7" t="n">
        <v>0</v>
      </c>
      <c r="H98" s="24">
        <f>IFERROR(G98*1000/F98,0)</f>
        <v/>
      </c>
      <c r="I98" s="7" t="n">
        <v>6</v>
      </c>
      <c r="J98" s="8">
        <f>IFERROR(I98*100/F98,0)</f>
        <v/>
      </c>
      <c r="K98" s="7" t="n">
        <v>0</v>
      </c>
      <c r="L98" s="9" t="n">
        <v>25.6</v>
      </c>
      <c r="M98" s="7" t="n">
        <v>36</v>
      </c>
      <c r="N98" s="23" t="n">
        <v>0</v>
      </c>
    </row>
    <row r="99">
      <c r="A99" s="6" t="inlineStr">
        <is>
          <t>company-facts</t>
        </is>
      </c>
      <c r="B99" s="6" t="inlineStr">
        <is>
          <t>2026-09-07</t>
        </is>
      </c>
      <c r="C99" s="6" t="inlineStr">
        <is>
          <t>08時</t>
        </is>
      </c>
      <c r="D99" s="6" t="inlineStr">
        <is>
          <t>C</t>
        </is>
      </c>
      <c r="E99" s="6" t="inlineStr">
        <is>
          <t>大和ハウス工業の年収1000万円超、残業の実態がヤバい #shorts #企業分析 #年収 #転職</t>
        </is>
      </c>
      <c r="F99" s="7" t="n">
        <v>1041</v>
      </c>
      <c r="G99" s="7" t="n">
        <v>0</v>
      </c>
      <c r="H99" s="24">
        <f>IFERROR(G99*1000/F99,0)</f>
        <v/>
      </c>
      <c r="I99" s="7" t="n">
        <v>1</v>
      </c>
      <c r="J99" s="8">
        <f>IFERROR(I99*100/F99,0)</f>
        <v/>
      </c>
      <c r="K99" s="7" t="n">
        <v>1</v>
      </c>
      <c r="L99" s="9" t="n">
        <v>45.9</v>
      </c>
      <c r="M99" s="7" t="n">
        <v>401</v>
      </c>
      <c r="N99" s="23" t="n">
        <v>2.992518703241895</v>
      </c>
    </row>
    <row r="100">
      <c r="A100" s="6" t="inlineStr">
        <is>
          <t>yokai-watch</t>
        </is>
      </c>
      <c r="B100" s="6" t="inlineStr">
        <is>
          <t>2026-08-28</t>
        </is>
      </c>
      <c r="C100" s="6" t="inlineStr">
        <is>
          <t>19時</t>
        </is>
      </c>
      <c r="D100" s="6" t="inlineStr">
        <is>
          <t>C</t>
        </is>
      </c>
      <c r="E100" s="6" t="inlineStr">
        <is>
          <t>1分妖怪ファイル #18：👁️エンマ大王に隠された3つの条件、あなたは本当に仲間にできる？【ショート】</t>
        </is>
      </c>
      <c r="F100" s="7" t="n">
        <v>1038</v>
      </c>
      <c r="G100" s="7" t="n">
        <v>0</v>
      </c>
      <c r="H100" s="24">
        <f>IFERROR(G100*1000/F100,0)</f>
        <v/>
      </c>
      <c r="I100" s="7" t="n">
        <v>4</v>
      </c>
      <c r="J100" s="8">
        <f>IFERROR(I100*100/F100,0)</f>
        <v/>
      </c>
      <c r="K100" s="7" t="n">
        <v>0</v>
      </c>
      <c r="L100" s="9" t="n">
        <v>32.6</v>
      </c>
      <c r="M100" s="7" t="n">
        <v>500</v>
      </c>
      <c r="N100" s="23" t="n">
        <v>0.6</v>
      </c>
    </row>
    <row r="101">
      <c r="A101" s="6" t="inlineStr">
        <is>
          <t>2ch-matome</t>
        </is>
      </c>
      <c r="B101" s="6" t="inlineStr">
        <is>
          <t>2026-09-06</t>
        </is>
      </c>
      <c r="C101" s="6" t="inlineStr">
        <is>
          <t>12時</t>
        </is>
      </c>
      <c r="D101" s="6" t="inlineStr">
        <is>
          <t>C</t>
        </is>
      </c>
      <c r="E101" s="6" t="inlineStr">
        <is>
          <t>3回目の店謎の予約名 #shorts #2ch #面白いスレ</t>
        </is>
      </c>
      <c r="F101" s="7" t="n">
        <v>1037</v>
      </c>
      <c r="G101" s="7" t="n">
        <v>0</v>
      </c>
      <c r="H101" s="24">
        <f>IFERROR(G101*1000/F101,0)</f>
        <v/>
      </c>
      <c r="I101" s="7" t="n">
        <v>0</v>
      </c>
      <c r="J101" s="8">
        <f>IFERROR(I101*100/F101,0)</f>
        <v/>
      </c>
      <c r="K101" s="7" t="n">
        <v>0</v>
      </c>
      <c r="L101" s="9" t="n">
        <v>42.2</v>
      </c>
      <c r="M101" s="7" t="n">
        <v>20</v>
      </c>
      <c r="N101" s="23" t="n">
        <v>0</v>
      </c>
    </row>
    <row r="102">
      <c r="A102" s="6" t="inlineStr">
        <is>
          <t>scp-lab</t>
        </is>
      </c>
      <c r="B102" s="6" t="inlineStr">
        <is>
          <t>2026-09-06</t>
        </is>
      </c>
      <c r="C102" s="6" t="inlineStr">
        <is>
          <t>19時</t>
        </is>
      </c>
      <c r="D102" s="6" t="inlineStr">
        <is>
          <t>D</t>
        </is>
      </c>
      <c r="E102" s="6" t="inlineStr">
        <is>
          <t>未来の時刻誰が映る #shorts #SCP #SCP解説</t>
        </is>
      </c>
      <c r="F102" s="7" t="n">
        <v>1037</v>
      </c>
      <c r="G102" s="7" t="n">
        <v>0</v>
      </c>
      <c r="H102" s="24">
        <f>IFERROR(G102*1000/F102,0)</f>
        <v/>
      </c>
      <c r="I102" s="7" t="n">
        <v>5</v>
      </c>
      <c r="J102" s="8">
        <f>IFERROR(I102*100/F102,0)</f>
        <v/>
      </c>
      <c r="K102" s="7" t="n">
        <v>0</v>
      </c>
      <c r="L102" s="9" t="n">
        <v>42.7</v>
      </c>
      <c r="M102" s="7" t="n">
        <v>326</v>
      </c>
      <c r="N102" s="23" t="n">
        <v>0.9202453987730062</v>
      </c>
    </row>
    <row r="103">
      <c r="A103" s="6" t="inlineStr">
        <is>
          <t>company-facts</t>
        </is>
      </c>
      <c r="B103" s="6" t="inlineStr">
        <is>
          <t>2026-08-30</t>
        </is>
      </c>
      <c r="C103" s="6" t="inlineStr">
        <is>
          <t>18時</t>
        </is>
      </c>
      <c r="D103" s="6" t="inlineStr">
        <is>
          <t>C</t>
        </is>
      </c>
      <c r="E103" s="6" t="inlineStr">
        <is>
          <t>📉サイバーエージェントの年収773万円、平均年齢33歳の本当は【ショート】</t>
        </is>
      </c>
      <c r="F103" s="7" t="n">
        <v>1025</v>
      </c>
      <c r="G103" s="7" t="n">
        <v>0</v>
      </c>
      <c r="H103" s="24">
        <f>IFERROR(G103*1000/F103,0)</f>
        <v/>
      </c>
      <c r="I103" s="7" t="n">
        <v>1</v>
      </c>
      <c r="J103" s="8">
        <f>IFERROR(I103*100/F103,0)</f>
        <v/>
      </c>
      <c r="K103" s="7" t="n">
        <v>1</v>
      </c>
      <c r="L103" s="9" t="n">
        <v>36.3</v>
      </c>
      <c r="M103" s="7" t="n">
        <v>73</v>
      </c>
      <c r="N103" s="23" t="n">
        <v>2.73972602739726</v>
      </c>
    </row>
    <row r="104">
      <c r="A104" s="6" t="inlineStr">
        <is>
          <t>2ch-matome</t>
        </is>
      </c>
      <c r="B104" s="6" t="inlineStr">
        <is>
          <t>2026-09-05</t>
        </is>
      </c>
      <c r="C104" s="6" t="inlineStr">
        <is>
          <t>12時</t>
        </is>
      </c>
      <c r="D104" s="6" t="inlineStr">
        <is>
          <t>A</t>
        </is>
      </c>
      <c r="E104" s="6" t="inlineStr">
        <is>
          <t>なぜ親は無言で机を閉めたのか…見つかって終わった物とは？ #shorts #2ch #面白いスレ</t>
        </is>
      </c>
      <c r="F104" s="7" t="n">
        <v>1018</v>
      </c>
      <c r="G104" s="7" t="n">
        <v>0</v>
      </c>
      <c r="H104" s="24">
        <f>IFERROR(G104*1000/F104,0)</f>
        <v/>
      </c>
      <c r="I104" s="7" t="n">
        <v>0</v>
      </c>
      <c r="J104" s="8">
        <f>IFERROR(I104*100/F104,0)</f>
        <v/>
      </c>
      <c r="K104" s="7" t="n">
        <v>0</v>
      </c>
      <c r="L104" s="9" t="n">
        <v>36.1</v>
      </c>
      <c r="M104" s="7" t="n">
        <v>9</v>
      </c>
      <c r="N104" s="23" t="n">
        <v>0</v>
      </c>
    </row>
    <row r="105">
      <c r="A105" s="6" t="inlineStr">
        <is>
          <t>pokemon-lab</t>
        </is>
      </c>
      <c r="B105" s="6" t="inlineStr">
        <is>
          <t>2026-08-21</t>
        </is>
      </c>
      <c r="C105" s="6" t="inlineStr">
        <is>
          <t>15時</t>
        </is>
      </c>
      <c r="D105" s="6" t="inlineStr">
        <is>
          <t>A</t>
        </is>
      </c>
      <c r="E105" s="6" t="inlineStr">
        <is>
          <t>1分ポケモン研究 #10：🔥あなたの飲み物を6時間守るポケモン、なぜ存在する？【ショート】</t>
        </is>
      </c>
      <c r="F105" s="7" t="n">
        <v>1017</v>
      </c>
      <c r="G105" s="7" t="n">
        <v>0</v>
      </c>
      <c r="H105" s="24">
        <f>IFERROR(G105*1000/F105,0)</f>
        <v/>
      </c>
      <c r="I105" s="7" t="n">
        <v>3</v>
      </c>
      <c r="J105" s="8">
        <f>IFERROR(I105*100/F105,0)</f>
        <v/>
      </c>
      <c r="K105" s="7" t="n">
        <v>0</v>
      </c>
      <c r="L105" s="9" t="n">
        <v>23.5</v>
      </c>
      <c r="M105" s="7" t="n">
        <v>35</v>
      </c>
      <c r="N105" s="23" t="n">
        <v>0</v>
      </c>
    </row>
    <row r="106">
      <c r="A106" s="6" t="inlineStr">
        <is>
          <t>yokai-watch</t>
        </is>
      </c>
      <c r="B106" s="6" t="inlineStr">
        <is>
          <t>2026-09-05</t>
        </is>
      </c>
      <c r="C106" s="6" t="inlineStr">
        <is>
          <t>17時</t>
        </is>
      </c>
      <c r="D106" s="6" t="inlineStr">
        <is>
          <t>D</t>
        </is>
      </c>
      <c r="E106" s="6" t="inlineStr">
        <is>
          <t>雪女が去り際に名を呼ぶ理由…約束を破った男の末路 #shorts #妖怪 #都市伝説</t>
        </is>
      </c>
      <c r="F106" s="7" t="n">
        <v>1015</v>
      </c>
      <c r="G106" s="7" t="n">
        <v>0</v>
      </c>
      <c r="H106" s="24">
        <f>IFERROR(G106*1000/F106,0)</f>
        <v/>
      </c>
      <c r="I106" s="7" t="n">
        <v>2</v>
      </c>
      <c r="J106" s="8">
        <f>IFERROR(I106*100/F106,0)</f>
        <v/>
      </c>
      <c r="K106" s="7" t="n">
        <v>0</v>
      </c>
      <c r="L106" s="9" t="n">
        <v>44.5</v>
      </c>
      <c r="M106" s="7" t="n">
        <v>93</v>
      </c>
      <c r="N106" s="23" t="n">
        <v>3.225806451612903</v>
      </c>
    </row>
    <row r="107">
      <c r="A107" s="6" t="inlineStr">
        <is>
          <t>scp-lab</t>
        </is>
      </c>
      <c r="B107" s="6" t="inlineStr">
        <is>
          <t>2026-08-24</t>
        </is>
      </c>
      <c r="C107" s="6" t="inlineStr">
        <is>
          <t>09時</t>
        </is>
      </c>
      <c r="D107" s="6" t="inlineStr">
        <is>
          <t>C</t>
        </is>
      </c>
      <c r="E107" s="6" t="inlineStr">
        <is>
          <t>一口SCP #98：🫣SCP-1048「ビルダーベア」Safe判定が招いた収容違反の恐怖😱【ショート】</t>
        </is>
      </c>
      <c r="F107" s="7" t="n">
        <v>1014</v>
      </c>
      <c r="G107" s="7" t="n">
        <v>0</v>
      </c>
      <c r="H107" s="24">
        <f>IFERROR(G107*1000/F107,0)</f>
        <v/>
      </c>
      <c r="I107" s="7" t="n">
        <v>3</v>
      </c>
      <c r="J107" s="8">
        <f>IFERROR(I107*100/F107,0)</f>
        <v/>
      </c>
      <c r="K107" s="7" t="n">
        <v>0</v>
      </c>
      <c r="L107" s="9" t="n">
        <v>24.8</v>
      </c>
      <c r="M107" s="7" t="n">
        <v>494</v>
      </c>
      <c r="N107" s="23" t="n">
        <v>0.6072874493927125</v>
      </c>
    </row>
    <row r="108">
      <c r="A108" s="6" t="inlineStr">
        <is>
          <t>yokai-watch</t>
        </is>
      </c>
      <c r="B108" s="6" t="inlineStr">
        <is>
          <t>2026-08-31</t>
        </is>
      </c>
      <c r="C108" s="6" t="inlineStr">
        <is>
          <t>19時</t>
        </is>
      </c>
      <c r="D108" s="6" t="inlineStr">
        <is>
          <t>C</t>
        </is>
      </c>
      <c r="E108" s="6" t="inlineStr">
        <is>
          <t>ふぶき姫の約束を破るとどうなる？3つの雪女記録【ショート】</t>
        </is>
      </c>
      <c r="F108" s="7" t="n">
        <v>1012</v>
      </c>
      <c r="G108" s="7" t="n">
        <v>0</v>
      </c>
      <c r="H108" s="24">
        <f>IFERROR(G108*1000/F108,0)</f>
        <v/>
      </c>
      <c r="I108" s="7" t="n">
        <v>4</v>
      </c>
      <c r="J108" s="8">
        <f>IFERROR(I108*100/F108,0)</f>
        <v/>
      </c>
      <c r="K108" s="7" t="n">
        <v>0</v>
      </c>
      <c r="L108" s="9" t="n">
        <v>33.1</v>
      </c>
      <c r="M108" s="7" t="n">
        <v>366</v>
      </c>
      <c r="N108" s="23" t="n">
        <v>3.005464480874317</v>
      </c>
    </row>
    <row r="109">
      <c r="A109" s="6" t="inlineStr">
        <is>
          <t>company-facts</t>
        </is>
      </c>
      <c r="B109" s="6" t="inlineStr">
        <is>
          <t>2026-09-07</t>
        </is>
      </c>
      <c r="C109" s="6" t="inlineStr">
        <is>
          <t>13時</t>
        </is>
      </c>
      <c r="D109" s="6" t="inlineStr">
        <is>
          <t>D</t>
        </is>
      </c>
      <c r="E109" s="6" t="inlineStr">
        <is>
          <t>サイゼリヤの原価率が社員年収に与える意外な影響 #shorts #企業分析 #年収 #転職</t>
        </is>
      </c>
      <c r="F109" s="7" t="n">
        <v>1010</v>
      </c>
      <c r="G109" s="7" t="n">
        <v>0</v>
      </c>
      <c r="H109" s="24">
        <f>IFERROR(G109*1000/F109,0)</f>
        <v/>
      </c>
      <c r="I109" s="7" t="n">
        <v>3</v>
      </c>
      <c r="J109" s="8">
        <f>IFERROR(I109*100/F109,0)</f>
        <v/>
      </c>
      <c r="K109" s="7" t="n">
        <v>0</v>
      </c>
      <c r="L109" s="9" t="n">
        <v>52.7</v>
      </c>
      <c r="M109" s="7" t="n">
        <v>33</v>
      </c>
      <c r="N109" s="23" t="n">
        <v>3.03030303030303</v>
      </c>
    </row>
    <row r="110">
      <c r="A110" s="6" t="inlineStr">
        <is>
          <t>daily-science</t>
        </is>
      </c>
      <c r="B110" s="6" t="inlineStr">
        <is>
          <t>2026-09-05</t>
        </is>
      </c>
      <c r="C110" s="6" t="inlineStr">
        <is>
          <t>12時</t>
        </is>
      </c>
      <c r="D110" s="6" t="inlineStr">
        <is>
          <t>C</t>
        </is>
      </c>
      <c r="E110" s="6" t="inlineStr">
        <is>
          <t>鏡の顔だけ違う？99%が知らない左右差 #shorts #雑学 #豆知識</t>
        </is>
      </c>
      <c r="F110" s="7" t="n">
        <v>1009</v>
      </c>
      <c r="G110" s="7" t="n">
        <v>0</v>
      </c>
      <c r="H110" s="24">
        <f>IFERROR(G110*1000/F110,0)</f>
        <v/>
      </c>
      <c r="I110" s="7" t="n">
        <v>4</v>
      </c>
      <c r="J110" s="8">
        <f>IFERROR(I110*100/F110,0)</f>
        <v/>
      </c>
      <c r="K110" s="7" t="n">
        <v>0</v>
      </c>
      <c r="L110" s="9" t="n">
        <v>91</v>
      </c>
      <c r="M110" s="7" t="n">
        <v>27</v>
      </c>
      <c r="N110" s="23" t="n">
        <v>0</v>
      </c>
    </row>
    <row r="111">
      <c r="A111" s="6" t="inlineStr">
        <is>
          <t>yokai-watch</t>
        </is>
      </c>
      <c r="B111" s="6" t="inlineStr">
        <is>
          <t>2026-08-29</t>
        </is>
      </c>
      <c r="C111" s="6" t="inlineStr">
        <is>
          <t>12時</t>
        </is>
      </c>
      <c r="D111" s="6" t="inlineStr">
        <is>
          <t>A</t>
        </is>
      </c>
      <c r="E111" s="6" t="inlineStr">
        <is>
          <t>1分妖怪ファイル #19：👁️フユニャンに隠された秘密、あなたが知らない2つの元ネタとは？【ショート】</t>
        </is>
      </c>
      <c r="F111" s="7" t="n">
        <v>1009</v>
      </c>
      <c r="G111" s="7" t="n">
        <v>0</v>
      </c>
      <c r="H111" s="24">
        <f>IFERROR(G111*1000/F111,0)</f>
        <v/>
      </c>
      <c r="I111" s="7" t="n">
        <v>6</v>
      </c>
      <c r="J111" s="8">
        <f>IFERROR(I111*100/F111,0)</f>
        <v/>
      </c>
      <c r="K111" s="7" t="n">
        <v>0</v>
      </c>
      <c r="L111" s="9" t="n">
        <v>38.1</v>
      </c>
      <c r="M111" s="7" t="n">
        <v>76</v>
      </c>
      <c r="N111" s="23" t="n">
        <v>1.31578947368421</v>
      </c>
    </row>
    <row r="112">
      <c r="A112" s="6" t="inlineStr">
        <is>
          <t>company-facts</t>
        </is>
      </c>
      <c r="B112" s="6" t="inlineStr">
        <is>
          <t>2026-09-04</t>
        </is>
      </c>
      <c r="C112" s="6" t="inlineStr">
        <is>
          <t>13時</t>
        </is>
      </c>
      <c r="D112" s="6" t="inlineStr">
        <is>
          <t>C</t>
        </is>
      </c>
      <c r="E112" s="6" t="inlineStr">
        <is>
          <t>日本マクドナルドの年収576万円、その内訳とは #shorts #企業分析 #年収 #転職</t>
        </is>
      </c>
      <c r="F112" s="7" t="n">
        <v>1005</v>
      </c>
      <c r="G112" s="7" t="n">
        <v>0</v>
      </c>
      <c r="H112" s="24">
        <f>IFERROR(G112*1000/F112,0)</f>
        <v/>
      </c>
      <c r="I112" s="7" t="n">
        <v>1</v>
      </c>
      <c r="J112" s="8">
        <f>IFERROR(I112*100/F112,0)</f>
        <v/>
      </c>
      <c r="K112" s="7" t="n">
        <v>0</v>
      </c>
      <c r="L112" s="9" t="n">
        <v>44.3</v>
      </c>
      <c r="M112" s="7" t="n">
        <v>124</v>
      </c>
      <c r="N112" s="23" t="n">
        <v>0.8064516129032258</v>
      </c>
    </row>
    <row r="113">
      <c r="A113" s="6" t="inlineStr">
        <is>
          <t>pokemon-lab</t>
        </is>
      </c>
      <c r="B113" s="6" t="inlineStr">
        <is>
          <t>2026-08-30</t>
        </is>
      </c>
      <c r="C113" s="6" t="inlineStr">
        <is>
          <t>12時</t>
        </is>
      </c>
      <c r="D113" s="6" t="inlineStr">
        <is>
          <t>C</t>
        </is>
      </c>
      <c r="E113" s="6" t="inlineStr">
        <is>
          <t>1分ポケモン研究 #21：👀カビゴンが道を塞ぐ理由に隠された1日の秘密、あなたは気づいた？🔍【ショート】</t>
        </is>
      </c>
      <c r="F113" s="7" t="n">
        <v>1004</v>
      </c>
      <c r="G113" s="7" t="n">
        <v>0</v>
      </c>
      <c r="H113" s="24">
        <f>IFERROR(G113*1000/F113,0)</f>
        <v/>
      </c>
      <c r="I113" s="7" t="n">
        <v>2</v>
      </c>
      <c r="J113" s="8">
        <f>IFERROR(I113*100/F113,0)</f>
        <v/>
      </c>
      <c r="K113" s="7" t="n">
        <v>0</v>
      </c>
      <c r="L113" s="9" t="n">
        <v>41</v>
      </c>
      <c r="M113" s="7" t="n">
        <v>59</v>
      </c>
      <c r="N113" s="23" t="n">
        <v>1.694915254237288</v>
      </c>
    </row>
    <row r="114">
      <c r="A114" s="6" t="inlineStr">
        <is>
          <t>scp-lab</t>
        </is>
      </c>
      <c r="B114" s="6" t="inlineStr">
        <is>
          <t>2026-08-26</t>
        </is>
      </c>
      <c r="C114" s="6" t="inlineStr">
        <is>
          <t>09時</t>
        </is>
      </c>
      <c r="D114" s="6" t="inlineStr">
        <is>
          <t>C</t>
        </is>
      </c>
      <c r="E114" s="6" t="inlineStr">
        <is>
          <t>一口SCP #101：🫣SCP-雷撃記録、あなたの部屋まで届く落雷恐怖【ショート】</t>
        </is>
      </c>
      <c r="F114" s="7" t="n">
        <v>1003</v>
      </c>
      <c r="G114" s="7" t="n">
        <v>0</v>
      </c>
      <c r="H114" s="24">
        <f>IFERROR(G114*1000/F114,0)</f>
        <v/>
      </c>
      <c r="I114" s="7" t="n">
        <v>7</v>
      </c>
      <c r="J114" s="8">
        <f>IFERROR(I114*100/F114,0)</f>
        <v/>
      </c>
      <c r="K114" s="7" t="n">
        <v>0</v>
      </c>
      <c r="L114" s="9" t="n">
        <v>24.9</v>
      </c>
      <c r="M114" s="7" t="n">
        <v>72</v>
      </c>
      <c r="N114" s="23" t="n">
        <v>0</v>
      </c>
    </row>
    <row r="115">
      <c r="A115" s="6" t="inlineStr">
        <is>
          <t>2ch-matome</t>
        </is>
      </c>
      <c r="B115" s="6" t="inlineStr">
        <is>
          <t>2026-09-07</t>
        </is>
      </c>
      <c r="C115" s="6" t="inlineStr">
        <is>
          <t>12時</t>
        </is>
      </c>
      <c r="D115" s="6" t="inlineStr">
        <is>
          <t>C</t>
        </is>
      </c>
      <c r="E115" s="6" t="inlineStr">
        <is>
          <t>大学サークルで語り継がれる伝説、尾ひれがヤバすぎるw #shorts #2ch #面白いスレ</t>
        </is>
      </c>
      <c r="F115" s="7" t="n">
        <v>999</v>
      </c>
      <c r="G115" s="7" t="n">
        <v>0</v>
      </c>
      <c r="H115" s="24">
        <f>IFERROR(G115*1000/F115,0)</f>
        <v/>
      </c>
      <c r="I115" s="7" t="n">
        <v>1</v>
      </c>
      <c r="J115" s="8">
        <f>IFERROR(I115*100/F115,0)</f>
        <v/>
      </c>
      <c r="K115" s="7" t="n">
        <v>0</v>
      </c>
      <c r="L115" s="9" t="n">
        <v>30.9</v>
      </c>
      <c r="M115" s="7" t="n">
        <v>68</v>
      </c>
      <c r="N115" s="23" t="n">
        <v>0</v>
      </c>
    </row>
    <row r="116">
      <c r="A116" s="6" t="inlineStr">
        <is>
          <t>pokemon-lab</t>
        </is>
      </c>
      <c r="B116" s="6" t="inlineStr">
        <is>
          <t>2026-09-04</t>
        </is>
      </c>
      <c r="C116" s="6" t="inlineStr">
        <is>
          <t>15時</t>
        </is>
      </c>
      <c r="D116" s="6" t="inlineStr">
        <is>
          <t>C</t>
        </is>
      </c>
      <c r="E116" s="6" t="inlineStr">
        <is>
          <t>エースバーンのリベロ、1試合でしか変われない!? #shorts #ポケモン #ポケモン雑学</t>
        </is>
      </c>
      <c r="F116" s="7" t="n">
        <v>996</v>
      </c>
      <c r="G116" s="7" t="n">
        <v>0</v>
      </c>
      <c r="H116" s="24">
        <f>IFERROR(G116*1000/F116,0)</f>
        <v/>
      </c>
      <c r="I116" s="7" t="n">
        <v>2</v>
      </c>
      <c r="J116" s="8">
        <f>IFERROR(I116*100/F116,0)</f>
        <v/>
      </c>
      <c r="K116" s="7" t="n">
        <v>0</v>
      </c>
      <c r="L116" s="9" t="n">
        <v>31.2</v>
      </c>
      <c r="M116" s="7" t="n">
        <v>52</v>
      </c>
      <c r="N116" s="23" t="n">
        <v>1.923076923076923</v>
      </c>
    </row>
    <row r="117">
      <c r="A117" s="6" t="inlineStr">
        <is>
          <t>yokai-watch</t>
        </is>
      </c>
      <c r="B117" s="6" t="inlineStr">
        <is>
          <t>2026-08-25</t>
        </is>
      </c>
      <c r="C117" s="6" t="inlineStr">
        <is>
          <t>12時</t>
        </is>
      </c>
      <c r="D117" s="6" t="inlineStr">
        <is>
          <t>A</t>
        </is>
      </c>
      <c r="E117" s="6" t="inlineStr">
        <is>
          <t>1分妖怪ファイル #12：👁️両面宿儺に隠された2つの秘密、君は古文書の正体を知ってる？【ショート】</t>
        </is>
      </c>
      <c r="F117" s="7" t="n">
        <v>988</v>
      </c>
      <c r="G117" s="7" t="n">
        <v>0</v>
      </c>
      <c r="H117" s="24">
        <f>IFERROR(G117*1000/F117,0)</f>
        <v/>
      </c>
      <c r="I117" s="7" t="n">
        <v>4</v>
      </c>
      <c r="J117" s="8">
        <f>IFERROR(I117*100/F117,0)</f>
        <v/>
      </c>
      <c r="K117" s="7" t="n">
        <v>0</v>
      </c>
      <c r="L117" s="9" t="n">
        <v>28.6</v>
      </c>
      <c r="M117" s="7" t="n">
        <v>90</v>
      </c>
      <c r="N117" s="23" t="n">
        <v>1.111111111111111</v>
      </c>
    </row>
    <row r="118">
      <c r="A118" s="6" t="inlineStr">
        <is>
          <t>scp-lab</t>
        </is>
      </c>
      <c r="B118" s="6" t="inlineStr">
        <is>
          <t>2026-08-30</t>
        </is>
      </c>
      <c r="C118" s="6" t="inlineStr">
        <is>
          <t>13時</t>
        </is>
      </c>
      <c r="D118" s="6" t="inlineStr">
        <is>
          <t>C</t>
        </is>
      </c>
      <c r="E118" s="6" t="inlineStr">
        <is>
          <t>一口SCP #110：🫣SCP-███「投稿者の編集室」君の部屋にも現れる課金地獄の恐怖💀【ショート】</t>
        </is>
      </c>
      <c r="F118" s="7" t="n">
        <v>984</v>
      </c>
      <c r="G118" s="7" t="n">
        <v>0</v>
      </c>
      <c r="H118" s="24">
        <f>IFERROR(G118*1000/F118,0)</f>
        <v/>
      </c>
      <c r="I118" s="7" t="n">
        <v>8</v>
      </c>
      <c r="J118" s="8">
        <f>IFERROR(I118*100/F118,0)</f>
        <v/>
      </c>
      <c r="K118" s="7" t="n">
        <v>0</v>
      </c>
      <c r="L118" s="9" t="n">
        <v>28.3</v>
      </c>
      <c r="M118" s="7" t="n">
        <v>95</v>
      </c>
      <c r="N118" s="23" t="n">
        <v>2.105263157894737</v>
      </c>
    </row>
    <row r="119">
      <c r="A119" s="6" t="inlineStr">
        <is>
          <t>daily-science</t>
        </is>
      </c>
      <c r="B119" s="6" t="inlineStr">
        <is>
          <t>2026-09-07</t>
        </is>
      </c>
      <c r="C119" s="6" t="inlineStr">
        <is>
          <t>12時</t>
        </is>
      </c>
      <c r="D119" s="6" t="inlineStr">
        <is>
          <t>A</t>
        </is>
      </c>
      <c r="E119" s="6" t="inlineStr">
        <is>
          <t>なぜ他人のあくびは約45％もつられる？脳の反応を解説 #shorts #雑学 #豆知識</t>
        </is>
      </c>
      <c r="F119" s="7" t="n">
        <v>975</v>
      </c>
      <c r="G119" s="7" t="n">
        <v>0</v>
      </c>
      <c r="H119" s="24">
        <f>IFERROR(G119*1000/F119,0)</f>
        <v/>
      </c>
      <c r="I119" s="7" t="n">
        <v>10</v>
      </c>
      <c r="J119" s="8">
        <f>IFERROR(I119*100/F119,0)</f>
        <v/>
      </c>
      <c r="K119" s="7" t="n">
        <v>0</v>
      </c>
      <c r="L119" s="9" t="n">
        <v>40.2</v>
      </c>
      <c r="M119" s="7" t="n">
        <v>36</v>
      </c>
      <c r="N119" s="23" t="n">
        <v>0</v>
      </c>
    </row>
    <row r="120">
      <c r="A120" s="6" t="inlineStr">
        <is>
          <t>company-facts</t>
        </is>
      </c>
      <c r="B120" s="6" t="inlineStr">
        <is>
          <t>2026-09-06</t>
        </is>
      </c>
      <c r="C120" s="6" t="inlineStr">
        <is>
          <t>08時</t>
        </is>
      </c>
      <c r="D120" s="6" t="inlineStr">
        <is>
          <t>C</t>
        </is>
      </c>
      <c r="E120" s="6" t="inlineStr">
        <is>
          <t>Apple Japanの年収、実は1,000万円超の実態 #shorts #企業分析 #年収 #転職</t>
        </is>
      </c>
      <c r="F120" s="7" t="n">
        <v>970</v>
      </c>
      <c r="G120" s="7" t="n">
        <v>0</v>
      </c>
      <c r="H120" s="24">
        <f>IFERROR(G120*1000/F120,0)</f>
        <v/>
      </c>
      <c r="I120" s="7" t="n">
        <v>1</v>
      </c>
      <c r="J120" s="8">
        <f>IFERROR(I120*100/F120,0)</f>
        <v/>
      </c>
      <c r="K120" s="7" t="n">
        <v>0</v>
      </c>
      <c r="L120" s="9" t="n">
        <v>72.7</v>
      </c>
      <c r="M120" s="7" t="n">
        <v>91</v>
      </c>
      <c r="N120" s="23" t="n">
        <v>2.197802197802198</v>
      </c>
    </row>
    <row r="121">
      <c r="A121" s="6" t="inlineStr">
        <is>
          <t>2ch-matome</t>
        </is>
      </c>
      <c r="B121" s="6" t="inlineStr">
        <is>
          <t>2026-08-21</t>
        </is>
      </c>
      <c r="C121" s="6" t="inlineStr">
        <is>
          <t>19時</t>
        </is>
      </c>
      <c r="D121" s="6" t="inlineStr">
        <is>
          <t>A</t>
        </is>
      </c>
      <c r="E121" s="6" t="inlineStr">
        <is>
          <t>なぜ熱闘甲子園の夜だけ空気が変わる？お前らの夏の思い出5つ聞かせろ【ショート】</t>
        </is>
      </c>
      <c r="F121" s="7" t="n">
        <v>968</v>
      </c>
      <c r="G121" s="7" t="n">
        <v>0</v>
      </c>
      <c r="H121" s="24">
        <f>IFERROR(G121*1000/F121,0)</f>
        <v/>
      </c>
      <c r="I121" s="7" t="n">
        <v>5</v>
      </c>
      <c r="J121" s="8">
        <f>IFERROR(I121*100/F121,0)</f>
        <v/>
      </c>
      <c r="K121" s="7" t="n">
        <v>0</v>
      </c>
      <c r="L121" s="9" t="n">
        <v>30.2</v>
      </c>
      <c r="M121" s="7" t="n">
        <v>53</v>
      </c>
      <c r="N121" s="23" t="n">
        <v>0</v>
      </c>
    </row>
    <row r="122">
      <c r="A122" s="6" t="inlineStr">
        <is>
          <t>2ch-matome</t>
        </is>
      </c>
      <c r="B122" s="6" t="inlineStr">
        <is>
          <t>2026-08-21</t>
        </is>
      </c>
      <c r="C122" s="6" t="inlineStr">
        <is>
          <t>15時</t>
        </is>
      </c>
      <c r="D122" s="6" t="inlineStr">
        <is>
          <t>A</t>
        </is>
      </c>
      <c r="E122" s="6" t="inlineStr">
        <is>
          <t>3秒で考えろ！この戦闘機の名前が親戚回避型な理由とは？【ショート】</t>
        </is>
      </c>
      <c r="F122" s="7" t="n">
        <v>968</v>
      </c>
      <c r="G122" s="7" t="n">
        <v>0</v>
      </c>
      <c r="H122" s="24">
        <f>IFERROR(G122*1000/F122,0)</f>
        <v/>
      </c>
      <c r="I122" s="7" t="n">
        <v>5</v>
      </c>
      <c r="J122" s="8">
        <f>IFERROR(I122*100/F122,0)</f>
        <v/>
      </c>
      <c r="K122" s="7" t="n">
        <v>0</v>
      </c>
      <c r="L122" s="9" t="n">
        <v>32.6</v>
      </c>
      <c r="M122" s="7" t="n">
        <v>26</v>
      </c>
      <c r="N122" s="23" t="n">
        <v>0</v>
      </c>
    </row>
    <row r="123">
      <c r="A123" s="6" t="inlineStr">
        <is>
          <t>2ch-matome</t>
        </is>
      </c>
      <c r="B123" s="6" t="inlineStr">
        <is>
          <t>2026-08-26</t>
        </is>
      </c>
      <c r="C123" s="6" t="inlineStr">
        <is>
          <t>18時</t>
        </is>
      </c>
      <c r="D123" s="6" t="inlineStr">
        <is>
          <t>B</t>
        </is>
      </c>
      <c r="E123" s="6" t="inlineStr">
        <is>
          <t>実は迷子続出？ドラゴンボールパークで何が起きたのか【ショート】</t>
        </is>
      </c>
      <c r="F123" s="7" t="n">
        <v>963</v>
      </c>
      <c r="G123" s="7" t="n">
        <v>0</v>
      </c>
      <c r="H123" s="24">
        <f>IFERROR(G123*1000/F123,0)</f>
        <v/>
      </c>
      <c r="I123" s="7" t="n">
        <v>5</v>
      </c>
      <c r="J123" s="8">
        <f>IFERROR(I123*100/F123,0)</f>
        <v/>
      </c>
      <c r="K123" s="7" t="n">
        <v>0</v>
      </c>
      <c r="L123" s="9" t="n">
        <v>34.7</v>
      </c>
      <c r="M123" s="7" t="n">
        <v>76</v>
      </c>
      <c r="N123" s="23" t="n">
        <v>1.31578947368421</v>
      </c>
    </row>
    <row r="124">
      <c r="A124" s="6" t="inlineStr">
        <is>
          <t>scp-lab</t>
        </is>
      </c>
      <c r="B124" s="6" t="inlineStr">
        <is>
          <t>2026-08-21</t>
        </is>
      </c>
      <c r="C124" s="6" t="inlineStr">
        <is>
          <t>15時</t>
        </is>
      </c>
      <c r="D124" s="6" t="inlineStr">
        <is>
          <t>C</t>
        </is>
      </c>
      <c r="E124" s="6" t="inlineStr">
        <is>
          <t>一口SCP #92：👁️SCP-3120「異常な戦闘機」— 試験飛行9回、操縦席から帰還した隊員は1名だった【ショート】</t>
        </is>
      </c>
      <c r="F124" s="7" t="n">
        <v>962</v>
      </c>
      <c r="G124" s="7" t="n">
        <v>0</v>
      </c>
      <c r="H124" s="24">
        <f>IFERROR(G124*1000/F124,0)</f>
        <v/>
      </c>
      <c r="I124" s="7" t="n">
        <v>5</v>
      </c>
      <c r="J124" s="8">
        <f>IFERROR(I124*100/F124,0)</f>
        <v/>
      </c>
      <c r="K124" s="7" t="n">
        <v>0</v>
      </c>
      <c r="L124" s="9" t="n">
        <v>26.7</v>
      </c>
      <c r="M124" s="7" t="n">
        <v>1109</v>
      </c>
      <c r="N124" s="23" t="n">
        <v>0.4508566275924256</v>
      </c>
    </row>
    <row r="125">
      <c r="A125" s="6" t="inlineStr">
        <is>
          <t>2ch-matome</t>
        </is>
      </c>
      <c r="B125" s="6" t="inlineStr">
        <is>
          <t>2026-08-27</t>
        </is>
      </c>
      <c r="C125" s="6" t="inlineStr">
        <is>
          <t>18時</t>
        </is>
      </c>
      <c r="D125" s="6" t="inlineStr">
        <is>
          <t>C</t>
        </is>
      </c>
      <c r="E125" s="6" t="inlineStr">
        <is>
          <t>🤣ワイ、大谷の昼飯を3秒で当てるスレw🤣【ショート】</t>
        </is>
      </c>
      <c r="F125" s="7" t="n">
        <v>958</v>
      </c>
      <c r="G125" s="7" t="n">
        <v>0</v>
      </c>
      <c r="H125" s="24">
        <f>IFERROR(G125*1000/F125,0)</f>
        <v/>
      </c>
      <c r="I125" s="7" t="n">
        <v>3</v>
      </c>
      <c r="J125" s="8">
        <f>IFERROR(I125*100/F125,0)</f>
        <v/>
      </c>
      <c r="K125" s="7" t="n">
        <v>0</v>
      </c>
      <c r="L125" s="9" t="n">
        <v>144.8</v>
      </c>
      <c r="M125" s="7" t="n">
        <v>62</v>
      </c>
      <c r="N125" s="23" t="n">
        <v>0</v>
      </c>
    </row>
    <row r="126">
      <c r="A126" s="6" t="inlineStr">
        <is>
          <t>daily-science</t>
        </is>
      </c>
      <c r="B126" s="6" t="inlineStr">
        <is>
          <t>2026-08-21</t>
        </is>
      </c>
      <c r="C126" s="6" t="inlineStr">
        <is>
          <t>14時</t>
        </is>
      </c>
      <c r="D126" s="6" t="inlineStr">
        <is>
          <t>A</t>
        </is>
      </c>
      <c r="E126" s="6" t="inlineStr">
        <is>
          <t>1分科学 #89：💯なぜあなたは寝る直前だけ昔の失敗を思い出すのか？99%が知らない30秒の脳内変化【ショート】</t>
        </is>
      </c>
      <c r="F126" s="7" t="n">
        <v>955</v>
      </c>
      <c r="G126" s="7" t="n">
        <v>0</v>
      </c>
      <c r="H126" s="24">
        <f>IFERROR(G126*1000/F126,0)</f>
        <v/>
      </c>
      <c r="I126" s="7" t="n">
        <v>7</v>
      </c>
      <c r="J126" s="8">
        <f>IFERROR(I126*100/F126,0)</f>
        <v/>
      </c>
      <c r="K126" s="7" t="n">
        <v>0</v>
      </c>
      <c r="L126" s="9" t="n">
        <v>30.1</v>
      </c>
      <c r="M126" s="7" t="n">
        <v>30</v>
      </c>
      <c r="N126" s="23" t="n">
        <v>0</v>
      </c>
    </row>
    <row r="127">
      <c r="A127" s="6" t="inlineStr">
        <is>
          <t>scp-lab</t>
        </is>
      </c>
      <c r="B127" s="6" t="inlineStr">
        <is>
          <t>2026-08-28</t>
        </is>
      </c>
      <c r="C127" s="6" t="inlineStr">
        <is>
          <t>14時</t>
        </is>
      </c>
      <c r="D127" s="6" t="inlineStr">
        <is>
          <t>C</t>
        </is>
      </c>
      <c r="E127" s="6" t="inlineStr">
        <is>
          <t>一口SCP #106：🫣MTFアルファからオメガ、あなたの部屋にも来る財団極秘作戦の恐怖💀【ショート】</t>
        </is>
      </c>
      <c r="F127" s="7" t="n">
        <v>955</v>
      </c>
      <c r="G127" s="7" t="n">
        <v>0</v>
      </c>
      <c r="H127" s="24">
        <f>IFERROR(G127*1000/F127,0)</f>
        <v/>
      </c>
      <c r="I127" s="7" t="n">
        <v>4</v>
      </c>
      <c r="J127" s="8">
        <f>IFERROR(I127*100/F127,0)</f>
        <v/>
      </c>
      <c r="K127" s="7" t="n">
        <v>0</v>
      </c>
      <c r="L127" s="9" t="n">
        <v>27.4</v>
      </c>
      <c r="M127" s="7" t="n">
        <v>1169</v>
      </c>
      <c r="N127" s="23" t="n">
        <v>0.9409751924721984</v>
      </c>
    </row>
    <row r="128">
      <c r="A128" s="6" t="inlineStr">
        <is>
          <t>2ch-matome</t>
        </is>
      </c>
      <c r="B128" s="6" t="inlineStr">
        <is>
          <t>2026-09-09</t>
        </is>
      </c>
      <c r="C128" s="6" t="inlineStr">
        <is>
          <t>01時</t>
        </is>
      </c>
      <c r="D128" s="6" t="inlineStr">
        <is>
          <t>A</t>
        </is>
      </c>
      <c r="E128" s="6" t="inlineStr">
        <is>
          <t>ワイの財布から毎月消える謎の正体が判明したｗ #shorts #2ch #面白いスレ</t>
        </is>
      </c>
      <c r="F128" s="7" t="n">
        <v>954</v>
      </c>
      <c r="G128" s="7" t="n">
        <v>0</v>
      </c>
      <c r="H128" s="24">
        <f>IFERROR(G128*1000/F128,0)</f>
        <v/>
      </c>
      <c r="I128" s="7" t="n">
        <v>1</v>
      </c>
      <c r="J128" s="8">
        <f>IFERROR(I128*100/F128,0)</f>
        <v/>
      </c>
      <c r="K128" s="7" t="n">
        <v>0</v>
      </c>
      <c r="L128" s="9" t="n">
        <v>69.5</v>
      </c>
      <c r="M128" s="7" t="n">
        <v>4</v>
      </c>
      <c r="N128" s="23" t="n">
        <v>0</v>
      </c>
    </row>
    <row r="129">
      <c r="A129" s="6" t="inlineStr">
        <is>
          <t>2ch-matome</t>
        </is>
      </c>
      <c r="B129" s="6" t="inlineStr">
        <is>
          <t>2026-08-21</t>
        </is>
      </c>
      <c r="C129" s="6" t="inlineStr">
        <is>
          <t>17時</t>
        </is>
      </c>
      <c r="D129" s="6" t="inlineStr">
        <is>
          <t>C</t>
        </is>
      </c>
      <c r="E129" s="6" t="inlineStr">
        <is>
          <t>ワイ、サーモス歴3年やけど質問ある？w😏【ショート】</t>
        </is>
      </c>
      <c r="F129" s="7" t="n">
        <v>951</v>
      </c>
      <c r="G129" s="7" t="n">
        <v>0</v>
      </c>
      <c r="H129" s="24">
        <f>IFERROR(G129*1000/F129,0)</f>
        <v/>
      </c>
      <c r="I129" s="7" t="n">
        <v>3</v>
      </c>
      <c r="J129" s="8">
        <f>IFERROR(I129*100/F129,0)</f>
        <v/>
      </c>
      <c r="K129" s="7" t="n">
        <v>0</v>
      </c>
      <c r="L129" s="9" t="n">
        <v>36.4</v>
      </c>
      <c r="M129" s="7" t="n">
        <v>32</v>
      </c>
      <c r="N129" s="23" t="n">
        <v>0</v>
      </c>
    </row>
    <row r="130">
      <c r="A130" s="6" t="inlineStr">
        <is>
          <t>2ch-matome</t>
        </is>
      </c>
      <c r="B130" s="6" t="inlineStr">
        <is>
          <t>2026-09-04</t>
        </is>
      </c>
      <c r="C130" s="6" t="inlineStr">
        <is>
          <t>18時</t>
        </is>
      </c>
      <c r="D130" s="6" t="inlineStr">
        <is>
          <t>A</t>
        </is>
      </c>
      <c r="E130" s="6" t="inlineStr">
        <is>
          <t>なぜ友達の風呂で3回もやらかしたのか？ｗ #shorts #2ch #面白いスレ</t>
        </is>
      </c>
      <c r="F130" s="7" t="n">
        <v>948</v>
      </c>
      <c r="G130" s="7" t="n">
        <v>0</v>
      </c>
      <c r="H130" s="24">
        <f>IFERROR(G130*1000/F130,0)</f>
        <v/>
      </c>
      <c r="I130" s="7" t="n">
        <v>2</v>
      </c>
      <c r="J130" s="8">
        <f>IFERROR(I130*100/F130,0)</f>
        <v/>
      </c>
      <c r="K130" s="7" t="n">
        <v>0</v>
      </c>
      <c r="L130" s="9" t="n">
        <v>32.2</v>
      </c>
      <c r="M130" s="7" t="n">
        <v>21</v>
      </c>
      <c r="N130" s="23" t="n">
        <v>0</v>
      </c>
    </row>
    <row r="131">
      <c r="A131" s="6" t="inlineStr">
        <is>
          <t>daily-science</t>
        </is>
      </c>
      <c r="B131" s="6" t="inlineStr">
        <is>
          <t>2026-08-26</t>
        </is>
      </c>
      <c r="C131" s="6" t="inlineStr">
        <is>
          <t>17時</t>
        </is>
      </c>
      <c r="D131" s="6" t="inlineStr">
        <is>
          <t>A</t>
        </is>
      </c>
      <c r="E131" s="6" t="inlineStr">
        <is>
          <t>1分科学 #95：🧪なぜ雷鳴の3秒前から体が固まるのか？あなたの脳に起きる反応の正体🧬【ショート】</t>
        </is>
      </c>
      <c r="F131" s="7" t="n">
        <v>944</v>
      </c>
      <c r="G131" s="7" t="n">
        <v>0</v>
      </c>
      <c r="H131" s="24">
        <f>IFERROR(G131*1000/F131,0)</f>
        <v/>
      </c>
      <c r="I131" s="7" t="n">
        <v>7</v>
      </c>
      <c r="J131" s="8">
        <f>IFERROR(I131*100/F131,0)</f>
        <v/>
      </c>
      <c r="K131" s="7" t="n">
        <v>0</v>
      </c>
      <c r="L131" s="9" t="n">
        <v>41.7</v>
      </c>
      <c r="M131" s="7" t="n">
        <v>17</v>
      </c>
      <c r="N131" s="23" t="n">
        <v>0</v>
      </c>
    </row>
    <row r="132">
      <c r="A132" s="6" t="inlineStr">
        <is>
          <t>scp-lab</t>
        </is>
      </c>
      <c r="B132" s="6" t="inlineStr">
        <is>
          <t>2026-08-25</t>
        </is>
      </c>
      <c r="C132" s="6" t="inlineStr">
        <is>
          <t>19時</t>
        </is>
      </c>
      <c r="D132" s="6" t="inlineStr">
        <is>
          <t>A</t>
        </is>
      </c>
      <c r="E132" s="6" t="inlineStr">
        <is>
          <t>なぜ航路の先で記録が消えるのか？SCP-1783-JPの本当の恐怖【ショート】</t>
        </is>
      </c>
      <c r="F132" s="7" t="n">
        <v>942</v>
      </c>
      <c r="G132" s="7" t="n">
        <v>0</v>
      </c>
      <c r="H132" s="24">
        <f>IFERROR(G132*1000/F132,0)</f>
        <v/>
      </c>
      <c r="I132" s="7" t="n">
        <v>0</v>
      </c>
      <c r="J132" s="8">
        <f>IFERROR(I132*100/F132,0)</f>
        <v/>
      </c>
      <c r="K132" s="7" t="n">
        <v>0</v>
      </c>
      <c r="L132" s="9" t="n">
        <v>32.8</v>
      </c>
      <c r="M132" s="7" t="n">
        <v>113</v>
      </c>
      <c r="N132" s="23" t="n">
        <v>3.539823008849558</v>
      </c>
    </row>
    <row r="133">
      <c r="A133" s="6" t="inlineStr">
        <is>
          <t>pokemon-lab</t>
        </is>
      </c>
      <c r="B133" s="6" t="inlineStr">
        <is>
          <t>2026-09-05</t>
        </is>
      </c>
      <c r="C133" s="6" t="inlineStr">
        <is>
          <t>17時</t>
        </is>
      </c>
      <c r="D133" s="6" t="inlineStr">
        <is>
          <t>C</t>
        </is>
      </c>
      <c r="E133" s="6" t="inlineStr">
        <is>
          <t>君のサンダースだけ3個必要だった時代 #shorts #ポケモン #ポケモン雑学</t>
        </is>
      </c>
      <c r="F133" s="7" t="n">
        <v>935</v>
      </c>
      <c r="G133" s="7" t="n">
        <v>0</v>
      </c>
      <c r="H133" s="24">
        <f>IFERROR(G133*1000/F133,0)</f>
        <v/>
      </c>
      <c r="I133" s="7" t="n">
        <v>0</v>
      </c>
      <c r="J133" s="8">
        <f>IFERROR(I133*100/F133,0)</f>
        <v/>
      </c>
      <c r="K133" s="7" t="n">
        <v>0</v>
      </c>
      <c r="L133" s="9" t="n">
        <v>55.9</v>
      </c>
      <c r="M133" s="7" t="n">
        <v>26</v>
      </c>
      <c r="N133" s="23" t="n">
        <v>0</v>
      </c>
    </row>
    <row r="134">
      <c r="A134" s="6" t="inlineStr">
        <is>
          <t>pokemon-lab</t>
        </is>
      </c>
      <c r="B134" s="6" t="inlineStr">
        <is>
          <t>2026-08-28</t>
        </is>
      </c>
      <c r="C134" s="6" t="inlineStr">
        <is>
          <t>17時</t>
        </is>
      </c>
      <c r="D134" s="6" t="inlineStr">
        <is>
          <t>A</t>
        </is>
      </c>
      <c r="E134" s="6" t="inlineStr">
        <is>
          <t>1分ポケモン研究 #19：🕵️ケッキングに隠された2ターンの秘密、種族値670なのになぜ使えない？【ショート】</t>
        </is>
      </c>
      <c r="F134" s="7" t="n">
        <v>934</v>
      </c>
      <c r="G134" s="7" t="n">
        <v>0</v>
      </c>
      <c r="H134" s="24">
        <f>IFERROR(G134*1000/F134,0)</f>
        <v/>
      </c>
      <c r="I134" s="7" t="n">
        <v>3</v>
      </c>
      <c r="J134" s="8">
        <f>IFERROR(I134*100/F134,0)</f>
        <v/>
      </c>
      <c r="K134" s="7" t="n">
        <v>0</v>
      </c>
      <c r="L134" s="9" t="n">
        <v>39.4</v>
      </c>
      <c r="M134" s="7" t="n">
        <v>45</v>
      </c>
      <c r="N134" s="23" t="n">
        <v>0</v>
      </c>
    </row>
    <row r="135">
      <c r="A135" s="6" t="inlineStr">
        <is>
          <t>2ch-matome</t>
        </is>
      </c>
      <c r="B135" s="6" t="inlineStr">
        <is>
          <t>2026-08-28</t>
        </is>
      </c>
      <c r="C135" s="6" t="inlineStr">
        <is>
          <t>18時</t>
        </is>
      </c>
      <c r="D135" s="6" t="inlineStr">
        <is>
          <t>C</t>
        </is>
      </c>
      <c r="E135" s="6" t="inlineStr">
        <is>
          <t>🤣ワイ、落雷を3秒で見たんやが質問ある？w🍑【ショート】</t>
        </is>
      </c>
      <c r="F135" s="7" t="n">
        <v>928</v>
      </c>
      <c r="G135" s="7" t="n">
        <v>0</v>
      </c>
      <c r="H135" s="24">
        <f>IFERROR(G135*1000/F135,0)</f>
        <v/>
      </c>
      <c r="I135" s="7" t="n">
        <v>4</v>
      </c>
      <c r="J135" s="8">
        <f>IFERROR(I135*100/F135,0)</f>
        <v/>
      </c>
      <c r="K135" s="7" t="n">
        <v>0</v>
      </c>
      <c r="L135" s="9" t="n">
        <v>30.7</v>
      </c>
      <c r="M135" s="7" t="n">
        <v>53</v>
      </c>
      <c r="N135" s="23" t="n">
        <v>0</v>
      </c>
    </row>
    <row r="136">
      <c r="A136" s="6" t="inlineStr">
        <is>
          <t>daily-science</t>
        </is>
      </c>
      <c r="B136" s="6" t="inlineStr">
        <is>
          <t>2026-09-06</t>
        </is>
      </c>
      <c r="C136" s="6" t="inlineStr">
        <is>
          <t>17時</t>
        </is>
      </c>
      <c r="D136" s="6" t="inlineStr">
        <is>
          <t>D</t>
        </is>
      </c>
      <c r="E136" s="6" t="inlineStr">
        <is>
          <t>実は暗い部屋で音に敏感になるのは、耳が目の代わりをするから？ #shorts #雑学 #豆知識</t>
        </is>
      </c>
      <c r="F136" s="7" t="n">
        <v>927</v>
      </c>
      <c r="G136" s="7" t="n">
        <v>0</v>
      </c>
      <c r="H136" s="24">
        <f>IFERROR(G136*1000/F136,0)</f>
        <v/>
      </c>
      <c r="I136" s="7" t="n">
        <v>5</v>
      </c>
      <c r="J136" s="8">
        <f>IFERROR(I136*100/F136,0)</f>
        <v/>
      </c>
      <c r="K136" s="7" t="n">
        <v>0</v>
      </c>
      <c r="L136" s="9" t="n">
        <v>51.5</v>
      </c>
      <c r="M136" s="7" t="n">
        <v>46</v>
      </c>
      <c r="N136" s="23" t="n">
        <v>0</v>
      </c>
    </row>
    <row r="137">
      <c r="A137" s="6" t="inlineStr">
        <is>
          <t>pokemon-lab</t>
        </is>
      </c>
      <c r="B137" s="6" t="inlineStr">
        <is>
          <t>2026-08-26</t>
        </is>
      </c>
      <c r="C137" s="6" t="inlineStr">
        <is>
          <t>17時</t>
        </is>
      </c>
      <c r="D137" s="6" t="inlineStr">
        <is>
          <t>A</t>
        </is>
      </c>
      <c r="E137" s="6" t="inlineStr">
        <is>
          <t>1分ポケモン研究 #15：👀シャンデラに隠された秘密、なぜ霊タイプ？君が知らない3つの由来【ショート】</t>
        </is>
      </c>
      <c r="F137" s="7" t="n">
        <v>921</v>
      </c>
      <c r="G137" s="7" t="n">
        <v>0</v>
      </c>
      <c r="H137" s="24">
        <f>IFERROR(G137*1000/F137,0)</f>
        <v/>
      </c>
      <c r="I137" s="7" t="n">
        <v>1</v>
      </c>
      <c r="J137" s="8">
        <f>IFERROR(I137*100/F137,0)</f>
        <v/>
      </c>
      <c r="K137" s="7" t="n">
        <v>0</v>
      </c>
      <c r="L137" s="9" t="n">
        <v>25</v>
      </c>
      <c r="M137" s="7" t="n">
        <v>40</v>
      </c>
      <c r="N137" s="23" t="n">
        <v>0</v>
      </c>
    </row>
    <row r="138">
      <c r="A138" s="6" t="inlineStr">
        <is>
          <t>scp-lab</t>
        </is>
      </c>
      <c r="B138" s="6" t="inlineStr">
        <is>
          <t>2026-09-05</t>
        </is>
      </c>
      <c r="C138" s="6" t="inlineStr">
        <is>
          <t>17時</t>
        </is>
      </c>
      <c r="D138" s="6" t="inlineStr">
        <is>
          <t>C</t>
        </is>
      </c>
      <c r="E138" s="6" t="inlineStr">
        <is>
          <t>SCP-2006 笑い声を聞いた12名に起きた異変 #shorts #SCP #SCP解説</t>
        </is>
      </c>
      <c r="F138" s="7" t="n">
        <v>918</v>
      </c>
      <c r="G138" s="7" t="n">
        <v>0</v>
      </c>
      <c r="H138" s="24">
        <f>IFERROR(G138*1000/F138,0)</f>
        <v/>
      </c>
      <c r="I138" s="7" t="n">
        <v>5</v>
      </c>
      <c r="J138" s="8">
        <f>IFERROR(I138*100/F138,0)</f>
        <v/>
      </c>
      <c r="K138" s="7" t="n">
        <v>0</v>
      </c>
      <c r="L138" s="9" t="n">
        <v>39.5</v>
      </c>
      <c r="M138" s="7" t="n">
        <v>576</v>
      </c>
      <c r="N138" s="23" t="n">
        <v>0.8680555555555556</v>
      </c>
    </row>
    <row r="139">
      <c r="A139" s="6" t="inlineStr">
        <is>
          <t>daily-science</t>
        </is>
      </c>
      <c r="B139" s="6" t="inlineStr">
        <is>
          <t>2026-09-06</t>
        </is>
      </c>
      <c r="C139" s="6" t="inlineStr">
        <is>
          <t>12時</t>
        </is>
      </c>
      <c r="D139" s="6" t="inlineStr">
        <is>
          <t>C</t>
        </is>
      </c>
      <c r="E139" s="6" t="inlineStr">
        <is>
          <t>あなたの字が30秒で別物に見える？ #shorts #雑学 #豆知識</t>
        </is>
      </c>
      <c r="F139" s="7" t="n">
        <v>910</v>
      </c>
      <c r="G139" s="7" t="n">
        <v>0</v>
      </c>
      <c r="H139" s="24">
        <f>IFERROR(G139*1000/F139,0)</f>
        <v/>
      </c>
      <c r="I139" s="7" t="n">
        <v>7</v>
      </c>
      <c r="J139" s="8">
        <f>IFERROR(I139*100/F139,0)</f>
        <v/>
      </c>
      <c r="K139" s="7" t="n">
        <v>1</v>
      </c>
      <c r="L139" s="9" t="n">
        <v>109.7</v>
      </c>
      <c r="M139" s="7" t="n">
        <v>50</v>
      </c>
      <c r="N139" s="23" t="n">
        <v>0</v>
      </c>
    </row>
    <row r="140">
      <c r="A140" s="6" t="inlineStr">
        <is>
          <t>scp-lab</t>
        </is>
      </c>
      <c r="B140" s="6" t="inlineStr">
        <is>
          <t>2026-09-06</t>
        </is>
      </c>
      <c r="C140" s="6" t="inlineStr">
        <is>
          <t>13時</t>
        </is>
      </c>
      <c r="D140" s="6" t="inlineStr">
        <is>
          <t>A</t>
        </is>
      </c>
      <c r="E140" s="6" t="inlineStr">
        <is>
          <t>なぜ非常灯が消えた3秒に5人目の足音がしたのか #shorts #SCP #SCP解説</t>
        </is>
      </c>
      <c r="F140" s="7" t="n">
        <v>908</v>
      </c>
      <c r="G140" s="7" t="n">
        <v>0</v>
      </c>
      <c r="H140" s="24">
        <f>IFERROR(G140*1000/F140,0)</f>
        <v/>
      </c>
      <c r="I140" s="7" t="n">
        <v>3</v>
      </c>
      <c r="J140" s="8">
        <f>IFERROR(I140*100/F140,0)</f>
        <v/>
      </c>
      <c r="K140" s="7" t="n">
        <v>0</v>
      </c>
      <c r="L140" s="9" t="n">
        <v>42.1</v>
      </c>
      <c r="M140" s="7" t="n">
        <v>137</v>
      </c>
      <c r="N140" s="23" t="n">
        <v>2.91970802919708</v>
      </c>
    </row>
    <row r="141">
      <c r="A141" s="6" t="inlineStr">
        <is>
          <t>2ch-matome</t>
        </is>
      </c>
      <c r="B141" s="6" t="inlineStr">
        <is>
          <t>2026-08-30</t>
        </is>
      </c>
      <c r="C141" s="6" t="inlineStr">
        <is>
          <t>18時</t>
        </is>
      </c>
      <c r="D141" s="6" t="inlineStr">
        <is>
          <t>D</t>
        </is>
      </c>
      <c r="E141" s="6" t="inlineStr">
        <is>
          <t>実は家族に見られた通販履歴…一番言い訳できない理由は？【ショート】</t>
        </is>
      </c>
      <c r="F141" s="7" t="n">
        <v>906</v>
      </c>
      <c r="G141" s="7" t="n">
        <v>0</v>
      </c>
      <c r="H141" s="24">
        <f>IFERROR(G141*1000/F141,0)</f>
        <v/>
      </c>
      <c r="I141" s="7" t="n">
        <v>2</v>
      </c>
      <c r="J141" s="8">
        <f>IFERROR(I141*100/F141,0)</f>
        <v/>
      </c>
      <c r="K141" s="7" t="n">
        <v>0</v>
      </c>
      <c r="L141" s="9" t="n">
        <v>27.2</v>
      </c>
      <c r="M141" s="7" t="n">
        <v>36</v>
      </c>
      <c r="N141" s="23" t="n">
        <v>0</v>
      </c>
    </row>
    <row r="142">
      <c r="A142" s="6" t="inlineStr">
        <is>
          <t>scp-lab</t>
        </is>
      </c>
      <c r="B142" s="6" t="inlineStr">
        <is>
          <t>2026-09-07</t>
        </is>
      </c>
      <c r="C142" s="6" t="inlineStr">
        <is>
          <t>13時</t>
        </is>
      </c>
      <c r="D142" s="6" t="inlineStr">
        <is>
          <t>A</t>
        </is>
      </c>
      <c r="E142" s="6" t="inlineStr">
        <is>
          <t>RTX5090はで部屋の外から名前を呼ぶのか #shorts #SCP #SCP解説</t>
        </is>
      </c>
      <c r="F142" s="7" t="n">
        <v>902</v>
      </c>
      <c r="G142" s="7" t="n">
        <v>0</v>
      </c>
      <c r="H142" s="24">
        <f>IFERROR(G142*1000/F142,0)</f>
        <v/>
      </c>
      <c r="I142" s="7" t="n">
        <v>2</v>
      </c>
      <c r="J142" s="8">
        <f>IFERROR(I142*100/F142,0)</f>
        <v/>
      </c>
      <c r="K142" s="7" t="n">
        <v>0</v>
      </c>
      <c r="L142" s="9" t="n">
        <v>43.3</v>
      </c>
      <c r="M142" s="7" t="n">
        <v>109</v>
      </c>
      <c r="N142" s="23" t="n">
        <v>1.834862385321101</v>
      </c>
    </row>
    <row r="143">
      <c r="A143" s="6" t="inlineStr">
        <is>
          <t>pokemon-lab</t>
        </is>
      </c>
      <c r="B143" s="6" t="inlineStr">
        <is>
          <t>2026-08-31</t>
        </is>
      </c>
      <c r="C143" s="6" t="inlineStr">
        <is>
          <t>17時</t>
        </is>
      </c>
      <c r="D143" s="6" t="inlineStr">
        <is>
          <t>A</t>
        </is>
      </c>
      <c r="E143" s="6" t="inlineStr">
        <is>
          <t>ピカチュウは10%なのになぜ看板？【ショート】</t>
        </is>
      </c>
      <c r="F143" s="7" t="n">
        <v>884</v>
      </c>
      <c r="G143" s="7" t="n">
        <v>0</v>
      </c>
      <c r="H143" s="24">
        <f>IFERROR(G143*1000/F143,0)</f>
        <v/>
      </c>
      <c r="I143" s="7" t="n">
        <v>4</v>
      </c>
      <c r="J143" s="8">
        <f>IFERROR(I143*100/F143,0)</f>
        <v/>
      </c>
      <c r="K143" s="7" t="n">
        <v>0</v>
      </c>
      <c r="L143" s="9" t="n">
        <v>46.1</v>
      </c>
      <c r="M143" s="7" t="n">
        <v>70</v>
      </c>
      <c r="N143" s="23" t="n">
        <v>0</v>
      </c>
    </row>
    <row r="144">
      <c r="A144" s="6" t="inlineStr">
        <is>
          <t>2ch-matome</t>
        </is>
      </c>
      <c r="B144" s="6" t="inlineStr">
        <is>
          <t>2026-08-28</t>
        </is>
      </c>
      <c r="C144" s="6" t="inlineStr">
        <is>
          <t>14時</t>
        </is>
      </c>
      <c r="D144" s="6" t="inlineStr">
        <is>
          <t>C</t>
        </is>
      </c>
      <c r="E144" s="6" t="inlineStr">
        <is>
          <t>💦ワイ、夫が寝た後の秘密3つあげてけw🤣【ショート】</t>
        </is>
      </c>
      <c r="F144" s="7" t="n">
        <v>882</v>
      </c>
      <c r="G144" s="7" t="n">
        <v>0</v>
      </c>
      <c r="H144" s="24">
        <f>IFERROR(G144*1000/F144,0)</f>
        <v/>
      </c>
      <c r="I144" s="7" t="n">
        <v>1</v>
      </c>
      <c r="J144" s="8">
        <f>IFERROR(I144*100/F144,0)</f>
        <v/>
      </c>
      <c r="K144" s="7" t="n">
        <v>0</v>
      </c>
      <c r="L144" s="9" t="n">
        <v>35.7</v>
      </c>
      <c r="M144" s="7" t="n">
        <v>36</v>
      </c>
      <c r="N144" s="23" t="n">
        <v>0</v>
      </c>
    </row>
    <row r="145">
      <c r="A145" s="6" t="inlineStr">
        <is>
          <t>daily-science</t>
        </is>
      </c>
      <c r="B145" s="6" t="inlineStr">
        <is>
          <t>2026-09-04</t>
        </is>
      </c>
      <c r="C145" s="6" t="inlineStr">
        <is>
          <t>17時</t>
        </is>
      </c>
      <c r="D145" s="6" t="inlineStr">
        <is>
          <t>C</t>
        </is>
      </c>
      <c r="E145" s="6" t="inlineStr">
        <is>
          <t>泳いでいる脳が3秒ごとに息継ぎを気にするワケ #shorts #雑学 #豆知識</t>
        </is>
      </c>
      <c r="F145" s="7" t="n">
        <v>879</v>
      </c>
      <c r="G145" s="7" t="n">
        <v>0</v>
      </c>
      <c r="H145" s="24">
        <f>IFERROR(G145*1000/F145,0)</f>
        <v/>
      </c>
      <c r="I145" s="7" t="n">
        <v>5</v>
      </c>
      <c r="J145" s="8">
        <f>IFERROR(I145*100/F145,0)</f>
        <v/>
      </c>
      <c r="K145" s="7" t="n">
        <v>0</v>
      </c>
      <c r="L145" s="9" t="n">
        <v>58.8</v>
      </c>
      <c r="M145" s="7" t="n">
        <v>53</v>
      </c>
      <c r="N145" s="23" t="n">
        <v>0</v>
      </c>
    </row>
    <row r="146">
      <c r="A146" s="6" t="inlineStr">
        <is>
          <t>yokai-watch</t>
        </is>
      </c>
      <c r="B146" s="6" t="inlineStr">
        <is>
          <t>2026-09-06</t>
        </is>
      </c>
      <c r="C146" s="6" t="inlineStr">
        <is>
          <t>17時</t>
        </is>
      </c>
      <c r="D146" s="6" t="inlineStr">
        <is>
          <t>D</t>
        </is>
      </c>
      <c r="E146" s="6" t="inlineStr">
        <is>
          <t>百目なのに一つ目？江戸の絵に隠された不気味な変化 #shorts #妖怪 #都市伝説</t>
        </is>
      </c>
      <c r="F146" s="7" t="n">
        <v>867</v>
      </c>
      <c r="G146" s="7" t="n">
        <v>0</v>
      </c>
      <c r="H146" s="24">
        <f>IFERROR(G146*1000/F146,0)</f>
        <v/>
      </c>
      <c r="I146" s="7" t="n">
        <v>6</v>
      </c>
      <c r="J146" s="8">
        <f>IFERROR(I146*100/F146,0)</f>
        <v/>
      </c>
      <c r="K146" s="7" t="n">
        <v>0</v>
      </c>
      <c r="L146" s="9" t="n">
        <v>153.8</v>
      </c>
      <c r="M146" s="7" t="n">
        <v>78</v>
      </c>
      <c r="N146" s="23" t="n">
        <v>0</v>
      </c>
    </row>
    <row r="147">
      <c r="A147" s="6" t="inlineStr">
        <is>
          <t>pokemon-lab</t>
        </is>
      </c>
      <c r="B147" s="6" t="inlineStr">
        <is>
          <t>2026-08-27</t>
        </is>
      </c>
      <c r="C147" s="6" t="inlineStr">
        <is>
          <t>17時</t>
        </is>
      </c>
      <c r="D147" s="6" t="inlineStr">
        <is>
          <t>A</t>
        </is>
      </c>
      <c r="E147" s="6" t="inlineStr">
        <is>
          <t>1分ポケモン研究 #17：👀ミュウツーに隠された3手先の秘密、AIはなぜ交代を読める？【ショート】</t>
        </is>
      </c>
      <c r="F147" s="7" t="n">
        <v>866</v>
      </c>
      <c r="G147" s="7" t="n">
        <v>0</v>
      </c>
      <c r="H147" s="24">
        <f>IFERROR(G147*1000/F147,0)</f>
        <v/>
      </c>
      <c r="I147" s="7" t="n">
        <v>3</v>
      </c>
      <c r="J147" s="8">
        <f>IFERROR(I147*100/F147,0)</f>
        <v/>
      </c>
      <c r="K147" s="7" t="n">
        <v>1</v>
      </c>
      <c r="L147" s="9" t="n">
        <v>41.9</v>
      </c>
      <c r="M147" s="7" t="n">
        <v>69</v>
      </c>
      <c r="N147" s="23" t="n">
        <v>0</v>
      </c>
    </row>
    <row r="148">
      <c r="A148" s="6" t="inlineStr">
        <is>
          <t>2ch-matome</t>
        </is>
      </c>
      <c r="B148" s="6" t="inlineStr">
        <is>
          <t>2026-08-25</t>
        </is>
      </c>
      <c r="C148" s="6" t="inlineStr">
        <is>
          <t>18時</t>
        </is>
      </c>
      <c r="D148" s="6" t="inlineStr">
        <is>
          <t>C</t>
        </is>
      </c>
      <c r="E148" s="6" t="inlineStr">
        <is>
          <t>🤯ワイ、友達の家でヤバい物を3個見たんやがw🤯【ショート】</t>
        </is>
      </c>
      <c r="F148" s="7" t="n">
        <v>856</v>
      </c>
      <c r="G148" s="7" t="n">
        <v>0</v>
      </c>
      <c r="H148" s="24">
        <f>IFERROR(G148*1000/F148,0)</f>
        <v/>
      </c>
      <c r="I148" s="7" t="n">
        <v>2</v>
      </c>
      <c r="J148" s="8">
        <f>IFERROR(I148*100/F148,0)</f>
        <v/>
      </c>
      <c r="K148" s="7" t="n">
        <v>0</v>
      </c>
      <c r="L148" s="9" t="n">
        <v>39.1</v>
      </c>
      <c r="M148" s="7" t="n">
        <v>26</v>
      </c>
      <c r="N148" s="23" t="n">
        <v>0</v>
      </c>
    </row>
    <row r="149">
      <c r="A149" s="6" t="inlineStr">
        <is>
          <t>daily-science</t>
        </is>
      </c>
      <c r="B149" s="6" t="inlineStr">
        <is>
          <t>2026-08-30</t>
        </is>
      </c>
      <c r="C149" s="6" t="inlineStr">
        <is>
          <t>18時</t>
        </is>
      </c>
      <c r="D149" s="6" t="inlineStr">
        <is>
          <t>A</t>
        </is>
      </c>
      <c r="E149" s="6" t="inlineStr">
        <is>
          <t>1分科学 #102：🌍なぜ寝起きの口だけネバつくのか？あなたの唾液が眠る8時間の正体【ショート】</t>
        </is>
      </c>
      <c r="F149" s="7" t="n">
        <v>846</v>
      </c>
      <c r="G149" s="7" t="n">
        <v>0</v>
      </c>
      <c r="H149" s="24">
        <f>IFERROR(G149*1000/F149,0)</f>
        <v/>
      </c>
      <c r="I149" s="7" t="n">
        <v>6</v>
      </c>
      <c r="J149" s="8">
        <f>IFERROR(I149*100/F149,0)</f>
        <v/>
      </c>
      <c r="K149" s="7" t="n">
        <v>0</v>
      </c>
      <c r="L149" s="9" t="n">
        <v>35.7</v>
      </c>
      <c r="M149" s="7" t="n">
        <v>63</v>
      </c>
      <c r="N149" s="23" t="n">
        <v>0</v>
      </c>
    </row>
    <row r="150">
      <c r="A150" s="6" t="inlineStr">
        <is>
          <t>pokemon-lab</t>
        </is>
      </c>
      <c r="B150" s="6" t="inlineStr">
        <is>
          <t>2026-08-25</t>
        </is>
      </c>
      <c r="C150" s="6" t="inlineStr">
        <is>
          <t>17時</t>
        </is>
      </c>
      <c r="D150" s="6" t="inlineStr">
        <is>
          <t>A</t>
        </is>
      </c>
      <c r="E150" s="6" t="inlineStr">
        <is>
          <t>1分ポケモン研究 #14：👀ロケット団に隠された3つの秘密、あなたは本当の目的を知ってる？【ショート】</t>
        </is>
      </c>
      <c r="F150" s="7" t="n">
        <v>842</v>
      </c>
      <c r="G150" s="7" t="n">
        <v>0</v>
      </c>
      <c r="H150" s="24">
        <f>IFERROR(G150*1000/F150,0)</f>
        <v/>
      </c>
      <c r="I150" s="7" t="n">
        <v>3</v>
      </c>
      <c r="J150" s="8">
        <f>IFERROR(I150*100/F150,0)</f>
        <v/>
      </c>
      <c r="K150" s="7" t="n">
        <v>0</v>
      </c>
      <c r="L150" s="9" t="n">
        <v>35.1</v>
      </c>
      <c r="M150" s="7" t="n">
        <v>116</v>
      </c>
      <c r="N150" s="23" t="n">
        <v>0.8620689655172413</v>
      </c>
    </row>
    <row r="151">
      <c r="A151" s="6" t="inlineStr">
        <is>
          <t>2ch-matome</t>
        </is>
      </c>
      <c r="B151" s="6" t="inlineStr">
        <is>
          <t>2026-08-27</t>
        </is>
      </c>
      <c r="C151" s="6" t="inlineStr">
        <is>
          <t>12時</t>
        </is>
      </c>
      <c r="D151" s="6" t="inlineStr">
        <is>
          <t>C</t>
        </is>
      </c>
      <c r="E151" s="6" t="inlineStr">
        <is>
          <t>彼女の家で開けたらアカン引き出し開けたんやが #shorts #2ch #面白いスレ</t>
        </is>
      </c>
      <c r="F151" s="7" t="n">
        <v>841</v>
      </c>
      <c r="G151" s="7" t="n">
        <v>0</v>
      </c>
      <c r="H151" s="24">
        <f>IFERROR(G151*1000/F151,0)</f>
        <v/>
      </c>
      <c r="I151" s="7" t="n">
        <v>1</v>
      </c>
      <c r="J151" s="8">
        <f>IFERROR(I151*100/F151,0)</f>
        <v/>
      </c>
      <c r="K151" s="7" t="n">
        <v>0</v>
      </c>
      <c r="L151" s="9" t="n">
        <v>50.5</v>
      </c>
      <c r="M151" s="7" t="n">
        <v>116</v>
      </c>
      <c r="N151" s="23" t="n">
        <v>0.8620689655172413</v>
      </c>
    </row>
    <row r="152">
      <c r="A152" s="6" t="inlineStr">
        <is>
          <t>2ch-matome</t>
        </is>
      </c>
      <c r="B152" s="6" t="inlineStr">
        <is>
          <t>2026-09-04</t>
        </is>
      </c>
      <c r="C152" s="6" t="inlineStr">
        <is>
          <t>12時</t>
        </is>
      </c>
      <c r="D152" s="6" t="inlineStr">
        <is>
          <t>A</t>
        </is>
      </c>
      <c r="E152" s="6" t="inlineStr">
        <is>
          <t>正体を大人が知る3秒の言葉あげてけw😂 #shorts #2ch #面白いスレ</t>
        </is>
      </c>
      <c r="F152" s="7" t="n">
        <v>826</v>
      </c>
      <c r="G152" s="7" t="n">
        <v>0</v>
      </c>
      <c r="H152" s="24">
        <f>IFERROR(G152*1000/F152,0)</f>
        <v/>
      </c>
      <c r="I152" s="7" t="n">
        <v>1</v>
      </c>
      <c r="J152" s="8">
        <f>IFERROR(I152*100/F152,0)</f>
        <v/>
      </c>
      <c r="K152" s="7" t="n">
        <v>0</v>
      </c>
      <c r="L152" s="9" t="n">
        <v>42.4</v>
      </c>
      <c r="M152" s="7" t="n">
        <v>23</v>
      </c>
      <c r="N152" s="23" t="n">
        <v>0</v>
      </c>
    </row>
    <row r="153">
      <c r="A153" s="6" t="inlineStr">
        <is>
          <t>2ch-matome</t>
        </is>
      </c>
      <c r="B153" s="6" t="inlineStr">
        <is>
          <t>2026-09-08</t>
        </is>
      </c>
      <c r="C153" s="6" t="inlineStr">
        <is>
          <t>21時</t>
        </is>
      </c>
      <c r="D153" s="6" t="inlineStr">
        <is>
          <t>C</t>
        </is>
      </c>
      <c r="E153" s="6" t="inlineStr">
        <is>
          <t>Apple新製品予想、また本命を外して財布が逝く民ｗ #shorts #2ch #面白いスレ</t>
        </is>
      </c>
      <c r="F153" s="7" t="n">
        <v>793</v>
      </c>
      <c r="G153" s="7" t="n">
        <v>0</v>
      </c>
      <c r="H153" s="23">
        <f>IFERROR(G153*1000/F153,0)</f>
        <v/>
      </c>
      <c r="I153" s="7" t="n">
        <v>1</v>
      </c>
      <c r="J153" s="8">
        <f>IFERROR(I153*100/F153,0)</f>
        <v/>
      </c>
      <c r="K153" s="7" t="n">
        <v>0</v>
      </c>
      <c r="L153" s="9" t="n">
        <v>35.1</v>
      </c>
      <c r="M153" s="7" t="n">
        <v>7</v>
      </c>
      <c r="N153" s="23" t="n">
        <v>0</v>
      </c>
    </row>
    <row r="154">
      <c r="A154" s="6" t="inlineStr">
        <is>
          <t>scp-lab</t>
        </is>
      </c>
      <c r="B154" s="6" t="inlineStr">
        <is>
          <t>2026-08-29</t>
        </is>
      </c>
      <c r="C154" s="6" t="inlineStr">
        <is>
          <t>19時</t>
        </is>
      </c>
      <c r="D154" s="6" t="inlineStr">
        <is>
          <t>C</t>
        </is>
      </c>
      <c r="E154" s="6" t="inlineStr">
        <is>
          <t>一口SCP #109：🫣SCP-2480「未完の儀式」記録9名だけが残った収容不能の恐怖【ショート】</t>
        </is>
      </c>
      <c r="F154" s="7" t="n">
        <v>717</v>
      </c>
      <c r="G154" s="7" t="n">
        <v>0</v>
      </c>
      <c r="H154" s="23">
        <f>IFERROR(G154*1000/F154,0)</f>
        <v/>
      </c>
      <c r="I154" s="7" t="n">
        <v>0</v>
      </c>
      <c r="J154" s="8">
        <f>IFERROR(I154*100/F154,0)</f>
        <v/>
      </c>
      <c r="K154" s="7" t="n">
        <v>0</v>
      </c>
      <c r="L154" s="9" t="n">
        <v>39.1</v>
      </c>
      <c r="M154" s="7" t="n">
        <v>137</v>
      </c>
      <c r="N154" s="23" t="n">
        <v>0</v>
      </c>
    </row>
    <row r="155">
      <c r="A155" s="6" t="inlineStr">
        <is>
          <t>pokemon-lab</t>
        </is>
      </c>
      <c r="B155" s="6" t="inlineStr">
        <is>
          <t>2026-08-22</t>
        </is>
      </c>
      <c r="C155" s="6" t="inlineStr">
        <is>
          <t>12時</t>
        </is>
      </c>
      <c r="D155" s="6" t="inlineStr">
        <is>
          <t>A</t>
        </is>
      </c>
      <c r="E155" s="6" t="inlineStr">
        <is>
          <t>1分ポケモン研究 #12：💧サーナイトとエルレイド、君はなぜ2つの攻撃で迷う？【ショート】</t>
        </is>
      </c>
      <c r="F155" s="7" t="n">
        <v>712</v>
      </c>
      <c r="G155" s="7" t="n">
        <v>0</v>
      </c>
      <c r="H155" s="23">
        <f>IFERROR(G155*1000/F155,0)</f>
        <v/>
      </c>
      <c r="I155" s="7" t="n">
        <v>0</v>
      </c>
      <c r="J155" s="8">
        <f>IFERROR(I155*100/F155,0)</f>
        <v/>
      </c>
      <c r="K155" s="7" t="n">
        <v>0</v>
      </c>
      <c r="L155" s="9" t="n">
        <v>25.4</v>
      </c>
      <c r="M155" s="7" t="n">
        <v>95</v>
      </c>
      <c r="N155" s="23" t="n">
        <v>1.052631578947368</v>
      </c>
    </row>
    <row r="156">
      <c r="A156" s="6" t="inlineStr">
        <is>
          <t>daily-science</t>
        </is>
      </c>
      <c r="B156" s="6" t="inlineStr">
        <is>
          <t>2026-09-04</t>
        </is>
      </c>
      <c r="C156" s="6" t="inlineStr">
        <is>
          <t>12時</t>
        </is>
      </c>
      <c r="D156" s="6" t="inlineStr">
        <is>
          <t>A</t>
        </is>
      </c>
      <c r="E156" s="6" t="inlineStr">
        <is>
          <t>黙読中の喉、なぜ声なしで1秒だけ動く？ #shorts #雑学 #豆知識</t>
        </is>
      </c>
      <c r="F156" s="7" t="n">
        <v>707</v>
      </c>
      <c r="G156" s="7" t="n">
        <v>0</v>
      </c>
      <c r="H156" s="23">
        <f>IFERROR(G156*1000/F156,0)</f>
        <v/>
      </c>
      <c r="I156" s="7" t="n">
        <v>3</v>
      </c>
      <c r="J156" s="8">
        <f>IFERROR(I156*100/F156,0)</f>
        <v/>
      </c>
      <c r="K156" s="7" t="n">
        <v>0</v>
      </c>
      <c r="L156" s="9" t="n">
        <v>38.5</v>
      </c>
      <c r="M156" s="7" t="n">
        <v>25</v>
      </c>
      <c r="N156" s="23" t="n">
        <v>4</v>
      </c>
    </row>
    <row r="157">
      <c r="A157" s="6" t="inlineStr">
        <is>
          <t>2ch-matome</t>
        </is>
      </c>
      <c r="B157" s="6" t="inlineStr">
        <is>
          <t>2026-09-08</t>
        </is>
      </c>
      <c r="C157" s="6" t="inlineStr">
        <is>
          <t>12時</t>
        </is>
      </c>
      <c r="D157" s="6" t="inlineStr">
        <is>
          <t>A</t>
        </is>
      </c>
      <c r="E157" s="6" t="inlineStr">
        <is>
          <t>ワイのPCで彼女が凍った本当の理由w💦 #shorts #2ch #面白いスレ</t>
        </is>
      </c>
      <c r="F157" s="7" t="n">
        <v>683</v>
      </c>
      <c r="G157" s="7" t="n">
        <v>0</v>
      </c>
      <c r="H157" s="23">
        <f>IFERROR(G157*1000/F157,0)</f>
        <v/>
      </c>
      <c r="I157" s="7" t="n">
        <v>1</v>
      </c>
      <c r="J157" s="8">
        <f>IFERROR(I157*100/F157,0)</f>
        <v/>
      </c>
      <c r="K157" s="7" t="n">
        <v>1</v>
      </c>
      <c r="L157" s="9" t="n">
        <v>35.8</v>
      </c>
      <c r="M157" s="7" t="n">
        <v>5</v>
      </c>
      <c r="N157" s="23" t="n">
        <v>0</v>
      </c>
    </row>
    <row r="158">
      <c r="A158" s="6" t="inlineStr">
        <is>
          <t>2ch-matome</t>
        </is>
      </c>
      <c r="B158" s="6" t="inlineStr">
        <is>
          <t>2026-09-07</t>
        </is>
      </c>
      <c r="C158" s="6" t="inlineStr">
        <is>
          <t>07時</t>
        </is>
      </c>
      <c r="D158" s="6" t="inlineStr">
        <is>
          <t>A</t>
        </is>
      </c>
      <c r="E158" s="6" t="inlineStr">
        <is>
          <t>なぜファミマで謎の商品を買ってしまうのか？草 #shorts #2ch #面白いスレ</t>
        </is>
      </c>
      <c r="F158" s="7" t="n">
        <v>665</v>
      </c>
      <c r="G158" s="7" t="n">
        <v>0</v>
      </c>
      <c r="H158" s="23">
        <f>IFERROR(G158*1000/F158,0)</f>
        <v/>
      </c>
      <c r="I158" s="7" t="n">
        <v>0</v>
      </c>
      <c r="J158" s="8">
        <f>IFERROR(I158*100/F158,0)</f>
        <v/>
      </c>
      <c r="K158" s="7" t="n">
        <v>0</v>
      </c>
      <c r="L158" s="9" t="n">
        <v>40.8</v>
      </c>
      <c r="M158" s="7" t="n">
        <v>36</v>
      </c>
      <c r="N158" s="23" t="n">
        <v>0</v>
      </c>
    </row>
    <row r="159">
      <c r="A159" s="6" t="inlineStr">
        <is>
          <t>yokai-watch</t>
        </is>
      </c>
      <c r="B159" s="6" t="inlineStr">
        <is>
          <t>2026-08-25</t>
        </is>
      </c>
      <c r="C159" s="6" t="inlineStr">
        <is>
          <t>19時</t>
        </is>
      </c>
      <c r="D159" s="6" t="inlineStr">
        <is>
          <t>C</t>
        </is>
      </c>
      <c r="E159" s="6" t="inlineStr">
        <is>
          <t>1分妖怪ファイル #13：👁️妖怪ウォッチ元祖に隠された3つの秘密、あなたは名前の意味に気づいた？【ショート】</t>
        </is>
      </c>
      <c r="F159" s="7" t="n">
        <v>664</v>
      </c>
      <c r="G159" s="7" t="n">
        <v>0</v>
      </c>
      <c r="H159" s="23">
        <f>IFERROR(G159*1000/F159,0)</f>
        <v/>
      </c>
      <c r="I159" s="7" t="n">
        <v>0</v>
      </c>
      <c r="J159" s="8">
        <f>IFERROR(I159*100/F159,0)</f>
        <v/>
      </c>
      <c r="K159" s="7" t="n">
        <v>0</v>
      </c>
      <c r="L159" s="9" t="n">
        <v>55</v>
      </c>
      <c r="M159" s="7" t="n">
        <v>211</v>
      </c>
      <c r="N159" s="23" t="n">
        <v>1.895734597156398</v>
      </c>
    </row>
    <row r="160">
      <c r="A160" s="6" t="inlineStr">
        <is>
          <t>scp-lab</t>
        </is>
      </c>
      <c r="B160" s="6" t="inlineStr">
        <is>
          <t>2026-08-31</t>
        </is>
      </c>
      <c r="C160" s="6" t="inlineStr">
        <is>
          <t>09時</t>
        </is>
      </c>
      <c r="D160" s="6" t="inlineStr">
        <is>
          <t>A</t>
        </is>
      </c>
      <c r="E160" s="6" t="inlineStr">
        <is>
          <t>実は3秒で全生命が死んだ地球、その本当の理由はなぜ？【ショート】</t>
        </is>
      </c>
      <c r="F160" s="7" t="n">
        <v>622</v>
      </c>
      <c r="G160" s="7" t="n">
        <v>0</v>
      </c>
      <c r="H160" s="23">
        <f>IFERROR(G160*1000/F160,0)</f>
        <v/>
      </c>
      <c r="I160" s="7" t="n">
        <v>1</v>
      </c>
      <c r="J160" s="8">
        <f>IFERROR(I160*100/F160,0)</f>
        <v/>
      </c>
      <c r="K160" s="7" t="n">
        <v>0</v>
      </c>
      <c r="L160" s="9" t="n">
        <v>49</v>
      </c>
      <c r="M160" s="7" t="n">
        <v>77</v>
      </c>
      <c r="N160" s="23" t="n">
        <v>0</v>
      </c>
    </row>
    <row r="161">
      <c r="A161" s="6" t="inlineStr">
        <is>
          <t>yokai-watch</t>
        </is>
      </c>
      <c r="B161" s="6" t="inlineStr">
        <is>
          <t>2026-08-21</t>
        </is>
      </c>
      <c r="C161" s="6" t="inlineStr">
        <is>
          <t>15時</t>
        </is>
      </c>
      <c r="D161" s="6" t="inlineStr">
        <is>
          <t>A</t>
        </is>
      </c>
      <c r="E161" s="6" t="inlineStr">
        <is>
          <t>3秒で消える？天狗と山伏、神隠しの本当の理由【ショート】</t>
        </is>
      </c>
      <c r="F161" s="7" t="n">
        <v>612</v>
      </c>
      <c r="G161" s="7" t="n">
        <v>0</v>
      </c>
      <c r="H161" s="23">
        <f>IFERROR(G161*1000/F161,0)</f>
        <v/>
      </c>
      <c r="I161" s="7" t="n">
        <v>2</v>
      </c>
      <c r="J161" s="8">
        <f>IFERROR(I161*100/F161,0)</f>
        <v/>
      </c>
      <c r="K161" s="7" t="n">
        <v>0</v>
      </c>
      <c r="L161" s="9" t="n">
        <v>28.4</v>
      </c>
      <c r="M161" s="7" t="n">
        <v>55</v>
      </c>
      <c r="N161" s="23" t="n">
        <v>0</v>
      </c>
    </row>
    <row r="162">
      <c r="A162" s="6" t="inlineStr">
        <is>
          <t>2ch-matome</t>
        </is>
      </c>
      <c r="B162" s="6" t="inlineStr">
        <is>
          <t>2026-08-20</t>
        </is>
      </c>
      <c r="C162" s="6" t="inlineStr">
        <is>
          <t>19時</t>
        </is>
      </c>
      <c r="D162" s="6" t="inlineStr">
        <is>
          <t>C</t>
        </is>
      </c>
      <c r="E162" s="6" t="inlineStr">
        <is>
          <t>ワイ、アジア大会珍プレー歴0年やけど質問ある？w🤣【ショート】</t>
        </is>
      </c>
      <c r="F162" s="7" t="n">
        <v>589</v>
      </c>
      <c r="G162" s="7" t="n">
        <v>0</v>
      </c>
      <c r="H162" s="23">
        <f>IFERROR(G162*1000/F162,0)</f>
        <v/>
      </c>
      <c r="I162" s="7" t="n">
        <v>1</v>
      </c>
      <c r="J162" s="8">
        <f>IFERROR(I162*100/F162,0)</f>
        <v/>
      </c>
      <c r="K162" s="7" t="n">
        <v>0</v>
      </c>
      <c r="L162" s="9" t="n">
        <v>24.5</v>
      </c>
      <c r="M162" s="7" t="n">
        <v>57</v>
      </c>
      <c r="N162" s="23" t="n">
        <v>1.754385964912281</v>
      </c>
    </row>
    <row r="163">
      <c r="A163" s="6" t="inlineStr">
        <is>
          <t>yokai-watch</t>
        </is>
      </c>
      <c r="B163" s="6" t="inlineStr">
        <is>
          <t>2026-08-27</t>
        </is>
      </c>
      <c r="C163" s="6" t="inlineStr">
        <is>
          <t>19時</t>
        </is>
      </c>
      <c r="D163" s="6" t="inlineStr">
        <is>
          <t>C</t>
        </is>
      </c>
      <c r="E163" s="6" t="inlineStr">
        <is>
          <t>1分妖怪ファイル #16：👁️妖怪ウォッチに隠された3つの秘密、大谷翔平と妖怪伝説の関係は？【ショート】</t>
        </is>
      </c>
      <c r="F163" s="7" t="n">
        <v>514</v>
      </c>
      <c r="G163" s="7" t="n">
        <v>0</v>
      </c>
      <c r="H163" s="23">
        <f>IFERROR(G163*1000/F163,0)</f>
        <v/>
      </c>
      <c r="I163" s="7" t="n">
        <v>2</v>
      </c>
      <c r="J163" s="8">
        <f>IFERROR(I163*100/F163,0)</f>
        <v/>
      </c>
      <c r="K163" s="7" t="n">
        <v>0</v>
      </c>
      <c r="L163" s="9" t="n">
        <v>32.4</v>
      </c>
      <c r="M163" s="7" t="n">
        <v>224</v>
      </c>
      <c r="N163" s="23" t="n">
        <v>1.339285714285714</v>
      </c>
    </row>
    <row r="164">
      <c r="A164" s="6" t="inlineStr">
        <is>
          <t>daily-science</t>
        </is>
      </c>
      <c r="B164" s="6" t="inlineStr">
        <is>
          <t>2026-08-21</t>
        </is>
      </c>
      <c r="C164" s="6" t="inlineStr">
        <is>
          <t>18時</t>
        </is>
      </c>
      <c r="D164" s="6" t="inlineStr">
        <is>
          <t>A</t>
        </is>
      </c>
      <c r="E164" s="6" t="inlineStr">
        <is>
          <t>1分科学 #90：💯なぜあなたの舌はやけど後だけ味が消える？99%が知らない10日の入れ替わり【ショート】</t>
        </is>
      </c>
      <c r="F164" s="7" t="n">
        <v>481</v>
      </c>
      <c r="G164" s="7" t="n">
        <v>0</v>
      </c>
      <c r="H164" s="23">
        <f>IFERROR(G164*1000/F164,0)</f>
        <v/>
      </c>
      <c r="I164" s="7" t="n">
        <v>1</v>
      </c>
      <c r="J164" s="8">
        <f>IFERROR(I164*100/F164,0)</f>
        <v/>
      </c>
      <c r="K164" s="7" t="n">
        <v>0</v>
      </c>
      <c r="L164" s="9" t="n">
        <v>29.5</v>
      </c>
      <c r="M164" s="7" t="n">
        <v>57</v>
      </c>
      <c r="N164" s="23" t="n">
        <v>1.754385964912281</v>
      </c>
    </row>
    <row r="165">
      <c r="A165" s="6" t="inlineStr">
        <is>
          <t>scp-lab</t>
        </is>
      </c>
      <c r="B165" s="6" t="inlineStr">
        <is>
          <t>2026-08-22</t>
        </is>
      </c>
      <c r="C165" s="6" t="inlineStr">
        <is>
          <t>13時</t>
        </is>
      </c>
      <c r="D165" s="6" t="inlineStr">
        <is>
          <t>C</t>
        </is>
      </c>
      <c r="E165" s="6" t="inlineStr">
        <is>
          <t>一口SCP #94：🔒SCP-2306「実在しない部屋」— 図面に無い1室、調査員4名の記録だけが残った⚠️【ショート】</t>
        </is>
      </c>
      <c r="F165" s="7" t="n">
        <v>396</v>
      </c>
      <c r="G165" s="7" t="n">
        <v>0</v>
      </c>
      <c r="H165" s="23">
        <f>IFERROR(G165*1000/F165,0)</f>
        <v/>
      </c>
      <c r="I165" s="7" t="n">
        <v>3</v>
      </c>
      <c r="J165" s="8">
        <f>IFERROR(I165*100/F165,0)</f>
        <v/>
      </c>
      <c r="K165" s="7" t="n">
        <v>0</v>
      </c>
      <c r="L165" s="9" t="n">
        <v>26.2</v>
      </c>
      <c r="M165" s="7" t="n">
        <v>875</v>
      </c>
      <c r="N165" s="23" t="n">
        <v>1.257142857142857</v>
      </c>
    </row>
    <row r="166">
      <c r="A166" s="6" t="inlineStr">
        <is>
          <t>scp-lab</t>
        </is>
      </c>
      <c r="B166" s="6" t="inlineStr">
        <is>
          <t>2026-09-08</t>
        </is>
      </c>
      <c r="C166" s="6" t="inlineStr">
        <is>
          <t>13時</t>
        </is>
      </c>
      <c r="D166" s="6" t="inlineStr">
        <is>
          <t>A</t>
        </is>
      </c>
      <c r="E166" s="6" t="inlineStr">
        <is>
          <t>SCP-3288 大雨の真相 あなたの部屋も沈む #shorts #SCP #SCP解説</t>
        </is>
      </c>
      <c r="F166" s="7" t="n">
        <v>381</v>
      </c>
      <c r="G166" s="7" t="n">
        <v>0</v>
      </c>
      <c r="H166" s="23">
        <f>IFERROR(G166*1000/F166,0)</f>
        <v/>
      </c>
      <c r="I166" s="7" t="n">
        <v>4</v>
      </c>
      <c r="J166" s="8">
        <f>IFERROR(I166*100/F166,0)</f>
        <v/>
      </c>
      <c r="K166" s="7" t="n">
        <v>0</v>
      </c>
      <c r="L166" s="9" t="n">
        <v>154.1</v>
      </c>
      <c r="M166" s="7" t="n">
        <v>238</v>
      </c>
      <c r="N166" s="23" t="n">
        <v>0.4201680672268908</v>
      </c>
    </row>
    <row r="167">
      <c r="A167" s="6" t="inlineStr">
        <is>
          <t>yokai-watch</t>
        </is>
      </c>
      <c r="B167" s="6" t="inlineStr">
        <is>
          <t>2026-08-20</t>
        </is>
      </c>
      <c r="C167" s="6" t="inlineStr">
        <is>
          <t>18時</t>
        </is>
      </c>
      <c r="D167" s="6" t="inlineStr">
        <is>
          <t>C</t>
        </is>
      </c>
      <c r="E167" s="6" t="inlineStr">
        <is>
          <t>1分妖怪ファイル #7：😰かまいたちの元ネタが怖すぎる — あなたが3秒で傷つく理由は？【ショート】</t>
        </is>
      </c>
      <c r="F167" s="7" t="n">
        <v>371</v>
      </c>
      <c r="G167" s="7" t="n">
        <v>0</v>
      </c>
      <c r="H167" s="23">
        <f>IFERROR(G167*1000/F167,0)</f>
        <v/>
      </c>
      <c r="I167" s="7" t="n">
        <v>4</v>
      </c>
      <c r="J167" s="8">
        <f>IFERROR(I167*100/F167,0)</f>
        <v/>
      </c>
      <c r="K167" s="7" t="n">
        <v>0</v>
      </c>
      <c r="L167" s="9" t="n">
        <v>39.5</v>
      </c>
      <c r="M167" s="7" t="n">
        <v>126</v>
      </c>
      <c r="N167" s="23" t="n">
        <v>0.7936507936507936</v>
      </c>
    </row>
    <row r="168">
      <c r="A168" s="6" t="inlineStr">
        <is>
          <t>yokai-watch</t>
        </is>
      </c>
      <c r="B168" s="6" t="inlineStr">
        <is>
          <t>2026-08-22</t>
        </is>
      </c>
      <c r="C168" s="6" t="inlineStr">
        <is>
          <t>12時</t>
        </is>
      </c>
      <c r="D168" s="6" t="inlineStr">
        <is>
          <t>A</t>
        </is>
      </c>
      <c r="E168" s="6" t="inlineStr">
        <is>
          <t>なぜ猫又の尻尾は2つ？実は老猫を恐れた江戸の記録が怖い【ショート】</t>
        </is>
      </c>
      <c r="F168" s="7" t="n">
        <v>361</v>
      </c>
      <c r="G168" s="7" t="n">
        <v>0</v>
      </c>
      <c r="H168" s="23">
        <f>IFERROR(G168*1000/F168,0)</f>
        <v/>
      </c>
      <c r="I168" s="7" t="n">
        <v>3</v>
      </c>
      <c r="J168" s="8">
        <f>IFERROR(I168*100/F168,0)</f>
        <v/>
      </c>
      <c r="K168" s="7" t="n">
        <v>0</v>
      </c>
      <c r="L168" s="9" t="n">
        <v>33</v>
      </c>
      <c r="M168" s="7" t="n">
        <v>115</v>
      </c>
      <c r="N168" s="23" t="n">
        <v>0</v>
      </c>
    </row>
    <row r="169">
      <c r="A169" s="6" t="inlineStr">
        <is>
          <t>pokemon-lab</t>
        </is>
      </c>
      <c r="B169" s="6" t="inlineStr">
        <is>
          <t>2026-09-06</t>
        </is>
      </c>
      <c r="C169" s="6" t="inlineStr">
        <is>
          <t>15時</t>
        </is>
      </c>
      <c r="D169" s="6" t="inlineStr">
        <is>
          <t>A</t>
        </is>
      </c>
      <c r="E169" s="6" t="inlineStr">
        <is>
          <t>3秒でわかる？ポリゴンがテレビから消えた本当の理由 #shorts #ポケモン #ポケモン雑学</t>
        </is>
      </c>
      <c r="F169" s="7" t="n">
        <v>346</v>
      </c>
      <c r="G169" s="7" t="n">
        <v>0</v>
      </c>
      <c r="H169" s="23">
        <f>IFERROR(G169*1000/F169,0)</f>
        <v/>
      </c>
      <c r="I169" s="7" t="n">
        <v>2</v>
      </c>
      <c r="J169" s="8">
        <f>IFERROR(I169*100/F169,0)</f>
        <v/>
      </c>
      <c r="K169" s="7" t="n">
        <v>0</v>
      </c>
      <c r="L169" s="9" t="n">
        <v>28.3</v>
      </c>
      <c r="M169" s="7" t="n">
        <v>57</v>
      </c>
      <c r="N169" s="23" t="n">
        <v>3.508771929824561</v>
      </c>
    </row>
    <row r="170">
      <c r="A170" s="6" t="inlineStr">
        <is>
          <t>pokemon-lab</t>
        </is>
      </c>
      <c r="B170" s="6" t="inlineStr">
        <is>
          <t>2026-08-30</t>
        </is>
      </c>
      <c r="C170" s="6" t="inlineStr">
        <is>
          <t>18時</t>
        </is>
      </c>
      <c r="D170" s="6" t="inlineStr">
        <is>
          <t>C</t>
        </is>
      </c>
      <c r="E170" s="6" t="inlineStr">
        <is>
          <t>1分ポケモン研究 #22：😨ラプラスに隠された秘密、図鑑の1文で人間側がヤバい？【ショート】</t>
        </is>
      </c>
      <c r="F170" s="7" t="n">
        <v>322</v>
      </c>
      <c r="G170" s="7" t="n">
        <v>0</v>
      </c>
      <c r="H170" s="23">
        <f>IFERROR(G170*1000/F170,0)</f>
        <v/>
      </c>
      <c r="I170" s="7" t="n">
        <v>0</v>
      </c>
      <c r="J170" s="8">
        <f>IFERROR(I170*100/F170,0)</f>
        <v/>
      </c>
      <c r="K170" s="7" t="n">
        <v>0</v>
      </c>
      <c r="L170" s="9" t="n">
        <v>30.9</v>
      </c>
      <c r="M170" s="7" t="n">
        <v>61</v>
      </c>
      <c r="N170" s="23" t="n">
        <v>1.639344262295082</v>
      </c>
    </row>
    <row r="171">
      <c r="A171" s="6" t="inlineStr">
        <is>
          <t>2ch-matome</t>
        </is>
      </c>
      <c r="B171" s="6" t="inlineStr">
        <is>
          <t>2026-09-06</t>
        </is>
      </c>
      <c r="C171" s="6" t="inlineStr">
        <is>
          <t>21時</t>
        </is>
      </c>
      <c r="D171" s="6" t="inlineStr">
        <is>
          <t>C</t>
        </is>
      </c>
      <c r="E171" s="6" t="inlineStr">
        <is>
          <t>ワイ、保健体育歴3年やけど質問ある？w💦 #shorts #2ch #面白いスレ</t>
        </is>
      </c>
      <c r="F171" s="7" t="n">
        <v>285</v>
      </c>
      <c r="G171" s="7" t="n">
        <v>0</v>
      </c>
      <c r="H171" s="23">
        <f>IFERROR(G171*1000/F171,0)</f>
        <v/>
      </c>
      <c r="I171" s="7" t="n">
        <v>0</v>
      </c>
      <c r="J171" s="8">
        <f>IFERROR(I171*100/F171,0)</f>
        <v/>
      </c>
      <c r="K171" s="7" t="n">
        <v>0</v>
      </c>
      <c r="L171" s="9" t="n">
        <v>38.7</v>
      </c>
      <c r="M171" s="7" t="n">
        <v>4</v>
      </c>
      <c r="N171" s="23" t="n">
        <v>0</v>
      </c>
    </row>
    <row r="172">
      <c r="A172" s="6" t="inlineStr">
        <is>
          <t>scp-lab</t>
        </is>
      </c>
      <c r="B172" s="6" t="inlineStr">
        <is>
          <t>2026-09-05</t>
        </is>
      </c>
      <c r="C172" s="6" t="inlineStr">
        <is>
          <t>13時</t>
        </is>
      </c>
      <c r="D172" s="6" t="inlineStr">
        <is>
          <t>C</t>
        </is>
      </c>
      <c r="E172" s="6" t="inlineStr">
        <is>
          <t>SCP-███ 持ち出した報告書が3日後に戻った #shorts #SCP #SCP解説</t>
        </is>
      </c>
      <c r="F172" s="7" t="n">
        <v>283</v>
      </c>
      <c r="G172" s="7" t="n">
        <v>0</v>
      </c>
      <c r="H172" s="23">
        <f>IFERROR(G172*1000/F172,0)</f>
        <v/>
      </c>
      <c r="I172" s="7" t="n">
        <v>3</v>
      </c>
      <c r="J172" s="8">
        <f>IFERROR(I172*100/F172,0)</f>
        <v/>
      </c>
      <c r="K172" s="7" t="n">
        <v>0</v>
      </c>
      <c r="L172" s="9" t="n">
        <v>40.1</v>
      </c>
      <c r="M172" s="7" t="n">
        <v>141</v>
      </c>
      <c r="N172" s="23" t="n">
        <v>0</v>
      </c>
    </row>
    <row r="173">
      <c r="A173" s="6" t="inlineStr">
        <is>
          <t>2ch-matome</t>
        </is>
      </c>
      <c r="B173" s="6" t="inlineStr">
        <is>
          <t>2026-09-04</t>
        </is>
      </c>
      <c r="C173" s="6" t="inlineStr">
        <is>
          <t>07時</t>
        </is>
      </c>
      <c r="D173" s="6" t="inlineStr">
        <is>
          <t>A</t>
        </is>
      </c>
      <c r="E173" s="6" t="inlineStr">
        <is>
          <t>🤣ワイ健康診断歴3年やけど正体あるw🍑 #shorts #2ch #面白いスレ</t>
        </is>
      </c>
      <c r="F173" s="7" t="n">
        <v>276</v>
      </c>
      <c r="G173" s="7" t="n">
        <v>0</v>
      </c>
      <c r="H173" s="23">
        <f>IFERROR(G173*1000/F173,0)</f>
        <v/>
      </c>
      <c r="I173" s="7" t="n">
        <v>0</v>
      </c>
      <c r="J173" s="8">
        <f>IFERROR(I173*100/F173,0)</f>
        <v/>
      </c>
      <c r="K173" s="7" t="n">
        <v>0</v>
      </c>
      <c r="L173" s="9" t="n">
        <v>31.7</v>
      </c>
      <c r="M173" s="7" t="n">
        <v>9</v>
      </c>
      <c r="N173" s="23" t="n">
        <v>0</v>
      </c>
    </row>
    <row r="174">
      <c r="A174" s="6" t="inlineStr">
        <is>
          <t>company-facts</t>
        </is>
      </c>
      <c r="B174" s="6" t="inlineStr">
        <is>
          <t>2026-09-05</t>
        </is>
      </c>
      <c r="C174" s="6" t="inlineStr">
        <is>
          <t>13時</t>
        </is>
      </c>
      <c r="D174" s="6" t="inlineStr">
        <is>
          <t>C</t>
        </is>
      </c>
      <c r="E174" s="6" t="inlineStr">
        <is>
          <t>東京エレクトロンの年収1272万円、実は株価上昇の裏側 #shorts #企業分析 #年収 #転職</t>
        </is>
      </c>
      <c r="F174" s="7" t="n">
        <v>269</v>
      </c>
      <c r="G174" s="7" t="n">
        <v>0</v>
      </c>
      <c r="H174" s="23">
        <f>IFERROR(G174*1000/F174,0)</f>
        <v/>
      </c>
      <c r="I174" s="7" t="n">
        <v>0</v>
      </c>
      <c r="J174" s="8">
        <f>IFERROR(I174*100/F174,0)</f>
        <v/>
      </c>
      <c r="K174" s="7" t="n">
        <v>0</v>
      </c>
      <c r="L174" s="9" t="n">
        <v>38.1</v>
      </c>
      <c r="M174" s="7" t="n">
        <v>350</v>
      </c>
      <c r="N174" s="23" t="n">
        <v>6</v>
      </c>
    </row>
    <row r="175">
      <c r="A175" s="6" t="inlineStr">
        <is>
          <t>2ch-matome</t>
        </is>
      </c>
      <c r="B175" s="6" t="inlineStr">
        <is>
          <t>2026-09-07</t>
        </is>
      </c>
      <c r="C175" s="6" t="inlineStr">
        <is>
          <t>21時</t>
        </is>
      </c>
      <c r="D175" s="6" t="inlineStr">
        <is>
          <t>C</t>
        </is>
      </c>
      <c r="E175" s="6" t="inlineStr">
        <is>
          <t>ワイ、毎月大金をムダにしてるけど質問ある？ #shorts #2ch #面白いスレ</t>
        </is>
      </c>
      <c r="F175" s="7" t="n">
        <v>264</v>
      </c>
      <c r="G175" s="7" t="n">
        <v>0</v>
      </c>
      <c r="H175" s="23">
        <f>IFERROR(G175*1000/F175,0)</f>
        <v/>
      </c>
      <c r="I175" s="7" t="n">
        <v>1</v>
      </c>
      <c r="J175" s="8">
        <f>IFERROR(I175*100/F175,0)</f>
        <v/>
      </c>
      <c r="K175" s="7" t="n">
        <v>0</v>
      </c>
      <c r="L175" s="9" t="n">
        <v>43.6</v>
      </c>
      <c r="M175" s="7" t="n">
        <v>16</v>
      </c>
      <c r="N175" s="23" t="n">
        <v>0</v>
      </c>
    </row>
    <row r="176">
      <c r="A176" s="6" t="inlineStr">
        <is>
          <t>scp-lab</t>
        </is>
      </c>
      <c r="B176" s="6" t="inlineStr">
        <is>
          <t>2026-09-04</t>
        </is>
      </c>
      <c r="C176" s="6" t="inlineStr">
        <is>
          <t>19時</t>
        </is>
      </c>
      <c r="D176" s="6" t="inlineStr">
        <is>
          <t>C</t>
        </is>
      </c>
      <c r="E176" s="6" t="inlineStr">
        <is>
          <t>SCP記録係12名が最後に揃って書いた42字 #shorts #SCP #SCP解説</t>
        </is>
      </c>
      <c r="F176" s="7" t="n">
        <v>263</v>
      </c>
      <c r="G176" s="7" t="n">
        <v>0</v>
      </c>
      <c r="H176" s="23">
        <f>IFERROR(G176*1000/F176,0)</f>
        <v/>
      </c>
      <c r="I176" s="7" t="n">
        <v>0</v>
      </c>
      <c r="J176" s="8">
        <f>IFERROR(I176*100/F176,0)</f>
        <v/>
      </c>
      <c r="K176" s="7" t="n">
        <v>0</v>
      </c>
      <c r="L176" s="9" t="n">
        <v>43.2</v>
      </c>
      <c r="M176" s="7" t="n">
        <v>79</v>
      </c>
      <c r="N176" s="23" t="n">
        <v>0</v>
      </c>
    </row>
    <row r="177">
      <c r="A177" s="6" t="inlineStr">
        <is>
          <t>yokai-watch</t>
        </is>
      </c>
      <c r="B177" s="6" t="inlineStr">
        <is>
          <t>2026-08-21</t>
        </is>
      </c>
      <c r="C177" s="6" t="inlineStr">
        <is>
          <t>18時</t>
        </is>
      </c>
      <c r="D177" s="6" t="inlineStr">
        <is>
          <t>C</t>
        </is>
      </c>
      <c r="E177" s="6" t="inlineStr">
        <is>
          <t>雪女が3日黙れと言う…実は誰にも言えない恐怖があった【ショート】</t>
        </is>
      </c>
      <c r="F177" s="7" t="n">
        <v>261</v>
      </c>
      <c r="G177" s="7" t="n">
        <v>0</v>
      </c>
      <c r="H177" s="23">
        <f>IFERROR(G177*1000/F177,0)</f>
        <v/>
      </c>
      <c r="I177" s="7" t="n">
        <v>0</v>
      </c>
      <c r="J177" s="8">
        <f>IFERROR(I177*100/F177,0)</f>
        <v/>
      </c>
      <c r="K177" s="7" t="n">
        <v>0</v>
      </c>
      <c r="L177" s="9" t="n">
        <v>24.3</v>
      </c>
      <c r="M177" s="7" t="n">
        <v>194</v>
      </c>
      <c r="N177" s="23" t="n">
        <v>1.54639175257732</v>
      </c>
    </row>
    <row r="178">
      <c r="A178" s="6" t="inlineStr">
        <is>
          <t>scp-lab</t>
        </is>
      </c>
      <c r="B178" s="6" t="inlineStr">
        <is>
          <t>2026-08-25</t>
        </is>
      </c>
      <c r="C178" s="6" t="inlineStr">
        <is>
          <t>12時</t>
        </is>
      </c>
      <c r="D178" s="6" t="inlineStr">
        <is>
          <t>C</t>
        </is>
      </c>
      <c r="E178" s="6" t="inlineStr">
        <is>
          <t>太陽系の番人SCP-179が沈黙を恐れる理由【ショート】</t>
        </is>
      </c>
      <c r="F178" s="7" t="n">
        <v>255</v>
      </c>
      <c r="G178" s="7" t="n">
        <v>0</v>
      </c>
      <c r="H178" s="23">
        <f>IFERROR(G178*1000/F178,0)</f>
        <v/>
      </c>
      <c r="I178" s="7" t="n">
        <v>0</v>
      </c>
      <c r="J178" s="8">
        <f>IFERROR(I178*100/F178,0)</f>
        <v/>
      </c>
      <c r="K178" s="7" t="n">
        <v>0</v>
      </c>
      <c r="L178" s="9" t="n">
        <v>37.9</v>
      </c>
      <c r="M178" s="7" t="n">
        <v>404</v>
      </c>
      <c r="N178" s="23" t="n">
        <v>1.237623762376238</v>
      </c>
    </row>
    <row r="179">
      <c r="A179" s="6" t="inlineStr">
        <is>
          <t>pokemon-lab</t>
        </is>
      </c>
      <c r="B179" s="6" t="inlineStr">
        <is>
          <t>2026-09-04</t>
        </is>
      </c>
      <c r="C179" s="6" t="inlineStr">
        <is>
          <t>08時</t>
        </is>
      </c>
      <c r="D179" s="6" t="inlineStr">
        <is>
          <t>C</t>
        </is>
      </c>
      <c r="E179" s="6" t="inlineStr">
        <is>
          <t>ポケモンセンターが治療費0円で成り立つ理由がヤバい #shorts #ポケモン #ポケモン雑学</t>
        </is>
      </c>
      <c r="F179" s="7" t="n">
        <v>247</v>
      </c>
      <c r="G179" s="7" t="n">
        <v>0</v>
      </c>
      <c r="H179" s="23">
        <f>IFERROR(G179*1000/F179,0)</f>
        <v/>
      </c>
      <c r="I179" s="7" t="n">
        <v>0</v>
      </c>
      <c r="J179" s="8">
        <f>IFERROR(I179*100/F179,0)</f>
        <v/>
      </c>
      <c r="K179" s="7" t="n">
        <v>0</v>
      </c>
      <c r="L179" s="9" t="n">
        <v>46.7</v>
      </c>
      <c r="M179" s="7" t="n">
        <v>42</v>
      </c>
      <c r="N179" s="23" t="n">
        <v>0</v>
      </c>
    </row>
    <row r="180">
      <c r="A180" s="6" t="inlineStr">
        <is>
          <t>yokai-watch</t>
        </is>
      </c>
      <c r="B180" s="6" t="inlineStr">
        <is>
          <t>2026-09-08</t>
        </is>
      </c>
      <c r="C180" s="6" t="inlineStr">
        <is>
          <t>09時</t>
        </is>
      </c>
      <c r="D180" s="6" t="inlineStr">
        <is>
          <t>D</t>
        </is>
      </c>
      <c r="E180" s="6" t="inlineStr">
        <is>
          <t>鬼の角が「目印」になった千年前の変化 #shorts #妖怪 #都市伝説</t>
        </is>
      </c>
      <c r="F180" s="7" t="n">
        <v>230</v>
      </c>
      <c r="G180" s="7" t="n">
        <v>0</v>
      </c>
      <c r="H180" s="23">
        <f>IFERROR(G180*1000/F180,0)</f>
        <v/>
      </c>
      <c r="I180" s="7" t="n">
        <v>0</v>
      </c>
      <c r="J180" s="8">
        <f>IFERROR(I180*100/F180,0)</f>
        <v/>
      </c>
      <c r="K180" s="7" t="n">
        <v>0</v>
      </c>
      <c r="L180" s="9" t="n">
        <v>38.9</v>
      </c>
      <c r="M180" s="7" t="n">
        <v>157</v>
      </c>
      <c r="N180" s="23" t="n">
        <v>0.6369426751592357</v>
      </c>
    </row>
    <row r="181">
      <c r="A181" s="6" t="inlineStr">
        <is>
          <t>yokai-watch</t>
        </is>
      </c>
      <c r="B181" s="6" t="inlineStr">
        <is>
          <t>2026-09-03</t>
        </is>
      </c>
      <c r="C181" s="6" t="inlineStr">
        <is>
          <t>19時</t>
        </is>
      </c>
      <c r="D181" s="6" t="inlineStr">
        <is>
          <t>A</t>
        </is>
      </c>
      <c r="E181" s="6" t="inlineStr">
        <is>
          <t>小豆洗いの正体 127年の川音 #shorts #妖怪 #都市伝説</t>
        </is>
      </c>
      <c r="F181" s="7" t="n">
        <v>201</v>
      </c>
      <c r="G181" s="7" t="n">
        <v>0</v>
      </c>
      <c r="H181" s="23">
        <f>IFERROR(G181*1000/F181,0)</f>
        <v/>
      </c>
      <c r="I181" s="7" t="n">
        <v>0</v>
      </c>
      <c r="J181" s="8">
        <f>IFERROR(I181*100/F181,0)</f>
        <v/>
      </c>
      <c r="K181" s="7" t="n">
        <v>0</v>
      </c>
      <c r="L181" s="9" t="n">
        <v>44.6</v>
      </c>
      <c r="M181" s="7" t="n">
        <v>64</v>
      </c>
      <c r="N181" s="23" t="n">
        <v>1.5625</v>
      </c>
    </row>
    <row r="182">
      <c r="A182" s="6" t="inlineStr">
        <is>
          <t>2ch-matome</t>
        </is>
      </c>
      <c r="B182" s="6" t="inlineStr">
        <is>
          <t>2026-09-05</t>
        </is>
      </c>
      <c r="C182" s="6" t="inlineStr">
        <is>
          <t>21時</t>
        </is>
      </c>
      <c r="D182" s="6" t="inlineStr">
        <is>
          <t>C</t>
        </is>
      </c>
      <c r="E182" s="6" t="inlineStr">
        <is>
          <t>💦ワイ、同棲3年目やけど質問ある？💦 #shorts #2ch #面白いスレ</t>
        </is>
      </c>
      <c r="F182" s="7" t="n">
        <v>191</v>
      </c>
      <c r="G182" s="7" t="n">
        <v>0</v>
      </c>
      <c r="H182" s="23">
        <f>IFERROR(G182*1000/F182,0)</f>
        <v/>
      </c>
      <c r="I182" s="7" t="n">
        <v>0</v>
      </c>
      <c r="J182" s="8">
        <f>IFERROR(I182*100/F182,0)</f>
        <v/>
      </c>
      <c r="K182" s="7" t="n">
        <v>0</v>
      </c>
      <c r="L182" s="9" t="n">
        <v>27.9</v>
      </c>
      <c r="M182" s="7" t="n">
        <v>17</v>
      </c>
      <c r="N182" s="23" t="n">
        <v>0</v>
      </c>
    </row>
    <row r="183">
      <c r="A183" s="6" t="inlineStr">
        <is>
          <t>pokemon-lab</t>
        </is>
      </c>
      <c r="B183" s="6" t="inlineStr">
        <is>
          <t>2026-09-04</t>
        </is>
      </c>
      <c r="C183" s="6" t="inlineStr">
        <is>
          <t>17時</t>
        </is>
      </c>
      <c r="D183" s="6" t="inlineStr">
        <is>
          <t>D</t>
        </is>
      </c>
      <c r="E183" s="6" t="inlineStr">
        <is>
          <t>御三家の相性が三すくみになったワケ #shorts #ポケモン #ポケモン雑学</t>
        </is>
      </c>
      <c r="F183" s="7" t="n">
        <v>189</v>
      </c>
      <c r="G183" s="7" t="n">
        <v>0</v>
      </c>
      <c r="H183" s="23">
        <f>IFERROR(G183*1000/F183,0)</f>
        <v/>
      </c>
      <c r="I183" s="7" t="n">
        <v>0</v>
      </c>
      <c r="J183" s="8">
        <f>IFERROR(I183*100/F183,0)</f>
        <v/>
      </c>
      <c r="K183" s="7" t="n">
        <v>0</v>
      </c>
      <c r="L183" s="9" t="n">
        <v>39.2</v>
      </c>
      <c r="M183" s="7" t="n">
        <v>18</v>
      </c>
      <c r="N183" s="23" t="n">
        <v>0</v>
      </c>
    </row>
    <row r="184">
      <c r="A184" s="6" t="inlineStr">
        <is>
          <t>yokai-watch</t>
        </is>
      </c>
      <c r="B184" s="6" t="inlineStr">
        <is>
          <t>2026-09-04</t>
        </is>
      </c>
      <c r="C184" s="6" t="inlineStr">
        <is>
          <t>16時</t>
        </is>
      </c>
      <c r="D184" s="6" t="inlineStr">
        <is>
          <t>D</t>
        </is>
      </c>
      <c r="E184" s="6" t="inlineStr">
        <is>
          <t>雪夜に顔を隠す白粉婆…雪女とは違う恐ろしさ #shorts #妖怪 #都市伝説</t>
        </is>
      </c>
      <c r="F184" s="7" t="n">
        <v>189</v>
      </c>
      <c r="G184" s="7" t="n">
        <v>0</v>
      </c>
      <c r="H184" s="23">
        <f>IFERROR(G184*1000/F184,0)</f>
        <v/>
      </c>
      <c r="I184" s="7" t="n">
        <v>0</v>
      </c>
      <c r="J184" s="8">
        <f>IFERROR(I184*100/F184,0)</f>
        <v/>
      </c>
      <c r="K184" s="7" t="n">
        <v>0</v>
      </c>
      <c r="L184" s="9" t="n">
        <v>31.7</v>
      </c>
      <c r="M184" s="7" t="n">
        <v>180</v>
      </c>
      <c r="N184" s="23" t="n">
        <v>1.666666666666667</v>
      </c>
    </row>
    <row r="185">
      <c r="A185" s="6" t="inlineStr">
        <is>
          <t>pokemon-lab</t>
        </is>
      </c>
      <c r="B185" s="6" t="inlineStr">
        <is>
          <t>2026-08-28</t>
        </is>
      </c>
      <c r="C185" s="6" t="inlineStr">
        <is>
          <t>14時</t>
        </is>
      </c>
      <c r="D185" s="6" t="inlineStr">
        <is>
          <t>C</t>
        </is>
      </c>
      <c r="E185" s="6" t="inlineStr">
        <is>
          <t>1分ポケモン研究 #18：👀ポケモンタワーに隠された秘密、あなたが見落とす3つの違和感は？👀【ショート】</t>
        </is>
      </c>
      <c r="F185" s="7" t="n">
        <v>163</v>
      </c>
      <c r="G185" s="7" t="n">
        <v>0</v>
      </c>
      <c r="H185" s="23">
        <f>IFERROR(G185*1000/F185,0)</f>
        <v/>
      </c>
      <c r="I185" s="7" t="n">
        <v>0</v>
      </c>
      <c r="J185" s="8">
        <f>IFERROR(I185*100/F185,0)</f>
        <v/>
      </c>
      <c r="K185" s="7" t="n">
        <v>0</v>
      </c>
      <c r="L185" s="9" t="n">
        <v>21.6</v>
      </c>
      <c r="M185" s="7" t="n">
        <v>37</v>
      </c>
      <c r="N185" s="23" t="n">
        <v>0</v>
      </c>
    </row>
    <row r="186">
      <c r="A186" s="6" t="inlineStr">
        <is>
          <t>yokai-watch</t>
        </is>
      </c>
      <c r="B186" s="6" t="inlineStr">
        <is>
          <t>2026-08-28</t>
        </is>
      </c>
      <c r="C186" s="6" t="inlineStr">
        <is>
          <t>14時</t>
        </is>
      </c>
      <c r="D186" s="6" t="inlineStr">
        <is>
          <t>C</t>
        </is>
      </c>
      <c r="E186" s="6" t="inlineStr">
        <is>
          <t>1分妖怪ファイル #17：❓妖怪ウォッチの将門伝説に隠された秘密、あなたが知らない3つの異変？🔍【ショート】</t>
        </is>
      </c>
      <c r="F186" s="7" t="n">
        <v>154</v>
      </c>
      <c r="G186" s="7" t="n">
        <v>0</v>
      </c>
      <c r="H186" s="23">
        <f>IFERROR(G186*1000/F186,0)</f>
        <v/>
      </c>
      <c r="I186" s="7" t="n">
        <v>0</v>
      </c>
      <c r="J186" s="8">
        <f>IFERROR(I186*100/F186,0)</f>
        <v/>
      </c>
      <c r="K186" s="7" t="n">
        <v>0</v>
      </c>
      <c r="L186" s="9" t="n">
        <v>46.2</v>
      </c>
      <c r="M186" s="7" t="n">
        <v>81</v>
      </c>
      <c r="N186" s="23" t="n">
        <v>1.234567901234568</v>
      </c>
    </row>
    <row r="187">
      <c r="A187" s="6" t="inlineStr">
        <is>
          <t>scp-lab</t>
        </is>
      </c>
      <c r="B187" s="6" t="inlineStr">
        <is>
          <t>2026-09-08</t>
        </is>
      </c>
      <c r="C187" s="6" t="inlineStr">
        <is>
          <t>19時</t>
        </is>
      </c>
      <c r="D187" s="6" t="inlineStr">
        <is>
          <t>C</t>
        </is>
      </c>
      <c r="E187" s="6" t="inlineStr">
        <is>
          <t>7日間でずつ消えたエージェント名簿異常事件 #shorts #SCP #SCP解説</t>
        </is>
      </c>
      <c r="F187" s="7" t="n">
        <v>140</v>
      </c>
      <c r="G187" s="7" t="n">
        <v>0</v>
      </c>
      <c r="H187" s="23">
        <f>IFERROR(G187*1000/F187,0)</f>
        <v/>
      </c>
      <c r="I187" s="7" t="n">
        <v>0</v>
      </c>
      <c r="J187" s="8">
        <f>IFERROR(I187*100/F187,0)</f>
        <v/>
      </c>
      <c r="K187" s="7" t="n">
        <v>0</v>
      </c>
      <c r="L187" s="9" t="n">
        <v>38.4</v>
      </c>
      <c r="M187" s="7" t="n">
        <v>717</v>
      </c>
      <c r="N187" s="23" t="n">
        <v>0.5578800557880056</v>
      </c>
    </row>
    <row r="188">
      <c r="A188" s="6" t="inlineStr">
        <is>
          <t>yokai-watch</t>
        </is>
      </c>
      <c r="B188" s="6" t="inlineStr">
        <is>
          <t>2026-08-23</t>
        </is>
      </c>
      <c r="C188" s="6" t="inlineStr">
        <is>
          <t>12時</t>
        </is>
      </c>
      <c r="D188" s="6" t="inlineStr">
        <is>
          <t>C</t>
        </is>
      </c>
      <c r="E188" s="6" t="inlineStr">
        <is>
          <t>1分妖怪ファイル #11：🔍ぬらりひょんに隠された3つの秘密、あなたの知る総大将はいつ生まれた？【ショート】</t>
        </is>
      </c>
      <c r="F188" s="7" t="n">
        <v>139</v>
      </c>
      <c r="G188" s="7" t="n">
        <v>0</v>
      </c>
      <c r="H188" s="23">
        <f>IFERROR(G188*1000/F188,0)</f>
        <v/>
      </c>
      <c r="I188" s="7" t="n">
        <v>0</v>
      </c>
      <c r="J188" s="8">
        <f>IFERROR(I188*100/F188,0)</f>
        <v/>
      </c>
      <c r="K188" s="7" t="n">
        <v>0</v>
      </c>
      <c r="L188" s="9" t="n">
        <v>15.9</v>
      </c>
      <c r="M188" s="7" t="n">
        <v>140</v>
      </c>
      <c r="N188" s="23" t="n">
        <v>1.428571428571429</v>
      </c>
    </row>
    <row r="189">
      <c r="A189" s="6" t="inlineStr">
        <is>
          <t>yokai-watch</t>
        </is>
      </c>
      <c r="B189" s="6" t="inlineStr">
        <is>
          <t>2026-08-26</t>
        </is>
      </c>
      <c r="C189" s="6" t="inlineStr">
        <is>
          <t>19時</t>
        </is>
      </c>
      <c r="D189" s="6" t="inlineStr">
        <is>
          <t>A</t>
        </is>
      </c>
      <c r="E189" s="6" t="inlineStr">
        <is>
          <t>1分妖怪ファイル #14：❓コマさんとコマじろうの秘密、2体で狛犬になる本当の理由は？【ショート】</t>
        </is>
      </c>
      <c r="F189" s="7" t="n">
        <v>126</v>
      </c>
      <c r="G189" s="7" t="n">
        <v>0</v>
      </c>
      <c r="H189" s="23">
        <f>IFERROR(G189*1000/F189,0)</f>
        <v/>
      </c>
      <c r="I189" s="7" t="n">
        <v>0</v>
      </c>
      <c r="J189" s="8">
        <f>IFERROR(I189*100/F189,0)</f>
        <v/>
      </c>
      <c r="K189" s="7" t="n">
        <v>0</v>
      </c>
      <c r="L189" s="9" t="n">
        <v>21.3</v>
      </c>
      <c r="M189" s="7" t="n">
        <v>64</v>
      </c>
      <c r="N189" s="23" t="n">
        <v>3.125</v>
      </c>
    </row>
    <row r="190">
      <c r="A190" s="6" t="inlineStr">
        <is>
          <t>scp-lab</t>
        </is>
      </c>
      <c r="B190" s="6" t="inlineStr">
        <is>
          <t>2026-08-28</t>
        </is>
      </c>
      <c r="C190" s="6" t="inlineStr">
        <is>
          <t>19時</t>
        </is>
      </c>
      <c r="D190" s="6" t="inlineStr">
        <is>
          <t>C</t>
        </is>
      </c>
      <c r="E190" s="6" t="inlineStr">
        <is>
          <t>一口SCP #107：🫣SCP-4885「ジョン・ウィルクス・ブース」写真を見るあなたへ迫る恐怖【ショート】</t>
        </is>
      </c>
      <c r="F190" s="7" t="n">
        <v>118</v>
      </c>
      <c r="G190" s="7" t="n">
        <v>0</v>
      </c>
      <c r="H190" s="23">
        <f>IFERROR(G190*1000/F190,0)</f>
        <v/>
      </c>
      <c r="I190" s="7" t="n">
        <v>0</v>
      </c>
      <c r="J190" s="8">
        <f>IFERROR(I190*100/F190,0)</f>
        <v/>
      </c>
      <c r="K190" s="7" t="n">
        <v>0</v>
      </c>
      <c r="L190" s="9" t="n">
        <v>25.5</v>
      </c>
      <c r="M190" s="7" t="n">
        <v>621</v>
      </c>
      <c r="N190" s="23" t="n">
        <v>1.288244766505636</v>
      </c>
    </row>
    <row r="191">
      <c r="A191" s="6" t="inlineStr">
        <is>
          <t>scp-lab</t>
        </is>
      </c>
      <c r="B191" s="6" t="inlineStr">
        <is>
          <t>2026-08-23</t>
        </is>
      </c>
      <c r="C191" s="6" t="inlineStr">
        <is>
          <t>19時</t>
        </is>
      </c>
      <c r="D191" s="6" t="inlineStr">
        <is>
          <t>C</t>
        </is>
      </c>
      <c r="E191" s="6" t="inlineStr">
        <is>
          <t>一口SCP #97：💀SCP-3002「情報災害」あなたの記憶まで消す報告書の恐怖【ショート】</t>
        </is>
      </c>
      <c r="F191" s="7" t="n">
        <v>80</v>
      </c>
      <c r="G191" s="7" t="n">
        <v>0</v>
      </c>
      <c r="H191" s="23">
        <f>IFERROR(G191*1000/F191,0)</f>
        <v/>
      </c>
      <c r="I191" s="7" t="n">
        <v>0</v>
      </c>
      <c r="J191" s="8">
        <f>IFERROR(I191*100/F191,0)</f>
        <v/>
      </c>
      <c r="K191" s="7" t="n">
        <v>0</v>
      </c>
      <c r="L191" s="9" t="n">
        <v>18.7</v>
      </c>
      <c r="M191" s="7" t="n">
        <v>338</v>
      </c>
      <c r="N191" s="23" t="n">
        <v>0.591715976331361</v>
      </c>
    </row>
    <row r="192">
      <c r="A192" s="6" t="inlineStr">
        <is>
          <t>scp-lab</t>
        </is>
      </c>
      <c r="B192" s="6" t="inlineStr">
        <is>
          <t>2026-08-20</t>
        </is>
      </c>
      <c r="C192" s="6" t="inlineStr">
        <is>
          <t>19時</t>
        </is>
      </c>
      <c r="D192" s="6" t="inlineStr">
        <is>
          <t>C</t>
        </is>
      </c>
      <c r="E192" s="6" t="inlineStr">
        <is>
          <t>一口SCP #91：⚠️SCP-1523-JP「かまいたち」— 被害記録17件、傷だけ残った夜【ショート】</t>
        </is>
      </c>
      <c r="F192" s="7" t="n">
        <v>76</v>
      </c>
      <c r="G192" s="7" t="n">
        <v>0</v>
      </c>
      <c r="H192" s="23">
        <f>IFERROR(G192*1000/F192,0)</f>
        <v/>
      </c>
      <c r="I192" s="7" t="n">
        <v>0</v>
      </c>
      <c r="J192" s="8">
        <f>IFERROR(I192*100/F192,0)</f>
        <v/>
      </c>
      <c r="K192" s="7" t="n">
        <v>0</v>
      </c>
      <c r="L192" s="9" t="n">
        <v>21.4</v>
      </c>
      <c r="M192" s="7" t="n">
        <v>390</v>
      </c>
      <c r="N192" s="23" t="n">
        <v>1.794871794871795</v>
      </c>
    </row>
    <row r="193">
      <c r="A193" s="6" t="inlineStr">
        <is>
          <t>scp-lab</t>
        </is>
      </c>
      <c r="B193" s="6" t="inlineStr">
        <is>
          <t>2026-08-21</t>
        </is>
      </c>
      <c r="C193" s="6" t="inlineStr">
        <is>
          <t>19時</t>
        </is>
      </c>
      <c r="D193" s="6" t="inlineStr">
        <is>
          <t>C</t>
        </is>
      </c>
      <c r="E193" s="6" t="inlineStr">
        <is>
          <t>一口SCP #93：⚠️SCP-1689「黒いジャガイモ」— 摂取実験8件、帰還率0%だった【ショート】</t>
        </is>
      </c>
      <c r="F193" s="7" t="n">
        <v>62</v>
      </c>
      <c r="G193" s="7" t="n">
        <v>0</v>
      </c>
      <c r="H193" s="23">
        <f>IFERROR(G193*1000/F193,0)</f>
        <v/>
      </c>
      <c r="I193" s="7" t="n">
        <v>0</v>
      </c>
      <c r="J193" s="8">
        <f>IFERROR(I193*100/F193,0)</f>
        <v/>
      </c>
      <c r="K193" s="7" t="n">
        <v>0</v>
      </c>
      <c r="L193" s="9" t="n">
        <v>26.4</v>
      </c>
      <c r="M193" s="7" t="n">
        <v>258</v>
      </c>
      <c r="N193" s="23" t="n">
        <v>1.162790697674419</v>
      </c>
    </row>
    <row r="194">
      <c r="A194" s="6" t="inlineStr">
        <is>
          <t>company-facts</t>
        </is>
      </c>
      <c r="B194" s="6" t="inlineStr">
        <is>
          <t>2026-08-21</t>
        </is>
      </c>
      <c r="C194" s="6" t="inlineStr">
        <is>
          <t>14時</t>
        </is>
      </c>
      <c r="D194" s="6" t="inlineStr">
        <is>
          <t>C</t>
        </is>
      </c>
      <c r="E194" s="6" t="inlineStr">
        <is>
          <t>⚠️三菱重工の年収がヤバい 平均965万円、その裏側【ショート】</t>
        </is>
      </c>
      <c r="F194" s="7" t="n">
        <v>52</v>
      </c>
      <c r="G194" s="7" t="n">
        <v>0</v>
      </c>
      <c r="H194" s="23">
        <f>IFERROR(G194*1000/F194,0)</f>
        <v/>
      </c>
      <c r="I194" s="7" t="n">
        <v>0</v>
      </c>
      <c r="J194" s="8">
        <f>IFERROR(I194*100/F194,0)</f>
        <v/>
      </c>
      <c r="K194" s="7" t="n">
        <v>0</v>
      </c>
      <c r="L194" s="9" t="n">
        <v>48.2</v>
      </c>
      <c r="M194" s="7" t="n">
        <v>314</v>
      </c>
      <c r="N194" s="23" t="n">
        <v>5.095541401273886</v>
      </c>
    </row>
    <row r="195">
      <c r="A195" s="6" t="inlineStr">
        <is>
          <t>daily-science</t>
        </is>
      </c>
      <c r="B195" s="6" t="inlineStr">
        <is>
          <t>2026-08-30</t>
        </is>
      </c>
      <c r="C195" s="6" t="inlineStr">
        <is>
          <t>13時</t>
        </is>
      </c>
      <c r="D195" s="6" t="inlineStr">
        <is>
          <t>A</t>
        </is>
      </c>
      <c r="E195" s="6" t="inlineStr">
        <is>
          <t>1分科学 #101：🧪なぜ24時間テレビを2時間見ると寝つきが変わる？あなたの夢に残る映像の正体【ショート】</t>
        </is>
      </c>
      <c r="F195" s="7" t="n">
        <v>12</v>
      </c>
      <c r="G195" s="7" t="n">
        <v>0</v>
      </c>
      <c r="H195" s="23">
        <f>IFERROR(G195*1000/F195,0)</f>
        <v/>
      </c>
      <c r="I195" s="7" t="n">
        <v>2</v>
      </c>
      <c r="J195" s="8">
        <f>IFERROR(I195*100/F195,0)</f>
        <v/>
      </c>
      <c r="K195" s="7" t="n">
        <v>0</v>
      </c>
      <c r="L195" s="9" t="n">
        <v>28.4</v>
      </c>
      <c r="M195" s="7" t="n">
        <v>98</v>
      </c>
      <c r="N195" s="23" t="n">
        <v>1.020408163265306</v>
      </c>
    </row>
    <row r="196">
      <c r="A196" s="6" t="inlineStr">
        <is>
          <t>yokai-watch</t>
        </is>
      </c>
      <c r="B196" s="6" t="inlineStr">
        <is>
          <t>2026-09-06</t>
        </is>
      </c>
      <c r="C196" s="6" t="inlineStr">
        <is>
          <t>16時</t>
        </is>
      </c>
      <c r="D196" s="6" t="inlineStr">
        <is>
          <t>B</t>
        </is>
      </c>
      <c r="E196" s="6" t="inlineStr">
        <is>
          <t>なぜ妖怪は山を下り里に現れるようになったのか #shorts #妖怪 #都市伝説</t>
        </is>
      </c>
      <c r="F196" s="7" t="n">
        <v>2</v>
      </c>
      <c r="G196" s="7" t="n">
        <v>0</v>
      </c>
      <c r="H196" s="23">
        <f>IFERROR(G196*1000/F196,0)</f>
        <v/>
      </c>
      <c r="I196" s="7" t="n">
        <v>0</v>
      </c>
      <c r="J196" s="8">
        <f>IFERROR(I196*100/F196,0)</f>
        <v/>
      </c>
      <c r="K196" s="7" t="n">
        <v>0</v>
      </c>
      <c r="L196" s="9" t="n">
        <v>20.5</v>
      </c>
      <c r="M196" s="7" t="n">
        <v>36</v>
      </c>
      <c r="N196" s="23" t="n">
        <v>0</v>
      </c>
    </row>
    <row r="197"/>
    <row r="198">
      <c r="A198" s="2" t="inlineStr">
        <is>
          <t>※ 緑=登録/千再生 1.5 以上 / 赤=800再生以上あるのに登録 0 人。※ インプレッションとCTRは Shorts では大半が未計測のため参考値。</t>
        </is>
      </c>
    </row>
  </sheetData>
  <autoFilter ref="A4:N1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pane ySplit="3" topLeftCell="A4" activePane="bottomLeft" state="frozen"/>
      <selection pane="bottomLeft" activeCell="A1" sqref="A1"/>
    </sheetView>
  </sheetViews>
  <sheetFormatPr baseColWidth="8" defaultRowHeight="15"/>
  <cols>
    <col width="5" customWidth="1" min="1" max="1"/>
    <col width="9" customWidth="1" min="2" max="2"/>
    <col width="16" customWidth="1" min="3" max="3"/>
    <col width="50" customWidth="1" min="4" max="4"/>
    <col width="56" customWidth="1" min="5" max="5"/>
    <col width="20" customWidth="1" min="6" max="6"/>
    <col width="32" customWidth="1" min="7" max="7"/>
    <col width="12" customWidth="1" min="8" max="8"/>
  </cols>
  <sheetData>
    <row r="1">
      <c r="A1" s="1" t="inlineStr">
        <is>
          <t>改善アクション</t>
        </is>
      </c>
    </row>
    <row r="2"/>
    <row r="3">
      <c r="A3" s="5" t="inlineStr">
        <is>
          <t>#</t>
        </is>
      </c>
      <c r="B3" s="5" t="inlineStr">
        <is>
          <t>優先</t>
        </is>
      </c>
      <c r="C3" s="5" t="inlineStr">
        <is>
          <t>対象</t>
        </is>
      </c>
      <c r="D3" s="5" t="inlineStr">
        <is>
          <t>アクション</t>
        </is>
      </c>
      <c r="E3" s="5" t="inlineStr">
        <is>
          <t>根拠（実測）</t>
        </is>
      </c>
      <c r="F3" s="5" t="inlineStr">
        <is>
          <t>実施状況</t>
        </is>
      </c>
      <c r="G3" s="5" t="inlineStr">
        <is>
          <t>期待効果</t>
        </is>
      </c>
      <c r="H3" s="5" t="inlineStr">
        <is>
          <t>検証日</t>
        </is>
      </c>
    </row>
    <row r="4" ht="62" customHeight="1">
      <c r="A4" s="15" t="n">
        <v>1</v>
      </c>
      <c r="B4" s="25" t="inlineStr">
        <is>
          <t>最優先</t>
        </is>
      </c>
      <c r="C4" s="15" t="inlineStr">
        <is>
          <t>全9ch</t>
        </is>
      </c>
      <c r="D4" s="15" t="inlineStr">
        <is>
          <t>各チャンネルで youtube.com/verify から電話番号確認を通し、カスタムサムネイル権限を取得する。取得後に滞留分のサムネを貼り直す。</t>
        </is>
      </c>
      <c r="E4" s="15" t="inlineStr">
        <is>
          <t>バックエンドログ全体(84MB)を横断集計。サムネ設定成功=daily-science 21本のみ、失敗=他9ch 163本。全件 HTTP 403 'doesn't have permissions to upload and set custom video thumbnails'。</t>
        </is>
      </c>
      <c r="F4" s="20" t="inlineStr">
        <is>
          <t>★人の作業が必要（未実施）</t>
        </is>
      </c>
      <c r="G4" s="15" t="inlineStr">
        <is>
          <t>サムネ改善施策が初めて視聴者に届く。CTR経由で再生・登録の双方に効く。</t>
        </is>
      </c>
      <c r="H4" s="15" t="inlineStr">
        <is>
          <t>2026-09-21</t>
        </is>
      </c>
    </row>
    <row r="5" ht="62" customHeight="1">
      <c r="A5" s="15" t="n">
        <v>2</v>
      </c>
      <c r="B5" s="25" t="inlineStr">
        <is>
          <t>最優先</t>
        </is>
      </c>
      <c r="C5" s="15" t="inlineStr">
        <is>
          <t>GCP</t>
        </is>
      </c>
      <c r="D5" s="15" t="inlineStr">
        <is>
          <t>OAuth 同意画面を「テスト」→「本番」に公開し、そのあと全 ch を再認可する。</t>
        </is>
      </c>
      <c r="E5" s="15" t="inlineStr">
        <is>
          <t>テスト状態のリフレッシュトークンは 7 日で失効。09-01/09-07/09-09 と 3 回全 ch 同時に落ちている。</t>
        </is>
      </c>
      <c r="F5" s="20" t="inlineStr">
        <is>
          <t>★人の作業が必要（未実施）</t>
        </is>
      </c>
      <c r="G5" s="15" t="inlineStr">
        <is>
          <t>7日周期の全停止が止まる。前回の逸失は5日で約77,300再生・登録38人相当。</t>
        </is>
      </c>
      <c r="H5" s="15" t="inlineStr">
        <is>
          <t>2026-09-20</t>
        </is>
      </c>
    </row>
    <row r="6" ht="62" customHeight="1">
      <c r="A6" s="15" t="n">
        <v>3</v>
      </c>
      <c r="B6" s="25" t="inlineStr">
        <is>
          <t>高</t>
        </is>
      </c>
      <c r="C6" s="15" t="inlineStr">
        <is>
          <t>2ch-matome</t>
        </is>
      </c>
      <c r="D6" s="15" t="inlineStr">
        <is>
          <t>タイトルを「なぜ／本当の理由＋具体数字」の A 型に統一。大喜利・参加型・共感あるある型は先頭に置かない。下ネタ・面白ジャンルは維持（変えるのは型）。</t>
        </is>
      </c>
      <c r="E6" s="15" t="inlineStr">
        <is>
          <t>A型 0.36(n=16) に対し C型 0.07(n=16)・D型 0.09(n=10)。A型は他型の4〜5倍。再生上位5本（1,236〜1,815再生・維持率41.9〜81.4%）はすべて共感型で登録0人。</t>
        </is>
      </c>
      <c r="F6" s="19" t="inlineStr">
        <is>
          <t>✅ 本日適用（キュー再配置＋5件補充）</t>
        </is>
      </c>
      <c r="G6" s="15" t="inlineStr">
        <is>
          <t>当ch 登録/千 0.184 → 0.35 前後</t>
        </is>
      </c>
      <c r="H6" s="15" t="inlineStr">
        <is>
          <t>2026-09-21</t>
        </is>
      </c>
    </row>
    <row r="7" ht="62" customHeight="1">
      <c r="A7" s="15" t="n">
        <v>4</v>
      </c>
      <c r="B7" s="25" t="inlineStr">
        <is>
          <t>高</t>
        </is>
      </c>
      <c r="C7" s="15" t="inlineStr">
        <is>
          <t>yokai-watch</t>
        </is>
      </c>
      <c r="D7" s="15" t="inlineStr">
        <is>
          <t>タイトルから数字を完全に排除し、疑問フレームのみの B 型に統一する。</t>
        </is>
      </c>
      <c r="E7" s="15" t="inlineStr">
        <is>
          <t>B型 1.37(n=9) &gt; D型 0.53(n=8) &gt; C型 0.39(n=8) &gt; A型 0.00(n=5)。数字を入れた瞬間に登録がゼロになる。</t>
        </is>
      </c>
      <c r="F7" s="19" t="inlineStr">
        <is>
          <t>✅ 本日適用（型ルール設定・キュー全23件がB型）</t>
        </is>
      </c>
      <c r="G7" s="15" t="inlineStr">
        <is>
          <t>直近14日 1.202 の水準を維持・上積み</t>
        </is>
      </c>
      <c r="H7" s="15" t="inlineStr">
        <is>
          <t>2026-09-21</t>
        </is>
      </c>
    </row>
    <row r="8" ht="62" customHeight="1">
      <c r="A8" s="15" t="n">
        <v>5</v>
      </c>
      <c r="B8" s="25" t="inlineStr">
        <is>
          <t>高</t>
        </is>
      </c>
      <c r="C8" s="15" t="inlineStr">
        <is>
          <t>pokemon-lab</t>
        </is>
      </c>
      <c r="D8" s="15" t="inlineStr">
        <is>
          <t>数値提示（C型）を最優先に据え、「なぜ〜？」の疑問フレームは当chでは使わない。</t>
        </is>
      </c>
      <c r="E8" s="15" t="inlineStr">
        <is>
          <t>C型 0.53(n=9) &gt; B型 0.35(n=6) &gt; A型 0.17(n=16)。09-13 の『数値提示型 0.429 vs 対決型 0.191』とも整合し2回目の再現。</t>
        </is>
      </c>
      <c r="F8" s="19" t="inlineStr">
        <is>
          <t>✅ 本日適用（キューをC型先頭へ再配置）</t>
        </is>
      </c>
      <c r="G8" s="15" t="inlineStr">
        <is>
          <t>0.277 → 0.45 前後（直近14日は既に 0.467）</t>
        </is>
      </c>
      <c r="H8" s="15" t="inlineStr">
        <is>
          <t>2026-09-21</t>
        </is>
      </c>
    </row>
    <row r="9" ht="62" customHeight="1">
      <c r="A9" s="15" t="n">
        <v>6</v>
      </c>
      <c r="B9" s="25" t="inlineStr">
        <is>
          <t>高</t>
        </is>
      </c>
      <c r="C9" s="15" t="inlineStr">
        <is>
          <t>scp-lab</t>
        </is>
      </c>
      <c r="D9" s="15" t="inlineStr">
        <is>
          <t>SCP番号・具体数字と『なぜ〜のか』を併用する A 型を先頭に置く。</t>
        </is>
      </c>
      <c r="E9" s="15" t="inlineStr">
        <is>
          <t>A型 1.00(n=25) &gt; C型 0.49(n=26)。A型は2.0倍。</t>
        </is>
      </c>
      <c r="F9" s="19" t="inlineStr">
        <is>
          <t>✅ 本日適用（キューをA型先頭へ再配置）</t>
        </is>
      </c>
      <c r="G9" s="15" t="inlineStr">
        <is>
          <t>0.831 → 1.0 前後</t>
        </is>
      </c>
      <c r="H9" s="15" t="inlineStr">
        <is>
          <t>2026-09-21</t>
        </is>
      </c>
    </row>
    <row r="10" ht="62" customHeight="1">
      <c r="A10" s="15" t="n">
        <v>7</v>
      </c>
      <c r="B10" s="26" t="inlineStr">
        <is>
          <t>中</t>
        </is>
      </c>
      <c r="C10" s="15" t="inlineStr">
        <is>
          <t>2ch-matome</t>
        </is>
      </c>
      <c r="D10" s="15" t="inlineStr">
        <is>
          <t>投稿枠 9:00 / 21:00 を廃止し、7:30 / 12:15 / 17:30 へ移す。</t>
        </is>
      </c>
      <c r="E10" s="15" t="inlineStr">
        <is>
          <t>21時枠は n=7・3,430再生で登録0人、9時枠も n=3 で登録0人。7時 0.339 / 17時 0.279 / 12時 0.204。</t>
        </is>
      </c>
      <c r="F10" s="19" t="inlineStr">
        <is>
          <t>✅ 本日適用</t>
        </is>
      </c>
      <c r="G10" s="15" t="inlineStr">
        <is>
          <t>死に枠の除去で当chの登録/千が底上げされる</t>
        </is>
      </c>
      <c r="H10" s="15" t="inlineStr">
        <is>
          <t>2026-09-21</t>
        </is>
      </c>
    </row>
    <row r="11" ht="62" customHeight="1">
      <c r="A11" s="15" t="n">
        <v>8</v>
      </c>
      <c r="B11" s="26" t="inlineStr">
        <is>
          <t>中</t>
        </is>
      </c>
      <c r="C11" s="15" t="inlineStr">
        <is>
          <t>daily-science</t>
        </is>
      </c>
      <c r="D11" s="15" t="inlineStr">
        <is>
          <t>投稿枠 12:30 を 15:00 へ前倒しし、夕方ピークに寄せる。</t>
        </is>
      </c>
      <c r="E11" s="15" t="inlineStr">
        <is>
          <t>17時 1.236(n=14) vs 12時 0.180(n=6)。6.9倍の差。</t>
        </is>
      </c>
      <c r="F11" s="19" t="inlineStr">
        <is>
          <t>✅ 本日適用</t>
        </is>
      </c>
      <c r="G11" s="15" t="inlineStr">
        <is>
          <t>1枠あたりの登録変換が改善</t>
        </is>
      </c>
      <c r="H11" s="15" t="inlineStr">
        <is>
          <t>2026-09-21</t>
        </is>
      </c>
    </row>
    <row r="12" ht="62" customHeight="1">
      <c r="A12" s="15" t="n">
        <v>9</v>
      </c>
      <c r="B12" s="26" t="inlineStr">
        <is>
          <t>中</t>
        </is>
      </c>
      <c r="C12" s="15" t="inlineStr">
        <is>
          <t>scp-lab / company-facts / pokemon-lab</t>
        </is>
      </c>
      <c r="D12" s="15" t="inlineStr">
        <is>
          <t>朝枠（9:00 / 8:15 / 8:30）を廃止し、実測最良の 17 時前後へ集約する。</t>
        </is>
      </c>
      <c r="E12" s="15" t="inlineStr">
        <is>
          <t>scp-lab 9時 0.520 vs 17時 1.321 / company-facts 8時 0.235 vs 17時 0.824 / pokemon-lab 17時 0.369 が当ch最良。朝枠はいずれも下位かサンプル不足。</t>
        </is>
      </c>
      <c r="F12" s="19" t="inlineStr">
        <is>
          <t>✅ 本日適用</t>
        </is>
      </c>
      <c r="G12" s="15" t="inlineStr">
        <is>
          <t>3ch とも1枠あたりの登録変換が改善</t>
        </is>
      </c>
      <c r="H12" s="15" t="inlineStr">
        <is>
          <t>2026-09-21</t>
        </is>
      </c>
    </row>
    <row r="13" ht="62" customHeight="1">
      <c r="A13" s="15" t="n">
        <v>10</v>
      </c>
      <c r="B13" s="26" t="inlineStr">
        <is>
          <t>中</t>
        </is>
      </c>
      <c r="C13" s="15" t="inlineStr">
        <is>
          <t>全6ch</t>
        </is>
      </c>
      <c r="D13" s="15" t="inlineStr">
        <is>
          <t>テーマキューを 7 日分以上に維持する（本日 daily-science 21 / company-facts 28 / 2ch-matome 21）。</t>
        </is>
      </c>
      <c r="E13" s="15" t="inlineStr">
        <is>
          <t>枯渇すると型ルールの効かない即席テーマで埋まるため。</t>
        </is>
      </c>
      <c r="F13" s="19" t="inlineStr">
        <is>
          <t>✅ 本日適用（計14件補充）</t>
        </is>
      </c>
      <c r="G13" s="15" t="inlineStr">
        <is>
          <t>型ルールの適用率が保たれる</t>
        </is>
      </c>
      <c r="H13" s="15" t="inlineStr">
        <is>
          <t>継続</t>
        </is>
      </c>
    </row>
    <row r="14" ht="62" customHeight="1">
      <c r="A14" s="15" t="n">
        <v>11</v>
      </c>
      <c r="B14" s="26" t="inlineStr">
        <is>
          <t>保留</t>
        </is>
      </c>
      <c r="C14" s="15" t="inlineStr">
        <is>
          <t>2ch-matome / pokemon-lab</t>
        </is>
      </c>
      <c r="D14" s="15" t="inlineStr">
        <is>
          <t>autopilot.enabled を true に戻すかを判断する。</t>
        </is>
      </c>
      <c r="E14" s="15" t="inlineStr">
        <is>
          <t>現在 false。指揮者の分析の外側で人が落とした状態であり、本日のデータはこの値を動かす根拠にならない。さらにサムネ権限が未解決のまま生成を増やすと、自動生成サムネの動画が増えるだけになる。</t>
        </is>
      </c>
      <c r="F14" s="20" t="inlineStr">
        <is>
          <t>⏸ 保留（サムネ権限の解消後に再判断）</t>
        </is>
      </c>
      <c r="G14" s="15" t="inlineStr">
        <is>
          <t>—</t>
        </is>
      </c>
      <c r="H14" s="15" t="inlineStr">
        <is>
          <t>サムネ解消後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0"/>
  <sheetViews>
    <sheetView workbookViewId="0">
      <pane ySplit="72" topLeftCell="A73" activePane="bottomLeft" state="frozen"/>
      <selection pane="bottomLeft" activeCell="A1" sqref="A1"/>
    </sheetView>
  </sheetViews>
  <sheetFormatPr baseColWidth="8" defaultRowHeight="15"/>
  <cols>
    <col width="15" customWidth="1" min="1" max="1"/>
    <col width="16" customWidth="1" min="2" max="2"/>
    <col width="15" customWidth="1" min="3" max="3"/>
    <col width="15" customWidth="1" min="4" max="4"/>
    <col width="18" customWidth="1" min="5" max="5"/>
    <col width="16" customWidth="1" min="6" max="6"/>
    <col width="40" customWidth="1" min="7" max="7"/>
  </cols>
  <sheetData>
    <row r="1">
      <c r="A1" s="1" t="inlineStr">
        <is>
          <t>トレンド</t>
        </is>
      </c>
    </row>
    <row r="2"/>
    <row r="3">
      <c r="A3" s="3" t="inlineStr">
        <is>
          <t>■ 投稿時刻（JST）× 登録/千再生 — 公開 2026-08-15 以降・n&gt;=3 の枠のみ</t>
        </is>
      </c>
    </row>
    <row r="4">
      <c r="A4" s="5" t="inlineStr">
        <is>
          <t>チャンネル</t>
        </is>
      </c>
      <c r="B4" s="5" t="inlineStr">
        <is>
          <t>時刻(JST)</t>
        </is>
      </c>
      <c r="C4" s="5" t="inlineStr">
        <is>
          <t>本数</t>
        </is>
      </c>
      <c r="D4" s="5" t="inlineStr">
        <is>
          <t>総再生</t>
        </is>
      </c>
      <c r="E4" s="5" t="inlineStr">
        <is>
          <t>登録者</t>
        </is>
      </c>
      <c r="F4" s="5" t="inlineStr">
        <is>
          <t>登録/千再生</t>
        </is>
      </c>
      <c r="G4" s="5" t="inlineStr">
        <is>
          <t>判定</t>
        </is>
      </c>
    </row>
    <row r="5">
      <c r="A5" s="6" t="inlineStr">
        <is>
          <t>2ch-matome</t>
        </is>
      </c>
      <c r="B5" s="6" t="inlineStr">
        <is>
          <t>07時</t>
        </is>
      </c>
      <c r="C5" s="7" t="n">
        <v>4</v>
      </c>
      <c r="D5" s="7" t="n">
        <v>2948</v>
      </c>
      <c r="E5" s="7" t="n">
        <v>1</v>
      </c>
      <c r="F5" s="27">
        <f>IFERROR(E5*1000/D5,0)</f>
        <v/>
      </c>
      <c r="G5" s="6" t="inlineStr">
        <is>
          <t>当ch最良帯</t>
        </is>
      </c>
    </row>
    <row r="6">
      <c r="A6" s="6" t="inlineStr">
        <is>
          <t>2ch-matome</t>
        </is>
      </c>
      <c r="B6" s="6" t="inlineStr">
        <is>
          <t>17時</t>
        </is>
      </c>
      <c r="C6" s="7" t="n">
        <v>3</v>
      </c>
      <c r="D6" s="7" t="n">
        <v>3586</v>
      </c>
      <c r="E6" s="7" t="n">
        <v>1</v>
      </c>
      <c r="F6" s="8">
        <f>IFERROR(E6*1000/D6,0)</f>
        <v/>
      </c>
      <c r="G6" s="6" t="inlineStr"/>
    </row>
    <row r="7">
      <c r="A7" s="6" t="inlineStr">
        <is>
          <t>2ch-matome</t>
        </is>
      </c>
      <c r="B7" s="6" t="inlineStr">
        <is>
          <t>12時</t>
        </is>
      </c>
      <c r="C7" s="7" t="n">
        <v>10</v>
      </c>
      <c r="D7" s="7" t="n">
        <v>9818</v>
      </c>
      <c r="E7" s="7" t="n">
        <v>2</v>
      </c>
      <c r="F7" s="8">
        <f>IFERROR(E7*1000/D7,0)</f>
        <v/>
      </c>
      <c r="G7" s="6" t="inlineStr"/>
    </row>
    <row r="8">
      <c r="A8" s="6" t="inlineStr">
        <is>
          <t>2ch-matome</t>
        </is>
      </c>
      <c r="B8" s="6" t="inlineStr">
        <is>
          <t>18時</t>
        </is>
      </c>
      <c r="C8" s="7" t="n">
        <v>13</v>
      </c>
      <c r="D8" s="7" t="n">
        <v>12433</v>
      </c>
      <c r="E8" s="7" t="n">
        <v>2</v>
      </c>
      <c r="F8" s="8">
        <f>IFERROR(E8*1000/D8,0)</f>
        <v/>
      </c>
      <c r="G8" s="6" t="inlineStr"/>
    </row>
    <row r="9">
      <c r="A9" s="6" t="inlineStr">
        <is>
          <t>2ch-matome</t>
        </is>
      </c>
      <c r="B9" s="6" t="inlineStr">
        <is>
          <t>09時</t>
        </is>
      </c>
      <c r="C9" s="7" t="n">
        <v>3</v>
      </c>
      <c r="D9" s="7" t="n">
        <v>4150</v>
      </c>
      <c r="E9" s="7" t="n">
        <v>0</v>
      </c>
      <c r="F9" s="28">
        <f>IFERROR(E9*1000/D9,0)</f>
        <v/>
      </c>
      <c r="G9" s="6" t="inlineStr">
        <is>
          <t>登録ゼロ — 枠を潰した</t>
        </is>
      </c>
    </row>
    <row r="10">
      <c r="A10" s="6" t="inlineStr">
        <is>
          <t>2ch-matome</t>
        </is>
      </c>
      <c r="B10" s="6" t="inlineStr">
        <is>
          <t>19時</t>
        </is>
      </c>
      <c r="C10" s="7" t="n">
        <v>3</v>
      </c>
      <c r="D10" s="7" t="n">
        <v>1806</v>
      </c>
      <c r="E10" s="7" t="n">
        <v>0</v>
      </c>
      <c r="F10" s="28">
        <f>IFERROR(E10*1000/D10,0)</f>
        <v/>
      </c>
      <c r="G10" s="6" t="inlineStr">
        <is>
          <t>登録ゼロ — 枠を潰した</t>
        </is>
      </c>
    </row>
    <row r="11">
      <c r="A11" s="6" t="inlineStr">
        <is>
          <t>2ch-matome</t>
        </is>
      </c>
      <c r="B11" s="6" t="inlineStr">
        <is>
          <t>21時</t>
        </is>
      </c>
      <c r="C11" s="7" t="n">
        <v>7</v>
      </c>
      <c r="D11" s="7" t="n">
        <v>3427</v>
      </c>
      <c r="E11" s="7" t="n">
        <v>0</v>
      </c>
      <c r="F11" s="28">
        <f>IFERROR(E11*1000/D11,0)</f>
        <v/>
      </c>
      <c r="G11" s="6" t="inlineStr">
        <is>
          <t>登録ゼロ — 枠を潰した</t>
        </is>
      </c>
    </row>
    <row r="12">
      <c r="A12" s="6" t="inlineStr">
        <is>
          <t>company-facts</t>
        </is>
      </c>
      <c r="B12" s="6" t="inlineStr">
        <is>
          <t>17時</t>
        </is>
      </c>
      <c r="C12" s="7" t="n">
        <v>15</v>
      </c>
      <c r="D12" s="7" t="n">
        <v>25487</v>
      </c>
      <c r="E12" s="7" t="n">
        <v>21</v>
      </c>
      <c r="F12" s="27">
        <f>IFERROR(E12*1000/D12,0)</f>
        <v/>
      </c>
      <c r="G12" s="6" t="inlineStr">
        <is>
          <t>当ch最良帯</t>
        </is>
      </c>
    </row>
    <row r="13">
      <c r="A13" s="6" t="inlineStr">
        <is>
          <t>company-facts</t>
        </is>
      </c>
      <c r="B13" s="6" t="inlineStr">
        <is>
          <t>14時</t>
        </is>
      </c>
      <c r="C13" s="7" t="n">
        <v>7</v>
      </c>
      <c r="D13" s="7" t="n">
        <v>7922</v>
      </c>
      <c r="E13" s="7" t="n">
        <v>3</v>
      </c>
      <c r="F13" s="8">
        <f>IFERROR(E13*1000/D13,0)</f>
        <v/>
      </c>
      <c r="G13" s="6" t="inlineStr"/>
    </row>
    <row r="14">
      <c r="A14" s="6" t="inlineStr">
        <is>
          <t>company-facts</t>
        </is>
      </c>
      <c r="B14" s="6" t="inlineStr">
        <is>
          <t>19時</t>
        </is>
      </c>
      <c r="C14" s="7" t="n">
        <v>4</v>
      </c>
      <c r="D14" s="7" t="n">
        <v>3317</v>
      </c>
      <c r="E14" s="7" t="n">
        <v>1</v>
      </c>
      <c r="F14" s="8">
        <f>IFERROR(E14*1000/D14,0)</f>
        <v/>
      </c>
      <c r="G14" s="6" t="inlineStr"/>
    </row>
    <row r="15">
      <c r="A15" s="6" t="inlineStr">
        <is>
          <t>company-facts</t>
        </is>
      </c>
      <c r="B15" s="6" t="inlineStr">
        <is>
          <t>08時</t>
        </is>
      </c>
      <c r="C15" s="7" t="n">
        <v>4</v>
      </c>
      <c r="D15" s="7" t="n">
        <v>4254</v>
      </c>
      <c r="E15" s="7" t="n">
        <v>1</v>
      </c>
      <c r="F15" s="8">
        <f>IFERROR(E15*1000/D15,0)</f>
        <v/>
      </c>
      <c r="G15" s="6" t="inlineStr"/>
    </row>
    <row r="16">
      <c r="A16" s="6" t="inlineStr">
        <is>
          <t>company-facts</t>
        </is>
      </c>
      <c r="B16" s="6" t="inlineStr">
        <is>
          <t>13時</t>
        </is>
      </c>
      <c r="C16" s="7" t="n">
        <v>4</v>
      </c>
      <c r="D16" s="7" t="n">
        <v>3362</v>
      </c>
      <c r="E16" s="7" t="n">
        <v>0</v>
      </c>
      <c r="F16" s="28">
        <f>IFERROR(E16*1000/D16,0)</f>
        <v/>
      </c>
      <c r="G16" s="6" t="inlineStr">
        <is>
          <t>登録ゼロ — 枠を潰した</t>
        </is>
      </c>
    </row>
    <row r="17">
      <c r="A17" s="6" t="inlineStr">
        <is>
          <t>daily-science</t>
        </is>
      </c>
      <c r="B17" s="6" t="inlineStr">
        <is>
          <t>17時</t>
        </is>
      </c>
      <c r="C17" s="7" t="n">
        <v>14</v>
      </c>
      <c r="D17" s="7" t="n">
        <v>12135</v>
      </c>
      <c r="E17" s="7" t="n">
        <v>15</v>
      </c>
      <c r="F17" s="27">
        <f>IFERROR(E17*1000/D17,0)</f>
        <v/>
      </c>
      <c r="G17" s="6" t="inlineStr">
        <is>
          <t>当ch最良帯</t>
        </is>
      </c>
    </row>
    <row r="18">
      <c r="A18" s="6" t="inlineStr">
        <is>
          <t>daily-science</t>
        </is>
      </c>
      <c r="B18" s="6" t="inlineStr">
        <is>
          <t>13時</t>
        </is>
      </c>
      <c r="C18" s="7" t="n">
        <v>4</v>
      </c>
      <c r="D18" s="7" t="n">
        <v>3195</v>
      </c>
      <c r="E18" s="7" t="n">
        <v>1</v>
      </c>
      <c r="F18" s="8">
        <f>IFERROR(E18*1000/D18,0)</f>
        <v/>
      </c>
      <c r="G18" s="6" t="inlineStr"/>
    </row>
    <row r="19">
      <c r="A19" s="6" t="inlineStr">
        <is>
          <t>daily-science</t>
        </is>
      </c>
      <c r="B19" s="6" t="inlineStr">
        <is>
          <t>07時</t>
        </is>
      </c>
      <c r="C19" s="7" t="n">
        <v>3</v>
      </c>
      <c r="D19" s="7" t="n">
        <v>3198</v>
      </c>
      <c r="E19" s="7" t="n">
        <v>1</v>
      </c>
      <c r="F19" s="8">
        <f>IFERROR(E19*1000/D19,0)</f>
        <v/>
      </c>
      <c r="G19" s="6" t="inlineStr"/>
    </row>
    <row r="20">
      <c r="A20" s="6" t="inlineStr">
        <is>
          <t>daily-science</t>
        </is>
      </c>
      <c r="B20" s="6" t="inlineStr">
        <is>
          <t>18時</t>
        </is>
      </c>
      <c r="C20" s="7" t="n">
        <v>6</v>
      </c>
      <c r="D20" s="7" t="n">
        <v>4378</v>
      </c>
      <c r="E20" s="7" t="n">
        <v>1</v>
      </c>
      <c r="F20" s="8">
        <f>IFERROR(E20*1000/D20,0)</f>
        <v/>
      </c>
      <c r="G20" s="6" t="inlineStr"/>
    </row>
    <row r="21">
      <c r="A21" s="6" t="inlineStr">
        <is>
          <t>daily-science</t>
        </is>
      </c>
      <c r="B21" s="6" t="inlineStr">
        <is>
          <t>12時</t>
        </is>
      </c>
      <c r="C21" s="7" t="n">
        <v>6</v>
      </c>
      <c r="D21" s="7" t="n">
        <v>5552</v>
      </c>
      <c r="E21" s="7" t="n">
        <v>1</v>
      </c>
      <c r="F21" s="8">
        <f>IFERROR(E21*1000/D21,0)</f>
        <v/>
      </c>
      <c r="G21" s="6" t="inlineStr"/>
    </row>
    <row r="22">
      <c r="A22" s="6" t="inlineStr">
        <is>
          <t>pokemon-lab</t>
        </is>
      </c>
      <c r="B22" s="6" t="inlineStr">
        <is>
          <t>17時</t>
        </is>
      </c>
      <c r="C22" s="7" t="n">
        <v>12</v>
      </c>
      <c r="D22" s="7" t="n">
        <v>10843</v>
      </c>
      <c r="E22" s="7" t="n">
        <v>4</v>
      </c>
      <c r="F22" s="27">
        <f>IFERROR(E22*1000/D22,0)</f>
        <v/>
      </c>
      <c r="G22" s="6" t="inlineStr">
        <is>
          <t>当ch最良帯</t>
        </is>
      </c>
    </row>
    <row r="23">
      <c r="A23" s="6" t="inlineStr">
        <is>
          <t>pokemon-lab</t>
        </is>
      </c>
      <c r="B23" s="6" t="inlineStr">
        <is>
          <t>15時</t>
        </is>
      </c>
      <c r="C23" s="7" t="n">
        <v>4</v>
      </c>
      <c r="D23" s="7" t="n">
        <v>3379</v>
      </c>
      <c r="E23" s="7" t="n">
        <v>1</v>
      </c>
      <c r="F23" s="8">
        <f>IFERROR(E23*1000/D23,0)</f>
        <v/>
      </c>
      <c r="G23" s="6" t="inlineStr"/>
    </row>
    <row r="24">
      <c r="A24" s="6" t="inlineStr">
        <is>
          <t>pokemon-lab</t>
        </is>
      </c>
      <c r="B24" s="6" t="inlineStr">
        <is>
          <t>12時</t>
        </is>
      </c>
      <c r="C24" s="7" t="n">
        <v>4</v>
      </c>
      <c r="D24" s="7" t="n">
        <v>3715</v>
      </c>
      <c r="E24" s="7" t="n">
        <v>1</v>
      </c>
      <c r="F24" s="8">
        <f>IFERROR(E24*1000/D24,0)</f>
        <v/>
      </c>
      <c r="G24" s="6" t="inlineStr"/>
    </row>
    <row r="25">
      <c r="A25" s="6" t="inlineStr">
        <is>
          <t>pokemon-lab</t>
        </is>
      </c>
      <c r="B25" s="6" t="inlineStr">
        <is>
          <t>18時</t>
        </is>
      </c>
      <c r="C25" s="7" t="n">
        <v>4</v>
      </c>
      <c r="D25" s="7" t="n">
        <v>5487</v>
      </c>
      <c r="E25" s="7" t="n">
        <v>0</v>
      </c>
      <c r="F25" s="28">
        <f>IFERROR(E25*1000/D25,0)</f>
        <v/>
      </c>
      <c r="G25" s="6" t="inlineStr">
        <is>
          <t>登録ゼロ — 枠を潰した</t>
        </is>
      </c>
    </row>
    <row r="26">
      <c r="A26" s="6" t="inlineStr">
        <is>
          <t>scp-lab</t>
        </is>
      </c>
      <c r="B26" s="6" t="inlineStr">
        <is>
          <t>17時</t>
        </is>
      </c>
      <c r="C26" s="7" t="n">
        <v>4</v>
      </c>
      <c r="D26" s="7" t="n">
        <v>3784</v>
      </c>
      <c r="E26" s="7" t="n">
        <v>5</v>
      </c>
      <c r="F26" s="27">
        <f>IFERROR(E26*1000/D26,0)</f>
        <v/>
      </c>
      <c r="G26" s="6" t="inlineStr">
        <is>
          <t>当ch最良帯</t>
        </is>
      </c>
    </row>
    <row r="27">
      <c r="A27" s="6" t="inlineStr">
        <is>
          <t>scp-lab</t>
        </is>
      </c>
      <c r="B27" s="6" t="inlineStr">
        <is>
          <t>19時</t>
        </is>
      </c>
      <c r="C27" s="7" t="n">
        <v>17</v>
      </c>
      <c r="D27" s="7" t="n">
        <v>9212</v>
      </c>
      <c r="E27" s="7" t="n">
        <v>11</v>
      </c>
      <c r="F27" s="27">
        <f>IFERROR(E27*1000/D27,0)</f>
        <v/>
      </c>
      <c r="G27" s="6" t="inlineStr">
        <is>
          <t>当ch最良帯</t>
        </is>
      </c>
    </row>
    <row r="28">
      <c r="A28" s="6" t="inlineStr">
        <is>
          <t>scp-lab</t>
        </is>
      </c>
      <c r="B28" s="6" t="inlineStr">
        <is>
          <t>18時</t>
        </is>
      </c>
      <c r="C28" s="7" t="n">
        <v>3</v>
      </c>
      <c r="D28" s="7" t="n">
        <v>2762</v>
      </c>
      <c r="E28" s="7" t="n">
        <v>2</v>
      </c>
      <c r="F28" s="8">
        <f>IFERROR(E28*1000/D28,0)</f>
        <v/>
      </c>
      <c r="G28" s="6" t="inlineStr"/>
    </row>
    <row r="29">
      <c r="A29" s="6" t="inlineStr">
        <is>
          <t>scp-lab</t>
        </is>
      </c>
      <c r="B29" s="6" t="inlineStr">
        <is>
          <t>13時</t>
        </is>
      </c>
      <c r="C29" s="7" t="n">
        <v>9</v>
      </c>
      <c r="D29" s="7" t="n">
        <v>7028</v>
      </c>
      <c r="E29" s="7" t="n">
        <v>4</v>
      </c>
      <c r="F29" s="8">
        <f>IFERROR(E29*1000/D29,0)</f>
        <v/>
      </c>
      <c r="G29" s="6" t="inlineStr"/>
    </row>
    <row r="30">
      <c r="A30" s="6" t="inlineStr">
        <is>
          <t>scp-lab</t>
        </is>
      </c>
      <c r="B30" s="6" t="inlineStr">
        <is>
          <t>09時</t>
        </is>
      </c>
      <c r="C30" s="7" t="n">
        <v>8</v>
      </c>
      <c r="D30" s="7" t="n">
        <v>7691</v>
      </c>
      <c r="E30" s="7" t="n">
        <v>4</v>
      </c>
      <c r="F30" s="8">
        <f>IFERROR(E30*1000/D30,0)</f>
        <v/>
      </c>
      <c r="G30" s="6" t="inlineStr"/>
    </row>
    <row r="31">
      <c r="A31" s="6" t="inlineStr">
        <is>
          <t>yokai-watch</t>
        </is>
      </c>
      <c r="B31" s="6" t="inlineStr">
        <is>
          <t>16時</t>
        </is>
      </c>
      <c r="C31" s="7" t="n">
        <v>3</v>
      </c>
      <c r="D31" s="7" t="n">
        <v>1212</v>
      </c>
      <c r="E31" s="7" t="n">
        <v>2</v>
      </c>
      <c r="F31" s="27">
        <f>IFERROR(E31*1000/D31,0)</f>
        <v/>
      </c>
      <c r="G31" s="6" t="inlineStr">
        <is>
          <t>当ch最良帯</t>
        </is>
      </c>
    </row>
    <row r="32">
      <c r="A32" s="6" t="inlineStr">
        <is>
          <t>yokai-watch</t>
        </is>
      </c>
      <c r="B32" s="6" t="inlineStr">
        <is>
          <t>12時</t>
        </is>
      </c>
      <c r="C32" s="7" t="n">
        <v>11</v>
      </c>
      <c r="D32" s="7" t="n">
        <v>9055</v>
      </c>
      <c r="E32" s="7" t="n">
        <v>11</v>
      </c>
      <c r="F32" s="8">
        <f>IFERROR(E32*1000/D32,0)</f>
        <v/>
      </c>
      <c r="G32" s="6" t="inlineStr"/>
    </row>
    <row r="33">
      <c r="A33" s="6" t="inlineStr">
        <is>
          <t>yokai-watch</t>
        </is>
      </c>
      <c r="B33" s="6" t="inlineStr">
        <is>
          <t>18時</t>
        </is>
      </c>
      <c r="C33" s="7" t="n">
        <v>3</v>
      </c>
      <c r="D33" s="7" t="n">
        <v>1743</v>
      </c>
      <c r="E33" s="7" t="n">
        <v>1</v>
      </c>
      <c r="F33" s="8">
        <f>IFERROR(E33*1000/D33,0)</f>
        <v/>
      </c>
      <c r="G33" s="6" t="inlineStr"/>
    </row>
    <row r="34">
      <c r="A34" s="6" t="inlineStr">
        <is>
          <t>yokai-watch</t>
        </is>
      </c>
      <c r="B34" s="6" t="inlineStr">
        <is>
          <t>17時</t>
        </is>
      </c>
      <c r="C34" s="7" t="n">
        <v>4</v>
      </c>
      <c r="D34" s="7" t="n">
        <v>3513</v>
      </c>
      <c r="E34" s="7" t="n">
        <v>2</v>
      </c>
      <c r="F34" s="8">
        <f>IFERROR(E34*1000/D34,0)</f>
        <v/>
      </c>
      <c r="G34" s="6" t="inlineStr"/>
    </row>
    <row r="35">
      <c r="A35" s="6" t="inlineStr">
        <is>
          <t>yokai-watch</t>
        </is>
      </c>
      <c r="B35" s="6" t="inlineStr">
        <is>
          <t>19時</t>
        </is>
      </c>
      <c r="C35" s="7" t="n">
        <v>10</v>
      </c>
      <c r="D35" s="7" t="n">
        <v>9963</v>
      </c>
      <c r="E35" s="7" t="n">
        <v>5</v>
      </c>
      <c r="F35" s="8">
        <f>IFERROR(E35*1000/D35,0)</f>
        <v/>
      </c>
      <c r="G35" s="6" t="inlineStr"/>
    </row>
    <row r="36"/>
    <row r="37"/>
    <row r="38">
      <c r="A38" s="3" t="inlineStr">
        <is>
          <t>■ 日次トレンド（公開日ベース・moviepy 6ch 合計）</t>
        </is>
      </c>
    </row>
    <row r="39">
      <c r="A39" s="5" t="inlineStr">
        <is>
          <t>公開日</t>
        </is>
      </c>
      <c r="B39" s="5" t="inlineStr">
        <is>
          <t>本数</t>
        </is>
      </c>
      <c r="C39" s="5" t="inlineStr">
        <is>
          <t>総再生</t>
        </is>
      </c>
      <c r="D39" s="5" t="inlineStr">
        <is>
          <t>登録者</t>
        </is>
      </c>
      <c r="E39" s="5" t="inlineStr">
        <is>
          <t>登録/千再生</t>
        </is>
      </c>
      <c r="F39" s="5" t="inlineStr">
        <is>
          <t>備考</t>
        </is>
      </c>
    </row>
    <row r="40">
      <c r="A40" s="6" t="inlineStr">
        <is>
          <t>2026-08-15</t>
        </is>
      </c>
      <c r="B40" s="7" t="n">
        <v>7</v>
      </c>
      <c r="C40" s="7" t="n">
        <v>7921</v>
      </c>
      <c r="D40" s="7" t="n">
        <v>2</v>
      </c>
      <c r="E40" s="8">
        <f>IFERROR(D40*1000/C40,0)</f>
        <v/>
      </c>
      <c r="F40" s="6" t="inlineStr"/>
    </row>
    <row r="41">
      <c r="A41" s="6" t="inlineStr">
        <is>
          <t>2026-08-16</t>
        </is>
      </c>
      <c r="B41" s="7" t="n">
        <v>1</v>
      </c>
      <c r="C41" s="7" t="n">
        <v>1350</v>
      </c>
      <c r="D41" s="7" t="n">
        <v>0</v>
      </c>
      <c r="E41" s="8">
        <f>IFERROR(D41*1000/C41,0)</f>
        <v/>
      </c>
      <c r="F41" s="6" t="inlineStr"/>
    </row>
    <row r="42">
      <c r="A42" s="6" t="inlineStr">
        <is>
          <t>2026-08-17</t>
        </is>
      </c>
      <c r="B42" s="7" t="n">
        <v>13</v>
      </c>
      <c r="C42" s="7" t="n">
        <v>13115</v>
      </c>
      <c r="D42" s="7" t="n">
        <v>1</v>
      </c>
      <c r="E42" s="8">
        <f>IFERROR(D42*1000/C42,0)</f>
        <v/>
      </c>
      <c r="F42" s="6" t="inlineStr"/>
    </row>
    <row r="43">
      <c r="A43" s="6" t="inlineStr">
        <is>
          <t>2026-08-18</t>
        </is>
      </c>
      <c r="B43" s="7" t="n">
        <v>7</v>
      </c>
      <c r="C43" s="7" t="n">
        <v>7422</v>
      </c>
      <c r="D43" s="7" t="n">
        <v>3</v>
      </c>
      <c r="E43" s="8">
        <f>IFERROR(D43*1000/C43,0)</f>
        <v/>
      </c>
      <c r="F43" s="6" t="inlineStr"/>
    </row>
    <row r="44">
      <c r="A44" s="6" t="inlineStr">
        <is>
          <t>2026-08-19</t>
        </is>
      </c>
      <c r="B44" s="7" t="n">
        <v>7</v>
      </c>
      <c r="C44" s="7" t="n">
        <v>6177</v>
      </c>
      <c r="D44" s="7" t="n">
        <v>2</v>
      </c>
      <c r="E44" s="8">
        <f>IFERROR(D44*1000/C44,0)</f>
        <v/>
      </c>
      <c r="F44" s="6" t="inlineStr"/>
    </row>
    <row r="45">
      <c r="A45" s="6" t="inlineStr">
        <is>
          <t>2026-08-20</t>
        </is>
      </c>
      <c r="B45" s="7" t="n">
        <v>7</v>
      </c>
      <c r="C45" s="7" t="n">
        <v>9143</v>
      </c>
      <c r="D45" s="7" t="n">
        <v>6</v>
      </c>
      <c r="E45" s="8">
        <f>IFERROR(D45*1000/C45,0)</f>
        <v/>
      </c>
      <c r="F45" s="6" t="inlineStr"/>
    </row>
    <row r="46">
      <c r="A46" s="6" t="inlineStr">
        <is>
          <t>2026-08-21</t>
        </is>
      </c>
      <c r="B46" s="7" t="n">
        <v>13</v>
      </c>
      <c r="C46" s="7" t="n">
        <v>9616</v>
      </c>
      <c r="D46" s="7" t="n">
        <v>2</v>
      </c>
      <c r="E46" s="8">
        <f>IFERROR(D46*1000/C46,0)</f>
        <v/>
      </c>
      <c r="F46" s="6" t="inlineStr"/>
    </row>
    <row r="47">
      <c r="A47" s="6" t="inlineStr">
        <is>
          <t>2026-08-22</t>
        </is>
      </c>
      <c r="B47" s="7" t="n">
        <v>7</v>
      </c>
      <c r="C47" s="7" t="n">
        <v>5175</v>
      </c>
      <c r="D47" s="7" t="n">
        <v>1</v>
      </c>
      <c r="E47" s="8">
        <f>IFERROR(D47*1000/C47,0)</f>
        <v/>
      </c>
      <c r="F47" s="6" t="inlineStr"/>
    </row>
    <row r="48">
      <c r="A48" s="6" t="inlineStr">
        <is>
          <t>2026-08-23</t>
        </is>
      </c>
      <c r="B48" s="7" t="n">
        <v>6</v>
      </c>
      <c r="C48" s="7" t="n">
        <v>4750</v>
      </c>
      <c r="D48" s="7" t="n">
        <v>3</v>
      </c>
      <c r="E48" s="8">
        <f>IFERROR(D48*1000/C48,0)</f>
        <v/>
      </c>
      <c r="F48" s="6" t="inlineStr"/>
    </row>
    <row r="49">
      <c r="A49" s="6" t="inlineStr">
        <is>
          <t>2026-08-24</t>
        </is>
      </c>
      <c r="B49" s="7" t="n">
        <v>5</v>
      </c>
      <c r="C49" s="7" t="n">
        <v>5903</v>
      </c>
      <c r="D49" s="7" t="n">
        <v>2</v>
      </c>
      <c r="E49" s="8">
        <f>IFERROR(D49*1000/C49,0)</f>
        <v/>
      </c>
      <c r="F49" s="6" t="inlineStr"/>
    </row>
    <row r="50">
      <c r="A50" s="6" t="inlineStr">
        <is>
          <t>2026-08-25</t>
        </is>
      </c>
      <c r="B50" s="7" t="n">
        <v>8</v>
      </c>
      <c r="C50" s="7" t="n">
        <v>7084</v>
      </c>
      <c r="D50" s="7" t="n">
        <v>2</v>
      </c>
      <c r="E50" s="8">
        <f>IFERROR(D50*1000/C50,0)</f>
        <v/>
      </c>
      <c r="F50" s="6" t="inlineStr"/>
    </row>
    <row r="51">
      <c r="A51" s="6" t="inlineStr">
        <is>
          <t>2026-08-26</t>
        </is>
      </c>
      <c r="B51" s="7" t="n">
        <v>7</v>
      </c>
      <c r="C51" s="7" t="n">
        <v>8549</v>
      </c>
      <c r="D51" s="7" t="n">
        <v>9</v>
      </c>
      <c r="E51" s="8">
        <f>IFERROR(D51*1000/C51,0)</f>
        <v/>
      </c>
      <c r="F51" s="6" t="inlineStr"/>
    </row>
    <row r="52">
      <c r="A52" s="6" t="inlineStr">
        <is>
          <t>2026-08-27</t>
        </is>
      </c>
      <c r="B52" s="7" t="n">
        <v>12</v>
      </c>
      <c r="C52" s="7" t="n">
        <v>12959</v>
      </c>
      <c r="D52" s="7" t="n">
        <v>11</v>
      </c>
      <c r="E52" s="8">
        <f>IFERROR(D52*1000/C52,0)</f>
        <v/>
      </c>
      <c r="F52" s="6" t="inlineStr"/>
    </row>
    <row r="53">
      <c r="A53" s="6" t="inlineStr">
        <is>
          <t>2026-08-28</t>
        </is>
      </c>
      <c r="B53" s="7" t="n">
        <v>14</v>
      </c>
      <c r="C53" s="7" t="n">
        <v>12336</v>
      </c>
      <c r="D53" s="7" t="n">
        <v>6</v>
      </c>
      <c r="E53" s="8">
        <f>IFERROR(D53*1000/C53,0)</f>
        <v/>
      </c>
      <c r="F53" s="6" t="inlineStr"/>
    </row>
    <row r="54">
      <c r="A54" s="6" t="inlineStr">
        <is>
          <t>2026-08-29</t>
        </is>
      </c>
      <c r="B54" s="7" t="n">
        <v>7</v>
      </c>
      <c r="C54" s="7" t="n">
        <v>7430</v>
      </c>
      <c r="D54" s="7" t="n">
        <v>2</v>
      </c>
      <c r="E54" s="8">
        <f>IFERROR(D54*1000/C54,0)</f>
        <v/>
      </c>
      <c r="F54" s="6" t="inlineStr"/>
    </row>
    <row r="55">
      <c r="A55" s="6" t="inlineStr">
        <is>
          <t>2026-08-30</t>
        </is>
      </c>
      <c r="B55" s="7" t="n">
        <v>11</v>
      </c>
      <c r="C55" s="7" t="n">
        <v>8512</v>
      </c>
      <c r="D55" s="7" t="n">
        <v>4</v>
      </c>
      <c r="E55" s="8">
        <f>IFERROR(D55*1000/C55,0)</f>
        <v/>
      </c>
      <c r="F55" s="6" t="inlineStr"/>
    </row>
    <row r="56">
      <c r="A56" s="6" t="inlineStr">
        <is>
          <t>2026-08-31</t>
        </is>
      </c>
      <c r="B56" s="7" t="n">
        <v>7</v>
      </c>
      <c r="C56" s="7" t="n">
        <v>6300</v>
      </c>
      <c r="D56" s="7" t="n">
        <v>6</v>
      </c>
      <c r="E56" s="8">
        <f>IFERROR(D56*1000/C56,0)</f>
        <v/>
      </c>
      <c r="F56" s="6" t="inlineStr"/>
    </row>
    <row r="57">
      <c r="A57" s="6" t="inlineStr">
        <is>
          <t>2026-09-01</t>
        </is>
      </c>
      <c r="B57" s="7" t="n">
        <v>1</v>
      </c>
      <c r="C57" s="7" t="n">
        <v>940</v>
      </c>
      <c r="D57" s="7" t="n">
        <v>1</v>
      </c>
      <c r="E57" s="8">
        <f>IFERROR(D57*1000/C57,0)</f>
        <v/>
      </c>
      <c r="F57" s="6" t="inlineStr"/>
    </row>
    <row r="58">
      <c r="A58" s="6" t="inlineStr">
        <is>
          <t>2026-09-03</t>
        </is>
      </c>
      <c r="B58" s="7" t="n">
        <v>7</v>
      </c>
      <c r="C58" s="7" t="n">
        <v>6600</v>
      </c>
      <c r="D58" s="7" t="n">
        <v>7</v>
      </c>
      <c r="E58" s="8">
        <f>IFERROR(D58*1000/C58,0)</f>
        <v/>
      </c>
      <c r="F58" s="6" t="inlineStr"/>
    </row>
    <row r="59">
      <c r="A59" s="6" t="inlineStr">
        <is>
          <t>2026-09-04</t>
        </is>
      </c>
      <c r="B59" s="7" t="n">
        <v>17</v>
      </c>
      <c r="C59" s="7" t="n">
        <v>12970</v>
      </c>
      <c r="D59" s="7" t="n">
        <v>7</v>
      </c>
      <c r="E59" s="8">
        <f>IFERROR(D59*1000/C59,0)</f>
        <v/>
      </c>
      <c r="F59" s="6" t="inlineStr"/>
    </row>
    <row r="60">
      <c r="A60" s="6" t="inlineStr">
        <is>
          <t>2026-09-05</t>
        </is>
      </c>
      <c r="B60" s="7" t="n">
        <v>19</v>
      </c>
      <c r="C60" s="7" t="n">
        <v>16884</v>
      </c>
      <c r="D60" s="7" t="n">
        <v>11</v>
      </c>
      <c r="E60" s="8">
        <f>IFERROR(D60*1000/C60,0)</f>
        <v/>
      </c>
      <c r="F60" s="6" t="inlineStr"/>
    </row>
    <row r="61">
      <c r="A61" s="6" t="inlineStr">
        <is>
          <t>2026-09-06</t>
        </is>
      </c>
      <c r="B61" s="7" t="n">
        <v>18</v>
      </c>
      <c r="C61" s="7" t="n">
        <v>12454</v>
      </c>
      <c r="D61" s="7" t="n">
        <v>5</v>
      </c>
      <c r="E61" s="8">
        <f>IFERROR(D61*1000/C61,0)</f>
        <v/>
      </c>
      <c r="F61" s="6" t="inlineStr"/>
    </row>
    <row r="62">
      <c r="A62" s="6" t="inlineStr">
        <is>
          <t>2026-09-07</t>
        </is>
      </c>
      <c r="B62" s="7" t="n">
        <v>18</v>
      </c>
      <c r="C62" s="7" t="n">
        <v>12077</v>
      </c>
      <c r="D62" s="7" t="n">
        <v>8</v>
      </c>
      <c r="E62" s="8">
        <f>IFERROR(D62*1000/C62,0)</f>
        <v/>
      </c>
      <c r="F62" s="6" t="inlineStr"/>
    </row>
    <row r="63">
      <c r="A63" s="6" t="inlineStr">
        <is>
          <t>2026-09-08</t>
        </is>
      </c>
      <c r="B63" s="7" t="n">
        <v>14</v>
      </c>
      <c r="C63" s="7" t="n">
        <v>9067</v>
      </c>
      <c r="D63" s="7" t="n">
        <v>8</v>
      </c>
      <c r="E63" s="8">
        <f>IFERROR(D63*1000/C63,0)</f>
        <v/>
      </c>
      <c r="F63" s="6" t="inlineStr"/>
    </row>
    <row r="64">
      <c r="A64" s="6" t="inlineStr">
        <is>
          <t>2026-09-09</t>
        </is>
      </c>
      <c r="B64" s="7" t="n">
        <v>3</v>
      </c>
      <c r="C64" s="7" t="n">
        <v>3240</v>
      </c>
      <c r="D64" s="7" t="n">
        <v>4</v>
      </c>
      <c r="E64" s="8">
        <f>IFERROR(D64*1000/C64,0)</f>
        <v/>
      </c>
      <c r="F64" s="6" t="inlineStr">
        <is>
          <t>OAuth 失効期間</t>
        </is>
      </c>
    </row>
    <row r="65">
      <c r="A65" s="6" t="inlineStr">
        <is>
          <t>2026-09-13</t>
        </is>
      </c>
      <c r="B65" s="7" t="n">
        <v>6</v>
      </c>
      <c r="C65" s="7" t="n">
        <v>0</v>
      </c>
      <c r="D65" s="7" t="n">
        <v>0</v>
      </c>
      <c r="E65" s="8">
        <f>IFERROR(D65*1000/C65,0)</f>
        <v/>
      </c>
      <c r="F65" s="29" t="inlineStr">
        <is>
          <t>OAuth 復旧・公開再開（再生数は未計測）</t>
        </is>
      </c>
    </row>
    <row r="66">
      <c r="A66" s="6" t="inlineStr">
        <is>
          <t>2026-09-10</t>
        </is>
      </c>
      <c r="B66" s="7" t="n">
        <v>0</v>
      </c>
      <c r="C66" s="7" t="n">
        <v>0</v>
      </c>
      <c r="D66" s="7" t="n">
        <v>0</v>
      </c>
      <c r="E66" s="8" t="n">
        <v>0</v>
      </c>
      <c r="F66" s="29" t="inlineStr">
        <is>
          <t>OAuth 失効で公開ゼロ（生成は継続）</t>
        </is>
      </c>
    </row>
    <row r="67">
      <c r="A67" s="6" t="inlineStr">
        <is>
          <t>2026-09-11</t>
        </is>
      </c>
      <c r="B67" s="7" t="n">
        <v>0</v>
      </c>
      <c r="C67" s="7" t="n">
        <v>0</v>
      </c>
      <c r="D67" s="7" t="n">
        <v>0</v>
      </c>
      <c r="E67" s="8" t="n">
        <v>0</v>
      </c>
      <c r="F67" s="29" t="inlineStr">
        <is>
          <t>OAuth 失効で公開ゼロ（生成は継続）</t>
        </is>
      </c>
    </row>
    <row r="68">
      <c r="A68" s="6" t="inlineStr">
        <is>
          <t>2026-09-12</t>
        </is>
      </c>
      <c r="B68" s="7" t="n">
        <v>0</v>
      </c>
      <c r="C68" s="7" t="n">
        <v>0</v>
      </c>
      <c r="D68" s="7" t="n">
        <v>0</v>
      </c>
      <c r="E68" s="8" t="n">
        <v>0</v>
      </c>
      <c r="F68" s="29" t="inlineStr">
        <is>
          <t>OAuth 失効で公開ゼロ（生成は継続）</t>
        </is>
      </c>
    </row>
    <row r="69"/>
    <row r="70"/>
    <row r="71">
      <c r="A71" s="3" t="inlineStr">
        <is>
          <t>■ タイトル型 × 登録/千再生（公開 2026-08-01 以降・views&gt;=200・ch内対照）</t>
        </is>
      </c>
    </row>
    <row r="72">
      <c r="A72" s="5" t="inlineStr">
        <is>
          <t>チャンネル</t>
        </is>
      </c>
      <c r="B72" s="5" t="inlineStr">
        <is>
          <t>A 疑問+数字</t>
        </is>
      </c>
      <c r="C72" s="5" t="inlineStr">
        <is>
          <t>B 疑問のみ</t>
        </is>
      </c>
      <c r="D72" s="5" t="inlineStr">
        <is>
          <t>C 数字のみ</t>
        </is>
      </c>
      <c r="E72" s="5" t="inlineStr">
        <is>
          <t>D 共感/あるある</t>
        </is>
      </c>
      <c r="F72" s="5" t="inlineStr">
        <is>
          <t>最良型</t>
        </is>
      </c>
      <c r="G72" s="5" t="inlineStr">
        <is>
          <t>本日の対応</t>
        </is>
      </c>
    </row>
    <row r="73">
      <c r="A73" s="15" t="inlineStr">
        <is>
          <t>scp-lab</t>
        </is>
      </c>
      <c r="B73" s="15" t="inlineStr">
        <is>
          <t>1.00 (n=25)</t>
        </is>
      </c>
      <c r="C73" s="15" t="inlineStr">
        <is>
          <t>—</t>
        </is>
      </c>
      <c r="D73" s="15" t="inlineStr">
        <is>
          <t>0.49 (n=26)</t>
        </is>
      </c>
      <c r="E73" s="15" t="inlineStr">
        <is>
          <t>—</t>
        </is>
      </c>
      <c r="F73" s="30" t="inlineStr">
        <is>
          <t>A</t>
        </is>
      </c>
      <c r="G73" s="15" t="inlineStr">
        <is>
          <t>A型を先頭へ再配置</t>
        </is>
      </c>
    </row>
    <row r="74">
      <c r="A74" s="15" t="inlineStr">
        <is>
          <t>yokai-watch</t>
        </is>
      </c>
      <c r="B74" s="15" t="inlineStr">
        <is>
          <t>0.00 (n=5)</t>
        </is>
      </c>
      <c r="C74" s="15" t="inlineStr">
        <is>
          <t>1.37 (n=9)</t>
        </is>
      </c>
      <c r="D74" s="15" t="inlineStr">
        <is>
          <t>0.39 (n=8)</t>
        </is>
      </c>
      <c r="E74" s="15" t="inlineStr">
        <is>
          <t>0.53 (n=8)</t>
        </is>
      </c>
      <c r="F74" s="30" t="inlineStr">
        <is>
          <t>B</t>
        </is>
      </c>
      <c r="G74" s="15" t="inlineStr">
        <is>
          <t>タイトルから数字を排除</t>
        </is>
      </c>
    </row>
    <row r="75">
      <c r="A75" s="15" t="inlineStr">
        <is>
          <t>daily-science</t>
        </is>
      </c>
      <c r="B75" s="15" t="inlineStr">
        <is>
          <t>0.59 (n=30)</t>
        </is>
      </c>
      <c r="C75" s="15" t="inlineStr">
        <is>
          <t>—</t>
        </is>
      </c>
      <c r="D75" s="15" t="inlineStr">
        <is>
          <t>0.00 (n=3)</t>
        </is>
      </c>
      <c r="E75" s="15" t="inlineStr">
        <is>
          <t>—</t>
        </is>
      </c>
      <c r="F75" s="30" t="inlineStr">
        <is>
          <t>A</t>
        </is>
      </c>
      <c r="G75" s="15" t="inlineStr">
        <is>
          <t>現行が最良のため維持</t>
        </is>
      </c>
    </row>
    <row r="76">
      <c r="A76" s="15" t="inlineStr">
        <is>
          <t>company-facts</t>
        </is>
      </c>
      <c r="B76" s="15" t="inlineStr">
        <is>
          <t>0.55 (n=4)</t>
        </is>
      </c>
      <c r="C76" s="15" t="inlineStr">
        <is>
          <t>—</t>
        </is>
      </c>
      <c r="D76" s="15" t="inlineStr">
        <is>
          <t>0.66 (n=31)</t>
        </is>
      </c>
      <c r="E76" s="15" t="inlineStr">
        <is>
          <t>—</t>
        </is>
      </c>
      <c r="F76" s="30" t="inlineStr">
        <is>
          <t>C</t>
        </is>
      </c>
      <c r="G76" s="15" t="inlineStr">
        <is>
          <t>現行が最良のため維持</t>
        </is>
      </c>
    </row>
    <row r="77">
      <c r="A77" s="15" t="inlineStr">
        <is>
          <t>pokemon-lab</t>
        </is>
      </c>
      <c r="B77" s="15" t="inlineStr">
        <is>
          <t>0.17 (n=16)</t>
        </is>
      </c>
      <c r="C77" s="15" t="inlineStr">
        <is>
          <t>0.35 (n=6)</t>
        </is>
      </c>
      <c r="D77" s="15" t="inlineStr">
        <is>
          <t>0.53 (n=9)</t>
        </is>
      </c>
      <c r="E77" s="15" t="inlineStr">
        <is>
          <t>—</t>
        </is>
      </c>
      <c r="F77" s="30" t="inlineStr">
        <is>
          <t>C</t>
        </is>
      </c>
      <c r="G77" s="15" t="inlineStr">
        <is>
          <t>C型を先頭へ・疑問フレーム不使用</t>
        </is>
      </c>
    </row>
    <row r="78">
      <c r="A78" s="15" t="inlineStr">
        <is>
          <t>2ch-matome</t>
        </is>
      </c>
      <c r="B78" s="15" t="inlineStr">
        <is>
          <t>0.36 (n=16)</t>
        </is>
      </c>
      <c r="C78" s="15" t="inlineStr">
        <is>
          <t>—</t>
        </is>
      </c>
      <c r="D78" s="15" t="inlineStr">
        <is>
          <t>0.07 (n=16)</t>
        </is>
      </c>
      <c r="E78" s="15" t="inlineStr">
        <is>
          <t>0.09 (n=10)</t>
        </is>
      </c>
      <c r="F78" s="30" t="inlineStr">
        <is>
          <t>A</t>
        </is>
      </c>
      <c r="G78" s="15" t="inlineStr">
        <is>
          <t>A型を先頭へ・5件補充</t>
        </is>
      </c>
    </row>
    <row r="79"/>
    <row r="80" ht="32" customHeight="1">
      <c r="A80" s="21" t="inlineStr">
        <is>
          <t>※ 型の効き方はチャンネルごとに逆向きになる。yokai-watch は数字を入れると登録が消え、pokemon-lab は逆に数字だけが効く。全ch共通の型ルールは存在しない。</t>
        </is>
      </c>
    </row>
  </sheetData>
  <mergeCells count="1">
    <mergeCell ref="A80:G8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2026-09-14T01:16:44Z</dcterms:created>
  <dcterms:modified xmlns:dcterms="http://purl.org/dc/terms/" xmlns:xsi="http://www.w3.org/2001/XMLSchema-instance" xsi:type="dcterms:W3CDTF">2026-09-14T01:16:45Z</dcterms:modified>
</cp:coreProperties>
</file>