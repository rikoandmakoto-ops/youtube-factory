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動画別パフォーマンス!$A$4:$M$290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<sst xmlns="http://schemas.openxmlformats.org/spreadsheetml/2006/main" count="1419" uniqueCount="522">
  <si>
    <r>
      <rPr>
        <b val="true"/>
        <sz val="14"/>
        <color rgb="FFFFFFFF"/>
        <rFont val="Arial"/>
        <family val="0"/>
        <charset val="1"/>
      </rPr>
      <t xml:space="preserve">YouTube Factory </t>
    </r>
    <r>
      <rPr>
        <b val="true"/>
        <sz val="14"/>
        <color rgb="FFFFFFFF"/>
        <rFont val="Noto Sans CJK SC"/>
        <family val="2"/>
      </rPr>
      <t xml:space="preserve">指揮者レポート  </t>
    </r>
    <r>
      <rPr>
        <b val="true"/>
        <sz val="14"/>
        <color rgb="FFFFFFFF"/>
        <rFont val="Arial"/>
        <family val="0"/>
        <charset val="1"/>
      </rPr>
      <t xml:space="preserve">2026-09-08</t>
    </r>
  </si>
  <si>
    <r>
      <rPr>
        <sz val="9"/>
        <color rgb="FF666666"/>
        <rFont val="Noto Sans CJK SC"/>
        <family val="2"/>
      </rPr>
      <t xml:space="preserve">分析対象</t>
    </r>
    <r>
      <rPr>
        <sz val="9"/>
        <color rgb="FF666666"/>
        <rFont val="Arial"/>
        <family val="0"/>
        <charset val="1"/>
      </rPr>
      <t xml:space="preserve">: video_metrics </t>
    </r>
    <r>
      <rPr>
        <sz val="9"/>
        <color rgb="FF666666"/>
        <rFont val="Noto Sans CJK SC"/>
        <family val="2"/>
      </rPr>
      <t xml:space="preserve">スナップショット </t>
    </r>
    <r>
      <rPr>
        <sz val="9"/>
        <color rgb="FF666666"/>
        <rFont val="Arial"/>
        <family val="0"/>
        <charset val="1"/>
      </rPr>
      <t xml:space="preserve">2026-09-07</t>
    </r>
    <r>
      <rPr>
        <sz val="9"/>
        <color rgb="FF666666"/>
        <rFont val="Noto Sans CJK SC"/>
        <family val="2"/>
      </rPr>
      <t xml:space="preserve">（</t>
    </r>
    <r>
      <rPr>
        <sz val="9"/>
        <color rgb="FF666666"/>
        <rFont val="Arial"/>
        <family val="0"/>
        <charset val="1"/>
      </rPr>
      <t xml:space="preserve">backend </t>
    </r>
    <r>
      <rPr>
        <sz val="9"/>
        <color rgb="FF666666"/>
        <rFont val="Noto Sans CJK SC"/>
        <family val="2"/>
      </rPr>
      <t xml:space="preserve">が </t>
    </r>
    <r>
      <rPr>
        <sz val="9"/>
        <color rgb="FF666666"/>
        <rFont val="Arial"/>
        <family val="0"/>
        <charset val="1"/>
      </rPr>
      <t xml:space="preserve">09-07 23:13 JST </t>
    </r>
    <r>
      <rPr>
        <sz val="9"/>
        <color rgb="FF666666"/>
        <rFont val="Noto Sans CJK SC"/>
        <family val="2"/>
      </rPr>
      <t xml:space="preserve">に格納）</t>
    </r>
    <r>
      <rPr>
        <sz val="9"/>
        <color rgb="FF666666"/>
        <rFont val="Arial"/>
        <family val="0"/>
        <charset val="1"/>
      </rPr>
      <t xml:space="preserve">/ moviepy</t>
    </r>
    <r>
      <rPr>
        <sz val="9"/>
        <color rgb="FF666666"/>
        <rFont val="Noto Sans CJK SC"/>
        <family val="2"/>
      </rPr>
      <t xml:space="preserve">系</t>
    </r>
    <r>
      <rPr>
        <sz val="9"/>
        <color rgb="FF666666"/>
        <rFont val="Arial"/>
        <family val="0"/>
        <charset val="1"/>
      </rPr>
      <t xml:space="preserve">6ch / </t>
    </r>
    <r>
      <rPr>
        <sz val="9"/>
        <color rgb="FF666666"/>
        <rFont val="Noto Sans CJK SC"/>
        <family val="2"/>
      </rPr>
      <t xml:space="preserve">判断軸 </t>
    </r>
    <r>
      <rPr>
        <sz val="9"/>
        <color rgb="FF666666"/>
        <rFont val="Arial"/>
        <family val="0"/>
        <charset val="1"/>
      </rPr>
      <t xml:space="preserve">= </t>
    </r>
    <r>
      <rPr>
        <sz val="9"/>
        <color rgb="FF666666"/>
        <rFont val="Noto Sans CJK SC"/>
        <family val="2"/>
      </rPr>
      <t xml:space="preserve">登録者</t>
    </r>
    <r>
      <rPr>
        <sz val="9"/>
        <color rgb="FF666666"/>
        <rFont val="Arial"/>
        <family val="0"/>
        <charset val="1"/>
      </rPr>
      <t xml:space="preserve">/1000</t>
    </r>
    <r>
      <rPr>
        <sz val="9"/>
        <color rgb="FF666666"/>
        <rFont val="Noto Sans CJK SC"/>
        <family val="2"/>
      </rPr>
      <t xml:space="preserve">再生</t>
    </r>
  </si>
  <si>
    <r>
      <rPr>
        <b val="true"/>
        <sz val="10"/>
        <rFont val="Noto Sans CJK SC"/>
        <family val="2"/>
      </rPr>
      <t xml:space="preserve">■ 本日の結論（</t>
    </r>
    <r>
      <rPr>
        <b val="true"/>
        <sz val="10"/>
        <rFont val="Arial"/>
        <family val="0"/>
        <charset val="1"/>
      </rPr>
      <t xml:space="preserve">3</t>
    </r>
    <r>
      <rPr>
        <b val="true"/>
        <sz val="10"/>
        <rFont val="Noto Sans CJK SC"/>
        <family val="2"/>
      </rPr>
      <t xml:space="preserve">行）</t>
    </r>
  </si>
  <si>
    <r>
      <rPr>
        <sz val="10"/>
        <rFont val="Arial"/>
        <family val="0"/>
        <charset val="1"/>
      </rPr>
      <t xml:space="preserve">1. </t>
    </r>
    <r>
      <rPr>
        <sz val="10"/>
        <rFont val="Noto Sans CJK SC"/>
        <family val="2"/>
      </rPr>
      <t xml:space="preserve">維持率は登録者をまったく説明しない。維持率</t>
    </r>
    <r>
      <rPr>
        <sz val="10"/>
        <rFont val="Arial"/>
        <family val="0"/>
        <charset val="1"/>
      </rPr>
      <t xml:space="preserve">50%</t>
    </r>
    <r>
      <rPr>
        <sz val="10"/>
        <rFont val="Noto Sans CJK SC"/>
        <family val="2"/>
      </rPr>
      <t xml:space="preserve">以上</t>
    </r>
    <r>
      <rPr>
        <sz val="10"/>
        <rFont val="Arial"/>
        <family val="0"/>
        <charset val="1"/>
      </rPr>
      <t xml:space="preserve">/</t>
    </r>
    <r>
      <rPr>
        <sz val="10"/>
        <rFont val="Noto Sans CJK SC"/>
        <family val="2"/>
      </rPr>
      <t xml:space="preserve">未満で 登録</t>
    </r>
    <r>
      <rPr>
        <sz val="10"/>
        <rFont val="Arial"/>
        <family val="0"/>
        <charset val="1"/>
      </rPr>
      <t xml:space="preserve">/</t>
    </r>
    <r>
      <rPr>
        <sz val="10"/>
        <rFont val="Noto Sans CJK SC"/>
        <family val="2"/>
      </rPr>
      <t xml:space="preserve">千再生 は </t>
    </r>
    <r>
      <rPr>
        <sz val="10"/>
        <rFont val="Arial"/>
        <family val="0"/>
        <charset val="1"/>
      </rPr>
      <t xml:space="preserve">0.47 vs 0.47 </t>
    </r>
    <r>
      <rPr>
        <sz val="10"/>
        <rFont val="Noto Sans CJK SC"/>
        <family val="2"/>
      </rPr>
      <t xml:space="preserve">と完全に無差別。説明するのは高評価率だけで、</t>
    </r>
    <r>
      <rPr>
        <sz val="10"/>
        <rFont val="Arial"/>
        <family val="0"/>
        <charset val="1"/>
      </rPr>
      <t xml:space="preserve">4</t>
    </r>
    <r>
      <rPr>
        <sz val="10"/>
        <rFont val="Noto Sans CJK SC"/>
        <family val="2"/>
      </rPr>
      <t xml:space="preserve">分位の最上位は最下位の </t>
    </r>
    <r>
      <rPr>
        <sz val="10"/>
        <rFont val="Arial"/>
        <family val="0"/>
        <charset val="1"/>
      </rPr>
      <t xml:space="preserve">3.9</t>
    </r>
    <r>
      <rPr>
        <sz val="10"/>
        <rFont val="Noto Sans CJK SC"/>
        <family val="2"/>
      </rPr>
      <t xml:space="preserve">倍（</t>
    </r>
    <r>
      <rPr>
        <sz val="10"/>
        <rFont val="Arial"/>
        <family val="0"/>
        <charset val="1"/>
      </rPr>
      <t xml:space="preserve">0.85 vs 0.22</t>
    </r>
    <r>
      <rPr>
        <sz val="10"/>
        <rFont val="Noto Sans CJK SC"/>
        <family val="2"/>
      </rPr>
      <t xml:space="preserve">）。</t>
    </r>
  </si>
  <si>
    <r>
      <rPr>
        <sz val="10"/>
        <rFont val="Arial"/>
        <family val="0"/>
        <charset val="1"/>
      </rPr>
      <t xml:space="preserve">2. </t>
    </r>
    <r>
      <rPr>
        <sz val="10"/>
        <rFont val="Noto Sans CJK SC"/>
        <family val="2"/>
      </rPr>
      <t xml:space="preserve">効くのは「答えを提示するタイトル」。答え提示語ありは 登録</t>
    </r>
    <r>
      <rPr>
        <sz val="10"/>
        <rFont val="Arial"/>
        <family val="0"/>
        <charset val="1"/>
      </rPr>
      <t xml:space="preserve">/</t>
    </r>
    <r>
      <rPr>
        <sz val="10"/>
        <rFont val="Noto Sans CJK SC"/>
        <family val="2"/>
      </rPr>
      <t xml:space="preserve">千再生 </t>
    </r>
    <r>
      <rPr>
        <sz val="10"/>
        <rFont val="Arial"/>
        <family val="0"/>
        <charset val="1"/>
      </rPr>
      <t xml:space="preserve">0.57</t>
    </r>
    <r>
      <rPr>
        <sz val="10"/>
        <rFont val="Noto Sans CJK SC"/>
        <family val="2"/>
      </rPr>
      <t xml:space="preserve">、なしは </t>
    </r>
    <r>
      <rPr>
        <sz val="10"/>
        <rFont val="Arial"/>
        <family val="0"/>
        <charset val="1"/>
      </rPr>
      <t xml:space="preserve">0.31</t>
    </r>
    <r>
      <rPr>
        <sz val="10"/>
        <rFont val="Noto Sans CJK SC"/>
        <family val="2"/>
      </rPr>
      <t xml:space="preserve">（</t>
    </r>
    <r>
      <rPr>
        <sz val="10"/>
        <rFont val="Arial"/>
        <family val="0"/>
        <charset val="1"/>
      </rPr>
      <t xml:space="preserve">1.84</t>
    </r>
    <r>
      <rPr>
        <sz val="10"/>
        <rFont val="Noto Sans CJK SC"/>
        <family val="2"/>
      </rPr>
      <t xml:space="preserve">倍）。ところが維持率は逆に </t>
    </r>
    <r>
      <rPr>
        <sz val="10"/>
        <rFont val="Arial"/>
        <family val="0"/>
        <charset val="1"/>
      </rPr>
      <t xml:space="preserve">45.0% vs 58.0% </t>
    </r>
    <r>
      <rPr>
        <sz val="10"/>
        <rFont val="Noto Sans CJK SC"/>
        <family val="2"/>
      </rPr>
      <t xml:space="preserve">で提示型のほうが低い。『最後まで見せる』と『登録させる』は別の指標である。</t>
    </r>
  </si>
  <si>
    <r>
      <rPr>
        <sz val="10"/>
        <rFont val="Arial"/>
        <family val="0"/>
        <charset val="1"/>
      </rPr>
      <t xml:space="preserve">3. 2ch-matome </t>
    </r>
    <r>
      <rPr>
        <sz val="10"/>
        <rFont val="Noto Sans CJK SC"/>
        <family val="2"/>
      </rPr>
      <t xml:space="preserve">は再生</t>
    </r>
    <r>
      <rPr>
        <sz val="10"/>
        <rFont val="Arial"/>
        <family val="0"/>
        <charset val="1"/>
      </rPr>
      <t xml:space="preserve">1</t>
    </r>
    <r>
      <rPr>
        <sz val="10"/>
        <rFont val="Noto Sans CJK SC"/>
        <family val="2"/>
      </rPr>
      <t xml:space="preserve">位（</t>
    </r>
    <r>
      <rPr>
        <sz val="10"/>
        <rFont val="Arial"/>
        <family val="0"/>
        <charset val="1"/>
      </rPr>
      <t xml:space="preserve">39,522</t>
    </r>
    <r>
      <rPr>
        <sz val="10"/>
        <rFont val="Noto Sans CJK SC"/>
        <family val="2"/>
      </rPr>
      <t xml:space="preserve">）なのに登録</t>
    </r>
    <r>
      <rPr>
        <sz val="10"/>
        <rFont val="Arial"/>
        <family val="0"/>
        <charset val="1"/>
      </rPr>
      <t xml:space="preserve">/</t>
    </r>
    <r>
      <rPr>
        <sz val="10"/>
        <rFont val="Noto Sans CJK SC"/>
        <family val="2"/>
      </rPr>
      <t xml:space="preserve">千再生 </t>
    </r>
    <r>
      <rPr>
        <sz val="10"/>
        <rFont val="Arial"/>
        <family val="0"/>
        <charset val="1"/>
      </rPr>
      <t xml:space="preserve">0.20 </t>
    </r>
    <r>
      <rPr>
        <sz val="10"/>
        <rFont val="Noto Sans CJK SC"/>
        <family val="2"/>
      </rPr>
      <t xml:space="preserve">で</t>
    </r>
    <r>
      <rPr>
        <sz val="10"/>
        <rFont val="Arial"/>
        <family val="0"/>
        <charset val="1"/>
      </rPr>
      <t xml:space="preserve">6ch</t>
    </r>
    <r>
      <rPr>
        <sz val="10"/>
        <rFont val="Noto Sans CJK SC"/>
        <family val="2"/>
      </rPr>
      <t xml:space="preserve">最下位。原因は面白さではなく参加型フォーマット（答えを渡さない構造）で、当</t>
    </r>
    <r>
      <rPr>
        <sz val="10"/>
        <rFont val="Arial"/>
        <family val="0"/>
        <charset val="1"/>
      </rPr>
      <t xml:space="preserve">ch</t>
    </r>
    <r>
      <rPr>
        <sz val="10"/>
        <rFont val="Noto Sans CJK SC"/>
        <family val="2"/>
      </rPr>
      <t xml:space="preserve">内で参加型 </t>
    </r>
    <r>
      <rPr>
        <sz val="10"/>
        <rFont val="Arial"/>
        <family val="0"/>
        <charset val="1"/>
      </rPr>
      <t xml:space="preserve">0.06 vs </t>
    </r>
    <r>
      <rPr>
        <sz val="10"/>
        <rFont val="Noto Sans CJK SC"/>
        <family val="2"/>
      </rPr>
      <t xml:space="preserve">結論型 </t>
    </r>
    <r>
      <rPr>
        <sz val="10"/>
        <rFont val="Arial"/>
        <family val="0"/>
        <charset val="1"/>
      </rPr>
      <t xml:space="preserve">0.32 </t>
    </r>
    <r>
      <rPr>
        <sz val="10"/>
        <rFont val="Noto Sans CJK SC"/>
        <family val="2"/>
      </rPr>
      <t xml:space="preserve">の</t>
    </r>
    <r>
      <rPr>
        <sz val="10"/>
        <rFont val="Arial"/>
        <family val="0"/>
        <charset val="1"/>
      </rPr>
      <t xml:space="preserve">5.8</t>
    </r>
    <r>
      <rPr>
        <sz val="10"/>
        <rFont val="Noto Sans CJK SC"/>
        <family val="2"/>
      </rPr>
      <t xml:space="preserve">倍差。本日フォーマットごと撤回した。</t>
    </r>
  </si>
  <si>
    <r>
      <rPr>
        <b val="true"/>
        <sz val="10"/>
        <rFont val="Noto Sans CJK SC"/>
        <family val="2"/>
      </rPr>
      <t xml:space="preserve">■ チャンネル別 実績（</t>
    </r>
    <r>
      <rPr>
        <b val="true"/>
        <sz val="10"/>
        <rFont val="Arial"/>
        <family val="0"/>
        <charset val="1"/>
      </rPr>
      <t xml:space="preserve">09-07</t>
    </r>
    <r>
      <rPr>
        <b val="true"/>
        <sz val="10"/>
        <rFont val="Noto Sans CJK SC"/>
        <family val="2"/>
      </rPr>
      <t xml:space="preserve">スナップショット・累計）</t>
    </r>
  </si>
  <si>
    <t xml:space="preserve">チャンネル</t>
  </si>
  <si>
    <t xml:space="preserve">名称</t>
  </si>
  <si>
    <t xml:space="preserve">本数</t>
  </si>
  <si>
    <t xml:space="preserve">累計再生</t>
  </si>
  <si>
    <t xml:space="preserve">累計登録</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</si>
  <si>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</si>
  <si>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r>
      <rPr>
        <b val="true"/>
        <sz val="10"/>
        <color rgb="FFFFFFFF"/>
        <rFont val="Noto Sans CJK SC"/>
        <family val="2"/>
      </rPr>
      <t xml:space="preserve">高評価率</t>
    </r>
    <r>
      <rPr>
        <b val="true"/>
        <sz val="10"/>
        <color rgb="FFFFFFFF"/>
        <rFont val="Arial"/>
        <family val="0"/>
        <charset val="1"/>
      </rPr>
      <t xml:space="preserve">%</t>
    </r>
  </si>
  <si>
    <r>
      <rPr>
        <b val="true"/>
        <sz val="10"/>
        <color rgb="FFFFFFFF"/>
        <rFont val="Noto Sans CJK SC"/>
        <family val="2"/>
      </rPr>
      <t xml:space="preserve">平均維持率</t>
    </r>
    <r>
      <rPr>
        <b val="true"/>
        <sz val="10"/>
        <color rgb="FFFFFFFF"/>
        <rFont val="Arial"/>
        <family val="0"/>
        <charset val="1"/>
      </rPr>
      <t xml:space="preserve">%</t>
    </r>
  </si>
  <si>
    <t xml:space="preserve">daily-science</t>
  </si>
  <si>
    <r>
      <rPr>
        <sz val="10"/>
        <rFont val="Arial"/>
        <family val="0"/>
        <charset val="1"/>
      </rPr>
      <t xml:space="preserve">1</t>
    </r>
    <r>
      <rPr>
        <sz val="10"/>
        <rFont val="Noto Sans CJK SC"/>
        <family val="2"/>
      </rPr>
      <t xml:space="preserve">分科学</t>
    </r>
  </si>
  <si>
    <t xml:space="preserve">scp-lab</t>
  </si>
  <si>
    <r>
      <rPr>
        <sz val="10"/>
        <rFont val="Arial"/>
        <family val="0"/>
        <charset val="1"/>
      </rPr>
      <t xml:space="preserve">SCP</t>
    </r>
    <r>
      <rPr>
        <sz val="10"/>
        <rFont val="Noto Sans CJK SC"/>
        <family val="2"/>
      </rPr>
      <t xml:space="preserve">研究所</t>
    </r>
  </si>
  <si>
    <t xml:space="preserve">2ch-matome</t>
  </si>
  <si>
    <r>
      <rPr>
        <sz val="10"/>
        <rFont val="Arial"/>
        <family val="0"/>
        <charset val="1"/>
      </rPr>
      <t xml:space="preserve">2ch</t>
    </r>
    <r>
      <rPr>
        <sz val="10"/>
        <rFont val="Noto Sans CJK SC"/>
        <family val="2"/>
      </rPr>
      <t xml:space="preserve">まとめ</t>
    </r>
  </si>
  <si>
    <t xml:space="preserve">pokemon-lab</t>
  </si>
  <si>
    <t xml:space="preserve">ポケモン研究</t>
  </si>
  <si>
    <t xml:space="preserve">yokai-watch</t>
  </si>
  <si>
    <t xml:space="preserve">妖怪ファイル</t>
  </si>
  <si>
    <t xml:space="preserve">company-facts</t>
  </si>
  <si>
    <t xml:space="preserve">企業のホンネ</t>
  </si>
  <si>
    <r>
      <rPr>
        <b val="true"/>
        <sz val="10"/>
        <rFont val="Noto Sans CJK SC"/>
        <family val="2"/>
      </rPr>
      <t xml:space="preserve">合計</t>
    </r>
    <r>
      <rPr>
        <b val="true"/>
        <sz val="10"/>
        <rFont val="Arial"/>
        <family val="0"/>
        <charset val="1"/>
      </rPr>
      <t xml:space="preserve">/</t>
    </r>
    <r>
      <rPr>
        <b val="true"/>
        <sz val="10"/>
        <rFont val="Noto Sans CJK SC"/>
        <family val="2"/>
      </rPr>
      <t xml:space="preserve">加重平均</t>
    </r>
  </si>
  <si>
    <t xml:space="preserve">■ 判断軸の検証（本日の中核）</t>
  </si>
  <si>
    <t xml:space="preserve">検証項目</t>
  </si>
  <si>
    <r>
      <rPr>
        <b val="true"/>
        <sz val="10"/>
        <color rgb="FFFFFFFF"/>
        <rFont val="Noto Sans CJK SC"/>
        <family val="2"/>
      </rPr>
      <t xml:space="preserve">群</t>
    </r>
    <r>
      <rPr>
        <b val="true"/>
        <sz val="10"/>
        <color rgb="FFFFFFFF"/>
        <rFont val="Arial"/>
        <family val="0"/>
        <charset val="1"/>
      </rPr>
      <t xml:space="preserve">A</t>
    </r>
  </si>
  <si>
    <r>
      <rPr>
        <b val="true"/>
        <sz val="10"/>
        <color rgb="FFFFFFFF"/>
        <rFont val="Noto Sans CJK SC"/>
        <family val="2"/>
      </rPr>
      <t xml:space="preserve">群</t>
    </r>
    <r>
      <rPr>
        <b val="true"/>
        <sz val="10"/>
        <color rgb="FFFFFFFF"/>
        <rFont val="Arial"/>
        <family val="0"/>
        <charset val="1"/>
      </rPr>
      <t xml:space="preserve">B</t>
    </r>
  </si>
  <si>
    <r>
      <rPr>
        <b val="true"/>
        <sz val="10"/>
        <color rgb="FFFFFFFF"/>
        <rFont val="Arial"/>
        <family val="0"/>
        <charset val="1"/>
      </rPr>
      <t xml:space="preserve">A </t>
    </r>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t>
    </r>
  </si>
  <si>
    <r>
      <rPr>
        <b val="true"/>
        <sz val="10"/>
        <color rgb="FFFFFFFF"/>
        <rFont val="Arial"/>
        <family val="0"/>
        <charset val="1"/>
      </rPr>
      <t xml:space="preserve">B </t>
    </r>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t>
    </r>
  </si>
  <si>
    <t xml:space="preserve">倍率</t>
  </si>
  <si>
    <t xml:space="preserve">n</t>
  </si>
  <si>
    <t xml:space="preserve">判定</t>
  </si>
  <si>
    <r>
      <rPr>
        <sz val="10"/>
        <rFont val="Noto Sans CJK SC"/>
        <family val="2"/>
      </rPr>
      <t xml:space="preserve">高評価率 </t>
    </r>
    <r>
      <rPr>
        <sz val="10"/>
        <rFont val="Arial"/>
        <family val="0"/>
        <charset val="1"/>
      </rPr>
      <t xml:space="preserve">4</t>
    </r>
    <r>
      <rPr>
        <sz val="10"/>
        <rFont val="Noto Sans CJK SC"/>
        <family val="2"/>
      </rPr>
      <t xml:space="preserve">分位</t>
    </r>
  </si>
  <si>
    <t xml:space="preserve">Q4(0.52-1.45%)</t>
  </si>
  <si>
    <t xml:space="preserve">Q1(0.00-0.17%)</t>
  </si>
  <si>
    <r>
      <rPr>
        <sz val="10"/>
        <rFont val="Noto Sans CJK SC"/>
        <family val="2"/>
      </rPr>
      <t xml:space="preserve">採用</t>
    </r>
    <r>
      <rPr>
        <sz val="10"/>
        <rFont val="Arial"/>
        <family val="0"/>
        <charset val="1"/>
      </rPr>
      <t xml:space="preserve">: </t>
    </r>
    <r>
      <rPr>
        <sz val="10"/>
        <rFont val="Noto Sans CJK SC"/>
        <family val="2"/>
      </rPr>
      <t xml:space="preserve">登録の唯一の説明変数</t>
    </r>
  </si>
  <si>
    <t xml:space="preserve">維持率しきい値</t>
  </si>
  <si>
    <t xml:space="preserve">avg_view_pct&gt;=50</t>
  </si>
  <si>
    <t xml:space="preserve">avg_view_pct&lt;50</t>
  </si>
  <si>
    <t xml:space="preserve">96 / 190</t>
  </si>
  <si>
    <r>
      <rPr>
        <sz val="10"/>
        <rFont val="Noto Sans CJK SC"/>
        <family val="2"/>
      </rPr>
      <t xml:space="preserve">棄却</t>
    </r>
    <r>
      <rPr>
        <sz val="10"/>
        <rFont val="Arial"/>
        <family val="0"/>
        <charset val="1"/>
      </rPr>
      <t xml:space="preserve">: </t>
    </r>
    <r>
      <rPr>
        <sz val="10"/>
        <rFont val="Noto Sans CJK SC"/>
        <family val="2"/>
      </rPr>
      <t xml:space="preserve">完全に無差別。判断軸から除外を継続</t>
    </r>
  </si>
  <si>
    <t xml:space="preserve">タイトル答え提示語</t>
  </si>
  <si>
    <t xml:space="preserve">あり</t>
  </si>
  <si>
    <t xml:space="preserve">なし</t>
  </si>
  <si>
    <t xml:space="preserve">121 / 75</t>
  </si>
  <si>
    <r>
      <rPr>
        <sz val="10"/>
        <rFont val="Noto Sans CJK SC"/>
        <family val="2"/>
      </rPr>
      <t xml:space="preserve">採用</t>
    </r>
    <r>
      <rPr>
        <sz val="10"/>
        <rFont val="Arial"/>
        <family val="0"/>
        <charset val="1"/>
      </rPr>
      <t xml:space="preserve">: </t>
    </r>
    <r>
      <rPr>
        <sz val="10"/>
        <rFont val="Noto Sans CJK SC"/>
        <family val="2"/>
      </rPr>
      <t xml:space="preserve">本日 全</t>
    </r>
    <r>
      <rPr>
        <sz val="10"/>
        <rFont val="Arial"/>
        <family val="0"/>
        <charset val="1"/>
      </rPr>
      <t xml:space="preserve">6ch</t>
    </r>
    <r>
      <rPr>
        <sz val="10"/>
        <rFont val="Noto Sans CJK SC"/>
        <family val="2"/>
      </rPr>
      <t xml:space="preserve">で必須化</t>
    </r>
  </si>
  <si>
    <r>
      <rPr>
        <sz val="10"/>
        <rFont val="Arial"/>
        <family val="0"/>
        <charset val="1"/>
      </rPr>
      <t xml:space="preserve">2ch </t>
    </r>
    <r>
      <rPr>
        <sz val="10"/>
        <rFont val="Noto Sans CJK SC"/>
        <family val="2"/>
      </rPr>
      <t xml:space="preserve">参加型 </t>
    </r>
    <r>
      <rPr>
        <sz val="10"/>
        <rFont val="Arial"/>
        <family val="0"/>
        <charset val="1"/>
      </rPr>
      <t xml:space="preserve">vs </t>
    </r>
    <r>
      <rPr>
        <sz val="10"/>
        <rFont val="Noto Sans CJK SC"/>
        <family val="2"/>
      </rPr>
      <t xml:space="preserve">結論型</t>
    </r>
  </si>
  <si>
    <t xml:space="preserve">結論型</t>
  </si>
  <si>
    <t xml:space="preserve">参加型</t>
  </si>
  <si>
    <t xml:space="preserve">21 / 17</t>
  </si>
  <si>
    <r>
      <rPr>
        <sz val="10"/>
        <rFont val="Noto Sans CJK SC"/>
        <family val="2"/>
      </rPr>
      <t xml:space="preserve">採用</t>
    </r>
    <r>
      <rPr>
        <sz val="10"/>
        <rFont val="Arial"/>
        <family val="0"/>
        <charset val="1"/>
      </rPr>
      <t xml:space="preserve">: </t>
    </r>
    <r>
      <rPr>
        <sz val="10"/>
        <rFont val="Noto Sans CJK SC"/>
        <family val="2"/>
      </rPr>
      <t xml:space="preserve">参加型を全面撤回</t>
    </r>
  </si>
  <si>
    <t xml:space="preserve">公開からの日数</t>
  </si>
  <si>
    <r>
      <rPr>
        <sz val="10"/>
        <rFont val="Arial"/>
        <family val="0"/>
        <charset val="1"/>
      </rPr>
      <t xml:space="preserve">4-7</t>
    </r>
    <r>
      <rPr>
        <sz val="10"/>
        <rFont val="Noto Sans CJK SC"/>
        <family val="2"/>
      </rPr>
      <t xml:space="preserve">日</t>
    </r>
  </si>
  <si>
    <r>
      <rPr>
        <sz val="10"/>
        <rFont val="Arial"/>
        <family val="0"/>
        <charset val="1"/>
      </rPr>
      <t xml:space="preserve">15-30</t>
    </r>
    <r>
      <rPr>
        <sz val="10"/>
        <rFont val="Noto Sans CJK SC"/>
        <family val="2"/>
      </rPr>
      <t xml:space="preserve">日</t>
    </r>
  </si>
  <si>
    <t xml:space="preserve">15 / 113</t>
  </si>
  <si>
    <r>
      <rPr>
        <sz val="10"/>
        <rFont val="Noto Sans CJK SC"/>
        <family val="2"/>
      </rPr>
      <t xml:space="preserve">採用</t>
    </r>
    <r>
      <rPr>
        <sz val="10"/>
        <rFont val="Arial"/>
        <family val="0"/>
        <charset val="1"/>
      </rPr>
      <t xml:space="preserve">: </t>
    </r>
    <r>
      <rPr>
        <sz val="10"/>
        <rFont val="Noto Sans CJK SC"/>
        <family val="2"/>
      </rPr>
      <t xml:space="preserve">鮮度が効く。投稿頻度維持</t>
    </r>
  </si>
  <si>
    <r>
      <rPr>
        <sz val="10"/>
        <rFont val="Noto Sans CJK SC"/>
        <family val="2"/>
      </rPr>
      <t xml:space="preserve">投稿時刻 </t>
    </r>
    <r>
      <rPr>
        <sz val="10"/>
        <rFont val="Arial"/>
        <family val="0"/>
        <charset val="1"/>
      </rPr>
      <t xml:space="preserve">JST</t>
    </r>
  </si>
  <si>
    <r>
      <rPr>
        <sz val="10"/>
        <rFont val="Arial"/>
        <family val="0"/>
        <charset val="1"/>
      </rPr>
      <t xml:space="preserve">17</t>
    </r>
    <r>
      <rPr>
        <sz val="10"/>
        <rFont val="Noto Sans CJK SC"/>
        <family val="2"/>
      </rPr>
      <t xml:space="preserve">時</t>
    </r>
  </si>
  <si>
    <r>
      <rPr>
        <sz val="10"/>
        <rFont val="Arial"/>
        <family val="0"/>
        <charset val="1"/>
      </rPr>
      <t xml:space="preserve">18</t>
    </r>
    <r>
      <rPr>
        <sz val="10"/>
        <rFont val="Noto Sans CJK SC"/>
        <family val="2"/>
      </rPr>
      <t xml:space="preserve">時</t>
    </r>
  </si>
  <si>
    <t xml:space="preserve">39 / 36</t>
  </si>
  <si>
    <r>
      <rPr>
        <sz val="10"/>
        <rFont val="Noto Sans CJK SC"/>
        <family val="2"/>
      </rPr>
      <t xml:space="preserve">採用</t>
    </r>
    <r>
      <rPr>
        <sz val="10"/>
        <rFont val="Arial"/>
        <family val="0"/>
        <charset val="1"/>
      </rPr>
      <t xml:space="preserve">: </t>
    </r>
    <r>
      <rPr>
        <sz val="10"/>
        <rFont val="Noto Sans CJK SC"/>
        <family val="2"/>
      </rPr>
      <t xml:space="preserve">劣後</t>
    </r>
    <r>
      <rPr>
        <sz val="10"/>
        <rFont val="Arial"/>
        <family val="0"/>
        <charset val="1"/>
      </rPr>
      <t xml:space="preserve">3</t>
    </r>
    <r>
      <rPr>
        <sz val="10"/>
        <rFont val="Noto Sans CJK SC"/>
        <family val="2"/>
      </rPr>
      <t xml:space="preserve">枠を移設</t>
    </r>
  </si>
  <si>
    <t xml:space="preserve">■ 制約事項</t>
  </si>
  <si>
    <r>
      <rPr>
        <sz val="10"/>
        <rFont val="Noto Sans CJK SC"/>
        <family val="2"/>
      </rPr>
      <t xml:space="preserve">指揮者はサンドボックス</t>
    </r>
    <r>
      <rPr>
        <sz val="10"/>
        <rFont val="Arial"/>
        <family val="0"/>
        <charset val="1"/>
      </rPr>
      <t xml:space="preserve">VM</t>
    </r>
    <r>
      <rPr>
        <sz val="10"/>
        <rFont val="Noto Sans CJK SC"/>
        <family val="2"/>
      </rPr>
      <t xml:space="preserve">上で動作しており </t>
    </r>
    <r>
      <rPr>
        <sz val="10"/>
        <rFont val="Arial"/>
        <family val="0"/>
        <charset val="1"/>
      </rPr>
      <t xml:space="preserve">Mac </t>
    </r>
    <r>
      <rPr>
        <sz val="10"/>
        <rFont val="Noto Sans CJK SC"/>
        <family val="2"/>
      </rPr>
      <t xml:space="preserve">の </t>
    </r>
    <r>
      <rPr>
        <sz val="10"/>
        <rFont val="Arial"/>
        <family val="0"/>
        <charset val="1"/>
      </rPr>
      <t xml:space="preserve">localhost:8000 </t>
    </r>
    <r>
      <rPr>
        <sz val="10"/>
        <rFont val="Noto Sans CJK SC"/>
        <family val="2"/>
      </rPr>
      <t xml:space="preserve">に到達できないため、</t>
    </r>
    <r>
      <rPr>
        <sz val="10"/>
        <rFont val="Arial"/>
        <family val="0"/>
        <charset val="1"/>
      </rPr>
      <t xml:space="preserve">Phase1 </t>
    </r>
    <r>
      <rPr>
        <sz val="10"/>
        <rFont val="Noto Sans CJK SC"/>
        <family val="2"/>
      </rPr>
      <t xml:space="preserve">の新規</t>
    </r>
    <r>
      <rPr>
        <sz val="10"/>
        <rFont val="Arial"/>
        <family val="0"/>
        <charset val="1"/>
      </rPr>
      <t xml:space="preserve">API</t>
    </r>
    <r>
      <rPr>
        <sz val="10"/>
        <rFont val="Noto Sans CJK SC"/>
        <family val="2"/>
      </rPr>
      <t xml:space="preserve">フェッチと </t>
    </r>
    <r>
      <rPr>
        <sz val="10"/>
        <rFont val="Arial"/>
        <family val="0"/>
        <charset val="1"/>
      </rPr>
      <t xml:space="preserve">Phase4 </t>
    </r>
    <r>
      <rPr>
        <sz val="10"/>
        <rFont val="Noto Sans CJK SC"/>
        <family val="2"/>
      </rPr>
      <t xml:space="preserve">の制作指示</t>
    </r>
    <r>
      <rPr>
        <sz val="10"/>
        <rFont val="Arial"/>
        <family val="0"/>
        <charset val="1"/>
      </rPr>
      <t xml:space="preserve">API</t>
    </r>
    <r>
      <rPr>
        <sz val="10"/>
        <rFont val="Noto Sans CJK SC"/>
        <family val="2"/>
      </rPr>
      <t xml:space="preserve">を直接実行していない。分析は </t>
    </r>
    <r>
      <rPr>
        <sz val="10"/>
        <rFont val="Arial"/>
        <family val="0"/>
        <charset val="1"/>
      </rPr>
      <t xml:space="preserve">backend </t>
    </r>
    <r>
      <rPr>
        <sz val="10"/>
        <rFont val="Noto Sans CJK SC"/>
        <family val="2"/>
      </rPr>
      <t xml:space="preserve">が </t>
    </r>
    <r>
      <rPr>
        <sz val="10"/>
        <rFont val="Arial"/>
        <family val="0"/>
        <charset val="1"/>
      </rPr>
      <t xml:space="preserve">09-07 23:13 JST </t>
    </r>
    <r>
      <rPr>
        <sz val="10"/>
        <rFont val="Noto Sans CJK SC"/>
        <family val="2"/>
      </rPr>
      <t xml:space="preserve">に </t>
    </r>
    <r>
      <rPr>
        <sz val="10"/>
        <rFont val="Arial"/>
        <family val="0"/>
        <charset val="1"/>
      </rPr>
      <t xml:space="preserve">analytics.db </t>
    </r>
    <r>
      <rPr>
        <sz val="10"/>
        <rFont val="Noto Sans CJK SC"/>
        <family val="2"/>
      </rPr>
      <t xml:space="preserve">へ格納済みのスナップショットに基づく。制作指示は </t>
    </r>
    <r>
      <rPr>
        <sz val="10"/>
        <rFont val="Arial"/>
        <family val="0"/>
        <charset val="1"/>
      </rPr>
      <t xml:space="preserve">restart_and_trigger_20260908.command</t>
    </r>
    <r>
      <rPr>
        <sz val="10"/>
        <rFont val="Noto Sans CJK SC"/>
        <family val="2"/>
      </rPr>
      <t xml:space="preserve">（</t>
    </r>
    <r>
      <rPr>
        <sz val="10"/>
        <rFont val="Arial"/>
        <family val="0"/>
        <charset val="1"/>
      </rPr>
      <t xml:space="preserve">Mac</t>
    </r>
    <r>
      <rPr>
        <sz val="10"/>
        <rFont val="Noto Sans CJK SC"/>
        <family val="2"/>
      </rPr>
      <t xml:space="preserve">上でダブルクリック）に切り出した。</t>
    </r>
  </si>
  <si>
    <t xml:space="preserve">チャンネル別詳細</t>
  </si>
  <si>
    <r>
      <rPr>
        <sz val="9"/>
        <color rgb="FF666666"/>
        <rFont val="Arial"/>
        <family val="0"/>
        <charset val="1"/>
      </rPr>
      <t xml:space="preserve">09-06→09-07 </t>
    </r>
    <r>
      <rPr>
        <sz val="9"/>
        <color rgb="FF666666"/>
        <rFont val="Noto Sans CJK SC"/>
        <family val="2"/>
      </rPr>
      <t xml:space="preserve">の日次デルタと構成比。登録</t>
    </r>
    <r>
      <rPr>
        <sz val="9"/>
        <color rgb="FF666666"/>
        <rFont val="Arial"/>
        <family val="0"/>
        <charset val="1"/>
      </rPr>
      <t xml:space="preserve">/</t>
    </r>
    <r>
      <rPr>
        <sz val="9"/>
        <color rgb="FF666666"/>
        <rFont val="Noto Sans CJK SC"/>
        <family val="2"/>
      </rPr>
      <t xml:space="preserve">千再生 は累計ベース。</t>
    </r>
  </si>
  <si>
    <t xml:space="preserve">日次再生増</t>
  </si>
  <si>
    <t xml:space="preserve">日次登録増</t>
  </si>
  <si>
    <r>
      <rPr>
        <b val="true"/>
        <sz val="10"/>
        <color rgb="FFFFFFFF"/>
        <rFont val="Noto Sans CJK SC"/>
        <family val="2"/>
      </rPr>
      <t xml:space="preserve">平均</t>
    </r>
    <r>
      <rPr>
        <b val="true"/>
        <sz val="10"/>
        <color rgb="FFFFFFFF"/>
        <rFont val="Arial"/>
        <family val="0"/>
        <charset val="1"/>
      </rPr>
      <t xml:space="preserve">CTR%</t>
    </r>
  </si>
  <si>
    <r>
      <rPr>
        <b val="true"/>
        <sz val="10"/>
        <color rgb="FFFFFFFF"/>
        <rFont val="Noto Sans CJK SC"/>
        <family val="2"/>
      </rPr>
      <t xml:space="preserve">登録</t>
    </r>
    <r>
      <rPr>
        <b val="true"/>
        <sz val="10"/>
        <color rgb="FFFFFFFF"/>
        <rFont val="Arial"/>
        <family val="0"/>
        <charset val="1"/>
      </rPr>
      <t xml:space="preserve">0</t>
    </r>
    <r>
      <rPr>
        <b val="true"/>
        <sz val="10"/>
        <color rgb="FFFFFFFF"/>
        <rFont val="Noto Sans CJK SC"/>
        <family val="2"/>
      </rPr>
      <t xml:space="preserve">本の割合</t>
    </r>
  </si>
  <si>
    <t xml:space="preserve">■ チャンネル所見</t>
  </si>
  <si>
    <r>
      <rPr>
        <b val="true"/>
        <sz val="10"/>
        <rFont val="Arial"/>
        <family val="0"/>
        <charset val="1"/>
      </rPr>
      <t xml:space="preserve">daily-science</t>
    </r>
    <r>
      <rPr>
        <b val="true"/>
        <sz val="10"/>
        <rFont val="Noto Sans CJK SC"/>
        <family val="2"/>
      </rPr>
      <t xml:space="preserve">（</t>
    </r>
    <r>
      <rPr>
        <b val="true"/>
        <sz val="10"/>
        <rFont val="Arial"/>
        <family val="0"/>
        <charset val="1"/>
      </rPr>
      <t xml:space="preserve">1</t>
    </r>
    <r>
      <rPr>
        <b val="true"/>
        <sz val="10"/>
        <rFont val="Noto Sans CJK SC"/>
        <family val="2"/>
      </rPr>
      <t xml:space="preserve">分科学）</t>
    </r>
  </si>
  <si>
    <r>
      <rPr>
        <sz val="10"/>
        <rFont val="Noto Sans CJK SC"/>
        <family val="2"/>
      </rPr>
      <t xml:space="preserve">登録</t>
    </r>
    <r>
      <rPr>
        <sz val="10"/>
        <rFont val="Arial"/>
        <family val="0"/>
        <charset val="1"/>
      </rPr>
      <t xml:space="preserve">/</t>
    </r>
    <r>
      <rPr>
        <sz val="10"/>
        <rFont val="Noto Sans CJK SC"/>
        <family val="2"/>
      </rPr>
      <t xml:space="preserve">千再生</t>
    </r>
    <r>
      <rPr>
        <sz val="10"/>
        <rFont val="Arial"/>
        <family val="0"/>
        <charset val="1"/>
      </rPr>
      <t xml:space="preserve">3</t>
    </r>
    <r>
      <rPr>
        <sz val="10"/>
        <rFont val="Noto Sans CJK SC"/>
        <family val="2"/>
      </rPr>
      <t xml:space="preserve">位</t>
    </r>
    <r>
      <rPr>
        <sz val="10"/>
        <rFont val="Arial"/>
        <family val="0"/>
        <charset val="1"/>
      </rPr>
      <t xml:space="preserve">(0.57)</t>
    </r>
    <r>
      <rPr>
        <sz val="10"/>
        <rFont val="Noto Sans CJK SC"/>
        <family val="2"/>
      </rPr>
      <t xml:space="preserve">、高評価率</t>
    </r>
    <r>
      <rPr>
        <sz val="10"/>
        <rFont val="Arial"/>
        <family val="0"/>
        <charset val="1"/>
      </rPr>
      <t xml:space="preserve">0.528%</t>
    </r>
    <r>
      <rPr>
        <sz val="10"/>
        <rFont val="Noto Sans CJK SC"/>
        <family val="2"/>
      </rPr>
      <t xml:space="preserve">で</t>
    </r>
    <r>
      <rPr>
        <sz val="10"/>
        <rFont val="Arial"/>
        <family val="0"/>
        <charset val="1"/>
      </rPr>
      <t xml:space="preserve">6ch</t>
    </r>
    <r>
      <rPr>
        <sz val="10"/>
        <rFont val="Noto Sans CJK SC"/>
        <family val="2"/>
      </rPr>
      <t xml:space="preserve">最高。</t>
    </r>
    <r>
      <rPr>
        <sz val="10"/>
        <rFont val="Arial"/>
        <family val="0"/>
        <charset val="1"/>
      </rPr>
      <t xml:space="preserve">17</t>
    </r>
    <r>
      <rPr>
        <sz val="10"/>
        <rFont val="Noto Sans CJK SC"/>
        <family val="2"/>
      </rPr>
      <t xml:space="preserve">時枠が</t>
    </r>
    <r>
      <rPr>
        <sz val="10"/>
        <rFont val="Arial"/>
        <family val="0"/>
        <charset val="1"/>
      </rPr>
      <t xml:space="preserve">0.80</t>
    </r>
    <r>
      <rPr>
        <sz val="10"/>
        <rFont val="Noto Sans CJK SC"/>
        <family val="2"/>
      </rPr>
      <t xml:space="preserve">と当</t>
    </r>
    <r>
      <rPr>
        <sz val="10"/>
        <rFont val="Arial"/>
        <family val="0"/>
        <charset val="1"/>
      </rPr>
      <t xml:space="preserve">ch</t>
    </r>
    <r>
      <rPr>
        <sz val="10"/>
        <rFont val="Noto Sans CJK SC"/>
        <family val="2"/>
      </rPr>
      <t xml:space="preserve">最良。維持率</t>
    </r>
    <r>
      <rPr>
        <sz val="10"/>
        <rFont val="Arial"/>
        <family val="0"/>
        <charset val="1"/>
      </rPr>
      <t xml:space="preserve">49.0%</t>
    </r>
    <r>
      <rPr>
        <sz val="10"/>
        <rFont val="Noto Sans CJK SC"/>
        <family val="2"/>
      </rPr>
      <t xml:space="preserve">も上位で、当</t>
    </r>
    <r>
      <rPr>
        <sz val="10"/>
        <rFont val="Arial"/>
        <family val="0"/>
        <charset val="1"/>
      </rPr>
      <t xml:space="preserve">ch</t>
    </r>
    <r>
      <rPr>
        <sz val="10"/>
        <rFont val="Noto Sans CJK SC"/>
        <family val="2"/>
      </rPr>
      <t xml:space="preserve">はバランスが取れている。変更は答え提示型の必須化のみ。</t>
    </r>
  </si>
  <si>
    <r>
      <rPr>
        <b val="true"/>
        <sz val="10"/>
        <rFont val="Arial"/>
        <family val="0"/>
        <charset val="1"/>
      </rPr>
      <t xml:space="preserve">scp-lab</t>
    </r>
    <r>
      <rPr>
        <b val="true"/>
        <sz val="10"/>
        <rFont val="Noto Sans CJK SC"/>
        <family val="2"/>
      </rPr>
      <t xml:space="preserve">（</t>
    </r>
    <r>
      <rPr>
        <b val="true"/>
        <sz val="10"/>
        <rFont val="Arial"/>
        <family val="0"/>
        <charset val="1"/>
      </rPr>
      <t xml:space="preserve">SCP</t>
    </r>
    <r>
      <rPr>
        <b val="true"/>
        <sz val="10"/>
        <rFont val="Noto Sans CJK SC"/>
        <family val="2"/>
      </rPr>
      <t xml:space="preserve">研究所）</t>
    </r>
  </si>
  <si>
    <r>
      <rPr>
        <sz val="10"/>
        <rFont val="Noto Sans CJK SC"/>
        <family val="2"/>
      </rPr>
      <t xml:space="preserve">登録</t>
    </r>
    <r>
      <rPr>
        <sz val="10"/>
        <rFont val="Arial"/>
        <family val="0"/>
        <charset val="1"/>
      </rPr>
      <t xml:space="preserve">/</t>
    </r>
    <r>
      <rPr>
        <sz val="10"/>
        <rFont val="Noto Sans CJK SC"/>
        <family val="2"/>
      </rPr>
      <t xml:space="preserve">千再生</t>
    </r>
    <r>
      <rPr>
        <sz val="10"/>
        <rFont val="Arial"/>
        <family val="0"/>
        <charset val="1"/>
      </rPr>
      <t xml:space="preserve">1</t>
    </r>
    <r>
      <rPr>
        <sz val="10"/>
        <rFont val="Noto Sans CJK SC"/>
        <family val="2"/>
      </rPr>
      <t xml:space="preserve">位</t>
    </r>
    <r>
      <rPr>
        <sz val="10"/>
        <rFont val="Arial"/>
        <family val="0"/>
        <charset val="1"/>
      </rPr>
      <t xml:space="preserve">(0.75)</t>
    </r>
    <r>
      <rPr>
        <sz val="10"/>
        <rFont val="Noto Sans CJK SC"/>
        <family val="2"/>
      </rPr>
      <t xml:space="preserve">。維持率は</t>
    </r>
    <r>
      <rPr>
        <sz val="10"/>
        <rFont val="Arial"/>
        <family val="0"/>
        <charset val="1"/>
      </rPr>
      <t xml:space="preserve">32.8%</t>
    </r>
    <r>
      <rPr>
        <sz val="10"/>
        <rFont val="Noto Sans CJK SC"/>
        <family val="2"/>
      </rPr>
      <t xml:space="preserve">で</t>
    </r>
    <r>
      <rPr>
        <sz val="10"/>
        <rFont val="Arial"/>
        <family val="0"/>
        <charset val="1"/>
      </rPr>
      <t xml:space="preserve">6ch</t>
    </r>
    <r>
      <rPr>
        <sz val="10"/>
        <rFont val="Noto Sans CJK SC"/>
        <family val="2"/>
      </rPr>
      <t xml:space="preserve">最下位だが登録は最高＝維持率と登録が逆行する最も明確な事例。</t>
    </r>
    <r>
      <rPr>
        <sz val="10"/>
        <rFont val="Arial"/>
        <family val="0"/>
        <charset val="1"/>
      </rPr>
      <t xml:space="preserve">19</t>
    </r>
    <r>
      <rPr>
        <sz val="10"/>
        <rFont val="Noto Sans CJK SC"/>
        <family val="2"/>
      </rPr>
      <t xml:space="preserve">時枠が</t>
    </r>
    <r>
      <rPr>
        <sz val="10"/>
        <rFont val="Arial"/>
        <family val="0"/>
        <charset val="1"/>
      </rPr>
      <t xml:space="preserve">1.10</t>
    </r>
    <r>
      <rPr>
        <sz val="10"/>
        <rFont val="Noto Sans CJK SC"/>
        <family val="2"/>
      </rPr>
      <t xml:space="preserve">と当</t>
    </r>
    <r>
      <rPr>
        <sz val="10"/>
        <rFont val="Arial"/>
        <family val="0"/>
        <charset val="1"/>
      </rPr>
      <t xml:space="preserve">ch</t>
    </r>
    <r>
      <rPr>
        <sz val="10"/>
        <rFont val="Noto Sans CJK SC"/>
        <family val="2"/>
      </rPr>
      <t xml:space="preserve">最良で現行の</t>
    </r>
    <r>
      <rPr>
        <sz val="10"/>
        <rFont val="Arial"/>
        <family val="0"/>
        <charset val="1"/>
      </rPr>
      <t xml:space="preserve">13/17/19</t>
    </r>
    <r>
      <rPr>
        <sz val="10"/>
        <rFont val="Noto Sans CJK SC"/>
        <family val="2"/>
      </rPr>
      <t xml:space="preserve">枠は妥当。変更は答え提示型の必須化のみ。</t>
    </r>
  </si>
  <si>
    <r>
      <rPr>
        <b val="true"/>
        <sz val="10"/>
        <rFont val="Arial"/>
        <family val="0"/>
        <charset val="1"/>
      </rPr>
      <t xml:space="preserve">2ch-matome</t>
    </r>
    <r>
      <rPr>
        <b val="true"/>
        <sz val="10"/>
        <rFont val="Noto Sans CJK SC"/>
        <family val="2"/>
      </rPr>
      <t xml:space="preserve">（</t>
    </r>
    <r>
      <rPr>
        <b val="true"/>
        <sz val="10"/>
        <rFont val="Arial"/>
        <family val="0"/>
        <charset val="1"/>
      </rPr>
      <t xml:space="preserve">2ch</t>
    </r>
    <r>
      <rPr>
        <b val="true"/>
        <sz val="10"/>
        <rFont val="Noto Sans CJK SC"/>
        <family val="2"/>
      </rPr>
      <t xml:space="preserve">まとめ）</t>
    </r>
  </si>
  <si>
    <r>
      <rPr>
        <sz val="10"/>
        <rFont val="Noto Sans CJK SC"/>
        <family val="2"/>
      </rPr>
      <t xml:space="preserve">再生</t>
    </r>
    <r>
      <rPr>
        <sz val="10"/>
        <rFont val="Arial"/>
        <family val="0"/>
        <charset val="1"/>
      </rPr>
      <t xml:space="preserve">1</t>
    </r>
    <r>
      <rPr>
        <sz val="10"/>
        <rFont val="Noto Sans CJK SC"/>
        <family val="2"/>
      </rPr>
      <t xml:space="preserve">位</t>
    </r>
    <r>
      <rPr>
        <sz val="10"/>
        <rFont val="Arial"/>
        <family val="0"/>
        <charset val="1"/>
      </rPr>
      <t xml:space="preserve">(39,522)</t>
    </r>
    <r>
      <rPr>
        <sz val="10"/>
        <rFont val="Noto Sans CJK SC"/>
        <family val="2"/>
      </rPr>
      <t xml:space="preserve">にもかかわらず登録</t>
    </r>
    <r>
      <rPr>
        <sz val="10"/>
        <rFont val="Arial"/>
        <family val="0"/>
        <charset val="1"/>
      </rPr>
      <t xml:space="preserve">/</t>
    </r>
    <r>
      <rPr>
        <sz val="10"/>
        <rFont val="Noto Sans CJK SC"/>
        <family val="2"/>
      </rPr>
      <t xml:space="preserve">千再生</t>
    </r>
    <r>
      <rPr>
        <sz val="10"/>
        <rFont val="Arial"/>
        <family val="0"/>
        <charset val="1"/>
      </rPr>
      <t xml:space="preserve">0.20</t>
    </r>
    <r>
      <rPr>
        <sz val="10"/>
        <rFont val="Noto Sans CJK SC"/>
        <family val="2"/>
      </rPr>
      <t xml:space="preserve">・高評価率</t>
    </r>
    <r>
      <rPr>
        <sz val="10"/>
        <rFont val="Arial"/>
        <family val="0"/>
        <charset val="1"/>
      </rPr>
      <t xml:space="preserve">0.241%</t>
    </r>
    <r>
      <rPr>
        <sz val="10"/>
        <rFont val="Noto Sans CJK SC"/>
        <family val="2"/>
      </rPr>
      <t xml:space="preserve">でともに</t>
    </r>
    <r>
      <rPr>
        <sz val="10"/>
        <rFont val="Arial"/>
        <family val="0"/>
        <charset val="1"/>
      </rPr>
      <t xml:space="preserve">6ch</t>
    </r>
    <r>
      <rPr>
        <sz val="10"/>
        <rFont val="Noto Sans CJK SC"/>
        <family val="2"/>
      </rPr>
      <t xml:space="preserve">最下位。</t>
    </r>
    <r>
      <rPr>
        <sz val="10"/>
        <rFont val="Arial"/>
        <family val="0"/>
        <charset val="1"/>
      </rPr>
      <t xml:space="preserve">41/47</t>
    </r>
    <r>
      <rPr>
        <sz val="10"/>
        <rFont val="Noto Sans CJK SC"/>
        <family val="2"/>
      </rPr>
      <t xml:space="preserve">本が登録ゼロ。当</t>
    </r>
    <r>
      <rPr>
        <sz val="10"/>
        <rFont val="Arial"/>
        <family val="0"/>
        <charset val="1"/>
      </rPr>
      <t xml:space="preserve">ch</t>
    </r>
    <r>
      <rPr>
        <sz val="10"/>
        <rFont val="Noto Sans CJK SC"/>
        <family val="2"/>
      </rPr>
      <t xml:space="preserve">内で参加型</t>
    </r>
    <r>
      <rPr>
        <sz val="10"/>
        <rFont val="Arial"/>
        <family val="0"/>
        <charset val="1"/>
      </rPr>
      <t xml:space="preserve">0.06(n=17) vs </t>
    </r>
    <r>
      <rPr>
        <sz val="10"/>
        <rFont val="Noto Sans CJK SC"/>
        <family val="2"/>
      </rPr>
      <t xml:space="preserve">結論型</t>
    </r>
    <r>
      <rPr>
        <sz val="10"/>
        <rFont val="Arial"/>
        <family val="0"/>
        <charset val="1"/>
      </rPr>
      <t xml:space="preserve">0.32(n=21)</t>
    </r>
    <r>
      <rPr>
        <sz val="10"/>
        <rFont val="Noto Sans CJK SC"/>
        <family val="2"/>
      </rPr>
      <t xml:space="preserve">で</t>
    </r>
    <r>
      <rPr>
        <sz val="10"/>
        <rFont val="Arial"/>
        <family val="0"/>
        <charset val="1"/>
      </rPr>
      <t xml:space="preserve">5.8</t>
    </r>
    <r>
      <rPr>
        <sz val="10"/>
        <rFont val="Noto Sans CJK SC"/>
        <family val="2"/>
      </rPr>
      <t xml:space="preserve">倍であり、原因は『答えを渡さない』フォーマットそのもの。本日 </t>
    </r>
    <r>
      <rPr>
        <sz val="10"/>
        <rFont val="Arial"/>
        <family val="0"/>
        <charset val="1"/>
      </rPr>
      <t xml:space="preserve">short_format</t>
    </r>
    <r>
      <rPr>
        <sz val="10"/>
        <rFont val="Noto Sans CJK SC"/>
        <family val="2"/>
      </rPr>
      <t xml:space="preserve">・</t>
    </r>
    <r>
      <rPr>
        <sz val="10"/>
        <rFont val="Arial"/>
        <family val="0"/>
        <charset val="1"/>
      </rPr>
      <t xml:space="preserve">title_style</t>
    </r>
    <r>
      <rPr>
        <sz val="10"/>
        <rFont val="Noto Sans CJK SC"/>
        <family val="2"/>
      </rPr>
      <t xml:space="preserve">・</t>
    </r>
    <r>
      <rPr>
        <sz val="10"/>
        <rFont val="Arial"/>
        <family val="0"/>
        <charset val="1"/>
      </rPr>
      <t xml:space="preserve">theme_queue </t>
    </r>
    <r>
      <rPr>
        <sz val="10"/>
        <rFont val="Noto Sans CJK SC"/>
        <family val="2"/>
      </rPr>
      <t xml:space="preserve">を結論型へ全面転換した（本日最大の変更）。</t>
    </r>
  </si>
  <si>
    <r>
      <rPr>
        <b val="true"/>
        <sz val="10"/>
        <rFont val="Arial"/>
        <family val="0"/>
        <charset val="1"/>
      </rPr>
      <t xml:space="preserve">pokemon-lab</t>
    </r>
    <r>
      <rPr>
        <b val="true"/>
        <sz val="10"/>
        <rFont val="Noto Sans CJK SC"/>
        <family val="2"/>
      </rPr>
      <t xml:space="preserve">（ポケモン研究）</t>
    </r>
  </si>
  <si>
    <r>
      <rPr>
        <sz val="10"/>
        <rFont val="Noto Sans CJK SC"/>
        <family val="2"/>
      </rPr>
      <t xml:space="preserve">登録</t>
    </r>
    <r>
      <rPr>
        <sz val="10"/>
        <rFont val="Arial"/>
        <family val="0"/>
        <charset val="1"/>
      </rPr>
      <t xml:space="preserve">/</t>
    </r>
    <r>
      <rPr>
        <sz val="10"/>
        <rFont val="Noto Sans CJK SC"/>
        <family val="2"/>
      </rPr>
      <t xml:space="preserve">千再生</t>
    </r>
    <r>
      <rPr>
        <sz val="10"/>
        <rFont val="Arial"/>
        <family val="0"/>
        <charset val="1"/>
      </rPr>
      <t xml:space="preserve">5</t>
    </r>
    <r>
      <rPr>
        <sz val="10"/>
        <rFont val="Noto Sans CJK SC"/>
        <family val="2"/>
      </rPr>
      <t xml:space="preserve">位</t>
    </r>
    <r>
      <rPr>
        <sz val="10"/>
        <rFont val="Arial"/>
        <family val="0"/>
        <charset val="1"/>
      </rPr>
      <t xml:space="preserve">(0.27)</t>
    </r>
    <r>
      <rPr>
        <sz val="10"/>
        <rFont val="Noto Sans CJK SC"/>
        <family val="2"/>
      </rPr>
      <t xml:space="preserve">、高評価率</t>
    </r>
    <r>
      <rPr>
        <sz val="10"/>
        <rFont val="Arial"/>
        <family val="0"/>
        <charset val="1"/>
      </rPr>
      <t xml:space="preserve">0.259%</t>
    </r>
    <r>
      <rPr>
        <sz val="10"/>
        <rFont val="Noto Sans CJK SC"/>
        <family val="2"/>
      </rPr>
      <t xml:space="preserve">も下位。</t>
    </r>
    <r>
      <rPr>
        <sz val="10"/>
        <rFont val="Arial"/>
        <family val="0"/>
        <charset val="1"/>
      </rPr>
      <t xml:space="preserve">42/50</t>
    </r>
    <r>
      <rPr>
        <sz val="10"/>
        <rFont val="Noto Sans CJK SC"/>
        <family val="2"/>
      </rPr>
      <t xml:space="preserve">本が登録ゼロ。</t>
    </r>
    <r>
      <rPr>
        <sz val="10"/>
        <rFont val="Arial"/>
        <family val="0"/>
        <charset val="1"/>
      </rPr>
      <t xml:space="preserve">2</t>
    </r>
    <r>
      <rPr>
        <sz val="10"/>
        <rFont val="Noto Sans CJK SC"/>
        <family val="2"/>
      </rPr>
      <t xml:space="preserve">択比較型</t>
    </r>
    <r>
      <rPr>
        <sz val="10"/>
        <rFont val="Arial"/>
        <family val="0"/>
        <charset val="1"/>
      </rPr>
      <t xml:space="preserve">(</t>
    </r>
    <r>
      <rPr>
        <sz val="10"/>
        <rFont val="Noto Sans CJK SC"/>
        <family val="2"/>
      </rPr>
      <t xml:space="preserve">「</t>
    </r>
    <r>
      <rPr>
        <sz val="10"/>
        <rFont val="Arial"/>
        <family val="0"/>
        <charset val="1"/>
      </rPr>
      <t xml:space="preserve">A</t>
    </r>
    <r>
      <rPr>
        <sz val="10"/>
        <rFont val="Noto Sans CJK SC"/>
        <family val="2"/>
      </rPr>
      <t xml:space="preserve">と</t>
    </r>
    <r>
      <rPr>
        <sz val="10"/>
        <rFont val="Arial"/>
        <family val="0"/>
        <charset val="1"/>
      </rPr>
      <t xml:space="preserve">B</t>
    </r>
    <r>
      <rPr>
        <sz val="10"/>
        <rFont val="Noto Sans CJK SC"/>
        <family val="2"/>
      </rPr>
      <t xml:space="preserve">、君は〜？」</t>
    </r>
    <r>
      <rPr>
        <sz val="10"/>
        <rFont val="Arial"/>
        <family val="0"/>
        <charset val="1"/>
      </rPr>
      <t xml:space="preserve">)</t>
    </r>
    <r>
      <rPr>
        <sz val="10"/>
        <rFont val="Noto Sans CJK SC"/>
        <family val="2"/>
      </rPr>
      <t xml:space="preserve">が答えを渡さない構造で、高評価率</t>
    </r>
    <r>
      <rPr>
        <sz val="10"/>
        <rFont val="Arial"/>
        <family val="0"/>
        <charset val="1"/>
      </rPr>
      <t xml:space="preserve">0%</t>
    </r>
    <r>
      <rPr>
        <sz val="10"/>
        <rFont val="Noto Sans CJK SC"/>
        <family val="2"/>
      </rPr>
      <t xml:space="preserve">の本が集中している。答え提示型の必須化が最も効くはずの</t>
    </r>
    <r>
      <rPr>
        <sz val="10"/>
        <rFont val="Arial"/>
        <family val="0"/>
        <charset val="1"/>
      </rPr>
      <t xml:space="preserve">ch</t>
    </r>
    <r>
      <rPr>
        <sz val="10"/>
        <rFont val="Noto Sans CJK SC"/>
        <family val="2"/>
      </rPr>
      <t xml:space="preserve">。</t>
    </r>
    <r>
      <rPr>
        <sz val="10"/>
        <rFont val="Arial"/>
        <family val="0"/>
        <charset val="1"/>
      </rPr>
      <t xml:space="preserve">17:30</t>
    </r>
    <r>
      <rPr>
        <sz val="10"/>
        <rFont val="Noto Sans CJK SC"/>
        <family val="2"/>
      </rPr>
      <t xml:space="preserve">枠を</t>
    </r>
    <r>
      <rPr>
        <sz val="10"/>
        <rFont val="Arial"/>
        <family val="0"/>
        <charset val="1"/>
      </rPr>
      <t xml:space="preserve">17:00</t>
    </r>
    <r>
      <rPr>
        <sz val="10"/>
        <rFont val="Noto Sans CJK SC"/>
        <family val="2"/>
      </rPr>
      <t xml:space="preserve">へ移設</t>
    </r>
    <r>
      <rPr>
        <sz val="10"/>
        <rFont val="Arial"/>
        <family val="0"/>
        <charset val="1"/>
      </rPr>
      <t xml:space="preserve">(18</t>
    </r>
    <r>
      <rPr>
        <sz val="10"/>
        <rFont val="Noto Sans CJK SC"/>
        <family val="2"/>
      </rPr>
      <t xml:space="preserve">時台</t>
    </r>
    <r>
      <rPr>
        <sz val="10"/>
        <rFont val="Arial"/>
        <family val="0"/>
        <charset val="1"/>
      </rPr>
      <t xml:space="preserve">0.21 vs 17</t>
    </r>
    <r>
      <rPr>
        <sz val="10"/>
        <rFont val="Noto Sans CJK SC"/>
        <family val="2"/>
      </rPr>
      <t xml:space="preserve">時台</t>
    </r>
    <r>
      <rPr>
        <sz val="10"/>
        <rFont val="Arial"/>
        <family val="0"/>
        <charset val="1"/>
      </rPr>
      <t xml:space="preserve">0.41)</t>
    </r>
    <r>
      <rPr>
        <sz val="10"/>
        <rFont val="Noto Sans CJK SC"/>
        <family val="2"/>
      </rPr>
      <t xml:space="preserve">。</t>
    </r>
  </si>
  <si>
    <r>
      <rPr>
        <b val="true"/>
        <sz val="10"/>
        <rFont val="Arial"/>
        <family val="0"/>
        <charset val="1"/>
      </rPr>
      <t xml:space="preserve">yokai-watch</t>
    </r>
    <r>
      <rPr>
        <b val="true"/>
        <sz val="10"/>
        <rFont val="Noto Sans CJK SC"/>
        <family val="2"/>
      </rPr>
      <t xml:space="preserve">（妖怪ファイル）</t>
    </r>
  </si>
  <si>
    <r>
      <rPr>
        <sz val="10"/>
        <rFont val="Noto Sans CJK SC"/>
        <family val="2"/>
      </rPr>
      <t xml:space="preserve">登録</t>
    </r>
    <r>
      <rPr>
        <sz val="10"/>
        <rFont val="Arial"/>
        <family val="0"/>
        <charset val="1"/>
      </rPr>
      <t xml:space="preserve">/</t>
    </r>
    <r>
      <rPr>
        <sz val="10"/>
        <rFont val="Noto Sans CJK SC"/>
        <family val="2"/>
      </rPr>
      <t xml:space="preserve">千再生</t>
    </r>
    <r>
      <rPr>
        <sz val="10"/>
        <rFont val="Arial"/>
        <family val="0"/>
        <charset val="1"/>
      </rPr>
      <t xml:space="preserve">4</t>
    </r>
    <r>
      <rPr>
        <sz val="10"/>
        <rFont val="Noto Sans CJK SC"/>
        <family val="2"/>
      </rPr>
      <t xml:space="preserve">位</t>
    </r>
    <r>
      <rPr>
        <sz val="10"/>
        <rFont val="Arial"/>
        <family val="0"/>
        <charset val="1"/>
      </rPr>
      <t xml:space="preserve">(0.38)</t>
    </r>
    <r>
      <rPr>
        <sz val="10"/>
        <rFont val="Noto Sans CJK SC"/>
        <family val="2"/>
      </rPr>
      <t xml:space="preserve">。</t>
    </r>
    <r>
      <rPr>
        <sz val="10"/>
        <rFont val="Arial"/>
        <family val="0"/>
        <charset val="1"/>
      </rPr>
      <t xml:space="preserve">12</t>
    </r>
    <r>
      <rPr>
        <sz val="10"/>
        <rFont val="Noto Sans CJK SC"/>
        <family val="2"/>
      </rPr>
      <t xml:space="preserve">時枠が</t>
    </r>
    <r>
      <rPr>
        <sz val="10"/>
        <rFont val="Arial"/>
        <family val="0"/>
        <charset val="1"/>
      </rPr>
      <t xml:space="preserve">1.07</t>
    </r>
    <r>
      <rPr>
        <sz val="10"/>
        <rFont val="Noto Sans CJK SC"/>
        <family val="2"/>
      </rPr>
      <t xml:space="preserve">・高評価率</t>
    </r>
    <r>
      <rPr>
        <sz val="10"/>
        <rFont val="Arial"/>
        <family val="0"/>
        <charset val="1"/>
      </rPr>
      <t xml:space="preserve">0.783%</t>
    </r>
    <r>
      <rPr>
        <sz val="10"/>
        <rFont val="Noto Sans CJK SC"/>
        <family val="2"/>
      </rPr>
      <t xml:space="preserve">と突出して良い一方、</t>
    </r>
    <r>
      <rPr>
        <sz val="10"/>
        <rFont val="Arial"/>
        <family val="0"/>
        <charset val="1"/>
      </rPr>
      <t xml:space="preserve">19</t>
    </r>
    <r>
      <rPr>
        <sz val="10"/>
        <rFont val="Noto Sans CJK SC"/>
        <family val="2"/>
      </rPr>
      <t xml:space="preserve">時台は</t>
    </r>
    <r>
      <rPr>
        <sz val="10"/>
        <rFont val="Arial"/>
        <family val="0"/>
        <charset val="1"/>
      </rPr>
      <t xml:space="preserve">0.24</t>
    </r>
    <r>
      <rPr>
        <sz val="10"/>
        <rFont val="Noto Sans CJK SC"/>
        <family val="2"/>
      </rPr>
      <t xml:space="preserve">で当</t>
    </r>
    <r>
      <rPr>
        <sz val="10"/>
        <rFont val="Arial"/>
        <family val="0"/>
        <charset val="1"/>
      </rPr>
      <t xml:space="preserve">ch</t>
    </r>
    <r>
      <rPr>
        <sz val="10"/>
        <rFont val="Noto Sans CJK SC"/>
        <family val="2"/>
      </rPr>
      <t xml:space="preserve">最下位。</t>
    </r>
    <r>
      <rPr>
        <sz val="10"/>
        <rFont val="Arial"/>
        <family val="0"/>
        <charset val="1"/>
      </rPr>
      <t xml:space="preserve">17:45</t>
    </r>
    <r>
      <rPr>
        <sz val="10"/>
        <rFont val="Noto Sans CJK SC"/>
        <family val="2"/>
      </rPr>
      <t xml:space="preserve">枠が</t>
    </r>
    <r>
      <rPr>
        <sz val="10"/>
        <rFont val="Arial"/>
        <family val="0"/>
        <charset val="1"/>
      </rPr>
      <t xml:space="preserve">19</t>
    </r>
    <r>
      <rPr>
        <sz val="10"/>
        <rFont val="Noto Sans CJK SC"/>
        <family val="2"/>
      </rPr>
      <t xml:space="preserve">時台に流れていたため</t>
    </r>
    <r>
      <rPr>
        <sz val="10"/>
        <rFont val="Arial"/>
        <family val="0"/>
        <charset val="1"/>
      </rPr>
      <t xml:space="preserve">17:00</t>
    </r>
    <r>
      <rPr>
        <sz val="10"/>
        <rFont val="Noto Sans CJK SC"/>
        <family val="2"/>
      </rPr>
      <t xml:space="preserve">へ移設した。ハッシュタグ型タイトル</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r>
      <rPr>
        <sz val="10"/>
        <rFont val="Arial"/>
        <family val="0"/>
        <charset val="1"/>
      </rPr>
      <t xml:space="preserve">)</t>
    </r>
    <r>
      <rPr>
        <sz val="10"/>
        <rFont val="Noto Sans CJK SC"/>
        <family val="2"/>
      </rPr>
      <t xml:space="preserve">の</t>
    </r>
    <r>
      <rPr>
        <sz val="10"/>
        <rFont val="Arial"/>
        <family val="0"/>
        <charset val="1"/>
      </rPr>
      <t xml:space="preserve">3</t>
    </r>
    <r>
      <rPr>
        <sz val="10"/>
        <rFont val="Noto Sans CJK SC"/>
        <family val="2"/>
      </rPr>
      <t xml:space="preserve">本が高評価率トップ</t>
    </r>
    <r>
      <rPr>
        <sz val="10"/>
        <rFont val="Arial"/>
        <family val="0"/>
        <charset val="1"/>
      </rPr>
      <t xml:space="preserve">3</t>
    </r>
    <r>
      <rPr>
        <sz val="10"/>
        <rFont val="Noto Sans CJK SC"/>
        <family val="2"/>
      </rPr>
      <t xml:space="preserve">を占める。</t>
    </r>
  </si>
  <si>
    <r>
      <rPr>
        <b val="true"/>
        <sz val="10"/>
        <rFont val="Arial"/>
        <family val="0"/>
        <charset val="1"/>
      </rPr>
      <t xml:space="preserve">company-facts</t>
    </r>
    <r>
      <rPr>
        <b val="true"/>
        <sz val="10"/>
        <rFont val="Noto Sans CJK SC"/>
        <family val="2"/>
      </rPr>
      <t xml:space="preserve">（企業のホンネ）</t>
    </r>
  </si>
  <si>
    <r>
      <rPr>
        <sz val="10"/>
        <rFont val="Arial"/>
        <family val="0"/>
        <charset val="1"/>
      </rPr>
      <t xml:space="preserve">6ch</t>
    </r>
    <r>
      <rPr>
        <sz val="10"/>
        <rFont val="Noto Sans CJK SC"/>
        <family val="2"/>
      </rPr>
      <t xml:space="preserve">中 登録</t>
    </r>
    <r>
      <rPr>
        <sz val="10"/>
        <rFont val="Arial"/>
        <family val="0"/>
        <charset val="1"/>
      </rPr>
      <t xml:space="preserve">/</t>
    </r>
    <r>
      <rPr>
        <sz val="10"/>
        <rFont val="Noto Sans CJK SC"/>
        <family val="2"/>
      </rPr>
      <t xml:space="preserve">千再生 </t>
    </r>
    <r>
      <rPr>
        <sz val="10"/>
        <rFont val="Arial"/>
        <family val="0"/>
        <charset val="1"/>
      </rPr>
      <t xml:space="preserve">2</t>
    </r>
    <r>
      <rPr>
        <sz val="10"/>
        <rFont val="Noto Sans CJK SC"/>
        <family val="2"/>
      </rPr>
      <t xml:space="preserve">位</t>
    </r>
    <r>
      <rPr>
        <sz val="10"/>
        <rFont val="Arial"/>
        <family val="0"/>
        <charset val="1"/>
      </rPr>
      <t xml:space="preserve">(0.70)</t>
    </r>
    <r>
      <rPr>
        <sz val="10"/>
        <rFont val="Noto Sans CJK SC"/>
        <family val="2"/>
      </rPr>
      <t xml:space="preserve">かつ最多登録</t>
    </r>
    <r>
      <rPr>
        <sz val="10"/>
        <rFont val="Arial"/>
        <family val="0"/>
        <charset val="1"/>
      </rPr>
      <t xml:space="preserve">(30)</t>
    </r>
    <r>
      <rPr>
        <sz val="10"/>
        <rFont val="Noto Sans CJK SC"/>
        <family val="2"/>
      </rPr>
      <t xml:space="preserve">。</t>
    </r>
    <r>
      <rPr>
        <sz val="10"/>
        <rFont val="Arial"/>
        <family val="0"/>
        <charset val="1"/>
      </rPr>
      <t xml:space="preserve">facts_overlay</t>
    </r>
    <r>
      <rPr>
        <sz val="10"/>
        <rFont val="Noto Sans CJK SC"/>
        <family val="2"/>
      </rPr>
      <t xml:space="preserve">形式で冒頭に数字を大きく出す構造が効いている。最良本は「トヨタ自動車の年収</t>
    </r>
    <r>
      <rPr>
        <sz val="10"/>
        <rFont val="Arial"/>
        <family val="0"/>
        <charset val="1"/>
      </rPr>
      <t xml:space="preserve">982</t>
    </r>
    <r>
      <rPr>
        <sz val="10"/>
        <rFont val="Noto Sans CJK SC"/>
        <family val="2"/>
      </rPr>
      <t xml:space="preserve">万円、実は手当の中身が違う」</t>
    </r>
    <r>
      <rPr>
        <sz val="10"/>
        <rFont val="Arial"/>
        <family val="0"/>
        <charset val="1"/>
      </rPr>
      <t xml:space="preserve">6</t>
    </r>
    <r>
      <rPr>
        <sz val="10"/>
        <rFont val="Noto Sans CJK SC"/>
        <family val="2"/>
      </rPr>
      <t xml:space="preserve">登録</t>
    </r>
    <r>
      <rPr>
        <sz val="10"/>
        <rFont val="Arial"/>
        <family val="0"/>
        <charset val="1"/>
      </rPr>
      <t xml:space="preserve">/3604</t>
    </r>
    <r>
      <rPr>
        <sz val="10"/>
        <rFont val="Noto Sans CJK SC"/>
        <family val="2"/>
      </rPr>
      <t xml:space="preserve">再生</t>
    </r>
    <r>
      <rPr>
        <sz val="10"/>
        <rFont val="Arial"/>
        <family val="0"/>
        <charset val="1"/>
      </rPr>
      <t xml:space="preserve">(1.66/</t>
    </r>
    <r>
      <rPr>
        <sz val="10"/>
        <rFont val="Noto Sans CJK SC"/>
        <family val="2"/>
      </rPr>
      <t xml:space="preserve">千</t>
    </r>
    <r>
      <rPr>
        <sz val="10"/>
        <rFont val="Arial"/>
        <family val="0"/>
        <charset val="1"/>
      </rPr>
      <t xml:space="preserve">)</t>
    </r>
    <r>
      <rPr>
        <sz val="10"/>
        <rFont val="Noto Sans CJK SC"/>
        <family val="2"/>
      </rPr>
      <t xml:space="preserve">。本日 </t>
    </r>
    <r>
      <rPr>
        <sz val="10"/>
        <rFont val="Arial"/>
        <family val="0"/>
        <charset val="1"/>
      </rPr>
      <t xml:space="preserve">13:30</t>
    </r>
    <r>
      <rPr>
        <sz val="10"/>
        <rFont val="Noto Sans CJK SC"/>
        <family val="2"/>
      </rPr>
      <t xml:space="preserve">枠を</t>
    </r>
    <r>
      <rPr>
        <sz val="10"/>
        <rFont val="Arial"/>
        <family val="0"/>
        <charset val="1"/>
      </rPr>
      <t xml:space="preserve">19:00</t>
    </r>
    <r>
      <rPr>
        <sz val="10"/>
        <rFont val="Noto Sans CJK SC"/>
        <family val="2"/>
      </rPr>
      <t xml:space="preserve">へ移設（</t>
    </r>
    <r>
      <rPr>
        <sz val="10"/>
        <rFont val="Arial"/>
        <family val="0"/>
        <charset val="1"/>
      </rPr>
      <t xml:space="preserve">14</t>
    </r>
    <r>
      <rPr>
        <sz val="10"/>
        <rFont val="Noto Sans CJK SC"/>
        <family val="2"/>
      </rPr>
      <t xml:space="preserve">時台</t>
    </r>
    <r>
      <rPr>
        <sz val="10"/>
        <rFont val="Arial"/>
        <family val="0"/>
        <charset val="1"/>
      </rPr>
      <t xml:space="preserve">0.38 vs 19</t>
    </r>
    <r>
      <rPr>
        <sz val="10"/>
        <rFont val="Noto Sans CJK SC"/>
        <family val="2"/>
      </rPr>
      <t xml:space="preserve">時</t>
    </r>
    <r>
      <rPr>
        <sz val="10"/>
        <rFont val="Arial"/>
        <family val="0"/>
        <charset val="1"/>
      </rPr>
      <t xml:space="preserve">0.94</t>
    </r>
    <r>
      <rPr>
        <sz val="10"/>
        <rFont val="Noto Sans CJK SC"/>
        <family val="2"/>
      </rPr>
      <t xml:space="preserve">）。</t>
    </r>
  </si>
  <si>
    <t xml:space="preserve">動画別パフォーマンス</t>
  </si>
  <si>
    <r>
      <rPr>
        <sz val="9"/>
        <color rgb="FF666666"/>
        <rFont val="Arial"/>
        <family val="0"/>
        <charset val="1"/>
      </rPr>
      <t xml:space="preserve">09-07</t>
    </r>
    <r>
      <rPr>
        <sz val="9"/>
        <color rgb="FF666666"/>
        <rFont val="Noto Sans CJK SC"/>
        <family val="2"/>
      </rPr>
      <t xml:space="preserve">スナップショット・</t>
    </r>
    <r>
      <rPr>
        <sz val="9"/>
        <color rgb="FF666666"/>
        <rFont val="Arial"/>
        <family val="0"/>
        <charset val="1"/>
      </rPr>
      <t xml:space="preserve">moviepy</t>
    </r>
    <r>
      <rPr>
        <sz val="9"/>
        <color rgb="FF666666"/>
        <rFont val="Noto Sans CJK SC"/>
        <family val="2"/>
      </rPr>
      <t xml:space="preserve">系</t>
    </r>
    <r>
      <rPr>
        <sz val="9"/>
        <color rgb="FF666666"/>
        <rFont val="Arial"/>
        <family val="0"/>
        <charset val="1"/>
      </rPr>
      <t xml:space="preserve">6ch </t>
    </r>
    <r>
      <rPr>
        <sz val="9"/>
        <color rgb="FF666666"/>
        <rFont val="Noto Sans CJK SC"/>
        <family val="2"/>
      </rPr>
      <t xml:space="preserve">全</t>
    </r>
    <r>
      <rPr>
        <sz val="9"/>
        <color rgb="FF666666"/>
        <rFont val="Arial"/>
        <family val="0"/>
        <charset val="1"/>
      </rPr>
      <t xml:space="preserve">286</t>
    </r>
    <r>
      <rPr>
        <sz val="9"/>
        <color rgb="FF666666"/>
        <rFont val="Noto Sans CJK SC"/>
        <family val="2"/>
      </rPr>
      <t xml:space="preserve">本。登録</t>
    </r>
    <r>
      <rPr>
        <sz val="9"/>
        <color rgb="FF666666"/>
        <rFont val="Arial"/>
        <family val="0"/>
        <charset val="1"/>
      </rPr>
      <t xml:space="preserve">/</t>
    </r>
    <r>
      <rPr>
        <sz val="9"/>
        <color rgb="FF666666"/>
        <rFont val="Noto Sans CJK SC"/>
        <family val="2"/>
      </rPr>
      <t xml:space="preserve">千再生の降順。</t>
    </r>
  </si>
  <si>
    <t xml:space="preserve">公開日</t>
  </si>
  <si>
    <t xml:space="preserve">経過日</t>
  </si>
  <si>
    <r>
      <rPr>
        <b val="true"/>
        <sz val="10"/>
        <color rgb="FFFFFFFF"/>
        <rFont val="Noto Sans CJK SC"/>
        <family val="2"/>
      </rPr>
      <t xml:space="preserve">投稿時</t>
    </r>
    <r>
      <rPr>
        <b val="true"/>
        <sz val="10"/>
        <color rgb="FFFFFFFF"/>
        <rFont val="Arial"/>
        <family val="0"/>
        <charset val="1"/>
      </rPr>
      <t xml:space="preserve">JST</t>
    </r>
  </si>
  <si>
    <t xml:space="preserve">タイトル</t>
  </si>
  <si>
    <t xml:space="preserve">日次増</t>
  </si>
  <si>
    <t xml:space="preserve">登録</t>
  </si>
  <si>
    <t xml:space="preserve">高評価</t>
  </si>
  <si>
    <r>
      <rPr>
        <b val="true"/>
        <sz val="10"/>
        <color rgb="FFFFFFFF"/>
        <rFont val="Noto Sans CJK SC"/>
        <family val="2"/>
      </rPr>
      <t xml:space="preserve">維持率</t>
    </r>
    <r>
      <rPr>
        <b val="true"/>
        <sz val="10"/>
        <color rgb="FFFFFFFF"/>
        <rFont val="Arial"/>
        <family val="0"/>
        <charset val="1"/>
      </rPr>
      <t xml:space="preserve">%</t>
    </r>
  </si>
  <si>
    <t xml:space="preserve">タイトル型</t>
  </si>
  <si>
    <t xml:space="preserve">2026-08-22</t>
  </si>
  <si>
    <r>
      <rPr>
        <sz val="10"/>
        <rFont val="Noto Sans CJK SC"/>
        <family val="2"/>
      </rPr>
      <t xml:space="preserve">実は完治後に</t>
    </r>
    <r>
      <rPr>
        <sz val="10"/>
        <rFont val="Arial"/>
        <family val="0"/>
        <charset val="1"/>
      </rPr>
      <t xml:space="preserve">4</t>
    </r>
    <r>
      <rPr>
        <sz val="10"/>
        <rFont val="Noto Sans CJK SC"/>
        <family val="2"/>
      </rPr>
      <t xml:space="preserve">人が戻れなかった本当の理由とは？【ショート】</t>
    </r>
  </si>
  <si>
    <t xml:space="preserve">答え提示</t>
  </si>
  <si>
    <t xml:space="preserve">2026-08-31</t>
  </si>
  <si>
    <r>
      <rPr>
        <sz val="10"/>
        <rFont val="Noto Sans CJK SC"/>
        <family val="2"/>
      </rPr>
      <t xml:space="preserve">なぜ座ると腰だけ痛い？圧力</t>
    </r>
    <r>
      <rPr>
        <sz val="10"/>
        <rFont val="Arial"/>
        <family val="0"/>
        <charset val="1"/>
      </rPr>
      <t xml:space="preserve">1.4</t>
    </r>
    <r>
      <rPr>
        <sz val="10"/>
        <rFont val="Noto Sans CJK SC"/>
        <family val="2"/>
      </rPr>
      <t xml:space="preserve">倍【ショート】</t>
    </r>
  </si>
  <si>
    <t xml:space="preserve">2026-08-08</t>
  </si>
  <si>
    <r>
      <rPr>
        <sz val="10"/>
        <rFont val="Noto Sans CJK SC"/>
        <family val="2"/>
      </rPr>
      <t xml:space="preserve">なぜ立ち上がると目の前が暗い？</t>
    </r>
    <r>
      <rPr>
        <sz val="10"/>
        <rFont val="Arial"/>
        <family val="0"/>
        <charset val="1"/>
      </rPr>
      <t xml:space="preserve">99%</t>
    </r>
    <r>
      <rPr>
        <sz val="10"/>
        <rFont val="Noto Sans CJK SC"/>
        <family val="2"/>
      </rPr>
      <t xml:space="preserve">が知らない『</t>
    </r>
    <r>
      <rPr>
        <sz val="10"/>
        <rFont val="Arial"/>
        <family val="0"/>
        <charset val="1"/>
      </rPr>
      <t xml:space="preserve">3</t>
    </r>
    <r>
      <rPr>
        <sz val="10"/>
        <rFont val="Noto Sans CJK SC"/>
        <family val="2"/>
      </rPr>
      <t xml:space="preserve">秒間』の正体【ショート】【ショート】</t>
    </r>
  </si>
  <si>
    <t xml:space="preserve">2026-08-30</t>
  </si>
  <si>
    <r>
      <rPr>
        <sz val="10"/>
        <rFont val="Arial"/>
        <family val="0"/>
        <charset val="1"/>
      </rPr>
      <t xml:space="preserve">1</t>
    </r>
    <r>
      <rPr>
        <sz val="10"/>
        <rFont val="Noto Sans CJK SC"/>
        <family val="2"/>
      </rPr>
      <t xml:space="preserve">分妖怪ファイル </t>
    </r>
    <r>
      <rPr>
        <sz val="10"/>
        <rFont val="Arial"/>
        <family val="0"/>
        <charset val="1"/>
      </rPr>
      <t xml:space="preserve">#20</t>
    </r>
    <r>
      <rPr>
        <sz val="10"/>
        <rFont val="Noto Sans CJK SC"/>
        <family val="2"/>
      </rPr>
      <t xml:space="preserve">：🔍スネイキーに隠された秘密、</t>
    </r>
    <r>
      <rPr>
        <sz val="10"/>
        <rFont val="Arial"/>
        <family val="0"/>
        <charset val="1"/>
      </rPr>
      <t xml:space="preserve">3</t>
    </r>
    <r>
      <rPr>
        <sz val="10"/>
        <rFont val="Noto Sans CJK SC"/>
        <family val="2"/>
      </rPr>
      <t xml:space="preserve">段階進化の元ネタは蛇神だった？👁️【ショート】</t>
    </r>
  </si>
  <si>
    <t xml:space="preserve">非提示</t>
  </si>
  <si>
    <t xml:space="preserve">2026-08-26</t>
  </si>
  <si>
    <r>
      <rPr>
        <sz val="10"/>
        <rFont val="Noto Sans CJK SC"/>
        <family val="2"/>
      </rPr>
      <t xml:space="preserve">なぜ調査員は</t>
    </r>
    <r>
      <rPr>
        <sz val="10"/>
        <rFont val="Arial"/>
        <family val="0"/>
        <charset val="1"/>
      </rPr>
      <t xml:space="preserve">SCP-1283-JP</t>
    </r>
    <r>
      <rPr>
        <sz val="10"/>
        <rFont val="Noto Sans CJK SC"/>
        <family val="2"/>
      </rPr>
      <t xml:space="preserve">の踏切のむこうで消えたのか？【ショート】</t>
    </r>
  </si>
  <si>
    <t xml:space="preserve">2026-09-04</t>
  </si>
  <si>
    <r>
      <rPr>
        <sz val="10"/>
        <rFont val="Noto Sans CJK SC"/>
        <family val="2"/>
      </rPr>
      <t xml:space="preserve">犬神憑きはなぜ家系ごと記録されたのか 恒一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</si>
  <si>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2026-08-28</t>
  </si>
  <si>
    <r>
      <rPr>
        <sz val="10"/>
        <rFont val="Arial"/>
        <family val="0"/>
        <charset val="1"/>
      </rPr>
      <t xml:space="preserve">1</t>
    </r>
    <r>
      <rPr>
        <sz val="10"/>
        <rFont val="Noto Sans CJK SC"/>
        <family val="2"/>
      </rPr>
      <t xml:space="preserve">分科学 </t>
    </r>
    <r>
      <rPr>
        <sz val="10"/>
        <rFont val="Arial"/>
        <family val="0"/>
        <charset val="1"/>
      </rPr>
      <t xml:space="preserve">#99</t>
    </r>
    <r>
      <rPr>
        <sz val="10"/>
        <rFont val="Noto Sans CJK SC"/>
        <family val="2"/>
      </rPr>
      <t xml:space="preserve">：🧪なぜ濡れた紙は</t>
    </r>
    <r>
      <rPr>
        <sz val="10"/>
        <rFont val="Arial"/>
        <family val="0"/>
        <charset val="1"/>
      </rPr>
      <t xml:space="preserve">3</t>
    </r>
    <r>
      <rPr>
        <sz val="10"/>
        <rFont val="Noto Sans CJK SC"/>
        <family val="2"/>
      </rPr>
      <t xml:space="preserve">倍も破れやすい？あなたが毎日触る繊維の正体【ショート】</t>
    </r>
  </si>
  <si>
    <t xml:space="preserve">2026-09-03</t>
  </si>
  <si>
    <r>
      <rPr>
        <sz val="10"/>
        <rFont val="Noto Sans CJK SC"/>
        <family val="2"/>
      </rPr>
      <t xml:space="preserve">実はマックに神メニュー</t>
    </r>
    <r>
      <rPr>
        <sz val="10"/>
        <rFont val="Arial"/>
        <family val="0"/>
        <charset val="1"/>
      </rPr>
      <t xml:space="preserve">3</t>
    </r>
    <r>
      <rPr>
        <sz val="10"/>
        <rFont val="Noto Sans CJK SC"/>
        <family val="2"/>
      </rPr>
      <t xml:space="preserve">品が決まらない本当の理由とは？ </t>
    </r>
    <r>
      <rPr>
        <sz val="10"/>
        <rFont val="Arial"/>
        <family val="0"/>
        <charset val="1"/>
      </rPr>
      <t xml:space="preserve">#shorts #2ch #</t>
    </r>
    <r>
      <rPr>
        <sz val="10"/>
        <rFont val="Noto Sans CJK SC"/>
        <family val="2"/>
      </rPr>
      <t xml:space="preserve">面白いスレ</t>
    </r>
  </si>
  <si>
    <t xml:space="preserve">2026-09-01</t>
  </si>
  <si>
    <r>
      <rPr>
        <sz val="10"/>
        <rFont val="Arial"/>
        <family val="0"/>
        <charset val="1"/>
      </rPr>
      <t xml:space="preserve">SCP-1987 </t>
    </r>
    <r>
      <rPr>
        <sz val="10"/>
        <rFont val="Noto Sans CJK SC"/>
        <family val="2"/>
      </rPr>
      <t xml:space="preserve">なぜ</t>
    </r>
    <r>
      <rPr>
        <sz val="10"/>
        <rFont val="Arial"/>
        <family val="0"/>
        <charset val="1"/>
      </rPr>
      <t xml:space="preserve">24</t>
    </r>
    <r>
      <rPr>
        <sz val="10"/>
        <rFont val="Noto Sans CJK SC"/>
        <family val="2"/>
      </rPr>
      <t xml:space="preserve">時間ごとに被害が増える？【ショート】</t>
    </r>
  </si>
  <si>
    <r>
      <rPr>
        <sz val="10"/>
        <rFont val="Arial"/>
        <family val="0"/>
        <charset val="1"/>
      </rPr>
      <t xml:space="preserve">SCP-4335</t>
    </r>
    <r>
      <rPr>
        <sz val="10"/>
        <rFont val="Noto Sans CJK SC"/>
        <family val="2"/>
      </rPr>
      <t xml:space="preserve">を見た海域で、なぜ観測記録が途絶えたのか？【ショート】</t>
    </r>
  </si>
  <si>
    <r>
      <rPr>
        <sz val="10"/>
        <rFont val="Noto Sans CJK SC"/>
        <family val="2"/>
      </rPr>
      <t xml:space="preserve">じんめん犬はなぜ笑い話になった？消えた恐怖の噂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</si>
  <si>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Netflix</t>
    </r>
    <r>
      <rPr>
        <sz val="10"/>
        <rFont val="Noto Sans CJK SC"/>
        <family val="2"/>
      </rPr>
      <t xml:space="preserve">の月額</t>
    </r>
    <r>
      <rPr>
        <sz val="10"/>
        <rFont val="Arial"/>
        <family val="0"/>
        <charset val="1"/>
      </rPr>
      <t xml:space="preserve">1,590</t>
    </r>
    <r>
      <rPr>
        <sz val="10"/>
        <rFont val="Noto Sans CJK SC"/>
        <family val="2"/>
      </rPr>
      <t xml:space="preserve">円、本当はどこに消える？【ショート】</t>
    </r>
  </si>
  <si>
    <t xml:space="preserve">2026-08-21</t>
  </si>
  <si>
    <r>
      <rPr>
        <sz val="10"/>
        <rFont val="Arial"/>
        <family val="0"/>
        <charset val="1"/>
      </rPr>
      <t xml:space="preserve">1</t>
    </r>
    <r>
      <rPr>
        <sz val="10"/>
        <rFont val="Noto Sans CJK SC"/>
        <family val="2"/>
      </rPr>
      <t xml:space="preserve">分ポケモン研究 </t>
    </r>
    <r>
      <rPr>
        <sz val="10"/>
        <rFont val="Arial"/>
        <family val="0"/>
        <charset val="1"/>
      </rPr>
      <t xml:space="preserve">#11</t>
    </r>
    <r>
      <rPr>
        <sz val="10"/>
        <rFont val="Noto Sans CJK SC"/>
        <family val="2"/>
      </rPr>
      <t xml:space="preserve">：🔥ドラパルトとガブリアス、君は</t>
    </r>
    <r>
      <rPr>
        <sz val="10"/>
        <rFont val="Arial"/>
        <family val="0"/>
        <charset val="1"/>
      </rPr>
      <t xml:space="preserve">3</t>
    </r>
    <r>
      <rPr>
        <sz val="10"/>
        <rFont val="Noto Sans CJK SC"/>
        <family val="2"/>
      </rPr>
      <t xml:space="preserve">秒で速さの壁を越えられる？【ショート】</t>
    </r>
  </si>
  <si>
    <t xml:space="preserve">2026-08-12</t>
  </si>
  <si>
    <r>
      <rPr>
        <sz val="10"/>
        <rFont val="Noto Sans CJK SC"/>
        <family val="2"/>
      </rPr>
      <t xml:space="preserve">サントリーの平均年収</t>
    </r>
    <r>
      <rPr>
        <sz val="10"/>
        <rFont val="Arial"/>
        <family val="0"/>
        <charset val="1"/>
      </rPr>
      <t xml:space="preserve">1,000</t>
    </r>
    <r>
      <rPr>
        <sz val="10"/>
        <rFont val="Noto Sans CJK SC"/>
        <family val="2"/>
      </rPr>
      <t xml:space="preserve">万円超？残業</t>
    </r>
    <r>
      <rPr>
        <sz val="10"/>
        <rFont val="Arial"/>
        <family val="0"/>
        <charset val="1"/>
      </rPr>
      <t xml:space="preserve">19.5</t>
    </r>
    <r>
      <rPr>
        <sz val="10"/>
        <rFont val="Noto Sans CJK SC"/>
        <family val="2"/>
      </rPr>
      <t xml:space="preserve">時間の実態【ショート】</t>
    </r>
  </si>
  <si>
    <t xml:space="preserve">2026-08-11</t>
  </si>
  <si>
    <r>
      <rPr>
        <sz val="10"/>
        <rFont val="Arial"/>
        <family val="0"/>
        <charset val="1"/>
      </rPr>
      <t xml:space="preserve">SCP-2399</t>
    </r>
    <r>
      <rPr>
        <sz val="10"/>
        <rFont val="Noto Sans CJK SC"/>
        <family val="2"/>
      </rPr>
      <t xml:space="preserve">収容記録：地球まで</t>
    </r>
    <r>
      <rPr>
        <sz val="10"/>
        <rFont val="Arial"/>
        <family val="0"/>
        <charset val="1"/>
      </rPr>
      <t xml:space="preserve">72</t>
    </r>
    <r>
      <rPr>
        <sz val="10"/>
        <rFont val="Noto Sans CJK SC"/>
        <family val="2"/>
      </rPr>
      <t xml:space="preserve">時間、なぜ迎撃隊だけ全滅したのか【最後の軌道通信】【ショート】</t>
    </r>
  </si>
  <si>
    <r>
      <rPr>
        <sz val="10"/>
        <rFont val="Arial"/>
        <family val="0"/>
        <charset val="1"/>
      </rPr>
      <t xml:space="preserve">SCP-6121 </t>
    </r>
    <r>
      <rPr>
        <sz val="10"/>
        <rFont val="Noto Sans CJK SC"/>
        <family val="2"/>
      </rPr>
      <t xml:space="preserve">毎晩</t>
    </r>
    <r>
      <rPr>
        <sz val="10"/>
        <rFont val="Arial"/>
        <family val="0"/>
        <charset val="1"/>
      </rPr>
      <t xml:space="preserve">1cm</t>
    </r>
    <r>
      <rPr>
        <sz val="10"/>
        <rFont val="Noto Sans CJK SC"/>
        <family val="2"/>
      </rPr>
      <t xml:space="preserve">動く椅子、</t>
    </r>
    <r>
      <rPr>
        <sz val="10"/>
        <rFont val="Arial"/>
        <family val="0"/>
        <charset val="1"/>
      </rPr>
      <t xml:space="preserve">14</t>
    </r>
    <r>
      <rPr>
        <sz val="10"/>
        <rFont val="Noto Sans CJK SC"/>
        <family val="2"/>
      </rPr>
      <t xml:space="preserve">日目に起きた異変 </t>
    </r>
    <r>
      <rPr>
        <sz val="10"/>
        <rFont val="Arial"/>
        <family val="0"/>
        <charset val="1"/>
      </rPr>
      <t xml:space="preserve">#shorts #SCP #SCP</t>
    </r>
    <r>
      <rPr>
        <sz val="10"/>
        <rFont val="Noto Sans CJK SC"/>
        <family val="2"/>
      </rPr>
      <t xml:space="preserve">解説</t>
    </r>
  </si>
  <si>
    <t xml:space="preserve">2026-08-14</t>
  </si>
  <si>
    <r>
      <rPr>
        <sz val="10"/>
        <rFont val="Noto Sans CJK SC"/>
        <family val="2"/>
      </rPr>
      <t xml:space="preserve">オリエンタルランドの年収</t>
    </r>
    <r>
      <rPr>
        <sz val="10"/>
        <rFont val="Arial"/>
        <family val="0"/>
        <charset val="1"/>
      </rPr>
      <t xml:space="preserve">536</t>
    </r>
    <r>
      <rPr>
        <sz val="10"/>
        <rFont val="Noto Sans CJK SC"/>
        <family val="2"/>
      </rPr>
      <t xml:space="preserve">万円、離職率</t>
    </r>
    <r>
      <rPr>
        <sz val="10"/>
        <rFont val="Arial"/>
        <family val="0"/>
        <charset val="1"/>
      </rPr>
      <t xml:space="preserve">2.1%</t>
    </r>
    <r>
      <rPr>
        <sz val="10"/>
        <rFont val="Noto Sans CJK SC"/>
        <family val="2"/>
      </rPr>
      <t xml:space="preserve">の実態【ショート】</t>
    </r>
  </si>
  <si>
    <t xml:space="preserve">2026-08-15</t>
  </si>
  <si>
    <t xml:space="preserve">花子さんの正体 — なぜ学校のトイレで「三番目」なのか【ショート】</t>
  </si>
  <si>
    <r>
      <rPr>
        <sz val="10"/>
        <rFont val="Noto Sans CJK SC"/>
        <family val="2"/>
      </rPr>
      <t xml:space="preserve">💸トヨタ自動車の年収</t>
    </r>
    <r>
      <rPr>
        <sz val="10"/>
        <rFont val="Arial"/>
        <family val="0"/>
        <charset val="1"/>
      </rPr>
      <t xml:space="preserve">982</t>
    </r>
    <r>
      <rPr>
        <sz val="10"/>
        <rFont val="Noto Sans CJK SC"/>
        <family val="2"/>
      </rPr>
      <t xml:space="preserve">万円、実は手当の中身が違う【ショート】</t>
    </r>
  </si>
  <si>
    <t xml:space="preserve">2026-08-19</t>
  </si>
  <si>
    <r>
      <rPr>
        <sz val="10"/>
        <rFont val="Noto Sans CJK SC"/>
        <family val="2"/>
      </rPr>
      <t xml:space="preserve">触れた全員が笑う粘体、なぜ</t>
    </r>
    <r>
      <rPr>
        <sz val="10"/>
        <rFont val="Arial"/>
        <family val="0"/>
        <charset val="1"/>
      </rPr>
      <t xml:space="preserve">Safe</t>
    </r>
    <r>
      <rPr>
        <sz val="10"/>
        <rFont val="Noto Sans CJK SC"/>
        <family val="2"/>
      </rPr>
      <t xml:space="preserve">なのか？【ショート】</t>
    </r>
  </si>
  <si>
    <r>
      <rPr>
        <sz val="10"/>
        <rFont val="Noto Sans CJK SC"/>
        <family val="2"/>
      </rPr>
      <t xml:space="preserve">なんか</t>
    </r>
    <r>
      <rPr>
        <sz val="10"/>
        <rFont val="Arial"/>
        <family val="0"/>
        <charset val="1"/>
      </rPr>
      <t xml:space="preserve">PC</t>
    </r>
    <r>
      <rPr>
        <sz val="10"/>
        <rFont val="Noto Sans CJK SC"/>
        <family val="2"/>
      </rPr>
      <t xml:space="preserve">の画面チカチカするんやが【ショート】</t>
    </r>
  </si>
  <si>
    <t xml:space="preserve">2026-08-27</t>
  </si>
  <si>
    <r>
      <rPr>
        <sz val="10"/>
        <rFont val="Noto Sans CJK SC"/>
        <family val="2"/>
      </rPr>
      <t xml:space="preserve">📉大谷翔平の年収が実は約</t>
    </r>
    <r>
      <rPr>
        <sz val="10"/>
        <rFont val="Arial"/>
        <family val="0"/>
        <charset val="1"/>
      </rPr>
      <t xml:space="preserve">160</t>
    </r>
    <r>
      <rPr>
        <sz val="10"/>
        <rFont val="Noto Sans CJK SC"/>
        <family val="2"/>
      </rPr>
      <t xml:space="preserve">億円？スポンサー契約の裏側📉【ショート】</t>
    </r>
  </si>
  <si>
    <r>
      <rPr>
        <sz val="10"/>
        <rFont val="Arial"/>
        <family val="0"/>
        <charset val="1"/>
      </rPr>
      <t xml:space="preserve">SCP-2845</t>
    </r>
    <r>
      <rPr>
        <sz val="10"/>
        <rFont val="Noto Sans CJK SC"/>
        <family val="2"/>
      </rPr>
      <t xml:space="preserve">収容記録：儀式が</t>
    </r>
    <r>
      <rPr>
        <sz val="10"/>
        <rFont val="Arial"/>
        <family val="0"/>
        <charset val="1"/>
      </rPr>
      <t xml:space="preserve">1</t>
    </r>
    <r>
      <rPr>
        <sz val="10"/>
        <rFont val="Noto Sans CJK SC"/>
        <family val="2"/>
      </rPr>
      <t xml:space="preserve">分遅れた夜、</t>
    </r>
    <r>
      <rPr>
        <sz val="10"/>
        <rFont val="Arial"/>
        <family val="0"/>
        <charset val="1"/>
      </rPr>
      <t xml:space="preserve">173</t>
    </r>
    <r>
      <rPr>
        <sz val="10"/>
        <rFont val="Noto Sans CJK SC"/>
        <family val="2"/>
      </rPr>
      <t xml:space="preserve">名はなぜか全員消えた【これが最後の名簿】【ショート】</t>
    </r>
  </si>
  <si>
    <t xml:space="preserve">2026-08-24</t>
  </si>
  <si>
    <r>
      <rPr>
        <sz val="10"/>
        <rFont val="Arial"/>
        <family val="0"/>
        <charset val="1"/>
      </rPr>
      <t xml:space="preserve">1</t>
    </r>
    <r>
      <rPr>
        <sz val="10"/>
        <rFont val="Noto Sans CJK SC"/>
        <family val="2"/>
      </rPr>
      <t xml:space="preserve">分科学 </t>
    </r>
    <r>
      <rPr>
        <sz val="10"/>
        <rFont val="Arial"/>
        <family val="0"/>
        <charset val="1"/>
      </rPr>
      <t xml:space="preserve">#93</t>
    </r>
    <r>
      <rPr>
        <sz val="10"/>
        <rFont val="Noto Sans CJK SC"/>
        <family val="2"/>
      </rPr>
      <t xml:space="preserve">：🔍なぜ満月の夜だけ夢を覚えている？月齢</t>
    </r>
    <r>
      <rPr>
        <sz val="10"/>
        <rFont val="Arial"/>
        <family val="0"/>
        <charset val="1"/>
      </rPr>
      <t xml:space="preserve">29.5</t>
    </r>
    <r>
      <rPr>
        <sz val="10"/>
        <rFont val="Noto Sans CJK SC"/>
        <family val="2"/>
      </rPr>
      <t xml:space="preserve">日に隠れた睡眠の正体【ショート】</t>
    </r>
  </si>
  <si>
    <t xml:space="preserve">2026-08-20</t>
  </si>
  <si>
    <r>
      <rPr>
        <sz val="10"/>
        <rFont val="Noto Sans CJK SC"/>
        <family val="2"/>
      </rPr>
      <t xml:space="preserve">ちいかわチョコサプ、なぜ中身が攻めすぎなのか？</t>
    </r>
    <r>
      <rPr>
        <sz val="10"/>
        <rFont val="Arial"/>
        <family val="0"/>
        <charset val="1"/>
      </rPr>
      <t xml:space="preserve">3</t>
    </r>
    <r>
      <rPr>
        <sz val="10"/>
        <rFont val="Noto Sans CJK SC"/>
        <family val="2"/>
      </rPr>
      <t xml:space="preserve">秒予想してみたら草【ショート】</t>
    </r>
  </si>
  <si>
    <r>
      <rPr>
        <sz val="10"/>
        <rFont val="Arial"/>
        <family val="0"/>
        <charset val="1"/>
      </rPr>
      <t xml:space="preserve">1</t>
    </r>
    <r>
      <rPr>
        <sz val="10"/>
        <rFont val="Noto Sans CJK SC"/>
        <family val="2"/>
      </rPr>
      <t xml:space="preserve">分科学 </t>
    </r>
    <r>
      <rPr>
        <sz val="10"/>
        <rFont val="Arial"/>
        <family val="0"/>
        <charset val="1"/>
      </rPr>
      <t xml:space="preserve">#97</t>
    </r>
    <r>
      <rPr>
        <sz val="10"/>
        <rFont val="Noto Sans CJK SC"/>
        <family val="2"/>
      </rPr>
      <t xml:space="preserve">：🧬なぜ大谷翔平は睡眠を最優先するのか？</t>
    </r>
    <r>
      <rPr>
        <sz val="10"/>
        <rFont val="Arial"/>
        <family val="0"/>
        <charset val="1"/>
      </rPr>
      <t xml:space="preserve">8</t>
    </r>
    <r>
      <rPr>
        <sz val="10"/>
        <rFont val="Noto Sans CJK SC"/>
        <family val="2"/>
      </rPr>
      <t xml:space="preserve">時間超が支える体の正体【ショート】</t>
    </r>
  </si>
  <si>
    <r>
      <rPr>
        <sz val="10"/>
        <rFont val="Noto Sans CJK SC"/>
        <family val="2"/>
      </rPr>
      <t xml:space="preserve">君が知らないシェイミ</t>
    </r>
    <r>
      <rPr>
        <sz val="10"/>
        <rFont val="Arial"/>
        <family val="0"/>
        <charset val="1"/>
      </rPr>
      <t xml:space="preserve">2</t>
    </r>
    <r>
      <rPr>
        <sz val="10"/>
        <rFont val="Noto Sans CJK SC"/>
        <family val="2"/>
      </rPr>
      <t xml:space="preserve">形態の正体</t>
    </r>
    <r>
      <rPr>
        <sz val="10"/>
        <rFont val="Arial"/>
        <family val="0"/>
        <charset val="1"/>
      </rPr>
      <t xml:space="preserve">127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</si>
  <si>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SCP-093</t>
    </r>
    <r>
      <rPr>
        <sz val="10"/>
        <rFont val="Noto Sans CJK SC"/>
        <family val="2"/>
      </rPr>
      <t xml:space="preserve">の</t>
    </r>
    <r>
      <rPr>
        <sz val="10"/>
        <rFont val="Arial"/>
        <family val="0"/>
        <charset val="1"/>
      </rPr>
      <t xml:space="preserve">6</t>
    </r>
    <r>
      <rPr>
        <sz val="10"/>
        <rFont val="Noto Sans CJK SC"/>
        <family val="2"/>
      </rPr>
      <t xml:space="preserve">色記録 なぜ戻れた？【ショート】</t>
    </r>
  </si>
  <si>
    <t xml:space="preserve">2026-08-25</t>
  </si>
  <si>
    <r>
      <rPr>
        <sz val="10"/>
        <rFont val="Arial"/>
        <family val="0"/>
        <charset val="1"/>
      </rPr>
      <t xml:space="preserve">1</t>
    </r>
    <r>
      <rPr>
        <sz val="10"/>
        <rFont val="Noto Sans CJK SC"/>
        <family val="2"/>
      </rPr>
      <t xml:space="preserve">分科学 </t>
    </r>
    <r>
      <rPr>
        <sz val="10"/>
        <rFont val="Arial"/>
        <family val="0"/>
        <charset val="1"/>
      </rPr>
      <t xml:space="preserve">#94</t>
    </r>
    <r>
      <rPr>
        <sz val="10"/>
        <rFont val="Noto Sans CJK SC"/>
        <family val="2"/>
      </rPr>
      <t xml:space="preserve">：🧬なぜ甘い物のあと塩気が欲しい？あなたの舌で</t>
    </r>
    <r>
      <rPr>
        <sz val="10"/>
        <rFont val="Arial"/>
        <family val="0"/>
        <charset val="1"/>
      </rPr>
      <t xml:space="preserve">3</t>
    </r>
    <r>
      <rPr>
        <sz val="10"/>
        <rFont val="Noto Sans CJK SC"/>
        <family val="2"/>
      </rPr>
      <t xml:space="preserve">分起きる感度の正体【ショート】</t>
    </r>
  </si>
  <si>
    <r>
      <rPr>
        <sz val="10"/>
        <rFont val="Noto Sans CJK SC"/>
        <family val="2"/>
      </rPr>
      <t xml:space="preserve">歩き方を意識した</t>
    </r>
    <r>
      <rPr>
        <sz val="10"/>
        <rFont val="Arial"/>
        <family val="0"/>
        <charset val="1"/>
      </rPr>
      <t xml:space="preserve">3</t>
    </r>
    <r>
      <rPr>
        <sz val="10"/>
        <rFont val="Noto Sans CJK SC"/>
        <family val="2"/>
      </rPr>
      <t xml:space="preserve">秒で迷う正体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</si>
  <si>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分妖怪ファイル：キュウビの元ネタ玉藻前、殺生石になった結末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</si>
  <si>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1</t>
    </r>
    <r>
      <rPr>
        <sz val="10"/>
        <rFont val="Noto Sans CJK SC"/>
        <family val="2"/>
      </rPr>
      <t xml:space="preserve">分科学：なぜ蚊に刺された場所は数分後から痒くなるのか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</si>
  <si>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SCP-███ </t>
    </r>
    <r>
      <rPr>
        <sz val="10"/>
        <rFont val="Noto Sans CJK SC"/>
        <family val="2"/>
      </rPr>
      <t xml:space="preserve">なぜ扉に</t>
    </r>
    <r>
      <rPr>
        <sz val="10"/>
        <rFont val="Arial"/>
        <family val="0"/>
        <charset val="1"/>
      </rPr>
      <t xml:space="preserve">3</t>
    </r>
    <r>
      <rPr>
        <sz val="10"/>
        <rFont val="Noto Sans CJK SC"/>
        <family val="2"/>
      </rPr>
      <t xml:space="preserve">枚目の札がある？ </t>
    </r>
    <r>
      <rPr>
        <sz val="10"/>
        <rFont val="Arial"/>
        <family val="0"/>
        <charset val="1"/>
      </rPr>
      <t xml:space="preserve">#shorts #SCP #SCP</t>
    </r>
    <r>
      <rPr>
        <sz val="10"/>
        <rFont val="Noto Sans CJK SC"/>
        <family val="2"/>
      </rPr>
      <t xml:space="preserve">解説</t>
    </r>
  </si>
  <si>
    <t xml:space="preserve">2026-08-18</t>
  </si>
  <si>
    <r>
      <rPr>
        <sz val="10"/>
        <rFont val="Arial"/>
        <family val="0"/>
        <charset val="1"/>
      </rPr>
      <t xml:space="preserve">SCP-682</t>
    </r>
    <r>
      <rPr>
        <sz val="10"/>
        <rFont val="Noto Sans CJK SC"/>
        <family val="2"/>
      </rPr>
      <t xml:space="preserve">の酸槽、記録に残らない変化が起きた【ショート】</t>
    </r>
  </si>
  <si>
    <t xml:space="preserve">2026-08-09</t>
  </si>
  <si>
    <r>
      <rPr>
        <sz val="10"/>
        <rFont val="Noto Sans CJK SC"/>
        <family val="2"/>
      </rPr>
      <t xml:space="preserve">なぜ寝起きは鼻だけ詰まるの？</t>
    </r>
    <r>
      <rPr>
        <sz val="10"/>
        <rFont val="Arial"/>
        <family val="0"/>
        <charset val="1"/>
      </rPr>
      <t xml:space="preserve">4</t>
    </r>
    <r>
      <rPr>
        <sz val="10"/>
        <rFont val="Noto Sans CJK SC"/>
        <family val="2"/>
      </rPr>
      <t xml:space="preserve">時間サイクルの秘密、知ってた？</t>
    </r>
    <r>
      <rPr>
        <sz val="10"/>
        <rFont val="Arial"/>
        <family val="0"/>
        <charset val="1"/>
      </rPr>
      <t xml:space="preserve">#</t>
    </r>
    <r>
      <rPr>
        <sz val="10"/>
        <rFont val="Noto Sans CJK SC"/>
        <family val="2"/>
      </rPr>
      <t xml:space="preserve">今朝の鼻づまり、実は</t>
    </r>
    <r>
      <rPr>
        <sz val="10"/>
        <rFont val="Arial"/>
        <family val="0"/>
        <charset val="1"/>
      </rPr>
      <t xml:space="preserve">4</t>
    </r>
    <r>
      <rPr>
        <sz val="10"/>
        <rFont val="Noto Sans CJK SC"/>
        <family val="2"/>
      </rPr>
      <t xml:space="preserve">時間ごとに左右が入れ替わってた——</t>
    </r>
    <r>
      <rPr>
        <sz val="10"/>
        <rFont val="Arial"/>
        <family val="0"/>
        <charset val="1"/>
      </rPr>
      <t xml:space="preserve">99%</t>
    </r>
    <r>
      <rPr>
        <sz val="10"/>
        <rFont val="Noto Sans CJK SC"/>
        <family val="2"/>
      </rPr>
      <t xml:space="preserve">が知らない睡眠中の鼻の正体 </t>
    </r>
    <r>
      <rPr>
        <sz val="10"/>
        <rFont val="Arial"/>
        <family val="0"/>
        <charset val="1"/>
      </rPr>
      <t xml:space="preserve">#shorts #</t>
    </r>
    <r>
      <rPr>
        <sz val="10"/>
        <rFont val="Noto Sans CJK SC"/>
        <family val="2"/>
      </rPr>
      <t xml:space="preserve">ゆっくり解説</t>
    </r>
  </si>
  <si>
    <r>
      <rPr>
        <sz val="10"/>
        <rFont val="Arial"/>
        <family val="0"/>
        <charset val="1"/>
      </rPr>
      <t xml:space="preserve">1</t>
    </r>
    <r>
      <rPr>
        <sz val="10"/>
        <rFont val="Noto Sans CJK SC"/>
        <family val="2"/>
      </rPr>
      <t xml:space="preserve">分ポケモン研究：ヌメルゴンとバンギラス、特防が高いのはどっち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</si>
  <si>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なぜ「死亡者</t>
    </r>
    <r>
      <rPr>
        <sz val="10"/>
        <rFont val="Arial"/>
        <family val="0"/>
        <charset val="1"/>
      </rPr>
      <t xml:space="preserve">0</t>
    </r>
    <r>
      <rPr>
        <sz val="10"/>
        <rFont val="Noto Sans CJK SC"/>
        <family val="2"/>
      </rPr>
      <t xml:space="preserve">人」の日々で人々が消えたのか【</t>
    </r>
    <r>
      <rPr>
        <sz val="10"/>
        <rFont val="Arial"/>
        <family val="0"/>
        <charset val="1"/>
      </rPr>
      <t xml:space="preserve">SCP-3519</t>
    </r>
    <r>
      <rPr>
        <sz val="10"/>
        <rFont val="Noto Sans CJK SC"/>
        <family val="2"/>
      </rPr>
      <t xml:space="preserve">】【ショート】</t>
    </r>
  </si>
  <si>
    <t xml:space="preserve">2026-08-13</t>
  </si>
  <si>
    <r>
      <rPr>
        <sz val="10"/>
        <rFont val="Noto Sans CJK SC"/>
        <family val="2"/>
      </rPr>
      <t xml:space="preserve">ソニーの平均年収</t>
    </r>
    <r>
      <rPr>
        <sz val="10"/>
        <rFont val="Arial"/>
        <family val="0"/>
        <charset val="1"/>
      </rPr>
      <t xml:space="preserve">1118</t>
    </r>
    <r>
      <rPr>
        <sz val="10"/>
        <rFont val="Noto Sans CJK SC"/>
        <family val="2"/>
      </rPr>
      <t xml:space="preserve">万円、年間休日</t>
    </r>
    <r>
      <rPr>
        <sz val="10"/>
        <rFont val="Arial"/>
        <family val="0"/>
        <charset val="1"/>
      </rPr>
      <t xml:space="preserve">125</t>
    </r>
    <r>
      <rPr>
        <sz val="10"/>
        <rFont val="Noto Sans CJK SC"/>
        <family val="2"/>
      </rPr>
      <t xml:space="preserve">日の実態【ショート】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</si>
  <si>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#13</t>
    </r>
    <r>
      <rPr>
        <sz val="10"/>
        <rFont val="Noto Sans CJK SC"/>
        <family val="2"/>
      </rPr>
      <t xml:space="preserve">：👀グリーンに隠された</t>
    </r>
    <r>
      <rPr>
        <sz val="10"/>
        <rFont val="Arial"/>
        <family val="0"/>
        <charset val="1"/>
      </rPr>
      <t xml:space="preserve">3</t>
    </r>
    <r>
      <rPr>
        <sz val="10"/>
        <rFont val="Noto Sans CJK SC"/>
        <family val="2"/>
      </rPr>
      <t xml:space="preserve">つの秘密、あなたは本当の役割に気づいた？【ショート】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</si>
  <si>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SCP-006-JP</t>
    </r>
    <r>
      <rPr>
        <sz val="10"/>
        <rFont val="Noto Sans CJK SC"/>
        <family val="2"/>
      </rPr>
      <t xml:space="preserve">「あけろ」ドアの向こうの記録 </t>
    </r>
    <r>
      <rPr>
        <sz val="10"/>
        <rFont val="Arial"/>
        <family val="0"/>
        <charset val="1"/>
      </rPr>
      <t xml:space="preserve">#shorts #SCP #SCP</t>
    </r>
    <r>
      <rPr>
        <sz val="10"/>
        <rFont val="Noto Sans CJK SC"/>
        <family val="2"/>
      </rPr>
      <t xml:space="preserve">解説</t>
    </r>
  </si>
  <si>
    <r>
      <rPr>
        <sz val="10"/>
        <rFont val="Noto Sans CJK SC"/>
        <family val="2"/>
      </rPr>
      <t xml:space="preserve">三菱商事の平均年収</t>
    </r>
    <r>
      <rPr>
        <sz val="10"/>
        <rFont val="Arial"/>
        <family val="0"/>
        <charset val="1"/>
      </rPr>
      <t xml:space="preserve">2033</t>
    </r>
    <r>
      <rPr>
        <sz val="10"/>
        <rFont val="Noto Sans CJK SC"/>
        <family val="2"/>
      </rPr>
      <t xml:space="preserve">万円、その中身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</si>
  <si>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2026-09-05</t>
  </si>
  <si>
    <r>
      <rPr>
        <sz val="10"/>
        <rFont val="Arial"/>
        <family val="0"/>
        <charset val="1"/>
      </rPr>
      <t xml:space="preserve">SCP-2140 </t>
    </r>
    <r>
      <rPr>
        <sz val="10"/>
        <rFont val="Noto Sans CJK SC"/>
        <family val="2"/>
      </rPr>
      <t xml:space="preserve">閲覧後、</t>
    </r>
    <r>
      <rPr>
        <sz val="10"/>
        <rFont val="Arial"/>
        <family val="0"/>
        <charset val="1"/>
      </rPr>
      <t xml:space="preserve">8</t>
    </r>
    <r>
      <rPr>
        <sz val="10"/>
        <rFont val="Noto Sans CJK SC"/>
        <family val="2"/>
      </rPr>
      <t xml:space="preserve">人の職員記録が別人に置換された </t>
    </r>
    <r>
      <rPr>
        <sz val="10"/>
        <rFont val="Arial"/>
        <family val="0"/>
        <charset val="1"/>
      </rPr>
      <t xml:space="preserve">#shorts #SCP #SCP</t>
    </r>
    <r>
      <rPr>
        <sz val="10"/>
        <rFont val="Noto Sans CJK SC"/>
        <family val="2"/>
      </rPr>
      <t xml:space="preserve">解説</t>
    </r>
  </si>
  <si>
    <r>
      <rPr>
        <sz val="10"/>
        <rFont val="Arial"/>
        <family val="0"/>
        <charset val="1"/>
      </rPr>
      <t xml:space="preserve">1</t>
    </r>
    <r>
      <rPr>
        <sz val="10"/>
        <rFont val="Noto Sans CJK SC"/>
        <family val="2"/>
      </rPr>
      <t xml:space="preserve">分科学 </t>
    </r>
    <r>
      <rPr>
        <sz val="10"/>
        <rFont val="Arial"/>
        <family val="0"/>
        <charset val="1"/>
      </rPr>
      <t xml:space="preserve">#88</t>
    </r>
    <r>
      <rPr>
        <sz val="10"/>
        <rFont val="Noto Sans CJK SC"/>
        <family val="2"/>
      </rPr>
      <t xml:space="preserve">：📈なぜあなたは最後の</t>
    </r>
    <r>
      <rPr>
        <sz val="10"/>
        <rFont val="Arial"/>
        <family val="0"/>
        <charset val="1"/>
      </rPr>
      <t xml:space="preserve">1</t>
    </r>
    <r>
      <rPr>
        <sz val="10"/>
        <rFont val="Noto Sans CJK SC"/>
        <family val="2"/>
      </rPr>
      <t xml:space="preserve">段だけ踏み外す？</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秒のズレ📊【ショート】</t>
    </r>
  </si>
  <si>
    <r>
      <rPr>
        <sz val="10"/>
        <rFont val="Arial"/>
        <family val="0"/>
        <charset val="1"/>
      </rPr>
      <t xml:space="preserve">SCP-███ </t>
    </r>
    <r>
      <rPr>
        <sz val="10"/>
        <rFont val="Noto Sans CJK SC"/>
        <family val="2"/>
      </rPr>
      <t xml:space="preserve">正体は</t>
    </r>
    <r>
      <rPr>
        <sz val="10"/>
        <rFont val="Arial"/>
        <family val="0"/>
        <charset val="1"/>
      </rPr>
      <t xml:space="preserve">0</t>
    </r>
    <r>
      <rPr>
        <sz val="10"/>
        <rFont val="Noto Sans CJK SC"/>
        <family val="2"/>
      </rPr>
      <t xml:space="preserve">秒の無音録音 </t>
    </r>
    <r>
      <rPr>
        <sz val="10"/>
        <rFont val="Arial"/>
        <family val="0"/>
        <charset val="1"/>
      </rPr>
      <t xml:space="preserve">#shorts #SCP #SCP</t>
    </r>
    <r>
      <rPr>
        <sz val="10"/>
        <rFont val="Noto Sans CJK SC"/>
        <family val="2"/>
      </rPr>
      <t xml:space="preserve">解説</t>
    </r>
  </si>
  <si>
    <t xml:space="preserve">2026-08-23</t>
  </si>
  <si>
    <r>
      <rPr>
        <sz val="10"/>
        <rFont val="Noto Sans CJK SC"/>
        <family val="2"/>
      </rPr>
      <t xml:space="preserve">一口</t>
    </r>
    <r>
      <rPr>
        <sz val="10"/>
        <rFont val="Arial"/>
        <family val="0"/>
        <charset val="1"/>
      </rPr>
      <t xml:space="preserve">SCP #96</t>
    </r>
    <r>
      <rPr>
        <sz val="10"/>
        <rFont val="Noto Sans CJK SC"/>
        <family val="2"/>
      </rPr>
      <t xml:space="preserve">：🫣</t>
    </r>
    <r>
      <rPr>
        <sz val="10"/>
        <rFont val="Arial"/>
        <family val="0"/>
        <charset val="1"/>
      </rPr>
      <t xml:space="preserve">SCP-507</t>
    </r>
    <r>
      <rPr>
        <sz val="10"/>
        <rFont val="Noto Sans CJK SC"/>
        <family val="2"/>
      </rPr>
      <t xml:space="preserve">「不本意な次元旅行者」あなたの部屋にも戻るかもしれない恐怖【ショート】</t>
    </r>
  </si>
  <si>
    <r>
      <rPr>
        <sz val="10"/>
        <rFont val="Noto Sans CJK SC"/>
        <family val="2"/>
      </rPr>
      <t xml:space="preserve">動画作りに</t>
    </r>
    <r>
      <rPr>
        <sz val="10"/>
        <rFont val="Arial"/>
        <family val="0"/>
        <charset val="1"/>
      </rPr>
      <t xml:space="preserve">7</t>
    </r>
    <r>
      <rPr>
        <sz val="10"/>
        <rFont val="Noto Sans CJK SC"/>
        <family val="2"/>
      </rPr>
      <t xml:space="preserve">万課金した男、なぜ昼飯が塩むすびになったのか？【ショート】</t>
    </r>
  </si>
  <si>
    <r>
      <rPr>
        <sz val="10"/>
        <rFont val="Noto Sans CJK SC"/>
        <family val="2"/>
      </rPr>
      <t xml:space="preserve">一口</t>
    </r>
    <r>
      <rPr>
        <sz val="10"/>
        <rFont val="Arial"/>
        <family val="0"/>
        <charset val="1"/>
      </rPr>
      <t xml:space="preserve">SCP #105</t>
    </r>
    <r>
      <rPr>
        <sz val="10"/>
        <rFont val="Noto Sans CJK SC"/>
        <family val="2"/>
      </rPr>
      <t xml:space="preserve">：💀</t>
    </r>
    <r>
      <rPr>
        <sz val="10"/>
        <rFont val="Arial"/>
        <family val="0"/>
        <charset val="1"/>
      </rPr>
      <t xml:space="preserve">SCP-239</t>
    </r>
    <r>
      <rPr>
        <sz val="10"/>
        <rFont val="Noto Sans CJK SC"/>
        <family val="2"/>
      </rPr>
      <t xml:space="preserve">「魔女の子供」眠る</t>
    </r>
    <r>
      <rPr>
        <sz val="10"/>
        <rFont val="Arial"/>
        <family val="0"/>
        <charset val="1"/>
      </rPr>
      <t xml:space="preserve">8</t>
    </r>
    <r>
      <rPr>
        <sz val="10"/>
        <rFont val="Noto Sans CJK SC"/>
        <family val="2"/>
      </rPr>
      <t xml:space="preserve">歳を財団が恐れた収容記録😱【ショート】</t>
    </r>
  </si>
  <si>
    <r>
      <rPr>
        <sz val="10"/>
        <rFont val="Noto Sans CJK SC"/>
        <family val="2"/>
      </rPr>
      <t xml:space="preserve">口裂け女の噂はなぜ全国へ？名前を呼べない本当の理由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</si>
  <si>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2026-08-29</t>
  </si>
  <si>
    <r>
      <rPr>
        <sz val="10"/>
        <rFont val="Noto Sans CJK SC"/>
        <family val="2"/>
      </rPr>
      <t xml:space="preserve">一口</t>
    </r>
    <r>
      <rPr>
        <sz val="10"/>
        <rFont val="Arial"/>
        <family val="0"/>
        <charset val="1"/>
      </rPr>
      <t xml:space="preserve">SCP #108</t>
    </r>
    <r>
      <rPr>
        <sz val="10"/>
        <rFont val="Noto Sans CJK SC"/>
        <family val="2"/>
      </rPr>
      <t xml:space="preserve">：🫣</t>
    </r>
    <r>
      <rPr>
        <sz val="10"/>
        <rFont val="Arial"/>
        <family val="0"/>
        <charset val="1"/>
      </rPr>
      <t xml:space="preserve">SCP-6670</t>
    </r>
    <r>
      <rPr>
        <sz val="10"/>
        <rFont val="Noto Sans CJK SC"/>
        <family val="2"/>
      </rPr>
      <t xml:space="preserve">「完全な破滅」人類全員を消す報告書の恐怖【ショート】</t>
    </r>
  </si>
  <si>
    <r>
      <rPr>
        <sz val="10"/>
        <rFont val="Noto Sans CJK SC"/>
        <family val="2"/>
      </rPr>
      <t xml:space="preserve">昨夜の夢、なぜ</t>
    </r>
    <r>
      <rPr>
        <sz val="10"/>
        <rFont val="Arial"/>
        <family val="0"/>
        <charset val="1"/>
      </rPr>
      <t xml:space="preserve">12</t>
    </r>
    <r>
      <rPr>
        <sz val="10"/>
        <rFont val="Noto Sans CJK SC"/>
        <family val="2"/>
      </rPr>
      <t xml:space="preserve">分なのに何時間もいた気がする？</t>
    </r>
    <r>
      <rPr>
        <sz val="10"/>
        <rFont val="Arial"/>
        <family val="0"/>
        <charset val="1"/>
      </rPr>
      <t xml:space="preserve">9</t>
    </r>
    <r>
      <rPr>
        <sz val="10"/>
        <rFont val="Noto Sans CJK SC"/>
        <family val="2"/>
      </rPr>
      <t xml:space="preserve">割が勘違いする時間感覚【ショート】</t>
    </r>
  </si>
  <si>
    <r>
      <rPr>
        <sz val="10"/>
        <rFont val="Noto Sans CJK SC"/>
        <family val="2"/>
      </rPr>
      <t xml:space="preserve">なぜ夢の続きを見た気がするのか？</t>
    </r>
    <r>
      <rPr>
        <sz val="10"/>
        <rFont val="Arial"/>
        <family val="0"/>
        <charset val="1"/>
      </rPr>
      <t xml:space="preserve">99%</t>
    </r>
    <r>
      <rPr>
        <sz val="10"/>
        <rFont val="Noto Sans CJK SC"/>
        <family val="2"/>
      </rPr>
      <t xml:space="preserve">が知らない目覚め後</t>
    </r>
    <r>
      <rPr>
        <sz val="10"/>
        <rFont val="Arial"/>
        <family val="0"/>
        <charset val="1"/>
      </rPr>
      <t xml:space="preserve">5</t>
    </r>
    <r>
      <rPr>
        <sz val="10"/>
        <rFont val="Noto Sans CJK SC"/>
        <family val="2"/>
      </rPr>
      <t xml:space="preserve">分の記憶再構成【ショート】</t>
    </r>
  </si>
  <si>
    <r>
      <rPr>
        <sz val="10"/>
        <rFont val="Arial"/>
        <family val="0"/>
        <charset val="1"/>
      </rPr>
      <t xml:space="preserve">1</t>
    </r>
    <r>
      <rPr>
        <sz val="10"/>
        <rFont val="Noto Sans CJK SC"/>
        <family val="2"/>
      </rPr>
      <t xml:space="preserve">分科学 </t>
    </r>
    <r>
      <rPr>
        <sz val="10"/>
        <rFont val="Arial"/>
        <family val="0"/>
        <charset val="1"/>
      </rPr>
      <t xml:space="preserve">#92</t>
    </r>
    <r>
      <rPr>
        <sz val="10"/>
        <rFont val="Noto Sans CJK SC"/>
        <family val="2"/>
      </rPr>
      <t xml:space="preserve">：🌍なぜ目をこすると光が見える？あなたの網膜で起きる</t>
    </r>
    <r>
      <rPr>
        <sz val="10"/>
        <rFont val="Arial"/>
        <family val="0"/>
        <charset val="1"/>
      </rPr>
      <t xml:space="preserve">3</t>
    </r>
    <r>
      <rPr>
        <sz val="10"/>
        <rFont val="Noto Sans CJK SC"/>
        <family val="2"/>
      </rPr>
      <t xml:space="preserve">秒の勘違い💡【ショート】</t>
    </r>
  </si>
  <si>
    <r>
      <rPr>
        <sz val="10"/>
        <rFont val="Arial"/>
        <family val="0"/>
        <charset val="1"/>
      </rPr>
      <t xml:space="preserve">1</t>
    </r>
    <r>
      <rPr>
        <sz val="10"/>
        <rFont val="Noto Sans CJK SC"/>
        <family val="2"/>
      </rPr>
      <t xml:space="preserve">分ポケモン研究：なぜピカチュウだけ？図鑑</t>
    </r>
    <r>
      <rPr>
        <sz val="10"/>
        <rFont val="Arial"/>
        <family val="0"/>
        <charset val="1"/>
      </rPr>
      <t xml:space="preserve">778</t>
    </r>
    <r>
      <rPr>
        <sz val="10"/>
        <rFont val="Noto Sans CJK SC"/>
        <family val="2"/>
      </rPr>
      <t xml:space="preserve">番の本音</t>
    </r>
    <r>
      <rPr>
        <sz val="10"/>
        <rFont val="Arial"/>
        <family val="0"/>
        <charset val="1"/>
      </rPr>
      <t xml:space="preserve">#</t>
    </r>
    <r>
      <rPr>
        <sz val="10"/>
        <rFont val="Noto Sans CJK SC"/>
        <family val="2"/>
      </rPr>
      <t xml:space="preserve">なぜ図鑑</t>
    </r>
    <r>
      <rPr>
        <sz val="10"/>
        <rFont val="Arial"/>
        <family val="0"/>
        <charset val="1"/>
      </rPr>
      <t xml:space="preserve">778</t>
    </r>
    <r>
      <rPr>
        <sz val="10"/>
        <rFont val="Noto Sans CJK SC"/>
        <family val="2"/>
      </rPr>
      <t xml:space="preserve">番はピカチュウだけ真似るのか？理由が意外すぎた【ショート】 </t>
    </r>
    <r>
      <rPr>
        <sz val="10"/>
        <rFont val="Arial"/>
        <family val="0"/>
        <charset val="1"/>
      </rPr>
      <t xml:space="preserve">#shorts #</t>
    </r>
    <r>
      <rPr>
        <sz val="10"/>
        <rFont val="Noto Sans CJK SC"/>
        <family val="2"/>
      </rPr>
      <t xml:space="preserve">ゆっくり解説</t>
    </r>
  </si>
  <si>
    <t xml:space="preserve">ぬらりひょんの正体が怖すぎる — なぜあなたの家に勝手に上がるのか【ショート】</t>
  </si>
  <si>
    <t xml:space="preserve">2026-08-17</t>
  </si>
  <si>
    <r>
      <rPr>
        <sz val="10"/>
        <rFont val="Noto Sans CJK SC"/>
        <family val="2"/>
      </rPr>
      <t xml:space="preserve">リクルートの賞与は年間</t>
    </r>
    <r>
      <rPr>
        <sz val="10"/>
        <rFont val="Arial"/>
        <family val="0"/>
        <charset val="1"/>
      </rPr>
      <t xml:space="preserve">150</t>
    </r>
    <r>
      <rPr>
        <sz val="10"/>
        <rFont val="Noto Sans CJK SC"/>
        <family val="2"/>
      </rPr>
      <t xml:space="preserve">万円超？平均年齢</t>
    </r>
    <r>
      <rPr>
        <sz val="10"/>
        <rFont val="Arial"/>
        <family val="0"/>
        <charset val="1"/>
      </rPr>
      <t xml:space="preserve">35</t>
    </r>
    <r>
      <rPr>
        <sz val="10"/>
        <rFont val="Noto Sans CJK SC"/>
        <family val="2"/>
      </rPr>
      <t xml:space="preserve">歳の待遇を検証【ショート】</t>
    </r>
  </si>
  <si>
    <r>
      <rPr>
        <sz val="10"/>
        <rFont val="Noto Sans CJK SC"/>
        <family val="2"/>
      </rPr>
      <t xml:space="preserve">なぜ</t>
    </r>
    <r>
      <rPr>
        <sz val="10"/>
        <rFont val="Arial"/>
        <family val="0"/>
        <charset val="1"/>
      </rPr>
      <t xml:space="preserve">PS5 Pro</t>
    </r>
    <r>
      <rPr>
        <sz val="10"/>
        <rFont val="Noto Sans CJK SC"/>
        <family val="2"/>
      </rPr>
      <t xml:space="preserve">に期待する？値段で胃が痛い理由とは</t>
    </r>
    <r>
      <rPr>
        <sz val="10"/>
        <rFont val="Arial"/>
        <family val="0"/>
        <charset val="1"/>
      </rPr>
      <t xml:space="preserve">w</t>
    </r>
    <r>
      <rPr>
        <sz val="10"/>
        <rFont val="Noto Sans CJK SC"/>
        <family val="2"/>
      </rPr>
      <t xml:space="preserve">【ショート】</t>
    </r>
  </si>
  <si>
    <r>
      <rPr>
        <sz val="10"/>
        <rFont val="Noto Sans CJK SC"/>
        <family val="2"/>
      </rPr>
      <t xml:space="preserve">💰アジア大会の裏方企業、年収</t>
    </r>
    <r>
      <rPr>
        <sz val="10"/>
        <rFont val="Arial"/>
        <family val="0"/>
        <charset val="1"/>
      </rPr>
      <t xml:space="preserve">932</t>
    </r>
    <r>
      <rPr>
        <sz val="10"/>
        <rFont val="Noto Sans CJK SC"/>
        <family val="2"/>
      </rPr>
      <t xml:space="preserve">万円の実態💰【ショート】</t>
    </r>
  </si>
  <si>
    <r>
      <rPr>
        <sz val="10"/>
        <rFont val="Noto Sans CJK SC"/>
        <family val="2"/>
      </rPr>
      <t xml:space="preserve">💸資生堂の年収</t>
    </r>
    <r>
      <rPr>
        <sz val="10"/>
        <rFont val="Arial"/>
        <family val="0"/>
        <charset val="1"/>
      </rPr>
      <t xml:space="preserve">729</t>
    </r>
    <r>
      <rPr>
        <sz val="10"/>
        <rFont val="Noto Sans CJK SC"/>
        <family val="2"/>
      </rPr>
      <t xml:space="preserve">万円、実はダイバーシティの裏で何がある？【ショート】</t>
    </r>
  </si>
  <si>
    <r>
      <rPr>
        <sz val="10"/>
        <rFont val="Noto Sans CJK SC"/>
        <family val="2"/>
      </rPr>
      <t xml:space="preserve">💰味の素の有給取得率、実は</t>
    </r>
    <r>
      <rPr>
        <sz val="10"/>
        <rFont val="Arial"/>
        <family val="0"/>
        <charset val="1"/>
      </rPr>
      <t xml:space="preserve">76.8% </t>
    </r>
    <r>
      <rPr>
        <sz val="10"/>
        <rFont val="Noto Sans CJK SC"/>
        <family val="2"/>
      </rPr>
      <t xml:space="preserve">年収と残業の本当は？💸【ショート】</t>
    </r>
  </si>
  <si>
    <t xml:space="preserve">ルカリオとウルガモス、どっちが勝つ？相性有利がひっくり返る実戦条件【ショート】</t>
  </si>
  <si>
    <r>
      <rPr>
        <sz val="10"/>
        <rFont val="Arial"/>
        <family val="0"/>
        <charset val="1"/>
      </rPr>
      <t xml:space="preserve">📉JR</t>
    </r>
    <r>
      <rPr>
        <sz val="10"/>
        <rFont val="Noto Sans CJK SC"/>
        <family val="2"/>
      </rPr>
      <t xml:space="preserve">東日本の年収</t>
    </r>
    <r>
      <rPr>
        <sz val="10"/>
        <rFont val="Arial"/>
        <family val="0"/>
        <charset val="1"/>
      </rPr>
      <t xml:space="preserve">810</t>
    </r>
    <r>
      <rPr>
        <sz val="10"/>
        <rFont val="Noto Sans CJK SC"/>
        <family val="2"/>
      </rPr>
      <t xml:space="preserve">万円、本当は休日</t>
    </r>
    <r>
      <rPr>
        <sz val="10"/>
        <rFont val="Arial"/>
        <family val="0"/>
        <charset val="1"/>
      </rPr>
      <t xml:space="preserve">124</t>
    </r>
    <r>
      <rPr>
        <sz val="10"/>
        <rFont val="Noto Sans CJK SC"/>
        <family val="2"/>
      </rPr>
      <t xml:space="preserve">日とのバランス💸【ショート】</t>
    </r>
  </si>
  <si>
    <r>
      <rPr>
        <sz val="10"/>
        <rFont val="Noto Sans CJK SC"/>
        <family val="2"/>
      </rPr>
      <t xml:space="preserve">彼女の部屋でヤバい物あげてけ</t>
    </r>
    <r>
      <rPr>
        <sz val="10"/>
        <rFont val="Arial"/>
        <family val="0"/>
        <charset val="1"/>
      </rPr>
      <t xml:space="preserve">w</t>
    </r>
    <r>
      <rPr>
        <sz val="10"/>
        <rFont val="Noto Sans CJK SC"/>
        <family val="2"/>
      </rPr>
      <t xml:space="preserve">【ショート】</t>
    </r>
  </si>
  <si>
    <r>
      <rPr>
        <sz val="10"/>
        <rFont val="Noto Sans CJK SC"/>
        <family val="2"/>
      </rPr>
      <t xml:space="preserve">なぜレックウザは空から降りないのか？図鑑</t>
    </r>
    <r>
      <rPr>
        <sz val="10"/>
        <rFont val="Arial"/>
        <family val="0"/>
        <charset val="1"/>
      </rPr>
      <t xml:space="preserve">384</t>
    </r>
    <r>
      <rPr>
        <sz val="10"/>
        <rFont val="Noto Sans CJK SC"/>
        <family val="2"/>
      </rPr>
      <t xml:space="preserve">番の誕生神話が衝撃すぎた【ショート】【ショート】</t>
    </r>
  </si>
  <si>
    <r>
      <rPr>
        <sz val="10"/>
        <rFont val="Noto Sans CJK SC"/>
        <family val="2"/>
      </rPr>
      <t xml:space="preserve">📉花王の男性育休</t>
    </r>
    <r>
      <rPr>
        <sz val="10"/>
        <rFont val="Arial"/>
        <family val="0"/>
        <charset val="1"/>
      </rPr>
      <t xml:space="preserve">100%</t>
    </r>
    <r>
      <rPr>
        <sz val="10"/>
        <rFont val="Noto Sans CJK SC"/>
        <family val="2"/>
      </rPr>
      <t xml:space="preserve">、年収はいくら？実は数字の裏も見る【ショート】</t>
    </r>
  </si>
  <si>
    <t xml:space="preserve">ミミッキュとロトム、どっちが勝つ？姿変化を実戦で比べた結果【ショート】</t>
  </si>
  <si>
    <r>
      <rPr>
        <sz val="10"/>
        <rFont val="Noto Sans CJK SC"/>
        <family val="2"/>
      </rPr>
      <t xml:space="preserve">💸不二家の半額ケーキ、実は年収</t>
    </r>
    <r>
      <rPr>
        <sz val="10"/>
        <rFont val="Arial"/>
        <family val="0"/>
        <charset val="1"/>
      </rPr>
      <t xml:space="preserve">549</t>
    </r>
    <r>
      <rPr>
        <sz val="10"/>
        <rFont val="Noto Sans CJK SC"/>
        <family val="2"/>
      </rPr>
      <t xml:space="preserve">万円とどう関係する？【ショート】</t>
    </r>
  </si>
  <si>
    <r>
      <rPr>
        <sz val="10"/>
        <rFont val="Noto Sans CJK SC"/>
        <family val="2"/>
      </rPr>
      <t xml:space="preserve">日本マクドナルドの正体、年収</t>
    </r>
    <r>
      <rPr>
        <sz val="10"/>
        <rFont val="Arial"/>
        <family val="0"/>
        <charset val="1"/>
      </rPr>
      <t xml:space="preserve">670</t>
    </r>
    <r>
      <rPr>
        <sz val="10"/>
        <rFont val="Noto Sans CJK SC"/>
        <family val="2"/>
      </rPr>
      <t xml:space="preserve">万円の裏側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</si>
  <si>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ヤマト運輸ボーナス年</t>
    </r>
    <r>
      <rPr>
        <sz val="10"/>
        <rFont val="Arial"/>
        <family val="0"/>
        <charset val="1"/>
      </rPr>
      <t xml:space="preserve">100</t>
    </r>
    <r>
      <rPr>
        <sz val="10"/>
        <rFont val="Noto Sans CJK SC"/>
        <family val="2"/>
      </rPr>
      <t xml:space="preserve">万円超？</t>
    </r>
    <r>
      <rPr>
        <sz val="10"/>
        <rFont val="Arial"/>
        <family val="0"/>
        <charset val="1"/>
      </rPr>
      <t xml:space="preserve">#</t>
    </r>
    <r>
      <rPr>
        <sz val="10"/>
        <rFont val="Noto Sans CJK SC"/>
        <family val="2"/>
      </rPr>
      <t xml:space="preserve">ヤマト運輸の年収が意外すぎた 現場職ボーナス年</t>
    </r>
    <r>
      <rPr>
        <sz val="10"/>
        <rFont val="Arial"/>
        <family val="0"/>
        <charset val="1"/>
      </rPr>
      <t xml:space="preserve">100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</si>
  <si>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海坊主の正体が怖すぎる — 船を沈める巨大な影は何だったのか【ショート】</t>
  </si>
  <si>
    <t xml:space="preserve">鬼の元ネタが怖すぎる — 鬼門から来る者を家に入れてはいけない理由【ショート】</t>
  </si>
  <si>
    <t xml:space="preserve">のっぺらぼうの正体が怖すぎる — 顔を奪う怪談はなぜ生まれたのか【ショート】</t>
  </si>
  <si>
    <r>
      <rPr>
        <sz val="10"/>
        <rFont val="Noto Sans CJK SC"/>
        <family val="2"/>
      </rPr>
      <t xml:space="preserve">バンギラスとメタグロス、どっちが勝つ？</t>
    </r>
    <r>
      <rPr>
        <sz val="10"/>
        <rFont val="Arial"/>
        <family val="0"/>
        <charset val="1"/>
      </rPr>
      <t xml:space="preserve">600</t>
    </r>
    <r>
      <rPr>
        <sz val="10"/>
        <rFont val="Noto Sans CJK SC"/>
        <family val="2"/>
      </rPr>
      <t xml:space="preserve">族対決は持ち物</t>
    </r>
    <r>
      <rPr>
        <sz val="10"/>
        <rFont val="Arial"/>
        <family val="0"/>
        <charset val="1"/>
      </rPr>
      <t xml:space="preserve">1</t>
    </r>
    <r>
      <rPr>
        <sz val="10"/>
        <rFont val="Noto Sans CJK SC"/>
        <family val="2"/>
      </rPr>
      <t xml:space="preserve">つで逆転する【ショート】</t>
    </r>
  </si>
  <si>
    <t xml:space="preserve">ふじのやまの元ネタが怖すぎる — 山に入った人が戻れなくなる禁忌【ショート】</t>
  </si>
  <si>
    <r>
      <rPr>
        <sz val="10"/>
        <rFont val="Noto Sans CJK SC"/>
        <family val="2"/>
      </rPr>
      <t xml:space="preserve">📈退職金の本当は？</t>
    </r>
    <r>
      <rPr>
        <sz val="10"/>
        <rFont val="Arial"/>
        <family val="0"/>
        <charset val="1"/>
      </rPr>
      <t xml:space="preserve">3</t>
    </r>
    <r>
      <rPr>
        <sz val="10"/>
        <rFont val="Noto Sans CJK SC"/>
        <family val="2"/>
      </rPr>
      <t xml:space="preserve">社で最大</t>
    </r>
    <r>
      <rPr>
        <sz val="10"/>
        <rFont val="Arial"/>
        <family val="0"/>
        <charset val="1"/>
      </rPr>
      <t xml:space="preserve">2,000</t>
    </r>
    <r>
      <rPr>
        <sz val="10"/>
        <rFont val="Noto Sans CJK SC"/>
        <family val="2"/>
      </rPr>
      <t xml:space="preserve">万円差の実態【ショート】</t>
    </r>
  </si>
  <si>
    <t xml:space="preserve">2026-08-10</t>
  </si>
  <si>
    <t xml:space="preserve">なぜツチノコは家に入る？隠された秘密【ショート】</t>
  </si>
  <si>
    <t xml:space="preserve">一つ目小僧、なぜ江戸の文献では『会った者が帰らない』と書かれているのか【ショート】</t>
  </si>
  <si>
    <r>
      <rPr>
        <sz val="10"/>
        <rFont val="Arial"/>
        <family val="0"/>
        <charset val="1"/>
      </rPr>
      <t xml:space="preserve">PC</t>
    </r>
    <r>
      <rPr>
        <sz val="10"/>
        <rFont val="Noto Sans CJK SC"/>
        <family val="2"/>
      </rPr>
      <t xml:space="preserve">パーツ到着時、なぜ箱だけ先に届くのか？【ショート】</t>
    </r>
  </si>
  <si>
    <t xml:space="preserve">なぜパルキアは勝てないと言われる？ウルトラネクロズマとの数字差が意外すぎる【ショート】</t>
  </si>
  <si>
    <t xml:space="preserve">ねちがえる、なぜか夜だけ首を狙う？金縛りの奥にある古い怪異【ショート】</t>
  </si>
  <si>
    <t xml:space="preserve">河童はなぜか子どもだけを呼ぶ？水辺に残された「声」の本当の理由【ショート】</t>
  </si>
  <si>
    <r>
      <rPr>
        <sz val="10"/>
        <rFont val="Noto Sans CJK SC"/>
        <family val="2"/>
      </rPr>
      <t xml:space="preserve">なぜメタグロスはサーフゴーに勝てない？持ち物</t>
    </r>
    <r>
      <rPr>
        <sz val="10"/>
        <rFont val="Arial"/>
        <family val="0"/>
        <charset val="1"/>
      </rPr>
      <t xml:space="preserve">1</t>
    </r>
    <r>
      <rPr>
        <sz val="10"/>
        <rFont val="Noto Sans CJK SC"/>
        <family val="2"/>
      </rPr>
      <t xml:space="preserve">つで逆転する本当の理由【ショート】</t>
    </r>
  </si>
  <si>
    <r>
      <rPr>
        <sz val="10"/>
        <rFont val="Arial"/>
        <family val="0"/>
        <charset val="1"/>
      </rPr>
      <t xml:space="preserve">1</t>
    </r>
    <r>
      <rPr>
        <sz val="10"/>
        <rFont val="Noto Sans CJK SC"/>
        <family val="2"/>
      </rPr>
      <t xml:space="preserve">分妖怪ファイル：その『設定』、江戸時代には存在しなかった昭和の妖怪本が作り上げた『総大将』の正体</t>
    </r>
    <r>
      <rPr>
        <sz val="10"/>
        <rFont val="Arial"/>
        <family val="0"/>
        <charset val="1"/>
      </rPr>
      <t xml:space="preserve">#</t>
    </r>
    <r>
      <rPr>
        <sz val="10"/>
        <rFont val="Noto Sans CJK SC"/>
        <family val="2"/>
      </rPr>
      <t xml:space="preserve">ぬらりひょんが『妖怪の総大将』なのは、なぜか誰も疑わなかったのか </t>
    </r>
    <r>
      <rPr>
        <sz val="10"/>
        <rFont val="Arial"/>
        <family val="0"/>
        <charset val="1"/>
      </rPr>
      <t xml:space="preserve">#shorts #</t>
    </r>
    <r>
      <rPr>
        <sz val="10"/>
        <rFont val="Noto Sans CJK SC"/>
        <family val="2"/>
      </rPr>
      <t xml:space="preserve">ゆっくり解説</t>
    </r>
  </si>
  <si>
    <t xml:space="preserve">ワイ、彼女いない歴＝年齢やけど質問ある？【ショート】</t>
  </si>
  <si>
    <r>
      <rPr>
        <sz val="10"/>
        <rFont val="Noto Sans CJK SC"/>
        <family val="2"/>
      </rPr>
      <t xml:space="preserve">リザードンとカイリュー、どっちが勝つ？</t>
    </r>
    <r>
      <rPr>
        <sz val="10"/>
        <rFont val="Arial"/>
        <family val="0"/>
        <charset val="1"/>
      </rPr>
      <t xml:space="preserve">4</t>
    </r>
    <r>
      <rPr>
        <sz val="10"/>
        <rFont val="Noto Sans CJK SC"/>
        <family val="2"/>
      </rPr>
      <t xml:space="preserve">倍弱点で勝敗がひっくり返る【ショート】</t>
    </r>
  </si>
  <si>
    <t xml:space="preserve">ホウオウとルギア、まともに戦わせたらどっちが勝つのか【ショート】</t>
  </si>
  <si>
    <r>
      <rPr>
        <sz val="10"/>
        <rFont val="Noto Sans CJK SC"/>
        <family val="2"/>
      </rPr>
      <t xml:space="preserve">ワイの今日の昼飯を当てるスレ</t>
    </r>
    <r>
      <rPr>
        <sz val="10"/>
        <rFont val="Arial"/>
        <family val="0"/>
        <charset val="1"/>
      </rPr>
      <t xml:space="preserve">w</t>
    </r>
    <r>
      <rPr>
        <sz val="10"/>
        <rFont val="Noto Sans CJK SC"/>
        <family val="2"/>
      </rPr>
      <t xml:space="preserve">【ショート】</t>
    </r>
  </si>
  <si>
    <r>
      <rPr>
        <sz val="10"/>
        <rFont val="Arial"/>
        <family val="0"/>
        <charset val="1"/>
      </rPr>
      <t xml:space="preserve">💰Uber Eats</t>
    </r>
    <r>
      <rPr>
        <sz val="10"/>
        <rFont val="Noto Sans CJK SC"/>
        <family val="2"/>
      </rPr>
      <t xml:space="preserve">配達員、本当は時給</t>
    </r>
    <r>
      <rPr>
        <sz val="10"/>
        <rFont val="Arial"/>
        <family val="0"/>
        <charset val="1"/>
      </rPr>
      <t xml:space="preserve">2,000</t>
    </r>
    <r>
      <rPr>
        <sz val="10"/>
        <rFont val="Noto Sans CJK SC"/>
        <family val="2"/>
      </rPr>
      <t xml:space="preserve">円超えもある収入の実態【ショート】</t>
    </r>
  </si>
  <si>
    <r>
      <rPr>
        <sz val="10"/>
        <rFont val="Arial"/>
        <family val="0"/>
        <charset val="1"/>
      </rPr>
      <t xml:space="preserve">30</t>
    </r>
    <r>
      <rPr>
        <sz val="10"/>
        <rFont val="Noto Sans CJK SC"/>
        <family val="2"/>
      </rPr>
      <t xml:space="preserve">秒スレまとめ：残業代はやる気で払う</t>
    </r>
    <r>
      <rPr>
        <sz val="10"/>
        <rFont val="Arial"/>
        <family val="0"/>
        <charset val="1"/>
      </rPr>
      <t xml:space="preserve">#</t>
    </r>
    <r>
      <rPr>
        <sz val="10"/>
        <rFont val="Noto Sans CJK SC"/>
        <family val="2"/>
      </rPr>
      <t xml:space="preserve">上司「残業代はやる気で払う」発言から、なぜか全員消えた職場の末路 </t>
    </r>
    <r>
      <rPr>
        <sz val="10"/>
        <rFont val="Arial"/>
        <family val="0"/>
        <charset val="1"/>
      </rPr>
      <t xml:space="preserve">#shorts #</t>
    </r>
    <r>
      <rPr>
        <sz val="10"/>
        <rFont val="Noto Sans CJK SC"/>
        <family val="2"/>
      </rPr>
      <t xml:space="preserve">ゆっくり解説</t>
    </r>
  </si>
  <si>
    <r>
      <rPr>
        <sz val="10"/>
        <rFont val="Noto Sans CJK SC"/>
        <family val="2"/>
      </rPr>
      <t xml:space="preserve">後輩「敬語って課金制ですよね？」→翌朝、全員が黙った </t>
    </r>
    <r>
      <rPr>
        <sz val="10"/>
        <rFont val="Arial"/>
        <family val="0"/>
        <charset val="1"/>
      </rPr>
      <t xml:space="preserve">#shorts #2ch #</t>
    </r>
    <r>
      <rPr>
        <sz val="10"/>
        <rFont val="Noto Sans CJK SC"/>
        <family val="2"/>
      </rPr>
      <t xml:space="preserve">スカッと</t>
    </r>
  </si>
  <si>
    <t xml:space="preserve">2026-08-16</t>
  </si>
  <si>
    <t xml:space="preserve">なんかスマホの充電だけ遅いんやが【ショート】</t>
  </si>
  <si>
    <r>
      <rPr>
        <sz val="10"/>
        <rFont val="Arial"/>
        <family val="0"/>
        <charset val="1"/>
      </rPr>
      <t xml:space="preserve">💸GU</t>
    </r>
    <r>
      <rPr>
        <sz val="10"/>
        <rFont val="Noto Sans CJK SC"/>
        <family val="2"/>
      </rPr>
      <t xml:space="preserve">の年収、実はポケモンコラボで上がるのか？平均</t>
    </r>
    <r>
      <rPr>
        <sz val="10"/>
        <rFont val="Arial"/>
        <family val="0"/>
        <charset val="1"/>
      </rPr>
      <t xml:space="preserve">959</t>
    </r>
    <r>
      <rPr>
        <sz val="10"/>
        <rFont val="Noto Sans CJK SC"/>
        <family val="2"/>
      </rPr>
      <t xml:space="preserve">万円の裏側💸【ショート】</t>
    </r>
  </si>
  <si>
    <r>
      <rPr>
        <sz val="10"/>
        <rFont val="Noto Sans CJK SC"/>
        <family val="2"/>
      </rPr>
      <t xml:space="preserve">ガブリアスとボーマンダ、素早さ</t>
    </r>
    <r>
      <rPr>
        <sz val="10"/>
        <rFont val="Arial"/>
        <family val="0"/>
        <charset val="1"/>
      </rPr>
      <t xml:space="preserve">1</t>
    </r>
    <r>
      <rPr>
        <sz val="10"/>
        <rFont val="Noto Sans CJK SC"/>
        <family val="2"/>
      </rPr>
      <t xml:space="preserve">でどっちが勝つ？君は気づけるか【ショート】</t>
    </r>
  </si>
  <si>
    <t xml:space="preserve">なぜおでんじんだけ夜道に立つ？可愛い具に隠された秘密【ショート】【ショート】</t>
  </si>
  <si>
    <t xml:space="preserve">なぜ同じドラゴンなのに勝敗が割れるのか？カイリューとボーマンダの隠された実戦性能の秘密【ショート】</t>
  </si>
  <si>
    <r>
      <rPr>
        <sz val="10"/>
        <rFont val="Noto Sans CJK SC"/>
        <family val="2"/>
      </rPr>
      <t xml:space="preserve">😱ソニーグループの年収がヤバい </t>
    </r>
    <r>
      <rPr>
        <sz val="10"/>
        <rFont val="Arial"/>
        <family val="0"/>
        <charset val="1"/>
      </rPr>
      <t xml:space="preserve">1118</t>
    </r>
    <r>
      <rPr>
        <sz val="10"/>
        <rFont val="Noto Sans CJK SC"/>
        <family val="2"/>
      </rPr>
      <t xml:space="preserve">万円と</t>
    </r>
    <r>
      <rPr>
        <sz val="10"/>
        <rFont val="Arial"/>
        <family val="0"/>
        <charset val="1"/>
      </rPr>
      <t xml:space="preserve">DualSense</t>
    </r>
    <r>
      <rPr>
        <sz val="10"/>
        <rFont val="Noto Sans CJK SC"/>
        <family val="2"/>
      </rPr>
      <t xml:space="preserve">の仕事【ショート】</t>
    </r>
  </si>
  <si>
    <r>
      <rPr>
        <sz val="10"/>
        <rFont val="Noto Sans CJK SC"/>
        <family val="2"/>
      </rPr>
      <t xml:space="preserve">絶対に二度見される部屋着あげてけ</t>
    </r>
    <r>
      <rPr>
        <sz val="10"/>
        <rFont val="Arial"/>
        <family val="0"/>
        <charset val="1"/>
      </rPr>
      <t xml:space="preserve">w</t>
    </r>
    <r>
      <rPr>
        <sz val="10"/>
        <rFont val="Noto Sans CJK SC"/>
        <family val="2"/>
      </rPr>
      <t xml:space="preserve">【ショート】</t>
    </r>
  </si>
  <si>
    <r>
      <rPr>
        <sz val="10"/>
        <rFont val="Noto Sans CJK SC"/>
        <family val="2"/>
      </rPr>
      <t xml:space="preserve">一口</t>
    </r>
    <r>
      <rPr>
        <sz val="10"/>
        <rFont val="Arial"/>
        <family val="0"/>
        <charset val="1"/>
      </rPr>
      <t xml:space="preserve">SCP</t>
    </r>
    <r>
      <rPr>
        <sz val="10"/>
        <rFont val="Noto Sans CJK SC"/>
        <family val="2"/>
      </rPr>
      <t xml:space="preserve">：崇拝者が自然発生——収容できたのは『実体』ではなかった収容違反発生・職員接触者の生存率：記録抹消</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SCP-2662——</t>
    </r>
    <r>
      <rPr>
        <sz val="10"/>
        <rFont val="Noto Sans CJK SC"/>
        <family val="2"/>
      </rPr>
      <t xml:space="preserve">崇拝者が自然発生する施設、生存率</t>
    </r>
    <r>
      <rPr>
        <sz val="10"/>
        <rFont val="Arial"/>
        <family val="0"/>
        <charset val="1"/>
      </rPr>
      <t xml:space="preserve">0%</t>
    </r>
    <r>
      <rPr>
        <sz val="10"/>
        <rFont val="Noto Sans CJK SC"/>
        <family val="2"/>
      </rPr>
      <t xml:space="preserve">の収容違反</t>
    </r>
  </si>
  <si>
    <r>
      <rPr>
        <sz val="10"/>
        <rFont val="Noto Sans CJK SC"/>
        <family val="2"/>
      </rPr>
      <t xml:space="preserve">ワイのキーボードの変な癖あげてけ</t>
    </r>
    <r>
      <rPr>
        <sz val="10"/>
        <rFont val="Arial"/>
        <family val="0"/>
        <charset val="1"/>
      </rPr>
      <t xml:space="preserve">w</t>
    </r>
    <r>
      <rPr>
        <sz val="10"/>
        <rFont val="Noto Sans CJK SC"/>
        <family val="2"/>
      </rPr>
      <t xml:space="preserve">【ショート】</t>
    </r>
  </si>
  <si>
    <t xml:space="preserve">実際には存在しないけどありそうな県名あげてけ【ショート】</t>
  </si>
  <si>
    <r>
      <rPr>
        <sz val="10"/>
        <rFont val="Noto Sans CJK SC"/>
        <family val="2"/>
      </rPr>
      <t xml:space="preserve">味の素</t>
    </r>
    <r>
      <rPr>
        <sz val="10"/>
        <rFont val="Arial"/>
        <family val="0"/>
        <charset val="1"/>
      </rPr>
      <t xml:space="preserve">3</t>
    </r>
    <r>
      <rPr>
        <sz val="10"/>
        <rFont val="Noto Sans CJK SC"/>
        <family val="2"/>
      </rPr>
      <t xml:space="preserve">粒、実は何に使うのか？意外すぎる活用法をあげてけｗ【ショート】</t>
    </r>
  </si>
  <si>
    <r>
      <rPr>
        <sz val="10"/>
        <rFont val="Noto Sans CJK SC"/>
        <family val="2"/>
      </rPr>
      <t xml:space="preserve">存在しないゲームの迷惑機能あげてけ</t>
    </r>
    <r>
      <rPr>
        <sz val="10"/>
        <rFont val="Arial"/>
        <family val="0"/>
        <charset val="1"/>
      </rPr>
      <t xml:space="preserve">w</t>
    </r>
    <r>
      <rPr>
        <sz val="10"/>
        <rFont val="Noto Sans CJK SC"/>
        <family val="2"/>
      </rPr>
      <t xml:space="preserve">【ショート】</t>
    </r>
  </si>
  <si>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</si>
  <si>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r>
      <rPr>
        <sz val="10"/>
        <rFont val="Noto Sans CJK SC"/>
        <family val="2"/>
      </rPr>
      <t xml:space="preserve">なぜコイキングは種族値</t>
    </r>
    <r>
      <rPr>
        <sz val="10"/>
        <rFont val="Arial"/>
        <family val="0"/>
        <charset val="1"/>
      </rPr>
      <t xml:space="preserve">200</t>
    </r>
    <r>
      <rPr>
        <sz val="10"/>
        <rFont val="Noto Sans CJK SC"/>
        <family val="2"/>
      </rPr>
      <t xml:space="preserve">なのか？進化前だけ弱すぎる本当の理由がヤバすぎた【ショート】</t>
    </r>
  </si>
  <si>
    <r>
      <rPr>
        <sz val="10"/>
        <rFont val="Arial"/>
        <family val="0"/>
        <charset val="1"/>
      </rPr>
      <t xml:space="preserve">1</t>
    </r>
    <r>
      <rPr>
        <sz val="10"/>
        <rFont val="Noto Sans CJK SC"/>
        <family val="2"/>
      </rPr>
      <t xml:space="preserve">分科学 </t>
    </r>
    <r>
      <rPr>
        <sz val="10"/>
        <rFont val="Arial"/>
        <family val="0"/>
        <charset val="1"/>
      </rPr>
      <t xml:space="preserve">#98</t>
    </r>
    <r>
      <rPr>
        <sz val="10"/>
        <rFont val="Noto Sans CJK SC"/>
        <family val="2"/>
      </rPr>
      <t xml:space="preserve">：🌍なぜ歩くと腕と足は逆に動くのか？あなたの体が毎秒行う回転制御の正体【ショート】</t>
    </r>
  </si>
  <si>
    <r>
      <rPr>
        <sz val="10"/>
        <rFont val="Noto Sans CJK SC"/>
        <family val="2"/>
      </rPr>
      <t xml:space="preserve">なぜ今飲んだ炭酸は鼻までツーンとするのか？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秒の刺激ルート【ショート】</t>
    </r>
  </si>
  <si>
    <r>
      <rPr>
        <sz val="10"/>
        <rFont val="Noto Sans CJK SC"/>
        <family val="2"/>
      </rPr>
      <t xml:space="preserve">📈動画作りに課金しすぎた男、年収</t>
    </r>
    <r>
      <rPr>
        <sz val="10"/>
        <rFont val="Arial"/>
        <family val="0"/>
        <charset val="1"/>
      </rPr>
      <t xml:space="preserve">480</t>
    </r>
    <r>
      <rPr>
        <sz val="10"/>
        <rFont val="Noto Sans CJK SC"/>
        <family val="2"/>
      </rPr>
      <t xml:space="preserve">万円で転職できる？【ショート】</t>
    </r>
  </si>
  <si>
    <r>
      <rPr>
        <sz val="10"/>
        <rFont val="Noto Sans CJK SC"/>
        <family val="2"/>
      </rPr>
      <t xml:space="preserve">ワイ、</t>
    </r>
    <r>
      <rPr>
        <sz val="10"/>
        <rFont val="Arial"/>
        <family val="0"/>
        <charset val="1"/>
      </rPr>
      <t xml:space="preserve">GTA6</t>
    </r>
    <r>
      <rPr>
        <sz val="10"/>
        <rFont val="Noto Sans CJK SC"/>
        <family val="2"/>
      </rPr>
      <t xml:space="preserve">妄想歴</t>
    </r>
    <r>
      <rPr>
        <sz val="10"/>
        <rFont val="Arial"/>
        <family val="0"/>
        <charset val="1"/>
      </rPr>
      <t xml:space="preserve">6</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</si>
  <si>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なぜ</t>
    </r>
    <r>
      <rPr>
        <sz val="10"/>
        <rFont val="Arial"/>
        <family val="0"/>
        <charset val="1"/>
      </rPr>
      <t xml:space="preserve">3</t>
    </r>
    <r>
      <rPr>
        <sz val="10"/>
        <rFont val="Noto Sans CJK SC"/>
        <family val="2"/>
      </rPr>
      <t xml:space="preserve">秒でバレる？お前らをブラックラグーンで例えた結果【ショート】</t>
    </r>
  </si>
  <si>
    <t xml:space="preserve">コンビニで一番いらん商品あげてけ【ショート】</t>
  </si>
  <si>
    <r>
      <rPr>
        <sz val="10"/>
        <rFont val="Arial"/>
        <family val="0"/>
        <charset val="1"/>
      </rPr>
      <t xml:space="preserve">1</t>
    </r>
    <r>
      <rPr>
        <sz val="10"/>
        <rFont val="Noto Sans CJK SC"/>
        <family val="2"/>
      </rPr>
      <t xml:space="preserve">分ポケモン研究 </t>
    </r>
    <r>
      <rPr>
        <sz val="10"/>
        <rFont val="Arial"/>
        <family val="0"/>
        <charset val="1"/>
      </rPr>
      <t xml:space="preserve">#9</t>
    </r>
    <r>
      <rPr>
        <sz val="10"/>
        <rFont val="Noto Sans CJK SC"/>
        <family val="2"/>
      </rPr>
      <t xml:space="preserve">：🎮カイオーガとグラードン、天候を</t>
    </r>
    <r>
      <rPr>
        <sz val="10"/>
        <rFont val="Arial"/>
        <family val="0"/>
        <charset val="1"/>
      </rPr>
      <t xml:space="preserve">2</t>
    </r>
    <r>
      <rPr>
        <sz val="10"/>
        <rFont val="Noto Sans CJK SC"/>
        <family val="2"/>
      </rPr>
      <t xml:space="preserve">回張ったらどっちが勝つ？【ショート】</t>
    </r>
  </si>
  <si>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</si>
  <si>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r>
      <rPr>
        <sz val="10"/>
        <rFont val="Arial"/>
        <family val="0"/>
        <charset val="1"/>
      </rPr>
      <t xml:space="preserve">1</t>
    </r>
    <r>
      <rPr>
        <sz val="10"/>
        <rFont val="Noto Sans CJK SC"/>
        <family val="2"/>
      </rPr>
      <t xml:space="preserve">分科学 </t>
    </r>
    <r>
      <rPr>
        <sz val="10"/>
        <rFont val="Arial"/>
        <family val="0"/>
        <charset val="1"/>
      </rPr>
      <t xml:space="preserve">#100</t>
    </r>
    <r>
      <rPr>
        <sz val="10"/>
        <rFont val="Noto Sans CJK SC"/>
        <family val="2"/>
      </rPr>
      <t xml:space="preserve">：🧬なぜあなたはポケモンの夢で技まで使える？</t>
    </r>
    <r>
      <rPr>
        <sz val="10"/>
        <rFont val="Arial"/>
        <family val="0"/>
        <charset val="1"/>
      </rPr>
      <t xml:space="preserve">REM</t>
    </r>
    <r>
      <rPr>
        <sz val="10"/>
        <rFont val="Noto Sans CJK SC"/>
        <family val="2"/>
      </rPr>
      <t xml:space="preserve">睡眠</t>
    </r>
    <r>
      <rPr>
        <sz val="10"/>
        <rFont val="Arial"/>
        <family val="0"/>
        <charset val="1"/>
      </rPr>
      <t xml:space="preserve">90</t>
    </r>
    <r>
      <rPr>
        <sz val="10"/>
        <rFont val="Noto Sans CJK SC"/>
        <family val="2"/>
      </rPr>
      <t xml:space="preserve">分にある記憶の正体【ショート】</t>
    </r>
  </si>
  <si>
    <r>
      <rPr>
        <sz val="10"/>
        <rFont val="Noto Sans CJK SC"/>
        <family val="2"/>
      </rPr>
      <t xml:space="preserve">カゴメの年間休日</t>
    </r>
    <r>
      <rPr>
        <sz val="10"/>
        <rFont val="Arial"/>
        <family val="0"/>
        <charset val="1"/>
      </rPr>
      <t xml:space="preserve">125</t>
    </r>
    <r>
      <rPr>
        <sz val="10"/>
        <rFont val="Noto Sans CJK SC"/>
        <family val="2"/>
      </rPr>
      <t xml:space="preserve">日、有給取得率</t>
    </r>
    <r>
      <rPr>
        <sz val="10"/>
        <rFont val="Arial"/>
        <family val="0"/>
        <charset val="1"/>
      </rPr>
      <t xml:space="preserve">74.6%</t>
    </r>
    <r>
      <rPr>
        <sz val="10"/>
        <rFont val="Noto Sans CJK SC"/>
        <family val="2"/>
      </rPr>
      <t xml:space="preserve">はホワイト？【ショート】</t>
    </r>
  </si>
  <si>
    <r>
      <rPr>
        <sz val="10"/>
        <rFont val="Noto Sans CJK SC"/>
        <family val="2"/>
      </rPr>
      <t xml:space="preserve">なぜ</t>
    </r>
    <r>
      <rPr>
        <sz val="10"/>
        <rFont val="Arial"/>
        <family val="0"/>
        <charset val="1"/>
      </rPr>
      <t xml:space="preserve">PS</t>
    </r>
    <r>
      <rPr>
        <sz val="10"/>
        <rFont val="Noto Sans CJK SC"/>
        <family val="2"/>
      </rPr>
      <t xml:space="preserve">で一番いらないゲームが生まれるのか？ 博牛【ショート】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</si>
  <si>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#20</t>
    </r>
    <r>
      <rPr>
        <sz val="10"/>
        <rFont val="Noto Sans CJK SC"/>
        <family val="2"/>
      </rPr>
      <t xml:space="preserve">：👀</t>
    </r>
    <r>
      <rPr>
        <sz val="10"/>
        <rFont val="Arial"/>
        <family val="0"/>
        <charset val="1"/>
      </rPr>
      <t xml:space="preserve">GU</t>
    </r>
    <r>
      <rPr>
        <sz val="10"/>
        <rFont val="Noto Sans CJK SC"/>
        <family val="2"/>
      </rPr>
      <t xml:space="preserve">ポケモンコラボに隠された</t>
    </r>
    <r>
      <rPr>
        <sz val="10"/>
        <rFont val="Arial"/>
        <family val="0"/>
        <charset val="1"/>
      </rPr>
      <t xml:space="preserve">5</t>
    </r>
    <r>
      <rPr>
        <sz val="10"/>
        <rFont val="Noto Sans CJK SC"/>
        <family val="2"/>
      </rPr>
      <t xml:space="preserve">つの秘密、ピカチュウだけじゃない理由は？❓【ショート】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</si>
  <si>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#18</t>
    </r>
    <r>
      <rPr>
        <sz val="10"/>
        <rFont val="Noto Sans CJK SC"/>
        <family val="2"/>
      </rPr>
      <t xml:space="preserve">：👁️エンマ大王に隠された</t>
    </r>
    <r>
      <rPr>
        <sz val="10"/>
        <rFont val="Arial"/>
        <family val="0"/>
        <charset val="1"/>
      </rPr>
      <t xml:space="preserve">3</t>
    </r>
    <r>
      <rPr>
        <sz val="10"/>
        <rFont val="Noto Sans CJK SC"/>
        <family val="2"/>
      </rPr>
      <t xml:space="preserve">つの条件、あなたは本当に仲間にできる？【ショート】</t>
    </r>
  </si>
  <si>
    <r>
      <rPr>
        <sz val="10"/>
        <rFont val="Noto Sans CJK SC"/>
        <family val="2"/>
      </rPr>
      <t xml:space="preserve">今朝なぜ寒い？</t>
    </r>
    <r>
      <rPr>
        <sz val="10"/>
        <rFont val="Arial"/>
        <family val="0"/>
        <charset val="1"/>
      </rPr>
      <t xml:space="preserve">99%</t>
    </r>
    <r>
      <rPr>
        <sz val="10"/>
        <rFont val="Noto Sans CJK SC"/>
        <family val="2"/>
      </rPr>
      <t xml:space="preserve">が知らない体温</t>
    </r>
    <r>
      <rPr>
        <sz val="10"/>
        <rFont val="Arial"/>
        <family val="0"/>
        <charset val="1"/>
      </rPr>
      <t xml:space="preserve">0.5</t>
    </r>
    <r>
      <rPr>
        <sz val="10"/>
        <rFont val="Noto Sans CJK SC"/>
        <family val="2"/>
      </rPr>
      <t xml:space="preserve">度の罠——目覚め直後に起きること【ショート】【ショート】</t>
    </r>
  </si>
  <si>
    <r>
      <rPr>
        <sz val="10"/>
        <rFont val="Arial"/>
        <family val="0"/>
        <charset val="1"/>
      </rPr>
      <t xml:space="preserve">1</t>
    </r>
    <r>
      <rPr>
        <sz val="10"/>
        <rFont val="Noto Sans CJK SC"/>
        <family val="2"/>
      </rPr>
      <t xml:space="preserve">分科学 </t>
    </r>
    <r>
      <rPr>
        <sz val="10"/>
        <rFont val="Arial"/>
        <family val="0"/>
        <charset val="1"/>
      </rPr>
      <t xml:space="preserve">#91</t>
    </r>
    <r>
      <rPr>
        <sz val="10"/>
        <rFont val="Noto Sans CJK SC"/>
        <family val="2"/>
      </rPr>
      <t xml:space="preserve">：💯なぜ人混みであなたの名前だけ聞こえるのか？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秒の選別💯【ショート】</t>
    </r>
  </si>
  <si>
    <r>
      <rPr>
        <sz val="10"/>
        <rFont val="Noto Sans CJK SC"/>
        <family val="2"/>
      </rPr>
      <t xml:space="preserve">なぜ正座を崩した瞬間だけビリビリするのか？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秒の正体【ショート】</t>
    </r>
  </si>
  <si>
    <r>
      <rPr>
        <sz val="10"/>
        <rFont val="Noto Sans CJK SC"/>
        <family val="2"/>
      </rPr>
      <t xml:space="preserve">星野リゾートの推定年収</t>
    </r>
    <r>
      <rPr>
        <sz val="10"/>
        <rFont val="Arial"/>
        <family val="0"/>
        <charset val="1"/>
      </rPr>
      <t xml:space="preserve">400</t>
    </r>
    <r>
      <rPr>
        <sz val="10"/>
        <rFont val="Noto Sans CJK SC"/>
        <family val="2"/>
      </rPr>
      <t xml:space="preserve">万円、業界平均と比べると？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</si>
  <si>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本を開いた瞬間に眠くなる理由集中しているのに眠い『逆説』の正体</t>
    </r>
    <r>
      <rPr>
        <sz val="10"/>
        <rFont val="Arial"/>
        <family val="0"/>
        <charset val="1"/>
      </rPr>
      <t xml:space="preserve">#</t>
    </r>
    <r>
      <rPr>
        <sz val="10"/>
        <rFont val="Noto Sans CJK SC"/>
        <family val="2"/>
      </rPr>
      <t xml:space="preserve">本を読むと</t>
    </r>
    <r>
      <rPr>
        <sz val="10"/>
        <rFont val="Arial"/>
        <family val="0"/>
        <charset val="1"/>
      </rPr>
      <t xml:space="preserve">90%</t>
    </r>
    <r>
      <rPr>
        <sz val="10"/>
        <rFont val="Noto Sans CJK SC"/>
        <family val="2"/>
      </rPr>
      <t xml:space="preserve">の人が</t>
    </r>
    <r>
      <rPr>
        <sz val="10"/>
        <rFont val="Arial"/>
        <family val="0"/>
        <charset val="1"/>
      </rPr>
      <t xml:space="preserve">5</t>
    </r>
    <r>
      <rPr>
        <sz val="10"/>
        <rFont val="Noto Sans CJK SC"/>
        <family val="2"/>
      </rPr>
      <t xml:space="preserve">分以内に眠くなる——その『睡魔の罠』の正体、知ってる？ </t>
    </r>
    <r>
      <rPr>
        <sz val="10"/>
        <rFont val="Arial"/>
        <family val="0"/>
        <charset val="1"/>
      </rPr>
      <t xml:space="preserve">#shorts #</t>
    </r>
    <r>
      <rPr>
        <sz val="10"/>
        <rFont val="Noto Sans CJK SC"/>
        <family val="2"/>
      </rPr>
      <t xml:space="preserve">ゆっくり解説</t>
    </r>
  </si>
  <si>
    <r>
      <rPr>
        <sz val="10"/>
        <rFont val="Noto Sans CJK SC"/>
        <family val="2"/>
      </rPr>
      <t xml:space="preserve">セブン銀行の年間休日</t>
    </r>
    <r>
      <rPr>
        <sz val="10"/>
        <rFont val="Arial"/>
        <family val="0"/>
        <charset val="1"/>
      </rPr>
      <t xml:space="preserve">130</t>
    </r>
    <r>
      <rPr>
        <sz val="10"/>
        <rFont val="Noto Sans CJK SC"/>
        <family val="2"/>
      </rPr>
      <t xml:space="preserve">日、平均年収も数字で解説【ショート】</t>
    </r>
  </si>
  <si>
    <r>
      <rPr>
        <sz val="10"/>
        <rFont val="Noto Sans CJK SC"/>
        <family val="2"/>
      </rPr>
      <t xml:space="preserve">📉サイバーエージェントの年収</t>
    </r>
    <r>
      <rPr>
        <sz val="10"/>
        <rFont val="Arial"/>
        <family val="0"/>
        <charset val="1"/>
      </rPr>
      <t xml:space="preserve">773</t>
    </r>
    <r>
      <rPr>
        <sz val="10"/>
        <rFont val="Noto Sans CJK SC"/>
        <family val="2"/>
      </rPr>
      <t xml:space="preserve">万円、平均年齢</t>
    </r>
    <r>
      <rPr>
        <sz val="10"/>
        <rFont val="Arial"/>
        <family val="0"/>
        <charset val="1"/>
      </rPr>
      <t xml:space="preserve">33</t>
    </r>
    <r>
      <rPr>
        <sz val="10"/>
        <rFont val="Noto Sans CJK SC"/>
        <family val="2"/>
      </rPr>
      <t xml:space="preserve">歳の本当は【ショート】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</si>
  <si>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#10</t>
    </r>
    <r>
      <rPr>
        <sz val="10"/>
        <rFont val="Noto Sans CJK SC"/>
        <family val="2"/>
      </rPr>
      <t xml:space="preserve">：🔥あなたの飲み物を</t>
    </r>
    <r>
      <rPr>
        <sz val="10"/>
        <rFont val="Arial"/>
        <family val="0"/>
        <charset val="1"/>
      </rPr>
      <t xml:space="preserve">6</t>
    </r>
    <r>
      <rPr>
        <sz val="10"/>
        <rFont val="Noto Sans CJK SC"/>
        <family val="2"/>
      </rPr>
      <t xml:space="preserve">時間守るポケモン、なぜ存在する？【ショート】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</si>
  <si>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#19</t>
    </r>
    <r>
      <rPr>
        <sz val="10"/>
        <rFont val="Noto Sans CJK SC"/>
        <family val="2"/>
      </rPr>
      <t xml:space="preserve">：👁️フユニャンに隠された秘密、あなたが知らない</t>
    </r>
    <r>
      <rPr>
        <sz val="10"/>
        <rFont val="Arial"/>
        <family val="0"/>
        <charset val="1"/>
      </rPr>
      <t xml:space="preserve">2</t>
    </r>
    <r>
      <rPr>
        <sz val="10"/>
        <rFont val="Noto Sans CJK SC"/>
        <family val="2"/>
      </rPr>
      <t xml:space="preserve">つの元ネタとは？【ショート】</t>
    </r>
  </si>
  <si>
    <r>
      <rPr>
        <sz val="10"/>
        <rFont val="Noto Sans CJK SC"/>
        <family val="2"/>
      </rPr>
      <t xml:space="preserve">一口</t>
    </r>
    <r>
      <rPr>
        <sz val="10"/>
        <rFont val="Arial"/>
        <family val="0"/>
        <charset val="1"/>
      </rPr>
      <t xml:space="preserve">SCP #98</t>
    </r>
    <r>
      <rPr>
        <sz val="10"/>
        <rFont val="Noto Sans CJK SC"/>
        <family val="2"/>
      </rPr>
      <t xml:space="preserve">：🫣</t>
    </r>
    <r>
      <rPr>
        <sz val="10"/>
        <rFont val="Arial"/>
        <family val="0"/>
        <charset val="1"/>
      </rPr>
      <t xml:space="preserve">SCP-1048</t>
    </r>
    <r>
      <rPr>
        <sz val="10"/>
        <rFont val="Noto Sans CJK SC"/>
        <family val="2"/>
      </rPr>
      <t xml:space="preserve">「ビルダーベア」</t>
    </r>
    <r>
      <rPr>
        <sz val="10"/>
        <rFont val="Arial"/>
        <family val="0"/>
        <charset val="1"/>
      </rPr>
      <t xml:space="preserve">Safe</t>
    </r>
    <r>
      <rPr>
        <sz val="10"/>
        <rFont val="Noto Sans CJK SC"/>
        <family val="2"/>
      </rPr>
      <t xml:space="preserve">判定が招いた収容違反の恐怖😱【ショート】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</si>
  <si>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#21</t>
    </r>
    <r>
      <rPr>
        <sz val="10"/>
        <rFont val="Noto Sans CJK SC"/>
        <family val="2"/>
      </rPr>
      <t xml:space="preserve">：👀カビゴンが道を塞ぐ理由に隠された</t>
    </r>
    <r>
      <rPr>
        <sz val="10"/>
        <rFont val="Arial"/>
        <family val="0"/>
        <charset val="1"/>
      </rPr>
      <t xml:space="preserve">1</t>
    </r>
    <r>
      <rPr>
        <sz val="10"/>
        <rFont val="Noto Sans CJK SC"/>
        <family val="2"/>
      </rPr>
      <t xml:space="preserve">日の秘密、あなたは気づいた？🔍【ショート】</t>
    </r>
  </si>
  <si>
    <r>
      <rPr>
        <sz val="10"/>
        <rFont val="Noto Sans CJK SC"/>
        <family val="2"/>
      </rPr>
      <t xml:space="preserve">一口</t>
    </r>
    <r>
      <rPr>
        <sz val="10"/>
        <rFont val="Arial"/>
        <family val="0"/>
        <charset val="1"/>
      </rPr>
      <t xml:space="preserve">SCP #101</t>
    </r>
    <r>
      <rPr>
        <sz val="10"/>
        <rFont val="Noto Sans CJK SC"/>
        <family val="2"/>
      </rPr>
      <t xml:space="preserve">：🫣</t>
    </r>
    <r>
      <rPr>
        <sz val="10"/>
        <rFont val="Arial"/>
        <family val="0"/>
        <charset val="1"/>
      </rPr>
      <t xml:space="preserve">SCP-</t>
    </r>
    <r>
      <rPr>
        <sz val="10"/>
        <rFont val="Noto Sans CJK SC"/>
        <family val="2"/>
      </rPr>
      <t xml:space="preserve">雷撃記録、あなたの部屋まで届く落雷恐怖【ショート】</t>
    </r>
  </si>
  <si>
    <r>
      <rPr>
        <sz val="10"/>
        <rFont val="Noto Sans CJK SC"/>
        <family val="2"/>
      </rPr>
      <t xml:space="preserve">ふぶき姫の約束を破るとどうなる？</t>
    </r>
    <r>
      <rPr>
        <sz val="10"/>
        <rFont val="Arial"/>
        <family val="0"/>
        <charset val="1"/>
      </rPr>
      <t xml:space="preserve">3</t>
    </r>
    <r>
      <rPr>
        <sz val="10"/>
        <rFont val="Noto Sans CJK SC"/>
        <family val="2"/>
      </rPr>
      <t xml:space="preserve">つの雪女記録【ショート】</t>
    </r>
  </si>
  <si>
    <r>
      <rPr>
        <sz val="10"/>
        <rFont val="Noto Sans CJK SC"/>
        <family val="2"/>
      </rPr>
      <t xml:space="preserve">日本マクドナルドの年収</t>
    </r>
    <r>
      <rPr>
        <sz val="10"/>
        <rFont val="Arial"/>
        <family val="0"/>
        <charset val="1"/>
      </rPr>
      <t xml:space="preserve">576</t>
    </r>
    <r>
      <rPr>
        <sz val="10"/>
        <rFont val="Noto Sans CJK SC"/>
        <family val="2"/>
      </rPr>
      <t xml:space="preserve">万円、その内訳とは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</si>
  <si>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一口</t>
    </r>
    <r>
      <rPr>
        <sz val="10"/>
        <rFont val="Arial"/>
        <family val="0"/>
        <charset val="1"/>
      </rPr>
      <t xml:space="preserve">SCP #110</t>
    </r>
    <r>
      <rPr>
        <sz val="10"/>
        <rFont val="Noto Sans CJK SC"/>
        <family val="2"/>
      </rPr>
      <t xml:space="preserve">：🫣</t>
    </r>
    <r>
      <rPr>
        <sz val="10"/>
        <rFont val="Arial"/>
        <family val="0"/>
        <charset val="1"/>
      </rPr>
      <t xml:space="preserve">SCP-███</t>
    </r>
    <r>
      <rPr>
        <sz val="10"/>
        <rFont val="Noto Sans CJK SC"/>
        <family val="2"/>
      </rPr>
      <t xml:space="preserve">「投稿者の編集室」君の部屋にも現れる課金地獄の恐怖💀【ショート】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</si>
  <si>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#12</t>
    </r>
    <r>
      <rPr>
        <sz val="10"/>
        <rFont val="Noto Sans CJK SC"/>
        <family val="2"/>
      </rPr>
      <t xml:space="preserve">：👁️両面宿儺に隠された</t>
    </r>
    <r>
      <rPr>
        <sz val="10"/>
        <rFont val="Arial"/>
        <family val="0"/>
        <charset val="1"/>
      </rPr>
      <t xml:space="preserve">2</t>
    </r>
    <r>
      <rPr>
        <sz val="10"/>
        <rFont val="Noto Sans CJK SC"/>
        <family val="2"/>
      </rPr>
      <t xml:space="preserve">つの秘密、君は古文書の正体を知ってる？【ショート】</t>
    </r>
  </si>
  <si>
    <r>
      <rPr>
        <sz val="10"/>
        <rFont val="Noto Sans CJK SC"/>
        <family val="2"/>
      </rPr>
      <t xml:space="preserve">航空自衛隊千歳の正体、年収</t>
    </r>
    <r>
      <rPr>
        <sz val="10"/>
        <rFont val="Arial"/>
        <family val="0"/>
        <charset val="1"/>
      </rPr>
      <t xml:space="preserve">400</t>
    </r>
    <r>
      <rPr>
        <sz val="10"/>
        <rFont val="Noto Sans CJK SC"/>
        <family val="2"/>
      </rPr>
      <t xml:space="preserve">万円台の実態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</si>
  <si>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鏡の顔だけ違う？</t>
    </r>
    <r>
      <rPr>
        <sz val="10"/>
        <rFont val="Arial"/>
        <family val="0"/>
        <charset val="1"/>
      </rPr>
      <t xml:space="preserve">99%</t>
    </r>
    <r>
      <rPr>
        <sz val="10"/>
        <rFont val="Noto Sans CJK SC"/>
        <family val="2"/>
      </rPr>
      <t xml:space="preserve">が知らない左右差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</si>
  <si>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99%</t>
    </r>
    <r>
      <rPr>
        <sz val="10"/>
        <rFont val="Noto Sans CJK SC"/>
        <family val="2"/>
      </rPr>
      <t xml:space="preserve">が知らない「夢の記憶」の正体なぜあの夢だけ覚えてるの？</t>
    </r>
    <r>
      <rPr>
        <sz val="10"/>
        <rFont val="Arial"/>
        <family val="0"/>
        <charset val="1"/>
      </rPr>
      <t xml:space="preserve">#</t>
    </r>
    <r>
      <rPr>
        <sz val="10"/>
        <rFont val="Noto Sans CJK SC"/>
        <family val="2"/>
      </rPr>
      <t xml:space="preserve">昨夜の夢だけ覚えてる——</t>
    </r>
    <r>
      <rPr>
        <sz val="10"/>
        <rFont val="Arial"/>
        <family val="0"/>
        <charset val="1"/>
      </rPr>
      <t xml:space="preserve">99%</t>
    </r>
    <r>
      <rPr>
        <sz val="10"/>
        <rFont val="Noto Sans CJK SC"/>
        <family val="2"/>
      </rPr>
      <t xml:space="preserve">が知らない、脳が『あの夢』を選んで記録する本当の理由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</si>
  <si>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無印良品の正社員待遇、年間休日</t>
    </r>
    <r>
      <rPr>
        <sz val="10"/>
        <rFont val="Arial"/>
        <family val="0"/>
        <charset val="1"/>
      </rPr>
      <t xml:space="preserve">123</t>
    </r>
    <r>
      <rPr>
        <sz val="10"/>
        <rFont val="Noto Sans CJK SC"/>
        <family val="2"/>
      </rPr>
      <t xml:space="preserve">日の実態【ショート】</t>
    </r>
  </si>
  <si>
    <r>
      <rPr>
        <sz val="10"/>
        <rFont val="Arial"/>
        <family val="0"/>
        <charset val="1"/>
      </rPr>
      <t xml:space="preserve">3</t>
    </r>
    <r>
      <rPr>
        <sz val="10"/>
        <rFont val="Noto Sans CJK SC"/>
        <family val="2"/>
      </rPr>
      <t xml:space="preserve">秒で考えろ！この戦闘機の名前が親戚回避型な理由とは？【ショート】</t>
    </r>
  </si>
  <si>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</si>
  <si>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r>
      <rPr>
        <sz val="10"/>
        <rFont val="Noto Sans CJK SC"/>
        <family val="2"/>
      </rPr>
      <t xml:space="preserve">なぜ熱闘甲子園の夜だけ空気が変わる？お前らの夏の思い出</t>
    </r>
    <r>
      <rPr>
        <sz val="10"/>
        <rFont val="Arial"/>
        <family val="0"/>
        <charset val="1"/>
      </rPr>
      <t xml:space="preserve">5</t>
    </r>
    <r>
      <rPr>
        <sz val="10"/>
        <rFont val="Noto Sans CJK SC"/>
        <family val="2"/>
      </rPr>
      <t xml:space="preserve">つ聞かせろ【ショート】</t>
    </r>
  </si>
  <si>
    <t xml:space="preserve">実は迷子続出？ドラゴンボールパークで何が起きたのか【ショート】</t>
  </si>
  <si>
    <r>
      <rPr>
        <sz val="10"/>
        <rFont val="Noto Sans CJK SC"/>
        <family val="2"/>
      </rPr>
      <t xml:space="preserve">一口</t>
    </r>
    <r>
      <rPr>
        <sz val="10"/>
        <rFont val="Arial"/>
        <family val="0"/>
        <charset val="1"/>
      </rPr>
      <t xml:space="preserve">SCP #92</t>
    </r>
    <r>
      <rPr>
        <sz val="10"/>
        <rFont val="Noto Sans CJK SC"/>
        <family val="2"/>
      </rPr>
      <t xml:space="preserve">：👁️</t>
    </r>
    <r>
      <rPr>
        <sz val="10"/>
        <rFont val="Arial"/>
        <family val="0"/>
        <charset val="1"/>
      </rPr>
      <t xml:space="preserve">SCP-3120</t>
    </r>
    <r>
      <rPr>
        <sz val="10"/>
        <rFont val="Noto Sans CJK SC"/>
        <family val="2"/>
      </rPr>
      <t xml:space="preserve">「異常な戦闘機」— 試験飛行</t>
    </r>
    <r>
      <rPr>
        <sz val="10"/>
        <rFont val="Arial"/>
        <family val="0"/>
        <charset val="1"/>
      </rPr>
      <t xml:space="preserve">9</t>
    </r>
    <r>
      <rPr>
        <sz val="10"/>
        <rFont val="Noto Sans CJK SC"/>
        <family val="2"/>
      </rPr>
      <t xml:space="preserve">回、操縦席から帰還した隊員は</t>
    </r>
    <r>
      <rPr>
        <sz val="10"/>
        <rFont val="Arial"/>
        <family val="0"/>
        <charset val="1"/>
      </rPr>
      <t xml:space="preserve">1</t>
    </r>
    <r>
      <rPr>
        <sz val="10"/>
        <rFont val="Noto Sans CJK SC"/>
        <family val="2"/>
      </rPr>
      <t xml:space="preserve">名だった【ショート】</t>
    </r>
  </si>
  <si>
    <r>
      <rPr>
        <sz val="10"/>
        <rFont val="Noto Sans CJK SC"/>
        <family val="2"/>
      </rPr>
      <t xml:space="preserve">🤣ワイ、大谷の昼飯を</t>
    </r>
    <r>
      <rPr>
        <sz val="10"/>
        <rFont val="Arial"/>
        <family val="0"/>
        <charset val="1"/>
      </rPr>
      <t xml:space="preserve">3</t>
    </r>
    <r>
      <rPr>
        <sz val="10"/>
        <rFont val="Noto Sans CJK SC"/>
        <family val="2"/>
      </rPr>
      <t xml:space="preserve">秒で当てるスレ</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</si>
  <si>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分科学 </t>
    </r>
    <r>
      <rPr>
        <sz val="10"/>
        <rFont val="Arial"/>
        <family val="0"/>
        <charset val="1"/>
      </rPr>
      <t xml:space="preserve">#89</t>
    </r>
    <r>
      <rPr>
        <sz val="10"/>
        <rFont val="Noto Sans CJK SC"/>
        <family val="2"/>
      </rPr>
      <t xml:space="preserve">：💯なぜあなたは寝る直前だけ昔の失敗を思い出すのか？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秒の脳内変化【ショート】</t>
    </r>
  </si>
  <si>
    <r>
      <rPr>
        <sz val="10"/>
        <rFont val="Noto Sans CJK SC"/>
        <family val="2"/>
      </rPr>
      <t xml:space="preserve">一口</t>
    </r>
    <r>
      <rPr>
        <sz val="10"/>
        <rFont val="Arial"/>
        <family val="0"/>
        <charset val="1"/>
      </rPr>
      <t xml:space="preserve">SCP #106</t>
    </r>
    <r>
      <rPr>
        <sz val="10"/>
        <rFont val="Noto Sans CJK SC"/>
        <family val="2"/>
      </rPr>
      <t xml:space="preserve">：🫣</t>
    </r>
    <r>
      <rPr>
        <sz val="10"/>
        <rFont val="Arial"/>
        <family val="0"/>
        <charset val="1"/>
      </rPr>
      <t xml:space="preserve">MTF</t>
    </r>
    <r>
      <rPr>
        <sz val="10"/>
        <rFont val="Noto Sans CJK SC"/>
        <family val="2"/>
      </rPr>
      <t xml:space="preserve">アルファからオメガ、あなたの部屋にも来る財団極秘作戦の恐怖💀【ショート】</t>
    </r>
  </si>
  <si>
    <r>
      <rPr>
        <sz val="10"/>
        <rFont val="Noto Sans CJK SC"/>
        <family val="2"/>
      </rPr>
      <t xml:space="preserve">ワイ、サーモス歴</t>
    </r>
    <r>
      <rPr>
        <sz val="10"/>
        <rFont val="Arial"/>
        <family val="0"/>
        <charset val="1"/>
      </rPr>
      <t xml:space="preserve">3</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</si>
  <si>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なぜ友達の風呂で</t>
    </r>
    <r>
      <rPr>
        <sz val="10"/>
        <rFont val="Arial"/>
        <family val="0"/>
        <charset val="1"/>
      </rPr>
      <t xml:space="preserve">3</t>
    </r>
    <r>
      <rPr>
        <sz val="10"/>
        <rFont val="Noto Sans CJK SC"/>
        <family val="2"/>
      </rPr>
      <t xml:space="preserve">回もやらかしたのか？ｗ </t>
    </r>
    <r>
      <rPr>
        <sz val="10"/>
        <rFont val="Arial"/>
        <family val="0"/>
        <charset val="1"/>
      </rPr>
      <t xml:space="preserve">#shorts #2ch #</t>
    </r>
    <r>
      <rPr>
        <sz val="10"/>
        <rFont val="Noto Sans CJK SC"/>
        <family val="2"/>
      </rPr>
      <t xml:space="preserve">面白いスレ</t>
    </r>
  </si>
  <si>
    <r>
      <rPr>
        <sz val="10"/>
        <rFont val="Arial"/>
        <family val="0"/>
        <charset val="1"/>
      </rPr>
      <t xml:space="preserve">1</t>
    </r>
    <r>
      <rPr>
        <sz val="10"/>
        <rFont val="Noto Sans CJK SC"/>
        <family val="2"/>
      </rPr>
      <t xml:space="preserve">分科学 </t>
    </r>
    <r>
      <rPr>
        <sz val="10"/>
        <rFont val="Arial"/>
        <family val="0"/>
        <charset val="1"/>
      </rPr>
      <t xml:space="preserve">#95</t>
    </r>
    <r>
      <rPr>
        <sz val="10"/>
        <rFont val="Noto Sans CJK SC"/>
        <family val="2"/>
      </rPr>
      <t xml:space="preserve">：🧪なぜ雷鳴の</t>
    </r>
    <r>
      <rPr>
        <sz val="10"/>
        <rFont val="Arial"/>
        <family val="0"/>
        <charset val="1"/>
      </rPr>
      <t xml:space="preserve">3</t>
    </r>
    <r>
      <rPr>
        <sz val="10"/>
        <rFont val="Noto Sans CJK SC"/>
        <family val="2"/>
      </rPr>
      <t xml:space="preserve">秒前から体が固まるのか？あなたの脳に起きる反応の正体🧬【ショート】</t>
    </r>
  </si>
  <si>
    <r>
      <rPr>
        <sz val="10"/>
        <rFont val="Noto Sans CJK SC"/>
        <family val="2"/>
      </rPr>
      <t xml:space="preserve">なぜ航路の先で記録が消えるのか？</t>
    </r>
    <r>
      <rPr>
        <sz val="10"/>
        <rFont val="Arial"/>
        <family val="0"/>
        <charset val="1"/>
      </rPr>
      <t xml:space="preserve">SCP-1783-JP</t>
    </r>
    <r>
      <rPr>
        <sz val="10"/>
        <rFont val="Noto Sans CJK SC"/>
        <family val="2"/>
      </rPr>
      <t xml:space="preserve">の本当の恐怖【ショート】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</si>
  <si>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#19</t>
    </r>
    <r>
      <rPr>
        <sz val="10"/>
        <rFont val="Noto Sans CJK SC"/>
        <family val="2"/>
      </rPr>
      <t xml:space="preserve">：🕵️ケッキングに隠された</t>
    </r>
    <r>
      <rPr>
        <sz val="10"/>
        <rFont val="Arial"/>
        <family val="0"/>
        <charset val="1"/>
      </rPr>
      <t xml:space="preserve">2</t>
    </r>
    <r>
      <rPr>
        <sz val="10"/>
        <rFont val="Noto Sans CJK SC"/>
        <family val="2"/>
      </rPr>
      <t xml:space="preserve">ターンの秘密、種族値</t>
    </r>
    <r>
      <rPr>
        <sz val="10"/>
        <rFont val="Arial"/>
        <family val="0"/>
        <charset val="1"/>
      </rPr>
      <t xml:space="preserve">670</t>
    </r>
    <r>
      <rPr>
        <sz val="10"/>
        <rFont val="Noto Sans CJK SC"/>
        <family val="2"/>
      </rPr>
      <t xml:space="preserve">なのになぜ使えない？【ショート】</t>
    </r>
  </si>
  <si>
    <r>
      <rPr>
        <sz val="10"/>
        <rFont val="Noto Sans CJK SC"/>
        <family val="2"/>
      </rPr>
      <t xml:space="preserve">あなたの耳が</t>
    </r>
    <r>
      <rPr>
        <sz val="10"/>
        <rFont val="Arial"/>
        <family val="0"/>
        <charset val="1"/>
      </rPr>
      <t xml:space="preserve">3</t>
    </r>
    <r>
      <rPr>
        <sz val="10"/>
        <rFont val="Noto Sans CJK SC"/>
        <family val="2"/>
      </rPr>
      <t xml:space="preserve">秒で抜ける正体は？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</si>
  <si>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🤣ワイ、落雷を</t>
    </r>
    <r>
      <rPr>
        <sz val="10"/>
        <rFont val="Arial"/>
        <family val="0"/>
        <charset val="1"/>
      </rPr>
      <t xml:space="preserve">3</t>
    </r>
    <r>
      <rPr>
        <sz val="10"/>
        <rFont val="Noto Sans CJK SC"/>
        <family val="2"/>
      </rPr>
      <t xml:space="preserve">秒で見たんやが質問ある？</t>
    </r>
    <r>
      <rPr>
        <sz val="10"/>
        <rFont val="Arial"/>
        <family val="0"/>
        <charset val="1"/>
      </rPr>
      <t xml:space="preserve">w🍑</t>
    </r>
    <r>
      <rPr>
        <sz val="10"/>
        <rFont val="Noto Sans CJK SC"/>
        <family val="2"/>
      </rPr>
      <t xml:space="preserve">【ショート】</t>
    </r>
  </si>
  <si>
    <r>
      <rPr>
        <sz val="10"/>
        <rFont val="Arial"/>
        <family val="0"/>
        <charset val="1"/>
      </rPr>
      <t xml:space="preserve">SCP-055</t>
    </r>
    <r>
      <rPr>
        <sz val="10"/>
        <rFont val="Noto Sans CJK SC"/>
        <family val="2"/>
      </rPr>
      <t xml:space="preserve">の報告書に残った奇妙な空欄とは？【ショート】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</si>
  <si>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#15</t>
    </r>
    <r>
      <rPr>
        <sz val="10"/>
        <rFont val="Noto Sans CJK SC"/>
        <family val="2"/>
      </rPr>
      <t xml:space="preserve">：👀シャンデラに隠された秘密、なぜ霊タイプ？君が知らない</t>
    </r>
    <r>
      <rPr>
        <sz val="10"/>
        <rFont val="Arial"/>
        <family val="0"/>
        <charset val="1"/>
      </rPr>
      <t xml:space="preserve">3</t>
    </r>
    <r>
      <rPr>
        <sz val="10"/>
        <rFont val="Noto Sans CJK SC"/>
        <family val="2"/>
      </rPr>
      <t xml:space="preserve">つの由来【ショート】</t>
    </r>
  </si>
  <si>
    <r>
      <rPr>
        <sz val="10"/>
        <rFont val="Noto Sans CJK SC"/>
        <family val="2"/>
      </rPr>
      <t xml:space="preserve">エースバーンのリベロ、</t>
    </r>
    <r>
      <rPr>
        <sz val="10"/>
        <rFont val="Arial"/>
        <family val="0"/>
        <charset val="1"/>
      </rPr>
      <t xml:space="preserve">1</t>
    </r>
    <r>
      <rPr>
        <sz val="10"/>
        <rFont val="Noto Sans CJK SC"/>
        <family val="2"/>
      </rPr>
      <t xml:space="preserve">試合でしか変われない</t>
    </r>
    <r>
      <rPr>
        <sz val="10"/>
        <rFont val="Arial"/>
        <family val="0"/>
        <charset val="1"/>
      </rPr>
      <t xml:space="preserve">!?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</si>
  <si>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t xml:space="preserve">実は家族に見られた通販履歴…一番言い訳できない理由は？【ショート】</t>
  </si>
  <si>
    <r>
      <rPr>
        <sz val="10"/>
        <rFont val="Noto Sans CJK SC"/>
        <family val="2"/>
      </rPr>
      <t xml:space="preserve">なぜ親は無言で机を閉めたのか…見つかって終わった物とは？ </t>
    </r>
    <r>
      <rPr>
        <sz val="10"/>
        <rFont val="Arial"/>
        <family val="0"/>
        <charset val="1"/>
      </rPr>
      <t xml:space="preserve">#shorts #2ch #</t>
    </r>
    <r>
      <rPr>
        <sz val="10"/>
        <rFont val="Noto Sans CJK SC"/>
        <family val="2"/>
      </rPr>
      <t xml:space="preserve">面白いスレ</t>
    </r>
  </si>
  <si>
    <r>
      <rPr>
        <sz val="10"/>
        <rFont val="Noto Sans CJK SC"/>
        <family val="2"/>
      </rPr>
      <t xml:space="preserve">ピカチュウは</t>
    </r>
    <r>
      <rPr>
        <sz val="10"/>
        <rFont val="Arial"/>
        <family val="0"/>
        <charset val="1"/>
      </rPr>
      <t xml:space="preserve">10%</t>
    </r>
    <r>
      <rPr>
        <sz val="10"/>
        <rFont val="Noto Sans CJK SC"/>
        <family val="2"/>
      </rPr>
      <t xml:space="preserve">なのになぜ看板？【ショート】</t>
    </r>
  </si>
  <si>
    <r>
      <rPr>
        <sz val="10"/>
        <rFont val="Noto Sans CJK SC"/>
        <family val="2"/>
      </rPr>
      <t xml:space="preserve">💦ワイ、夫が寝た後の秘密</t>
    </r>
    <r>
      <rPr>
        <sz val="10"/>
        <rFont val="Arial"/>
        <family val="0"/>
        <charset val="1"/>
      </rPr>
      <t xml:space="preserve">3</t>
    </r>
    <r>
      <rPr>
        <sz val="10"/>
        <rFont val="Noto Sans CJK SC"/>
        <family val="2"/>
      </rPr>
      <t xml:space="preserve">つあげてけ</t>
    </r>
    <r>
      <rPr>
        <sz val="10"/>
        <rFont val="Arial"/>
        <family val="0"/>
        <charset val="1"/>
      </rPr>
      <t xml:space="preserve">w🤣</t>
    </r>
    <r>
      <rPr>
        <sz val="10"/>
        <rFont val="Noto Sans CJK SC"/>
        <family val="2"/>
      </rPr>
      <t xml:space="preserve">【ショート】</t>
    </r>
  </si>
  <si>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</si>
  <si>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r>
      <rPr>
        <sz val="10"/>
        <rFont val="Noto Sans CJK SC"/>
        <family val="2"/>
      </rPr>
      <t xml:space="preserve">泳いでいる脳が</t>
    </r>
    <r>
      <rPr>
        <sz val="10"/>
        <rFont val="Arial"/>
        <family val="0"/>
        <charset val="1"/>
      </rPr>
      <t xml:space="preserve">3</t>
    </r>
    <r>
      <rPr>
        <sz val="10"/>
        <rFont val="Noto Sans CJK SC"/>
        <family val="2"/>
      </rPr>
      <t xml:space="preserve">秒ごとに息継ぎを気にするワケ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</si>
  <si>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1</t>
    </r>
    <r>
      <rPr>
        <sz val="10"/>
        <rFont val="Noto Sans CJK SC"/>
        <family val="2"/>
      </rPr>
      <t xml:space="preserve">分ポケモン研究 </t>
    </r>
    <r>
      <rPr>
        <sz val="10"/>
        <rFont val="Arial"/>
        <family val="0"/>
        <charset val="1"/>
      </rPr>
      <t xml:space="preserve">#17</t>
    </r>
    <r>
      <rPr>
        <sz val="10"/>
        <rFont val="Noto Sans CJK SC"/>
        <family val="2"/>
      </rPr>
      <t xml:space="preserve">：👀ミュウツーに隠された</t>
    </r>
    <r>
      <rPr>
        <sz val="10"/>
        <rFont val="Arial"/>
        <family val="0"/>
        <charset val="1"/>
      </rPr>
      <t xml:space="preserve">3</t>
    </r>
    <r>
      <rPr>
        <sz val="10"/>
        <rFont val="Noto Sans CJK SC"/>
        <family val="2"/>
      </rPr>
      <t xml:space="preserve">手先の秘密、</t>
    </r>
    <r>
      <rPr>
        <sz val="10"/>
        <rFont val="Arial"/>
        <family val="0"/>
        <charset val="1"/>
      </rPr>
      <t xml:space="preserve">AI</t>
    </r>
    <r>
      <rPr>
        <sz val="10"/>
        <rFont val="Noto Sans CJK SC"/>
        <family val="2"/>
      </rPr>
      <t xml:space="preserve">はなぜ交代を読める？【ショート】</t>
    </r>
  </si>
  <si>
    <r>
      <rPr>
        <sz val="10"/>
        <rFont val="Noto Sans CJK SC"/>
        <family val="2"/>
      </rPr>
      <t xml:space="preserve">今夜あなたが寝返りした瞬間、なぜ</t>
    </r>
    <r>
      <rPr>
        <sz val="10"/>
        <rFont val="Arial"/>
        <family val="0"/>
        <charset val="1"/>
      </rPr>
      <t xml:space="preserve">0.8</t>
    </r>
    <r>
      <rPr>
        <sz val="10"/>
        <rFont val="Noto Sans CJK SC"/>
        <family val="2"/>
      </rPr>
      <t xml:space="preserve">秒だけ目が覚める？実は眠りが消える前の脳内チェック【ショート】</t>
    </r>
  </si>
  <si>
    <r>
      <rPr>
        <sz val="10"/>
        <rFont val="Noto Sans CJK SC"/>
        <family val="2"/>
      </rPr>
      <t xml:space="preserve">🤯ワイ、友達の家でヤバい物を</t>
    </r>
    <r>
      <rPr>
        <sz val="10"/>
        <rFont val="Arial"/>
        <family val="0"/>
        <charset val="1"/>
      </rPr>
      <t xml:space="preserve">3</t>
    </r>
    <r>
      <rPr>
        <sz val="10"/>
        <rFont val="Noto Sans CJK SC"/>
        <family val="2"/>
      </rPr>
      <t xml:space="preserve">個見たんやが</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</si>
  <si>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分科学 </t>
    </r>
    <r>
      <rPr>
        <sz val="10"/>
        <rFont val="Arial"/>
        <family val="0"/>
        <charset val="1"/>
      </rPr>
      <t xml:space="preserve">#102</t>
    </r>
    <r>
      <rPr>
        <sz val="10"/>
        <rFont val="Noto Sans CJK SC"/>
        <family val="2"/>
      </rPr>
      <t xml:space="preserve">：🌍なぜ寝起きの口だけネバつくのか？あなたの唾液が眠る</t>
    </r>
    <r>
      <rPr>
        <sz val="10"/>
        <rFont val="Arial"/>
        <family val="0"/>
        <charset val="1"/>
      </rPr>
      <t xml:space="preserve">8</t>
    </r>
    <r>
      <rPr>
        <sz val="10"/>
        <rFont val="Noto Sans CJK SC"/>
        <family val="2"/>
      </rPr>
      <t xml:space="preserve">時間の正体【ショート】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</si>
  <si>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#14</t>
    </r>
    <r>
      <rPr>
        <sz val="10"/>
        <rFont val="Noto Sans CJK SC"/>
        <family val="2"/>
      </rPr>
      <t xml:space="preserve">：👀ロケット団に隠された</t>
    </r>
    <r>
      <rPr>
        <sz val="10"/>
        <rFont val="Arial"/>
        <family val="0"/>
        <charset val="1"/>
      </rPr>
      <t xml:space="preserve">3</t>
    </r>
    <r>
      <rPr>
        <sz val="10"/>
        <rFont val="Noto Sans CJK SC"/>
        <family val="2"/>
      </rPr>
      <t xml:space="preserve">つの秘密、あなたは本当の目的を知ってる？【ショート】</t>
    </r>
  </si>
  <si>
    <r>
      <rPr>
        <sz val="10"/>
        <rFont val="Noto Sans CJK SC"/>
        <family val="2"/>
      </rPr>
      <t xml:space="preserve">彼女の家で開けたらアカン引き出し開けたんやが </t>
    </r>
    <r>
      <rPr>
        <sz val="10"/>
        <rFont val="Arial"/>
        <family val="0"/>
        <charset val="1"/>
      </rPr>
      <t xml:space="preserve">#shorts #2ch #</t>
    </r>
    <r>
      <rPr>
        <sz val="10"/>
        <rFont val="Noto Sans CJK SC"/>
        <family val="2"/>
      </rPr>
      <t xml:space="preserve">面白いスレ</t>
    </r>
  </si>
  <si>
    <r>
      <rPr>
        <sz val="10"/>
        <rFont val="Noto Sans CJK SC"/>
        <family val="2"/>
      </rPr>
      <t xml:space="preserve">正体を大人が知る</t>
    </r>
    <r>
      <rPr>
        <sz val="10"/>
        <rFont val="Arial"/>
        <family val="0"/>
        <charset val="1"/>
      </rPr>
      <t xml:space="preserve">3</t>
    </r>
    <r>
      <rPr>
        <sz val="10"/>
        <rFont val="Noto Sans CJK SC"/>
        <family val="2"/>
      </rPr>
      <t xml:space="preserve">秒の言葉あげてけ</t>
    </r>
    <r>
      <rPr>
        <sz val="10"/>
        <rFont val="Arial"/>
        <family val="0"/>
        <charset val="1"/>
      </rPr>
      <t xml:space="preserve">w😂 #shorts #2ch #</t>
    </r>
    <r>
      <rPr>
        <sz val="10"/>
        <rFont val="Noto Sans CJK SC"/>
        <family val="2"/>
      </rPr>
      <t xml:space="preserve">面白いスレ</t>
    </r>
  </si>
  <si>
    <r>
      <rPr>
        <sz val="10"/>
        <rFont val="Noto Sans CJK SC"/>
        <family val="2"/>
      </rPr>
      <t xml:space="preserve">寝てる間だけ成長する？</t>
    </r>
    <r>
      <rPr>
        <sz val="10"/>
        <rFont val="Arial"/>
        <family val="0"/>
        <charset val="1"/>
      </rPr>
      <t xml:space="preserve">99%</t>
    </r>
    <r>
      <rPr>
        <sz val="10"/>
        <rFont val="Noto Sans CJK SC"/>
        <family val="2"/>
      </rPr>
      <t xml:space="preserve">が知らない夜の体の秘密</t>
    </r>
    <r>
      <rPr>
        <sz val="10"/>
        <rFont val="Arial"/>
        <family val="0"/>
        <charset val="1"/>
      </rPr>
      <t xml:space="preserve">#</t>
    </r>
    <r>
      <rPr>
        <sz val="10"/>
        <rFont val="Noto Sans CJK SC"/>
        <family val="2"/>
      </rPr>
      <t xml:space="preserve">寝ている間だけ分泌される『あのホルモン』——なぜ</t>
    </r>
    <r>
      <rPr>
        <sz val="10"/>
        <rFont val="Arial"/>
        <family val="0"/>
        <charset val="1"/>
      </rPr>
      <t xml:space="preserve">99%</t>
    </r>
    <r>
      <rPr>
        <sz val="10"/>
        <rFont val="Noto Sans CJK SC"/>
        <family val="2"/>
      </rPr>
      <t xml:space="preserve">の人が睡眠中にしか成長できないのか？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</si>
  <si>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23</t>
    </r>
    <r>
      <rPr>
        <sz val="10"/>
        <rFont val="Noto Sans CJK SC"/>
        <family val="2"/>
      </rPr>
      <t xml:space="preserve">年間隠し続けた接近者</t>
    </r>
    <r>
      <rPr>
        <sz val="10"/>
        <rFont val="Arial"/>
        <family val="0"/>
        <charset val="1"/>
      </rPr>
      <t xml:space="preserve">19</t>
    </r>
    <r>
      <rPr>
        <sz val="10"/>
        <rFont val="Noto Sans CJK SC"/>
        <family val="2"/>
      </rPr>
      <t xml:space="preserve">名・生存率</t>
    </r>
    <r>
      <rPr>
        <sz val="10"/>
        <rFont val="Arial"/>
        <family val="0"/>
        <charset val="1"/>
      </rPr>
      <t xml:space="preserve">0%——</t>
    </r>
    <r>
      <rPr>
        <sz val="10"/>
        <rFont val="Noto Sans CJK SC"/>
        <family val="2"/>
      </rPr>
      <t xml:space="preserve">湖で名前を失った本当の理由【ショート】</t>
    </r>
  </si>
  <si>
    <r>
      <rPr>
        <sz val="10"/>
        <rFont val="Noto Sans CJK SC"/>
        <family val="2"/>
      </rPr>
      <t xml:space="preserve">なぜ今夜、布団で足だけ熱い？</t>
    </r>
    <r>
      <rPr>
        <sz val="10"/>
        <rFont val="Arial"/>
        <family val="0"/>
        <charset val="1"/>
      </rPr>
      <t xml:space="preserve">90%</t>
    </r>
    <r>
      <rPr>
        <sz val="10"/>
        <rFont val="Noto Sans CJK SC"/>
        <family val="2"/>
      </rPr>
      <t xml:space="preserve">が勘違いする</t>
    </r>
    <r>
      <rPr>
        <sz val="10"/>
        <rFont val="Arial"/>
        <family val="0"/>
        <charset val="1"/>
      </rPr>
      <t xml:space="preserve">30</t>
    </r>
    <r>
      <rPr>
        <sz val="10"/>
        <rFont val="Noto Sans CJK SC"/>
        <family val="2"/>
      </rPr>
      <t xml:space="preserve">分の放熱の正体【ショート】</t>
    </r>
  </si>
  <si>
    <r>
      <rPr>
        <sz val="10"/>
        <rFont val="Noto Sans CJK SC"/>
        <family val="2"/>
      </rPr>
      <t xml:space="preserve">なぜ今目を閉じるとふらつくのか？</t>
    </r>
    <r>
      <rPr>
        <sz val="10"/>
        <rFont val="Arial"/>
        <family val="0"/>
        <charset val="1"/>
      </rPr>
      <t xml:space="preserve">99%</t>
    </r>
    <r>
      <rPr>
        <sz val="10"/>
        <rFont val="Noto Sans CJK SC"/>
        <family val="2"/>
      </rPr>
      <t xml:space="preserve">が知らない最初の</t>
    </r>
    <r>
      <rPr>
        <sz val="10"/>
        <rFont val="Arial"/>
        <family val="0"/>
        <charset val="1"/>
      </rPr>
      <t xml:space="preserve">3</t>
    </r>
    <r>
      <rPr>
        <sz val="10"/>
        <rFont val="Noto Sans CJK SC"/>
        <family val="2"/>
      </rPr>
      <t xml:space="preserve">秒の平衡感覚【ショート】</t>
    </r>
  </si>
  <si>
    <r>
      <rPr>
        <sz val="10"/>
        <rFont val="Noto Sans CJK SC"/>
        <family val="2"/>
      </rPr>
      <t xml:space="preserve">一口</t>
    </r>
    <r>
      <rPr>
        <sz val="10"/>
        <rFont val="Arial"/>
        <family val="0"/>
        <charset val="1"/>
      </rPr>
      <t xml:space="preserve">SCP #109</t>
    </r>
    <r>
      <rPr>
        <sz val="10"/>
        <rFont val="Noto Sans CJK SC"/>
        <family val="2"/>
      </rPr>
      <t xml:space="preserve">：🫣</t>
    </r>
    <r>
      <rPr>
        <sz val="10"/>
        <rFont val="Arial"/>
        <family val="0"/>
        <charset val="1"/>
      </rPr>
      <t xml:space="preserve">SCP-2480</t>
    </r>
    <r>
      <rPr>
        <sz val="10"/>
        <rFont val="Noto Sans CJK SC"/>
        <family val="2"/>
      </rPr>
      <t xml:space="preserve">「未完の儀式」記録</t>
    </r>
    <r>
      <rPr>
        <sz val="10"/>
        <rFont val="Arial"/>
        <family val="0"/>
        <charset val="1"/>
      </rPr>
      <t xml:space="preserve">9</t>
    </r>
    <r>
      <rPr>
        <sz val="10"/>
        <rFont val="Noto Sans CJK SC"/>
        <family val="2"/>
      </rPr>
      <t xml:space="preserve">名だけが残った収容不能の恐怖【ショート】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</si>
  <si>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#12</t>
    </r>
    <r>
      <rPr>
        <sz val="10"/>
        <rFont val="Noto Sans CJK SC"/>
        <family val="2"/>
      </rPr>
      <t xml:space="preserve">：💧サーナイトとエルレイド、君はなぜ</t>
    </r>
    <r>
      <rPr>
        <sz val="10"/>
        <rFont val="Arial"/>
        <family val="0"/>
        <charset val="1"/>
      </rPr>
      <t xml:space="preserve">2</t>
    </r>
    <r>
      <rPr>
        <sz val="10"/>
        <rFont val="Noto Sans CJK SC"/>
        <family val="2"/>
      </rPr>
      <t xml:space="preserve">つの攻撃で迷う？【ショート】</t>
    </r>
  </si>
  <si>
    <r>
      <rPr>
        <sz val="10"/>
        <rFont val="Noto Sans CJK SC"/>
        <family val="2"/>
      </rPr>
      <t xml:space="preserve">黙読中の喉、なぜ声なしで</t>
    </r>
    <r>
      <rPr>
        <sz val="10"/>
        <rFont val="Arial"/>
        <family val="0"/>
        <charset val="1"/>
      </rPr>
      <t xml:space="preserve">1</t>
    </r>
    <r>
      <rPr>
        <sz val="10"/>
        <rFont val="Noto Sans CJK SC"/>
        <family val="2"/>
      </rPr>
      <t xml:space="preserve">秒だけ動く？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</si>
  <si>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なんか靴下だけ消えるんやが</t>
    </r>
    <r>
      <rPr>
        <sz val="10"/>
        <rFont val="Arial"/>
        <family val="0"/>
        <charset val="1"/>
      </rPr>
      <t xml:space="preserve">w</t>
    </r>
    <r>
      <rPr>
        <sz val="10"/>
        <rFont val="Noto Sans CJK SC"/>
        <family val="2"/>
      </rPr>
      <t xml:space="preserve">【ショート】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</si>
  <si>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#13</t>
    </r>
    <r>
      <rPr>
        <sz val="10"/>
        <rFont val="Noto Sans CJK SC"/>
        <family val="2"/>
      </rPr>
      <t xml:space="preserve">：👁️妖怪ウォッチ元祖に隠された</t>
    </r>
    <r>
      <rPr>
        <sz val="10"/>
        <rFont val="Arial"/>
        <family val="0"/>
        <charset val="1"/>
      </rPr>
      <t xml:space="preserve">3</t>
    </r>
    <r>
      <rPr>
        <sz val="10"/>
        <rFont val="Noto Sans CJK SC"/>
        <family val="2"/>
      </rPr>
      <t xml:space="preserve">つの秘密、あなたは名前の意味に気づいた？【ショート】</t>
    </r>
  </si>
  <si>
    <r>
      <rPr>
        <sz val="10"/>
        <rFont val="Noto Sans CJK SC"/>
        <family val="2"/>
      </rPr>
      <t xml:space="preserve">なぜ辛い物で汗が出るのか？実は</t>
    </r>
    <r>
      <rPr>
        <sz val="10"/>
        <rFont val="Arial"/>
        <family val="0"/>
        <charset val="1"/>
      </rPr>
      <t xml:space="preserve">9</t>
    </r>
    <r>
      <rPr>
        <sz val="10"/>
        <rFont val="Noto Sans CJK SC"/>
        <family val="2"/>
      </rPr>
      <t xml:space="preserve">割が勘違いする</t>
    </r>
    <r>
      <rPr>
        <sz val="10"/>
        <rFont val="Arial"/>
        <family val="0"/>
        <charset val="1"/>
      </rPr>
      <t xml:space="preserve">0.5</t>
    </r>
    <r>
      <rPr>
        <sz val="10"/>
        <rFont val="Noto Sans CJK SC"/>
        <family val="2"/>
      </rPr>
      <t xml:space="preserve">秒の温度反応【ショート】</t>
    </r>
  </si>
  <si>
    <r>
      <rPr>
        <sz val="10"/>
        <rFont val="Noto Sans CJK SC"/>
        <family val="2"/>
      </rPr>
      <t xml:space="preserve">実は</t>
    </r>
    <r>
      <rPr>
        <sz val="10"/>
        <rFont val="Arial"/>
        <family val="0"/>
        <charset val="1"/>
      </rPr>
      <t xml:space="preserve">3</t>
    </r>
    <r>
      <rPr>
        <sz val="10"/>
        <rFont val="Noto Sans CJK SC"/>
        <family val="2"/>
      </rPr>
      <t xml:space="preserve">秒で全生命が死んだ地球、その本当の理由はなぜ？【ショート】</t>
    </r>
  </si>
  <si>
    <r>
      <rPr>
        <sz val="10"/>
        <rFont val="Arial"/>
        <family val="0"/>
        <charset val="1"/>
      </rPr>
      <t xml:space="preserve">3</t>
    </r>
    <r>
      <rPr>
        <sz val="10"/>
        <rFont val="Noto Sans CJK SC"/>
        <family val="2"/>
      </rPr>
      <t xml:space="preserve">秒で消える？天狗と山伏、神隠しの本当の理由【ショート】</t>
    </r>
  </si>
  <si>
    <r>
      <rPr>
        <sz val="10"/>
        <rFont val="Noto Sans CJK SC"/>
        <family val="2"/>
      </rPr>
      <t xml:space="preserve">ワイ、アジア大会珍プレー歴</t>
    </r>
    <r>
      <rPr>
        <sz val="10"/>
        <rFont val="Arial"/>
        <family val="0"/>
        <charset val="1"/>
      </rPr>
      <t xml:space="preserve">0</t>
    </r>
    <r>
      <rPr>
        <sz val="10"/>
        <rFont val="Noto Sans CJK SC"/>
        <family val="2"/>
      </rPr>
      <t xml:space="preserve">年やけど質問ある？</t>
    </r>
    <r>
      <rPr>
        <sz val="10"/>
        <rFont val="Arial"/>
        <family val="0"/>
        <charset val="1"/>
      </rPr>
      <t xml:space="preserve">w🤣</t>
    </r>
    <r>
      <rPr>
        <sz val="10"/>
        <rFont val="Noto Sans CJK SC"/>
        <family val="2"/>
      </rPr>
      <t xml:space="preserve">【ショート】</t>
    </r>
  </si>
  <si>
    <r>
      <rPr>
        <sz val="10"/>
        <rFont val="Noto Sans CJK SC"/>
        <family val="2"/>
      </rPr>
      <t xml:space="preserve">初代図鑑にだけけつばんが現れた本当の理由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</si>
  <si>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1</t>
    </r>
    <r>
      <rPr>
        <sz val="10"/>
        <rFont val="Noto Sans CJK SC"/>
        <family val="2"/>
      </rPr>
      <t xml:space="preserve">分妖怪ファイル </t>
    </r>
    <r>
      <rPr>
        <sz val="10"/>
        <rFont val="Arial"/>
        <family val="0"/>
        <charset val="1"/>
      </rPr>
      <t xml:space="preserve">#16</t>
    </r>
    <r>
      <rPr>
        <sz val="10"/>
        <rFont val="Noto Sans CJK SC"/>
        <family val="2"/>
      </rPr>
      <t xml:space="preserve">：👁️妖怪ウォッチに隠された</t>
    </r>
    <r>
      <rPr>
        <sz val="10"/>
        <rFont val="Arial"/>
        <family val="0"/>
        <charset val="1"/>
      </rPr>
      <t xml:space="preserve">3</t>
    </r>
    <r>
      <rPr>
        <sz val="10"/>
        <rFont val="Noto Sans CJK SC"/>
        <family val="2"/>
      </rPr>
      <t xml:space="preserve">つの秘密、大谷翔平と妖怪伝説の関係は？【ショート】</t>
    </r>
  </si>
  <si>
    <r>
      <rPr>
        <sz val="10"/>
        <rFont val="Arial"/>
        <family val="0"/>
        <charset val="1"/>
      </rPr>
      <t xml:space="preserve">1</t>
    </r>
    <r>
      <rPr>
        <sz val="10"/>
        <rFont val="Noto Sans CJK SC"/>
        <family val="2"/>
      </rPr>
      <t xml:space="preserve">分科学 </t>
    </r>
    <r>
      <rPr>
        <sz val="10"/>
        <rFont val="Arial"/>
        <family val="0"/>
        <charset val="1"/>
      </rPr>
      <t xml:space="preserve">#90</t>
    </r>
    <r>
      <rPr>
        <sz val="10"/>
        <rFont val="Noto Sans CJK SC"/>
        <family val="2"/>
      </rPr>
      <t xml:space="preserve">：💯なぜあなたの舌はやけど後だけ味が消える？</t>
    </r>
    <r>
      <rPr>
        <sz val="10"/>
        <rFont val="Arial"/>
        <family val="0"/>
        <charset val="1"/>
      </rPr>
      <t xml:space="preserve">99%</t>
    </r>
    <r>
      <rPr>
        <sz val="10"/>
        <rFont val="Noto Sans CJK SC"/>
        <family val="2"/>
      </rPr>
      <t xml:space="preserve">が知らない</t>
    </r>
    <r>
      <rPr>
        <sz val="10"/>
        <rFont val="Arial"/>
        <family val="0"/>
        <charset val="1"/>
      </rPr>
      <t xml:space="preserve">10</t>
    </r>
    <r>
      <rPr>
        <sz val="10"/>
        <rFont val="Noto Sans CJK SC"/>
        <family val="2"/>
      </rPr>
      <t xml:space="preserve">日の入れ替わり【ショート】</t>
    </r>
  </si>
  <si>
    <r>
      <rPr>
        <sz val="10"/>
        <rFont val="Noto Sans CJK SC"/>
        <family val="2"/>
      </rPr>
      <t xml:space="preserve">一口</t>
    </r>
    <r>
      <rPr>
        <sz val="10"/>
        <rFont val="Arial"/>
        <family val="0"/>
        <charset val="1"/>
      </rPr>
      <t xml:space="preserve">SCP #94</t>
    </r>
    <r>
      <rPr>
        <sz val="10"/>
        <rFont val="Noto Sans CJK SC"/>
        <family val="2"/>
      </rPr>
      <t xml:space="preserve">：🔒</t>
    </r>
    <r>
      <rPr>
        <sz val="10"/>
        <rFont val="Arial"/>
        <family val="0"/>
        <charset val="1"/>
      </rPr>
      <t xml:space="preserve">SCP-2306</t>
    </r>
    <r>
      <rPr>
        <sz val="10"/>
        <rFont val="Noto Sans CJK SC"/>
        <family val="2"/>
      </rPr>
      <t xml:space="preserve">「実在しない部屋」— 図面に無い</t>
    </r>
    <r>
      <rPr>
        <sz val="10"/>
        <rFont val="Arial"/>
        <family val="0"/>
        <charset val="1"/>
      </rPr>
      <t xml:space="preserve">1</t>
    </r>
    <r>
      <rPr>
        <sz val="10"/>
        <rFont val="Noto Sans CJK SC"/>
        <family val="2"/>
      </rPr>
      <t xml:space="preserve">室、調査員</t>
    </r>
    <r>
      <rPr>
        <sz val="10"/>
        <rFont val="Arial"/>
        <family val="0"/>
        <charset val="1"/>
      </rPr>
      <t xml:space="preserve">4</t>
    </r>
    <r>
      <rPr>
        <sz val="10"/>
        <rFont val="Noto Sans CJK SC"/>
        <family val="2"/>
      </rPr>
      <t xml:space="preserve">名の記録だけが残った⚠️【ショート】</t>
    </r>
  </si>
  <si>
    <r>
      <rPr>
        <sz val="10"/>
        <rFont val="Noto Sans CJK SC"/>
        <family val="2"/>
      </rPr>
      <t xml:space="preserve">なぜくしゃみの後だけ体が軽いのか？</t>
    </r>
    <r>
      <rPr>
        <sz val="10"/>
        <rFont val="Arial"/>
        <family val="0"/>
        <charset val="1"/>
      </rPr>
      <t xml:space="preserve">9</t>
    </r>
    <r>
      <rPr>
        <sz val="10"/>
        <rFont val="Noto Sans CJK SC"/>
        <family val="2"/>
      </rPr>
      <t xml:space="preserve">割が知らない</t>
    </r>
    <r>
      <rPr>
        <sz val="10"/>
        <rFont val="Arial"/>
        <family val="0"/>
        <charset val="1"/>
      </rPr>
      <t xml:space="preserve">3</t>
    </r>
    <r>
      <rPr>
        <sz val="10"/>
        <rFont val="Noto Sans CJK SC"/>
        <family val="2"/>
      </rPr>
      <t xml:space="preserve">秒間の神経反応【ショート】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</si>
  <si>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#7</t>
    </r>
    <r>
      <rPr>
        <sz val="10"/>
        <rFont val="Noto Sans CJK SC"/>
        <family val="2"/>
      </rPr>
      <t xml:space="preserve">：😰かまいたちの元ネタが怖すぎる — あなたが</t>
    </r>
    <r>
      <rPr>
        <sz val="10"/>
        <rFont val="Arial"/>
        <family val="0"/>
        <charset val="1"/>
      </rPr>
      <t xml:space="preserve">3</t>
    </r>
    <r>
      <rPr>
        <sz val="10"/>
        <rFont val="Noto Sans CJK SC"/>
        <family val="2"/>
      </rPr>
      <t xml:space="preserve">秒で傷つく理由は？【ショート】</t>
    </r>
  </si>
  <si>
    <r>
      <rPr>
        <sz val="10"/>
        <rFont val="Noto Sans CJK SC"/>
        <family val="2"/>
      </rPr>
      <t xml:space="preserve">なぜ猫又の尻尾は</t>
    </r>
    <r>
      <rPr>
        <sz val="10"/>
        <rFont val="Arial"/>
        <family val="0"/>
        <charset val="1"/>
      </rPr>
      <t xml:space="preserve">2</t>
    </r>
    <r>
      <rPr>
        <sz val="10"/>
        <rFont val="Noto Sans CJK SC"/>
        <family val="2"/>
      </rPr>
      <t xml:space="preserve">つ？実は老猫を恐れた江戸の記録が怖い【ショート】</t>
    </r>
  </si>
  <si>
    <r>
      <rPr>
        <sz val="10"/>
        <rFont val="Arial"/>
        <family val="0"/>
        <charset val="1"/>
      </rPr>
      <t xml:space="preserve">1</t>
    </r>
    <r>
      <rPr>
        <sz val="10"/>
        <rFont val="Noto Sans CJK SC"/>
        <family val="2"/>
      </rPr>
      <t xml:space="preserve">分ポケモン研究 </t>
    </r>
    <r>
      <rPr>
        <sz val="10"/>
        <rFont val="Arial"/>
        <family val="0"/>
        <charset val="1"/>
      </rPr>
      <t xml:space="preserve">#22</t>
    </r>
    <r>
      <rPr>
        <sz val="10"/>
        <rFont val="Noto Sans CJK SC"/>
        <family val="2"/>
      </rPr>
      <t xml:space="preserve">：😨ラプラスに隠された秘密、図鑑の</t>
    </r>
    <r>
      <rPr>
        <sz val="10"/>
        <rFont val="Arial"/>
        <family val="0"/>
        <charset val="1"/>
      </rPr>
      <t xml:space="preserve">1</t>
    </r>
    <r>
      <rPr>
        <sz val="10"/>
        <rFont val="Noto Sans CJK SC"/>
        <family val="2"/>
      </rPr>
      <t xml:space="preserve">文で人間側がヤバい？【ショート】</t>
    </r>
  </si>
  <si>
    <r>
      <rPr>
        <sz val="10"/>
        <rFont val="Noto Sans CJK SC"/>
        <family val="2"/>
      </rPr>
      <t xml:space="preserve">あなたの体で毎晩起きていること、気づいていますか？</t>
    </r>
    <r>
      <rPr>
        <sz val="10"/>
        <rFont val="Arial"/>
        <family val="0"/>
        <charset val="1"/>
      </rPr>
      <t xml:space="preserve">#</t>
    </r>
    <r>
      <rPr>
        <sz val="10"/>
        <rFont val="Noto Sans CJK SC"/>
        <family val="2"/>
      </rPr>
      <t xml:space="preserve">睡眠中の『口の乾き』——</t>
    </r>
    <r>
      <rPr>
        <sz val="10"/>
        <rFont val="Arial"/>
        <family val="0"/>
        <charset val="1"/>
      </rPr>
      <t xml:space="preserve">99%</t>
    </r>
    <r>
      <rPr>
        <sz val="10"/>
        <rFont val="Noto Sans CJK SC"/>
        <family val="2"/>
      </rPr>
      <t xml:space="preserve">が見過ごす体内の変化とは？ </t>
    </r>
    <r>
      <rPr>
        <sz val="10"/>
        <rFont val="Arial"/>
        <family val="0"/>
        <charset val="1"/>
      </rPr>
      <t xml:space="preserve">#shorts #</t>
    </r>
    <r>
      <rPr>
        <sz val="10"/>
        <rFont val="Noto Sans CJK SC"/>
        <family val="2"/>
      </rPr>
      <t xml:space="preserve">ゆっくり解説</t>
    </r>
  </si>
  <si>
    <r>
      <rPr>
        <sz val="10"/>
        <rFont val="Arial"/>
        <family val="0"/>
        <charset val="1"/>
      </rPr>
      <t xml:space="preserve">SCP</t>
    </r>
    <r>
      <rPr>
        <sz val="10"/>
        <rFont val="Noto Sans CJK SC"/>
        <family val="2"/>
      </rPr>
      <t xml:space="preserve">記録係</t>
    </r>
    <r>
      <rPr>
        <sz val="10"/>
        <rFont val="Arial"/>
        <family val="0"/>
        <charset val="1"/>
      </rPr>
      <t xml:space="preserve">12</t>
    </r>
    <r>
      <rPr>
        <sz val="10"/>
        <rFont val="Noto Sans CJK SC"/>
        <family val="2"/>
      </rPr>
      <t xml:space="preserve">名が最後に揃って書いた</t>
    </r>
    <r>
      <rPr>
        <sz val="10"/>
        <rFont val="Arial"/>
        <family val="0"/>
        <charset val="1"/>
      </rPr>
      <t xml:space="preserve">42</t>
    </r>
    <r>
      <rPr>
        <sz val="10"/>
        <rFont val="Noto Sans CJK SC"/>
        <family val="2"/>
      </rPr>
      <t xml:space="preserve">字 </t>
    </r>
    <r>
      <rPr>
        <sz val="10"/>
        <rFont val="Arial"/>
        <family val="0"/>
        <charset val="1"/>
      </rPr>
      <t xml:space="preserve">#shorts #SCP #SCP</t>
    </r>
    <r>
      <rPr>
        <sz val="10"/>
        <rFont val="Noto Sans CJK SC"/>
        <family val="2"/>
      </rPr>
      <t xml:space="preserve">解説</t>
    </r>
  </si>
  <si>
    <r>
      <rPr>
        <sz val="10"/>
        <rFont val="Noto Sans CJK SC"/>
        <family val="2"/>
      </rPr>
      <t xml:space="preserve">雪女が</t>
    </r>
    <r>
      <rPr>
        <sz val="10"/>
        <rFont val="Arial"/>
        <family val="0"/>
        <charset val="1"/>
      </rPr>
      <t xml:space="preserve">3</t>
    </r>
    <r>
      <rPr>
        <sz val="10"/>
        <rFont val="Noto Sans CJK SC"/>
        <family val="2"/>
      </rPr>
      <t xml:space="preserve">日黙れと言う…実は誰にも言えない恐怖があった【ショート】</t>
    </r>
  </si>
  <si>
    <r>
      <rPr>
        <sz val="10"/>
        <rFont val="Noto Sans CJK SC"/>
        <family val="2"/>
      </rPr>
      <t xml:space="preserve">太陽系の番人</t>
    </r>
    <r>
      <rPr>
        <sz val="10"/>
        <rFont val="Arial"/>
        <family val="0"/>
        <charset val="1"/>
      </rPr>
      <t xml:space="preserve">SCP-179</t>
    </r>
    <r>
      <rPr>
        <sz val="10"/>
        <rFont val="Noto Sans CJK SC"/>
        <family val="2"/>
      </rPr>
      <t xml:space="preserve">が沈黙を恐れる理由【ショート】</t>
    </r>
  </si>
  <si>
    <r>
      <rPr>
        <sz val="10"/>
        <rFont val="Noto Sans CJK SC"/>
        <family val="2"/>
      </rPr>
      <t xml:space="preserve">なぜケンタッキー月見は</t>
    </r>
    <r>
      <rPr>
        <sz val="10"/>
        <rFont val="Arial"/>
        <family val="0"/>
        <charset val="1"/>
      </rPr>
      <t xml:space="preserve">3</t>
    </r>
    <r>
      <rPr>
        <sz val="10"/>
        <rFont val="Noto Sans CJK SC"/>
        <family val="2"/>
      </rPr>
      <t xml:space="preserve">秒で秋の給料日になるのか、食べた感想あげてけ</t>
    </r>
    <r>
      <rPr>
        <sz val="10"/>
        <rFont val="Arial"/>
        <family val="0"/>
        <charset val="1"/>
      </rPr>
      <t xml:space="preserve">w</t>
    </r>
    <r>
      <rPr>
        <sz val="10"/>
        <rFont val="Noto Sans CJK SC"/>
        <family val="2"/>
      </rPr>
      <t xml:space="preserve">【ショート】</t>
    </r>
  </si>
  <si>
    <r>
      <rPr>
        <sz val="10"/>
        <rFont val="Noto Sans CJK SC"/>
        <family val="2"/>
      </rPr>
      <t xml:space="preserve">ポケモンセンターが治療費</t>
    </r>
    <r>
      <rPr>
        <sz val="10"/>
        <rFont val="Arial"/>
        <family val="0"/>
        <charset val="1"/>
      </rPr>
      <t xml:space="preserve">0</t>
    </r>
    <r>
      <rPr>
        <sz val="10"/>
        <rFont val="Noto Sans CJK SC"/>
        <family val="2"/>
      </rPr>
      <t xml:space="preserve">円で成り立つ理由がヤバい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</si>
  <si>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SCP-███ </t>
    </r>
    <r>
      <rPr>
        <sz val="10"/>
        <rFont val="Noto Sans CJK SC"/>
        <family val="2"/>
      </rPr>
      <t xml:space="preserve">持ち出した報告書が</t>
    </r>
    <r>
      <rPr>
        <sz val="10"/>
        <rFont val="Arial"/>
        <family val="0"/>
        <charset val="1"/>
      </rPr>
      <t xml:space="preserve">3</t>
    </r>
    <r>
      <rPr>
        <sz val="10"/>
        <rFont val="Noto Sans CJK SC"/>
        <family val="2"/>
      </rPr>
      <t xml:space="preserve">日後に戻った </t>
    </r>
    <r>
      <rPr>
        <sz val="10"/>
        <rFont val="Arial"/>
        <family val="0"/>
        <charset val="1"/>
      </rPr>
      <t xml:space="preserve">#shorts #SCP #SCP</t>
    </r>
    <r>
      <rPr>
        <sz val="10"/>
        <rFont val="Noto Sans CJK SC"/>
        <family val="2"/>
      </rPr>
      <t xml:space="preserve">解説</t>
    </r>
  </si>
  <si>
    <r>
      <rPr>
        <sz val="10"/>
        <rFont val="Noto Sans CJK SC"/>
        <family val="2"/>
      </rPr>
      <t xml:space="preserve">🤣ワイ健康診断歴</t>
    </r>
    <r>
      <rPr>
        <sz val="10"/>
        <rFont val="Arial"/>
        <family val="0"/>
        <charset val="1"/>
      </rPr>
      <t xml:space="preserve">3</t>
    </r>
    <r>
      <rPr>
        <sz val="10"/>
        <rFont val="Noto Sans CJK SC"/>
        <family val="2"/>
      </rPr>
      <t xml:space="preserve">年やけど正体ある</t>
    </r>
    <r>
      <rPr>
        <sz val="10"/>
        <rFont val="Arial"/>
        <family val="0"/>
        <charset val="1"/>
      </rPr>
      <t xml:space="preserve">w🍑 #shorts #2ch #</t>
    </r>
    <r>
      <rPr>
        <sz val="10"/>
        <rFont val="Noto Sans CJK SC"/>
        <family val="2"/>
      </rPr>
      <t xml:space="preserve">面白いスレ</t>
    </r>
  </si>
  <si>
    <r>
      <rPr>
        <sz val="10"/>
        <rFont val="Noto Sans CJK SC"/>
        <family val="2"/>
      </rPr>
      <t xml:space="preserve">なぜ今、片方の手だけ冷たいのか？</t>
    </r>
    <r>
      <rPr>
        <sz val="10"/>
        <rFont val="Arial"/>
        <family val="0"/>
        <charset val="1"/>
      </rPr>
      <t xml:space="preserve">9</t>
    </r>
    <r>
      <rPr>
        <sz val="10"/>
        <rFont val="Noto Sans CJK SC"/>
        <family val="2"/>
      </rPr>
      <t xml:space="preserve">割が見落とす</t>
    </r>
    <r>
      <rPr>
        <sz val="10"/>
        <rFont val="Arial"/>
        <family val="0"/>
        <charset val="1"/>
      </rPr>
      <t xml:space="preserve">2</t>
    </r>
    <r>
      <rPr>
        <sz val="10"/>
        <rFont val="Noto Sans CJK SC"/>
        <family val="2"/>
      </rPr>
      <t xml:space="preserve">倍の血流差【ショート】</t>
    </r>
  </si>
  <si>
    <r>
      <rPr>
        <sz val="10"/>
        <rFont val="Noto Sans CJK SC"/>
        <family val="2"/>
      </rPr>
      <t xml:space="preserve">小豆洗いの正体 </t>
    </r>
    <r>
      <rPr>
        <sz val="10"/>
        <rFont val="Arial"/>
        <family val="0"/>
        <charset val="1"/>
      </rPr>
      <t xml:space="preserve">127</t>
    </r>
    <r>
      <rPr>
        <sz val="10"/>
        <rFont val="Noto Sans CJK SC"/>
        <family val="2"/>
      </rPr>
      <t xml:space="preserve">年の川音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</si>
  <si>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万円、実は株価上昇の裏側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</si>
  <si>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御三家の相性が三すくみになったワケ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</si>
  <si>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雪夜に顔を隠す白粉婆…雪女とは違う恐ろしさ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</si>
  <si>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1</t>
    </r>
    <r>
      <rPr>
        <sz val="10"/>
        <rFont val="Noto Sans CJK SC"/>
        <family val="2"/>
      </rPr>
      <t xml:space="preserve">分ポケモン研究 </t>
    </r>
    <r>
      <rPr>
        <sz val="10"/>
        <rFont val="Arial"/>
        <family val="0"/>
        <charset val="1"/>
      </rPr>
      <t xml:space="preserve">#18</t>
    </r>
    <r>
      <rPr>
        <sz val="10"/>
        <rFont val="Noto Sans CJK SC"/>
        <family val="2"/>
      </rPr>
      <t xml:space="preserve">：👀ポケモンタワーに隠された秘密、あなたが見落とす</t>
    </r>
    <r>
      <rPr>
        <sz val="10"/>
        <rFont val="Arial"/>
        <family val="0"/>
        <charset val="1"/>
      </rPr>
      <t xml:space="preserve">3</t>
    </r>
    <r>
      <rPr>
        <sz val="10"/>
        <rFont val="Noto Sans CJK SC"/>
        <family val="2"/>
      </rPr>
      <t xml:space="preserve">つの違和感は？👀【ショート】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</si>
  <si>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#17</t>
    </r>
    <r>
      <rPr>
        <sz val="10"/>
        <rFont val="Noto Sans CJK SC"/>
        <family val="2"/>
      </rPr>
      <t xml:space="preserve">：❓妖怪ウォッチの将門伝説に隠された秘密、あなたが知らない</t>
    </r>
    <r>
      <rPr>
        <sz val="10"/>
        <rFont val="Arial"/>
        <family val="0"/>
        <charset val="1"/>
      </rPr>
      <t xml:space="preserve">3</t>
    </r>
    <r>
      <rPr>
        <sz val="10"/>
        <rFont val="Noto Sans CJK SC"/>
        <family val="2"/>
      </rPr>
      <t xml:space="preserve">つの異変？🔍【ショート】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</si>
  <si>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#11</t>
    </r>
    <r>
      <rPr>
        <sz val="10"/>
        <rFont val="Noto Sans CJK SC"/>
        <family val="2"/>
      </rPr>
      <t xml:space="preserve">：🔍ぬらりひょんに隠された</t>
    </r>
    <r>
      <rPr>
        <sz val="10"/>
        <rFont val="Arial"/>
        <family val="0"/>
        <charset val="1"/>
      </rPr>
      <t xml:space="preserve">3</t>
    </r>
    <r>
      <rPr>
        <sz val="10"/>
        <rFont val="Noto Sans CJK SC"/>
        <family val="2"/>
      </rPr>
      <t xml:space="preserve">つの秘密、あなたの知る総大将はいつ生まれた？【ショート】</t>
    </r>
  </si>
  <si>
    <r>
      <rPr>
        <sz val="10"/>
        <rFont val="Arial"/>
        <family val="0"/>
        <charset val="1"/>
      </rPr>
      <t xml:space="preserve">1</t>
    </r>
    <r>
      <rPr>
        <sz val="10"/>
        <rFont val="Noto Sans CJK SC"/>
        <family val="2"/>
      </rPr>
      <t xml:space="preserve">分妖怪ファイル </t>
    </r>
    <r>
      <rPr>
        <sz val="10"/>
        <rFont val="Arial"/>
        <family val="0"/>
        <charset val="1"/>
      </rPr>
      <t xml:space="preserve">#14</t>
    </r>
    <r>
      <rPr>
        <sz val="10"/>
        <rFont val="Noto Sans CJK SC"/>
        <family val="2"/>
      </rPr>
      <t xml:space="preserve">：❓コマさんとコマじろうの秘密、</t>
    </r>
    <r>
      <rPr>
        <sz val="10"/>
        <rFont val="Arial"/>
        <family val="0"/>
        <charset val="1"/>
      </rPr>
      <t xml:space="preserve">2</t>
    </r>
    <r>
      <rPr>
        <sz val="10"/>
        <rFont val="Noto Sans CJK SC"/>
        <family val="2"/>
      </rPr>
      <t xml:space="preserve">体で狛犬になる本当の理由は？【ショート】</t>
    </r>
  </si>
  <si>
    <r>
      <rPr>
        <sz val="10"/>
        <rFont val="Noto Sans CJK SC"/>
        <family val="2"/>
      </rPr>
      <t xml:space="preserve">一口</t>
    </r>
    <r>
      <rPr>
        <sz val="10"/>
        <rFont val="Arial"/>
        <family val="0"/>
        <charset val="1"/>
      </rPr>
      <t xml:space="preserve">SCP #107</t>
    </r>
    <r>
      <rPr>
        <sz val="10"/>
        <rFont val="Noto Sans CJK SC"/>
        <family val="2"/>
      </rPr>
      <t xml:space="preserve">：🫣</t>
    </r>
    <r>
      <rPr>
        <sz val="10"/>
        <rFont val="Arial"/>
        <family val="0"/>
        <charset val="1"/>
      </rPr>
      <t xml:space="preserve">SCP-4885</t>
    </r>
    <r>
      <rPr>
        <sz val="10"/>
        <rFont val="Noto Sans CJK SC"/>
        <family val="2"/>
      </rPr>
      <t xml:space="preserve">「ジョン・ウィルクス・ブース」写真を見るあなたへ迫る恐怖【ショート】</t>
    </r>
  </si>
  <si>
    <r>
      <rPr>
        <sz val="10"/>
        <rFont val="Noto Sans CJK SC"/>
        <family val="2"/>
      </rPr>
      <t xml:space="preserve">一口</t>
    </r>
    <r>
      <rPr>
        <sz val="10"/>
        <rFont val="Arial"/>
        <family val="0"/>
        <charset val="1"/>
      </rPr>
      <t xml:space="preserve">SCP #97</t>
    </r>
    <r>
      <rPr>
        <sz val="10"/>
        <rFont val="Noto Sans CJK SC"/>
        <family val="2"/>
      </rPr>
      <t xml:space="preserve">：💀</t>
    </r>
    <r>
      <rPr>
        <sz val="10"/>
        <rFont val="Arial"/>
        <family val="0"/>
        <charset val="1"/>
      </rPr>
      <t xml:space="preserve">SCP-3002</t>
    </r>
    <r>
      <rPr>
        <sz val="10"/>
        <rFont val="Noto Sans CJK SC"/>
        <family val="2"/>
      </rPr>
      <t xml:space="preserve">「情報災害」あなたの記憶まで消す報告書の恐怖【ショート】</t>
    </r>
  </si>
  <si>
    <r>
      <rPr>
        <sz val="10"/>
        <rFont val="Noto Sans CJK SC"/>
        <family val="2"/>
      </rPr>
      <t xml:space="preserve">一口</t>
    </r>
    <r>
      <rPr>
        <sz val="10"/>
        <rFont val="Arial"/>
        <family val="0"/>
        <charset val="1"/>
      </rPr>
      <t xml:space="preserve">SCP</t>
    </r>
    <r>
      <rPr>
        <sz val="10"/>
        <rFont val="Noto Sans CJK SC"/>
        <family val="2"/>
      </rPr>
      <t xml:space="preserve">：目撃者</t>
    </r>
    <r>
      <rPr>
        <sz val="10"/>
        <rFont val="Arial"/>
        <family val="0"/>
        <charset val="1"/>
      </rPr>
      <t xml:space="preserve">47</t>
    </r>
    <r>
      <rPr>
        <sz val="10"/>
        <rFont val="Noto Sans CJK SC"/>
        <family val="2"/>
      </rPr>
      <t xml:space="preserve">名／精神的生存率</t>
    </r>
    <r>
      <rPr>
        <sz val="10"/>
        <rFont val="Arial"/>
        <family val="0"/>
        <charset val="1"/>
      </rPr>
      <t xml:space="preserve">0%</t>
    </r>
    <r>
      <rPr>
        <sz val="10"/>
        <rFont val="Noto Sans CJK SC"/>
        <family val="2"/>
      </rPr>
      <t xml:space="preserve">財団が</t>
    </r>
    <r>
      <rPr>
        <sz val="10"/>
        <rFont val="Arial"/>
        <family val="0"/>
        <charset val="1"/>
      </rPr>
      <t xml:space="preserve">17</t>
    </r>
    <r>
      <rPr>
        <sz val="10"/>
        <rFont val="Noto Sans CJK SC"/>
        <family val="2"/>
      </rPr>
      <t xml:space="preserve">年間『視覚汚染』と呼んだ理由</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年間隠し続けた視覚汚染体——目撃者全員が廃人化、生存率</t>
    </r>
    <r>
      <rPr>
        <sz val="10"/>
        <rFont val="Arial"/>
        <family val="0"/>
        <charset val="1"/>
      </rPr>
      <t xml:space="preserve">0%</t>
    </r>
    <r>
      <rPr>
        <sz val="10"/>
        <rFont val="Noto Sans CJK SC"/>
        <family val="2"/>
      </rPr>
      <t xml:space="preserve">の本当の理由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</si>
  <si>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 #91</t>
    </r>
    <r>
      <rPr>
        <sz val="10"/>
        <rFont val="Noto Sans CJK SC"/>
        <family val="2"/>
      </rPr>
      <t xml:space="preserve">：⚠️</t>
    </r>
    <r>
      <rPr>
        <sz val="10"/>
        <rFont val="Arial"/>
        <family val="0"/>
        <charset val="1"/>
      </rPr>
      <t xml:space="preserve">SCP-1523-JP</t>
    </r>
    <r>
      <rPr>
        <sz val="10"/>
        <rFont val="Noto Sans CJK SC"/>
        <family val="2"/>
      </rPr>
      <t xml:space="preserve">「かまいたち」— 被害記録</t>
    </r>
    <r>
      <rPr>
        <sz val="10"/>
        <rFont val="Arial"/>
        <family val="0"/>
        <charset val="1"/>
      </rPr>
      <t xml:space="preserve">17</t>
    </r>
    <r>
      <rPr>
        <sz val="10"/>
        <rFont val="Noto Sans CJK SC"/>
        <family val="2"/>
      </rPr>
      <t xml:space="preserve">件、傷だけ残った夜【ショート】</t>
    </r>
  </si>
  <si>
    <t xml:space="preserve">2026-08-06</t>
  </si>
  <si>
    <r>
      <rPr>
        <sz val="10"/>
        <rFont val="Noto Sans CJK SC"/>
        <family val="2"/>
      </rPr>
      <t xml:space="preserve">妖怪ウォッチのランク、なぜ</t>
    </r>
    <r>
      <rPr>
        <sz val="10"/>
        <rFont val="Arial"/>
        <family val="0"/>
        <charset val="1"/>
      </rPr>
      <t xml:space="preserve">S</t>
    </r>
    <r>
      <rPr>
        <sz val="10"/>
        <rFont val="Noto Sans CJK SC"/>
        <family val="2"/>
      </rPr>
      <t xml:space="preserve">が最強じゃない妖怪にも付くのか　隠された格付けの本当のところ【ショート】</t>
    </r>
  </si>
  <si>
    <r>
      <rPr>
        <sz val="10"/>
        <rFont val="Noto Sans CJK SC"/>
        <family val="2"/>
      </rPr>
      <t xml:space="preserve">一口</t>
    </r>
    <r>
      <rPr>
        <sz val="10"/>
        <rFont val="Arial"/>
        <family val="0"/>
        <charset val="1"/>
      </rPr>
      <t xml:space="preserve">SCP #93</t>
    </r>
    <r>
      <rPr>
        <sz val="10"/>
        <rFont val="Noto Sans CJK SC"/>
        <family val="2"/>
      </rPr>
      <t xml:space="preserve">：⚠️</t>
    </r>
    <r>
      <rPr>
        <sz val="10"/>
        <rFont val="Arial"/>
        <family val="0"/>
        <charset val="1"/>
      </rPr>
      <t xml:space="preserve">SCP-1689</t>
    </r>
    <r>
      <rPr>
        <sz val="10"/>
        <rFont val="Noto Sans CJK SC"/>
        <family val="2"/>
      </rPr>
      <t xml:space="preserve">「黒いジャガイモ」— 摂取実験</t>
    </r>
    <r>
      <rPr>
        <sz val="10"/>
        <rFont val="Arial"/>
        <family val="0"/>
        <charset val="1"/>
      </rPr>
      <t xml:space="preserve">8</t>
    </r>
    <r>
      <rPr>
        <sz val="10"/>
        <rFont val="Noto Sans CJK SC"/>
        <family val="2"/>
      </rPr>
      <t xml:space="preserve">件、帰還率</t>
    </r>
    <r>
      <rPr>
        <sz val="10"/>
        <rFont val="Arial"/>
        <family val="0"/>
        <charset val="1"/>
      </rPr>
      <t xml:space="preserve">0%</t>
    </r>
    <r>
      <rPr>
        <sz val="10"/>
        <rFont val="Noto Sans CJK SC"/>
        <family val="2"/>
      </rPr>
      <t xml:space="preserve">だった【ショート】</t>
    </r>
  </si>
  <si>
    <t xml:space="preserve">2026-08-04</t>
  </si>
  <si>
    <t xml:space="preserve">妖怪ウォッチのエンマ大王、なぜか『本物』の閻魔と全然違う姿をしている【ショート】</t>
  </si>
  <si>
    <r>
      <rPr>
        <sz val="10"/>
        <rFont val="Noto Sans CJK SC"/>
        <family val="2"/>
      </rPr>
      <t xml:space="preserve">伊藤忠商事の年収</t>
    </r>
    <r>
      <rPr>
        <sz val="10"/>
        <rFont val="Arial"/>
        <family val="0"/>
        <charset val="1"/>
      </rPr>
      <t xml:space="preserve">850</t>
    </r>
    <r>
      <rPr>
        <sz val="10"/>
        <rFont val="Noto Sans CJK SC"/>
        <family val="2"/>
      </rPr>
      <t xml:space="preserve">万円がヤバい、離職率</t>
    </r>
    <r>
      <rPr>
        <sz val="10"/>
        <rFont val="Arial"/>
        <family val="0"/>
        <charset val="1"/>
      </rPr>
      <t xml:space="preserve">1%</t>
    </r>
    <r>
      <rPr>
        <sz val="10"/>
        <rFont val="Noto Sans CJK SC"/>
        <family val="2"/>
      </rPr>
      <t xml:space="preserve">台の実態【ショート】</t>
    </r>
  </si>
  <si>
    <r>
      <rPr>
        <sz val="10"/>
        <rFont val="Noto Sans CJK SC"/>
        <family val="2"/>
      </rPr>
      <t xml:space="preserve">⚠️三菱重工の年収がヤバい 平均</t>
    </r>
    <r>
      <rPr>
        <sz val="10"/>
        <rFont val="Arial"/>
        <family val="0"/>
        <charset val="1"/>
      </rPr>
      <t xml:space="preserve">965</t>
    </r>
    <r>
      <rPr>
        <sz val="10"/>
        <rFont val="Noto Sans CJK SC"/>
        <family val="2"/>
      </rPr>
      <t xml:space="preserve">万円、その裏側【ショート】</t>
    </r>
  </si>
  <si>
    <t xml:space="preserve">2026-08-05</t>
  </si>
  <si>
    <t xml:space="preserve">なぜロボニャンだけ未来から来た？隠された時系列の秘密【ショート】【ショート】</t>
  </si>
  <si>
    <t xml:space="preserve">2026-08-01</t>
  </si>
  <si>
    <r>
      <rPr>
        <sz val="10"/>
        <rFont val="Noto Sans CJK SC"/>
        <family val="2"/>
      </rPr>
      <t xml:space="preserve">妖怪の名前がダジャレなのはナゼか</t>
    </r>
    <r>
      <rPr>
        <sz val="10"/>
        <rFont val="Arial"/>
        <family val="0"/>
        <charset val="1"/>
      </rPr>
      <t xml:space="preserve">? </t>
    </r>
    <r>
      <rPr>
        <sz val="10"/>
        <rFont val="Noto Sans CJK SC"/>
        <family val="2"/>
      </rPr>
      <t xml:space="preserve">名前の裏に隠された秘密【ショート】</t>
    </r>
  </si>
  <si>
    <t xml:space="preserve">2026-08-03</t>
  </si>
  <si>
    <t xml:space="preserve">なぜオロチはゲームで美化された？ヤマタノオロチ伝説の“本当は怖い”正体【ショート】</t>
  </si>
  <si>
    <t xml:space="preserve">なぜヤドンはシェルダーに噛まれると進化するのか？分岐進化の本当の理由がヤバすぎた【ショート】</t>
  </si>
  <si>
    <t xml:space="preserve">なぜ初代だけ謎のポケモンが出るのか？けつばんの正体【ショート】【ショート】</t>
  </si>
  <si>
    <t xml:space="preserve">2026-07-31</t>
  </si>
  <si>
    <t xml:space="preserve">妖怪ウォッチの『都市伝説』、本当のところはどうなの？【ショート】</t>
  </si>
  <si>
    <r>
      <rPr>
        <sz val="10"/>
        <rFont val="Arial"/>
        <family val="0"/>
        <charset val="1"/>
      </rPr>
      <t xml:space="preserve">1</t>
    </r>
    <r>
      <rPr>
        <sz val="10"/>
        <rFont val="Noto Sans CJK SC"/>
        <family val="2"/>
      </rPr>
      <t xml:space="preserve">分科学 </t>
    </r>
    <r>
      <rPr>
        <sz val="10"/>
        <rFont val="Arial"/>
        <family val="0"/>
        <charset val="1"/>
      </rPr>
      <t xml:space="preserve">#101</t>
    </r>
    <r>
      <rPr>
        <sz val="10"/>
        <rFont val="Noto Sans CJK SC"/>
        <family val="2"/>
      </rPr>
      <t xml:space="preserve">：🧪なぜ</t>
    </r>
    <r>
      <rPr>
        <sz val="10"/>
        <rFont val="Arial"/>
        <family val="0"/>
        <charset val="1"/>
      </rPr>
      <t xml:space="preserve">24</t>
    </r>
    <r>
      <rPr>
        <sz val="10"/>
        <rFont val="Noto Sans CJK SC"/>
        <family val="2"/>
      </rPr>
      <t xml:space="preserve">時間テレビを</t>
    </r>
    <r>
      <rPr>
        <sz val="10"/>
        <rFont val="Arial"/>
        <family val="0"/>
        <charset val="1"/>
      </rPr>
      <t xml:space="preserve">2</t>
    </r>
    <r>
      <rPr>
        <sz val="10"/>
        <rFont val="Noto Sans CJK SC"/>
        <family val="2"/>
      </rPr>
      <t xml:space="preserve">時間見ると寝つきが変わる？あなたの夢に残る映像の正体【ショート】</t>
    </r>
  </si>
  <si>
    <t xml:space="preserve">2026-08-02</t>
  </si>
  <si>
    <t xml:space="preserve">なぜ武士と猫が混ざった？ブシニャンの『本当のルーツ』が怖すぎる理由【ショート】</t>
  </si>
  <si>
    <t xml:space="preserve">ふぶき姫の可愛さはどこから？雪女伝承の“本当は怖い”正体とゲームの落差【ショート】</t>
  </si>
  <si>
    <r>
      <rPr>
        <sz val="10"/>
        <rFont val="Arial"/>
        <family val="0"/>
        <charset val="1"/>
      </rPr>
      <t xml:space="preserve">ASUS</t>
    </r>
    <r>
      <rPr>
        <sz val="10"/>
        <rFont val="Noto Sans CJK SC"/>
        <family val="2"/>
      </rPr>
      <t xml:space="preserve">の年収が本当は気になる ゲーミング売上が約</t>
    </r>
    <r>
      <rPr>
        <sz val="10"/>
        <rFont val="Arial"/>
        <family val="0"/>
        <charset val="1"/>
      </rPr>
      <t xml:space="preserve">4,800</t>
    </r>
    <r>
      <rPr>
        <sz val="10"/>
        <rFont val="Noto Sans CJK SC"/>
        <family val="2"/>
      </rPr>
      <t xml:space="preserve">億円【ショート】</t>
    </r>
  </si>
  <si>
    <t xml:space="preserve">なぜコマさんの秘密？神社の狛犬と田舎の意外なつながり【ショート】</t>
  </si>
  <si>
    <t xml:space="preserve">なぜ種族値だけで強さが変わるのか？衝撃の数字の正体とは【ショート】【ショート】</t>
  </si>
  <si>
    <t xml:space="preserve">なぜレッドは山頂に立ち続けるのか？彼の秘密に迫る！【ショート】</t>
  </si>
  <si>
    <t xml:space="preserve">2026-07-30</t>
  </si>
  <si>
    <r>
      <rPr>
        <sz val="10"/>
        <rFont val="Arial"/>
        <family val="0"/>
        <charset val="1"/>
      </rPr>
      <t xml:space="preserve">1</t>
    </r>
    <r>
      <rPr>
        <sz val="10"/>
        <rFont val="Noto Sans CJK SC"/>
        <family val="2"/>
      </rPr>
      <t xml:space="preserve">分妖怪ファイル：なぜ妖怪ウォッチだけ？主人公の秘密</t>
    </r>
    <r>
      <rPr>
        <sz val="10"/>
        <rFont val="Arial"/>
        <family val="0"/>
        <charset val="1"/>
      </rPr>
      <t xml:space="preserve">#</t>
    </r>
    <r>
      <rPr>
        <sz val="10"/>
        <rFont val="Noto Sans CJK SC"/>
        <family val="2"/>
      </rPr>
      <t xml:space="preserve">妖怪ウォッチで主人公だけが妖怪を見られる理由 </t>
    </r>
    <r>
      <rPr>
        <sz val="10"/>
        <rFont val="Arial"/>
        <family val="0"/>
        <charset val="1"/>
      </rPr>
      <t xml:space="preserve">#shorts #</t>
    </r>
    <r>
      <rPr>
        <sz val="10"/>
        <rFont val="Noto Sans CJK SC"/>
        <family val="2"/>
      </rPr>
      <t xml:space="preserve">ゆっくり解説</t>
    </r>
  </si>
  <si>
    <r>
      <rPr>
        <sz val="10"/>
        <rFont val="Arial"/>
        <family val="0"/>
        <charset val="1"/>
      </rPr>
      <t xml:space="preserve">1</t>
    </r>
    <r>
      <rPr>
        <sz val="10"/>
        <rFont val="Noto Sans CJK SC"/>
        <family val="2"/>
      </rPr>
      <t xml:space="preserve">分ポケモン研究：ヤドンの尻尾に隠された秘密実は痛みを感じないって本当？</t>
    </r>
    <r>
      <rPr>
        <sz val="10"/>
        <rFont val="Arial"/>
        <family val="0"/>
        <charset val="1"/>
      </rPr>
      <t xml:space="preserve">#</t>
    </r>
    <r>
      <rPr>
        <sz val="10"/>
        <rFont val="Noto Sans CJK SC"/>
        <family val="2"/>
      </rPr>
      <t xml:space="preserve">なぜヤドンの尻尾は痛くないの？驚きの理由 </t>
    </r>
    <r>
      <rPr>
        <sz val="10"/>
        <rFont val="Arial"/>
        <family val="0"/>
        <charset val="1"/>
      </rPr>
      <t xml:space="preserve">#shorts #</t>
    </r>
    <r>
      <rPr>
        <sz val="10"/>
        <rFont val="Noto Sans CJK SC"/>
        <family val="2"/>
      </rPr>
      <t xml:space="preserve">ゆっくり解説</t>
    </r>
  </si>
  <si>
    <t xml:space="preserve">なぜ御三家は炎・水・草だけ？『三すくみ』設計の裏にある本当の理由【ショート】</t>
  </si>
  <si>
    <r>
      <rPr>
        <sz val="10"/>
        <rFont val="Noto Sans CJK SC"/>
        <family val="2"/>
      </rPr>
      <t xml:space="preserve">なぜイーブイだけ</t>
    </r>
    <r>
      <rPr>
        <sz val="10"/>
        <rFont val="Arial"/>
        <family val="0"/>
        <charset val="1"/>
      </rPr>
      <t xml:space="preserve">8</t>
    </r>
    <r>
      <rPr>
        <sz val="10"/>
        <rFont val="Noto Sans CJK SC"/>
        <family val="2"/>
      </rPr>
      <t xml:space="preserve">種類も進化できるのか？遺伝子の暴走と分岐条件の正体がヤバすぎた【ショート】</t>
    </r>
  </si>
  <si>
    <r>
      <rPr>
        <sz val="10"/>
        <rFont val="Arial"/>
        <family val="0"/>
        <charset val="1"/>
      </rPr>
      <t xml:space="preserve">1</t>
    </r>
    <r>
      <rPr>
        <sz val="10"/>
        <rFont val="Noto Sans CJK SC"/>
        <family val="2"/>
      </rPr>
      <t xml:space="preserve">分ポケモン研究：図鑑のあの説明文、どうしてそんなに怖いのか？公式が書いた衝撃のテキストを考察！</t>
    </r>
    <r>
      <rPr>
        <sz val="10"/>
        <rFont val="Arial"/>
        <family val="0"/>
        <charset val="1"/>
      </rPr>
      <t xml:space="preserve">#shorts #</t>
    </r>
    <r>
      <rPr>
        <sz val="10"/>
        <rFont val="Noto Sans CJK SC"/>
        <family val="2"/>
      </rPr>
      <t xml:space="preserve">ゆっくり解説</t>
    </r>
  </si>
  <si>
    <t xml:space="preserve">ポケモン図鑑に隠された怖すぎる説明文の真相とは？【ショート】</t>
  </si>
  <si>
    <r>
      <rPr>
        <sz val="10"/>
        <rFont val="Arial"/>
        <family val="0"/>
        <charset val="1"/>
      </rPr>
      <t xml:space="preserve">1</t>
    </r>
    <r>
      <rPr>
        <sz val="10"/>
        <rFont val="Noto Sans CJK SC"/>
        <family val="2"/>
      </rPr>
      <t xml:space="preserve">分妖怪ファイル：妖怪の名前がダジャレなのはナゼか</t>
    </r>
    <r>
      <rPr>
        <sz val="10"/>
        <rFont val="Arial"/>
        <family val="0"/>
        <charset val="1"/>
      </rPr>
      <t xml:space="preserve">?</t>
    </r>
  </si>
  <si>
    <t xml:space="preserve">ゲンガーの『元ネタ』、実はまだ誰も正確に言えていない理由【ショート】</t>
  </si>
  <si>
    <r>
      <rPr>
        <sz val="10"/>
        <rFont val="Noto Sans CJK SC"/>
        <family val="2"/>
      </rPr>
      <t xml:space="preserve">朝がつらい！そんなあなたに朗報！</t>
    </r>
    <r>
      <rPr>
        <sz val="10"/>
        <rFont val="Arial"/>
        <family val="0"/>
        <charset val="1"/>
      </rPr>
      <t xml:space="preserve">#</t>
    </r>
    <r>
      <rPr>
        <sz val="10"/>
        <rFont val="Noto Sans CJK SC"/>
        <family val="2"/>
      </rPr>
      <t xml:space="preserve">やる気が出ない朝を劇的に変える</t>
    </r>
    <r>
      <rPr>
        <sz val="10"/>
        <rFont val="Arial"/>
        <family val="0"/>
        <charset val="1"/>
      </rPr>
      <t xml:space="preserve">!?</t>
    </r>
    <r>
      <rPr>
        <sz val="10"/>
        <rFont val="Noto Sans CJK SC"/>
        <family val="2"/>
      </rPr>
      <t xml:space="preserve">たった</t>
    </r>
    <r>
      <rPr>
        <sz val="10"/>
        <rFont val="Arial"/>
        <family val="0"/>
        <charset val="1"/>
      </rPr>
      <t xml:space="preserve">5</t>
    </r>
    <r>
      <rPr>
        <sz val="10"/>
        <rFont val="Noto Sans CJK SC"/>
        <family val="2"/>
      </rPr>
      <t xml:space="preserve">分の脳科学的ルーティン </t>
    </r>
    <r>
      <rPr>
        <sz val="10"/>
        <rFont val="Arial"/>
        <family val="0"/>
        <charset val="1"/>
      </rPr>
      <t xml:space="preserve">#shorts #</t>
    </r>
    <r>
      <rPr>
        <sz val="10"/>
        <rFont val="Noto Sans CJK SC"/>
        <family val="2"/>
      </rPr>
      <t xml:space="preserve">ゆっくり解説</t>
    </r>
  </si>
  <si>
    <r>
      <rPr>
        <sz val="10"/>
        <rFont val="Noto Sans CJK SC"/>
        <family val="2"/>
      </rPr>
      <t xml:space="preserve">ストレスで体がかゆくなる？</t>
    </r>
    <r>
      <rPr>
        <sz val="10"/>
        <rFont val="Arial"/>
        <family val="0"/>
        <charset val="1"/>
      </rPr>
      <t xml:space="preserve">99%</t>
    </r>
    <r>
      <rPr>
        <sz val="10"/>
        <rFont val="Noto Sans CJK SC"/>
        <family val="2"/>
      </rPr>
      <t xml:space="preserve">が知らない意外な理由</t>
    </r>
    <r>
      <rPr>
        <sz val="10"/>
        <rFont val="Arial"/>
        <family val="0"/>
        <charset val="1"/>
      </rPr>
      <t xml:space="preserve">#</t>
    </r>
    <r>
      <rPr>
        <sz val="10"/>
        <rFont val="Noto Sans CJK SC"/>
        <family val="2"/>
      </rPr>
      <t xml:space="preserve">なぜストレスで体がかゆくなるのか？</t>
    </r>
    <r>
      <rPr>
        <sz val="10"/>
        <rFont val="Arial"/>
        <family val="0"/>
        <charset val="1"/>
      </rPr>
      <t xml:space="preserve">99%</t>
    </r>
    <r>
      <rPr>
        <sz val="10"/>
        <rFont val="Noto Sans CJK SC"/>
        <family val="2"/>
      </rPr>
      <t xml:space="preserve">が知らない意外な理由 </t>
    </r>
    <r>
      <rPr>
        <sz val="10"/>
        <rFont val="Arial"/>
        <family val="0"/>
        <charset val="1"/>
      </rPr>
      <t xml:space="preserve">#shorts #</t>
    </r>
    <r>
      <rPr>
        <sz val="10"/>
        <rFont val="Noto Sans CJK SC"/>
        <family val="2"/>
      </rPr>
      <t xml:space="preserve">ゆっくり解説</t>
    </r>
  </si>
  <si>
    <r>
      <rPr>
        <sz val="10"/>
        <rFont val="Noto Sans CJK SC"/>
        <family val="2"/>
      </rPr>
      <t xml:space="preserve">飲み会で絶対見られたくない通知あげてけ</t>
    </r>
    <r>
      <rPr>
        <sz val="10"/>
        <rFont val="Arial"/>
        <family val="0"/>
        <charset val="1"/>
      </rPr>
      <t xml:space="preserve">w</t>
    </r>
    <r>
      <rPr>
        <sz val="10"/>
        <rFont val="Noto Sans CJK SC"/>
        <family val="2"/>
      </rPr>
      <t xml:space="preserve">【ショート】</t>
    </r>
  </si>
  <si>
    <r>
      <rPr>
        <sz val="10"/>
        <rFont val="Noto Sans CJK SC"/>
        <family val="2"/>
      </rPr>
      <t xml:space="preserve">ワイ、</t>
    </r>
    <r>
      <rPr>
        <sz val="10"/>
        <rFont val="Arial"/>
        <family val="0"/>
        <charset val="1"/>
      </rPr>
      <t xml:space="preserve">AI</t>
    </r>
    <r>
      <rPr>
        <sz val="10"/>
        <rFont val="Noto Sans CJK SC"/>
        <family val="2"/>
      </rPr>
      <t xml:space="preserve">に変な質問する係やけど質問ある？</t>
    </r>
    <r>
      <rPr>
        <sz val="10"/>
        <rFont val="Arial"/>
        <family val="0"/>
        <charset val="1"/>
      </rPr>
      <t xml:space="preserve">w</t>
    </r>
    <r>
      <rPr>
        <sz val="10"/>
        <rFont val="Noto Sans CJK SC"/>
        <family val="2"/>
      </rPr>
      <t xml:space="preserve">【ショート】</t>
    </r>
  </si>
  <si>
    <r>
      <rPr>
        <sz val="10"/>
        <rFont val="Noto Sans CJK SC"/>
        <family val="2"/>
      </rPr>
      <t xml:space="preserve">なぜ涙は悲しくないのに出る？</t>
    </r>
    <r>
      <rPr>
        <sz val="10"/>
        <rFont val="Arial"/>
        <family val="0"/>
        <charset val="1"/>
      </rPr>
      <t xml:space="preserve">3</t>
    </r>
    <r>
      <rPr>
        <sz val="10"/>
        <rFont val="Noto Sans CJK SC"/>
        <family val="2"/>
      </rPr>
      <t xml:space="preserve">種類の正体【ショート】</t>
    </r>
  </si>
  <si>
    <t xml:space="preserve">2026-09-07</t>
  </si>
  <si>
    <r>
      <rPr>
        <sz val="10"/>
        <rFont val="Noto Sans CJK SC"/>
        <family val="2"/>
      </rPr>
      <t xml:space="preserve">ワイ、毎月大金をムダにしてるけど質問ある？ </t>
    </r>
    <r>
      <rPr>
        <sz val="10"/>
        <rFont val="Arial"/>
        <family val="0"/>
        <charset val="1"/>
      </rPr>
      <t xml:space="preserve">#shorts #2ch #</t>
    </r>
    <r>
      <rPr>
        <sz val="10"/>
        <rFont val="Noto Sans CJK SC"/>
        <family val="2"/>
      </rPr>
      <t xml:space="preserve">面白いスレ</t>
    </r>
  </si>
  <si>
    <r>
      <rPr>
        <sz val="10"/>
        <rFont val="Noto Sans CJK SC"/>
        <family val="2"/>
      </rPr>
      <t xml:space="preserve">大学サークルで語り継がれる伝説、尾ひれがヤバすぎる</t>
    </r>
    <r>
      <rPr>
        <sz val="10"/>
        <rFont val="Arial"/>
        <family val="0"/>
        <charset val="1"/>
      </rPr>
      <t xml:space="preserve">w #shorts #2ch #</t>
    </r>
    <r>
      <rPr>
        <sz val="10"/>
        <rFont val="Noto Sans CJK SC"/>
        <family val="2"/>
      </rPr>
      <t xml:space="preserve">面白いスレ</t>
    </r>
  </si>
  <si>
    <t xml:space="preserve">2026-09-06</t>
  </si>
  <si>
    <r>
      <rPr>
        <sz val="10"/>
        <rFont val="Noto Sans CJK SC"/>
        <family val="2"/>
      </rPr>
      <t xml:space="preserve">湯けむりの奥全員停止 </t>
    </r>
    <r>
      <rPr>
        <sz val="10"/>
        <rFont val="Arial"/>
        <family val="0"/>
        <charset val="1"/>
      </rPr>
      <t xml:space="preserve">#shorts #2ch #</t>
    </r>
    <r>
      <rPr>
        <sz val="10"/>
        <rFont val="Noto Sans CJK SC"/>
        <family val="2"/>
      </rPr>
      <t xml:space="preserve">面白いスレ</t>
    </r>
  </si>
  <si>
    <r>
      <rPr>
        <sz val="10"/>
        <rFont val="Noto Sans CJK SC"/>
        <family val="2"/>
      </rPr>
      <t xml:space="preserve">ワイ、保健体育歴</t>
    </r>
    <r>
      <rPr>
        <sz val="10"/>
        <rFont val="Arial"/>
        <family val="0"/>
        <charset val="1"/>
      </rPr>
      <t xml:space="preserve">3</t>
    </r>
    <r>
      <rPr>
        <sz val="10"/>
        <rFont val="Noto Sans CJK SC"/>
        <family val="2"/>
      </rPr>
      <t xml:space="preserve">年やけど質問ある？</t>
    </r>
    <r>
      <rPr>
        <sz val="10"/>
        <rFont val="Arial"/>
        <family val="0"/>
        <charset val="1"/>
      </rPr>
      <t xml:space="preserve">w💦 #shorts #2ch #</t>
    </r>
    <r>
      <rPr>
        <sz val="10"/>
        <rFont val="Noto Sans CJK SC"/>
        <family val="2"/>
      </rPr>
      <t xml:space="preserve">面白いスレ</t>
    </r>
  </si>
  <si>
    <r>
      <rPr>
        <sz val="10"/>
        <rFont val="Arial"/>
        <family val="0"/>
        <charset val="1"/>
      </rPr>
      <t xml:space="preserve">3</t>
    </r>
    <r>
      <rPr>
        <sz val="10"/>
        <rFont val="Noto Sans CJK SC"/>
        <family val="2"/>
      </rPr>
      <t xml:space="preserve">回目の店謎の予約名 </t>
    </r>
    <r>
      <rPr>
        <sz val="10"/>
        <rFont val="Arial"/>
        <family val="0"/>
        <charset val="1"/>
      </rPr>
      <t xml:space="preserve">#shorts #2ch #</t>
    </r>
    <r>
      <rPr>
        <sz val="10"/>
        <rFont val="Noto Sans CJK SC"/>
        <family val="2"/>
      </rPr>
      <t xml:space="preserve">面白いスレ</t>
    </r>
  </si>
  <si>
    <r>
      <rPr>
        <sz val="10"/>
        <rFont val="Arial"/>
        <family val="0"/>
        <charset val="1"/>
      </rPr>
      <t xml:space="preserve">3</t>
    </r>
    <r>
      <rPr>
        <sz val="10"/>
        <rFont val="Noto Sans CJK SC"/>
        <family val="2"/>
      </rPr>
      <t xml:space="preserve">秒で凍結何言った </t>
    </r>
    <r>
      <rPr>
        <sz val="10"/>
        <rFont val="Arial"/>
        <family val="0"/>
        <charset val="1"/>
      </rPr>
      <t xml:space="preserve">#shorts #2ch #</t>
    </r>
    <r>
      <rPr>
        <sz val="10"/>
        <rFont val="Noto Sans CJK SC"/>
        <family val="2"/>
      </rPr>
      <t xml:space="preserve">面白いスレ</t>
    </r>
  </si>
  <si>
    <r>
      <rPr>
        <sz val="10"/>
        <rFont val="Noto Sans CJK SC"/>
        <family val="2"/>
      </rPr>
      <t xml:space="preserve">💦ワイ、同棲</t>
    </r>
    <r>
      <rPr>
        <sz val="10"/>
        <rFont val="Arial"/>
        <family val="0"/>
        <charset val="1"/>
      </rPr>
      <t xml:space="preserve">3</t>
    </r>
    <r>
      <rPr>
        <sz val="10"/>
        <rFont val="Noto Sans CJK SC"/>
        <family val="2"/>
      </rPr>
      <t xml:space="preserve">年目やけど質問ある？💦 </t>
    </r>
    <r>
      <rPr>
        <sz val="10"/>
        <rFont val="Arial"/>
        <family val="0"/>
        <charset val="1"/>
      </rPr>
      <t xml:space="preserve">#shorts #2ch #</t>
    </r>
    <r>
      <rPr>
        <sz val="10"/>
        <rFont val="Noto Sans CJK SC"/>
        <family val="2"/>
      </rPr>
      <t xml:space="preserve">面白いスレ</t>
    </r>
  </si>
  <si>
    <r>
      <rPr>
        <sz val="10"/>
        <rFont val="Noto Sans CJK SC"/>
        <family val="2"/>
      </rPr>
      <t xml:space="preserve">日本郵政の年収、職種で</t>
    </r>
    <r>
      <rPr>
        <sz val="10"/>
        <rFont val="Arial"/>
        <family val="0"/>
        <charset val="1"/>
      </rPr>
      <t xml:space="preserve">2</t>
    </r>
    <r>
      <rPr>
        <sz val="10"/>
        <rFont val="Noto Sans CJK SC"/>
        <family val="2"/>
      </rPr>
      <t xml:space="preserve">倍差がつく理由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</si>
  <si>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サイゼリヤの原価率が社員年収に与える意外な影響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</si>
  <si>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Arial"/>
        <family val="0"/>
        <charset val="1"/>
      </rPr>
      <t xml:space="preserve">Apple Japan</t>
    </r>
    <r>
      <rPr>
        <sz val="10"/>
        <rFont val="Noto Sans CJK SC"/>
        <family val="2"/>
      </rPr>
      <t xml:space="preserve">の年収、実は</t>
    </r>
    <r>
      <rPr>
        <sz val="10"/>
        <rFont val="Arial"/>
        <family val="0"/>
        <charset val="1"/>
      </rPr>
      <t xml:space="preserve">1,000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</si>
  <si>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伊藤忠商事の平均</t>
    </r>
    <r>
      <rPr>
        <sz val="10"/>
        <rFont val="Arial"/>
        <family val="0"/>
        <charset val="1"/>
      </rPr>
      <t xml:space="preserve">1753</t>
    </r>
    <r>
      <rPr>
        <sz val="10"/>
        <rFont val="Noto Sans CJK SC"/>
        <family val="2"/>
      </rPr>
      <t xml:space="preserve">万円、朝型勤務の実態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</si>
  <si>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トヨタ</t>
    </r>
    <r>
      <rPr>
        <sz val="10"/>
        <rFont val="Arial"/>
        <family val="0"/>
        <charset val="1"/>
      </rPr>
      <t xml:space="preserve">895</t>
    </r>
    <r>
      <rPr>
        <sz val="10"/>
        <rFont val="Noto Sans CJK SC"/>
        <family val="2"/>
      </rPr>
      <t xml:space="preserve">万円の実態、ルーミー人気を支える社員の本音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</si>
  <si>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万円、実は転職後に差が出る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</si>
  <si>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キーエンス年収</t>
    </r>
    <r>
      <rPr>
        <sz val="10"/>
        <rFont val="Arial"/>
        <family val="0"/>
        <charset val="1"/>
      </rPr>
      <t xml:space="preserve">2067</t>
    </r>
    <r>
      <rPr>
        <sz val="10"/>
        <rFont val="Noto Sans CJK SC"/>
        <family val="2"/>
      </rPr>
      <t xml:space="preserve">万円の内訳、残業</t>
    </r>
    <r>
      <rPr>
        <sz val="10"/>
        <rFont val="Arial"/>
        <family val="0"/>
        <charset val="1"/>
      </rPr>
      <t xml:space="preserve">37.7</t>
    </r>
    <r>
      <rPr>
        <sz val="10"/>
        <rFont val="Noto Sans CJK SC"/>
        <family val="2"/>
      </rPr>
      <t xml:space="preserve">時間と評価制度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</si>
  <si>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なぜ冷たい水だけ歯にしみる？歯の中で起きる変化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</si>
  <si>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なぜ他人のあくびは約</t>
    </r>
    <r>
      <rPr>
        <sz val="10"/>
        <rFont val="Arial"/>
        <family val="0"/>
        <charset val="1"/>
      </rPr>
      <t xml:space="preserve">45</t>
    </r>
    <r>
      <rPr>
        <sz val="10"/>
        <rFont val="Noto Sans CJK SC"/>
        <family val="2"/>
      </rPr>
      <t xml:space="preserve">％もつられる？脳の反応を解説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</si>
  <si>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あなたが大雨で不安になる</t>
    </r>
    <r>
      <rPr>
        <sz val="10"/>
        <rFont val="Arial"/>
        <family val="0"/>
        <charset val="1"/>
      </rPr>
      <t xml:space="preserve">3hPa</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</si>
  <si>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実は暗い部屋で音に敏感になるのは、耳が目の代わりをするから？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</si>
  <si>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あなたの字が</t>
    </r>
    <r>
      <rPr>
        <sz val="10"/>
        <rFont val="Arial"/>
        <family val="0"/>
        <charset val="1"/>
      </rPr>
      <t xml:space="preserve">30</t>
    </r>
    <r>
      <rPr>
        <sz val="10"/>
        <rFont val="Noto Sans CJK SC"/>
        <family val="2"/>
      </rPr>
      <t xml:space="preserve">秒で別物に見える？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</si>
  <si>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なぜ壁のシミが顔に見える？</t>
    </r>
    <r>
      <rPr>
        <sz val="10"/>
        <rFont val="Arial"/>
        <family val="0"/>
        <charset val="1"/>
      </rPr>
      <t xml:space="preserve">0.1</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</si>
  <si>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なぜあなたは階段で</t>
    </r>
    <r>
      <rPr>
        <sz val="10"/>
        <rFont val="Arial"/>
        <family val="0"/>
        <charset val="1"/>
      </rPr>
      <t xml:space="preserve">1</t>
    </r>
    <r>
      <rPr>
        <sz val="10"/>
        <rFont val="Noto Sans CJK SC"/>
        <family val="2"/>
      </rPr>
      <t xml:space="preserve">段だけ外すのか？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</si>
  <si>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なぜ寒くないのに鳥肌が立つ？</t>
    </r>
    <r>
      <rPr>
        <sz val="10"/>
        <rFont val="Arial"/>
        <family val="0"/>
        <charset val="1"/>
      </rPr>
      <t xml:space="preserve">90%</t>
    </r>
    <r>
      <rPr>
        <sz val="10"/>
        <rFont val="Noto Sans CJK SC"/>
        <family val="2"/>
      </rPr>
      <t xml:space="preserve">が勘違いする</t>
    </r>
    <r>
      <rPr>
        <sz val="10"/>
        <rFont val="Arial"/>
        <family val="0"/>
        <charset val="1"/>
      </rPr>
      <t xml:space="preserve">2</t>
    </r>
    <r>
      <rPr>
        <sz val="10"/>
        <rFont val="Noto Sans CJK SC"/>
        <family val="2"/>
      </rPr>
      <t xml:space="preserve">つの反応の正体【ショート】【ショート】</t>
    </r>
  </si>
  <si>
    <r>
      <rPr>
        <sz val="10"/>
        <rFont val="Noto Sans CJK SC"/>
        <family val="2"/>
      </rPr>
      <t xml:space="preserve">なぜか毎回『同じ時間帯』それ、偶然じゃないんです</t>
    </r>
    <r>
      <rPr>
        <sz val="10"/>
        <rFont val="Arial"/>
        <family val="0"/>
        <charset val="1"/>
      </rPr>
      <t xml:space="preserve">#</t>
    </r>
    <r>
      <rPr>
        <sz val="10"/>
        <rFont val="Noto Sans CJK SC"/>
        <family val="2"/>
      </rPr>
      <t xml:space="preserve">なぜ金縛りは『決まった時間』にしか起きないのか？</t>
    </r>
    <r>
      <rPr>
        <sz val="10"/>
        <rFont val="Arial"/>
        <family val="0"/>
        <charset val="1"/>
      </rPr>
      <t xml:space="preserve">99%</t>
    </r>
    <r>
      <rPr>
        <sz val="10"/>
        <rFont val="Noto Sans CJK SC"/>
        <family val="2"/>
      </rPr>
      <t xml:space="preserve">が知らない睡眠の本当の仕組み </t>
    </r>
    <r>
      <rPr>
        <sz val="10"/>
        <rFont val="Arial"/>
        <family val="0"/>
        <charset val="1"/>
      </rPr>
      <t xml:space="preserve">#shorts #</t>
    </r>
    <r>
      <rPr>
        <sz val="10"/>
        <rFont val="Noto Sans CJK SC"/>
        <family val="2"/>
      </rPr>
      <t xml:space="preserve">ゆっくり解説</t>
    </r>
  </si>
  <si>
    <r>
      <rPr>
        <sz val="10"/>
        <rFont val="Noto Sans CJK SC"/>
        <family val="2"/>
      </rPr>
      <t xml:space="preserve">ロケット団の幹部だけ口調が別キャラ級？</t>
    </r>
    <r>
      <rPr>
        <sz val="10"/>
        <rFont val="Arial"/>
        <family val="0"/>
        <charset val="1"/>
      </rPr>
      <t xml:space="preserve">3</t>
    </r>
    <r>
      <rPr>
        <sz val="10"/>
        <rFont val="Noto Sans CJK SC"/>
        <family val="2"/>
      </rPr>
      <t xml:space="preserve">作品で徹底比較の本当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</si>
  <si>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イーブイの昼夜進化、エーフィとブラッキーに分かれた理由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</si>
  <si>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四天王の呼び名が定着した</t>
    </r>
    <r>
      <rPr>
        <sz val="10"/>
        <rFont val="Arial"/>
        <family val="0"/>
        <charset val="1"/>
      </rPr>
      <t xml:space="preserve">25</t>
    </r>
    <r>
      <rPr>
        <sz val="10"/>
        <rFont val="Noto Sans CJK SC"/>
        <family val="2"/>
      </rPr>
      <t xml:space="preserve">年の謎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</si>
  <si>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ジムリーダーのタイプ縛り、実は町の役目だった！？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</si>
  <si>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ドードリオの首が</t>
    </r>
    <r>
      <rPr>
        <sz val="10"/>
        <rFont val="Arial"/>
        <family val="0"/>
        <charset val="1"/>
      </rPr>
      <t xml:space="preserve">3</t>
    </r>
    <r>
      <rPr>
        <sz val="10"/>
        <rFont val="Noto Sans CJK SC"/>
        <family val="2"/>
      </rPr>
      <t xml:space="preserve">つに増えた理由、種族値に出てた説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</si>
  <si>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3</t>
    </r>
    <r>
      <rPr>
        <sz val="10"/>
        <rFont val="Noto Sans CJK SC"/>
        <family val="2"/>
      </rPr>
      <t xml:space="preserve">秒でわかる？ポリゴンがテレビから消えた本当の理由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</si>
  <si>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ハピナス</t>
    </r>
    <r>
      <rPr>
        <sz val="10"/>
        <rFont val="Arial"/>
        <family val="0"/>
        <charset val="1"/>
      </rPr>
      <t xml:space="preserve">HP255</t>
    </r>
    <r>
      <rPr>
        <sz val="10"/>
        <rFont val="Noto Sans CJK SC"/>
        <family val="2"/>
      </rPr>
      <t xml:space="preserve">・特防なのに防御衝撃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</si>
  <si>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君のサンダースだけ</t>
    </r>
    <r>
      <rPr>
        <sz val="10"/>
        <rFont val="Arial"/>
        <family val="0"/>
        <charset val="1"/>
      </rPr>
      <t xml:space="preserve">3</t>
    </r>
    <r>
      <rPr>
        <sz val="10"/>
        <rFont val="Noto Sans CJK SC"/>
        <family val="2"/>
      </rPr>
      <t xml:space="preserve">個必要だった時代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</si>
  <si>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Arial"/>
        <family val="0"/>
        <charset val="1"/>
      </rPr>
      <t xml:space="preserve">SCP-7241 </t>
    </r>
    <r>
      <rPr>
        <sz val="10"/>
        <rFont val="Noto Sans CJK SC"/>
        <family val="2"/>
      </rPr>
      <t xml:space="preserve">収容違反記録から毎回消える頁 </t>
    </r>
    <r>
      <rPr>
        <sz val="10"/>
        <rFont val="Arial"/>
        <family val="0"/>
        <charset val="1"/>
      </rPr>
      <t xml:space="preserve">#shorts #SCP #SCP</t>
    </r>
    <r>
      <rPr>
        <sz val="10"/>
        <rFont val="Noto Sans CJK SC"/>
        <family val="2"/>
      </rPr>
      <t xml:space="preserve">解説</t>
    </r>
  </si>
  <si>
    <r>
      <rPr>
        <sz val="10"/>
        <rFont val="Noto Sans CJK SC"/>
        <family val="2"/>
      </rPr>
      <t xml:space="preserve">なぜこの火山は</t>
    </r>
    <r>
      <rPr>
        <sz val="10"/>
        <rFont val="Arial"/>
        <family val="0"/>
        <charset val="1"/>
      </rPr>
      <t xml:space="preserve">72</t>
    </r>
    <r>
      <rPr>
        <sz val="10"/>
        <rFont val="Noto Sans CJK SC"/>
        <family val="2"/>
      </rPr>
      <t xml:space="preserve">時間沈黙し職員が消えるのか </t>
    </r>
    <r>
      <rPr>
        <sz val="10"/>
        <rFont val="Arial"/>
        <family val="0"/>
        <charset val="1"/>
      </rPr>
      <t xml:space="preserve">#shorts #SCP #SCP</t>
    </r>
    <r>
      <rPr>
        <sz val="10"/>
        <rFont val="Noto Sans CJK SC"/>
        <family val="2"/>
      </rPr>
      <t xml:space="preserve">解説</t>
    </r>
  </si>
  <si>
    <r>
      <rPr>
        <sz val="10"/>
        <rFont val="Arial"/>
        <family val="0"/>
        <charset val="1"/>
      </rPr>
      <t xml:space="preserve">RTX5090</t>
    </r>
    <r>
      <rPr>
        <sz val="10"/>
        <rFont val="Noto Sans CJK SC"/>
        <family val="2"/>
      </rPr>
      <t xml:space="preserve">はで部屋の外から名前を呼ぶのか </t>
    </r>
    <r>
      <rPr>
        <sz val="10"/>
        <rFont val="Arial"/>
        <family val="0"/>
        <charset val="1"/>
      </rPr>
      <t xml:space="preserve">#shorts #SCP #SCP</t>
    </r>
    <r>
      <rPr>
        <sz val="10"/>
        <rFont val="Noto Sans CJK SC"/>
        <family val="2"/>
      </rPr>
      <t xml:space="preserve">解説</t>
    </r>
  </si>
  <si>
    <r>
      <rPr>
        <sz val="10"/>
        <rFont val="Noto Sans CJK SC"/>
        <family val="2"/>
      </rPr>
      <t xml:space="preserve">未来の時刻誰が映る </t>
    </r>
    <r>
      <rPr>
        <sz val="10"/>
        <rFont val="Arial"/>
        <family val="0"/>
        <charset val="1"/>
      </rPr>
      <t xml:space="preserve">#shorts #SCP #SCP</t>
    </r>
    <r>
      <rPr>
        <sz val="10"/>
        <rFont val="Noto Sans CJK SC"/>
        <family val="2"/>
      </rPr>
      <t xml:space="preserve">解説</t>
    </r>
  </si>
  <si>
    <r>
      <rPr>
        <sz val="10"/>
        <rFont val="Arial"/>
        <family val="0"/>
        <charset val="1"/>
      </rPr>
      <t xml:space="preserve">SCP-5800 </t>
    </r>
    <r>
      <rPr>
        <sz val="10"/>
        <rFont val="Noto Sans CJK SC"/>
        <family val="2"/>
      </rPr>
      <t xml:space="preserve">職員証だけが戻った未解決ファイル </t>
    </r>
    <r>
      <rPr>
        <sz val="10"/>
        <rFont val="Arial"/>
        <family val="0"/>
        <charset val="1"/>
      </rPr>
      <t xml:space="preserve">#shorts #SCP #SCP</t>
    </r>
    <r>
      <rPr>
        <sz val="10"/>
        <rFont val="Noto Sans CJK SC"/>
        <family val="2"/>
      </rPr>
      <t xml:space="preserve">解説</t>
    </r>
  </si>
  <si>
    <r>
      <rPr>
        <sz val="10"/>
        <rFont val="Noto Sans CJK SC"/>
        <family val="2"/>
      </rPr>
      <t xml:space="preserve">なぜ非常灯が消えた</t>
    </r>
    <r>
      <rPr>
        <sz val="10"/>
        <rFont val="Arial"/>
        <family val="0"/>
        <charset val="1"/>
      </rPr>
      <t xml:space="preserve">3</t>
    </r>
    <r>
      <rPr>
        <sz val="10"/>
        <rFont val="Noto Sans CJK SC"/>
        <family val="2"/>
      </rPr>
      <t xml:space="preserve">秒に</t>
    </r>
    <r>
      <rPr>
        <sz val="10"/>
        <rFont val="Arial"/>
        <family val="0"/>
        <charset val="1"/>
      </rPr>
      <t xml:space="preserve">5</t>
    </r>
    <r>
      <rPr>
        <sz val="10"/>
        <rFont val="Noto Sans CJK SC"/>
        <family val="2"/>
      </rPr>
      <t xml:space="preserve">人目の足音がしたのか </t>
    </r>
    <r>
      <rPr>
        <sz val="10"/>
        <rFont val="Arial"/>
        <family val="0"/>
        <charset val="1"/>
      </rPr>
      <t xml:space="preserve">#shorts #SCP #SCP</t>
    </r>
    <r>
      <rPr>
        <sz val="10"/>
        <rFont val="Noto Sans CJK SC"/>
        <family val="2"/>
      </rPr>
      <t xml:space="preserve">解説</t>
    </r>
  </si>
  <si>
    <r>
      <rPr>
        <sz val="10"/>
        <rFont val="Arial"/>
        <family val="0"/>
        <charset val="1"/>
      </rPr>
      <t xml:space="preserve">SCP-096</t>
    </r>
    <r>
      <rPr>
        <sz val="10"/>
        <rFont val="Noto Sans CJK SC"/>
        <family val="2"/>
      </rPr>
      <t xml:space="preserve">の顔を見た者に起きた記録消失の真相 </t>
    </r>
    <r>
      <rPr>
        <sz val="10"/>
        <rFont val="Arial"/>
        <family val="0"/>
        <charset val="1"/>
      </rPr>
      <t xml:space="preserve">#shorts #SCP #SCP</t>
    </r>
    <r>
      <rPr>
        <sz val="10"/>
        <rFont val="Noto Sans CJK SC"/>
        <family val="2"/>
      </rPr>
      <t xml:space="preserve">解説</t>
    </r>
  </si>
  <si>
    <r>
      <rPr>
        <sz val="10"/>
        <rFont val="Arial"/>
        <family val="0"/>
        <charset val="1"/>
      </rPr>
      <t xml:space="preserve">SCP-2006 </t>
    </r>
    <r>
      <rPr>
        <sz val="10"/>
        <rFont val="Noto Sans CJK SC"/>
        <family val="2"/>
      </rPr>
      <t xml:space="preserve">笑い声を聞いた</t>
    </r>
    <r>
      <rPr>
        <sz val="10"/>
        <rFont val="Arial"/>
        <family val="0"/>
        <charset val="1"/>
      </rPr>
      <t xml:space="preserve">12</t>
    </r>
    <r>
      <rPr>
        <sz val="10"/>
        <rFont val="Noto Sans CJK SC"/>
        <family val="2"/>
      </rPr>
      <t xml:space="preserve">名に起きた異変 </t>
    </r>
    <r>
      <rPr>
        <sz val="10"/>
        <rFont val="Arial"/>
        <family val="0"/>
        <charset val="1"/>
      </rPr>
      <t xml:space="preserve">#shorts #SCP #SCP</t>
    </r>
    <r>
      <rPr>
        <sz val="10"/>
        <rFont val="Noto Sans CJK SC"/>
        <family val="2"/>
      </rPr>
      <t xml:space="preserve">解説</t>
    </r>
  </si>
  <si>
    <r>
      <rPr>
        <sz val="10"/>
        <rFont val="Noto Sans CJK SC"/>
        <family val="2"/>
      </rPr>
      <t xml:space="preserve">なぜ狐は人を化かす妖怪にされたのか？江戸の記録に残る事情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</si>
  <si>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人面犬の噂が昭和の学校で生まれた土壌とは…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</si>
  <si>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百目なのに一つ目？江戸の絵に隠された不気味な変化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</si>
  <si>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なぜ妖怪は山を下り里に現れるようになったのか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</si>
  <si>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小豆洗い、姿を消して「音」だけ残った土地の記録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</si>
  <si>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雪女が去り際に名を呼ぶ理由…約束を破った男の末路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</si>
  <si>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キュウビが日本へ渡った理由、知ってる？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</si>
  <si>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b val="true"/>
        <sz val="14"/>
        <color rgb="FFFFFFFF"/>
        <rFont val="Noto Sans CJK SC"/>
        <family val="2"/>
      </rPr>
      <t xml:space="preserve">改善アクション </t>
    </r>
    <r>
      <rPr>
        <b val="true"/>
        <sz val="14"/>
        <color rgb="FFFFFFFF"/>
        <rFont val="Arial"/>
        <family val="0"/>
        <charset val="1"/>
      </rPr>
      <t xml:space="preserve">2026-09-08</t>
    </r>
  </si>
  <si>
    <t xml:space="preserve">すべて実データ根拠つき。反証期限を過ぎて条件を満たさない項目は撤回する。</t>
  </si>
  <si>
    <t xml:space="preserve">#</t>
  </si>
  <si>
    <r>
      <rPr>
        <b val="true"/>
        <sz val="10"/>
        <color rgb="FFFFFFFF"/>
        <rFont val="Noto Sans CJK SC"/>
        <family val="2"/>
      </rPr>
      <t xml:space="preserve">対象</t>
    </r>
    <r>
      <rPr>
        <b val="true"/>
        <sz val="10"/>
        <color rgb="FFFFFFFF"/>
        <rFont val="Arial"/>
        <family val="0"/>
        <charset val="1"/>
      </rPr>
      <t xml:space="preserve">ch</t>
    </r>
  </si>
  <si>
    <t xml:space="preserve">変更内容</t>
  </si>
  <si>
    <t xml:space="preserve">実データ根拠</t>
  </si>
  <si>
    <t xml:space="preserve">期待効果</t>
  </si>
  <si>
    <r>
      <rPr>
        <b val="true"/>
        <sz val="10"/>
        <color rgb="FFFFFFFF"/>
        <rFont val="Noto Sans CJK SC"/>
        <family val="2"/>
      </rPr>
      <t xml:space="preserve">反証条件（</t>
    </r>
    <r>
      <rPr>
        <b val="true"/>
        <sz val="10"/>
        <color rgb="FFFFFFFF"/>
        <rFont val="Arial"/>
        <family val="0"/>
        <charset val="1"/>
      </rPr>
      <t xml:space="preserve">2026-09-15</t>
    </r>
    <r>
      <rPr>
        <b val="true"/>
        <sz val="10"/>
        <color rgb="FFFFFFFF"/>
        <rFont val="Noto Sans CJK SC"/>
        <family val="2"/>
      </rPr>
      <t xml:space="preserve">）</t>
    </r>
  </si>
  <si>
    <t xml:space="preserve">状態</t>
  </si>
  <si>
    <r>
      <rPr>
        <sz val="10"/>
        <rFont val="Noto Sans CJK SC"/>
        <family val="2"/>
      </rPr>
      <t xml:space="preserve">全</t>
    </r>
    <r>
      <rPr>
        <sz val="10"/>
        <rFont val="Arial"/>
        <family val="0"/>
        <charset val="1"/>
      </rPr>
      <t xml:space="preserve">6ch</t>
    </r>
  </si>
  <si>
    <r>
      <rPr>
        <sz val="10"/>
        <rFont val="Arial"/>
        <family val="0"/>
        <charset val="1"/>
      </rPr>
      <t xml:space="preserve">title_rules.require_answer_marker=True </t>
    </r>
    <r>
      <rPr>
        <sz val="10"/>
        <rFont val="Noto Sans CJK SC"/>
        <family val="2"/>
      </rPr>
      <t xml:space="preserve">を追加。答え提示語（理由</t>
    </r>
    <r>
      <rPr>
        <sz val="10"/>
        <rFont val="Arial"/>
        <family val="0"/>
        <charset val="1"/>
      </rPr>
      <t xml:space="preserve">/</t>
    </r>
    <r>
      <rPr>
        <sz val="10"/>
        <rFont val="Noto Sans CJK SC"/>
        <family val="2"/>
      </rPr>
      <t xml:space="preserve">正体</t>
    </r>
    <r>
      <rPr>
        <sz val="10"/>
        <rFont val="Arial"/>
        <family val="0"/>
        <charset val="1"/>
      </rPr>
      <t xml:space="preserve">/</t>
    </r>
    <r>
      <rPr>
        <sz val="10"/>
        <rFont val="Noto Sans CJK SC"/>
        <family val="2"/>
      </rPr>
      <t xml:space="preserve">本当の</t>
    </r>
    <r>
      <rPr>
        <sz val="10"/>
        <rFont val="Arial"/>
        <family val="0"/>
        <charset val="1"/>
      </rPr>
      <t xml:space="preserve">/</t>
    </r>
    <r>
      <rPr>
        <sz val="10"/>
        <rFont val="Noto Sans CJK SC"/>
        <family val="2"/>
      </rPr>
      <t xml:space="preserve">実は</t>
    </r>
    <r>
      <rPr>
        <sz val="10"/>
        <rFont val="Arial"/>
        <family val="0"/>
        <charset val="1"/>
      </rPr>
      <t xml:space="preserve">/</t>
    </r>
    <r>
      <rPr>
        <sz val="10"/>
        <rFont val="Noto Sans CJK SC"/>
        <family val="2"/>
      </rPr>
      <t xml:space="preserve">わけ</t>
    </r>
    <r>
      <rPr>
        <sz val="10"/>
        <rFont val="Arial"/>
        <family val="0"/>
        <charset val="1"/>
      </rPr>
      <t xml:space="preserve">/</t>
    </r>
    <r>
      <rPr>
        <sz val="10"/>
        <rFont val="Noto Sans CJK SC"/>
        <family val="2"/>
      </rPr>
      <t xml:space="preserve">なぜ</t>
    </r>
    <r>
      <rPr>
        <sz val="10"/>
        <rFont val="Arial"/>
        <family val="0"/>
        <charset val="1"/>
      </rPr>
      <t xml:space="preserve">/</t>
    </r>
    <r>
      <rPr>
        <sz val="10"/>
        <rFont val="Noto Sans CJK SC"/>
        <family val="2"/>
      </rPr>
      <t xml:space="preserve">真相</t>
    </r>
    <r>
      <rPr>
        <sz val="10"/>
        <rFont val="Arial"/>
        <family val="0"/>
        <charset val="1"/>
      </rPr>
      <t xml:space="preserve">/</t>
    </r>
    <r>
      <rPr>
        <sz val="10"/>
        <rFont val="Noto Sans CJK SC"/>
        <family val="2"/>
      </rPr>
      <t xml:space="preserve">裏側</t>
    </r>
    <r>
      <rPr>
        <sz val="10"/>
        <rFont val="Arial"/>
        <family val="0"/>
        <charset val="1"/>
      </rPr>
      <t xml:space="preserve">/</t>
    </r>
    <r>
      <rPr>
        <sz val="10"/>
        <rFont val="Noto Sans CJK SC"/>
        <family val="2"/>
      </rPr>
      <t xml:space="preserve">実態）をタイトルに</t>
    </r>
    <r>
      <rPr>
        <sz val="10"/>
        <rFont val="Arial"/>
        <family val="0"/>
        <charset val="1"/>
      </rPr>
      <t xml:space="preserve">1</t>
    </r>
    <r>
      <rPr>
        <sz val="10"/>
        <rFont val="Noto Sans CJK SC"/>
        <family val="2"/>
      </rPr>
      <t xml:space="preserve">つ以上必須化。</t>
    </r>
    <r>
      <rPr>
        <sz val="10"/>
        <rFont val="Arial"/>
        <family val="0"/>
        <charset val="1"/>
      </rPr>
      <t xml:space="preserve">title_style </t>
    </r>
    <r>
      <rPr>
        <sz val="10"/>
        <rFont val="Noto Sans CJK SC"/>
        <family val="2"/>
      </rPr>
      <t xml:space="preserve">と </t>
    </r>
    <r>
      <rPr>
        <sz val="10"/>
        <rFont val="Arial"/>
        <family val="0"/>
        <charset val="1"/>
      </rPr>
      <t xml:space="preserve">short_format.extra_rules </t>
    </r>
    <r>
      <rPr>
        <sz val="10"/>
        <rFont val="Noto Sans CJK SC"/>
        <family val="2"/>
      </rPr>
      <t xml:space="preserve">にも明記。</t>
    </r>
  </si>
  <si>
    <r>
      <rPr>
        <sz val="10"/>
        <rFont val="Arial"/>
        <family val="0"/>
        <charset val="1"/>
      </rPr>
      <t xml:space="preserve">09-07</t>
    </r>
    <r>
      <rPr>
        <sz val="10"/>
        <rFont val="Noto Sans CJK SC"/>
        <family val="2"/>
      </rPr>
      <t xml:space="preserve">スナップショット </t>
    </r>
    <r>
      <rPr>
        <sz val="10"/>
        <rFont val="Arial"/>
        <family val="0"/>
        <charset val="1"/>
      </rPr>
      <t xml:space="preserve">n=196</t>
    </r>
    <r>
      <rPr>
        <sz val="10"/>
        <rFont val="Noto Sans CJK SC"/>
        <family val="2"/>
      </rPr>
      <t xml:space="preserve">（</t>
    </r>
    <r>
      <rPr>
        <sz val="10"/>
        <rFont val="Arial"/>
        <family val="0"/>
        <charset val="1"/>
      </rPr>
      <t xml:space="preserve">200</t>
    </r>
    <r>
      <rPr>
        <sz val="10"/>
        <rFont val="Noto Sans CJK SC"/>
        <family val="2"/>
      </rPr>
      <t xml:space="preserve">再生以上）。答え提示語あり 登録</t>
    </r>
    <r>
      <rPr>
        <sz val="10"/>
        <rFont val="Arial"/>
        <family val="0"/>
        <charset val="1"/>
      </rPr>
      <t xml:space="preserve">/</t>
    </r>
    <r>
      <rPr>
        <sz val="10"/>
        <rFont val="Noto Sans CJK SC"/>
        <family val="2"/>
      </rPr>
      <t xml:space="preserve">千再生 </t>
    </r>
    <r>
      <rPr>
        <sz val="10"/>
        <rFont val="Arial"/>
        <family val="0"/>
        <charset val="1"/>
      </rPr>
      <t xml:space="preserve">0.57</t>
    </r>
    <r>
      <rPr>
        <sz val="10"/>
        <rFont val="Noto Sans CJK SC"/>
        <family val="2"/>
      </rPr>
      <t xml:space="preserve">・高評価率</t>
    </r>
    <r>
      <rPr>
        <sz val="10"/>
        <rFont val="Arial"/>
        <family val="0"/>
        <charset val="1"/>
      </rPr>
      <t xml:space="preserve">0.407%</t>
    </r>
    <r>
      <rPr>
        <sz val="10"/>
        <rFont val="Noto Sans CJK SC"/>
        <family val="2"/>
      </rPr>
      <t xml:space="preserve">、なし </t>
    </r>
    <r>
      <rPr>
        <sz val="10"/>
        <rFont val="Arial"/>
        <family val="0"/>
        <charset val="1"/>
      </rPr>
      <t xml:space="preserve">0.31</t>
    </r>
    <r>
      <rPr>
        <sz val="10"/>
        <rFont val="Noto Sans CJK SC"/>
        <family val="2"/>
      </rPr>
      <t xml:space="preserve">・</t>
    </r>
    <r>
      <rPr>
        <sz val="10"/>
        <rFont val="Arial"/>
        <family val="0"/>
        <charset val="1"/>
      </rPr>
      <t xml:space="preserve">0.300%</t>
    </r>
    <r>
      <rPr>
        <sz val="10"/>
        <rFont val="Noto Sans CJK SC"/>
        <family val="2"/>
      </rPr>
      <t xml:space="preserve">。維持率は逆に </t>
    </r>
    <r>
      <rPr>
        <sz val="10"/>
        <rFont val="Arial"/>
        <family val="0"/>
        <charset val="1"/>
      </rPr>
      <t xml:space="preserve">45.0% vs 58.0%</t>
    </r>
    <r>
      <rPr>
        <sz val="10"/>
        <rFont val="Noto Sans CJK SC"/>
        <family val="2"/>
      </rPr>
      <t xml:space="preserve">。</t>
    </r>
  </si>
  <si>
    <r>
      <rPr>
        <sz val="10"/>
        <rFont val="Noto Sans CJK SC"/>
        <family val="2"/>
      </rPr>
      <t xml:space="preserve">全体 登録</t>
    </r>
    <r>
      <rPr>
        <sz val="10"/>
        <rFont val="Arial"/>
        <family val="0"/>
        <charset val="1"/>
      </rPr>
      <t xml:space="preserve">/</t>
    </r>
    <r>
      <rPr>
        <sz val="10"/>
        <rFont val="Noto Sans CJK SC"/>
        <family val="2"/>
      </rPr>
      <t xml:space="preserve">千 </t>
    </r>
    <r>
      <rPr>
        <sz val="10"/>
        <rFont val="Arial"/>
        <family val="0"/>
        <charset val="1"/>
      </rPr>
      <t xml:space="preserve">0.47→0.60</t>
    </r>
  </si>
  <si>
    <r>
      <rPr>
        <sz val="10"/>
        <rFont val="Noto Sans CJK SC"/>
        <family val="2"/>
      </rPr>
      <t xml:space="preserve">全体の登録</t>
    </r>
    <r>
      <rPr>
        <sz val="10"/>
        <rFont val="Arial"/>
        <family val="0"/>
        <charset val="1"/>
      </rPr>
      <t xml:space="preserve">/</t>
    </r>
    <r>
      <rPr>
        <sz val="10"/>
        <rFont val="Noto Sans CJK SC"/>
        <family val="2"/>
      </rPr>
      <t xml:space="preserve">千再生が </t>
    </r>
    <r>
      <rPr>
        <sz val="10"/>
        <rFont val="Arial"/>
        <family val="0"/>
        <charset val="1"/>
      </rPr>
      <t xml:space="preserve">0.47 </t>
    </r>
    <r>
      <rPr>
        <sz val="10"/>
        <rFont val="Noto Sans CJK SC"/>
        <family val="2"/>
      </rPr>
      <t xml:space="preserve">を上回らなければ撤回</t>
    </r>
  </si>
  <si>
    <t xml:space="preserve">反映済</t>
  </si>
  <si>
    <r>
      <rPr>
        <sz val="10"/>
        <rFont val="Arial"/>
        <family val="0"/>
        <charset val="1"/>
      </rPr>
      <t xml:space="preserve">short_format 3</t>
    </r>
    <r>
      <rPr>
        <sz val="10"/>
        <rFont val="Noto Sans CJK SC"/>
        <family val="2"/>
      </rPr>
      <t xml:space="preserve">〜</t>
    </r>
    <r>
      <rPr>
        <sz val="10"/>
        <rFont val="Arial"/>
        <family val="0"/>
        <charset val="1"/>
      </rPr>
      <t xml:space="preserve">5</t>
    </r>
    <r>
      <rPr>
        <sz val="10"/>
        <rFont val="Noto Sans CJK SC"/>
        <family val="2"/>
      </rPr>
      <t xml:space="preserve">行目の『正解を断定せず余白を残す』を撤回。</t>
    </r>
    <r>
      <rPr>
        <sz val="10"/>
        <rFont val="Arial"/>
        <family val="0"/>
        <charset val="1"/>
      </rPr>
      <t xml:space="preserve">5</t>
    </r>
    <r>
      <rPr>
        <sz val="10"/>
        <rFont val="Noto Sans CJK SC"/>
        <family val="2"/>
      </rPr>
      <t xml:space="preserve">行目で必ず『つまり〇〇やったんや』と答えを断定して終える構成へ変更。</t>
    </r>
  </si>
  <si>
    <r>
      <rPr>
        <sz val="10"/>
        <rFont val="Noto Sans CJK SC"/>
        <family val="2"/>
      </rPr>
      <t xml:space="preserve">当</t>
    </r>
    <r>
      <rPr>
        <sz val="10"/>
        <rFont val="Arial"/>
        <family val="0"/>
        <charset val="1"/>
      </rPr>
      <t xml:space="preserve">ch</t>
    </r>
    <r>
      <rPr>
        <sz val="10"/>
        <rFont val="Noto Sans CJK SC"/>
        <family val="2"/>
      </rPr>
      <t xml:space="preserve">内対照 </t>
    </r>
    <r>
      <rPr>
        <sz val="10"/>
        <rFont val="Arial"/>
        <family val="0"/>
        <charset val="1"/>
      </rPr>
      <t xml:space="preserve">n=38</t>
    </r>
    <r>
      <rPr>
        <sz val="10"/>
        <rFont val="Noto Sans CJK SC"/>
        <family val="2"/>
      </rPr>
      <t xml:space="preserve">（</t>
    </r>
    <r>
      <rPr>
        <sz val="10"/>
        <rFont val="Arial"/>
        <family val="0"/>
        <charset val="1"/>
      </rPr>
      <t xml:space="preserve">views&gt;=200</t>
    </r>
    <r>
      <rPr>
        <sz val="10"/>
        <rFont val="Noto Sans CJK SC"/>
        <family val="2"/>
      </rPr>
      <t xml:space="preserve">）。参加型 登録</t>
    </r>
    <r>
      <rPr>
        <sz val="10"/>
        <rFont val="Arial"/>
        <family val="0"/>
        <charset val="1"/>
      </rPr>
      <t xml:space="preserve">/</t>
    </r>
    <r>
      <rPr>
        <sz val="10"/>
        <rFont val="Noto Sans CJK SC"/>
        <family val="2"/>
      </rPr>
      <t xml:space="preserve">千再生 </t>
    </r>
    <r>
      <rPr>
        <sz val="10"/>
        <rFont val="Arial"/>
        <family val="0"/>
        <charset val="1"/>
      </rPr>
      <t xml:space="preserve">0.06(n=17) vs </t>
    </r>
    <r>
      <rPr>
        <sz val="10"/>
        <rFont val="Noto Sans CJK SC"/>
        <family val="2"/>
      </rPr>
      <t xml:space="preserve">結論型 </t>
    </r>
    <r>
      <rPr>
        <sz val="10"/>
        <rFont val="Arial"/>
        <family val="0"/>
        <charset val="1"/>
      </rPr>
      <t xml:space="preserve">0.32(n=21) </t>
    </r>
    <r>
      <rPr>
        <sz val="10"/>
        <rFont val="Noto Sans CJK SC"/>
        <family val="2"/>
      </rPr>
      <t xml:space="preserve">で</t>
    </r>
    <r>
      <rPr>
        <sz val="10"/>
        <rFont val="Arial"/>
        <family val="0"/>
        <charset val="1"/>
      </rPr>
      <t xml:space="preserve">5.8</t>
    </r>
    <r>
      <rPr>
        <sz val="10"/>
        <rFont val="Noto Sans CJK SC"/>
        <family val="2"/>
      </rPr>
      <t xml:space="preserve">倍。平均再生は </t>
    </r>
    <r>
      <rPr>
        <sz val="10"/>
        <rFont val="Arial"/>
        <family val="0"/>
        <charset val="1"/>
      </rPr>
      <t xml:space="preserve">1,053 vs 1,029 </t>
    </r>
    <r>
      <rPr>
        <sz val="10"/>
        <rFont val="Noto Sans CJK SC"/>
        <family val="2"/>
      </rPr>
      <t xml:space="preserve">とほぼ同じで、維持率はむしろ参加型が上</t>
    </r>
    <r>
      <rPr>
        <sz val="10"/>
        <rFont val="Arial"/>
        <family val="0"/>
        <charset val="1"/>
      </rPr>
      <t xml:space="preserve">(58.8% vs 41.1%)</t>
    </r>
    <r>
      <rPr>
        <sz val="10"/>
        <rFont val="Noto Sans CJK SC"/>
        <family val="2"/>
      </rPr>
      <t xml:space="preserve">。＝参加型は再生も維持率も取れるが登録に変換しない。</t>
    </r>
  </si>
  <si>
    <r>
      <rPr>
        <sz val="10"/>
        <rFont val="Noto Sans CJK SC"/>
        <family val="2"/>
      </rPr>
      <t xml:space="preserve">当</t>
    </r>
    <r>
      <rPr>
        <sz val="10"/>
        <rFont val="Arial"/>
        <family val="0"/>
        <charset val="1"/>
      </rPr>
      <t xml:space="preserve">ch 0.20→0.35</t>
    </r>
    <r>
      <rPr>
        <sz val="10"/>
        <rFont val="Noto Sans CJK SC"/>
        <family val="2"/>
      </rPr>
      <t xml:space="preserve">以上</t>
    </r>
  </si>
  <si>
    <r>
      <rPr>
        <sz val="10"/>
        <rFont val="Noto Sans CJK SC"/>
        <family val="2"/>
      </rPr>
      <t xml:space="preserve">当</t>
    </r>
    <r>
      <rPr>
        <sz val="10"/>
        <rFont val="Arial"/>
        <family val="0"/>
        <charset val="1"/>
      </rPr>
      <t xml:space="preserve">ch</t>
    </r>
    <r>
      <rPr>
        <sz val="10"/>
        <rFont val="Noto Sans CJK SC"/>
        <family val="2"/>
      </rPr>
      <t xml:space="preserve">の登録</t>
    </r>
    <r>
      <rPr>
        <sz val="10"/>
        <rFont val="Arial"/>
        <family val="0"/>
        <charset val="1"/>
      </rPr>
      <t xml:space="preserve">/</t>
    </r>
    <r>
      <rPr>
        <sz val="10"/>
        <rFont val="Noto Sans CJK SC"/>
        <family val="2"/>
      </rPr>
      <t xml:space="preserve">千再生が </t>
    </r>
    <r>
      <rPr>
        <sz val="10"/>
        <rFont val="Arial"/>
        <family val="0"/>
        <charset val="1"/>
      </rPr>
      <t xml:space="preserve">0.35 </t>
    </r>
    <r>
      <rPr>
        <sz val="10"/>
        <rFont val="Noto Sans CJK SC"/>
        <family val="2"/>
      </rPr>
      <t xml:space="preserve">を超えなければ参加型に戻す</t>
    </r>
  </si>
  <si>
    <r>
      <rPr>
        <sz val="10"/>
        <rFont val="Arial"/>
        <family val="0"/>
        <charset val="1"/>
      </rPr>
      <t xml:space="preserve">6</t>
    </r>
    <r>
      <rPr>
        <sz val="10"/>
        <rFont val="Noto Sans CJK SC"/>
        <family val="2"/>
      </rPr>
      <t xml:space="preserve">行目</t>
    </r>
    <r>
      <rPr>
        <sz val="10"/>
        <rFont val="Arial"/>
        <family val="0"/>
        <charset val="1"/>
      </rPr>
      <t xml:space="preserve">CTA</t>
    </r>
    <r>
      <rPr>
        <sz val="10"/>
        <rFont val="Noto Sans CJK SC"/>
        <family val="2"/>
      </rPr>
      <t xml:space="preserve">をコメント誘導併記から『高評価＋チャンネル登録』の一本化へ変更（コメント誘導は </t>
    </r>
    <r>
      <rPr>
        <sz val="10"/>
        <rFont val="Arial"/>
        <family val="0"/>
        <charset val="1"/>
      </rPr>
      <t xml:space="preserve">publish_settings.auto_comment </t>
    </r>
    <r>
      <rPr>
        <sz val="10"/>
        <rFont val="Noto Sans CJK SC"/>
        <family val="2"/>
      </rPr>
      <t xml:space="preserve">側で継続）。</t>
    </r>
  </si>
  <si>
    <r>
      <rPr>
        <sz val="10"/>
        <rFont val="Noto Sans CJK SC"/>
        <family val="2"/>
      </rPr>
      <t xml:space="preserve">高評価率が登録の唯一の説明変数（</t>
    </r>
    <r>
      <rPr>
        <sz val="10"/>
        <rFont val="Arial"/>
        <family val="0"/>
        <charset val="1"/>
      </rPr>
      <t xml:space="preserve">Q4/Q1=3.9</t>
    </r>
    <r>
      <rPr>
        <sz val="10"/>
        <rFont val="Noto Sans CJK SC"/>
        <family val="2"/>
      </rPr>
      <t xml:space="preserve">倍）であり、当</t>
    </r>
    <r>
      <rPr>
        <sz val="10"/>
        <rFont val="Arial"/>
        <family val="0"/>
        <charset val="1"/>
      </rPr>
      <t xml:space="preserve">ch</t>
    </r>
    <r>
      <rPr>
        <sz val="10"/>
        <rFont val="Noto Sans CJK SC"/>
        <family val="2"/>
      </rPr>
      <t xml:space="preserve">の高評価率</t>
    </r>
    <r>
      <rPr>
        <sz val="10"/>
        <rFont val="Arial"/>
        <family val="0"/>
        <charset val="1"/>
      </rPr>
      <t xml:space="preserve">0.241%</t>
    </r>
    <r>
      <rPr>
        <sz val="10"/>
        <rFont val="Noto Sans CJK SC"/>
        <family val="2"/>
      </rPr>
      <t xml:space="preserve">は</t>
    </r>
    <r>
      <rPr>
        <sz val="10"/>
        <rFont val="Arial"/>
        <family val="0"/>
        <charset val="1"/>
      </rPr>
      <t xml:space="preserve">6ch</t>
    </r>
    <r>
      <rPr>
        <sz val="10"/>
        <rFont val="Noto Sans CJK SC"/>
        <family val="2"/>
      </rPr>
      <t xml:space="preserve">最下位。</t>
    </r>
    <r>
      <rPr>
        <sz val="10"/>
        <rFont val="Arial"/>
        <family val="0"/>
        <charset val="1"/>
      </rPr>
      <t xml:space="preserve">1</t>
    </r>
    <r>
      <rPr>
        <sz val="10"/>
        <rFont val="Noto Sans CJK SC"/>
        <family val="2"/>
      </rPr>
      <t xml:space="preserve">行に</t>
    </r>
    <r>
      <rPr>
        <sz val="10"/>
        <rFont val="Arial"/>
        <family val="0"/>
        <charset val="1"/>
      </rPr>
      <t xml:space="preserve">2</t>
    </r>
    <r>
      <rPr>
        <sz val="10"/>
        <rFont val="Noto Sans CJK SC"/>
        <family val="2"/>
      </rPr>
      <t xml:space="preserve">つの行動を求めると弱いほうに流れる。</t>
    </r>
  </si>
  <si>
    <r>
      <rPr>
        <sz val="10"/>
        <rFont val="Noto Sans CJK SC"/>
        <family val="2"/>
      </rPr>
      <t xml:space="preserve">当</t>
    </r>
    <r>
      <rPr>
        <sz val="10"/>
        <rFont val="Arial"/>
        <family val="0"/>
        <charset val="1"/>
      </rPr>
      <t xml:space="preserve">ch</t>
    </r>
    <r>
      <rPr>
        <sz val="10"/>
        <rFont val="Noto Sans CJK SC"/>
        <family val="2"/>
      </rPr>
      <t xml:space="preserve">高評価率 </t>
    </r>
    <r>
      <rPr>
        <sz val="10"/>
        <rFont val="Arial"/>
        <family val="0"/>
        <charset val="1"/>
      </rPr>
      <t xml:space="preserve">0.241%→0.35%</t>
    </r>
  </si>
  <si>
    <r>
      <rPr>
        <sz val="10"/>
        <rFont val="Noto Sans CJK SC"/>
        <family val="2"/>
      </rPr>
      <t xml:space="preserve">当</t>
    </r>
    <r>
      <rPr>
        <sz val="10"/>
        <rFont val="Arial"/>
        <family val="0"/>
        <charset val="1"/>
      </rPr>
      <t xml:space="preserve">ch</t>
    </r>
    <r>
      <rPr>
        <sz val="10"/>
        <rFont val="Noto Sans CJK SC"/>
        <family val="2"/>
      </rPr>
      <t xml:space="preserve">の高評価率が </t>
    </r>
    <r>
      <rPr>
        <sz val="10"/>
        <rFont val="Arial"/>
        <family val="0"/>
        <charset val="1"/>
      </rPr>
      <t xml:space="preserve">0.30% </t>
    </r>
    <r>
      <rPr>
        <sz val="10"/>
        <rFont val="Noto Sans CJK SC"/>
        <family val="2"/>
      </rPr>
      <t xml:space="preserve">を超えなければ元に戻す</t>
    </r>
  </si>
  <si>
    <r>
      <rPr>
        <sz val="10"/>
        <rFont val="Arial"/>
        <family val="0"/>
        <charset val="1"/>
      </rPr>
      <t xml:space="preserve">theme_queue </t>
    </r>
    <r>
      <rPr>
        <sz val="10"/>
        <rFont val="Noto Sans CJK SC"/>
        <family val="2"/>
      </rPr>
      <t xml:space="preserve">の参加型</t>
    </r>
    <r>
      <rPr>
        <sz val="10"/>
        <rFont val="Arial"/>
        <family val="0"/>
        <charset val="1"/>
      </rPr>
      <t xml:space="preserve">27</t>
    </r>
    <r>
      <rPr>
        <sz val="10"/>
        <rFont val="Noto Sans CJK SC"/>
        <family val="2"/>
      </rPr>
      <t xml:space="preserve">件を削除し結論型</t>
    </r>
    <r>
      <rPr>
        <sz val="10"/>
        <rFont val="Arial"/>
        <family val="0"/>
        <charset val="1"/>
      </rPr>
      <t xml:space="preserve">20</t>
    </r>
    <r>
      <rPr>
        <sz val="10"/>
        <rFont val="Noto Sans CJK SC"/>
        <family val="2"/>
      </rPr>
      <t xml:space="preserve">件を投入（</t>
    </r>
    <r>
      <rPr>
        <sz val="10"/>
        <rFont val="Arial"/>
        <family val="0"/>
        <charset val="1"/>
      </rPr>
      <t xml:space="preserve">40→33</t>
    </r>
    <r>
      <rPr>
        <sz val="10"/>
        <rFont val="Noto Sans CJK SC"/>
        <family val="2"/>
      </rPr>
      <t xml:space="preserve">件）。</t>
    </r>
    <r>
      <rPr>
        <sz val="10"/>
        <rFont val="Arial"/>
        <family val="0"/>
        <charset val="1"/>
      </rPr>
      <t xml:space="preserve">title_style </t>
    </r>
    <r>
      <rPr>
        <sz val="10"/>
        <rFont val="Noto Sans CJK SC"/>
        <family val="2"/>
      </rPr>
      <t xml:space="preserve">の『勝ちパターン</t>
    </r>
    <r>
      <rPr>
        <sz val="10"/>
        <rFont val="Arial"/>
        <family val="0"/>
        <charset val="1"/>
      </rPr>
      <t xml:space="preserve">4</t>
    </r>
    <r>
      <rPr>
        <sz val="10"/>
        <rFont val="Noto Sans CJK SC"/>
        <family val="2"/>
      </rPr>
      <t xml:space="preserve">型』のうち参加型</t>
    </r>
    <r>
      <rPr>
        <sz val="10"/>
        <rFont val="Arial"/>
        <family val="0"/>
        <charset val="1"/>
      </rPr>
      <t xml:space="preserve">3</t>
    </r>
    <r>
      <rPr>
        <sz val="10"/>
        <rFont val="Noto Sans CJK SC"/>
        <family val="2"/>
      </rPr>
      <t xml:space="preserve">型（〜あげてけ／〜当てるスレ</t>
    </r>
    <r>
      <rPr>
        <sz val="10"/>
        <rFont val="Arial"/>
        <family val="0"/>
        <charset val="1"/>
      </rPr>
      <t xml:space="preserve">w</t>
    </r>
    <r>
      <rPr>
        <sz val="10"/>
        <rFont val="Noto Sans CJK SC"/>
        <family val="2"/>
      </rPr>
      <t xml:space="preserve">／〜やけど質問ある？）を撤回。</t>
    </r>
  </si>
  <si>
    <r>
      <rPr>
        <sz val="10"/>
        <rFont val="Noto Sans CJK SC"/>
        <family val="2"/>
      </rPr>
      <t xml:space="preserve">削除した</t>
    </r>
    <r>
      <rPr>
        <sz val="10"/>
        <rFont val="Arial"/>
        <family val="0"/>
        <charset val="1"/>
      </rPr>
      <t xml:space="preserve">27</t>
    </r>
    <r>
      <rPr>
        <sz val="10"/>
        <rFont val="Noto Sans CJK SC"/>
        <family val="2"/>
      </rPr>
      <t xml:space="preserve">件はすべて『あげてけ／質問ある／当てるスレ／晒してけ』型で、実測 登録</t>
    </r>
    <r>
      <rPr>
        <sz val="10"/>
        <rFont val="Arial"/>
        <family val="0"/>
        <charset val="1"/>
      </rPr>
      <t xml:space="preserve">/</t>
    </r>
    <r>
      <rPr>
        <sz val="10"/>
        <rFont val="Noto Sans CJK SC"/>
        <family val="2"/>
      </rPr>
      <t xml:space="preserve">千再生 </t>
    </r>
    <r>
      <rPr>
        <sz val="10"/>
        <rFont val="Arial"/>
        <family val="0"/>
        <charset val="1"/>
      </rPr>
      <t xml:space="preserve">0.06 </t>
    </r>
    <r>
      <rPr>
        <sz val="10"/>
        <rFont val="Noto Sans CJK SC"/>
        <family val="2"/>
      </rPr>
      <t xml:space="preserve">の群に該当。</t>
    </r>
  </si>
  <si>
    <t xml:space="preserve">同上</t>
  </si>
  <si>
    <r>
      <rPr>
        <sz val="10"/>
        <rFont val="Noto Sans CJK SC"/>
        <family val="2"/>
      </rPr>
      <t xml:space="preserve">投稿枠 </t>
    </r>
    <r>
      <rPr>
        <sz val="10"/>
        <rFont val="Arial"/>
        <family val="0"/>
        <charset val="1"/>
      </rPr>
      <t xml:space="preserve">13:30 → 19:00 </t>
    </r>
    <r>
      <rPr>
        <sz val="10"/>
        <rFont val="Noto Sans CJK SC"/>
        <family val="2"/>
      </rPr>
      <t xml:space="preserve">へ移設。</t>
    </r>
  </si>
  <si>
    <r>
      <rPr>
        <sz val="10"/>
        <rFont val="Noto Sans CJK SC"/>
        <family val="2"/>
      </rPr>
      <t xml:space="preserve">当</t>
    </r>
    <r>
      <rPr>
        <sz val="10"/>
        <rFont val="Arial"/>
        <family val="0"/>
        <charset val="1"/>
      </rPr>
      <t xml:space="preserve">ch</t>
    </r>
    <r>
      <rPr>
        <sz val="10"/>
        <rFont val="Noto Sans CJK SC"/>
        <family val="2"/>
      </rPr>
      <t xml:space="preserve">内 時刻別 登録</t>
    </r>
    <r>
      <rPr>
        <sz val="10"/>
        <rFont val="Arial"/>
        <family val="0"/>
        <charset val="1"/>
      </rPr>
      <t xml:space="preserve">/</t>
    </r>
    <r>
      <rPr>
        <sz val="10"/>
        <rFont val="Noto Sans CJK SC"/>
        <family val="2"/>
      </rPr>
      <t xml:space="preserve">千再生</t>
    </r>
    <r>
      <rPr>
        <sz val="10"/>
        <rFont val="Arial"/>
        <family val="0"/>
        <charset val="1"/>
      </rPr>
      <t xml:space="preserve">: 19</t>
    </r>
    <r>
      <rPr>
        <sz val="10"/>
        <rFont val="Noto Sans CJK SC"/>
        <family val="2"/>
      </rPr>
      <t xml:space="preserve">時 </t>
    </r>
    <r>
      <rPr>
        <sz val="10"/>
        <rFont val="Arial"/>
        <family val="0"/>
        <charset val="1"/>
      </rPr>
      <t xml:space="preserve">0.94(n=4) / 17</t>
    </r>
    <r>
      <rPr>
        <sz val="10"/>
        <rFont val="Noto Sans CJK SC"/>
        <family val="2"/>
      </rPr>
      <t xml:space="preserve">時 </t>
    </r>
    <r>
      <rPr>
        <sz val="10"/>
        <rFont val="Arial"/>
        <family val="0"/>
        <charset val="1"/>
      </rPr>
      <t xml:space="preserve">0.85(n=10) / 14</t>
    </r>
    <r>
      <rPr>
        <sz val="10"/>
        <rFont val="Noto Sans CJK SC"/>
        <family val="2"/>
      </rPr>
      <t xml:space="preserve">時台 </t>
    </r>
    <r>
      <rPr>
        <sz val="10"/>
        <rFont val="Arial"/>
        <family val="0"/>
        <charset val="1"/>
      </rPr>
      <t xml:space="preserve">0.38(n=6)</t>
    </r>
    <r>
      <rPr>
        <sz val="10"/>
        <rFont val="Noto Sans CJK SC"/>
        <family val="2"/>
      </rPr>
      <t xml:space="preserve">。</t>
    </r>
    <r>
      <rPr>
        <sz val="10"/>
        <rFont val="Arial"/>
        <family val="0"/>
        <charset val="1"/>
      </rPr>
      <t xml:space="preserve">13:30</t>
    </r>
    <r>
      <rPr>
        <sz val="10"/>
        <rFont val="Noto Sans CJK SC"/>
        <family val="2"/>
      </rPr>
      <t xml:space="preserve">枠の公開は</t>
    </r>
    <r>
      <rPr>
        <sz val="10"/>
        <rFont val="Arial"/>
        <family val="0"/>
        <charset val="1"/>
      </rPr>
      <t xml:space="preserve">14</t>
    </r>
    <r>
      <rPr>
        <sz val="10"/>
        <rFont val="Noto Sans CJK SC"/>
        <family val="2"/>
      </rPr>
      <t xml:space="preserve">時台に落ちている。</t>
    </r>
  </si>
  <si>
    <r>
      <rPr>
        <sz val="10"/>
        <rFont val="Noto Sans CJK SC"/>
        <family val="2"/>
      </rPr>
      <t xml:space="preserve">当</t>
    </r>
    <r>
      <rPr>
        <sz val="10"/>
        <rFont val="Arial"/>
        <family val="0"/>
        <charset val="1"/>
      </rPr>
      <t xml:space="preserve">ch 0.70→0.85</t>
    </r>
  </si>
  <si>
    <r>
      <rPr>
        <sz val="10"/>
        <rFont val="Noto Sans CJK SC"/>
        <family val="2"/>
      </rPr>
      <t xml:space="preserve">移設後の</t>
    </r>
    <r>
      <rPr>
        <sz val="10"/>
        <rFont val="Arial"/>
        <family val="0"/>
        <charset val="1"/>
      </rPr>
      <t xml:space="preserve">19</t>
    </r>
    <r>
      <rPr>
        <sz val="10"/>
        <rFont val="Noto Sans CJK SC"/>
        <family val="2"/>
      </rPr>
      <t xml:space="preserve">時枠が移設前の</t>
    </r>
    <r>
      <rPr>
        <sz val="10"/>
        <rFont val="Arial"/>
        <family val="0"/>
        <charset val="1"/>
      </rPr>
      <t xml:space="preserve">13:30</t>
    </r>
    <r>
      <rPr>
        <sz val="10"/>
        <rFont val="Noto Sans CJK SC"/>
        <family val="2"/>
      </rPr>
      <t xml:space="preserve">枠の実績を下回れば戻す</t>
    </r>
  </si>
  <si>
    <r>
      <rPr>
        <sz val="10"/>
        <rFont val="Noto Sans CJK SC"/>
        <family val="2"/>
      </rPr>
      <t xml:space="preserve">投稿枠 </t>
    </r>
    <r>
      <rPr>
        <sz val="10"/>
        <rFont val="Arial"/>
        <family val="0"/>
        <charset val="1"/>
      </rPr>
      <t xml:space="preserve">17:30 → 17:00 </t>
    </r>
    <r>
      <rPr>
        <sz val="10"/>
        <rFont val="Noto Sans CJK SC"/>
        <family val="2"/>
      </rPr>
      <t xml:space="preserve">へ前倒し。</t>
    </r>
  </si>
  <si>
    <r>
      <rPr>
        <sz val="10"/>
        <rFont val="Noto Sans CJK SC"/>
        <family val="2"/>
      </rPr>
      <t xml:space="preserve">当</t>
    </r>
    <r>
      <rPr>
        <sz val="10"/>
        <rFont val="Arial"/>
        <family val="0"/>
        <charset val="1"/>
      </rPr>
      <t xml:space="preserve">ch</t>
    </r>
    <r>
      <rPr>
        <sz val="10"/>
        <rFont val="Noto Sans CJK SC"/>
        <family val="2"/>
      </rPr>
      <t xml:space="preserve">内 </t>
    </r>
    <r>
      <rPr>
        <sz val="10"/>
        <rFont val="Arial"/>
        <family val="0"/>
        <charset val="1"/>
      </rPr>
      <t xml:space="preserve">17</t>
    </r>
    <r>
      <rPr>
        <sz val="10"/>
        <rFont val="Noto Sans CJK SC"/>
        <family val="2"/>
      </rPr>
      <t xml:space="preserve">時台 </t>
    </r>
    <r>
      <rPr>
        <sz val="10"/>
        <rFont val="Arial"/>
        <family val="0"/>
        <charset val="1"/>
      </rPr>
      <t xml:space="preserve">0.41(n=10) vs 18</t>
    </r>
    <r>
      <rPr>
        <sz val="10"/>
        <rFont val="Noto Sans CJK SC"/>
        <family val="2"/>
      </rPr>
      <t xml:space="preserve">時台 </t>
    </r>
    <r>
      <rPr>
        <sz val="10"/>
        <rFont val="Arial"/>
        <family val="0"/>
        <charset val="1"/>
      </rPr>
      <t xml:space="preserve">0.21(n=10)</t>
    </r>
    <r>
      <rPr>
        <sz val="10"/>
        <rFont val="Noto Sans CJK SC"/>
        <family val="2"/>
      </rPr>
      <t xml:space="preserve">。</t>
    </r>
    <r>
      <rPr>
        <sz val="10"/>
        <rFont val="Arial"/>
        <family val="0"/>
        <charset val="1"/>
      </rPr>
      <t xml:space="preserve">17:30</t>
    </r>
    <r>
      <rPr>
        <sz val="10"/>
        <rFont val="Noto Sans CJK SC"/>
        <family val="2"/>
      </rPr>
      <t xml:space="preserve">枠は </t>
    </r>
    <r>
      <rPr>
        <sz val="10"/>
        <rFont val="Arial"/>
        <family val="0"/>
        <charset val="1"/>
      </rPr>
      <t xml:space="preserve">publish_lead </t>
    </r>
    <r>
      <rPr>
        <sz val="10"/>
        <rFont val="Noto Sans CJK SC"/>
        <family val="2"/>
      </rPr>
      <t xml:space="preserve">により公開が</t>
    </r>
    <r>
      <rPr>
        <sz val="10"/>
        <rFont val="Arial"/>
        <family val="0"/>
        <charset val="1"/>
      </rPr>
      <t xml:space="preserve">18</t>
    </r>
    <r>
      <rPr>
        <sz val="10"/>
        <rFont val="Noto Sans CJK SC"/>
        <family val="2"/>
      </rPr>
      <t xml:space="preserve">時台に落ちていた。</t>
    </r>
  </si>
  <si>
    <r>
      <rPr>
        <sz val="10"/>
        <rFont val="Noto Sans CJK SC"/>
        <family val="2"/>
      </rPr>
      <t xml:space="preserve">当</t>
    </r>
    <r>
      <rPr>
        <sz val="10"/>
        <rFont val="Arial"/>
        <family val="0"/>
        <charset val="1"/>
      </rPr>
      <t xml:space="preserve">ch 0.27→0.35</t>
    </r>
  </si>
  <si>
    <r>
      <rPr>
        <sz val="10"/>
        <rFont val="Noto Sans CJK SC"/>
        <family val="2"/>
      </rPr>
      <t xml:space="preserve">投稿枠 </t>
    </r>
    <r>
      <rPr>
        <sz val="10"/>
        <rFont val="Arial"/>
        <family val="0"/>
        <charset val="1"/>
      </rPr>
      <t xml:space="preserve">17:45 → 17:00 </t>
    </r>
    <r>
      <rPr>
        <sz val="10"/>
        <rFont val="Noto Sans CJK SC"/>
        <family val="2"/>
      </rPr>
      <t xml:space="preserve">へ前倒し。</t>
    </r>
  </si>
  <si>
    <r>
      <rPr>
        <sz val="10"/>
        <rFont val="Noto Sans CJK SC"/>
        <family val="2"/>
      </rPr>
      <t xml:space="preserve">当</t>
    </r>
    <r>
      <rPr>
        <sz val="10"/>
        <rFont val="Arial"/>
        <family val="0"/>
        <charset val="1"/>
      </rPr>
      <t xml:space="preserve">ch</t>
    </r>
    <r>
      <rPr>
        <sz val="10"/>
        <rFont val="Noto Sans CJK SC"/>
        <family val="2"/>
      </rPr>
      <t xml:space="preserve">内 </t>
    </r>
    <r>
      <rPr>
        <sz val="10"/>
        <rFont val="Arial"/>
        <family val="0"/>
        <charset val="1"/>
      </rPr>
      <t xml:space="preserve">19</t>
    </r>
    <r>
      <rPr>
        <sz val="10"/>
        <rFont val="Noto Sans CJK SC"/>
        <family val="2"/>
      </rPr>
      <t xml:space="preserve">時台 </t>
    </r>
    <r>
      <rPr>
        <sz val="10"/>
        <rFont val="Arial"/>
        <family val="0"/>
        <charset val="1"/>
      </rPr>
      <t xml:space="preserve">0.24(n=14) </t>
    </r>
    <r>
      <rPr>
        <sz val="10"/>
        <rFont val="Noto Sans CJK SC"/>
        <family val="2"/>
      </rPr>
      <t xml:space="preserve">が最下位。全</t>
    </r>
    <r>
      <rPr>
        <sz val="10"/>
        <rFont val="Arial"/>
        <family val="0"/>
        <charset val="1"/>
      </rPr>
      <t xml:space="preserve">ch</t>
    </r>
    <r>
      <rPr>
        <sz val="10"/>
        <rFont val="Noto Sans CJK SC"/>
        <family val="2"/>
      </rPr>
      <t xml:space="preserve">横断でも </t>
    </r>
    <r>
      <rPr>
        <sz val="10"/>
        <rFont val="Arial"/>
        <family val="0"/>
        <charset val="1"/>
      </rPr>
      <t xml:space="preserve">17</t>
    </r>
    <r>
      <rPr>
        <sz val="10"/>
        <rFont val="Noto Sans CJK SC"/>
        <family val="2"/>
      </rPr>
      <t xml:space="preserve">時 </t>
    </r>
    <r>
      <rPr>
        <sz val="10"/>
        <rFont val="Arial"/>
        <family val="0"/>
        <charset val="1"/>
      </rPr>
      <t xml:space="preserve">0.70(n=39) </t>
    </r>
    <r>
      <rPr>
        <sz val="10"/>
        <rFont val="Noto Sans CJK SC"/>
        <family val="2"/>
      </rPr>
      <t xml:space="preserve">が最良、</t>
    </r>
    <r>
      <rPr>
        <sz val="10"/>
        <rFont val="Arial"/>
        <family val="0"/>
        <charset val="1"/>
      </rPr>
      <t xml:space="preserve">18</t>
    </r>
    <r>
      <rPr>
        <sz val="10"/>
        <rFont val="Noto Sans CJK SC"/>
        <family val="2"/>
      </rPr>
      <t xml:space="preserve">時 </t>
    </r>
    <r>
      <rPr>
        <sz val="10"/>
        <rFont val="Arial"/>
        <family val="0"/>
        <charset val="1"/>
      </rPr>
      <t xml:space="preserve">0.24</t>
    </r>
    <r>
      <rPr>
        <sz val="10"/>
        <rFont val="Noto Sans CJK SC"/>
        <family val="2"/>
      </rPr>
      <t xml:space="preserve">・</t>
    </r>
    <r>
      <rPr>
        <sz val="10"/>
        <rFont val="Arial"/>
        <family val="0"/>
        <charset val="1"/>
      </rPr>
      <t xml:space="preserve">15</t>
    </r>
    <r>
      <rPr>
        <sz val="10"/>
        <rFont val="Noto Sans CJK SC"/>
        <family val="2"/>
      </rPr>
      <t xml:space="preserve">時 </t>
    </r>
    <r>
      <rPr>
        <sz val="10"/>
        <rFont val="Arial"/>
        <family val="0"/>
        <charset val="1"/>
      </rPr>
      <t xml:space="preserve">0.00 </t>
    </r>
    <r>
      <rPr>
        <sz val="10"/>
        <rFont val="Noto Sans CJK SC"/>
        <family val="2"/>
      </rPr>
      <t xml:space="preserve">が最下位。</t>
    </r>
  </si>
  <si>
    <r>
      <rPr>
        <sz val="10"/>
        <rFont val="Noto Sans CJK SC"/>
        <family val="2"/>
      </rPr>
      <t xml:space="preserve">当</t>
    </r>
    <r>
      <rPr>
        <sz val="10"/>
        <rFont val="Arial"/>
        <family val="0"/>
        <charset val="1"/>
      </rPr>
      <t xml:space="preserve">ch 0.38→0.50</t>
    </r>
  </si>
  <si>
    <r>
      <rPr>
        <sz val="10"/>
        <rFont val="Arial"/>
        <family val="0"/>
        <charset val="1"/>
      </rPr>
      <t xml:space="preserve">theme_seeds </t>
    </r>
    <r>
      <rPr>
        <sz val="10"/>
        <rFont val="Noto Sans CJK SC"/>
        <family val="2"/>
      </rPr>
      <t xml:space="preserve">のうち</t>
    </r>
    <r>
      <rPr>
        <sz val="10"/>
        <rFont val="Arial"/>
        <family val="0"/>
        <charset val="1"/>
      </rPr>
      <t xml:space="preserve">33</t>
    </r>
    <r>
      <rPr>
        <sz val="10"/>
        <rFont val="Noto Sans CJK SC"/>
        <family val="2"/>
      </rPr>
      <t xml:space="preserve">字で </t>
    </r>
    <r>
      <rPr>
        <sz val="10"/>
        <rFont val="Arial"/>
        <family val="0"/>
        <charset val="1"/>
      </rPr>
      <t xml:space="preserve">max_chars=30 </t>
    </r>
    <r>
      <rPr>
        <sz val="10"/>
        <rFont val="Noto Sans CJK SC"/>
        <family val="2"/>
      </rPr>
      <t xml:space="preserve">に違反していた</t>
    </r>
    <r>
      <rPr>
        <sz val="10"/>
        <rFont val="Arial"/>
        <family val="0"/>
        <charset val="1"/>
      </rPr>
      <t xml:space="preserve">1</t>
    </r>
    <r>
      <rPr>
        <sz val="10"/>
        <rFont val="Noto Sans CJK SC"/>
        <family val="2"/>
      </rPr>
      <t xml:space="preserve">件を</t>
    </r>
    <r>
      <rPr>
        <sz val="10"/>
        <rFont val="Arial"/>
        <family val="0"/>
        <charset val="1"/>
      </rPr>
      <t xml:space="preserve">24</t>
    </r>
    <r>
      <rPr>
        <sz val="10"/>
        <rFont val="Noto Sans CJK SC"/>
        <family val="2"/>
      </rPr>
      <t xml:space="preserve">字へ短縮（「件（くだん）の正体、予言して死ぬ牛が生まれた理由」）。</t>
    </r>
  </si>
  <si>
    <r>
      <rPr>
        <sz val="10"/>
        <rFont val="Arial"/>
        <family val="0"/>
        <charset val="1"/>
      </rPr>
      <t xml:space="preserve">backend/tests/test_title_gates_20260904.py::test_enforced_channels_have_clean_queues_and_seeds </t>
    </r>
    <r>
      <rPr>
        <sz val="10"/>
        <rFont val="Noto Sans CJK SC"/>
        <family val="2"/>
      </rPr>
      <t xml:space="preserve">が変更前から失敗していた。</t>
    </r>
  </si>
  <si>
    <r>
      <rPr>
        <sz val="10"/>
        <rFont val="Noto Sans CJK SC"/>
        <family val="2"/>
      </rPr>
      <t xml:space="preserve">テスト</t>
    </r>
    <r>
      <rPr>
        <sz val="10"/>
        <rFont val="Arial"/>
        <family val="0"/>
        <charset val="1"/>
      </rPr>
      <t xml:space="preserve">1</t>
    </r>
    <r>
      <rPr>
        <sz val="10"/>
        <rFont val="Noto Sans CJK SC"/>
        <family val="2"/>
      </rPr>
      <t xml:space="preserve">件解消</t>
    </r>
  </si>
  <si>
    <t xml:space="preserve">—</t>
  </si>
  <si>
    <t xml:space="preserve">反映済・テスト緑化</t>
  </si>
  <si>
    <r>
      <rPr>
        <sz val="10"/>
        <rFont val="Arial"/>
        <family val="0"/>
        <charset val="1"/>
      </rPr>
      <t xml:space="preserve">optimization.decision_metrics = ['subs_per_1000_views'] </t>
    </r>
    <r>
      <rPr>
        <sz val="10"/>
        <rFont val="Noto Sans CJK SC"/>
        <family val="2"/>
      </rPr>
      <t xml:space="preserve">の単独採用を維持し、</t>
    </r>
    <r>
      <rPr>
        <sz val="10"/>
        <rFont val="Arial"/>
        <family val="0"/>
        <charset val="1"/>
      </rPr>
      <t xml:space="preserve">revalidated_20260908 </t>
    </r>
    <r>
      <rPr>
        <sz val="10"/>
        <rFont val="Noto Sans CJK SC"/>
        <family val="2"/>
      </rPr>
      <t xml:space="preserve">として本日の実測を追記。</t>
    </r>
  </si>
  <si>
    <r>
      <rPr>
        <sz val="10"/>
        <rFont val="Noto Sans CJK SC"/>
        <family val="2"/>
      </rPr>
      <t xml:space="preserve">維持率</t>
    </r>
    <r>
      <rPr>
        <sz val="10"/>
        <rFont val="Arial"/>
        <family val="0"/>
        <charset val="1"/>
      </rPr>
      <t xml:space="preserve">50%</t>
    </r>
    <r>
      <rPr>
        <sz val="10"/>
        <rFont val="Noto Sans CJK SC"/>
        <family val="2"/>
      </rPr>
      <t xml:space="preserve">以上</t>
    </r>
    <r>
      <rPr>
        <sz val="10"/>
        <rFont val="Arial"/>
        <family val="0"/>
        <charset val="1"/>
      </rPr>
      <t xml:space="preserve">/</t>
    </r>
    <r>
      <rPr>
        <sz val="10"/>
        <rFont val="Noto Sans CJK SC"/>
        <family val="2"/>
      </rPr>
      <t xml:space="preserve">未満で 登録</t>
    </r>
    <r>
      <rPr>
        <sz val="10"/>
        <rFont val="Arial"/>
        <family val="0"/>
        <charset val="1"/>
      </rPr>
      <t xml:space="preserve">/</t>
    </r>
    <r>
      <rPr>
        <sz val="10"/>
        <rFont val="Noto Sans CJK SC"/>
        <family val="2"/>
      </rPr>
      <t xml:space="preserve">千再生 </t>
    </r>
    <r>
      <rPr>
        <sz val="10"/>
        <rFont val="Arial"/>
        <family val="0"/>
        <charset val="1"/>
      </rPr>
      <t xml:space="preserve">0.47 vs 0.47</t>
    </r>
    <r>
      <rPr>
        <sz val="10"/>
        <rFont val="Noto Sans CJK SC"/>
        <family val="2"/>
      </rPr>
      <t xml:space="preserve">（無差別）。</t>
    </r>
    <r>
      <rPr>
        <sz val="10"/>
        <rFont val="Arial"/>
        <family val="0"/>
        <charset val="1"/>
      </rPr>
      <t xml:space="preserve">ch</t>
    </r>
    <r>
      <rPr>
        <sz val="10"/>
        <rFont val="Noto Sans CJK SC"/>
        <family val="2"/>
      </rPr>
      <t xml:space="preserve">内でも </t>
    </r>
    <r>
      <rPr>
        <sz val="10"/>
        <rFont val="Arial"/>
        <family val="0"/>
        <charset val="1"/>
      </rPr>
      <t xml:space="preserve">scp-lab 0.54 vs 0.81</t>
    </r>
    <r>
      <rPr>
        <sz val="10"/>
        <rFont val="Noto Sans CJK SC"/>
        <family val="2"/>
      </rPr>
      <t xml:space="preserve">、</t>
    </r>
    <r>
      <rPr>
        <sz val="10"/>
        <rFont val="Arial"/>
        <family val="0"/>
        <charset val="1"/>
      </rPr>
      <t xml:space="preserve">pokemon-lab 0.20 vs 0.33 </t>
    </r>
    <r>
      <rPr>
        <sz val="10"/>
        <rFont val="Noto Sans CJK SC"/>
        <family val="2"/>
      </rPr>
      <t xml:space="preserve">と</t>
    </r>
    <r>
      <rPr>
        <sz val="10"/>
        <rFont val="Arial"/>
        <family val="0"/>
        <charset val="1"/>
      </rPr>
      <t xml:space="preserve">4/6ch</t>
    </r>
    <r>
      <rPr>
        <sz val="10"/>
        <rFont val="Noto Sans CJK SC"/>
        <family val="2"/>
      </rPr>
      <t xml:space="preserve">で高維持側が劣後。</t>
    </r>
  </si>
  <si>
    <t xml:space="preserve">誤った施策の採用を防ぐ</t>
  </si>
  <si>
    <r>
      <rPr>
        <sz val="10"/>
        <rFont val="Noto Sans CJK SC"/>
        <family val="2"/>
      </rPr>
      <t xml:space="preserve">維持率が登録を説明する再現が出れば </t>
    </r>
    <r>
      <rPr>
        <sz val="10"/>
        <rFont val="Arial"/>
        <family val="0"/>
        <charset val="1"/>
      </rPr>
      <t xml:space="preserve">decision_metrics </t>
    </r>
    <r>
      <rPr>
        <sz val="10"/>
        <rFont val="Noto Sans CJK SC"/>
        <family val="2"/>
      </rPr>
      <t xml:space="preserve">に戻す</t>
    </r>
  </si>
  <si>
    <t xml:space="preserve">（ユーザー操作）</t>
  </si>
  <si>
    <r>
      <rPr>
        <sz val="10"/>
        <rFont val="Arial"/>
        <family val="0"/>
        <charset val="1"/>
      </rPr>
      <t xml:space="preserve">OAuth 7</t>
    </r>
    <r>
      <rPr>
        <sz val="10"/>
        <rFont val="Noto Sans CJK SC"/>
        <family val="2"/>
      </rPr>
      <t xml:space="preserve">日失効の恒久対策</t>
    </r>
    <r>
      <rPr>
        <sz val="10"/>
        <rFont val="Arial"/>
        <family val="0"/>
        <charset val="1"/>
      </rPr>
      <t xml:space="preserve">: GCP</t>
    </r>
    <r>
      <rPr>
        <sz val="10"/>
        <rFont val="Noto Sans CJK SC"/>
        <family val="2"/>
      </rPr>
      <t xml:space="preserve">同意画面を『テスト中』→『本番』へ公開したうえで</t>
    </r>
    <r>
      <rPr>
        <sz val="10"/>
        <rFont val="Arial"/>
        <family val="0"/>
        <charset val="1"/>
      </rPr>
      <t xml:space="preserve">13ch</t>
    </r>
    <r>
      <rPr>
        <sz val="10"/>
        <rFont val="Noto Sans CJK SC"/>
        <family val="2"/>
      </rPr>
      <t xml:space="preserve">再認可。★順序厳守（先に本番公開）。</t>
    </r>
  </si>
  <si>
    <r>
      <rPr>
        <sz val="10"/>
        <rFont val="Arial"/>
        <family val="0"/>
        <charset val="1"/>
      </rPr>
      <t xml:space="preserve">09-07</t>
    </r>
    <r>
      <rPr>
        <sz val="10"/>
        <rFont val="Noto Sans CJK SC"/>
        <family val="2"/>
      </rPr>
      <t xml:space="preserve">時点で </t>
    </r>
    <r>
      <rPr>
        <sz val="10"/>
        <rFont val="Arial"/>
        <family val="0"/>
        <charset val="1"/>
      </rPr>
      <t xml:space="preserve">clip-animal / socio-rx / fake-paper / akashic-librarian </t>
    </r>
    <r>
      <rPr>
        <sz val="10"/>
        <rFont val="Noto Sans CJK SC"/>
        <family val="2"/>
      </rPr>
      <t xml:space="preserve">の</t>
    </r>
    <r>
      <rPr>
        <sz val="10"/>
        <rFont val="Arial"/>
        <family val="0"/>
        <charset val="1"/>
      </rPr>
      <t xml:space="preserve">4ch</t>
    </r>
    <r>
      <rPr>
        <sz val="10"/>
        <rFont val="Noto Sans CJK SC"/>
        <family val="2"/>
      </rPr>
      <t xml:space="preserve">が失効。トークン寿命は認可時点で決まるため順序を誤ると</t>
    </r>
    <r>
      <rPr>
        <sz val="10"/>
        <rFont val="Arial"/>
        <family val="0"/>
        <charset val="1"/>
      </rPr>
      <t xml:space="preserve">7</t>
    </r>
    <r>
      <rPr>
        <sz val="10"/>
        <rFont val="Noto Sans CJK SC"/>
        <family val="2"/>
      </rPr>
      <t xml:space="preserve">日後に再発する。</t>
    </r>
  </si>
  <si>
    <t xml:space="preserve">公開本数の回復</t>
  </si>
  <si>
    <t xml:space="preserve">未着手・指揮者では不可</t>
  </si>
  <si>
    <r>
      <rPr>
        <sz val="10"/>
        <rFont val="Noto Sans CJK SC"/>
        <family val="2"/>
      </rPr>
      <t xml:space="preserve">サムネイル</t>
    </r>
    <r>
      <rPr>
        <sz val="10"/>
        <rFont val="Arial"/>
        <family val="0"/>
        <charset val="1"/>
      </rPr>
      <t xml:space="preserve">403</t>
    </r>
    <r>
      <rPr>
        <sz val="10"/>
        <rFont val="Noto Sans CJK SC"/>
        <family val="2"/>
      </rPr>
      <t xml:space="preserve">の解消</t>
    </r>
    <r>
      <rPr>
        <sz val="10"/>
        <rFont val="Arial"/>
        <family val="0"/>
        <charset val="1"/>
      </rPr>
      <t xml:space="preserve">: https://www.youtube.com/verify </t>
    </r>
    <r>
      <rPr>
        <sz val="10"/>
        <rFont val="Noto Sans CJK SC"/>
        <family val="2"/>
      </rPr>
      <t xml:space="preserve">を未認証</t>
    </r>
    <r>
      <rPr>
        <sz val="10"/>
        <rFont val="Arial"/>
        <family val="0"/>
        <charset val="1"/>
      </rPr>
      <t xml:space="preserve">ch</t>
    </r>
    <r>
      <rPr>
        <sz val="10"/>
        <rFont val="Noto Sans CJK SC"/>
        <family val="2"/>
      </rPr>
      <t xml:space="preserve">で実施。</t>
    </r>
  </si>
  <si>
    <r>
      <rPr>
        <sz val="10"/>
        <rFont val="Arial"/>
        <family val="0"/>
        <charset val="1"/>
      </rPr>
      <t xml:space="preserve">09-07</t>
    </r>
    <r>
      <rPr>
        <sz val="10"/>
        <rFont val="Noto Sans CJK SC"/>
        <family val="2"/>
      </rPr>
      <t xml:space="preserve">は </t>
    </r>
    <r>
      <rPr>
        <sz val="10"/>
        <rFont val="Arial"/>
        <family val="0"/>
        <charset val="1"/>
      </rPr>
      <t xml:space="preserve">21/27</t>
    </r>
    <r>
      <rPr>
        <sz val="10"/>
        <rFont val="Noto Sans CJK SC"/>
        <family val="2"/>
      </rPr>
      <t xml:space="preserve">本</t>
    </r>
    <r>
      <rPr>
        <sz val="10"/>
        <rFont val="Arial"/>
        <family val="0"/>
        <charset val="1"/>
      </rPr>
      <t xml:space="preserve">(78%)</t>
    </r>
    <r>
      <rPr>
        <sz val="10"/>
        <rFont val="Noto Sans CJK SC"/>
        <family val="2"/>
      </rPr>
      <t xml:space="preserve">が</t>
    </r>
    <r>
      <rPr>
        <sz val="10"/>
        <rFont val="Arial"/>
        <family val="0"/>
        <charset val="1"/>
      </rPr>
      <t xml:space="preserve">403</t>
    </r>
    <r>
      <rPr>
        <sz val="10"/>
        <rFont val="Noto Sans CJK SC"/>
        <family val="2"/>
      </rPr>
      <t xml:space="preserve">。</t>
    </r>
    <r>
      <rPr>
        <sz val="10"/>
        <rFont val="Arial"/>
        <family val="0"/>
        <charset val="1"/>
      </rPr>
      <t xml:space="preserve">403</t>
    </r>
    <r>
      <rPr>
        <sz val="10"/>
        <rFont val="Noto Sans CJK SC"/>
        <family val="2"/>
      </rPr>
      <t xml:space="preserve">を免れたのは </t>
    </r>
    <r>
      <rPr>
        <sz val="10"/>
        <rFont val="Arial"/>
        <family val="0"/>
        <charset val="1"/>
      </rPr>
      <t xml:space="preserve">daily-science 3</t>
    </r>
    <r>
      <rPr>
        <sz val="10"/>
        <rFont val="Noto Sans CJK SC"/>
        <family val="2"/>
      </rPr>
      <t xml:space="preserve">本 </t>
    </r>
    <r>
      <rPr>
        <sz val="10"/>
        <rFont val="Arial"/>
        <family val="0"/>
        <charset val="1"/>
      </rPr>
      <t xml:space="preserve">+ akashic 2</t>
    </r>
    <r>
      <rPr>
        <sz val="10"/>
        <rFont val="Noto Sans CJK SC"/>
        <family val="2"/>
      </rPr>
      <t xml:space="preserve">本 </t>
    </r>
    <r>
      <rPr>
        <sz val="10"/>
        <rFont val="Arial"/>
        <family val="0"/>
        <charset val="1"/>
      </rPr>
      <t xml:space="preserve">+ company-facts 1</t>
    </r>
    <r>
      <rPr>
        <sz val="10"/>
        <rFont val="Noto Sans CJK SC"/>
        <family val="2"/>
      </rPr>
      <t xml:space="preserve">本のみ。</t>
    </r>
    <r>
      <rPr>
        <sz val="10"/>
        <rFont val="Arial"/>
        <family val="0"/>
        <charset val="1"/>
      </rPr>
      <t xml:space="preserve">gen_thumbs_v4_all.py </t>
    </r>
    <r>
      <rPr>
        <sz val="10"/>
        <rFont val="Noto Sans CJK SC"/>
        <family val="2"/>
      </rPr>
      <t xml:space="preserve">の生成物が</t>
    </r>
    <r>
      <rPr>
        <sz val="10"/>
        <rFont val="Arial"/>
        <family val="0"/>
        <charset val="1"/>
      </rPr>
      <t xml:space="preserve">1</t>
    </r>
    <r>
      <rPr>
        <sz val="10"/>
        <rFont val="Noto Sans CJK SC"/>
        <family val="2"/>
      </rPr>
      <t xml:space="preserve">枚も反映されていない。</t>
    </r>
  </si>
  <si>
    <r>
      <rPr>
        <sz val="10"/>
        <rFont val="Arial"/>
        <family val="0"/>
        <charset val="1"/>
      </rPr>
      <t xml:space="preserve">CTR</t>
    </r>
    <r>
      <rPr>
        <sz val="10"/>
        <rFont val="Noto Sans CJK SC"/>
        <family val="2"/>
      </rPr>
      <t xml:space="preserve">改善</t>
    </r>
  </si>
  <si>
    <r>
      <rPr>
        <sz val="10"/>
        <rFont val="Arial"/>
        <family val="0"/>
        <charset val="1"/>
      </rPr>
      <t xml:space="preserve">backend/.env </t>
    </r>
    <r>
      <rPr>
        <sz val="10"/>
        <rFont val="Noto Sans CJK SC"/>
        <family val="2"/>
      </rPr>
      <t xml:space="preserve">に </t>
    </r>
    <r>
      <rPr>
        <sz val="10"/>
        <rFont val="Arial"/>
        <family val="0"/>
        <charset val="1"/>
      </rPr>
      <t xml:space="preserve">ANTHROPIC_API_KEY </t>
    </r>
    <r>
      <rPr>
        <sz val="10"/>
        <rFont val="Noto Sans CJK SC"/>
        <family val="2"/>
      </rPr>
      <t xml:space="preserve">を設定。</t>
    </r>
  </si>
  <si>
    <r>
      <rPr>
        <sz val="10"/>
        <rFont val="Arial"/>
        <family val="0"/>
        <charset val="1"/>
      </rPr>
      <t xml:space="preserve">09-07</t>
    </r>
    <r>
      <rPr>
        <sz val="10"/>
        <rFont val="Noto Sans CJK SC"/>
        <family val="2"/>
      </rPr>
      <t xml:space="preserve">に不在を確認。</t>
    </r>
    <r>
      <rPr>
        <sz val="10"/>
        <rFont val="Arial"/>
        <family val="0"/>
        <charset val="1"/>
      </rPr>
      <t xml:space="preserve">clip-lab </t>
    </r>
    <r>
      <rPr>
        <sz val="10"/>
        <rFont val="Noto Sans CJK SC"/>
        <family val="2"/>
      </rPr>
      <t xml:space="preserve">の</t>
    </r>
    <r>
      <rPr>
        <sz val="10"/>
        <rFont val="Arial"/>
        <family val="0"/>
        <charset val="1"/>
      </rPr>
      <t xml:space="preserve">20:45</t>
    </r>
    <r>
      <rPr>
        <sz val="10"/>
        <rFont val="Noto Sans CJK SC"/>
        <family val="2"/>
      </rPr>
      <t xml:space="preserve">枠が毎日落ちる真因かつ </t>
    </r>
    <r>
      <rPr>
        <sz val="10"/>
        <rFont val="Arial"/>
        <family val="0"/>
        <charset val="1"/>
      </rPr>
      <t xml:space="preserve">series_engine </t>
    </r>
    <r>
      <rPr>
        <sz val="10"/>
        <rFont val="Noto Sans CJK SC"/>
        <family val="2"/>
      </rPr>
      <t xml:space="preserve">が全</t>
    </r>
    <r>
      <rPr>
        <sz val="10"/>
        <rFont val="Arial"/>
        <family val="0"/>
        <charset val="1"/>
      </rPr>
      <t xml:space="preserve">ch</t>
    </r>
    <r>
      <rPr>
        <sz val="10"/>
        <rFont val="Noto Sans CJK SC"/>
        <family val="2"/>
      </rPr>
      <t xml:space="preserve">で未応答になる原因。</t>
    </r>
  </si>
  <si>
    <t xml:space="preserve">複数症状の同時解消</t>
  </si>
  <si>
    <t xml:space="preserve">トレンド</t>
  </si>
  <si>
    <r>
      <rPr>
        <sz val="9"/>
        <color rgb="FF666666"/>
        <rFont val="Noto Sans CJK SC"/>
        <family val="2"/>
      </rPr>
      <t xml:space="preserve">高評価率・投稿時刻・鮮度・タイトル型の各切り口。すべて </t>
    </r>
    <r>
      <rPr>
        <sz val="9"/>
        <color rgb="FF666666"/>
        <rFont val="Arial"/>
        <family val="0"/>
        <charset val="1"/>
      </rPr>
      <t xml:space="preserve">09-07</t>
    </r>
    <r>
      <rPr>
        <sz val="9"/>
        <color rgb="FF666666"/>
        <rFont val="Noto Sans CJK SC"/>
        <family val="2"/>
      </rPr>
      <t xml:space="preserve">スナップショット。</t>
    </r>
  </si>
  <si>
    <r>
      <rPr>
        <b val="true"/>
        <sz val="10"/>
        <rFont val="Noto Sans CJK SC"/>
        <family val="2"/>
      </rPr>
      <t xml:space="preserve">■ 高評価率</t>
    </r>
    <r>
      <rPr>
        <b val="true"/>
        <sz val="10"/>
        <rFont val="Arial"/>
        <family val="0"/>
        <charset val="1"/>
      </rPr>
      <t xml:space="preserve">4</t>
    </r>
    <r>
      <rPr>
        <b val="true"/>
        <sz val="10"/>
        <rFont val="Noto Sans CJK SC"/>
        <family val="2"/>
      </rPr>
      <t xml:space="preserve">分位 </t>
    </r>
    <r>
      <rPr>
        <b val="true"/>
        <sz val="10"/>
        <rFont val="Arial"/>
        <family val="0"/>
        <charset val="1"/>
      </rPr>
      <t xml:space="preserve">× </t>
    </r>
    <r>
      <rPr>
        <b val="true"/>
        <sz val="10"/>
        <rFont val="Noto Sans CJK SC"/>
        <family val="2"/>
      </rPr>
      <t xml:space="preserve">登録</t>
    </r>
    <r>
      <rPr>
        <b val="true"/>
        <sz val="10"/>
        <rFont val="Arial"/>
        <family val="0"/>
        <charset val="1"/>
      </rPr>
      <t xml:space="preserve">/</t>
    </r>
    <r>
      <rPr>
        <b val="true"/>
        <sz val="10"/>
        <rFont val="Noto Sans CJK SC"/>
        <family val="2"/>
      </rPr>
      <t xml:space="preserve">千再生（本日の中核・再現</t>
    </r>
    <r>
      <rPr>
        <b val="true"/>
        <sz val="10"/>
        <rFont val="Arial"/>
        <family val="0"/>
        <charset val="1"/>
      </rPr>
      <t xml:space="preserve">4</t>
    </r>
    <r>
      <rPr>
        <b val="true"/>
        <sz val="10"/>
        <rFont val="Noto Sans CJK SC"/>
        <family val="2"/>
      </rPr>
      <t xml:space="preserve">回目）</t>
    </r>
  </si>
  <si>
    <t xml:space="preserve">分位</t>
  </si>
  <si>
    <r>
      <rPr>
        <b val="true"/>
        <sz val="10"/>
        <color rgb="FFFFFFFF"/>
        <rFont val="Noto Sans CJK SC"/>
        <family val="2"/>
      </rPr>
      <t xml:space="preserve">高評価率レンジ</t>
    </r>
    <r>
      <rPr>
        <b val="true"/>
        <sz val="10"/>
        <color rgb="FFFFFFFF"/>
        <rFont val="Arial"/>
        <family val="0"/>
        <charset val="1"/>
      </rPr>
      <t xml:space="preserve">%</t>
    </r>
  </si>
  <si>
    <t xml:space="preserve">平均再生</t>
  </si>
  <si>
    <t xml:space="preserve">Q1</t>
  </si>
  <si>
    <t xml:space="preserve">0.00 - 0.17</t>
  </si>
  <si>
    <t xml:space="preserve">Q2</t>
  </si>
  <si>
    <t xml:space="preserve">0.17 - 0.30</t>
  </si>
  <si>
    <t xml:space="preserve">Q3</t>
  </si>
  <si>
    <t xml:space="preserve">0.30 - 0.52</t>
  </si>
  <si>
    <t xml:space="preserve">Q4</t>
  </si>
  <si>
    <t xml:space="preserve">0.52 - 1.45</t>
  </si>
  <si>
    <r>
      <rPr>
        <b val="true"/>
        <sz val="10"/>
        <rFont val="Noto Sans CJK SC"/>
        <family val="2"/>
      </rPr>
      <t xml:space="preserve">■ 投稿時刻</t>
    </r>
    <r>
      <rPr>
        <b val="true"/>
        <sz val="10"/>
        <rFont val="Arial"/>
        <family val="0"/>
        <charset val="1"/>
      </rPr>
      <t xml:space="preserve">(JST)</t>
    </r>
    <r>
      <rPr>
        <b val="true"/>
        <sz val="10"/>
        <rFont val="Noto Sans CJK SC"/>
        <family val="2"/>
      </rPr>
      <t xml:space="preserve">別（</t>
    </r>
    <r>
      <rPr>
        <b val="true"/>
        <sz val="10"/>
        <rFont val="Arial"/>
        <family val="0"/>
        <charset val="1"/>
      </rPr>
      <t xml:space="preserve">n&gt;=5</t>
    </r>
    <r>
      <rPr>
        <b val="true"/>
        <sz val="10"/>
        <rFont val="Noto Sans CJK SC"/>
        <family val="2"/>
      </rPr>
      <t xml:space="preserve">のみ）</t>
    </r>
  </si>
  <si>
    <t xml:space="preserve">時刻</t>
  </si>
  <si>
    <r>
      <rPr>
        <sz val="10"/>
        <rFont val="Arial"/>
        <family val="0"/>
        <charset val="1"/>
      </rPr>
      <t xml:space="preserve">9</t>
    </r>
    <r>
      <rPr>
        <sz val="10"/>
        <rFont val="Noto Sans CJK SC"/>
        <family val="2"/>
      </rPr>
      <t xml:space="preserve">時</t>
    </r>
  </si>
  <si>
    <t xml:space="preserve">中位</t>
  </si>
  <si>
    <r>
      <rPr>
        <sz val="10"/>
        <rFont val="Arial"/>
        <family val="0"/>
        <charset val="1"/>
      </rPr>
      <t xml:space="preserve">12</t>
    </r>
    <r>
      <rPr>
        <sz val="10"/>
        <rFont val="Noto Sans CJK SC"/>
        <family val="2"/>
      </rPr>
      <t xml:space="preserve">時</t>
    </r>
  </si>
  <si>
    <t xml:space="preserve">最良帯</t>
  </si>
  <si>
    <r>
      <rPr>
        <sz val="10"/>
        <rFont val="Arial"/>
        <family val="0"/>
        <charset val="1"/>
      </rPr>
      <t xml:space="preserve">13</t>
    </r>
    <r>
      <rPr>
        <sz val="10"/>
        <rFont val="Noto Sans CJK SC"/>
        <family val="2"/>
      </rPr>
      <t xml:space="preserve">時</t>
    </r>
  </si>
  <si>
    <r>
      <rPr>
        <sz val="10"/>
        <rFont val="Arial"/>
        <family val="0"/>
        <charset val="1"/>
      </rPr>
      <t xml:space="preserve">14</t>
    </r>
    <r>
      <rPr>
        <sz val="10"/>
        <rFont val="Noto Sans CJK SC"/>
        <family val="2"/>
      </rPr>
      <t xml:space="preserve">時</t>
    </r>
  </si>
  <si>
    <t xml:space="preserve">要移設</t>
  </si>
  <si>
    <r>
      <rPr>
        <sz val="10"/>
        <rFont val="Arial"/>
        <family val="0"/>
        <charset val="1"/>
      </rPr>
      <t xml:space="preserve">15</t>
    </r>
    <r>
      <rPr>
        <sz val="10"/>
        <rFont val="Noto Sans CJK SC"/>
        <family val="2"/>
      </rPr>
      <t xml:space="preserve">時</t>
    </r>
  </si>
  <si>
    <r>
      <rPr>
        <sz val="10"/>
        <rFont val="Arial"/>
        <family val="0"/>
        <charset val="1"/>
      </rPr>
      <t xml:space="preserve">19</t>
    </r>
    <r>
      <rPr>
        <sz val="10"/>
        <rFont val="Noto Sans CJK SC"/>
        <family val="2"/>
      </rPr>
      <t xml:space="preserve">時</t>
    </r>
  </si>
  <si>
    <r>
      <rPr>
        <sz val="10"/>
        <rFont val="Arial"/>
        <family val="0"/>
        <charset val="1"/>
      </rPr>
      <t xml:space="preserve">23</t>
    </r>
    <r>
      <rPr>
        <sz val="10"/>
        <rFont val="Noto Sans CJK SC"/>
        <family val="2"/>
      </rPr>
      <t xml:space="preserve">時</t>
    </r>
  </si>
  <si>
    <t xml:space="preserve">■ 公開からの経過日数別（鮮度）</t>
  </si>
  <si>
    <r>
      <rPr>
        <sz val="10"/>
        <rFont val="Arial"/>
        <family val="0"/>
        <charset val="1"/>
      </rPr>
      <t xml:space="preserve">0-3</t>
    </r>
    <r>
      <rPr>
        <sz val="10"/>
        <rFont val="Noto Sans CJK SC"/>
        <family val="2"/>
      </rPr>
      <t xml:space="preserve">日</t>
    </r>
  </si>
  <si>
    <r>
      <rPr>
        <sz val="10"/>
        <rFont val="Arial"/>
        <family val="0"/>
        <charset val="1"/>
      </rPr>
      <t xml:space="preserve">8-14</t>
    </r>
    <r>
      <rPr>
        <sz val="10"/>
        <rFont val="Noto Sans CJK SC"/>
        <family val="2"/>
      </rPr>
      <t xml:space="preserve">日</t>
    </r>
  </si>
  <si>
    <r>
      <rPr>
        <sz val="10"/>
        <rFont val="Arial"/>
        <family val="0"/>
        <charset val="1"/>
      </rPr>
      <t xml:space="preserve">31</t>
    </r>
    <r>
      <rPr>
        <sz val="10"/>
        <rFont val="Noto Sans CJK SC"/>
        <family val="2"/>
      </rPr>
      <t xml:space="preserve">日以上</t>
    </r>
  </si>
  <si>
    <r>
      <rPr>
        <b val="true"/>
        <sz val="10"/>
        <rFont val="Noto Sans CJK SC"/>
        <family val="2"/>
      </rPr>
      <t xml:space="preserve">■ タイトル型別（全</t>
    </r>
    <r>
      <rPr>
        <b val="true"/>
        <sz val="10"/>
        <rFont val="Arial"/>
        <family val="0"/>
        <charset val="1"/>
      </rPr>
      <t xml:space="preserve">ch</t>
    </r>
    <r>
      <rPr>
        <b val="true"/>
        <sz val="10"/>
        <rFont val="Noto Sans CJK SC"/>
        <family val="2"/>
      </rPr>
      <t xml:space="preserve">横断・</t>
    </r>
    <r>
      <rPr>
        <b val="true"/>
        <sz val="10"/>
        <rFont val="Arial"/>
        <family val="0"/>
        <charset val="1"/>
      </rPr>
      <t xml:space="preserve">200</t>
    </r>
    <r>
      <rPr>
        <b val="true"/>
        <sz val="10"/>
        <rFont val="Noto Sans CJK SC"/>
        <family val="2"/>
      </rPr>
      <t xml:space="preserve">再生以上）</t>
    </r>
  </si>
  <si>
    <t xml:space="preserve">型</t>
  </si>
  <si>
    <t xml:space="preserve">答え提示型</t>
  </si>
  <si>
    <t xml:space="preserve">非提示型</t>
  </si>
  <si>
    <r>
      <rPr>
        <sz val="10"/>
        <rFont val="Noto Sans CJK SC"/>
        <family val="2"/>
      </rPr>
      <t xml:space="preserve">維持率</t>
    </r>
    <r>
      <rPr>
        <sz val="10"/>
        <rFont val="Arial"/>
        <family val="0"/>
        <charset val="1"/>
      </rPr>
      <t xml:space="preserve">50%</t>
    </r>
    <r>
      <rPr>
        <sz val="10"/>
        <rFont val="Noto Sans CJK SC"/>
        <family val="2"/>
      </rPr>
      <t xml:space="preserve">以上</t>
    </r>
  </si>
  <si>
    <r>
      <rPr>
        <sz val="10"/>
        <rFont val="Noto Sans CJK SC"/>
        <family val="2"/>
      </rPr>
      <t xml:space="preserve">維持率</t>
    </r>
    <r>
      <rPr>
        <sz val="10"/>
        <rFont val="Arial"/>
        <family val="0"/>
        <charset val="1"/>
      </rPr>
      <t xml:space="preserve">50%</t>
    </r>
    <r>
      <rPr>
        <sz val="10"/>
        <rFont val="Noto Sans CJK SC"/>
        <family val="2"/>
      </rPr>
      <t xml:space="preserve">未満</t>
    </r>
  </si>
  <si>
    <r>
      <rPr>
        <sz val="10"/>
        <rFont val="Noto Sans CJK SC"/>
        <family val="2"/>
      </rPr>
      <t xml:space="preserve">タイトルに</t>
    </r>
    <r>
      <rPr>
        <sz val="10"/>
        <rFont val="Arial"/>
        <family val="0"/>
        <charset val="1"/>
      </rPr>
      <t xml:space="preserve">#shorts</t>
    </r>
  </si>
  <si>
    <t xml:space="preserve">末尾【ショート】</t>
  </si>
  <si>
    <r>
      <rPr>
        <b val="true"/>
        <sz val="10"/>
        <rFont val="Arial"/>
        <family val="0"/>
        <charset val="1"/>
      </rPr>
      <t xml:space="preserve">■ 2ch-matome </t>
    </r>
    <r>
      <rPr>
        <b val="true"/>
        <sz val="10"/>
        <rFont val="Noto Sans CJK SC"/>
        <family val="2"/>
      </rPr>
      <t xml:space="preserve">参加型 </t>
    </r>
    <r>
      <rPr>
        <b val="true"/>
        <sz val="10"/>
        <rFont val="Arial"/>
        <family val="0"/>
        <charset val="1"/>
      </rPr>
      <t xml:space="preserve">vs </t>
    </r>
    <r>
      <rPr>
        <b val="true"/>
        <sz val="10"/>
        <rFont val="Noto Sans CJK SC"/>
        <family val="2"/>
      </rPr>
      <t xml:space="preserve">結論型（本日の最大変更の根拠）</t>
    </r>
  </si>
  <si>
    <t xml:space="preserve">参加型（撤回）</t>
  </si>
  <si>
    <t xml:space="preserve">結論型（採用）</t>
  </si>
  <si>
    <r>
      <rPr>
        <sz val="9"/>
        <color rgb="FF666666"/>
        <rFont val="Noto Sans CJK SC"/>
        <family val="2"/>
      </rPr>
      <t xml:space="preserve">注</t>
    </r>
    <r>
      <rPr>
        <sz val="9"/>
        <color rgb="FF666666"/>
        <rFont val="Arial"/>
        <family val="0"/>
        <charset val="1"/>
      </rPr>
      <t xml:space="preserve">: </t>
    </r>
    <r>
      <rPr>
        <sz val="9"/>
        <color rgb="FF666666"/>
        <rFont val="Noto Sans CJK SC"/>
        <family val="2"/>
      </rPr>
      <t xml:space="preserve">参加型と結論型は平均再生でほぼ差がない（</t>
    </r>
    <r>
      <rPr>
        <sz val="9"/>
        <color rgb="FF666666"/>
        <rFont val="Arial"/>
        <family val="0"/>
        <charset val="1"/>
      </rPr>
      <t xml:space="preserve">1,053 vs 1,029</t>
    </r>
    <r>
      <rPr>
        <sz val="9"/>
        <color rgb="FF666666"/>
        <rFont val="Noto Sans CJK SC"/>
        <family val="2"/>
      </rPr>
      <t xml:space="preserve">・</t>
    </r>
    <r>
      <rPr>
        <sz val="9"/>
        <color rgb="FF666666"/>
        <rFont val="Arial"/>
        <family val="0"/>
        <charset val="1"/>
      </rPr>
      <t xml:space="preserve">1.02</t>
    </r>
    <r>
      <rPr>
        <sz val="9"/>
        <color rgb="FF666666"/>
        <rFont val="Noto Sans CJK SC"/>
        <family val="2"/>
      </rPr>
      <t xml:space="preserve">倍）が、登録</t>
    </r>
    <r>
      <rPr>
        <sz val="9"/>
        <color rgb="FF666666"/>
        <rFont val="Arial"/>
        <family val="0"/>
        <charset val="1"/>
      </rPr>
      <t xml:space="preserve">/</t>
    </r>
    <r>
      <rPr>
        <sz val="9"/>
        <color rgb="FF666666"/>
        <rFont val="Noto Sans CJK SC"/>
        <family val="2"/>
      </rPr>
      <t xml:space="preserve">千再生は </t>
    </r>
    <r>
      <rPr>
        <sz val="9"/>
        <color rgb="FF666666"/>
        <rFont val="Arial"/>
        <family val="0"/>
        <charset val="1"/>
      </rPr>
      <t xml:space="preserve">0.06 vs 0.32 </t>
    </r>
    <r>
      <rPr>
        <sz val="9"/>
        <color rgb="FF666666"/>
        <rFont val="Noto Sans CJK SC"/>
        <family val="2"/>
      </rPr>
      <t xml:space="preserve">で </t>
    </r>
    <r>
      <rPr>
        <sz val="9"/>
        <color rgb="FF666666"/>
        <rFont val="Arial"/>
        <family val="0"/>
        <charset val="1"/>
      </rPr>
      <t xml:space="preserve">5.8</t>
    </r>
    <r>
      <rPr>
        <sz val="9"/>
        <color rgb="FF666666"/>
        <rFont val="Noto Sans CJK SC"/>
        <family val="2"/>
      </rPr>
      <t xml:space="preserve">倍離れる。参加型は維持率でも </t>
    </r>
    <r>
      <rPr>
        <sz val="9"/>
        <color rgb="FF666666"/>
        <rFont val="Arial"/>
        <family val="0"/>
        <charset val="1"/>
      </rPr>
      <t xml:space="preserve">58.8% vs 41.1% </t>
    </r>
    <r>
      <rPr>
        <sz val="9"/>
        <color rgb="FF666666"/>
        <rFont val="Noto Sans CJK SC"/>
        <family val="2"/>
      </rPr>
      <t xml:space="preserve">と上回る。再生数や維持率を判断軸にしていたらこの問題は永久に見つからない。</t>
    </r>
  </si>
</sst>
</file>

<file path=xl/styles.xml><?xml version="1.0" encoding="utf-8"?>
<styleSheet xmlns="http://schemas.openxmlformats.org/spreadsheetml/2006/main">
  <numFmts count="7">
    <numFmt numFmtId="164" formatCode="General"/>
    <numFmt numFmtId="165" formatCode="#,##0"/>
    <numFmt numFmtId="166" formatCode="0.00"/>
    <numFmt numFmtId="167" formatCode="0.000"/>
    <numFmt numFmtId="168" formatCode="0.0"/>
    <numFmt numFmtId="169" formatCode="0.00\x"/>
    <numFmt numFmtId="170" formatCode="0.0%"/>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4"/>
      <color rgb="FFFFFFFF"/>
      <name val="Noto Sans CJK SC"/>
      <family val="2"/>
    </font>
    <font>
      <sz val="9"/>
      <color rgb="FF666666"/>
      <name val="Noto Sans CJK SC"/>
      <family val="2"/>
    </font>
    <font>
      <sz val="9"/>
      <color rgb="FF666666"/>
      <name val="Arial"/>
      <family val="0"/>
      <charset val="1"/>
    </font>
    <font>
      <b val="true"/>
      <sz val="10"/>
      <name val="Noto Sans CJK SC"/>
      <family val="2"/>
    </font>
    <font>
      <b val="true"/>
      <sz val="10"/>
      <name val="Arial"/>
      <family val="0"/>
      <charset val="1"/>
    </font>
    <font>
      <sz val="10"/>
      <name val="Arial"/>
      <family val="0"/>
      <charset val="1"/>
    </font>
    <font>
      <sz val="10"/>
      <name val="Noto Sans CJK SC"/>
      <family val="2"/>
    </font>
    <font>
      <b val="true"/>
      <sz val="10"/>
      <color rgb="FFFFFFFF"/>
      <name val="Noto Sans CJK SC"/>
      <family val="2"/>
    </font>
    <font>
      <b val="true"/>
      <sz val="10"/>
      <color rgb="FFFFFFFF"/>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2E5F9E"/>
        <bgColor rgb="FF3366FF"/>
      </patternFill>
    </fill>
    <fill>
      <patternFill patternType="solid">
        <fgColor rgb="FFD9EAD3"/>
        <bgColor rgb="FFEFEFEF"/>
      </patternFill>
    </fill>
    <fill>
      <patternFill patternType="solid">
        <fgColor rgb="FFF4CCCC"/>
        <bgColor rgb="FFD9EAD3"/>
      </patternFill>
    </fill>
    <fill>
      <patternFill patternType="solid">
        <fgColor rgb="FFFFF2CC"/>
        <bgColor rgb="FFEFEFEF"/>
      </patternFill>
    </fill>
    <fill>
      <patternFill patternType="solid">
        <fgColor rgb="FFEFEFEF"/>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0" fillId="6"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5" fontId="9" fillId="7" borderId="1" xfId="0" applyFont="true" applyBorder="true" applyAlignment="false" applyProtection="false">
      <alignment horizontal="general" vertical="bottom" textRotation="0" wrapText="false" indent="0" shrinkToFit="false"/>
      <protection locked="true" hidden="false"/>
    </xf>
    <xf numFmtId="166" fontId="9" fillId="7" borderId="1" xfId="0" applyFont="true" applyBorder="true" applyAlignment="false" applyProtection="false">
      <alignment horizontal="general" vertical="bottom" textRotation="0" wrapText="false" indent="0" shrinkToFit="false"/>
      <protection locked="true" hidden="false"/>
    </xf>
    <xf numFmtId="167" fontId="9" fillId="7" borderId="1" xfId="0" applyFont="true" applyBorder="true" applyAlignment="false" applyProtection="false">
      <alignment horizontal="general" vertical="bottom" textRotation="0" wrapText="false" indent="0" shrinkToFit="false"/>
      <protection locked="true" hidden="false"/>
    </xf>
    <xf numFmtId="168" fontId="9" fillId="7" borderId="1" xfId="0" applyFont="true" applyBorder="true" applyAlignment="false" applyProtection="false">
      <alignment horizontal="general" vertical="bottom" textRotation="0" wrapText="fals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general" vertical="top" textRotation="0" wrapText="true" indent="0" shrinkToFit="false"/>
      <protection locked="true" hidden="false"/>
    </xf>
    <xf numFmtId="169" fontId="10"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E5F9E"/>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FEFEF"/>
      <rgbColor rgb="FF660066"/>
      <rgbColor rgb="FFFF8080"/>
      <rgbColor rgb="FF2E5F9E"/>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4"/>
    <col collapsed="false" customWidth="true" hidden="false" outlineLevel="0" max="3" min="2" style="0" width="16"/>
    <col collapsed="false" customWidth="true" hidden="false" outlineLevel="0" max="5" min="4" style="0" width="10"/>
    <col collapsed="false" customWidth="true" hidden="false" outlineLevel="0" max="6" min="6" style="0" width="8"/>
    <col collapsed="false" customWidth="true" hidden="false" outlineLevel="0" max="7" min="7" style="0" width="10"/>
    <col collapsed="false" customWidth="true" hidden="false" outlineLevel="0" max="8" min="8" style="0" width="26"/>
  </cols>
  <sheetData>
    <row r="1" customFormat="false" ht="24" hidden="false" customHeight="true" outlineLevel="0" collapsed="false">
      <c r="A1" s="1" t="s">
        <v>0</v>
      </c>
      <c r="B1" s="1"/>
      <c r="C1" s="1"/>
      <c r="D1" s="1"/>
      <c r="E1" s="1"/>
      <c r="F1" s="1"/>
      <c r="G1" s="1"/>
      <c r="H1" s="1"/>
    </row>
    <row r="2" customFormat="false" ht="14.15" hidden="false" customHeight="false" outlineLevel="0" collapsed="false">
      <c r="A2" s="2" t="s">
        <v>1</v>
      </c>
      <c r="B2" s="2"/>
      <c r="C2" s="2"/>
      <c r="D2" s="2"/>
      <c r="E2" s="2"/>
      <c r="F2" s="2"/>
      <c r="G2" s="2"/>
      <c r="H2" s="2"/>
    </row>
    <row r="4" customFormat="false" ht="15" hidden="false" customHeight="false" outlineLevel="0" collapsed="false">
      <c r="A4" s="3" t="s">
        <v>2</v>
      </c>
    </row>
    <row r="5" customFormat="false" ht="42" hidden="false" customHeight="true" outlineLevel="0" collapsed="false">
      <c r="A5" s="4" t="s">
        <v>3</v>
      </c>
      <c r="B5" s="4"/>
      <c r="C5" s="4"/>
      <c r="D5" s="4"/>
      <c r="E5" s="4"/>
      <c r="F5" s="4"/>
      <c r="G5" s="4"/>
      <c r="H5" s="4"/>
    </row>
    <row r="6" customFormat="false" ht="42" hidden="false" customHeight="true" outlineLevel="0" collapsed="false">
      <c r="A6" s="4" t="s">
        <v>4</v>
      </c>
      <c r="B6" s="4"/>
      <c r="C6" s="4"/>
      <c r="D6" s="4"/>
      <c r="E6" s="4"/>
      <c r="F6" s="4"/>
      <c r="G6" s="4"/>
      <c r="H6" s="4"/>
    </row>
    <row r="7" customFormat="false" ht="42" hidden="false" customHeight="true" outlineLevel="0" collapsed="false">
      <c r="A7" s="4" t="s">
        <v>5</v>
      </c>
      <c r="B7" s="4"/>
      <c r="C7" s="4"/>
      <c r="D7" s="4"/>
      <c r="E7" s="4"/>
      <c r="F7" s="4"/>
      <c r="G7" s="4"/>
      <c r="H7" s="4"/>
    </row>
    <row r="9" customFormat="false" ht="15" hidden="false" customHeight="false" outlineLevel="0" collapsed="false">
      <c r="A9" s="3" t="s">
        <v>6</v>
      </c>
    </row>
    <row r="10" customFormat="false" ht="30" hidden="false" customHeight="true" outlineLevel="0" collapsed="false">
      <c r="A10" s="5" t="s">
        <v>7</v>
      </c>
      <c r="B10" s="5" t="s">
        <v>8</v>
      </c>
      <c r="C10" s="5" t="s">
        <v>9</v>
      </c>
      <c r="D10" s="5" t="s">
        <v>10</v>
      </c>
      <c r="E10" s="5" t="s">
        <v>11</v>
      </c>
      <c r="F10" s="5" t="s">
        <v>12</v>
      </c>
      <c r="G10" s="5" t="s">
        <v>13</v>
      </c>
      <c r="H10" s="5" t="s">
        <v>14</v>
      </c>
    </row>
    <row r="11" customFormat="false" ht="15" hidden="false" customHeight="false" outlineLevel="0" collapsed="false">
      <c r="A11" s="6" t="s">
        <v>15</v>
      </c>
      <c r="B11" s="6" t="s">
        <v>16</v>
      </c>
      <c r="C11" s="6" t="n">
        <v>50</v>
      </c>
      <c r="D11" s="7" t="n">
        <v>31949</v>
      </c>
      <c r="E11" s="6" t="n">
        <v>18</v>
      </c>
      <c r="F11" s="8" t="n">
        <f aca="false">IF(D11=0,0,E11/D11*1000)</f>
        <v>0.563397915427713</v>
      </c>
      <c r="G11" s="9" t="n">
        <v>0.526</v>
      </c>
      <c r="H11" s="10" t="n">
        <v>49</v>
      </c>
    </row>
    <row r="12" customFormat="false" ht="15" hidden="false" customHeight="false" outlineLevel="0" collapsed="false">
      <c r="A12" s="6" t="s">
        <v>17</v>
      </c>
      <c r="B12" s="6" t="s">
        <v>18</v>
      </c>
      <c r="C12" s="6" t="n">
        <v>50</v>
      </c>
      <c r="D12" s="7" t="n">
        <v>32165</v>
      </c>
      <c r="E12" s="6" t="n">
        <v>24</v>
      </c>
      <c r="F12" s="8" t="n">
        <f aca="false">IF(D12=0,0,E12/D12*1000)</f>
        <v>0.746152650396394</v>
      </c>
      <c r="G12" s="9" t="n">
        <v>0.392</v>
      </c>
      <c r="H12" s="10" t="n">
        <v>32.8</v>
      </c>
    </row>
    <row r="13" customFormat="false" ht="15" hidden="false" customHeight="false" outlineLevel="0" collapsed="false">
      <c r="A13" s="6" t="s">
        <v>19</v>
      </c>
      <c r="B13" s="6" t="s">
        <v>20</v>
      </c>
      <c r="C13" s="6" t="n">
        <v>47</v>
      </c>
      <c r="D13" s="7" t="n">
        <v>39522</v>
      </c>
      <c r="E13" s="6" t="n">
        <v>8</v>
      </c>
      <c r="F13" s="11" t="n">
        <f aca="false">IF(D13=0,0,E13/D13*1000)</f>
        <v>0.202418905925813</v>
      </c>
      <c r="G13" s="9" t="n">
        <v>0.238</v>
      </c>
      <c r="H13" s="10" t="n">
        <v>42</v>
      </c>
    </row>
    <row r="14" customFormat="false" ht="15" hidden="false" customHeight="false" outlineLevel="0" collapsed="false">
      <c r="A14" s="6" t="s">
        <v>21</v>
      </c>
      <c r="B14" s="12" t="s">
        <v>22</v>
      </c>
      <c r="C14" s="6" t="n">
        <v>50</v>
      </c>
      <c r="D14" s="7" t="n">
        <v>33440</v>
      </c>
      <c r="E14" s="6" t="n">
        <v>9</v>
      </c>
      <c r="F14" s="11" t="n">
        <f aca="false">IF(D14=0,0,E14/D14*1000)</f>
        <v>0.269138755980861</v>
      </c>
      <c r="G14" s="9" t="n">
        <v>0.281</v>
      </c>
      <c r="H14" s="10" t="n">
        <v>42.3</v>
      </c>
    </row>
    <row r="15" customFormat="false" ht="15" hidden="false" customHeight="false" outlineLevel="0" collapsed="false">
      <c r="A15" s="6" t="s">
        <v>23</v>
      </c>
      <c r="B15" s="12" t="s">
        <v>24</v>
      </c>
      <c r="C15" s="6" t="n">
        <v>50</v>
      </c>
      <c r="D15" s="7" t="n">
        <v>32997</v>
      </c>
      <c r="E15" s="6" t="n">
        <v>12</v>
      </c>
      <c r="F15" s="13" t="n">
        <f aca="false">IF(D15=0,0,E15/D15*1000)</f>
        <v>0.363669424493136</v>
      </c>
      <c r="G15" s="9" t="n">
        <v>0.442</v>
      </c>
      <c r="H15" s="10" t="n">
        <v>44.1</v>
      </c>
    </row>
    <row r="16" customFormat="false" ht="15" hidden="false" customHeight="false" outlineLevel="0" collapsed="false">
      <c r="A16" s="6" t="s">
        <v>25</v>
      </c>
      <c r="B16" s="12" t="s">
        <v>26</v>
      </c>
      <c r="C16" s="6" t="n">
        <v>39</v>
      </c>
      <c r="D16" s="7" t="n">
        <v>43330</v>
      </c>
      <c r="E16" s="6" t="n">
        <v>30</v>
      </c>
      <c r="F16" s="8" t="n">
        <f aca="false">IF(D16=0,0,E16/D16*1000)</f>
        <v>0.692360950842373</v>
      </c>
      <c r="G16" s="9" t="n">
        <v>0.369</v>
      </c>
      <c r="H16" s="10" t="n">
        <v>46.1</v>
      </c>
    </row>
    <row r="17" customFormat="false" ht="15" hidden="false" customHeight="false" outlineLevel="0" collapsed="false">
      <c r="A17" s="14" t="s">
        <v>27</v>
      </c>
      <c r="B17" s="14"/>
      <c r="C17" s="14" t="n">
        <f aca="false">SUM(C11:C16)</f>
        <v>286</v>
      </c>
      <c r="D17" s="15" t="n">
        <f aca="false">SUM(D11:D16)</f>
        <v>213403</v>
      </c>
      <c r="E17" s="14" t="n">
        <f aca="false">SUM(E11:E16)</f>
        <v>101</v>
      </c>
      <c r="F17" s="16" t="n">
        <f aca="false">IF(D17=0,0,E17/D17*1000)</f>
        <v>0.473282943538751</v>
      </c>
      <c r="G17" s="17" t="n">
        <f aca="false">AVERAGE(G11:G16)</f>
        <v>0.374666666666667</v>
      </c>
      <c r="H17" s="18" t="n">
        <f aca="false">AVERAGE(H11:H16)</f>
        <v>42.7166666666667</v>
      </c>
    </row>
    <row r="19" customFormat="false" ht="15" hidden="false" customHeight="false" outlineLevel="0" collapsed="false">
      <c r="A19" s="3" t="s">
        <v>28</v>
      </c>
    </row>
    <row r="20" customFormat="false" ht="30" hidden="false" customHeight="true" outlineLevel="0" collapsed="false">
      <c r="A20" s="5" t="s">
        <v>29</v>
      </c>
      <c r="B20" s="5" t="s">
        <v>30</v>
      </c>
      <c r="C20" s="5" t="s">
        <v>31</v>
      </c>
      <c r="D20" s="19" t="s">
        <v>32</v>
      </c>
      <c r="E20" s="19" t="s">
        <v>33</v>
      </c>
      <c r="F20" s="5" t="s">
        <v>34</v>
      </c>
      <c r="G20" s="19" t="s">
        <v>35</v>
      </c>
      <c r="H20" s="5" t="s">
        <v>36</v>
      </c>
    </row>
    <row r="21" customFormat="false" ht="27.75" hidden="false" customHeight="true" outlineLevel="0" collapsed="false">
      <c r="A21" s="20" t="s">
        <v>37</v>
      </c>
      <c r="B21" s="21" t="s">
        <v>38</v>
      </c>
      <c r="C21" s="21" t="s">
        <v>39</v>
      </c>
      <c r="D21" s="22" t="n">
        <v>0.85</v>
      </c>
      <c r="E21" s="22" t="n">
        <v>0.22</v>
      </c>
      <c r="F21" s="23" t="n">
        <f aca="false">IF(E21=0,"n/a",D21/E21)</f>
        <v>3.86363636363636</v>
      </c>
      <c r="G21" s="21" t="n">
        <v>98</v>
      </c>
      <c r="H21" s="24" t="s">
        <v>40</v>
      </c>
    </row>
    <row r="22" customFormat="false" ht="27.75" hidden="false" customHeight="true" outlineLevel="0" collapsed="false">
      <c r="A22" s="20" t="s">
        <v>41</v>
      </c>
      <c r="B22" s="21" t="s">
        <v>42</v>
      </c>
      <c r="C22" s="21" t="s">
        <v>43</v>
      </c>
      <c r="D22" s="22" t="n">
        <v>0.47</v>
      </c>
      <c r="E22" s="22" t="n">
        <v>0.47</v>
      </c>
      <c r="F22" s="23" t="n">
        <f aca="false">IF(E22=0,"n/a",D22/E22)</f>
        <v>1</v>
      </c>
      <c r="G22" s="21" t="s">
        <v>44</v>
      </c>
      <c r="H22" s="25" t="s">
        <v>45</v>
      </c>
    </row>
    <row r="23" customFormat="false" ht="27.75" hidden="false" customHeight="true" outlineLevel="0" collapsed="false">
      <c r="A23" s="20" t="s">
        <v>46</v>
      </c>
      <c r="B23" s="20" t="s">
        <v>47</v>
      </c>
      <c r="C23" s="20" t="s">
        <v>48</v>
      </c>
      <c r="D23" s="22" t="n">
        <v>0.57</v>
      </c>
      <c r="E23" s="22" t="n">
        <v>0.31</v>
      </c>
      <c r="F23" s="23" t="n">
        <f aca="false">IF(E23=0,"n/a",D23/E23)</f>
        <v>1.83870967741935</v>
      </c>
      <c r="G23" s="21" t="s">
        <v>49</v>
      </c>
      <c r="H23" s="24" t="s">
        <v>50</v>
      </c>
    </row>
    <row r="24" customFormat="false" ht="27.75" hidden="false" customHeight="true" outlineLevel="0" collapsed="false">
      <c r="A24" s="21" t="s">
        <v>51</v>
      </c>
      <c r="B24" s="20" t="s">
        <v>52</v>
      </c>
      <c r="C24" s="20" t="s">
        <v>53</v>
      </c>
      <c r="D24" s="22" t="n">
        <v>0.32</v>
      </c>
      <c r="E24" s="22" t="n">
        <v>0.06</v>
      </c>
      <c r="F24" s="23" t="n">
        <f aca="false">IF(E24=0,"n/a",D24/E24)</f>
        <v>5.33333333333333</v>
      </c>
      <c r="G24" s="21" t="s">
        <v>54</v>
      </c>
      <c r="H24" s="24" t="s">
        <v>55</v>
      </c>
    </row>
    <row r="25" customFormat="false" ht="27.75" hidden="false" customHeight="true" outlineLevel="0" collapsed="false">
      <c r="A25" s="20" t="s">
        <v>56</v>
      </c>
      <c r="B25" s="21" t="s">
        <v>57</v>
      </c>
      <c r="C25" s="21" t="s">
        <v>58</v>
      </c>
      <c r="D25" s="22" t="n">
        <v>1.09</v>
      </c>
      <c r="E25" s="22" t="n">
        <v>0.34</v>
      </c>
      <c r="F25" s="23" t="n">
        <f aca="false">IF(E25=0,"n/a",D25/E25)</f>
        <v>3.20588235294118</v>
      </c>
      <c r="G25" s="21" t="s">
        <v>59</v>
      </c>
      <c r="H25" s="24" t="s">
        <v>60</v>
      </c>
    </row>
    <row r="26" customFormat="false" ht="27.75" hidden="false" customHeight="true" outlineLevel="0" collapsed="false">
      <c r="A26" s="20" t="s">
        <v>61</v>
      </c>
      <c r="B26" s="21" t="s">
        <v>62</v>
      </c>
      <c r="C26" s="21" t="s">
        <v>63</v>
      </c>
      <c r="D26" s="22" t="n">
        <v>0.7</v>
      </c>
      <c r="E26" s="22" t="n">
        <v>0.24</v>
      </c>
      <c r="F26" s="23" t="n">
        <f aca="false">IF(E26=0,"n/a",D26/E26)</f>
        <v>2.91666666666667</v>
      </c>
      <c r="G26" s="21" t="s">
        <v>64</v>
      </c>
      <c r="H26" s="24" t="s">
        <v>65</v>
      </c>
    </row>
    <row r="29" customFormat="false" ht="15" hidden="false" customHeight="false" outlineLevel="0" collapsed="false">
      <c r="A29" s="3" t="s">
        <v>66</v>
      </c>
    </row>
    <row r="30" customFormat="false" ht="15" hidden="false" customHeight="true" outlineLevel="0" collapsed="false">
      <c r="A30" s="26" t="s">
        <v>67</v>
      </c>
      <c r="B30" s="26"/>
      <c r="C30" s="26"/>
      <c r="D30" s="26"/>
      <c r="E30" s="26"/>
      <c r="F30" s="26"/>
      <c r="G30" s="26"/>
      <c r="H30" s="26"/>
    </row>
    <row r="31" customFormat="false" ht="15" hidden="false" customHeight="false" outlineLevel="0" collapsed="false">
      <c r="A31" s="26"/>
      <c r="B31" s="26"/>
      <c r="C31" s="26"/>
      <c r="D31" s="26"/>
      <c r="E31" s="26"/>
      <c r="F31" s="26"/>
      <c r="G31" s="26"/>
      <c r="H31" s="26"/>
    </row>
  </sheetData>
  <mergeCells count="6">
    <mergeCell ref="A1:H1"/>
    <mergeCell ref="A2:H2"/>
    <mergeCell ref="A5:H5"/>
    <mergeCell ref="A6:H6"/>
    <mergeCell ref="A7:H7"/>
    <mergeCell ref="A30: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5" min="3" style="0" width="11"/>
    <col collapsed="false" customWidth="true" hidden="false" outlineLevel="0" max="6" min="6" style="0" width="9"/>
    <col collapsed="false" customWidth="true" hidden="false" outlineLevel="0" max="7" min="7" style="0" width="11"/>
    <col collapsed="false" customWidth="true" hidden="false" outlineLevel="0" max="8" min="8" style="0" width="10"/>
    <col collapsed="false" customWidth="true" hidden="false" outlineLevel="0" max="9" min="9" style="0" width="11"/>
    <col collapsed="false" customWidth="true" hidden="false" outlineLevel="0" max="10" min="10" style="0" width="10"/>
    <col collapsed="false" customWidth="true" hidden="false" outlineLevel="0" max="11" min="11" style="0" width="13"/>
  </cols>
  <sheetData>
    <row r="1" customFormat="false" ht="24" hidden="false" customHeight="true" outlineLevel="0" collapsed="false">
      <c r="A1" s="27" t="s">
        <v>68</v>
      </c>
      <c r="B1" s="27"/>
      <c r="C1" s="27"/>
      <c r="D1" s="27"/>
      <c r="E1" s="27"/>
      <c r="F1" s="27"/>
      <c r="G1" s="27"/>
      <c r="H1" s="27"/>
    </row>
    <row r="2" customFormat="false" ht="15" hidden="false" customHeight="false" outlineLevel="0" collapsed="false">
      <c r="A2" s="28" t="s">
        <v>69</v>
      </c>
      <c r="B2" s="28"/>
      <c r="C2" s="28"/>
      <c r="D2" s="28"/>
      <c r="E2" s="28"/>
      <c r="F2" s="28"/>
      <c r="G2" s="28"/>
      <c r="H2" s="28"/>
    </row>
    <row r="4" customFormat="false" ht="30" hidden="false" customHeight="true" outlineLevel="0" collapsed="false">
      <c r="A4" s="5" t="s">
        <v>7</v>
      </c>
      <c r="B4" s="5" t="s">
        <v>9</v>
      </c>
      <c r="C4" s="5" t="s">
        <v>70</v>
      </c>
      <c r="D4" s="5" t="s">
        <v>71</v>
      </c>
      <c r="E4" s="5" t="s">
        <v>10</v>
      </c>
      <c r="F4" s="5" t="s">
        <v>11</v>
      </c>
      <c r="G4" s="5" t="s">
        <v>12</v>
      </c>
      <c r="H4" s="5" t="s">
        <v>13</v>
      </c>
      <c r="I4" s="5" t="s">
        <v>14</v>
      </c>
      <c r="J4" s="5" t="s">
        <v>72</v>
      </c>
      <c r="K4" s="5" t="s">
        <v>73</v>
      </c>
    </row>
    <row r="5" customFormat="false" ht="15" hidden="false" customHeight="false" outlineLevel="0" collapsed="false">
      <c r="A5" s="6" t="s">
        <v>15</v>
      </c>
      <c r="B5" s="6" t="n">
        <v>50</v>
      </c>
      <c r="C5" s="7" t="n">
        <v>3502</v>
      </c>
      <c r="D5" s="6" t="n">
        <v>0</v>
      </c>
      <c r="E5" s="7" t="n">
        <v>31949</v>
      </c>
      <c r="F5" s="6" t="n">
        <v>18</v>
      </c>
      <c r="G5" s="29" t="n">
        <f aca="false">IF(E5=0,0,F5/E5*1000)</f>
        <v>0.563397915427713</v>
      </c>
      <c r="H5" s="6" t="n">
        <v>0.526</v>
      </c>
      <c r="I5" s="6" t="n">
        <v>49</v>
      </c>
      <c r="J5" s="6" t="n">
        <v>1.064</v>
      </c>
      <c r="K5" s="30" t="n">
        <f aca="false">37/B5</f>
        <v>0.74</v>
      </c>
    </row>
    <row r="6" customFormat="false" ht="15" hidden="false" customHeight="false" outlineLevel="0" collapsed="false">
      <c r="A6" s="6" t="s">
        <v>17</v>
      </c>
      <c r="B6" s="6" t="n">
        <v>50</v>
      </c>
      <c r="C6" s="7" t="n">
        <v>1563</v>
      </c>
      <c r="D6" s="6" t="n">
        <v>2</v>
      </c>
      <c r="E6" s="7" t="n">
        <v>32165</v>
      </c>
      <c r="F6" s="6" t="n">
        <v>24</v>
      </c>
      <c r="G6" s="29" t="n">
        <f aca="false">IF(E6=0,0,F6/E6*1000)</f>
        <v>0.746152650396394</v>
      </c>
      <c r="H6" s="6" t="n">
        <v>0.392</v>
      </c>
      <c r="I6" s="6" t="n">
        <v>32.8</v>
      </c>
      <c r="J6" s="6" t="n">
        <v>1.198</v>
      </c>
      <c r="K6" s="30" t="n">
        <f aca="false">32/B6</f>
        <v>0.64</v>
      </c>
    </row>
    <row r="7" customFormat="false" ht="15" hidden="false" customHeight="false" outlineLevel="0" collapsed="false">
      <c r="A7" s="6" t="s">
        <v>19</v>
      </c>
      <c r="B7" s="6" t="n">
        <v>47</v>
      </c>
      <c r="C7" s="7" t="n">
        <v>2920</v>
      </c>
      <c r="D7" s="6" t="n">
        <v>0</v>
      </c>
      <c r="E7" s="7" t="n">
        <v>39522</v>
      </c>
      <c r="F7" s="6" t="n">
        <v>8</v>
      </c>
      <c r="G7" s="29" t="n">
        <f aca="false">IF(E7=0,0,F7/E7*1000)</f>
        <v>0.202418905925813</v>
      </c>
      <c r="H7" s="6" t="n">
        <v>0.238</v>
      </c>
      <c r="I7" s="6" t="n">
        <v>42</v>
      </c>
      <c r="J7" s="6" t="n">
        <v>1.48</v>
      </c>
      <c r="K7" s="30" t="n">
        <f aca="false">41/B7</f>
        <v>0.872340425531915</v>
      </c>
    </row>
    <row r="8" customFormat="false" ht="15" hidden="false" customHeight="false" outlineLevel="0" collapsed="false">
      <c r="A8" s="6" t="s">
        <v>21</v>
      </c>
      <c r="B8" s="6" t="n">
        <v>50</v>
      </c>
      <c r="C8" s="7" t="n">
        <v>1421</v>
      </c>
      <c r="D8" s="6" t="n">
        <v>0</v>
      </c>
      <c r="E8" s="7" t="n">
        <v>33440</v>
      </c>
      <c r="F8" s="6" t="n">
        <v>9</v>
      </c>
      <c r="G8" s="29" t="n">
        <f aca="false">IF(E8=0,0,F8/E8*1000)</f>
        <v>0.269138755980861</v>
      </c>
      <c r="H8" s="6" t="n">
        <v>0.281</v>
      </c>
      <c r="I8" s="6" t="n">
        <v>42.3</v>
      </c>
      <c r="J8" s="6" t="n">
        <v>1.252</v>
      </c>
      <c r="K8" s="30" t="n">
        <f aca="false">42/B8</f>
        <v>0.84</v>
      </c>
    </row>
    <row r="9" customFormat="false" ht="15" hidden="false" customHeight="false" outlineLevel="0" collapsed="false">
      <c r="A9" s="6" t="s">
        <v>23</v>
      </c>
      <c r="B9" s="6" t="n">
        <v>50</v>
      </c>
      <c r="C9" s="7" t="n">
        <v>2335</v>
      </c>
      <c r="D9" s="6" t="n">
        <v>4</v>
      </c>
      <c r="E9" s="7" t="n">
        <v>32997</v>
      </c>
      <c r="F9" s="6" t="n">
        <v>12</v>
      </c>
      <c r="G9" s="29" t="n">
        <f aca="false">IF(E9=0,0,F9/E9*1000)</f>
        <v>0.363669424493136</v>
      </c>
      <c r="H9" s="6" t="n">
        <v>0.442</v>
      </c>
      <c r="I9" s="6" t="n">
        <v>44.1</v>
      </c>
      <c r="J9" s="6" t="n">
        <v>1.391</v>
      </c>
      <c r="K9" s="30" t="n">
        <f aca="false">42/B9</f>
        <v>0.84</v>
      </c>
    </row>
    <row r="10" customFormat="false" ht="15" hidden="false" customHeight="false" outlineLevel="0" collapsed="false">
      <c r="A10" s="6" t="s">
        <v>25</v>
      </c>
      <c r="B10" s="6" t="n">
        <v>39</v>
      </c>
      <c r="C10" s="7" t="n">
        <v>2353</v>
      </c>
      <c r="D10" s="6" t="n">
        <v>0</v>
      </c>
      <c r="E10" s="7" t="n">
        <v>43330</v>
      </c>
      <c r="F10" s="6" t="n">
        <v>30</v>
      </c>
      <c r="G10" s="29" t="n">
        <f aca="false">IF(E10=0,0,F10/E10*1000)</f>
        <v>0.692360950842373</v>
      </c>
      <c r="H10" s="6" t="n">
        <v>0.369</v>
      </c>
      <c r="I10" s="6" t="n">
        <v>46.1</v>
      </c>
      <c r="J10" s="6" t="n">
        <v>2.361</v>
      </c>
      <c r="K10" s="30" t="n">
        <f aca="false">23/B10</f>
        <v>0.58974358974359</v>
      </c>
    </row>
    <row r="12" customFormat="false" ht="15" hidden="false" customHeight="false" outlineLevel="0" collapsed="false">
      <c r="A12" s="3" t="s">
        <v>74</v>
      </c>
    </row>
    <row r="13" customFormat="false" ht="57.75" hidden="false" customHeight="true" outlineLevel="0" collapsed="false">
      <c r="A13" s="31" t="s">
        <v>75</v>
      </c>
      <c r="B13" s="26" t="s">
        <v>76</v>
      </c>
      <c r="C13" s="26"/>
      <c r="D13" s="26"/>
      <c r="E13" s="26"/>
      <c r="F13" s="26"/>
      <c r="G13" s="26"/>
      <c r="H13" s="26"/>
      <c r="I13" s="26"/>
      <c r="J13" s="26"/>
      <c r="K13" s="26"/>
    </row>
    <row r="14" customFormat="false" ht="57.75" hidden="false" customHeight="true" outlineLevel="0" collapsed="false">
      <c r="A14" s="31" t="s">
        <v>77</v>
      </c>
      <c r="B14" s="26" t="s">
        <v>78</v>
      </c>
      <c r="C14" s="26"/>
      <c r="D14" s="26"/>
      <c r="E14" s="26"/>
      <c r="F14" s="26"/>
      <c r="G14" s="26"/>
      <c r="H14" s="26"/>
      <c r="I14" s="26"/>
      <c r="J14" s="26"/>
      <c r="K14" s="26"/>
    </row>
    <row r="15" customFormat="false" ht="57.75" hidden="false" customHeight="true" outlineLevel="0" collapsed="false">
      <c r="A15" s="31" t="s">
        <v>79</v>
      </c>
      <c r="B15" s="26" t="s">
        <v>80</v>
      </c>
      <c r="C15" s="26"/>
      <c r="D15" s="26"/>
      <c r="E15" s="26"/>
      <c r="F15" s="26"/>
      <c r="G15" s="26"/>
      <c r="H15" s="26"/>
      <c r="I15" s="26"/>
      <c r="J15" s="26"/>
      <c r="K15" s="26"/>
    </row>
    <row r="16" customFormat="false" ht="57.75" hidden="false" customHeight="true" outlineLevel="0" collapsed="false">
      <c r="A16" s="31" t="s">
        <v>81</v>
      </c>
      <c r="B16" s="26" t="s">
        <v>82</v>
      </c>
      <c r="C16" s="26"/>
      <c r="D16" s="26"/>
      <c r="E16" s="26"/>
      <c r="F16" s="26"/>
      <c r="G16" s="26"/>
      <c r="H16" s="26"/>
      <c r="I16" s="26"/>
      <c r="J16" s="26"/>
      <c r="K16" s="26"/>
    </row>
    <row r="17" customFormat="false" ht="57.75" hidden="false" customHeight="true" outlineLevel="0" collapsed="false">
      <c r="A17" s="31" t="s">
        <v>83</v>
      </c>
      <c r="B17" s="26" t="s">
        <v>84</v>
      </c>
      <c r="C17" s="26"/>
      <c r="D17" s="26"/>
      <c r="E17" s="26"/>
      <c r="F17" s="26"/>
      <c r="G17" s="26"/>
      <c r="H17" s="26"/>
      <c r="I17" s="26"/>
      <c r="J17" s="26"/>
      <c r="K17" s="26"/>
    </row>
    <row r="18" customFormat="false" ht="57.75" hidden="false" customHeight="true" outlineLevel="0" collapsed="false">
      <c r="A18" s="31" t="s">
        <v>85</v>
      </c>
      <c r="B18" s="4" t="s">
        <v>86</v>
      </c>
      <c r="C18" s="4"/>
      <c r="D18" s="4"/>
      <c r="E18" s="4"/>
      <c r="F18" s="4"/>
      <c r="G18" s="4"/>
      <c r="H18" s="4"/>
      <c r="I18" s="4"/>
      <c r="J18" s="4"/>
      <c r="K18" s="4"/>
    </row>
  </sheetData>
  <mergeCells count="8">
    <mergeCell ref="A1:H1"/>
    <mergeCell ref="A2:H2"/>
    <mergeCell ref="B13:K13"/>
    <mergeCell ref="B14:K14"/>
    <mergeCell ref="B15:K15"/>
    <mergeCell ref="B16:K16"/>
    <mergeCell ref="B17:K17"/>
    <mergeCell ref="B18:K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11"/>
    <col collapsed="false" customWidth="true" hidden="false" outlineLevel="0" max="3" min="3" style="0" width="7"/>
    <col collapsed="false" customWidth="true" hidden="false" outlineLevel="0" max="4" min="4" style="0" width="9"/>
    <col collapsed="false" customWidth="true" hidden="false" outlineLevel="0" max="5" min="5" style="0" width="54"/>
    <col collapsed="false" customWidth="true" hidden="false" outlineLevel="0" max="6" min="6" style="0" width="10"/>
    <col collapsed="false" customWidth="true" hidden="false" outlineLevel="0" max="7" min="7" style="0" width="9"/>
    <col collapsed="false" customWidth="true" hidden="false" outlineLevel="0" max="8" min="8" style="0" width="7"/>
    <col collapsed="false" customWidth="true" hidden="false" outlineLevel="0" max="9" min="9" style="0" width="11"/>
    <col collapsed="false" customWidth="true" hidden="false" outlineLevel="0" max="10" min="10" style="0" width="8"/>
    <col collapsed="false" customWidth="true" hidden="false" outlineLevel="0" max="11" min="11" style="0" width="10"/>
    <col collapsed="false" customWidth="true" hidden="false" outlineLevel="0" max="12" min="12" style="0" width="9"/>
    <col collapsed="false" customWidth="true" hidden="false" outlineLevel="0" max="13" min="13" style="0" width="10"/>
  </cols>
  <sheetData>
    <row r="1" customFormat="false" ht="24" hidden="false" customHeight="true" outlineLevel="0" collapsed="false">
      <c r="A1" s="27" t="s">
        <v>87</v>
      </c>
      <c r="B1" s="27"/>
      <c r="C1" s="27"/>
      <c r="D1" s="27"/>
      <c r="E1" s="27"/>
      <c r="F1" s="27"/>
      <c r="G1" s="27"/>
      <c r="H1" s="27"/>
    </row>
    <row r="2" customFormat="false" ht="15" hidden="false" customHeight="false" outlineLevel="0" collapsed="false">
      <c r="A2" s="28" t="s">
        <v>88</v>
      </c>
      <c r="B2" s="28"/>
      <c r="C2" s="28"/>
      <c r="D2" s="28"/>
      <c r="E2" s="28"/>
      <c r="F2" s="28"/>
      <c r="G2" s="28"/>
      <c r="H2" s="28"/>
    </row>
    <row r="4" customFormat="false" ht="30" hidden="false" customHeight="true" outlineLevel="0" collapsed="false">
      <c r="A4" s="5" t="s">
        <v>7</v>
      </c>
      <c r="B4" s="5" t="s">
        <v>89</v>
      </c>
      <c r="C4" s="5" t="s">
        <v>90</v>
      </c>
      <c r="D4" s="5" t="s">
        <v>91</v>
      </c>
      <c r="E4" s="5" t="s">
        <v>92</v>
      </c>
      <c r="F4" s="5" t="s">
        <v>10</v>
      </c>
      <c r="G4" s="5" t="s">
        <v>93</v>
      </c>
      <c r="H4" s="5" t="s">
        <v>94</v>
      </c>
      <c r="I4" s="5" t="s">
        <v>12</v>
      </c>
      <c r="J4" s="5" t="s">
        <v>95</v>
      </c>
      <c r="K4" s="5" t="s">
        <v>13</v>
      </c>
      <c r="L4" s="5" t="s">
        <v>96</v>
      </c>
      <c r="M4" s="5" t="s">
        <v>97</v>
      </c>
    </row>
    <row r="5" customFormat="false" ht="15" hidden="false" customHeight="false" outlineLevel="0" collapsed="false">
      <c r="A5" s="6" t="s">
        <v>17</v>
      </c>
      <c r="B5" s="6" t="s">
        <v>98</v>
      </c>
      <c r="C5" s="6" t="n">
        <v>16</v>
      </c>
      <c r="D5" s="6" t="n">
        <v>19</v>
      </c>
      <c r="E5" s="12" t="s">
        <v>99</v>
      </c>
      <c r="F5" s="7" t="n">
        <v>178</v>
      </c>
      <c r="G5" s="6" t="n">
        <v>0</v>
      </c>
      <c r="H5" s="6" t="n">
        <v>1</v>
      </c>
      <c r="I5" s="29" t="n">
        <f aca="false">IF(F5=0,0,H5/F5*1000)</f>
        <v>5.61797752808989</v>
      </c>
      <c r="J5" s="6" t="n">
        <v>0</v>
      </c>
      <c r="K5" s="9" t="n">
        <f aca="false">IF(F5=0,0,J5/F5*100)</f>
        <v>0</v>
      </c>
      <c r="L5" s="6" t="n">
        <v>25.4</v>
      </c>
      <c r="M5" s="32" t="s">
        <v>100</v>
      </c>
    </row>
    <row r="6" customFormat="false" ht="15" hidden="false" customHeight="false" outlineLevel="0" collapsed="false">
      <c r="A6" s="6" t="s">
        <v>15</v>
      </c>
      <c r="B6" s="6" t="s">
        <v>101</v>
      </c>
      <c r="C6" s="6" t="n">
        <v>7</v>
      </c>
      <c r="D6" s="6" t="n">
        <v>17</v>
      </c>
      <c r="E6" s="12" t="s">
        <v>102</v>
      </c>
      <c r="F6" s="7" t="n">
        <v>864</v>
      </c>
      <c r="G6" s="6" t="n">
        <v>2</v>
      </c>
      <c r="H6" s="6" t="n">
        <v>3</v>
      </c>
      <c r="I6" s="8" t="n">
        <f aca="false">IF(F6=0,0,H6/F6*1000)</f>
        <v>3.47222222222222</v>
      </c>
      <c r="J6" s="6" t="n">
        <v>9</v>
      </c>
      <c r="K6" s="9" t="n">
        <f aca="false">IF(F6=0,0,J6/F6*100)</f>
        <v>1.04166666666667</v>
      </c>
      <c r="L6" s="6" t="n">
        <v>43.9</v>
      </c>
      <c r="M6" s="32" t="s">
        <v>100</v>
      </c>
    </row>
    <row r="7" customFormat="false" ht="15" hidden="false" customHeight="false" outlineLevel="0" collapsed="false">
      <c r="A7" s="6" t="s">
        <v>15</v>
      </c>
      <c r="B7" s="6" t="s">
        <v>103</v>
      </c>
      <c r="C7" s="6" t="n">
        <v>30</v>
      </c>
      <c r="D7" s="6" t="n">
        <v>23</v>
      </c>
      <c r="E7" s="12" t="s">
        <v>104</v>
      </c>
      <c r="F7" s="7" t="n">
        <v>896</v>
      </c>
      <c r="G7" s="6" t="n">
        <v>0</v>
      </c>
      <c r="H7" s="6" t="n">
        <v>3</v>
      </c>
      <c r="I7" s="8" t="n">
        <f aca="false">IF(F7=0,0,H7/F7*1000)</f>
        <v>3.34821428571429</v>
      </c>
      <c r="J7" s="6" t="n">
        <v>2</v>
      </c>
      <c r="K7" s="9" t="n">
        <f aca="false">IF(F7=0,0,J7/F7*100)</f>
        <v>0.223214285714286</v>
      </c>
      <c r="L7" s="6" t="n">
        <v>77.2</v>
      </c>
      <c r="M7" s="32" t="s">
        <v>100</v>
      </c>
    </row>
    <row r="8" customFormat="false" ht="15" hidden="false" customHeight="false" outlineLevel="0" collapsed="false">
      <c r="A8" s="6" t="s">
        <v>23</v>
      </c>
      <c r="B8" s="6" t="s">
        <v>105</v>
      </c>
      <c r="C8" s="6" t="n">
        <v>8</v>
      </c>
      <c r="D8" s="6" t="n">
        <v>12</v>
      </c>
      <c r="E8" s="6" t="s">
        <v>106</v>
      </c>
      <c r="F8" s="7" t="n">
        <v>315</v>
      </c>
      <c r="G8" s="6" t="n">
        <v>0</v>
      </c>
      <c r="H8" s="6" t="n">
        <v>1</v>
      </c>
      <c r="I8" s="29" t="n">
        <f aca="false">IF(F8=0,0,H8/F8*1000)</f>
        <v>3.17460317460317</v>
      </c>
      <c r="J8" s="6" t="n">
        <v>1</v>
      </c>
      <c r="K8" s="9" t="n">
        <f aca="false">IF(F8=0,0,J8/F8*100)</f>
        <v>0.317460317460317</v>
      </c>
      <c r="L8" s="6" t="n">
        <v>49.6</v>
      </c>
      <c r="M8" s="33" t="s">
        <v>107</v>
      </c>
    </row>
    <row r="9" customFormat="false" ht="15" hidden="false" customHeight="false" outlineLevel="0" collapsed="false">
      <c r="A9" s="6" t="s">
        <v>17</v>
      </c>
      <c r="B9" s="6" t="s">
        <v>108</v>
      </c>
      <c r="C9" s="6" t="n">
        <v>12</v>
      </c>
      <c r="D9" s="6" t="n">
        <v>19</v>
      </c>
      <c r="E9" s="12" t="s">
        <v>109</v>
      </c>
      <c r="F9" s="7" t="n">
        <v>988</v>
      </c>
      <c r="G9" s="6" t="n">
        <v>6</v>
      </c>
      <c r="H9" s="6" t="n">
        <v>3</v>
      </c>
      <c r="I9" s="8" t="n">
        <f aca="false">IF(F9=0,0,H9/F9*1000)</f>
        <v>3.03643724696356</v>
      </c>
      <c r="J9" s="6" t="n">
        <v>6</v>
      </c>
      <c r="K9" s="9" t="n">
        <f aca="false">IF(F9=0,0,J9/F9*100)</f>
        <v>0.607287449392713</v>
      </c>
      <c r="L9" s="6" t="n">
        <v>33.2</v>
      </c>
      <c r="M9" s="32" t="s">
        <v>100</v>
      </c>
    </row>
    <row r="10" customFormat="false" ht="15" hidden="false" customHeight="false" outlineLevel="0" collapsed="false">
      <c r="A10" s="6" t="s">
        <v>23</v>
      </c>
      <c r="B10" s="6" t="s">
        <v>110</v>
      </c>
      <c r="C10" s="6" t="n">
        <v>3</v>
      </c>
      <c r="D10" s="6" t="n">
        <v>12</v>
      </c>
      <c r="E10" s="12" t="s">
        <v>111</v>
      </c>
      <c r="F10" s="7" t="n">
        <v>991</v>
      </c>
      <c r="G10" s="6" t="n">
        <v>170</v>
      </c>
      <c r="H10" s="6" t="n">
        <v>3</v>
      </c>
      <c r="I10" s="8" t="n">
        <f aca="false">IF(F10=0,0,H10/F10*1000)</f>
        <v>3.02724520686176</v>
      </c>
      <c r="J10" s="6" t="n">
        <v>11</v>
      </c>
      <c r="K10" s="9" t="n">
        <f aca="false">IF(F10=0,0,J10/F10*100)</f>
        <v>1.10998990918264</v>
      </c>
      <c r="L10" s="6" t="n">
        <v>42.5</v>
      </c>
      <c r="M10" s="32" t="s">
        <v>100</v>
      </c>
    </row>
    <row r="11" customFormat="false" ht="15" hidden="false" customHeight="false" outlineLevel="0" collapsed="false">
      <c r="A11" s="6" t="s">
        <v>15</v>
      </c>
      <c r="B11" s="6" t="s">
        <v>112</v>
      </c>
      <c r="C11" s="6" t="n">
        <v>10</v>
      </c>
      <c r="D11" s="6" t="n">
        <v>17</v>
      </c>
      <c r="E11" s="6" t="s">
        <v>113</v>
      </c>
      <c r="F11" s="7" t="n">
        <v>824</v>
      </c>
      <c r="G11" s="6" t="n">
        <v>0</v>
      </c>
      <c r="H11" s="6" t="n">
        <v>2</v>
      </c>
      <c r="I11" s="29" t="n">
        <f aca="false">IF(F11=0,0,H11/F11*1000)</f>
        <v>2.42718446601942</v>
      </c>
      <c r="J11" s="6" t="n">
        <v>5</v>
      </c>
      <c r="K11" s="9" t="n">
        <f aca="false">IF(F11=0,0,J11/F11*100)</f>
        <v>0.606796116504854</v>
      </c>
      <c r="L11" s="6" t="n">
        <v>30</v>
      </c>
      <c r="M11" s="32" t="s">
        <v>100</v>
      </c>
    </row>
    <row r="12" customFormat="false" ht="15" hidden="false" customHeight="false" outlineLevel="0" collapsed="false">
      <c r="A12" s="6" t="s">
        <v>19</v>
      </c>
      <c r="B12" s="6" t="s">
        <v>114</v>
      </c>
      <c r="C12" s="6" t="n">
        <v>4</v>
      </c>
      <c r="D12" s="6" t="n">
        <v>18</v>
      </c>
      <c r="E12" s="12" t="s">
        <v>115</v>
      </c>
      <c r="F12" s="7" t="n">
        <v>914</v>
      </c>
      <c r="G12" s="6" t="n">
        <v>0</v>
      </c>
      <c r="H12" s="6" t="n">
        <v>2</v>
      </c>
      <c r="I12" s="29" t="n">
        <f aca="false">IF(F12=0,0,H12/F12*1000)</f>
        <v>2.18818380743982</v>
      </c>
      <c r="J12" s="6" t="n">
        <v>1</v>
      </c>
      <c r="K12" s="9" t="n">
        <f aca="false">IF(F12=0,0,J12/F12*100)</f>
        <v>0.109409190371991</v>
      </c>
      <c r="L12" s="6" t="n">
        <v>38.6</v>
      </c>
      <c r="M12" s="32" t="s">
        <v>100</v>
      </c>
    </row>
    <row r="13" customFormat="false" ht="15" hidden="false" customHeight="false" outlineLevel="0" collapsed="false">
      <c r="A13" s="6" t="s">
        <v>17</v>
      </c>
      <c r="B13" s="6" t="s">
        <v>116</v>
      </c>
      <c r="C13" s="6" t="n">
        <v>6</v>
      </c>
      <c r="D13" s="6" t="n">
        <v>9</v>
      </c>
      <c r="E13" s="6" t="s">
        <v>117</v>
      </c>
      <c r="F13" s="7" t="n">
        <v>947</v>
      </c>
      <c r="G13" s="6" t="n">
        <v>1</v>
      </c>
      <c r="H13" s="6" t="n">
        <v>2</v>
      </c>
      <c r="I13" s="29" t="n">
        <f aca="false">IF(F13=0,0,H13/F13*1000)</f>
        <v>2.11193241816262</v>
      </c>
      <c r="J13" s="6" t="n">
        <v>1</v>
      </c>
      <c r="K13" s="9" t="n">
        <f aca="false">IF(F13=0,0,J13/F13*100)</f>
        <v>0.105596620908131</v>
      </c>
      <c r="L13" s="6" t="n">
        <v>37.9</v>
      </c>
      <c r="M13" s="32" t="s">
        <v>100</v>
      </c>
    </row>
    <row r="14" customFormat="false" ht="15" hidden="false" customHeight="false" outlineLevel="0" collapsed="false">
      <c r="A14" s="6" t="s">
        <v>17</v>
      </c>
      <c r="B14" s="6" t="s">
        <v>105</v>
      </c>
      <c r="C14" s="6" t="n">
        <v>8</v>
      </c>
      <c r="D14" s="6" t="n">
        <v>18</v>
      </c>
      <c r="E14" s="6" t="s">
        <v>118</v>
      </c>
      <c r="F14" s="7" t="n">
        <v>961</v>
      </c>
      <c r="G14" s="6" t="n">
        <v>0</v>
      </c>
      <c r="H14" s="6" t="n">
        <v>2</v>
      </c>
      <c r="I14" s="29" t="n">
        <f aca="false">IF(F14=0,0,H14/F14*1000)</f>
        <v>2.08116545265349</v>
      </c>
      <c r="J14" s="6" t="n">
        <v>1</v>
      </c>
      <c r="K14" s="9" t="n">
        <f aca="false">IF(F14=0,0,J14/F14*100)</f>
        <v>0.104058272632674</v>
      </c>
      <c r="L14" s="6" t="n">
        <v>59.7</v>
      </c>
      <c r="M14" s="32" t="s">
        <v>100</v>
      </c>
    </row>
    <row r="15" customFormat="false" ht="15" hidden="false" customHeight="false" outlineLevel="0" collapsed="false">
      <c r="A15" s="6" t="s">
        <v>23</v>
      </c>
      <c r="B15" s="6" t="s">
        <v>110</v>
      </c>
      <c r="C15" s="6" t="n">
        <v>3</v>
      </c>
      <c r="D15" s="6" t="n">
        <v>19</v>
      </c>
      <c r="E15" s="12" t="s">
        <v>119</v>
      </c>
      <c r="F15" s="7" t="n">
        <v>965</v>
      </c>
      <c r="G15" s="6" t="n">
        <v>965</v>
      </c>
      <c r="H15" s="6" t="n">
        <v>2</v>
      </c>
      <c r="I15" s="29" t="n">
        <f aca="false">IF(F15=0,0,H15/F15*1000)</f>
        <v>2.07253886010363</v>
      </c>
      <c r="J15" s="6" t="n">
        <v>14</v>
      </c>
      <c r="K15" s="9" t="n">
        <f aca="false">IF(F15=0,0,J15/F15*100)</f>
        <v>1.45077720207254</v>
      </c>
      <c r="L15" s="6" t="n">
        <v>52.4</v>
      </c>
      <c r="M15" s="32" t="s">
        <v>100</v>
      </c>
    </row>
    <row r="16" customFormat="false" ht="15" hidden="false" customHeight="false" outlineLevel="0" collapsed="false">
      <c r="A16" s="6" t="s">
        <v>25</v>
      </c>
      <c r="B16" s="6" t="s">
        <v>101</v>
      </c>
      <c r="C16" s="6" t="n">
        <v>7</v>
      </c>
      <c r="D16" s="6" t="n">
        <v>17</v>
      </c>
      <c r="E16" s="6" t="s">
        <v>120</v>
      </c>
      <c r="F16" s="7" t="n">
        <v>1008</v>
      </c>
      <c r="G16" s="6" t="n">
        <v>3</v>
      </c>
      <c r="H16" s="6" t="n">
        <v>2</v>
      </c>
      <c r="I16" s="29" t="n">
        <f aca="false">IF(F16=0,0,H16/F16*1000)</f>
        <v>1.98412698412698</v>
      </c>
      <c r="J16" s="6" t="n">
        <v>3</v>
      </c>
      <c r="K16" s="9" t="n">
        <f aca="false">IF(F16=0,0,J16/F16*100)</f>
        <v>0.297619047619048</v>
      </c>
      <c r="L16" s="6" t="n">
        <v>46.6</v>
      </c>
      <c r="M16" s="33" t="s">
        <v>107</v>
      </c>
    </row>
    <row r="17" customFormat="false" ht="15" hidden="false" customHeight="false" outlineLevel="0" collapsed="false">
      <c r="A17" s="6" t="s">
        <v>21</v>
      </c>
      <c r="B17" s="6" t="s">
        <v>121</v>
      </c>
      <c r="C17" s="6" t="n">
        <v>17</v>
      </c>
      <c r="D17" s="6" t="n">
        <v>17</v>
      </c>
      <c r="E17" s="6" t="s">
        <v>122</v>
      </c>
      <c r="F17" s="7" t="n">
        <v>1051</v>
      </c>
      <c r="G17" s="6" t="n">
        <v>0</v>
      </c>
      <c r="H17" s="6" t="n">
        <v>2</v>
      </c>
      <c r="I17" s="29" t="n">
        <f aca="false">IF(F17=0,0,H17/F17*1000)</f>
        <v>1.90294957183635</v>
      </c>
      <c r="J17" s="6" t="n">
        <v>4</v>
      </c>
      <c r="K17" s="9" t="n">
        <f aca="false">IF(F17=0,0,J17/F17*100)</f>
        <v>0.380589914367269</v>
      </c>
      <c r="L17" s="6" t="n">
        <v>26.7</v>
      </c>
      <c r="M17" s="33" t="s">
        <v>107</v>
      </c>
    </row>
    <row r="18" customFormat="false" ht="15" hidden="false" customHeight="false" outlineLevel="0" collapsed="false">
      <c r="A18" s="6" t="s">
        <v>25</v>
      </c>
      <c r="B18" s="6" t="s">
        <v>123</v>
      </c>
      <c r="C18" s="6" t="n">
        <v>26</v>
      </c>
      <c r="D18" s="6" t="n">
        <v>20</v>
      </c>
      <c r="E18" s="12" t="s">
        <v>124</v>
      </c>
      <c r="F18" s="7" t="n">
        <v>1058</v>
      </c>
      <c r="G18" s="6" t="n">
        <v>0</v>
      </c>
      <c r="H18" s="6" t="n">
        <v>2</v>
      </c>
      <c r="I18" s="29" t="n">
        <f aca="false">IF(F18=0,0,H18/F18*1000)</f>
        <v>1.89035916824197</v>
      </c>
      <c r="J18" s="6" t="n">
        <v>3</v>
      </c>
      <c r="K18" s="9" t="n">
        <f aca="false">IF(F18=0,0,J18/F18*100)</f>
        <v>0.283553875236295</v>
      </c>
      <c r="L18" s="6" t="n">
        <v>39</v>
      </c>
      <c r="M18" s="32" t="s">
        <v>100</v>
      </c>
    </row>
    <row r="19" customFormat="false" ht="15" hidden="false" customHeight="false" outlineLevel="0" collapsed="false">
      <c r="A19" s="6" t="s">
        <v>17</v>
      </c>
      <c r="B19" s="6" t="s">
        <v>125</v>
      </c>
      <c r="C19" s="6" t="n">
        <v>27</v>
      </c>
      <c r="D19" s="6" t="n">
        <v>9</v>
      </c>
      <c r="E19" s="6" t="s">
        <v>126</v>
      </c>
      <c r="F19" s="7" t="n">
        <v>1064</v>
      </c>
      <c r="G19" s="6" t="n">
        <v>0</v>
      </c>
      <c r="H19" s="6" t="n">
        <v>2</v>
      </c>
      <c r="I19" s="29" t="n">
        <f aca="false">IF(F19=0,0,H19/F19*1000)</f>
        <v>1.8796992481203</v>
      </c>
      <c r="J19" s="6" t="n">
        <v>5</v>
      </c>
      <c r="K19" s="9" t="n">
        <f aca="false">IF(F19=0,0,J19/F19*100)</f>
        <v>0.469924812030075</v>
      </c>
      <c r="L19" s="6" t="n">
        <v>45.9</v>
      </c>
      <c r="M19" s="32" t="s">
        <v>100</v>
      </c>
    </row>
    <row r="20" customFormat="false" ht="15" hidden="false" customHeight="false" outlineLevel="0" collapsed="false">
      <c r="A20" s="6" t="s">
        <v>17</v>
      </c>
      <c r="B20" s="6" t="s">
        <v>110</v>
      </c>
      <c r="C20" s="6" t="n">
        <v>3</v>
      </c>
      <c r="D20" s="6" t="n">
        <v>13</v>
      </c>
      <c r="E20" s="6" t="s">
        <v>127</v>
      </c>
      <c r="F20" s="7" t="n">
        <v>1073</v>
      </c>
      <c r="G20" s="6" t="n">
        <v>25</v>
      </c>
      <c r="H20" s="6" t="n">
        <v>2</v>
      </c>
      <c r="I20" s="29" t="n">
        <f aca="false">IF(F20=0,0,H20/F20*1000)</f>
        <v>1.86393289841566</v>
      </c>
      <c r="J20" s="6" t="n">
        <v>6</v>
      </c>
      <c r="K20" s="9" t="n">
        <f aca="false">IF(F20=0,0,J20/F20*100)</f>
        <v>0.559179869524697</v>
      </c>
      <c r="L20" s="6" t="n">
        <v>39.7</v>
      </c>
      <c r="M20" s="33" t="s">
        <v>107</v>
      </c>
    </row>
    <row r="21" customFormat="false" ht="15" hidden="false" customHeight="false" outlineLevel="0" collapsed="false">
      <c r="A21" s="6" t="s">
        <v>25</v>
      </c>
      <c r="B21" s="6" t="s">
        <v>128</v>
      </c>
      <c r="C21" s="6" t="n">
        <v>24</v>
      </c>
      <c r="D21" s="6" t="n">
        <v>19</v>
      </c>
      <c r="E21" s="12" t="s">
        <v>129</v>
      </c>
      <c r="F21" s="7" t="n">
        <v>1123</v>
      </c>
      <c r="G21" s="6" t="n">
        <v>1</v>
      </c>
      <c r="H21" s="6" t="n">
        <v>2</v>
      </c>
      <c r="I21" s="29" t="n">
        <f aca="false">IF(F21=0,0,H21/F21*1000)</f>
        <v>1.78094390026714</v>
      </c>
      <c r="J21" s="6" t="n">
        <v>10</v>
      </c>
      <c r="K21" s="9" t="n">
        <f aca="false">IF(F21=0,0,J21/F21*100)</f>
        <v>0.890471950133571</v>
      </c>
      <c r="L21" s="6" t="n">
        <v>42.3</v>
      </c>
      <c r="M21" s="32" t="s">
        <v>100</v>
      </c>
    </row>
    <row r="22" customFormat="false" ht="15" hidden="false" customHeight="false" outlineLevel="0" collapsed="false">
      <c r="A22" s="6" t="s">
        <v>23</v>
      </c>
      <c r="B22" s="6" t="s">
        <v>130</v>
      </c>
      <c r="C22" s="6" t="n">
        <v>23</v>
      </c>
      <c r="D22" s="6" t="n">
        <v>19</v>
      </c>
      <c r="E22" s="12" t="s">
        <v>131</v>
      </c>
      <c r="F22" s="7" t="n">
        <v>1175</v>
      </c>
      <c r="G22" s="6" t="n">
        <v>0</v>
      </c>
      <c r="H22" s="6" t="n">
        <v>2</v>
      </c>
      <c r="I22" s="29" t="n">
        <f aca="false">IF(F22=0,0,H22/F22*1000)</f>
        <v>1.70212765957447</v>
      </c>
      <c r="J22" s="6" t="n">
        <v>10</v>
      </c>
      <c r="K22" s="9" t="n">
        <f aca="false">IF(F22=0,0,J22/F22*100)</f>
        <v>0.851063829787234</v>
      </c>
      <c r="L22" s="6" t="n">
        <v>65</v>
      </c>
      <c r="M22" s="32" t="s">
        <v>100</v>
      </c>
    </row>
    <row r="23" customFormat="false" ht="15" hidden="false" customHeight="false" outlineLevel="0" collapsed="false">
      <c r="A23" s="6" t="s">
        <v>25</v>
      </c>
      <c r="B23" s="6" t="s">
        <v>108</v>
      </c>
      <c r="C23" s="6" t="n">
        <v>12</v>
      </c>
      <c r="D23" s="6" t="n">
        <v>17</v>
      </c>
      <c r="E23" s="12" t="s">
        <v>132</v>
      </c>
      <c r="F23" s="7" t="n">
        <v>3604</v>
      </c>
      <c r="G23" s="6" t="n">
        <v>1</v>
      </c>
      <c r="H23" s="6" t="n">
        <v>6</v>
      </c>
      <c r="I23" s="8" t="n">
        <f aca="false">IF(F23=0,0,H23/F23*1000)</f>
        <v>1.66481687014428</v>
      </c>
      <c r="J23" s="6" t="n">
        <v>8</v>
      </c>
      <c r="K23" s="9" t="n">
        <f aca="false">IF(F23=0,0,J23/F23*100)</f>
        <v>0.221975582685905</v>
      </c>
      <c r="L23" s="6" t="n">
        <v>79</v>
      </c>
      <c r="M23" s="32" t="s">
        <v>100</v>
      </c>
    </row>
    <row r="24" customFormat="false" ht="15" hidden="false" customHeight="false" outlineLevel="0" collapsed="false">
      <c r="A24" s="6" t="s">
        <v>17</v>
      </c>
      <c r="B24" s="6" t="s">
        <v>133</v>
      </c>
      <c r="C24" s="6" t="n">
        <v>19</v>
      </c>
      <c r="D24" s="6" t="n">
        <v>19</v>
      </c>
      <c r="E24" s="12" t="s">
        <v>134</v>
      </c>
      <c r="F24" s="7" t="n">
        <v>644</v>
      </c>
      <c r="G24" s="6" t="n">
        <v>0</v>
      </c>
      <c r="H24" s="6" t="n">
        <v>1</v>
      </c>
      <c r="I24" s="29" t="n">
        <f aca="false">IF(F24=0,0,H24/F24*1000)</f>
        <v>1.5527950310559</v>
      </c>
      <c r="J24" s="6" t="n">
        <v>4</v>
      </c>
      <c r="K24" s="9" t="n">
        <f aca="false">IF(F24=0,0,J24/F24*100)</f>
        <v>0.62111801242236</v>
      </c>
      <c r="L24" s="6" t="n">
        <v>50.1</v>
      </c>
      <c r="M24" s="32" t="s">
        <v>100</v>
      </c>
    </row>
    <row r="25" customFormat="false" ht="15" hidden="false" customHeight="false" outlineLevel="0" collapsed="false">
      <c r="A25" s="6" t="s">
        <v>19</v>
      </c>
      <c r="B25" s="6" t="s">
        <v>128</v>
      </c>
      <c r="C25" s="6" t="n">
        <v>24</v>
      </c>
      <c r="D25" s="6" t="n">
        <v>9</v>
      </c>
      <c r="E25" s="12" t="s">
        <v>135</v>
      </c>
      <c r="F25" s="7" t="n">
        <v>1316</v>
      </c>
      <c r="G25" s="6" t="n">
        <v>2</v>
      </c>
      <c r="H25" s="6" t="n">
        <v>2</v>
      </c>
      <c r="I25" s="29" t="n">
        <f aca="false">IF(F25=0,0,H25/F25*1000)</f>
        <v>1.51975683890578</v>
      </c>
      <c r="J25" s="6" t="n">
        <v>4</v>
      </c>
      <c r="K25" s="9" t="n">
        <f aca="false">IF(F25=0,0,J25/F25*100)</f>
        <v>0.303951367781155</v>
      </c>
      <c r="L25" s="6" t="n">
        <v>51.2</v>
      </c>
      <c r="M25" s="33" t="s">
        <v>107</v>
      </c>
    </row>
    <row r="26" customFormat="false" ht="15" hidden="false" customHeight="false" outlineLevel="0" collapsed="false">
      <c r="A26" s="6" t="s">
        <v>25</v>
      </c>
      <c r="B26" s="6" t="s">
        <v>136</v>
      </c>
      <c r="C26" s="6" t="n">
        <v>11</v>
      </c>
      <c r="D26" s="6" t="n">
        <v>17</v>
      </c>
      <c r="E26" s="12" t="s">
        <v>137</v>
      </c>
      <c r="F26" s="7" t="n">
        <v>2242</v>
      </c>
      <c r="G26" s="6" t="n">
        <v>1</v>
      </c>
      <c r="H26" s="6" t="n">
        <v>3</v>
      </c>
      <c r="I26" s="8" t="n">
        <f aca="false">IF(F26=0,0,H26/F26*1000)</f>
        <v>1.33809099018733</v>
      </c>
      <c r="J26" s="6" t="n">
        <v>23</v>
      </c>
      <c r="K26" s="9" t="n">
        <f aca="false">IF(F26=0,0,J26/F26*100)</f>
        <v>1.02586975914362</v>
      </c>
      <c r="L26" s="6" t="n">
        <v>89.9</v>
      </c>
      <c r="M26" s="32" t="s">
        <v>100</v>
      </c>
    </row>
    <row r="27" customFormat="false" ht="15" hidden="false" customHeight="false" outlineLevel="0" collapsed="false">
      <c r="A27" s="6" t="s">
        <v>17</v>
      </c>
      <c r="B27" s="6" t="s">
        <v>123</v>
      </c>
      <c r="C27" s="6" t="n">
        <v>26</v>
      </c>
      <c r="D27" s="6" t="n">
        <v>9</v>
      </c>
      <c r="E27" s="6" t="s">
        <v>138</v>
      </c>
      <c r="F27" s="7" t="n">
        <v>781</v>
      </c>
      <c r="G27" s="6" t="n">
        <v>0</v>
      </c>
      <c r="H27" s="6" t="n">
        <v>1</v>
      </c>
      <c r="I27" s="29" t="n">
        <f aca="false">IF(F27=0,0,H27/F27*1000)</f>
        <v>1.28040973111396</v>
      </c>
      <c r="J27" s="6" t="n">
        <v>2</v>
      </c>
      <c r="K27" s="9" t="n">
        <f aca="false">IF(F27=0,0,J27/F27*100)</f>
        <v>0.256081946222791</v>
      </c>
      <c r="L27" s="6" t="n">
        <v>47.1</v>
      </c>
      <c r="M27" s="32" t="s">
        <v>100</v>
      </c>
    </row>
    <row r="28" customFormat="false" ht="15" hidden="false" customHeight="false" outlineLevel="0" collapsed="false">
      <c r="A28" s="6" t="s">
        <v>15</v>
      </c>
      <c r="B28" s="6" t="s">
        <v>139</v>
      </c>
      <c r="C28" s="6" t="n">
        <v>14</v>
      </c>
      <c r="D28" s="6" t="n">
        <v>17</v>
      </c>
      <c r="E28" s="6" t="s">
        <v>140</v>
      </c>
      <c r="F28" s="7" t="n">
        <v>816</v>
      </c>
      <c r="G28" s="6" t="n">
        <v>0</v>
      </c>
      <c r="H28" s="6" t="n">
        <v>1</v>
      </c>
      <c r="I28" s="29" t="n">
        <f aca="false">IF(F28=0,0,H28/F28*1000)</f>
        <v>1.22549019607843</v>
      </c>
      <c r="J28" s="6" t="n">
        <v>6</v>
      </c>
      <c r="K28" s="9" t="n">
        <f aca="false">IF(F28=0,0,J28/F28*100)</f>
        <v>0.735294117647059</v>
      </c>
      <c r="L28" s="6" t="n">
        <v>32.4</v>
      </c>
      <c r="M28" s="32" t="s">
        <v>100</v>
      </c>
    </row>
    <row r="29" customFormat="false" ht="15" hidden="false" customHeight="false" outlineLevel="0" collapsed="false">
      <c r="A29" s="6" t="s">
        <v>19</v>
      </c>
      <c r="B29" s="6" t="s">
        <v>141</v>
      </c>
      <c r="C29" s="6" t="n">
        <v>18</v>
      </c>
      <c r="D29" s="6" t="n">
        <v>17</v>
      </c>
      <c r="E29" s="12" t="s">
        <v>142</v>
      </c>
      <c r="F29" s="7" t="n">
        <v>820</v>
      </c>
      <c r="G29" s="6" t="n">
        <v>0</v>
      </c>
      <c r="H29" s="6" t="n">
        <v>1</v>
      </c>
      <c r="I29" s="29" t="n">
        <f aca="false">IF(F29=0,0,H29/F29*1000)</f>
        <v>1.21951219512195</v>
      </c>
      <c r="J29" s="6" t="n">
        <v>1</v>
      </c>
      <c r="K29" s="9" t="n">
        <f aca="false">IF(F29=0,0,J29/F29*100)</f>
        <v>0.121951219512195</v>
      </c>
      <c r="L29" s="6" t="n">
        <v>31.9</v>
      </c>
      <c r="M29" s="32" t="s">
        <v>100</v>
      </c>
    </row>
    <row r="30" customFormat="false" ht="15" hidden="false" customHeight="false" outlineLevel="0" collapsed="false">
      <c r="A30" s="6" t="s">
        <v>15</v>
      </c>
      <c r="B30" s="6" t="s">
        <v>136</v>
      </c>
      <c r="C30" s="6" t="n">
        <v>11</v>
      </c>
      <c r="D30" s="6" t="n">
        <v>17</v>
      </c>
      <c r="E30" s="6" t="s">
        <v>143</v>
      </c>
      <c r="F30" s="7" t="n">
        <v>849</v>
      </c>
      <c r="G30" s="6" t="n">
        <v>0</v>
      </c>
      <c r="H30" s="6" t="n">
        <v>1</v>
      </c>
      <c r="I30" s="29" t="n">
        <f aca="false">IF(F30=0,0,H30/F30*1000)</f>
        <v>1.17785630153121</v>
      </c>
      <c r="J30" s="6" t="n">
        <v>7</v>
      </c>
      <c r="K30" s="9" t="n">
        <f aca="false">IF(F30=0,0,J30/F30*100)</f>
        <v>0.824499411071849</v>
      </c>
      <c r="L30" s="6" t="n">
        <v>59.6</v>
      </c>
      <c r="M30" s="32" t="s">
        <v>100</v>
      </c>
    </row>
    <row r="31" customFormat="false" ht="15" hidden="false" customHeight="false" outlineLevel="0" collapsed="false">
      <c r="A31" s="6" t="s">
        <v>21</v>
      </c>
      <c r="B31" s="6" t="s">
        <v>114</v>
      </c>
      <c r="C31" s="6" t="n">
        <v>4</v>
      </c>
      <c r="D31" s="6" t="n">
        <v>17</v>
      </c>
      <c r="E31" s="12" t="s">
        <v>144</v>
      </c>
      <c r="F31" s="7" t="n">
        <v>861</v>
      </c>
      <c r="G31" s="6" t="n">
        <v>3</v>
      </c>
      <c r="H31" s="6" t="n">
        <v>1</v>
      </c>
      <c r="I31" s="29" t="n">
        <f aca="false">IF(F31=0,0,H31/F31*1000)</f>
        <v>1.16144018583043</v>
      </c>
      <c r="J31" s="6" t="n">
        <v>3</v>
      </c>
      <c r="K31" s="9" t="n">
        <f aca="false">IF(F31=0,0,J31/F31*100)</f>
        <v>0.348432055749129</v>
      </c>
      <c r="L31" s="6" t="n">
        <v>34</v>
      </c>
      <c r="M31" s="32" t="s">
        <v>100</v>
      </c>
    </row>
    <row r="32" customFormat="false" ht="15" hidden="false" customHeight="false" outlineLevel="0" collapsed="false">
      <c r="A32" s="6" t="s">
        <v>17</v>
      </c>
      <c r="B32" s="6" t="s">
        <v>101</v>
      </c>
      <c r="C32" s="6" t="n">
        <v>7</v>
      </c>
      <c r="D32" s="6" t="n">
        <v>19</v>
      </c>
      <c r="E32" s="6" t="s">
        <v>145</v>
      </c>
      <c r="F32" s="7" t="n">
        <v>862</v>
      </c>
      <c r="G32" s="6" t="n">
        <v>0</v>
      </c>
      <c r="H32" s="6" t="n">
        <v>1</v>
      </c>
      <c r="I32" s="29" t="n">
        <f aca="false">IF(F32=0,0,H32/F32*1000)</f>
        <v>1.16009280742459</v>
      </c>
      <c r="J32" s="6" t="n">
        <v>7</v>
      </c>
      <c r="K32" s="9" t="n">
        <f aca="false">IF(F32=0,0,J32/F32*100)</f>
        <v>0.812064965197216</v>
      </c>
      <c r="L32" s="6" t="n">
        <v>35</v>
      </c>
      <c r="M32" s="32" t="s">
        <v>100</v>
      </c>
    </row>
    <row r="33" customFormat="false" ht="15" hidden="false" customHeight="false" outlineLevel="0" collapsed="false">
      <c r="A33" s="6" t="s">
        <v>15</v>
      </c>
      <c r="B33" s="6" t="s">
        <v>146</v>
      </c>
      <c r="C33" s="6" t="n">
        <v>13</v>
      </c>
      <c r="D33" s="6" t="n">
        <v>17</v>
      </c>
      <c r="E33" s="6" t="s">
        <v>147</v>
      </c>
      <c r="F33" s="7" t="n">
        <v>863</v>
      </c>
      <c r="G33" s="6" t="n">
        <v>0</v>
      </c>
      <c r="H33" s="6" t="n">
        <v>1</v>
      </c>
      <c r="I33" s="29" t="n">
        <f aca="false">IF(F33=0,0,H33/F33*1000)</f>
        <v>1.15874855156431</v>
      </c>
      <c r="J33" s="6" t="n">
        <v>7</v>
      </c>
      <c r="K33" s="9" t="n">
        <f aca="false">IF(F33=0,0,J33/F33*100)</f>
        <v>0.811123986095017</v>
      </c>
      <c r="L33" s="6" t="n">
        <v>31.7</v>
      </c>
      <c r="M33" s="32" t="s">
        <v>100</v>
      </c>
    </row>
    <row r="34" customFormat="false" ht="15" hidden="false" customHeight="false" outlineLevel="0" collapsed="false">
      <c r="A34" s="6" t="s">
        <v>15</v>
      </c>
      <c r="B34" s="6" t="s">
        <v>114</v>
      </c>
      <c r="C34" s="6" t="n">
        <v>4</v>
      </c>
      <c r="D34" s="6" t="n">
        <v>17</v>
      </c>
      <c r="E34" s="12" t="s">
        <v>148</v>
      </c>
      <c r="F34" s="7" t="n">
        <v>889</v>
      </c>
      <c r="G34" s="6" t="n">
        <v>4</v>
      </c>
      <c r="H34" s="6" t="n">
        <v>1</v>
      </c>
      <c r="I34" s="29" t="n">
        <f aca="false">IF(F34=0,0,H34/F34*1000)</f>
        <v>1.12485939257593</v>
      </c>
      <c r="J34" s="6" t="n">
        <v>10</v>
      </c>
      <c r="K34" s="9" t="n">
        <f aca="false">IF(F34=0,0,J34/F34*100)</f>
        <v>1.12485939257593</v>
      </c>
      <c r="L34" s="6" t="n">
        <v>40.5</v>
      </c>
      <c r="M34" s="32" t="s">
        <v>100</v>
      </c>
    </row>
    <row r="35" customFormat="false" ht="15" hidden="false" customHeight="false" outlineLevel="0" collapsed="false">
      <c r="A35" s="6" t="s">
        <v>23</v>
      </c>
      <c r="B35" s="6" t="s">
        <v>136</v>
      </c>
      <c r="C35" s="6" t="n">
        <v>11</v>
      </c>
      <c r="D35" s="6" t="n">
        <v>12</v>
      </c>
      <c r="E35" s="6" t="s">
        <v>149</v>
      </c>
      <c r="F35" s="7" t="n">
        <v>895</v>
      </c>
      <c r="G35" s="6" t="n">
        <v>1</v>
      </c>
      <c r="H35" s="6" t="n">
        <v>1</v>
      </c>
      <c r="I35" s="29" t="n">
        <f aca="false">IF(F35=0,0,H35/F35*1000)</f>
        <v>1.11731843575419</v>
      </c>
      <c r="J35" s="6" t="n">
        <v>5</v>
      </c>
      <c r="K35" s="9" t="n">
        <f aca="false">IF(F35=0,0,J35/F35*100)</f>
        <v>0.558659217877095</v>
      </c>
      <c r="L35" s="6" t="n">
        <v>80.3</v>
      </c>
      <c r="M35" s="33" t="s">
        <v>107</v>
      </c>
    </row>
    <row r="36" customFormat="false" ht="15" hidden="false" customHeight="false" outlineLevel="0" collapsed="false">
      <c r="A36" s="6" t="s">
        <v>15</v>
      </c>
      <c r="B36" s="6" t="s">
        <v>136</v>
      </c>
      <c r="C36" s="6" t="n">
        <v>11</v>
      </c>
      <c r="D36" s="6" t="n">
        <v>12</v>
      </c>
      <c r="E36" s="6" t="s">
        <v>150</v>
      </c>
      <c r="F36" s="7" t="n">
        <v>900</v>
      </c>
      <c r="G36" s="6" t="n">
        <v>0</v>
      </c>
      <c r="H36" s="6" t="n">
        <v>1</v>
      </c>
      <c r="I36" s="29" t="n">
        <f aca="false">IF(F36=0,0,H36/F36*1000)</f>
        <v>1.11111111111111</v>
      </c>
      <c r="J36" s="6" t="n">
        <v>6</v>
      </c>
      <c r="K36" s="9" t="n">
        <f aca="false">IF(F36=0,0,J36/F36*100)</f>
        <v>0.666666666666667</v>
      </c>
      <c r="L36" s="6" t="n">
        <v>53.4</v>
      </c>
      <c r="M36" s="32" t="s">
        <v>100</v>
      </c>
    </row>
    <row r="37" customFormat="false" ht="15" hidden="false" customHeight="false" outlineLevel="0" collapsed="false">
      <c r="A37" s="6" t="s">
        <v>17</v>
      </c>
      <c r="B37" s="6" t="s">
        <v>114</v>
      </c>
      <c r="C37" s="6" t="n">
        <v>4</v>
      </c>
      <c r="D37" s="6" t="n">
        <v>16</v>
      </c>
      <c r="E37" s="6" t="s">
        <v>151</v>
      </c>
      <c r="F37" s="7" t="n">
        <v>904</v>
      </c>
      <c r="G37" s="6" t="n">
        <v>2</v>
      </c>
      <c r="H37" s="6" t="n">
        <v>1</v>
      </c>
      <c r="I37" s="29" t="n">
        <f aca="false">IF(F37=0,0,H37/F37*1000)</f>
        <v>1.10619469026549</v>
      </c>
      <c r="J37" s="6" t="n">
        <v>6</v>
      </c>
      <c r="K37" s="9" t="n">
        <f aca="false">IF(F37=0,0,J37/F37*100)</f>
        <v>0.663716814159292</v>
      </c>
      <c r="L37" s="6" t="n">
        <v>36.9</v>
      </c>
      <c r="M37" s="32" t="s">
        <v>100</v>
      </c>
    </row>
    <row r="38" customFormat="false" ht="15" hidden="false" customHeight="false" outlineLevel="0" collapsed="false">
      <c r="A38" s="6" t="s">
        <v>17</v>
      </c>
      <c r="B38" s="6" t="s">
        <v>152</v>
      </c>
      <c r="C38" s="6" t="n">
        <v>20</v>
      </c>
      <c r="D38" s="6" t="n">
        <v>9</v>
      </c>
      <c r="E38" s="6" t="s">
        <v>153</v>
      </c>
      <c r="F38" s="7" t="n">
        <v>913</v>
      </c>
      <c r="G38" s="6" t="n">
        <v>0</v>
      </c>
      <c r="H38" s="6" t="n">
        <v>1</v>
      </c>
      <c r="I38" s="29" t="n">
        <f aca="false">IF(F38=0,0,H38/F38*1000)</f>
        <v>1.09529025191676</v>
      </c>
      <c r="J38" s="6" t="n">
        <v>6</v>
      </c>
      <c r="K38" s="9" t="n">
        <f aca="false">IF(F38=0,0,J38/F38*100)</f>
        <v>0.657174151150055</v>
      </c>
      <c r="L38" s="6" t="n">
        <v>49.4</v>
      </c>
      <c r="M38" s="33" t="s">
        <v>107</v>
      </c>
    </row>
    <row r="39" customFormat="false" ht="15" hidden="false" customHeight="false" outlineLevel="0" collapsed="false">
      <c r="A39" s="6" t="s">
        <v>15</v>
      </c>
      <c r="B39" s="6" t="s">
        <v>154</v>
      </c>
      <c r="C39" s="6" t="n">
        <v>29</v>
      </c>
      <c r="D39" s="6" t="n">
        <v>9</v>
      </c>
      <c r="E39" s="12" t="s">
        <v>155</v>
      </c>
      <c r="F39" s="7" t="n">
        <v>941</v>
      </c>
      <c r="G39" s="6" t="n">
        <v>2</v>
      </c>
      <c r="H39" s="6" t="n">
        <v>1</v>
      </c>
      <c r="I39" s="29" t="n">
        <f aca="false">IF(F39=0,0,H39/F39*1000)</f>
        <v>1.06269925611052</v>
      </c>
      <c r="J39" s="6" t="n">
        <v>4</v>
      </c>
      <c r="K39" s="9" t="n">
        <f aca="false">IF(F39=0,0,J39/F39*100)</f>
        <v>0.425079702444208</v>
      </c>
      <c r="L39" s="6" t="n">
        <v>36</v>
      </c>
      <c r="M39" s="32" t="s">
        <v>100</v>
      </c>
    </row>
    <row r="40" customFormat="false" ht="15" hidden="false" customHeight="false" outlineLevel="0" collapsed="false">
      <c r="A40" s="6" t="s">
        <v>21</v>
      </c>
      <c r="B40" s="6" t="s">
        <v>136</v>
      </c>
      <c r="C40" s="6" t="n">
        <v>11</v>
      </c>
      <c r="D40" s="6" t="n">
        <v>12</v>
      </c>
      <c r="E40" s="6" t="s">
        <v>156</v>
      </c>
      <c r="F40" s="7" t="n">
        <v>953</v>
      </c>
      <c r="G40" s="6" t="n">
        <v>0</v>
      </c>
      <c r="H40" s="6" t="n">
        <v>1</v>
      </c>
      <c r="I40" s="29" t="n">
        <f aca="false">IF(F40=0,0,H40/F40*1000)</f>
        <v>1.04931794333683</v>
      </c>
      <c r="J40" s="6" t="n">
        <v>2</v>
      </c>
      <c r="K40" s="9" t="n">
        <f aca="false">IF(F40=0,0,J40/F40*100)</f>
        <v>0.209863588667366</v>
      </c>
      <c r="L40" s="6" t="n">
        <v>37</v>
      </c>
      <c r="M40" s="33" t="s">
        <v>107</v>
      </c>
    </row>
    <row r="41" customFormat="false" ht="15" hidden="false" customHeight="false" outlineLevel="0" collapsed="false">
      <c r="A41" s="6" t="s">
        <v>17</v>
      </c>
      <c r="B41" s="6" t="s">
        <v>136</v>
      </c>
      <c r="C41" s="6" t="n">
        <v>11</v>
      </c>
      <c r="D41" s="6" t="n">
        <v>19</v>
      </c>
      <c r="E41" s="12" t="s">
        <v>157</v>
      </c>
      <c r="F41" s="7" t="n">
        <v>954</v>
      </c>
      <c r="G41" s="6" t="n">
        <v>0</v>
      </c>
      <c r="H41" s="6" t="n">
        <v>1</v>
      </c>
      <c r="I41" s="29" t="n">
        <f aca="false">IF(F41=0,0,H41/F41*1000)</f>
        <v>1.0482180293501</v>
      </c>
      <c r="J41" s="6" t="n">
        <v>4</v>
      </c>
      <c r="K41" s="9" t="n">
        <f aca="false">IF(F41=0,0,J41/F41*100)</f>
        <v>0.419287211740042</v>
      </c>
      <c r="L41" s="6" t="n">
        <v>29</v>
      </c>
      <c r="M41" s="32" t="s">
        <v>100</v>
      </c>
    </row>
    <row r="42" customFormat="false" ht="15" hidden="false" customHeight="false" outlineLevel="0" collapsed="false">
      <c r="A42" s="6" t="s">
        <v>25</v>
      </c>
      <c r="B42" s="6" t="s">
        <v>158</v>
      </c>
      <c r="C42" s="6" t="n">
        <v>25</v>
      </c>
      <c r="D42" s="6" t="n">
        <v>19</v>
      </c>
      <c r="E42" s="12" t="s">
        <v>159</v>
      </c>
      <c r="F42" s="7" t="n">
        <v>955</v>
      </c>
      <c r="G42" s="6" t="n">
        <v>0</v>
      </c>
      <c r="H42" s="6" t="n">
        <v>1</v>
      </c>
      <c r="I42" s="29" t="n">
        <f aca="false">IF(F42=0,0,H42/F42*1000)</f>
        <v>1.04712041884817</v>
      </c>
      <c r="J42" s="6" t="n">
        <v>9</v>
      </c>
      <c r="K42" s="9" t="n">
        <f aca="false">IF(F42=0,0,J42/F42*100)</f>
        <v>0.942408376963351</v>
      </c>
      <c r="L42" s="6" t="n">
        <v>38.9</v>
      </c>
      <c r="M42" s="32" t="s">
        <v>100</v>
      </c>
    </row>
    <row r="43" customFormat="false" ht="15" hidden="false" customHeight="false" outlineLevel="0" collapsed="false">
      <c r="A43" s="6" t="s">
        <v>21</v>
      </c>
      <c r="B43" s="6" t="s">
        <v>139</v>
      </c>
      <c r="C43" s="6" t="n">
        <v>14</v>
      </c>
      <c r="D43" s="6" t="n">
        <v>17</v>
      </c>
      <c r="E43" s="6" t="s">
        <v>160</v>
      </c>
      <c r="F43" s="7" t="n">
        <v>977</v>
      </c>
      <c r="G43" s="6" t="n">
        <v>0</v>
      </c>
      <c r="H43" s="6" t="n">
        <v>1</v>
      </c>
      <c r="I43" s="29" t="n">
        <f aca="false">IF(F43=0,0,H43/F43*1000)</f>
        <v>1.02354145342886</v>
      </c>
      <c r="J43" s="6" t="n">
        <v>1</v>
      </c>
      <c r="K43" s="9" t="n">
        <f aca="false">IF(F43=0,0,J43/F43*100)</f>
        <v>0.102354145342886</v>
      </c>
      <c r="L43" s="6" t="n">
        <v>22.5</v>
      </c>
      <c r="M43" s="32" t="s">
        <v>100</v>
      </c>
    </row>
    <row r="44" customFormat="false" ht="15" hidden="false" customHeight="false" outlineLevel="0" collapsed="false">
      <c r="A44" s="6" t="s">
        <v>17</v>
      </c>
      <c r="B44" s="6" t="s">
        <v>136</v>
      </c>
      <c r="C44" s="6" t="n">
        <v>11</v>
      </c>
      <c r="D44" s="6" t="n">
        <v>12</v>
      </c>
      <c r="E44" s="12" t="s">
        <v>161</v>
      </c>
      <c r="F44" s="7" t="n">
        <v>986</v>
      </c>
      <c r="G44" s="6" t="n">
        <v>1</v>
      </c>
      <c r="H44" s="6" t="n">
        <v>1</v>
      </c>
      <c r="I44" s="29" t="n">
        <f aca="false">IF(F44=0,0,H44/F44*1000)</f>
        <v>1.01419878296146</v>
      </c>
      <c r="J44" s="6" t="n">
        <v>5</v>
      </c>
      <c r="K44" s="9" t="n">
        <f aca="false">IF(F44=0,0,J44/F44*100)</f>
        <v>0.50709939148073</v>
      </c>
      <c r="L44" s="6" t="n">
        <v>67.6</v>
      </c>
      <c r="M44" s="33" t="s">
        <v>107</v>
      </c>
    </row>
    <row r="45" customFormat="false" ht="15" hidden="false" customHeight="false" outlineLevel="0" collapsed="false">
      <c r="A45" s="6" t="s">
        <v>25</v>
      </c>
      <c r="B45" s="6" t="s">
        <v>136</v>
      </c>
      <c r="C45" s="6" t="n">
        <v>11</v>
      </c>
      <c r="D45" s="6" t="n">
        <v>12</v>
      </c>
      <c r="E45" s="12" t="s">
        <v>162</v>
      </c>
      <c r="F45" s="7" t="n">
        <v>1982</v>
      </c>
      <c r="G45" s="6" t="n">
        <v>3</v>
      </c>
      <c r="H45" s="6" t="n">
        <v>2</v>
      </c>
      <c r="I45" s="29" t="n">
        <f aca="false">IF(F45=0,0,H45/F45*1000)</f>
        <v>1.00908173562059</v>
      </c>
      <c r="J45" s="6" t="n">
        <v>16</v>
      </c>
      <c r="K45" s="9" t="n">
        <f aca="false">IF(F45=0,0,J45/F45*100)</f>
        <v>0.807265388496468</v>
      </c>
      <c r="L45" s="6" t="n">
        <v>73.5</v>
      </c>
      <c r="M45" s="33" t="s">
        <v>107</v>
      </c>
    </row>
    <row r="46" customFormat="false" ht="15" hidden="false" customHeight="false" outlineLevel="0" collapsed="false">
      <c r="A46" s="6" t="s">
        <v>17</v>
      </c>
      <c r="B46" s="6" t="s">
        <v>163</v>
      </c>
      <c r="C46" s="6" t="n">
        <v>2</v>
      </c>
      <c r="D46" s="6" t="n">
        <v>9</v>
      </c>
      <c r="E46" s="6" t="s">
        <v>164</v>
      </c>
      <c r="F46" s="7" t="n">
        <v>1001</v>
      </c>
      <c r="G46" s="6" t="n">
        <v>1001</v>
      </c>
      <c r="H46" s="6" t="n">
        <v>1</v>
      </c>
      <c r="I46" s="29" t="n">
        <f aca="false">IF(F46=0,0,H46/F46*1000)</f>
        <v>0.999000999000999</v>
      </c>
      <c r="J46" s="6" t="n">
        <v>3</v>
      </c>
      <c r="K46" s="9" t="n">
        <f aca="false">IF(F46=0,0,J46/F46*100)</f>
        <v>0.2997002997003</v>
      </c>
      <c r="L46" s="6" t="n">
        <v>31.8</v>
      </c>
      <c r="M46" s="33" t="s">
        <v>107</v>
      </c>
    </row>
    <row r="47" customFormat="false" ht="15" hidden="false" customHeight="false" outlineLevel="0" collapsed="false">
      <c r="A47" s="6" t="s">
        <v>15</v>
      </c>
      <c r="B47" s="6" t="s">
        <v>141</v>
      </c>
      <c r="C47" s="6" t="n">
        <v>18</v>
      </c>
      <c r="D47" s="6" t="n">
        <v>18</v>
      </c>
      <c r="E47" s="6" t="s">
        <v>165</v>
      </c>
      <c r="F47" s="7" t="n">
        <v>1007</v>
      </c>
      <c r="G47" s="6" t="n">
        <v>0</v>
      </c>
      <c r="H47" s="6" t="n">
        <v>1</v>
      </c>
      <c r="I47" s="29" t="n">
        <f aca="false">IF(F47=0,0,H47/F47*1000)</f>
        <v>0.99304865938431</v>
      </c>
      <c r="J47" s="6" t="n">
        <v>8</v>
      </c>
      <c r="K47" s="9" t="n">
        <f aca="false">IF(F47=0,0,J47/F47*100)</f>
        <v>0.794438927507448</v>
      </c>
      <c r="L47" s="6" t="n">
        <v>35.4</v>
      </c>
      <c r="M47" s="32" t="s">
        <v>100</v>
      </c>
    </row>
    <row r="48" customFormat="false" ht="15" hidden="false" customHeight="false" outlineLevel="0" collapsed="false">
      <c r="A48" s="6" t="s">
        <v>17</v>
      </c>
      <c r="B48" s="6" t="s">
        <v>114</v>
      </c>
      <c r="C48" s="6" t="n">
        <v>4</v>
      </c>
      <c r="D48" s="6" t="n">
        <v>19</v>
      </c>
      <c r="E48" s="6" t="s">
        <v>166</v>
      </c>
      <c r="F48" s="7" t="n">
        <v>1018</v>
      </c>
      <c r="G48" s="6" t="n">
        <v>12</v>
      </c>
      <c r="H48" s="6" t="n">
        <v>1</v>
      </c>
      <c r="I48" s="29" t="n">
        <f aca="false">IF(F48=0,0,H48/F48*1000)</f>
        <v>0.982318271119843</v>
      </c>
      <c r="J48" s="6" t="n">
        <v>7</v>
      </c>
      <c r="K48" s="9" t="n">
        <f aca="false">IF(F48=0,0,J48/F48*100)</f>
        <v>0.68762278978389</v>
      </c>
      <c r="L48" s="6" t="n">
        <v>44.4</v>
      </c>
      <c r="M48" s="32" t="s">
        <v>100</v>
      </c>
    </row>
    <row r="49" customFormat="false" ht="15" hidden="false" customHeight="false" outlineLevel="0" collapsed="false">
      <c r="A49" s="6" t="s">
        <v>17</v>
      </c>
      <c r="B49" s="6" t="s">
        <v>167</v>
      </c>
      <c r="C49" s="6" t="n">
        <v>15</v>
      </c>
      <c r="D49" s="6" t="n">
        <v>13</v>
      </c>
      <c r="E49" s="12" t="s">
        <v>168</v>
      </c>
      <c r="F49" s="7" t="n">
        <v>1034</v>
      </c>
      <c r="G49" s="6" t="n">
        <v>0</v>
      </c>
      <c r="H49" s="6" t="n">
        <v>1</v>
      </c>
      <c r="I49" s="29" t="n">
        <f aca="false">IF(F49=0,0,H49/F49*1000)</f>
        <v>0.967117988394584</v>
      </c>
      <c r="J49" s="6" t="n">
        <v>2</v>
      </c>
      <c r="K49" s="9" t="n">
        <f aca="false">IF(F49=0,0,J49/F49*100)</f>
        <v>0.193423597678917</v>
      </c>
      <c r="L49" s="6" t="n">
        <v>23.8</v>
      </c>
      <c r="M49" s="33" t="s">
        <v>107</v>
      </c>
    </row>
    <row r="50" customFormat="false" ht="15" hidden="false" customHeight="false" outlineLevel="0" collapsed="false">
      <c r="A50" s="6" t="s">
        <v>19</v>
      </c>
      <c r="B50" s="6" t="s">
        <v>105</v>
      </c>
      <c r="C50" s="6" t="n">
        <v>8</v>
      </c>
      <c r="D50" s="6" t="n">
        <v>12</v>
      </c>
      <c r="E50" s="12" t="s">
        <v>169</v>
      </c>
      <c r="F50" s="7" t="n">
        <v>1039</v>
      </c>
      <c r="G50" s="6" t="n">
        <v>0</v>
      </c>
      <c r="H50" s="6" t="n">
        <v>1</v>
      </c>
      <c r="I50" s="29" t="n">
        <f aca="false">IF(F50=0,0,H50/F50*1000)</f>
        <v>0.962463907603465</v>
      </c>
      <c r="J50" s="6" t="n">
        <v>3</v>
      </c>
      <c r="K50" s="9" t="n">
        <f aca="false">IF(F50=0,0,J50/F50*100)</f>
        <v>0.288739172281039</v>
      </c>
      <c r="L50" s="6" t="n">
        <v>32.5</v>
      </c>
      <c r="M50" s="32" t="s">
        <v>100</v>
      </c>
    </row>
    <row r="51" customFormat="false" ht="15" hidden="false" customHeight="false" outlineLevel="0" collapsed="false">
      <c r="A51" s="6" t="s">
        <v>17</v>
      </c>
      <c r="B51" s="6" t="s">
        <v>112</v>
      </c>
      <c r="C51" s="6" t="n">
        <v>10</v>
      </c>
      <c r="D51" s="6" t="n">
        <v>9</v>
      </c>
      <c r="E51" s="12" t="s">
        <v>170</v>
      </c>
      <c r="F51" s="7" t="n">
        <v>1051</v>
      </c>
      <c r="G51" s="6" t="n">
        <v>0</v>
      </c>
      <c r="H51" s="6" t="n">
        <v>1</v>
      </c>
      <c r="I51" s="29" t="n">
        <f aca="false">IF(F51=0,0,H51/F51*1000)</f>
        <v>0.951474785918173</v>
      </c>
      <c r="J51" s="6" t="n">
        <v>3</v>
      </c>
      <c r="K51" s="9" t="n">
        <f aca="false">IF(F51=0,0,J51/F51*100)</f>
        <v>0.285442435775452</v>
      </c>
      <c r="L51" s="6" t="n">
        <v>31.3</v>
      </c>
      <c r="M51" s="33" t="s">
        <v>107</v>
      </c>
    </row>
    <row r="52" customFormat="false" ht="15" hidden="false" customHeight="false" outlineLevel="0" collapsed="false">
      <c r="A52" s="6" t="s">
        <v>23</v>
      </c>
      <c r="B52" s="6" t="s">
        <v>163</v>
      </c>
      <c r="C52" s="6" t="n">
        <v>2</v>
      </c>
      <c r="D52" s="6" t="n">
        <v>12</v>
      </c>
      <c r="E52" s="12" t="s">
        <v>171</v>
      </c>
      <c r="F52" s="7" t="n">
        <v>1052</v>
      </c>
      <c r="G52" s="6" t="n">
        <v>1052</v>
      </c>
      <c r="H52" s="6" t="n">
        <v>1</v>
      </c>
      <c r="I52" s="29" t="n">
        <f aca="false">IF(F52=0,0,H52/F52*1000)</f>
        <v>0.950570342205323</v>
      </c>
      <c r="J52" s="6" t="n">
        <v>14</v>
      </c>
      <c r="K52" s="9" t="n">
        <f aca="false">IF(F52=0,0,J52/F52*100)</f>
        <v>1.33079847908745</v>
      </c>
      <c r="L52" s="6" t="n">
        <v>56.8</v>
      </c>
      <c r="M52" s="32" t="s">
        <v>100</v>
      </c>
    </row>
    <row r="53" customFormat="false" ht="15" hidden="false" customHeight="false" outlineLevel="0" collapsed="false">
      <c r="A53" s="6" t="s">
        <v>17</v>
      </c>
      <c r="B53" s="6" t="s">
        <v>172</v>
      </c>
      <c r="C53" s="6" t="n">
        <v>9</v>
      </c>
      <c r="D53" s="6" t="n">
        <v>13</v>
      </c>
      <c r="E53" s="12" t="s">
        <v>173</v>
      </c>
      <c r="F53" s="7" t="n">
        <v>1060</v>
      </c>
      <c r="G53" s="6" t="n">
        <v>1</v>
      </c>
      <c r="H53" s="6" t="n">
        <v>1</v>
      </c>
      <c r="I53" s="29" t="n">
        <f aca="false">IF(F53=0,0,H53/F53*1000)</f>
        <v>0.943396226415094</v>
      </c>
      <c r="J53" s="6" t="n">
        <v>2</v>
      </c>
      <c r="K53" s="9" t="n">
        <f aca="false">IF(F53=0,0,J53/F53*100)</f>
        <v>0.188679245283019</v>
      </c>
      <c r="L53" s="6" t="n">
        <v>23.5</v>
      </c>
      <c r="M53" s="33" t="s">
        <v>107</v>
      </c>
    </row>
    <row r="54" customFormat="false" ht="15" hidden="false" customHeight="false" outlineLevel="0" collapsed="false">
      <c r="A54" s="6" t="s">
        <v>15</v>
      </c>
      <c r="B54" s="6" t="s">
        <v>123</v>
      </c>
      <c r="C54" s="6" t="n">
        <v>26</v>
      </c>
      <c r="D54" s="6" t="n">
        <v>17</v>
      </c>
      <c r="E54" s="12" t="s">
        <v>174</v>
      </c>
      <c r="F54" s="7" t="n">
        <v>1065</v>
      </c>
      <c r="G54" s="6" t="n">
        <v>0</v>
      </c>
      <c r="H54" s="6" t="n">
        <v>1</v>
      </c>
      <c r="I54" s="29" t="n">
        <f aca="false">IF(F54=0,0,H54/F54*1000)</f>
        <v>0.938967136150235</v>
      </c>
      <c r="J54" s="6" t="n">
        <v>4</v>
      </c>
      <c r="K54" s="9" t="n">
        <f aca="false">IF(F54=0,0,J54/F54*100)</f>
        <v>0.375586854460094</v>
      </c>
      <c r="L54" s="6" t="n">
        <v>55.9</v>
      </c>
      <c r="M54" s="32" t="s">
        <v>100</v>
      </c>
    </row>
    <row r="55" customFormat="false" ht="15" hidden="false" customHeight="false" outlineLevel="0" collapsed="false">
      <c r="A55" s="6" t="s">
        <v>15</v>
      </c>
      <c r="B55" s="6" t="s">
        <v>152</v>
      </c>
      <c r="C55" s="6" t="n">
        <v>20</v>
      </c>
      <c r="D55" s="6" t="n">
        <v>17</v>
      </c>
      <c r="E55" s="12" t="s">
        <v>175</v>
      </c>
      <c r="F55" s="7" t="n">
        <v>1071</v>
      </c>
      <c r="G55" s="6" t="n">
        <v>0</v>
      </c>
      <c r="H55" s="6" t="n">
        <v>1</v>
      </c>
      <c r="I55" s="29" t="n">
        <f aca="false">IF(F55=0,0,H55/F55*1000)</f>
        <v>0.933706816059757</v>
      </c>
      <c r="J55" s="6" t="n">
        <v>3</v>
      </c>
      <c r="K55" s="9" t="n">
        <f aca="false">IF(F55=0,0,J55/F55*100)</f>
        <v>0.280112044817927</v>
      </c>
      <c r="L55" s="6" t="n">
        <v>53</v>
      </c>
      <c r="M55" s="32" t="s">
        <v>100</v>
      </c>
    </row>
    <row r="56" customFormat="false" ht="15" hidden="false" customHeight="false" outlineLevel="0" collapsed="false">
      <c r="A56" s="6" t="s">
        <v>15</v>
      </c>
      <c r="B56" s="6" t="s">
        <v>167</v>
      </c>
      <c r="C56" s="6" t="n">
        <v>15</v>
      </c>
      <c r="D56" s="6" t="n">
        <v>13</v>
      </c>
      <c r="E56" s="6" t="s">
        <v>176</v>
      </c>
      <c r="F56" s="7" t="n">
        <v>1076</v>
      </c>
      <c r="G56" s="6" t="n">
        <v>0</v>
      </c>
      <c r="H56" s="6" t="n">
        <v>1</v>
      </c>
      <c r="I56" s="29" t="n">
        <f aca="false">IF(F56=0,0,H56/F56*1000)</f>
        <v>0.929368029739777</v>
      </c>
      <c r="J56" s="6" t="n">
        <v>10</v>
      </c>
      <c r="K56" s="9" t="n">
        <f aca="false">IF(F56=0,0,J56/F56*100)</f>
        <v>0.929368029739777</v>
      </c>
      <c r="L56" s="6" t="n">
        <v>35.2</v>
      </c>
      <c r="M56" s="32" t="s">
        <v>100</v>
      </c>
    </row>
    <row r="57" customFormat="false" ht="15" hidden="false" customHeight="false" outlineLevel="0" collapsed="false">
      <c r="A57" s="6" t="s">
        <v>21</v>
      </c>
      <c r="B57" s="6" t="s">
        <v>154</v>
      </c>
      <c r="C57" s="6" t="n">
        <v>29</v>
      </c>
      <c r="D57" s="6" t="n">
        <v>10</v>
      </c>
      <c r="E57" s="6" t="s">
        <v>177</v>
      </c>
      <c r="F57" s="7" t="n">
        <v>1088</v>
      </c>
      <c r="G57" s="6" t="n">
        <v>0</v>
      </c>
      <c r="H57" s="6" t="n">
        <v>1</v>
      </c>
      <c r="I57" s="29" t="n">
        <f aca="false">IF(F57=0,0,H57/F57*1000)</f>
        <v>0.919117647058824</v>
      </c>
      <c r="J57" s="6" t="n">
        <v>4</v>
      </c>
      <c r="K57" s="9" t="n">
        <f aca="false">IF(F57=0,0,J57/F57*100)</f>
        <v>0.367647058823529</v>
      </c>
      <c r="L57" s="6" t="n">
        <v>63.7</v>
      </c>
      <c r="M57" s="32" t="s">
        <v>100</v>
      </c>
    </row>
    <row r="58" customFormat="false" ht="15" hidden="false" customHeight="false" outlineLevel="0" collapsed="false">
      <c r="A58" s="6" t="s">
        <v>23</v>
      </c>
      <c r="B58" s="6" t="s">
        <v>133</v>
      </c>
      <c r="C58" s="6" t="n">
        <v>19</v>
      </c>
      <c r="D58" s="6" t="n">
        <v>18</v>
      </c>
      <c r="E58" s="12" t="s">
        <v>178</v>
      </c>
      <c r="F58" s="7" t="n">
        <v>1111</v>
      </c>
      <c r="G58" s="6" t="n">
        <v>0</v>
      </c>
      <c r="H58" s="6" t="n">
        <v>1</v>
      </c>
      <c r="I58" s="29" t="n">
        <f aca="false">IF(F58=0,0,H58/F58*1000)</f>
        <v>0.9000900090009</v>
      </c>
      <c r="J58" s="6" t="n">
        <v>6</v>
      </c>
      <c r="K58" s="9" t="n">
        <f aca="false">IF(F58=0,0,J58/F58*100)</f>
        <v>0.54005400540054</v>
      </c>
      <c r="L58" s="6" t="n">
        <v>41.7</v>
      </c>
      <c r="M58" s="32" t="s">
        <v>100</v>
      </c>
    </row>
    <row r="59" customFormat="false" ht="15" hidden="false" customHeight="false" outlineLevel="0" collapsed="false">
      <c r="A59" s="6" t="s">
        <v>25</v>
      </c>
      <c r="B59" s="6" t="s">
        <v>179</v>
      </c>
      <c r="C59" s="6" t="n">
        <v>21</v>
      </c>
      <c r="D59" s="6" t="n">
        <v>19</v>
      </c>
      <c r="E59" s="12" t="s">
        <v>180</v>
      </c>
      <c r="F59" s="7" t="n">
        <v>1197</v>
      </c>
      <c r="G59" s="6" t="n">
        <v>0</v>
      </c>
      <c r="H59" s="6" t="n">
        <v>1</v>
      </c>
      <c r="I59" s="29" t="n">
        <f aca="false">IF(F59=0,0,H59/F59*1000)</f>
        <v>0.835421888053467</v>
      </c>
      <c r="J59" s="6" t="n">
        <v>2</v>
      </c>
      <c r="K59" s="9" t="n">
        <f aca="false">IF(F59=0,0,J59/F59*100)</f>
        <v>0.167084377610693</v>
      </c>
      <c r="L59" s="6" t="n">
        <v>42.1</v>
      </c>
      <c r="M59" s="33" t="s">
        <v>107</v>
      </c>
    </row>
    <row r="60" customFormat="false" ht="15" hidden="false" customHeight="false" outlineLevel="0" collapsed="false">
      <c r="A60" s="6" t="s">
        <v>19</v>
      </c>
      <c r="B60" s="6" t="s">
        <v>172</v>
      </c>
      <c r="C60" s="6" t="n">
        <v>9</v>
      </c>
      <c r="D60" s="6" t="n">
        <v>12</v>
      </c>
      <c r="E60" s="12" t="s">
        <v>181</v>
      </c>
      <c r="F60" s="7" t="n">
        <v>1203</v>
      </c>
      <c r="G60" s="6" t="n">
        <v>0</v>
      </c>
      <c r="H60" s="6" t="n">
        <v>1</v>
      </c>
      <c r="I60" s="29" t="n">
        <f aca="false">IF(F60=0,0,H60/F60*1000)</f>
        <v>0.831255195344971</v>
      </c>
      <c r="J60" s="6" t="n">
        <v>4</v>
      </c>
      <c r="K60" s="9" t="n">
        <f aca="false">IF(F60=0,0,J60/F60*100)</f>
        <v>0.332502078137988</v>
      </c>
      <c r="L60" s="6" t="n">
        <v>61.6</v>
      </c>
      <c r="M60" s="32" t="s">
        <v>100</v>
      </c>
    </row>
    <row r="61" customFormat="false" ht="15" hidden="false" customHeight="false" outlineLevel="0" collapsed="false">
      <c r="A61" s="6" t="s">
        <v>25</v>
      </c>
      <c r="B61" s="6" t="s">
        <v>141</v>
      </c>
      <c r="C61" s="6" t="n">
        <v>18</v>
      </c>
      <c r="D61" s="6" t="n">
        <v>17</v>
      </c>
      <c r="E61" s="12" t="s">
        <v>182</v>
      </c>
      <c r="F61" s="7" t="n">
        <v>5203</v>
      </c>
      <c r="G61" s="6" t="n">
        <v>0</v>
      </c>
      <c r="H61" s="6" t="n">
        <v>4</v>
      </c>
      <c r="I61" s="8" t="n">
        <f aca="false">IF(F61=0,0,H61/F61*1000)</f>
        <v>0.768787238131847</v>
      </c>
      <c r="J61" s="6" t="n">
        <v>10</v>
      </c>
      <c r="K61" s="9" t="n">
        <f aca="false">IF(F61=0,0,J61/F61*100)</f>
        <v>0.192196809532962</v>
      </c>
      <c r="L61" s="6" t="n">
        <v>50.1</v>
      </c>
      <c r="M61" s="32" t="s">
        <v>100</v>
      </c>
    </row>
    <row r="62" customFormat="false" ht="15" hidden="false" customHeight="false" outlineLevel="0" collapsed="false">
      <c r="A62" s="6" t="s">
        <v>25</v>
      </c>
      <c r="B62" s="6" t="s">
        <v>167</v>
      </c>
      <c r="C62" s="6" t="n">
        <v>15</v>
      </c>
      <c r="D62" s="6" t="n">
        <v>14</v>
      </c>
      <c r="E62" s="12" t="s">
        <v>183</v>
      </c>
      <c r="F62" s="7" t="n">
        <v>1326</v>
      </c>
      <c r="G62" s="6" t="n">
        <v>1</v>
      </c>
      <c r="H62" s="6" t="n">
        <v>1</v>
      </c>
      <c r="I62" s="29" t="n">
        <f aca="false">IF(F62=0,0,H62/F62*1000)</f>
        <v>0.754147812971342</v>
      </c>
      <c r="J62" s="6" t="n">
        <v>4</v>
      </c>
      <c r="K62" s="9" t="n">
        <f aca="false">IF(F62=0,0,J62/F62*100)</f>
        <v>0.301659125188537</v>
      </c>
      <c r="L62" s="6" t="n">
        <v>53.6</v>
      </c>
      <c r="M62" s="32" t="s">
        <v>100</v>
      </c>
    </row>
    <row r="63" customFormat="false" ht="15" hidden="false" customHeight="false" outlineLevel="0" collapsed="false">
      <c r="A63" s="6" t="s">
        <v>25</v>
      </c>
      <c r="B63" s="6" t="s">
        <v>112</v>
      </c>
      <c r="C63" s="6" t="n">
        <v>10</v>
      </c>
      <c r="D63" s="6" t="n">
        <v>14</v>
      </c>
      <c r="E63" s="12" t="s">
        <v>184</v>
      </c>
      <c r="F63" s="7" t="n">
        <v>1333</v>
      </c>
      <c r="G63" s="6" t="n">
        <v>0</v>
      </c>
      <c r="H63" s="6" t="n">
        <v>1</v>
      </c>
      <c r="I63" s="29" t="n">
        <f aca="false">IF(F63=0,0,H63/F63*1000)</f>
        <v>0.750187546886722</v>
      </c>
      <c r="J63" s="6" t="n">
        <v>5</v>
      </c>
      <c r="K63" s="9" t="n">
        <f aca="false">IF(F63=0,0,J63/F63*100)</f>
        <v>0.375093773443361</v>
      </c>
      <c r="L63" s="6" t="n">
        <v>56.1</v>
      </c>
      <c r="M63" s="32" t="s">
        <v>100</v>
      </c>
    </row>
    <row r="64" customFormat="false" ht="15" hidden="false" customHeight="false" outlineLevel="0" collapsed="false">
      <c r="A64" s="6" t="s">
        <v>21</v>
      </c>
      <c r="B64" s="6" t="s">
        <v>158</v>
      </c>
      <c r="C64" s="6" t="n">
        <v>25</v>
      </c>
      <c r="D64" s="6" t="n">
        <v>18</v>
      </c>
      <c r="E64" s="12" t="s">
        <v>185</v>
      </c>
      <c r="F64" s="7" t="n">
        <v>1339</v>
      </c>
      <c r="G64" s="6" t="n">
        <v>0</v>
      </c>
      <c r="H64" s="6" t="n">
        <v>1</v>
      </c>
      <c r="I64" s="29" t="n">
        <f aca="false">IF(F64=0,0,H64/F64*1000)</f>
        <v>0.746825989544436</v>
      </c>
      <c r="J64" s="6" t="n">
        <v>4</v>
      </c>
      <c r="K64" s="9" t="n">
        <f aca="false">IF(F64=0,0,J64/F64*100)</f>
        <v>0.298730395817775</v>
      </c>
      <c r="L64" s="6" t="n">
        <v>49</v>
      </c>
      <c r="M64" s="33" t="s">
        <v>107</v>
      </c>
    </row>
    <row r="65" customFormat="false" ht="15" hidden="false" customHeight="false" outlineLevel="0" collapsed="false">
      <c r="A65" s="6" t="s">
        <v>25</v>
      </c>
      <c r="B65" s="6" t="s">
        <v>112</v>
      </c>
      <c r="C65" s="6" t="n">
        <v>10</v>
      </c>
      <c r="D65" s="6" t="n">
        <v>14</v>
      </c>
      <c r="E65" s="6" t="s">
        <v>186</v>
      </c>
      <c r="F65" s="7" t="n">
        <v>1345</v>
      </c>
      <c r="G65" s="6" t="n">
        <v>2</v>
      </c>
      <c r="H65" s="6" t="n">
        <v>1</v>
      </c>
      <c r="I65" s="29" t="n">
        <f aca="false">IF(F65=0,0,H65/F65*1000)</f>
        <v>0.743494423791822</v>
      </c>
      <c r="J65" s="6" t="n">
        <v>4</v>
      </c>
      <c r="K65" s="9" t="n">
        <f aca="false">IF(F65=0,0,J65/F65*100)</f>
        <v>0.297397769516729</v>
      </c>
      <c r="L65" s="6" t="n">
        <v>80.9</v>
      </c>
      <c r="M65" s="33" t="s">
        <v>107</v>
      </c>
    </row>
    <row r="66" customFormat="false" ht="15" hidden="false" customHeight="false" outlineLevel="0" collapsed="false">
      <c r="A66" s="6" t="s">
        <v>19</v>
      </c>
      <c r="B66" s="6" t="s">
        <v>128</v>
      </c>
      <c r="C66" s="6" t="n">
        <v>24</v>
      </c>
      <c r="D66" s="6" t="n">
        <v>21</v>
      </c>
      <c r="E66" s="12" t="s">
        <v>187</v>
      </c>
      <c r="F66" s="7" t="n">
        <v>1366</v>
      </c>
      <c r="G66" s="6" t="n">
        <v>0</v>
      </c>
      <c r="H66" s="6" t="n">
        <v>1</v>
      </c>
      <c r="I66" s="29" t="n">
        <f aca="false">IF(F66=0,0,H66/F66*1000)</f>
        <v>0.732064421669107</v>
      </c>
      <c r="J66" s="6" t="n">
        <v>3</v>
      </c>
      <c r="K66" s="9" t="n">
        <f aca="false">IF(F66=0,0,J66/F66*100)</f>
        <v>0.219619326500732</v>
      </c>
      <c r="L66" s="6" t="n">
        <v>49.9</v>
      </c>
      <c r="M66" s="33" t="s">
        <v>107</v>
      </c>
    </row>
    <row r="67" customFormat="false" ht="15" hidden="false" customHeight="false" outlineLevel="0" collapsed="false">
      <c r="A67" s="6" t="s">
        <v>21</v>
      </c>
      <c r="B67" s="6" t="s">
        <v>154</v>
      </c>
      <c r="C67" s="6" t="n">
        <v>29</v>
      </c>
      <c r="D67" s="6" t="n">
        <v>18</v>
      </c>
      <c r="E67" s="12" t="s">
        <v>188</v>
      </c>
      <c r="F67" s="7" t="n">
        <v>1446</v>
      </c>
      <c r="G67" s="6" t="n">
        <v>0</v>
      </c>
      <c r="H67" s="6" t="n">
        <v>1</v>
      </c>
      <c r="I67" s="29" t="n">
        <f aca="false">IF(F67=0,0,H67/F67*1000)</f>
        <v>0.691562932226833</v>
      </c>
      <c r="J67" s="6" t="n">
        <v>7</v>
      </c>
      <c r="K67" s="9" t="n">
        <f aca="false">IF(F67=0,0,J67/F67*100)</f>
        <v>0.484094052558783</v>
      </c>
      <c r="L67" s="6" t="n">
        <v>53.7</v>
      </c>
      <c r="M67" s="32" t="s">
        <v>100</v>
      </c>
    </row>
    <row r="68" customFormat="false" ht="15" hidden="false" customHeight="false" outlineLevel="0" collapsed="false">
      <c r="A68" s="6" t="s">
        <v>25</v>
      </c>
      <c r="B68" s="6" t="s">
        <v>112</v>
      </c>
      <c r="C68" s="6" t="n">
        <v>10</v>
      </c>
      <c r="D68" s="6" t="n">
        <v>17</v>
      </c>
      <c r="E68" s="12" t="s">
        <v>189</v>
      </c>
      <c r="F68" s="7" t="n">
        <v>1482</v>
      </c>
      <c r="G68" s="6" t="n">
        <v>0</v>
      </c>
      <c r="H68" s="6" t="n">
        <v>1</v>
      </c>
      <c r="I68" s="29" t="n">
        <f aca="false">IF(F68=0,0,H68/F68*1000)</f>
        <v>0.674763832658569</v>
      </c>
      <c r="J68" s="6" t="n">
        <v>2</v>
      </c>
      <c r="K68" s="9" t="n">
        <f aca="false">IF(F68=0,0,J68/F68*100)</f>
        <v>0.134952766531714</v>
      </c>
      <c r="L68" s="6" t="n">
        <v>59.2</v>
      </c>
      <c r="M68" s="32" t="s">
        <v>100</v>
      </c>
    </row>
    <row r="69" customFormat="false" ht="15" hidden="false" customHeight="false" outlineLevel="0" collapsed="false">
      <c r="A69" s="6" t="s">
        <v>21</v>
      </c>
      <c r="B69" s="6" t="s">
        <v>128</v>
      </c>
      <c r="C69" s="6" t="n">
        <v>24</v>
      </c>
      <c r="D69" s="6" t="n">
        <v>18</v>
      </c>
      <c r="E69" s="12" t="s">
        <v>190</v>
      </c>
      <c r="F69" s="7" t="n">
        <v>1567</v>
      </c>
      <c r="G69" s="6" t="n">
        <v>0</v>
      </c>
      <c r="H69" s="6" t="n">
        <v>1</v>
      </c>
      <c r="I69" s="29" t="n">
        <f aca="false">IF(F69=0,0,H69/F69*1000)</f>
        <v>0.638162093171666</v>
      </c>
      <c r="J69" s="6" t="n">
        <v>3</v>
      </c>
      <c r="K69" s="9" t="n">
        <f aca="false">IF(F69=0,0,J69/F69*100)</f>
        <v>0.1914486279515</v>
      </c>
      <c r="L69" s="6" t="n">
        <v>54.5</v>
      </c>
      <c r="M69" s="33" t="s">
        <v>107</v>
      </c>
    </row>
    <row r="70" customFormat="false" ht="15" hidden="false" customHeight="false" outlineLevel="0" collapsed="false">
      <c r="A70" s="6" t="s">
        <v>25</v>
      </c>
      <c r="B70" s="6" t="s">
        <v>146</v>
      </c>
      <c r="C70" s="6" t="n">
        <v>13</v>
      </c>
      <c r="D70" s="6" t="n">
        <v>17</v>
      </c>
      <c r="E70" s="12" t="s">
        <v>191</v>
      </c>
      <c r="F70" s="7" t="n">
        <v>1671</v>
      </c>
      <c r="G70" s="6" t="n">
        <v>3</v>
      </c>
      <c r="H70" s="6" t="n">
        <v>1</v>
      </c>
      <c r="I70" s="29" t="n">
        <f aca="false">IF(F70=0,0,H70/F70*1000)</f>
        <v>0.598444045481748</v>
      </c>
      <c r="J70" s="6" t="n">
        <v>3</v>
      </c>
      <c r="K70" s="9" t="n">
        <f aca="false">IF(F70=0,0,J70/F70*100)</f>
        <v>0.179533213644524</v>
      </c>
      <c r="L70" s="6" t="n">
        <v>58.7</v>
      </c>
      <c r="M70" s="32" t="s">
        <v>100</v>
      </c>
    </row>
    <row r="71" customFormat="false" ht="15" hidden="false" customHeight="false" outlineLevel="0" collapsed="false">
      <c r="A71" s="6" t="s">
        <v>25</v>
      </c>
      <c r="B71" s="6" t="s">
        <v>114</v>
      </c>
      <c r="C71" s="6" t="n">
        <v>4</v>
      </c>
      <c r="D71" s="6" t="n">
        <v>17</v>
      </c>
      <c r="E71" s="12" t="s">
        <v>192</v>
      </c>
      <c r="F71" s="7" t="n">
        <v>1680</v>
      </c>
      <c r="G71" s="6" t="n">
        <v>91</v>
      </c>
      <c r="H71" s="6" t="n">
        <v>1</v>
      </c>
      <c r="I71" s="29" t="n">
        <f aca="false">IF(F71=0,0,H71/F71*1000)</f>
        <v>0.595238095238095</v>
      </c>
      <c r="J71" s="6" t="n">
        <v>7</v>
      </c>
      <c r="K71" s="9" t="n">
        <f aca="false">IF(F71=0,0,J71/F71*100)</f>
        <v>0.416666666666667</v>
      </c>
      <c r="L71" s="6" t="n">
        <v>72.7</v>
      </c>
      <c r="M71" s="32" t="s">
        <v>100</v>
      </c>
    </row>
    <row r="72" customFormat="false" ht="15" hidden="false" customHeight="false" outlineLevel="0" collapsed="false">
      <c r="A72" s="6" t="s">
        <v>25</v>
      </c>
      <c r="B72" s="6" t="s">
        <v>154</v>
      </c>
      <c r="C72" s="6" t="n">
        <v>29</v>
      </c>
      <c r="D72" s="6" t="n">
        <v>10</v>
      </c>
      <c r="E72" s="12" t="s">
        <v>193</v>
      </c>
      <c r="F72" s="7" t="n">
        <v>1682</v>
      </c>
      <c r="G72" s="6" t="n">
        <v>3</v>
      </c>
      <c r="H72" s="6" t="n">
        <v>1</v>
      </c>
      <c r="I72" s="29" t="n">
        <f aca="false">IF(F72=0,0,H72/F72*1000)</f>
        <v>0.594530321046373</v>
      </c>
      <c r="J72" s="6" t="n">
        <v>10</v>
      </c>
      <c r="K72" s="9" t="n">
        <f aca="false">IF(F72=0,0,J72/F72*100)</f>
        <v>0.594530321046373</v>
      </c>
      <c r="L72" s="6" t="n">
        <v>53.1</v>
      </c>
      <c r="M72" s="32" t="s">
        <v>100</v>
      </c>
    </row>
    <row r="73" customFormat="false" ht="15" hidden="false" customHeight="false" outlineLevel="0" collapsed="false">
      <c r="A73" s="6" t="s">
        <v>23</v>
      </c>
      <c r="B73" s="6" t="s">
        <v>152</v>
      </c>
      <c r="C73" s="6" t="n">
        <v>20</v>
      </c>
      <c r="D73" s="6" t="n">
        <v>19</v>
      </c>
      <c r="E73" s="12" t="s">
        <v>194</v>
      </c>
      <c r="F73" s="7" t="n">
        <v>1909</v>
      </c>
      <c r="G73" s="6" t="n">
        <v>1</v>
      </c>
      <c r="H73" s="6" t="n">
        <v>1</v>
      </c>
      <c r="I73" s="29" t="n">
        <f aca="false">IF(F73=0,0,H73/F73*1000)</f>
        <v>0.523834468308015</v>
      </c>
      <c r="J73" s="6" t="n">
        <v>7</v>
      </c>
      <c r="K73" s="9" t="n">
        <f aca="false">IF(F73=0,0,J73/F73*100)</f>
        <v>0.36668412781561</v>
      </c>
      <c r="L73" s="6" t="n">
        <v>57.4</v>
      </c>
      <c r="M73" s="32" t="s">
        <v>100</v>
      </c>
    </row>
    <row r="74" customFormat="false" ht="15" hidden="false" customHeight="false" outlineLevel="0" collapsed="false">
      <c r="A74" s="6" t="s">
        <v>23</v>
      </c>
      <c r="B74" s="6" t="s">
        <v>179</v>
      </c>
      <c r="C74" s="6" t="n">
        <v>21</v>
      </c>
      <c r="D74" s="6" t="n">
        <v>19</v>
      </c>
      <c r="E74" s="12" t="s">
        <v>195</v>
      </c>
      <c r="F74" s="7" t="n">
        <v>2347</v>
      </c>
      <c r="G74" s="6" t="n">
        <v>1</v>
      </c>
      <c r="H74" s="6" t="n">
        <v>0</v>
      </c>
      <c r="I74" s="11" t="n">
        <f aca="false">IF(F74=0,0,H74/F74*1000)</f>
        <v>0</v>
      </c>
      <c r="J74" s="6" t="n">
        <v>3</v>
      </c>
      <c r="K74" s="9" t="n">
        <f aca="false">IF(F74=0,0,J74/F74*100)</f>
        <v>0.127822752449936</v>
      </c>
      <c r="L74" s="6" t="n">
        <v>34.3</v>
      </c>
      <c r="M74" s="32" t="s">
        <v>100</v>
      </c>
    </row>
    <row r="75" customFormat="false" ht="15" hidden="false" customHeight="false" outlineLevel="0" collapsed="false">
      <c r="A75" s="6" t="s">
        <v>23</v>
      </c>
      <c r="B75" s="6" t="s">
        <v>158</v>
      </c>
      <c r="C75" s="6" t="n">
        <v>25</v>
      </c>
      <c r="D75" s="6" t="n">
        <v>19</v>
      </c>
      <c r="E75" s="12" t="s">
        <v>196</v>
      </c>
      <c r="F75" s="7" t="n">
        <v>2255</v>
      </c>
      <c r="G75" s="6" t="n">
        <v>2</v>
      </c>
      <c r="H75" s="6" t="n">
        <v>0</v>
      </c>
      <c r="I75" s="11" t="n">
        <f aca="false">IF(F75=0,0,H75/F75*1000)</f>
        <v>0</v>
      </c>
      <c r="J75" s="6" t="n">
        <v>11</v>
      </c>
      <c r="K75" s="9" t="n">
        <f aca="false">IF(F75=0,0,J75/F75*100)</f>
        <v>0.487804878048781</v>
      </c>
      <c r="L75" s="6" t="n">
        <v>85.8</v>
      </c>
      <c r="M75" s="32" t="s">
        <v>100</v>
      </c>
    </row>
    <row r="76" customFormat="false" ht="15" hidden="false" customHeight="false" outlineLevel="0" collapsed="false">
      <c r="A76" s="6" t="s">
        <v>21</v>
      </c>
      <c r="B76" s="6" t="s">
        <v>179</v>
      </c>
      <c r="C76" s="6" t="n">
        <v>21</v>
      </c>
      <c r="D76" s="6" t="n">
        <v>18</v>
      </c>
      <c r="E76" s="12" t="s">
        <v>197</v>
      </c>
      <c r="F76" s="7" t="n">
        <v>1971</v>
      </c>
      <c r="G76" s="6" t="n">
        <v>0</v>
      </c>
      <c r="H76" s="6" t="n">
        <v>0</v>
      </c>
      <c r="I76" s="11" t="n">
        <f aca="false">IF(F76=0,0,H76/F76*1000)</f>
        <v>0</v>
      </c>
      <c r="J76" s="6" t="n">
        <v>5</v>
      </c>
      <c r="K76" s="9" t="n">
        <f aca="false">IF(F76=0,0,J76/F76*100)</f>
        <v>0.253678335870117</v>
      </c>
      <c r="L76" s="6" t="n">
        <v>69.4</v>
      </c>
      <c r="M76" s="33" t="s">
        <v>107</v>
      </c>
    </row>
    <row r="77" customFormat="false" ht="15" hidden="false" customHeight="false" outlineLevel="0" collapsed="false">
      <c r="A77" s="6" t="s">
        <v>23</v>
      </c>
      <c r="B77" s="6" t="s">
        <v>128</v>
      </c>
      <c r="C77" s="6" t="n">
        <v>24</v>
      </c>
      <c r="D77" s="6" t="n">
        <v>19</v>
      </c>
      <c r="E77" s="12" t="s">
        <v>198</v>
      </c>
      <c r="F77" s="7" t="n">
        <v>1953</v>
      </c>
      <c r="G77" s="6" t="n">
        <v>1</v>
      </c>
      <c r="H77" s="6" t="n">
        <v>0</v>
      </c>
      <c r="I77" s="11" t="n">
        <f aca="false">IF(F77=0,0,H77/F77*1000)</f>
        <v>0</v>
      </c>
      <c r="J77" s="6" t="n">
        <v>2</v>
      </c>
      <c r="K77" s="9" t="n">
        <f aca="false">IF(F77=0,0,J77/F77*100)</f>
        <v>0.102406554019457</v>
      </c>
      <c r="L77" s="6" t="n">
        <v>76.3</v>
      </c>
      <c r="M77" s="33" t="s">
        <v>107</v>
      </c>
    </row>
    <row r="78" customFormat="false" ht="15" hidden="false" customHeight="false" outlineLevel="0" collapsed="false">
      <c r="A78" s="6" t="s">
        <v>25</v>
      </c>
      <c r="B78" s="6" t="s">
        <v>139</v>
      </c>
      <c r="C78" s="6" t="n">
        <v>14</v>
      </c>
      <c r="D78" s="6" t="n">
        <v>17</v>
      </c>
      <c r="E78" s="12" t="s">
        <v>199</v>
      </c>
      <c r="F78" s="7" t="n">
        <v>1937</v>
      </c>
      <c r="G78" s="6" t="n">
        <v>1</v>
      </c>
      <c r="H78" s="6" t="n">
        <v>0</v>
      </c>
      <c r="I78" s="11" t="n">
        <f aca="false">IF(F78=0,0,H78/F78*1000)</f>
        <v>0</v>
      </c>
      <c r="J78" s="6" t="n">
        <v>2</v>
      </c>
      <c r="K78" s="9" t="n">
        <f aca="false">IF(F78=0,0,J78/F78*100)</f>
        <v>0.103252452245741</v>
      </c>
      <c r="L78" s="6" t="n">
        <v>68.4</v>
      </c>
      <c r="M78" s="32" t="s">
        <v>100</v>
      </c>
    </row>
    <row r="79" customFormat="false" ht="15" hidden="false" customHeight="false" outlineLevel="0" collapsed="false">
      <c r="A79" s="6" t="s">
        <v>23</v>
      </c>
      <c r="B79" s="6" t="s">
        <v>200</v>
      </c>
      <c r="C79" s="6" t="n">
        <v>28</v>
      </c>
      <c r="D79" s="6" t="n">
        <v>19</v>
      </c>
      <c r="E79" s="12" t="s">
        <v>201</v>
      </c>
      <c r="F79" s="7" t="n">
        <v>1917</v>
      </c>
      <c r="G79" s="6" t="n">
        <v>0</v>
      </c>
      <c r="H79" s="6" t="n">
        <v>0</v>
      </c>
      <c r="I79" s="11" t="n">
        <f aca="false">IF(F79=0,0,H79/F79*1000)</f>
        <v>0</v>
      </c>
      <c r="J79" s="6" t="n">
        <v>8</v>
      </c>
      <c r="K79" s="9" t="n">
        <f aca="false">IF(F79=0,0,J79/F79*100)</f>
        <v>0.417318727177882</v>
      </c>
      <c r="L79" s="6" t="n">
        <v>54.4</v>
      </c>
      <c r="M79" s="32" t="s">
        <v>100</v>
      </c>
    </row>
    <row r="80" customFormat="false" ht="15" hidden="false" customHeight="false" outlineLevel="0" collapsed="false">
      <c r="A80" s="6" t="s">
        <v>23</v>
      </c>
      <c r="B80" s="6" t="s">
        <v>103</v>
      </c>
      <c r="C80" s="6" t="n">
        <v>30</v>
      </c>
      <c r="D80" s="6" t="n">
        <v>23</v>
      </c>
      <c r="E80" s="12" t="s">
        <v>202</v>
      </c>
      <c r="F80" s="7" t="n">
        <v>1888</v>
      </c>
      <c r="G80" s="6" t="n">
        <v>0</v>
      </c>
      <c r="H80" s="6" t="n">
        <v>0</v>
      </c>
      <c r="I80" s="11" t="n">
        <f aca="false">IF(F80=0,0,H80/F80*1000)</f>
        <v>0</v>
      </c>
      <c r="J80" s="6" t="n">
        <v>5</v>
      </c>
      <c r="K80" s="9" t="n">
        <f aca="false">IF(F80=0,0,J80/F80*100)</f>
        <v>0.264830508474576</v>
      </c>
      <c r="L80" s="6" t="n">
        <v>50.2</v>
      </c>
      <c r="M80" s="32" t="s">
        <v>100</v>
      </c>
    </row>
    <row r="81" customFormat="false" ht="15" hidden="false" customHeight="false" outlineLevel="0" collapsed="false">
      <c r="A81" s="6" t="s">
        <v>19</v>
      </c>
      <c r="B81" s="6" t="s">
        <v>133</v>
      </c>
      <c r="C81" s="6" t="n">
        <v>19</v>
      </c>
      <c r="D81" s="6" t="n">
        <v>17</v>
      </c>
      <c r="E81" s="6" t="s">
        <v>203</v>
      </c>
      <c r="F81" s="7" t="n">
        <v>1814</v>
      </c>
      <c r="G81" s="6" t="n">
        <v>0</v>
      </c>
      <c r="H81" s="6" t="n">
        <v>0</v>
      </c>
      <c r="I81" s="11" t="n">
        <f aca="false">IF(F81=0,0,H81/F81*1000)</f>
        <v>0</v>
      </c>
      <c r="J81" s="6" t="n">
        <v>4</v>
      </c>
      <c r="K81" s="9" t="n">
        <f aca="false">IF(F81=0,0,J81/F81*100)</f>
        <v>0.220507166482911</v>
      </c>
      <c r="L81" s="6" t="n">
        <v>41.9</v>
      </c>
      <c r="M81" s="32" t="s">
        <v>100</v>
      </c>
    </row>
    <row r="82" customFormat="false" ht="15" hidden="false" customHeight="false" outlineLevel="0" collapsed="false">
      <c r="A82" s="6" t="s">
        <v>21</v>
      </c>
      <c r="B82" s="6" t="s">
        <v>123</v>
      </c>
      <c r="C82" s="6" t="n">
        <v>26</v>
      </c>
      <c r="D82" s="6" t="n">
        <v>18</v>
      </c>
      <c r="E82" s="12" t="s">
        <v>204</v>
      </c>
      <c r="F82" s="7" t="n">
        <v>1789</v>
      </c>
      <c r="G82" s="6" t="n">
        <v>0</v>
      </c>
      <c r="H82" s="6" t="n">
        <v>0</v>
      </c>
      <c r="I82" s="11" t="n">
        <f aca="false">IF(F82=0,0,H82/F82*1000)</f>
        <v>0</v>
      </c>
      <c r="J82" s="6" t="n">
        <v>7</v>
      </c>
      <c r="K82" s="9" t="n">
        <f aca="false">IF(F82=0,0,J82/F82*100)</f>
        <v>0.391280044717719</v>
      </c>
      <c r="L82" s="6" t="n">
        <v>55.1</v>
      </c>
      <c r="M82" s="32" t="s">
        <v>100</v>
      </c>
    </row>
    <row r="83" customFormat="false" ht="15" hidden="false" customHeight="false" outlineLevel="0" collapsed="false">
      <c r="A83" s="6" t="s">
        <v>23</v>
      </c>
      <c r="B83" s="6" t="s">
        <v>125</v>
      </c>
      <c r="C83" s="6" t="n">
        <v>27</v>
      </c>
      <c r="D83" s="6" t="n">
        <v>19</v>
      </c>
      <c r="E83" s="12" t="s">
        <v>205</v>
      </c>
      <c r="F83" s="7" t="n">
        <v>1705</v>
      </c>
      <c r="G83" s="6" t="n">
        <v>0</v>
      </c>
      <c r="H83" s="6" t="n">
        <v>0</v>
      </c>
      <c r="I83" s="11" t="n">
        <f aca="false">IF(F83=0,0,H83/F83*1000)</f>
        <v>0</v>
      </c>
      <c r="J83" s="6" t="n">
        <v>7</v>
      </c>
      <c r="K83" s="9" t="n">
        <f aca="false">IF(F83=0,0,J83/F83*100)</f>
        <v>0.410557184750733</v>
      </c>
      <c r="L83" s="6" t="n">
        <v>49.6</v>
      </c>
      <c r="M83" s="32" t="s">
        <v>100</v>
      </c>
    </row>
    <row r="84" customFormat="false" ht="15" hidden="false" customHeight="false" outlineLevel="0" collapsed="false">
      <c r="A84" s="6" t="s">
        <v>23</v>
      </c>
      <c r="B84" s="6" t="s">
        <v>123</v>
      </c>
      <c r="C84" s="6" t="n">
        <v>26</v>
      </c>
      <c r="D84" s="6" t="n">
        <v>19</v>
      </c>
      <c r="E84" s="12" t="s">
        <v>206</v>
      </c>
      <c r="F84" s="7" t="n">
        <v>1693</v>
      </c>
      <c r="G84" s="6" t="n">
        <v>0</v>
      </c>
      <c r="H84" s="6" t="n">
        <v>0</v>
      </c>
      <c r="I84" s="11" t="n">
        <f aca="false">IF(F84=0,0,H84/F84*1000)</f>
        <v>0</v>
      </c>
      <c r="J84" s="6" t="n">
        <v>4</v>
      </c>
      <c r="K84" s="9" t="n">
        <f aca="false">IF(F84=0,0,J84/F84*100)</f>
        <v>0.236266981689309</v>
      </c>
      <c r="L84" s="6" t="n">
        <v>38.7</v>
      </c>
      <c r="M84" s="32" t="s">
        <v>100</v>
      </c>
    </row>
    <row r="85" customFormat="false" ht="15" hidden="false" customHeight="false" outlineLevel="0" collapsed="false">
      <c r="A85" s="6" t="s">
        <v>21</v>
      </c>
      <c r="B85" s="6" t="s">
        <v>125</v>
      </c>
      <c r="C85" s="6" t="n">
        <v>27</v>
      </c>
      <c r="D85" s="6" t="n">
        <v>18</v>
      </c>
      <c r="E85" s="12" t="s">
        <v>207</v>
      </c>
      <c r="F85" s="7" t="n">
        <v>1679</v>
      </c>
      <c r="G85" s="6" t="n">
        <v>0</v>
      </c>
      <c r="H85" s="6" t="n">
        <v>0</v>
      </c>
      <c r="I85" s="11" t="n">
        <f aca="false">IF(F85=0,0,H85/F85*1000)</f>
        <v>0</v>
      </c>
      <c r="J85" s="6" t="n">
        <v>0</v>
      </c>
      <c r="K85" s="9" t="n">
        <f aca="false">IF(F85=0,0,J85/F85*100)</f>
        <v>0</v>
      </c>
      <c r="L85" s="6" t="n">
        <v>57</v>
      </c>
      <c r="M85" s="32" t="s">
        <v>100</v>
      </c>
    </row>
    <row r="86" customFormat="false" ht="15" hidden="false" customHeight="false" outlineLevel="0" collapsed="false">
      <c r="A86" s="6" t="s">
        <v>23</v>
      </c>
      <c r="B86" s="6" t="s">
        <v>154</v>
      </c>
      <c r="C86" s="6" t="n">
        <v>29</v>
      </c>
      <c r="D86" s="6" t="n">
        <v>10</v>
      </c>
      <c r="E86" s="6" t="s">
        <v>208</v>
      </c>
      <c r="F86" s="7" t="n">
        <v>1669</v>
      </c>
      <c r="G86" s="6" t="n">
        <v>0</v>
      </c>
      <c r="H86" s="6" t="n">
        <v>0</v>
      </c>
      <c r="I86" s="11" t="n">
        <f aca="false">IF(F86=0,0,H86/F86*1000)</f>
        <v>0</v>
      </c>
      <c r="J86" s="6" t="n">
        <v>4</v>
      </c>
      <c r="K86" s="9" t="n">
        <f aca="false">IF(F86=0,0,J86/F86*100)</f>
        <v>0.239664469742361</v>
      </c>
      <c r="L86" s="6" t="n">
        <v>76.5</v>
      </c>
      <c r="M86" s="32" t="s">
        <v>100</v>
      </c>
    </row>
    <row r="87" customFormat="false" ht="15" hidden="false" customHeight="false" outlineLevel="0" collapsed="false">
      <c r="A87" s="6" t="s">
        <v>19</v>
      </c>
      <c r="B87" s="6" t="s">
        <v>130</v>
      </c>
      <c r="C87" s="6" t="n">
        <v>23</v>
      </c>
      <c r="D87" s="6" t="n">
        <v>9</v>
      </c>
      <c r="E87" s="12" t="s">
        <v>209</v>
      </c>
      <c r="F87" s="7" t="n">
        <v>1656</v>
      </c>
      <c r="G87" s="6" t="n">
        <v>0</v>
      </c>
      <c r="H87" s="6" t="n">
        <v>0</v>
      </c>
      <c r="I87" s="11" t="n">
        <f aca="false">IF(F87=0,0,H87/F87*1000)</f>
        <v>0</v>
      </c>
      <c r="J87" s="6" t="n">
        <v>4</v>
      </c>
      <c r="K87" s="9" t="n">
        <f aca="false">IF(F87=0,0,J87/F87*100)</f>
        <v>0.241545893719807</v>
      </c>
      <c r="L87" s="6" t="n">
        <v>64.2</v>
      </c>
      <c r="M87" s="33" t="s">
        <v>107</v>
      </c>
    </row>
    <row r="88" customFormat="false" ht="15" hidden="false" customHeight="false" outlineLevel="0" collapsed="false">
      <c r="A88" s="6" t="s">
        <v>21</v>
      </c>
      <c r="B88" s="6" t="s">
        <v>152</v>
      </c>
      <c r="C88" s="6" t="n">
        <v>20</v>
      </c>
      <c r="D88" s="6" t="n">
        <v>18</v>
      </c>
      <c r="E88" s="12" t="s">
        <v>210</v>
      </c>
      <c r="F88" s="7" t="n">
        <v>1637</v>
      </c>
      <c r="G88" s="6" t="n">
        <v>0</v>
      </c>
      <c r="H88" s="6" t="n">
        <v>0</v>
      </c>
      <c r="I88" s="11" t="n">
        <f aca="false">IF(F88=0,0,H88/F88*1000)</f>
        <v>0</v>
      </c>
      <c r="J88" s="6" t="n">
        <v>5</v>
      </c>
      <c r="K88" s="9" t="n">
        <f aca="false">IF(F88=0,0,J88/F88*100)</f>
        <v>0.30543677458766</v>
      </c>
      <c r="L88" s="6" t="n">
        <v>70.9</v>
      </c>
      <c r="M88" s="33" t="s">
        <v>107</v>
      </c>
    </row>
    <row r="89" customFormat="false" ht="15" hidden="false" customHeight="false" outlineLevel="0" collapsed="false">
      <c r="A89" s="6" t="s">
        <v>21</v>
      </c>
      <c r="B89" s="6" t="s">
        <v>130</v>
      </c>
      <c r="C89" s="6" t="n">
        <v>23</v>
      </c>
      <c r="D89" s="6" t="n">
        <v>18</v>
      </c>
      <c r="E89" s="12" t="s">
        <v>211</v>
      </c>
      <c r="F89" s="7" t="n">
        <v>1557</v>
      </c>
      <c r="G89" s="6" t="n">
        <v>0</v>
      </c>
      <c r="H89" s="6" t="n">
        <v>0</v>
      </c>
      <c r="I89" s="11" t="n">
        <f aca="false">IF(F89=0,0,H89/F89*1000)</f>
        <v>0</v>
      </c>
      <c r="J89" s="6" t="n">
        <v>2</v>
      </c>
      <c r="K89" s="9" t="n">
        <f aca="false">IF(F89=0,0,J89/F89*100)</f>
        <v>0.128452151573539</v>
      </c>
      <c r="L89" s="6" t="n">
        <v>65.3</v>
      </c>
      <c r="M89" s="33" t="s">
        <v>107</v>
      </c>
    </row>
    <row r="90" customFormat="false" ht="15" hidden="false" customHeight="false" outlineLevel="0" collapsed="false">
      <c r="A90" s="6" t="s">
        <v>19</v>
      </c>
      <c r="B90" s="6" t="s">
        <v>158</v>
      </c>
      <c r="C90" s="6" t="n">
        <v>25</v>
      </c>
      <c r="D90" s="6" t="n">
        <v>9</v>
      </c>
      <c r="E90" s="12" t="s">
        <v>212</v>
      </c>
      <c r="F90" s="7" t="n">
        <v>1439</v>
      </c>
      <c r="G90" s="6" t="n">
        <v>0</v>
      </c>
      <c r="H90" s="6" t="n">
        <v>0</v>
      </c>
      <c r="I90" s="11" t="n">
        <f aca="false">IF(F90=0,0,H90/F90*1000)</f>
        <v>0</v>
      </c>
      <c r="J90" s="6" t="n">
        <v>3</v>
      </c>
      <c r="K90" s="9" t="n">
        <f aca="false">IF(F90=0,0,J90/F90*100)</f>
        <v>0.208478109798471</v>
      </c>
      <c r="L90" s="6" t="n">
        <v>66.4</v>
      </c>
      <c r="M90" s="33" t="s">
        <v>107</v>
      </c>
    </row>
    <row r="91" customFormat="false" ht="15" hidden="false" customHeight="false" outlineLevel="0" collapsed="false">
      <c r="A91" s="6" t="s">
        <v>25</v>
      </c>
      <c r="B91" s="6" t="s">
        <v>98</v>
      </c>
      <c r="C91" s="6" t="n">
        <v>16</v>
      </c>
      <c r="D91" s="6" t="n">
        <v>14</v>
      </c>
      <c r="E91" s="6" t="s">
        <v>213</v>
      </c>
      <c r="F91" s="7" t="n">
        <v>1392</v>
      </c>
      <c r="G91" s="6" t="n">
        <v>1</v>
      </c>
      <c r="H91" s="6" t="n">
        <v>0</v>
      </c>
      <c r="I91" s="11" t="n">
        <f aca="false">IF(F91=0,0,H91/F91*1000)</f>
        <v>0</v>
      </c>
      <c r="J91" s="6" t="n">
        <v>9</v>
      </c>
      <c r="K91" s="9" t="n">
        <f aca="false">IF(F91=0,0,J91/F91*100)</f>
        <v>0.646551724137931</v>
      </c>
      <c r="L91" s="6" t="n">
        <v>47.9</v>
      </c>
      <c r="M91" s="32" t="s">
        <v>100</v>
      </c>
    </row>
    <row r="92" customFormat="false" ht="15" hidden="false" customHeight="false" outlineLevel="0" collapsed="false">
      <c r="A92" s="6" t="s">
        <v>19</v>
      </c>
      <c r="B92" s="6" t="s">
        <v>154</v>
      </c>
      <c r="C92" s="6" t="n">
        <v>29</v>
      </c>
      <c r="D92" s="6" t="n">
        <v>10</v>
      </c>
      <c r="E92" s="6" t="s">
        <v>214</v>
      </c>
      <c r="F92" s="7" t="n">
        <v>1360</v>
      </c>
      <c r="G92" s="6" t="n">
        <v>0</v>
      </c>
      <c r="H92" s="6" t="n">
        <v>0</v>
      </c>
      <c r="I92" s="11" t="n">
        <f aca="false">IF(F92=0,0,H92/F92*1000)</f>
        <v>0</v>
      </c>
      <c r="J92" s="6" t="n">
        <v>3</v>
      </c>
      <c r="K92" s="9" t="n">
        <f aca="false">IF(F92=0,0,J92/F92*100)</f>
        <v>0.220588235294118</v>
      </c>
      <c r="L92" s="6" t="n">
        <v>45.1</v>
      </c>
      <c r="M92" s="32" t="s">
        <v>100</v>
      </c>
    </row>
    <row r="93" customFormat="false" ht="15" hidden="false" customHeight="false" outlineLevel="0" collapsed="false">
      <c r="A93" s="6" t="s">
        <v>19</v>
      </c>
      <c r="B93" s="6" t="s">
        <v>179</v>
      </c>
      <c r="C93" s="6" t="n">
        <v>21</v>
      </c>
      <c r="D93" s="6" t="n">
        <v>18</v>
      </c>
      <c r="E93" s="12" t="s">
        <v>215</v>
      </c>
      <c r="F93" s="7" t="n">
        <v>1354</v>
      </c>
      <c r="G93" s="6" t="n">
        <v>0</v>
      </c>
      <c r="H93" s="6" t="n">
        <v>0</v>
      </c>
      <c r="I93" s="11" t="n">
        <f aca="false">IF(F93=0,0,H93/F93*1000)</f>
        <v>0</v>
      </c>
      <c r="J93" s="6" t="n">
        <v>4</v>
      </c>
      <c r="K93" s="9" t="n">
        <f aca="false">IF(F93=0,0,J93/F93*100)</f>
        <v>0.295420974889217</v>
      </c>
      <c r="L93" s="6" t="n">
        <v>57.2</v>
      </c>
      <c r="M93" s="33" t="s">
        <v>107</v>
      </c>
    </row>
    <row r="94" customFormat="false" ht="15" hidden="false" customHeight="false" outlineLevel="0" collapsed="false">
      <c r="A94" s="6" t="s">
        <v>19</v>
      </c>
      <c r="B94" s="6" t="s">
        <v>216</v>
      </c>
      <c r="C94" s="6" t="n">
        <v>22</v>
      </c>
      <c r="D94" s="6" t="n">
        <v>9</v>
      </c>
      <c r="E94" s="12" t="s">
        <v>217</v>
      </c>
      <c r="F94" s="7" t="n">
        <v>1350</v>
      </c>
      <c r="G94" s="6" t="n">
        <v>0</v>
      </c>
      <c r="H94" s="6" t="n">
        <v>0</v>
      </c>
      <c r="I94" s="11" t="n">
        <f aca="false">IF(F94=0,0,H94/F94*1000)</f>
        <v>0</v>
      </c>
      <c r="J94" s="6" t="n">
        <v>1</v>
      </c>
      <c r="K94" s="9" t="n">
        <f aca="false">IF(F94=0,0,J94/F94*100)</f>
        <v>0.0740740740740741</v>
      </c>
      <c r="L94" s="6" t="n">
        <v>72.2</v>
      </c>
      <c r="M94" s="33" t="s">
        <v>107</v>
      </c>
    </row>
    <row r="95" customFormat="false" ht="15" hidden="false" customHeight="false" outlineLevel="0" collapsed="false">
      <c r="A95" s="6" t="s">
        <v>25</v>
      </c>
      <c r="B95" s="6" t="s">
        <v>172</v>
      </c>
      <c r="C95" s="6" t="n">
        <v>9</v>
      </c>
      <c r="D95" s="6" t="n">
        <v>14</v>
      </c>
      <c r="E95" s="6" t="s">
        <v>218</v>
      </c>
      <c r="F95" s="7" t="n">
        <v>1348</v>
      </c>
      <c r="G95" s="6" t="n">
        <v>0</v>
      </c>
      <c r="H95" s="6" t="n">
        <v>0</v>
      </c>
      <c r="I95" s="11" t="n">
        <f aca="false">IF(F95=0,0,H95/F95*1000)</f>
        <v>0</v>
      </c>
      <c r="J95" s="6" t="n">
        <v>5</v>
      </c>
      <c r="K95" s="9" t="n">
        <f aca="false">IF(F95=0,0,J95/F95*100)</f>
        <v>0.370919881305638</v>
      </c>
      <c r="L95" s="6" t="n">
        <v>97.3</v>
      </c>
      <c r="M95" s="32" t="s">
        <v>100</v>
      </c>
    </row>
    <row r="96" customFormat="false" ht="15" hidden="false" customHeight="false" outlineLevel="0" collapsed="false">
      <c r="A96" s="6" t="s">
        <v>21</v>
      </c>
      <c r="B96" s="6" t="s">
        <v>133</v>
      </c>
      <c r="C96" s="6" t="n">
        <v>19</v>
      </c>
      <c r="D96" s="6" t="n">
        <v>17</v>
      </c>
      <c r="E96" s="12" t="s">
        <v>219</v>
      </c>
      <c r="F96" s="7" t="n">
        <v>1308</v>
      </c>
      <c r="G96" s="6" t="n">
        <v>0</v>
      </c>
      <c r="H96" s="6" t="n">
        <v>0</v>
      </c>
      <c r="I96" s="11" t="n">
        <f aca="false">IF(F96=0,0,H96/F96*1000)</f>
        <v>0</v>
      </c>
      <c r="J96" s="6" t="n">
        <v>1</v>
      </c>
      <c r="K96" s="9" t="n">
        <f aca="false">IF(F96=0,0,J96/F96*100)</f>
        <v>0.0764525993883792</v>
      </c>
      <c r="L96" s="6" t="n">
        <v>39.1</v>
      </c>
      <c r="M96" s="33" t="s">
        <v>107</v>
      </c>
    </row>
    <row r="97" customFormat="false" ht="15" hidden="false" customHeight="false" outlineLevel="0" collapsed="false">
      <c r="A97" s="6" t="s">
        <v>23</v>
      </c>
      <c r="B97" s="6" t="s">
        <v>154</v>
      </c>
      <c r="C97" s="6" t="n">
        <v>29</v>
      </c>
      <c r="D97" s="6" t="n">
        <v>19</v>
      </c>
      <c r="E97" s="12" t="s">
        <v>220</v>
      </c>
      <c r="F97" s="7" t="n">
        <v>1306</v>
      </c>
      <c r="G97" s="6" t="n">
        <v>2</v>
      </c>
      <c r="H97" s="6" t="n">
        <v>0</v>
      </c>
      <c r="I97" s="11" t="n">
        <f aca="false">IF(F97=0,0,H97/F97*1000)</f>
        <v>0</v>
      </c>
      <c r="J97" s="6" t="n">
        <v>4</v>
      </c>
      <c r="K97" s="9" t="n">
        <f aca="false">IF(F97=0,0,J97/F97*100)</f>
        <v>0.306278713629403</v>
      </c>
      <c r="L97" s="6" t="n">
        <v>47.5</v>
      </c>
      <c r="M97" s="32" t="s">
        <v>100</v>
      </c>
    </row>
    <row r="98" customFormat="false" ht="15" hidden="false" customHeight="false" outlineLevel="0" collapsed="false">
      <c r="A98" s="6" t="s">
        <v>21</v>
      </c>
      <c r="B98" s="6" t="s">
        <v>200</v>
      </c>
      <c r="C98" s="6" t="n">
        <v>28</v>
      </c>
      <c r="D98" s="6" t="n">
        <v>18</v>
      </c>
      <c r="E98" s="12" t="s">
        <v>221</v>
      </c>
      <c r="F98" s="7" t="n">
        <v>1289</v>
      </c>
      <c r="G98" s="6" t="n">
        <v>0</v>
      </c>
      <c r="H98" s="6" t="n">
        <v>0</v>
      </c>
      <c r="I98" s="11" t="n">
        <f aca="false">IF(F98=0,0,H98/F98*1000)</f>
        <v>0</v>
      </c>
      <c r="J98" s="6" t="n">
        <v>4</v>
      </c>
      <c r="K98" s="9" t="n">
        <f aca="false">IF(F98=0,0,J98/F98*100)</f>
        <v>0.310318076027929</v>
      </c>
      <c r="L98" s="6" t="n">
        <v>53.2</v>
      </c>
      <c r="M98" s="32" t="s">
        <v>100</v>
      </c>
    </row>
    <row r="99" customFormat="false" ht="15" hidden="false" customHeight="false" outlineLevel="0" collapsed="false">
      <c r="A99" s="6" t="s">
        <v>25</v>
      </c>
      <c r="B99" s="6" t="s">
        <v>121</v>
      </c>
      <c r="C99" s="6" t="n">
        <v>17</v>
      </c>
      <c r="D99" s="6" t="n">
        <v>17</v>
      </c>
      <c r="E99" s="12" t="s">
        <v>222</v>
      </c>
      <c r="F99" s="7" t="n">
        <v>1270</v>
      </c>
      <c r="G99" s="6" t="n">
        <v>1</v>
      </c>
      <c r="H99" s="6" t="n">
        <v>0</v>
      </c>
      <c r="I99" s="11" t="n">
        <f aca="false">IF(F99=0,0,H99/F99*1000)</f>
        <v>0</v>
      </c>
      <c r="J99" s="6" t="n">
        <v>6</v>
      </c>
      <c r="K99" s="9" t="n">
        <f aca="false">IF(F99=0,0,J99/F99*100)</f>
        <v>0.47244094488189</v>
      </c>
      <c r="L99" s="6" t="n">
        <v>78.7</v>
      </c>
      <c r="M99" s="33" t="s">
        <v>107</v>
      </c>
    </row>
    <row r="100" customFormat="false" ht="15" hidden="false" customHeight="false" outlineLevel="0" collapsed="false">
      <c r="A100" s="6" t="s">
        <v>19</v>
      </c>
      <c r="B100" s="6" t="s">
        <v>179</v>
      </c>
      <c r="C100" s="6" t="n">
        <v>21</v>
      </c>
      <c r="D100" s="6" t="n">
        <v>18</v>
      </c>
      <c r="E100" s="12" t="s">
        <v>223</v>
      </c>
      <c r="F100" s="7" t="n">
        <v>1236</v>
      </c>
      <c r="G100" s="6" t="n">
        <v>0</v>
      </c>
      <c r="H100" s="6" t="n">
        <v>0</v>
      </c>
      <c r="I100" s="11" t="n">
        <f aca="false">IF(F100=0,0,H100/F100*1000)</f>
        <v>0</v>
      </c>
      <c r="J100" s="6" t="n">
        <v>6</v>
      </c>
      <c r="K100" s="9" t="n">
        <f aca="false">IF(F100=0,0,J100/F100*100)</f>
        <v>0.485436893203883</v>
      </c>
      <c r="L100" s="6" t="n">
        <v>81.4</v>
      </c>
      <c r="M100" s="33" t="s">
        <v>107</v>
      </c>
    </row>
    <row r="101" customFormat="false" ht="15" hidden="false" customHeight="false" outlineLevel="0" collapsed="false">
      <c r="A101" s="6" t="s">
        <v>17</v>
      </c>
      <c r="B101" s="6" t="s">
        <v>154</v>
      </c>
      <c r="C101" s="6" t="n">
        <v>29</v>
      </c>
      <c r="D101" s="6" t="n">
        <v>9</v>
      </c>
      <c r="E101" s="12" t="s">
        <v>224</v>
      </c>
      <c r="F101" s="7" t="n">
        <v>1218</v>
      </c>
      <c r="G101" s="6" t="n">
        <v>2</v>
      </c>
      <c r="H101" s="6" t="n">
        <v>0</v>
      </c>
      <c r="I101" s="11" t="n">
        <f aca="false">IF(F101=0,0,H101/F101*1000)</f>
        <v>0</v>
      </c>
      <c r="J101" s="6" t="n">
        <v>2</v>
      </c>
      <c r="K101" s="9" t="n">
        <f aca="false">IF(F101=0,0,J101/F101*100)</f>
        <v>0.164203612479475</v>
      </c>
      <c r="L101" s="6" t="n">
        <v>46.7</v>
      </c>
      <c r="M101" s="33" t="s">
        <v>107</v>
      </c>
    </row>
    <row r="102" customFormat="false" ht="15" hidden="false" customHeight="false" outlineLevel="0" collapsed="false">
      <c r="A102" s="6" t="s">
        <v>19</v>
      </c>
      <c r="B102" s="6" t="s">
        <v>130</v>
      </c>
      <c r="C102" s="6" t="n">
        <v>23</v>
      </c>
      <c r="D102" s="6" t="n">
        <v>21</v>
      </c>
      <c r="E102" s="12" t="s">
        <v>225</v>
      </c>
      <c r="F102" s="7" t="n">
        <v>1190</v>
      </c>
      <c r="G102" s="6" t="n">
        <v>0</v>
      </c>
      <c r="H102" s="6" t="n">
        <v>0</v>
      </c>
      <c r="I102" s="11" t="n">
        <f aca="false">IF(F102=0,0,H102/F102*1000)</f>
        <v>0</v>
      </c>
      <c r="J102" s="6" t="n">
        <v>0</v>
      </c>
      <c r="K102" s="9" t="n">
        <f aca="false">IF(F102=0,0,J102/F102*100)</f>
        <v>0</v>
      </c>
      <c r="L102" s="6" t="n">
        <v>51.3</v>
      </c>
      <c r="M102" s="33" t="s">
        <v>107</v>
      </c>
    </row>
    <row r="103" customFormat="false" ht="15" hidden="false" customHeight="false" outlineLevel="0" collapsed="false">
      <c r="A103" s="6" t="s">
        <v>19</v>
      </c>
      <c r="B103" s="6" t="s">
        <v>179</v>
      </c>
      <c r="C103" s="6" t="n">
        <v>21</v>
      </c>
      <c r="D103" s="6" t="n">
        <v>18</v>
      </c>
      <c r="E103" s="12" t="s">
        <v>226</v>
      </c>
      <c r="F103" s="7" t="n">
        <v>1162</v>
      </c>
      <c r="G103" s="6" t="n">
        <v>0</v>
      </c>
      <c r="H103" s="6" t="n">
        <v>0</v>
      </c>
      <c r="I103" s="11" t="n">
        <f aca="false">IF(F103=0,0,H103/F103*1000)</f>
        <v>0</v>
      </c>
      <c r="J103" s="6" t="n">
        <v>3</v>
      </c>
      <c r="K103" s="9" t="n">
        <f aca="false">IF(F103=0,0,J103/F103*100)</f>
        <v>0.258175559380379</v>
      </c>
      <c r="L103" s="6" t="n">
        <v>109.6</v>
      </c>
      <c r="M103" s="33" t="s">
        <v>107</v>
      </c>
    </row>
    <row r="104" customFormat="false" ht="15" hidden="false" customHeight="false" outlineLevel="0" collapsed="false">
      <c r="A104" s="6" t="s">
        <v>19</v>
      </c>
      <c r="B104" s="6" t="s">
        <v>139</v>
      </c>
      <c r="C104" s="6" t="n">
        <v>14</v>
      </c>
      <c r="D104" s="6" t="n">
        <v>18</v>
      </c>
      <c r="E104" s="12" t="s">
        <v>227</v>
      </c>
      <c r="F104" s="7" t="n">
        <v>1154</v>
      </c>
      <c r="G104" s="6" t="n">
        <v>0</v>
      </c>
      <c r="H104" s="6" t="n">
        <v>0</v>
      </c>
      <c r="I104" s="11" t="n">
        <f aca="false">IF(F104=0,0,H104/F104*1000)</f>
        <v>0</v>
      </c>
      <c r="J104" s="6" t="n">
        <v>7</v>
      </c>
      <c r="K104" s="9" t="n">
        <f aca="false">IF(F104=0,0,J104/F104*100)</f>
        <v>0.606585788561525</v>
      </c>
      <c r="L104" s="6" t="n">
        <v>26.6</v>
      </c>
      <c r="M104" s="32" t="s">
        <v>100</v>
      </c>
    </row>
    <row r="105" customFormat="false" ht="15" hidden="false" customHeight="false" outlineLevel="0" collapsed="false">
      <c r="A105" s="6" t="s">
        <v>19</v>
      </c>
      <c r="B105" s="6" t="s">
        <v>152</v>
      </c>
      <c r="C105" s="6" t="n">
        <v>20</v>
      </c>
      <c r="D105" s="6" t="n">
        <v>9</v>
      </c>
      <c r="E105" s="12" t="s">
        <v>228</v>
      </c>
      <c r="F105" s="7" t="n">
        <v>1144</v>
      </c>
      <c r="G105" s="6" t="n">
        <v>0</v>
      </c>
      <c r="H105" s="6" t="n">
        <v>0</v>
      </c>
      <c r="I105" s="11" t="n">
        <f aca="false">IF(F105=0,0,H105/F105*1000)</f>
        <v>0</v>
      </c>
      <c r="J105" s="6" t="n">
        <v>2</v>
      </c>
      <c r="K105" s="9" t="n">
        <f aca="false">IF(F105=0,0,J105/F105*100)</f>
        <v>0.174825174825175</v>
      </c>
      <c r="L105" s="6" t="n">
        <v>51.4</v>
      </c>
      <c r="M105" s="33" t="s">
        <v>107</v>
      </c>
    </row>
    <row r="106" customFormat="false" ht="15" hidden="false" customHeight="false" outlineLevel="0" collapsed="false">
      <c r="A106" s="6" t="s">
        <v>17</v>
      </c>
      <c r="B106" s="6" t="s">
        <v>130</v>
      </c>
      <c r="C106" s="6" t="n">
        <v>23</v>
      </c>
      <c r="D106" s="6" t="n">
        <v>9</v>
      </c>
      <c r="E106" s="6" t="s">
        <v>229</v>
      </c>
      <c r="F106" s="7" t="n">
        <v>1135</v>
      </c>
      <c r="G106" s="6" t="n">
        <v>0</v>
      </c>
      <c r="H106" s="6" t="n">
        <v>0</v>
      </c>
      <c r="I106" s="11" t="n">
        <f aca="false">IF(F106=0,0,H106/F106*1000)</f>
        <v>0</v>
      </c>
      <c r="J106" s="6" t="n">
        <v>3</v>
      </c>
      <c r="K106" s="9" t="n">
        <f aca="false">IF(F106=0,0,J106/F106*100)</f>
        <v>0.26431718061674</v>
      </c>
      <c r="L106" s="6" t="n">
        <v>53.2</v>
      </c>
      <c r="M106" s="33" t="s">
        <v>107</v>
      </c>
    </row>
    <row r="107" customFormat="false" ht="15" hidden="false" customHeight="false" outlineLevel="0" collapsed="false">
      <c r="A107" s="6" t="s">
        <v>21</v>
      </c>
      <c r="B107" s="6" t="s">
        <v>103</v>
      </c>
      <c r="C107" s="6" t="n">
        <v>30</v>
      </c>
      <c r="D107" s="6" t="n">
        <v>23</v>
      </c>
      <c r="E107" s="12" t="s">
        <v>230</v>
      </c>
      <c r="F107" s="7" t="n">
        <v>1132</v>
      </c>
      <c r="G107" s="6" t="n">
        <v>0</v>
      </c>
      <c r="H107" s="6" t="n">
        <v>0</v>
      </c>
      <c r="I107" s="11" t="n">
        <f aca="false">IF(F107=0,0,H107/F107*1000)</f>
        <v>0</v>
      </c>
      <c r="J107" s="6" t="n">
        <v>7</v>
      </c>
      <c r="K107" s="9" t="n">
        <f aca="false">IF(F107=0,0,J107/F107*100)</f>
        <v>0.618374558303887</v>
      </c>
      <c r="L107" s="6" t="n">
        <v>68.1</v>
      </c>
      <c r="M107" s="32" t="s">
        <v>100</v>
      </c>
    </row>
    <row r="108" customFormat="false" ht="15" hidden="false" customHeight="false" outlineLevel="0" collapsed="false">
      <c r="A108" s="6" t="s">
        <v>15</v>
      </c>
      <c r="B108" s="6" t="s">
        <v>112</v>
      </c>
      <c r="C108" s="6" t="n">
        <v>10</v>
      </c>
      <c r="D108" s="6" t="n">
        <v>14</v>
      </c>
      <c r="E108" s="6" t="s">
        <v>231</v>
      </c>
      <c r="F108" s="7" t="n">
        <v>1115</v>
      </c>
      <c r="G108" s="6" t="n">
        <v>0</v>
      </c>
      <c r="H108" s="6" t="n">
        <v>0</v>
      </c>
      <c r="I108" s="11" t="n">
        <f aca="false">IF(F108=0,0,H108/F108*1000)</f>
        <v>0</v>
      </c>
      <c r="J108" s="6" t="n">
        <v>2</v>
      </c>
      <c r="K108" s="9" t="n">
        <f aca="false">IF(F108=0,0,J108/F108*100)</f>
        <v>0.179372197309417</v>
      </c>
      <c r="L108" s="6" t="n">
        <v>32.5</v>
      </c>
      <c r="M108" s="32" t="s">
        <v>100</v>
      </c>
    </row>
    <row r="109" customFormat="false" ht="15" hidden="false" customHeight="false" outlineLevel="0" collapsed="false">
      <c r="A109" s="6" t="s">
        <v>15</v>
      </c>
      <c r="B109" s="6" t="s">
        <v>128</v>
      </c>
      <c r="C109" s="6" t="n">
        <v>24</v>
      </c>
      <c r="D109" s="6" t="n">
        <v>17</v>
      </c>
      <c r="E109" s="12" t="s">
        <v>232</v>
      </c>
      <c r="F109" s="7" t="n">
        <v>1105</v>
      </c>
      <c r="G109" s="6" t="n">
        <v>0</v>
      </c>
      <c r="H109" s="6" t="n">
        <v>0</v>
      </c>
      <c r="I109" s="11" t="n">
        <f aca="false">IF(F109=0,0,H109/F109*1000)</f>
        <v>0</v>
      </c>
      <c r="J109" s="6" t="n">
        <v>3</v>
      </c>
      <c r="K109" s="9" t="n">
        <f aca="false">IF(F109=0,0,J109/F109*100)</f>
        <v>0.271493212669683</v>
      </c>
      <c r="L109" s="6" t="n">
        <v>35.4</v>
      </c>
      <c r="M109" s="32" t="s">
        <v>100</v>
      </c>
    </row>
    <row r="110" customFormat="false" ht="15" hidden="false" customHeight="false" outlineLevel="0" collapsed="false">
      <c r="A110" s="6" t="s">
        <v>25</v>
      </c>
      <c r="B110" s="6" t="s">
        <v>105</v>
      </c>
      <c r="C110" s="6" t="n">
        <v>8</v>
      </c>
      <c r="D110" s="6" t="n">
        <v>14</v>
      </c>
      <c r="E110" s="12" t="s">
        <v>233</v>
      </c>
      <c r="F110" s="7" t="n">
        <v>1104</v>
      </c>
      <c r="G110" s="6" t="n">
        <v>0</v>
      </c>
      <c r="H110" s="6" t="n">
        <v>0</v>
      </c>
      <c r="I110" s="11" t="n">
        <f aca="false">IF(F110=0,0,H110/F110*1000)</f>
        <v>0</v>
      </c>
      <c r="J110" s="6" t="n">
        <v>3</v>
      </c>
      <c r="K110" s="9" t="n">
        <f aca="false">IF(F110=0,0,J110/F110*100)</f>
        <v>0.271739130434783</v>
      </c>
      <c r="L110" s="6" t="n">
        <v>50.4</v>
      </c>
      <c r="M110" s="33" t="s">
        <v>107</v>
      </c>
    </row>
    <row r="111" customFormat="false" ht="15" hidden="false" customHeight="false" outlineLevel="0" collapsed="false">
      <c r="A111" s="6" t="s">
        <v>19</v>
      </c>
      <c r="B111" s="6" t="s">
        <v>167</v>
      </c>
      <c r="C111" s="6" t="n">
        <v>15</v>
      </c>
      <c r="D111" s="6" t="n">
        <v>12</v>
      </c>
      <c r="E111" s="12" t="s">
        <v>234</v>
      </c>
      <c r="F111" s="7" t="n">
        <v>1090</v>
      </c>
      <c r="G111" s="6" t="n">
        <v>0</v>
      </c>
      <c r="H111" s="6" t="n">
        <v>0</v>
      </c>
      <c r="I111" s="11" t="n">
        <f aca="false">IF(F111=0,0,H111/F111*1000)</f>
        <v>0</v>
      </c>
      <c r="J111" s="6" t="n">
        <v>0</v>
      </c>
      <c r="K111" s="9" t="n">
        <f aca="false">IF(F111=0,0,J111/F111*100)</f>
        <v>0</v>
      </c>
      <c r="L111" s="6" t="n">
        <v>23.1</v>
      </c>
      <c r="M111" s="33" t="s">
        <v>107</v>
      </c>
    </row>
    <row r="112" customFormat="false" ht="15" hidden="false" customHeight="false" outlineLevel="0" collapsed="false">
      <c r="A112" s="6" t="s">
        <v>19</v>
      </c>
      <c r="B112" s="6" t="s">
        <v>98</v>
      </c>
      <c r="C112" s="6" t="n">
        <v>16</v>
      </c>
      <c r="D112" s="6" t="n">
        <v>12</v>
      </c>
      <c r="E112" s="12" t="s">
        <v>235</v>
      </c>
      <c r="F112" s="7" t="n">
        <v>1088</v>
      </c>
      <c r="G112" s="6" t="n">
        <v>0</v>
      </c>
      <c r="H112" s="6" t="n">
        <v>0</v>
      </c>
      <c r="I112" s="11" t="n">
        <f aca="false">IF(F112=0,0,H112/F112*1000)</f>
        <v>0</v>
      </c>
      <c r="J112" s="6" t="n">
        <v>1</v>
      </c>
      <c r="K112" s="9" t="n">
        <f aca="false">IF(F112=0,0,J112/F112*100)</f>
        <v>0.0919117647058824</v>
      </c>
      <c r="L112" s="6" t="n">
        <v>27.1</v>
      </c>
      <c r="M112" s="32" t="s">
        <v>100</v>
      </c>
    </row>
    <row r="113" customFormat="false" ht="15" hidden="false" customHeight="false" outlineLevel="0" collapsed="false">
      <c r="A113" s="6" t="s">
        <v>19</v>
      </c>
      <c r="B113" s="6" t="s">
        <v>158</v>
      </c>
      <c r="C113" s="6" t="n">
        <v>25</v>
      </c>
      <c r="D113" s="6" t="n">
        <v>21</v>
      </c>
      <c r="E113" s="12" t="s">
        <v>236</v>
      </c>
      <c r="F113" s="7" t="n">
        <v>1086</v>
      </c>
      <c r="G113" s="6" t="n">
        <v>0</v>
      </c>
      <c r="H113" s="6" t="n">
        <v>0</v>
      </c>
      <c r="I113" s="11" t="n">
        <f aca="false">IF(F113=0,0,H113/F113*1000)</f>
        <v>0</v>
      </c>
      <c r="J113" s="6" t="n">
        <v>1</v>
      </c>
      <c r="K113" s="9" t="n">
        <f aca="false">IF(F113=0,0,J113/F113*100)</f>
        <v>0.0920810313075507</v>
      </c>
      <c r="L113" s="6" t="n">
        <v>125.5</v>
      </c>
      <c r="M113" s="33" t="s">
        <v>107</v>
      </c>
    </row>
    <row r="114" customFormat="false" ht="15" hidden="false" customHeight="false" outlineLevel="0" collapsed="false">
      <c r="A114" s="6" t="s">
        <v>21</v>
      </c>
      <c r="B114" s="6" t="s">
        <v>141</v>
      </c>
      <c r="C114" s="6" t="n">
        <v>18</v>
      </c>
      <c r="D114" s="6" t="n">
        <v>17</v>
      </c>
      <c r="E114" s="6" t="s">
        <v>237</v>
      </c>
      <c r="F114" s="7" t="n">
        <v>1075</v>
      </c>
      <c r="G114" s="6" t="n">
        <v>1</v>
      </c>
      <c r="H114" s="6" t="n">
        <v>0</v>
      </c>
      <c r="I114" s="11" t="n">
        <f aca="false">IF(F114=0,0,H114/F114*1000)</f>
        <v>0</v>
      </c>
      <c r="J114" s="6" t="n">
        <v>1</v>
      </c>
      <c r="K114" s="9" t="n">
        <f aca="false">IF(F114=0,0,J114/F114*100)</f>
        <v>0.0930232558139535</v>
      </c>
      <c r="L114" s="6" t="n">
        <v>27.5</v>
      </c>
      <c r="M114" s="33" t="s">
        <v>107</v>
      </c>
    </row>
    <row r="115" customFormat="false" ht="15" hidden="false" customHeight="false" outlineLevel="0" collapsed="false">
      <c r="A115" s="6" t="s">
        <v>17</v>
      </c>
      <c r="B115" s="6" t="s">
        <v>158</v>
      </c>
      <c r="C115" s="6" t="n">
        <v>25</v>
      </c>
      <c r="D115" s="6" t="n">
        <v>9</v>
      </c>
      <c r="E115" s="6" t="s">
        <v>238</v>
      </c>
      <c r="F115" s="7" t="n">
        <v>1075</v>
      </c>
      <c r="G115" s="6" t="n">
        <v>0</v>
      </c>
      <c r="H115" s="6" t="n">
        <v>0</v>
      </c>
      <c r="I115" s="11" t="n">
        <f aca="false">IF(F115=0,0,H115/F115*1000)</f>
        <v>0</v>
      </c>
      <c r="J115" s="6" t="n">
        <v>0</v>
      </c>
      <c r="K115" s="9" t="n">
        <f aca="false">IF(F115=0,0,J115/F115*100)</f>
        <v>0</v>
      </c>
      <c r="L115" s="6" t="n">
        <v>86.5</v>
      </c>
      <c r="M115" s="33" t="s">
        <v>107</v>
      </c>
    </row>
    <row r="116" customFormat="false" ht="15" hidden="false" customHeight="false" outlineLevel="0" collapsed="false">
      <c r="A116" s="6" t="s">
        <v>15</v>
      </c>
      <c r="B116" s="6" t="s">
        <v>172</v>
      </c>
      <c r="C116" s="6" t="n">
        <v>9</v>
      </c>
      <c r="D116" s="6" t="n">
        <v>13</v>
      </c>
      <c r="E116" s="6" t="s">
        <v>239</v>
      </c>
      <c r="F116" s="7" t="n">
        <v>1074</v>
      </c>
      <c r="G116" s="6" t="n">
        <v>0</v>
      </c>
      <c r="H116" s="6" t="n">
        <v>0</v>
      </c>
      <c r="I116" s="11" t="n">
        <f aca="false">IF(F116=0,0,H116/F116*1000)</f>
        <v>0</v>
      </c>
      <c r="J116" s="6" t="n">
        <v>5</v>
      </c>
      <c r="K116" s="9" t="n">
        <f aca="false">IF(F116=0,0,J116/F116*100)</f>
        <v>0.465549348230913</v>
      </c>
      <c r="L116" s="6" t="n">
        <v>98.9</v>
      </c>
      <c r="M116" s="32" t="s">
        <v>100</v>
      </c>
    </row>
    <row r="117" customFormat="false" ht="15" hidden="false" customHeight="false" outlineLevel="0" collapsed="false">
      <c r="A117" s="6" t="s">
        <v>25</v>
      </c>
      <c r="B117" s="6" t="s">
        <v>103</v>
      </c>
      <c r="C117" s="6" t="n">
        <v>30</v>
      </c>
      <c r="D117" s="6" t="n">
        <v>23</v>
      </c>
      <c r="E117" s="12" t="s">
        <v>240</v>
      </c>
      <c r="F117" s="7" t="n">
        <v>1069</v>
      </c>
      <c r="G117" s="6" t="n">
        <v>0</v>
      </c>
      <c r="H117" s="6" t="n">
        <v>0</v>
      </c>
      <c r="I117" s="11" t="n">
        <f aca="false">IF(F117=0,0,H117/F117*1000)</f>
        <v>0</v>
      </c>
      <c r="J117" s="6" t="n">
        <v>10</v>
      </c>
      <c r="K117" s="9" t="n">
        <f aca="false">IF(F117=0,0,J117/F117*100)</f>
        <v>0.935453695042095</v>
      </c>
      <c r="L117" s="6" t="n">
        <v>65.6</v>
      </c>
      <c r="M117" s="33" t="s">
        <v>107</v>
      </c>
    </row>
    <row r="118" customFormat="false" ht="15" hidden="false" customHeight="false" outlineLevel="0" collapsed="false">
      <c r="A118" s="6" t="s">
        <v>19</v>
      </c>
      <c r="B118" s="6" t="s">
        <v>101</v>
      </c>
      <c r="C118" s="6" t="n">
        <v>7</v>
      </c>
      <c r="D118" s="6" t="n">
        <v>18</v>
      </c>
      <c r="E118" s="12" t="s">
        <v>241</v>
      </c>
      <c r="F118" s="7" t="n">
        <v>1058</v>
      </c>
      <c r="G118" s="6" t="n">
        <v>0</v>
      </c>
      <c r="H118" s="6" t="n">
        <v>0</v>
      </c>
      <c r="I118" s="11" t="n">
        <f aca="false">IF(F118=0,0,H118/F118*1000)</f>
        <v>0</v>
      </c>
      <c r="J118" s="6" t="n">
        <v>3</v>
      </c>
      <c r="K118" s="9" t="n">
        <f aca="false">IF(F118=0,0,J118/F118*100)</f>
        <v>0.283553875236295</v>
      </c>
      <c r="L118" s="6" t="n">
        <v>33</v>
      </c>
      <c r="M118" s="32" t="s">
        <v>100</v>
      </c>
    </row>
    <row r="119" customFormat="false" ht="15" hidden="false" customHeight="false" outlineLevel="0" collapsed="false">
      <c r="A119" s="6" t="s">
        <v>21</v>
      </c>
      <c r="B119" s="6" t="s">
        <v>172</v>
      </c>
      <c r="C119" s="6" t="n">
        <v>9</v>
      </c>
      <c r="D119" s="6" t="n">
        <v>12</v>
      </c>
      <c r="E119" s="6" t="s">
        <v>242</v>
      </c>
      <c r="F119" s="7" t="n">
        <v>1046</v>
      </c>
      <c r="G119" s="6" t="n">
        <v>0</v>
      </c>
      <c r="H119" s="6" t="n">
        <v>0</v>
      </c>
      <c r="I119" s="11" t="n">
        <f aca="false">IF(F119=0,0,H119/F119*1000)</f>
        <v>0</v>
      </c>
      <c r="J119" s="6" t="n">
        <v>3</v>
      </c>
      <c r="K119" s="9" t="n">
        <f aca="false">IF(F119=0,0,J119/F119*100)</f>
        <v>0.286806883365201</v>
      </c>
      <c r="L119" s="6" t="n">
        <v>37.7</v>
      </c>
      <c r="M119" s="32" t="s">
        <v>100</v>
      </c>
    </row>
    <row r="120" customFormat="false" ht="15" hidden="false" customHeight="false" outlineLevel="0" collapsed="false">
      <c r="A120" s="6" t="s">
        <v>23</v>
      </c>
      <c r="B120" s="6" t="s">
        <v>112</v>
      </c>
      <c r="C120" s="6" t="n">
        <v>10</v>
      </c>
      <c r="D120" s="6" t="n">
        <v>19</v>
      </c>
      <c r="E120" s="6" t="s">
        <v>243</v>
      </c>
      <c r="F120" s="7" t="n">
        <v>1046</v>
      </c>
      <c r="G120" s="6" t="n">
        <v>0</v>
      </c>
      <c r="H120" s="6" t="n">
        <v>0</v>
      </c>
      <c r="I120" s="11" t="n">
        <f aca="false">IF(F120=0,0,H120/F120*1000)</f>
        <v>0</v>
      </c>
      <c r="J120" s="6" t="n">
        <v>4</v>
      </c>
      <c r="K120" s="9" t="n">
        <f aca="false">IF(F120=0,0,J120/F120*100)</f>
        <v>0.382409177820268</v>
      </c>
      <c r="L120" s="6" t="n">
        <v>32.6</v>
      </c>
      <c r="M120" s="33" t="s">
        <v>107</v>
      </c>
    </row>
    <row r="121" customFormat="false" ht="15" hidden="false" customHeight="false" outlineLevel="0" collapsed="false">
      <c r="A121" s="6" t="s">
        <v>15</v>
      </c>
      <c r="B121" s="6" t="s">
        <v>154</v>
      </c>
      <c r="C121" s="6" t="n">
        <v>29</v>
      </c>
      <c r="D121" s="6" t="n">
        <v>17</v>
      </c>
      <c r="E121" s="12" t="s">
        <v>244</v>
      </c>
      <c r="F121" s="7" t="n">
        <v>1044</v>
      </c>
      <c r="G121" s="6" t="n">
        <v>0</v>
      </c>
      <c r="H121" s="6" t="n">
        <v>0</v>
      </c>
      <c r="I121" s="11" t="n">
        <f aca="false">IF(F121=0,0,H121/F121*1000)</f>
        <v>0</v>
      </c>
      <c r="J121" s="6" t="n">
        <v>6</v>
      </c>
      <c r="K121" s="9" t="n">
        <f aca="false">IF(F121=0,0,J121/F121*100)</f>
        <v>0.574712643678161</v>
      </c>
      <c r="L121" s="6" t="n">
        <v>46.8</v>
      </c>
      <c r="M121" s="32" t="s">
        <v>100</v>
      </c>
    </row>
    <row r="122" customFormat="false" ht="15" hidden="false" customHeight="false" outlineLevel="0" collapsed="false">
      <c r="A122" s="6" t="s">
        <v>15</v>
      </c>
      <c r="B122" s="6" t="s">
        <v>98</v>
      </c>
      <c r="C122" s="6" t="n">
        <v>16</v>
      </c>
      <c r="D122" s="6" t="n">
        <v>13</v>
      </c>
      <c r="E122" s="6" t="s">
        <v>245</v>
      </c>
      <c r="F122" s="7" t="n">
        <v>1042</v>
      </c>
      <c r="G122" s="6" t="n">
        <v>0</v>
      </c>
      <c r="H122" s="6" t="n">
        <v>0</v>
      </c>
      <c r="I122" s="11" t="n">
        <f aca="false">IF(F122=0,0,H122/F122*1000)</f>
        <v>0</v>
      </c>
      <c r="J122" s="6" t="n">
        <v>6</v>
      </c>
      <c r="K122" s="9" t="n">
        <f aca="false">IF(F122=0,0,J122/F122*100)</f>
        <v>0.575815738963532</v>
      </c>
      <c r="L122" s="6" t="n">
        <v>25.6</v>
      </c>
      <c r="M122" s="32" t="s">
        <v>100</v>
      </c>
    </row>
    <row r="123" customFormat="false" ht="15" hidden="false" customHeight="false" outlineLevel="0" collapsed="false">
      <c r="A123" s="6" t="s">
        <v>15</v>
      </c>
      <c r="B123" s="6" t="s">
        <v>133</v>
      </c>
      <c r="C123" s="6" t="n">
        <v>19</v>
      </c>
      <c r="D123" s="6" t="n">
        <v>18</v>
      </c>
      <c r="E123" s="12" t="s">
        <v>246</v>
      </c>
      <c r="F123" s="7" t="n">
        <v>1039</v>
      </c>
      <c r="G123" s="6" t="n">
        <v>0</v>
      </c>
      <c r="H123" s="6" t="n">
        <v>0</v>
      </c>
      <c r="I123" s="11" t="n">
        <f aca="false">IF(F123=0,0,H123/F123*1000)</f>
        <v>0</v>
      </c>
      <c r="J123" s="6" t="n">
        <v>3</v>
      </c>
      <c r="K123" s="9" t="n">
        <f aca="false">IF(F123=0,0,J123/F123*100)</f>
        <v>0.288739172281039</v>
      </c>
      <c r="L123" s="6" t="n">
        <v>29.8</v>
      </c>
      <c r="M123" s="32" t="s">
        <v>100</v>
      </c>
    </row>
    <row r="124" customFormat="false" ht="15" hidden="false" customHeight="false" outlineLevel="0" collapsed="false">
      <c r="A124" s="6" t="s">
        <v>25</v>
      </c>
      <c r="B124" s="6" t="s">
        <v>110</v>
      </c>
      <c r="C124" s="6" t="n">
        <v>3</v>
      </c>
      <c r="D124" s="6" t="n">
        <v>17</v>
      </c>
      <c r="E124" s="12" t="s">
        <v>247</v>
      </c>
      <c r="F124" s="7" t="n">
        <v>1038</v>
      </c>
      <c r="G124" s="6" t="n">
        <v>1038</v>
      </c>
      <c r="H124" s="6" t="n">
        <v>0</v>
      </c>
      <c r="I124" s="11" t="n">
        <f aca="false">IF(F124=0,0,H124/F124*1000)</f>
        <v>0</v>
      </c>
      <c r="J124" s="6" t="n">
        <v>0</v>
      </c>
      <c r="K124" s="9" t="n">
        <f aca="false">IF(F124=0,0,J124/F124*100)</f>
        <v>0</v>
      </c>
      <c r="L124" s="6" t="n">
        <v>65.9</v>
      </c>
      <c r="M124" s="33" t="s">
        <v>107</v>
      </c>
    </row>
    <row r="125" customFormat="false" ht="15" hidden="false" customHeight="false" outlineLevel="0" collapsed="false">
      <c r="A125" s="6" t="s">
        <v>15</v>
      </c>
      <c r="B125" s="6" t="s">
        <v>200</v>
      </c>
      <c r="C125" s="6" t="n">
        <v>28</v>
      </c>
      <c r="D125" s="6" t="n">
        <v>9</v>
      </c>
      <c r="E125" s="12" t="s">
        <v>248</v>
      </c>
      <c r="F125" s="7" t="n">
        <v>1038</v>
      </c>
      <c r="G125" s="6" t="n">
        <v>0</v>
      </c>
      <c r="H125" s="6" t="n">
        <v>0</v>
      </c>
      <c r="I125" s="11" t="n">
        <f aca="false">IF(F125=0,0,H125/F125*1000)</f>
        <v>0</v>
      </c>
      <c r="J125" s="6" t="n">
        <v>4</v>
      </c>
      <c r="K125" s="9" t="n">
        <f aca="false">IF(F125=0,0,J125/F125*100)</f>
        <v>0.385356454720617</v>
      </c>
      <c r="L125" s="6" t="n">
        <v>44.3</v>
      </c>
      <c r="M125" s="32" t="s">
        <v>100</v>
      </c>
    </row>
    <row r="126" customFormat="false" ht="15" hidden="false" customHeight="false" outlineLevel="0" collapsed="false">
      <c r="A126" s="6" t="s">
        <v>25</v>
      </c>
      <c r="B126" s="6" t="s">
        <v>179</v>
      </c>
      <c r="C126" s="6" t="n">
        <v>21</v>
      </c>
      <c r="D126" s="6" t="n">
        <v>18</v>
      </c>
      <c r="E126" s="12" t="s">
        <v>249</v>
      </c>
      <c r="F126" s="7" t="n">
        <v>1023</v>
      </c>
      <c r="G126" s="6" t="n">
        <v>3</v>
      </c>
      <c r="H126" s="6" t="n">
        <v>0</v>
      </c>
      <c r="I126" s="11" t="n">
        <f aca="false">IF(F126=0,0,H126/F126*1000)</f>
        <v>0</v>
      </c>
      <c r="J126" s="6" t="n">
        <v>2</v>
      </c>
      <c r="K126" s="9" t="n">
        <f aca="false">IF(F126=0,0,J126/F126*100)</f>
        <v>0.195503421309873</v>
      </c>
      <c r="L126" s="6" t="n">
        <v>39</v>
      </c>
      <c r="M126" s="33" t="s">
        <v>107</v>
      </c>
    </row>
    <row r="127" customFormat="false" ht="15" hidden="false" customHeight="false" outlineLevel="0" collapsed="false">
      <c r="A127" s="6" t="s">
        <v>25</v>
      </c>
      <c r="B127" s="6" t="s">
        <v>105</v>
      </c>
      <c r="C127" s="6" t="n">
        <v>8</v>
      </c>
      <c r="D127" s="6" t="n">
        <v>18</v>
      </c>
      <c r="E127" s="12" t="s">
        <v>250</v>
      </c>
      <c r="F127" s="7" t="n">
        <v>1022</v>
      </c>
      <c r="G127" s="6" t="n">
        <v>2</v>
      </c>
      <c r="H127" s="6" t="n">
        <v>0</v>
      </c>
      <c r="I127" s="11" t="n">
        <f aca="false">IF(F127=0,0,H127/F127*1000)</f>
        <v>0</v>
      </c>
      <c r="J127" s="6" t="n">
        <v>1</v>
      </c>
      <c r="K127" s="9" t="n">
        <f aca="false">IF(F127=0,0,J127/F127*100)</f>
        <v>0.0978473581213307</v>
      </c>
      <c r="L127" s="6" t="n">
        <v>36.3</v>
      </c>
      <c r="M127" s="33" t="s">
        <v>107</v>
      </c>
    </row>
    <row r="128" customFormat="false" ht="15" hidden="false" customHeight="false" outlineLevel="0" collapsed="false">
      <c r="A128" s="6" t="s">
        <v>21</v>
      </c>
      <c r="B128" s="6" t="s">
        <v>121</v>
      </c>
      <c r="C128" s="6" t="n">
        <v>17</v>
      </c>
      <c r="D128" s="6" t="n">
        <v>15</v>
      </c>
      <c r="E128" s="6" t="s">
        <v>251</v>
      </c>
      <c r="F128" s="7" t="n">
        <v>1017</v>
      </c>
      <c r="G128" s="6" t="n">
        <v>0</v>
      </c>
      <c r="H128" s="6" t="n">
        <v>0</v>
      </c>
      <c r="I128" s="11" t="n">
        <f aca="false">IF(F128=0,0,H128/F128*1000)</f>
        <v>0</v>
      </c>
      <c r="J128" s="6" t="n">
        <v>3</v>
      </c>
      <c r="K128" s="9" t="n">
        <f aca="false">IF(F128=0,0,J128/F128*100)</f>
        <v>0.294985250737463</v>
      </c>
      <c r="L128" s="6" t="n">
        <v>23.5</v>
      </c>
      <c r="M128" s="32" t="s">
        <v>100</v>
      </c>
    </row>
    <row r="129" customFormat="false" ht="15" hidden="false" customHeight="false" outlineLevel="0" collapsed="false">
      <c r="A129" s="6" t="s">
        <v>23</v>
      </c>
      <c r="B129" s="6" t="s">
        <v>172</v>
      </c>
      <c r="C129" s="6" t="n">
        <v>9</v>
      </c>
      <c r="D129" s="6" t="n">
        <v>12</v>
      </c>
      <c r="E129" s="6" t="s">
        <v>252</v>
      </c>
      <c r="F129" s="7" t="n">
        <v>1016</v>
      </c>
      <c r="G129" s="6" t="n">
        <v>0</v>
      </c>
      <c r="H129" s="6" t="n">
        <v>0</v>
      </c>
      <c r="I129" s="11" t="n">
        <f aca="false">IF(F129=0,0,H129/F129*1000)</f>
        <v>0</v>
      </c>
      <c r="J129" s="6" t="n">
        <v>6</v>
      </c>
      <c r="K129" s="9" t="n">
        <f aca="false">IF(F129=0,0,J129/F129*100)</f>
        <v>0.590551181102362</v>
      </c>
      <c r="L129" s="6" t="n">
        <v>38.2</v>
      </c>
      <c r="M129" s="33" t="s">
        <v>107</v>
      </c>
    </row>
    <row r="130" customFormat="false" ht="15" hidden="false" customHeight="false" outlineLevel="0" collapsed="false">
      <c r="A130" s="6" t="s">
        <v>17</v>
      </c>
      <c r="B130" s="6" t="s">
        <v>139</v>
      </c>
      <c r="C130" s="6" t="n">
        <v>14</v>
      </c>
      <c r="D130" s="6" t="n">
        <v>9</v>
      </c>
      <c r="E130" s="12" t="s">
        <v>253</v>
      </c>
      <c r="F130" s="7" t="n">
        <v>1010</v>
      </c>
      <c r="G130" s="6" t="n">
        <v>0</v>
      </c>
      <c r="H130" s="6" t="n">
        <v>0</v>
      </c>
      <c r="I130" s="11" t="n">
        <f aca="false">IF(F130=0,0,H130/F130*1000)</f>
        <v>0</v>
      </c>
      <c r="J130" s="6" t="n">
        <v>3</v>
      </c>
      <c r="K130" s="9" t="n">
        <f aca="false">IF(F130=0,0,J130/F130*100)</f>
        <v>0.297029702970297</v>
      </c>
      <c r="L130" s="6" t="n">
        <v>24.7</v>
      </c>
      <c r="M130" s="33" t="s">
        <v>107</v>
      </c>
    </row>
    <row r="131" customFormat="false" ht="15" hidden="false" customHeight="false" outlineLevel="0" collapsed="false">
      <c r="A131" s="6" t="s">
        <v>21</v>
      </c>
      <c r="B131" s="6" t="s">
        <v>105</v>
      </c>
      <c r="C131" s="6" t="n">
        <v>8</v>
      </c>
      <c r="D131" s="6" t="n">
        <v>12</v>
      </c>
      <c r="E131" s="6" t="s">
        <v>254</v>
      </c>
      <c r="F131" s="7" t="n">
        <v>1004</v>
      </c>
      <c r="G131" s="6" t="n">
        <v>0</v>
      </c>
      <c r="H131" s="6" t="n">
        <v>0</v>
      </c>
      <c r="I131" s="11" t="n">
        <f aca="false">IF(F131=0,0,H131/F131*1000)</f>
        <v>0</v>
      </c>
      <c r="J131" s="6" t="n">
        <v>2</v>
      </c>
      <c r="K131" s="9" t="n">
        <f aca="false">IF(F131=0,0,J131/F131*100)</f>
        <v>0.199203187250996</v>
      </c>
      <c r="L131" s="6" t="n">
        <v>41</v>
      </c>
      <c r="M131" s="32" t="s">
        <v>100</v>
      </c>
    </row>
    <row r="132" customFormat="false" ht="15" hidden="false" customHeight="false" outlineLevel="0" collapsed="false">
      <c r="A132" s="6" t="s">
        <v>17</v>
      </c>
      <c r="B132" s="6" t="s">
        <v>108</v>
      </c>
      <c r="C132" s="6" t="n">
        <v>12</v>
      </c>
      <c r="D132" s="6" t="n">
        <v>9</v>
      </c>
      <c r="E132" s="12" t="s">
        <v>255</v>
      </c>
      <c r="F132" s="7" t="n">
        <v>1003</v>
      </c>
      <c r="G132" s="6" t="n">
        <v>0</v>
      </c>
      <c r="H132" s="6" t="n">
        <v>0</v>
      </c>
      <c r="I132" s="11" t="n">
        <f aca="false">IF(F132=0,0,H132/F132*1000)</f>
        <v>0</v>
      </c>
      <c r="J132" s="6" t="n">
        <v>7</v>
      </c>
      <c r="K132" s="9" t="n">
        <f aca="false">IF(F132=0,0,J132/F132*100)</f>
        <v>0.69790628115653</v>
      </c>
      <c r="L132" s="6" t="n">
        <v>24.9</v>
      </c>
      <c r="M132" s="33" t="s">
        <v>107</v>
      </c>
    </row>
    <row r="133" customFormat="false" ht="15" hidden="false" customHeight="false" outlineLevel="0" collapsed="false">
      <c r="A133" s="6" t="s">
        <v>23</v>
      </c>
      <c r="B133" s="6" t="s">
        <v>101</v>
      </c>
      <c r="C133" s="6" t="n">
        <v>7</v>
      </c>
      <c r="D133" s="6" t="n">
        <v>19</v>
      </c>
      <c r="E133" s="12" t="s">
        <v>256</v>
      </c>
      <c r="F133" s="7" t="n">
        <v>999</v>
      </c>
      <c r="G133" s="6" t="n">
        <v>9</v>
      </c>
      <c r="H133" s="6" t="n">
        <v>0</v>
      </c>
      <c r="I133" s="11" t="n">
        <f aca="false">IF(F133=0,0,H133/F133*1000)</f>
        <v>0</v>
      </c>
      <c r="J133" s="6" t="n">
        <v>4</v>
      </c>
      <c r="K133" s="9" t="n">
        <f aca="false">IF(F133=0,0,J133/F133*100)</f>
        <v>0.4004004004004</v>
      </c>
      <c r="L133" s="6" t="n">
        <v>33.2</v>
      </c>
      <c r="M133" s="33" t="s">
        <v>107</v>
      </c>
    </row>
    <row r="134" customFormat="false" ht="15" hidden="false" customHeight="false" outlineLevel="0" collapsed="false">
      <c r="A134" s="6" t="s">
        <v>25</v>
      </c>
      <c r="B134" s="6" t="s">
        <v>110</v>
      </c>
      <c r="C134" s="6" t="n">
        <v>3</v>
      </c>
      <c r="D134" s="6" t="n">
        <v>13</v>
      </c>
      <c r="E134" s="12" t="s">
        <v>257</v>
      </c>
      <c r="F134" s="7" t="n">
        <v>997</v>
      </c>
      <c r="G134" s="6" t="n">
        <v>18</v>
      </c>
      <c r="H134" s="6" t="n">
        <v>0</v>
      </c>
      <c r="I134" s="11" t="n">
        <f aca="false">IF(F134=0,0,H134/F134*1000)</f>
        <v>0</v>
      </c>
      <c r="J134" s="6" t="n">
        <v>1</v>
      </c>
      <c r="K134" s="9" t="n">
        <f aca="false">IF(F134=0,0,J134/F134*100)</f>
        <v>0.100300902708124</v>
      </c>
      <c r="L134" s="6" t="n">
        <v>44.2</v>
      </c>
      <c r="M134" s="33" t="s">
        <v>107</v>
      </c>
    </row>
    <row r="135" customFormat="false" ht="15" hidden="false" customHeight="false" outlineLevel="0" collapsed="false">
      <c r="A135" s="6" t="s">
        <v>17</v>
      </c>
      <c r="B135" s="6" t="s">
        <v>105</v>
      </c>
      <c r="C135" s="6" t="n">
        <v>8</v>
      </c>
      <c r="D135" s="6" t="n">
        <v>13</v>
      </c>
      <c r="E135" s="12" t="s">
        <v>258</v>
      </c>
      <c r="F135" s="7" t="n">
        <v>992</v>
      </c>
      <c r="G135" s="6" t="n">
        <v>0</v>
      </c>
      <c r="H135" s="6" t="n">
        <v>0</v>
      </c>
      <c r="I135" s="11" t="n">
        <f aca="false">IF(F135=0,0,H135/F135*1000)</f>
        <v>0</v>
      </c>
      <c r="J135" s="6" t="n">
        <v>8</v>
      </c>
      <c r="K135" s="9" t="n">
        <f aca="false">IF(F135=0,0,J135/F135*100)</f>
        <v>0.806451612903226</v>
      </c>
      <c r="L135" s="6" t="n">
        <v>28.3</v>
      </c>
      <c r="M135" s="33" t="s">
        <v>107</v>
      </c>
    </row>
    <row r="136" customFormat="false" ht="15" hidden="false" customHeight="false" outlineLevel="0" collapsed="false">
      <c r="A136" s="6" t="s">
        <v>23</v>
      </c>
      <c r="B136" s="6" t="s">
        <v>146</v>
      </c>
      <c r="C136" s="6" t="n">
        <v>13</v>
      </c>
      <c r="D136" s="6" t="n">
        <v>12</v>
      </c>
      <c r="E136" s="6" t="s">
        <v>259</v>
      </c>
      <c r="F136" s="7" t="n">
        <v>988</v>
      </c>
      <c r="G136" s="6" t="n">
        <v>0</v>
      </c>
      <c r="H136" s="6" t="n">
        <v>0</v>
      </c>
      <c r="I136" s="11" t="n">
        <f aca="false">IF(F136=0,0,H136/F136*1000)</f>
        <v>0</v>
      </c>
      <c r="J136" s="6" t="n">
        <v>4</v>
      </c>
      <c r="K136" s="9" t="n">
        <f aca="false">IF(F136=0,0,J136/F136*100)</f>
        <v>0.404858299595142</v>
      </c>
      <c r="L136" s="6" t="n">
        <v>28.6</v>
      </c>
      <c r="M136" s="32" t="s">
        <v>100</v>
      </c>
    </row>
    <row r="137" customFormat="false" ht="15" hidden="false" customHeight="false" outlineLevel="0" collapsed="false">
      <c r="A137" s="6" t="s">
        <v>25</v>
      </c>
      <c r="B137" s="6" t="s">
        <v>110</v>
      </c>
      <c r="C137" s="6" t="n">
        <v>3</v>
      </c>
      <c r="D137" s="6" t="n">
        <v>8</v>
      </c>
      <c r="E137" s="12" t="s">
        <v>260</v>
      </c>
      <c r="F137" s="7" t="n">
        <v>982</v>
      </c>
      <c r="G137" s="6" t="n">
        <v>982</v>
      </c>
      <c r="H137" s="6" t="n">
        <v>0</v>
      </c>
      <c r="I137" s="11" t="n">
        <f aca="false">IF(F137=0,0,H137/F137*1000)</f>
        <v>0</v>
      </c>
      <c r="J137" s="6" t="n">
        <v>2</v>
      </c>
      <c r="K137" s="9" t="n">
        <f aca="false">IF(F137=0,0,J137/F137*100)</f>
        <v>0.203665987780041</v>
      </c>
      <c r="L137" s="6" t="n">
        <v>53.3</v>
      </c>
      <c r="M137" s="32" t="s">
        <v>100</v>
      </c>
    </row>
    <row r="138" customFormat="false" ht="15" hidden="false" customHeight="false" outlineLevel="0" collapsed="false">
      <c r="A138" s="6" t="s">
        <v>15</v>
      </c>
      <c r="B138" s="6" t="s">
        <v>163</v>
      </c>
      <c r="C138" s="6" t="n">
        <v>2</v>
      </c>
      <c r="D138" s="6" t="n">
        <v>12</v>
      </c>
      <c r="E138" s="12" t="s">
        <v>261</v>
      </c>
      <c r="F138" s="7" t="n">
        <v>981</v>
      </c>
      <c r="G138" s="6" t="n">
        <v>981</v>
      </c>
      <c r="H138" s="6" t="n">
        <v>0</v>
      </c>
      <c r="I138" s="11" t="n">
        <f aca="false">IF(F138=0,0,H138/F138*1000)</f>
        <v>0</v>
      </c>
      <c r="J138" s="6" t="n">
        <v>3</v>
      </c>
      <c r="K138" s="9" t="n">
        <f aca="false">IF(F138=0,0,J138/F138*100)</f>
        <v>0.305810397553517</v>
      </c>
      <c r="L138" s="6" t="n">
        <v>91.8</v>
      </c>
      <c r="M138" s="33" t="s">
        <v>107</v>
      </c>
    </row>
    <row r="139" customFormat="false" ht="15" hidden="false" customHeight="false" outlineLevel="0" collapsed="false">
      <c r="A139" s="6" t="s">
        <v>15</v>
      </c>
      <c r="B139" s="6" t="s">
        <v>154</v>
      </c>
      <c r="C139" s="6" t="n">
        <v>29</v>
      </c>
      <c r="D139" s="6" t="n">
        <v>9</v>
      </c>
      <c r="E139" s="6" t="s">
        <v>262</v>
      </c>
      <c r="F139" s="7" t="n">
        <v>977</v>
      </c>
      <c r="G139" s="6" t="n">
        <v>0</v>
      </c>
      <c r="H139" s="6" t="n">
        <v>0</v>
      </c>
      <c r="I139" s="11" t="n">
        <f aca="false">IF(F139=0,0,H139/F139*1000)</f>
        <v>0</v>
      </c>
      <c r="J139" s="6" t="n">
        <v>3</v>
      </c>
      <c r="K139" s="9" t="n">
        <f aca="false">IF(F139=0,0,J139/F139*100)</f>
        <v>0.307062436028659</v>
      </c>
      <c r="L139" s="6" t="n">
        <v>46.4</v>
      </c>
      <c r="M139" s="32" t="s">
        <v>100</v>
      </c>
    </row>
    <row r="140" customFormat="false" ht="15" hidden="false" customHeight="false" outlineLevel="0" collapsed="false">
      <c r="A140" s="6" t="s">
        <v>25</v>
      </c>
      <c r="B140" s="6" t="s">
        <v>130</v>
      </c>
      <c r="C140" s="6" t="n">
        <v>23</v>
      </c>
      <c r="D140" s="6" t="n">
        <v>19</v>
      </c>
      <c r="E140" s="12" t="s">
        <v>263</v>
      </c>
      <c r="F140" s="7" t="n">
        <v>975</v>
      </c>
      <c r="G140" s="6" t="n">
        <v>1</v>
      </c>
      <c r="H140" s="6" t="n">
        <v>0</v>
      </c>
      <c r="I140" s="11" t="n">
        <f aca="false">IF(F140=0,0,H140/F140*1000)</f>
        <v>0</v>
      </c>
      <c r="J140" s="6" t="n">
        <v>0</v>
      </c>
      <c r="K140" s="9" t="n">
        <f aca="false">IF(F140=0,0,J140/F140*100)</f>
        <v>0</v>
      </c>
      <c r="L140" s="6" t="n">
        <v>39.2</v>
      </c>
      <c r="M140" s="32" t="s">
        <v>100</v>
      </c>
    </row>
    <row r="141" customFormat="false" ht="15" hidden="false" customHeight="false" outlineLevel="0" collapsed="false">
      <c r="A141" s="6" t="s">
        <v>19</v>
      </c>
      <c r="B141" s="6" t="s">
        <v>121</v>
      </c>
      <c r="C141" s="6" t="n">
        <v>17</v>
      </c>
      <c r="D141" s="6" t="n">
        <v>15</v>
      </c>
      <c r="E141" s="6" t="s">
        <v>264</v>
      </c>
      <c r="F141" s="7" t="n">
        <v>968</v>
      </c>
      <c r="G141" s="6" t="n">
        <v>0</v>
      </c>
      <c r="H141" s="6" t="n">
        <v>0</v>
      </c>
      <c r="I141" s="11" t="n">
        <f aca="false">IF(F141=0,0,H141/F141*1000)</f>
        <v>0</v>
      </c>
      <c r="J141" s="6" t="n">
        <v>5</v>
      </c>
      <c r="K141" s="9" t="n">
        <f aca="false">IF(F141=0,0,J141/F141*100)</f>
        <v>0.516528925619835</v>
      </c>
      <c r="L141" s="6" t="n">
        <v>32.6</v>
      </c>
      <c r="M141" s="32" t="s">
        <v>100</v>
      </c>
    </row>
    <row r="142" customFormat="false" ht="15" hidden="false" customHeight="false" outlineLevel="0" collapsed="false">
      <c r="A142" s="6" t="s">
        <v>17</v>
      </c>
      <c r="B142" s="6" t="s">
        <v>128</v>
      </c>
      <c r="C142" s="6" t="n">
        <v>24</v>
      </c>
      <c r="D142" s="6" t="n">
        <v>9</v>
      </c>
      <c r="E142" s="6" t="s">
        <v>265</v>
      </c>
      <c r="F142" s="7" t="n">
        <v>968</v>
      </c>
      <c r="G142" s="6"/>
      <c r="H142" s="6" t="n">
        <v>0</v>
      </c>
      <c r="I142" s="11" t="n">
        <f aca="false">IF(F142=0,0,H142/F142*1000)</f>
        <v>0</v>
      </c>
      <c r="J142" s="6" t="n">
        <v>3</v>
      </c>
      <c r="K142" s="9" t="n">
        <f aca="false">IF(F142=0,0,J142/F142*100)</f>
        <v>0.309917355371901</v>
      </c>
      <c r="L142" s="6" t="n">
        <v>46.2</v>
      </c>
      <c r="M142" s="33" t="s">
        <v>107</v>
      </c>
    </row>
    <row r="143" customFormat="false" ht="15" hidden="false" customHeight="false" outlineLevel="0" collapsed="false">
      <c r="A143" s="6" t="s">
        <v>19</v>
      </c>
      <c r="B143" s="6" t="s">
        <v>121</v>
      </c>
      <c r="C143" s="6" t="n">
        <v>17</v>
      </c>
      <c r="D143" s="6" t="n">
        <v>19</v>
      </c>
      <c r="E143" s="12" t="s">
        <v>266</v>
      </c>
      <c r="F143" s="7" t="n">
        <v>967</v>
      </c>
      <c r="G143" s="6" t="n">
        <v>0</v>
      </c>
      <c r="H143" s="6" t="n">
        <v>0</v>
      </c>
      <c r="I143" s="11" t="n">
        <f aca="false">IF(F143=0,0,H143/F143*1000)</f>
        <v>0</v>
      </c>
      <c r="J143" s="6" t="n">
        <v>5</v>
      </c>
      <c r="K143" s="9" t="n">
        <f aca="false">IF(F143=0,0,J143/F143*100)</f>
        <v>0.517063081695967</v>
      </c>
      <c r="L143" s="6" t="n">
        <v>30.1</v>
      </c>
      <c r="M143" s="32" t="s">
        <v>100</v>
      </c>
    </row>
    <row r="144" customFormat="false" ht="15" hidden="false" customHeight="false" outlineLevel="0" collapsed="false">
      <c r="A144" s="6" t="s">
        <v>19</v>
      </c>
      <c r="B144" s="6" t="s">
        <v>108</v>
      </c>
      <c r="C144" s="6" t="n">
        <v>12</v>
      </c>
      <c r="D144" s="6" t="n">
        <v>18</v>
      </c>
      <c r="E144" s="12" t="s">
        <v>267</v>
      </c>
      <c r="F144" s="7" t="n">
        <v>962</v>
      </c>
      <c r="G144" s="6" t="n">
        <v>0</v>
      </c>
      <c r="H144" s="6" t="n">
        <v>0</v>
      </c>
      <c r="I144" s="11" t="n">
        <f aca="false">IF(F144=0,0,H144/F144*1000)</f>
        <v>0</v>
      </c>
      <c r="J144" s="6" t="n">
        <v>5</v>
      </c>
      <c r="K144" s="9" t="n">
        <f aca="false">IF(F144=0,0,J144/F144*100)</f>
        <v>0.51975051975052</v>
      </c>
      <c r="L144" s="6" t="n">
        <v>34.6</v>
      </c>
      <c r="M144" s="32" t="s">
        <v>100</v>
      </c>
    </row>
    <row r="145" customFormat="false" ht="15" hidden="false" customHeight="false" outlineLevel="0" collapsed="false">
      <c r="A145" s="6" t="s">
        <v>17</v>
      </c>
      <c r="B145" s="6" t="s">
        <v>121</v>
      </c>
      <c r="C145" s="6" t="n">
        <v>17</v>
      </c>
      <c r="D145" s="6" t="n">
        <v>15</v>
      </c>
      <c r="E145" s="12" t="s">
        <v>268</v>
      </c>
      <c r="F145" s="7" t="n">
        <v>961</v>
      </c>
      <c r="G145" s="6" t="n">
        <v>1</v>
      </c>
      <c r="H145" s="6" t="n">
        <v>0</v>
      </c>
      <c r="I145" s="11" t="n">
        <f aca="false">IF(F145=0,0,H145/F145*1000)</f>
        <v>0</v>
      </c>
      <c r="J145" s="6" t="n">
        <v>5</v>
      </c>
      <c r="K145" s="9" t="n">
        <f aca="false">IF(F145=0,0,J145/F145*100)</f>
        <v>0.520291363163372</v>
      </c>
      <c r="L145" s="6" t="n">
        <v>26.7</v>
      </c>
      <c r="M145" s="33" t="s">
        <v>107</v>
      </c>
    </row>
    <row r="146" customFormat="false" ht="15" hidden="false" customHeight="false" outlineLevel="0" collapsed="false">
      <c r="A146" s="6" t="s">
        <v>19</v>
      </c>
      <c r="B146" s="6" t="s">
        <v>136</v>
      </c>
      <c r="C146" s="6" t="n">
        <v>11</v>
      </c>
      <c r="D146" s="6" t="n">
        <v>18</v>
      </c>
      <c r="E146" s="12" t="s">
        <v>269</v>
      </c>
      <c r="F146" s="7" t="n">
        <v>958</v>
      </c>
      <c r="G146" s="6" t="n">
        <v>1</v>
      </c>
      <c r="H146" s="6" t="n">
        <v>0</v>
      </c>
      <c r="I146" s="11" t="n">
        <f aca="false">IF(F146=0,0,H146/F146*1000)</f>
        <v>0</v>
      </c>
      <c r="J146" s="6" t="n">
        <v>3</v>
      </c>
      <c r="K146" s="9" t="n">
        <f aca="false">IF(F146=0,0,J146/F146*100)</f>
        <v>0.313152400835073</v>
      </c>
      <c r="L146" s="6" t="n">
        <v>144.8</v>
      </c>
      <c r="M146" s="33" t="s">
        <v>107</v>
      </c>
    </row>
    <row r="147" customFormat="false" ht="15" hidden="false" customHeight="false" outlineLevel="0" collapsed="false">
      <c r="A147" s="6" t="s">
        <v>15</v>
      </c>
      <c r="B147" s="6" t="s">
        <v>121</v>
      </c>
      <c r="C147" s="6" t="n">
        <v>17</v>
      </c>
      <c r="D147" s="6" t="n">
        <v>14</v>
      </c>
      <c r="E147" s="6" t="s">
        <v>270</v>
      </c>
      <c r="F147" s="7" t="n">
        <v>955</v>
      </c>
      <c r="G147" s="6" t="n">
        <v>0</v>
      </c>
      <c r="H147" s="6" t="n">
        <v>0</v>
      </c>
      <c r="I147" s="11" t="n">
        <f aca="false">IF(F147=0,0,H147/F147*1000)</f>
        <v>0</v>
      </c>
      <c r="J147" s="6" t="n">
        <v>7</v>
      </c>
      <c r="K147" s="9" t="n">
        <f aca="false">IF(F147=0,0,J147/F147*100)</f>
        <v>0.732984293193717</v>
      </c>
      <c r="L147" s="6" t="n">
        <v>30</v>
      </c>
      <c r="M147" s="32" t="s">
        <v>100</v>
      </c>
    </row>
    <row r="148" customFormat="false" ht="15" hidden="false" customHeight="false" outlineLevel="0" collapsed="false">
      <c r="A148" s="6" t="s">
        <v>17</v>
      </c>
      <c r="B148" s="6" t="s">
        <v>112</v>
      </c>
      <c r="C148" s="6" t="n">
        <v>10</v>
      </c>
      <c r="D148" s="6" t="n">
        <v>14</v>
      </c>
      <c r="E148" s="12" t="s">
        <v>271</v>
      </c>
      <c r="F148" s="7" t="n">
        <v>954</v>
      </c>
      <c r="G148" s="6" t="n">
        <v>5</v>
      </c>
      <c r="H148" s="6" t="n">
        <v>0</v>
      </c>
      <c r="I148" s="11" t="n">
        <f aca="false">IF(F148=0,0,H148/F148*1000)</f>
        <v>0</v>
      </c>
      <c r="J148" s="6" t="n">
        <v>4</v>
      </c>
      <c r="K148" s="9" t="n">
        <f aca="false">IF(F148=0,0,J148/F148*100)</f>
        <v>0.419287211740042</v>
      </c>
      <c r="L148" s="6" t="n">
        <v>27.4</v>
      </c>
      <c r="M148" s="33" t="s">
        <v>107</v>
      </c>
    </row>
    <row r="149" customFormat="false" ht="15" hidden="false" customHeight="false" outlineLevel="0" collapsed="false">
      <c r="A149" s="6" t="s">
        <v>19</v>
      </c>
      <c r="B149" s="6" t="s">
        <v>121</v>
      </c>
      <c r="C149" s="6" t="n">
        <v>17</v>
      </c>
      <c r="D149" s="6" t="n">
        <v>17</v>
      </c>
      <c r="E149" s="12" t="s">
        <v>272</v>
      </c>
      <c r="F149" s="7" t="n">
        <v>951</v>
      </c>
      <c r="G149" s="6" t="n">
        <v>0</v>
      </c>
      <c r="H149" s="6" t="n">
        <v>0</v>
      </c>
      <c r="I149" s="11" t="n">
        <f aca="false">IF(F149=0,0,H149/F149*1000)</f>
        <v>0</v>
      </c>
      <c r="J149" s="6" t="n">
        <v>3</v>
      </c>
      <c r="K149" s="9" t="n">
        <f aca="false">IF(F149=0,0,J149/F149*100)</f>
        <v>0.315457413249211</v>
      </c>
      <c r="L149" s="6" t="n">
        <v>36.4</v>
      </c>
      <c r="M149" s="33" t="s">
        <v>107</v>
      </c>
    </row>
    <row r="150" customFormat="false" ht="15" hidden="false" customHeight="false" outlineLevel="0" collapsed="false">
      <c r="A150" s="6" t="s">
        <v>19</v>
      </c>
      <c r="B150" s="6" t="s">
        <v>110</v>
      </c>
      <c r="C150" s="6" t="n">
        <v>3</v>
      </c>
      <c r="D150" s="6" t="n">
        <v>18</v>
      </c>
      <c r="E150" s="12" t="s">
        <v>273</v>
      </c>
      <c r="F150" s="7" t="n">
        <v>945</v>
      </c>
      <c r="G150" s="6" t="n">
        <v>945</v>
      </c>
      <c r="H150" s="6" t="n">
        <v>0</v>
      </c>
      <c r="I150" s="11" t="n">
        <f aca="false">IF(F150=0,0,H150/F150*1000)</f>
        <v>0</v>
      </c>
      <c r="J150" s="6" t="n">
        <v>2</v>
      </c>
      <c r="K150" s="9" t="n">
        <f aca="false">IF(F150=0,0,J150/F150*100)</f>
        <v>0.211640211640212</v>
      </c>
      <c r="L150" s="6" t="n">
        <v>32</v>
      </c>
      <c r="M150" s="32" t="s">
        <v>100</v>
      </c>
    </row>
    <row r="151" customFormat="false" ht="15" hidden="false" customHeight="false" outlineLevel="0" collapsed="false">
      <c r="A151" s="6" t="s">
        <v>15</v>
      </c>
      <c r="B151" s="6" t="s">
        <v>108</v>
      </c>
      <c r="C151" s="6" t="n">
        <v>12</v>
      </c>
      <c r="D151" s="6" t="n">
        <v>17</v>
      </c>
      <c r="E151" s="6" t="s">
        <v>274</v>
      </c>
      <c r="F151" s="7" t="n">
        <v>944</v>
      </c>
      <c r="G151" s="6" t="n">
        <v>0</v>
      </c>
      <c r="H151" s="6" t="n">
        <v>0</v>
      </c>
      <c r="I151" s="11" t="n">
        <f aca="false">IF(F151=0,0,H151/F151*1000)</f>
        <v>0</v>
      </c>
      <c r="J151" s="6" t="n">
        <v>7</v>
      </c>
      <c r="K151" s="9" t="n">
        <f aca="false">IF(F151=0,0,J151/F151*100)</f>
        <v>0.741525423728814</v>
      </c>
      <c r="L151" s="6" t="n">
        <v>41.7</v>
      </c>
      <c r="M151" s="32" t="s">
        <v>100</v>
      </c>
    </row>
    <row r="152" customFormat="false" ht="15" hidden="false" customHeight="false" outlineLevel="0" collapsed="false">
      <c r="A152" s="6" t="s">
        <v>17</v>
      </c>
      <c r="B152" s="6" t="s">
        <v>146</v>
      </c>
      <c r="C152" s="6" t="n">
        <v>13</v>
      </c>
      <c r="D152" s="6" t="n">
        <v>19</v>
      </c>
      <c r="E152" s="12" t="s">
        <v>275</v>
      </c>
      <c r="F152" s="7" t="n">
        <v>942</v>
      </c>
      <c r="G152" s="6" t="n">
        <v>0</v>
      </c>
      <c r="H152" s="6" t="n">
        <v>0</v>
      </c>
      <c r="I152" s="11" t="n">
        <f aca="false">IF(F152=0,0,H152/F152*1000)</f>
        <v>0</v>
      </c>
      <c r="J152" s="6" t="n">
        <v>0</v>
      </c>
      <c r="K152" s="9" t="n">
        <f aca="false">IF(F152=0,0,J152/F152*100)</f>
        <v>0</v>
      </c>
      <c r="L152" s="6" t="n">
        <v>32.8</v>
      </c>
      <c r="M152" s="32" t="s">
        <v>100</v>
      </c>
    </row>
    <row r="153" customFormat="false" ht="15" hidden="false" customHeight="false" outlineLevel="0" collapsed="false">
      <c r="A153" s="6" t="s">
        <v>21</v>
      </c>
      <c r="B153" s="6" t="s">
        <v>112</v>
      </c>
      <c r="C153" s="6" t="n">
        <v>10</v>
      </c>
      <c r="D153" s="6" t="n">
        <v>17</v>
      </c>
      <c r="E153" s="6" t="s">
        <v>276</v>
      </c>
      <c r="F153" s="7" t="n">
        <v>934</v>
      </c>
      <c r="G153" s="6" t="n">
        <v>0</v>
      </c>
      <c r="H153" s="6" t="n">
        <v>0</v>
      </c>
      <c r="I153" s="11" t="n">
        <f aca="false">IF(F153=0,0,H153/F153*1000)</f>
        <v>0</v>
      </c>
      <c r="J153" s="6" t="n">
        <v>3</v>
      </c>
      <c r="K153" s="9" t="n">
        <f aca="false">IF(F153=0,0,J153/F153*100)</f>
        <v>0.321199143468951</v>
      </c>
      <c r="L153" s="6" t="n">
        <v>39.4</v>
      </c>
      <c r="M153" s="32" t="s">
        <v>100</v>
      </c>
    </row>
    <row r="154" customFormat="false" ht="15" hidden="false" customHeight="false" outlineLevel="0" collapsed="false">
      <c r="A154" s="6" t="s">
        <v>15</v>
      </c>
      <c r="B154" s="6" t="s">
        <v>110</v>
      </c>
      <c r="C154" s="6" t="n">
        <v>3</v>
      </c>
      <c r="D154" s="6" t="n">
        <v>7</v>
      </c>
      <c r="E154" s="12" t="s">
        <v>277</v>
      </c>
      <c r="F154" s="7" t="n">
        <v>931</v>
      </c>
      <c r="G154" s="6" t="n">
        <v>931</v>
      </c>
      <c r="H154" s="6" t="n">
        <v>0</v>
      </c>
      <c r="I154" s="11" t="n">
        <f aca="false">IF(F154=0,0,H154/F154*1000)</f>
        <v>0</v>
      </c>
      <c r="J154" s="6" t="n">
        <v>7</v>
      </c>
      <c r="K154" s="9" t="n">
        <f aca="false">IF(F154=0,0,J154/F154*100)</f>
        <v>0.75187969924812</v>
      </c>
      <c r="L154" s="6" t="n">
        <v>37.5</v>
      </c>
      <c r="M154" s="32" t="s">
        <v>100</v>
      </c>
    </row>
    <row r="155" customFormat="false" ht="15" hidden="false" customHeight="false" outlineLevel="0" collapsed="false">
      <c r="A155" s="6" t="s">
        <v>19</v>
      </c>
      <c r="B155" s="6" t="s">
        <v>112</v>
      </c>
      <c r="C155" s="6" t="n">
        <v>10</v>
      </c>
      <c r="D155" s="6" t="n">
        <v>18</v>
      </c>
      <c r="E155" s="12" t="s">
        <v>278</v>
      </c>
      <c r="F155" s="7" t="n">
        <v>928</v>
      </c>
      <c r="G155" s="6" t="n">
        <v>0</v>
      </c>
      <c r="H155" s="6" t="n">
        <v>0</v>
      </c>
      <c r="I155" s="11" t="n">
        <f aca="false">IF(F155=0,0,H155/F155*1000)</f>
        <v>0</v>
      </c>
      <c r="J155" s="6" t="n">
        <v>4</v>
      </c>
      <c r="K155" s="9" t="n">
        <f aca="false">IF(F155=0,0,J155/F155*100)</f>
        <v>0.431034482758621</v>
      </c>
      <c r="L155" s="6" t="n">
        <v>30.6</v>
      </c>
      <c r="M155" s="33" t="s">
        <v>107</v>
      </c>
    </row>
    <row r="156" customFormat="false" ht="15" hidden="false" customHeight="false" outlineLevel="0" collapsed="false">
      <c r="A156" s="6" t="s">
        <v>17</v>
      </c>
      <c r="B156" s="6" t="s">
        <v>179</v>
      </c>
      <c r="C156" s="6" t="n">
        <v>21</v>
      </c>
      <c r="D156" s="6" t="n">
        <v>18</v>
      </c>
      <c r="E156" s="6" t="s">
        <v>279</v>
      </c>
      <c r="F156" s="7" t="n">
        <v>926</v>
      </c>
      <c r="G156" s="6" t="n">
        <v>0</v>
      </c>
      <c r="H156" s="6" t="n">
        <v>0</v>
      </c>
      <c r="I156" s="11" t="n">
        <f aca="false">IF(F156=0,0,H156/F156*1000)</f>
        <v>0</v>
      </c>
      <c r="J156" s="6" t="n">
        <v>5</v>
      </c>
      <c r="K156" s="9" t="n">
        <f aca="false">IF(F156=0,0,J156/F156*100)</f>
        <v>0.539956803455724</v>
      </c>
      <c r="L156" s="6" t="n">
        <v>51.4</v>
      </c>
      <c r="M156" s="33" t="s">
        <v>107</v>
      </c>
    </row>
    <row r="157" customFormat="false" ht="15" hidden="false" customHeight="false" outlineLevel="0" collapsed="false">
      <c r="A157" s="6" t="s">
        <v>21</v>
      </c>
      <c r="B157" s="6" t="s">
        <v>108</v>
      </c>
      <c r="C157" s="6" t="n">
        <v>12</v>
      </c>
      <c r="D157" s="6" t="n">
        <v>17</v>
      </c>
      <c r="E157" s="6" t="s">
        <v>280</v>
      </c>
      <c r="F157" s="7" t="n">
        <v>921</v>
      </c>
      <c r="G157" s="6" t="n">
        <v>0</v>
      </c>
      <c r="H157" s="6" t="n">
        <v>0</v>
      </c>
      <c r="I157" s="11" t="n">
        <f aca="false">IF(F157=0,0,H157/F157*1000)</f>
        <v>0</v>
      </c>
      <c r="J157" s="6" t="n">
        <v>1</v>
      </c>
      <c r="K157" s="9" t="n">
        <f aca="false">IF(F157=0,0,J157/F157*100)</f>
        <v>0.1085776330076</v>
      </c>
      <c r="L157" s="6" t="n">
        <v>25</v>
      </c>
      <c r="M157" s="32" t="s">
        <v>100</v>
      </c>
    </row>
    <row r="158" customFormat="false" ht="15" hidden="false" customHeight="false" outlineLevel="0" collapsed="false">
      <c r="A158" s="6" t="s">
        <v>21</v>
      </c>
      <c r="B158" s="6" t="s">
        <v>110</v>
      </c>
      <c r="C158" s="6" t="n">
        <v>3</v>
      </c>
      <c r="D158" s="6" t="n">
        <v>15</v>
      </c>
      <c r="E158" s="12" t="s">
        <v>281</v>
      </c>
      <c r="F158" s="7" t="n">
        <v>914</v>
      </c>
      <c r="G158" s="6" t="n">
        <v>392</v>
      </c>
      <c r="H158" s="6" t="n">
        <v>0</v>
      </c>
      <c r="I158" s="11" t="n">
        <f aca="false">IF(F158=0,0,H158/F158*1000)</f>
        <v>0</v>
      </c>
      <c r="J158" s="6" t="n">
        <v>2</v>
      </c>
      <c r="K158" s="9" t="n">
        <f aca="false">IF(F158=0,0,J158/F158*100)</f>
        <v>0.218818380743983</v>
      </c>
      <c r="L158" s="6" t="n">
        <v>30.7</v>
      </c>
      <c r="M158" s="33" t="s">
        <v>107</v>
      </c>
    </row>
    <row r="159" customFormat="false" ht="15" hidden="false" customHeight="false" outlineLevel="0" collapsed="false">
      <c r="A159" s="6" t="s">
        <v>19</v>
      </c>
      <c r="B159" s="6" t="s">
        <v>105</v>
      </c>
      <c r="C159" s="6" t="n">
        <v>8</v>
      </c>
      <c r="D159" s="6" t="n">
        <v>18</v>
      </c>
      <c r="E159" s="12" t="s">
        <v>282</v>
      </c>
      <c r="F159" s="7" t="n">
        <v>909</v>
      </c>
      <c r="G159" s="6" t="n">
        <v>0</v>
      </c>
      <c r="H159" s="6" t="n">
        <v>0</v>
      </c>
      <c r="I159" s="11" t="n">
        <f aca="false">IF(F159=0,0,H159/F159*1000)</f>
        <v>0</v>
      </c>
      <c r="J159" s="6" t="n">
        <v>2</v>
      </c>
      <c r="K159" s="9" t="n">
        <f aca="false">IF(F159=0,0,J159/F159*100)</f>
        <v>0.22002200220022</v>
      </c>
      <c r="L159" s="6" t="n">
        <v>27.1</v>
      </c>
      <c r="M159" s="32" t="s">
        <v>100</v>
      </c>
    </row>
    <row r="160" customFormat="false" ht="15" hidden="false" customHeight="false" outlineLevel="0" collapsed="false">
      <c r="A160" s="6" t="s">
        <v>19</v>
      </c>
      <c r="B160" s="6" t="s">
        <v>163</v>
      </c>
      <c r="C160" s="6" t="n">
        <v>2</v>
      </c>
      <c r="D160" s="6" t="n">
        <v>12</v>
      </c>
      <c r="E160" s="12" t="s">
        <v>283</v>
      </c>
      <c r="F160" s="7" t="n">
        <v>907</v>
      </c>
      <c r="G160" s="6" t="n">
        <v>907</v>
      </c>
      <c r="H160" s="6" t="n">
        <v>0</v>
      </c>
      <c r="I160" s="11" t="n">
        <f aca="false">IF(F160=0,0,H160/F160*1000)</f>
        <v>0</v>
      </c>
      <c r="J160" s="6" t="n">
        <v>0</v>
      </c>
      <c r="K160" s="9" t="n">
        <f aca="false">IF(F160=0,0,J160/F160*100)</f>
        <v>0</v>
      </c>
      <c r="L160" s="6" t="n">
        <v>36</v>
      </c>
      <c r="M160" s="32" t="s">
        <v>100</v>
      </c>
    </row>
    <row r="161" customFormat="false" ht="15" hidden="false" customHeight="false" outlineLevel="0" collapsed="false">
      <c r="A161" s="6" t="s">
        <v>21</v>
      </c>
      <c r="B161" s="6" t="s">
        <v>101</v>
      </c>
      <c r="C161" s="6" t="n">
        <v>7</v>
      </c>
      <c r="D161" s="6" t="n">
        <v>17</v>
      </c>
      <c r="E161" s="12" t="s">
        <v>284</v>
      </c>
      <c r="F161" s="7" t="n">
        <v>884</v>
      </c>
      <c r="G161" s="6" t="n">
        <v>1</v>
      </c>
      <c r="H161" s="6" t="n">
        <v>0</v>
      </c>
      <c r="I161" s="11" t="n">
        <f aca="false">IF(F161=0,0,H161/F161*1000)</f>
        <v>0</v>
      </c>
      <c r="J161" s="6" t="n">
        <v>4</v>
      </c>
      <c r="K161" s="9" t="n">
        <f aca="false">IF(F161=0,0,J161/F161*100)</f>
        <v>0.452488687782806</v>
      </c>
      <c r="L161" s="6" t="n">
        <v>46.1</v>
      </c>
      <c r="M161" s="32" t="s">
        <v>100</v>
      </c>
    </row>
    <row r="162" customFormat="false" ht="15" hidden="false" customHeight="false" outlineLevel="0" collapsed="false">
      <c r="A162" s="6" t="s">
        <v>19</v>
      </c>
      <c r="B162" s="6" t="s">
        <v>112</v>
      </c>
      <c r="C162" s="6" t="n">
        <v>10</v>
      </c>
      <c r="D162" s="6" t="n">
        <v>14</v>
      </c>
      <c r="E162" s="12" t="s">
        <v>285</v>
      </c>
      <c r="F162" s="7" t="n">
        <v>882</v>
      </c>
      <c r="G162" s="6" t="n">
        <v>0</v>
      </c>
      <c r="H162" s="6" t="n">
        <v>0</v>
      </c>
      <c r="I162" s="11" t="n">
        <f aca="false">IF(F162=0,0,H162/F162*1000)</f>
        <v>0</v>
      </c>
      <c r="J162" s="6" t="n">
        <v>1</v>
      </c>
      <c r="K162" s="9" t="n">
        <f aca="false">IF(F162=0,0,J162/F162*100)</f>
        <v>0.113378684807256</v>
      </c>
      <c r="L162" s="6" t="n">
        <v>35.7</v>
      </c>
      <c r="M162" s="33" t="s">
        <v>107</v>
      </c>
    </row>
    <row r="163" customFormat="false" ht="15" hidden="false" customHeight="false" outlineLevel="0" collapsed="false">
      <c r="A163" s="6" t="s">
        <v>17</v>
      </c>
      <c r="B163" s="6" t="s">
        <v>179</v>
      </c>
      <c r="C163" s="6" t="n">
        <v>21</v>
      </c>
      <c r="D163" s="6" t="n">
        <v>18</v>
      </c>
      <c r="E163" s="6" t="s">
        <v>286</v>
      </c>
      <c r="F163" s="7" t="n">
        <v>881</v>
      </c>
      <c r="G163" s="6" t="n">
        <v>0</v>
      </c>
      <c r="H163" s="6" t="n">
        <v>0</v>
      </c>
      <c r="I163" s="11" t="n">
        <f aca="false">IF(F163=0,0,H163/F163*1000)</f>
        <v>0</v>
      </c>
      <c r="J163" s="6" t="n">
        <v>9</v>
      </c>
      <c r="K163" s="9" t="n">
        <f aca="false">IF(F163=0,0,J163/F163*100)</f>
        <v>1.02156640181612</v>
      </c>
      <c r="L163" s="6" t="n">
        <v>51.8</v>
      </c>
      <c r="M163" s="33" t="s">
        <v>107</v>
      </c>
    </row>
    <row r="164" customFormat="false" ht="15" hidden="false" customHeight="false" outlineLevel="0" collapsed="false">
      <c r="A164" s="6" t="s">
        <v>15</v>
      </c>
      <c r="B164" s="6" t="s">
        <v>110</v>
      </c>
      <c r="C164" s="6" t="n">
        <v>3</v>
      </c>
      <c r="D164" s="6" t="n">
        <v>17</v>
      </c>
      <c r="E164" s="12" t="s">
        <v>287</v>
      </c>
      <c r="F164" s="7" t="n">
        <v>879</v>
      </c>
      <c r="G164" s="6" t="n">
        <v>879</v>
      </c>
      <c r="H164" s="6" t="n">
        <v>0</v>
      </c>
      <c r="I164" s="11" t="n">
        <f aca="false">IF(F164=0,0,H164/F164*1000)</f>
        <v>0</v>
      </c>
      <c r="J164" s="6" t="n">
        <v>5</v>
      </c>
      <c r="K164" s="9" t="n">
        <f aca="false">IF(F164=0,0,J164/F164*100)</f>
        <v>0.568828213879408</v>
      </c>
      <c r="L164" s="6" t="n">
        <v>58.8</v>
      </c>
      <c r="M164" s="33" t="s">
        <v>107</v>
      </c>
    </row>
    <row r="165" customFormat="false" ht="15" hidden="false" customHeight="false" outlineLevel="0" collapsed="false">
      <c r="A165" s="6" t="s">
        <v>21</v>
      </c>
      <c r="B165" s="6" t="s">
        <v>136</v>
      </c>
      <c r="C165" s="6" t="n">
        <v>11</v>
      </c>
      <c r="D165" s="6" t="n">
        <v>17</v>
      </c>
      <c r="E165" s="6" t="s">
        <v>288</v>
      </c>
      <c r="F165" s="7" t="n">
        <v>866</v>
      </c>
      <c r="G165" s="6" t="n">
        <v>0</v>
      </c>
      <c r="H165" s="6" t="n">
        <v>0</v>
      </c>
      <c r="I165" s="11" t="n">
        <f aca="false">IF(F165=0,0,H165/F165*1000)</f>
        <v>0</v>
      </c>
      <c r="J165" s="6" t="n">
        <v>3</v>
      </c>
      <c r="K165" s="9" t="n">
        <f aca="false">IF(F165=0,0,J165/F165*100)</f>
        <v>0.346420323325635</v>
      </c>
      <c r="L165" s="6" t="n">
        <v>41.9</v>
      </c>
      <c r="M165" s="32" t="s">
        <v>100</v>
      </c>
    </row>
    <row r="166" customFormat="false" ht="15" hidden="false" customHeight="false" outlineLevel="0" collapsed="false">
      <c r="A166" s="6" t="s">
        <v>15</v>
      </c>
      <c r="B166" s="6" t="s">
        <v>125</v>
      </c>
      <c r="C166" s="6" t="n">
        <v>27</v>
      </c>
      <c r="D166" s="6" t="n">
        <v>17</v>
      </c>
      <c r="E166" s="12" t="s">
        <v>289</v>
      </c>
      <c r="F166" s="7" t="n">
        <v>857</v>
      </c>
      <c r="G166" s="6" t="n">
        <v>0</v>
      </c>
      <c r="H166" s="6" t="n">
        <v>0</v>
      </c>
      <c r="I166" s="11" t="n">
        <f aca="false">IF(F166=0,0,H166/F166*1000)</f>
        <v>0</v>
      </c>
      <c r="J166" s="6" t="n">
        <v>4</v>
      </c>
      <c r="K166" s="9" t="n">
        <f aca="false">IF(F166=0,0,J166/F166*100)</f>
        <v>0.466744457409568</v>
      </c>
      <c r="L166" s="6" t="n">
        <v>47.8</v>
      </c>
      <c r="M166" s="32" t="s">
        <v>100</v>
      </c>
    </row>
    <row r="167" customFormat="false" ht="15" hidden="false" customHeight="false" outlineLevel="0" collapsed="false">
      <c r="A167" s="6" t="s">
        <v>19</v>
      </c>
      <c r="B167" s="6" t="s">
        <v>146</v>
      </c>
      <c r="C167" s="6" t="n">
        <v>13</v>
      </c>
      <c r="D167" s="6" t="n">
        <v>18</v>
      </c>
      <c r="E167" s="12" t="s">
        <v>290</v>
      </c>
      <c r="F167" s="7" t="n">
        <v>856</v>
      </c>
      <c r="G167" s="6" t="n">
        <v>0</v>
      </c>
      <c r="H167" s="6" t="n">
        <v>0</v>
      </c>
      <c r="I167" s="11" t="n">
        <f aca="false">IF(F167=0,0,H167/F167*1000)</f>
        <v>0</v>
      </c>
      <c r="J167" s="6" t="n">
        <v>2</v>
      </c>
      <c r="K167" s="9" t="n">
        <f aca="false">IF(F167=0,0,J167/F167*100)</f>
        <v>0.233644859813084</v>
      </c>
      <c r="L167" s="6" t="n">
        <v>39.1</v>
      </c>
      <c r="M167" s="33" t="s">
        <v>107</v>
      </c>
    </row>
    <row r="168" customFormat="false" ht="15" hidden="false" customHeight="false" outlineLevel="0" collapsed="false">
      <c r="A168" s="6" t="s">
        <v>15</v>
      </c>
      <c r="B168" s="6" t="s">
        <v>105</v>
      </c>
      <c r="C168" s="6" t="n">
        <v>8</v>
      </c>
      <c r="D168" s="6" t="n">
        <v>18</v>
      </c>
      <c r="E168" s="6" t="s">
        <v>291</v>
      </c>
      <c r="F168" s="7" t="n">
        <v>847</v>
      </c>
      <c r="G168" s="6" t="n">
        <v>0</v>
      </c>
      <c r="H168" s="6" t="n">
        <v>0</v>
      </c>
      <c r="I168" s="11" t="n">
        <f aca="false">IF(F168=0,0,H168/F168*1000)</f>
        <v>0</v>
      </c>
      <c r="J168" s="6" t="n">
        <v>6</v>
      </c>
      <c r="K168" s="9" t="n">
        <f aca="false">IF(F168=0,0,J168/F168*100)</f>
        <v>0.708382526564345</v>
      </c>
      <c r="L168" s="6" t="n">
        <v>35.8</v>
      </c>
      <c r="M168" s="32" t="s">
        <v>100</v>
      </c>
    </row>
    <row r="169" customFormat="false" ht="15" hidden="false" customHeight="false" outlineLevel="0" collapsed="false">
      <c r="A169" s="6" t="s">
        <v>21</v>
      </c>
      <c r="B169" s="6" t="s">
        <v>146</v>
      </c>
      <c r="C169" s="6" t="n">
        <v>13</v>
      </c>
      <c r="D169" s="6" t="n">
        <v>17</v>
      </c>
      <c r="E169" s="6" t="s">
        <v>292</v>
      </c>
      <c r="F169" s="7" t="n">
        <v>842</v>
      </c>
      <c r="G169" s="6" t="n">
        <v>0</v>
      </c>
      <c r="H169" s="6" t="n">
        <v>0</v>
      </c>
      <c r="I169" s="11" t="n">
        <f aca="false">IF(F169=0,0,H169/F169*1000)</f>
        <v>0</v>
      </c>
      <c r="J169" s="6" t="n">
        <v>3</v>
      </c>
      <c r="K169" s="9" t="n">
        <f aca="false">IF(F169=0,0,J169/F169*100)</f>
        <v>0.356294536817102</v>
      </c>
      <c r="L169" s="6" t="n">
        <v>35.1</v>
      </c>
      <c r="M169" s="32" t="s">
        <v>100</v>
      </c>
    </row>
    <row r="170" customFormat="false" ht="15" hidden="false" customHeight="false" outlineLevel="0" collapsed="false">
      <c r="A170" s="6" t="s">
        <v>19</v>
      </c>
      <c r="B170" s="6" t="s">
        <v>136</v>
      </c>
      <c r="C170" s="6" t="n">
        <v>11</v>
      </c>
      <c r="D170" s="6" t="n">
        <v>12</v>
      </c>
      <c r="E170" s="12" t="s">
        <v>293</v>
      </c>
      <c r="F170" s="7" t="n">
        <v>841</v>
      </c>
      <c r="G170" s="6" t="n">
        <v>0</v>
      </c>
      <c r="H170" s="6" t="n">
        <v>0</v>
      </c>
      <c r="I170" s="11" t="n">
        <f aca="false">IF(F170=0,0,H170/F170*1000)</f>
        <v>0</v>
      </c>
      <c r="J170" s="6" t="n">
        <v>1</v>
      </c>
      <c r="K170" s="9" t="n">
        <f aca="false">IF(F170=0,0,J170/F170*100)</f>
        <v>0.118906064209275</v>
      </c>
      <c r="L170" s="6" t="n">
        <v>50.5</v>
      </c>
      <c r="M170" s="33" t="s">
        <v>107</v>
      </c>
    </row>
    <row r="171" customFormat="false" ht="15" hidden="false" customHeight="false" outlineLevel="0" collapsed="false">
      <c r="A171" s="6" t="s">
        <v>19</v>
      </c>
      <c r="B171" s="6" t="s">
        <v>110</v>
      </c>
      <c r="C171" s="6" t="n">
        <v>3</v>
      </c>
      <c r="D171" s="6" t="n">
        <v>12</v>
      </c>
      <c r="E171" s="12" t="s">
        <v>294</v>
      </c>
      <c r="F171" s="7" t="n">
        <v>825</v>
      </c>
      <c r="G171" s="6" t="n">
        <v>824</v>
      </c>
      <c r="H171" s="6" t="n">
        <v>0</v>
      </c>
      <c r="I171" s="11" t="n">
        <f aca="false">IF(F171=0,0,H171/F171*1000)</f>
        <v>0</v>
      </c>
      <c r="J171" s="6" t="n">
        <v>1</v>
      </c>
      <c r="K171" s="9" t="n">
        <f aca="false">IF(F171=0,0,J171/F171*100)</f>
        <v>0.121212121212121</v>
      </c>
      <c r="L171" s="6" t="n">
        <v>42.4</v>
      </c>
      <c r="M171" s="32" t="s">
        <v>100</v>
      </c>
    </row>
    <row r="172" customFormat="false" ht="15" hidden="false" customHeight="false" outlineLevel="0" collapsed="false">
      <c r="A172" s="6" t="s">
        <v>15</v>
      </c>
      <c r="B172" s="6" t="s">
        <v>200</v>
      </c>
      <c r="C172" s="6" t="n">
        <v>28</v>
      </c>
      <c r="D172" s="6" t="n">
        <v>9</v>
      </c>
      <c r="E172" s="12" t="s">
        <v>295</v>
      </c>
      <c r="F172" s="7" t="n">
        <v>804</v>
      </c>
      <c r="G172" s="6" t="n">
        <v>1</v>
      </c>
      <c r="H172" s="6" t="n">
        <v>0</v>
      </c>
      <c r="I172" s="11" t="n">
        <f aca="false">IF(F172=0,0,H172/F172*1000)</f>
        <v>0</v>
      </c>
      <c r="J172" s="6" t="n">
        <v>1</v>
      </c>
      <c r="K172" s="9" t="n">
        <f aca="false">IF(F172=0,0,J172/F172*100)</f>
        <v>0.124378109452736</v>
      </c>
      <c r="L172" s="6" t="n">
        <v>36.6</v>
      </c>
      <c r="M172" s="32" t="s">
        <v>100</v>
      </c>
    </row>
    <row r="173" customFormat="false" ht="15" hidden="false" customHeight="false" outlineLevel="0" collapsed="false">
      <c r="A173" s="6" t="s">
        <v>17</v>
      </c>
      <c r="B173" s="6" t="s">
        <v>200</v>
      </c>
      <c r="C173" s="6" t="n">
        <v>28</v>
      </c>
      <c r="D173" s="6" t="n">
        <v>9</v>
      </c>
      <c r="E173" s="12" t="s">
        <v>296</v>
      </c>
      <c r="F173" s="7" t="n">
        <v>781</v>
      </c>
      <c r="G173" s="6" t="n">
        <v>0</v>
      </c>
      <c r="H173" s="6" t="n">
        <v>0</v>
      </c>
      <c r="I173" s="29" t="n">
        <f aca="false">IF(F173=0,0,H173/F173*1000)</f>
        <v>0</v>
      </c>
      <c r="J173" s="6" t="n">
        <v>3</v>
      </c>
      <c r="K173" s="9" t="n">
        <f aca="false">IF(F173=0,0,J173/F173*100)</f>
        <v>0.384122919334187</v>
      </c>
      <c r="L173" s="6" t="n">
        <v>53.7</v>
      </c>
      <c r="M173" s="32" t="s">
        <v>100</v>
      </c>
    </row>
    <row r="174" customFormat="false" ht="15" hidden="false" customHeight="false" outlineLevel="0" collapsed="false">
      <c r="A174" s="6" t="s">
        <v>15</v>
      </c>
      <c r="B174" s="6" t="s">
        <v>200</v>
      </c>
      <c r="C174" s="6" t="n">
        <v>28</v>
      </c>
      <c r="D174" s="6" t="n">
        <v>17</v>
      </c>
      <c r="E174" s="12" t="s">
        <v>297</v>
      </c>
      <c r="F174" s="7" t="n">
        <v>779</v>
      </c>
      <c r="G174" s="6" t="n">
        <v>0</v>
      </c>
      <c r="H174" s="6" t="n">
        <v>0</v>
      </c>
      <c r="I174" s="29" t="n">
        <f aca="false">IF(F174=0,0,H174/F174*1000)</f>
        <v>0</v>
      </c>
      <c r="J174" s="6" t="n">
        <v>4</v>
      </c>
      <c r="K174" s="9" t="n">
        <f aca="false">IF(F174=0,0,J174/F174*100)</f>
        <v>0.513478818998716</v>
      </c>
      <c r="L174" s="6" t="n">
        <v>53.5</v>
      </c>
      <c r="M174" s="32" t="s">
        <v>100</v>
      </c>
    </row>
    <row r="175" customFormat="false" ht="15" hidden="false" customHeight="false" outlineLevel="0" collapsed="false">
      <c r="A175" s="6" t="s">
        <v>15</v>
      </c>
      <c r="B175" s="6" t="s">
        <v>158</v>
      </c>
      <c r="C175" s="6" t="n">
        <v>25</v>
      </c>
      <c r="D175" s="6" t="n">
        <v>17</v>
      </c>
      <c r="E175" s="12" t="s">
        <v>298</v>
      </c>
      <c r="F175" s="7" t="n">
        <v>756</v>
      </c>
      <c r="G175" s="6" t="n">
        <v>0</v>
      </c>
      <c r="H175" s="6" t="n">
        <v>0</v>
      </c>
      <c r="I175" s="29" t="n">
        <f aca="false">IF(F175=0,0,H175/F175*1000)</f>
        <v>0</v>
      </c>
      <c r="J175" s="6" t="n">
        <v>2</v>
      </c>
      <c r="K175" s="9" t="n">
        <f aca="false">IF(F175=0,0,J175/F175*100)</f>
        <v>0.264550264550265</v>
      </c>
      <c r="L175" s="6" t="n">
        <v>42.9</v>
      </c>
      <c r="M175" s="32" t="s">
        <v>100</v>
      </c>
    </row>
    <row r="176" customFormat="false" ht="15" hidden="false" customHeight="false" outlineLevel="0" collapsed="false">
      <c r="A176" s="6" t="s">
        <v>17</v>
      </c>
      <c r="B176" s="6" t="s">
        <v>172</v>
      </c>
      <c r="C176" s="6" t="n">
        <v>9</v>
      </c>
      <c r="D176" s="6" t="n">
        <v>19</v>
      </c>
      <c r="E176" s="12" t="s">
        <v>299</v>
      </c>
      <c r="F176" s="7" t="n">
        <v>718</v>
      </c>
      <c r="G176" s="6" t="n">
        <v>0</v>
      </c>
      <c r="H176" s="6" t="n">
        <v>0</v>
      </c>
      <c r="I176" s="29" t="n">
        <f aca="false">IF(F176=0,0,H176/F176*1000)</f>
        <v>0</v>
      </c>
      <c r="J176" s="6" t="n">
        <v>0</v>
      </c>
      <c r="K176" s="9" t="n">
        <f aca="false">IF(F176=0,0,J176/F176*100)</f>
        <v>0</v>
      </c>
      <c r="L176" s="6" t="n">
        <v>39.1</v>
      </c>
      <c r="M176" s="33" t="s">
        <v>107</v>
      </c>
    </row>
    <row r="177" customFormat="false" ht="15" hidden="false" customHeight="false" outlineLevel="0" collapsed="false">
      <c r="A177" s="6" t="s">
        <v>21</v>
      </c>
      <c r="B177" s="6" t="s">
        <v>98</v>
      </c>
      <c r="C177" s="6" t="n">
        <v>16</v>
      </c>
      <c r="D177" s="6" t="n">
        <v>12</v>
      </c>
      <c r="E177" s="6" t="s">
        <v>300</v>
      </c>
      <c r="F177" s="7" t="n">
        <v>712</v>
      </c>
      <c r="G177" s="6" t="n">
        <v>0</v>
      </c>
      <c r="H177" s="6" t="n">
        <v>0</v>
      </c>
      <c r="I177" s="29" t="n">
        <f aca="false">IF(F177=0,0,H177/F177*1000)</f>
        <v>0</v>
      </c>
      <c r="J177" s="6" t="n">
        <v>0</v>
      </c>
      <c r="K177" s="9" t="n">
        <f aca="false">IF(F177=0,0,J177/F177*100)</f>
        <v>0</v>
      </c>
      <c r="L177" s="6" t="n">
        <v>25.4</v>
      </c>
      <c r="M177" s="32" t="s">
        <v>100</v>
      </c>
    </row>
    <row r="178" customFormat="false" ht="15" hidden="false" customHeight="false" outlineLevel="0" collapsed="false">
      <c r="A178" s="6" t="s">
        <v>15</v>
      </c>
      <c r="B178" s="6" t="s">
        <v>110</v>
      </c>
      <c r="C178" s="6" t="n">
        <v>3</v>
      </c>
      <c r="D178" s="6" t="n">
        <v>12</v>
      </c>
      <c r="E178" s="12" t="s">
        <v>301</v>
      </c>
      <c r="F178" s="7" t="n">
        <v>707</v>
      </c>
      <c r="G178" s="6" t="n">
        <v>706</v>
      </c>
      <c r="H178" s="6" t="n">
        <v>0</v>
      </c>
      <c r="I178" s="29" t="n">
        <f aca="false">IF(F178=0,0,H178/F178*1000)</f>
        <v>0</v>
      </c>
      <c r="J178" s="6" t="n">
        <v>3</v>
      </c>
      <c r="K178" s="9" t="n">
        <f aca="false">IF(F178=0,0,J178/F178*100)</f>
        <v>0.424328147100424</v>
      </c>
      <c r="L178" s="6" t="n">
        <v>38.5</v>
      </c>
      <c r="M178" s="32" t="s">
        <v>100</v>
      </c>
    </row>
    <row r="179" customFormat="false" ht="15" hidden="false" customHeight="false" outlineLevel="0" collapsed="false">
      <c r="A179" s="6" t="s">
        <v>19</v>
      </c>
      <c r="B179" s="6" t="s">
        <v>152</v>
      </c>
      <c r="C179" s="6" t="n">
        <v>20</v>
      </c>
      <c r="D179" s="6" t="n">
        <v>21</v>
      </c>
      <c r="E179" s="12" t="s">
        <v>302</v>
      </c>
      <c r="F179" s="7" t="n">
        <v>702</v>
      </c>
      <c r="G179" s="6" t="n">
        <v>0</v>
      </c>
      <c r="H179" s="6" t="n">
        <v>0</v>
      </c>
      <c r="I179" s="29" t="n">
        <f aca="false">IF(F179=0,0,H179/F179*1000)</f>
        <v>0</v>
      </c>
      <c r="J179" s="6" t="n">
        <v>1</v>
      </c>
      <c r="K179" s="9" t="n">
        <f aca="false">IF(F179=0,0,J179/F179*100)</f>
        <v>0.142450142450142</v>
      </c>
      <c r="L179" s="6" t="n">
        <v>55.4</v>
      </c>
      <c r="M179" s="33" t="s">
        <v>107</v>
      </c>
    </row>
    <row r="180" customFormat="false" ht="15" hidden="false" customHeight="false" outlineLevel="0" collapsed="false">
      <c r="A180" s="6" t="s">
        <v>23</v>
      </c>
      <c r="B180" s="6" t="s">
        <v>146</v>
      </c>
      <c r="C180" s="6" t="n">
        <v>13</v>
      </c>
      <c r="D180" s="6" t="n">
        <v>19</v>
      </c>
      <c r="E180" s="6" t="s">
        <v>303</v>
      </c>
      <c r="F180" s="7" t="n">
        <v>663</v>
      </c>
      <c r="G180" s="6" t="n">
        <v>1</v>
      </c>
      <c r="H180" s="6" t="n">
        <v>0</v>
      </c>
      <c r="I180" s="29" t="n">
        <f aca="false">IF(F180=0,0,H180/F180*1000)</f>
        <v>0</v>
      </c>
      <c r="J180" s="6" t="n">
        <v>0</v>
      </c>
      <c r="K180" s="9" t="n">
        <f aca="false">IF(F180=0,0,J180/F180*100)</f>
        <v>0</v>
      </c>
      <c r="L180" s="6" t="n">
        <v>55</v>
      </c>
      <c r="M180" s="33" t="s">
        <v>107</v>
      </c>
    </row>
    <row r="181" customFormat="false" ht="15" hidden="false" customHeight="false" outlineLevel="0" collapsed="false">
      <c r="A181" s="6" t="s">
        <v>15</v>
      </c>
      <c r="B181" s="6" t="s">
        <v>179</v>
      </c>
      <c r="C181" s="6" t="n">
        <v>21</v>
      </c>
      <c r="D181" s="6" t="n">
        <v>18</v>
      </c>
      <c r="E181" s="12" t="s">
        <v>304</v>
      </c>
      <c r="F181" s="7" t="n">
        <v>631</v>
      </c>
      <c r="G181" s="6" t="n">
        <v>0</v>
      </c>
      <c r="H181" s="6" t="n">
        <v>0</v>
      </c>
      <c r="I181" s="29" t="n">
        <f aca="false">IF(F181=0,0,H181/F181*1000)</f>
        <v>0</v>
      </c>
      <c r="J181" s="6" t="n">
        <v>1</v>
      </c>
      <c r="K181" s="9" t="n">
        <f aca="false">IF(F181=0,0,J181/F181*100)</f>
        <v>0.158478605388273</v>
      </c>
      <c r="L181" s="6" t="n">
        <v>43.5</v>
      </c>
      <c r="M181" s="32" t="s">
        <v>100</v>
      </c>
    </row>
    <row r="182" customFormat="false" ht="15" hidden="false" customHeight="false" outlineLevel="0" collapsed="false">
      <c r="A182" s="6" t="s">
        <v>17</v>
      </c>
      <c r="B182" s="6" t="s">
        <v>101</v>
      </c>
      <c r="C182" s="6" t="n">
        <v>7</v>
      </c>
      <c r="D182" s="6" t="n">
        <v>9</v>
      </c>
      <c r="E182" s="12" t="s">
        <v>305</v>
      </c>
      <c r="F182" s="7" t="n">
        <v>623</v>
      </c>
      <c r="G182" s="6" t="n">
        <v>0</v>
      </c>
      <c r="H182" s="6" t="n">
        <v>0</v>
      </c>
      <c r="I182" s="29" t="n">
        <f aca="false">IF(F182=0,0,H182/F182*1000)</f>
        <v>0</v>
      </c>
      <c r="J182" s="6" t="n">
        <v>1</v>
      </c>
      <c r="K182" s="9" t="n">
        <f aca="false">IF(F182=0,0,J182/F182*100)</f>
        <v>0.160513643659711</v>
      </c>
      <c r="L182" s="6" t="n">
        <v>49</v>
      </c>
      <c r="M182" s="32" t="s">
        <v>100</v>
      </c>
    </row>
    <row r="183" customFormat="false" ht="15" hidden="false" customHeight="false" outlineLevel="0" collapsed="false">
      <c r="A183" s="6" t="s">
        <v>23</v>
      </c>
      <c r="B183" s="6" t="s">
        <v>121</v>
      </c>
      <c r="C183" s="6" t="n">
        <v>17</v>
      </c>
      <c r="D183" s="6" t="n">
        <v>15</v>
      </c>
      <c r="E183" s="6" t="s">
        <v>306</v>
      </c>
      <c r="F183" s="7" t="n">
        <v>612</v>
      </c>
      <c r="G183" s="6" t="n">
        <v>0</v>
      </c>
      <c r="H183" s="6" t="n">
        <v>0</v>
      </c>
      <c r="I183" s="29" t="n">
        <f aca="false">IF(F183=0,0,H183/F183*1000)</f>
        <v>0</v>
      </c>
      <c r="J183" s="6" t="n">
        <v>2</v>
      </c>
      <c r="K183" s="9" t="n">
        <f aca="false">IF(F183=0,0,J183/F183*100)</f>
        <v>0.326797385620915</v>
      </c>
      <c r="L183" s="6" t="n">
        <v>28.4</v>
      </c>
      <c r="M183" s="32" t="s">
        <v>100</v>
      </c>
    </row>
    <row r="184" customFormat="false" ht="15" hidden="false" customHeight="false" outlineLevel="0" collapsed="false">
      <c r="A184" s="6" t="s">
        <v>19</v>
      </c>
      <c r="B184" s="6" t="s">
        <v>141</v>
      </c>
      <c r="C184" s="6" t="n">
        <v>18</v>
      </c>
      <c r="D184" s="6" t="n">
        <v>19</v>
      </c>
      <c r="E184" s="12" t="s">
        <v>307</v>
      </c>
      <c r="F184" s="7" t="n">
        <v>589</v>
      </c>
      <c r="G184" s="6" t="n">
        <v>0</v>
      </c>
      <c r="H184" s="6" t="n">
        <v>0</v>
      </c>
      <c r="I184" s="29" t="n">
        <f aca="false">IF(F184=0,0,H184/F184*1000)</f>
        <v>0</v>
      </c>
      <c r="J184" s="6" t="n">
        <v>1</v>
      </c>
      <c r="K184" s="9" t="n">
        <f aca="false">IF(F184=0,0,J184/F184*100)</f>
        <v>0.169779286926995</v>
      </c>
      <c r="L184" s="6" t="n">
        <v>24.5</v>
      </c>
      <c r="M184" s="33" t="s">
        <v>107</v>
      </c>
    </row>
    <row r="185" customFormat="false" ht="15" hidden="false" customHeight="false" outlineLevel="0" collapsed="false">
      <c r="A185" s="6" t="s">
        <v>21</v>
      </c>
      <c r="B185" s="6" t="s">
        <v>163</v>
      </c>
      <c r="C185" s="6" t="n">
        <v>2</v>
      </c>
      <c r="D185" s="6" t="n">
        <v>15</v>
      </c>
      <c r="E185" s="12" t="s">
        <v>308</v>
      </c>
      <c r="F185" s="7" t="n">
        <v>588</v>
      </c>
      <c r="G185" s="6" t="n">
        <v>588</v>
      </c>
      <c r="H185" s="6" t="n">
        <v>0</v>
      </c>
      <c r="I185" s="29" t="n">
        <f aca="false">IF(F185=0,0,H185/F185*1000)</f>
        <v>0</v>
      </c>
      <c r="J185" s="6" t="n">
        <v>1</v>
      </c>
      <c r="K185" s="9" t="n">
        <f aca="false">IF(F185=0,0,J185/F185*100)</f>
        <v>0.170068027210884</v>
      </c>
      <c r="L185" s="6" t="n">
        <v>44.3</v>
      </c>
      <c r="M185" s="32" t="s">
        <v>100</v>
      </c>
    </row>
    <row r="186" customFormat="false" ht="15" hidden="false" customHeight="false" outlineLevel="0" collapsed="false">
      <c r="A186" s="6" t="s">
        <v>23</v>
      </c>
      <c r="B186" s="6" t="s">
        <v>136</v>
      </c>
      <c r="C186" s="6" t="n">
        <v>11</v>
      </c>
      <c r="D186" s="6" t="n">
        <v>19</v>
      </c>
      <c r="E186" s="6" t="s">
        <v>309</v>
      </c>
      <c r="F186" s="7" t="n">
        <v>514</v>
      </c>
      <c r="G186" s="6" t="n">
        <v>0</v>
      </c>
      <c r="H186" s="6" t="n">
        <v>0</v>
      </c>
      <c r="I186" s="29" t="n">
        <f aca="false">IF(F186=0,0,H186/F186*1000)</f>
        <v>0</v>
      </c>
      <c r="J186" s="6" t="n">
        <v>2</v>
      </c>
      <c r="K186" s="9" t="n">
        <f aca="false">IF(F186=0,0,J186/F186*100)</f>
        <v>0.389105058365759</v>
      </c>
      <c r="L186" s="6" t="n">
        <v>32.4</v>
      </c>
      <c r="M186" s="33" t="s">
        <v>107</v>
      </c>
    </row>
    <row r="187" customFormat="false" ht="15" hidden="false" customHeight="false" outlineLevel="0" collapsed="false">
      <c r="A187" s="6" t="s">
        <v>15</v>
      </c>
      <c r="B187" s="6" t="s">
        <v>121</v>
      </c>
      <c r="C187" s="6" t="n">
        <v>17</v>
      </c>
      <c r="D187" s="6" t="n">
        <v>18</v>
      </c>
      <c r="E187" s="6" t="s">
        <v>310</v>
      </c>
      <c r="F187" s="7" t="n">
        <v>481</v>
      </c>
      <c r="G187" s="6" t="n">
        <v>0</v>
      </c>
      <c r="H187" s="6" t="n">
        <v>0</v>
      </c>
      <c r="I187" s="29" t="n">
        <f aca="false">IF(F187=0,0,H187/F187*1000)</f>
        <v>0</v>
      </c>
      <c r="J187" s="6" t="n">
        <v>1</v>
      </c>
      <c r="K187" s="9" t="n">
        <f aca="false">IF(F187=0,0,J187/F187*100)</f>
        <v>0.207900207900208</v>
      </c>
      <c r="L187" s="6" t="n">
        <v>29.5</v>
      </c>
      <c r="M187" s="32" t="s">
        <v>100</v>
      </c>
    </row>
    <row r="188" customFormat="false" ht="15" hidden="false" customHeight="false" outlineLevel="0" collapsed="false">
      <c r="A188" s="6" t="s">
        <v>17</v>
      </c>
      <c r="B188" s="6" t="s">
        <v>98</v>
      </c>
      <c r="C188" s="6" t="n">
        <v>16</v>
      </c>
      <c r="D188" s="6" t="n">
        <v>13</v>
      </c>
      <c r="E188" s="12" t="s">
        <v>311</v>
      </c>
      <c r="F188" s="7" t="n">
        <v>396</v>
      </c>
      <c r="G188" s="6" t="n">
        <v>0</v>
      </c>
      <c r="H188" s="6" t="n">
        <v>0</v>
      </c>
      <c r="I188" s="29" t="n">
        <f aca="false">IF(F188=0,0,H188/F188*1000)</f>
        <v>0</v>
      </c>
      <c r="J188" s="6" t="n">
        <v>3</v>
      </c>
      <c r="K188" s="9" t="n">
        <f aca="false">IF(F188=0,0,J188/F188*100)</f>
        <v>0.757575757575758</v>
      </c>
      <c r="L188" s="6" t="n">
        <v>26.2</v>
      </c>
      <c r="M188" s="33" t="s">
        <v>107</v>
      </c>
    </row>
    <row r="189" customFormat="false" ht="15" hidden="false" customHeight="false" outlineLevel="0" collapsed="false">
      <c r="A189" s="6" t="s">
        <v>15</v>
      </c>
      <c r="B189" s="6" t="s">
        <v>179</v>
      </c>
      <c r="C189" s="6" t="n">
        <v>21</v>
      </c>
      <c r="D189" s="6" t="n">
        <v>18</v>
      </c>
      <c r="E189" s="12" t="s">
        <v>312</v>
      </c>
      <c r="F189" s="7" t="n">
        <v>374</v>
      </c>
      <c r="G189" s="6" t="n">
        <v>0</v>
      </c>
      <c r="H189" s="6" t="n">
        <v>0</v>
      </c>
      <c r="I189" s="29" t="n">
        <f aca="false">IF(F189=0,0,H189/F189*1000)</f>
        <v>0</v>
      </c>
      <c r="J189" s="6" t="n">
        <v>2</v>
      </c>
      <c r="K189" s="9" t="n">
        <f aca="false">IF(F189=0,0,J189/F189*100)</f>
        <v>0.53475935828877</v>
      </c>
      <c r="L189" s="6" t="n">
        <v>53.7</v>
      </c>
      <c r="M189" s="32" t="s">
        <v>100</v>
      </c>
    </row>
    <row r="190" customFormat="false" ht="15" hidden="false" customHeight="false" outlineLevel="0" collapsed="false">
      <c r="A190" s="6" t="s">
        <v>23</v>
      </c>
      <c r="B190" s="6" t="s">
        <v>141</v>
      </c>
      <c r="C190" s="6" t="n">
        <v>18</v>
      </c>
      <c r="D190" s="6" t="n">
        <v>18</v>
      </c>
      <c r="E190" s="6" t="s">
        <v>313</v>
      </c>
      <c r="F190" s="7" t="n">
        <v>371</v>
      </c>
      <c r="G190" s="6" t="n">
        <v>0</v>
      </c>
      <c r="H190" s="6" t="n">
        <v>0</v>
      </c>
      <c r="I190" s="29" t="n">
        <f aca="false">IF(F190=0,0,H190/F190*1000)</f>
        <v>0</v>
      </c>
      <c r="J190" s="6" t="n">
        <v>4</v>
      </c>
      <c r="K190" s="9" t="n">
        <f aca="false">IF(F190=0,0,J190/F190*100)</f>
        <v>1.07816711590297</v>
      </c>
      <c r="L190" s="6" t="n">
        <v>39.5</v>
      </c>
      <c r="M190" s="32" t="s">
        <v>100</v>
      </c>
    </row>
    <row r="191" customFormat="false" ht="15" hidden="false" customHeight="false" outlineLevel="0" collapsed="false">
      <c r="A191" s="6" t="s">
        <v>23</v>
      </c>
      <c r="B191" s="6" t="s">
        <v>98</v>
      </c>
      <c r="C191" s="6" t="n">
        <v>16</v>
      </c>
      <c r="D191" s="6" t="n">
        <v>12</v>
      </c>
      <c r="E191" s="12" t="s">
        <v>314</v>
      </c>
      <c r="F191" s="7" t="n">
        <v>361</v>
      </c>
      <c r="G191" s="6" t="n">
        <v>0</v>
      </c>
      <c r="H191" s="6" t="n">
        <v>0</v>
      </c>
      <c r="I191" s="29" t="n">
        <f aca="false">IF(F191=0,0,H191/F191*1000)</f>
        <v>0</v>
      </c>
      <c r="J191" s="6" t="n">
        <v>3</v>
      </c>
      <c r="K191" s="9" t="n">
        <f aca="false">IF(F191=0,0,J191/F191*100)</f>
        <v>0.831024930747923</v>
      </c>
      <c r="L191" s="6" t="n">
        <v>33</v>
      </c>
      <c r="M191" s="32" t="s">
        <v>100</v>
      </c>
    </row>
    <row r="192" customFormat="false" ht="15" hidden="false" customHeight="false" outlineLevel="0" collapsed="false">
      <c r="A192" s="6" t="s">
        <v>21</v>
      </c>
      <c r="B192" s="6" t="s">
        <v>105</v>
      </c>
      <c r="C192" s="6" t="n">
        <v>8</v>
      </c>
      <c r="D192" s="6" t="n">
        <v>18</v>
      </c>
      <c r="E192" s="6" t="s">
        <v>315</v>
      </c>
      <c r="F192" s="7" t="n">
        <v>322</v>
      </c>
      <c r="G192" s="6" t="n">
        <v>0</v>
      </c>
      <c r="H192" s="6" t="n">
        <v>0</v>
      </c>
      <c r="I192" s="29" t="n">
        <f aca="false">IF(F192=0,0,H192/F192*1000)</f>
        <v>0</v>
      </c>
      <c r="J192" s="6" t="n">
        <v>0</v>
      </c>
      <c r="K192" s="9" t="n">
        <f aca="false">IF(F192=0,0,J192/F192*100)</f>
        <v>0</v>
      </c>
      <c r="L192" s="6" t="n">
        <v>30.9</v>
      </c>
      <c r="M192" s="33" t="s">
        <v>107</v>
      </c>
    </row>
    <row r="193" customFormat="false" ht="15" hidden="false" customHeight="false" outlineLevel="0" collapsed="false">
      <c r="A193" s="6" t="s">
        <v>15</v>
      </c>
      <c r="B193" s="6" t="s">
        <v>103</v>
      </c>
      <c r="C193" s="6" t="n">
        <v>30</v>
      </c>
      <c r="D193" s="6" t="n">
        <v>23</v>
      </c>
      <c r="E193" s="12" t="s">
        <v>316</v>
      </c>
      <c r="F193" s="7" t="n">
        <v>293</v>
      </c>
      <c r="G193" s="6" t="n">
        <v>0</v>
      </c>
      <c r="H193" s="6" t="n">
        <v>0</v>
      </c>
      <c r="I193" s="29" t="n">
        <f aca="false">IF(F193=0,0,H193/F193*1000)</f>
        <v>0</v>
      </c>
      <c r="J193" s="6" t="n">
        <v>0</v>
      </c>
      <c r="K193" s="9" t="n">
        <f aca="false">IF(F193=0,0,J193/F193*100)</f>
        <v>0</v>
      </c>
      <c r="L193" s="6" t="n">
        <v>587.7</v>
      </c>
      <c r="M193" s="33" t="s">
        <v>107</v>
      </c>
    </row>
    <row r="194" customFormat="false" ht="15" hidden="false" customHeight="false" outlineLevel="0" collapsed="false">
      <c r="A194" s="6" t="s">
        <v>17</v>
      </c>
      <c r="B194" s="6" t="s">
        <v>110</v>
      </c>
      <c r="C194" s="6" t="n">
        <v>3</v>
      </c>
      <c r="D194" s="6" t="n">
        <v>19</v>
      </c>
      <c r="E194" s="6" t="s">
        <v>317</v>
      </c>
      <c r="F194" s="7" t="n">
        <v>261</v>
      </c>
      <c r="G194" s="6" t="n">
        <v>261</v>
      </c>
      <c r="H194" s="6" t="n">
        <v>0</v>
      </c>
      <c r="I194" s="29" t="n">
        <f aca="false">IF(F194=0,0,H194/F194*1000)</f>
        <v>0</v>
      </c>
      <c r="J194" s="6" t="n">
        <v>0</v>
      </c>
      <c r="K194" s="9" t="n">
        <f aca="false">IF(F194=0,0,J194/F194*100)</f>
        <v>0</v>
      </c>
      <c r="L194" s="6" t="n">
        <v>42.9</v>
      </c>
      <c r="M194" s="33" t="s">
        <v>107</v>
      </c>
    </row>
    <row r="195" customFormat="false" ht="15" hidden="false" customHeight="false" outlineLevel="0" collapsed="false">
      <c r="A195" s="6" t="s">
        <v>23</v>
      </c>
      <c r="B195" s="6" t="s">
        <v>121</v>
      </c>
      <c r="C195" s="6" t="n">
        <v>17</v>
      </c>
      <c r="D195" s="6" t="n">
        <v>18</v>
      </c>
      <c r="E195" s="12" t="s">
        <v>318</v>
      </c>
      <c r="F195" s="7" t="n">
        <v>260</v>
      </c>
      <c r="G195" s="6" t="n">
        <v>0</v>
      </c>
      <c r="H195" s="6" t="n">
        <v>0</v>
      </c>
      <c r="I195" s="29" t="n">
        <f aca="false">IF(F195=0,0,H195/F195*1000)</f>
        <v>0</v>
      </c>
      <c r="J195" s="6" t="n">
        <v>0</v>
      </c>
      <c r="K195" s="9" t="n">
        <f aca="false">IF(F195=0,0,J195/F195*100)</f>
        <v>0</v>
      </c>
      <c r="L195" s="6" t="n">
        <v>24.2</v>
      </c>
      <c r="M195" s="32" t="s">
        <v>100</v>
      </c>
    </row>
    <row r="196" customFormat="false" ht="15" hidden="false" customHeight="false" outlineLevel="0" collapsed="false">
      <c r="A196" s="6" t="s">
        <v>17</v>
      </c>
      <c r="B196" s="6" t="s">
        <v>146</v>
      </c>
      <c r="C196" s="6" t="n">
        <v>13</v>
      </c>
      <c r="D196" s="6" t="n">
        <v>12</v>
      </c>
      <c r="E196" s="12" t="s">
        <v>319</v>
      </c>
      <c r="F196" s="7" t="n">
        <v>255</v>
      </c>
      <c r="G196" s="6" t="n">
        <v>0</v>
      </c>
      <c r="H196" s="6" t="n">
        <v>0</v>
      </c>
      <c r="I196" s="29" t="n">
        <f aca="false">IF(F196=0,0,H196/F196*1000)</f>
        <v>0</v>
      </c>
      <c r="J196" s="6" t="n">
        <v>0</v>
      </c>
      <c r="K196" s="9" t="n">
        <f aca="false">IF(F196=0,0,J196/F196*100)</f>
        <v>0</v>
      </c>
      <c r="L196" s="6" t="n">
        <v>37.9</v>
      </c>
      <c r="M196" s="32" t="s">
        <v>100</v>
      </c>
    </row>
    <row r="197" customFormat="false" ht="15" hidden="false" customHeight="false" outlineLevel="0" collapsed="false">
      <c r="A197" s="6" t="s">
        <v>19</v>
      </c>
      <c r="B197" s="6" t="s">
        <v>133</v>
      </c>
      <c r="C197" s="6" t="n">
        <v>19</v>
      </c>
      <c r="D197" s="6" t="n">
        <v>19</v>
      </c>
      <c r="E197" s="12" t="s">
        <v>320</v>
      </c>
      <c r="F197" s="7" t="n">
        <v>249</v>
      </c>
      <c r="G197" s="6" t="n">
        <v>0</v>
      </c>
      <c r="H197" s="6" t="n">
        <v>0</v>
      </c>
      <c r="I197" s="29" t="n">
        <f aca="false">IF(F197=0,0,H197/F197*1000)</f>
        <v>0</v>
      </c>
      <c r="J197" s="6" t="n">
        <v>0</v>
      </c>
      <c r="K197" s="9" t="n">
        <f aca="false">IF(F197=0,0,J197/F197*100)</f>
        <v>0</v>
      </c>
      <c r="L197" s="6" t="n">
        <v>34.9</v>
      </c>
      <c r="M197" s="32" t="s">
        <v>100</v>
      </c>
    </row>
    <row r="198" customFormat="false" ht="15" hidden="false" customHeight="false" outlineLevel="0" collapsed="false">
      <c r="A198" s="6" t="s">
        <v>21</v>
      </c>
      <c r="B198" s="6" t="s">
        <v>110</v>
      </c>
      <c r="C198" s="6" t="n">
        <v>3</v>
      </c>
      <c r="D198" s="6" t="n">
        <v>8</v>
      </c>
      <c r="E198" s="12" t="s">
        <v>321</v>
      </c>
      <c r="F198" s="7" t="n">
        <v>246</v>
      </c>
      <c r="G198" s="6" t="n">
        <v>246</v>
      </c>
      <c r="H198" s="6" t="n">
        <v>0</v>
      </c>
      <c r="I198" s="29" t="n">
        <f aca="false">IF(F198=0,0,H198/F198*1000)</f>
        <v>0</v>
      </c>
      <c r="J198" s="6" t="n">
        <v>0</v>
      </c>
      <c r="K198" s="9" t="n">
        <f aca="false">IF(F198=0,0,J198/F198*100)</f>
        <v>0</v>
      </c>
      <c r="L198" s="6" t="n">
        <v>46.6</v>
      </c>
      <c r="M198" s="32" t="s">
        <v>100</v>
      </c>
    </row>
    <row r="199" customFormat="false" ht="15" hidden="false" customHeight="false" outlineLevel="0" collapsed="false">
      <c r="A199" s="6" t="s">
        <v>17</v>
      </c>
      <c r="B199" s="6" t="s">
        <v>163</v>
      </c>
      <c r="C199" s="6" t="n">
        <v>2</v>
      </c>
      <c r="D199" s="6" t="n">
        <v>13</v>
      </c>
      <c r="E199" s="6" t="s">
        <v>322</v>
      </c>
      <c r="F199" s="7" t="n">
        <v>242</v>
      </c>
      <c r="G199" s="6" t="n">
        <v>242</v>
      </c>
      <c r="H199" s="6" t="n">
        <v>0</v>
      </c>
      <c r="I199" s="29" t="n">
        <f aca="false">IF(F199=0,0,H199/F199*1000)</f>
        <v>0</v>
      </c>
      <c r="J199" s="6" t="n">
        <v>0</v>
      </c>
      <c r="K199" s="9" t="n">
        <f aca="false">IF(F199=0,0,J199/F199*100)</f>
        <v>0</v>
      </c>
      <c r="L199" s="6" t="n">
        <v>29.6</v>
      </c>
      <c r="M199" s="33" t="s">
        <v>107</v>
      </c>
    </row>
    <row r="200" customFormat="false" ht="15" hidden="false" customHeight="false" outlineLevel="0" collapsed="false">
      <c r="A200" s="6" t="s">
        <v>19</v>
      </c>
      <c r="B200" s="6" t="s">
        <v>110</v>
      </c>
      <c r="C200" s="6" t="n">
        <v>3</v>
      </c>
      <c r="D200" s="6" t="n">
        <v>7</v>
      </c>
      <c r="E200" s="12" t="s">
        <v>323</v>
      </c>
      <c r="F200" s="7" t="n">
        <v>241</v>
      </c>
      <c r="G200" s="6" t="n">
        <v>241</v>
      </c>
      <c r="H200" s="6" t="n">
        <v>0</v>
      </c>
      <c r="I200" s="29" t="n">
        <f aca="false">IF(F200=0,0,H200/F200*1000)</f>
        <v>0</v>
      </c>
      <c r="J200" s="6" t="n">
        <v>0</v>
      </c>
      <c r="K200" s="9" t="n">
        <f aca="false">IF(F200=0,0,J200/F200*100)</f>
        <v>0</v>
      </c>
      <c r="L200" s="6" t="n">
        <v>32.3</v>
      </c>
      <c r="M200" s="32" t="s">
        <v>100</v>
      </c>
    </row>
    <row r="201" customFormat="false" ht="15" hidden="false" customHeight="false" outlineLevel="0" collapsed="false">
      <c r="A201" s="6" t="s">
        <v>15</v>
      </c>
      <c r="B201" s="6" t="s">
        <v>130</v>
      </c>
      <c r="C201" s="6" t="n">
        <v>23</v>
      </c>
      <c r="D201" s="6" t="n">
        <v>17</v>
      </c>
      <c r="E201" s="12" t="s">
        <v>324</v>
      </c>
      <c r="F201" s="7" t="n">
        <v>216</v>
      </c>
      <c r="G201" s="6" t="n">
        <v>0</v>
      </c>
      <c r="H201" s="6" t="n">
        <v>0</v>
      </c>
      <c r="I201" s="29" t="n">
        <f aca="false">IF(F201=0,0,H201/F201*1000)</f>
        <v>0</v>
      </c>
      <c r="J201" s="6" t="n">
        <v>0</v>
      </c>
      <c r="K201" s="9" t="n">
        <f aca="false">IF(F201=0,0,J201/F201*100)</f>
        <v>0</v>
      </c>
      <c r="L201" s="6" t="n">
        <v>56</v>
      </c>
      <c r="M201" s="32" t="s">
        <v>100</v>
      </c>
    </row>
    <row r="202" customFormat="false" ht="15" hidden="false" customHeight="false" outlineLevel="0" collapsed="false">
      <c r="A202" s="6" t="s">
        <v>23</v>
      </c>
      <c r="B202" s="6" t="s">
        <v>114</v>
      </c>
      <c r="C202" s="6" t="n">
        <v>4</v>
      </c>
      <c r="D202" s="6" t="n">
        <v>19</v>
      </c>
      <c r="E202" s="12" t="s">
        <v>325</v>
      </c>
      <c r="F202" s="7" t="n">
        <v>198</v>
      </c>
      <c r="G202" s="6" t="n">
        <v>3</v>
      </c>
      <c r="H202" s="6" t="n">
        <v>0</v>
      </c>
      <c r="I202" s="29" t="n">
        <f aca="false">IF(F202=0,0,H202/F202*1000)</f>
        <v>0</v>
      </c>
      <c r="J202" s="6" t="n">
        <v>0</v>
      </c>
      <c r="K202" s="9" t="n">
        <f aca="false">IF(F202=0,0,J202/F202*100)</f>
        <v>0</v>
      </c>
      <c r="L202" s="6" t="n">
        <v>47</v>
      </c>
      <c r="M202" s="32" t="s">
        <v>100</v>
      </c>
    </row>
    <row r="203" customFormat="false" ht="15" hidden="false" customHeight="false" outlineLevel="0" collapsed="false">
      <c r="A203" s="6" t="s">
        <v>25</v>
      </c>
      <c r="B203" s="6" t="s">
        <v>163</v>
      </c>
      <c r="C203" s="6" t="n">
        <v>2</v>
      </c>
      <c r="D203" s="6" t="n">
        <v>13</v>
      </c>
      <c r="E203" s="12" t="s">
        <v>326</v>
      </c>
      <c r="F203" s="7" t="n">
        <v>196</v>
      </c>
      <c r="G203" s="6" t="n">
        <v>196</v>
      </c>
      <c r="H203" s="6" t="n">
        <v>0</v>
      </c>
      <c r="I203" s="29" t="n">
        <f aca="false">IF(F203=0,0,H203/F203*1000)</f>
        <v>0</v>
      </c>
      <c r="J203" s="6" t="n">
        <v>0</v>
      </c>
      <c r="K203" s="9" t="n">
        <f aca="false">IF(F203=0,0,J203/F203*100)</f>
        <v>0</v>
      </c>
      <c r="L203" s="6" t="n">
        <v>24.8</v>
      </c>
      <c r="M203" s="32" t="s">
        <v>100</v>
      </c>
    </row>
    <row r="204" customFormat="false" ht="15" hidden="false" customHeight="false" outlineLevel="0" collapsed="false">
      <c r="A204" s="6" t="s">
        <v>21</v>
      </c>
      <c r="B204" s="6" t="s">
        <v>110</v>
      </c>
      <c r="C204" s="6" t="n">
        <v>3</v>
      </c>
      <c r="D204" s="6" t="n">
        <v>17</v>
      </c>
      <c r="E204" s="12" t="s">
        <v>327</v>
      </c>
      <c r="F204" s="7" t="n">
        <v>189</v>
      </c>
      <c r="G204" s="6" t="n">
        <v>189</v>
      </c>
      <c r="H204" s="6" t="n">
        <v>0</v>
      </c>
      <c r="I204" s="29" t="n">
        <f aca="false">IF(F204=0,0,H204/F204*1000)</f>
        <v>0</v>
      </c>
      <c r="J204" s="6" t="n">
        <v>0</v>
      </c>
      <c r="K204" s="9" t="n">
        <f aca="false">IF(F204=0,0,J204/F204*100)</f>
        <v>0</v>
      </c>
      <c r="L204" s="6" t="n">
        <v>39.2</v>
      </c>
      <c r="M204" s="33" t="s">
        <v>107</v>
      </c>
    </row>
    <row r="205" customFormat="false" ht="15" hidden="false" customHeight="false" outlineLevel="0" collapsed="false">
      <c r="A205" s="6" t="s">
        <v>23</v>
      </c>
      <c r="B205" s="6" t="s">
        <v>110</v>
      </c>
      <c r="C205" s="6" t="n">
        <v>3</v>
      </c>
      <c r="D205" s="6" t="n">
        <v>16</v>
      </c>
      <c r="E205" s="12" t="s">
        <v>328</v>
      </c>
      <c r="F205" s="7" t="n">
        <v>184</v>
      </c>
      <c r="G205" s="6" t="n">
        <v>184</v>
      </c>
      <c r="H205" s="6" t="n">
        <v>0</v>
      </c>
      <c r="I205" s="29" t="n">
        <f aca="false">IF(F205=0,0,H205/F205*1000)</f>
        <v>0</v>
      </c>
      <c r="J205" s="6" t="n">
        <v>0</v>
      </c>
      <c r="K205" s="9" t="n">
        <f aca="false">IF(F205=0,0,J205/F205*100)</f>
        <v>0</v>
      </c>
      <c r="L205" s="6" t="n">
        <v>31.6</v>
      </c>
      <c r="M205" s="33" t="s">
        <v>107</v>
      </c>
    </row>
    <row r="206" customFormat="false" ht="15" hidden="false" customHeight="false" outlineLevel="0" collapsed="false">
      <c r="A206" s="6" t="s">
        <v>21</v>
      </c>
      <c r="B206" s="6" t="s">
        <v>112</v>
      </c>
      <c r="C206" s="6" t="n">
        <v>10</v>
      </c>
      <c r="D206" s="6" t="n">
        <v>14</v>
      </c>
      <c r="E206" s="6" t="s">
        <v>329</v>
      </c>
      <c r="F206" s="7" t="n">
        <v>163</v>
      </c>
      <c r="G206" s="6" t="n">
        <v>0</v>
      </c>
      <c r="H206" s="6" t="n">
        <v>0</v>
      </c>
      <c r="I206" s="29" t="n">
        <f aca="false">IF(F206=0,0,H206/F206*1000)</f>
        <v>0</v>
      </c>
      <c r="J206" s="6" t="n">
        <v>0</v>
      </c>
      <c r="K206" s="9" t="n">
        <f aca="false">IF(F206=0,0,J206/F206*100)</f>
        <v>0</v>
      </c>
      <c r="L206" s="6" t="n">
        <v>21.6</v>
      </c>
      <c r="M206" s="33" t="s">
        <v>107</v>
      </c>
    </row>
    <row r="207" customFormat="false" ht="15" hidden="false" customHeight="false" outlineLevel="0" collapsed="false">
      <c r="A207" s="6" t="s">
        <v>23</v>
      </c>
      <c r="B207" s="6" t="s">
        <v>112</v>
      </c>
      <c r="C207" s="6" t="n">
        <v>10</v>
      </c>
      <c r="D207" s="6" t="n">
        <v>14</v>
      </c>
      <c r="E207" s="6" t="s">
        <v>330</v>
      </c>
      <c r="F207" s="7" t="n">
        <v>155</v>
      </c>
      <c r="G207" s="6" t="n">
        <v>0</v>
      </c>
      <c r="H207" s="6" t="n">
        <v>0</v>
      </c>
      <c r="I207" s="29" t="n">
        <f aca="false">IF(F207=0,0,H207/F207*1000)</f>
        <v>0</v>
      </c>
      <c r="J207" s="6" t="n">
        <v>0</v>
      </c>
      <c r="K207" s="9" t="n">
        <f aca="false">IF(F207=0,0,J207/F207*100)</f>
        <v>0</v>
      </c>
      <c r="L207" s="6" t="n">
        <v>46.2</v>
      </c>
      <c r="M207" s="33" t="s">
        <v>107</v>
      </c>
    </row>
    <row r="208" customFormat="false" ht="15" hidden="false" customHeight="false" outlineLevel="0" collapsed="false">
      <c r="A208" s="6" t="s">
        <v>23</v>
      </c>
      <c r="B208" s="6" t="s">
        <v>167</v>
      </c>
      <c r="C208" s="6" t="n">
        <v>15</v>
      </c>
      <c r="D208" s="6" t="n">
        <v>12</v>
      </c>
      <c r="E208" s="6" t="s">
        <v>331</v>
      </c>
      <c r="F208" s="7" t="n">
        <v>137</v>
      </c>
      <c r="G208" s="6" t="n">
        <v>0</v>
      </c>
      <c r="H208" s="6" t="n">
        <v>0</v>
      </c>
      <c r="I208" s="29" t="n">
        <f aca="false">IF(F208=0,0,H208/F208*1000)</f>
        <v>0</v>
      </c>
      <c r="J208" s="6" t="n">
        <v>0</v>
      </c>
      <c r="K208" s="9" t="n">
        <f aca="false">IF(F208=0,0,J208/F208*100)</f>
        <v>0</v>
      </c>
      <c r="L208" s="6" t="n">
        <v>15.9</v>
      </c>
      <c r="M208" s="33" t="s">
        <v>107</v>
      </c>
    </row>
    <row r="209" customFormat="false" ht="15" hidden="false" customHeight="false" outlineLevel="0" collapsed="false">
      <c r="A209" s="6" t="s">
        <v>23</v>
      </c>
      <c r="B209" s="6" t="s">
        <v>108</v>
      </c>
      <c r="C209" s="6" t="n">
        <v>12</v>
      </c>
      <c r="D209" s="6" t="n">
        <v>19</v>
      </c>
      <c r="E209" s="6" t="s">
        <v>332</v>
      </c>
      <c r="F209" s="7" t="n">
        <v>126</v>
      </c>
      <c r="G209" s="6" t="n">
        <v>0</v>
      </c>
      <c r="H209" s="6" t="n">
        <v>0</v>
      </c>
      <c r="I209" s="29" t="n">
        <f aca="false">IF(F209=0,0,H209/F209*1000)</f>
        <v>0</v>
      </c>
      <c r="J209" s="6" t="n">
        <v>0</v>
      </c>
      <c r="K209" s="9" t="n">
        <f aca="false">IF(F209=0,0,J209/F209*100)</f>
        <v>0</v>
      </c>
      <c r="L209" s="6" t="n">
        <v>21.3</v>
      </c>
      <c r="M209" s="32" t="s">
        <v>100</v>
      </c>
    </row>
    <row r="210" customFormat="false" ht="15" hidden="false" customHeight="false" outlineLevel="0" collapsed="false">
      <c r="A210" s="6" t="s">
        <v>17</v>
      </c>
      <c r="B210" s="6" t="s">
        <v>112</v>
      </c>
      <c r="C210" s="6" t="n">
        <v>10</v>
      </c>
      <c r="D210" s="6" t="n">
        <v>19</v>
      </c>
      <c r="E210" s="12" t="s">
        <v>333</v>
      </c>
      <c r="F210" s="7" t="n">
        <v>114</v>
      </c>
      <c r="G210" s="6" t="n">
        <v>2</v>
      </c>
      <c r="H210" s="6" t="n">
        <v>0</v>
      </c>
      <c r="I210" s="29" t="n">
        <f aca="false">IF(F210=0,0,H210/F210*1000)</f>
        <v>0</v>
      </c>
      <c r="J210" s="6" t="n">
        <v>0</v>
      </c>
      <c r="K210" s="9" t="n">
        <f aca="false">IF(F210=0,0,J210/F210*100)</f>
        <v>0</v>
      </c>
      <c r="L210" s="6" t="n">
        <v>24.6</v>
      </c>
      <c r="M210" s="33" t="s">
        <v>107</v>
      </c>
    </row>
    <row r="211" customFormat="false" ht="15" hidden="false" customHeight="false" outlineLevel="0" collapsed="false">
      <c r="A211" s="6" t="s">
        <v>17</v>
      </c>
      <c r="B211" s="6" t="s">
        <v>167</v>
      </c>
      <c r="C211" s="6" t="n">
        <v>15</v>
      </c>
      <c r="D211" s="6" t="n">
        <v>19</v>
      </c>
      <c r="E211" s="12" t="s">
        <v>334</v>
      </c>
      <c r="F211" s="7" t="n">
        <v>77</v>
      </c>
      <c r="G211" s="6" t="n">
        <v>0</v>
      </c>
      <c r="H211" s="6" t="n">
        <v>0</v>
      </c>
      <c r="I211" s="29" t="n">
        <f aca="false">IF(F211=0,0,H211/F211*1000)</f>
        <v>0</v>
      </c>
      <c r="J211" s="6" t="n">
        <v>0</v>
      </c>
      <c r="K211" s="9" t="n">
        <f aca="false">IF(F211=0,0,J211/F211*100)</f>
        <v>0</v>
      </c>
      <c r="L211" s="6" t="n">
        <v>19.2</v>
      </c>
      <c r="M211" s="33" t="s">
        <v>107</v>
      </c>
    </row>
    <row r="212" customFormat="false" ht="15" hidden="false" customHeight="false" outlineLevel="0" collapsed="false">
      <c r="A212" s="6" t="s">
        <v>17</v>
      </c>
      <c r="B212" s="6" t="s">
        <v>200</v>
      </c>
      <c r="C212" s="6" t="n">
        <v>28</v>
      </c>
      <c r="D212" s="6" t="n">
        <v>9</v>
      </c>
      <c r="E212" s="12" t="s">
        <v>335</v>
      </c>
      <c r="F212" s="7" t="n">
        <v>77</v>
      </c>
      <c r="G212" s="6" t="n">
        <v>0</v>
      </c>
      <c r="H212" s="6" t="n">
        <v>0</v>
      </c>
      <c r="I212" s="29" t="n">
        <f aca="false">IF(F212=0,0,H212/F212*1000)</f>
        <v>0</v>
      </c>
      <c r="J212" s="6" t="n">
        <v>0</v>
      </c>
      <c r="K212" s="9" t="n">
        <f aca="false">IF(F212=0,0,J212/F212*100)</f>
        <v>0</v>
      </c>
      <c r="L212" s="6" t="n">
        <v>55.6</v>
      </c>
      <c r="M212" s="32" t="s">
        <v>100</v>
      </c>
    </row>
    <row r="213" customFormat="false" ht="15" hidden="false" customHeight="false" outlineLevel="0" collapsed="false">
      <c r="A213" s="6" t="s">
        <v>17</v>
      </c>
      <c r="B213" s="6" t="s">
        <v>141</v>
      </c>
      <c r="C213" s="6" t="n">
        <v>18</v>
      </c>
      <c r="D213" s="6" t="n">
        <v>19</v>
      </c>
      <c r="E213" s="12" t="s">
        <v>336</v>
      </c>
      <c r="F213" s="7" t="n">
        <v>75</v>
      </c>
      <c r="G213" s="6" t="n">
        <v>1</v>
      </c>
      <c r="H213" s="6" t="n">
        <v>0</v>
      </c>
      <c r="I213" s="29" t="n">
        <f aca="false">IF(F213=0,0,H213/F213*1000)</f>
        <v>0</v>
      </c>
      <c r="J213" s="6" t="n">
        <v>0</v>
      </c>
      <c r="K213" s="9" t="n">
        <f aca="false">IF(F213=0,0,J213/F213*100)</f>
        <v>0</v>
      </c>
      <c r="L213" s="6" t="n">
        <v>21.4</v>
      </c>
      <c r="M213" s="33" t="s">
        <v>107</v>
      </c>
    </row>
    <row r="214" customFormat="false" ht="15" hidden="false" customHeight="false" outlineLevel="0" collapsed="false">
      <c r="A214" s="6" t="s">
        <v>23</v>
      </c>
      <c r="B214" s="6" t="s">
        <v>337</v>
      </c>
      <c r="C214" s="6" t="n">
        <v>32</v>
      </c>
      <c r="D214" s="6" t="n">
        <v>19</v>
      </c>
      <c r="E214" s="12" t="s">
        <v>338</v>
      </c>
      <c r="F214" s="7" t="n">
        <v>69</v>
      </c>
      <c r="G214" s="6" t="n">
        <v>-55</v>
      </c>
      <c r="H214" s="6" t="n">
        <v>0</v>
      </c>
      <c r="I214" s="29" t="n">
        <f aca="false">IF(F214=0,0,H214/F214*1000)</f>
        <v>0</v>
      </c>
      <c r="J214" s="6" t="n">
        <v>0</v>
      </c>
      <c r="K214" s="9" t="n">
        <f aca="false">IF(F214=0,0,J214/F214*100)</f>
        <v>0</v>
      </c>
      <c r="L214" s="6" t="n">
        <v>57.6</v>
      </c>
      <c r="M214" s="32" t="s">
        <v>100</v>
      </c>
    </row>
    <row r="215" customFormat="false" ht="15" hidden="false" customHeight="false" outlineLevel="0" collapsed="false">
      <c r="A215" s="6" t="s">
        <v>17</v>
      </c>
      <c r="B215" s="6" t="s">
        <v>121</v>
      </c>
      <c r="C215" s="6" t="n">
        <v>17</v>
      </c>
      <c r="D215" s="6" t="n">
        <v>19</v>
      </c>
      <c r="E215" s="12" t="s">
        <v>339</v>
      </c>
      <c r="F215" s="7" t="n">
        <v>62</v>
      </c>
      <c r="G215" s="6" t="n">
        <v>0</v>
      </c>
      <c r="H215" s="6" t="n">
        <v>0</v>
      </c>
      <c r="I215" s="29" t="n">
        <f aca="false">IF(F215=0,0,H215/F215*1000)</f>
        <v>0</v>
      </c>
      <c r="J215" s="6" t="n">
        <v>0</v>
      </c>
      <c r="K215" s="9" t="n">
        <f aca="false">IF(F215=0,0,J215/F215*100)</f>
        <v>0</v>
      </c>
      <c r="L215" s="6" t="n">
        <v>26.4</v>
      </c>
      <c r="M215" s="33" t="s">
        <v>107</v>
      </c>
    </row>
    <row r="216" customFormat="false" ht="15" hidden="false" customHeight="false" outlineLevel="0" collapsed="false">
      <c r="A216" s="6" t="s">
        <v>23</v>
      </c>
      <c r="B216" s="6" t="s">
        <v>340</v>
      </c>
      <c r="C216" s="6" t="n">
        <v>34</v>
      </c>
      <c r="D216" s="6" t="n">
        <v>19</v>
      </c>
      <c r="E216" s="12" t="s">
        <v>341</v>
      </c>
      <c r="F216" s="7" t="n">
        <v>42</v>
      </c>
      <c r="G216" s="6" t="n">
        <v>-2</v>
      </c>
      <c r="H216" s="6" t="n">
        <v>0</v>
      </c>
      <c r="I216" s="29" t="n">
        <f aca="false">IF(F216=0,0,H216/F216*1000)</f>
        <v>0</v>
      </c>
      <c r="J216" s="6" t="n">
        <v>0</v>
      </c>
      <c r="K216" s="9" t="n">
        <f aca="false">IF(F216=0,0,J216/F216*100)</f>
        <v>0</v>
      </c>
      <c r="L216" s="6" t="n">
        <v>58.5</v>
      </c>
      <c r="M216" s="32" t="s">
        <v>100</v>
      </c>
    </row>
    <row r="217" customFormat="false" ht="15" hidden="false" customHeight="false" outlineLevel="0" collapsed="false">
      <c r="A217" s="6" t="s">
        <v>25</v>
      </c>
      <c r="B217" s="6" t="s">
        <v>152</v>
      </c>
      <c r="C217" s="6" t="n">
        <v>20</v>
      </c>
      <c r="D217" s="6" t="n">
        <v>19</v>
      </c>
      <c r="E217" s="12" t="s">
        <v>342</v>
      </c>
      <c r="F217" s="7" t="n">
        <v>39</v>
      </c>
      <c r="G217" s="6" t="n">
        <v>0</v>
      </c>
      <c r="H217" s="6" t="n">
        <v>0</v>
      </c>
      <c r="I217" s="29" t="n">
        <f aca="false">IF(F217=0,0,H217/F217*1000)</f>
        <v>0</v>
      </c>
      <c r="J217" s="6" t="n">
        <v>0</v>
      </c>
      <c r="K217" s="9" t="n">
        <f aca="false">IF(F217=0,0,J217/F217*100)</f>
        <v>0</v>
      </c>
      <c r="L217" s="6" t="n">
        <v>37.1</v>
      </c>
      <c r="M217" s="32" t="s">
        <v>100</v>
      </c>
    </row>
    <row r="218" customFormat="false" ht="15" hidden="false" customHeight="false" outlineLevel="0" collapsed="false">
      <c r="A218" s="6" t="s">
        <v>25</v>
      </c>
      <c r="B218" s="6" t="s">
        <v>121</v>
      </c>
      <c r="C218" s="6" t="n">
        <v>17</v>
      </c>
      <c r="D218" s="6" t="n">
        <v>14</v>
      </c>
      <c r="E218" s="12" t="s">
        <v>343</v>
      </c>
      <c r="F218" s="7" t="n">
        <v>38</v>
      </c>
      <c r="G218" s="6" t="n">
        <v>1</v>
      </c>
      <c r="H218" s="6" t="n">
        <v>0</v>
      </c>
      <c r="I218" s="29" t="n">
        <f aca="false">IF(F218=0,0,H218/F218*1000)</f>
        <v>0</v>
      </c>
      <c r="J218" s="6" t="n">
        <v>0</v>
      </c>
      <c r="K218" s="9" t="n">
        <f aca="false">IF(F218=0,0,J218/F218*100)</f>
        <v>0</v>
      </c>
      <c r="L218" s="6" t="n">
        <v>51.9</v>
      </c>
      <c r="M218" s="32" t="s">
        <v>100</v>
      </c>
    </row>
    <row r="219" customFormat="false" ht="15" hidden="false" customHeight="false" outlineLevel="0" collapsed="false">
      <c r="A219" s="6" t="s">
        <v>23</v>
      </c>
      <c r="B219" s="6" t="s">
        <v>344</v>
      </c>
      <c r="C219" s="6" t="n">
        <v>33</v>
      </c>
      <c r="D219" s="6" t="n">
        <v>19</v>
      </c>
      <c r="E219" s="12" t="s">
        <v>345</v>
      </c>
      <c r="F219" s="7" t="n">
        <v>22</v>
      </c>
      <c r="G219" s="6" t="n">
        <v>1</v>
      </c>
      <c r="H219" s="6" t="n">
        <v>0</v>
      </c>
      <c r="I219" s="29" t="n">
        <f aca="false">IF(F219=0,0,H219/F219*1000)</f>
        <v>0</v>
      </c>
      <c r="J219" s="6" t="n">
        <v>1</v>
      </c>
      <c r="K219" s="9" t="n">
        <f aca="false">IF(F219=0,0,J219/F219*100)</f>
        <v>4.54545454545455</v>
      </c>
      <c r="L219" s="6" t="n">
        <v>29.6</v>
      </c>
      <c r="M219" s="32" t="s">
        <v>100</v>
      </c>
    </row>
    <row r="220" customFormat="false" ht="15" hidden="false" customHeight="false" outlineLevel="0" collapsed="false">
      <c r="A220" s="6" t="s">
        <v>23</v>
      </c>
      <c r="B220" s="6" t="s">
        <v>346</v>
      </c>
      <c r="C220" s="6" t="n">
        <v>37</v>
      </c>
      <c r="D220" s="6" t="n">
        <v>0</v>
      </c>
      <c r="E220" s="12" t="s">
        <v>347</v>
      </c>
      <c r="F220" s="7" t="n">
        <v>18</v>
      </c>
      <c r="G220" s="6" t="n">
        <v>3</v>
      </c>
      <c r="H220" s="6" t="n">
        <v>0</v>
      </c>
      <c r="I220" s="29" t="n">
        <f aca="false">IF(F220=0,0,H220/F220*1000)</f>
        <v>0</v>
      </c>
      <c r="J220" s="6" t="n">
        <v>0</v>
      </c>
      <c r="K220" s="9" t="n">
        <f aca="false">IF(F220=0,0,J220/F220*100)</f>
        <v>0</v>
      </c>
      <c r="L220" s="6" t="n">
        <v>32.8</v>
      </c>
      <c r="M220" s="33" t="s">
        <v>107</v>
      </c>
    </row>
    <row r="221" customFormat="false" ht="15" hidden="false" customHeight="false" outlineLevel="0" collapsed="false">
      <c r="A221" s="6" t="s">
        <v>23</v>
      </c>
      <c r="B221" s="6" t="s">
        <v>348</v>
      </c>
      <c r="C221" s="6" t="n">
        <v>35</v>
      </c>
      <c r="D221" s="6" t="n">
        <v>19</v>
      </c>
      <c r="E221" s="12" t="s">
        <v>349</v>
      </c>
      <c r="F221" s="7" t="n">
        <v>16</v>
      </c>
      <c r="G221" s="6" t="n">
        <v>-2</v>
      </c>
      <c r="H221" s="6" t="n">
        <v>0</v>
      </c>
      <c r="I221" s="29" t="n">
        <f aca="false">IF(F221=0,0,H221/F221*1000)</f>
        <v>0</v>
      </c>
      <c r="J221" s="6" t="n">
        <v>0</v>
      </c>
      <c r="K221" s="9" t="n">
        <f aca="false">IF(F221=0,0,J221/F221*100)</f>
        <v>0</v>
      </c>
      <c r="L221" s="6" t="n">
        <v>94.5</v>
      </c>
      <c r="M221" s="32" t="s">
        <v>100</v>
      </c>
    </row>
    <row r="222" customFormat="false" ht="15" hidden="false" customHeight="false" outlineLevel="0" collapsed="false">
      <c r="A222" s="6" t="s">
        <v>21</v>
      </c>
      <c r="B222" s="6" t="s">
        <v>348</v>
      </c>
      <c r="C222" s="6" t="n">
        <v>35</v>
      </c>
      <c r="D222" s="6" t="n">
        <v>18</v>
      </c>
      <c r="E222" s="12" t="s">
        <v>350</v>
      </c>
      <c r="F222" s="7" t="n">
        <v>15</v>
      </c>
      <c r="G222" s="6" t="n">
        <v>0</v>
      </c>
      <c r="H222" s="6" t="n">
        <v>0</v>
      </c>
      <c r="I222" s="29" t="n">
        <f aca="false">IF(F222=0,0,H222/F222*1000)</f>
        <v>0</v>
      </c>
      <c r="J222" s="6" t="n">
        <v>1</v>
      </c>
      <c r="K222" s="9" t="n">
        <f aca="false">IF(F222=0,0,J222/F222*100)</f>
        <v>6.66666666666667</v>
      </c>
      <c r="L222" s="6" t="n">
        <v>67.6</v>
      </c>
      <c r="M222" s="32" t="s">
        <v>100</v>
      </c>
    </row>
    <row r="223" customFormat="false" ht="15" hidden="false" customHeight="false" outlineLevel="0" collapsed="false">
      <c r="A223" s="6" t="s">
        <v>21</v>
      </c>
      <c r="B223" s="6" t="s">
        <v>337</v>
      </c>
      <c r="C223" s="6" t="n">
        <v>32</v>
      </c>
      <c r="D223" s="6" t="n">
        <v>18</v>
      </c>
      <c r="E223" s="12" t="s">
        <v>351</v>
      </c>
      <c r="F223" s="7" t="n">
        <v>14</v>
      </c>
      <c r="G223" s="6" t="n">
        <v>0</v>
      </c>
      <c r="H223" s="6" t="n">
        <v>0</v>
      </c>
      <c r="I223" s="29" t="n">
        <f aca="false">IF(F223=0,0,H223/F223*1000)</f>
        <v>0</v>
      </c>
      <c r="J223" s="6" t="n">
        <v>1</v>
      </c>
      <c r="K223" s="9" t="n">
        <f aca="false">IF(F223=0,0,J223/F223*100)</f>
        <v>7.14285714285714</v>
      </c>
      <c r="L223" s="6" t="n">
        <v>64.5</v>
      </c>
      <c r="M223" s="32" t="s">
        <v>100</v>
      </c>
    </row>
    <row r="224" customFormat="false" ht="15" hidden="false" customHeight="false" outlineLevel="0" collapsed="false">
      <c r="A224" s="6" t="s">
        <v>23</v>
      </c>
      <c r="B224" s="6" t="s">
        <v>352</v>
      </c>
      <c r="C224" s="6" t="n">
        <v>38</v>
      </c>
      <c r="D224" s="6" t="n">
        <v>19</v>
      </c>
      <c r="E224" s="12" t="s">
        <v>353</v>
      </c>
      <c r="F224" s="7" t="n">
        <v>14</v>
      </c>
      <c r="G224" s="6" t="n">
        <v>-1</v>
      </c>
      <c r="H224" s="6" t="n">
        <v>0</v>
      </c>
      <c r="I224" s="29" t="n">
        <f aca="false">IF(F224=0,0,H224/F224*1000)</f>
        <v>0</v>
      </c>
      <c r="J224" s="6" t="n">
        <v>0</v>
      </c>
      <c r="K224" s="9" t="n">
        <f aca="false">IF(F224=0,0,J224/F224*100)</f>
        <v>0</v>
      </c>
      <c r="L224" s="6" t="n">
        <v>106.8</v>
      </c>
      <c r="M224" s="32" t="s">
        <v>100</v>
      </c>
    </row>
    <row r="225" customFormat="false" ht="15" hidden="false" customHeight="false" outlineLevel="0" collapsed="false">
      <c r="A225" s="6" t="s">
        <v>15</v>
      </c>
      <c r="B225" s="6" t="s">
        <v>105</v>
      </c>
      <c r="C225" s="6" t="n">
        <v>8</v>
      </c>
      <c r="D225" s="6" t="n">
        <v>13</v>
      </c>
      <c r="E225" s="6" t="s">
        <v>354</v>
      </c>
      <c r="F225" s="7" t="n">
        <v>12</v>
      </c>
      <c r="G225" s="6" t="n">
        <v>0</v>
      </c>
      <c r="H225" s="6" t="n">
        <v>0</v>
      </c>
      <c r="I225" s="29" t="n">
        <f aca="false">IF(F225=0,0,H225/F225*1000)</f>
        <v>0</v>
      </c>
      <c r="J225" s="6" t="n">
        <v>2</v>
      </c>
      <c r="K225" s="9" t="n">
        <f aca="false">IF(F225=0,0,J225/F225*100)</f>
        <v>16.6666666666667</v>
      </c>
      <c r="L225" s="6" t="n">
        <v>28.4</v>
      </c>
      <c r="M225" s="32" t="s">
        <v>100</v>
      </c>
    </row>
    <row r="226" customFormat="false" ht="15" hidden="false" customHeight="false" outlineLevel="0" collapsed="false">
      <c r="A226" s="6" t="s">
        <v>23</v>
      </c>
      <c r="B226" s="6" t="s">
        <v>355</v>
      </c>
      <c r="C226" s="6" t="n">
        <v>36</v>
      </c>
      <c r="D226" s="6" t="n">
        <v>19</v>
      </c>
      <c r="E226" s="12" t="s">
        <v>356</v>
      </c>
      <c r="F226" s="7" t="n">
        <v>10</v>
      </c>
      <c r="G226" s="6" t="n">
        <v>0</v>
      </c>
      <c r="H226" s="6" t="n">
        <v>0</v>
      </c>
      <c r="I226" s="29" t="n">
        <f aca="false">IF(F226=0,0,H226/F226*1000)</f>
        <v>0</v>
      </c>
      <c r="J226" s="6" t="n">
        <v>0</v>
      </c>
      <c r="K226" s="9" t="n">
        <f aca="false">IF(F226=0,0,J226/F226*100)</f>
        <v>0</v>
      </c>
      <c r="L226" s="6" t="n">
        <v>62.2</v>
      </c>
      <c r="M226" s="32" t="s">
        <v>100</v>
      </c>
    </row>
    <row r="227" customFormat="false" ht="15" hidden="false" customHeight="false" outlineLevel="0" collapsed="false">
      <c r="A227" s="6" t="s">
        <v>23</v>
      </c>
      <c r="B227" s="6" t="s">
        <v>355</v>
      </c>
      <c r="C227" s="6" t="n">
        <v>36</v>
      </c>
      <c r="D227" s="6" t="n">
        <v>12</v>
      </c>
      <c r="E227" s="12" t="s">
        <v>357</v>
      </c>
      <c r="F227" s="7" t="n">
        <v>10</v>
      </c>
      <c r="G227" s="6" t="n">
        <v>-2</v>
      </c>
      <c r="H227" s="6" t="n">
        <v>0</v>
      </c>
      <c r="I227" s="29" t="n">
        <f aca="false">IF(F227=0,0,H227/F227*1000)</f>
        <v>0</v>
      </c>
      <c r="J227" s="6" t="n">
        <v>0</v>
      </c>
      <c r="K227" s="9" t="n">
        <f aca="false">IF(F227=0,0,J227/F227*100)</f>
        <v>0</v>
      </c>
      <c r="L227" s="6" t="n">
        <v>54.9</v>
      </c>
      <c r="M227" s="32" t="s">
        <v>100</v>
      </c>
    </row>
    <row r="228" customFormat="false" ht="15" hidden="false" customHeight="false" outlineLevel="0" collapsed="false">
      <c r="A228" s="6" t="s">
        <v>25</v>
      </c>
      <c r="B228" s="6" t="s">
        <v>133</v>
      </c>
      <c r="C228" s="6" t="n">
        <v>19</v>
      </c>
      <c r="D228" s="6" t="n">
        <v>17</v>
      </c>
      <c r="E228" s="6" t="s">
        <v>358</v>
      </c>
      <c r="F228" s="7" t="n">
        <v>9</v>
      </c>
      <c r="G228" s="6" t="n">
        <v>0</v>
      </c>
      <c r="H228" s="6" t="n">
        <v>0</v>
      </c>
      <c r="I228" s="29" t="n">
        <f aca="false">IF(F228=0,0,H228/F228*1000)</f>
        <v>0</v>
      </c>
      <c r="J228" s="6" t="n">
        <v>0</v>
      </c>
      <c r="K228" s="9" t="n">
        <f aca="false">IF(F228=0,0,J228/F228*100)</f>
        <v>0</v>
      </c>
      <c r="L228" s="6" t="n">
        <v>61.4</v>
      </c>
      <c r="M228" s="33" t="s">
        <v>107</v>
      </c>
    </row>
    <row r="229" customFormat="false" ht="15" hidden="false" customHeight="false" outlineLevel="0" collapsed="false">
      <c r="A229" s="6" t="s">
        <v>23</v>
      </c>
      <c r="B229" s="6" t="s">
        <v>346</v>
      </c>
      <c r="C229" s="6" t="n">
        <v>37</v>
      </c>
      <c r="D229" s="6" t="n">
        <v>19</v>
      </c>
      <c r="E229" s="12" t="s">
        <v>359</v>
      </c>
      <c r="F229" s="7" t="n">
        <v>8</v>
      </c>
      <c r="G229" s="6" t="n">
        <v>0</v>
      </c>
      <c r="H229" s="6" t="n">
        <v>0</v>
      </c>
      <c r="I229" s="29" t="n">
        <f aca="false">IF(F229=0,0,H229/F229*1000)</f>
        <v>0</v>
      </c>
      <c r="J229" s="6" t="n">
        <v>0</v>
      </c>
      <c r="K229" s="9" t="n">
        <f aca="false">IF(F229=0,0,J229/F229*100)</f>
        <v>0</v>
      </c>
      <c r="L229" s="6" t="n">
        <v>151.2</v>
      </c>
      <c r="M229" s="32" t="s">
        <v>100</v>
      </c>
    </row>
    <row r="230" customFormat="false" ht="15" hidden="false" customHeight="false" outlineLevel="0" collapsed="false">
      <c r="A230" s="6" t="s">
        <v>21</v>
      </c>
      <c r="B230" s="6" t="s">
        <v>344</v>
      </c>
      <c r="C230" s="6" t="n">
        <v>33</v>
      </c>
      <c r="D230" s="6" t="n">
        <v>18</v>
      </c>
      <c r="E230" s="12" t="s">
        <v>360</v>
      </c>
      <c r="F230" s="7" t="n">
        <v>7</v>
      </c>
      <c r="G230" s="6" t="n">
        <v>0</v>
      </c>
      <c r="H230" s="6" t="n">
        <v>0</v>
      </c>
      <c r="I230" s="29" t="n">
        <f aca="false">IF(F230=0,0,H230/F230*1000)</f>
        <v>0</v>
      </c>
      <c r="J230" s="6" t="n">
        <v>1</v>
      </c>
      <c r="K230" s="9" t="n">
        <f aca="false">IF(F230=0,0,J230/F230*100)</f>
        <v>14.2857142857143</v>
      </c>
      <c r="L230" s="6" t="n">
        <v>90.7</v>
      </c>
      <c r="M230" s="32" t="s">
        <v>100</v>
      </c>
    </row>
    <row r="231" customFormat="false" ht="15" hidden="false" customHeight="false" outlineLevel="0" collapsed="false">
      <c r="A231" s="6" t="s">
        <v>21</v>
      </c>
      <c r="B231" s="6" t="s">
        <v>346</v>
      </c>
      <c r="C231" s="6" t="n">
        <v>37</v>
      </c>
      <c r="D231" s="6" t="n">
        <v>18</v>
      </c>
      <c r="E231" s="12" t="s">
        <v>361</v>
      </c>
      <c r="F231" s="7" t="n">
        <v>7</v>
      </c>
      <c r="G231" s="6" t="n">
        <v>0</v>
      </c>
      <c r="H231" s="6" t="n">
        <v>0</v>
      </c>
      <c r="I231" s="29" t="n">
        <f aca="false">IF(F231=0,0,H231/F231*1000)</f>
        <v>0</v>
      </c>
      <c r="J231" s="6" t="n">
        <v>1</v>
      </c>
      <c r="K231" s="9" t="n">
        <f aca="false">IF(F231=0,0,J231/F231*100)</f>
        <v>14.2857142857143</v>
      </c>
      <c r="L231" s="6" t="n">
        <v>75.1</v>
      </c>
      <c r="M231" s="32" t="s">
        <v>100</v>
      </c>
    </row>
    <row r="232" customFormat="false" ht="15" hidden="false" customHeight="false" outlineLevel="0" collapsed="false">
      <c r="A232" s="6" t="s">
        <v>23</v>
      </c>
      <c r="B232" s="6" t="s">
        <v>362</v>
      </c>
      <c r="C232" s="6" t="n">
        <v>39</v>
      </c>
      <c r="D232" s="6" t="n">
        <v>21</v>
      </c>
      <c r="E232" s="6" t="s">
        <v>363</v>
      </c>
      <c r="F232" s="7" t="n">
        <v>7</v>
      </c>
      <c r="G232" s="6" t="n">
        <v>1</v>
      </c>
      <c r="H232" s="6" t="n">
        <v>0</v>
      </c>
      <c r="I232" s="29" t="n">
        <f aca="false">IF(F232=0,0,H232/F232*1000)</f>
        <v>0</v>
      </c>
      <c r="J232" s="6" t="n">
        <v>0</v>
      </c>
      <c r="K232" s="9" t="n">
        <f aca="false">IF(F232=0,0,J232/F232*100)</f>
        <v>0</v>
      </c>
      <c r="L232" s="6" t="n">
        <v>80.5</v>
      </c>
      <c r="M232" s="32" t="s">
        <v>100</v>
      </c>
    </row>
    <row r="233" customFormat="false" ht="15" hidden="false" customHeight="false" outlineLevel="0" collapsed="false">
      <c r="A233" s="6" t="s">
        <v>21</v>
      </c>
      <c r="B233" s="6" t="s">
        <v>352</v>
      </c>
      <c r="C233" s="6" t="n">
        <v>38</v>
      </c>
      <c r="D233" s="6" t="n">
        <v>19</v>
      </c>
      <c r="E233" s="6" t="s">
        <v>364</v>
      </c>
      <c r="F233" s="7" t="n">
        <v>6</v>
      </c>
      <c r="G233" s="6" t="n">
        <v>1</v>
      </c>
      <c r="H233" s="6" t="n">
        <v>0</v>
      </c>
      <c r="I233" s="29" t="n">
        <f aca="false">IF(F233=0,0,H233/F233*1000)</f>
        <v>0</v>
      </c>
      <c r="J233" s="6" t="n">
        <v>1</v>
      </c>
      <c r="K233" s="9" t="n">
        <f aca="false">IF(F233=0,0,J233/F233*100)</f>
        <v>16.6666666666667</v>
      </c>
      <c r="L233" s="6" t="n">
        <v>70.2</v>
      </c>
      <c r="M233" s="32" t="s">
        <v>100</v>
      </c>
    </row>
    <row r="234" customFormat="false" ht="15" hidden="false" customHeight="false" outlineLevel="0" collapsed="false">
      <c r="A234" s="6" t="s">
        <v>21</v>
      </c>
      <c r="B234" s="6" t="s">
        <v>355</v>
      </c>
      <c r="C234" s="6" t="n">
        <v>36</v>
      </c>
      <c r="D234" s="6" t="n">
        <v>18</v>
      </c>
      <c r="E234" s="12" t="s">
        <v>365</v>
      </c>
      <c r="F234" s="7" t="n">
        <v>5</v>
      </c>
      <c r="G234" s="6" t="n">
        <v>0</v>
      </c>
      <c r="H234" s="6" t="n">
        <v>0</v>
      </c>
      <c r="I234" s="29" t="n">
        <f aca="false">IF(F234=0,0,H234/F234*1000)</f>
        <v>0</v>
      </c>
      <c r="J234" s="6" t="n">
        <v>1</v>
      </c>
      <c r="K234" s="9" t="n">
        <f aca="false">IF(F234=0,0,J234/F234*100)</f>
        <v>20</v>
      </c>
      <c r="L234" s="6" t="n">
        <v>41.4</v>
      </c>
      <c r="M234" s="32" t="s">
        <v>100</v>
      </c>
    </row>
    <row r="235" customFormat="false" ht="15" hidden="false" customHeight="false" outlineLevel="0" collapsed="false">
      <c r="A235" s="6" t="s">
        <v>21</v>
      </c>
      <c r="B235" s="6" t="s">
        <v>355</v>
      </c>
      <c r="C235" s="6" t="n">
        <v>36</v>
      </c>
      <c r="D235" s="6" t="n">
        <v>12</v>
      </c>
      <c r="E235" s="12" t="s">
        <v>366</v>
      </c>
      <c r="F235" s="7" t="n">
        <v>5</v>
      </c>
      <c r="G235" s="6" t="n">
        <v>0</v>
      </c>
      <c r="H235" s="6" t="n">
        <v>0</v>
      </c>
      <c r="I235" s="29" t="n">
        <f aca="false">IF(F235=0,0,H235/F235*1000)</f>
        <v>0</v>
      </c>
      <c r="J235" s="6" t="n">
        <v>1</v>
      </c>
      <c r="K235" s="9" t="n">
        <f aca="false">IF(F235=0,0,J235/F235*100)</f>
        <v>20</v>
      </c>
      <c r="L235" s="6" t="n">
        <v>84.7</v>
      </c>
      <c r="M235" s="32" t="s">
        <v>100</v>
      </c>
    </row>
    <row r="236" customFormat="false" ht="15" hidden="false" customHeight="false" outlineLevel="0" collapsed="false">
      <c r="A236" s="6" t="s">
        <v>21</v>
      </c>
      <c r="B236" s="6" t="s">
        <v>346</v>
      </c>
      <c r="C236" s="6" t="n">
        <v>37</v>
      </c>
      <c r="D236" s="6" t="n">
        <v>0</v>
      </c>
      <c r="E236" s="6" t="s">
        <v>367</v>
      </c>
      <c r="F236" s="7" t="n">
        <v>5</v>
      </c>
      <c r="G236" s="6" t="n">
        <v>0</v>
      </c>
      <c r="H236" s="6" t="n">
        <v>0</v>
      </c>
      <c r="I236" s="29" t="n">
        <f aca="false">IF(F236=0,0,H236/F236*1000)</f>
        <v>0</v>
      </c>
      <c r="J236" s="6" t="n">
        <v>0</v>
      </c>
      <c r="K236" s="9" t="n">
        <f aca="false">IF(F236=0,0,J236/F236*100)</f>
        <v>0</v>
      </c>
      <c r="L236" s="6" t="n">
        <v>66.2</v>
      </c>
      <c r="M236" s="33" t="s">
        <v>107</v>
      </c>
    </row>
    <row r="237" customFormat="false" ht="15" hidden="false" customHeight="false" outlineLevel="0" collapsed="false">
      <c r="A237" s="6" t="s">
        <v>21</v>
      </c>
      <c r="B237" s="6" t="s">
        <v>346</v>
      </c>
      <c r="C237" s="6" t="n">
        <v>37</v>
      </c>
      <c r="D237" s="6" t="n">
        <v>0</v>
      </c>
      <c r="E237" s="12" t="s">
        <v>368</v>
      </c>
      <c r="F237" s="7" t="n">
        <v>5</v>
      </c>
      <c r="G237" s="6" t="n">
        <v>1</v>
      </c>
      <c r="H237" s="6" t="n">
        <v>0</v>
      </c>
      <c r="I237" s="29" t="n">
        <f aca="false">IF(F237=0,0,H237/F237*1000)</f>
        <v>0</v>
      </c>
      <c r="J237" s="6" t="n">
        <v>1</v>
      </c>
      <c r="K237" s="9" t="n">
        <f aca="false">IF(F237=0,0,J237/F237*100)</f>
        <v>20</v>
      </c>
      <c r="L237" s="6" t="n">
        <v>74.4</v>
      </c>
      <c r="M237" s="32" t="s">
        <v>100</v>
      </c>
    </row>
    <row r="238" customFormat="false" ht="15" hidden="false" customHeight="false" outlineLevel="0" collapsed="false">
      <c r="A238" s="6" t="s">
        <v>23</v>
      </c>
      <c r="B238" s="6" t="s">
        <v>346</v>
      </c>
      <c r="C238" s="6" t="n">
        <v>37</v>
      </c>
      <c r="D238" s="6" t="n">
        <v>0</v>
      </c>
      <c r="E238" s="6" t="s">
        <v>369</v>
      </c>
      <c r="F238" s="7" t="n">
        <v>5</v>
      </c>
      <c r="G238" s="6" t="n">
        <v>0</v>
      </c>
      <c r="H238" s="6" t="n">
        <v>0</v>
      </c>
      <c r="I238" s="29" t="n">
        <f aca="false">IF(F238=0,0,H238/F238*1000)</f>
        <v>0</v>
      </c>
      <c r="J238" s="6" t="n">
        <v>0</v>
      </c>
      <c r="K238" s="9" t="n">
        <f aca="false">IF(F238=0,0,J238/F238*100)</f>
        <v>0</v>
      </c>
      <c r="L238" s="6" t="n">
        <v>9.4</v>
      </c>
      <c r="M238" s="33" t="s">
        <v>107</v>
      </c>
    </row>
    <row r="239" customFormat="false" ht="15" hidden="false" customHeight="false" outlineLevel="0" collapsed="false">
      <c r="A239" s="6" t="s">
        <v>21</v>
      </c>
      <c r="B239" s="6" t="s">
        <v>340</v>
      </c>
      <c r="C239" s="6" t="n">
        <v>34</v>
      </c>
      <c r="D239" s="6" t="n">
        <v>18</v>
      </c>
      <c r="E239" s="12" t="s">
        <v>370</v>
      </c>
      <c r="F239" s="7" t="n">
        <v>4</v>
      </c>
      <c r="G239" s="6" t="n">
        <v>-1</v>
      </c>
      <c r="H239" s="6" t="n">
        <v>0</v>
      </c>
      <c r="I239" s="29" t="n">
        <f aca="false">IF(F239=0,0,H239/F239*1000)</f>
        <v>0</v>
      </c>
      <c r="J239" s="6" t="n">
        <v>1</v>
      </c>
      <c r="K239" s="9" t="n">
        <f aca="false">IF(F239=0,0,J239/F239*100)</f>
        <v>25</v>
      </c>
      <c r="L239" s="6" t="n">
        <v>103.3</v>
      </c>
      <c r="M239" s="32" t="s">
        <v>100</v>
      </c>
    </row>
    <row r="240" customFormat="false" ht="15" hidden="false" customHeight="false" outlineLevel="0" collapsed="false">
      <c r="A240" s="6" t="s">
        <v>15</v>
      </c>
      <c r="B240" s="6" t="s">
        <v>337</v>
      </c>
      <c r="C240" s="6" t="n">
        <v>32</v>
      </c>
      <c r="D240" s="6" t="n">
        <v>9</v>
      </c>
      <c r="E240" s="12" t="s">
        <v>371</v>
      </c>
      <c r="F240" s="7" t="n">
        <v>3</v>
      </c>
      <c r="G240" s="6" t="n">
        <v>-1</v>
      </c>
      <c r="H240" s="6" t="n">
        <v>0</v>
      </c>
      <c r="I240" s="29" t="n">
        <f aca="false">IF(F240=0,0,H240/F240*1000)</f>
        <v>0</v>
      </c>
      <c r="J240" s="6" t="n">
        <v>0</v>
      </c>
      <c r="K240" s="9" t="n">
        <f aca="false">IF(F240=0,0,J240/F240*100)</f>
        <v>0</v>
      </c>
      <c r="L240" s="6" t="n">
        <v>0</v>
      </c>
      <c r="M240" s="33" t="s">
        <v>107</v>
      </c>
    </row>
    <row r="241" customFormat="false" ht="15" hidden="false" customHeight="false" outlineLevel="0" collapsed="false">
      <c r="A241" s="6" t="s">
        <v>15</v>
      </c>
      <c r="B241" s="6" t="s">
        <v>344</v>
      </c>
      <c r="C241" s="6" t="n">
        <v>33</v>
      </c>
      <c r="D241" s="6" t="n">
        <v>10</v>
      </c>
      <c r="E241" s="12" t="s">
        <v>372</v>
      </c>
      <c r="F241" s="7" t="n">
        <v>3</v>
      </c>
      <c r="G241" s="6" t="n">
        <v>0</v>
      </c>
      <c r="H241" s="6" t="n">
        <v>0</v>
      </c>
      <c r="I241" s="29" t="n">
        <f aca="false">IF(F241=0,0,H241/F241*1000)</f>
        <v>0</v>
      </c>
      <c r="J241" s="6" t="n">
        <v>0</v>
      </c>
      <c r="K241" s="9" t="n">
        <f aca="false">IF(F241=0,0,J241/F241*100)</f>
        <v>0</v>
      </c>
      <c r="L241" s="6" t="n">
        <v>106.8</v>
      </c>
      <c r="M241" s="32" t="s">
        <v>100</v>
      </c>
    </row>
    <row r="242" customFormat="false" ht="15" hidden="false" customHeight="false" outlineLevel="0" collapsed="false">
      <c r="A242" s="6" t="s">
        <v>19</v>
      </c>
      <c r="B242" s="6" t="s">
        <v>179</v>
      </c>
      <c r="C242" s="6" t="n">
        <v>21</v>
      </c>
      <c r="D242" s="6" t="n">
        <v>21</v>
      </c>
      <c r="E242" s="12" t="s">
        <v>373</v>
      </c>
      <c r="F242" s="7" t="n">
        <v>2</v>
      </c>
      <c r="G242" s="6" t="n">
        <v>0</v>
      </c>
      <c r="H242" s="6" t="n">
        <v>0</v>
      </c>
      <c r="I242" s="29" t="n">
        <f aca="false">IF(F242=0,0,H242/F242*1000)</f>
        <v>0</v>
      </c>
      <c r="J242" s="6" t="n">
        <v>0</v>
      </c>
      <c r="K242" s="9" t="n">
        <f aca="false">IF(F242=0,0,J242/F242*100)</f>
        <v>0</v>
      </c>
      <c r="L242" s="6" t="n">
        <v>33.8</v>
      </c>
      <c r="M242" s="33" t="s">
        <v>107</v>
      </c>
    </row>
    <row r="243" customFormat="false" ht="15" hidden="false" customHeight="false" outlineLevel="0" collapsed="false">
      <c r="A243" s="6" t="s">
        <v>19</v>
      </c>
      <c r="B243" s="6" t="s">
        <v>179</v>
      </c>
      <c r="C243" s="6" t="n">
        <v>21</v>
      </c>
      <c r="D243" s="6" t="n">
        <v>18</v>
      </c>
      <c r="E243" s="12" t="s">
        <v>374</v>
      </c>
      <c r="F243" s="7" t="n">
        <v>1</v>
      </c>
      <c r="G243" s="6" t="n">
        <v>0</v>
      </c>
      <c r="H243" s="6" t="n">
        <v>0</v>
      </c>
      <c r="I243" s="29" t="n">
        <f aca="false">IF(F243=0,0,H243/F243*1000)</f>
        <v>0</v>
      </c>
      <c r="J243" s="6" t="n">
        <v>0</v>
      </c>
      <c r="K243" s="9" t="n">
        <f aca="false">IF(F243=0,0,J243/F243*100)</f>
        <v>0</v>
      </c>
      <c r="L243" s="6" t="n">
        <v>80.8</v>
      </c>
      <c r="M243" s="33" t="s">
        <v>107</v>
      </c>
    </row>
    <row r="244" customFormat="false" ht="15" hidden="false" customHeight="false" outlineLevel="0" collapsed="false">
      <c r="A244" s="6" t="s">
        <v>15</v>
      </c>
      <c r="B244" s="6" t="s">
        <v>344</v>
      </c>
      <c r="C244" s="6" t="n">
        <v>33</v>
      </c>
      <c r="D244" s="6" t="n">
        <v>17</v>
      </c>
      <c r="E244" s="12" t="s">
        <v>375</v>
      </c>
      <c r="F244" s="7" t="n">
        <v>1</v>
      </c>
      <c r="G244" s="6" t="n">
        <v>0</v>
      </c>
      <c r="H244" s="6" t="n">
        <v>0</v>
      </c>
      <c r="I244" s="29" t="n">
        <f aca="false">IF(F244=0,0,H244/F244*1000)</f>
        <v>0</v>
      </c>
      <c r="J244" s="6" t="n">
        <v>0</v>
      </c>
      <c r="K244" s="9" t="n">
        <f aca="false">IF(F244=0,0,J244/F244*100)</f>
        <v>0</v>
      </c>
      <c r="L244" s="6" t="n">
        <v>85.4</v>
      </c>
      <c r="M244" s="32" t="s">
        <v>100</v>
      </c>
    </row>
    <row r="245" customFormat="false" ht="15" hidden="false" customHeight="false" outlineLevel="0" collapsed="false">
      <c r="A245" s="6" t="s">
        <v>19</v>
      </c>
      <c r="B245" s="6" t="s">
        <v>376</v>
      </c>
      <c r="C245" s="6" t="n">
        <v>0</v>
      </c>
      <c r="D245" s="6" t="n">
        <v>21</v>
      </c>
      <c r="E245" s="12" t="s">
        <v>377</v>
      </c>
      <c r="F245" s="7" t="n">
        <v>0</v>
      </c>
      <c r="G245" s="6"/>
      <c r="H245" s="6" t="n">
        <v>0</v>
      </c>
      <c r="I245" s="29" t="n">
        <f aca="false">IF(F245=0,0,H245/F245*1000)</f>
        <v>0</v>
      </c>
      <c r="J245" s="6" t="n">
        <v>0</v>
      </c>
      <c r="K245" s="9" t="n">
        <f aca="false">IF(F245=0,0,J245/F245*100)</f>
        <v>0</v>
      </c>
      <c r="L245" s="6" t="n">
        <v>0</v>
      </c>
      <c r="M245" s="33" t="s">
        <v>107</v>
      </c>
    </row>
    <row r="246" customFormat="false" ht="15" hidden="false" customHeight="false" outlineLevel="0" collapsed="false">
      <c r="A246" s="6" t="s">
        <v>19</v>
      </c>
      <c r="B246" s="6" t="s">
        <v>376</v>
      </c>
      <c r="C246" s="6" t="n">
        <v>0</v>
      </c>
      <c r="D246" s="6" t="n">
        <v>12</v>
      </c>
      <c r="E246" s="12" t="s">
        <v>378</v>
      </c>
      <c r="F246" s="7" t="n">
        <v>0</v>
      </c>
      <c r="G246" s="6"/>
      <c r="H246" s="6" t="n">
        <v>0</v>
      </c>
      <c r="I246" s="29" t="n">
        <f aca="false">IF(F246=0,0,H246/F246*1000)</f>
        <v>0</v>
      </c>
      <c r="J246" s="6" t="n">
        <v>0</v>
      </c>
      <c r="K246" s="9" t="n">
        <f aca="false">IF(F246=0,0,J246/F246*100)</f>
        <v>0</v>
      </c>
      <c r="L246" s="6" t="n">
        <v>0</v>
      </c>
      <c r="M246" s="33" t="s">
        <v>107</v>
      </c>
    </row>
    <row r="247" customFormat="false" ht="15" hidden="false" customHeight="false" outlineLevel="0" collapsed="false">
      <c r="A247" s="6" t="s">
        <v>19</v>
      </c>
      <c r="B247" s="6" t="s">
        <v>379</v>
      </c>
      <c r="C247" s="6" t="n">
        <v>1</v>
      </c>
      <c r="D247" s="6" t="n">
        <v>7</v>
      </c>
      <c r="E247" s="12" t="s">
        <v>380</v>
      </c>
      <c r="F247" s="7" t="n">
        <v>0</v>
      </c>
      <c r="G247" s="6"/>
      <c r="H247" s="6" t="n">
        <v>0</v>
      </c>
      <c r="I247" s="29" t="n">
        <f aca="false">IF(F247=0,0,H247/F247*1000)</f>
        <v>0</v>
      </c>
      <c r="J247" s="6" t="n">
        <v>0</v>
      </c>
      <c r="K247" s="9" t="n">
        <f aca="false">IF(F247=0,0,J247/F247*100)</f>
        <v>0</v>
      </c>
      <c r="L247" s="6" t="n">
        <v>0</v>
      </c>
      <c r="M247" s="33" t="s">
        <v>107</v>
      </c>
    </row>
    <row r="248" customFormat="false" ht="15" hidden="false" customHeight="false" outlineLevel="0" collapsed="false">
      <c r="A248" s="6" t="s">
        <v>19</v>
      </c>
      <c r="B248" s="6" t="s">
        <v>379</v>
      </c>
      <c r="C248" s="6" t="n">
        <v>1</v>
      </c>
      <c r="D248" s="6" t="n">
        <v>21</v>
      </c>
      <c r="E248" s="12" t="s">
        <v>381</v>
      </c>
      <c r="F248" s="7" t="n">
        <v>0</v>
      </c>
      <c r="G248" s="6" t="n">
        <v>0</v>
      </c>
      <c r="H248" s="6" t="n">
        <v>0</v>
      </c>
      <c r="I248" s="29" t="n">
        <f aca="false">IF(F248=0,0,H248/F248*1000)</f>
        <v>0</v>
      </c>
      <c r="J248" s="6" t="n">
        <v>0</v>
      </c>
      <c r="K248" s="9" t="n">
        <f aca="false">IF(F248=0,0,J248/F248*100)</f>
        <v>0</v>
      </c>
      <c r="L248" s="6" t="n">
        <v>0</v>
      </c>
      <c r="M248" s="33" t="s">
        <v>107</v>
      </c>
    </row>
    <row r="249" customFormat="false" ht="15" hidden="false" customHeight="false" outlineLevel="0" collapsed="false">
      <c r="A249" s="6" t="s">
        <v>19</v>
      </c>
      <c r="B249" s="6" t="s">
        <v>379</v>
      </c>
      <c r="C249" s="6" t="n">
        <v>1</v>
      </c>
      <c r="D249" s="6" t="n">
        <v>12</v>
      </c>
      <c r="E249" s="6" t="s">
        <v>382</v>
      </c>
      <c r="F249" s="7" t="n">
        <v>0</v>
      </c>
      <c r="G249" s="6" t="n">
        <v>0</v>
      </c>
      <c r="H249" s="6" t="n">
        <v>0</v>
      </c>
      <c r="I249" s="29" t="n">
        <f aca="false">IF(F249=0,0,H249/F249*1000)</f>
        <v>0</v>
      </c>
      <c r="J249" s="6" t="n">
        <v>0</v>
      </c>
      <c r="K249" s="9" t="n">
        <f aca="false">IF(F249=0,0,J249/F249*100)</f>
        <v>0</v>
      </c>
      <c r="L249" s="6" t="n">
        <v>0</v>
      </c>
      <c r="M249" s="33" t="s">
        <v>107</v>
      </c>
    </row>
    <row r="250" customFormat="false" ht="15" hidden="false" customHeight="false" outlineLevel="0" collapsed="false">
      <c r="A250" s="6" t="s">
        <v>19</v>
      </c>
      <c r="B250" s="6" t="s">
        <v>163</v>
      </c>
      <c r="C250" s="6" t="n">
        <v>2</v>
      </c>
      <c r="D250" s="6" t="n">
        <v>7</v>
      </c>
      <c r="E250" s="6" t="s">
        <v>383</v>
      </c>
      <c r="F250" s="7" t="n">
        <v>0</v>
      </c>
      <c r="G250" s="6" t="n">
        <v>0</v>
      </c>
      <c r="H250" s="6" t="n">
        <v>0</v>
      </c>
      <c r="I250" s="29" t="n">
        <f aca="false">IF(F250=0,0,H250/F250*1000)</f>
        <v>0</v>
      </c>
      <c r="J250" s="6" t="n">
        <v>0</v>
      </c>
      <c r="K250" s="9" t="n">
        <f aca="false">IF(F250=0,0,J250/F250*100)</f>
        <v>0</v>
      </c>
      <c r="L250" s="6" t="n">
        <v>0</v>
      </c>
      <c r="M250" s="33" t="s">
        <v>107</v>
      </c>
    </row>
    <row r="251" customFormat="false" ht="15" hidden="false" customHeight="false" outlineLevel="0" collapsed="false">
      <c r="A251" s="6" t="s">
        <v>19</v>
      </c>
      <c r="B251" s="6" t="s">
        <v>163</v>
      </c>
      <c r="C251" s="6" t="n">
        <v>2</v>
      </c>
      <c r="D251" s="6" t="n">
        <v>21</v>
      </c>
      <c r="E251" s="12" t="s">
        <v>384</v>
      </c>
      <c r="F251" s="7" t="n">
        <v>0</v>
      </c>
      <c r="G251" s="6" t="n">
        <v>0</v>
      </c>
      <c r="H251" s="6" t="n">
        <v>0</v>
      </c>
      <c r="I251" s="29" t="n">
        <f aca="false">IF(F251=0,0,H251/F251*1000)</f>
        <v>0</v>
      </c>
      <c r="J251" s="6" t="n">
        <v>0</v>
      </c>
      <c r="K251" s="9" t="n">
        <f aca="false">IF(F251=0,0,J251/F251*100)</f>
        <v>0</v>
      </c>
      <c r="L251" s="6" t="n">
        <v>0</v>
      </c>
      <c r="M251" s="33" t="s">
        <v>107</v>
      </c>
    </row>
    <row r="252" customFormat="false" ht="15" hidden="false" customHeight="false" outlineLevel="0" collapsed="false">
      <c r="A252" s="6" t="s">
        <v>25</v>
      </c>
      <c r="B252" s="6" t="s">
        <v>376</v>
      </c>
      <c r="C252" s="6" t="n">
        <v>0</v>
      </c>
      <c r="D252" s="6" t="n">
        <v>17</v>
      </c>
      <c r="E252" s="12" t="s">
        <v>385</v>
      </c>
      <c r="F252" s="7" t="n">
        <v>0</v>
      </c>
      <c r="G252" s="6"/>
      <c r="H252" s="6" t="n">
        <v>0</v>
      </c>
      <c r="I252" s="29" t="n">
        <f aca="false">IF(F252=0,0,H252/F252*1000)</f>
        <v>0</v>
      </c>
      <c r="J252" s="6" t="n">
        <v>0</v>
      </c>
      <c r="K252" s="9" t="n">
        <f aca="false">IF(F252=0,0,J252/F252*100)</f>
        <v>0</v>
      </c>
      <c r="L252" s="6" t="n">
        <v>0</v>
      </c>
      <c r="M252" s="32" t="s">
        <v>100</v>
      </c>
    </row>
    <row r="253" customFormat="false" ht="15" hidden="false" customHeight="false" outlineLevel="0" collapsed="false">
      <c r="A253" s="6" t="s">
        <v>25</v>
      </c>
      <c r="B253" s="6" t="s">
        <v>376</v>
      </c>
      <c r="C253" s="6" t="n">
        <v>0</v>
      </c>
      <c r="D253" s="6" t="n">
        <v>13</v>
      </c>
      <c r="E253" s="12" t="s">
        <v>386</v>
      </c>
      <c r="F253" s="7" t="n">
        <v>0</v>
      </c>
      <c r="G253" s="6"/>
      <c r="H253" s="6" t="n">
        <v>0</v>
      </c>
      <c r="I253" s="29" t="n">
        <f aca="false">IF(F253=0,0,H253/F253*1000)</f>
        <v>0</v>
      </c>
      <c r="J253" s="6" t="n">
        <v>0</v>
      </c>
      <c r="K253" s="9" t="n">
        <f aca="false">IF(F253=0,0,J253/F253*100)</f>
        <v>0</v>
      </c>
      <c r="L253" s="6" t="n">
        <v>0</v>
      </c>
      <c r="M253" s="33" t="s">
        <v>107</v>
      </c>
    </row>
    <row r="254" customFormat="false" ht="15" hidden="false" customHeight="false" outlineLevel="0" collapsed="false">
      <c r="A254" s="6" t="s">
        <v>25</v>
      </c>
      <c r="B254" s="6" t="s">
        <v>379</v>
      </c>
      <c r="C254" s="6" t="n">
        <v>1</v>
      </c>
      <c r="D254" s="6" t="n">
        <v>8</v>
      </c>
      <c r="E254" s="6" t="s">
        <v>387</v>
      </c>
      <c r="F254" s="7" t="n">
        <v>0</v>
      </c>
      <c r="G254" s="6"/>
      <c r="H254" s="6" t="n">
        <v>0</v>
      </c>
      <c r="I254" s="29" t="n">
        <f aca="false">IF(F254=0,0,H254/F254*1000)</f>
        <v>0</v>
      </c>
      <c r="J254" s="6" t="n">
        <v>0</v>
      </c>
      <c r="K254" s="9" t="n">
        <f aca="false">IF(F254=0,0,J254/F254*100)</f>
        <v>0</v>
      </c>
      <c r="L254" s="6" t="n">
        <v>0</v>
      </c>
      <c r="M254" s="32" t="s">
        <v>100</v>
      </c>
    </row>
    <row r="255" customFormat="false" ht="15" hidden="false" customHeight="false" outlineLevel="0" collapsed="false">
      <c r="A255" s="6" t="s">
        <v>25</v>
      </c>
      <c r="B255" s="6" t="s">
        <v>379</v>
      </c>
      <c r="C255" s="6" t="n">
        <v>1</v>
      </c>
      <c r="D255" s="6" t="n">
        <v>17</v>
      </c>
      <c r="E255" s="12" t="s">
        <v>388</v>
      </c>
      <c r="F255" s="7" t="n">
        <v>0</v>
      </c>
      <c r="G255" s="6" t="n">
        <v>0</v>
      </c>
      <c r="H255" s="6" t="n">
        <v>0</v>
      </c>
      <c r="I255" s="29" t="n">
        <f aca="false">IF(F255=0,0,H255/F255*1000)</f>
        <v>0</v>
      </c>
      <c r="J255" s="6" t="n">
        <v>0</v>
      </c>
      <c r="K255" s="9" t="n">
        <f aca="false">IF(F255=0,0,J255/F255*100)</f>
        <v>0</v>
      </c>
      <c r="L255" s="6" t="n">
        <v>0</v>
      </c>
      <c r="M255" s="32" t="s">
        <v>100</v>
      </c>
    </row>
    <row r="256" customFormat="false" ht="15" hidden="false" customHeight="false" outlineLevel="0" collapsed="false">
      <c r="A256" s="6" t="s">
        <v>25</v>
      </c>
      <c r="B256" s="6" t="s">
        <v>379</v>
      </c>
      <c r="C256" s="6" t="n">
        <v>1</v>
      </c>
      <c r="D256" s="6" t="n">
        <v>13</v>
      </c>
      <c r="E256" s="12" t="s">
        <v>389</v>
      </c>
      <c r="F256" s="7" t="n">
        <v>0</v>
      </c>
      <c r="G256" s="6" t="n">
        <v>0</v>
      </c>
      <c r="H256" s="6" t="n">
        <v>0</v>
      </c>
      <c r="I256" s="29" t="n">
        <f aca="false">IF(F256=0,0,H256/F256*1000)</f>
        <v>0</v>
      </c>
      <c r="J256" s="6" t="n">
        <v>0</v>
      </c>
      <c r="K256" s="9" t="n">
        <f aca="false">IF(F256=0,0,J256/F256*100)</f>
        <v>0</v>
      </c>
      <c r="L256" s="6" t="n">
        <v>0</v>
      </c>
      <c r="M256" s="32" t="s">
        <v>100</v>
      </c>
    </row>
    <row r="257" customFormat="false" ht="15" hidden="false" customHeight="false" outlineLevel="0" collapsed="false">
      <c r="A257" s="6" t="s">
        <v>25</v>
      </c>
      <c r="B257" s="6" t="s">
        <v>163</v>
      </c>
      <c r="C257" s="6" t="n">
        <v>2</v>
      </c>
      <c r="D257" s="6" t="n">
        <v>8</v>
      </c>
      <c r="E257" s="12" t="s">
        <v>390</v>
      </c>
      <c r="F257" s="7" t="n">
        <v>0</v>
      </c>
      <c r="G257" s="6" t="n">
        <v>0</v>
      </c>
      <c r="H257" s="6" t="n">
        <v>0</v>
      </c>
      <c r="I257" s="29" t="n">
        <f aca="false">IF(F257=0,0,H257/F257*1000)</f>
        <v>0</v>
      </c>
      <c r="J257" s="6" t="n">
        <v>0</v>
      </c>
      <c r="K257" s="9" t="n">
        <f aca="false">IF(F257=0,0,J257/F257*100)</f>
        <v>0</v>
      </c>
      <c r="L257" s="6" t="n">
        <v>0</v>
      </c>
      <c r="M257" s="32" t="s">
        <v>100</v>
      </c>
    </row>
    <row r="258" customFormat="false" ht="15" hidden="false" customHeight="false" outlineLevel="0" collapsed="false">
      <c r="A258" s="6" t="s">
        <v>25</v>
      </c>
      <c r="B258" s="6" t="s">
        <v>163</v>
      </c>
      <c r="C258" s="6" t="n">
        <v>2</v>
      </c>
      <c r="D258" s="6" t="n">
        <v>17</v>
      </c>
      <c r="E258" s="12" t="s">
        <v>391</v>
      </c>
      <c r="F258" s="7" t="n">
        <v>0</v>
      </c>
      <c r="G258" s="6" t="n">
        <v>0</v>
      </c>
      <c r="H258" s="6" t="n">
        <v>0</v>
      </c>
      <c r="I258" s="29" t="n">
        <f aca="false">IF(F258=0,0,H258/F258*1000)</f>
        <v>0</v>
      </c>
      <c r="J258" s="6" t="n">
        <v>0</v>
      </c>
      <c r="K258" s="9" t="n">
        <f aca="false">IF(F258=0,0,J258/F258*100)</f>
        <v>0</v>
      </c>
      <c r="L258" s="6" t="n">
        <v>0</v>
      </c>
      <c r="M258" s="33" t="s">
        <v>107</v>
      </c>
    </row>
    <row r="259" customFormat="false" ht="15" hidden="false" customHeight="false" outlineLevel="0" collapsed="false">
      <c r="A259" s="6" t="s">
        <v>15</v>
      </c>
      <c r="B259" s="6" t="s">
        <v>376</v>
      </c>
      <c r="C259" s="6" t="n">
        <v>0</v>
      </c>
      <c r="D259" s="6" t="n">
        <v>17</v>
      </c>
      <c r="E259" s="12" t="s">
        <v>392</v>
      </c>
      <c r="F259" s="7" t="n">
        <v>0</v>
      </c>
      <c r="G259" s="6"/>
      <c r="H259" s="6" t="n">
        <v>0</v>
      </c>
      <c r="I259" s="29" t="n">
        <f aca="false">IF(F259=0,0,H259/F259*1000)</f>
        <v>0</v>
      </c>
      <c r="J259" s="6" t="n">
        <v>0</v>
      </c>
      <c r="K259" s="9" t="n">
        <f aca="false">IF(F259=0,0,J259/F259*100)</f>
        <v>0</v>
      </c>
      <c r="L259" s="6" t="n">
        <v>0</v>
      </c>
      <c r="M259" s="32" t="s">
        <v>100</v>
      </c>
    </row>
    <row r="260" customFormat="false" ht="15" hidden="false" customHeight="false" outlineLevel="0" collapsed="false">
      <c r="A260" s="6" t="s">
        <v>15</v>
      </c>
      <c r="B260" s="6" t="s">
        <v>376</v>
      </c>
      <c r="C260" s="6" t="n">
        <v>0</v>
      </c>
      <c r="D260" s="6" t="n">
        <v>12</v>
      </c>
      <c r="E260" s="12" t="s">
        <v>393</v>
      </c>
      <c r="F260" s="7" t="n">
        <v>0</v>
      </c>
      <c r="G260" s="6"/>
      <c r="H260" s="6" t="n">
        <v>0</v>
      </c>
      <c r="I260" s="29" t="n">
        <f aca="false">IF(F260=0,0,H260/F260*1000)</f>
        <v>0</v>
      </c>
      <c r="J260" s="6" t="n">
        <v>0</v>
      </c>
      <c r="K260" s="9" t="n">
        <f aca="false">IF(F260=0,0,J260/F260*100)</f>
        <v>0</v>
      </c>
      <c r="L260" s="6" t="n">
        <v>0</v>
      </c>
      <c r="M260" s="32" t="s">
        <v>100</v>
      </c>
    </row>
    <row r="261" customFormat="false" ht="15" hidden="false" customHeight="false" outlineLevel="0" collapsed="false">
      <c r="A261" s="6" t="s">
        <v>15</v>
      </c>
      <c r="B261" s="6" t="s">
        <v>379</v>
      </c>
      <c r="C261" s="6" t="n">
        <v>1</v>
      </c>
      <c r="D261" s="6" t="n">
        <v>7</v>
      </c>
      <c r="E261" s="12" t="s">
        <v>394</v>
      </c>
      <c r="F261" s="7" t="n">
        <v>0</v>
      </c>
      <c r="G261" s="6"/>
      <c r="H261" s="6" t="n">
        <v>0</v>
      </c>
      <c r="I261" s="29" t="n">
        <f aca="false">IF(F261=0,0,H261/F261*1000)</f>
        <v>0</v>
      </c>
      <c r="J261" s="6" t="n">
        <v>0</v>
      </c>
      <c r="K261" s="9" t="n">
        <f aca="false">IF(F261=0,0,J261/F261*100)</f>
        <v>0</v>
      </c>
      <c r="L261" s="6" t="n">
        <v>0</v>
      </c>
      <c r="M261" s="32" t="s">
        <v>100</v>
      </c>
    </row>
    <row r="262" customFormat="false" ht="15" hidden="false" customHeight="false" outlineLevel="0" collapsed="false">
      <c r="A262" s="6" t="s">
        <v>15</v>
      </c>
      <c r="B262" s="6" t="s">
        <v>379</v>
      </c>
      <c r="C262" s="6" t="n">
        <v>1</v>
      </c>
      <c r="D262" s="6" t="n">
        <v>17</v>
      </c>
      <c r="E262" s="12" t="s">
        <v>395</v>
      </c>
      <c r="F262" s="7" t="n">
        <v>0</v>
      </c>
      <c r="G262" s="6" t="n">
        <v>0</v>
      </c>
      <c r="H262" s="6" t="n">
        <v>0</v>
      </c>
      <c r="I262" s="29" t="n">
        <f aca="false">IF(F262=0,0,H262/F262*1000)</f>
        <v>0</v>
      </c>
      <c r="J262" s="6" t="n">
        <v>0</v>
      </c>
      <c r="K262" s="9" t="n">
        <f aca="false">IF(F262=0,0,J262/F262*100)</f>
        <v>0</v>
      </c>
      <c r="L262" s="6" t="n">
        <v>0</v>
      </c>
      <c r="M262" s="32" t="s">
        <v>100</v>
      </c>
    </row>
    <row r="263" customFormat="false" ht="15" hidden="false" customHeight="false" outlineLevel="0" collapsed="false">
      <c r="A263" s="6" t="s">
        <v>15</v>
      </c>
      <c r="B263" s="6" t="s">
        <v>379</v>
      </c>
      <c r="C263" s="6" t="n">
        <v>1</v>
      </c>
      <c r="D263" s="6" t="n">
        <v>12</v>
      </c>
      <c r="E263" s="12" t="s">
        <v>396</v>
      </c>
      <c r="F263" s="7" t="n">
        <v>0</v>
      </c>
      <c r="G263" s="6" t="n">
        <v>0</v>
      </c>
      <c r="H263" s="6" t="n">
        <v>0</v>
      </c>
      <c r="I263" s="29" t="n">
        <f aca="false">IF(F263=0,0,H263/F263*1000)</f>
        <v>0</v>
      </c>
      <c r="J263" s="6" t="n">
        <v>0</v>
      </c>
      <c r="K263" s="9" t="n">
        <f aca="false">IF(F263=0,0,J263/F263*100)</f>
        <v>0</v>
      </c>
      <c r="L263" s="6" t="n">
        <v>0</v>
      </c>
      <c r="M263" s="33" t="s">
        <v>107</v>
      </c>
    </row>
    <row r="264" customFormat="false" ht="15" hidden="false" customHeight="false" outlineLevel="0" collapsed="false">
      <c r="A264" s="6" t="s">
        <v>15</v>
      </c>
      <c r="B264" s="6" t="s">
        <v>163</v>
      </c>
      <c r="C264" s="6" t="n">
        <v>2</v>
      </c>
      <c r="D264" s="6" t="n">
        <v>7</v>
      </c>
      <c r="E264" s="12" t="s">
        <v>397</v>
      </c>
      <c r="F264" s="7" t="n">
        <v>0</v>
      </c>
      <c r="G264" s="6" t="n">
        <v>0</v>
      </c>
      <c r="H264" s="6" t="n">
        <v>0</v>
      </c>
      <c r="I264" s="29" t="n">
        <f aca="false">IF(F264=0,0,H264/F264*1000)</f>
        <v>0</v>
      </c>
      <c r="J264" s="6" t="n">
        <v>0</v>
      </c>
      <c r="K264" s="9" t="n">
        <f aca="false">IF(F264=0,0,J264/F264*100)</f>
        <v>0</v>
      </c>
      <c r="L264" s="6" t="n">
        <v>0</v>
      </c>
      <c r="M264" s="32" t="s">
        <v>100</v>
      </c>
    </row>
    <row r="265" customFormat="false" ht="15" hidden="false" customHeight="false" outlineLevel="0" collapsed="false">
      <c r="A265" s="6" t="s">
        <v>15</v>
      </c>
      <c r="B265" s="6" t="s">
        <v>163</v>
      </c>
      <c r="C265" s="6" t="n">
        <v>2</v>
      </c>
      <c r="D265" s="6" t="n">
        <v>17</v>
      </c>
      <c r="E265" s="12" t="s">
        <v>398</v>
      </c>
      <c r="F265" s="7" t="n">
        <v>0</v>
      </c>
      <c r="G265" s="6" t="n">
        <v>0</v>
      </c>
      <c r="H265" s="6" t="n">
        <v>0</v>
      </c>
      <c r="I265" s="29" t="n">
        <f aca="false">IF(F265=0,0,H265/F265*1000)</f>
        <v>0</v>
      </c>
      <c r="J265" s="6" t="n">
        <v>0</v>
      </c>
      <c r="K265" s="9" t="n">
        <f aca="false">IF(F265=0,0,J265/F265*100)</f>
        <v>0</v>
      </c>
      <c r="L265" s="6" t="n">
        <v>0</v>
      </c>
      <c r="M265" s="32" t="s">
        <v>100</v>
      </c>
    </row>
    <row r="266" customFormat="false" ht="15" hidden="false" customHeight="false" outlineLevel="0" collapsed="false">
      <c r="A266" s="6" t="s">
        <v>15</v>
      </c>
      <c r="B266" s="6" t="s">
        <v>337</v>
      </c>
      <c r="C266" s="6" t="n">
        <v>32</v>
      </c>
      <c r="D266" s="6" t="n">
        <v>17</v>
      </c>
      <c r="E266" s="12" t="s">
        <v>399</v>
      </c>
      <c r="F266" s="7" t="n">
        <v>0</v>
      </c>
      <c r="G266" s="6" t="n">
        <v>-3</v>
      </c>
      <c r="H266" s="6" t="n">
        <v>0</v>
      </c>
      <c r="I266" s="29" t="n">
        <f aca="false">IF(F266=0,0,H266/F266*1000)</f>
        <v>0</v>
      </c>
      <c r="J266" s="6" t="n">
        <v>0</v>
      </c>
      <c r="K266" s="9" t="n">
        <f aca="false">IF(F266=0,0,J266/F266*100)</f>
        <v>0</v>
      </c>
      <c r="L266" s="6" t="n">
        <v>0</v>
      </c>
      <c r="M266" s="32" t="s">
        <v>100</v>
      </c>
    </row>
    <row r="267" customFormat="false" ht="15" hidden="false" customHeight="false" outlineLevel="0" collapsed="false">
      <c r="A267" s="6" t="s">
        <v>15</v>
      </c>
      <c r="B267" s="6" t="s">
        <v>337</v>
      </c>
      <c r="C267" s="6" t="n">
        <v>32</v>
      </c>
      <c r="D267" s="6" t="n">
        <v>9</v>
      </c>
      <c r="E267" s="12" t="s">
        <v>400</v>
      </c>
      <c r="F267" s="7" t="n">
        <v>0</v>
      </c>
      <c r="G267" s="6" t="n">
        <v>0</v>
      </c>
      <c r="H267" s="6" t="n">
        <v>0</v>
      </c>
      <c r="I267" s="29" t="n">
        <f aca="false">IF(F267=0,0,H267/F267*1000)</f>
        <v>0</v>
      </c>
      <c r="J267" s="6" t="n">
        <v>0</v>
      </c>
      <c r="K267" s="9" t="n">
        <f aca="false">IF(F267=0,0,J267/F267*100)</f>
        <v>0</v>
      </c>
      <c r="L267" s="6" t="n">
        <v>0</v>
      </c>
      <c r="M267" s="32" t="s">
        <v>100</v>
      </c>
    </row>
    <row r="268" customFormat="false" ht="15" hidden="false" customHeight="false" outlineLevel="0" collapsed="false">
      <c r="A268" s="6" t="s">
        <v>21</v>
      </c>
      <c r="B268" s="6" t="s">
        <v>376</v>
      </c>
      <c r="C268" s="6" t="n">
        <v>0</v>
      </c>
      <c r="D268" s="6" t="n">
        <v>19</v>
      </c>
      <c r="E268" s="12" t="s">
        <v>401</v>
      </c>
      <c r="F268" s="7" t="n">
        <v>0</v>
      </c>
      <c r="G268" s="6"/>
      <c r="H268" s="6" t="n">
        <v>0</v>
      </c>
      <c r="I268" s="29" t="n">
        <f aca="false">IF(F268=0,0,H268/F268*1000)</f>
        <v>0</v>
      </c>
      <c r="J268" s="6" t="n">
        <v>0</v>
      </c>
      <c r="K268" s="9" t="n">
        <f aca="false">IF(F268=0,0,J268/F268*100)</f>
        <v>0</v>
      </c>
      <c r="L268" s="6" t="n">
        <v>0</v>
      </c>
      <c r="M268" s="33" t="s">
        <v>107</v>
      </c>
    </row>
    <row r="269" customFormat="false" ht="15" hidden="false" customHeight="false" outlineLevel="0" collapsed="false">
      <c r="A269" s="6" t="s">
        <v>21</v>
      </c>
      <c r="B269" s="6" t="s">
        <v>376</v>
      </c>
      <c r="C269" s="6" t="n">
        <v>0</v>
      </c>
      <c r="D269" s="6" t="n">
        <v>17</v>
      </c>
      <c r="E269" s="12" t="s">
        <v>402</v>
      </c>
      <c r="F269" s="7" t="n">
        <v>0</v>
      </c>
      <c r="G269" s="6"/>
      <c r="H269" s="6" t="n">
        <v>0</v>
      </c>
      <c r="I269" s="29" t="n">
        <f aca="false">IF(F269=0,0,H269/F269*1000)</f>
        <v>0</v>
      </c>
      <c r="J269" s="6" t="n">
        <v>0</v>
      </c>
      <c r="K269" s="9" t="n">
        <f aca="false">IF(F269=0,0,J269/F269*100)</f>
        <v>0</v>
      </c>
      <c r="L269" s="6" t="n">
        <v>0</v>
      </c>
      <c r="M269" s="32" t="s">
        <v>100</v>
      </c>
    </row>
    <row r="270" customFormat="false" ht="15" hidden="false" customHeight="false" outlineLevel="0" collapsed="false">
      <c r="A270" s="6" t="s">
        <v>21</v>
      </c>
      <c r="B270" s="6" t="s">
        <v>376</v>
      </c>
      <c r="C270" s="6" t="n">
        <v>0</v>
      </c>
      <c r="D270" s="6" t="n">
        <v>15</v>
      </c>
      <c r="E270" s="12" t="s">
        <v>403</v>
      </c>
      <c r="F270" s="7" t="n">
        <v>0</v>
      </c>
      <c r="G270" s="6"/>
      <c r="H270" s="6" t="n">
        <v>0</v>
      </c>
      <c r="I270" s="29" t="n">
        <f aca="false">IF(F270=0,0,H270/F270*1000)</f>
        <v>0</v>
      </c>
      <c r="J270" s="6" t="n">
        <v>0</v>
      </c>
      <c r="K270" s="9" t="n">
        <f aca="false">IF(F270=0,0,J270/F270*100)</f>
        <v>0</v>
      </c>
      <c r="L270" s="6" t="n">
        <v>0</v>
      </c>
      <c r="M270" s="33" t="s">
        <v>107</v>
      </c>
    </row>
    <row r="271" customFormat="false" ht="15" hidden="false" customHeight="false" outlineLevel="0" collapsed="false">
      <c r="A271" s="6" t="s">
        <v>21</v>
      </c>
      <c r="B271" s="6" t="s">
        <v>379</v>
      </c>
      <c r="C271" s="6" t="n">
        <v>1</v>
      </c>
      <c r="D271" s="6" t="n">
        <v>8</v>
      </c>
      <c r="E271" s="12" t="s">
        <v>404</v>
      </c>
      <c r="F271" s="7" t="n">
        <v>0</v>
      </c>
      <c r="G271" s="6"/>
      <c r="H271" s="6" t="n">
        <v>0</v>
      </c>
      <c r="I271" s="29" t="n">
        <f aca="false">IF(F271=0,0,H271/F271*1000)</f>
        <v>0</v>
      </c>
      <c r="J271" s="6" t="n">
        <v>0</v>
      </c>
      <c r="K271" s="9" t="n">
        <f aca="false">IF(F271=0,0,J271/F271*100)</f>
        <v>0</v>
      </c>
      <c r="L271" s="6" t="n">
        <v>0</v>
      </c>
      <c r="M271" s="32" t="s">
        <v>100</v>
      </c>
    </row>
    <row r="272" customFormat="false" ht="15" hidden="false" customHeight="false" outlineLevel="0" collapsed="false">
      <c r="A272" s="6" t="s">
        <v>21</v>
      </c>
      <c r="B272" s="6" t="s">
        <v>379</v>
      </c>
      <c r="C272" s="6" t="n">
        <v>1</v>
      </c>
      <c r="D272" s="6" t="n">
        <v>17</v>
      </c>
      <c r="E272" s="12" t="s">
        <v>405</v>
      </c>
      <c r="F272" s="7" t="n">
        <v>0</v>
      </c>
      <c r="G272" s="6" t="n">
        <v>0</v>
      </c>
      <c r="H272" s="6" t="n">
        <v>0</v>
      </c>
      <c r="I272" s="29" t="n">
        <f aca="false">IF(F272=0,0,H272/F272*1000)</f>
        <v>0</v>
      </c>
      <c r="J272" s="6" t="n">
        <v>0</v>
      </c>
      <c r="K272" s="9" t="n">
        <f aca="false">IF(F272=0,0,J272/F272*100)</f>
        <v>0</v>
      </c>
      <c r="L272" s="6" t="n">
        <v>0</v>
      </c>
      <c r="M272" s="32" t="s">
        <v>100</v>
      </c>
    </row>
    <row r="273" customFormat="false" ht="15" hidden="false" customHeight="false" outlineLevel="0" collapsed="false">
      <c r="A273" s="6" t="s">
        <v>21</v>
      </c>
      <c r="B273" s="6" t="s">
        <v>379</v>
      </c>
      <c r="C273" s="6" t="n">
        <v>1</v>
      </c>
      <c r="D273" s="6" t="n">
        <v>15</v>
      </c>
      <c r="E273" s="6" t="s">
        <v>406</v>
      </c>
      <c r="F273" s="7" t="n">
        <v>0</v>
      </c>
      <c r="G273" s="6" t="n">
        <v>0</v>
      </c>
      <c r="H273" s="6" t="n">
        <v>0</v>
      </c>
      <c r="I273" s="29" t="n">
        <f aca="false">IF(F273=0,0,H273/F273*1000)</f>
        <v>0</v>
      </c>
      <c r="J273" s="6" t="n">
        <v>0</v>
      </c>
      <c r="K273" s="9" t="n">
        <f aca="false">IF(F273=0,0,J273/F273*100)</f>
        <v>0</v>
      </c>
      <c r="L273" s="6" t="n">
        <v>0</v>
      </c>
      <c r="M273" s="32" t="s">
        <v>100</v>
      </c>
    </row>
    <row r="274" customFormat="false" ht="15" hidden="false" customHeight="false" outlineLevel="0" collapsed="false">
      <c r="A274" s="6" t="s">
        <v>21</v>
      </c>
      <c r="B274" s="6" t="s">
        <v>163</v>
      </c>
      <c r="C274" s="6" t="n">
        <v>2</v>
      </c>
      <c r="D274" s="6" t="n">
        <v>8</v>
      </c>
      <c r="E274" s="12" t="s">
        <v>407</v>
      </c>
      <c r="F274" s="7" t="n">
        <v>0</v>
      </c>
      <c r="G274" s="6" t="n">
        <v>0</v>
      </c>
      <c r="H274" s="6" t="n">
        <v>0</v>
      </c>
      <c r="I274" s="29" t="n">
        <f aca="false">IF(F274=0,0,H274/F274*1000)</f>
        <v>0</v>
      </c>
      <c r="J274" s="6" t="n">
        <v>0</v>
      </c>
      <c r="K274" s="9" t="n">
        <f aca="false">IF(F274=0,0,J274/F274*100)</f>
        <v>0</v>
      </c>
      <c r="L274" s="6" t="n">
        <v>0</v>
      </c>
      <c r="M274" s="33" t="s">
        <v>107</v>
      </c>
    </row>
    <row r="275" customFormat="false" ht="15" hidden="false" customHeight="false" outlineLevel="0" collapsed="false">
      <c r="A275" s="6" t="s">
        <v>21</v>
      </c>
      <c r="B275" s="6" t="s">
        <v>163</v>
      </c>
      <c r="C275" s="6" t="n">
        <v>2</v>
      </c>
      <c r="D275" s="6" t="n">
        <v>17</v>
      </c>
      <c r="E275" s="12" t="s">
        <v>408</v>
      </c>
      <c r="F275" s="7" t="n">
        <v>0</v>
      </c>
      <c r="G275" s="6" t="n">
        <v>0</v>
      </c>
      <c r="H275" s="6" t="n">
        <v>0</v>
      </c>
      <c r="I275" s="29" t="n">
        <f aca="false">IF(F275=0,0,H275/F275*1000)</f>
        <v>0</v>
      </c>
      <c r="J275" s="6" t="n">
        <v>0</v>
      </c>
      <c r="K275" s="9" t="n">
        <f aca="false">IF(F275=0,0,J275/F275*100)</f>
        <v>0</v>
      </c>
      <c r="L275" s="6" t="n">
        <v>0</v>
      </c>
      <c r="M275" s="33" t="s">
        <v>107</v>
      </c>
    </row>
    <row r="276" customFormat="false" ht="15" hidden="false" customHeight="false" outlineLevel="0" collapsed="false">
      <c r="A276" s="6" t="s">
        <v>17</v>
      </c>
      <c r="B276" s="6" t="s">
        <v>376</v>
      </c>
      <c r="C276" s="6" t="n">
        <v>0</v>
      </c>
      <c r="D276" s="6" t="n">
        <v>19</v>
      </c>
      <c r="E276" s="6" t="s">
        <v>409</v>
      </c>
      <c r="F276" s="7" t="n">
        <v>0</v>
      </c>
      <c r="G276" s="6"/>
      <c r="H276" s="6" t="n">
        <v>0</v>
      </c>
      <c r="I276" s="29" t="n">
        <f aca="false">IF(F276=0,0,H276/F276*1000)</f>
        <v>0</v>
      </c>
      <c r="J276" s="6" t="n">
        <v>0</v>
      </c>
      <c r="K276" s="9" t="n">
        <f aca="false">IF(F276=0,0,J276/F276*100)</f>
        <v>0</v>
      </c>
      <c r="L276" s="6" t="n">
        <v>0</v>
      </c>
      <c r="M276" s="33" t="s">
        <v>107</v>
      </c>
    </row>
    <row r="277" customFormat="false" ht="15" hidden="false" customHeight="false" outlineLevel="0" collapsed="false">
      <c r="A277" s="6" t="s">
        <v>17</v>
      </c>
      <c r="B277" s="6" t="s">
        <v>376</v>
      </c>
      <c r="C277" s="6" t="n">
        <v>0</v>
      </c>
      <c r="D277" s="6" t="n">
        <v>17</v>
      </c>
      <c r="E277" s="12" t="s">
        <v>410</v>
      </c>
      <c r="F277" s="7" t="n">
        <v>0</v>
      </c>
      <c r="G277" s="6"/>
      <c r="H277" s="6" t="n">
        <v>0</v>
      </c>
      <c r="I277" s="29" t="n">
        <f aca="false">IF(F277=0,0,H277/F277*1000)</f>
        <v>0</v>
      </c>
      <c r="J277" s="6" t="n">
        <v>0</v>
      </c>
      <c r="K277" s="9" t="n">
        <f aca="false">IF(F277=0,0,J277/F277*100)</f>
        <v>0</v>
      </c>
      <c r="L277" s="6" t="n">
        <v>0</v>
      </c>
      <c r="M277" s="32" t="s">
        <v>100</v>
      </c>
    </row>
    <row r="278" customFormat="false" ht="15" hidden="false" customHeight="false" outlineLevel="0" collapsed="false">
      <c r="A278" s="6" t="s">
        <v>17</v>
      </c>
      <c r="B278" s="6" t="s">
        <v>376</v>
      </c>
      <c r="C278" s="6" t="n">
        <v>0</v>
      </c>
      <c r="D278" s="6" t="n">
        <v>13</v>
      </c>
      <c r="E278" s="6" t="s">
        <v>411</v>
      </c>
      <c r="F278" s="7" t="n">
        <v>0</v>
      </c>
      <c r="G278" s="6"/>
      <c r="H278" s="6" t="n">
        <v>0</v>
      </c>
      <c r="I278" s="29" t="n">
        <f aca="false">IF(F278=0,0,H278/F278*1000)</f>
        <v>0</v>
      </c>
      <c r="J278" s="6" t="n">
        <v>0</v>
      </c>
      <c r="K278" s="9" t="n">
        <f aca="false">IF(F278=0,0,J278/F278*100)</f>
        <v>0</v>
      </c>
      <c r="L278" s="6" t="n">
        <v>0</v>
      </c>
      <c r="M278" s="33" t="s">
        <v>107</v>
      </c>
    </row>
    <row r="279" customFormat="false" ht="15" hidden="false" customHeight="false" outlineLevel="0" collapsed="false">
      <c r="A279" s="6" t="s">
        <v>17</v>
      </c>
      <c r="B279" s="6" t="s">
        <v>379</v>
      </c>
      <c r="C279" s="6" t="n">
        <v>1</v>
      </c>
      <c r="D279" s="6" t="n">
        <v>19</v>
      </c>
      <c r="E279" s="12" t="s">
        <v>412</v>
      </c>
      <c r="F279" s="7" t="n">
        <v>0</v>
      </c>
      <c r="G279" s="6" t="n">
        <v>0</v>
      </c>
      <c r="H279" s="6" t="n">
        <v>0</v>
      </c>
      <c r="I279" s="29" t="n">
        <f aca="false">IF(F279=0,0,H279/F279*1000)</f>
        <v>0</v>
      </c>
      <c r="J279" s="6" t="n">
        <v>0</v>
      </c>
      <c r="K279" s="9" t="n">
        <f aca="false">IF(F279=0,0,J279/F279*100)</f>
        <v>0</v>
      </c>
      <c r="L279" s="6" t="n">
        <v>0</v>
      </c>
      <c r="M279" s="33" t="s">
        <v>107</v>
      </c>
    </row>
    <row r="280" customFormat="false" ht="15" hidden="false" customHeight="false" outlineLevel="0" collapsed="false">
      <c r="A280" s="6" t="s">
        <v>17</v>
      </c>
      <c r="B280" s="6" t="s">
        <v>379</v>
      </c>
      <c r="C280" s="6" t="n">
        <v>1</v>
      </c>
      <c r="D280" s="6" t="n">
        <v>17</v>
      </c>
      <c r="E280" s="6" t="s">
        <v>413</v>
      </c>
      <c r="F280" s="7" t="n">
        <v>0</v>
      </c>
      <c r="G280" s="6" t="n">
        <v>0</v>
      </c>
      <c r="H280" s="6" t="n">
        <v>0</v>
      </c>
      <c r="I280" s="29" t="n">
        <f aca="false">IF(F280=0,0,H280/F280*1000)</f>
        <v>0</v>
      </c>
      <c r="J280" s="6" t="n">
        <v>0</v>
      </c>
      <c r="K280" s="9" t="n">
        <f aca="false">IF(F280=0,0,J280/F280*100)</f>
        <v>0</v>
      </c>
      <c r="L280" s="6" t="n">
        <v>0</v>
      </c>
      <c r="M280" s="33" t="s">
        <v>107</v>
      </c>
    </row>
    <row r="281" customFormat="false" ht="15" hidden="false" customHeight="false" outlineLevel="0" collapsed="false">
      <c r="A281" s="6" t="s">
        <v>17</v>
      </c>
      <c r="B281" s="6" t="s">
        <v>379</v>
      </c>
      <c r="C281" s="6" t="n">
        <v>1</v>
      </c>
      <c r="D281" s="6" t="n">
        <v>13</v>
      </c>
      <c r="E281" s="12" t="s">
        <v>414</v>
      </c>
      <c r="F281" s="7" t="n">
        <v>0</v>
      </c>
      <c r="G281" s="6" t="n">
        <v>0</v>
      </c>
      <c r="H281" s="6" t="n">
        <v>0</v>
      </c>
      <c r="I281" s="29" t="n">
        <f aca="false">IF(F281=0,0,H281/F281*1000)</f>
        <v>0</v>
      </c>
      <c r="J281" s="6" t="n">
        <v>0</v>
      </c>
      <c r="K281" s="9" t="n">
        <f aca="false">IF(F281=0,0,J281/F281*100)</f>
        <v>0</v>
      </c>
      <c r="L281" s="6" t="n">
        <v>0</v>
      </c>
      <c r="M281" s="32" t="s">
        <v>100</v>
      </c>
    </row>
    <row r="282" customFormat="false" ht="15" hidden="false" customHeight="false" outlineLevel="0" collapsed="false">
      <c r="A282" s="6" t="s">
        <v>17</v>
      </c>
      <c r="B282" s="6" t="s">
        <v>163</v>
      </c>
      <c r="C282" s="6" t="n">
        <v>2</v>
      </c>
      <c r="D282" s="6" t="n">
        <v>19</v>
      </c>
      <c r="E282" s="6" t="s">
        <v>415</v>
      </c>
      <c r="F282" s="7" t="n">
        <v>0</v>
      </c>
      <c r="G282" s="6" t="n">
        <v>0</v>
      </c>
      <c r="H282" s="6" t="n">
        <v>0</v>
      </c>
      <c r="I282" s="29" t="n">
        <f aca="false">IF(F282=0,0,H282/F282*1000)</f>
        <v>0</v>
      </c>
      <c r="J282" s="6" t="n">
        <v>0</v>
      </c>
      <c r="K282" s="9" t="n">
        <f aca="false">IF(F282=0,0,J282/F282*100)</f>
        <v>0</v>
      </c>
      <c r="L282" s="6" t="n">
        <v>0</v>
      </c>
      <c r="M282" s="32" t="s">
        <v>100</v>
      </c>
    </row>
    <row r="283" customFormat="false" ht="15" hidden="false" customHeight="false" outlineLevel="0" collapsed="false">
      <c r="A283" s="6" t="s">
        <v>17</v>
      </c>
      <c r="B283" s="6" t="s">
        <v>163</v>
      </c>
      <c r="C283" s="6" t="n">
        <v>2</v>
      </c>
      <c r="D283" s="6" t="n">
        <v>17</v>
      </c>
      <c r="E283" s="6" t="s">
        <v>416</v>
      </c>
      <c r="F283" s="7" t="n">
        <v>0</v>
      </c>
      <c r="G283" s="6" t="n">
        <v>0</v>
      </c>
      <c r="H283" s="6" t="n">
        <v>0</v>
      </c>
      <c r="I283" s="29" t="n">
        <f aca="false">IF(F283=0,0,H283/F283*1000)</f>
        <v>0</v>
      </c>
      <c r="J283" s="6" t="n">
        <v>0</v>
      </c>
      <c r="K283" s="9" t="n">
        <f aca="false">IF(F283=0,0,J283/F283*100)</f>
        <v>0</v>
      </c>
      <c r="L283" s="6" t="n">
        <v>0</v>
      </c>
      <c r="M283" s="33" t="s">
        <v>107</v>
      </c>
    </row>
    <row r="284" customFormat="false" ht="15" hidden="false" customHeight="false" outlineLevel="0" collapsed="false">
      <c r="A284" s="6" t="s">
        <v>23</v>
      </c>
      <c r="B284" s="6" t="s">
        <v>376</v>
      </c>
      <c r="C284" s="6" t="n">
        <v>0</v>
      </c>
      <c r="D284" s="6" t="n">
        <v>17</v>
      </c>
      <c r="E284" s="12" t="s">
        <v>417</v>
      </c>
      <c r="F284" s="7" t="n">
        <v>0</v>
      </c>
      <c r="G284" s="6"/>
      <c r="H284" s="6" t="n">
        <v>0</v>
      </c>
      <c r="I284" s="29" t="n">
        <f aca="false">IF(F284=0,0,H284/F284*1000)</f>
        <v>0</v>
      </c>
      <c r="J284" s="6" t="n">
        <v>0</v>
      </c>
      <c r="K284" s="9" t="n">
        <f aca="false">IF(F284=0,0,J284/F284*100)</f>
        <v>0</v>
      </c>
      <c r="L284" s="6" t="n">
        <v>0</v>
      </c>
      <c r="M284" s="32" t="s">
        <v>100</v>
      </c>
    </row>
    <row r="285" customFormat="false" ht="15" hidden="false" customHeight="false" outlineLevel="0" collapsed="false">
      <c r="A285" s="6" t="s">
        <v>23</v>
      </c>
      <c r="B285" s="6" t="s">
        <v>376</v>
      </c>
      <c r="C285" s="6" t="n">
        <v>0</v>
      </c>
      <c r="D285" s="6" t="n">
        <v>12</v>
      </c>
      <c r="E285" s="12" t="s">
        <v>418</v>
      </c>
      <c r="F285" s="7" t="n">
        <v>0</v>
      </c>
      <c r="G285" s="6"/>
      <c r="H285" s="6" t="n">
        <v>0</v>
      </c>
      <c r="I285" s="29" t="n">
        <f aca="false">IF(F285=0,0,H285/F285*1000)</f>
        <v>0</v>
      </c>
      <c r="J285" s="6" t="n">
        <v>0</v>
      </c>
      <c r="K285" s="9" t="n">
        <f aca="false">IF(F285=0,0,J285/F285*100)</f>
        <v>0</v>
      </c>
      <c r="L285" s="6" t="n">
        <v>0</v>
      </c>
      <c r="M285" s="33" t="s">
        <v>107</v>
      </c>
    </row>
    <row r="286" customFormat="false" ht="15" hidden="false" customHeight="false" outlineLevel="0" collapsed="false">
      <c r="A286" s="6" t="s">
        <v>23</v>
      </c>
      <c r="B286" s="6" t="s">
        <v>379</v>
      </c>
      <c r="C286" s="6" t="n">
        <v>1</v>
      </c>
      <c r="D286" s="6" t="n">
        <v>17</v>
      </c>
      <c r="E286" s="12" t="s">
        <v>419</v>
      </c>
      <c r="F286" s="7" t="n">
        <v>0</v>
      </c>
      <c r="G286" s="6" t="n">
        <v>0</v>
      </c>
      <c r="H286" s="6" t="n">
        <v>0</v>
      </c>
      <c r="I286" s="29" t="n">
        <f aca="false">IF(F286=0,0,H286/F286*1000)</f>
        <v>0</v>
      </c>
      <c r="J286" s="6" t="n">
        <v>0</v>
      </c>
      <c r="K286" s="9" t="n">
        <f aca="false">IF(F286=0,0,J286/F286*100)</f>
        <v>0</v>
      </c>
      <c r="L286" s="6" t="n">
        <v>0</v>
      </c>
      <c r="M286" s="33" t="s">
        <v>107</v>
      </c>
    </row>
    <row r="287" customFormat="false" ht="15" hidden="false" customHeight="false" outlineLevel="0" collapsed="false">
      <c r="A287" s="6" t="s">
        <v>23</v>
      </c>
      <c r="B287" s="6" t="s">
        <v>379</v>
      </c>
      <c r="C287" s="6" t="n">
        <v>1</v>
      </c>
      <c r="D287" s="6" t="n">
        <v>16</v>
      </c>
      <c r="E287" s="12" t="s">
        <v>420</v>
      </c>
      <c r="F287" s="7" t="n">
        <v>0</v>
      </c>
      <c r="G287" s="6" t="n">
        <v>0</v>
      </c>
      <c r="H287" s="6" t="n">
        <v>0</v>
      </c>
      <c r="I287" s="29" t="n">
        <f aca="false">IF(F287=0,0,H287/F287*1000)</f>
        <v>0</v>
      </c>
      <c r="J287" s="6" t="n">
        <v>0</v>
      </c>
      <c r="K287" s="9" t="n">
        <f aca="false">IF(F287=0,0,J287/F287*100)</f>
        <v>0</v>
      </c>
      <c r="L287" s="6" t="n">
        <v>0</v>
      </c>
      <c r="M287" s="32" t="s">
        <v>100</v>
      </c>
    </row>
    <row r="288" customFormat="false" ht="15" hidden="false" customHeight="false" outlineLevel="0" collapsed="false">
      <c r="A288" s="6" t="s">
        <v>23</v>
      </c>
      <c r="B288" s="6" t="s">
        <v>379</v>
      </c>
      <c r="C288" s="6" t="n">
        <v>1</v>
      </c>
      <c r="D288" s="6" t="n">
        <v>12</v>
      </c>
      <c r="E288" s="12" t="s">
        <v>421</v>
      </c>
      <c r="F288" s="7" t="n">
        <v>0</v>
      </c>
      <c r="G288" s="6" t="n">
        <v>0</v>
      </c>
      <c r="H288" s="6" t="n">
        <v>0</v>
      </c>
      <c r="I288" s="29" t="n">
        <f aca="false">IF(F288=0,0,H288/F288*1000)</f>
        <v>0</v>
      </c>
      <c r="J288" s="6" t="n">
        <v>0</v>
      </c>
      <c r="K288" s="9" t="n">
        <f aca="false">IF(F288=0,0,J288/F288*100)</f>
        <v>0</v>
      </c>
      <c r="L288" s="6" t="n">
        <v>0</v>
      </c>
      <c r="M288" s="33" t="s">
        <v>107</v>
      </c>
    </row>
    <row r="289" customFormat="false" ht="15" hidden="false" customHeight="false" outlineLevel="0" collapsed="false">
      <c r="A289" s="6" t="s">
        <v>23</v>
      </c>
      <c r="B289" s="6" t="s">
        <v>163</v>
      </c>
      <c r="C289" s="6" t="n">
        <v>2</v>
      </c>
      <c r="D289" s="6" t="n">
        <v>17</v>
      </c>
      <c r="E289" s="12" t="s">
        <v>422</v>
      </c>
      <c r="F289" s="7" t="n">
        <v>0</v>
      </c>
      <c r="G289" s="6" t="n">
        <v>0</v>
      </c>
      <c r="H289" s="6" t="n">
        <v>0</v>
      </c>
      <c r="I289" s="29" t="n">
        <f aca="false">IF(F289=0,0,H289/F289*1000)</f>
        <v>0</v>
      </c>
      <c r="J289" s="6" t="n">
        <v>0</v>
      </c>
      <c r="K289" s="9" t="n">
        <f aca="false">IF(F289=0,0,J289/F289*100)</f>
        <v>0</v>
      </c>
      <c r="L289" s="6" t="n">
        <v>0</v>
      </c>
      <c r="M289" s="32" t="s">
        <v>100</v>
      </c>
    </row>
    <row r="290" customFormat="false" ht="15" hidden="false" customHeight="false" outlineLevel="0" collapsed="false">
      <c r="A290" s="6" t="s">
        <v>23</v>
      </c>
      <c r="B290" s="6" t="s">
        <v>163</v>
      </c>
      <c r="C290" s="6" t="n">
        <v>2</v>
      </c>
      <c r="D290" s="6" t="n">
        <v>16</v>
      </c>
      <c r="E290" s="12" t="s">
        <v>423</v>
      </c>
      <c r="F290" s="7" t="n">
        <v>0</v>
      </c>
      <c r="G290" s="6" t="n">
        <v>0</v>
      </c>
      <c r="H290" s="6" t="n">
        <v>0</v>
      </c>
      <c r="I290" s="29" t="n">
        <f aca="false">IF(F290=0,0,H290/F290*1000)</f>
        <v>0</v>
      </c>
      <c r="J290" s="6" t="n">
        <v>0</v>
      </c>
      <c r="K290" s="9" t="n">
        <f aca="false">IF(F290=0,0,J290/F290*100)</f>
        <v>0</v>
      </c>
      <c r="L290" s="6" t="n">
        <v>0</v>
      </c>
      <c r="M290" s="32" t="s">
        <v>100</v>
      </c>
    </row>
  </sheetData>
  <autoFilter ref="A4:M290"/>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40"/>
    <col collapsed="false" customWidth="true" hidden="false" outlineLevel="0" max="4" min="4" style="0" width="44"/>
    <col collapsed="false" customWidth="true" hidden="false" outlineLevel="0" max="5" min="5" style="0" width="20"/>
    <col collapsed="false" customWidth="true" hidden="false" outlineLevel="0" max="6" min="6" style="0" width="38"/>
    <col collapsed="false" customWidth="true" hidden="false" outlineLevel="0" max="7" min="7" style="0" width="12"/>
  </cols>
  <sheetData>
    <row r="1" customFormat="false" ht="24" hidden="false" customHeight="true" outlineLevel="0" collapsed="false">
      <c r="A1" s="27" t="s">
        <v>424</v>
      </c>
      <c r="B1" s="27"/>
      <c r="C1" s="27"/>
      <c r="D1" s="27"/>
      <c r="E1" s="27"/>
      <c r="F1" s="27"/>
      <c r="G1" s="27"/>
      <c r="H1" s="27"/>
    </row>
    <row r="2" customFormat="false" ht="15" hidden="false" customHeight="false" outlineLevel="0" collapsed="false">
      <c r="A2" s="2" t="s">
        <v>425</v>
      </c>
      <c r="B2" s="2"/>
      <c r="C2" s="2"/>
      <c r="D2" s="2"/>
      <c r="E2" s="2"/>
      <c r="F2" s="2"/>
      <c r="G2" s="2"/>
      <c r="H2" s="2"/>
    </row>
    <row r="4" customFormat="false" ht="30" hidden="false" customHeight="true" outlineLevel="0" collapsed="false">
      <c r="A4" s="19" t="s">
        <v>426</v>
      </c>
      <c r="B4" s="5" t="s">
        <v>427</v>
      </c>
      <c r="C4" s="5" t="s">
        <v>428</v>
      </c>
      <c r="D4" s="5" t="s">
        <v>429</v>
      </c>
      <c r="E4" s="5" t="s">
        <v>430</v>
      </c>
      <c r="F4" s="5" t="s">
        <v>431</v>
      </c>
      <c r="G4" s="5" t="s">
        <v>432</v>
      </c>
    </row>
    <row r="5" customFormat="false" ht="61.5" hidden="false" customHeight="true" outlineLevel="0" collapsed="false">
      <c r="A5" s="21" t="n">
        <v>1</v>
      </c>
      <c r="B5" s="20" t="s">
        <v>433</v>
      </c>
      <c r="C5" s="21" t="s">
        <v>434</v>
      </c>
      <c r="D5" s="21" t="s">
        <v>435</v>
      </c>
      <c r="E5" s="20" t="s">
        <v>436</v>
      </c>
      <c r="F5" s="20" t="s">
        <v>437</v>
      </c>
      <c r="G5" s="24" t="s">
        <v>438</v>
      </c>
    </row>
    <row r="6" customFormat="false" ht="61.5" hidden="false" customHeight="true" outlineLevel="0" collapsed="false">
      <c r="A6" s="21" t="n">
        <v>2</v>
      </c>
      <c r="B6" s="21" t="s">
        <v>19</v>
      </c>
      <c r="C6" s="21" t="s">
        <v>439</v>
      </c>
      <c r="D6" s="20" t="s">
        <v>440</v>
      </c>
      <c r="E6" s="20" t="s">
        <v>441</v>
      </c>
      <c r="F6" s="20" t="s">
        <v>442</v>
      </c>
      <c r="G6" s="24" t="s">
        <v>438</v>
      </c>
    </row>
    <row r="7" customFormat="false" ht="61.5" hidden="false" customHeight="true" outlineLevel="0" collapsed="false">
      <c r="A7" s="21" t="n">
        <v>3</v>
      </c>
      <c r="B7" s="21" t="s">
        <v>19</v>
      </c>
      <c r="C7" s="21" t="s">
        <v>443</v>
      </c>
      <c r="D7" s="20" t="s">
        <v>444</v>
      </c>
      <c r="E7" s="20" t="s">
        <v>445</v>
      </c>
      <c r="F7" s="20" t="s">
        <v>446</v>
      </c>
      <c r="G7" s="24" t="s">
        <v>438</v>
      </c>
    </row>
    <row r="8" customFormat="false" ht="61.5" hidden="false" customHeight="true" outlineLevel="0" collapsed="false">
      <c r="A8" s="21" t="n">
        <v>4</v>
      </c>
      <c r="B8" s="21" t="s">
        <v>19</v>
      </c>
      <c r="C8" s="21" t="s">
        <v>447</v>
      </c>
      <c r="D8" s="20" t="s">
        <v>448</v>
      </c>
      <c r="E8" s="20" t="s">
        <v>449</v>
      </c>
      <c r="F8" s="20" t="s">
        <v>449</v>
      </c>
      <c r="G8" s="24" t="s">
        <v>438</v>
      </c>
    </row>
    <row r="9" customFormat="false" ht="61.5" hidden="false" customHeight="true" outlineLevel="0" collapsed="false">
      <c r="A9" s="21" t="n">
        <v>5</v>
      </c>
      <c r="B9" s="21" t="s">
        <v>25</v>
      </c>
      <c r="C9" s="20" t="s">
        <v>450</v>
      </c>
      <c r="D9" s="20" t="s">
        <v>451</v>
      </c>
      <c r="E9" s="20" t="s">
        <v>452</v>
      </c>
      <c r="F9" s="20" t="s">
        <v>453</v>
      </c>
      <c r="G9" s="24" t="s">
        <v>438</v>
      </c>
    </row>
    <row r="10" customFormat="false" ht="61.5" hidden="false" customHeight="true" outlineLevel="0" collapsed="false">
      <c r="A10" s="21" t="n">
        <v>6</v>
      </c>
      <c r="B10" s="21" t="s">
        <v>21</v>
      </c>
      <c r="C10" s="20" t="s">
        <v>454</v>
      </c>
      <c r="D10" s="20" t="s">
        <v>455</v>
      </c>
      <c r="E10" s="20" t="s">
        <v>456</v>
      </c>
      <c r="F10" s="20" t="s">
        <v>449</v>
      </c>
      <c r="G10" s="24" t="s">
        <v>438</v>
      </c>
    </row>
    <row r="11" customFormat="false" ht="61.5" hidden="false" customHeight="true" outlineLevel="0" collapsed="false">
      <c r="A11" s="21" t="n">
        <v>7</v>
      </c>
      <c r="B11" s="21" t="s">
        <v>23</v>
      </c>
      <c r="C11" s="20" t="s">
        <v>457</v>
      </c>
      <c r="D11" s="20" t="s">
        <v>458</v>
      </c>
      <c r="E11" s="20" t="s">
        <v>459</v>
      </c>
      <c r="F11" s="20" t="s">
        <v>449</v>
      </c>
      <c r="G11" s="24" t="s">
        <v>438</v>
      </c>
    </row>
    <row r="12" customFormat="false" ht="61.5" hidden="false" customHeight="true" outlineLevel="0" collapsed="false">
      <c r="A12" s="21" t="n">
        <v>8</v>
      </c>
      <c r="B12" s="21" t="s">
        <v>23</v>
      </c>
      <c r="C12" s="21" t="s">
        <v>460</v>
      </c>
      <c r="D12" s="21" t="s">
        <v>461</v>
      </c>
      <c r="E12" s="20" t="s">
        <v>462</v>
      </c>
      <c r="F12" s="21" t="s">
        <v>463</v>
      </c>
      <c r="G12" s="24" t="s">
        <v>464</v>
      </c>
    </row>
    <row r="13" customFormat="false" ht="61.5" hidden="false" customHeight="true" outlineLevel="0" collapsed="false">
      <c r="A13" s="21" t="n">
        <v>9</v>
      </c>
      <c r="B13" s="20" t="s">
        <v>433</v>
      </c>
      <c r="C13" s="21" t="s">
        <v>465</v>
      </c>
      <c r="D13" s="20" t="s">
        <v>466</v>
      </c>
      <c r="E13" s="20" t="s">
        <v>467</v>
      </c>
      <c r="F13" s="20" t="s">
        <v>468</v>
      </c>
      <c r="G13" s="24" t="s">
        <v>438</v>
      </c>
    </row>
    <row r="14" customFormat="false" ht="61.5" hidden="false" customHeight="true" outlineLevel="0" collapsed="false">
      <c r="A14" s="21" t="n">
        <v>10</v>
      </c>
      <c r="B14" s="20" t="s">
        <v>469</v>
      </c>
      <c r="C14" s="21" t="s">
        <v>470</v>
      </c>
      <c r="D14" s="21" t="s">
        <v>471</v>
      </c>
      <c r="E14" s="20" t="s">
        <v>472</v>
      </c>
      <c r="F14" s="21" t="s">
        <v>463</v>
      </c>
      <c r="G14" s="34" t="s">
        <v>473</v>
      </c>
    </row>
    <row r="15" customFormat="false" ht="61.5" hidden="false" customHeight="true" outlineLevel="0" collapsed="false">
      <c r="A15" s="21" t="n">
        <v>11</v>
      </c>
      <c r="B15" s="20" t="s">
        <v>469</v>
      </c>
      <c r="C15" s="20" t="s">
        <v>474</v>
      </c>
      <c r="D15" s="21" t="s">
        <v>475</v>
      </c>
      <c r="E15" s="21" t="s">
        <v>476</v>
      </c>
      <c r="F15" s="21" t="s">
        <v>463</v>
      </c>
      <c r="G15" s="34" t="s">
        <v>473</v>
      </c>
    </row>
    <row r="16" customFormat="false" ht="61.5" hidden="false" customHeight="true" outlineLevel="0" collapsed="false">
      <c r="A16" s="21" t="n">
        <v>12</v>
      </c>
      <c r="B16" s="20" t="s">
        <v>469</v>
      </c>
      <c r="C16" s="21" t="s">
        <v>477</v>
      </c>
      <c r="D16" s="21" t="s">
        <v>478</v>
      </c>
      <c r="E16" s="20" t="s">
        <v>479</v>
      </c>
      <c r="F16" s="21" t="s">
        <v>463</v>
      </c>
      <c r="G16" s="34" t="s">
        <v>473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12"/>
    <col collapsed="false" customWidth="true" hidden="false" outlineLevel="0" max="5" min="4" style="0" width="11"/>
    <col collapsed="false" customWidth="true" hidden="false" outlineLevel="0" max="6" min="6" style="0" width="12"/>
    <col collapsed="false" customWidth="true" hidden="false" outlineLevel="0" max="7" min="7" style="0" width="26"/>
  </cols>
  <sheetData>
    <row r="1" customFormat="false" ht="24" hidden="false" customHeight="true" outlineLevel="0" collapsed="false">
      <c r="A1" s="27" t="s">
        <v>480</v>
      </c>
      <c r="B1" s="27"/>
      <c r="C1" s="27"/>
      <c r="D1" s="27"/>
      <c r="E1" s="27"/>
      <c r="F1" s="27"/>
      <c r="G1" s="27"/>
      <c r="H1" s="27"/>
    </row>
    <row r="2" customFormat="false" ht="14.15" hidden="false" customHeight="false" outlineLevel="0" collapsed="false">
      <c r="A2" s="2" t="s">
        <v>481</v>
      </c>
      <c r="B2" s="2"/>
      <c r="C2" s="2"/>
      <c r="D2" s="2"/>
      <c r="E2" s="2"/>
      <c r="F2" s="2"/>
      <c r="G2" s="2"/>
      <c r="H2" s="2"/>
    </row>
    <row r="4" customFormat="false" ht="15" hidden="false" customHeight="false" outlineLevel="0" collapsed="false">
      <c r="A4" s="3" t="s">
        <v>482</v>
      </c>
    </row>
    <row r="5" customFormat="false" ht="30" hidden="false" customHeight="true" outlineLevel="0" collapsed="false">
      <c r="A5" s="5" t="s">
        <v>483</v>
      </c>
      <c r="B5" s="5" t="s">
        <v>484</v>
      </c>
      <c r="C5" s="5" t="s">
        <v>9</v>
      </c>
      <c r="D5" s="5" t="s">
        <v>12</v>
      </c>
      <c r="E5" s="5" t="s">
        <v>13</v>
      </c>
      <c r="F5" s="5" t="s">
        <v>485</v>
      </c>
      <c r="G5" s="5" t="s">
        <v>14</v>
      </c>
    </row>
    <row r="6" customFormat="false" ht="15" hidden="false" customHeight="false" outlineLevel="0" collapsed="false">
      <c r="A6" s="6" t="s">
        <v>486</v>
      </c>
      <c r="B6" s="6" t="s">
        <v>487</v>
      </c>
      <c r="C6" s="6" t="n">
        <v>49</v>
      </c>
      <c r="D6" s="29" t="n">
        <v>0.22</v>
      </c>
      <c r="E6" s="9" t="n">
        <v>0.081</v>
      </c>
      <c r="F6" s="7" t="n">
        <v>911</v>
      </c>
      <c r="G6" s="10" t="n">
        <v>56.2</v>
      </c>
    </row>
    <row r="7" customFormat="false" ht="15" hidden="false" customHeight="false" outlineLevel="0" collapsed="false">
      <c r="A7" s="6" t="s">
        <v>488</v>
      </c>
      <c r="B7" s="6" t="s">
        <v>489</v>
      </c>
      <c r="C7" s="6" t="n">
        <v>49</v>
      </c>
      <c r="D7" s="29" t="n">
        <v>0.49</v>
      </c>
      <c r="E7" s="9" t="n">
        <v>0.239</v>
      </c>
      <c r="F7" s="7" t="n">
        <v>1298</v>
      </c>
      <c r="G7" s="10" t="n">
        <v>46.7</v>
      </c>
    </row>
    <row r="8" customFormat="false" ht="15" hidden="false" customHeight="false" outlineLevel="0" collapsed="false">
      <c r="A8" s="6" t="s">
        <v>490</v>
      </c>
      <c r="B8" s="6" t="s">
        <v>491</v>
      </c>
      <c r="C8" s="6" t="n">
        <v>49</v>
      </c>
      <c r="D8" s="29" t="n">
        <v>0.33</v>
      </c>
      <c r="E8" s="9" t="n">
        <v>0.396</v>
      </c>
      <c r="F8" s="7" t="n">
        <v>1113</v>
      </c>
      <c r="G8" s="10" t="n">
        <v>52.6</v>
      </c>
    </row>
    <row r="9" customFormat="false" ht="15" hidden="false" customHeight="false" outlineLevel="0" collapsed="false">
      <c r="A9" s="6" t="s">
        <v>492</v>
      </c>
      <c r="B9" s="6" t="s">
        <v>493</v>
      </c>
      <c r="C9" s="6" t="n">
        <v>49</v>
      </c>
      <c r="D9" s="29" t="n">
        <v>0.85</v>
      </c>
      <c r="E9" s="9" t="n">
        <v>0.77</v>
      </c>
      <c r="F9" s="7" t="n">
        <v>986</v>
      </c>
      <c r="G9" s="10" t="n">
        <v>44.5</v>
      </c>
    </row>
    <row r="12" customFormat="false" ht="15" hidden="false" customHeight="false" outlineLevel="0" collapsed="false">
      <c r="A12" s="3" t="s">
        <v>494</v>
      </c>
    </row>
    <row r="13" customFormat="false" ht="30" hidden="false" customHeight="true" outlineLevel="0" collapsed="false">
      <c r="A13" s="5" t="s">
        <v>495</v>
      </c>
      <c r="B13" s="5" t="s">
        <v>9</v>
      </c>
      <c r="C13" s="5" t="s">
        <v>12</v>
      </c>
      <c r="D13" s="5" t="s">
        <v>13</v>
      </c>
      <c r="E13" s="5" t="s">
        <v>485</v>
      </c>
      <c r="F13" s="5" t="s">
        <v>14</v>
      </c>
      <c r="G13" s="5" t="s">
        <v>36</v>
      </c>
    </row>
    <row r="14" customFormat="false" ht="15" hidden="false" customHeight="false" outlineLevel="0" collapsed="false">
      <c r="A14" s="6" t="s">
        <v>496</v>
      </c>
      <c r="B14" s="6" t="n">
        <v>23</v>
      </c>
      <c r="C14" s="29" t="n">
        <v>0.45</v>
      </c>
      <c r="D14" s="9" t="n">
        <v>0.281</v>
      </c>
      <c r="E14" s="7" t="n">
        <v>1054</v>
      </c>
      <c r="F14" s="10" t="n">
        <v>47.7</v>
      </c>
      <c r="G14" s="12" t="s">
        <v>497</v>
      </c>
    </row>
    <row r="15" customFormat="false" ht="15" hidden="false" customHeight="false" outlineLevel="0" collapsed="false">
      <c r="A15" s="6" t="s">
        <v>498</v>
      </c>
      <c r="B15" s="6" t="n">
        <v>24</v>
      </c>
      <c r="C15" s="29" t="n">
        <v>0.59</v>
      </c>
      <c r="D15" s="9" t="n">
        <v>0.425</v>
      </c>
      <c r="E15" s="7" t="n">
        <v>922</v>
      </c>
      <c r="F15" s="10" t="n">
        <v>46.1</v>
      </c>
      <c r="G15" s="12" t="s">
        <v>499</v>
      </c>
    </row>
    <row r="16" customFormat="false" ht="15" hidden="false" customHeight="false" outlineLevel="0" collapsed="false">
      <c r="A16" s="6" t="s">
        <v>500</v>
      </c>
      <c r="B16" s="6" t="n">
        <v>10</v>
      </c>
      <c r="C16" s="29" t="n">
        <v>0.56</v>
      </c>
      <c r="D16" s="9" t="n">
        <v>0.479</v>
      </c>
      <c r="E16" s="7" t="n">
        <v>899</v>
      </c>
      <c r="F16" s="10" t="n">
        <v>37.5</v>
      </c>
      <c r="G16" s="12" t="s">
        <v>499</v>
      </c>
    </row>
    <row r="17" customFormat="false" ht="15" hidden="false" customHeight="false" outlineLevel="0" collapsed="false">
      <c r="A17" s="6" t="s">
        <v>501</v>
      </c>
      <c r="B17" s="6" t="n">
        <v>10</v>
      </c>
      <c r="C17" s="29" t="n">
        <v>0.26</v>
      </c>
      <c r="D17" s="9" t="n">
        <v>0.374</v>
      </c>
      <c r="E17" s="7" t="n">
        <v>1175</v>
      </c>
      <c r="F17" s="10" t="n">
        <v>51.2</v>
      </c>
      <c r="G17" s="12" t="s">
        <v>502</v>
      </c>
    </row>
    <row r="18" customFormat="false" ht="15" hidden="false" customHeight="false" outlineLevel="0" collapsed="false">
      <c r="A18" s="6" t="s">
        <v>503</v>
      </c>
      <c r="B18" s="6" t="n">
        <v>6</v>
      </c>
      <c r="C18" s="29" t="n">
        <v>0</v>
      </c>
      <c r="D18" s="9" t="n">
        <v>0.356</v>
      </c>
      <c r="E18" s="7" t="n">
        <v>843</v>
      </c>
      <c r="F18" s="10" t="n">
        <v>31</v>
      </c>
      <c r="G18" s="12" t="s">
        <v>502</v>
      </c>
    </row>
    <row r="19" customFormat="false" ht="15" hidden="false" customHeight="false" outlineLevel="0" collapsed="false">
      <c r="A19" s="6" t="s">
        <v>62</v>
      </c>
      <c r="B19" s="6" t="n">
        <v>39</v>
      </c>
      <c r="C19" s="29" t="n">
        <v>0.7</v>
      </c>
      <c r="D19" s="9" t="n">
        <v>0.369</v>
      </c>
      <c r="E19" s="7" t="n">
        <v>1237</v>
      </c>
      <c r="F19" s="10" t="n">
        <v>47.3</v>
      </c>
      <c r="G19" s="12" t="s">
        <v>499</v>
      </c>
    </row>
    <row r="20" customFormat="false" ht="15" hidden="false" customHeight="false" outlineLevel="0" collapsed="false">
      <c r="A20" s="6" t="s">
        <v>63</v>
      </c>
      <c r="B20" s="6" t="n">
        <v>36</v>
      </c>
      <c r="C20" s="29" t="n">
        <v>0.24</v>
      </c>
      <c r="D20" s="9" t="n">
        <v>0.337</v>
      </c>
      <c r="E20" s="7" t="n">
        <v>1055</v>
      </c>
      <c r="F20" s="10" t="n">
        <v>49.6</v>
      </c>
      <c r="G20" s="12" t="s">
        <v>502</v>
      </c>
    </row>
    <row r="21" customFormat="false" ht="15" hidden="false" customHeight="false" outlineLevel="0" collapsed="false">
      <c r="A21" s="6" t="s">
        <v>504</v>
      </c>
      <c r="B21" s="6" t="n">
        <v>29</v>
      </c>
      <c r="C21" s="29" t="n">
        <v>0.49</v>
      </c>
      <c r="D21" s="9" t="n">
        <v>0.41</v>
      </c>
      <c r="E21" s="7" t="n">
        <v>1134</v>
      </c>
      <c r="F21" s="10" t="n">
        <v>43.9</v>
      </c>
      <c r="G21" s="12" t="s">
        <v>497</v>
      </c>
    </row>
    <row r="22" customFormat="false" ht="15" hidden="false" customHeight="false" outlineLevel="0" collapsed="false">
      <c r="A22" s="6" t="s">
        <v>505</v>
      </c>
      <c r="B22" s="6" t="n">
        <v>5</v>
      </c>
      <c r="C22" s="29" t="n">
        <v>0.57</v>
      </c>
      <c r="D22" s="9" t="n">
        <v>0.455</v>
      </c>
      <c r="E22" s="7" t="n">
        <v>1056</v>
      </c>
      <c r="F22" s="10" t="n">
        <v>169.7</v>
      </c>
      <c r="G22" s="12" t="s">
        <v>499</v>
      </c>
    </row>
    <row r="25" customFormat="false" ht="15" hidden="false" customHeight="false" outlineLevel="0" collapsed="false">
      <c r="A25" s="3" t="s">
        <v>506</v>
      </c>
    </row>
    <row r="26" customFormat="false" ht="30" hidden="false" customHeight="true" outlineLevel="0" collapsed="false">
      <c r="A26" s="5" t="s">
        <v>90</v>
      </c>
      <c r="B26" s="5" t="s">
        <v>9</v>
      </c>
      <c r="C26" s="5" t="s">
        <v>12</v>
      </c>
      <c r="D26" s="5" t="s">
        <v>13</v>
      </c>
      <c r="E26" s="5" t="s">
        <v>485</v>
      </c>
      <c r="F26" s="5" t="s">
        <v>14</v>
      </c>
    </row>
    <row r="27" customFormat="false" ht="15" hidden="false" customHeight="false" outlineLevel="0" collapsed="false">
      <c r="A27" s="6" t="s">
        <v>507</v>
      </c>
      <c r="B27" s="6" t="n">
        <v>68</v>
      </c>
      <c r="C27" s="29" t="n">
        <v>0.52</v>
      </c>
      <c r="D27" s="9" t="n">
        <v>0.433</v>
      </c>
      <c r="E27" s="7" t="n">
        <v>255</v>
      </c>
      <c r="F27" s="10" t="n">
        <v>15.4</v>
      </c>
    </row>
    <row r="28" customFormat="false" ht="15" hidden="false" customHeight="false" outlineLevel="0" collapsed="false">
      <c r="A28" s="6" t="s">
        <v>57</v>
      </c>
      <c r="B28" s="6" t="n">
        <v>15</v>
      </c>
      <c r="C28" s="29" t="n">
        <v>1.09</v>
      </c>
      <c r="D28" s="9" t="n">
        <v>0.481</v>
      </c>
      <c r="E28" s="7" t="n">
        <v>914</v>
      </c>
      <c r="F28" s="10" t="n">
        <v>42.6</v>
      </c>
    </row>
    <row r="29" customFormat="false" ht="15" hidden="false" customHeight="false" outlineLevel="0" collapsed="false">
      <c r="A29" s="6" t="s">
        <v>508</v>
      </c>
      <c r="B29" s="6" t="n">
        <v>64</v>
      </c>
      <c r="C29" s="29" t="n">
        <v>0.57</v>
      </c>
      <c r="D29" s="9" t="n">
        <v>0.382</v>
      </c>
      <c r="E29" s="7" t="n">
        <v>981</v>
      </c>
      <c r="F29" s="10" t="n">
        <v>45</v>
      </c>
    </row>
    <row r="30" customFormat="false" ht="15" hidden="false" customHeight="false" outlineLevel="0" collapsed="false">
      <c r="A30" s="6" t="s">
        <v>58</v>
      </c>
      <c r="B30" s="6" t="n">
        <v>113</v>
      </c>
      <c r="C30" s="29" t="n">
        <v>0.34</v>
      </c>
      <c r="D30" s="9" t="n">
        <v>0.333</v>
      </c>
      <c r="E30" s="7" t="n">
        <v>1056</v>
      </c>
      <c r="F30" s="10" t="n">
        <v>52.6</v>
      </c>
    </row>
    <row r="31" customFormat="false" ht="15" hidden="false" customHeight="false" outlineLevel="0" collapsed="false">
      <c r="A31" s="6" t="s">
        <v>509</v>
      </c>
      <c r="B31" s="6" t="n">
        <v>26</v>
      </c>
      <c r="C31" s="29" t="n">
        <v>0</v>
      </c>
      <c r="D31" s="9" t="n">
        <v>3.322</v>
      </c>
      <c r="E31" s="7" t="n">
        <v>12</v>
      </c>
      <c r="F31" s="10" t="n">
        <v>64.2</v>
      </c>
    </row>
    <row r="34" customFormat="false" ht="15" hidden="false" customHeight="false" outlineLevel="0" collapsed="false">
      <c r="A34" s="3" t="s">
        <v>510</v>
      </c>
    </row>
    <row r="35" customFormat="false" ht="30" hidden="false" customHeight="true" outlineLevel="0" collapsed="false">
      <c r="A35" s="5" t="s">
        <v>511</v>
      </c>
      <c r="B35" s="5" t="s">
        <v>9</v>
      </c>
      <c r="C35" s="5" t="s">
        <v>12</v>
      </c>
      <c r="D35" s="5" t="s">
        <v>13</v>
      </c>
      <c r="E35" s="5" t="s">
        <v>485</v>
      </c>
      <c r="F35" s="5" t="s">
        <v>14</v>
      </c>
    </row>
    <row r="36" customFormat="false" ht="15" hidden="false" customHeight="false" outlineLevel="0" collapsed="false">
      <c r="A36" s="12" t="s">
        <v>512</v>
      </c>
      <c r="B36" s="6" t="n">
        <v>121</v>
      </c>
      <c r="C36" s="29" t="n">
        <v>0.57</v>
      </c>
      <c r="D36" s="9" t="n">
        <v>0.407</v>
      </c>
      <c r="E36" s="7" t="n">
        <v>1098</v>
      </c>
      <c r="F36" s="10" t="n">
        <v>45</v>
      </c>
    </row>
    <row r="37" customFormat="false" ht="15" hidden="false" customHeight="false" outlineLevel="0" collapsed="false">
      <c r="A37" s="12" t="s">
        <v>513</v>
      </c>
      <c r="B37" s="6" t="n">
        <v>75</v>
      </c>
      <c r="C37" s="29" t="n">
        <v>0.31</v>
      </c>
      <c r="D37" s="9" t="n">
        <v>0.3</v>
      </c>
      <c r="E37" s="7" t="n">
        <v>1043</v>
      </c>
      <c r="F37" s="10" t="n">
        <v>58</v>
      </c>
    </row>
    <row r="38" customFormat="false" ht="15" hidden="false" customHeight="false" outlineLevel="0" collapsed="false">
      <c r="A38" s="12" t="s">
        <v>514</v>
      </c>
      <c r="B38" s="6" t="n">
        <v>73</v>
      </c>
      <c r="C38" s="29" t="n">
        <v>0.47</v>
      </c>
      <c r="D38" s="9" t="n">
        <v>0.362</v>
      </c>
      <c r="E38" s="7" t="n">
        <v>1331</v>
      </c>
      <c r="F38" s="10" t="n">
        <v>73.2</v>
      </c>
    </row>
    <row r="39" customFormat="false" ht="15" hidden="false" customHeight="false" outlineLevel="0" collapsed="false">
      <c r="A39" s="12" t="s">
        <v>515</v>
      </c>
      <c r="B39" s="6" t="n">
        <v>123</v>
      </c>
      <c r="C39" s="29" t="n">
        <v>0.47</v>
      </c>
      <c r="D39" s="9" t="n">
        <v>0.372</v>
      </c>
      <c r="E39" s="7" t="n">
        <v>926</v>
      </c>
      <c r="F39" s="10" t="n">
        <v>36.2</v>
      </c>
    </row>
    <row r="40" customFormat="false" ht="15" hidden="false" customHeight="false" outlineLevel="0" collapsed="false">
      <c r="A40" s="12" t="s">
        <v>516</v>
      </c>
      <c r="B40" s="6" t="n">
        <v>43</v>
      </c>
      <c r="C40" s="29" t="n">
        <v>0.61</v>
      </c>
      <c r="D40" s="9" t="n">
        <v>0.444</v>
      </c>
      <c r="E40" s="7" t="n">
        <v>949</v>
      </c>
      <c r="F40" s="10" t="n">
        <v>61.1</v>
      </c>
    </row>
    <row r="41" customFormat="false" ht="15" hidden="false" customHeight="false" outlineLevel="0" collapsed="false">
      <c r="A41" s="12" t="s">
        <v>517</v>
      </c>
      <c r="B41" s="6" t="n">
        <v>153</v>
      </c>
      <c r="C41" s="29" t="n">
        <v>0.45</v>
      </c>
      <c r="D41" s="9" t="n">
        <v>0.351</v>
      </c>
      <c r="E41" s="7" t="n">
        <v>1112</v>
      </c>
      <c r="F41" s="10" t="n">
        <v>47</v>
      </c>
    </row>
    <row r="44" customFormat="false" ht="15" hidden="false" customHeight="false" outlineLevel="0" collapsed="false">
      <c r="A44" s="31" t="s">
        <v>518</v>
      </c>
    </row>
    <row r="45" customFormat="false" ht="30" hidden="false" customHeight="true" outlineLevel="0" collapsed="false">
      <c r="A45" s="5" t="s">
        <v>511</v>
      </c>
      <c r="B45" s="5" t="s">
        <v>9</v>
      </c>
      <c r="C45" s="5" t="s">
        <v>12</v>
      </c>
      <c r="D45" s="5" t="s">
        <v>13</v>
      </c>
      <c r="E45" s="5" t="s">
        <v>485</v>
      </c>
      <c r="F45" s="5" t="s">
        <v>14</v>
      </c>
    </row>
    <row r="46" customFormat="false" ht="15" hidden="false" customHeight="false" outlineLevel="0" collapsed="false">
      <c r="A46" s="12" t="s">
        <v>519</v>
      </c>
      <c r="B46" s="6" t="n">
        <v>17</v>
      </c>
      <c r="C46" s="29" t="n">
        <v>0.06</v>
      </c>
      <c r="D46" s="9" t="n">
        <v>0.235</v>
      </c>
      <c r="E46" s="7" t="n">
        <v>1053</v>
      </c>
      <c r="F46" s="10" t="n">
        <v>58.8</v>
      </c>
    </row>
    <row r="47" customFormat="false" ht="15" hidden="false" customHeight="false" outlineLevel="0" collapsed="false">
      <c r="A47" s="12" t="s">
        <v>520</v>
      </c>
      <c r="B47" s="6" t="n">
        <v>21</v>
      </c>
      <c r="C47" s="29" t="n">
        <v>0.32</v>
      </c>
      <c r="D47" s="9" t="n">
        <v>0.241</v>
      </c>
      <c r="E47" s="7" t="n">
        <v>1029</v>
      </c>
      <c r="F47" s="10" t="n">
        <v>41.1</v>
      </c>
    </row>
    <row r="50" customFormat="false" ht="15" hidden="false" customHeight="false" outlineLevel="0" collapsed="false">
      <c r="A50" s="2" t="s">
        <v>521</v>
      </c>
      <c r="B50" s="2"/>
      <c r="C50" s="2"/>
      <c r="D50" s="2"/>
      <c r="E50" s="2"/>
      <c r="F50" s="2"/>
    </row>
  </sheetData>
  <mergeCells count="3">
    <mergeCell ref="A1:H1"/>
    <mergeCell ref="A2:H2"/>
    <mergeCell ref="A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2026-09-08T01:24:35Z</dcterms:created>
  <dc:creator>openpyxl</dc:creator>
  <dc:description/>
  <dc:language>en-US</dc:language>
  <cp:lastModifiedBy/>
  <dcterms:modified xsi:type="dcterms:W3CDTF">2026-09-08T01:24:35Z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