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<sst xmlns="http://schemas.openxmlformats.org/spreadsheetml/2006/main" count="934" uniqueCount="290">
  <si>
    <r>
      <rPr>
        <b val="true"/>
        <sz val="14"/>
        <color rgb="FFFFFFFF"/>
        <rFont val="Arial"/>
        <family val="0"/>
        <charset val="1"/>
      </rPr>
      <t xml:space="preserve">YouTube Factory </t>
    </r>
    <r>
      <rPr>
        <b val="true"/>
        <sz val="14"/>
        <color rgb="FFFFFFFF"/>
        <rFont val="Noto Sans CJK SC"/>
        <family val="2"/>
      </rPr>
      <t xml:space="preserve">指揮者レポート  </t>
    </r>
    <r>
      <rPr>
        <b val="true"/>
        <sz val="14"/>
        <color rgb="FFFFFFFF"/>
        <rFont val="Arial"/>
        <family val="0"/>
        <charset val="1"/>
      </rPr>
      <t xml:space="preserve">2026-09-20</t>
    </r>
    <r>
      <rPr>
        <b val="true"/>
        <sz val="14"/>
        <color rgb="FFFFFFFF"/>
        <rFont val="Noto Sans CJK SC"/>
        <family val="2"/>
      </rPr>
      <t xml:space="preserve">（データ</t>
    </r>
    <r>
      <rPr>
        <b val="true"/>
        <sz val="14"/>
        <color rgb="FFFFFFFF"/>
        <rFont val="Arial"/>
        <family val="0"/>
        <charset val="1"/>
      </rPr>
      <t xml:space="preserve">: analytics.db 09-19 </t>
    </r>
    <r>
      <rPr>
        <b val="true"/>
        <sz val="14"/>
        <color rgb="FFFFFFFF"/>
        <rFont val="Noto Sans CJK SC"/>
        <family val="2"/>
      </rPr>
      <t xml:space="preserve">スナップショット）</t>
    </r>
  </si>
  <si>
    <t xml:space="preserve">■ 本日の結論</t>
  </si>
  <si>
    <r>
      <rPr>
        <sz val="10"/>
        <rFont val="Arial"/>
        <family val="0"/>
        <charset val="1"/>
      </rPr>
      <t xml:space="preserve">08-19 </t>
    </r>
    <r>
      <rPr>
        <sz val="10"/>
        <rFont val="Noto Sans CJK SC"/>
        <family val="2"/>
      </rPr>
      <t xml:space="preserve">に降りたリーチの天井は、台本ではなく『動画の末尾』が原因である可能性が高い。
維持曲線をコホート分解すると 再生位置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08-19 </t>
    </r>
    <r>
      <rPr>
        <sz val="10"/>
        <rFont val="Noto Sans CJK SC"/>
        <family val="2"/>
      </rPr>
      <t xml:space="preserve">前後で同一（冒頭フックは壊れていない）で、
差は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以降で開き末尾ほど拡大し、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地点は </t>
    </r>
    <r>
      <rPr>
        <sz val="10"/>
        <rFont val="Arial"/>
        <family val="0"/>
        <charset val="1"/>
      </rPr>
      <t xml:space="preserve">17.2% → 9.8% </t>
    </r>
    <r>
      <rPr>
        <sz val="10"/>
        <rFont val="Noto Sans CJK SC"/>
        <family val="2"/>
      </rPr>
      <t xml:space="preserve">とほぼ半減している。
完走率とループ率は</t>
    </r>
    <r>
      <rPr>
        <sz val="10"/>
        <rFont val="Arial"/>
        <family val="0"/>
        <charset val="1"/>
      </rPr>
      <t xml:space="preserve">5ch</t>
    </r>
    <r>
      <rPr>
        <sz val="10"/>
        <rFont val="Noto Sans CJK SC"/>
        <family val="2"/>
      </rPr>
      <t xml:space="preserve">同時に </t>
    </r>
    <r>
      <rPr>
        <sz val="10"/>
        <rFont val="Arial"/>
        <family val="0"/>
        <charset val="1"/>
      </rPr>
      <t xml:space="preserve">08-19 </t>
    </r>
    <r>
      <rPr>
        <sz val="10"/>
        <rFont val="Noto Sans CJK SC"/>
        <family val="2"/>
      </rPr>
      <t xml:space="preserve">で落ち、以後戻っていない。同日 </t>
    </r>
    <r>
      <rPr>
        <sz val="10"/>
        <rFont val="Arial"/>
        <family val="0"/>
        <charset val="1"/>
      </rPr>
      <t xml:space="preserve">short_endcard.py </t>
    </r>
    <r>
      <rPr>
        <sz val="10"/>
        <rFont val="Noto Sans CJK SC"/>
        <family val="2"/>
      </rPr>
      <t xml:space="preserve">が新設され、
無音静止画のエンドカード</t>
    </r>
    <r>
      <rPr>
        <sz val="10"/>
        <rFont val="Arial"/>
        <family val="0"/>
        <charset val="1"/>
      </rPr>
      <t xml:space="preserve">1.6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秒が全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の末尾に焼き込まれた。</t>
    </r>
    <r>
      <rPr>
        <sz val="10"/>
        <rFont val="Arial"/>
        <family val="0"/>
        <charset val="1"/>
      </rPr>
      <t xml:space="preserve">09-18 </t>
    </r>
    <r>
      <rPr>
        <sz val="10"/>
        <rFont val="Noto Sans CJK SC"/>
        <family val="2"/>
      </rPr>
      <t xml:space="preserve">に長尺事故を戻しても
完走率と再生は戻らず、</t>
    </r>
    <r>
      <rPr>
        <sz val="10"/>
        <rFont val="Arial"/>
        <family val="0"/>
        <charset val="1"/>
      </rPr>
      <t xml:space="preserve">08-19 </t>
    </r>
    <r>
      <rPr>
        <sz val="10"/>
        <rFont val="Noto Sans CJK SC"/>
        <family val="2"/>
      </rPr>
      <t xml:space="preserve">に入って今も戻していない末尾変更はこのエンドカードだけである。
→ 本日 </t>
    </r>
    <r>
      <rPr>
        <sz val="10"/>
        <rFont val="Arial"/>
        <family val="0"/>
        <charset val="1"/>
      </rPr>
      <t xml:space="preserve">daily-science / yokai-watch / 2ch-matome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enabled=false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scp-lab / company-facts </t>
    </r>
    <r>
      <rPr>
        <sz val="10"/>
        <rFont val="Noto Sans CJK SC"/>
        <family val="2"/>
      </rPr>
      <t xml:space="preserve">は対照。判定 </t>
    </r>
    <r>
      <rPr>
        <sz val="10"/>
        <rFont val="Arial"/>
        <family val="0"/>
        <charset val="1"/>
      </rPr>
      <t xml:space="preserve">09-27</t>
    </r>
    <r>
      <rPr>
        <sz val="10"/>
        <rFont val="Noto Sans CJK SC"/>
        <family val="2"/>
      </rPr>
      <t xml:space="preserve">。</t>
    </r>
  </si>
  <si>
    <t xml:space="preserve">■ チャンネル別サマリー（各chの最新スナップショット・直近50本）</t>
  </si>
  <si>
    <t xml:space="preserve">チャンネル</t>
  </si>
  <si>
    <t xml:space="preserve">スナップ</t>
  </si>
  <si>
    <t xml:space="preserve">本数</t>
  </si>
  <si>
    <t xml:space="preserve">総再生</t>
  </si>
  <si>
    <t xml:space="preserve">再生中央</t>
  </si>
  <si>
    <t xml:space="preserve">維持率中央%</t>
  </si>
  <si>
    <t xml:space="preserve">登録</t>
  </si>
  <si>
    <t xml:space="preserve">登録/千再生</t>
  </si>
  <si>
    <t xml:space="preserve">高評価率%</t>
  </si>
  <si>
    <t xml:space="preserve">daily-science</t>
  </si>
  <si>
    <t xml:space="preserve">2026-09-19</t>
  </si>
  <si>
    <t xml:space="preserve">scp-lab</t>
  </si>
  <si>
    <t xml:space="preserve">2ch-matome</t>
  </si>
  <si>
    <t xml:space="preserve">pokemon-lab</t>
  </si>
  <si>
    <t xml:space="preserve">2026-09-08</t>
  </si>
  <si>
    <t xml:space="preserve">yokai-watch</t>
  </si>
  <si>
    <t xml:space="preserve">company-facts</t>
  </si>
  <si>
    <t xml:space="preserve">合計/中央</t>
  </si>
  <si>
    <r>
      <rPr>
        <sz val="10"/>
        <rFont val="Arial"/>
        <family val="0"/>
        <charset val="1"/>
      </rPr>
      <t xml:space="preserve">※ pokemon-lab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失効により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が最終スナップショット（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日停止中）。至上目標は『登録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千再生』。数値は各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の最新スナップショット時点の直近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本の累計で、</t>
    </r>
    <r>
      <rPr>
        <sz val="10"/>
        <rFont val="Arial"/>
        <family val="0"/>
        <charset val="1"/>
      </rPr>
      <t xml:space="preserve">views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YouTube Analytics </t>
    </r>
    <r>
      <rPr>
        <sz val="10"/>
        <rFont val="Noto Sans CJK SC"/>
        <family val="2"/>
      </rPr>
      <t xml:space="preserve">の直近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日ウィンドウ（</t>
    </r>
    <r>
      <rPr>
        <sz val="10"/>
        <rFont val="Arial"/>
        <family val="0"/>
        <charset val="1"/>
      </rPr>
      <t xml:space="preserve">fetch_video_metrics days=30</t>
    </r>
    <r>
      <rPr>
        <sz val="10"/>
        <rFont val="Noto Sans CJK SC"/>
        <family val="2"/>
      </rPr>
      <t xml:space="preserve">）。</t>
    </r>
  </si>
  <si>
    <t xml:space="preserve">■ ザキ様の対応が必要（1件）</t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</si>
  <si>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再認可（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日放置・</t>
    </r>
    <r>
      <rPr>
        <sz val="10"/>
        <rFont val="Arial"/>
        <family val="0"/>
        <charset val="1"/>
      </rPr>
      <t xml:space="preserve">09-17/18/19 </t>
    </r>
    <r>
      <rPr>
        <sz val="10"/>
        <rFont val="Noto Sans CJK SC"/>
        <family val="2"/>
      </rPr>
      <t xml:space="preserve">も同じ依頼）。成熟動画の 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再生超で 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中いちばん天井が高い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。止めている損が最大。手順は </t>
    </r>
    <r>
      <rPr>
        <sz val="10"/>
        <rFont val="Arial"/>
        <family val="0"/>
        <charset val="1"/>
      </rPr>
      <t xml:space="preserve">restart_and_trigger_20260920.command </t>
    </r>
    <r>
      <rPr>
        <sz val="10"/>
        <rFont val="Noto Sans CJK SC"/>
        <family val="2"/>
      </rPr>
      <t xml:space="preserve">に記載。
サムネ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09-19 </t>
    </r>
    <r>
      <rPr>
        <sz val="10"/>
        <rFont val="Noto Sans CJK SC"/>
        <family val="2"/>
      </rPr>
      <t xml:space="preserve">の実測どおり優先度を下げたまま（再生の</t>
    </r>
    <r>
      <rPr>
        <sz val="10"/>
        <rFont val="Arial"/>
        <family val="0"/>
        <charset val="1"/>
      </rPr>
      <t xml:space="preserve">99.5%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Shorts</t>
    </r>
    <r>
      <rPr>
        <sz val="10"/>
        <rFont val="Noto Sans CJK SC"/>
        <family val="2"/>
      </rPr>
      <t xml:space="preserve">フィード由来で、サムネの効きうる上限は</t>
    </r>
    <r>
      <rPr>
        <sz val="10"/>
        <rFont val="Arial"/>
        <family val="0"/>
        <charset val="1"/>
      </rPr>
      <t xml:space="preserve">0.48%</t>
    </r>
    <r>
      <rPr>
        <sz val="10"/>
        <rFont val="Noto Sans CJK SC"/>
        <family val="2"/>
      </rPr>
      <t xml:space="preserve">）。</t>
    </r>
  </si>
  <si>
    <t xml:space="preserve">チャンネル別詳細 — 08-19 前後のコホート比較（ループ率・20%地点・完走率・再生）</t>
  </si>
  <si>
    <r>
      <rPr>
        <sz val="10"/>
        <rFont val="Arial"/>
        <family val="0"/>
        <charset val="1"/>
      </rPr>
      <t xml:space="preserve">audience_watch_ratio </t>
    </r>
    <r>
      <rPr>
        <sz val="10"/>
        <rFont val="Noto Sans CJK SC"/>
        <family val="2"/>
      </rPr>
      <t xml:space="preserve">の中央値。</t>
    </r>
    <r>
      <rPr>
        <sz val="10"/>
        <rFont val="Arial"/>
        <family val="0"/>
        <charset val="1"/>
      </rPr>
      <t xml:space="preserve">Shorts</t>
    </r>
    <r>
      <rPr>
        <sz val="10"/>
        <rFont val="Noto Sans CJK SC"/>
        <family val="2"/>
      </rPr>
      <t xml:space="preserve">はループ再生されるため 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地点は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を超える（超過分＝ループ発生分）。完走率は再生位置</t>
    </r>
    <r>
      <rPr>
        <sz val="10"/>
        <rFont val="Arial"/>
        <family val="0"/>
        <charset val="1"/>
      </rPr>
      <t xml:space="preserve">95-100%</t>
    </r>
    <r>
      <rPr>
        <sz val="10"/>
        <rFont val="Noto Sans CJK SC"/>
        <family val="2"/>
      </rPr>
      <t xml:space="preserve">の値。コホート①はエンドカード導入前、②以降は導入後。</t>
    </r>
  </si>
  <si>
    <t xml:space="preserve">コホート</t>
  </si>
  <si>
    <t xml:space="preserve">n</t>
  </si>
  <si>
    <t xml:space="preserve">ループ率0%</t>
  </si>
  <si>
    <r>
      <rPr>
        <b val="true"/>
        <sz val="10"/>
        <color rgb="FFFFFFFF"/>
        <rFont val="Arial"/>
        <family val="0"/>
        <charset val="1"/>
      </rPr>
      <t xml:space="preserve">20%</t>
    </r>
    <r>
      <rPr>
        <b val="true"/>
        <sz val="10"/>
        <color rgb="FFFFFFFF"/>
        <rFont val="Noto Sans CJK SC"/>
        <family val="2"/>
      </rPr>
      <t xml:space="preserve">地点</t>
    </r>
  </si>
  <si>
    <t xml:space="preserve">完走率95-100%</t>
  </si>
  <si>
    <t xml:space="preserve">再生中央値</t>
  </si>
  <si>
    <r>
      <rPr>
        <sz val="10"/>
        <rFont val="Arial"/>
        <family val="0"/>
        <charset val="1"/>
      </rPr>
      <t xml:space="preserve">1: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08-18</t>
    </r>
  </si>
  <si>
    <r>
      <rPr>
        <sz val="10"/>
        <rFont val="Arial"/>
        <family val="0"/>
        <charset val="1"/>
      </rPr>
      <t xml:space="preserve">2:08-19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08-30</t>
    </r>
  </si>
  <si>
    <r>
      <rPr>
        <sz val="10"/>
        <rFont val="Arial"/>
        <family val="0"/>
        <charset val="1"/>
      </rPr>
      <t xml:space="preserve">3:08-31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09-11</t>
    </r>
  </si>
  <si>
    <r>
      <rPr>
        <sz val="10"/>
        <rFont val="Arial"/>
        <family val="0"/>
        <charset val="1"/>
      </rPr>
      <t xml:space="preserve">4:09-12</t>
    </r>
    <r>
      <rPr>
        <sz val="10"/>
        <rFont val="Noto Sans CJK SC"/>
        <family val="2"/>
      </rPr>
      <t xml:space="preserve">〜</t>
    </r>
  </si>
  <si>
    <t xml:space="preserve">読み方: 緑=エンドカード導入前(①)。橙=完走率13%未満。5ch すべてで ① → ②以降に ループ率が 5〜13pt、完走率がほぼ半減し、再生中央値が 20〜45% 落ちている。ch個別の台本改訂では『5chが同じ日に同時に落ちる』ことを説明できない。</t>
  </si>
  <si>
    <t xml:space="preserve">■ 維持曲線の形状（再生位置ごとの audience_watch_ratio 中央値 %）</t>
  </si>
  <si>
    <t xml:space="preserve">グループ</t>
  </si>
  <si>
    <t xml:space="preserve">0%</t>
  </si>
  <si>
    <t xml:space="preserve">5%</t>
  </si>
  <si>
    <t xml:space="preserve">10%</t>
  </si>
  <si>
    <t xml:space="preserve">15%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</si>
  <si>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</si>
  <si>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</si>
  <si>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</si>
  <si>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</si>
  <si>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</si>
  <si>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</si>
  <si>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</si>
  <si>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</si>
  <si>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</si>
  <si>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ゆっくり系5ch</t>
  </si>
  <si>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10% </t>
    </r>
    <r>
      <rPr>
        <sz val="10"/>
        <rFont val="Noto Sans CJK SC"/>
        <family val="2"/>
      </rPr>
      <t xml:space="preserve">は ① と ③④ でほぼ同値（</t>
    </r>
    <r>
      <rPr>
        <sz val="10"/>
        <rFont val="Arial"/>
        <family val="0"/>
        <charset val="1"/>
      </rPr>
      <t xml:space="preserve">111.1 vs 107.7</t>
    </r>
    <r>
      <rPr>
        <sz val="10"/>
        <rFont val="Noto Sans CJK SC"/>
        <family val="2"/>
      </rPr>
      <t xml:space="preserve">）＝冒頭フックは壊れていない。差は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以降で開き（</t>
    </r>
    <r>
      <rPr>
        <sz val="10"/>
        <rFont val="Arial"/>
        <family val="0"/>
        <charset val="1"/>
      </rPr>
      <t xml:space="preserve">90.8→74.7</t>
    </r>
    <r>
      <rPr>
        <sz val="10"/>
        <rFont val="Noto Sans CJK SC"/>
        <family val="2"/>
      </rPr>
      <t xml:space="preserve">）、末尾ほど拡大して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地点で </t>
    </r>
    <r>
      <rPr>
        <sz val="10"/>
        <rFont val="Arial"/>
        <family val="0"/>
        <charset val="1"/>
      </rPr>
      <t xml:space="preserve">17.2→9.8 </t>
    </r>
    <r>
      <rPr>
        <sz val="10"/>
        <rFont val="Noto Sans CJK SC"/>
        <family val="2"/>
      </rPr>
      <t xml:space="preserve">と半減する。壊れているのは動画の後半〜末尾である。</t>
    </r>
  </si>
  <si>
    <t xml:space="preserve">動画別パフォーマンス — 09-12 以降公開（最新スナップショット時点）</t>
  </si>
  <si>
    <t xml:space="preserve">タイトル</t>
  </si>
  <si>
    <t xml:space="preserve">公開</t>
  </si>
  <si>
    <t xml:space="preserve">再生</t>
  </si>
  <si>
    <t xml:space="preserve">維持率%</t>
  </si>
  <si>
    <t xml:space="preserve">平均視聴s</t>
  </si>
  <si>
    <t xml:space="preserve">推定尺s</t>
  </si>
  <si>
    <t xml:space="preserve">高評価</t>
  </si>
  <si>
    <t xml:space="preserve">コメント</t>
  </si>
  <si>
    <t xml:space="preserve">CTR%</t>
  </si>
  <si>
    <t xml:space="preserve">ニトリ864万円の裏側、配置転換が生む働き方のリアル #shorts #企業分析 #年収 #転職</t>
  </si>
  <si>
    <t xml:space="preserve">2026-09-14 08:00</t>
  </si>
  <si>
    <t xml:space="preserve">ドン・キホーテの4万点、実は在庫を寝かせない売り場 #shorts #企業分析 #年収 #転職</t>
  </si>
  <si>
    <t xml:space="preserve">2026-09-16 03:30</t>
  </si>
  <si>
    <t xml:space="preserve">なぜ熱い風呂は最初の10秒だけ痛いのか？体の正体 #shorts #雑学 #豆知識</t>
  </si>
  <si>
    <t xml:space="preserve">2026-09-15 22:30</t>
  </si>
  <si>
    <r>
      <rPr>
        <sz val="10"/>
        <rFont val="Arial"/>
        <family val="0"/>
        <charset val="1"/>
      </rPr>
      <t xml:space="preserve">SCP-████</t>
    </r>
    <r>
      <rPr>
        <sz val="10"/>
        <rFont val="Noto Sans CJK SC"/>
        <family val="2"/>
      </rPr>
      <t xml:space="preserve">「閲覧禁止文書」読了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名の実態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</si>
  <si>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2026-09-14 04:00</t>
  </si>
  <si>
    <t xml:space="preserve">なぜ職員12名は眠れず消えたのか【SCP-XXXX】 #shorts #SCP #SCP解説</t>
  </si>
  <si>
    <t xml:space="preserve">2026-09-13 04:00</t>
  </si>
  <si>
    <r>
      <rPr>
        <sz val="10"/>
        <rFont val="Arial"/>
        <family val="0"/>
        <charset val="1"/>
      </rPr>
      <t xml:space="preserve">SCP-7777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時間で窓へ接近する理由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</si>
  <si>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2026-09-13 10:00</t>
  </si>
  <si>
    <t xml:space="preserve">なぜ朝は身長が2cm高いのか？あなたの背中の正体 #shorts #雑学 #豆知識</t>
  </si>
  <si>
    <t xml:space="preserve">2026-09-14 03:30</t>
  </si>
  <si>
    <r>
      <rPr>
        <sz val="10"/>
        <rFont val="Arial"/>
        <family val="0"/>
        <charset val="1"/>
      </rPr>
      <t xml:space="preserve">SCP-1548</t>
    </r>
    <r>
      <rPr>
        <sz val="10"/>
        <rFont val="Noto Sans CJK SC"/>
        <family val="2"/>
      </rPr>
      <t xml:space="preserve">「予言する星」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組失踪の裏側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</si>
  <si>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2026-09-16 04:00</t>
  </si>
  <si>
    <t xml:space="preserve">ユニクロのヒートテック10億枚、その売上が残らない理由 #shorts #企業分析 #年収 #転職</t>
  </si>
  <si>
    <t xml:space="preserve">2026-09-16 10:00</t>
  </si>
  <si>
    <t xml:space="preserve">楽天トラベルの年収、最大70%割引の裏側 #shorts #企業分析 #年収 #転職</t>
  </si>
  <si>
    <t xml:space="preserve">2026-09-15 03:30</t>
  </si>
  <si>
    <t xml:space="preserve">なぜ立つと3秒で暗くなるのか？血圧変動の正体 #shorts #雑学 #豆知識</t>
  </si>
  <si>
    <t xml:space="preserve">2026-09-14 22:30</t>
  </si>
  <si>
    <t xml:space="preserve">なぜ強い光でくしゃみ？鼻が突然反応する理由 #shorts #雑学 #豆知識</t>
  </si>
  <si>
    <t xml:space="preserve">2026-09-16 22:30</t>
  </si>
  <si>
    <t xml:space="preserve">サイゼリヤが価格を維持できた10年と原価率の実態 #shorts #企業分析 #年収 #転職</t>
  </si>
  <si>
    <t xml:space="preserve">2026-09-16 06:00</t>
  </si>
  <si>
    <t xml:space="preserve">任天堂の年収986万円、実は職種で差が出る #shorts #企業分析 #年収 #転職</t>
  </si>
  <si>
    <t xml:space="preserve">味の素の給与1065万円、手当だけではない本当の理由 #shorts #企業分析 #年収 #転職</t>
  </si>
  <si>
    <t xml:space="preserve">2026-09-14 10:00</t>
  </si>
  <si>
    <t xml:space="preserve">なぜあなたはくしゃみの3秒前を予感するのか？本当の正体 #shorts #雑学 #豆知識</t>
  </si>
  <si>
    <t xml:space="preserve">2026-09-13 22:30</t>
  </si>
  <si>
    <t xml:space="preserve">スシローが回転をやめた店を増やす3業態の狙い実態 #shorts #企業分析 #年収 #転職</t>
  </si>
  <si>
    <t xml:space="preserve">なぜSCP-610の救援隊は全員感染したのか？ #shorts #SCP #SCP解説</t>
  </si>
  <si>
    <t xml:space="preserve">2026-09-15 10:00</t>
  </si>
  <si>
    <t xml:space="preserve">なぜ長時間立つと足だけむくむのか？2時間後の正体 #shorts #雑学 #豆知識</t>
  </si>
  <si>
    <t xml:space="preserve">日本電産の年収817万円、実は残業時間とのバランス #shorts #企業分析 #年収 #転職</t>
  </si>
  <si>
    <t xml:space="preserve">2026-09-15 08:00</t>
  </si>
  <si>
    <r>
      <rPr>
        <sz val="10"/>
        <rFont val="Arial"/>
        <family val="0"/>
        <charset val="1"/>
      </rPr>
      <t xml:space="preserve">USJ</t>
    </r>
    <r>
      <rPr>
        <sz val="10"/>
        <rFont val="Noto Sans CJK SC"/>
        <family val="2"/>
      </rPr>
      <t xml:space="preserve">の年収と福利厚生、その実態とは？人気の裏側を暴露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</si>
  <si>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2026-09-14 06:00</t>
  </si>
  <si>
    <t xml:space="preserve">コメダ珈琲がFC比率99%にする本当の理由とは #shorts #企業分析 #年収 #転職</t>
  </si>
  <si>
    <t xml:space="preserve">2026-09-13 23:15</t>
  </si>
  <si>
    <t xml:space="preserve">リクルート年収1,138万円、実は等級で差が出る #shorts #企業分析 #年収 #転職</t>
  </si>
  <si>
    <t xml:space="preserve">2026-09-15 06:00</t>
  </si>
  <si>
    <r>
      <rPr>
        <sz val="10"/>
        <rFont val="Arial"/>
        <family val="0"/>
        <charset val="1"/>
      </rPr>
      <t xml:space="preserve">SCP-093 </t>
    </r>
    <r>
      <rPr>
        <sz val="10"/>
        <rFont val="Noto Sans CJK SC"/>
        <family val="2"/>
      </rPr>
      <t xml:space="preserve">帰還者の証言から消えた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分の真相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</si>
  <si>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無印良品の1,200店、実は衣料だけではない売上構成 #shorts #企業分析 #年収 #転職</t>
  </si>
  <si>
    <t xml:space="preserve">2026-09-16 08:00</t>
  </si>
  <si>
    <t xml:space="preserve">なぜ味噌汁は冷めると2倍しょっぱく感じるのか？実は舌の正体 #shorts #雑学 #豆知識</t>
  </si>
  <si>
    <r>
      <rPr>
        <sz val="10"/>
        <rFont val="Arial"/>
        <family val="0"/>
        <charset val="1"/>
      </rPr>
      <t xml:space="preserve">SCP-3125</t>
    </r>
    <r>
      <rPr>
        <sz val="10"/>
        <rFont val="Noto Sans CJK SC"/>
        <family val="2"/>
      </rPr>
      <t xml:space="preserve">「認識の終点」全員消失の真相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</si>
  <si>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毎朝3mm短くなる廊下、21日目に消えた理由 #shorts #SCP #SCP解説</t>
  </si>
  <si>
    <t xml:space="preserve">なぜUSJで脳が3時間も興奮するのか？実はその正体 #shorts #雑学 #豆知識</t>
  </si>
  <si>
    <t xml:space="preserve">ワークマンが一般客を呼んだ転機、売上1,283億円の裏側 #shorts #企業分析 #年収 #転職</t>
  </si>
  <si>
    <t xml:space="preserve">2026-09-13 08:00</t>
  </si>
  <si>
    <r>
      <rPr>
        <sz val="10"/>
        <rFont val="Arial"/>
        <family val="0"/>
        <charset val="1"/>
      </rPr>
      <t xml:space="preserve">SCP-1471 </t>
    </r>
    <r>
      <rPr>
        <sz val="10"/>
        <rFont val="Noto Sans CJK SC"/>
        <family val="2"/>
      </rPr>
      <t xml:space="preserve">通知から後に起きる異変の真相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</si>
  <si>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なぜ海で沖へ運ばれる？毎秒1mの流れの正体 #shorts #雑学 #豆知識</t>
  </si>
  <si>
    <t xml:space="preserve">寝落ち直後の「ビクッ」脳と体の0.5秒切り替えの正体 #shorts #雑学 #豆知識</t>
  </si>
  <si>
    <t xml:space="preserve">片足立ちが目を閉じた瞬間、3倍ぐらつくワケの正体 #shorts #雑学 #豆知識</t>
  </si>
  <si>
    <t xml:space="preserve">なぜ送り犬を振り返るなと言うのか 山道の掟、その正体 #shorts #妖怪 #都市伝説</t>
  </si>
  <si>
    <t xml:space="preserve">2026-09-16 03:00</t>
  </si>
  <si>
    <t xml:space="preserve">雷獣の爪痕が落雷木に残る…江戸で剥製まで売られた怪異の正体 #shorts #妖怪 #都市伝説</t>
  </si>
  <si>
    <t xml:space="preserve">天井なめが座敷にだけ現れた理由と囲炉裏の煤の関係 #shorts #妖怪 #都市伝説</t>
  </si>
  <si>
    <t xml:space="preserve">2026-09-15 03:00</t>
  </si>
  <si>
    <t xml:space="preserve">なぜ階段を下りる時だけ膝に体重の3倍の力がかかるのか #shorts #雑学 #豆知識</t>
  </si>
  <si>
    <t xml:space="preserve">なぜ火車は葬列だけを襲う？遺体消失と猫の伝承 #shorts #妖怪 #都市伝説</t>
  </si>
  <si>
    <t xml:space="preserve">2026-09-17 03:00</t>
  </si>
  <si>
    <t xml:space="preserve">見越し入道の正体はなぜ見上げると負けるのか #shorts #妖怪 #都市伝説</t>
  </si>
  <si>
    <t xml:space="preserve">2026-09-14 03:00</t>
  </si>
  <si>
    <t xml:space="preserve">スタバのラテ550円、その価格になる本当の理由 #shorts #企業分析 #年収 #転職</t>
  </si>
  <si>
    <t xml:space="preserve">2026-09-17 06:00</t>
  </si>
  <si>
    <t xml:space="preserve">なぜ低い声だけ壁越しに聞こえる？100Hzの正体 #shorts #雑学 #豆知識</t>
  </si>
  <si>
    <t xml:space="preserve">影女の元ネタが怖すぎる…誰もいない家に影が映る理由 #shorts #妖怪 #都市伝説</t>
  </si>
  <si>
    <t xml:space="preserve">2026-09-14 00:30</t>
  </si>
  <si>
    <r>
      <rPr>
        <sz val="10"/>
        <rFont val="Arial"/>
        <family val="0"/>
        <charset val="1"/>
      </rPr>
      <t xml:space="preserve">SCP-1440 </t>
    </r>
    <r>
      <rPr>
        <sz val="10"/>
        <rFont val="Noto Sans CJK SC"/>
        <family val="2"/>
      </rPr>
      <t xml:space="preserve">追跡班が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日目に報告をやめた謎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</si>
  <si>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山彦の声が妖怪になった…江戸時代に描かれた不気味な伝承の正体 #shorts #妖怪 #都市伝説</t>
  </si>
  <si>
    <t xml:space="preserve">泥田坊が「田を返せ」と叫ぶ本当の理由が怖すぎる #shorts #妖怪 #都市伝説</t>
  </si>
  <si>
    <t xml:space="preserve">2026-09-15 07:00</t>
  </si>
  <si>
    <t xml:space="preserve">河童が相撲を求める理由…本朝俗諺志に残る水難の警告 #shorts #妖怪 #都市伝説</t>
  </si>
  <si>
    <t xml:space="preserve">2026-09-14 07:00</t>
  </si>
  <si>
    <t xml:space="preserve">なぜ堀大輔は72時間眠らないのか？睡眠不足の恐怖 #shorts #SCP #SCP解説</t>
  </si>
  <si>
    <t xml:space="preserve">2026-09-14 00:00</t>
  </si>
  <si>
    <t xml:space="preserve">山姥はなぜ決まった季節に里へ降りるのか 正体 #shorts #妖怪 #都市伝説</t>
  </si>
  <si>
    <t xml:space="preserve">2026-09-16 07:00</t>
  </si>
  <si>
    <t xml:space="preserve">なぜ江戸の髪切りの噂は一気に広がったのか？文化五年の記録 #shorts #妖怪 #都市伝説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</si>
  <si>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人の探査隊を襲った全生命停止【</t>
    </r>
    <r>
      <rPr>
        <sz val="10"/>
        <rFont val="Arial"/>
        <family val="0"/>
        <charset val="1"/>
      </rPr>
      <t xml:space="preserve">SCP-2935</t>
    </r>
    <r>
      <rPr>
        <sz val="10"/>
        <rFont val="Noto Sans CJK SC"/>
        <family val="2"/>
      </rPr>
      <t xml:space="preserve">】の理由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</si>
  <si>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2026-09-17 04:00</t>
  </si>
  <si>
    <t xml:space="preserve">姑獲鳥が赤子を抱かせる本当の理由…産で死んだ女の正体 #shorts #妖怪 #都市伝説</t>
  </si>
  <si>
    <t xml:space="preserve">ニトリの粗利率55%、実は物流まで握る実態 #shorts #企業分析 #年収 #転職</t>
  </si>
  <si>
    <r>
      <rPr>
        <sz val="10"/>
        <rFont val="Noto Sans CJK SC"/>
        <family val="2"/>
        <charset val="1"/>
      </rPr>
      <t xml:space="preserve">風呂上がりに指紋が消える？約10分の変化途上</t>
    </r>
    <r>
      <rPr>
        <sz val="10"/>
        <rFont val="DejaVu Sans"/>
        <family val="2"/>
      </rPr>
      <t xml:space="preserve">ોદ</t>
    </r>
    <r>
      <rPr>
        <sz val="10"/>
        <rFont val="Noto Sans CJK SC"/>
        <family val="2"/>
        <charset val="1"/>
      </rPr>
      <t xml:space="preserve">のなぜ #shorts #雑学 #豆知識</t>
    </r>
  </si>
  <si>
    <t xml:space="preserve">2026-09-19 10:00</t>
  </si>
  <si>
    <t xml:space="preserve">寝る前の暗記が朝まで頭の中で整理されるワケのなぜ #shorts #雑学 #豆知識</t>
  </si>
  <si>
    <t xml:space="preserve">2026-09-19 08:00</t>
  </si>
  <si>
    <t xml:space="preserve">なぜ二日目カレーは味が変わる？24時間後の正体 #shorts #雑学 #豆知識</t>
  </si>
  <si>
    <t xml:space="preserve">2026-09-19 06:00</t>
  </si>
  <si>
    <t xml:space="preserve">数える時に声が出る…脳内で起きている意外な現象のなぜ #shorts #雑学 #豆知識</t>
  </si>
  <si>
    <t xml:space="preserve">2026-09-18 10:00</t>
  </si>
  <si>
    <t xml:space="preserve">なぜ画面を見ると瞬きが半分に減る？目の乾きの正体 #shorts #雑学 #豆知識</t>
  </si>
  <si>
    <t xml:space="preserve">2026-09-18 08:00</t>
  </si>
  <si>
    <t xml:space="preserve">なぜ手をぶつけると3秒さする？痛みの正体 #shorts #雑学 #豆知識</t>
  </si>
  <si>
    <t xml:space="preserve">2026-09-18 06:00</t>
  </si>
  <si>
    <t xml:space="preserve">昼寝は20分が最強？午後の頭が冴えるなぜ #shorts #雑学 #豆知識</t>
  </si>
  <si>
    <t xml:space="preserve">2026-09-17 10:00</t>
  </si>
  <si>
    <t xml:space="preserve">なぜ辛い物を食べると3秒で鼻水が出る？痛みの連動反応 #shorts #雑学 #豆知識</t>
  </si>
  <si>
    <t xml:space="preserve">2026-09-17 08:00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</si>
  <si>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名全員が</t>
    </r>
    <r>
      <rPr>
        <sz val="10"/>
        <rFont val="Arial"/>
        <family val="0"/>
        <charset val="1"/>
      </rPr>
      <t xml:space="preserve">731</t>
    </r>
    <r>
      <rPr>
        <sz val="10"/>
        <rFont val="Noto Sans CJK SC"/>
        <family val="2"/>
      </rPr>
      <t xml:space="preserve">と書いた直後、存在しない生徒が増えたの理由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</si>
  <si>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SCP-3001</t>
    </r>
    <r>
      <rPr>
        <sz val="10"/>
        <rFont val="Noto Sans CJK SC"/>
        <family val="2"/>
      </rPr>
      <t xml:space="preserve">の記録から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分だけ消えた理由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</si>
  <si>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なぜSCP-3450の記録係だけが交代直前に消えるのか #shorts #SCP #SCP解説</t>
  </si>
  <si>
    <t xml:space="preserve">2026-09-19 03:45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</si>
  <si>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人の記録だけが消えた…</t>
    </r>
    <r>
      <rPr>
        <sz val="10"/>
        <rFont val="Arial"/>
        <family val="0"/>
        <charset val="1"/>
      </rPr>
      <t xml:space="preserve">SCP-1281</t>
    </r>
    <r>
      <rPr>
        <sz val="10"/>
        <rFont val="Noto Sans CJK SC"/>
        <family val="2"/>
      </rPr>
      <t xml:space="preserve">最後の通信の理由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</si>
  <si>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なぜ記録映像の音声だけ7言語に変わったのか？ #shorts #SCP #SCP解説</t>
  </si>
  <si>
    <t xml:space="preserve">なぜ全館の時計が1440分止まった？SCP-5219 #shorts #SCP #SCP解説</t>
  </si>
  <si>
    <t xml:space="preserve">2026-09-18 03:45</t>
  </si>
  <si>
    <r>
      <rPr>
        <sz val="10"/>
        <rFont val="Arial"/>
        <family val="0"/>
        <charset val="1"/>
      </rPr>
      <t xml:space="preserve">SCP-2316 </t>
    </r>
    <r>
      <rPr>
        <sz val="10"/>
        <rFont val="Noto Sans CJK SC"/>
        <family val="2"/>
      </rPr>
      <t xml:space="preserve">湖で呼ばれた人数だけ記録から消えた理由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</si>
  <si>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なぜ面談記録の質問だけが毎回書き換わるのか #shorts #SCP #SCP解説</t>
  </si>
  <si>
    <t xml:space="preserve">飲み物選び歴三年の謎！自販機で迷う理由を教えて #shorts #2ch #面白いスレ</t>
  </si>
  <si>
    <t xml:space="preserve">2026-09-19 08:30</t>
  </si>
  <si>
    <t xml:space="preserve">彼氏の部屋で二段目だけ開けたら負けな理由とは？ #shorts #2ch #面白いスレ</t>
  </si>
  <si>
    <t xml:space="preserve">2026-09-18 08:30</t>
  </si>
  <si>
    <t xml:space="preserve">深夜時のLINE既読だけ遺言みたいに怖くなる理由 #shorts #2ch #面白いスレ</t>
  </si>
  <si>
    <t xml:space="preserve">2026-09-17 22:30</t>
  </si>
  <si>
    <t xml:space="preserve">舟幽霊が柄杓を求める海の禁忌、その正体 #shorts #妖怪 #都市伝説</t>
  </si>
  <si>
    <t xml:space="preserve">砂かけ婆が夜の辻で砂をかける禁忌、その理由とのなぜ #shorts #妖怪 #都市伝説</t>
  </si>
  <si>
    <t xml:space="preserve">2026-09-19 07:00</t>
  </si>
  <si>
    <t xml:space="preserve">保護メガネを外せない妖怪、その本当の理由と百々目鬼の恐怖 #shorts #妖怪 #都市伝説</t>
  </si>
  <si>
    <t xml:space="preserve">2026-09-19 03:00</t>
  </si>
  <si>
    <t xml:space="preserve">手の目に宿る、殺された盲僧の復讐譚のなぜ #shorts #妖怪 #都市伝説</t>
  </si>
  <si>
    <t xml:space="preserve">提灯お化けが幕末に増えた謎、付喪神と刷り物の関係のなぜ #shorts #妖怪 #都市伝説</t>
  </si>
  <si>
    <t xml:space="preserve">2026-09-18 07:00</t>
  </si>
  <si>
    <t xml:space="preserve">二口女の後頭部の口は飢饉の記憶なのか 恒一 #shorts #妖怪 #都市伝説</t>
  </si>
  <si>
    <t xml:space="preserve">2026-09-18 03:00</t>
  </si>
  <si>
    <t xml:space="preserve">天狗さらいの証言が東北と信州に残る本当のわけ #shorts #妖怪 #都市伝説</t>
  </si>
  <si>
    <t xml:space="preserve">一反木綿が布になった本当のわけ…鹿児島に伝わる恐怖 #shorts #妖怪 #都市伝説</t>
  </si>
  <si>
    <t xml:space="preserve">2026-09-17 07:00</t>
  </si>
  <si>
    <r>
      <rPr>
        <sz val="10"/>
        <rFont val="Arial"/>
        <family val="0"/>
        <charset val="1"/>
      </rPr>
      <t xml:space="preserve">Amazon</t>
    </r>
    <r>
      <rPr>
        <sz val="10"/>
        <rFont val="Noto Sans CJK SC"/>
        <family val="2"/>
      </rPr>
      <t xml:space="preserve">の配送料</t>
    </r>
    <r>
      <rPr>
        <sz val="10"/>
        <rFont val="Arial"/>
        <family val="0"/>
        <charset val="1"/>
      </rPr>
      <t xml:space="preserve">78</t>
    </r>
    <r>
      <rPr>
        <sz val="10"/>
        <rFont val="Noto Sans CJK SC"/>
        <family val="2"/>
      </rPr>
      <t xml:space="preserve">億ドル、本当の負担はどこに消えるのか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</si>
  <si>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モスバーガーの20円値上げ、本当は何を守ったのか #shorts #企業分析 #年収 #転職</t>
  </si>
  <si>
    <t xml:space="preserve">青山商事の売上1,949億円、実はスーツ以外へ広げた理由 #shorts #企業分析 #年収 #転職</t>
  </si>
  <si>
    <t xml:space="preserve">トヨタの保護メガネ約1,000万円、なぜ安全は完成しないのか #shorts #企業分析 #年収 #転職</t>
  </si>
  <si>
    <t xml:space="preserve">2026-09-19 03:30</t>
  </si>
  <si>
    <t xml:space="preserve">コーナンの店舗数547店、実は郊外を選ぶ理由 #shorts #企業分析 #年収 #転職</t>
  </si>
  <si>
    <t xml:space="preserve">業務スーパーの本当はなぜ安い 1キロ商品を支える仕組み #shorts #企業分析 #年収 #転職</t>
  </si>
  <si>
    <t xml:space="preserve">サントリーが非上場を続ける理由、売上1兆円の裏側 #shorts #企業分析 #年収 #転職</t>
  </si>
  <si>
    <t xml:space="preserve">西松屋の店員が少ない理由、売場2,000㎡の正体 #shorts #企業分析 #年収 #転職</t>
  </si>
  <si>
    <t xml:space="preserve">2026-09-18 03:30</t>
  </si>
  <si>
    <t xml:space="preserve">資生堂が国内販売を絞る、本当は3,000億円の理由 #shorts #企業分析 #年収 #転職</t>
  </si>
  <si>
    <t xml:space="preserve">しまむら、広告費0円ではない 本当の理由 #shorts #企業分析 #年収 #転職</t>
  </si>
  <si>
    <t xml:space="preserve">中央値</t>
  </si>
  <si>
    <t xml:space="preserve">緑=1,200再生超。推定尺 = 平均視聴時間 ÷ (維持率/100)。エンドカード1.6〜1.8秒を含む値である点に注意。
★中央値が低く見えるのは YouTube Analytics の集計遅れのため。公開後2日は数値がほぼ0で、3日目にほぼ最終値まで一気に立ち上がり、以降は横ばいになる（実測: 公開3日目 922 → 14日目 944 で増分ほぼゼロ）。したがって 09-18〜09-19 公開分は未計上であり、比較は公開3日以上経過した行だけで行うこと。</t>
  </si>
  <si>
    <t xml:space="preserve">改善アクション（2026-09-20）— すべて実データ由来</t>
  </si>
  <si>
    <t xml:space="preserve">#</t>
  </si>
  <si>
    <t xml:space="preserve">対象</t>
  </si>
  <si>
    <t xml:space="preserve">アクション</t>
  </si>
  <si>
    <t xml:space="preserve">根拠（実測）</t>
  </si>
  <si>
    <t xml:space="preserve">状態</t>
  </si>
  <si>
    <t xml:space="preserve">判定日</t>
  </si>
  <si>
    <t xml:space="preserve">daily-science
yokai-watch
2ch-matome</t>
  </si>
  <si>
    <r>
      <rPr>
        <sz val="10"/>
        <rFont val="Arial"/>
        <family val="0"/>
        <charset val="1"/>
      </rPr>
      <t xml:space="preserve">defaults.short_endcard.enabled = false
</t>
    </r>
    <r>
      <rPr>
        <sz val="10"/>
        <rFont val="Noto Sans CJK SC"/>
        <family val="2"/>
      </rPr>
      <t xml:space="preserve">（無音静止画</t>
    </r>
    <r>
      <rPr>
        <sz val="10"/>
        <rFont val="Arial"/>
        <family val="0"/>
        <charset val="1"/>
      </rPr>
      <t xml:space="preserve">1.6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秒の末尾カードを撤去）</t>
    </r>
  </si>
  <si>
    <t xml:space="preserve">維持曲線の 0〜10% は 08-19 前後で同一、差は15%以降で開き100%地点で 17.2→9.8% と半減。完走率・ループ率が5ch同時に08-19で落ち戻らない。同日 short_endcard.py が新設・全6ch有効化。09-18 に長尺事故を戻しても回復せず、08-19 で未撤回の末尾変更はこれだけ。</t>
  </si>
  <si>
    <t xml:space="preserve">適用済</t>
  </si>
  <si>
    <t xml:space="preserve">2026-09-27</t>
  </si>
  <si>
    <t xml:space="preserve">scp-lab
company-facts</t>
  </si>
  <si>
    <t xml:space="preserve">エンドカードを true のまま維持（対照群）
09-27 まで defaults.short_endcard を触らない</t>
  </si>
  <si>
    <r>
      <rPr>
        <sz val="10"/>
        <rFont val="Arial"/>
        <family val="0"/>
        <charset val="1"/>
      </rPr>
      <t xml:space="preserve">A/B</t>
    </r>
    <r>
      <rPr>
        <sz val="10"/>
        <rFont val="Noto Sans CJK SC"/>
        <family val="2"/>
      </rPr>
      <t xml:space="preserve">の対照。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は完走率</t>
    </r>
    <r>
      <rPr>
        <sz val="10"/>
        <rFont val="Arial"/>
        <family val="0"/>
        <charset val="1"/>
      </rPr>
      <t xml:space="preserve">19.3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31.6%</t>
    </r>
    <r>
      <rPr>
        <sz val="10"/>
        <rFont val="Noto Sans CJK SC"/>
        <family val="2"/>
      </rPr>
      <t xml:space="preserve">・再生中央</t>
    </r>
    <r>
      <rPr>
        <sz val="10"/>
        <rFont val="Arial"/>
        <family val="0"/>
        <charset val="1"/>
      </rPr>
      <t xml:space="preserve">1059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1714 </t>
    </r>
    <r>
      <rPr>
        <sz val="10"/>
        <rFont val="Noto Sans CJK SC"/>
        <family val="2"/>
      </rPr>
      <t xml:space="preserve">を保つ唯一の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で情報量が最大。</t>
    </r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09-19 </t>
    </r>
    <r>
      <rPr>
        <sz val="10"/>
        <rFont val="Noto Sans CJK SC"/>
        <family val="2"/>
      </rPr>
      <t xml:space="preserve">の台本修正ありなので、同じく修正済の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との対で『台本修正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カード有無』が読める。</t>
    </r>
  </si>
  <si>
    <t xml:space="preserve">moviepy 5ch</t>
  </si>
  <si>
    <r>
      <rPr>
        <sz val="10"/>
        <rFont val="Arial"/>
        <family val="0"/>
        <charset val="1"/>
      </rPr>
      <t xml:space="preserve">Phase4 </t>
    </r>
    <r>
      <rPr>
        <sz val="10"/>
        <rFont val="Noto Sans CJK SC"/>
        <family val="2"/>
      </rPr>
      <t xml:space="preserve">の手動トリガーは発行しない</t>
    </r>
  </si>
  <si>
    <r>
      <rPr>
        <sz val="10"/>
        <rFont val="Arial"/>
        <family val="0"/>
        <charset val="1"/>
      </rPr>
      <t xml:space="preserve">APScheduler </t>
    </r>
    <r>
      <rPr>
        <sz val="10"/>
        <rFont val="Noto Sans CJK SC"/>
        <family val="2"/>
      </rPr>
      <t xml:space="preserve">が本日分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枠を予約済（</t>
    </r>
    <r>
      <rPr>
        <sz val="10"/>
        <rFont val="Arial"/>
        <family val="0"/>
        <charset val="1"/>
      </rPr>
      <t xml:space="preserve">yokai 11:15 / company-facts 11:45 / scp-lab 12:00 …</t>
    </r>
    <r>
      <rPr>
        <sz val="10"/>
        <rFont val="Noto Sans CJK SC"/>
        <family val="2"/>
      </rPr>
      <t xml:space="preserve">）で、</t>
    </r>
    <r>
      <rPr>
        <sz val="10"/>
        <rFont val="Arial"/>
        <family val="0"/>
        <charset val="1"/>
      </rPr>
      <t xml:space="preserve">09-13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09-19 </t>
    </r>
    <r>
      <rPr>
        <sz val="10"/>
        <rFont val="Noto Sans CJK SC"/>
        <family val="2"/>
      </rPr>
      <t xml:space="preserve">は毎日 枠数どおり 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本を公開できている。手動トリガーは重複投稿と連投ガード</t>
    </r>
    <r>
      <rPr>
        <sz val="10"/>
        <rFont val="Arial"/>
        <family val="0"/>
        <charset val="1"/>
      </rPr>
      <t xml:space="preserve">(min_fire_interval 90</t>
    </r>
    <r>
      <rPr>
        <sz val="10"/>
        <rFont val="Noto Sans CJK SC"/>
        <family val="2"/>
      </rPr>
      <t xml:space="preserve">分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の空振りを生むだけ。</t>
    </r>
    <r>
      <rPr>
        <sz val="10"/>
        <rFont val="Arial"/>
        <family val="0"/>
        <charset val="1"/>
      </rPr>
      <t xml:space="preserve">load_channel </t>
    </r>
    <r>
      <rPr>
        <sz val="10"/>
        <rFont val="Noto Sans CJK SC"/>
        <family val="2"/>
      </rPr>
      <t xml:space="preserve">はディスクを毎回読むため本日の生成から新設定が反映される。</t>
    </r>
  </si>
  <si>
    <t xml:space="preserve">判断のみ</t>
  </si>
  <si>
    <t xml:space="preserve">—</t>
  </si>
  <si>
    <t xml:space="preserve">★ザキ様: OAuth 再認可（11日放置）</t>
  </si>
  <si>
    <r>
      <rPr>
        <sz val="10"/>
        <rFont val="Arial"/>
        <family val="0"/>
        <charset val="1"/>
      </rPr>
      <t xml:space="preserve">09-10 07:43 </t>
    </r>
    <r>
      <rPr>
        <sz val="10"/>
        <rFont val="Noto Sans CJK SC"/>
        <family val="2"/>
      </rPr>
      <t xml:space="preserve">を最後にトークン未更新、</t>
    </r>
    <r>
      <rPr>
        <sz val="10"/>
        <rFont val="Arial"/>
        <family val="0"/>
        <charset val="1"/>
      </rPr>
      <t xml:space="preserve">09-14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autopilot.enabled=false</t>
    </r>
    <r>
      <rPr>
        <sz val="10"/>
        <rFont val="Noto Sans CJK SC"/>
        <family val="2"/>
      </rPr>
      <t xml:space="preserve">。成熟動画の </t>
    </r>
    <r>
      <rPr>
        <sz val="10"/>
        <rFont val="Arial"/>
        <family val="0"/>
        <charset val="1"/>
      </rPr>
      <t xml:space="preserve">40%(10/25) 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1,200</t>
    </r>
    <r>
      <rPr>
        <sz val="10"/>
        <rFont val="Noto Sans CJK SC"/>
        <family val="2"/>
      </rPr>
      <t xml:space="preserve">再生超で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中いちばん天井が高い。止めている損が最大。</t>
    </r>
  </si>
  <si>
    <t xml:space="preserve">依頼中</t>
  </si>
  <si>
    <t xml:space="preserve">サムネ2MB超で失敗している件を記録（対応は保留）</t>
  </si>
  <si>
    <r>
      <rPr>
        <sz val="10"/>
        <rFont val="Arial"/>
        <family val="0"/>
        <charset val="1"/>
      </rPr>
      <t xml:space="preserve">logs/backend.log </t>
    </r>
    <r>
      <rPr>
        <sz val="10"/>
        <rFont val="Noto Sans CJK SC"/>
        <family val="2"/>
      </rPr>
      <t xml:space="preserve">に『サムネ失敗</t>
    </r>
    <r>
      <rPr>
        <sz val="10"/>
        <rFont val="Arial"/>
        <family val="0"/>
        <charset val="1"/>
      </rPr>
      <t xml:space="preserve">: Media larger than: 2097152</t>
    </r>
    <r>
      <rPr>
        <sz val="10"/>
        <rFont val="Noto Sans CJK SC"/>
        <family val="2"/>
      </rPr>
      <t xml:space="preserve">』。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とは別原因。ただし再生の</t>
    </r>
    <r>
      <rPr>
        <sz val="10"/>
        <rFont val="Arial"/>
        <family val="0"/>
        <charset val="1"/>
      </rPr>
      <t xml:space="preserve">99.5%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Shorts</t>
    </r>
    <r>
      <rPr>
        <sz val="10"/>
        <rFont val="Noto Sans CJK SC"/>
        <family val="2"/>
      </rPr>
      <t xml:space="preserve">フィード由来でサムネの効きうる上限は</t>
    </r>
    <r>
      <rPr>
        <sz val="10"/>
        <rFont val="Arial"/>
        <family val="0"/>
        <charset val="1"/>
      </rPr>
      <t xml:space="preserve">0.48%</t>
    </r>
    <r>
      <rPr>
        <sz val="10"/>
        <rFont val="Noto Sans CJK SC"/>
        <family val="2"/>
      </rPr>
      <t xml:space="preserve">のため、優先度は低い。</t>
    </r>
  </si>
  <si>
    <t xml:space="preserve">記録のみ</t>
  </si>
  <si>
    <t xml:space="preserve">全6ch</t>
  </si>
  <si>
    <t xml:space="preserve">テーマキューは補充しない</t>
  </si>
  <si>
    <r>
      <rPr>
        <sz val="10"/>
        <rFont val="Arial"/>
        <family val="0"/>
        <charset val="1"/>
      </rPr>
      <t xml:space="preserve">queue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daily-science 5 / scp-lab 3 / yokai-watch 7 / company-facts 6 / 2ch-matome 24 </t>
    </r>
    <r>
      <rPr>
        <sz val="10"/>
        <rFont val="Noto Sans CJK SC"/>
        <family val="2"/>
      </rPr>
      <t xml:space="preserve">だが、</t>
    </r>
    <r>
      <rPr>
        <sz val="10"/>
        <rFont val="Arial"/>
        <family val="0"/>
        <charset val="1"/>
      </rPr>
      <t xml:space="preserve">theme_seeds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件あり生成は </t>
    </r>
    <r>
      <rPr>
        <sz val="10"/>
        <rFont val="Arial"/>
        <family val="0"/>
        <charset val="1"/>
      </rPr>
      <t xml:space="preserve">seeds </t>
    </r>
    <r>
      <rPr>
        <sz val="10"/>
        <rFont val="Noto Sans CJK SC"/>
        <family val="2"/>
      </rPr>
      <t xml:space="preserve">にフォールバックする。水増し補充は</t>
    </r>
    <r>
      <rPr>
        <sz val="10"/>
        <rFont val="Arial"/>
        <family val="0"/>
        <charset val="1"/>
      </rPr>
      <t xml:space="preserve">09-19</t>
    </r>
    <r>
      <rPr>
        <sz val="10"/>
        <rFont val="Noto Sans CJK SC"/>
        <family val="2"/>
      </rPr>
      <t xml:space="preserve">に続き見送る。</t>
    </r>
  </si>
  <si>
    <t xml:space="preserve">投稿時刻・文字数帯・voice_style は変更しない</t>
  </si>
  <si>
    <t xml:space="preserve">投稿時刻は09-17、文字数帯は09-18、台本は09-19 に変更済で評価が 09-24〜09-26 に来る。本日さらに触ると本日のエンドカードA/Bと三重に交絡する。</t>
  </si>
  <si>
    <t xml:space="preserve">判定 2026-09-27 の読み方: 主指標=完走率(95-100%) OFF群が 11.5% → 16%以上へ回復するか。副指標=ループ率(0%) 110→114%以上 / 再生中央値d3 / 登録/千再生。回復しなければ撤回してエンドカードを戻す（登録導線としての価値は残るため）。</t>
  </si>
  <si>
    <t xml:space="preserve">トレンド — 日次チャンネル指標（08-10以降）</t>
  </si>
  <si>
    <r>
      <rPr>
        <sz val="10"/>
        <rFont val="Arial"/>
        <family val="0"/>
        <charset val="1"/>
      </rPr>
      <t xml:space="preserve">channel_metrics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YouTube Analytics </t>
    </r>
    <r>
      <rPr>
        <sz val="10"/>
        <rFont val="Noto Sans CJK SC"/>
        <family val="2"/>
      </rPr>
      <t xml:space="preserve">の日別）。純増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登録増 − 登録減。</t>
    </r>
    <r>
      <rPr>
        <sz val="10"/>
        <rFont val="Arial"/>
        <family val="0"/>
        <charset val="1"/>
      </rPr>
      <t xml:space="preserve">08-19 </t>
    </r>
    <r>
      <rPr>
        <sz val="10"/>
        <rFont val="Noto Sans CJK SC"/>
        <family val="2"/>
      </rPr>
      <t xml:space="preserve">の縦線がエンドカード導入日。</t>
    </r>
  </si>
  <si>
    <t xml:space="preserve">日付</t>
  </si>
  <si>
    <t xml:space="preserve">登録増</t>
  </si>
  <si>
    <t xml:space="preserve">登録減</t>
  </si>
  <si>
    <t xml:space="preserve">純増</t>
  </si>
  <si>
    <t xml:space="preserve">視聴時間(分)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</si>
  <si>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</si>
  <si>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</si>
  <si>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</si>
  <si>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</si>
  <si>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</si>
  <si>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</si>
  <si>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</si>
  <si>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</si>
  <si>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</si>
  <si>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</si>
  <si>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</si>
  <si>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</si>
  <si>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</si>
  <si>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</si>
  <si>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</si>
  <si>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</si>
  <si>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</si>
  <si>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</si>
  <si>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</si>
  <si>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</si>
  <si>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</si>
  <si>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</si>
  <si>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</si>
  <si>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</si>
  <si>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</si>
  <si>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</si>
  <si>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</si>
  <si>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</si>
  <si>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</si>
  <si>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</si>
  <si>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</si>
  <si>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</si>
  <si>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</si>
  <si>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</si>
  <si>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</si>
  <si>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</si>
  <si>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</si>
  <si>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合計</t>
  </si>
  <si>
    <t xml:space="preserve">■ 登録/千再生（至上目標）のコホート推移 — エンドカードは登録を稼いだか</t>
  </si>
  <si>
    <r>
      <rPr>
        <b val="true"/>
        <sz val="10"/>
        <rFont val="Arial"/>
        <family val="0"/>
        <charset val="1"/>
      </rPr>
      <t xml:space="preserve">6ch</t>
    </r>
    <r>
      <rPr>
        <b val="true"/>
        <sz val="10"/>
        <rFont val="Noto Sans CJK SC"/>
        <family val="2"/>
      </rPr>
      <t xml:space="preserve">合計</t>
    </r>
  </si>
  <si>
    <t xml:space="preserve">緑=エンドカード導入前(①)。6ch合計の登録/千再生は ①0.512 → ②0.510 → ③0.730 → ④0.436 で、エンドカード導入による跳ねが無い。一方で完走率は半減している。＝エンドカードは登録を稼がずにリーチだけを削っている疑いが強い。（④は公開後1〜8日で登録の計上が遅れるため過小評価側）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</si>
</sst>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.0"/>
    <numFmt numFmtId="168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DejaVu Sans"/>
      <family val="2"/>
    </font>
    <font>
      <b val="true"/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6" min="5" style="1" width="11"/>
    <col collapsed="false" customWidth="true" hidden="false" outlineLevel="0" max="7" min="7" style="1" width="9"/>
    <col collapsed="false" customWidth="true" hidden="false" outlineLevel="0" max="9" min="8" style="1" width="1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</row>
    <row r="12" customFormat="false" ht="15" hidden="false" customHeight="true" outlineLevel="0" collapsed="false">
      <c r="A12" s="3" t="s">
        <v>3</v>
      </c>
    </row>
    <row r="13" customFormat="false" ht="30" hidden="false" customHeight="true" outlineLevel="0" collapsed="false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5" t="s">
        <v>10</v>
      </c>
      <c r="H13" s="5" t="s">
        <v>11</v>
      </c>
      <c r="I13" s="5" t="s">
        <v>12</v>
      </c>
    </row>
    <row r="14" customFormat="false" ht="15" hidden="false" customHeight="true" outlineLevel="0" collapsed="false">
      <c r="A14" s="6" t="s">
        <v>13</v>
      </c>
      <c r="B14" s="6" t="s">
        <v>14</v>
      </c>
      <c r="C14" s="6" t="n">
        <v>49</v>
      </c>
      <c r="D14" s="7" t="n">
        <v>37425</v>
      </c>
      <c r="E14" s="7" t="n">
        <v>912</v>
      </c>
      <c r="F14" s="6" t="n">
        <v>41.2</v>
      </c>
      <c r="G14" s="6" t="n">
        <v>23</v>
      </c>
      <c r="H14" s="8" t="n">
        <f aca="false">IF(D14=0,0,G14/D14*1000)</f>
        <v>0.614562458249833</v>
      </c>
      <c r="I14" s="8" t="n">
        <f aca="false">IF(D14=0,0,296/D14*100)</f>
        <v>0.790915163660655</v>
      </c>
    </row>
    <row r="15" customFormat="false" ht="15" hidden="false" customHeight="true" outlineLevel="0" collapsed="false">
      <c r="A15" s="6" t="s">
        <v>15</v>
      </c>
      <c r="B15" s="6" t="s">
        <v>14</v>
      </c>
      <c r="C15" s="6" t="n">
        <v>50</v>
      </c>
      <c r="D15" s="7" t="n">
        <v>33951</v>
      </c>
      <c r="E15" s="7" t="n">
        <v>914</v>
      </c>
      <c r="F15" s="6" t="n">
        <v>39.2</v>
      </c>
      <c r="G15" s="6" t="n">
        <v>30</v>
      </c>
      <c r="H15" s="8" t="n">
        <f aca="false">IF(D15=0,0,G15/D15*1000)</f>
        <v>0.883626402756914</v>
      </c>
      <c r="I15" s="8" t="n">
        <f aca="false">IF(D15=0,0,162/D15*100)</f>
        <v>0.477158257488734</v>
      </c>
    </row>
    <row r="16" customFormat="false" ht="15" hidden="false" customHeight="true" outlineLevel="0" collapsed="false">
      <c r="A16" s="6" t="s">
        <v>16</v>
      </c>
      <c r="B16" s="6" t="s">
        <v>14</v>
      </c>
      <c r="C16" s="6" t="n">
        <v>50</v>
      </c>
      <c r="D16" s="7" t="n">
        <v>29348</v>
      </c>
      <c r="E16" s="7" t="n">
        <v>823</v>
      </c>
      <c r="F16" s="6" t="n">
        <v>32.5</v>
      </c>
      <c r="G16" s="6" t="n">
        <v>6</v>
      </c>
      <c r="H16" s="8" t="n">
        <f aca="false">IF(D16=0,0,G16/D16*1000)</f>
        <v>0.20444323292899</v>
      </c>
      <c r="I16" s="8" t="n">
        <f aca="false">IF(D16=0,0,63/D16*100)</f>
        <v>0.21466539457544</v>
      </c>
    </row>
    <row r="17" customFormat="false" ht="15" hidden="false" customHeight="true" outlineLevel="0" collapsed="false">
      <c r="A17" s="6" t="s">
        <v>17</v>
      </c>
      <c r="B17" s="6" t="s">
        <v>18</v>
      </c>
      <c r="C17" s="6" t="n">
        <v>49</v>
      </c>
      <c r="D17" s="7" t="n">
        <v>33101</v>
      </c>
      <c r="E17" s="7" t="n">
        <v>866</v>
      </c>
      <c r="F17" s="6" t="n">
        <v>41</v>
      </c>
      <c r="G17" s="6" t="n">
        <v>9</v>
      </c>
      <c r="H17" s="8" t="n">
        <f aca="false">IF(D17=0,0,G17/D17*1000)</f>
        <v>0.271895108909096</v>
      </c>
      <c r="I17" s="8" t="n">
        <f aca="false">IF(D17=0,0,83/D17*100)</f>
        <v>0.2507477115495</v>
      </c>
    </row>
    <row r="18" customFormat="false" ht="15" hidden="false" customHeight="true" outlineLevel="0" collapsed="false">
      <c r="A18" s="6" t="s">
        <v>19</v>
      </c>
      <c r="B18" s="6" t="s">
        <v>14</v>
      </c>
      <c r="C18" s="6" t="n">
        <v>50</v>
      </c>
      <c r="D18" s="7" t="n">
        <v>25551</v>
      </c>
      <c r="E18" s="7" t="n">
        <v>411</v>
      </c>
      <c r="F18" s="6" t="n">
        <v>38</v>
      </c>
      <c r="G18" s="6" t="n">
        <v>19</v>
      </c>
      <c r="H18" s="8" t="n">
        <f aca="false">IF(D18=0,0,G18/D18*1000)</f>
        <v>0.743610817580525</v>
      </c>
      <c r="I18" s="8" t="n">
        <f aca="false">IF(D18=0,0,139/D18*100)</f>
        <v>0.544010019177332</v>
      </c>
    </row>
    <row r="19" customFormat="false" ht="15" hidden="false" customHeight="true" outlineLevel="0" collapsed="false">
      <c r="A19" s="6" t="s">
        <v>20</v>
      </c>
      <c r="B19" s="6" t="s">
        <v>14</v>
      </c>
      <c r="C19" s="6" t="n">
        <v>50</v>
      </c>
      <c r="D19" s="7" t="n">
        <v>43415</v>
      </c>
      <c r="E19" s="7" t="n">
        <v>1025</v>
      </c>
      <c r="F19" s="6" t="n">
        <v>45.8</v>
      </c>
      <c r="G19" s="6" t="n">
        <v>21</v>
      </c>
      <c r="H19" s="8" t="n">
        <f aca="false">IF(D19=0,0,G19/D19*1000)</f>
        <v>0.483703789013014</v>
      </c>
      <c r="I19" s="8" t="n">
        <f aca="false">IF(D19=0,0,118/D19*100)</f>
        <v>0.271795462397789</v>
      </c>
    </row>
    <row r="20" customFormat="false" ht="15" hidden="false" customHeight="true" outlineLevel="0" collapsed="false">
      <c r="A20" s="9" t="s">
        <v>21</v>
      </c>
      <c r="B20" s="10"/>
      <c r="C20" s="9" t="n">
        <f aca="false">SUM(C14:C19)</f>
        <v>298</v>
      </c>
      <c r="D20" s="11" t="n">
        <f aca="false">SUM(D14:D19)</f>
        <v>202791</v>
      </c>
      <c r="E20" s="11" t="n">
        <f aca="false">MEDIAN(E14:E19)</f>
        <v>889</v>
      </c>
      <c r="F20" s="9" t="n">
        <f aca="false">MEDIAN(F14:F19)</f>
        <v>40.1</v>
      </c>
      <c r="G20" s="9" t="n">
        <f aca="false">SUM(G14:G19)</f>
        <v>108</v>
      </c>
      <c r="H20" s="12" t="n">
        <f aca="false">IF(D20=0,0,G20/D20*1000)</f>
        <v>0.532568013373375</v>
      </c>
      <c r="I20" s="10"/>
    </row>
    <row r="22" customFormat="false" ht="43.5" hidden="false" customHeight="true" outlineLevel="0" collapsed="false">
      <c r="A22" s="13" t="s">
        <v>22</v>
      </c>
      <c r="B22" s="13"/>
      <c r="C22" s="13"/>
      <c r="D22" s="13"/>
      <c r="E22" s="13"/>
      <c r="F22" s="13"/>
      <c r="G22" s="13"/>
      <c r="H22" s="13"/>
      <c r="I22" s="13"/>
    </row>
    <row r="24" customFormat="false" ht="15" hidden="false" customHeight="true" outlineLevel="0" collapsed="false">
      <c r="A24" s="3" t="s">
        <v>23</v>
      </c>
    </row>
    <row r="25" customFormat="false" ht="42" hidden="false" customHeight="true" outlineLevel="0" collapsed="false">
      <c r="A25" s="4" t="s">
        <v>24</v>
      </c>
      <c r="B25" s="4"/>
      <c r="C25" s="4"/>
      <c r="D25" s="4"/>
      <c r="E25" s="4"/>
      <c r="F25" s="4"/>
      <c r="G25" s="4"/>
      <c r="H25" s="4"/>
      <c r="I25" s="4"/>
    </row>
  </sheetData>
  <mergeCells count="4">
    <mergeCell ref="A1:I1"/>
    <mergeCell ref="A4:I10"/>
    <mergeCell ref="A22:I22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16" min="4" style="1" width="13"/>
  </cols>
  <sheetData>
    <row r="1" customFormat="false" ht="25.5" hidden="false" customHeight="true" outlineLevel="0" collapsed="false">
      <c r="A1" s="14" t="s">
        <v>25</v>
      </c>
      <c r="B1" s="14"/>
      <c r="C1" s="14"/>
      <c r="D1" s="14"/>
      <c r="E1" s="14"/>
      <c r="F1" s="14"/>
      <c r="G1" s="14"/>
    </row>
    <row r="3" customFormat="false" ht="30" hidden="false" customHeight="true" outlineLevel="0" collapsed="false">
      <c r="A3" s="13" t="s">
        <v>26</v>
      </c>
      <c r="B3" s="13"/>
      <c r="C3" s="13"/>
      <c r="D3" s="13"/>
      <c r="E3" s="13"/>
      <c r="F3" s="13"/>
      <c r="G3" s="13"/>
    </row>
    <row r="5" customFormat="false" ht="30" hidden="false" customHeight="true" outlineLevel="0" collapsed="false">
      <c r="A5" s="5" t="s">
        <v>4</v>
      </c>
      <c r="B5" s="5" t="s">
        <v>27</v>
      </c>
      <c r="C5" s="15" t="s">
        <v>28</v>
      </c>
      <c r="D5" s="5" t="s">
        <v>29</v>
      </c>
      <c r="E5" s="15" t="s">
        <v>30</v>
      </c>
      <c r="F5" s="5" t="s">
        <v>31</v>
      </c>
      <c r="G5" s="5" t="s">
        <v>32</v>
      </c>
    </row>
    <row r="6" customFormat="false" ht="15" hidden="false" customHeight="true" outlineLevel="0" collapsed="false">
      <c r="A6" s="16" t="s">
        <v>13</v>
      </c>
      <c r="B6" s="16" t="s">
        <v>33</v>
      </c>
      <c r="C6" s="16" t="n">
        <v>52</v>
      </c>
      <c r="D6" s="17" t="n">
        <v>114.5</v>
      </c>
      <c r="E6" s="17" t="n">
        <v>74.9</v>
      </c>
      <c r="F6" s="17" t="n">
        <v>15.6</v>
      </c>
      <c r="G6" s="18" t="n">
        <v>1076</v>
      </c>
    </row>
    <row r="7" customFormat="false" ht="15" hidden="false" customHeight="true" outlineLevel="0" collapsed="false">
      <c r="A7" s="19" t="s">
        <v>13</v>
      </c>
      <c r="B7" s="19" t="s">
        <v>34</v>
      </c>
      <c r="C7" s="19" t="n">
        <v>15</v>
      </c>
      <c r="D7" s="20" t="n">
        <v>106.5</v>
      </c>
      <c r="E7" s="20" t="n">
        <v>45.5</v>
      </c>
      <c r="F7" s="20" t="n">
        <v>7.5</v>
      </c>
      <c r="G7" s="21" t="n">
        <v>922.5</v>
      </c>
    </row>
    <row r="8" customFormat="false" ht="15" hidden="false" customHeight="true" outlineLevel="0" collapsed="false">
      <c r="A8" s="6" t="s">
        <v>13</v>
      </c>
      <c r="B8" s="6" t="s">
        <v>35</v>
      </c>
      <c r="C8" s="6" t="n">
        <v>15</v>
      </c>
      <c r="D8" s="22" t="n">
        <v>113.5</v>
      </c>
      <c r="E8" s="22" t="n">
        <v>73.7</v>
      </c>
      <c r="F8" s="22" t="n">
        <v>14.6</v>
      </c>
      <c r="G8" s="7" t="n">
        <v>951</v>
      </c>
    </row>
    <row r="9" customFormat="false" ht="15" hidden="false" customHeight="true" outlineLevel="0" collapsed="false">
      <c r="A9" s="19" t="s">
        <v>13</v>
      </c>
      <c r="B9" s="19" t="s">
        <v>36</v>
      </c>
      <c r="C9" s="19" t="n">
        <v>9</v>
      </c>
      <c r="D9" s="20" t="n">
        <v>110</v>
      </c>
      <c r="E9" s="20" t="n">
        <v>71.8</v>
      </c>
      <c r="F9" s="20" t="n">
        <v>12.1</v>
      </c>
      <c r="G9" s="21" t="n">
        <v>872</v>
      </c>
    </row>
    <row r="11" customFormat="false" ht="15" hidden="false" customHeight="true" outlineLevel="0" collapsed="false">
      <c r="A11" s="16" t="s">
        <v>15</v>
      </c>
      <c r="B11" s="16" t="s">
        <v>33</v>
      </c>
      <c r="C11" s="16" t="n">
        <v>30</v>
      </c>
      <c r="D11" s="17" t="n">
        <v>113.5</v>
      </c>
      <c r="E11" s="17" t="n">
        <v>75.8</v>
      </c>
      <c r="F11" s="17" t="n">
        <v>16</v>
      </c>
      <c r="G11" s="18" t="n">
        <v>1098.5</v>
      </c>
    </row>
    <row r="12" customFormat="false" ht="15" hidden="false" customHeight="true" outlineLevel="0" collapsed="false">
      <c r="A12" s="19" t="s">
        <v>15</v>
      </c>
      <c r="B12" s="19" t="s">
        <v>34</v>
      </c>
      <c r="C12" s="19" t="n">
        <v>4</v>
      </c>
      <c r="D12" s="20" t="n">
        <v>102.6</v>
      </c>
      <c r="E12" s="20" t="n">
        <v>33.8</v>
      </c>
      <c r="F12" s="20" t="n">
        <v>4</v>
      </c>
      <c r="G12" s="21" t="n">
        <v>955.5</v>
      </c>
    </row>
    <row r="13" customFormat="false" ht="15" hidden="false" customHeight="true" outlineLevel="0" collapsed="false">
      <c r="A13" s="19" t="s">
        <v>15</v>
      </c>
      <c r="B13" s="19" t="s">
        <v>35</v>
      </c>
      <c r="C13" s="19" t="n">
        <v>9</v>
      </c>
      <c r="D13" s="20" t="n">
        <v>108.7</v>
      </c>
      <c r="E13" s="20" t="n">
        <v>72.3</v>
      </c>
      <c r="F13" s="20" t="n">
        <v>11.6</v>
      </c>
      <c r="G13" s="21" t="n">
        <v>909</v>
      </c>
    </row>
    <row r="14" customFormat="false" ht="15" hidden="false" customHeight="true" outlineLevel="0" collapsed="false">
      <c r="A14" s="19" t="s">
        <v>15</v>
      </c>
      <c r="B14" s="19" t="s">
        <v>36</v>
      </c>
      <c r="C14" s="19" t="n">
        <v>4</v>
      </c>
      <c r="D14" s="20" t="n">
        <v>106.4</v>
      </c>
      <c r="E14" s="20" t="n">
        <v>67.4</v>
      </c>
      <c r="F14" s="20" t="n">
        <v>7.5</v>
      </c>
      <c r="G14" s="21" t="n">
        <v>242</v>
      </c>
    </row>
    <row r="16" customFormat="false" ht="15" hidden="false" customHeight="true" outlineLevel="0" collapsed="false">
      <c r="A16" s="16" t="s">
        <v>16</v>
      </c>
      <c r="B16" s="16" t="s">
        <v>33</v>
      </c>
      <c r="C16" s="16" t="n">
        <v>9</v>
      </c>
      <c r="D16" s="17" t="n">
        <v>118.3</v>
      </c>
      <c r="E16" s="17" t="n">
        <v>99.7</v>
      </c>
      <c r="F16" s="17" t="n">
        <v>19.9</v>
      </c>
      <c r="G16" s="18" t="n">
        <v>1236</v>
      </c>
    </row>
    <row r="17" customFormat="false" ht="15" hidden="false" customHeight="true" outlineLevel="0" collapsed="false">
      <c r="A17" s="19" t="s">
        <v>16</v>
      </c>
      <c r="B17" s="19" t="s">
        <v>34</v>
      </c>
      <c r="C17" s="19" t="n">
        <v>11</v>
      </c>
      <c r="D17" s="20" t="n">
        <v>106</v>
      </c>
      <c r="E17" s="20" t="n">
        <v>44.1</v>
      </c>
      <c r="F17" s="20" t="n">
        <v>6</v>
      </c>
      <c r="G17" s="21" t="n">
        <v>960.5</v>
      </c>
    </row>
    <row r="18" customFormat="false" ht="15" hidden="false" customHeight="true" outlineLevel="0" collapsed="false">
      <c r="A18" s="19" t="s">
        <v>16</v>
      </c>
      <c r="B18" s="19" t="s">
        <v>35</v>
      </c>
      <c r="C18" s="19" t="n">
        <v>7</v>
      </c>
      <c r="D18" s="20" t="n">
        <v>109.4</v>
      </c>
      <c r="E18" s="20" t="n">
        <v>64.5</v>
      </c>
      <c r="F18" s="20" t="n">
        <v>9.4</v>
      </c>
      <c r="G18" s="21" t="n">
        <v>873</v>
      </c>
    </row>
    <row r="20" customFormat="false" ht="15" hidden="false" customHeight="true" outlineLevel="0" collapsed="false">
      <c r="A20" s="16" t="s">
        <v>17</v>
      </c>
      <c r="B20" s="16" t="s">
        <v>33</v>
      </c>
      <c r="C20" s="16" t="n">
        <v>21</v>
      </c>
      <c r="D20" s="17" t="n">
        <v>120.4</v>
      </c>
      <c r="E20" s="17" t="n">
        <v>93.7</v>
      </c>
      <c r="F20" s="17" t="n">
        <v>22.1</v>
      </c>
      <c r="G20" s="18" t="n">
        <v>1587.5</v>
      </c>
    </row>
    <row r="21" customFormat="false" ht="15" hidden="false" customHeight="true" outlineLevel="0" collapsed="false">
      <c r="A21" s="19" t="s">
        <v>17</v>
      </c>
      <c r="B21" s="19" t="s">
        <v>34</v>
      </c>
      <c r="C21" s="19" t="n">
        <v>12</v>
      </c>
      <c r="D21" s="20" t="n">
        <v>105.5</v>
      </c>
      <c r="E21" s="20" t="n">
        <v>40.9</v>
      </c>
      <c r="F21" s="20" t="n">
        <v>7.5</v>
      </c>
      <c r="G21" s="21" t="n">
        <v>953</v>
      </c>
    </row>
    <row r="22" customFormat="false" ht="15" hidden="false" customHeight="true" outlineLevel="0" collapsed="false">
      <c r="A22" s="19" t="s">
        <v>17</v>
      </c>
      <c r="B22" s="19" t="s">
        <v>35</v>
      </c>
      <c r="C22" s="19" t="n">
        <v>1</v>
      </c>
      <c r="D22" s="20" t="n">
        <v>107.1</v>
      </c>
      <c r="E22" s="20" t="n">
        <v>76.6</v>
      </c>
      <c r="F22" s="20" t="n">
        <v>8.6</v>
      </c>
      <c r="G22" s="21" t="n">
        <v>189</v>
      </c>
    </row>
    <row r="24" customFormat="false" ht="15" hidden="false" customHeight="true" outlineLevel="0" collapsed="false">
      <c r="A24" s="16" t="s">
        <v>19</v>
      </c>
      <c r="B24" s="16" t="s">
        <v>33</v>
      </c>
      <c r="C24" s="16" t="n">
        <v>21</v>
      </c>
      <c r="D24" s="17" t="n">
        <v>119.6</v>
      </c>
      <c r="E24" s="17" t="n">
        <v>85.8</v>
      </c>
      <c r="F24" s="17" t="n">
        <v>20.7</v>
      </c>
      <c r="G24" s="18" t="n">
        <v>1492</v>
      </c>
    </row>
    <row r="25" customFormat="false" ht="15" hidden="false" customHeight="true" outlineLevel="0" collapsed="false">
      <c r="A25" s="19" t="s">
        <v>19</v>
      </c>
      <c r="B25" s="19" t="s">
        <v>34</v>
      </c>
      <c r="C25" s="19" t="n">
        <v>13</v>
      </c>
      <c r="D25" s="20" t="n">
        <v>107.3</v>
      </c>
      <c r="E25" s="20" t="n">
        <v>57.7</v>
      </c>
      <c r="F25" s="20" t="n">
        <v>10</v>
      </c>
      <c r="G25" s="21" t="n">
        <v>514</v>
      </c>
    </row>
    <row r="26" customFormat="false" ht="15" hidden="false" customHeight="true" outlineLevel="0" collapsed="false">
      <c r="A26" s="19" t="s">
        <v>19</v>
      </c>
      <c r="B26" s="19" t="s">
        <v>35</v>
      </c>
      <c r="C26" s="19" t="n">
        <v>8</v>
      </c>
      <c r="D26" s="20" t="n">
        <v>110.7</v>
      </c>
      <c r="E26" s="20" t="n">
        <v>71.7</v>
      </c>
      <c r="F26" s="20" t="n">
        <v>11.7</v>
      </c>
      <c r="G26" s="21" t="n">
        <v>981</v>
      </c>
    </row>
    <row r="28" customFormat="false" ht="15" hidden="false" customHeight="true" outlineLevel="0" collapsed="false">
      <c r="A28" s="6" t="s">
        <v>20</v>
      </c>
      <c r="B28" s="6" t="s">
        <v>34</v>
      </c>
      <c r="C28" s="6" t="n">
        <v>10</v>
      </c>
      <c r="D28" s="22" t="n">
        <v>128.5</v>
      </c>
      <c r="E28" s="22" t="n">
        <v>89.6</v>
      </c>
      <c r="F28" s="22" t="n">
        <v>31.6</v>
      </c>
      <c r="G28" s="7" t="n">
        <v>1714.5</v>
      </c>
    </row>
    <row r="29" customFormat="false" ht="15" hidden="false" customHeight="true" outlineLevel="0" collapsed="false">
      <c r="A29" s="6" t="s">
        <v>20</v>
      </c>
      <c r="B29" s="6" t="s">
        <v>35</v>
      </c>
      <c r="C29" s="6" t="n">
        <v>5</v>
      </c>
      <c r="D29" s="22" t="n">
        <v>119.1</v>
      </c>
      <c r="E29" s="22" t="n">
        <v>71.7</v>
      </c>
      <c r="F29" s="22" t="n">
        <v>19.3</v>
      </c>
      <c r="G29" s="7" t="n">
        <v>1059</v>
      </c>
    </row>
    <row r="31" customFormat="false" ht="30" hidden="false" customHeight="true" outlineLevel="0" collapsed="false">
      <c r="A31" s="23" t="s">
        <v>37</v>
      </c>
      <c r="B31" s="23"/>
      <c r="C31" s="23"/>
      <c r="D31" s="23"/>
      <c r="E31" s="23"/>
      <c r="F31" s="23"/>
      <c r="G31" s="23"/>
    </row>
    <row r="33" customFormat="false" ht="15" hidden="false" customHeight="true" outlineLevel="0" collapsed="false">
      <c r="A33" s="3" t="s">
        <v>38</v>
      </c>
    </row>
    <row r="34" customFormat="false" ht="30" hidden="false" customHeight="true" outlineLevel="0" collapsed="false">
      <c r="A34" s="5" t="s">
        <v>39</v>
      </c>
      <c r="B34" s="5" t="s">
        <v>27</v>
      </c>
      <c r="C34" s="15" t="s">
        <v>28</v>
      </c>
      <c r="D34" s="15" t="s">
        <v>40</v>
      </c>
      <c r="E34" s="15" t="s">
        <v>41</v>
      </c>
      <c r="F34" s="15" t="s">
        <v>42</v>
      </c>
      <c r="G34" s="15" t="s">
        <v>43</v>
      </c>
      <c r="H34" s="15" t="s">
        <v>44</v>
      </c>
      <c r="I34" s="15" t="s">
        <v>45</v>
      </c>
      <c r="J34" s="15" t="s">
        <v>46</v>
      </c>
      <c r="K34" s="15" t="s">
        <v>47</v>
      </c>
      <c r="L34" s="15" t="s">
        <v>48</v>
      </c>
      <c r="M34" s="15" t="s">
        <v>49</v>
      </c>
      <c r="N34" s="15" t="s">
        <v>50</v>
      </c>
      <c r="O34" s="15" t="s">
        <v>51</v>
      </c>
      <c r="P34" s="15" t="s">
        <v>52</v>
      </c>
    </row>
    <row r="35" customFormat="false" ht="15" hidden="false" customHeight="true" outlineLevel="0" collapsed="false">
      <c r="A35" s="24" t="s">
        <v>53</v>
      </c>
      <c r="B35" s="16" t="s">
        <v>33</v>
      </c>
      <c r="C35" s="16" t="n">
        <v>152</v>
      </c>
      <c r="D35" s="17" t="n">
        <v>116.7</v>
      </c>
      <c r="E35" s="17" t="n">
        <v>113.7</v>
      </c>
      <c r="F35" s="17" t="n">
        <v>111.1</v>
      </c>
      <c r="G35" s="17" t="n">
        <v>107.2</v>
      </c>
      <c r="H35" s="17" t="n">
        <v>90.8</v>
      </c>
      <c r="I35" s="17" t="n">
        <v>67.5</v>
      </c>
      <c r="J35" s="17" t="n">
        <v>55.4</v>
      </c>
      <c r="K35" s="17" t="n">
        <v>48.2</v>
      </c>
      <c r="L35" s="17" t="n">
        <v>42.6</v>
      </c>
      <c r="M35" s="17" t="n">
        <v>39.3</v>
      </c>
      <c r="N35" s="17" t="n">
        <v>33.8</v>
      </c>
      <c r="O35" s="17" t="n">
        <v>21.9</v>
      </c>
      <c r="P35" s="17" t="n">
        <v>17.2</v>
      </c>
    </row>
    <row r="36" customFormat="false" ht="15" hidden="false" customHeight="true" outlineLevel="0" collapsed="false">
      <c r="A36" s="25" t="s">
        <v>53</v>
      </c>
      <c r="B36" s="6" t="s">
        <v>34</v>
      </c>
      <c r="C36" s="6" t="n">
        <v>86</v>
      </c>
      <c r="D36" s="22" t="n">
        <v>106.2</v>
      </c>
      <c r="E36" s="22" t="n">
        <v>105.4</v>
      </c>
      <c r="F36" s="22" t="n">
        <v>100.4</v>
      </c>
      <c r="G36" s="22" t="n">
        <v>66.6</v>
      </c>
      <c r="H36" s="22" t="n">
        <v>49.9</v>
      </c>
      <c r="I36" s="22" t="n">
        <v>34.3</v>
      </c>
      <c r="J36" s="22" t="n">
        <v>26.7</v>
      </c>
      <c r="K36" s="22" t="n">
        <v>21.6</v>
      </c>
      <c r="L36" s="22" t="n">
        <v>18.2</v>
      </c>
      <c r="M36" s="22" t="n">
        <v>15.5</v>
      </c>
      <c r="N36" s="22" t="n">
        <v>12.1</v>
      </c>
      <c r="O36" s="22" t="n">
        <v>9.6</v>
      </c>
      <c r="P36" s="22" t="n">
        <v>7.2</v>
      </c>
    </row>
    <row r="37" customFormat="false" ht="15" hidden="false" customHeight="true" outlineLevel="0" collapsed="false">
      <c r="A37" s="25" t="s">
        <v>53</v>
      </c>
      <c r="B37" s="6" t="s">
        <v>35</v>
      </c>
      <c r="C37" s="6" t="n">
        <v>87</v>
      </c>
      <c r="D37" s="22" t="n">
        <v>109.8</v>
      </c>
      <c r="E37" s="22" t="n">
        <v>108.7</v>
      </c>
      <c r="F37" s="22" t="n">
        <v>107.7</v>
      </c>
      <c r="G37" s="22" t="n">
        <v>102.6</v>
      </c>
      <c r="H37" s="22" t="n">
        <v>77.6</v>
      </c>
      <c r="I37" s="22" t="n">
        <v>53.9</v>
      </c>
      <c r="J37" s="22" t="n">
        <v>40.2</v>
      </c>
      <c r="K37" s="22" t="n">
        <v>32.8</v>
      </c>
      <c r="L37" s="22" t="n">
        <v>27.8</v>
      </c>
      <c r="M37" s="22" t="n">
        <v>24.6</v>
      </c>
      <c r="N37" s="22" t="n">
        <v>18.7</v>
      </c>
      <c r="O37" s="22" t="n">
        <v>14</v>
      </c>
      <c r="P37" s="22" t="n">
        <v>11.2</v>
      </c>
    </row>
    <row r="38" customFormat="false" ht="15" hidden="false" customHeight="true" outlineLevel="0" collapsed="false">
      <c r="A38" s="25" t="s">
        <v>53</v>
      </c>
      <c r="B38" s="6" t="s">
        <v>36</v>
      </c>
      <c r="C38" s="6" t="n">
        <v>64</v>
      </c>
      <c r="D38" s="22" t="n">
        <v>109.9</v>
      </c>
      <c r="E38" s="22" t="n">
        <v>108.2</v>
      </c>
      <c r="F38" s="22" t="n">
        <v>107.7</v>
      </c>
      <c r="G38" s="22" t="n">
        <v>99.6</v>
      </c>
      <c r="H38" s="22" t="n">
        <v>74.7</v>
      </c>
      <c r="I38" s="22" t="n">
        <v>51.1</v>
      </c>
      <c r="J38" s="22" t="n">
        <v>38.6</v>
      </c>
      <c r="K38" s="22" t="n">
        <v>31.8</v>
      </c>
      <c r="L38" s="22" t="n">
        <v>27.7</v>
      </c>
      <c r="M38" s="22" t="n">
        <v>25.8</v>
      </c>
      <c r="N38" s="22" t="n">
        <v>19.2</v>
      </c>
      <c r="O38" s="22" t="n">
        <v>13.8</v>
      </c>
      <c r="P38" s="22" t="n">
        <v>9.8</v>
      </c>
    </row>
    <row r="39" customFormat="false" ht="15" hidden="false" customHeight="true" outlineLevel="0" collapsed="false">
      <c r="A39" s="6" t="s">
        <v>20</v>
      </c>
      <c r="B39" s="6" t="s">
        <v>34</v>
      </c>
      <c r="C39" s="6" t="n">
        <v>10</v>
      </c>
      <c r="D39" s="22" t="n">
        <v>128.8</v>
      </c>
      <c r="E39" s="22" t="n">
        <v>125.9</v>
      </c>
      <c r="F39" s="22" t="n">
        <v>119.3</v>
      </c>
      <c r="G39" s="22" t="n">
        <v>99.8</v>
      </c>
      <c r="H39" s="22" t="n">
        <v>92.6</v>
      </c>
      <c r="I39" s="22" t="n">
        <v>77.2</v>
      </c>
      <c r="J39" s="22" t="n">
        <v>72.3</v>
      </c>
      <c r="K39" s="22" t="n">
        <v>67</v>
      </c>
      <c r="L39" s="22" t="n">
        <v>62</v>
      </c>
      <c r="M39" s="22" t="n">
        <v>59</v>
      </c>
      <c r="N39" s="22" t="n">
        <v>54</v>
      </c>
      <c r="O39" s="22" t="n">
        <v>44.5</v>
      </c>
      <c r="P39" s="22" t="n">
        <v>29.9</v>
      </c>
    </row>
    <row r="40" customFormat="false" ht="15" hidden="false" customHeight="true" outlineLevel="0" collapsed="false">
      <c r="A40" s="6" t="s">
        <v>20</v>
      </c>
      <c r="B40" s="6" t="s">
        <v>35</v>
      </c>
      <c r="C40" s="6" t="n">
        <v>17</v>
      </c>
      <c r="D40" s="22" t="n">
        <v>119.2</v>
      </c>
      <c r="E40" s="22" t="n">
        <v>118.4</v>
      </c>
      <c r="F40" s="22" t="n">
        <v>115</v>
      </c>
      <c r="G40" s="22" t="n">
        <v>98.4</v>
      </c>
      <c r="H40" s="22" t="n">
        <v>78.6</v>
      </c>
      <c r="I40" s="22" t="n">
        <v>55.7</v>
      </c>
      <c r="J40" s="22" t="n">
        <v>49.5</v>
      </c>
      <c r="K40" s="22" t="n">
        <v>44.2</v>
      </c>
      <c r="L40" s="22" t="n">
        <v>42.1</v>
      </c>
      <c r="M40" s="22" t="n">
        <v>39.7</v>
      </c>
      <c r="N40" s="22" t="n">
        <v>38.7</v>
      </c>
      <c r="O40" s="22" t="n">
        <v>27.1</v>
      </c>
      <c r="P40" s="22" t="n">
        <v>19.2</v>
      </c>
    </row>
    <row r="41" customFormat="false" ht="15" hidden="false" customHeight="true" outlineLevel="0" collapsed="false">
      <c r="A41" s="6" t="s">
        <v>20</v>
      </c>
      <c r="B41" s="6" t="s">
        <v>36</v>
      </c>
      <c r="C41" s="6" t="n">
        <v>26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3" customFormat="false" ht="30" hidden="false" customHeight="true" outlineLevel="0" collapsed="false">
      <c r="A43" s="13" t="s">
        <v>54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</sheetData>
  <mergeCells count="4">
    <mergeCell ref="A1:G1"/>
    <mergeCell ref="A3:G3"/>
    <mergeCell ref="A31:G31"/>
    <mergeCell ref="A43:Q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10" min="8" style="1" width="8"/>
    <col collapsed="false" customWidth="true" hidden="false" outlineLevel="0" max="11" min="11" style="1" width="9"/>
  </cols>
  <sheetData>
    <row r="1" customFormat="false" ht="25.5" hidden="false" customHeight="true" outlineLevel="0" collapsed="false">
      <c r="A1" s="14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customFormat="false" ht="30" hidden="false" customHeight="true" outlineLevel="0" collapsed="false">
      <c r="A3" s="5" t="s">
        <v>4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10</v>
      </c>
      <c r="K3" s="15" t="s">
        <v>64</v>
      </c>
    </row>
    <row r="4" customFormat="false" ht="15" hidden="false" customHeight="true" outlineLevel="0" collapsed="false">
      <c r="A4" s="6" t="s">
        <v>20</v>
      </c>
      <c r="B4" s="25" t="s">
        <v>65</v>
      </c>
      <c r="C4" s="6" t="s">
        <v>66</v>
      </c>
      <c r="D4" s="7" t="n">
        <v>1147</v>
      </c>
      <c r="E4" s="6" t="n">
        <v>43</v>
      </c>
      <c r="F4" s="6" t="n">
        <v>18</v>
      </c>
      <c r="G4" s="22" t="n">
        <f aca="false">IF(E4&lt;=5,"",F4/(E4/100))</f>
        <v>41.8604651162791</v>
      </c>
      <c r="H4" s="6" t="n">
        <v>3</v>
      </c>
      <c r="I4" s="6" t="n">
        <v>0</v>
      </c>
      <c r="J4" s="6" t="n">
        <v>0</v>
      </c>
      <c r="K4" s="6" t="n">
        <v>1.47</v>
      </c>
    </row>
    <row r="5" customFormat="false" ht="15" hidden="false" customHeight="true" outlineLevel="0" collapsed="false">
      <c r="A5" s="6" t="s">
        <v>20</v>
      </c>
      <c r="B5" s="25" t="s">
        <v>67</v>
      </c>
      <c r="C5" s="6" t="s">
        <v>68</v>
      </c>
      <c r="D5" s="7" t="n">
        <v>1142</v>
      </c>
      <c r="E5" s="6" t="n">
        <v>42.4</v>
      </c>
      <c r="F5" s="6" t="n">
        <v>17</v>
      </c>
      <c r="G5" s="22" t="n">
        <f aca="false">IF(E5&lt;=5,"",F5/(E5/100))</f>
        <v>40.0943396226415</v>
      </c>
      <c r="H5" s="6" t="n">
        <v>0</v>
      </c>
      <c r="I5" s="6" t="n">
        <v>0</v>
      </c>
      <c r="J5" s="6" t="n">
        <v>0</v>
      </c>
      <c r="K5" s="6" t="n">
        <v>0</v>
      </c>
    </row>
    <row r="6" customFormat="false" ht="15" hidden="false" customHeight="true" outlineLevel="0" collapsed="false">
      <c r="A6" s="6" t="s">
        <v>13</v>
      </c>
      <c r="B6" s="25" t="s">
        <v>69</v>
      </c>
      <c r="C6" s="6" t="s">
        <v>70</v>
      </c>
      <c r="D6" s="7" t="n">
        <v>1124</v>
      </c>
      <c r="E6" s="6" t="n">
        <v>84.7</v>
      </c>
      <c r="F6" s="6" t="n">
        <v>30</v>
      </c>
      <c r="G6" s="22" t="n">
        <f aca="false">IF(E6&lt;=5,"",F6/(E6/100))</f>
        <v>35.4191263282172</v>
      </c>
      <c r="H6" s="6" t="n">
        <v>8</v>
      </c>
      <c r="I6" s="6" t="n">
        <v>0</v>
      </c>
      <c r="J6" s="6" t="n">
        <v>0</v>
      </c>
      <c r="K6" s="6" t="n">
        <v>1.32</v>
      </c>
    </row>
    <row r="7" customFormat="false" ht="15" hidden="false" customHeight="true" outlineLevel="0" collapsed="false">
      <c r="A7" s="6" t="s">
        <v>15</v>
      </c>
      <c r="B7" s="6" t="s">
        <v>71</v>
      </c>
      <c r="C7" s="6" t="s">
        <v>72</v>
      </c>
      <c r="D7" s="7" t="n">
        <v>1092</v>
      </c>
      <c r="E7" s="6" t="n">
        <v>40.4</v>
      </c>
      <c r="F7" s="6" t="n">
        <v>12</v>
      </c>
      <c r="G7" s="22" t="n">
        <f aca="false">IF(E7&lt;=5,"",F7/(E7/100))</f>
        <v>29.7029702970297</v>
      </c>
      <c r="H7" s="6" t="n">
        <v>5</v>
      </c>
      <c r="I7" s="6" t="n">
        <v>0</v>
      </c>
      <c r="J7" s="6" t="n">
        <v>0</v>
      </c>
      <c r="K7" s="6" t="n">
        <v>0.73</v>
      </c>
    </row>
    <row r="8" customFormat="false" ht="15" hidden="false" customHeight="true" outlineLevel="0" collapsed="false">
      <c r="A8" s="6" t="s">
        <v>15</v>
      </c>
      <c r="B8" s="25" t="s">
        <v>73</v>
      </c>
      <c r="C8" s="6" t="s">
        <v>74</v>
      </c>
      <c r="D8" s="7" t="n">
        <v>1089</v>
      </c>
      <c r="E8" s="6" t="n">
        <v>39.5</v>
      </c>
      <c r="F8" s="6" t="n">
        <v>12</v>
      </c>
      <c r="G8" s="22" t="n">
        <f aca="false">IF(E8&lt;=5,"",F8/(E8/100))</f>
        <v>30.379746835443</v>
      </c>
      <c r="H8" s="6" t="n">
        <v>6</v>
      </c>
      <c r="I8" s="6" t="n">
        <v>0</v>
      </c>
      <c r="J8" s="6" t="n">
        <v>0</v>
      </c>
      <c r="K8" s="6" t="n">
        <v>0.97</v>
      </c>
    </row>
    <row r="9" customFormat="false" ht="15" hidden="false" customHeight="true" outlineLevel="0" collapsed="false">
      <c r="A9" s="6" t="s">
        <v>15</v>
      </c>
      <c r="B9" s="6" t="s">
        <v>75</v>
      </c>
      <c r="C9" s="6" t="s">
        <v>76</v>
      </c>
      <c r="D9" s="7" t="n">
        <v>1087</v>
      </c>
      <c r="E9" s="6" t="n">
        <v>36.8</v>
      </c>
      <c r="F9" s="6" t="n">
        <v>13</v>
      </c>
      <c r="G9" s="22" t="n">
        <f aca="false">IF(E9&lt;=5,"",F9/(E9/100))</f>
        <v>35.3260869565217</v>
      </c>
      <c r="H9" s="6" t="n">
        <v>5</v>
      </c>
      <c r="I9" s="6" t="n">
        <v>1</v>
      </c>
      <c r="J9" s="6" t="n">
        <v>1</v>
      </c>
      <c r="K9" s="6" t="n">
        <v>1.1</v>
      </c>
    </row>
    <row r="10" customFormat="false" ht="15" hidden="false" customHeight="true" outlineLevel="0" collapsed="false">
      <c r="A10" s="6" t="s">
        <v>13</v>
      </c>
      <c r="B10" s="25" t="s">
        <v>77</v>
      </c>
      <c r="C10" s="6" t="s">
        <v>78</v>
      </c>
      <c r="D10" s="7" t="n">
        <v>1085</v>
      </c>
      <c r="E10" s="6" t="n">
        <v>44.5</v>
      </c>
      <c r="F10" s="6" t="n">
        <v>16</v>
      </c>
      <c r="G10" s="22" t="n">
        <f aca="false">IF(E10&lt;=5,"",F10/(E10/100))</f>
        <v>35.9550561797753</v>
      </c>
      <c r="H10" s="6" t="n">
        <v>11</v>
      </c>
      <c r="I10" s="6" t="n">
        <v>1</v>
      </c>
      <c r="J10" s="6" t="n">
        <v>0</v>
      </c>
      <c r="K10" s="6" t="n">
        <v>0</v>
      </c>
    </row>
    <row r="11" customFormat="false" ht="15" hidden="false" customHeight="true" outlineLevel="0" collapsed="false">
      <c r="A11" s="6" t="s">
        <v>15</v>
      </c>
      <c r="B11" s="6" t="s">
        <v>79</v>
      </c>
      <c r="C11" s="6" t="s">
        <v>80</v>
      </c>
      <c r="D11" s="7" t="n">
        <v>1085</v>
      </c>
      <c r="E11" s="6" t="n">
        <v>72.6</v>
      </c>
      <c r="F11" s="6" t="n">
        <v>19</v>
      </c>
      <c r="G11" s="22" t="n">
        <f aca="false">IF(E11&lt;=5,"",F11/(E11/100))</f>
        <v>26.1707988980716</v>
      </c>
      <c r="H11" s="6" t="n">
        <v>4</v>
      </c>
      <c r="I11" s="6" t="n">
        <v>0</v>
      </c>
      <c r="J11" s="6" t="n">
        <v>0</v>
      </c>
      <c r="K11" s="6" t="n">
        <v>1.54</v>
      </c>
    </row>
    <row r="12" customFormat="false" ht="15" hidden="false" customHeight="true" outlineLevel="0" collapsed="false">
      <c r="A12" s="6" t="s">
        <v>20</v>
      </c>
      <c r="B12" s="25" t="s">
        <v>81</v>
      </c>
      <c r="C12" s="6" t="s">
        <v>82</v>
      </c>
      <c r="D12" s="7" t="n">
        <v>1078</v>
      </c>
      <c r="E12" s="6" t="n">
        <v>34.5</v>
      </c>
      <c r="F12" s="6" t="n">
        <v>14</v>
      </c>
      <c r="G12" s="22" t="n">
        <f aca="false">IF(E12&lt;=5,"",F12/(E12/100))</f>
        <v>40.5797101449275</v>
      </c>
      <c r="H12" s="6" t="n">
        <v>0</v>
      </c>
      <c r="I12" s="6" t="n">
        <v>0</v>
      </c>
      <c r="J12" s="6" t="n">
        <v>0</v>
      </c>
      <c r="K12" s="6" t="n">
        <v>3.45</v>
      </c>
    </row>
    <row r="13" customFormat="false" ht="15" hidden="false" customHeight="true" outlineLevel="0" collapsed="false">
      <c r="A13" s="6" t="s">
        <v>20</v>
      </c>
      <c r="B13" s="25" t="s">
        <v>83</v>
      </c>
      <c r="C13" s="6" t="s">
        <v>84</v>
      </c>
      <c r="D13" s="7" t="n">
        <v>1076</v>
      </c>
      <c r="E13" s="6" t="n">
        <v>45.5</v>
      </c>
      <c r="F13" s="6" t="n">
        <v>19</v>
      </c>
      <c r="G13" s="22" t="n">
        <f aca="false">IF(E13&lt;=5,"",F13/(E13/100))</f>
        <v>41.7582417582418</v>
      </c>
      <c r="H13" s="6" t="n">
        <v>2</v>
      </c>
      <c r="I13" s="6" t="n">
        <v>0</v>
      </c>
      <c r="J13" s="6" t="n">
        <v>1</v>
      </c>
      <c r="K13" s="6" t="n">
        <v>2.21</v>
      </c>
    </row>
    <row r="14" customFormat="false" ht="15" hidden="false" customHeight="true" outlineLevel="0" collapsed="false">
      <c r="A14" s="6" t="s">
        <v>13</v>
      </c>
      <c r="B14" s="25" t="s">
        <v>85</v>
      </c>
      <c r="C14" s="6" t="s">
        <v>86</v>
      </c>
      <c r="D14" s="7" t="n">
        <v>1068</v>
      </c>
      <c r="E14" s="6" t="n">
        <v>60.8</v>
      </c>
      <c r="F14" s="6" t="n">
        <v>20</v>
      </c>
      <c r="G14" s="22" t="n">
        <f aca="false">IF(E14&lt;=5,"",F14/(E14/100))</f>
        <v>32.8947368421053</v>
      </c>
      <c r="H14" s="6" t="n">
        <v>9</v>
      </c>
      <c r="I14" s="6" t="n">
        <v>0</v>
      </c>
      <c r="J14" s="6" t="n">
        <v>0</v>
      </c>
      <c r="K14" s="6" t="n">
        <v>0</v>
      </c>
    </row>
    <row r="15" customFormat="false" ht="15" hidden="false" customHeight="true" outlineLevel="0" collapsed="false">
      <c r="A15" s="6" t="s">
        <v>13</v>
      </c>
      <c r="B15" s="25" t="s">
        <v>87</v>
      </c>
      <c r="C15" s="6" t="s">
        <v>88</v>
      </c>
      <c r="D15" s="7" t="n">
        <v>1058</v>
      </c>
      <c r="E15" s="6" t="n">
        <v>53.1</v>
      </c>
      <c r="F15" s="6" t="n">
        <v>18</v>
      </c>
      <c r="G15" s="22" t="n">
        <f aca="false">IF(E15&lt;=5,"",F15/(E15/100))</f>
        <v>33.8983050847458</v>
      </c>
      <c r="H15" s="6" t="n">
        <v>5</v>
      </c>
      <c r="I15" s="6" t="n">
        <v>0</v>
      </c>
      <c r="J15" s="6" t="n">
        <v>0</v>
      </c>
      <c r="K15" s="6" t="n">
        <v>0</v>
      </c>
    </row>
    <row r="16" customFormat="false" ht="15" hidden="false" customHeight="true" outlineLevel="0" collapsed="false">
      <c r="A16" s="6" t="s">
        <v>20</v>
      </c>
      <c r="B16" s="25" t="s">
        <v>89</v>
      </c>
      <c r="C16" s="6" t="s">
        <v>90</v>
      </c>
      <c r="D16" s="7" t="n">
        <v>1056</v>
      </c>
      <c r="E16" s="6" t="n">
        <v>45.5</v>
      </c>
      <c r="F16" s="6" t="n">
        <v>19</v>
      </c>
      <c r="G16" s="22" t="n">
        <f aca="false">IF(E16&lt;=5,"",F16/(E16/100))</f>
        <v>41.7582417582418</v>
      </c>
      <c r="H16" s="6" t="n">
        <v>0</v>
      </c>
      <c r="I16" s="6" t="n">
        <v>0</v>
      </c>
      <c r="J16" s="6" t="n">
        <v>1</v>
      </c>
      <c r="K16" s="6" t="n">
        <v>3.12</v>
      </c>
    </row>
    <row r="17" customFormat="false" ht="15" hidden="false" customHeight="true" outlineLevel="0" collapsed="false">
      <c r="A17" s="6" t="s">
        <v>20</v>
      </c>
      <c r="B17" s="25" t="s">
        <v>91</v>
      </c>
      <c r="C17" s="6" t="s">
        <v>78</v>
      </c>
      <c r="D17" s="7" t="n">
        <v>1056</v>
      </c>
      <c r="E17" s="6" t="n">
        <v>58.7</v>
      </c>
      <c r="F17" s="6" t="n">
        <v>24</v>
      </c>
      <c r="G17" s="22" t="n">
        <f aca="false">IF(E17&lt;=5,"",F17/(E17/100))</f>
        <v>40.885860306644</v>
      </c>
      <c r="H17" s="6" t="n">
        <v>3</v>
      </c>
      <c r="I17" s="6" t="n">
        <v>0</v>
      </c>
      <c r="J17" s="6" t="n">
        <v>0</v>
      </c>
      <c r="K17" s="6" t="n">
        <v>2.27</v>
      </c>
    </row>
    <row r="18" customFormat="false" ht="15" hidden="false" customHeight="true" outlineLevel="0" collapsed="false">
      <c r="A18" s="6" t="s">
        <v>20</v>
      </c>
      <c r="B18" s="25" t="s">
        <v>92</v>
      </c>
      <c r="C18" s="6" t="s">
        <v>93</v>
      </c>
      <c r="D18" s="7" t="n">
        <v>1055</v>
      </c>
      <c r="E18" s="6" t="n">
        <v>46.4</v>
      </c>
      <c r="F18" s="6" t="n">
        <v>19</v>
      </c>
      <c r="G18" s="22" t="n">
        <f aca="false">IF(E18&lt;=5,"",F18/(E18/100))</f>
        <v>40.948275862069</v>
      </c>
      <c r="H18" s="6" t="n">
        <v>2</v>
      </c>
      <c r="I18" s="6" t="n">
        <v>0</v>
      </c>
      <c r="J18" s="6" t="n">
        <v>0</v>
      </c>
      <c r="K18" s="6" t="n">
        <v>3.6</v>
      </c>
    </row>
    <row r="19" customFormat="false" ht="15" hidden="false" customHeight="true" outlineLevel="0" collapsed="false">
      <c r="A19" s="6" t="s">
        <v>13</v>
      </c>
      <c r="B19" s="25" t="s">
        <v>94</v>
      </c>
      <c r="C19" s="6" t="s">
        <v>95</v>
      </c>
      <c r="D19" s="7" t="n">
        <v>1053</v>
      </c>
      <c r="E19" s="6" t="n">
        <v>42.1</v>
      </c>
      <c r="F19" s="6" t="n">
        <v>15</v>
      </c>
      <c r="G19" s="22" t="n">
        <f aca="false">IF(E19&lt;=5,"",F19/(E19/100))</f>
        <v>35.6294536817102</v>
      </c>
      <c r="H19" s="6" t="n">
        <v>4</v>
      </c>
      <c r="I19" s="6" t="n">
        <v>0</v>
      </c>
      <c r="J19" s="6" t="n">
        <v>0</v>
      </c>
      <c r="K19" s="6" t="n">
        <v>0.62</v>
      </c>
    </row>
    <row r="20" customFormat="false" ht="15" hidden="false" customHeight="true" outlineLevel="0" collapsed="false">
      <c r="A20" s="6" t="s">
        <v>20</v>
      </c>
      <c r="B20" s="25" t="s">
        <v>96</v>
      </c>
      <c r="C20" s="6" t="s">
        <v>76</v>
      </c>
      <c r="D20" s="7" t="n">
        <v>1050</v>
      </c>
      <c r="E20" s="6" t="n">
        <v>34.3</v>
      </c>
      <c r="F20" s="6" t="n">
        <v>14</v>
      </c>
      <c r="G20" s="22" t="n">
        <f aca="false">IF(E20&lt;=5,"",F20/(E20/100))</f>
        <v>40.8163265306123</v>
      </c>
      <c r="H20" s="6" t="n">
        <v>3</v>
      </c>
      <c r="I20" s="6" t="n">
        <v>0</v>
      </c>
      <c r="J20" s="6" t="n">
        <v>0</v>
      </c>
      <c r="K20" s="6" t="n">
        <v>8.97</v>
      </c>
    </row>
    <row r="21" customFormat="false" ht="15" hidden="false" customHeight="true" outlineLevel="0" collapsed="false">
      <c r="A21" s="6" t="s">
        <v>15</v>
      </c>
      <c r="B21" s="25" t="s">
        <v>97</v>
      </c>
      <c r="C21" s="6" t="s">
        <v>98</v>
      </c>
      <c r="D21" s="7" t="n">
        <v>1049</v>
      </c>
      <c r="E21" s="6" t="n">
        <v>41.3</v>
      </c>
      <c r="F21" s="6" t="n">
        <v>14</v>
      </c>
      <c r="G21" s="22" t="n">
        <f aca="false">IF(E21&lt;=5,"",F21/(E21/100))</f>
        <v>33.8983050847458</v>
      </c>
      <c r="H21" s="6" t="n">
        <v>6</v>
      </c>
      <c r="I21" s="6" t="n">
        <v>0</v>
      </c>
      <c r="J21" s="6" t="n">
        <v>0</v>
      </c>
      <c r="K21" s="6" t="n">
        <v>1.99</v>
      </c>
    </row>
    <row r="22" customFormat="false" ht="15" hidden="false" customHeight="true" outlineLevel="0" collapsed="false">
      <c r="A22" s="6" t="s">
        <v>13</v>
      </c>
      <c r="B22" s="25" t="s">
        <v>99</v>
      </c>
      <c r="C22" s="6" t="s">
        <v>90</v>
      </c>
      <c r="D22" s="7" t="n">
        <v>1046</v>
      </c>
      <c r="E22" s="6" t="n">
        <v>41.8</v>
      </c>
      <c r="F22" s="6" t="n">
        <v>14</v>
      </c>
      <c r="G22" s="22" t="n">
        <f aca="false">IF(E22&lt;=5,"",F22/(E22/100))</f>
        <v>33.4928229665072</v>
      </c>
      <c r="H22" s="6" t="n">
        <v>2</v>
      </c>
      <c r="I22" s="6" t="n">
        <v>0</v>
      </c>
      <c r="J22" s="6" t="n">
        <v>0</v>
      </c>
      <c r="K22" s="6" t="n">
        <v>0</v>
      </c>
    </row>
    <row r="23" customFormat="false" ht="15" hidden="false" customHeight="true" outlineLevel="0" collapsed="false">
      <c r="A23" s="6" t="s">
        <v>20</v>
      </c>
      <c r="B23" s="25" t="s">
        <v>100</v>
      </c>
      <c r="C23" s="6" t="s">
        <v>101</v>
      </c>
      <c r="D23" s="7" t="n">
        <v>1024</v>
      </c>
      <c r="E23" s="6" t="n">
        <v>47.9</v>
      </c>
      <c r="F23" s="6" t="n">
        <v>19</v>
      </c>
      <c r="G23" s="22" t="n">
        <f aca="false">IF(E23&lt;=5,"",F23/(E23/100))</f>
        <v>39.6659707724426</v>
      </c>
      <c r="H23" s="6" t="n">
        <v>5</v>
      </c>
      <c r="I23" s="6" t="n">
        <v>0</v>
      </c>
      <c r="J23" s="6" t="n">
        <v>0</v>
      </c>
      <c r="K23" s="6" t="n">
        <v>4.55</v>
      </c>
    </row>
    <row r="24" customFormat="false" ht="15" hidden="false" customHeight="true" outlineLevel="0" collapsed="false">
      <c r="A24" s="6" t="s">
        <v>20</v>
      </c>
      <c r="B24" s="6" t="s">
        <v>102</v>
      </c>
      <c r="C24" s="6" t="s">
        <v>103</v>
      </c>
      <c r="D24" s="7" t="n">
        <v>1011</v>
      </c>
      <c r="E24" s="6" t="n">
        <v>53.2</v>
      </c>
      <c r="F24" s="6" t="n">
        <v>22</v>
      </c>
      <c r="G24" s="22" t="n">
        <f aca="false">IF(E24&lt;=5,"",F24/(E24/100))</f>
        <v>41.3533834586466</v>
      </c>
      <c r="H24" s="6" t="n">
        <v>3</v>
      </c>
      <c r="I24" s="6" t="n">
        <v>0</v>
      </c>
      <c r="J24" s="6" t="n">
        <v>1</v>
      </c>
      <c r="K24" s="6" t="n">
        <v>0.95</v>
      </c>
    </row>
    <row r="25" customFormat="false" ht="15" hidden="false" customHeight="true" outlineLevel="0" collapsed="false">
      <c r="A25" s="6" t="s">
        <v>20</v>
      </c>
      <c r="B25" s="25" t="s">
        <v>104</v>
      </c>
      <c r="C25" s="6" t="s">
        <v>105</v>
      </c>
      <c r="D25" s="7" t="n">
        <v>1009</v>
      </c>
      <c r="E25" s="6" t="n">
        <v>48.2</v>
      </c>
      <c r="F25" s="6" t="n">
        <v>20</v>
      </c>
      <c r="G25" s="22" t="n">
        <f aca="false">IF(E25&lt;=5,"",F25/(E25/100))</f>
        <v>41.49377593361</v>
      </c>
      <c r="H25" s="6" t="n">
        <v>3</v>
      </c>
      <c r="I25" s="6" t="n">
        <v>0</v>
      </c>
      <c r="J25" s="6" t="n">
        <v>0</v>
      </c>
      <c r="K25" s="6" t="n">
        <v>0</v>
      </c>
    </row>
    <row r="26" customFormat="false" ht="15" hidden="false" customHeight="true" outlineLevel="0" collapsed="false">
      <c r="A26" s="6" t="s">
        <v>20</v>
      </c>
      <c r="B26" s="25" t="s">
        <v>106</v>
      </c>
      <c r="C26" s="6" t="s">
        <v>107</v>
      </c>
      <c r="D26" s="7" t="n">
        <v>1008</v>
      </c>
      <c r="E26" s="6" t="n">
        <v>46.6</v>
      </c>
      <c r="F26" s="6" t="n">
        <v>21</v>
      </c>
      <c r="G26" s="22" t="n">
        <f aca="false">IF(E26&lt;=5,"",F26/(E26/100))</f>
        <v>45.0643776824034</v>
      </c>
      <c r="H26" s="6" t="n">
        <v>2</v>
      </c>
      <c r="I26" s="6" t="n">
        <v>0</v>
      </c>
      <c r="J26" s="6" t="n">
        <v>1</v>
      </c>
      <c r="K26" s="6" t="n">
        <v>0.82</v>
      </c>
    </row>
    <row r="27" customFormat="false" ht="15" hidden="false" customHeight="true" outlineLevel="0" collapsed="false">
      <c r="A27" s="6" t="s">
        <v>15</v>
      </c>
      <c r="B27" s="6" t="s">
        <v>108</v>
      </c>
      <c r="C27" s="6" t="s">
        <v>82</v>
      </c>
      <c r="D27" s="7" t="n">
        <v>1002</v>
      </c>
      <c r="E27" s="6" t="n">
        <v>43.4</v>
      </c>
      <c r="F27" s="6" t="n">
        <v>12</v>
      </c>
      <c r="G27" s="22" t="n">
        <f aca="false">IF(E27&lt;=5,"",F27/(E27/100))</f>
        <v>27.6497695852535</v>
      </c>
      <c r="H27" s="6" t="n">
        <v>5</v>
      </c>
      <c r="I27" s="6" t="n">
        <v>0</v>
      </c>
      <c r="J27" s="6" t="n">
        <v>2</v>
      </c>
      <c r="K27" s="6" t="n">
        <v>1.59</v>
      </c>
    </row>
    <row r="28" customFormat="false" ht="15" hidden="false" customHeight="true" outlineLevel="0" collapsed="false">
      <c r="A28" s="6" t="s">
        <v>20</v>
      </c>
      <c r="B28" s="25" t="s">
        <v>109</v>
      </c>
      <c r="C28" s="6" t="s">
        <v>110</v>
      </c>
      <c r="D28" s="7" t="n">
        <v>999</v>
      </c>
      <c r="E28" s="6" t="n">
        <v>39.5</v>
      </c>
      <c r="F28" s="6" t="n">
        <v>16</v>
      </c>
      <c r="G28" s="22" t="n">
        <f aca="false">IF(E28&lt;=5,"",F28/(E28/100))</f>
        <v>40.506329113924</v>
      </c>
      <c r="H28" s="6" t="n">
        <v>2</v>
      </c>
      <c r="I28" s="6" t="n">
        <v>0</v>
      </c>
      <c r="J28" s="6" t="n">
        <v>1</v>
      </c>
      <c r="K28" s="6" t="n">
        <v>1.1</v>
      </c>
    </row>
    <row r="29" customFormat="false" ht="15" hidden="false" customHeight="true" outlineLevel="0" collapsed="false">
      <c r="A29" s="6" t="s">
        <v>13</v>
      </c>
      <c r="B29" s="25" t="s">
        <v>111</v>
      </c>
      <c r="C29" s="6" t="s">
        <v>107</v>
      </c>
      <c r="D29" s="7" t="n">
        <v>986</v>
      </c>
      <c r="E29" s="6" t="n">
        <v>35.9</v>
      </c>
      <c r="F29" s="6" t="n">
        <v>12</v>
      </c>
      <c r="G29" s="22" t="n">
        <f aca="false">IF(E29&lt;=5,"",F29/(E29/100))</f>
        <v>33.4261838440111</v>
      </c>
      <c r="H29" s="6" t="n">
        <v>9</v>
      </c>
      <c r="I29" s="6" t="n">
        <v>0</v>
      </c>
      <c r="J29" s="6" t="n">
        <v>2</v>
      </c>
      <c r="K29" s="6" t="n">
        <v>0</v>
      </c>
    </row>
    <row r="30" customFormat="false" ht="15" hidden="false" customHeight="true" outlineLevel="0" collapsed="false">
      <c r="A30" s="6" t="s">
        <v>15</v>
      </c>
      <c r="B30" s="6" t="s">
        <v>112</v>
      </c>
      <c r="C30" s="6" t="s">
        <v>66</v>
      </c>
      <c r="D30" s="7" t="n">
        <v>970</v>
      </c>
      <c r="E30" s="6" t="n">
        <v>48.4</v>
      </c>
      <c r="F30" s="6" t="n">
        <v>15</v>
      </c>
      <c r="G30" s="22" t="n">
        <f aca="false">IF(E30&lt;=5,"",F30/(E30/100))</f>
        <v>30.9917355371901</v>
      </c>
      <c r="H30" s="6" t="n">
        <v>7</v>
      </c>
      <c r="I30" s="6" t="n">
        <v>0</v>
      </c>
      <c r="J30" s="6" t="n">
        <v>0</v>
      </c>
      <c r="K30" s="6" t="n">
        <v>1.54</v>
      </c>
    </row>
    <row r="31" customFormat="false" ht="15" hidden="false" customHeight="true" outlineLevel="0" collapsed="false">
      <c r="A31" s="6" t="s">
        <v>15</v>
      </c>
      <c r="B31" s="25" t="s">
        <v>113</v>
      </c>
      <c r="C31" s="6" t="s">
        <v>110</v>
      </c>
      <c r="D31" s="7" t="n">
        <v>963</v>
      </c>
      <c r="E31" s="6" t="n">
        <v>44.2</v>
      </c>
      <c r="F31" s="6" t="n">
        <v>12</v>
      </c>
      <c r="G31" s="22" t="n">
        <f aca="false">IF(E31&lt;=5,"",F31/(E31/100))</f>
        <v>27.1493212669683</v>
      </c>
      <c r="H31" s="6" t="n">
        <v>8</v>
      </c>
      <c r="I31" s="6" t="n">
        <v>0</v>
      </c>
      <c r="J31" s="6" t="n">
        <v>1</v>
      </c>
      <c r="K31" s="6" t="n">
        <v>0.7</v>
      </c>
    </row>
    <row r="32" customFormat="false" ht="15" hidden="false" customHeight="true" outlineLevel="0" collapsed="false">
      <c r="A32" s="6" t="s">
        <v>13</v>
      </c>
      <c r="B32" s="25" t="s">
        <v>114</v>
      </c>
      <c r="C32" s="6" t="s">
        <v>103</v>
      </c>
      <c r="D32" s="7" t="n">
        <v>961</v>
      </c>
      <c r="E32" s="6" t="n">
        <v>40.1</v>
      </c>
      <c r="F32" s="6" t="n">
        <v>13</v>
      </c>
      <c r="G32" s="22" t="n">
        <f aca="false">IF(E32&lt;=5,"",F32/(E32/100))</f>
        <v>32.4189526184539</v>
      </c>
      <c r="H32" s="6" t="n">
        <v>8</v>
      </c>
      <c r="I32" s="6" t="n">
        <v>0</v>
      </c>
      <c r="J32" s="6" t="n">
        <v>1</v>
      </c>
      <c r="K32" s="6" t="n">
        <v>0</v>
      </c>
    </row>
    <row r="33" customFormat="false" ht="15" hidden="false" customHeight="true" outlineLevel="0" collapsed="false">
      <c r="A33" s="6" t="s">
        <v>20</v>
      </c>
      <c r="B33" s="25" t="s">
        <v>115</v>
      </c>
      <c r="C33" s="6" t="s">
        <v>116</v>
      </c>
      <c r="D33" s="7" t="n">
        <v>957</v>
      </c>
      <c r="E33" s="6" t="n">
        <v>42.3</v>
      </c>
      <c r="F33" s="6" t="n">
        <v>17</v>
      </c>
      <c r="G33" s="22" t="n">
        <f aca="false">IF(E33&lt;=5,"",F33/(E33/100))</f>
        <v>40.1891252955083</v>
      </c>
      <c r="H33" s="6" t="n">
        <v>4</v>
      </c>
      <c r="I33" s="6" t="n">
        <v>0</v>
      </c>
      <c r="J33" s="6" t="n">
        <v>1</v>
      </c>
      <c r="K33" s="6" t="n">
        <v>3.9</v>
      </c>
    </row>
    <row r="34" customFormat="false" ht="15" hidden="false" customHeight="true" outlineLevel="0" collapsed="false">
      <c r="A34" s="6" t="s">
        <v>15</v>
      </c>
      <c r="B34" s="6" t="s">
        <v>117</v>
      </c>
      <c r="C34" s="6" t="s">
        <v>101</v>
      </c>
      <c r="D34" s="7" t="n">
        <v>940</v>
      </c>
      <c r="E34" s="6" t="n">
        <v>38.3</v>
      </c>
      <c r="F34" s="6" t="n">
        <v>13</v>
      </c>
      <c r="G34" s="22" t="n">
        <f aca="false">IF(E34&lt;=5,"",F34/(E34/100))</f>
        <v>33.9425587467363</v>
      </c>
      <c r="H34" s="6" t="n">
        <v>7</v>
      </c>
      <c r="I34" s="6" t="n">
        <v>0</v>
      </c>
      <c r="J34" s="6" t="n">
        <v>2</v>
      </c>
      <c r="K34" s="6" t="n">
        <v>2.56</v>
      </c>
    </row>
    <row r="35" customFormat="false" ht="15" hidden="false" customHeight="true" outlineLevel="0" collapsed="false">
      <c r="A35" s="6" t="s">
        <v>13</v>
      </c>
      <c r="B35" s="25" t="s">
        <v>118</v>
      </c>
      <c r="C35" s="6" t="s">
        <v>116</v>
      </c>
      <c r="D35" s="7" t="n">
        <v>934</v>
      </c>
      <c r="E35" s="6" t="n">
        <v>47.1</v>
      </c>
      <c r="F35" s="6" t="n">
        <v>15</v>
      </c>
      <c r="G35" s="22" t="n">
        <f aca="false">IF(E35&lt;=5,"",F35/(E35/100))</f>
        <v>31.8471337579618</v>
      </c>
      <c r="H35" s="6" t="n">
        <v>12</v>
      </c>
      <c r="I35" s="6" t="n">
        <v>0</v>
      </c>
      <c r="J35" s="6" t="n">
        <v>0</v>
      </c>
      <c r="K35" s="6" t="n">
        <v>2</v>
      </c>
    </row>
    <row r="36" customFormat="false" ht="15" hidden="false" customHeight="true" outlineLevel="0" collapsed="false">
      <c r="A36" s="6" t="s">
        <v>13</v>
      </c>
      <c r="B36" s="25" t="s">
        <v>119</v>
      </c>
      <c r="C36" s="6" t="s">
        <v>110</v>
      </c>
      <c r="D36" s="7" t="n">
        <v>905</v>
      </c>
      <c r="E36" s="6" t="n">
        <v>42.4</v>
      </c>
      <c r="F36" s="6" t="n">
        <v>16</v>
      </c>
      <c r="G36" s="22" t="n">
        <f aca="false">IF(E36&lt;=5,"",F36/(E36/100))</f>
        <v>37.7358490566038</v>
      </c>
      <c r="H36" s="6" t="n">
        <v>9</v>
      </c>
      <c r="I36" s="6" t="n">
        <v>1</v>
      </c>
      <c r="J36" s="6" t="n">
        <v>0</v>
      </c>
      <c r="K36" s="6" t="n">
        <v>5.26</v>
      </c>
    </row>
    <row r="37" customFormat="false" ht="15" hidden="false" customHeight="true" outlineLevel="0" collapsed="false">
      <c r="A37" s="6" t="s">
        <v>13</v>
      </c>
      <c r="B37" s="25" t="s">
        <v>120</v>
      </c>
      <c r="C37" s="6" t="s">
        <v>66</v>
      </c>
      <c r="D37" s="7" t="n">
        <v>872</v>
      </c>
      <c r="E37" s="6" t="n">
        <v>38</v>
      </c>
      <c r="F37" s="6" t="n">
        <v>13</v>
      </c>
      <c r="G37" s="22" t="n">
        <f aca="false">IF(E37&lt;=5,"",F37/(E37/100))</f>
        <v>34.2105263157895</v>
      </c>
      <c r="H37" s="6" t="n">
        <v>9</v>
      </c>
      <c r="I37" s="6" t="n">
        <v>0</v>
      </c>
      <c r="J37" s="6" t="n">
        <v>2</v>
      </c>
      <c r="K37" s="6" t="n">
        <v>0</v>
      </c>
    </row>
    <row r="38" customFormat="false" ht="15" hidden="false" customHeight="true" outlineLevel="0" collapsed="false">
      <c r="A38" s="6" t="s">
        <v>19</v>
      </c>
      <c r="B38" s="25" t="s">
        <v>121</v>
      </c>
      <c r="C38" s="6" t="s">
        <v>122</v>
      </c>
      <c r="D38" s="7" t="n">
        <v>870</v>
      </c>
      <c r="E38" s="6" t="n">
        <v>37.8</v>
      </c>
      <c r="F38" s="6" t="n">
        <v>12</v>
      </c>
      <c r="G38" s="22" t="n">
        <f aca="false">IF(E38&lt;=5,"",F38/(E38/100))</f>
        <v>31.7460317460318</v>
      </c>
      <c r="H38" s="6" t="n">
        <v>1</v>
      </c>
      <c r="I38" s="6" t="n">
        <v>0</v>
      </c>
      <c r="J38" s="6" t="n">
        <v>0</v>
      </c>
      <c r="K38" s="6" t="n">
        <v>0</v>
      </c>
    </row>
    <row r="39" customFormat="false" ht="15" hidden="false" customHeight="true" outlineLevel="0" collapsed="false">
      <c r="A39" s="6" t="s">
        <v>19</v>
      </c>
      <c r="B39" s="25" t="s">
        <v>123</v>
      </c>
      <c r="C39" s="6" t="s">
        <v>116</v>
      </c>
      <c r="D39" s="7" t="n">
        <v>836</v>
      </c>
      <c r="E39" s="6" t="n">
        <v>63.3</v>
      </c>
      <c r="F39" s="6" t="n">
        <v>21</v>
      </c>
      <c r="G39" s="22" t="n">
        <f aca="false">IF(E39&lt;=5,"",F39/(E39/100))</f>
        <v>33.175355450237</v>
      </c>
      <c r="H39" s="6" t="n">
        <v>3</v>
      </c>
      <c r="I39" s="6" t="n">
        <v>0</v>
      </c>
      <c r="J39" s="6" t="n">
        <v>0</v>
      </c>
      <c r="K39" s="6" t="n">
        <v>0</v>
      </c>
    </row>
    <row r="40" customFormat="false" ht="15" hidden="false" customHeight="true" outlineLevel="0" collapsed="false">
      <c r="A40" s="6" t="s">
        <v>19</v>
      </c>
      <c r="B40" s="25" t="s">
        <v>124</v>
      </c>
      <c r="C40" s="6" t="s">
        <v>125</v>
      </c>
      <c r="D40" s="7" t="n">
        <v>810</v>
      </c>
      <c r="E40" s="6" t="n">
        <v>46.9</v>
      </c>
      <c r="F40" s="6" t="n">
        <v>16</v>
      </c>
      <c r="G40" s="22" t="n">
        <f aca="false">IF(E40&lt;=5,"",F40/(E40/100))</f>
        <v>34.1151385927505</v>
      </c>
      <c r="H40" s="6" t="n">
        <v>2</v>
      </c>
      <c r="I40" s="6" t="n">
        <v>0</v>
      </c>
      <c r="J40" s="6" t="n">
        <v>0</v>
      </c>
      <c r="K40" s="6" t="n">
        <v>1.42</v>
      </c>
    </row>
    <row r="41" customFormat="false" ht="15" hidden="false" customHeight="true" outlineLevel="0" collapsed="false">
      <c r="A41" s="6" t="s">
        <v>13</v>
      </c>
      <c r="B41" s="25" t="s">
        <v>126</v>
      </c>
      <c r="C41" s="6" t="s">
        <v>101</v>
      </c>
      <c r="D41" s="7" t="n">
        <v>793</v>
      </c>
      <c r="E41" s="6" t="n">
        <v>42.6</v>
      </c>
      <c r="F41" s="6" t="n">
        <v>15</v>
      </c>
      <c r="G41" s="22" t="n">
        <f aca="false">IF(E41&lt;=5,"",F41/(E41/100))</f>
        <v>35.2112676056338</v>
      </c>
      <c r="H41" s="6" t="n">
        <v>6</v>
      </c>
      <c r="I41" s="6" t="n">
        <v>0</v>
      </c>
      <c r="J41" s="6" t="n">
        <v>0</v>
      </c>
      <c r="K41" s="6" t="n">
        <v>0</v>
      </c>
    </row>
    <row r="42" customFormat="false" ht="15" hidden="false" customHeight="true" outlineLevel="0" collapsed="false">
      <c r="A42" s="6" t="s">
        <v>19</v>
      </c>
      <c r="B42" s="25" t="s">
        <v>127</v>
      </c>
      <c r="C42" s="6" t="s">
        <v>128</v>
      </c>
      <c r="D42" s="7" t="n">
        <v>790</v>
      </c>
      <c r="E42" s="6" t="n">
        <v>33.9</v>
      </c>
      <c r="F42" s="6" t="n">
        <v>11</v>
      </c>
      <c r="G42" s="22" t="n">
        <f aca="false">IF(E42&lt;=5,"",F42/(E42/100))</f>
        <v>32.4483775811209</v>
      </c>
      <c r="H42" s="6" t="n">
        <v>2</v>
      </c>
      <c r="I42" s="6" t="n">
        <v>0</v>
      </c>
      <c r="J42" s="6" t="n">
        <v>0</v>
      </c>
      <c r="K42" s="6" t="n">
        <v>0</v>
      </c>
    </row>
    <row r="43" customFormat="false" ht="15" hidden="false" customHeight="true" outlineLevel="0" collapsed="false">
      <c r="A43" s="6" t="s">
        <v>19</v>
      </c>
      <c r="B43" s="25" t="s">
        <v>129</v>
      </c>
      <c r="C43" s="6" t="s">
        <v>130</v>
      </c>
      <c r="D43" s="7" t="n">
        <v>750</v>
      </c>
      <c r="E43" s="6" t="n">
        <v>59</v>
      </c>
      <c r="F43" s="6" t="n">
        <v>19</v>
      </c>
      <c r="G43" s="22" t="n">
        <f aca="false">IF(E43&lt;=5,"",F43/(E43/100))</f>
        <v>32.2033898305085</v>
      </c>
      <c r="H43" s="6" t="n">
        <v>3</v>
      </c>
      <c r="I43" s="6" t="n">
        <v>0</v>
      </c>
      <c r="J43" s="6" t="n">
        <v>0</v>
      </c>
      <c r="K43" s="6" t="n">
        <v>0</v>
      </c>
    </row>
    <row r="44" customFormat="false" ht="15" hidden="false" customHeight="true" outlineLevel="0" collapsed="false">
      <c r="A44" s="6" t="s">
        <v>20</v>
      </c>
      <c r="B44" s="25" t="s">
        <v>131</v>
      </c>
      <c r="C44" s="6" t="s">
        <v>132</v>
      </c>
      <c r="D44" s="7" t="n">
        <v>727</v>
      </c>
      <c r="E44" s="6" t="n">
        <v>34.2</v>
      </c>
      <c r="F44" s="6" t="n">
        <v>14</v>
      </c>
      <c r="G44" s="22" t="n">
        <f aca="false">IF(E44&lt;=5,"",F44/(E44/100))</f>
        <v>40.9356725146199</v>
      </c>
      <c r="H44" s="6" t="n">
        <v>0</v>
      </c>
      <c r="I44" s="6" t="n">
        <v>0</v>
      </c>
      <c r="J44" s="6" t="n">
        <v>0</v>
      </c>
      <c r="K44" s="6" t="n">
        <v>0</v>
      </c>
    </row>
    <row r="45" customFormat="false" ht="15" hidden="false" customHeight="true" outlineLevel="0" collapsed="false">
      <c r="A45" s="6" t="s">
        <v>13</v>
      </c>
      <c r="B45" s="25" t="s">
        <v>133</v>
      </c>
      <c r="C45" s="6" t="s">
        <v>132</v>
      </c>
      <c r="D45" s="7" t="n">
        <v>548</v>
      </c>
      <c r="E45" s="6" t="n">
        <v>41.2</v>
      </c>
      <c r="F45" s="6" t="n">
        <v>14</v>
      </c>
      <c r="G45" s="22" t="n">
        <f aca="false">IF(E45&lt;=5,"",F45/(E45/100))</f>
        <v>33.9805825242718</v>
      </c>
      <c r="H45" s="6" t="n">
        <v>2</v>
      </c>
      <c r="I45" s="6" t="n">
        <v>0</v>
      </c>
      <c r="J45" s="6" t="n">
        <v>0</v>
      </c>
      <c r="K45" s="6" t="n">
        <v>0</v>
      </c>
    </row>
    <row r="46" customFormat="false" ht="15" hidden="false" customHeight="true" outlineLevel="0" collapsed="false">
      <c r="A46" s="6" t="s">
        <v>19</v>
      </c>
      <c r="B46" s="25" t="s">
        <v>134</v>
      </c>
      <c r="C46" s="6" t="s">
        <v>135</v>
      </c>
      <c r="D46" s="7" t="n">
        <v>451</v>
      </c>
      <c r="E46" s="6" t="n">
        <v>173.4</v>
      </c>
      <c r="F46" s="6" t="n">
        <v>60</v>
      </c>
      <c r="G46" s="22" t="n">
        <f aca="false">IF(E46&lt;=5,"",F46/(E46/100))</f>
        <v>34.6020761245675</v>
      </c>
      <c r="H46" s="6" t="n">
        <v>0</v>
      </c>
      <c r="I46" s="6" t="n">
        <v>0</v>
      </c>
      <c r="J46" s="6" t="n">
        <v>0</v>
      </c>
      <c r="K46" s="6" t="n">
        <v>1.64</v>
      </c>
    </row>
    <row r="47" customFormat="false" ht="15" hidden="false" customHeight="true" outlineLevel="0" collapsed="false">
      <c r="A47" s="6" t="s">
        <v>15</v>
      </c>
      <c r="B47" s="6" t="s">
        <v>136</v>
      </c>
      <c r="C47" s="6" t="s">
        <v>93</v>
      </c>
      <c r="D47" s="7" t="n">
        <v>277</v>
      </c>
      <c r="E47" s="6" t="n">
        <v>35</v>
      </c>
      <c r="F47" s="6" t="n">
        <v>11</v>
      </c>
      <c r="G47" s="22" t="n">
        <f aca="false">IF(E47&lt;=5,"",F47/(E47/100))</f>
        <v>31.4285714285714</v>
      </c>
      <c r="H47" s="6" t="n">
        <v>0</v>
      </c>
      <c r="I47" s="6" t="n">
        <v>0</v>
      </c>
      <c r="J47" s="6" t="n">
        <v>0</v>
      </c>
      <c r="K47" s="6" t="n">
        <v>0.82</v>
      </c>
    </row>
    <row r="48" customFormat="false" ht="15" hidden="false" customHeight="true" outlineLevel="0" collapsed="false">
      <c r="A48" s="6" t="s">
        <v>19</v>
      </c>
      <c r="B48" s="25" t="s">
        <v>137</v>
      </c>
      <c r="C48" s="6" t="s">
        <v>93</v>
      </c>
      <c r="D48" s="7" t="n">
        <v>255</v>
      </c>
      <c r="E48" s="6" t="n">
        <v>41.5</v>
      </c>
      <c r="F48" s="6" t="n">
        <v>14</v>
      </c>
      <c r="G48" s="22" t="n">
        <f aca="false">IF(E48&lt;=5,"",F48/(E48/100))</f>
        <v>33.7349397590361</v>
      </c>
      <c r="H48" s="6" t="n">
        <v>0</v>
      </c>
      <c r="I48" s="6" t="n">
        <v>0</v>
      </c>
      <c r="J48" s="6" t="n">
        <v>0</v>
      </c>
      <c r="K48" s="6" t="n">
        <v>0.79</v>
      </c>
    </row>
    <row r="49" customFormat="false" ht="15" hidden="false" customHeight="true" outlineLevel="0" collapsed="false">
      <c r="A49" s="6" t="s">
        <v>19</v>
      </c>
      <c r="B49" s="25" t="s">
        <v>138</v>
      </c>
      <c r="C49" s="6" t="s">
        <v>139</v>
      </c>
      <c r="D49" s="7" t="n">
        <v>243</v>
      </c>
      <c r="E49" s="6" t="n">
        <v>27.6</v>
      </c>
      <c r="F49" s="6" t="n">
        <v>9</v>
      </c>
      <c r="G49" s="22" t="n">
        <f aca="false">IF(E49&lt;=5,"",F49/(E49/100))</f>
        <v>32.6086956521739</v>
      </c>
      <c r="H49" s="6" t="n">
        <v>0</v>
      </c>
      <c r="I49" s="6" t="n">
        <v>0</v>
      </c>
      <c r="J49" s="6" t="n">
        <v>1</v>
      </c>
      <c r="K49" s="6" t="n">
        <v>1.54</v>
      </c>
    </row>
    <row r="50" customFormat="false" ht="15" hidden="false" customHeight="true" outlineLevel="0" collapsed="false">
      <c r="A50" s="6" t="s">
        <v>19</v>
      </c>
      <c r="B50" s="25" t="s">
        <v>140</v>
      </c>
      <c r="C50" s="6" t="s">
        <v>141</v>
      </c>
      <c r="D50" s="7" t="n">
        <v>214</v>
      </c>
      <c r="E50" s="6" t="n">
        <v>204.2</v>
      </c>
      <c r="F50" s="6" t="n">
        <v>71</v>
      </c>
      <c r="G50" s="22" t="n">
        <f aca="false">IF(E50&lt;=5,"",F50/(E50/100))</f>
        <v>34.769833496572</v>
      </c>
      <c r="H50" s="6" t="n">
        <v>0</v>
      </c>
      <c r="I50" s="6" t="n">
        <v>0</v>
      </c>
      <c r="J50" s="6" t="n">
        <v>0</v>
      </c>
      <c r="K50" s="6" t="n">
        <v>0</v>
      </c>
    </row>
    <row r="51" customFormat="false" ht="15" hidden="false" customHeight="true" outlineLevel="0" collapsed="false">
      <c r="A51" s="6" t="s">
        <v>15</v>
      </c>
      <c r="B51" s="25" t="s">
        <v>142</v>
      </c>
      <c r="C51" s="6" t="s">
        <v>143</v>
      </c>
      <c r="D51" s="7" t="n">
        <v>201</v>
      </c>
      <c r="E51" s="6" t="n">
        <v>40.9</v>
      </c>
      <c r="F51" s="6" t="n">
        <v>13</v>
      </c>
      <c r="G51" s="22" t="n">
        <f aca="false">IF(E51&lt;=5,"",F51/(E51/100))</f>
        <v>31.7848410757946</v>
      </c>
      <c r="H51" s="6" t="n">
        <v>2</v>
      </c>
      <c r="I51" s="6" t="n">
        <v>0</v>
      </c>
      <c r="J51" s="6" t="n">
        <v>0</v>
      </c>
      <c r="K51" s="6" t="n">
        <v>2.5</v>
      </c>
    </row>
    <row r="52" customFormat="false" ht="15" hidden="false" customHeight="true" outlineLevel="0" collapsed="false">
      <c r="A52" s="6" t="s">
        <v>19</v>
      </c>
      <c r="B52" s="25" t="s">
        <v>144</v>
      </c>
      <c r="C52" s="6" t="s">
        <v>145</v>
      </c>
      <c r="D52" s="7" t="n">
        <v>186</v>
      </c>
      <c r="E52" s="6" t="n">
        <v>27.4</v>
      </c>
      <c r="F52" s="6" t="n">
        <v>9</v>
      </c>
      <c r="G52" s="22" t="n">
        <f aca="false">IF(E52&lt;=5,"",F52/(E52/100))</f>
        <v>32.8467153284672</v>
      </c>
      <c r="H52" s="6" t="n">
        <v>0</v>
      </c>
      <c r="I52" s="6" t="n">
        <v>0</v>
      </c>
      <c r="J52" s="6" t="n">
        <v>1</v>
      </c>
      <c r="K52" s="6" t="n">
        <v>1.04</v>
      </c>
    </row>
    <row r="53" customFormat="false" ht="15" hidden="false" customHeight="true" outlineLevel="0" collapsed="false">
      <c r="A53" s="6" t="s">
        <v>19</v>
      </c>
      <c r="B53" s="25" t="s">
        <v>146</v>
      </c>
      <c r="C53" s="6" t="s">
        <v>98</v>
      </c>
      <c r="D53" s="7" t="n">
        <v>168</v>
      </c>
      <c r="E53" s="6" t="n">
        <v>26.1</v>
      </c>
      <c r="F53" s="6" t="n">
        <v>8</v>
      </c>
      <c r="G53" s="22" t="n">
        <f aca="false">IF(E53&lt;=5,"",F53/(E53/100))</f>
        <v>30.6513409961686</v>
      </c>
      <c r="H53" s="6" t="n">
        <v>0</v>
      </c>
      <c r="I53" s="6" t="n">
        <v>0</v>
      </c>
      <c r="J53" s="6" t="n">
        <v>0</v>
      </c>
      <c r="K53" s="6" t="n">
        <v>0</v>
      </c>
    </row>
    <row r="54" customFormat="false" ht="15" hidden="false" customHeight="true" outlineLevel="0" collapsed="false">
      <c r="A54" s="6" t="s">
        <v>15</v>
      </c>
      <c r="B54" s="6" t="s">
        <v>147</v>
      </c>
      <c r="C54" s="6" t="s">
        <v>148</v>
      </c>
      <c r="D54" s="7" t="n">
        <v>153</v>
      </c>
      <c r="E54" s="6" t="n">
        <v>38.9</v>
      </c>
      <c r="F54" s="6" t="n">
        <v>12</v>
      </c>
      <c r="G54" s="22" t="n">
        <f aca="false">IF(E54&lt;=5,"",F54/(E54/100))</f>
        <v>30.8483290488432</v>
      </c>
      <c r="H54" s="6" t="n">
        <v>1</v>
      </c>
      <c r="I54" s="6" t="n">
        <v>0</v>
      </c>
      <c r="J54" s="6" t="n">
        <v>0</v>
      </c>
      <c r="K54" s="6" t="n">
        <v>1.43</v>
      </c>
    </row>
    <row r="55" customFormat="false" ht="15" hidden="false" customHeight="true" outlineLevel="0" collapsed="false">
      <c r="A55" s="6" t="s">
        <v>19</v>
      </c>
      <c r="B55" s="25" t="s">
        <v>149</v>
      </c>
      <c r="C55" s="6" t="s">
        <v>82</v>
      </c>
      <c r="D55" s="7" t="n">
        <v>13</v>
      </c>
      <c r="E55" s="6" t="n">
        <v>14.8</v>
      </c>
      <c r="F55" s="6" t="n">
        <v>4</v>
      </c>
      <c r="G55" s="22" t="n">
        <f aca="false">IF(E55&lt;=5,"",F55/(E55/100))</f>
        <v>27.027027027027</v>
      </c>
      <c r="H55" s="6" t="n">
        <v>0</v>
      </c>
      <c r="I55" s="6" t="n">
        <v>0</v>
      </c>
      <c r="J55" s="6" t="n">
        <v>0</v>
      </c>
      <c r="K55" s="6" t="n">
        <v>3.57</v>
      </c>
    </row>
    <row r="56" customFormat="false" ht="15" hidden="false" customHeight="true" outlineLevel="0" collapsed="false">
      <c r="A56" s="6" t="s">
        <v>20</v>
      </c>
      <c r="B56" s="25" t="s">
        <v>150</v>
      </c>
      <c r="C56" s="6" t="s">
        <v>98</v>
      </c>
      <c r="D56" s="7" t="n">
        <v>3</v>
      </c>
      <c r="E56" s="6" t="n">
        <v>81</v>
      </c>
      <c r="F56" s="6" t="n">
        <v>34</v>
      </c>
      <c r="G56" s="22" t="n">
        <f aca="false">IF(E56&lt;=5,"",F56/(E56/100))</f>
        <v>41.9753086419753</v>
      </c>
      <c r="H56" s="6" t="n">
        <v>0</v>
      </c>
      <c r="I56" s="6" t="n">
        <v>0</v>
      </c>
      <c r="J56" s="6" t="n">
        <v>0</v>
      </c>
      <c r="K56" s="6" t="n">
        <v>3.23</v>
      </c>
    </row>
    <row r="57" customFormat="false" ht="15" hidden="false" customHeight="true" outlineLevel="0" collapsed="false">
      <c r="A57" s="6" t="s">
        <v>13</v>
      </c>
      <c r="B57" s="25" t="s">
        <v>151</v>
      </c>
      <c r="C57" s="6" t="s">
        <v>152</v>
      </c>
      <c r="D57" s="7" t="n">
        <v>0</v>
      </c>
      <c r="E57" s="6" t="n">
        <v>0</v>
      </c>
      <c r="F57" s="6" t="n">
        <v>0</v>
      </c>
      <c r="G57" s="22" t="str">
        <f aca="false">IF(E57&lt;=5,"",F57/(E57/100))</f>
        <v/>
      </c>
      <c r="H57" s="6" t="n">
        <v>0</v>
      </c>
      <c r="I57" s="6" t="n">
        <v>0</v>
      </c>
      <c r="J57" s="6" t="n">
        <v>0</v>
      </c>
      <c r="K57" s="6" t="n">
        <v>0</v>
      </c>
    </row>
    <row r="58" customFormat="false" ht="15" hidden="false" customHeight="true" outlineLevel="0" collapsed="false">
      <c r="A58" s="6" t="s">
        <v>13</v>
      </c>
      <c r="B58" s="25" t="s">
        <v>153</v>
      </c>
      <c r="C58" s="6" t="s">
        <v>154</v>
      </c>
      <c r="D58" s="7" t="n">
        <v>0</v>
      </c>
      <c r="E58" s="6" t="n">
        <v>0</v>
      </c>
      <c r="F58" s="6" t="n">
        <v>0</v>
      </c>
      <c r="G58" s="22" t="str">
        <f aca="false">IF(E58&lt;=5,"",F58/(E58/100))</f>
        <v/>
      </c>
      <c r="H58" s="6" t="n">
        <v>0</v>
      </c>
      <c r="I58" s="6" t="n">
        <v>0</v>
      </c>
      <c r="J58" s="6" t="n">
        <v>0</v>
      </c>
      <c r="K58" s="6" t="n">
        <v>0</v>
      </c>
    </row>
    <row r="59" customFormat="false" ht="15" hidden="false" customHeight="true" outlineLevel="0" collapsed="false">
      <c r="A59" s="6" t="s">
        <v>13</v>
      </c>
      <c r="B59" s="25" t="s">
        <v>155</v>
      </c>
      <c r="C59" s="6" t="s">
        <v>156</v>
      </c>
      <c r="D59" s="7" t="n">
        <v>0</v>
      </c>
      <c r="E59" s="6" t="n">
        <v>0</v>
      </c>
      <c r="F59" s="6" t="n">
        <v>0</v>
      </c>
      <c r="G59" s="22" t="str">
        <f aca="false">IF(E59&lt;=5,"",F59/(E59/100))</f>
        <v/>
      </c>
      <c r="H59" s="6" t="n">
        <v>0</v>
      </c>
      <c r="I59" s="6" t="n">
        <v>0</v>
      </c>
      <c r="J59" s="6" t="n">
        <v>0</v>
      </c>
      <c r="K59" s="6" t="n">
        <v>0</v>
      </c>
    </row>
    <row r="60" customFormat="false" ht="15" hidden="false" customHeight="true" outlineLevel="0" collapsed="false">
      <c r="A60" s="6" t="s">
        <v>13</v>
      </c>
      <c r="B60" s="25" t="s">
        <v>157</v>
      </c>
      <c r="C60" s="6" t="s">
        <v>158</v>
      </c>
      <c r="D60" s="7" t="n">
        <v>0</v>
      </c>
      <c r="E60" s="6" t="n">
        <v>0</v>
      </c>
      <c r="F60" s="6" t="n">
        <v>0</v>
      </c>
      <c r="G60" s="22" t="str">
        <f aca="false">IF(E60&lt;=5,"",F60/(E60/100))</f>
        <v/>
      </c>
      <c r="H60" s="6" t="n">
        <v>0</v>
      </c>
      <c r="I60" s="6" t="n">
        <v>0</v>
      </c>
      <c r="J60" s="6" t="n">
        <v>0</v>
      </c>
      <c r="K60" s="6" t="n">
        <v>0</v>
      </c>
    </row>
    <row r="61" customFormat="false" ht="15" hidden="false" customHeight="true" outlineLevel="0" collapsed="false">
      <c r="A61" s="6" t="s">
        <v>13</v>
      </c>
      <c r="B61" s="25" t="s">
        <v>159</v>
      </c>
      <c r="C61" s="6" t="s">
        <v>160</v>
      </c>
      <c r="D61" s="7" t="n">
        <v>0</v>
      </c>
      <c r="E61" s="6" t="n">
        <v>0</v>
      </c>
      <c r="F61" s="6" t="n">
        <v>0</v>
      </c>
      <c r="G61" s="22" t="str">
        <f aca="false">IF(E61&lt;=5,"",F61/(E61/100))</f>
        <v/>
      </c>
      <c r="H61" s="6" t="n">
        <v>0</v>
      </c>
      <c r="I61" s="6" t="n">
        <v>0</v>
      </c>
      <c r="J61" s="6" t="n">
        <v>0</v>
      </c>
      <c r="K61" s="6" t="n">
        <v>0</v>
      </c>
    </row>
    <row r="62" customFormat="false" ht="15" hidden="false" customHeight="true" outlineLevel="0" collapsed="false">
      <c r="A62" s="6" t="s">
        <v>13</v>
      </c>
      <c r="B62" s="25" t="s">
        <v>161</v>
      </c>
      <c r="C62" s="6" t="s">
        <v>162</v>
      </c>
      <c r="D62" s="7" t="n">
        <v>0</v>
      </c>
      <c r="E62" s="6" t="n">
        <v>0</v>
      </c>
      <c r="F62" s="6" t="n">
        <v>0</v>
      </c>
      <c r="G62" s="22" t="str">
        <f aca="false">IF(E62&lt;=5,"",F62/(E62/100))</f>
        <v/>
      </c>
      <c r="H62" s="6" t="n">
        <v>0</v>
      </c>
      <c r="I62" s="6" t="n">
        <v>0</v>
      </c>
      <c r="J62" s="6" t="n">
        <v>0</v>
      </c>
      <c r="K62" s="6" t="n">
        <v>0</v>
      </c>
    </row>
    <row r="63" customFormat="false" ht="15" hidden="false" customHeight="true" outlineLevel="0" collapsed="false">
      <c r="A63" s="6" t="s">
        <v>13</v>
      </c>
      <c r="B63" s="25" t="s">
        <v>163</v>
      </c>
      <c r="C63" s="6" t="s">
        <v>164</v>
      </c>
      <c r="D63" s="7" t="n">
        <v>0</v>
      </c>
      <c r="E63" s="6" t="n">
        <v>0</v>
      </c>
      <c r="F63" s="6" t="n">
        <v>0</v>
      </c>
      <c r="G63" s="22" t="str">
        <f aca="false">IF(E63&lt;=5,"",F63/(E63/100))</f>
        <v/>
      </c>
      <c r="H63" s="6" t="n">
        <v>0</v>
      </c>
      <c r="I63" s="6" t="n">
        <v>0</v>
      </c>
      <c r="J63" s="6" t="n">
        <v>0</v>
      </c>
      <c r="K63" s="6" t="n">
        <v>2.44</v>
      </c>
    </row>
    <row r="64" customFormat="false" ht="15" hidden="false" customHeight="true" outlineLevel="0" collapsed="false">
      <c r="A64" s="6" t="s">
        <v>13</v>
      </c>
      <c r="B64" s="25" t="s">
        <v>165</v>
      </c>
      <c r="C64" s="6" t="s">
        <v>166</v>
      </c>
      <c r="D64" s="7" t="n">
        <v>0</v>
      </c>
      <c r="E64" s="6" t="n">
        <v>0</v>
      </c>
      <c r="F64" s="6" t="n">
        <v>0</v>
      </c>
      <c r="G64" s="22" t="str">
        <f aca="false">IF(E64&lt;=5,"",F64/(E64/100))</f>
        <v/>
      </c>
      <c r="H64" s="6" t="n">
        <v>0</v>
      </c>
      <c r="I64" s="6" t="n">
        <v>0</v>
      </c>
      <c r="J64" s="6" t="n">
        <v>0</v>
      </c>
      <c r="K64" s="6" t="n">
        <v>0</v>
      </c>
    </row>
    <row r="65" customFormat="false" ht="15" hidden="false" customHeight="true" outlineLevel="0" collapsed="false">
      <c r="A65" s="6" t="s">
        <v>15</v>
      </c>
      <c r="B65" s="6" t="s">
        <v>167</v>
      </c>
      <c r="C65" s="6" t="s">
        <v>152</v>
      </c>
      <c r="D65" s="7" t="n">
        <v>0</v>
      </c>
      <c r="E65" s="6" t="n">
        <v>0</v>
      </c>
      <c r="F65" s="6" t="n">
        <v>0</v>
      </c>
      <c r="G65" s="22" t="str">
        <f aca="false">IF(E65&lt;=5,"",F65/(E65/100))</f>
        <v/>
      </c>
      <c r="H65" s="6" t="n">
        <v>0</v>
      </c>
      <c r="I65" s="6" t="n">
        <v>0</v>
      </c>
      <c r="J65" s="6" t="n">
        <v>0</v>
      </c>
      <c r="K65" s="6" t="n">
        <v>0</v>
      </c>
    </row>
    <row r="66" customFormat="false" ht="15" hidden="false" customHeight="true" outlineLevel="0" collapsed="false">
      <c r="A66" s="6" t="s">
        <v>15</v>
      </c>
      <c r="B66" s="6" t="s">
        <v>168</v>
      </c>
      <c r="C66" s="6" t="s">
        <v>154</v>
      </c>
      <c r="D66" s="7" t="n">
        <v>0</v>
      </c>
      <c r="E66" s="6" t="n">
        <v>0</v>
      </c>
      <c r="F66" s="6" t="n">
        <v>0</v>
      </c>
      <c r="G66" s="22" t="str">
        <f aca="false">IF(E66&lt;=5,"",F66/(E66/100))</f>
        <v/>
      </c>
      <c r="H66" s="6" t="n">
        <v>0</v>
      </c>
      <c r="I66" s="6" t="n">
        <v>0</v>
      </c>
      <c r="J66" s="6" t="n">
        <v>0</v>
      </c>
      <c r="K66" s="6" t="n">
        <v>0</v>
      </c>
    </row>
    <row r="67" customFormat="false" ht="15" hidden="false" customHeight="true" outlineLevel="0" collapsed="false">
      <c r="A67" s="6" t="s">
        <v>15</v>
      </c>
      <c r="B67" s="25" t="s">
        <v>169</v>
      </c>
      <c r="C67" s="6" t="s">
        <v>170</v>
      </c>
      <c r="D67" s="7" t="n">
        <v>0</v>
      </c>
      <c r="E67" s="6" t="n">
        <v>0</v>
      </c>
      <c r="F67" s="6" t="n">
        <v>0</v>
      </c>
      <c r="G67" s="22" t="str">
        <f aca="false">IF(E67&lt;=5,"",F67/(E67/100))</f>
        <v/>
      </c>
      <c r="H67" s="6" t="n">
        <v>0</v>
      </c>
      <c r="I67" s="6" t="n">
        <v>0</v>
      </c>
      <c r="J67" s="6" t="n">
        <v>0</v>
      </c>
      <c r="K67" s="6" t="n">
        <v>0</v>
      </c>
    </row>
    <row r="68" customFormat="false" ht="15" hidden="false" customHeight="true" outlineLevel="0" collapsed="false">
      <c r="A68" s="6" t="s">
        <v>15</v>
      </c>
      <c r="B68" s="6" t="s">
        <v>171</v>
      </c>
      <c r="C68" s="6" t="s">
        <v>158</v>
      </c>
      <c r="D68" s="7" t="n">
        <v>0</v>
      </c>
      <c r="E68" s="6" t="n">
        <v>0</v>
      </c>
      <c r="F68" s="6" t="n">
        <v>0</v>
      </c>
      <c r="G68" s="22" t="str">
        <f aca="false">IF(E68&lt;=5,"",F68/(E68/100))</f>
        <v/>
      </c>
      <c r="H68" s="6" t="n">
        <v>0</v>
      </c>
      <c r="I68" s="6" t="n">
        <v>0</v>
      </c>
      <c r="J68" s="6" t="n">
        <v>0</v>
      </c>
      <c r="K68" s="6" t="n">
        <v>0</v>
      </c>
    </row>
    <row r="69" customFormat="false" ht="15" hidden="false" customHeight="true" outlineLevel="0" collapsed="false">
      <c r="A69" s="6" t="s">
        <v>15</v>
      </c>
      <c r="B69" s="25" t="s">
        <v>172</v>
      </c>
      <c r="C69" s="6" t="s">
        <v>160</v>
      </c>
      <c r="D69" s="7" t="n">
        <v>0</v>
      </c>
      <c r="E69" s="6" t="n">
        <v>0</v>
      </c>
      <c r="F69" s="6" t="n">
        <v>0</v>
      </c>
      <c r="G69" s="22" t="str">
        <f aca="false">IF(E69&lt;=5,"",F69/(E69/100))</f>
        <v/>
      </c>
      <c r="H69" s="6" t="n">
        <v>0</v>
      </c>
      <c r="I69" s="6" t="n">
        <v>0</v>
      </c>
      <c r="J69" s="6" t="n">
        <v>0</v>
      </c>
      <c r="K69" s="6" t="n">
        <v>0</v>
      </c>
    </row>
    <row r="70" customFormat="false" ht="15" hidden="false" customHeight="true" outlineLevel="0" collapsed="false">
      <c r="A70" s="6" t="s">
        <v>15</v>
      </c>
      <c r="B70" s="25" t="s">
        <v>173</v>
      </c>
      <c r="C70" s="6" t="s">
        <v>174</v>
      </c>
      <c r="D70" s="7" t="n">
        <v>0</v>
      </c>
      <c r="E70" s="6" t="n">
        <v>0</v>
      </c>
      <c r="F70" s="6" t="n">
        <v>0</v>
      </c>
      <c r="G70" s="22" t="str">
        <f aca="false">IF(E70&lt;=5,"",F70/(E70/100))</f>
        <v/>
      </c>
      <c r="H70" s="6" t="n">
        <v>0</v>
      </c>
      <c r="I70" s="6" t="n">
        <v>0</v>
      </c>
      <c r="J70" s="6" t="n">
        <v>0</v>
      </c>
      <c r="K70" s="6" t="n">
        <v>0</v>
      </c>
    </row>
    <row r="71" customFormat="false" ht="15" hidden="false" customHeight="true" outlineLevel="0" collapsed="false">
      <c r="A71" s="6" t="s">
        <v>15</v>
      </c>
      <c r="B71" s="6" t="s">
        <v>175</v>
      </c>
      <c r="C71" s="6" t="s">
        <v>164</v>
      </c>
      <c r="D71" s="7" t="n">
        <v>0</v>
      </c>
      <c r="E71" s="6" t="n">
        <v>0</v>
      </c>
      <c r="F71" s="6" t="n">
        <v>0</v>
      </c>
      <c r="G71" s="22" t="str">
        <f aca="false">IF(E71&lt;=5,"",F71/(E71/100))</f>
        <v/>
      </c>
      <c r="H71" s="6" t="n">
        <v>0</v>
      </c>
      <c r="I71" s="6" t="n">
        <v>0</v>
      </c>
      <c r="J71" s="6" t="n">
        <v>0</v>
      </c>
      <c r="K71" s="6" t="n">
        <v>0</v>
      </c>
    </row>
    <row r="72" customFormat="false" ht="15" hidden="false" customHeight="true" outlineLevel="0" collapsed="false">
      <c r="A72" s="6" t="s">
        <v>15</v>
      </c>
      <c r="B72" s="25" t="s">
        <v>176</v>
      </c>
      <c r="C72" s="6" t="s">
        <v>166</v>
      </c>
      <c r="D72" s="7" t="n">
        <v>0</v>
      </c>
      <c r="E72" s="6" t="n">
        <v>0</v>
      </c>
      <c r="F72" s="6" t="n">
        <v>0</v>
      </c>
      <c r="G72" s="22" t="str">
        <f aca="false">IF(E72&lt;=5,"",F72/(E72/100))</f>
        <v/>
      </c>
      <c r="H72" s="6" t="n">
        <v>0</v>
      </c>
      <c r="I72" s="6" t="n">
        <v>0</v>
      </c>
      <c r="J72" s="6" t="n">
        <v>0</v>
      </c>
      <c r="K72" s="6" t="n">
        <v>0</v>
      </c>
    </row>
    <row r="73" customFormat="false" ht="15" hidden="false" customHeight="true" outlineLevel="0" collapsed="false">
      <c r="A73" s="6" t="s">
        <v>16</v>
      </c>
      <c r="B73" s="25" t="s">
        <v>177</v>
      </c>
      <c r="C73" s="6" t="s">
        <v>178</v>
      </c>
      <c r="D73" s="7" t="n">
        <v>0</v>
      </c>
      <c r="E73" s="6" t="n">
        <v>0</v>
      </c>
      <c r="F73" s="6" t="n">
        <v>0</v>
      </c>
      <c r="G73" s="22" t="str">
        <f aca="false">IF(E73&lt;=5,"",F73/(E73/100))</f>
        <v/>
      </c>
      <c r="H73" s="6" t="n">
        <v>0</v>
      </c>
      <c r="I73" s="6" t="n">
        <v>0</v>
      </c>
      <c r="J73" s="6" t="n">
        <v>0</v>
      </c>
      <c r="K73" s="6" t="n">
        <v>0</v>
      </c>
    </row>
    <row r="74" customFormat="false" ht="15" hidden="false" customHeight="true" outlineLevel="0" collapsed="false">
      <c r="A74" s="6" t="s">
        <v>16</v>
      </c>
      <c r="B74" s="25" t="s">
        <v>179</v>
      </c>
      <c r="C74" s="6" t="s">
        <v>180</v>
      </c>
      <c r="D74" s="7" t="n">
        <v>0</v>
      </c>
      <c r="E74" s="6" t="n">
        <v>0</v>
      </c>
      <c r="F74" s="6" t="n">
        <v>0</v>
      </c>
      <c r="G74" s="22" t="str">
        <f aca="false">IF(E74&lt;=5,"",F74/(E74/100))</f>
        <v/>
      </c>
      <c r="H74" s="6" t="n">
        <v>0</v>
      </c>
      <c r="I74" s="6" t="n">
        <v>0</v>
      </c>
      <c r="J74" s="6" t="n">
        <v>0</v>
      </c>
      <c r="K74" s="6" t="n">
        <v>0</v>
      </c>
    </row>
    <row r="75" customFormat="false" ht="15" hidden="false" customHeight="true" outlineLevel="0" collapsed="false">
      <c r="A75" s="6" t="s">
        <v>16</v>
      </c>
      <c r="B75" s="25" t="s">
        <v>181</v>
      </c>
      <c r="C75" s="6" t="s">
        <v>182</v>
      </c>
      <c r="D75" s="7" t="n">
        <v>0</v>
      </c>
      <c r="E75" s="6" t="n">
        <v>0</v>
      </c>
      <c r="F75" s="6" t="n">
        <v>0</v>
      </c>
      <c r="G75" s="22" t="str">
        <f aca="false">IF(E75&lt;=5,"",F75/(E75/100))</f>
        <v/>
      </c>
      <c r="H75" s="6" t="n">
        <v>0</v>
      </c>
      <c r="I75" s="6" t="n">
        <v>0</v>
      </c>
      <c r="J75" s="6" t="n">
        <v>0</v>
      </c>
      <c r="K75" s="6" t="n">
        <v>0</v>
      </c>
    </row>
    <row r="76" customFormat="false" ht="15" hidden="false" customHeight="true" outlineLevel="0" collapsed="false">
      <c r="A76" s="6" t="s">
        <v>19</v>
      </c>
      <c r="B76" s="25" t="s">
        <v>183</v>
      </c>
      <c r="C76" s="6" t="s">
        <v>152</v>
      </c>
      <c r="D76" s="7" t="n">
        <v>0</v>
      </c>
      <c r="E76" s="6" t="n">
        <v>0</v>
      </c>
      <c r="F76" s="6" t="n">
        <v>0</v>
      </c>
      <c r="G76" s="22" t="str">
        <f aca="false">IF(E76&lt;=5,"",F76/(E76/100))</f>
        <v/>
      </c>
      <c r="H76" s="6" t="n">
        <v>0</v>
      </c>
      <c r="I76" s="6" t="n">
        <v>0</v>
      </c>
      <c r="J76" s="6" t="n">
        <v>0</v>
      </c>
      <c r="K76" s="6" t="n">
        <v>0</v>
      </c>
    </row>
    <row r="77" customFormat="false" ht="15" hidden="false" customHeight="true" outlineLevel="0" collapsed="false">
      <c r="A77" s="6" t="s">
        <v>19</v>
      </c>
      <c r="B77" s="25" t="s">
        <v>184</v>
      </c>
      <c r="C77" s="6" t="s">
        <v>185</v>
      </c>
      <c r="D77" s="7" t="n">
        <v>0</v>
      </c>
      <c r="E77" s="6" t="n">
        <v>0</v>
      </c>
      <c r="F77" s="6" t="n">
        <v>0</v>
      </c>
      <c r="G77" s="22" t="str">
        <f aca="false">IF(E77&lt;=5,"",F77/(E77/100))</f>
        <v/>
      </c>
      <c r="H77" s="6" t="n">
        <v>0</v>
      </c>
      <c r="I77" s="6" t="n">
        <v>0</v>
      </c>
      <c r="J77" s="6" t="n">
        <v>0</v>
      </c>
      <c r="K77" s="6" t="n">
        <v>0</v>
      </c>
    </row>
    <row r="78" customFormat="false" ht="15" hidden="false" customHeight="true" outlineLevel="0" collapsed="false">
      <c r="A78" s="6" t="s">
        <v>19</v>
      </c>
      <c r="B78" s="25" t="s">
        <v>186</v>
      </c>
      <c r="C78" s="6" t="s">
        <v>187</v>
      </c>
      <c r="D78" s="7" t="n">
        <v>0</v>
      </c>
      <c r="E78" s="6" t="n">
        <v>0</v>
      </c>
      <c r="F78" s="6" t="n">
        <v>0</v>
      </c>
      <c r="G78" s="22" t="str">
        <f aca="false">IF(E78&lt;=5,"",F78/(E78/100))</f>
        <v/>
      </c>
      <c r="H78" s="6" t="n">
        <v>0</v>
      </c>
      <c r="I78" s="6" t="n">
        <v>0</v>
      </c>
      <c r="J78" s="6" t="n">
        <v>0</v>
      </c>
      <c r="K78" s="6" t="n">
        <v>0</v>
      </c>
    </row>
    <row r="79" customFormat="false" ht="15" hidden="false" customHeight="true" outlineLevel="0" collapsed="false">
      <c r="A79" s="6" t="s">
        <v>19</v>
      </c>
      <c r="B79" s="25" t="s">
        <v>188</v>
      </c>
      <c r="C79" s="6" t="s">
        <v>158</v>
      </c>
      <c r="D79" s="7" t="n">
        <v>0</v>
      </c>
      <c r="E79" s="6" t="n">
        <v>0</v>
      </c>
      <c r="F79" s="6" t="n">
        <v>0</v>
      </c>
      <c r="G79" s="22" t="str">
        <f aca="false">IF(E79&lt;=5,"",F79/(E79/100))</f>
        <v/>
      </c>
      <c r="H79" s="6" t="n">
        <v>0</v>
      </c>
      <c r="I79" s="6" t="n">
        <v>0</v>
      </c>
      <c r="J79" s="6" t="n">
        <v>0</v>
      </c>
      <c r="K79" s="6" t="n">
        <v>0</v>
      </c>
    </row>
    <row r="80" customFormat="false" ht="15" hidden="false" customHeight="true" outlineLevel="0" collapsed="false">
      <c r="A80" s="6" t="s">
        <v>19</v>
      </c>
      <c r="B80" s="25" t="s">
        <v>189</v>
      </c>
      <c r="C80" s="6" t="s">
        <v>190</v>
      </c>
      <c r="D80" s="7" t="n">
        <v>0</v>
      </c>
      <c r="E80" s="6" t="n">
        <v>0</v>
      </c>
      <c r="F80" s="6" t="n">
        <v>0</v>
      </c>
      <c r="G80" s="22" t="str">
        <f aca="false">IF(E80&lt;=5,"",F80/(E80/100))</f>
        <v/>
      </c>
      <c r="H80" s="6" t="n">
        <v>0</v>
      </c>
      <c r="I80" s="6" t="n">
        <v>0</v>
      </c>
      <c r="J80" s="6" t="n">
        <v>0</v>
      </c>
      <c r="K80" s="6" t="n">
        <v>0</v>
      </c>
    </row>
    <row r="81" customFormat="false" ht="15" hidden="false" customHeight="true" outlineLevel="0" collapsed="false">
      <c r="A81" s="6" t="s">
        <v>19</v>
      </c>
      <c r="B81" s="25" t="s">
        <v>191</v>
      </c>
      <c r="C81" s="6" t="s">
        <v>192</v>
      </c>
      <c r="D81" s="7" t="n">
        <v>0</v>
      </c>
      <c r="E81" s="6" t="n">
        <v>0</v>
      </c>
      <c r="F81" s="6" t="n">
        <v>0</v>
      </c>
      <c r="G81" s="22" t="str">
        <f aca="false">IF(E81&lt;=5,"",F81/(E81/100))</f>
        <v/>
      </c>
      <c r="H81" s="6" t="n">
        <v>0</v>
      </c>
      <c r="I81" s="6" t="n">
        <v>0</v>
      </c>
      <c r="J81" s="6" t="n">
        <v>0</v>
      </c>
      <c r="K81" s="6" t="n">
        <v>14.29</v>
      </c>
    </row>
    <row r="82" customFormat="false" ht="15" hidden="false" customHeight="true" outlineLevel="0" collapsed="false">
      <c r="A82" s="6" t="s">
        <v>19</v>
      </c>
      <c r="B82" s="25" t="s">
        <v>193</v>
      </c>
      <c r="C82" s="6" t="s">
        <v>164</v>
      </c>
      <c r="D82" s="7" t="n">
        <v>0</v>
      </c>
      <c r="E82" s="6" t="n">
        <v>0</v>
      </c>
      <c r="F82" s="6" t="n">
        <v>0</v>
      </c>
      <c r="G82" s="22" t="str">
        <f aca="false">IF(E82&lt;=5,"",F82/(E82/100))</f>
        <v/>
      </c>
      <c r="H82" s="6" t="n">
        <v>0</v>
      </c>
      <c r="I82" s="6" t="n">
        <v>0</v>
      </c>
      <c r="J82" s="6" t="n">
        <v>0</v>
      </c>
      <c r="K82" s="6" t="n">
        <v>5.56</v>
      </c>
    </row>
    <row r="83" customFormat="false" ht="15" hidden="false" customHeight="true" outlineLevel="0" collapsed="false">
      <c r="A83" s="6" t="s">
        <v>19</v>
      </c>
      <c r="B83" s="25" t="s">
        <v>194</v>
      </c>
      <c r="C83" s="6" t="s">
        <v>195</v>
      </c>
      <c r="D83" s="7" t="n">
        <v>0</v>
      </c>
      <c r="E83" s="6" t="n">
        <v>0</v>
      </c>
      <c r="F83" s="6" t="n">
        <v>0</v>
      </c>
      <c r="G83" s="22" t="str">
        <f aca="false">IF(E83&lt;=5,"",F83/(E83/100))</f>
        <v/>
      </c>
      <c r="H83" s="6" t="n">
        <v>0</v>
      </c>
      <c r="I83" s="6" t="n">
        <v>0</v>
      </c>
      <c r="J83" s="6" t="n">
        <v>0</v>
      </c>
      <c r="K83" s="6" t="n">
        <v>0</v>
      </c>
    </row>
    <row r="84" customFormat="false" ht="15" hidden="false" customHeight="true" outlineLevel="0" collapsed="false">
      <c r="A84" s="6" t="s">
        <v>20</v>
      </c>
      <c r="B84" s="6" t="s">
        <v>196</v>
      </c>
      <c r="C84" s="6" t="s">
        <v>152</v>
      </c>
      <c r="D84" s="7" t="n">
        <v>0</v>
      </c>
      <c r="E84" s="6" t="n">
        <v>0</v>
      </c>
      <c r="F84" s="6" t="n">
        <v>0</v>
      </c>
      <c r="G84" s="22" t="str">
        <f aca="false">IF(E84&lt;=5,"",F84/(E84/100))</f>
        <v/>
      </c>
      <c r="H84" s="6" t="n">
        <v>0</v>
      </c>
      <c r="I84" s="6" t="n">
        <v>0</v>
      </c>
      <c r="J84" s="6" t="n">
        <v>0</v>
      </c>
      <c r="K84" s="6" t="n">
        <v>0</v>
      </c>
    </row>
    <row r="85" customFormat="false" ht="15" hidden="false" customHeight="true" outlineLevel="0" collapsed="false">
      <c r="A85" s="6" t="s">
        <v>20</v>
      </c>
      <c r="B85" s="25" t="s">
        <v>197</v>
      </c>
      <c r="C85" s="6" t="s">
        <v>154</v>
      </c>
      <c r="D85" s="7" t="n">
        <v>0</v>
      </c>
      <c r="E85" s="6" t="n">
        <v>0</v>
      </c>
      <c r="F85" s="6" t="n">
        <v>0</v>
      </c>
      <c r="G85" s="22" t="str">
        <f aca="false">IF(E85&lt;=5,"",F85/(E85/100))</f>
        <v/>
      </c>
      <c r="H85" s="6" t="n">
        <v>0</v>
      </c>
      <c r="I85" s="6" t="n">
        <v>0</v>
      </c>
      <c r="J85" s="6" t="n">
        <v>0</v>
      </c>
      <c r="K85" s="6" t="n">
        <v>0</v>
      </c>
    </row>
    <row r="86" customFormat="false" ht="15" hidden="false" customHeight="true" outlineLevel="0" collapsed="false">
      <c r="A86" s="6" t="s">
        <v>20</v>
      </c>
      <c r="B86" s="25" t="s">
        <v>198</v>
      </c>
      <c r="C86" s="6" t="s">
        <v>156</v>
      </c>
      <c r="D86" s="7" t="n">
        <v>0</v>
      </c>
      <c r="E86" s="6" t="n">
        <v>0</v>
      </c>
      <c r="F86" s="6" t="n">
        <v>0</v>
      </c>
      <c r="G86" s="22" t="str">
        <f aca="false">IF(E86&lt;=5,"",F86/(E86/100))</f>
        <v/>
      </c>
      <c r="H86" s="6" t="n">
        <v>0</v>
      </c>
      <c r="I86" s="6" t="n">
        <v>0</v>
      </c>
      <c r="J86" s="6" t="n">
        <v>0</v>
      </c>
      <c r="K86" s="6" t="n">
        <v>0</v>
      </c>
    </row>
    <row r="87" customFormat="false" ht="15" hidden="false" customHeight="true" outlineLevel="0" collapsed="false">
      <c r="A87" s="6" t="s">
        <v>20</v>
      </c>
      <c r="B87" s="25" t="s">
        <v>199</v>
      </c>
      <c r="C87" s="6" t="s">
        <v>200</v>
      </c>
      <c r="D87" s="7" t="n">
        <v>0</v>
      </c>
      <c r="E87" s="6" t="n">
        <v>0</v>
      </c>
      <c r="F87" s="6" t="n">
        <v>0</v>
      </c>
      <c r="G87" s="22" t="str">
        <f aca="false">IF(E87&lt;=5,"",F87/(E87/100))</f>
        <v/>
      </c>
      <c r="H87" s="6" t="n">
        <v>0</v>
      </c>
      <c r="I87" s="6" t="n">
        <v>0</v>
      </c>
      <c r="J87" s="6" t="n">
        <v>0</v>
      </c>
      <c r="K87" s="6" t="n">
        <v>0</v>
      </c>
    </row>
    <row r="88" customFormat="false" ht="15" hidden="false" customHeight="true" outlineLevel="0" collapsed="false">
      <c r="A88" s="6" t="s">
        <v>20</v>
      </c>
      <c r="B88" s="25" t="s">
        <v>201</v>
      </c>
      <c r="C88" s="6" t="s">
        <v>158</v>
      </c>
      <c r="D88" s="7" t="n">
        <v>0</v>
      </c>
      <c r="E88" s="6" t="n">
        <v>0</v>
      </c>
      <c r="F88" s="6" t="n">
        <v>0</v>
      </c>
      <c r="G88" s="22" t="str">
        <f aca="false">IF(E88&lt;=5,"",F88/(E88/100))</f>
        <v/>
      </c>
      <c r="H88" s="6" t="n">
        <v>0</v>
      </c>
      <c r="I88" s="6" t="n">
        <v>0</v>
      </c>
      <c r="J88" s="6" t="n">
        <v>0</v>
      </c>
      <c r="K88" s="6" t="n">
        <v>0</v>
      </c>
    </row>
    <row r="89" customFormat="false" ht="15" hidden="false" customHeight="true" outlineLevel="0" collapsed="false">
      <c r="A89" s="6" t="s">
        <v>20</v>
      </c>
      <c r="B89" s="25" t="s">
        <v>202</v>
      </c>
      <c r="C89" s="6" t="s">
        <v>160</v>
      </c>
      <c r="D89" s="7" t="n">
        <v>0</v>
      </c>
      <c r="E89" s="6" t="n">
        <v>0</v>
      </c>
      <c r="F89" s="6" t="n">
        <v>0</v>
      </c>
      <c r="G89" s="22" t="str">
        <f aca="false">IF(E89&lt;=5,"",F89/(E89/100))</f>
        <v/>
      </c>
      <c r="H89" s="6" t="n">
        <v>0</v>
      </c>
      <c r="I89" s="6" t="n">
        <v>0</v>
      </c>
      <c r="J89" s="6" t="n">
        <v>0</v>
      </c>
      <c r="K89" s="6" t="n">
        <v>0</v>
      </c>
    </row>
    <row r="90" customFormat="false" ht="15" hidden="false" customHeight="true" outlineLevel="0" collapsed="false">
      <c r="A90" s="6" t="s">
        <v>20</v>
      </c>
      <c r="B90" s="25" t="s">
        <v>203</v>
      </c>
      <c r="C90" s="6" t="s">
        <v>162</v>
      </c>
      <c r="D90" s="7" t="n">
        <v>0</v>
      </c>
      <c r="E90" s="6" t="n">
        <v>0</v>
      </c>
      <c r="F90" s="6" t="n">
        <v>0</v>
      </c>
      <c r="G90" s="22" t="str">
        <f aca="false">IF(E90&lt;=5,"",F90/(E90/100))</f>
        <v/>
      </c>
      <c r="H90" s="6" t="n">
        <v>0</v>
      </c>
      <c r="I90" s="6" t="n">
        <v>0</v>
      </c>
      <c r="J90" s="6" t="n">
        <v>0</v>
      </c>
      <c r="K90" s="6" t="n">
        <v>0</v>
      </c>
    </row>
    <row r="91" customFormat="false" ht="15" hidden="false" customHeight="true" outlineLevel="0" collapsed="false">
      <c r="A91" s="6" t="s">
        <v>20</v>
      </c>
      <c r="B91" s="25" t="s">
        <v>204</v>
      </c>
      <c r="C91" s="6" t="s">
        <v>205</v>
      </c>
      <c r="D91" s="7" t="n">
        <v>0</v>
      </c>
      <c r="E91" s="6" t="n">
        <v>0</v>
      </c>
      <c r="F91" s="6" t="n">
        <v>0</v>
      </c>
      <c r="G91" s="22" t="str">
        <f aca="false">IF(E91&lt;=5,"",F91/(E91/100))</f>
        <v/>
      </c>
      <c r="H91" s="6" t="n">
        <v>0</v>
      </c>
      <c r="I91" s="6" t="n">
        <v>0</v>
      </c>
      <c r="J91" s="6" t="n">
        <v>0</v>
      </c>
      <c r="K91" s="6" t="n">
        <v>0</v>
      </c>
    </row>
    <row r="92" customFormat="false" ht="15" hidden="false" customHeight="true" outlineLevel="0" collapsed="false">
      <c r="A92" s="6" t="s">
        <v>20</v>
      </c>
      <c r="B92" s="25" t="s">
        <v>206</v>
      </c>
      <c r="C92" s="6" t="s">
        <v>164</v>
      </c>
      <c r="D92" s="7" t="n">
        <v>0</v>
      </c>
      <c r="E92" s="6" t="n">
        <v>0</v>
      </c>
      <c r="F92" s="6" t="n">
        <v>0</v>
      </c>
      <c r="G92" s="22" t="str">
        <f aca="false">IF(E92&lt;=5,"",F92/(E92/100))</f>
        <v/>
      </c>
      <c r="H92" s="6" t="n">
        <v>0</v>
      </c>
      <c r="I92" s="6" t="n">
        <v>0</v>
      </c>
      <c r="J92" s="6" t="n">
        <v>0</v>
      </c>
      <c r="K92" s="6" t="n">
        <v>0</v>
      </c>
    </row>
    <row r="93" customFormat="false" ht="15" hidden="false" customHeight="true" outlineLevel="0" collapsed="false">
      <c r="A93" s="6" t="s">
        <v>20</v>
      </c>
      <c r="B93" s="25" t="s">
        <v>207</v>
      </c>
      <c r="C93" s="6" t="s">
        <v>166</v>
      </c>
      <c r="D93" s="7" t="n">
        <v>0</v>
      </c>
      <c r="E93" s="6" t="n">
        <v>0</v>
      </c>
      <c r="F93" s="6" t="n">
        <v>0</v>
      </c>
      <c r="G93" s="22" t="str">
        <f aca="false">IF(E93&lt;=5,"",F93/(E93/100))</f>
        <v/>
      </c>
      <c r="H93" s="6" t="n">
        <v>0</v>
      </c>
      <c r="I93" s="6" t="n">
        <v>0</v>
      </c>
      <c r="J93" s="6" t="n">
        <v>0</v>
      </c>
      <c r="K93" s="6" t="n">
        <v>2</v>
      </c>
    </row>
    <row r="94" customFormat="false" ht="15" hidden="false" customHeight="true" outlineLevel="0" collapsed="false">
      <c r="A94" s="3" t="s">
        <v>208</v>
      </c>
      <c r="D94" s="11" t="n">
        <f aca="false">MEDIAN(D4:D93)</f>
        <v>249</v>
      </c>
      <c r="E94" s="9" t="n">
        <f aca="false">MEDIAN(E4:E93)</f>
        <v>34.75</v>
      </c>
      <c r="F94" s="9" t="n">
        <f aca="false">MEDIAN(F4:F93)</f>
        <v>12</v>
      </c>
      <c r="G94" s="9" t="n">
        <f aca="false">MEDIAN(G4:G93)</f>
        <v>33.9805825242718</v>
      </c>
      <c r="H94" s="3" t="n">
        <f aca="false">SUM(H4:H93)</f>
        <v>193</v>
      </c>
      <c r="J94" s="3" t="n">
        <f aca="false">SUM(J4:J93)</f>
        <v>19</v>
      </c>
      <c r="K94" s="9" t="n">
        <f aca="false">MEDIAN(K4:K93)</f>
        <v>0</v>
      </c>
    </row>
    <row r="96" customFormat="false" ht="57.75" hidden="false" customHeight="true" outlineLevel="0" collapsed="false">
      <c r="A96" s="23" t="s">
        <v>209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</sheetData>
  <mergeCells count="2">
    <mergeCell ref="A1:K1"/>
    <mergeCell ref="A96:K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6" min="5" style="1" width="13"/>
  </cols>
  <sheetData>
    <row r="1" customFormat="false" ht="25.5" hidden="false" customHeight="true" outlineLevel="0" collapsed="false">
      <c r="A1" s="14" t="s">
        <v>210</v>
      </c>
      <c r="B1" s="14"/>
      <c r="C1" s="14"/>
      <c r="D1" s="14"/>
      <c r="E1" s="14"/>
      <c r="F1" s="14"/>
    </row>
    <row r="3" customFormat="false" ht="30" hidden="false" customHeight="true" outlineLevel="0" collapsed="false">
      <c r="A3" s="15" t="s">
        <v>211</v>
      </c>
      <c r="B3" s="5" t="s">
        <v>212</v>
      </c>
      <c r="C3" s="5" t="s">
        <v>213</v>
      </c>
      <c r="D3" s="5" t="s">
        <v>214</v>
      </c>
      <c r="E3" s="5" t="s">
        <v>215</v>
      </c>
      <c r="F3" s="5" t="s">
        <v>216</v>
      </c>
    </row>
    <row r="4" customFormat="false" ht="75.75" hidden="false" customHeight="true" outlineLevel="0" collapsed="false">
      <c r="A4" s="26" t="n">
        <v>1</v>
      </c>
      <c r="B4" s="26" t="s">
        <v>217</v>
      </c>
      <c r="C4" s="26" t="s">
        <v>218</v>
      </c>
      <c r="D4" s="27" t="s">
        <v>219</v>
      </c>
      <c r="E4" s="28" t="s">
        <v>220</v>
      </c>
      <c r="F4" s="26" t="s">
        <v>221</v>
      </c>
    </row>
    <row r="5" customFormat="false" ht="75.75" hidden="false" customHeight="true" outlineLevel="0" collapsed="false">
      <c r="A5" s="26" t="n">
        <v>2</v>
      </c>
      <c r="B5" s="26" t="s">
        <v>222</v>
      </c>
      <c r="C5" s="27" t="s">
        <v>223</v>
      </c>
      <c r="D5" s="26" t="s">
        <v>224</v>
      </c>
      <c r="E5" s="28" t="s">
        <v>220</v>
      </c>
      <c r="F5" s="26" t="s">
        <v>221</v>
      </c>
    </row>
    <row r="6" customFormat="false" ht="75.75" hidden="false" customHeight="true" outlineLevel="0" collapsed="false">
      <c r="A6" s="26" t="n">
        <v>3</v>
      </c>
      <c r="B6" s="26" t="s">
        <v>225</v>
      </c>
      <c r="C6" s="26" t="s">
        <v>226</v>
      </c>
      <c r="D6" s="26" t="s">
        <v>227</v>
      </c>
      <c r="E6" s="29" t="s">
        <v>228</v>
      </c>
      <c r="F6" s="26" t="s">
        <v>229</v>
      </c>
    </row>
    <row r="7" customFormat="false" ht="75.75" hidden="false" customHeight="true" outlineLevel="0" collapsed="false">
      <c r="A7" s="26" t="n">
        <v>4</v>
      </c>
      <c r="B7" s="26" t="s">
        <v>17</v>
      </c>
      <c r="C7" s="27" t="s">
        <v>230</v>
      </c>
      <c r="D7" s="26" t="s">
        <v>231</v>
      </c>
      <c r="E7" s="30" t="s">
        <v>232</v>
      </c>
      <c r="F7" s="26" t="s">
        <v>229</v>
      </c>
    </row>
    <row r="8" customFormat="false" ht="75.75" hidden="false" customHeight="true" outlineLevel="0" collapsed="false">
      <c r="A8" s="26" t="n">
        <v>5</v>
      </c>
      <c r="B8" s="26" t="s">
        <v>20</v>
      </c>
      <c r="C8" s="27" t="s">
        <v>233</v>
      </c>
      <c r="D8" s="26" t="s">
        <v>234</v>
      </c>
      <c r="E8" s="29" t="s">
        <v>235</v>
      </c>
      <c r="F8" s="26" t="s">
        <v>229</v>
      </c>
    </row>
    <row r="9" customFormat="false" ht="75.75" hidden="false" customHeight="true" outlineLevel="0" collapsed="false">
      <c r="A9" s="26" t="n">
        <v>6</v>
      </c>
      <c r="B9" s="27" t="s">
        <v>236</v>
      </c>
      <c r="C9" s="27" t="s">
        <v>237</v>
      </c>
      <c r="D9" s="26" t="s">
        <v>238</v>
      </c>
      <c r="E9" s="29" t="s">
        <v>228</v>
      </c>
      <c r="F9" s="26" t="s">
        <v>229</v>
      </c>
    </row>
    <row r="10" customFormat="false" ht="75.75" hidden="false" customHeight="true" outlineLevel="0" collapsed="false">
      <c r="A10" s="26" t="n">
        <v>7</v>
      </c>
      <c r="B10" s="27" t="s">
        <v>236</v>
      </c>
      <c r="C10" s="27" t="s">
        <v>239</v>
      </c>
      <c r="D10" s="27" t="s">
        <v>240</v>
      </c>
      <c r="E10" s="29" t="s">
        <v>228</v>
      </c>
      <c r="F10" s="26" t="s">
        <v>229</v>
      </c>
    </row>
    <row r="12" customFormat="false" ht="30" hidden="false" customHeight="true" outlineLevel="0" collapsed="false">
      <c r="A12" s="23" t="s">
        <v>241</v>
      </c>
      <c r="B12" s="23"/>
      <c r="C12" s="23"/>
      <c r="D12" s="23"/>
      <c r="E12" s="23"/>
      <c r="F12" s="23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1"/>
    <col collapsed="false" customWidth="true" hidden="false" outlineLevel="0" max="6" min="4" style="1" width="12"/>
    <col collapsed="false" customWidth="true" hidden="false" outlineLevel="0" max="7" min="7" style="1" width="14"/>
  </cols>
  <sheetData>
    <row r="1" customFormat="false" ht="25.5" hidden="false" customHeight="true" outlineLevel="0" collapsed="false">
      <c r="A1" s="14" t="s">
        <v>242</v>
      </c>
      <c r="B1" s="14"/>
      <c r="C1" s="14"/>
      <c r="D1" s="14"/>
      <c r="E1" s="14"/>
      <c r="F1" s="14"/>
      <c r="G1" s="14"/>
    </row>
    <row r="3" customFormat="false" ht="29.25" hidden="false" customHeight="true" outlineLevel="0" collapsed="false">
      <c r="A3" s="13" t="s">
        <v>243</v>
      </c>
      <c r="B3" s="13"/>
      <c r="C3" s="13"/>
      <c r="D3" s="13"/>
      <c r="E3" s="13"/>
      <c r="F3" s="13"/>
      <c r="G3" s="13"/>
    </row>
    <row r="5" customFormat="false" ht="30" hidden="false" customHeight="true" outlineLevel="0" collapsed="false">
      <c r="A5" s="5" t="s">
        <v>244</v>
      </c>
      <c r="B5" s="5" t="s">
        <v>4</v>
      </c>
      <c r="C5" s="5" t="s">
        <v>58</v>
      </c>
      <c r="D5" s="5" t="s">
        <v>245</v>
      </c>
      <c r="E5" s="5" t="s">
        <v>246</v>
      </c>
      <c r="F5" s="5" t="s">
        <v>247</v>
      </c>
      <c r="G5" s="5" t="s">
        <v>248</v>
      </c>
    </row>
    <row r="6" customFormat="false" ht="15" hidden="false" customHeight="true" outlineLevel="0" collapsed="false">
      <c r="A6" s="6" t="s">
        <v>249</v>
      </c>
      <c r="B6" s="6" t="s">
        <v>16</v>
      </c>
      <c r="C6" s="7" t="n">
        <v>0</v>
      </c>
      <c r="D6" s="6" t="n">
        <v>0</v>
      </c>
      <c r="E6" s="6" t="n">
        <v>0</v>
      </c>
      <c r="F6" s="6" t="n">
        <f aca="false">D6-E6</f>
        <v>0</v>
      </c>
      <c r="G6" s="31" t="n">
        <v>0</v>
      </c>
    </row>
    <row r="7" customFormat="false" ht="15" hidden="false" customHeight="true" outlineLevel="0" collapsed="false">
      <c r="A7" s="6" t="s">
        <v>249</v>
      </c>
      <c r="B7" s="6" t="s">
        <v>20</v>
      </c>
      <c r="C7" s="7" t="n">
        <v>456</v>
      </c>
      <c r="D7" s="6" t="n">
        <v>0</v>
      </c>
      <c r="E7" s="6" t="n">
        <v>0</v>
      </c>
      <c r="F7" s="6" t="n">
        <f aca="false">D7-E7</f>
        <v>0</v>
      </c>
      <c r="G7" s="31" t="n">
        <v>316</v>
      </c>
    </row>
    <row r="8" customFormat="false" ht="15" hidden="false" customHeight="true" outlineLevel="0" collapsed="false">
      <c r="A8" s="6" t="s">
        <v>249</v>
      </c>
      <c r="B8" s="6" t="s">
        <v>13</v>
      </c>
      <c r="C8" s="7" t="n">
        <v>778</v>
      </c>
      <c r="D8" s="6" t="n">
        <v>0</v>
      </c>
      <c r="E8" s="6" t="n">
        <v>0</v>
      </c>
      <c r="F8" s="6" t="n">
        <f aca="false">D8-E8</f>
        <v>0</v>
      </c>
      <c r="G8" s="31" t="n">
        <v>87</v>
      </c>
    </row>
    <row r="9" customFormat="false" ht="15" hidden="false" customHeight="true" outlineLevel="0" collapsed="false">
      <c r="A9" s="6" t="s">
        <v>249</v>
      </c>
      <c r="B9" s="6" t="s">
        <v>17</v>
      </c>
      <c r="C9" s="7" t="n">
        <v>1332</v>
      </c>
      <c r="D9" s="6" t="n">
        <v>0</v>
      </c>
      <c r="E9" s="6" t="n">
        <v>0</v>
      </c>
      <c r="F9" s="6" t="n">
        <f aca="false">D9-E9</f>
        <v>0</v>
      </c>
      <c r="G9" s="31" t="n">
        <v>192</v>
      </c>
    </row>
    <row r="10" customFormat="false" ht="15" hidden="false" customHeight="true" outlineLevel="0" collapsed="false">
      <c r="A10" s="6" t="s">
        <v>249</v>
      </c>
      <c r="B10" s="6" t="s">
        <v>15</v>
      </c>
      <c r="C10" s="7" t="n">
        <v>1115</v>
      </c>
      <c r="D10" s="6" t="n">
        <v>0</v>
      </c>
      <c r="E10" s="6" t="n">
        <v>0</v>
      </c>
      <c r="F10" s="6" t="n">
        <f aca="false">D10-E10</f>
        <v>0</v>
      </c>
      <c r="G10" s="31" t="n">
        <v>117</v>
      </c>
    </row>
    <row r="11" customFormat="false" ht="15" hidden="false" customHeight="true" outlineLevel="0" collapsed="false">
      <c r="A11" s="6" t="s">
        <v>249</v>
      </c>
      <c r="B11" s="6" t="s">
        <v>19</v>
      </c>
      <c r="C11" s="7" t="n">
        <v>1955</v>
      </c>
      <c r="D11" s="6" t="n">
        <v>0</v>
      </c>
      <c r="E11" s="6" t="n">
        <v>0</v>
      </c>
      <c r="F11" s="6" t="n">
        <f aca="false">D11-E11</f>
        <v>0</v>
      </c>
      <c r="G11" s="31" t="n">
        <v>191</v>
      </c>
    </row>
    <row r="12" customFormat="false" ht="15" hidden="false" customHeight="true" outlineLevel="0" collapsed="false">
      <c r="A12" s="6" t="s">
        <v>250</v>
      </c>
      <c r="B12" s="6" t="s">
        <v>16</v>
      </c>
      <c r="C12" s="7" t="n">
        <v>0</v>
      </c>
      <c r="D12" s="6" t="n">
        <v>0</v>
      </c>
      <c r="E12" s="6" t="n">
        <v>0</v>
      </c>
      <c r="F12" s="6" t="n">
        <f aca="false">D12-E12</f>
        <v>0</v>
      </c>
      <c r="G12" s="31" t="n">
        <v>0</v>
      </c>
    </row>
    <row r="13" customFormat="false" ht="15" hidden="false" customHeight="true" outlineLevel="0" collapsed="false">
      <c r="A13" s="6" t="s">
        <v>250</v>
      </c>
      <c r="B13" s="6" t="s">
        <v>20</v>
      </c>
      <c r="C13" s="7" t="n">
        <v>354</v>
      </c>
      <c r="D13" s="6" t="n">
        <v>1</v>
      </c>
      <c r="E13" s="6" t="n">
        <v>0</v>
      </c>
      <c r="F13" s="6" t="n">
        <f aca="false">D13-E13</f>
        <v>1</v>
      </c>
      <c r="G13" s="31" t="n">
        <v>327</v>
      </c>
    </row>
    <row r="14" customFormat="false" ht="15" hidden="false" customHeight="true" outlineLevel="0" collapsed="false">
      <c r="A14" s="6" t="s">
        <v>250</v>
      </c>
      <c r="B14" s="6" t="s">
        <v>13</v>
      </c>
      <c r="C14" s="7" t="n">
        <v>965</v>
      </c>
      <c r="D14" s="6" t="n">
        <v>0</v>
      </c>
      <c r="E14" s="6" t="n">
        <v>0</v>
      </c>
      <c r="F14" s="6" t="n">
        <f aca="false">D14-E14</f>
        <v>0</v>
      </c>
      <c r="G14" s="31" t="n">
        <v>100</v>
      </c>
    </row>
    <row r="15" customFormat="false" ht="15" hidden="false" customHeight="true" outlineLevel="0" collapsed="false">
      <c r="A15" s="6" t="s">
        <v>250</v>
      </c>
      <c r="B15" s="6" t="s">
        <v>17</v>
      </c>
      <c r="C15" s="7" t="n">
        <v>1670</v>
      </c>
      <c r="D15" s="6" t="n">
        <v>0</v>
      </c>
      <c r="E15" s="6" t="n">
        <v>0</v>
      </c>
      <c r="F15" s="6" t="n">
        <f aca="false">D15-E15</f>
        <v>0</v>
      </c>
      <c r="G15" s="31" t="n">
        <v>167</v>
      </c>
    </row>
    <row r="16" customFormat="false" ht="15" hidden="false" customHeight="true" outlineLevel="0" collapsed="false">
      <c r="A16" s="6" t="s">
        <v>250</v>
      </c>
      <c r="B16" s="6" t="s">
        <v>15</v>
      </c>
      <c r="C16" s="7" t="n">
        <v>870</v>
      </c>
      <c r="D16" s="6" t="n">
        <v>3</v>
      </c>
      <c r="E16" s="6" t="n">
        <v>2</v>
      </c>
      <c r="F16" s="6" t="n">
        <f aca="false">D16-E16</f>
        <v>1</v>
      </c>
      <c r="G16" s="31" t="n">
        <v>133</v>
      </c>
    </row>
    <row r="17" customFormat="false" ht="15" hidden="false" customHeight="true" outlineLevel="0" collapsed="false">
      <c r="A17" s="6" t="s">
        <v>250</v>
      </c>
      <c r="B17" s="6" t="s">
        <v>19</v>
      </c>
      <c r="C17" s="7" t="n">
        <v>1732</v>
      </c>
      <c r="D17" s="6" t="n">
        <v>0</v>
      </c>
      <c r="E17" s="6" t="n">
        <v>0</v>
      </c>
      <c r="F17" s="6" t="n">
        <f aca="false">D17-E17</f>
        <v>0</v>
      </c>
      <c r="G17" s="31" t="n">
        <v>158</v>
      </c>
    </row>
    <row r="18" customFormat="false" ht="15" hidden="false" customHeight="true" outlineLevel="0" collapsed="false">
      <c r="A18" s="6" t="s">
        <v>251</v>
      </c>
      <c r="B18" s="6" t="s">
        <v>16</v>
      </c>
      <c r="C18" s="7" t="n">
        <v>1429</v>
      </c>
      <c r="D18" s="6" t="n">
        <v>1</v>
      </c>
      <c r="E18" s="6" t="n">
        <v>0</v>
      </c>
      <c r="F18" s="6" t="n">
        <f aca="false">D18-E18</f>
        <v>1</v>
      </c>
      <c r="G18" s="31" t="n">
        <v>139</v>
      </c>
    </row>
    <row r="19" customFormat="false" ht="15" hidden="false" customHeight="true" outlineLevel="0" collapsed="false">
      <c r="A19" s="6" t="s">
        <v>251</v>
      </c>
      <c r="B19" s="6" t="s">
        <v>20</v>
      </c>
      <c r="C19" s="7" t="n">
        <v>1186</v>
      </c>
      <c r="D19" s="6" t="n">
        <v>2</v>
      </c>
      <c r="E19" s="6" t="n">
        <v>0</v>
      </c>
      <c r="F19" s="6" t="n">
        <f aca="false">D19-E19</f>
        <v>2</v>
      </c>
      <c r="G19" s="31" t="n">
        <v>411</v>
      </c>
    </row>
    <row r="20" customFormat="false" ht="15" hidden="false" customHeight="true" outlineLevel="0" collapsed="false">
      <c r="A20" s="6" t="s">
        <v>251</v>
      </c>
      <c r="B20" s="6" t="s">
        <v>13</v>
      </c>
      <c r="C20" s="7" t="n">
        <v>1085</v>
      </c>
      <c r="D20" s="6" t="n">
        <v>2</v>
      </c>
      <c r="E20" s="6" t="n">
        <v>1</v>
      </c>
      <c r="F20" s="6" t="n">
        <f aca="false">D20-E20</f>
        <v>1</v>
      </c>
      <c r="G20" s="31" t="n">
        <v>108</v>
      </c>
    </row>
    <row r="21" customFormat="false" ht="15" hidden="false" customHeight="true" outlineLevel="0" collapsed="false">
      <c r="A21" s="6" t="s">
        <v>251</v>
      </c>
      <c r="B21" s="6" t="s">
        <v>17</v>
      </c>
      <c r="C21" s="7" t="n">
        <v>1785</v>
      </c>
      <c r="D21" s="6" t="n">
        <v>1</v>
      </c>
      <c r="E21" s="6" t="n">
        <v>0</v>
      </c>
      <c r="F21" s="6" t="n">
        <f aca="false">D21-E21</f>
        <v>1</v>
      </c>
      <c r="G21" s="31" t="n">
        <v>173</v>
      </c>
    </row>
    <row r="22" customFormat="false" ht="15" hidden="false" customHeight="true" outlineLevel="0" collapsed="false">
      <c r="A22" s="6" t="s">
        <v>251</v>
      </c>
      <c r="B22" s="6" t="s">
        <v>15</v>
      </c>
      <c r="C22" s="7" t="n">
        <v>1107</v>
      </c>
      <c r="D22" s="6" t="n">
        <v>0</v>
      </c>
      <c r="E22" s="6" t="n">
        <v>0</v>
      </c>
      <c r="F22" s="6" t="n">
        <f aca="false">D22-E22</f>
        <v>0</v>
      </c>
      <c r="G22" s="31" t="n">
        <v>185</v>
      </c>
    </row>
    <row r="23" customFormat="false" ht="15" hidden="false" customHeight="true" outlineLevel="0" collapsed="false">
      <c r="A23" s="6" t="s">
        <v>251</v>
      </c>
      <c r="B23" s="6" t="s">
        <v>19</v>
      </c>
      <c r="C23" s="7" t="n">
        <v>1700</v>
      </c>
      <c r="D23" s="6" t="n">
        <v>0</v>
      </c>
      <c r="E23" s="6" t="n">
        <v>0</v>
      </c>
      <c r="F23" s="6" t="n">
        <f aca="false">D23-E23</f>
        <v>0</v>
      </c>
      <c r="G23" s="31" t="n">
        <v>119</v>
      </c>
    </row>
    <row r="24" customFormat="false" ht="15" hidden="false" customHeight="true" outlineLevel="0" collapsed="false">
      <c r="A24" s="6" t="s">
        <v>252</v>
      </c>
      <c r="B24" s="6" t="s">
        <v>16</v>
      </c>
      <c r="C24" s="7" t="n">
        <v>2364</v>
      </c>
      <c r="D24" s="6" t="n">
        <v>2</v>
      </c>
      <c r="E24" s="6" t="n">
        <v>1</v>
      </c>
      <c r="F24" s="6" t="n">
        <f aca="false">D24-E24</f>
        <v>1</v>
      </c>
      <c r="G24" s="31" t="n">
        <v>396</v>
      </c>
    </row>
    <row r="25" customFormat="false" ht="15" hidden="false" customHeight="true" outlineLevel="0" collapsed="false">
      <c r="A25" s="6" t="s">
        <v>252</v>
      </c>
      <c r="B25" s="6" t="s">
        <v>20</v>
      </c>
      <c r="C25" s="7" t="n">
        <v>929</v>
      </c>
      <c r="D25" s="6" t="n">
        <v>0</v>
      </c>
      <c r="E25" s="6" t="n">
        <v>0</v>
      </c>
      <c r="F25" s="6" t="n">
        <f aca="false">D25-E25</f>
        <v>0</v>
      </c>
      <c r="G25" s="31" t="n">
        <v>354</v>
      </c>
    </row>
    <row r="26" customFormat="false" ht="15" hidden="false" customHeight="true" outlineLevel="0" collapsed="false">
      <c r="A26" s="6" t="s">
        <v>252</v>
      </c>
      <c r="B26" s="6" t="s">
        <v>13</v>
      </c>
      <c r="C26" s="7" t="n">
        <v>770</v>
      </c>
      <c r="D26" s="6" t="n">
        <v>0</v>
      </c>
      <c r="E26" s="6" t="n">
        <v>1</v>
      </c>
      <c r="F26" s="6" t="n">
        <f aca="false">D26-E26</f>
        <v>-1</v>
      </c>
      <c r="G26" s="31" t="n">
        <v>83</v>
      </c>
    </row>
    <row r="27" customFormat="false" ht="15" hidden="false" customHeight="true" outlineLevel="0" collapsed="false">
      <c r="A27" s="6" t="s">
        <v>252</v>
      </c>
      <c r="B27" s="6" t="s">
        <v>17</v>
      </c>
      <c r="C27" s="7" t="n">
        <v>1338</v>
      </c>
      <c r="D27" s="6" t="n">
        <v>1</v>
      </c>
      <c r="E27" s="6" t="n">
        <v>0</v>
      </c>
      <c r="F27" s="6" t="n">
        <f aca="false">D27-E27</f>
        <v>1</v>
      </c>
      <c r="G27" s="31" t="n">
        <v>148</v>
      </c>
    </row>
    <row r="28" customFormat="false" ht="15" hidden="false" customHeight="true" outlineLevel="0" collapsed="false">
      <c r="A28" s="6" t="s">
        <v>252</v>
      </c>
      <c r="B28" s="6" t="s">
        <v>15</v>
      </c>
      <c r="C28" s="7" t="n">
        <v>1018</v>
      </c>
      <c r="D28" s="6" t="n">
        <v>1</v>
      </c>
      <c r="E28" s="6" t="n">
        <v>0</v>
      </c>
      <c r="F28" s="6" t="n">
        <f aca="false">D28-E28</f>
        <v>1</v>
      </c>
      <c r="G28" s="31" t="n">
        <v>107</v>
      </c>
    </row>
    <row r="29" customFormat="false" ht="15" hidden="false" customHeight="true" outlineLevel="0" collapsed="false">
      <c r="A29" s="6" t="s">
        <v>252</v>
      </c>
      <c r="B29" s="6" t="s">
        <v>19</v>
      </c>
      <c r="C29" s="7" t="n">
        <v>2221</v>
      </c>
      <c r="D29" s="6" t="n">
        <v>0</v>
      </c>
      <c r="E29" s="6" t="n">
        <v>0</v>
      </c>
      <c r="F29" s="6" t="n">
        <f aca="false">D29-E29</f>
        <v>0</v>
      </c>
      <c r="G29" s="31" t="n">
        <v>285</v>
      </c>
    </row>
    <row r="30" customFormat="false" ht="15" hidden="false" customHeight="true" outlineLevel="0" collapsed="false">
      <c r="A30" s="6" t="s">
        <v>253</v>
      </c>
      <c r="B30" s="6" t="s">
        <v>17</v>
      </c>
      <c r="C30" s="7" t="n">
        <v>1573</v>
      </c>
      <c r="D30" s="6" t="n">
        <v>1</v>
      </c>
      <c r="E30" s="6" t="n">
        <v>0</v>
      </c>
      <c r="F30" s="6" t="n">
        <f aca="false">D30-E30</f>
        <v>1</v>
      </c>
      <c r="G30" s="31" t="n">
        <v>188</v>
      </c>
    </row>
    <row r="31" customFormat="false" ht="15" hidden="false" customHeight="true" outlineLevel="0" collapsed="false">
      <c r="A31" s="6" t="s">
        <v>253</v>
      </c>
      <c r="B31" s="6" t="s">
        <v>16</v>
      </c>
      <c r="C31" s="7" t="n">
        <v>3032</v>
      </c>
      <c r="D31" s="6" t="n">
        <v>2</v>
      </c>
      <c r="E31" s="6" t="n">
        <v>0</v>
      </c>
      <c r="F31" s="6" t="n">
        <f aca="false">D31-E31</f>
        <v>2</v>
      </c>
      <c r="G31" s="31" t="n">
        <v>302</v>
      </c>
    </row>
    <row r="32" customFormat="false" ht="15" hidden="false" customHeight="true" outlineLevel="0" collapsed="false">
      <c r="A32" s="6" t="s">
        <v>253</v>
      </c>
      <c r="B32" s="6" t="s">
        <v>20</v>
      </c>
      <c r="C32" s="7" t="n">
        <v>845</v>
      </c>
      <c r="D32" s="6" t="n">
        <v>2</v>
      </c>
      <c r="E32" s="6" t="n">
        <v>0</v>
      </c>
      <c r="F32" s="6" t="n">
        <f aca="false">D32-E32</f>
        <v>2</v>
      </c>
      <c r="G32" s="31" t="n">
        <v>322</v>
      </c>
    </row>
    <row r="33" customFormat="false" ht="15" hidden="false" customHeight="true" outlineLevel="0" collapsed="false">
      <c r="A33" s="6" t="s">
        <v>253</v>
      </c>
      <c r="B33" s="6" t="s">
        <v>13</v>
      </c>
      <c r="C33" s="7" t="n">
        <v>1109</v>
      </c>
      <c r="D33" s="6" t="n">
        <v>0</v>
      </c>
      <c r="E33" s="6" t="n">
        <v>0</v>
      </c>
      <c r="F33" s="6" t="n">
        <f aca="false">D33-E33</f>
        <v>0</v>
      </c>
      <c r="G33" s="31" t="n">
        <v>70</v>
      </c>
    </row>
    <row r="34" customFormat="false" ht="15" hidden="false" customHeight="true" outlineLevel="0" collapsed="false">
      <c r="A34" s="6" t="s">
        <v>253</v>
      </c>
      <c r="B34" s="6" t="s">
        <v>15</v>
      </c>
      <c r="C34" s="7" t="n">
        <v>1171</v>
      </c>
      <c r="D34" s="6" t="n">
        <v>0</v>
      </c>
      <c r="E34" s="6" t="n">
        <v>0</v>
      </c>
      <c r="F34" s="6" t="n">
        <f aca="false">D34-E34</f>
        <v>0</v>
      </c>
      <c r="G34" s="31" t="n">
        <v>109</v>
      </c>
    </row>
    <row r="35" customFormat="false" ht="15" hidden="false" customHeight="true" outlineLevel="0" collapsed="false">
      <c r="A35" s="6" t="s">
        <v>253</v>
      </c>
      <c r="B35" s="6" t="s">
        <v>19</v>
      </c>
      <c r="C35" s="7" t="n">
        <v>1950</v>
      </c>
      <c r="D35" s="6" t="n">
        <v>0</v>
      </c>
      <c r="E35" s="6" t="n">
        <v>0</v>
      </c>
      <c r="F35" s="6" t="n">
        <f aca="false">D35-E35</f>
        <v>0</v>
      </c>
      <c r="G35" s="31" t="n">
        <v>259</v>
      </c>
    </row>
    <row r="36" customFormat="false" ht="15" hidden="false" customHeight="true" outlineLevel="0" collapsed="false">
      <c r="A36" s="6" t="s">
        <v>254</v>
      </c>
      <c r="B36" s="6" t="s">
        <v>17</v>
      </c>
      <c r="C36" s="7" t="n">
        <v>1561</v>
      </c>
      <c r="D36" s="6" t="n">
        <v>1</v>
      </c>
      <c r="E36" s="6" t="n">
        <v>0</v>
      </c>
      <c r="F36" s="6" t="n">
        <f aca="false">D36-E36</f>
        <v>1</v>
      </c>
      <c r="G36" s="31" t="n">
        <v>219</v>
      </c>
    </row>
    <row r="37" customFormat="false" ht="15" hidden="false" customHeight="true" outlineLevel="0" collapsed="false">
      <c r="A37" s="6" t="s">
        <v>254</v>
      </c>
      <c r="B37" s="6" t="s">
        <v>16</v>
      </c>
      <c r="C37" s="7" t="n">
        <v>2546</v>
      </c>
      <c r="D37" s="6" t="n">
        <v>0</v>
      </c>
      <c r="E37" s="6" t="n">
        <v>0</v>
      </c>
      <c r="F37" s="6" t="n">
        <f aca="false">D37-E37</f>
        <v>0</v>
      </c>
      <c r="G37" s="31" t="n">
        <v>287</v>
      </c>
    </row>
    <row r="38" customFormat="false" ht="15" hidden="false" customHeight="true" outlineLevel="0" collapsed="false">
      <c r="A38" s="6" t="s">
        <v>254</v>
      </c>
      <c r="B38" s="6" t="s">
        <v>20</v>
      </c>
      <c r="C38" s="7" t="n">
        <v>1056</v>
      </c>
      <c r="D38" s="6" t="n">
        <v>0</v>
      </c>
      <c r="E38" s="6" t="n">
        <v>0</v>
      </c>
      <c r="F38" s="6" t="n">
        <f aca="false">D38-E38</f>
        <v>0</v>
      </c>
      <c r="G38" s="31" t="n">
        <v>386</v>
      </c>
    </row>
    <row r="39" customFormat="false" ht="15" hidden="false" customHeight="true" outlineLevel="0" collapsed="false">
      <c r="A39" s="6" t="s">
        <v>254</v>
      </c>
      <c r="B39" s="6" t="s">
        <v>13</v>
      </c>
      <c r="C39" s="7" t="n">
        <v>223</v>
      </c>
      <c r="D39" s="6" t="n">
        <v>0</v>
      </c>
      <c r="E39" s="6" t="n">
        <v>0</v>
      </c>
      <c r="F39" s="6" t="n">
        <f aca="false">D39-E39</f>
        <v>0</v>
      </c>
      <c r="G39" s="31" t="n">
        <v>14</v>
      </c>
    </row>
    <row r="40" customFormat="false" ht="15" hidden="false" customHeight="true" outlineLevel="0" collapsed="false">
      <c r="A40" s="6" t="s">
        <v>254</v>
      </c>
      <c r="B40" s="6" t="s">
        <v>15</v>
      </c>
      <c r="C40" s="7" t="n">
        <v>65</v>
      </c>
      <c r="D40" s="6" t="n">
        <v>3</v>
      </c>
      <c r="E40" s="6" t="n">
        <v>0</v>
      </c>
      <c r="F40" s="6" t="n">
        <f aca="false">D40-E40</f>
        <v>3</v>
      </c>
      <c r="G40" s="31" t="n">
        <v>10</v>
      </c>
    </row>
    <row r="41" customFormat="false" ht="15" hidden="false" customHeight="true" outlineLevel="0" collapsed="false">
      <c r="A41" s="6" t="s">
        <v>254</v>
      </c>
      <c r="B41" s="6" t="s">
        <v>19</v>
      </c>
      <c r="C41" s="7" t="n">
        <v>16</v>
      </c>
      <c r="D41" s="6" t="n">
        <v>0</v>
      </c>
      <c r="E41" s="6" t="n">
        <v>0</v>
      </c>
      <c r="F41" s="6" t="n">
        <f aca="false">D41-E41</f>
        <v>0</v>
      </c>
      <c r="G41" s="31" t="n">
        <v>1</v>
      </c>
    </row>
    <row r="42" customFormat="false" ht="15" hidden="false" customHeight="true" outlineLevel="0" collapsed="false">
      <c r="A42" s="6" t="s">
        <v>255</v>
      </c>
      <c r="B42" s="6" t="s">
        <v>17</v>
      </c>
      <c r="C42" s="7" t="n">
        <v>3</v>
      </c>
      <c r="D42" s="6" t="n">
        <v>0</v>
      </c>
      <c r="E42" s="6" t="n">
        <v>0</v>
      </c>
      <c r="F42" s="6" t="n">
        <f aca="false">D42-E42</f>
        <v>0</v>
      </c>
      <c r="G42" s="31" t="n">
        <v>0</v>
      </c>
    </row>
    <row r="43" customFormat="false" ht="15" hidden="false" customHeight="true" outlineLevel="0" collapsed="false">
      <c r="A43" s="6" t="s">
        <v>255</v>
      </c>
      <c r="B43" s="6" t="s">
        <v>16</v>
      </c>
      <c r="C43" s="7" t="n">
        <v>4</v>
      </c>
      <c r="D43" s="6" t="n">
        <v>0</v>
      </c>
      <c r="E43" s="6" t="n">
        <v>0</v>
      </c>
      <c r="F43" s="6" t="n">
        <f aca="false">D43-E43</f>
        <v>0</v>
      </c>
      <c r="G43" s="31" t="n">
        <v>0</v>
      </c>
    </row>
    <row r="44" customFormat="false" ht="15" hidden="false" customHeight="true" outlineLevel="0" collapsed="false">
      <c r="A44" s="6" t="s">
        <v>255</v>
      </c>
      <c r="B44" s="6" t="s">
        <v>20</v>
      </c>
      <c r="C44" s="7" t="n">
        <v>134</v>
      </c>
      <c r="D44" s="6" t="n">
        <v>1</v>
      </c>
      <c r="E44" s="6" t="n">
        <v>0</v>
      </c>
      <c r="F44" s="6" t="n">
        <f aca="false">D44-E44</f>
        <v>1</v>
      </c>
      <c r="G44" s="31" t="n">
        <v>61</v>
      </c>
    </row>
    <row r="45" customFormat="false" ht="15" hidden="false" customHeight="true" outlineLevel="0" collapsed="false">
      <c r="A45" s="6" t="s">
        <v>255</v>
      </c>
      <c r="B45" s="6" t="s">
        <v>13</v>
      </c>
      <c r="C45" s="7" t="n">
        <v>13</v>
      </c>
      <c r="D45" s="6" t="n">
        <v>0</v>
      </c>
      <c r="E45" s="6" t="n">
        <v>0</v>
      </c>
      <c r="F45" s="6" t="n">
        <f aca="false">D45-E45</f>
        <v>0</v>
      </c>
      <c r="G45" s="31" t="n">
        <v>1</v>
      </c>
    </row>
    <row r="46" customFormat="false" ht="15" hidden="false" customHeight="true" outlineLevel="0" collapsed="false">
      <c r="A46" s="6" t="s">
        <v>255</v>
      </c>
      <c r="B46" s="6" t="s">
        <v>15</v>
      </c>
      <c r="C46" s="7" t="n">
        <v>34</v>
      </c>
      <c r="D46" s="6" t="n">
        <v>0</v>
      </c>
      <c r="E46" s="6" t="n">
        <v>0</v>
      </c>
      <c r="F46" s="6" t="n">
        <f aca="false">D46-E46</f>
        <v>0</v>
      </c>
      <c r="G46" s="31" t="n">
        <v>6</v>
      </c>
    </row>
    <row r="47" customFormat="false" ht="15" hidden="false" customHeight="true" outlineLevel="0" collapsed="false">
      <c r="A47" s="6" t="s">
        <v>255</v>
      </c>
      <c r="B47" s="6" t="s">
        <v>19</v>
      </c>
      <c r="C47" s="7" t="n">
        <v>1163</v>
      </c>
      <c r="D47" s="6" t="n">
        <v>2</v>
      </c>
      <c r="E47" s="6" t="n">
        <v>1</v>
      </c>
      <c r="F47" s="6" t="n">
        <f aca="false">D47-E47</f>
        <v>1</v>
      </c>
      <c r="G47" s="31" t="n">
        <v>157</v>
      </c>
    </row>
    <row r="48" customFormat="false" ht="15" hidden="false" customHeight="true" outlineLevel="0" collapsed="false">
      <c r="A48" s="6" t="s">
        <v>256</v>
      </c>
      <c r="B48" s="6" t="s">
        <v>17</v>
      </c>
      <c r="C48" s="7" t="n">
        <v>1977</v>
      </c>
      <c r="D48" s="6" t="n">
        <v>0</v>
      </c>
      <c r="E48" s="6" t="n">
        <v>0</v>
      </c>
      <c r="F48" s="6" t="n">
        <f aca="false">D48-E48</f>
        <v>0</v>
      </c>
      <c r="G48" s="31" t="n">
        <v>204</v>
      </c>
    </row>
    <row r="49" customFormat="false" ht="15" hidden="false" customHeight="true" outlineLevel="0" collapsed="false">
      <c r="A49" s="6" t="s">
        <v>256</v>
      </c>
      <c r="B49" s="6" t="s">
        <v>16</v>
      </c>
      <c r="C49" s="7" t="n">
        <v>4892</v>
      </c>
      <c r="D49" s="6" t="n">
        <v>0</v>
      </c>
      <c r="E49" s="6" t="n">
        <v>0</v>
      </c>
      <c r="F49" s="6" t="n">
        <f aca="false">D49-E49</f>
        <v>0</v>
      </c>
      <c r="G49" s="31" t="n">
        <v>773</v>
      </c>
    </row>
    <row r="50" customFormat="false" ht="15" hidden="false" customHeight="true" outlineLevel="0" collapsed="false">
      <c r="A50" s="6" t="s">
        <v>256</v>
      </c>
      <c r="B50" s="6" t="s">
        <v>20</v>
      </c>
      <c r="C50" s="7" t="n">
        <v>2147</v>
      </c>
      <c r="D50" s="6" t="n">
        <v>1</v>
      </c>
      <c r="E50" s="6" t="n">
        <v>0</v>
      </c>
      <c r="F50" s="6" t="n">
        <f aca="false">D50-E50</f>
        <v>1</v>
      </c>
      <c r="G50" s="31" t="n">
        <v>645</v>
      </c>
    </row>
    <row r="51" customFormat="false" ht="15" hidden="false" customHeight="true" outlineLevel="0" collapsed="false">
      <c r="A51" s="6" t="s">
        <v>256</v>
      </c>
      <c r="B51" s="6" t="s">
        <v>13</v>
      </c>
      <c r="C51" s="7" t="n">
        <v>982</v>
      </c>
      <c r="D51" s="6" t="n">
        <v>0</v>
      </c>
      <c r="E51" s="6" t="n">
        <v>0</v>
      </c>
      <c r="F51" s="6" t="n">
        <f aca="false">D51-E51</f>
        <v>0</v>
      </c>
      <c r="G51" s="31" t="n">
        <v>82</v>
      </c>
    </row>
    <row r="52" customFormat="false" ht="15" hidden="false" customHeight="true" outlineLevel="0" collapsed="false">
      <c r="A52" s="6" t="s">
        <v>256</v>
      </c>
      <c r="B52" s="6" t="s">
        <v>15</v>
      </c>
      <c r="C52" s="7" t="n">
        <v>2552</v>
      </c>
      <c r="D52" s="6" t="n">
        <v>1</v>
      </c>
      <c r="E52" s="6" t="n">
        <v>0</v>
      </c>
      <c r="F52" s="6" t="n">
        <f aca="false">D52-E52</f>
        <v>1</v>
      </c>
      <c r="G52" s="31" t="n">
        <v>327</v>
      </c>
    </row>
    <row r="53" customFormat="false" ht="15" hidden="false" customHeight="true" outlineLevel="0" collapsed="false">
      <c r="A53" s="6" t="s">
        <v>256</v>
      </c>
      <c r="B53" s="6" t="s">
        <v>19</v>
      </c>
      <c r="C53" s="7" t="n">
        <v>2348</v>
      </c>
      <c r="D53" s="6" t="n">
        <v>0</v>
      </c>
      <c r="E53" s="6" t="n">
        <v>0</v>
      </c>
      <c r="F53" s="6" t="n">
        <f aca="false">D53-E53</f>
        <v>0</v>
      </c>
      <c r="G53" s="31" t="n">
        <v>137</v>
      </c>
    </row>
    <row r="54" customFormat="false" ht="15" hidden="false" customHeight="true" outlineLevel="0" collapsed="false">
      <c r="A54" s="6" t="s">
        <v>257</v>
      </c>
      <c r="B54" s="6" t="s">
        <v>17</v>
      </c>
      <c r="C54" s="7" t="n">
        <v>1643</v>
      </c>
      <c r="D54" s="6" t="n">
        <v>0</v>
      </c>
      <c r="E54" s="6" t="n">
        <v>0</v>
      </c>
      <c r="F54" s="6" t="n">
        <f aca="false">D54-E54</f>
        <v>0</v>
      </c>
      <c r="G54" s="31" t="n">
        <v>191</v>
      </c>
    </row>
    <row r="55" customFormat="false" ht="15" hidden="false" customHeight="true" outlineLevel="0" collapsed="false">
      <c r="A55" s="6" t="s">
        <v>257</v>
      </c>
      <c r="B55" s="6" t="s">
        <v>16</v>
      </c>
      <c r="C55" s="7" t="n">
        <v>714</v>
      </c>
      <c r="D55" s="6" t="n">
        <v>0</v>
      </c>
      <c r="E55" s="6" t="n">
        <v>0</v>
      </c>
      <c r="F55" s="6" t="n">
        <f aca="false">D55-E55</f>
        <v>0</v>
      </c>
      <c r="G55" s="31" t="n">
        <v>41</v>
      </c>
    </row>
    <row r="56" customFormat="false" ht="15" hidden="false" customHeight="true" outlineLevel="0" collapsed="false">
      <c r="A56" s="6" t="s">
        <v>257</v>
      </c>
      <c r="B56" s="6" t="s">
        <v>20</v>
      </c>
      <c r="C56" s="7" t="n">
        <v>84</v>
      </c>
      <c r="D56" s="6" t="n">
        <v>0</v>
      </c>
      <c r="E56" s="6" t="n">
        <v>0</v>
      </c>
      <c r="F56" s="6" t="n">
        <f aca="false">D56-E56</f>
        <v>0</v>
      </c>
      <c r="G56" s="31" t="n">
        <v>23</v>
      </c>
    </row>
    <row r="57" customFormat="false" ht="15" hidden="false" customHeight="true" outlineLevel="0" collapsed="false">
      <c r="A57" s="6" t="s">
        <v>257</v>
      </c>
      <c r="B57" s="6" t="s">
        <v>13</v>
      </c>
      <c r="C57" s="7" t="n">
        <v>1114</v>
      </c>
      <c r="D57" s="6" t="n">
        <v>1</v>
      </c>
      <c r="E57" s="6" t="n">
        <v>1</v>
      </c>
      <c r="F57" s="6" t="n">
        <f aca="false">D57-E57</f>
        <v>0</v>
      </c>
      <c r="G57" s="31" t="n">
        <v>106</v>
      </c>
    </row>
    <row r="58" customFormat="false" ht="15" hidden="false" customHeight="true" outlineLevel="0" collapsed="false">
      <c r="A58" s="6" t="s">
        <v>257</v>
      </c>
      <c r="B58" s="6" t="s">
        <v>15</v>
      </c>
      <c r="C58" s="7" t="n">
        <v>110</v>
      </c>
      <c r="D58" s="6" t="n">
        <v>1</v>
      </c>
      <c r="E58" s="6" t="n">
        <v>0</v>
      </c>
      <c r="F58" s="6" t="n">
        <f aca="false">D58-E58</f>
        <v>1</v>
      </c>
      <c r="G58" s="31" t="n">
        <v>19</v>
      </c>
    </row>
    <row r="59" customFormat="false" ht="15" hidden="false" customHeight="true" outlineLevel="0" collapsed="false">
      <c r="A59" s="6" t="s">
        <v>257</v>
      </c>
      <c r="B59" s="6" t="s">
        <v>19</v>
      </c>
      <c r="C59" s="7" t="n">
        <v>1907</v>
      </c>
      <c r="D59" s="6" t="n">
        <v>2</v>
      </c>
      <c r="E59" s="6" t="n">
        <v>1</v>
      </c>
      <c r="F59" s="6" t="n">
        <f aca="false">D59-E59</f>
        <v>1</v>
      </c>
      <c r="G59" s="31" t="n">
        <v>206</v>
      </c>
    </row>
    <row r="60" customFormat="false" ht="15" hidden="false" customHeight="true" outlineLevel="0" collapsed="false">
      <c r="A60" s="19" t="s">
        <v>258</v>
      </c>
      <c r="B60" s="19" t="s">
        <v>17</v>
      </c>
      <c r="C60" s="21" t="n">
        <v>1328</v>
      </c>
      <c r="D60" s="19" t="n">
        <v>0</v>
      </c>
      <c r="E60" s="19" t="n">
        <v>0</v>
      </c>
      <c r="F60" s="19" t="n">
        <f aca="false">D60-E60</f>
        <v>0</v>
      </c>
      <c r="G60" s="32" t="n">
        <v>187</v>
      </c>
    </row>
    <row r="61" customFormat="false" ht="15" hidden="false" customHeight="true" outlineLevel="0" collapsed="false">
      <c r="A61" s="19" t="s">
        <v>258</v>
      </c>
      <c r="B61" s="19" t="s">
        <v>16</v>
      </c>
      <c r="C61" s="21" t="n">
        <v>1825</v>
      </c>
      <c r="D61" s="19" t="n">
        <v>0</v>
      </c>
      <c r="E61" s="19" t="n">
        <v>0</v>
      </c>
      <c r="F61" s="19" t="n">
        <f aca="false">D61-E61</f>
        <v>0</v>
      </c>
      <c r="G61" s="32" t="n">
        <v>113</v>
      </c>
    </row>
    <row r="62" customFormat="false" ht="15" hidden="false" customHeight="true" outlineLevel="0" collapsed="false">
      <c r="A62" s="19" t="s">
        <v>258</v>
      </c>
      <c r="B62" s="19" t="s">
        <v>20</v>
      </c>
      <c r="C62" s="21" t="n">
        <v>44</v>
      </c>
      <c r="D62" s="19" t="n">
        <v>0</v>
      </c>
      <c r="E62" s="19" t="n">
        <v>0</v>
      </c>
      <c r="F62" s="19" t="n">
        <f aca="false">D62-E62</f>
        <v>0</v>
      </c>
      <c r="G62" s="32" t="n">
        <v>16</v>
      </c>
    </row>
    <row r="63" customFormat="false" ht="15" hidden="false" customHeight="true" outlineLevel="0" collapsed="false">
      <c r="A63" s="19" t="s">
        <v>258</v>
      </c>
      <c r="B63" s="19" t="s">
        <v>13</v>
      </c>
      <c r="C63" s="21" t="n">
        <v>1044</v>
      </c>
      <c r="D63" s="19" t="n">
        <v>0</v>
      </c>
      <c r="E63" s="19" t="n">
        <v>0</v>
      </c>
      <c r="F63" s="19" t="n">
        <f aca="false">D63-E63</f>
        <v>0</v>
      </c>
      <c r="G63" s="32" t="n">
        <v>82</v>
      </c>
    </row>
    <row r="64" customFormat="false" ht="15" hidden="false" customHeight="true" outlineLevel="0" collapsed="false">
      <c r="A64" s="19" t="s">
        <v>258</v>
      </c>
      <c r="B64" s="19" t="s">
        <v>15</v>
      </c>
      <c r="C64" s="21" t="n">
        <v>845</v>
      </c>
      <c r="D64" s="19" t="n">
        <v>1</v>
      </c>
      <c r="E64" s="19" t="n">
        <v>0</v>
      </c>
      <c r="F64" s="19" t="n">
        <f aca="false">D64-E64</f>
        <v>1</v>
      </c>
      <c r="G64" s="32" t="n">
        <v>89</v>
      </c>
    </row>
    <row r="65" customFormat="false" ht="15" hidden="false" customHeight="true" outlineLevel="0" collapsed="false">
      <c r="A65" s="19" t="s">
        <v>258</v>
      </c>
      <c r="B65" s="19" t="s">
        <v>19</v>
      </c>
      <c r="C65" s="21" t="n">
        <v>448</v>
      </c>
      <c r="D65" s="19" t="n">
        <v>0</v>
      </c>
      <c r="E65" s="19" t="n">
        <v>0</v>
      </c>
      <c r="F65" s="19" t="n">
        <f aca="false">D65-E65</f>
        <v>0</v>
      </c>
      <c r="G65" s="32" t="n">
        <v>38</v>
      </c>
    </row>
    <row r="66" customFormat="false" ht="15" hidden="false" customHeight="true" outlineLevel="0" collapsed="false">
      <c r="A66" s="6" t="s">
        <v>259</v>
      </c>
      <c r="B66" s="6" t="s">
        <v>17</v>
      </c>
      <c r="C66" s="7" t="n">
        <v>1074</v>
      </c>
      <c r="D66" s="6" t="n">
        <v>0</v>
      </c>
      <c r="E66" s="6" t="n">
        <v>0</v>
      </c>
      <c r="F66" s="6" t="n">
        <f aca="false">D66-E66</f>
        <v>0</v>
      </c>
      <c r="G66" s="31" t="n">
        <v>77</v>
      </c>
    </row>
    <row r="67" customFormat="false" ht="15" hidden="false" customHeight="true" outlineLevel="0" collapsed="false">
      <c r="A67" s="6" t="s">
        <v>259</v>
      </c>
      <c r="B67" s="6" t="s">
        <v>16</v>
      </c>
      <c r="C67" s="7" t="n">
        <v>2234</v>
      </c>
      <c r="D67" s="6" t="n">
        <v>1</v>
      </c>
      <c r="E67" s="6" t="n">
        <v>0</v>
      </c>
      <c r="F67" s="6" t="n">
        <f aca="false">D67-E67</f>
        <v>1</v>
      </c>
      <c r="G67" s="31" t="n">
        <v>114</v>
      </c>
    </row>
    <row r="68" customFormat="false" ht="15" hidden="false" customHeight="true" outlineLevel="0" collapsed="false">
      <c r="A68" s="6" t="s">
        <v>259</v>
      </c>
      <c r="B68" s="6" t="s">
        <v>20</v>
      </c>
      <c r="C68" s="7" t="n">
        <v>1801</v>
      </c>
      <c r="D68" s="6" t="n">
        <v>2</v>
      </c>
      <c r="E68" s="6" t="n">
        <v>0</v>
      </c>
      <c r="F68" s="6" t="n">
        <f aca="false">D68-E68</f>
        <v>2</v>
      </c>
      <c r="G68" s="31" t="n">
        <v>603</v>
      </c>
    </row>
    <row r="69" customFormat="false" ht="15" hidden="false" customHeight="true" outlineLevel="0" collapsed="false">
      <c r="A69" s="6" t="s">
        <v>259</v>
      </c>
      <c r="B69" s="6" t="s">
        <v>13</v>
      </c>
      <c r="C69" s="7" t="n">
        <v>1622</v>
      </c>
      <c r="D69" s="6" t="n">
        <v>1</v>
      </c>
      <c r="E69" s="6" t="n">
        <v>0</v>
      </c>
      <c r="F69" s="6" t="n">
        <f aca="false">D69-E69</f>
        <v>1</v>
      </c>
      <c r="G69" s="31" t="n">
        <v>197</v>
      </c>
    </row>
    <row r="70" customFormat="false" ht="15" hidden="false" customHeight="true" outlineLevel="0" collapsed="false">
      <c r="A70" s="6" t="s">
        <v>259</v>
      </c>
      <c r="B70" s="6" t="s">
        <v>15</v>
      </c>
      <c r="C70" s="7" t="n">
        <v>682</v>
      </c>
      <c r="D70" s="6" t="n">
        <v>0</v>
      </c>
      <c r="E70" s="6" t="n">
        <v>0</v>
      </c>
      <c r="F70" s="6" t="n">
        <f aca="false">D70-E70</f>
        <v>0</v>
      </c>
      <c r="G70" s="31" t="n">
        <v>56</v>
      </c>
    </row>
    <row r="71" customFormat="false" ht="15" hidden="false" customHeight="true" outlineLevel="0" collapsed="false">
      <c r="A71" s="6" t="s">
        <v>259</v>
      </c>
      <c r="B71" s="6" t="s">
        <v>19</v>
      </c>
      <c r="C71" s="7" t="n">
        <v>1072</v>
      </c>
      <c r="D71" s="6" t="n">
        <v>1</v>
      </c>
      <c r="E71" s="6" t="n">
        <v>0</v>
      </c>
      <c r="F71" s="6" t="n">
        <f aca="false">D71-E71</f>
        <v>1</v>
      </c>
      <c r="G71" s="31" t="n">
        <v>86</v>
      </c>
    </row>
    <row r="72" customFormat="false" ht="15" hidden="false" customHeight="true" outlineLevel="0" collapsed="false">
      <c r="A72" s="6" t="s">
        <v>260</v>
      </c>
      <c r="B72" s="6" t="s">
        <v>17</v>
      </c>
      <c r="C72" s="7" t="n">
        <v>2775</v>
      </c>
      <c r="D72" s="6" t="n">
        <v>2</v>
      </c>
      <c r="E72" s="6" t="n">
        <v>0</v>
      </c>
      <c r="F72" s="6" t="n">
        <f aca="false">D72-E72</f>
        <v>2</v>
      </c>
      <c r="G72" s="31" t="n">
        <v>193</v>
      </c>
    </row>
    <row r="73" customFormat="false" ht="15" hidden="false" customHeight="true" outlineLevel="0" collapsed="false">
      <c r="A73" s="6" t="s">
        <v>260</v>
      </c>
      <c r="B73" s="6" t="s">
        <v>16</v>
      </c>
      <c r="C73" s="7" t="n">
        <v>3047</v>
      </c>
      <c r="D73" s="6" t="n">
        <v>0</v>
      </c>
      <c r="E73" s="6" t="n">
        <v>0</v>
      </c>
      <c r="F73" s="6" t="n">
        <f aca="false">D73-E73</f>
        <v>0</v>
      </c>
      <c r="G73" s="31" t="n">
        <v>218</v>
      </c>
    </row>
    <row r="74" customFormat="false" ht="15" hidden="false" customHeight="true" outlineLevel="0" collapsed="false">
      <c r="A74" s="6" t="s">
        <v>260</v>
      </c>
      <c r="B74" s="6" t="s">
        <v>20</v>
      </c>
      <c r="C74" s="7" t="n">
        <v>5610</v>
      </c>
      <c r="D74" s="6" t="n">
        <v>2</v>
      </c>
      <c r="E74" s="6" t="n">
        <v>0</v>
      </c>
      <c r="F74" s="6" t="n">
        <f aca="false">D74-E74</f>
        <v>2</v>
      </c>
      <c r="G74" s="31" t="n">
        <v>1684</v>
      </c>
    </row>
    <row r="75" customFormat="false" ht="15" hidden="false" customHeight="true" outlineLevel="0" collapsed="false">
      <c r="A75" s="6" t="s">
        <v>260</v>
      </c>
      <c r="B75" s="6" t="s">
        <v>13</v>
      </c>
      <c r="C75" s="7" t="n">
        <v>1600</v>
      </c>
      <c r="D75" s="6" t="n">
        <v>0</v>
      </c>
      <c r="E75" s="6" t="n">
        <v>0</v>
      </c>
      <c r="F75" s="6" t="n">
        <f aca="false">D75-E75</f>
        <v>0</v>
      </c>
      <c r="G75" s="31" t="n">
        <v>142</v>
      </c>
    </row>
    <row r="76" customFormat="false" ht="15" hidden="false" customHeight="true" outlineLevel="0" collapsed="false">
      <c r="A76" s="6" t="s">
        <v>260</v>
      </c>
      <c r="B76" s="6" t="s">
        <v>15</v>
      </c>
      <c r="C76" s="7" t="n">
        <v>742</v>
      </c>
      <c r="D76" s="6" t="n">
        <v>0</v>
      </c>
      <c r="E76" s="6" t="n">
        <v>0</v>
      </c>
      <c r="F76" s="6" t="n">
        <f aca="false">D76-E76</f>
        <v>0</v>
      </c>
      <c r="G76" s="31" t="n">
        <v>56</v>
      </c>
    </row>
    <row r="77" customFormat="false" ht="15" hidden="false" customHeight="true" outlineLevel="0" collapsed="false">
      <c r="A77" s="6" t="s">
        <v>260</v>
      </c>
      <c r="B77" s="6" t="s">
        <v>19</v>
      </c>
      <c r="C77" s="7" t="n">
        <v>716</v>
      </c>
      <c r="D77" s="6" t="n">
        <v>0</v>
      </c>
      <c r="E77" s="6" t="n">
        <v>0</v>
      </c>
      <c r="F77" s="6" t="n">
        <f aca="false">D77-E77</f>
        <v>0</v>
      </c>
      <c r="G77" s="31" t="n">
        <v>43</v>
      </c>
    </row>
    <row r="78" customFormat="false" ht="15" hidden="false" customHeight="true" outlineLevel="0" collapsed="false">
      <c r="A78" s="6" t="s">
        <v>261</v>
      </c>
      <c r="B78" s="6" t="s">
        <v>17</v>
      </c>
      <c r="C78" s="7" t="n">
        <v>6</v>
      </c>
      <c r="D78" s="6" t="n">
        <v>0</v>
      </c>
      <c r="E78" s="6" t="n">
        <v>0</v>
      </c>
      <c r="F78" s="6" t="n">
        <f aca="false">D78-E78</f>
        <v>0</v>
      </c>
      <c r="G78" s="31" t="n">
        <v>1</v>
      </c>
    </row>
    <row r="79" customFormat="false" ht="15" hidden="false" customHeight="true" outlineLevel="0" collapsed="false">
      <c r="A79" s="6" t="s">
        <v>261</v>
      </c>
      <c r="B79" s="6" t="s">
        <v>16</v>
      </c>
      <c r="C79" s="7" t="n">
        <v>1129</v>
      </c>
      <c r="D79" s="6" t="n">
        <v>0</v>
      </c>
      <c r="E79" s="6" t="n">
        <v>0</v>
      </c>
      <c r="F79" s="6" t="n">
        <f aca="false">D79-E79</f>
        <v>0</v>
      </c>
      <c r="G79" s="31" t="n">
        <v>88</v>
      </c>
    </row>
    <row r="80" customFormat="false" ht="15" hidden="false" customHeight="true" outlineLevel="0" collapsed="false">
      <c r="A80" s="6" t="s">
        <v>261</v>
      </c>
      <c r="B80" s="6" t="s">
        <v>20</v>
      </c>
      <c r="C80" s="7" t="n">
        <v>1557</v>
      </c>
      <c r="D80" s="6" t="n">
        <v>1</v>
      </c>
      <c r="E80" s="6" t="n">
        <v>0</v>
      </c>
      <c r="F80" s="6" t="n">
        <f aca="false">D80-E80</f>
        <v>1</v>
      </c>
      <c r="G80" s="31" t="n">
        <v>449</v>
      </c>
    </row>
    <row r="81" customFormat="false" ht="15" hidden="false" customHeight="true" outlineLevel="0" collapsed="false">
      <c r="A81" s="6" t="s">
        <v>261</v>
      </c>
      <c r="B81" s="6" t="s">
        <v>13</v>
      </c>
      <c r="C81" s="7" t="n">
        <v>1016</v>
      </c>
      <c r="D81" s="6" t="n">
        <v>2</v>
      </c>
      <c r="E81" s="6" t="n">
        <v>0</v>
      </c>
      <c r="F81" s="6" t="n">
        <f aca="false">D81-E81</f>
        <v>2</v>
      </c>
      <c r="G81" s="31" t="n">
        <v>107</v>
      </c>
    </row>
    <row r="82" customFormat="false" ht="15" hidden="false" customHeight="true" outlineLevel="0" collapsed="false">
      <c r="A82" s="6" t="s">
        <v>261</v>
      </c>
      <c r="B82" s="6" t="s">
        <v>15</v>
      </c>
      <c r="C82" s="7" t="n">
        <v>1256</v>
      </c>
      <c r="D82" s="6" t="n">
        <v>2</v>
      </c>
      <c r="E82" s="6" t="n">
        <v>1</v>
      </c>
      <c r="F82" s="6" t="n">
        <f aca="false">D82-E82</f>
        <v>1</v>
      </c>
      <c r="G82" s="31" t="n">
        <v>112</v>
      </c>
    </row>
    <row r="83" customFormat="false" ht="15" hidden="false" customHeight="true" outlineLevel="0" collapsed="false">
      <c r="A83" s="6" t="s">
        <v>261</v>
      </c>
      <c r="B83" s="6" t="s">
        <v>19</v>
      </c>
      <c r="C83" s="7" t="n">
        <v>600</v>
      </c>
      <c r="D83" s="6" t="n">
        <v>0</v>
      </c>
      <c r="E83" s="6" t="n">
        <v>0</v>
      </c>
      <c r="F83" s="6" t="n">
        <f aca="false">D83-E83</f>
        <v>0</v>
      </c>
      <c r="G83" s="31" t="n">
        <v>33</v>
      </c>
    </row>
    <row r="84" customFormat="false" ht="15" hidden="false" customHeight="true" outlineLevel="0" collapsed="false">
      <c r="A84" s="6" t="s">
        <v>262</v>
      </c>
      <c r="B84" s="6" t="s">
        <v>17</v>
      </c>
      <c r="C84" s="7" t="n">
        <v>6</v>
      </c>
      <c r="D84" s="6" t="n">
        <v>0</v>
      </c>
      <c r="E84" s="6" t="n">
        <v>0</v>
      </c>
      <c r="F84" s="6" t="n">
        <f aca="false">D84-E84</f>
        <v>0</v>
      </c>
      <c r="G84" s="31" t="n">
        <v>0</v>
      </c>
    </row>
    <row r="85" customFormat="false" ht="15" hidden="false" customHeight="true" outlineLevel="0" collapsed="false">
      <c r="A85" s="6" t="s">
        <v>262</v>
      </c>
      <c r="B85" s="6" t="s">
        <v>16</v>
      </c>
      <c r="C85" s="7" t="n">
        <v>160</v>
      </c>
      <c r="D85" s="6" t="n">
        <v>0</v>
      </c>
      <c r="E85" s="6" t="n">
        <v>0</v>
      </c>
      <c r="F85" s="6" t="n">
        <f aca="false">D85-E85</f>
        <v>0</v>
      </c>
      <c r="G85" s="31" t="n">
        <v>10</v>
      </c>
    </row>
    <row r="86" customFormat="false" ht="15" hidden="false" customHeight="true" outlineLevel="0" collapsed="false">
      <c r="A86" s="6" t="s">
        <v>262</v>
      </c>
      <c r="B86" s="6" t="s">
        <v>20</v>
      </c>
      <c r="C86" s="7" t="n">
        <v>177</v>
      </c>
      <c r="D86" s="6" t="n">
        <v>0</v>
      </c>
      <c r="E86" s="6" t="n">
        <v>0</v>
      </c>
      <c r="F86" s="6" t="n">
        <f aca="false">D86-E86</f>
        <v>0</v>
      </c>
      <c r="G86" s="31" t="n">
        <v>58</v>
      </c>
    </row>
    <row r="87" customFormat="false" ht="15" hidden="false" customHeight="true" outlineLevel="0" collapsed="false">
      <c r="A87" s="6" t="s">
        <v>262</v>
      </c>
      <c r="B87" s="6" t="s">
        <v>13</v>
      </c>
      <c r="C87" s="7" t="n">
        <v>191</v>
      </c>
      <c r="D87" s="6" t="n">
        <v>0</v>
      </c>
      <c r="E87" s="6" t="n">
        <v>0</v>
      </c>
      <c r="F87" s="6" t="n">
        <f aca="false">D87-E87</f>
        <v>0</v>
      </c>
      <c r="G87" s="31" t="n">
        <v>32</v>
      </c>
    </row>
    <row r="88" customFormat="false" ht="15" hidden="false" customHeight="true" outlineLevel="0" collapsed="false">
      <c r="A88" s="6" t="s">
        <v>262</v>
      </c>
      <c r="B88" s="6" t="s">
        <v>15</v>
      </c>
      <c r="C88" s="7" t="n">
        <v>1003</v>
      </c>
      <c r="D88" s="6" t="n">
        <v>1</v>
      </c>
      <c r="E88" s="6" t="n">
        <v>1</v>
      </c>
      <c r="F88" s="6" t="n">
        <f aca="false">D88-E88</f>
        <v>0</v>
      </c>
      <c r="G88" s="31" t="n">
        <v>69</v>
      </c>
    </row>
    <row r="89" customFormat="false" ht="15" hidden="false" customHeight="true" outlineLevel="0" collapsed="false">
      <c r="A89" s="6" t="s">
        <v>262</v>
      </c>
      <c r="B89" s="6" t="s">
        <v>19</v>
      </c>
      <c r="C89" s="7" t="n">
        <v>42</v>
      </c>
      <c r="D89" s="6" t="n">
        <v>0</v>
      </c>
      <c r="E89" s="6" t="n">
        <v>0</v>
      </c>
      <c r="F89" s="6" t="n">
        <f aca="false">D89-E89</f>
        <v>0</v>
      </c>
      <c r="G89" s="31" t="n">
        <v>3</v>
      </c>
    </row>
    <row r="90" customFormat="false" ht="15" hidden="false" customHeight="true" outlineLevel="0" collapsed="false">
      <c r="A90" s="6" t="s">
        <v>263</v>
      </c>
      <c r="B90" s="6" t="s">
        <v>17</v>
      </c>
      <c r="C90" s="7" t="n">
        <v>676</v>
      </c>
      <c r="D90" s="6" t="n">
        <v>1</v>
      </c>
      <c r="E90" s="6" t="n">
        <v>1</v>
      </c>
      <c r="F90" s="6" t="n">
        <f aca="false">D90-E90</f>
        <v>0</v>
      </c>
      <c r="G90" s="31" t="n">
        <v>33</v>
      </c>
    </row>
    <row r="91" customFormat="false" ht="15" hidden="false" customHeight="true" outlineLevel="0" collapsed="false">
      <c r="A91" s="6" t="s">
        <v>263</v>
      </c>
      <c r="B91" s="6" t="s">
        <v>16</v>
      </c>
      <c r="C91" s="7" t="n">
        <v>1068</v>
      </c>
      <c r="D91" s="6" t="n">
        <v>1</v>
      </c>
      <c r="E91" s="6" t="n">
        <v>0</v>
      </c>
      <c r="F91" s="6" t="n">
        <f aca="false">D91-E91</f>
        <v>1</v>
      </c>
      <c r="G91" s="31" t="n">
        <v>77</v>
      </c>
    </row>
    <row r="92" customFormat="false" ht="15" hidden="false" customHeight="true" outlineLevel="0" collapsed="false">
      <c r="A92" s="6" t="s">
        <v>263</v>
      </c>
      <c r="B92" s="6" t="s">
        <v>20</v>
      </c>
      <c r="C92" s="7" t="n">
        <v>1335</v>
      </c>
      <c r="D92" s="6" t="n">
        <v>1</v>
      </c>
      <c r="E92" s="6" t="n">
        <v>0</v>
      </c>
      <c r="F92" s="6" t="n">
        <f aca="false">D92-E92</f>
        <v>1</v>
      </c>
      <c r="G92" s="31" t="n">
        <v>423</v>
      </c>
    </row>
    <row r="93" customFormat="false" ht="15" hidden="false" customHeight="true" outlineLevel="0" collapsed="false">
      <c r="A93" s="6" t="s">
        <v>263</v>
      </c>
      <c r="B93" s="6" t="s">
        <v>13</v>
      </c>
      <c r="C93" s="7" t="n">
        <v>897</v>
      </c>
      <c r="D93" s="6" t="n">
        <v>1</v>
      </c>
      <c r="E93" s="6" t="n">
        <v>0</v>
      </c>
      <c r="F93" s="6" t="n">
        <f aca="false">D93-E93</f>
        <v>1</v>
      </c>
      <c r="G93" s="31" t="n">
        <v>130</v>
      </c>
    </row>
    <row r="94" customFormat="false" ht="15" hidden="false" customHeight="true" outlineLevel="0" collapsed="false">
      <c r="A94" s="6" t="s">
        <v>263</v>
      </c>
      <c r="B94" s="6" t="s">
        <v>15</v>
      </c>
      <c r="C94" s="7" t="n">
        <v>384</v>
      </c>
      <c r="D94" s="6" t="n">
        <v>0</v>
      </c>
      <c r="E94" s="6" t="n">
        <v>0</v>
      </c>
      <c r="F94" s="6" t="n">
        <f aca="false">D94-E94</f>
        <v>0</v>
      </c>
      <c r="G94" s="31" t="n">
        <v>39</v>
      </c>
    </row>
    <row r="95" customFormat="false" ht="15" hidden="false" customHeight="true" outlineLevel="0" collapsed="false">
      <c r="A95" s="6" t="s">
        <v>263</v>
      </c>
      <c r="B95" s="6" t="s">
        <v>19</v>
      </c>
      <c r="C95" s="7" t="n">
        <v>854</v>
      </c>
      <c r="D95" s="6" t="n">
        <v>0</v>
      </c>
      <c r="E95" s="6" t="n">
        <v>0</v>
      </c>
      <c r="F95" s="6" t="n">
        <f aca="false">D95-E95</f>
        <v>0</v>
      </c>
      <c r="G95" s="31" t="n">
        <v>80</v>
      </c>
    </row>
    <row r="96" customFormat="false" ht="15" hidden="false" customHeight="true" outlineLevel="0" collapsed="false">
      <c r="A96" s="6" t="s">
        <v>264</v>
      </c>
      <c r="B96" s="6" t="s">
        <v>17</v>
      </c>
      <c r="C96" s="7" t="n">
        <v>1143</v>
      </c>
      <c r="D96" s="6" t="n">
        <v>0</v>
      </c>
      <c r="E96" s="6" t="n">
        <v>0</v>
      </c>
      <c r="F96" s="6" t="n">
        <f aca="false">D96-E96</f>
        <v>0</v>
      </c>
      <c r="G96" s="31" t="n">
        <v>52</v>
      </c>
    </row>
    <row r="97" customFormat="false" ht="15" hidden="false" customHeight="true" outlineLevel="0" collapsed="false">
      <c r="A97" s="6" t="s">
        <v>264</v>
      </c>
      <c r="B97" s="6" t="s">
        <v>16</v>
      </c>
      <c r="C97" s="7" t="n">
        <v>860</v>
      </c>
      <c r="D97" s="6" t="n">
        <v>1</v>
      </c>
      <c r="E97" s="6" t="n">
        <v>1</v>
      </c>
      <c r="F97" s="6" t="n">
        <f aca="false">D97-E97</f>
        <v>0</v>
      </c>
      <c r="G97" s="31" t="n">
        <v>47</v>
      </c>
    </row>
    <row r="98" customFormat="false" ht="15" hidden="false" customHeight="true" outlineLevel="0" collapsed="false">
      <c r="A98" s="6" t="s">
        <v>264</v>
      </c>
      <c r="B98" s="6" t="s">
        <v>20</v>
      </c>
      <c r="C98" s="7" t="n">
        <v>2106</v>
      </c>
      <c r="D98" s="6" t="n">
        <v>1</v>
      </c>
      <c r="E98" s="6" t="n">
        <v>1</v>
      </c>
      <c r="F98" s="6" t="n">
        <f aca="false">D98-E98</f>
        <v>0</v>
      </c>
      <c r="G98" s="31" t="n">
        <v>892</v>
      </c>
    </row>
    <row r="99" customFormat="false" ht="15" hidden="false" customHeight="true" outlineLevel="0" collapsed="false">
      <c r="A99" s="6" t="s">
        <v>264</v>
      </c>
      <c r="B99" s="6" t="s">
        <v>13</v>
      </c>
      <c r="C99" s="7" t="n">
        <v>1030</v>
      </c>
      <c r="D99" s="6" t="n">
        <v>1</v>
      </c>
      <c r="E99" s="6" t="n">
        <v>1</v>
      </c>
      <c r="F99" s="6" t="n">
        <f aca="false">D99-E99</f>
        <v>0</v>
      </c>
      <c r="G99" s="31" t="n">
        <v>133</v>
      </c>
    </row>
    <row r="100" customFormat="false" ht="15" hidden="false" customHeight="true" outlineLevel="0" collapsed="false">
      <c r="A100" s="6" t="s">
        <v>264</v>
      </c>
      <c r="B100" s="6" t="s">
        <v>15</v>
      </c>
      <c r="C100" s="7" t="n">
        <v>2019</v>
      </c>
      <c r="D100" s="6" t="n">
        <v>0</v>
      </c>
      <c r="E100" s="6" t="n">
        <v>0</v>
      </c>
      <c r="F100" s="6" t="n">
        <f aca="false">D100-E100</f>
        <v>0</v>
      </c>
      <c r="G100" s="31" t="n">
        <v>101</v>
      </c>
    </row>
    <row r="101" customFormat="false" ht="15" hidden="false" customHeight="true" outlineLevel="0" collapsed="false">
      <c r="A101" s="6" t="s">
        <v>264</v>
      </c>
      <c r="B101" s="6" t="s">
        <v>19</v>
      </c>
      <c r="C101" s="7" t="n">
        <v>801</v>
      </c>
      <c r="D101" s="6" t="n">
        <v>0</v>
      </c>
      <c r="E101" s="6" t="n">
        <v>0</v>
      </c>
      <c r="F101" s="6" t="n">
        <f aca="false">D101-E101</f>
        <v>0</v>
      </c>
      <c r="G101" s="31" t="n">
        <v>63</v>
      </c>
    </row>
    <row r="102" customFormat="false" ht="15" hidden="false" customHeight="true" outlineLevel="0" collapsed="false">
      <c r="A102" s="6" t="s">
        <v>265</v>
      </c>
      <c r="B102" s="6" t="s">
        <v>17</v>
      </c>
      <c r="C102" s="7" t="n">
        <v>1877</v>
      </c>
      <c r="D102" s="6" t="n">
        <v>1</v>
      </c>
      <c r="E102" s="6" t="n">
        <v>0</v>
      </c>
      <c r="F102" s="6" t="n">
        <f aca="false">D102-E102</f>
        <v>1</v>
      </c>
      <c r="G102" s="31" t="n">
        <v>159</v>
      </c>
    </row>
    <row r="103" customFormat="false" ht="15" hidden="false" customHeight="true" outlineLevel="0" collapsed="false">
      <c r="A103" s="6" t="s">
        <v>265</v>
      </c>
      <c r="B103" s="6" t="s">
        <v>16</v>
      </c>
      <c r="C103" s="7" t="n">
        <v>2013</v>
      </c>
      <c r="D103" s="6" t="n">
        <v>0</v>
      </c>
      <c r="E103" s="6" t="n">
        <v>0</v>
      </c>
      <c r="F103" s="6" t="n">
        <f aca="false">D103-E103</f>
        <v>0</v>
      </c>
      <c r="G103" s="31" t="n">
        <v>136</v>
      </c>
    </row>
    <row r="104" customFormat="false" ht="15" hidden="false" customHeight="true" outlineLevel="0" collapsed="false">
      <c r="A104" s="6" t="s">
        <v>265</v>
      </c>
      <c r="B104" s="6" t="s">
        <v>20</v>
      </c>
      <c r="C104" s="7" t="n">
        <v>3676</v>
      </c>
      <c r="D104" s="6" t="n">
        <v>7</v>
      </c>
      <c r="E104" s="6" t="n">
        <v>1</v>
      </c>
      <c r="F104" s="6" t="n">
        <f aca="false">D104-E104</f>
        <v>6</v>
      </c>
      <c r="G104" s="31" t="n">
        <v>1340</v>
      </c>
    </row>
    <row r="105" customFormat="false" ht="15" hidden="false" customHeight="true" outlineLevel="0" collapsed="false">
      <c r="A105" s="6" t="s">
        <v>265</v>
      </c>
      <c r="B105" s="6" t="s">
        <v>13</v>
      </c>
      <c r="C105" s="7" t="n">
        <v>976</v>
      </c>
      <c r="D105" s="6" t="n">
        <v>1</v>
      </c>
      <c r="E105" s="6" t="n">
        <v>0</v>
      </c>
      <c r="F105" s="6" t="n">
        <f aca="false">D105-E105</f>
        <v>1</v>
      </c>
      <c r="G105" s="31" t="n">
        <v>90</v>
      </c>
    </row>
    <row r="106" customFormat="false" ht="15" hidden="false" customHeight="true" outlineLevel="0" collapsed="false">
      <c r="A106" s="6" t="s">
        <v>265</v>
      </c>
      <c r="B106" s="6" t="s">
        <v>15</v>
      </c>
      <c r="C106" s="7" t="n">
        <v>1937</v>
      </c>
      <c r="D106" s="6" t="n">
        <v>3</v>
      </c>
      <c r="E106" s="6" t="n">
        <v>1</v>
      </c>
      <c r="F106" s="6" t="n">
        <f aca="false">D106-E106</f>
        <v>2</v>
      </c>
      <c r="G106" s="31" t="n">
        <v>150</v>
      </c>
    </row>
    <row r="107" customFormat="false" ht="15" hidden="false" customHeight="true" outlineLevel="0" collapsed="false">
      <c r="A107" s="6" t="s">
        <v>265</v>
      </c>
      <c r="B107" s="6" t="s">
        <v>19</v>
      </c>
      <c r="C107" s="7" t="n">
        <v>583</v>
      </c>
      <c r="D107" s="6" t="n">
        <v>0</v>
      </c>
      <c r="E107" s="6" t="n">
        <v>0</v>
      </c>
      <c r="F107" s="6" t="n">
        <f aca="false">D107-E107</f>
        <v>0</v>
      </c>
      <c r="G107" s="31" t="n">
        <v>32</v>
      </c>
    </row>
    <row r="108" customFormat="false" ht="15" hidden="false" customHeight="true" outlineLevel="0" collapsed="false">
      <c r="A108" s="6" t="s">
        <v>266</v>
      </c>
      <c r="B108" s="6" t="s">
        <v>17</v>
      </c>
      <c r="C108" s="7" t="n">
        <v>1031</v>
      </c>
      <c r="D108" s="6" t="n">
        <v>0</v>
      </c>
      <c r="E108" s="6" t="n">
        <v>0</v>
      </c>
      <c r="F108" s="6" t="n">
        <f aca="false">D108-E108</f>
        <v>0</v>
      </c>
      <c r="G108" s="31" t="n">
        <v>49</v>
      </c>
    </row>
    <row r="109" customFormat="false" ht="15" hidden="false" customHeight="true" outlineLevel="0" collapsed="false">
      <c r="A109" s="6" t="s">
        <v>266</v>
      </c>
      <c r="B109" s="6" t="s">
        <v>16</v>
      </c>
      <c r="C109" s="7" t="n">
        <v>964</v>
      </c>
      <c r="D109" s="6" t="n">
        <v>0</v>
      </c>
      <c r="E109" s="6" t="n">
        <v>0</v>
      </c>
      <c r="F109" s="6" t="n">
        <f aca="false">D109-E109</f>
        <v>0</v>
      </c>
      <c r="G109" s="31" t="n">
        <v>249</v>
      </c>
    </row>
    <row r="110" customFormat="false" ht="15" hidden="false" customHeight="true" outlineLevel="0" collapsed="false">
      <c r="A110" s="6" t="s">
        <v>266</v>
      </c>
      <c r="B110" s="6" t="s">
        <v>20</v>
      </c>
      <c r="C110" s="7" t="n">
        <v>4928</v>
      </c>
      <c r="D110" s="6" t="n">
        <v>4</v>
      </c>
      <c r="E110" s="6" t="n">
        <v>0</v>
      </c>
      <c r="F110" s="6" t="n">
        <f aca="false">D110-E110</f>
        <v>4</v>
      </c>
      <c r="G110" s="31" t="n">
        <v>1677</v>
      </c>
    </row>
    <row r="111" customFormat="false" ht="15" hidden="false" customHeight="true" outlineLevel="0" collapsed="false">
      <c r="A111" s="6" t="s">
        <v>266</v>
      </c>
      <c r="B111" s="6" t="s">
        <v>13</v>
      </c>
      <c r="C111" s="7" t="n">
        <v>2663</v>
      </c>
      <c r="D111" s="6" t="n">
        <v>2</v>
      </c>
      <c r="E111" s="6" t="n">
        <v>0</v>
      </c>
      <c r="F111" s="6" t="n">
        <f aca="false">D111-E111</f>
        <v>2</v>
      </c>
      <c r="G111" s="31" t="n">
        <v>330</v>
      </c>
    </row>
    <row r="112" customFormat="false" ht="15" hidden="false" customHeight="true" outlineLevel="0" collapsed="false">
      <c r="A112" s="6" t="s">
        <v>266</v>
      </c>
      <c r="B112" s="6" t="s">
        <v>15</v>
      </c>
      <c r="C112" s="7" t="n">
        <v>2941</v>
      </c>
      <c r="D112" s="6" t="n">
        <v>2</v>
      </c>
      <c r="E112" s="6" t="n">
        <v>0</v>
      </c>
      <c r="F112" s="6" t="n">
        <f aca="false">D112-E112</f>
        <v>2</v>
      </c>
      <c r="G112" s="31" t="n">
        <v>171</v>
      </c>
    </row>
    <row r="113" customFormat="false" ht="15" hidden="false" customHeight="true" outlineLevel="0" collapsed="false">
      <c r="A113" s="6" t="s">
        <v>266</v>
      </c>
      <c r="B113" s="6" t="s">
        <v>19</v>
      </c>
      <c r="C113" s="7" t="n">
        <v>958</v>
      </c>
      <c r="D113" s="6" t="n">
        <v>1</v>
      </c>
      <c r="E113" s="6" t="n">
        <v>0</v>
      </c>
      <c r="F113" s="6" t="n">
        <f aca="false">D113-E113</f>
        <v>1</v>
      </c>
      <c r="G113" s="31" t="n">
        <v>85</v>
      </c>
    </row>
    <row r="114" customFormat="false" ht="15" hidden="false" customHeight="true" outlineLevel="0" collapsed="false">
      <c r="A114" s="6" t="s">
        <v>267</v>
      </c>
      <c r="B114" s="6" t="s">
        <v>17</v>
      </c>
      <c r="C114" s="7" t="n">
        <v>1891</v>
      </c>
      <c r="D114" s="6" t="n">
        <v>0</v>
      </c>
      <c r="E114" s="6" t="n">
        <v>0</v>
      </c>
      <c r="F114" s="6" t="n">
        <f aca="false">D114-E114</f>
        <v>0</v>
      </c>
      <c r="G114" s="31" t="n">
        <v>146</v>
      </c>
    </row>
    <row r="115" customFormat="false" ht="15" hidden="false" customHeight="true" outlineLevel="0" collapsed="false">
      <c r="A115" s="6" t="s">
        <v>267</v>
      </c>
      <c r="B115" s="6" t="s">
        <v>16</v>
      </c>
      <c r="C115" s="7" t="n">
        <v>2737</v>
      </c>
      <c r="D115" s="6" t="n">
        <v>1</v>
      </c>
      <c r="E115" s="6" t="n">
        <v>0</v>
      </c>
      <c r="F115" s="6" t="n">
        <f aca="false">D115-E115</f>
        <v>1</v>
      </c>
      <c r="G115" s="31" t="n">
        <v>251</v>
      </c>
    </row>
    <row r="116" customFormat="false" ht="15" hidden="false" customHeight="true" outlineLevel="0" collapsed="false">
      <c r="A116" s="6" t="s">
        <v>267</v>
      </c>
      <c r="B116" s="6" t="s">
        <v>20</v>
      </c>
      <c r="C116" s="7" t="n">
        <v>3588</v>
      </c>
      <c r="D116" s="6" t="n">
        <v>2</v>
      </c>
      <c r="E116" s="6" t="n">
        <v>0</v>
      </c>
      <c r="F116" s="6" t="n">
        <f aca="false">D116-E116</f>
        <v>2</v>
      </c>
      <c r="G116" s="31" t="n">
        <v>1274</v>
      </c>
    </row>
    <row r="117" customFormat="false" ht="15" hidden="false" customHeight="true" outlineLevel="0" collapsed="false">
      <c r="A117" s="6" t="s">
        <v>267</v>
      </c>
      <c r="B117" s="6" t="s">
        <v>13</v>
      </c>
      <c r="C117" s="7" t="n">
        <v>1747</v>
      </c>
      <c r="D117" s="6" t="n">
        <v>2</v>
      </c>
      <c r="E117" s="6" t="n">
        <v>0</v>
      </c>
      <c r="F117" s="6" t="n">
        <f aca="false">D117-E117</f>
        <v>2</v>
      </c>
      <c r="G117" s="31" t="n">
        <v>244</v>
      </c>
    </row>
    <row r="118" customFormat="false" ht="15" hidden="false" customHeight="true" outlineLevel="0" collapsed="false">
      <c r="A118" s="6" t="s">
        <v>267</v>
      </c>
      <c r="B118" s="6" t="s">
        <v>15</v>
      </c>
      <c r="C118" s="7" t="n">
        <v>1164</v>
      </c>
      <c r="D118" s="6" t="n">
        <v>2</v>
      </c>
      <c r="E118" s="6" t="n">
        <v>0</v>
      </c>
      <c r="F118" s="6" t="n">
        <f aca="false">D118-E118</f>
        <v>2</v>
      </c>
      <c r="G118" s="31" t="n">
        <v>92</v>
      </c>
    </row>
    <row r="119" customFormat="false" ht="15" hidden="false" customHeight="true" outlineLevel="0" collapsed="false">
      <c r="A119" s="6" t="s">
        <v>267</v>
      </c>
      <c r="B119" s="6" t="s">
        <v>19</v>
      </c>
      <c r="C119" s="7" t="n">
        <v>2077</v>
      </c>
      <c r="D119" s="6" t="n">
        <v>0</v>
      </c>
      <c r="E119" s="6" t="n">
        <v>0</v>
      </c>
      <c r="F119" s="6" t="n">
        <f aca="false">D119-E119</f>
        <v>0</v>
      </c>
      <c r="G119" s="31" t="n">
        <v>156</v>
      </c>
    </row>
    <row r="120" customFormat="false" ht="15" hidden="false" customHeight="true" outlineLevel="0" collapsed="false">
      <c r="A120" s="6" t="s">
        <v>268</v>
      </c>
      <c r="B120" s="6" t="s">
        <v>17</v>
      </c>
      <c r="C120" s="7" t="n">
        <v>921</v>
      </c>
      <c r="D120" s="6" t="n">
        <v>0</v>
      </c>
      <c r="E120" s="6" t="n">
        <v>0</v>
      </c>
      <c r="F120" s="6" t="n">
        <f aca="false">D120-E120</f>
        <v>0</v>
      </c>
      <c r="G120" s="31" t="n">
        <v>56</v>
      </c>
    </row>
    <row r="121" customFormat="false" ht="15" hidden="false" customHeight="true" outlineLevel="0" collapsed="false">
      <c r="A121" s="6" t="s">
        <v>268</v>
      </c>
      <c r="B121" s="6" t="s">
        <v>16</v>
      </c>
      <c r="C121" s="7" t="n">
        <v>1041</v>
      </c>
      <c r="D121" s="6" t="n">
        <v>1</v>
      </c>
      <c r="E121" s="6" t="n">
        <v>2</v>
      </c>
      <c r="F121" s="6" t="n">
        <f aca="false">D121-E121</f>
        <v>-1</v>
      </c>
      <c r="G121" s="31" t="n">
        <v>103</v>
      </c>
    </row>
    <row r="122" customFormat="false" ht="15" hidden="false" customHeight="true" outlineLevel="0" collapsed="false">
      <c r="A122" s="6" t="s">
        <v>268</v>
      </c>
      <c r="B122" s="6" t="s">
        <v>20</v>
      </c>
      <c r="C122" s="7" t="n">
        <v>1796</v>
      </c>
      <c r="D122" s="6" t="n">
        <v>0</v>
      </c>
      <c r="E122" s="6" t="n">
        <v>0</v>
      </c>
      <c r="F122" s="6" t="n">
        <f aca="false">D122-E122</f>
        <v>0</v>
      </c>
      <c r="G122" s="31" t="n">
        <v>465</v>
      </c>
    </row>
    <row r="123" customFormat="false" ht="15" hidden="false" customHeight="true" outlineLevel="0" collapsed="false">
      <c r="A123" s="6" t="s">
        <v>268</v>
      </c>
      <c r="B123" s="6" t="s">
        <v>13</v>
      </c>
      <c r="C123" s="7" t="n">
        <v>248</v>
      </c>
      <c r="D123" s="6" t="n">
        <v>0</v>
      </c>
      <c r="E123" s="6" t="n">
        <v>0</v>
      </c>
      <c r="F123" s="6" t="n">
        <f aca="false">D123-E123</f>
        <v>0</v>
      </c>
      <c r="G123" s="31" t="n">
        <v>34</v>
      </c>
    </row>
    <row r="124" customFormat="false" ht="15" hidden="false" customHeight="true" outlineLevel="0" collapsed="false">
      <c r="A124" s="6" t="s">
        <v>268</v>
      </c>
      <c r="B124" s="6" t="s">
        <v>15</v>
      </c>
      <c r="C124" s="7" t="n">
        <v>1963</v>
      </c>
      <c r="D124" s="6" t="n">
        <v>0</v>
      </c>
      <c r="E124" s="6" t="n">
        <v>0</v>
      </c>
      <c r="F124" s="6" t="n">
        <f aca="false">D124-E124</f>
        <v>0</v>
      </c>
      <c r="G124" s="31" t="n">
        <v>133</v>
      </c>
    </row>
    <row r="125" customFormat="false" ht="15" hidden="false" customHeight="true" outlineLevel="0" collapsed="false">
      <c r="A125" s="6" t="s">
        <v>268</v>
      </c>
      <c r="B125" s="6" t="s">
        <v>19</v>
      </c>
      <c r="C125" s="7" t="n">
        <v>349</v>
      </c>
      <c r="D125" s="6" t="n">
        <v>1</v>
      </c>
      <c r="E125" s="6" t="n">
        <v>0</v>
      </c>
      <c r="F125" s="6" t="n">
        <f aca="false">D125-E125</f>
        <v>1</v>
      </c>
      <c r="G125" s="31" t="n">
        <v>25</v>
      </c>
    </row>
    <row r="126" customFormat="false" ht="15" hidden="false" customHeight="true" outlineLevel="0" collapsed="false">
      <c r="A126" s="6" t="s">
        <v>269</v>
      </c>
      <c r="B126" s="6" t="s">
        <v>17</v>
      </c>
      <c r="C126" s="7" t="n">
        <v>399</v>
      </c>
      <c r="D126" s="6" t="n">
        <v>0</v>
      </c>
      <c r="E126" s="6" t="n">
        <v>0</v>
      </c>
      <c r="F126" s="6" t="n">
        <f aca="false">D126-E126</f>
        <v>0</v>
      </c>
      <c r="G126" s="31" t="n">
        <v>25</v>
      </c>
    </row>
    <row r="127" customFormat="false" ht="15" hidden="false" customHeight="true" outlineLevel="0" collapsed="false">
      <c r="A127" s="6" t="s">
        <v>269</v>
      </c>
      <c r="B127" s="6" t="s">
        <v>16</v>
      </c>
      <c r="C127" s="7" t="n">
        <v>1121</v>
      </c>
      <c r="D127" s="6" t="n">
        <v>0</v>
      </c>
      <c r="E127" s="6" t="n">
        <v>0</v>
      </c>
      <c r="F127" s="6" t="n">
        <f aca="false">D127-E127</f>
        <v>0</v>
      </c>
      <c r="G127" s="31" t="n">
        <v>144</v>
      </c>
    </row>
    <row r="128" customFormat="false" ht="15" hidden="false" customHeight="true" outlineLevel="0" collapsed="false">
      <c r="A128" s="6" t="s">
        <v>269</v>
      </c>
      <c r="B128" s="6" t="s">
        <v>20</v>
      </c>
      <c r="C128" s="7" t="n">
        <v>1422</v>
      </c>
      <c r="D128" s="6" t="n">
        <v>1</v>
      </c>
      <c r="E128" s="6" t="n">
        <v>0</v>
      </c>
      <c r="F128" s="6" t="n">
        <f aca="false">D128-E128</f>
        <v>1</v>
      </c>
      <c r="G128" s="31" t="n">
        <v>543</v>
      </c>
    </row>
    <row r="129" customFormat="false" ht="15" hidden="false" customHeight="true" outlineLevel="0" collapsed="false">
      <c r="A129" s="6" t="s">
        <v>269</v>
      </c>
      <c r="B129" s="6" t="s">
        <v>13</v>
      </c>
      <c r="C129" s="7" t="n">
        <v>1043</v>
      </c>
      <c r="D129" s="6" t="n">
        <v>0</v>
      </c>
      <c r="E129" s="6" t="n">
        <v>0</v>
      </c>
      <c r="F129" s="6" t="n">
        <f aca="false">D129-E129</f>
        <v>0</v>
      </c>
      <c r="G129" s="31" t="n">
        <v>198</v>
      </c>
    </row>
    <row r="130" customFormat="false" ht="15" hidden="false" customHeight="true" outlineLevel="0" collapsed="false">
      <c r="A130" s="6" t="s">
        <v>269</v>
      </c>
      <c r="B130" s="6" t="s">
        <v>15</v>
      </c>
      <c r="C130" s="7" t="n">
        <v>1676</v>
      </c>
      <c r="D130" s="6" t="n">
        <v>3</v>
      </c>
      <c r="E130" s="6" t="n">
        <v>1</v>
      </c>
      <c r="F130" s="6" t="n">
        <f aca="false">D130-E130</f>
        <v>2</v>
      </c>
      <c r="G130" s="31" t="n">
        <v>145</v>
      </c>
    </row>
    <row r="131" customFormat="false" ht="15" hidden="false" customHeight="true" outlineLevel="0" collapsed="false">
      <c r="A131" s="6" t="s">
        <v>269</v>
      </c>
      <c r="B131" s="6" t="s">
        <v>19</v>
      </c>
      <c r="C131" s="7" t="n">
        <v>170</v>
      </c>
      <c r="D131" s="6" t="n">
        <v>0</v>
      </c>
      <c r="E131" s="6" t="n">
        <v>0</v>
      </c>
      <c r="F131" s="6" t="n">
        <f aca="false">D131-E131</f>
        <v>0</v>
      </c>
      <c r="G131" s="31" t="n">
        <v>12</v>
      </c>
    </row>
    <row r="132" customFormat="false" ht="15" hidden="false" customHeight="true" outlineLevel="0" collapsed="false">
      <c r="A132" s="6" t="s">
        <v>270</v>
      </c>
      <c r="B132" s="6" t="s">
        <v>17</v>
      </c>
      <c r="C132" s="7" t="n">
        <v>968</v>
      </c>
      <c r="D132" s="6" t="n">
        <v>0</v>
      </c>
      <c r="E132" s="6" t="n">
        <v>0</v>
      </c>
      <c r="F132" s="6" t="n">
        <f aca="false">D132-E132</f>
        <v>0</v>
      </c>
      <c r="G132" s="31" t="n">
        <v>73</v>
      </c>
    </row>
    <row r="133" customFormat="false" ht="15" hidden="false" customHeight="true" outlineLevel="0" collapsed="false">
      <c r="A133" s="6" t="s">
        <v>270</v>
      </c>
      <c r="B133" s="6" t="s">
        <v>16</v>
      </c>
      <c r="C133" s="7" t="n">
        <v>1110</v>
      </c>
      <c r="D133" s="6" t="n">
        <v>0</v>
      </c>
      <c r="E133" s="6" t="n">
        <v>0</v>
      </c>
      <c r="F133" s="6" t="n">
        <f aca="false">D133-E133</f>
        <v>0</v>
      </c>
      <c r="G133" s="31" t="n">
        <v>96</v>
      </c>
    </row>
    <row r="134" customFormat="false" ht="15" hidden="false" customHeight="true" outlineLevel="0" collapsed="false">
      <c r="A134" s="6" t="s">
        <v>270</v>
      </c>
      <c r="B134" s="6" t="s">
        <v>20</v>
      </c>
      <c r="C134" s="7" t="n">
        <v>1351</v>
      </c>
      <c r="D134" s="6" t="n">
        <v>3</v>
      </c>
      <c r="E134" s="6" t="n">
        <v>1</v>
      </c>
      <c r="F134" s="6" t="n">
        <f aca="false">D134-E134</f>
        <v>2</v>
      </c>
      <c r="G134" s="31" t="n">
        <v>206</v>
      </c>
    </row>
    <row r="135" customFormat="false" ht="15" hidden="false" customHeight="true" outlineLevel="0" collapsed="false">
      <c r="A135" s="6" t="s">
        <v>270</v>
      </c>
      <c r="B135" s="6" t="s">
        <v>13</v>
      </c>
      <c r="C135" s="7" t="n">
        <v>890</v>
      </c>
      <c r="D135" s="6" t="n">
        <v>3</v>
      </c>
      <c r="E135" s="6" t="n">
        <v>2</v>
      </c>
      <c r="F135" s="6" t="n">
        <f aca="false">D135-E135</f>
        <v>1</v>
      </c>
      <c r="G135" s="31" t="n">
        <v>80</v>
      </c>
    </row>
    <row r="136" customFormat="false" ht="15" hidden="false" customHeight="true" outlineLevel="0" collapsed="false">
      <c r="A136" s="6" t="s">
        <v>270</v>
      </c>
      <c r="B136" s="6" t="s">
        <v>15</v>
      </c>
      <c r="C136" s="7" t="n">
        <v>1901</v>
      </c>
      <c r="D136" s="6" t="n">
        <v>4</v>
      </c>
      <c r="E136" s="6" t="n">
        <v>2</v>
      </c>
      <c r="F136" s="6" t="n">
        <f aca="false">D136-E136</f>
        <v>2</v>
      </c>
      <c r="G136" s="31" t="n">
        <v>109</v>
      </c>
    </row>
    <row r="137" customFormat="false" ht="15" hidden="false" customHeight="true" outlineLevel="0" collapsed="false">
      <c r="A137" s="6" t="s">
        <v>270</v>
      </c>
      <c r="B137" s="6" t="s">
        <v>19</v>
      </c>
      <c r="C137" s="7" t="n">
        <v>998</v>
      </c>
      <c r="D137" s="6" t="n">
        <v>0</v>
      </c>
      <c r="E137" s="6" t="n">
        <v>0</v>
      </c>
      <c r="F137" s="6" t="n">
        <f aca="false">D137-E137</f>
        <v>0</v>
      </c>
      <c r="G137" s="31" t="n">
        <v>56</v>
      </c>
    </row>
    <row r="138" customFormat="false" ht="15" hidden="false" customHeight="true" outlineLevel="0" collapsed="false">
      <c r="A138" s="6" t="s">
        <v>271</v>
      </c>
      <c r="B138" s="6" t="s">
        <v>17</v>
      </c>
      <c r="C138" s="7" t="n">
        <v>6</v>
      </c>
      <c r="D138" s="6" t="n">
        <v>0</v>
      </c>
      <c r="E138" s="6" t="n">
        <v>0</v>
      </c>
      <c r="F138" s="6" t="n">
        <f aca="false">D138-E138</f>
        <v>0</v>
      </c>
      <c r="G138" s="31" t="n">
        <v>0</v>
      </c>
    </row>
    <row r="139" customFormat="false" ht="15" hidden="false" customHeight="true" outlineLevel="0" collapsed="false">
      <c r="A139" s="6" t="s">
        <v>271</v>
      </c>
      <c r="B139" s="6" t="s">
        <v>16</v>
      </c>
      <c r="C139" s="7" t="n">
        <v>7</v>
      </c>
      <c r="D139" s="6" t="n">
        <v>0</v>
      </c>
      <c r="E139" s="6" t="n">
        <v>0</v>
      </c>
      <c r="F139" s="6" t="n">
        <f aca="false">D139-E139</f>
        <v>0</v>
      </c>
      <c r="G139" s="31" t="n">
        <v>1</v>
      </c>
    </row>
    <row r="140" customFormat="false" ht="15" hidden="false" customHeight="true" outlineLevel="0" collapsed="false">
      <c r="A140" s="6" t="s">
        <v>271</v>
      </c>
      <c r="B140" s="6" t="s">
        <v>20</v>
      </c>
      <c r="C140" s="7" t="n">
        <v>51</v>
      </c>
      <c r="D140" s="6" t="n">
        <v>0</v>
      </c>
      <c r="E140" s="6" t="n">
        <v>0</v>
      </c>
      <c r="F140" s="6" t="n">
        <f aca="false">D140-E140</f>
        <v>0</v>
      </c>
      <c r="G140" s="31" t="n">
        <v>15</v>
      </c>
    </row>
    <row r="141" customFormat="false" ht="15" hidden="false" customHeight="true" outlineLevel="0" collapsed="false">
      <c r="A141" s="6" t="s">
        <v>271</v>
      </c>
      <c r="B141" s="6" t="s">
        <v>13</v>
      </c>
      <c r="C141" s="7" t="n">
        <v>38</v>
      </c>
      <c r="D141" s="6" t="n">
        <v>1</v>
      </c>
      <c r="E141" s="6" t="n">
        <v>0</v>
      </c>
      <c r="F141" s="6" t="n">
        <f aca="false">D141-E141</f>
        <v>1</v>
      </c>
      <c r="G141" s="31" t="n">
        <v>4</v>
      </c>
    </row>
    <row r="142" customFormat="false" ht="15" hidden="false" customHeight="true" outlineLevel="0" collapsed="false">
      <c r="A142" s="6" t="s">
        <v>271</v>
      </c>
      <c r="B142" s="6" t="s">
        <v>15</v>
      </c>
      <c r="C142" s="7" t="n">
        <v>164</v>
      </c>
      <c r="D142" s="6" t="n">
        <v>0</v>
      </c>
      <c r="E142" s="6" t="n">
        <v>0</v>
      </c>
      <c r="F142" s="6" t="n">
        <f aca="false">D142-E142</f>
        <v>0</v>
      </c>
      <c r="G142" s="31" t="n">
        <v>22</v>
      </c>
    </row>
    <row r="143" customFormat="false" ht="15" hidden="false" customHeight="true" outlineLevel="0" collapsed="false">
      <c r="A143" s="6" t="s">
        <v>271</v>
      </c>
      <c r="B143" s="6" t="s">
        <v>19</v>
      </c>
      <c r="C143" s="7" t="n">
        <v>13</v>
      </c>
      <c r="D143" s="6" t="n">
        <v>0</v>
      </c>
      <c r="E143" s="6" t="n">
        <v>0</v>
      </c>
      <c r="F143" s="6" t="n">
        <f aca="false">D143-E143</f>
        <v>0</v>
      </c>
      <c r="G143" s="31" t="n">
        <v>1</v>
      </c>
    </row>
    <row r="144" customFormat="false" ht="15" hidden="false" customHeight="true" outlineLevel="0" collapsed="false">
      <c r="A144" s="6" t="s">
        <v>272</v>
      </c>
      <c r="B144" s="6" t="s">
        <v>17</v>
      </c>
      <c r="C144" s="7" t="n">
        <v>1</v>
      </c>
      <c r="D144" s="6" t="n">
        <v>0</v>
      </c>
      <c r="E144" s="6" t="n">
        <v>0</v>
      </c>
      <c r="F144" s="6" t="n">
        <f aca="false">D144-E144</f>
        <v>0</v>
      </c>
      <c r="G144" s="31" t="n">
        <v>0</v>
      </c>
    </row>
    <row r="145" customFormat="false" ht="15" hidden="false" customHeight="true" outlineLevel="0" collapsed="false">
      <c r="A145" s="6" t="s">
        <v>272</v>
      </c>
      <c r="B145" s="6" t="s">
        <v>16</v>
      </c>
      <c r="C145" s="7" t="n">
        <v>4</v>
      </c>
      <c r="D145" s="6" t="n">
        <v>0</v>
      </c>
      <c r="E145" s="6" t="n">
        <v>0</v>
      </c>
      <c r="F145" s="6" t="n">
        <f aca="false">D145-E145</f>
        <v>0</v>
      </c>
      <c r="G145" s="31" t="n">
        <v>0</v>
      </c>
    </row>
    <row r="146" customFormat="false" ht="15" hidden="false" customHeight="true" outlineLevel="0" collapsed="false">
      <c r="A146" s="6" t="s">
        <v>272</v>
      </c>
      <c r="B146" s="6" t="s">
        <v>20</v>
      </c>
      <c r="C146" s="7" t="n">
        <v>14</v>
      </c>
      <c r="D146" s="6" t="n">
        <v>0</v>
      </c>
      <c r="E146" s="6" t="n">
        <v>0</v>
      </c>
      <c r="F146" s="6" t="n">
        <f aca="false">D146-E146</f>
        <v>0</v>
      </c>
      <c r="G146" s="31" t="n">
        <v>4</v>
      </c>
    </row>
    <row r="147" customFormat="false" ht="15" hidden="false" customHeight="true" outlineLevel="0" collapsed="false">
      <c r="A147" s="6" t="s">
        <v>272</v>
      </c>
      <c r="B147" s="6" t="s">
        <v>13</v>
      </c>
      <c r="C147" s="7" t="n">
        <v>16</v>
      </c>
      <c r="D147" s="6" t="n">
        <v>0</v>
      </c>
      <c r="E147" s="6" t="n">
        <v>1</v>
      </c>
      <c r="F147" s="6" t="n">
        <f aca="false">D147-E147</f>
        <v>-1</v>
      </c>
      <c r="G147" s="31" t="n">
        <v>0</v>
      </c>
    </row>
    <row r="148" customFormat="false" ht="15" hidden="false" customHeight="true" outlineLevel="0" collapsed="false">
      <c r="A148" s="6" t="s">
        <v>272</v>
      </c>
      <c r="B148" s="6" t="s">
        <v>15</v>
      </c>
      <c r="C148" s="7" t="n">
        <v>37</v>
      </c>
      <c r="D148" s="6" t="n">
        <v>0</v>
      </c>
      <c r="E148" s="6" t="n">
        <v>0</v>
      </c>
      <c r="F148" s="6" t="n">
        <f aca="false">D148-E148</f>
        <v>0</v>
      </c>
      <c r="G148" s="31" t="n">
        <v>4</v>
      </c>
    </row>
    <row r="149" customFormat="false" ht="15" hidden="false" customHeight="true" outlineLevel="0" collapsed="false">
      <c r="A149" s="6" t="s">
        <v>272</v>
      </c>
      <c r="B149" s="6" t="s">
        <v>19</v>
      </c>
      <c r="C149" s="7" t="n">
        <v>13</v>
      </c>
      <c r="D149" s="6" t="n">
        <v>0</v>
      </c>
      <c r="E149" s="6" t="n">
        <v>0</v>
      </c>
      <c r="F149" s="6" t="n">
        <f aca="false">D149-E149</f>
        <v>0</v>
      </c>
      <c r="G149" s="31" t="n">
        <v>1</v>
      </c>
    </row>
    <row r="150" customFormat="false" ht="15" hidden="false" customHeight="true" outlineLevel="0" collapsed="false">
      <c r="A150" s="6" t="s">
        <v>273</v>
      </c>
      <c r="B150" s="6" t="s">
        <v>17</v>
      </c>
      <c r="C150" s="7" t="n">
        <v>1384</v>
      </c>
      <c r="D150" s="6" t="n">
        <v>1</v>
      </c>
      <c r="E150" s="6" t="n">
        <v>0</v>
      </c>
      <c r="F150" s="6" t="n">
        <f aca="false">D150-E150</f>
        <v>1</v>
      </c>
      <c r="G150" s="31" t="n">
        <v>92</v>
      </c>
    </row>
    <row r="151" customFormat="false" ht="15" hidden="false" customHeight="true" outlineLevel="0" collapsed="false">
      <c r="A151" s="6" t="s">
        <v>273</v>
      </c>
      <c r="B151" s="6" t="s">
        <v>16</v>
      </c>
      <c r="C151" s="7" t="n">
        <v>921</v>
      </c>
      <c r="D151" s="6" t="n">
        <v>2</v>
      </c>
      <c r="E151" s="6" t="n">
        <v>1</v>
      </c>
      <c r="F151" s="6" t="n">
        <f aca="false">D151-E151</f>
        <v>1</v>
      </c>
      <c r="G151" s="31" t="n">
        <v>55</v>
      </c>
    </row>
    <row r="152" customFormat="false" ht="15" hidden="false" customHeight="true" outlineLevel="0" collapsed="false">
      <c r="A152" s="6" t="s">
        <v>273</v>
      </c>
      <c r="B152" s="6" t="s">
        <v>20</v>
      </c>
      <c r="C152" s="7" t="n">
        <v>2623</v>
      </c>
      <c r="D152" s="6" t="n">
        <v>1</v>
      </c>
      <c r="E152" s="6" t="n">
        <v>0</v>
      </c>
      <c r="F152" s="6" t="n">
        <f aca="false">D152-E152</f>
        <v>1</v>
      </c>
      <c r="G152" s="31" t="n">
        <v>678</v>
      </c>
    </row>
    <row r="153" customFormat="false" ht="15" hidden="false" customHeight="true" outlineLevel="0" collapsed="false">
      <c r="A153" s="6" t="s">
        <v>273</v>
      </c>
      <c r="B153" s="6" t="s">
        <v>13</v>
      </c>
      <c r="C153" s="7" t="n">
        <v>894</v>
      </c>
      <c r="D153" s="6" t="n">
        <v>1</v>
      </c>
      <c r="E153" s="6" t="n">
        <v>0</v>
      </c>
      <c r="F153" s="6" t="n">
        <f aca="false">D153-E153</f>
        <v>1</v>
      </c>
      <c r="G153" s="31" t="n">
        <v>84</v>
      </c>
    </row>
    <row r="154" customFormat="false" ht="15" hidden="false" customHeight="true" outlineLevel="0" collapsed="false">
      <c r="A154" s="6" t="s">
        <v>273</v>
      </c>
      <c r="B154" s="6" t="s">
        <v>15</v>
      </c>
      <c r="C154" s="7" t="n">
        <v>2988</v>
      </c>
      <c r="D154" s="6" t="n">
        <v>5</v>
      </c>
      <c r="E154" s="6" t="n">
        <v>0</v>
      </c>
      <c r="F154" s="6" t="n">
        <f aca="false">D154-E154</f>
        <v>5</v>
      </c>
      <c r="G154" s="31" t="n">
        <v>214</v>
      </c>
    </row>
    <row r="155" customFormat="false" ht="15" hidden="false" customHeight="true" outlineLevel="0" collapsed="false">
      <c r="A155" s="6" t="s">
        <v>273</v>
      </c>
      <c r="B155" s="6" t="s">
        <v>19</v>
      </c>
      <c r="C155" s="7" t="n">
        <v>1021</v>
      </c>
      <c r="D155" s="6" t="n">
        <v>2</v>
      </c>
      <c r="E155" s="6" t="n">
        <v>0</v>
      </c>
      <c r="F155" s="6" t="n">
        <f aca="false">D155-E155</f>
        <v>2</v>
      </c>
      <c r="G155" s="31" t="n">
        <v>54</v>
      </c>
    </row>
    <row r="156" customFormat="false" ht="15" hidden="false" customHeight="true" outlineLevel="0" collapsed="false">
      <c r="A156" s="6" t="s">
        <v>274</v>
      </c>
      <c r="B156" s="6" t="s">
        <v>17</v>
      </c>
      <c r="C156" s="7" t="n">
        <v>1423</v>
      </c>
      <c r="D156" s="6" t="n">
        <v>0</v>
      </c>
      <c r="E156" s="6" t="n">
        <v>0</v>
      </c>
      <c r="F156" s="6" t="n">
        <f aca="false">D156-E156</f>
        <v>0</v>
      </c>
      <c r="G156" s="31" t="n">
        <v>122</v>
      </c>
    </row>
    <row r="157" customFormat="false" ht="15" hidden="false" customHeight="true" outlineLevel="0" collapsed="false">
      <c r="A157" s="6" t="s">
        <v>274</v>
      </c>
      <c r="B157" s="6" t="s">
        <v>16</v>
      </c>
      <c r="C157" s="7" t="n">
        <v>2898</v>
      </c>
      <c r="D157" s="6" t="n">
        <v>0</v>
      </c>
      <c r="E157" s="6" t="n">
        <v>0</v>
      </c>
      <c r="F157" s="6" t="n">
        <f aca="false">D157-E157</f>
        <v>0</v>
      </c>
      <c r="G157" s="31" t="n">
        <v>195</v>
      </c>
    </row>
    <row r="158" customFormat="false" ht="15" hidden="false" customHeight="true" outlineLevel="0" collapsed="false">
      <c r="A158" s="6" t="s">
        <v>274</v>
      </c>
      <c r="B158" s="6" t="s">
        <v>20</v>
      </c>
      <c r="C158" s="7" t="n">
        <v>2348</v>
      </c>
      <c r="D158" s="6" t="n">
        <v>1</v>
      </c>
      <c r="E158" s="6" t="n">
        <v>0</v>
      </c>
      <c r="F158" s="6" t="n">
        <f aca="false">D158-E158</f>
        <v>1</v>
      </c>
      <c r="G158" s="31" t="n">
        <v>473</v>
      </c>
    </row>
    <row r="159" customFormat="false" ht="15" hidden="false" customHeight="true" outlineLevel="0" collapsed="false">
      <c r="A159" s="6" t="s">
        <v>274</v>
      </c>
      <c r="B159" s="6" t="s">
        <v>13</v>
      </c>
      <c r="C159" s="7" t="n">
        <v>3508</v>
      </c>
      <c r="D159" s="6" t="n">
        <v>1</v>
      </c>
      <c r="E159" s="6" t="n">
        <v>2</v>
      </c>
      <c r="F159" s="6" t="n">
        <f aca="false">D159-E159</f>
        <v>-1</v>
      </c>
      <c r="G159" s="31" t="n">
        <v>495</v>
      </c>
    </row>
    <row r="160" customFormat="false" ht="15" hidden="false" customHeight="true" outlineLevel="0" collapsed="false">
      <c r="A160" s="6" t="s">
        <v>274</v>
      </c>
      <c r="B160" s="6" t="s">
        <v>15</v>
      </c>
      <c r="C160" s="7" t="n">
        <v>1605</v>
      </c>
      <c r="D160" s="6" t="n">
        <v>3</v>
      </c>
      <c r="E160" s="6" t="n">
        <v>1</v>
      </c>
      <c r="F160" s="6" t="n">
        <f aca="false">D160-E160</f>
        <v>2</v>
      </c>
      <c r="G160" s="31" t="n">
        <v>106</v>
      </c>
    </row>
    <row r="161" customFormat="false" ht="15" hidden="false" customHeight="true" outlineLevel="0" collapsed="false">
      <c r="A161" s="6" t="s">
        <v>274</v>
      </c>
      <c r="B161" s="6" t="s">
        <v>19</v>
      </c>
      <c r="C161" s="7" t="n">
        <v>2385</v>
      </c>
      <c r="D161" s="6" t="n">
        <v>4</v>
      </c>
      <c r="E161" s="6" t="n">
        <v>1</v>
      </c>
      <c r="F161" s="6" t="n">
        <f aca="false">D161-E161</f>
        <v>3</v>
      </c>
      <c r="G161" s="31" t="n">
        <v>253</v>
      </c>
    </row>
    <row r="162" customFormat="false" ht="15" hidden="false" customHeight="true" outlineLevel="0" collapsed="false">
      <c r="A162" s="6" t="s">
        <v>275</v>
      </c>
      <c r="B162" s="6" t="s">
        <v>17</v>
      </c>
      <c r="C162" s="7" t="n">
        <v>2745</v>
      </c>
      <c r="D162" s="6" t="n">
        <v>2</v>
      </c>
      <c r="E162" s="6" t="n">
        <v>1</v>
      </c>
      <c r="F162" s="6" t="n">
        <f aca="false">D162-E162</f>
        <v>1</v>
      </c>
      <c r="G162" s="31" t="n">
        <v>296</v>
      </c>
    </row>
    <row r="163" customFormat="false" ht="15" hidden="false" customHeight="true" outlineLevel="0" collapsed="false">
      <c r="A163" s="6" t="s">
        <v>275</v>
      </c>
      <c r="B163" s="6" t="s">
        <v>16</v>
      </c>
      <c r="C163" s="7" t="n">
        <v>2105</v>
      </c>
      <c r="D163" s="6" t="n">
        <v>1</v>
      </c>
      <c r="E163" s="6" t="n">
        <v>0</v>
      </c>
      <c r="F163" s="6" t="n">
        <f aca="false">D163-E163</f>
        <v>1</v>
      </c>
      <c r="G163" s="31" t="n">
        <v>173</v>
      </c>
    </row>
    <row r="164" customFormat="false" ht="15" hidden="false" customHeight="true" outlineLevel="0" collapsed="false">
      <c r="A164" s="6" t="s">
        <v>275</v>
      </c>
      <c r="B164" s="6" t="s">
        <v>20</v>
      </c>
      <c r="C164" s="7" t="n">
        <v>3100</v>
      </c>
      <c r="D164" s="6" t="n">
        <v>2</v>
      </c>
      <c r="E164" s="6" t="n">
        <v>2</v>
      </c>
      <c r="F164" s="6" t="n">
        <f aca="false">D164-E164</f>
        <v>0</v>
      </c>
      <c r="G164" s="31" t="n">
        <v>532</v>
      </c>
    </row>
    <row r="165" customFormat="false" ht="15" hidden="false" customHeight="true" outlineLevel="0" collapsed="false">
      <c r="A165" s="6" t="s">
        <v>275</v>
      </c>
      <c r="B165" s="6" t="s">
        <v>13</v>
      </c>
      <c r="C165" s="7" t="n">
        <v>3077</v>
      </c>
      <c r="D165" s="6" t="n">
        <v>2</v>
      </c>
      <c r="E165" s="6" t="n">
        <v>1</v>
      </c>
      <c r="F165" s="6" t="n">
        <f aca="false">D165-E165</f>
        <v>1</v>
      </c>
      <c r="G165" s="31" t="n">
        <v>725</v>
      </c>
    </row>
    <row r="166" customFormat="false" ht="15" hidden="false" customHeight="true" outlineLevel="0" collapsed="false">
      <c r="A166" s="6" t="s">
        <v>275</v>
      </c>
      <c r="B166" s="6" t="s">
        <v>15</v>
      </c>
      <c r="C166" s="7" t="n">
        <v>2804</v>
      </c>
      <c r="D166" s="6" t="n">
        <v>2</v>
      </c>
      <c r="E166" s="6" t="n">
        <v>0</v>
      </c>
      <c r="F166" s="6" t="n">
        <f aca="false">D166-E166</f>
        <v>2</v>
      </c>
      <c r="G166" s="31" t="n">
        <v>201</v>
      </c>
    </row>
    <row r="167" customFormat="false" ht="15" hidden="false" customHeight="true" outlineLevel="0" collapsed="false">
      <c r="A167" s="6" t="s">
        <v>275</v>
      </c>
      <c r="B167" s="6" t="s">
        <v>19</v>
      </c>
      <c r="C167" s="7" t="n">
        <v>3009</v>
      </c>
      <c r="D167" s="6" t="n">
        <v>3</v>
      </c>
      <c r="E167" s="6" t="n">
        <v>0</v>
      </c>
      <c r="F167" s="6" t="n">
        <f aca="false">D167-E167</f>
        <v>3</v>
      </c>
      <c r="G167" s="31" t="n">
        <v>204</v>
      </c>
    </row>
    <row r="168" customFormat="false" ht="15" hidden="false" customHeight="true" outlineLevel="0" collapsed="false">
      <c r="A168" s="6" t="s">
        <v>276</v>
      </c>
      <c r="B168" s="6" t="s">
        <v>16</v>
      </c>
      <c r="C168" s="7" t="n">
        <v>2183</v>
      </c>
      <c r="D168" s="6" t="n">
        <v>1</v>
      </c>
      <c r="E168" s="6" t="n">
        <v>0</v>
      </c>
      <c r="F168" s="6" t="n">
        <f aca="false">D168-E168</f>
        <v>1</v>
      </c>
      <c r="G168" s="31" t="n">
        <v>131</v>
      </c>
    </row>
    <row r="169" customFormat="false" ht="15" hidden="false" customHeight="true" outlineLevel="0" collapsed="false">
      <c r="A169" s="6" t="s">
        <v>276</v>
      </c>
      <c r="B169" s="6" t="s">
        <v>20</v>
      </c>
      <c r="C169" s="7" t="n">
        <v>3497</v>
      </c>
      <c r="D169" s="6" t="n">
        <v>1</v>
      </c>
      <c r="E169" s="6" t="n">
        <v>0</v>
      </c>
      <c r="F169" s="6" t="n">
        <f aca="false">D169-E169</f>
        <v>1</v>
      </c>
      <c r="G169" s="31" t="n">
        <v>790</v>
      </c>
    </row>
    <row r="170" customFormat="false" ht="15" hidden="false" customHeight="true" outlineLevel="0" collapsed="false">
      <c r="A170" s="6" t="s">
        <v>276</v>
      </c>
      <c r="B170" s="6" t="s">
        <v>13</v>
      </c>
      <c r="C170" s="7" t="n">
        <v>2076</v>
      </c>
      <c r="D170" s="6" t="n">
        <v>2</v>
      </c>
      <c r="E170" s="6" t="n">
        <v>1</v>
      </c>
      <c r="F170" s="6" t="n">
        <f aca="false">D170-E170</f>
        <v>1</v>
      </c>
      <c r="G170" s="31" t="n">
        <v>246</v>
      </c>
    </row>
    <row r="171" customFormat="false" ht="15" hidden="false" customHeight="true" outlineLevel="0" collapsed="false">
      <c r="A171" s="6" t="s">
        <v>276</v>
      </c>
      <c r="B171" s="6" t="s">
        <v>15</v>
      </c>
      <c r="C171" s="7" t="n">
        <v>3067</v>
      </c>
      <c r="D171" s="6" t="n">
        <v>2</v>
      </c>
      <c r="E171" s="6" t="n">
        <v>0</v>
      </c>
      <c r="F171" s="6" t="n">
        <f aca="false">D171-E171</f>
        <v>2</v>
      </c>
      <c r="G171" s="31" t="n">
        <v>241</v>
      </c>
    </row>
    <row r="172" customFormat="false" ht="15" hidden="false" customHeight="true" outlineLevel="0" collapsed="false">
      <c r="A172" s="6" t="s">
        <v>276</v>
      </c>
      <c r="B172" s="6" t="s">
        <v>19</v>
      </c>
      <c r="C172" s="7" t="n">
        <v>2049</v>
      </c>
      <c r="D172" s="6" t="n">
        <v>3</v>
      </c>
      <c r="E172" s="6" t="n">
        <v>0</v>
      </c>
      <c r="F172" s="6" t="n">
        <f aca="false">D172-E172</f>
        <v>3</v>
      </c>
      <c r="G172" s="31" t="n">
        <v>219</v>
      </c>
    </row>
    <row r="173" customFormat="false" ht="15" hidden="false" customHeight="true" outlineLevel="0" collapsed="false">
      <c r="A173" s="6" t="s">
        <v>277</v>
      </c>
      <c r="B173" s="6" t="s">
        <v>16</v>
      </c>
      <c r="C173" s="7" t="n">
        <v>1727</v>
      </c>
      <c r="D173" s="6" t="n">
        <v>0</v>
      </c>
      <c r="E173" s="6" t="n">
        <v>0</v>
      </c>
      <c r="F173" s="6" t="n">
        <f aca="false">D173-E173</f>
        <v>0</v>
      </c>
      <c r="G173" s="31" t="n">
        <v>116</v>
      </c>
    </row>
    <row r="174" customFormat="false" ht="15" hidden="false" customHeight="true" outlineLevel="0" collapsed="false">
      <c r="A174" s="6" t="s">
        <v>277</v>
      </c>
      <c r="B174" s="6" t="s">
        <v>20</v>
      </c>
      <c r="C174" s="7" t="n">
        <v>2101</v>
      </c>
      <c r="D174" s="6" t="n">
        <v>0</v>
      </c>
      <c r="E174" s="6" t="n">
        <v>0</v>
      </c>
      <c r="F174" s="6" t="n">
        <f aca="false">D174-E174</f>
        <v>0</v>
      </c>
      <c r="G174" s="31" t="n">
        <v>406</v>
      </c>
    </row>
    <row r="175" customFormat="false" ht="15" hidden="false" customHeight="true" outlineLevel="0" collapsed="false">
      <c r="A175" s="6" t="s">
        <v>277</v>
      </c>
      <c r="B175" s="6" t="s">
        <v>13</v>
      </c>
      <c r="C175" s="7" t="n">
        <v>2967</v>
      </c>
      <c r="D175" s="6" t="n">
        <v>2</v>
      </c>
      <c r="E175" s="6" t="n">
        <v>0</v>
      </c>
      <c r="F175" s="6" t="n">
        <f aca="false">D175-E175</f>
        <v>2</v>
      </c>
      <c r="G175" s="31" t="n">
        <v>327</v>
      </c>
    </row>
    <row r="176" customFormat="false" ht="15" hidden="false" customHeight="true" outlineLevel="0" collapsed="false">
      <c r="A176" s="6" t="s">
        <v>277</v>
      </c>
      <c r="B176" s="6" t="s">
        <v>15</v>
      </c>
      <c r="C176" s="7" t="n">
        <v>1505</v>
      </c>
      <c r="D176" s="6" t="n">
        <v>3</v>
      </c>
      <c r="E176" s="6" t="n">
        <v>1</v>
      </c>
      <c r="F176" s="6" t="n">
        <f aca="false">D176-E176</f>
        <v>2</v>
      </c>
      <c r="G176" s="31" t="n">
        <v>158</v>
      </c>
    </row>
    <row r="177" customFormat="false" ht="15" hidden="false" customHeight="true" outlineLevel="0" collapsed="false">
      <c r="A177" s="6" t="s">
        <v>277</v>
      </c>
      <c r="B177" s="6" t="s">
        <v>19</v>
      </c>
      <c r="C177" s="7" t="n">
        <v>1686</v>
      </c>
      <c r="D177" s="6" t="n">
        <v>0</v>
      </c>
      <c r="E177" s="6" t="n">
        <v>0</v>
      </c>
      <c r="F177" s="6" t="n">
        <f aca="false">D177-E177</f>
        <v>0</v>
      </c>
      <c r="G177" s="31" t="n">
        <v>121</v>
      </c>
    </row>
    <row r="178" customFormat="false" ht="15" hidden="false" customHeight="true" outlineLevel="0" collapsed="false">
      <c r="A178" s="6" t="s">
        <v>18</v>
      </c>
      <c r="B178" s="6" t="s">
        <v>16</v>
      </c>
      <c r="C178" s="7" t="n">
        <v>808</v>
      </c>
      <c r="D178" s="6" t="n">
        <v>0</v>
      </c>
      <c r="E178" s="6" t="n">
        <v>0</v>
      </c>
      <c r="F178" s="6" t="n">
        <f aca="false">D178-E178</f>
        <v>0</v>
      </c>
      <c r="G178" s="31" t="n">
        <v>36</v>
      </c>
    </row>
    <row r="179" customFormat="false" ht="15" hidden="false" customHeight="true" outlineLevel="0" collapsed="false">
      <c r="A179" s="6" t="s">
        <v>18</v>
      </c>
      <c r="B179" s="6" t="s">
        <v>20</v>
      </c>
      <c r="C179" s="7" t="n">
        <v>2133</v>
      </c>
      <c r="D179" s="6" t="n">
        <v>1</v>
      </c>
      <c r="E179" s="6" t="n">
        <v>0</v>
      </c>
      <c r="F179" s="6" t="n">
        <f aca="false">D179-E179</f>
        <v>1</v>
      </c>
      <c r="G179" s="31" t="n">
        <v>333</v>
      </c>
    </row>
    <row r="180" customFormat="false" ht="15" hidden="false" customHeight="true" outlineLevel="0" collapsed="false">
      <c r="A180" s="6" t="s">
        <v>18</v>
      </c>
      <c r="B180" s="6" t="s">
        <v>13</v>
      </c>
      <c r="C180" s="7" t="n">
        <v>1896</v>
      </c>
      <c r="D180" s="6" t="n">
        <v>5</v>
      </c>
      <c r="E180" s="6" t="n">
        <v>2</v>
      </c>
      <c r="F180" s="6" t="n">
        <f aca="false">D180-E180</f>
        <v>3</v>
      </c>
      <c r="G180" s="31" t="n">
        <v>226</v>
      </c>
    </row>
    <row r="181" customFormat="false" ht="15" hidden="false" customHeight="true" outlineLevel="0" collapsed="false">
      <c r="A181" s="6" t="s">
        <v>18</v>
      </c>
      <c r="B181" s="6" t="s">
        <v>15</v>
      </c>
      <c r="C181" s="7" t="n">
        <v>1109</v>
      </c>
      <c r="D181" s="6" t="n">
        <v>3</v>
      </c>
      <c r="E181" s="6" t="n">
        <v>0</v>
      </c>
      <c r="F181" s="6" t="n">
        <f aca="false">D181-E181</f>
        <v>3</v>
      </c>
      <c r="G181" s="31" t="n">
        <v>86</v>
      </c>
    </row>
    <row r="182" customFormat="false" ht="15" hidden="false" customHeight="true" outlineLevel="0" collapsed="false">
      <c r="A182" s="6" t="s">
        <v>18</v>
      </c>
      <c r="B182" s="6" t="s">
        <v>19</v>
      </c>
      <c r="C182" s="7" t="n">
        <v>1330</v>
      </c>
      <c r="D182" s="6" t="n">
        <v>3</v>
      </c>
      <c r="E182" s="6" t="n">
        <v>0</v>
      </c>
      <c r="F182" s="6" t="n">
        <f aca="false">D182-E182</f>
        <v>3</v>
      </c>
      <c r="G182" s="31" t="n">
        <v>84</v>
      </c>
    </row>
    <row r="183" customFormat="false" ht="15" hidden="false" customHeight="true" outlineLevel="0" collapsed="false">
      <c r="A183" s="6" t="s">
        <v>278</v>
      </c>
      <c r="B183" s="6" t="s">
        <v>16</v>
      </c>
      <c r="C183" s="7" t="n">
        <v>1144</v>
      </c>
      <c r="D183" s="6" t="n">
        <v>0</v>
      </c>
      <c r="E183" s="6" t="n">
        <v>0</v>
      </c>
      <c r="F183" s="6" t="n">
        <f aca="false">D183-E183</f>
        <v>0</v>
      </c>
      <c r="G183" s="31" t="n">
        <v>128</v>
      </c>
    </row>
    <row r="184" customFormat="false" ht="15" hidden="false" customHeight="true" outlineLevel="0" collapsed="false">
      <c r="A184" s="6" t="s">
        <v>278</v>
      </c>
      <c r="B184" s="6" t="s">
        <v>20</v>
      </c>
      <c r="C184" s="7" t="n">
        <v>1094</v>
      </c>
      <c r="D184" s="6" t="n">
        <v>2</v>
      </c>
      <c r="E184" s="6" t="n">
        <v>0</v>
      </c>
      <c r="F184" s="6" t="n">
        <f aca="false">D184-E184</f>
        <v>2</v>
      </c>
      <c r="G184" s="31" t="n">
        <v>409</v>
      </c>
    </row>
    <row r="185" customFormat="false" ht="15" hidden="false" customHeight="true" outlineLevel="0" collapsed="false">
      <c r="A185" s="6" t="s">
        <v>278</v>
      </c>
      <c r="B185" s="6" t="s">
        <v>13</v>
      </c>
      <c r="C185" s="7" t="n">
        <v>197</v>
      </c>
      <c r="D185" s="6" t="n">
        <v>0</v>
      </c>
      <c r="E185" s="6" t="n">
        <v>0</v>
      </c>
      <c r="F185" s="6" t="n">
        <f aca="false">D185-E185</f>
        <v>0</v>
      </c>
      <c r="G185" s="31" t="n">
        <v>30</v>
      </c>
    </row>
    <row r="186" customFormat="false" ht="15" hidden="false" customHeight="true" outlineLevel="0" collapsed="false">
      <c r="A186" s="6" t="s">
        <v>278</v>
      </c>
      <c r="B186" s="6" t="s">
        <v>15</v>
      </c>
      <c r="C186" s="7" t="n">
        <v>90</v>
      </c>
      <c r="D186" s="6" t="n">
        <v>0</v>
      </c>
      <c r="E186" s="6" t="n">
        <v>0</v>
      </c>
      <c r="F186" s="6" t="n">
        <f aca="false">D186-E186</f>
        <v>0</v>
      </c>
      <c r="G186" s="31" t="n">
        <v>11</v>
      </c>
    </row>
    <row r="187" customFormat="false" ht="15" hidden="false" customHeight="true" outlineLevel="0" collapsed="false">
      <c r="A187" s="6" t="s">
        <v>278</v>
      </c>
      <c r="B187" s="6" t="s">
        <v>19</v>
      </c>
      <c r="C187" s="7" t="n">
        <v>47</v>
      </c>
      <c r="D187" s="6" t="n">
        <v>0</v>
      </c>
      <c r="E187" s="6" t="n">
        <v>0</v>
      </c>
      <c r="F187" s="6" t="n">
        <f aca="false">D187-E187</f>
        <v>0</v>
      </c>
      <c r="G187" s="31" t="n">
        <v>3</v>
      </c>
    </row>
    <row r="188" customFormat="false" ht="15" hidden="false" customHeight="true" outlineLevel="0" collapsed="false">
      <c r="A188" s="6" t="s">
        <v>279</v>
      </c>
      <c r="B188" s="6" t="s">
        <v>16</v>
      </c>
      <c r="C188" s="7" t="n">
        <v>27</v>
      </c>
      <c r="D188" s="6" t="n">
        <v>0</v>
      </c>
      <c r="E188" s="6" t="n">
        <v>0</v>
      </c>
      <c r="F188" s="6" t="n">
        <f aca="false">D188-E188</f>
        <v>0</v>
      </c>
      <c r="G188" s="31" t="n">
        <v>1</v>
      </c>
    </row>
    <row r="189" customFormat="false" ht="15" hidden="false" customHeight="true" outlineLevel="0" collapsed="false">
      <c r="A189" s="6" t="s">
        <v>279</v>
      </c>
      <c r="B189" s="6" t="s">
        <v>20</v>
      </c>
      <c r="C189" s="7" t="n">
        <v>154</v>
      </c>
      <c r="D189" s="6" t="n">
        <v>0</v>
      </c>
      <c r="E189" s="6" t="n">
        <v>0</v>
      </c>
      <c r="F189" s="6" t="n">
        <f aca="false">D189-E189</f>
        <v>0</v>
      </c>
      <c r="G189" s="31" t="n">
        <v>22</v>
      </c>
    </row>
    <row r="190" customFormat="false" ht="15" hidden="false" customHeight="true" outlineLevel="0" collapsed="false">
      <c r="A190" s="6" t="s">
        <v>279</v>
      </c>
      <c r="B190" s="6" t="s">
        <v>13</v>
      </c>
      <c r="C190" s="7" t="n">
        <v>234</v>
      </c>
      <c r="D190" s="6" t="n">
        <v>0</v>
      </c>
      <c r="E190" s="6" t="n">
        <v>0</v>
      </c>
      <c r="F190" s="6" t="n">
        <f aca="false">D190-E190</f>
        <v>0</v>
      </c>
      <c r="G190" s="31" t="n">
        <v>23</v>
      </c>
    </row>
    <row r="191" customFormat="false" ht="15" hidden="false" customHeight="true" outlineLevel="0" collapsed="false">
      <c r="A191" s="6" t="s">
        <v>279</v>
      </c>
      <c r="B191" s="6" t="s">
        <v>15</v>
      </c>
      <c r="C191" s="7" t="n">
        <v>55</v>
      </c>
      <c r="D191" s="6" t="n">
        <v>0</v>
      </c>
      <c r="E191" s="6" t="n">
        <v>0</v>
      </c>
      <c r="F191" s="6" t="n">
        <f aca="false">D191-E191</f>
        <v>0</v>
      </c>
      <c r="G191" s="31" t="n">
        <v>8</v>
      </c>
    </row>
    <row r="192" customFormat="false" ht="15" hidden="false" customHeight="true" outlineLevel="0" collapsed="false">
      <c r="A192" s="6" t="s">
        <v>279</v>
      </c>
      <c r="B192" s="6" t="s">
        <v>19</v>
      </c>
      <c r="C192" s="7" t="n">
        <v>34</v>
      </c>
      <c r="D192" s="6" t="n">
        <v>0</v>
      </c>
      <c r="E192" s="6" t="n">
        <v>0</v>
      </c>
      <c r="F192" s="6" t="n">
        <f aca="false">D192-E192</f>
        <v>0</v>
      </c>
      <c r="G192" s="31" t="n">
        <v>3</v>
      </c>
    </row>
    <row r="193" customFormat="false" ht="15" hidden="false" customHeight="true" outlineLevel="0" collapsed="false">
      <c r="A193" s="6" t="s">
        <v>280</v>
      </c>
      <c r="B193" s="6" t="s">
        <v>16</v>
      </c>
      <c r="C193" s="7" t="n">
        <v>1</v>
      </c>
      <c r="D193" s="6" t="n">
        <v>0</v>
      </c>
      <c r="E193" s="6" t="n">
        <v>0</v>
      </c>
      <c r="F193" s="6" t="n">
        <f aca="false">D193-E193</f>
        <v>0</v>
      </c>
      <c r="G193" s="31" t="n">
        <v>0</v>
      </c>
    </row>
    <row r="194" customFormat="false" ht="15" hidden="false" customHeight="true" outlineLevel="0" collapsed="false">
      <c r="A194" s="6" t="s">
        <v>280</v>
      </c>
      <c r="B194" s="6" t="s">
        <v>20</v>
      </c>
      <c r="C194" s="7" t="n">
        <v>100</v>
      </c>
      <c r="D194" s="6" t="n">
        <v>0</v>
      </c>
      <c r="E194" s="6" t="n">
        <v>0</v>
      </c>
      <c r="F194" s="6" t="n">
        <f aca="false">D194-E194</f>
        <v>0</v>
      </c>
      <c r="G194" s="31" t="n">
        <v>17</v>
      </c>
    </row>
    <row r="195" customFormat="false" ht="15" hidden="false" customHeight="true" outlineLevel="0" collapsed="false">
      <c r="A195" s="6" t="s">
        <v>280</v>
      </c>
      <c r="B195" s="6" t="s">
        <v>13</v>
      </c>
      <c r="C195" s="7" t="n">
        <v>29</v>
      </c>
      <c r="D195" s="6" t="n">
        <v>0</v>
      </c>
      <c r="E195" s="6" t="n">
        <v>0</v>
      </c>
      <c r="F195" s="6" t="n">
        <f aca="false">D195-E195</f>
        <v>0</v>
      </c>
      <c r="G195" s="31" t="n">
        <v>4</v>
      </c>
    </row>
    <row r="196" customFormat="false" ht="15" hidden="false" customHeight="true" outlineLevel="0" collapsed="false">
      <c r="A196" s="6" t="s">
        <v>280</v>
      </c>
      <c r="B196" s="6" t="s">
        <v>15</v>
      </c>
      <c r="C196" s="7" t="n">
        <v>71</v>
      </c>
      <c r="D196" s="6" t="n">
        <v>0</v>
      </c>
      <c r="E196" s="6" t="n">
        <v>0</v>
      </c>
      <c r="F196" s="6" t="n">
        <f aca="false">D196-E196</f>
        <v>0</v>
      </c>
      <c r="G196" s="31" t="n">
        <v>9</v>
      </c>
    </row>
    <row r="197" customFormat="false" ht="15" hidden="false" customHeight="true" outlineLevel="0" collapsed="false">
      <c r="A197" s="6" t="s">
        <v>280</v>
      </c>
      <c r="B197" s="6" t="s">
        <v>19</v>
      </c>
      <c r="C197" s="7" t="n">
        <v>22</v>
      </c>
      <c r="D197" s="6" t="n">
        <v>0</v>
      </c>
      <c r="E197" s="6" t="n">
        <v>0</v>
      </c>
      <c r="F197" s="6" t="n">
        <f aca="false">D197-E197</f>
        <v>0</v>
      </c>
      <c r="G197" s="31" t="n">
        <v>1</v>
      </c>
    </row>
    <row r="198" customFormat="false" ht="15" hidden="false" customHeight="true" outlineLevel="0" collapsed="false">
      <c r="A198" s="6" t="s">
        <v>281</v>
      </c>
      <c r="B198" s="6" t="s">
        <v>16</v>
      </c>
      <c r="C198" s="7" t="n">
        <v>0</v>
      </c>
      <c r="D198" s="6" t="n">
        <v>0</v>
      </c>
      <c r="E198" s="6" t="n">
        <v>0</v>
      </c>
      <c r="F198" s="6" t="n">
        <f aca="false">D198-E198</f>
        <v>0</v>
      </c>
      <c r="G198" s="31" t="n">
        <v>0</v>
      </c>
    </row>
    <row r="199" customFormat="false" ht="15" hidden="false" customHeight="true" outlineLevel="0" collapsed="false">
      <c r="A199" s="6" t="s">
        <v>281</v>
      </c>
      <c r="B199" s="6" t="s">
        <v>20</v>
      </c>
      <c r="C199" s="7" t="n">
        <v>26</v>
      </c>
      <c r="D199" s="6" t="n">
        <v>0</v>
      </c>
      <c r="E199" s="6" t="n">
        <v>0</v>
      </c>
      <c r="F199" s="6" t="n">
        <f aca="false">D199-E199</f>
        <v>0</v>
      </c>
      <c r="G199" s="31" t="n">
        <v>4</v>
      </c>
    </row>
    <row r="200" customFormat="false" ht="15" hidden="false" customHeight="true" outlineLevel="0" collapsed="false">
      <c r="A200" s="6" t="s">
        <v>281</v>
      </c>
      <c r="B200" s="6" t="s">
        <v>13</v>
      </c>
      <c r="C200" s="7" t="n">
        <v>35</v>
      </c>
      <c r="D200" s="6" t="n">
        <v>0</v>
      </c>
      <c r="E200" s="6" t="n">
        <v>0</v>
      </c>
      <c r="F200" s="6" t="n">
        <f aca="false">D200-E200</f>
        <v>0</v>
      </c>
      <c r="G200" s="31" t="n">
        <v>2</v>
      </c>
    </row>
    <row r="201" customFormat="false" ht="15" hidden="false" customHeight="true" outlineLevel="0" collapsed="false">
      <c r="A201" s="6" t="s">
        <v>281</v>
      </c>
      <c r="B201" s="6" t="s">
        <v>15</v>
      </c>
      <c r="C201" s="7" t="n">
        <v>1098</v>
      </c>
      <c r="D201" s="6" t="n">
        <v>0</v>
      </c>
      <c r="E201" s="6" t="n">
        <v>0</v>
      </c>
      <c r="F201" s="6" t="n">
        <f aca="false">D201-E201</f>
        <v>0</v>
      </c>
      <c r="G201" s="31" t="n">
        <v>68</v>
      </c>
    </row>
    <row r="202" customFormat="false" ht="15" hidden="false" customHeight="true" outlineLevel="0" collapsed="false">
      <c r="A202" s="6" t="s">
        <v>281</v>
      </c>
      <c r="B202" s="6" t="s">
        <v>19</v>
      </c>
      <c r="C202" s="7" t="n">
        <v>23</v>
      </c>
      <c r="D202" s="6" t="n">
        <v>0</v>
      </c>
      <c r="E202" s="6" t="n">
        <v>0</v>
      </c>
      <c r="F202" s="6" t="n">
        <f aca="false">D202-E202</f>
        <v>0</v>
      </c>
      <c r="G202" s="31" t="n">
        <v>3</v>
      </c>
    </row>
    <row r="203" customFormat="false" ht="15" hidden="false" customHeight="true" outlineLevel="0" collapsed="false">
      <c r="A203" s="6" t="s">
        <v>282</v>
      </c>
      <c r="B203" s="6" t="s">
        <v>16</v>
      </c>
      <c r="C203" s="7" t="n">
        <v>1</v>
      </c>
      <c r="D203" s="6" t="n">
        <v>0</v>
      </c>
      <c r="E203" s="6" t="n">
        <v>0</v>
      </c>
      <c r="F203" s="6" t="n">
        <f aca="false">D203-E203</f>
        <v>0</v>
      </c>
      <c r="G203" s="31" t="n">
        <v>0</v>
      </c>
    </row>
    <row r="204" customFormat="false" ht="15" hidden="false" customHeight="true" outlineLevel="0" collapsed="false">
      <c r="A204" s="6" t="s">
        <v>282</v>
      </c>
      <c r="B204" s="6" t="s">
        <v>20</v>
      </c>
      <c r="C204" s="7" t="n">
        <v>4746</v>
      </c>
      <c r="D204" s="6" t="n">
        <v>2</v>
      </c>
      <c r="E204" s="6" t="n">
        <v>0</v>
      </c>
      <c r="F204" s="6" t="n">
        <f aca="false">D204-E204</f>
        <v>2</v>
      </c>
      <c r="G204" s="31" t="n">
        <v>726</v>
      </c>
    </row>
    <row r="205" customFormat="false" ht="15" hidden="false" customHeight="true" outlineLevel="0" collapsed="false">
      <c r="A205" s="6" t="s">
        <v>282</v>
      </c>
      <c r="B205" s="6" t="s">
        <v>13</v>
      </c>
      <c r="C205" s="7" t="n">
        <v>3633</v>
      </c>
      <c r="D205" s="6" t="n">
        <v>2</v>
      </c>
      <c r="E205" s="6" t="n">
        <v>0</v>
      </c>
      <c r="F205" s="6" t="n">
        <f aca="false">D205-E205</f>
        <v>2</v>
      </c>
      <c r="G205" s="31" t="n">
        <v>426</v>
      </c>
    </row>
    <row r="206" customFormat="false" ht="15" hidden="false" customHeight="true" outlineLevel="0" collapsed="false">
      <c r="A206" s="6" t="s">
        <v>282</v>
      </c>
      <c r="B206" s="6" t="s">
        <v>15</v>
      </c>
      <c r="C206" s="7" t="n">
        <v>2406</v>
      </c>
      <c r="D206" s="6" t="n">
        <v>1</v>
      </c>
      <c r="E206" s="6" t="n">
        <v>0</v>
      </c>
      <c r="F206" s="6" t="n">
        <f aca="false">D206-E206</f>
        <v>1</v>
      </c>
      <c r="G206" s="31" t="n">
        <v>189</v>
      </c>
    </row>
    <row r="207" customFormat="false" ht="15" hidden="false" customHeight="true" outlineLevel="0" collapsed="false">
      <c r="A207" s="6" t="s">
        <v>282</v>
      </c>
      <c r="B207" s="6" t="s">
        <v>19</v>
      </c>
      <c r="C207" s="7" t="n">
        <v>2074</v>
      </c>
      <c r="D207" s="6" t="n">
        <v>1</v>
      </c>
      <c r="E207" s="6" t="n">
        <v>0</v>
      </c>
      <c r="F207" s="6" t="n">
        <f aca="false">D207-E207</f>
        <v>1</v>
      </c>
      <c r="G207" s="31" t="n">
        <v>231</v>
      </c>
    </row>
    <row r="208" customFormat="false" ht="15" hidden="false" customHeight="true" outlineLevel="0" collapsed="false">
      <c r="A208" s="6" t="s">
        <v>283</v>
      </c>
      <c r="B208" s="6" t="s">
        <v>16</v>
      </c>
      <c r="C208" s="7" t="n">
        <v>2</v>
      </c>
      <c r="D208" s="6" t="n">
        <v>0</v>
      </c>
      <c r="E208" s="6" t="n">
        <v>0</v>
      </c>
      <c r="F208" s="6" t="n">
        <f aca="false">D208-E208</f>
        <v>0</v>
      </c>
      <c r="G208" s="31" t="n">
        <v>0</v>
      </c>
    </row>
    <row r="209" customFormat="false" ht="15" hidden="false" customHeight="true" outlineLevel="0" collapsed="false">
      <c r="A209" s="6" t="s">
        <v>283</v>
      </c>
      <c r="B209" s="6" t="s">
        <v>20</v>
      </c>
      <c r="C209" s="7" t="n">
        <v>4283</v>
      </c>
      <c r="D209" s="6" t="n">
        <v>2</v>
      </c>
      <c r="E209" s="6" t="n">
        <v>0</v>
      </c>
      <c r="F209" s="6" t="n">
        <f aca="false">D209-E209</f>
        <v>2</v>
      </c>
      <c r="G209" s="31" t="n">
        <v>590</v>
      </c>
    </row>
    <row r="210" customFormat="false" ht="15" hidden="false" customHeight="true" outlineLevel="0" collapsed="false">
      <c r="A210" s="6" t="s">
        <v>283</v>
      </c>
      <c r="B210" s="6" t="s">
        <v>13</v>
      </c>
      <c r="C210" s="7" t="n">
        <v>2723</v>
      </c>
      <c r="D210" s="6" t="n">
        <v>2</v>
      </c>
      <c r="E210" s="6" t="n">
        <v>1</v>
      </c>
      <c r="F210" s="6" t="n">
        <f aca="false">D210-E210</f>
        <v>1</v>
      </c>
      <c r="G210" s="31" t="n">
        <v>335</v>
      </c>
    </row>
    <row r="211" customFormat="false" ht="15" hidden="false" customHeight="true" outlineLevel="0" collapsed="false">
      <c r="A211" s="6" t="s">
        <v>283</v>
      </c>
      <c r="B211" s="6" t="s">
        <v>15</v>
      </c>
      <c r="C211" s="7" t="n">
        <v>1108</v>
      </c>
      <c r="D211" s="6" t="n">
        <v>0</v>
      </c>
      <c r="E211" s="6" t="n">
        <v>0</v>
      </c>
      <c r="F211" s="6" t="n">
        <f aca="false">D211-E211</f>
        <v>0</v>
      </c>
      <c r="G211" s="31" t="n">
        <v>83</v>
      </c>
    </row>
    <row r="212" customFormat="false" ht="15" hidden="false" customHeight="true" outlineLevel="0" collapsed="false">
      <c r="A212" s="6" t="s">
        <v>283</v>
      </c>
      <c r="B212" s="6" t="s">
        <v>19</v>
      </c>
      <c r="C212" s="7" t="n">
        <v>1325</v>
      </c>
      <c r="D212" s="6" t="n">
        <v>0</v>
      </c>
      <c r="E212" s="6" t="n">
        <v>0</v>
      </c>
      <c r="F212" s="6" t="n">
        <f aca="false">D212-E212</f>
        <v>0</v>
      </c>
      <c r="G212" s="31" t="n">
        <v>93</v>
      </c>
    </row>
    <row r="213" customFormat="false" ht="15" hidden="false" customHeight="true" outlineLevel="0" collapsed="false">
      <c r="A213" s="6" t="s">
        <v>284</v>
      </c>
      <c r="B213" s="6" t="s">
        <v>16</v>
      </c>
      <c r="C213" s="7" t="n">
        <v>0</v>
      </c>
      <c r="D213" s="6" t="n">
        <v>0</v>
      </c>
      <c r="E213" s="6" t="n">
        <v>0</v>
      </c>
      <c r="F213" s="6" t="n">
        <f aca="false">D213-E213</f>
        <v>0</v>
      </c>
      <c r="G213" s="31" t="n">
        <v>0</v>
      </c>
    </row>
    <row r="214" customFormat="false" ht="15" hidden="false" customHeight="true" outlineLevel="0" collapsed="false">
      <c r="A214" s="6" t="s">
        <v>284</v>
      </c>
      <c r="B214" s="6" t="s">
        <v>20</v>
      </c>
      <c r="C214" s="7" t="n">
        <v>3476</v>
      </c>
      <c r="D214" s="6" t="n">
        <v>1</v>
      </c>
      <c r="E214" s="6" t="n">
        <v>0</v>
      </c>
      <c r="F214" s="6" t="n">
        <f aca="false">D214-E214</f>
        <v>1</v>
      </c>
      <c r="G214" s="31" t="n">
        <v>503</v>
      </c>
    </row>
    <row r="215" customFormat="false" ht="15" hidden="false" customHeight="true" outlineLevel="0" collapsed="false">
      <c r="A215" s="6" t="s">
        <v>284</v>
      </c>
      <c r="B215" s="6" t="s">
        <v>13</v>
      </c>
      <c r="C215" s="7" t="n">
        <v>3322</v>
      </c>
      <c r="D215" s="6" t="n">
        <v>2</v>
      </c>
      <c r="E215" s="6" t="n">
        <v>0</v>
      </c>
      <c r="F215" s="6" t="n">
        <f aca="false">D215-E215</f>
        <v>2</v>
      </c>
      <c r="G215" s="31" t="n">
        <v>391</v>
      </c>
    </row>
    <row r="216" customFormat="false" ht="15" hidden="false" customHeight="true" outlineLevel="0" collapsed="false">
      <c r="A216" s="6" t="s">
        <v>284</v>
      </c>
      <c r="B216" s="6" t="s">
        <v>15</v>
      </c>
      <c r="C216" s="7" t="n">
        <v>3405</v>
      </c>
      <c r="D216" s="6" t="n">
        <v>2</v>
      </c>
      <c r="E216" s="6" t="n">
        <v>0</v>
      </c>
      <c r="F216" s="6" t="n">
        <f aca="false">D216-E216</f>
        <v>2</v>
      </c>
      <c r="G216" s="31" t="n">
        <v>263</v>
      </c>
    </row>
    <row r="217" customFormat="false" ht="15" hidden="false" customHeight="true" outlineLevel="0" collapsed="false">
      <c r="A217" s="6" t="s">
        <v>284</v>
      </c>
      <c r="B217" s="6" t="s">
        <v>19</v>
      </c>
      <c r="C217" s="7" t="n">
        <v>1272</v>
      </c>
      <c r="D217" s="6" t="n">
        <v>1</v>
      </c>
      <c r="E217" s="6" t="n">
        <v>0</v>
      </c>
      <c r="F217" s="6" t="n">
        <f aca="false">D217-E217</f>
        <v>1</v>
      </c>
      <c r="G217" s="31" t="n">
        <v>83</v>
      </c>
    </row>
    <row r="218" customFormat="false" ht="15" hidden="false" customHeight="true" outlineLevel="0" collapsed="false">
      <c r="A218" s="6" t="s">
        <v>285</v>
      </c>
      <c r="B218" s="6" t="s">
        <v>16</v>
      </c>
      <c r="C218" s="7" t="n">
        <v>0</v>
      </c>
      <c r="D218" s="6" t="n">
        <v>0</v>
      </c>
      <c r="E218" s="6" t="n">
        <v>0</v>
      </c>
      <c r="F218" s="6" t="n">
        <f aca="false">D218-E218</f>
        <v>0</v>
      </c>
      <c r="G218" s="31" t="n">
        <v>0</v>
      </c>
    </row>
    <row r="219" customFormat="false" ht="15" hidden="false" customHeight="true" outlineLevel="0" collapsed="false">
      <c r="A219" s="6" t="s">
        <v>285</v>
      </c>
      <c r="B219" s="6" t="s">
        <v>20</v>
      </c>
      <c r="C219" s="7" t="n">
        <v>3162</v>
      </c>
      <c r="D219" s="6" t="n">
        <v>3</v>
      </c>
      <c r="E219" s="6" t="n">
        <v>0</v>
      </c>
      <c r="F219" s="6" t="n">
        <f aca="false">D219-E219</f>
        <v>3</v>
      </c>
      <c r="G219" s="31" t="n">
        <v>356</v>
      </c>
    </row>
    <row r="220" customFormat="false" ht="15" hidden="false" customHeight="true" outlineLevel="0" collapsed="false">
      <c r="A220" s="6" t="s">
        <v>285</v>
      </c>
      <c r="B220" s="6" t="s">
        <v>13</v>
      </c>
      <c r="C220" s="7" t="n">
        <v>2946</v>
      </c>
      <c r="D220" s="6" t="n">
        <v>0</v>
      </c>
      <c r="E220" s="6" t="n">
        <v>0</v>
      </c>
      <c r="F220" s="6" t="n">
        <f aca="false">D220-E220</f>
        <v>0</v>
      </c>
      <c r="G220" s="31" t="n">
        <v>366</v>
      </c>
    </row>
    <row r="221" customFormat="false" ht="15" hidden="false" customHeight="true" outlineLevel="0" collapsed="false">
      <c r="A221" s="6" t="s">
        <v>285</v>
      </c>
      <c r="B221" s="6" t="s">
        <v>15</v>
      </c>
      <c r="C221" s="7" t="n">
        <v>2251</v>
      </c>
      <c r="D221" s="6" t="n">
        <v>3</v>
      </c>
      <c r="E221" s="6" t="n">
        <v>0</v>
      </c>
      <c r="F221" s="6" t="n">
        <f aca="false">D221-E221</f>
        <v>3</v>
      </c>
      <c r="G221" s="31" t="n">
        <v>161</v>
      </c>
    </row>
    <row r="222" customFormat="false" ht="15" hidden="false" customHeight="true" outlineLevel="0" collapsed="false">
      <c r="A222" s="6" t="s">
        <v>285</v>
      </c>
      <c r="B222" s="6" t="s">
        <v>19</v>
      </c>
      <c r="C222" s="7" t="n">
        <v>1043</v>
      </c>
      <c r="D222" s="6" t="n">
        <v>1</v>
      </c>
      <c r="E222" s="6" t="n">
        <v>0</v>
      </c>
      <c r="F222" s="6" t="n">
        <f aca="false">D222-E222</f>
        <v>1</v>
      </c>
      <c r="G222" s="31" t="n">
        <v>69</v>
      </c>
    </row>
    <row r="223" customFormat="false" ht="15" hidden="false" customHeight="true" outlineLevel="0" collapsed="false">
      <c r="A223" s="3" t="s">
        <v>286</v>
      </c>
      <c r="C223" s="11" t="n">
        <f aca="false">SUM(C6:C222)</f>
        <v>290065</v>
      </c>
      <c r="D223" s="9" t="n">
        <f aca="false">SUM(D6:D222)</f>
        <v>184</v>
      </c>
      <c r="E223" s="9" t="n">
        <f aca="false">SUM(E6:E222)</f>
        <v>39</v>
      </c>
      <c r="F223" s="9" t="n">
        <f aca="false">SUM(F6:F222)</f>
        <v>145</v>
      </c>
      <c r="G223" s="33" t="n">
        <f aca="false">SUM(G6:G222)</f>
        <v>39737</v>
      </c>
    </row>
    <row r="225" customFormat="false" ht="15" hidden="false" customHeight="true" outlineLevel="0" collapsed="false">
      <c r="A225" s="3" t="s">
        <v>287</v>
      </c>
    </row>
    <row r="226" customFormat="false" ht="30" hidden="false" customHeight="true" outlineLevel="0" collapsed="false">
      <c r="A226" s="5" t="s">
        <v>4</v>
      </c>
      <c r="B226" s="5" t="s">
        <v>27</v>
      </c>
      <c r="C226" s="5" t="s">
        <v>6</v>
      </c>
      <c r="D226" s="5" t="s">
        <v>7</v>
      </c>
      <c r="E226" s="5" t="s">
        <v>10</v>
      </c>
      <c r="F226" s="5" t="s">
        <v>11</v>
      </c>
      <c r="G226" s="5" t="s">
        <v>12</v>
      </c>
    </row>
    <row r="227" customFormat="false" ht="15" hidden="false" customHeight="true" outlineLevel="0" collapsed="false">
      <c r="A227" s="16" t="s">
        <v>13</v>
      </c>
      <c r="B227" s="16" t="s">
        <v>33</v>
      </c>
      <c r="C227" s="16" t="n">
        <v>169</v>
      </c>
      <c r="D227" s="18" t="n">
        <v>111135</v>
      </c>
      <c r="E227" s="16" t="n">
        <v>36</v>
      </c>
      <c r="F227" s="34" t="n">
        <f aca="false">IF(D227=0,0,E227/D227*1000)</f>
        <v>0.323930354973681</v>
      </c>
      <c r="G227" s="34" t="n">
        <v>0.434</v>
      </c>
    </row>
    <row r="228" customFormat="false" ht="15" hidden="false" customHeight="true" outlineLevel="0" collapsed="false">
      <c r="A228" s="6" t="s">
        <v>13</v>
      </c>
      <c r="B228" s="6" t="s">
        <v>34</v>
      </c>
      <c r="C228" s="6" t="n">
        <v>16</v>
      </c>
      <c r="D228" s="7" t="n">
        <v>13907</v>
      </c>
      <c r="E228" s="6" t="n">
        <v>8</v>
      </c>
      <c r="F228" s="8" t="n">
        <f aca="false">IF(D228=0,0,E228/D228*1000)</f>
        <v>0.57524987416409</v>
      </c>
      <c r="G228" s="8" t="n">
        <v>0.633</v>
      </c>
    </row>
    <row r="229" customFormat="false" ht="15" hidden="false" customHeight="true" outlineLevel="0" collapsed="false">
      <c r="A229" s="6" t="s">
        <v>13</v>
      </c>
      <c r="B229" s="6" t="s">
        <v>35</v>
      </c>
      <c r="C229" s="6" t="n">
        <v>17</v>
      </c>
      <c r="D229" s="7" t="n">
        <v>15547</v>
      </c>
      <c r="E229" s="6" t="n">
        <v>13</v>
      </c>
      <c r="F229" s="8" t="n">
        <f aca="false">IF(D229=0,0,E229/D229*1000)</f>
        <v>0.836174181514119</v>
      </c>
      <c r="G229" s="8" t="n">
        <v>0.92</v>
      </c>
    </row>
    <row r="230" customFormat="false" ht="15" hidden="false" customHeight="true" outlineLevel="0" collapsed="false">
      <c r="A230" s="6" t="s">
        <v>13</v>
      </c>
      <c r="B230" s="6" t="s">
        <v>36</v>
      </c>
      <c r="C230" s="6" t="n">
        <v>21</v>
      </c>
      <c r="D230" s="7" t="n">
        <v>12521</v>
      </c>
      <c r="E230" s="6" t="n">
        <v>5</v>
      </c>
      <c r="F230" s="8" t="n">
        <f aca="false">IF(D230=0,0,E230/D230*1000)</f>
        <v>0.399329127066528</v>
      </c>
      <c r="G230" s="8" t="n">
        <v>0.759</v>
      </c>
    </row>
    <row r="231" customFormat="false" ht="15" hidden="false" customHeight="true" outlineLevel="0" collapsed="false">
      <c r="A231" s="16" t="s">
        <v>15</v>
      </c>
      <c r="B231" s="16" t="s">
        <v>33</v>
      </c>
      <c r="C231" s="16" t="n">
        <v>159</v>
      </c>
      <c r="D231" s="18" t="n">
        <v>95183</v>
      </c>
      <c r="E231" s="16" t="n">
        <v>82</v>
      </c>
      <c r="F231" s="34" t="n">
        <f aca="false">IF(D231=0,0,E231/D231*1000)</f>
        <v>0.861498376810985</v>
      </c>
      <c r="G231" s="34" t="n">
        <v>0.461</v>
      </c>
    </row>
    <row r="232" customFormat="false" ht="15" hidden="false" customHeight="true" outlineLevel="0" collapsed="false">
      <c r="A232" s="6" t="s">
        <v>15</v>
      </c>
      <c r="B232" s="6" t="s">
        <v>34</v>
      </c>
      <c r="C232" s="6" t="n">
        <v>22</v>
      </c>
      <c r="D232" s="7" t="n">
        <v>15476</v>
      </c>
      <c r="E232" s="6" t="n">
        <v>12</v>
      </c>
      <c r="F232" s="8" t="n">
        <f aca="false">IF(D232=0,0,E232/D232*1000)</f>
        <v>0.775394158697338</v>
      </c>
      <c r="G232" s="8" t="n">
        <v>0.375</v>
      </c>
    </row>
    <row r="233" customFormat="false" ht="15" hidden="false" customHeight="true" outlineLevel="0" collapsed="false">
      <c r="A233" s="6" t="s">
        <v>15</v>
      </c>
      <c r="B233" s="6" t="s">
        <v>35</v>
      </c>
      <c r="C233" s="6" t="n">
        <v>20</v>
      </c>
      <c r="D233" s="7" t="n">
        <v>15318</v>
      </c>
      <c r="E233" s="6" t="n">
        <v>16</v>
      </c>
      <c r="F233" s="8" t="n">
        <f aca="false">IF(D233=0,0,E233/D233*1000)</f>
        <v>1.04452278365322</v>
      </c>
      <c r="G233" s="8" t="n">
        <v>0.477</v>
      </c>
    </row>
    <row r="234" customFormat="false" ht="15" hidden="false" customHeight="true" outlineLevel="0" collapsed="false">
      <c r="A234" s="6" t="s">
        <v>15</v>
      </c>
      <c r="B234" s="6" t="s">
        <v>36</v>
      </c>
      <c r="C234" s="6" t="n">
        <v>20</v>
      </c>
      <c r="D234" s="7" t="n">
        <v>9921</v>
      </c>
      <c r="E234" s="6" t="n">
        <v>6</v>
      </c>
      <c r="F234" s="8" t="n">
        <f aca="false">IF(D234=0,0,E234/D234*1000)</f>
        <v>0.604777744179014</v>
      </c>
      <c r="G234" s="8" t="n">
        <v>0.564</v>
      </c>
    </row>
    <row r="235" customFormat="false" ht="15" hidden="false" customHeight="true" outlineLevel="0" collapsed="false">
      <c r="A235" s="16" t="s">
        <v>16</v>
      </c>
      <c r="B235" s="16" t="s">
        <v>33</v>
      </c>
      <c r="C235" s="16" t="n">
        <v>15</v>
      </c>
      <c r="D235" s="18" t="n">
        <v>16381</v>
      </c>
      <c r="E235" s="16" t="n">
        <v>3</v>
      </c>
      <c r="F235" s="34" t="n">
        <f aca="false">IF(D235=0,0,E235/D235*1000)</f>
        <v>0.1831390025029</v>
      </c>
      <c r="G235" s="34" t="n">
        <v>0.214</v>
      </c>
    </row>
    <row r="236" customFormat="false" ht="15" hidden="false" customHeight="true" outlineLevel="0" collapsed="false">
      <c r="A236" s="6" t="s">
        <v>16</v>
      </c>
      <c r="B236" s="6" t="s">
        <v>34</v>
      </c>
      <c r="C236" s="6" t="n">
        <v>19</v>
      </c>
      <c r="D236" s="7" t="n">
        <v>18319</v>
      </c>
      <c r="E236" s="6" t="n">
        <v>3</v>
      </c>
      <c r="F236" s="8" t="n">
        <f aca="false">IF(D236=0,0,E236/D236*1000)</f>
        <v>0.163764397619957</v>
      </c>
      <c r="G236" s="8" t="n">
        <v>0.284</v>
      </c>
    </row>
    <row r="237" customFormat="false" ht="15" hidden="false" customHeight="true" outlineLevel="0" collapsed="false">
      <c r="A237" s="6" t="s">
        <v>16</v>
      </c>
      <c r="B237" s="6" t="s">
        <v>35</v>
      </c>
      <c r="C237" s="6" t="n">
        <v>17</v>
      </c>
      <c r="D237" s="7" t="n">
        <v>12919</v>
      </c>
      <c r="E237" s="6" t="n">
        <v>3</v>
      </c>
      <c r="F237" s="8" t="n">
        <f aca="false">IF(D237=0,0,E237/D237*1000)</f>
        <v>0.232216115798436</v>
      </c>
      <c r="G237" s="8" t="n">
        <v>0.116</v>
      </c>
    </row>
    <row r="238" customFormat="false" ht="15" hidden="false" customHeight="true" outlineLevel="0" collapsed="false">
      <c r="A238" s="16" t="s">
        <v>17</v>
      </c>
      <c r="B238" s="16" t="s">
        <v>33</v>
      </c>
      <c r="C238" s="16" t="n">
        <v>24</v>
      </c>
      <c r="D238" s="18" t="n">
        <v>36014</v>
      </c>
      <c r="E238" s="16" t="n">
        <v>12</v>
      </c>
      <c r="F238" s="34" t="n">
        <f aca="false">IF(D238=0,0,E238/D238*1000)</f>
        <v>0.333203754095629</v>
      </c>
      <c r="G238" s="34" t="n">
        <v>0.328</v>
      </c>
    </row>
    <row r="239" customFormat="false" ht="15" hidden="false" customHeight="true" outlineLevel="0" collapsed="false">
      <c r="A239" s="6" t="s">
        <v>17</v>
      </c>
      <c r="B239" s="6" t="s">
        <v>34</v>
      </c>
      <c r="C239" s="6" t="n">
        <v>15</v>
      </c>
      <c r="D239" s="7" t="n">
        <v>13233</v>
      </c>
      <c r="E239" s="6" t="n">
        <v>4</v>
      </c>
      <c r="F239" s="8" t="n">
        <f aca="false">IF(D239=0,0,E239/D239*1000)</f>
        <v>0.30227461648908</v>
      </c>
      <c r="G239" s="8" t="n">
        <v>0.204</v>
      </c>
    </row>
    <row r="240" customFormat="false" ht="15" hidden="false" customHeight="true" outlineLevel="0" collapsed="false">
      <c r="A240" s="6" t="s">
        <v>17</v>
      </c>
      <c r="B240" s="6" t="s">
        <v>35</v>
      </c>
      <c r="C240" s="6" t="n">
        <v>17</v>
      </c>
      <c r="D240" s="7" t="n">
        <v>6420</v>
      </c>
      <c r="E240" s="6" t="n">
        <v>3</v>
      </c>
      <c r="F240" s="8" t="n">
        <f aca="false">IF(D240=0,0,E240/D240*1000)</f>
        <v>0.467289719626168</v>
      </c>
      <c r="G240" s="8" t="n">
        <v>0.218</v>
      </c>
    </row>
    <row r="241" customFormat="false" ht="15" hidden="false" customHeight="true" outlineLevel="0" collapsed="false">
      <c r="A241" s="16" t="s">
        <v>19</v>
      </c>
      <c r="B241" s="16" t="s">
        <v>33</v>
      </c>
      <c r="C241" s="16" t="n">
        <v>23</v>
      </c>
      <c r="D241" s="18" t="n">
        <v>34229</v>
      </c>
      <c r="E241" s="16" t="n">
        <v>11</v>
      </c>
      <c r="F241" s="34" t="n">
        <f aca="false">IF(D241=0,0,E241/D241*1000)</f>
        <v>0.321364924479243</v>
      </c>
      <c r="G241" s="34" t="n">
        <v>0.345</v>
      </c>
    </row>
    <row r="242" customFormat="false" ht="15" hidden="false" customHeight="true" outlineLevel="0" collapsed="false">
      <c r="A242" s="6" t="s">
        <v>19</v>
      </c>
      <c r="B242" s="6" t="s">
        <v>34</v>
      </c>
      <c r="C242" s="6" t="n">
        <v>15</v>
      </c>
      <c r="D242" s="7" t="n">
        <v>8684</v>
      </c>
      <c r="E242" s="6" t="n">
        <v>3</v>
      </c>
      <c r="F242" s="8" t="n">
        <f aca="false">IF(D242=0,0,E242/D242*1000)</f>
        <v>0.34546292031322</v>
      </c>
      <c r="G242" s="8" t="n">
        <v>0.426</v>
      </c>
    </row>
    <row r="243" customFormat="false" ht="15" hidden="false" customHeight="true" outlineLevel="0" collapsed="false">
      <c r="A243" s="6" t="s">
        <v>19</v>
      </c>
      <c r="B243" s="6" t="s">
        <v>35</v>
      </c>
      <c r="C243" s="6" t="n">
        <v>16</v>
      </c>
      <c r="D243" s="7" t="n">
        <v>12516</v>
      </c>
      <c r="E243" s="6" t="n">
        <v>15</v>
      </c>
      <c r="F243" s="8" t="n">
        <f aca="false">IF(D243=0,0,E243/D243*1000)</f>
        <v>1.19846596356663</v>
      </c>
      <c r="G243" s="8" t="n">
        <v>0.791</v>
      </c>
    </row>
    <row r="244" customFormat="false" ht="15" hidden="false" customHeight="true" outlineLevel="0" collapsed="false">
      <c r="A244" s="6" t="s">
        <v>19</v>
      </c>
      <c r="B244" s="6" t="s">
        <v>36</v>
      </c>
      <c r="C244" s="6" t="n">
        <v>20</v>
      </c>
      <c r="D244" s="7" t="n">
        <v>5652</v>
      </c>
      <c r="E244" s="6" t="n">
        <v>2</v>
      </c>
      <c r="F244" s="8" t="n">
        <f aca="false">IF(D244=0,0,E244/D244*1000)</f>
        <v>0.353857041755131</v>
      </c>
      <c r="G244" s="8" t="n">
        <v>0.195</v>
      </c>
    </row>
    <row r="245" customFormat="false" ht="15" hidden="false" customHeight="true" outlineLevel="0" collapsed="false">
      <c r="A245" s="16" t="s">
        <v>20</v>
      </c>
      <c r="B245" s="16" t="s">
        <v>33</v>
      </c>
      <c r="C245" s="16" t="n">
        <v>9</v>
      </c>
      <c r="D245" s="18" t="n">
        <v>9145</v>
      </c>
      <c r="E245" s="16" t="n">
        <v>7</v>
      </c>
      <c r="F245" s="34" t="n">
        <f aca="false">IF(D245=0,0,E245/D245*1000)</f>
        <v>0.765445598687808</v>
      </c>
      <c r="G245" s="34" t="n">
        <v>0.503</v>
      </c>
    </row>
    <row r="246" customFormat="false" ht="15" hidden="false" customHeight="true" outlineLevel="0" collapsed="false">
      <c r="A246" s="6" t="s">
        <v>20</v>
      </c>
      <c r="B246" s="6" t="s">
        <v>34</v>
      </c>
      <c r="C246" s="6" t="n">
        <v>17</v>
      </c>
      <c r="D246" s="7" t="n">
        <v>28412</v>
      </c>
      <c r="E246" s="6" t="n">
        <v>20</v>
      </c>
      <c r="F246" s="8" t="n">
        <f aca="false">IF(D246=0,0,E246/D246*1000)</f>
        <v>0.703927917781219</v>
      </c>
      <c r="G246" s="8" t="n">
        <v>0.355</v>
      </c>
    </row>
    <row r="247" customFormat="false" ht="15" hidden="false" customHeight="true" outlineLevel="0" collapsed="false">
      <c r="A247" s="6" t="s">
        <v>20</v>
      </c>
      <c r="B247" s="6" t="s">
        <v>35</v>
      </c>
      <c r="C247" s="6" t="n">
        <v>17</v>
      </c>
      <c r="D247" s="7" t="n">
        <v>18115</v>
      </c>
      <c r="E247" s="6" t="n">
        <v>9</v>
      </c>
      <c r="F247" s="8" t="n">
        <f aca="false">IF(D247=0,0,E247/D247*1000)</f>
        <v>0.496825834943417</v>
      </c>
      <c r="G247" s="8" t="n">
        <v>0.248</v>
      </c>
    </row>
    <row r="248" customFormat="false" ht="15" hidden="false" customHeight="true" outlineLevel="0" collapsed="false">
      <c r="A248" s="6" t="s">
        <v>20</v>
      </c>
      <c r="B248" s="6" t="s">
        <v>36</v>
      </c>
      <c r="C248" s="6" t="n">
        <v>26</v>
      </c>
      <c r="D248" s="7" t="n">
        <v>15476</v>
      </c>
      <c r="E248" s="6" t="n">
        <v>6</v>
      </c>
      <c r="F248" s="8" t="n">
        <f aca="false">IF(D248=0,0,E248/D248*1000)</f>
        <v>0.387697079348669</v>
      </c>
      <c r="G248" s="8" t="n">
        <v>0.213</v>
      </c>
    </row>
    <row r="249" customFormat="false" ht="15" hidden="false" customHeight="true" outlineLevel="0" collapsed="false">
      <c r="A249" s="35" t="s">
        <v>288</v>
      </c>
      <c r="B249" s="10"/>
      <c r="C249" s="10"/>
      <c r="D249" s="11" t="n">
        <f aca="false">SUM(D227:D248)</f>
        <v>524523</v>
      </c>
      <c r="E249" s="9" t="n">
        <f aca="false">SUM(E227:E248)</f>
        <v>279</v>
      </c>
      <c r="F249" s="12" t="n">
        <f aca="false">IF(D249=0,0,E249/D249*1000)</f>
        <v>0.531911851339217</v>
      </c>
      <c r="G249" s="10"/>
    </row>
    <row r="251" customFormat="false" ht="42" hidden="false" customHeight="true" outlineLevel="0" collapsed="false">
      <c r="A251" s="23" t="s">
        <v>289</v>
      </c>
      <c r="B251" s="23"/>
      <c r="C251" s="23"/>
      <c r="D251" s="23"/>
      <c r="E251" s="23"/>
      <c r="F251" s="23"/>
      <c r="G251" s="23"/>
    </row>
  </sheetData>
  <mergeCells count="3">
    <mergeCell ref="A1:G1"/>
    <mergeCell ref="A3:G3"/>
    <mergeCell ref="A251:G2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2026-09-20T01:11:44Z</dcterms:created>
  <dc:creator>openpyxl</dc:creator>
  <dc:description/>
  <dc:language>en-US</dc:language>
  <cp:lastModifiedBy/>
  <dcterms:modified xsi:type="dcterms:W3CDTF">2026-09-20T01:12:13Z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