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サマリ" sheetId="1" state="visible" r:id="rId3"/>
    <sheet name="チャンネル別詳細" sheetId="2" state="visible" r:id="rId4"/>
    <sheet name="直近動画一覧" sheetId="3" state="visible" r:id="rId5"/>
    <sheet name="改善提案" sheetId="4" state="visible" r:id="rId6"/>
    <sheet name="前回比較"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<sst xmlns="http://schemas.openxmlformats.org/spreadsheetml/2006/main" count="872" uniqueCount="471">
  <si>
    <r>
      <rPr>
        <b val="true"/>
        <sz val="14"/>
        <rFont val="Arial"/>
        <family val="0"/>
        <charset val="1"/>
      </rPr>
      <t xml:space="preserve">YouTube Factory </t>
    </r>
    <r>
      <rPr>
        <b val="true"/>
        <sz val="14"/>
        <rFont val="Noto Sans CJK SC"/>
        <family val="2"/>
      </rPr>
      <t xml:space="preserve">指揮者レポート  </t>
    </r>
    <r>
      <rPr>
        <b val="true"/>
        <sz val="14"/>
        <rFont val="Arial"/>
        <family val="0"/>
        <charset val="1"/>
      </rPr>
      <t xml:space="preserve">2026-09-17</t>
    </r>
    <r>
      <rPr>
        <b val="true"/>
        <sz val="14"/>
        <rFont val="Noto Sans CJK SC"/>
        <family val="2"/>
      </rPr>
      <t xml:space="preserve">（木）</t>
    </r>
  </si>
  <si>
    <r>
      <rPr>
        <sz val="9"/>
        <color rgb="FF595959"/>
        <rFont val="Noto Sans CJK SC"/>
        <family val="2"/>
      </rPr>
      <t xml:space="preserve">データ源</t>
    </r>
    <r>
      <rPr>
        <sz val="9"/>
        <color rgb="FF595959"/>
        <rFont val="Arial"/>
        <family val="0"/>
        <charset val="1"/>
      </rPr>
      <t xml:space="preserve">: data/analytics/analytics.db</t>
    </r>
    <r>
      <rPr>
        <sz val="9"/>
        <color rgb="FF595959"/>
        <rFont val="Noto Sans CJK SC"/>
        <family val="2"/>
      </rPr>
      <t xml:space="preserve">（</t>
    </r>
    <r>
      <rPr>
        <sz val="9"/>
        <color rgb="FF595959"/>
        <rFont val="Arial"/>
        <family val="0"/>
        <charset val="1"/>
      </rPr>
      <t xml:space="preserve">YouTube Analytics API </t>
    </r>
    <r>
      <rPr>
        <sz val="9"/>
        <color rgb="FF595959"/>
        <rFont val="Noto Sans CJK SC"/>
        <family val="2"/>
      </rPr>
      <t xml:space="preserve">経由で収集済みのもの）。ブラウザでの </t>
    </r>
    <r>
      <rPr>
        <sz val="9"/>
        <color rgb="FF595959"/>
        <rFont val="Arial"/>
        <family val="0"/>
        <charset val="1"/>
      </rPr>
      <t xml:space="preserve">YouTube </t>
    </r>
    <r>
      <rPr>
        <sz val="9"/>
        <color rgb="FF595959"/>
        <rFont val="Noto Sans CJK SC"/>
        <family val="2"/>
      </rPr>
      <t xml:space="preserve">直接アクセス・</t>
    </r>
    <r>
      <rPr>
        <sz val="9"/>
        <color rgb="FF595959"/>
        <rFont val="Arial"/>
        <family val="0"/>
        <charset val="1"/>
      </rPr>
      <t xml:space="preserve">API</t>
    </r>
    <r>
      <rPr>
        <sz val="9"/>
        <color rgb="FF595959"/>
        <rFont val="Noto Sans CJK SC"/>
        <family val="2"/>
      </rPr>
      <t xml:space="preserve">キーは一切使用していない。</t>
    </r>
  </si>
  <si>
    <r>
      <rPr>
        <sz val="9"/>
        <color rgb="FF595959"/>
        <rFont val="Noto Sans CJK SC"/>
        <family val="2"/>
      </rPr>
      <t xml:space="preserve">生成</t>
    </r>
    <r>
      <rPr>
        <sz val="9"/>
        <color rgb="FF595959"/>
        <rFont val="Arial"/>
        <family val="0"/>
        <charset val="1"/>
      </rPr>
      <t xml:space="preserve">: 2026-09-17 10:11  /  </t>
    </r>
    <r>
      <rPr>
        <sz val="9"/>
        <color rgb="FF595959"/>
        <rFont val="Noto Sans CJK SC"/>
        <family val="2"/>
      </rPr>
      <t xml:space="preserve">最新スナップショット</t>
    </r>
    <r>
      <rPr>
        <sz val="9"/>
        <color rgb="FF595959"/>
        <rFont val="Arial"/>
        <family val="0"/>
        <charset val="1"/>
      </rPr>
      <t xml:space="preserve">: 2026-09-16</t>
    </r>
    <r>
      <rPr>
        <sz val="9"/>
        <color rgb="FF595959"/>
        <rFont val="Noto Sans CJK SC"/>
        <family val="2"/>
      </rPr>
      <t xml:space="preserve">（</t>
    </r>
    <r>
      <rPr>
        <sz val="9"/>
        <color rgb="FF595959"/>
        <rFont val="Arial"/>
        <family val="0"/>
        <charset val="1"/>
      </rPr>
      <t xml:space="preserve">fetch 2026-09-16 22:30–22:41 JST</t>
    </r>
    <r>
      <rPr>
        <sz val="9"/>
        <color rgb="FF595959"/>
        <rFont val="Noto Sans CJK SC"/>
        <family val="2"/>
      </rPr>
      <t xml:space="preserve">）  </t>
    </r>
    <r>
      <rPr>
        <sz val="9"/>
        <color rgb="FF595959"/>
        <rFont val="Arial"/>
        <family val="0"/>
        <charset val="1"/>
      </rPr>
      <t xml:space="preserve">/  </t>
    </r>
    <r>
      <rPr>
        <sz val="9"/>
        <color rgb="FF595959"/>
        <rFont val="Noto Sans CJK SC"/>
        <family val="2"/>
      </rPr>
      <t xml:space="preserve">前回レポートは </t>
    </r>
    <r>
      <rPr>
        <sz val="9"/>
        <color rgb="FF595959"/>
        <rFont val="Arial"/>
        <family val="0"/>
        <charset val="1"/>
      </rPr>
      <t xml:space="preserve">09-15 </t>
    </r>
    <r>
      <rPr>
        <sz val="9"/>
        <color rgb="FF595959"/>
        <rFont val="Noto Sans CJK SC"/>
        <family val="2"/>
      </rPr>
      <t xml:space="preserve">スナップショットを使用</t>
    </r>
  </si>
  <si>
    <r>
      <rPr>
        <sz val="9"/>
        <color rgb="FF595959"/>
        <rFont val="Arial"/>
        <family val="0"/>
        <charset val="1"/>
      </rPr>
      <t xml:space="preserve">⚠️ video_metrics.views </t>
    </r>
    <r>
      <rPr>
        <sz val="9"/>
        <color rgb="FF595959"/>
        <rFont val="Noto Sans CJK SC"/>
        <family val="2"/>
      </rPr>
      <t xml:space="preserve">は「直近</t>
    </r>
    <r>
      <rPr>
        <sz val="9"/>
        <color rgb="FF595959"/>
        <rFont val="Arial"/>
        <family val="0"/>
        <charset val="1"/>
      </rPr>
      <t xml:space="preserve">30</t>
    </r>
    <r>
      <rPr>
        <sz val="9"/>
        <color rgb="FF595959"/>
        <rFont val="Noto Sans CJK SC"/>
        <family val="2"/>
      </rPr>
      <t xml:space="preserve">日窓」であり生涯累計ではない。同一動画の </t>
    </r>
    <r>
      <rPr>
        <sz val="9"/>
        <color rgb="FF595959"/>
        <rFont val="Arial"/>
        <family val="0"/>
        <charset val="1"/>
      </rPr>
      <t xml:space="preserve">views </t>
    </r>
    <r>
      <rPr>
        <sz val="9"/>
        <color rgb="FF595959"/>
        <rFont val="Noto Sans CJK SC"/>
        <family val="2"/>
      </rPr>
      <t xml:space="preserve">が日をまたいで減るのは窓が古い日を落としているだけで、「再生が減った」と読んではいけない。</t>
    </r>
  </si>
  <si>
    <t xml:space="preserve">■ 本日の結論</t>
  </si>
  <si>
    <r>
      <rPr>
        <sz val="10"/>
        <rFont val="Arial"/>
        <family val="0"/>
        <charset val="1"/>
      </rPr>
      <t xml:space="preserve">1. </t>
    </r>
    <r>
      <rPr>
        <sz val="10"/>
        <rFont val="Noto Sans CJK SC"/>
        <family val="2"/>
      </rPr>
      <t xml:space="preserve">新規データは </t>
    </r>
    <r>
      <rPr>
        <sz val="10"/>
        <rFont val="Arial"/>
        <family val="0"/>
        <charset val="1"/>
      </rPr>
      <t xml:space="preserve">09-16 22:41 fetch </t>
    </r>
    <r>
      <rPr>
        <sz val="10"/>
        <rFont val="Noto Sans CJK SC"/>
        <family val="2"/>
      </rPr>
      <t xml:space="preserve">の</t>
    </r>
    <r>
      <rPr>
        <sz val="10"/>
        <rFont val="Arial"/>
        <family val="0"/>
        <charset val="1"/>
      </rPr>
      <t xml:space="preserve">1</t>
    </r>
    <r>
      <rPr>
        <sz val="10"/>
        <rFont val="Noto Sans CJK SC"/>
        <family val="2"/>
      </rPr>
      <t xml:space="preserve">本ぶん。更新されたのは稼働</t>
    </r>
    <r>
      <rPr>
        <sz val="10"/>
        <rFont val="Arial"/>
        <family val="0"/>
        <charset val="1"/>
      </rPr>
      <t xml:space="preserve">6ch</t>
    </r>
    <r>
      <rPr>
        <sz val="10"/>
        <rFont val="Noto Sans CJK SC"/>
        <family val="2"/>
      </rPr>
      <t xml:space="preserve">のみ。他</t>
    </r>
    <r>
      <rPr>
        <sz val="10"/>
        <rFont val="Arial"/>
        <family val="0"/>
        <charset val="1"/>
      </rPr>
      <t xml:space="preserve">7ch</t>
    </r>
    <r>
      <rPr>
        <sz val="10"/>
        <rFont val="Noto Sans CJK SC"/>
        <family val="2"/>
      </rPr>
      <t xml:space="preserve">（</t>
    </r>
    <r>
      <rPr>
        <sz val="10"/>
        <rFont val="Arial"/>
        <family val="0"/>
        <charset val="1"/>
      </rPr>
      <t xml:space="preserve">pokemon-lab / fake-paper / akashic-librarian / clip 4ch</t>
    </r>
    <r>
      <rPr>
        <sz val="10"/>
        <rFont val="Noto Sans CJK SC"/>
        <family val="2"/>
      </rPr>
      <t xml:space="preserve">）は </t>
    </r>
    <r>
      <rPr>
        <sz val="10"/>
        <rFont val="Arial"/>
        <family val="0"/>
        <charset val="1"/>
      </rPr>
      <t xml:space="preserve">09-06</t>
    </r>
    <r>
      <rPr>
        <sz val="10"/>
        <rFont val="Noto Sans CJK SC"/>
        <family val="2"/>
      </rPr>
      <t xml:space="preserve">〜</t>
    </r>
    <r>
      <rPr>
        <sz val="10"/>
        <rFont val="Arial"/>
        <family val="0"/>
        <charset val="1"/>
      </rPr>
      <t xml:space="preserve">09-08 </t>
    </r>
    <r>
      <rPr>
        <sz val="10"/>
        <rFont val="Noto Sans CJK SC"/>
        <family val="2"/>
      </rPr>
      <t xml:space="preserve">で凍結＝</t>
    </r>
    <r>
      <rPr>
        <sz val="10"/>
        <rFont val="Arial"/>
        <family val="0"/>
        <charset val="1"/>
      </rPr>
      <t xml:space="preserve">OAuth invalid_grant</t>
    </r>
    <r>
      <rPr>
        <sz val="10"/>
        <rFont val="Noto Sans CJK SC"/>
        <family val="2"/>
      </rPr>
      <t xml:space="preserve">。</t>
    </r>
  </si>
  <si>
    <r>
      <rPr>
        <sz val="10"/>
        <rFont val="Arial"/>
        <family val="0"/>
        <charset val="1"/>
      </rPr>
      <t xml:space="preserve">2. ★</t>
    </r>
    <r>
      <rPr>
        <sz val="10"/>
        <rFont val="Noto Sans CJK SC"/>
        <family val="2"/>
      </rPr>
      <t xml:space="preserve">最大の発見★ 「なぜ／のか」型タイトルが </t>
    </r>
    <r>
      <rPr>
        <sz val="10"/>
        <rFont val="Arial"/>
        <family val="0"/>
        <charset val="1"/>
      </rPr>
      <t xml:space="preserve">ch</t>
    </r>
    <r>
      <rPr>
        <sz val="10"/>
        <rFont val="Noto Sans CJK SC"/>
        <family val="2"/>
      </rPr>
      <t xml:space="preserve">内対照で </t>
    </r>
    <r>
      <rPr>
        <sz val="10"/>
        <rFont val="Arial"/>
        <family val="0"/>
        <charset val="1"/>
      </rPr>
      <t xml:space="preserve">4/4ch </t>
    </r>
    <r>
      <rPr>
        <sz val="10"/>
        <rFont val="Noto Sans CJK SC"/>
        <family val="2"/>
      </rPr>
      <t xml:space="preserve">すべて自</t>
    </r>
    <r>
      <rPr>
        <sz val="10"/>
        <rFont val="Arial"/>
        <family val="0"/>
        <charset val="1"/>
      </rPr>
      <t xml:space="preserve">ch</t>
    </r>
    <r>
      <rPr>
        <sz val="10"/>
        <rFont val="Noto Sans CJK SC"/>
        <family val="2"/>
      </rPr>
      <t xml:space="preserve">平均超。</t>
    </r>
    <r>
      <rPr>
        <sz val="10"/>
        <rFont val="Arial"/>
        <family val="0"/>
        <charset val="1"/>
      </rPr>
      <t xml:space="preserve">ch</t>
    </r>
    <r>
      <rPr>
        <sz val="10"/>
        <rFont val="Noto Sans CJK SC"/>
        <family val="2"/>
      </rPr>
      <t xml:space="preserve">内一致が測定可能な全</t>
    </r>
    <r>
      <rPr>
        <sz val="10"/>
        <rFont val="Arial"/>
        <family val="0"/>
        <charset val="1"/>
      </rPr>
      <t xml:space="preserve">ch</t>
    </r>
    <r>
      <rPr>
        <sz val="10"/>
        <rFont val="Noto Sans CJK SC"/>
        <family val="2"/>
      </rPr>
      <t xml:space="preserve">で取れたタイトル指標はこれが初めて。対して「正体</t>
    </r>
    <r>
      <rPr>
        <sz val="10"/>
        <rFont val="Arial"/>
        <family val="0"/>
        <charset val="1"/>
      </rPr>
      <t xml:space="preserve">/</t>
    </r>
    <r>
      <rPr>
        <sz val="10"/>
        <rFont val="Noto Sans CJK SC"/>
        <family val="2"/>
      </rPr>
      <t xml:space="preserve">真相」は </t>
    </r>
    <r>
      <rPr>
        <sz val="10"/>
        <rFont val="Arial"/>
        <family val="0"/>
        <charset val="1"/>
      </rPr>
      <t xml:space="preserve">1/4ch</t>
    </r>
    <r>
      <rPr>
        <sz val="10"/>
        <rFont val="Noto Sans CJK SC"/>
        <family val="2"/>
      </rPr>
      <t xml:space="preserve">、「実は」</t>
    </r>
    <r>
      <rPr>
        <sz val="10"/>
        <rFont val="Arial"/>
        <family val="0"/>
        <charset val="1"/>
      </rPr>
      <t xml:space="preserve">2/3ch</t>
    </r>
    <r>
      <rPr>
        <sz val="10"/>
        <rFont val="Noto Sans CJK SC"/>
        <family val="2"/>
      </rPr>
      <t xml:space="preserve">、「理由</t>
    </r>
    <r>
      <rPr>
        <sz val="10"/>
        <rFont val="Arial"/>
        <family val="0"/>
        <charset val="1"/>
      </rPr>
      <t xml:space="preserve">/</t>
    </r>
    <r>
      <rPr>
        <sz val="10"/>
        <rFont val="Noto Sans CJK SC"/>
        <family val="2"/>
      </rPr>
      <t xml:space="preserve">わけ」</t>
    </r>
    <r>
      <rPr>
        <sz val="10"/>
        <rFont val="Arial"/>
        <family val="0"/>
        <charset val="1"/>
      </rPr>
      <t xml:space="preserve">2/3ch </t>
    </r>
    <r>
      <rPr>
        <sz val="10"/>
        <rFont val="Noto Sans CJK SC"/>
        <family val="2"/>
      </rPr>
      <t xml:space="preserve">で一致しない。ただし「？」だけを足すと </t>
    </r>
    <r>
      <rPr>
        <sz val="10"/>
        <rFont val="Arial"/>
        <family val="0"/>
        <charset val="1"/>
      </rPr>
      <t xml:space="preserve">3/5ch </t>
    </r>
    <r>
      <rPr>
        <sz val="10"/>
        <rFont val="Noto Sans CJK SC"/>
        <family val="2"/>
      </rPr>
      <t xml:space="preserve">まで落ちるので、効いているのは疑問符ではなく「なぜ／のか」の語である。</t>
    </r>
  </si>
  <si>
    <r>
      <rPr>
        <sz val="10"/>
        <rFont val="Arial"/>
        <family val="0"/>
        <charset val="1"/>
      </rPr>
      <t xml:space="preserve">3. 13</t>
    </r>
    <r>
      <rPr>
        <sz val="10"/>
        <rFont val="Noto Sans CJK SC"/>
        <family val="2"/>
      </rPr>
      <t xml:space="preserve">時は </t>
    </r>
    <r>
      <rPr>
        <sz val="10"/>
        <rFont val="Arial"/>
        <family val="0"/>
        <charset val="1"/>
      </rPr>
      <t xml:space="preserve">ch</t>
    </r>
    <r>
      <rPr>
        <sz val="10"/>
        <rFont val="Noto Sans CJK SC"/>
        <family val="2"/>
      </rPr>
      <t xml:space="preserve">固定効果で </t>
    </r>
    <r>
      <rPr>
        <sz val="10"/>
        <rFont val="Arial"/>
        <family val="0"/>
        <charset val="1"/>
      </rPr>
      <t xml:space="preserve">3/3ch </t>
    </r>
    <r>
      <rPr>
        <sz val="10"/>
        <rFont val="Noto Sans CJK SC"/>
        <family val="2"/>
      </rPr>
      <t xml:space="preserve">すべて自</t>
    </r>
    <r>
      <rPr>
        <sz val="10"/>
        <rFont val="Arial"/>
        <family val="0"/>
        <charset val="1"/>
      </rPr>
      <t xml:space="preserve">ch</t>
    </r>
    <r>
      <rPr>
        <sz val="10"/>
        <rFont val="Noto Sans CJK SC"/>
        <family val="2"/>
      </rPr>
      <t xml:space="preserve">平均割れ（中央値</t>
    </r>
    <r>
      <rPr>
        <sz val="10"/>
        <rFont val="Arial"/>
        <family val="0"/>
        <charset val="1"/>
      </rPr>
      <t xml:space="preserve">0.50</t>
    </r>
    <r>
      <rPr>
        <sz val="10"/>
        <rFont val="Noto Sans CJK SC"/>
        <family val="2"/>
      </rPr>
      <t xml:space="preserve">）＝測定できた全時刻で最下位。</t>
    </r>
    <r>
      <rPr>
        <sz val="10"/>
        <rFont val="Arial"/>
        <family val="0"/>
        <charset val="1"/>
      </rPr>
      <t xml:space="preserve">17</t>
    </r>
    <r>
      <rPr>
        <sz val="10"/>
        <rFont val="Noto Sans CJK SC"/>
        <family val="2"/>
      </rPr>
      <t xml:space="preserve">時は </t>
    </r>
    <r>
      <rPr>
        <sz val="10"/>
        <rFont val="Arial"/>
        <family val="0"/>
        <charset val="1"/>
      </rPr>
      <t xml:space="preserve">5/5ch </t>
    </r>
    <r>
      <rPr>
        <sz val="10"/>
        <rFont val="Noto Sans CJK SC"/>
        <family val="2"/>
      </rPr>
      <t xml:space="preserve">で測定でき中央値</t>
    </r>
    <r>
      <rPr>
        <sz val="10"/>
        <rFont val="Arial"/>
        <family val="0"/>
        <charset val="1"/>
      </rPr>
      <t xml:space="preserve">1.67</t>
    </r>
    <r>
      <rPr>
        <sz val="10"/>
        <rFont val="Noto Sans CJK SC"/>
        <family val="2"/>
      </rPr>
      <t xml:space="preserve">倍で最良。早朝</t>
    </r>
    <r>
      <rPr>
        <sz val="10"/>
        <rFont val="Arial"/>
        <family val="0"/>
        <charset val="1"/>
      </rPr>
      <t xml:space="preserve">6-10</t>
    </r>
    <r>
      <rPr>
        <sz val="10"/>
        <rFont val="Noto Sans CJK SC"/>
        <family val="2"/>
      </rPr>
      <t xml:space="preserve">時は </t>
    </r>
    <r>
      <rPr>
        <sz val="10"/>
        <rFont val="Arial"/>
        <family val="0"/>
        <charset val="1"/>
      </rPr>
      <t xml:space="preserve">5ch</t>
    </r>
    <r>
      <rPr>
        <sz val="10"/>
        <rFont val="Noto Sans CJK SC"/>
        <family val="2"/>
      </rPr>
      <t xml:space="preserve">中</t>
    </r>
    <r>
      <rPr>
        <sz val="10"/>
        <rFont val="Arial"/>
        <family val="0"/>
        <charset val="1"/>
      </rPr>
      <t xml:space="preserve">4ch</t>
    </r>
    <r>
      <rPr>
        <sz val="10"/>
        <rFont val="Noto Sans CJK SC"/>
        <family val="2"/>
      </rPr>
      <t xml:space="preserve">で最下位ブロック。</t>
    </r>
  </si>
  <si>
    <r>
      <rPr>
        <sz val="10"/>
        <rFont val="Arial"/>
        <family val="0"/>
        <charset val="1"/>
      </rPr>
      <t xml:space="preserve">4. </t>
    </r>
    <r>
      <rPr>
        <sz val="10"/>
        <rFont val="Noto Sans CJK SC"/>
        <family val="2"/>
      </rPr>
      <t xml:space="preserve">至上指標 登録</t>
    </r>
    <r>
      <rPr>
        <sz val="10"/>
        <rFont val="Arial"/>
        <family val="0"/>
        <charset val="1"/>
      </rPr>
      <t xml:space="preserve">/</t>
    </r>
    <r>
      <rPr>
        <sz val="10"/>
        <rFont val="Noto Sans CJK SC"/>
        <family val="2"/>
      </rPr>
      <t xml:space="preserve">千再生は </t>
    </r>
    <r>
      <rPr>
        <sz val="10"/>
        <rFont val="Arial"/>
        <family val="0"/>
        <charset val="1"/>
      </rPr>
      <t xml:space="preserve">6ch</t>
    </r>
    <r>
      <rPr>
        <sz val="10"/>
        <rFont val="Noto Sans CJK SC"/>
        <family val="2"/>
      </rPr>
      <t xml:space="preserve">中</t>
    </r>
    <r>
      <rPr>
        <sz val="10"/>
        <rFont val="Arial"/>
        <family val="0"/>
        <charset val="1"/>
      </rPr>
      <t xml:space="preserve">4ch</t>
    </r>
    <r>
      <rPr>
        <sz val="10"/>
        <rFont val="Noto Sans CJK SC"/>
        <family val="2"/>
      </rPr>
      <t xml:space="preserve">で前日比マイナス。ただし同一動画の再生は全</t>
    </r>
    <r>
      <rPr>
        <sz val="10"/>
        <rFont val="Arial"/>
        <family val="0"/>
        <charset val="1"/>
      </rPr>
      <t xml:space="preserve">ch</t>
    </r>
    <r>
      <rPr>
        <sz val="10"/>
        <rFont val="Noto Sans CJK SC"/>
        <family val="2"/>
      </rPr>
      <t xml:space="preserve">増えており（</t>
    </r>
    <r>
      <rPr>
        <sz val="10"/>
        <rFont val="Arial"/>
        <family val="0"/>
        <charset val="1"/>
      </rPr>
      <t xml:space="preserve">scp-lab +2,446 / daily-science +3,645 / company-facts +4,785</t>
    </r>
    <r>
      <rPr>
        <sz val="10"/>
        <rFont val="Noto Sans CJK SC"/>
        <family val="2"/>
      </rPr>
      <t xml:space="preserve">）、登録が追いつかないぶん分母が膨らんだ希釈。「悪化」と読むのは早い。</t>
    </r>
  </si>
  <si>
    <r>
      <rPr>
        <sz val="10"/>
        <rFont val="Arial"/>
        <family val="0"/>
        <charset val="1"/>
      </rPr>
      <t xml:space="preserve">5. ⚠️ 09-16 </t>
    </r>
    <r>
      <rPr>
        <sz val="10"/>
        <rFont val="Noto Sans CJK SC"/>
        <family val="2"/>
      </rPr>
      <t xml:space="preserve">に再有効化した </t>
    </r>
    <r>
      <rPr>
        <sz val="10"/>
        <rFont val="Arial"/>
        <family val="0"/>
        <charset val="1"/>
      </rPr>
      <t xml:space="preserve">2ch-matome </t>
    </r>
    <r>
      <rPr>
        <sz val="10"/>
        <rFont val="Noto Sans CJK SC"/>
        <family val="2"/>
      </rPr>
      <t xml:space="preserve">の </t>
    </r>
    <r>
      <rPr>
        <sz val="10"/>
        <rFont val="Arial"/>
        <family val="0"/>
        <charset val="1"/>
      </rPr>
      <t xml:space="preserve">autopilot </t>
    </r>
    <r>
      <rPr>
        <sz val="10"/>
        <rFont val="Noto Sans CJK SC"/>
        <family val="2"/>
      </rPr>
      <t xml:space="preserve">は一度も発火していない（</t>
    </r>
    <r>
      <rPr>
        <sz val="10"/>
        <rFont val="Arial"/>
        <family val="0"/>
        <charset val="1"/>
      </rPr>
      <t xml:space="preserve">09-16</t>
    </r>
    <r>
      <rPr>
        <sz val="10"/>
        <rFont val="Noto Sans CJK SC"/>
        <family val="2"/>
      </rPr>
      <t xml:space="preserve">の</t>
    </r>
    <r>
      <rPr>
        <sz val="10"/>
        <rFont val="Arial"/>
        <family val="0"/>
        <charset val="1"/>
      </rPr>
      <t xml:space="preserve">3</t>
    </r>
    <r>
      <rPr>
        <sz val="10"/>
        <rFont val="Noto Sans CJK SC"/>
        <family val="2"/>
      </rPr>
      <t xml:space="preserve">枠・</t>
    </r>
    <r>
      <rPr>
        <sz val="10"/>
        <rFont val="Arial"/>
        <family val="0"/>
        <charset val="1"/>
      </rPr>
      <t xml:space="preserve">09-17 07:30 </t>
    </r>
    <r>
      <rPr>
        <sz val="10"/>
        <rFont val="Noto Sans CJK SC"/>
        <family val="2"/>
      </rPr>
      <t xml:space="preserve">とも</t>
    </r>
    <r>
      <rPr>
        <sz val="10"/>
        <rFont val="Arial"/>
        <family val="0"/>
        <charset val="1"/>
      </rPr>
      <t xml:space="preserve">0</t>
    </r>
    <r>
      <rPr>
        <sz val="10"/>
        <rFont val="Noto Sans CJK SC"/>
        <family val="2"/>
      </rPr>
      <t xml:space="preserve">本）。</t>
    </r>
    <r>
      <rPr>
        <sz val="10"/>
        <rFont val="Arial"/>
        <family val="0"/>
        <charset val="1"/>
      </rPr>
      <t xml:space="preserve">config </t>
    </r>
    <r>
      <rPr>
        <sz val="10"/>
        <rFont val="Noto Sans CJK SC"/>
        <family val="2"/>
      </rPr>
      <t xml:space="preserve">は反映されたが </t>
    </r>
    <r>
      <rPr>
        <sz val="10"/>
        <rFont val="Arial"/>
        <family val="0"/>
        <charset val="1"/>
      </rPr>
      <t xml:space="preserve">APScheduler </t>
    </r>
    <r>
      <rPr>
        <sz val="10"/>
        <rFont val="Noto Sans CJK SC"/>
        <family val="2"/>
      </rPr>
      <t xml:space="preserve">にジョブが再登録されないバグ。並走 </t>
    </r>
    <r>
      <rPr>
        <sz val="10"/>
        <rFont val="Arial"/>
        <family val="0"/>
        <charset val="1"/>
      </rPr>
      <t xml:space="preserve">run </t>
    </r>
    <r>
      <rPr>
        <sz val="10"/>
        <rFont val="Noto Sans CJK SC"/>
        <family val="2"/>
      </rPr>
      <t xml:space="preserve">がコード修正済みで、要バックエンド再起動。</t>
    </r>
  </si>
  <si>
    <r>
      <rPr>
        <sz val="10"/>
        <rFont val="Arial"/>
        <family val="0"/>
        <charset val="1"/>
      </rPr>
      <t xml:space="preserve">6. ⚠️ </t>
    </r>
    <r>
      <rPr>
        <sz val="10"/>
        <rFont val="Noto Sans CJK SC"/>
        <family val="2"/>
      </rPr>
      <t xml:space="preserve">本日は指揮者 </t>
    </r>
    <r>
      <rPr>
        <sz val="10"/>
        <rFont val="Arial"/>
        <family val="0"/>
        <charset val="1"/>
      </rPr>
      <t xml:space="preserve">run </t>
    </r>
    <r>
      <rPr>
        <sz val="10"/>
        <rFont val="Noto Sans CJK SC"/>
        <family val="2"/>
      </rPr>
      <t xml:space="preserve">が並走した。既定のマーカーファイル（</t>
    </r>
    <r>
      <rPr>
        <sz val="10"/>
        <rFont val="Arial"/>
        <family val="0"/>
        <charset val="1"/>
      </rPr>
      <t xml:space="preserve">orch_config_changes_YYYYMMDD.json</t>
    </r>
    <r>
      <rPr>
        <sz val="10"/>
        <rFont val="Noto Sans CJK SC"/>
        <family val="2"/>
      </rPr>
      <t xml:space="preserve">）が置かれていなかったため検知できず、同一スナップショットで二重に </t>
    </r>
    <r>
      <rPr>
        <sz val="10"/>
        <rFont val="Arial"/>
        <family val="0"/>
        <charset val="1"/>
      </rPr>
      <t xml:space="preserve">Phase3 </t>
    </r>
    <r>
      <rPr>
        <sz val="10"/>
        <rFont val="Noto Sans CJK SC"/>
        <family val="2"/>
      </rPr>
      <t xml:space="preserve">を実行した。変更同士は加算的で矛盾はないが鉄則違反。スケジュール側で</t>
    </r>
    <r>
      <rPr>
        <sz val="10"/>
        <rFont val="Arial"/>
        <family val="0"/>
        <charset val="1"/>
      </rPr>
      <t xml:space="preserve">1</t>
    </r>
    <r>
      <rPr>
        <sz val="10"/>
        <rFont val="Noto Sans CJK SC"/>
        <family val="2"/>
      </rPr>
      <t xml:space="preserve">本に寄せること（</t>
    </r>
    <r>
      <rPr>
        <sz val="10"/>
        <rFont val="Arial"/>
        <family val="0"/>
        <charset val="1"/>
      </rPr>
      <t xml:space="preserve">3</t>
    </r>
    <r>
      <rPr>
        <sz val="10"/>
        <rFont val="Noto Sans CJK SC"/>
        <family val="2"/>
      </rPr>
      <t xml:space="preserve">日連続で同じ指摘）。</t>
    </r>
  </si>
  <si>
    <r>
      <rPr>
        <b val="true"/>
        <sz val="11"/>
        <rFont val="Noto Sans CJK SC"/>
        <family val="2"/>
      </rPr>
      <t xml:space="preserve">■ 至上指標 登録</t>
    </r>
    <r>
      <rPr>
        <b val="true"/>
        <sz val="11"/>
        <rFont val="Arial"/>
        <family val="0"/>
        <charset val="1"/>
      </rPr>
      <t xml:space="preserve">/</t>
    </r>
    <r>
      <rPr>
        <b val="true"/>
        <sz val="11"/>
        <rFont val="Noto Sans CJK SC"/>
        <family val="2"/>
      </rPr>
      <t xml:space="preserve">千再生（最新スナップショット・直近</t>
    </r>
    <r>
      <rPr>
        <b val="true"/>
        <sz val="11"/>
        <rFont val="Arial"/>
        <family val="0"/>
        <charset val="1"/>
      </rPr>
      <t xml:space="preserve">50</t>
    </r>
    <r>
      <rPr>
        <b val="true"/>
        <sz val="11"/>
        <rFont val="Noto Sans CJK SC"/>
        <family val="2"/>
      </rPr>
      <t xml:space="preserve">本ローリング窓）</t>
    </r>
  </si>
  <si>
    <t xml:space="preserve">channel</t>
  </si>
  <si>
    <t xml:space="preserve">スナップ</t>
  </si>
  <si>
    <t xml:space="preserve">本数</t>
  </si>
  <si>
    <r>
      <rPr>
        <b val="true"/>
        <sz val="10"/>
        <color rgb="FFFFFFFF"/>
        <rFont val="Noto Sans CJK SC"/>
        <family val="2"/>
      </rPr>
      <t xml:space="preserve">再生</t>
    </r>
    <r>
      <rPr>
        <b val="true"/>
        <sz val="10"/>
        <color rgb="FFFFFFFF"/>
        <rFont val="Arial"/>
        <family val="0"/>
        <charset val="1"/>
      </rPr>
      <t xml:space="preserve">(30</t>
    </r>
    <r>
      <rPr>
        <b val="true"/>
        <sz val="10"/>
        <color rgb="FFFFFFFF"/>
        <rFont val="Noto Sans CJK SC"/>
        <family val="2"/>
      </rPr>
      <t xml:space="preserve">日窓</t>
    </r>
    <r>
      <rPr>
        <b val="true"/>
        <sz val="10"/>
        <color rgb="FFFFFFFF"/>
        <rFont val="Arial"/>
        <family val="0"/>
        <charset val="1"/>
      </rPr>
      <t xml:space="preserve">)</t>
    </r>
  </si>
  <si>
    <t xml:space="preserve">登録</t>
  </si>
  <si>
    <r>
      <rPr>
        <b val="true"/>
        <sz val="10"/>
        <color rgb="FFFFFFFF"/>
        <rFont val="Noto Sans CJK SC"/>
        <family val="2"/>
      </rPr>
      <t xml:space="preserve">登録</t>
    </r>
    <r>
      <rPr>
        <b val="true"/>
        <sz val="10"/>
        <color rgb="FFFFFFFF"/>
        <rFont val="Arial"/>
        <family val="0"/>
        <charset val="1"/>
      </rPr>
      <t xml:space="preserve">/</t>
    </r>
    <r>
      <rPr>
        <b val="true"/>
        <sz val="10"/>
        <color rgb="FFFFFFFF"/>
        <rFont val="Noto Sans CJK SC"/>
        <family val="2"/>
      </rPr>
      <t xml:space="preserve">千再生</t>
    </r>
  </si>
  <si>
    <r>
      <rPr>
        <b val="true"/>
        <sz val="10"/>
        <color rgb="FFFFFFFF"/>
        <rFont val="Noto Sans CJK SC"/>
        <family val="2"/>
      </rPr>
      <t xml:space="preserve">いいね率</t>
    </r>
    <r>
      <rPr>
        <b val="true"/>
        <sz val="10"/>
        <color rgb="FFFFFFFF"/>
        <rFont val="Arial"/>
        <family val="0"/>
        <charset val="1"/>
      </rPr>
      <t xml:space="preserve">%</t>
    </r>
  </si>
  <si>
    <r>
      <rPr>
        <b val="true"/>
        <sz val="10"/>
        <color rgb="FFFFFFFF"/>
        <rFont val="Noto Sans CJK SC"/>
        <family val="2"/>
      </rPr>
      <t xml:space="preserve">平均維持率</t>
    </r>
    <r>
      <rPr>
        <b val="true"/>
        <sz val="10"/>
        <color rgb="FFFFFFFF"/>
        <rFont val="Arial"/>
        <family val="0"/>
        <charset val="1"/>
      </rPr>
      <t xml:space="preserve">%</t>
    </r>
  </si>
  <si>
    <r>
      <rPr>
        <b val="true"/>
        <sz val="10"/>
        <color rgb="FFFFFFFF"/>
        <rFont val="Noto Sans CJK SC"/>
        <family val="2"/>
      </rPr>
      <t xml:space="preserve">同一動画</t>
    </r>
    <r>
      <rPr>
        <b val="true"/>
        <sz val="10"/>
        <color rgb="FFFFFFFF"/>
        <rFont val="Arial"/>
        <family val="0"/>
        <charset val="1"/>
      </rPr>
      <t xml:space="preserve">Δ</t>
    </r>
    <r>
      <rPr>
        <b val="true"/>
        <sz val="10"/>
        <color rgb="FFFFFFFF"/>
        <rFont val="Noto Sans CJK SC"/>
        <family val="2"/>
      </rPr>
      <t xml:space="preserve">再生</t>
    </r>
  </si>
  <si>
    <t xml:space="preserve">判定</t>
  </si>
  <si>
    <r>
      <rPr>
        <b val="true"/>
        <sz val="10"/>
        <rFont val="Noto Sans CJK SC"/>
        <family val="2"/>
      </rPr>
      <t xml:space="preserve">ゆっくり異常存在</t>
    </r>
    <r>
      <rPr>
        <b val="true"/>
        <sz val="10"/>
        <rFont val="Arial"/>
        <family val="0"/>
        <charset val="1"/>
      </rPr>
      <t xml:space="preserve">SCP</t>
    </r>
    <r>
      <rPr>
        <b val="true"/>
        <sz val="10"/>
        <rFont val="Noto Sans CJK SC"/>
        <family val="2"/>
      </rPr>
      <t xml:space="preserve">ラボ</t>
    </r>
  </si>
  <si>
    <t xml:space="preserve">2026-09-16</t>
  </si>
  <si>
    <t xml:space="preserve">リコとマコトのゆっくり日常科</t>
  </si>
  <si>
    <t xml:space="preserve">ゆっくり妖怪ラボ</t>
  </si>
  <si>
    <t xml:space="preserve">企業のホンネ</t>
  </si>
  <si>
    <r>
      <rPr>
        <b val="true"/>
        <sz val="10"/>
        <rFont val="Noto Sans CJK SC"/>
        <family val="2"/>
      </rPr>
      <t xml:space="preserve">ゆっくり</t>
    </r>
    <r>
      <rPr>
        <b val="true"/>
        <sz val="10"/>
        <rFont val="Arial"/>
        <family val="0"/>
        <charset val="1"/>
      </rPr>
      <t xml:space="preserve">2ch</t>
    </r>
    <r>
      <rPr>
        <b val="true"/>
        <sz val="10"/>
        <rFont val="Noto Sans CJK SC"/>
        <family val="2"/>
      </rPr>
      <t xml:space="preserve">スレまとめ劇場</t>
    </r>
  </si>
  <si>
    <t xml:space="preserve">社会学の処方箋</t>
  </si>
  <si>
    <r>
      <rPr>
        <sz val="9"/>
        <color rgb="FF595959"/>
        <rFont val="Noto Sans CJK SC"/>
        <family val="2"/>
      </rPr>
      <t xml:space="preserve">母数不足</t>
    </r>
    <r>
      <rPr>
        <sz val="9"/>
        <color rgb="FF595959"/>
        <rFont val="Arial"/>
        <family val="0"/>
        <charset val="1"/>
      </rPr>
      <t xml:space="preserve">(n&lt;10)</t>
    </r>
  </si>
  <si>
    <t xml:space="preserve">ポケモン考察ラボ</t>
  </si>
  <si>
    <t xml:space="preserve">2026-09-08</t>
  </si>
  <si>
    <r>
      <rPr>
        <sz val="9"/>
        <color rgb="FF595959"/>
        <rFont val="Arial"/>
        <family val="0"/>
        <charset val="1"/>
      </rPr>
      <t xml:space="preserve">OAuth</t>
    </r>
    <r>
      <rPr>
        <sz val="9"/>
        <color rgb="FF595959"/>
        <rFont val="Noto Sans CJK SC"/>
        <family val="2"/>
      </rPr>
      <t xml:space="preserve">失効・データ凍結</t>
    </r>
  </si>
  <si>
    <t xml:space="preserve">架空論文ファイル</t>
  </si>
  <si>
    <t xml:space="preserve">2026-09-06</t>
  </si>
  <si>
    <t xml:space="preserve">ラグナロクの司書</t>
  </si>
  <si>
    <t xml:space="preserve">切り抜きラボ（ひろゆき）</t>
  </si>
  <si>
    <t xml:space="preserve">深田えいみ 切り抜き</t>
  </si>
  <si>
    <t xml:space="preserve">金子みゆ 切り抜き</t>
  </si>
  <si>
    <t xml:space="preserve">動物情報局</t>
  </si>
  <si>
    <r>
      <rPr>
        <b val="true"/>
        <sz val="10"/>
        <rFont val="Noto Sans CJK SC"/>
        <family val="2"/>
      </rPr>
      <t xml:space="preserve">稼働</t>
    </r>
    <r>
      <rPr>
        <b val="true"/>
        <sz val="10"/>
        <rFont val="Arial"/>
        <family val="0"/>
        <charset val="1"/>
      </rPr>
      <t xml:space="preserve">6ch </t>
    </r>
    <r>
      <rPr>
        <b val="true"/>
        <sz val="10"/>
        <rFont val="Noto Sans CJK SC"/>
        <family val="2"/>
      </rPr>
      <t xml:space="preserve">合計</t>
    </r>
  </si>
  <si>
    <r>
      <rPr>
        <sz val="9"/>
        <color rgb="FF595959"/>
        <rFont val="Noto Sans CJK SC"/>
        <family val="2"/>
      </rPr>
      <t xml:space="preserve">稼働</t>
    </r>
    <r>
      <rPr>
        <sz val="9"/>
        <color rgb="FF595959"/>
        <rFont val="Arial"/>
        <family val="0"/>
        <charset val="1"/>
      </rPr>
      <t xml:space="preserve">6ch = 09-16 </t>
    </r>
    <r>
      <rPr>
        <sz val="9"/>
        <color rgb="FF595959"/>
        <rFont val="Noto Sans CJK SC"/>
        <family val="2"/>
      </rPr>
      <t xml:space="preserve">スナップショットが取れた </t>
    </r>
    <r>
      <rPr>
        <sz val="9"/>
        <color rgb="FF595959"/>
        <rFont val="Arial"/>
        <family val="0"/>
        <charset val="1"/>
      </rPr>
      <t xml:space="preserve">ch</t>
    </r>
  </si>
  <si>
    <r>
      <rPr>
        <b val="true"/>
        <sz val="11"/>
        <rFont val="Noto Sans CJK SC"/>
        <family val="2"/>
      </rPr>
      <t xml:space="preserve">■ 系統別（各</t>
    </r>
    <r>
      <rPr>
        <b val="true"/>
        <sz val="11"/>
        <rFont val="Arial"/>
        <family val="0"/>
        <charset val="1"/>
      </rPr>
      <t xml:space="preserve">ch</t>
    </r>
    <r>
      <rPr>
        <b val="true"/>
        <sz val="11"/>
        <rFont val="Noto Sans CJK SC"/>
        <family val="2"/>
      </rPr>
      <t xml:space="preserve">最新スナップショット）</t>
    </r>
  </si>
  <si>
    <t xml:space="preserve">系統</t>
  </si>
  <si>
    <r>
      <rPr>
        <b val="true"/>
        <sz val="10"/>
        <color rgb="FFFFFFFF"/>
        <rFont val="Arial"/>
        <family val="0"/>
        <charset val="1"/>
      </rPr>
      <t xml:space="preserve">ch</t>
    </r>
    <r>
      <rPr>
        <b val="true"/>
        <sz val="10"/>
        <color rgb="FFFFFFFF"/>
        <rFont val="Noto Sans CJK SC"/>
        <family val="2"/>
      </rPr>
      <t xml:space="preserve">数</t>
    </r>
  </si>
  <si>
    <t xml:space="preserve">再生</t>
  </si>
  <si>
    <t xml:space="preserve">ゆっくり系</t>
  </si>
  <si>
    <t xml:space="preserve">切り抜き系</t>
  </si>
  <si>
    <t xml:space="preserve">長尺系</t>
  </si>
  <si>
    <r>
      <rPr>
        <b val="true"/>
        <sz val="10"/>
        <rFont val="Noto Sans CJK SC"/>
        <family val="2"/>
      </rPr>
      <t xml:space="preserve">ゆっくり系 </t>
    </r>
    <r>
      <rPr>
        <b val="true"/>
        <sz val="10"/>
        <rFont val="Arial"/>
        <family val="0"/>
        <charset val="1"/>
      </rPr>
      <t xml:space="preserve">÷ </t>
    </r>
    <r>
      <rPr>
        <b val="true"/>
        <sz val="10"/>
        <rFont val="Noto Sans CJK SC"/>
        <family val="2"/>
      </rPr>
      <t xml:space="preserve">切り抜き系</t>
    </r>
  </si>
  <si>
    <r>
      <rPr>
        <sz val="9"/>
        <color rgb="FF595959"/>
        <rFont val="Arial"/>
        <family val="0"/>
        <charset val="1"/>
      </rPr>
      <t xml:space="preserve">09-12 4.58 → 09-13 4.56 → 09-14 4.81 → 09-15 4.72 → 09-16 4.81 → </t>
    </r>
    <r>
      <rPr>
        <sz val="9"/>
        <color rgb="FF595959"/>
        <rFont val="Noto Sans CJK SC"/>
        <family val="2"/>
      </rPr>
      <t xml:space="preserve">本日。切り抜き</t>
    </r>
    <r>
      <rPr>
        <sz val="9"/>
        <color rgb="FF595959"/>
        <rFont val="Arial"/>
        <family val="0"/>
        <charset val="1"/>
      </rPr>
      <t xml:space="preserve">4ch</t>
    </r>
    <r>
      <rPr>
        <sz val="9"/>
        <color rgb="FF595959"/>
        <rFont val="Noto Sans CJK SC"/>
        <family val="2"/>
      </rPr>
      <t xml:space="preserve">は </t>
    </r>
    <r>
      <rPr>
        <sz val="9"/>
        <color rgb="FF595959"/>
        <rFont val="Arial"/>
        <family val="0"/>
        <charset val="1"/>
      </rPr>
      <t xml:space="preserve">OAuth </t>
    </r>
    <r>
      <rPr>
        <sz val="9"/>
        <color rgb="FF595959"/>
        <rFont val="Noto Sans CJK SC"/>
        <family val="2"/>
      </rPr>
      <t xml:space="preserve">失効でデータが </t>
    </r>
    <r>
      <rPr>
        <sz val="9"/>
        <color rgb="FF595959"/>
        <rFont val="Arial"/>
        <family val="0"/>
        <charset val="1"/>
      </rPr>
      <t xml:space="preserve">09-08 </t>
    </r>
    <r>
      <rPr>
        <sz val="9"/>
        <color rgb="FF595959"/>
        <rFont val="Noto Sans CJK SC"/>
        <family val="2"/>
      </rPr>
      <t xml:space="preserve">で止まっている点に注意。</t>
    </r>
  </si>
  <si>
    <r>
      <rPr>
        <b val="true"/>
        <sz val="11"/>
        <rFont val="Noto Sans CJK SC"/>
        <family val="2"/>
      </rPr>
      <t xml:space="preserve">■ 公開実績（</t>
    </r>
    <r>
      <rPr>
        <b val="true"/>
        <sz val="11"/>
        <rFont val="Arial"/>
        <family val="0"/>
        <charset val="1"/>
      </rPr>
      <t xml:space="preserve">JST</t>
    </r>
    <r>
      <rPr>
        <b val="true"/>
        <sz val="11"/>
        <rFont val="Noto Sans CJK SC"/>
        <family val="2"/>
      </rPr>
      <t xml:space="preserve">・</t>
    </r>
    <r>
      <rPr>
        <b val="true"/>
        <sz val="11"/>
        <rFont val="Arial"/>
        <family val="0"/>
        <charset val="1"/>
      </rPr>
      <t xml:space="preserve">09-13</t>
    </r>
    <r>
      <rPr>
        <b val="true"/>
        <sz val="11"/>
        <rFont val="Noto Sans CJK SC"/>
        <family val="2"/>
      </rPr>
      <t xml:space="preserve">〜</t>
    </r>
    <r>
      <rPr>
        <b val="true"/>
        <sz val="11"/>
        <rFont val="Arial"/>
        <family val="0"/>
        <charset val="1"/>
      </rPr>
      <t xml:space="preserve">09-16</t>
    </r>
    <r>
      <rPr>
        <b val="true"/>
        <sz val="11"/>
        <rFont val="Noto Sans CJK SC"/>
        <family val="2"/>
      </rPr>
      <t xml:space="preserve">）</t>
    </r>
  </si>
  <si>
    <t xml:space="preserve">09-13</t>
  </si>
  <si>
    <t xml:space="preserve">09-14</t>
  </si>
  <si>
    <t xml:space="preserve">09-15</t>
  </si>
  <si>
    <t xml:space="preserve">09-16</t>
  </si>
  <si>
    <r>
      <rPr>
        <b val="true"/>
        <sz val="10"/>
        <color rgb="FFFFFFFF"/>
        <rFont val="Arial"/>
        <family val="0"/>
        <charset val="1"/>
      </rPr>
      <t xml:space="preserve">1</t>
    </r>
    <r>
      <rPr>
        <b val="true"/>
        <sz val="10"/>
        <color rgb="FFFFFFFF"/>
        <rFont val="Noto Sans CJK SC"/>
        <family val="2"/>
      </rPr>
      <t xml:space="preserve">日の枠数</t>
    </r>
  </si>
  <si>
    <r>
      <rPr>
        <b val="true"/>
        <sz val="10"/>
        <color rgb="FFFFFFFF"/>
        <rFont val="Noto Sans CJK SC"/>
        <family val="2"/>
      </rPr>
      <t xml:space="preserve">枠到達率</t>
    </r>
    <r>
      <rPr>
        <b val="true"/>
        <sz val="10"/>
        <color rgb="FFFFFFFF"/>
        <rFont val="Arial"/>
        <family val="0"/>
        <charset val="1"/>
      </rPr>
      <t xml:space="preserve">(09-16)</t>
    </r>
  </si>
  <si>
    <t xml:space="preserve">scp-lab</t>
  </si>
  <si>
    <t xml:space="preserve">daily-science</t>
  </si>
  <si>
    <t xml:space="preserve">yokai-watch</t>
  </si>
  <si>
    <t xml:space="preserve">company-facts</t>
  </si>
  <si>
    <t xml:space="preserve">2ch-matome</t>
  </si>
  <si>
    <t xml:space="preserve">socio-rx</t>
  </si>
  <si>
    <r>
      <rPr>
        <sz val="9"/>
        <color rgb="FF595959"/>
        <rFont val="Arial"/>
        <family val="0"/>
        <charset val="1"/>
      </rPr>
      <t xml:space="preserve">2ch-matome </t>
    </r>
    <r>
      <rPr>
        <sz val="9"/>
        <color rgb="FF595959"/>
        <rFont val="Noto Sans CJK SC"/>
        <family val="2"/>
      </rPr>
      <t xml:space="preserve">は </t>
    </r>
    <r>
      <rPr>
        <sz val="9"/>
        <color rgb="FF595959"/>
        <rFont val="Arial"/>
        <family val="0"/>
        <charset val="1"/>
      </rPr>
      <t xml:space="preserve">09-13 </t>
    </r>
    <r>
      <rPr>
        <sz val="9"/>
        <color rgb="FF595959"/>
        <rFont val="Noto Sans CJK SC"/>
        <family val="2"/>
      </rPr>
      <t xml:space="preserve">以降ずっと</t>
    </r>
    <r>
      <rPr>
        <sz val="9"/>
        <color rgb="FF595959"/>
        <rFont val="Arial"/>
        <family val="0"/>
        <charset val="1"/>
      </rPr>
      <t xml:space="preserve">0</t>
    </r>
    <r>
      <rPr>
        <sz val="9"/>
        <color rgb="FF595959"/>
        <rFont val="Noto Sans CJK SC"/>
        <family val="2"/>
      </rPr>
      <t xml:space="preserve">本。</t>
    </r>
    <r>
      <rPr>
        <sz val="9"/>
        <color rgb="FF595959"/>
        <rFont val="Arial"/>
        <family val="0"/>
        <charset val="1"/>
      </rPr>
      <t xml:space="preserve">09-16 </t>
    </r>
    <r>
      <rPr>
        <sz val="9"/>
        <color rgb="FF595959"/>
        <rFont val="Noto Sans CJK SC"/>
        <family val="2"/>
      </rPr>
      <t xml:space="preserve">に </t>
    </r>
    <r>
      <rPr>
        <sz val="9"/>
        <color rgb="FF595959"/>
        <rFont val="Arial"/>
        <family val="0"/>
        <charset val="1"/>
      </rPr>
      <t xml:space="preserve">autopilot </t>
    </r>
    <r>
      <rPr>
        <sz val="9"/>
        <color rgb="FF595959"/>
        <rFont val="Noto Sans CJK SC"/>
        <family val="2"/>
      </rPr>
      <t xml:space="preserve">を </t>
    </r>
    <r>
      <rPr>
        <sz val="9"/>
        <color rgb="FF595959"/>
        <rFont val="Arial"/>
        <family val="0"/>
        <charset val="1"/>
      </rPr>
      <t xml:space="preserve">true </t>
    </r>
    <r>
      <rPr>
        <sz val="9"/>
        <color rgb="FF595959"/>
        <rFont val="Noto Sans CJK SC"/>
        <family val="2"/>
      </rPr>
      <t xml:space="preserve">へ戻したが </t>
    </r>
    <r>
      <rPr>
        <sz val="9"/>
        <color rgb="FF595959"/>
        <rFont val="Arial"/>
        <family val="0"/>
        <charset val="1"/>
      </rPr>
      <t xml:space="preserve">APScheduler </t>
    </r>
    <r>
      <rPr>
        <sz val="9"/>
        <color rgb="FF595959"/>
        <rFont val="Noto Sans CJK SC"/>
        <family val="2"/>
      </rPr>
      <t xml:space="preserve">にジョブが登録されず一度も発火していない（</t>
    </r>
    <r>
      <rPr>
        <sz val="9"/>
        <color rgb="FF595959"/>
        <rFont val="Arial"/>
        <family val="0"/>
        <charset val="1"/>
      </rPr>
      <t xml:space="preserve">backend.log </t>
    </r>
    <r>
      <rPr>
        <sz val="9"/>
        <color rgb="FF595959"/>
        <rFont val="Noto Sans CJK SC"/>
        <family val="2"/>
      </rPr>
      <t xml:space="preserve">に </t>
    </r>
    <r>
      <rPr>
        <sz val="9"/>
        <color rgb="FF595959"/>
        <rFont val="Arial"/>
        <family val="0"/>
        <charset val="1"/>
      </rPr>
      <t xml:space="preserve">"Autopilot fired for 2ch-matome" </t>
    </r>
    <r>
      <rPr>
        <sz val="9"/>
        <color rgb="FF595959"/>
        <rFont val="Noto Sans CJK SC"/>
        <family val="2"/>
      </rPr>
      <t xml:space="preserve">が皆無）。</t>
    </r>
  </si>
  <si>
    <r>
      <rPr>
        <b val="true"/>
        <sz val="14"/>
        <rFont val="Noto Sans CJK SC"/>
        <family val="2"/>
      </rPr>
      <t xml:space="preserve">チャンネル別詳細  （最新スナップショット </t>
    </r>
    <r>
      <rPr>
        <b val="true"/>
        <sz val="14"/>
        <rFont val="Arial"/>
        <family val="0"/>
        <charset val="1"/>
      </rPr>
      <t xml:space="preserve">vs </t>
    </r>
    <r>
      <rPr>
        <b val="true"/>
        <sz val="14"/>
        <rFont val="Noto Sans CJK SC"/>
        <family val="2"/>
      </rPr>
      <t xml:space="preserve">前回スナップショット）</t>
    </r>
  </si>
  <si>
    <r>
      <rPr>
        <sz val="9"/>
        <color rgb="FF595959"/>
        <rFont val="Noto Sans CJK SC"/>
        <family val="2"/>
      </rPr>
      <t xml:space="preserve">「登録</t>
    </r>
    <r>
      <rPr>
        <sz val="9"/>
        <color rgb="FF595959"/>
        <rFont val="Arial"/>
        <family val="0"/>
        <charset val="1"/>
      </rPr>
      <t xml:space="preserve">/</t>
    </r>
    <r>
      <rPr>
        <sz val="9"/>
        <color rgb="FF595959"/>
        <rFont val="Noto Sans CJK SC"/>
        <family val="2"/>
      </rPr>
      <t xml:space="preserve">千再生」が至上指標。前日差は式で算出。同一動画</t>
    </r>
    <r>
      <rPr>
        <sz val="9"/>
        <color rgb="FF595959"/>
        <rFont val="Arial"/>
        <family val="0"/>
        <charset val="1"/>
      </rPr>
      <t xml:space="preserve">Δ </t>
    </r>
    <r>
      <rPr>
        <sz val="9"/>
        <color rgb="FF595959"/>
        <rFont val="Noto Sans CJK SC"/>
        <family val="2"/>
      </rPr>
      <t xml:space="preserve">は両スナップショットに共通して存在する動画だけの純増で、窓の入れ替わりを除いた値。</t>
    </r>
  </si>
  <si>
    <t xml:space="preserve">チャンネル名</t>
  </si>
  <si>
    <t xml:space="preserve">最新スナップ</t>
  </si>
  <si>
    <t xml:space="preserve">前回スナップ</t>
  </si>
  <si>
    <t xml:space="preserve">前回</t>
  </si>
  <si>
    <t xml:space="preserve">差</t>
  </si>
  <si>
    <r>
      <rPr>
        <b val="true"/>
        <sz val="10"/>
        <color rgb="FFFFFFFF"/>
        <rFont val="Noto Sans CJK SC"/>
        <family val="2"/>
      </rPr>
      <t xml:space="preserve">前回いいね率</t>
    </r>
    <r>
      <rPr>
        <b val="true"/>
        <sz val="10"/>
        <color rgb="FFFFFFFF"/>
        <rFont val="Arial"/>
        <family val="0"/>
        <charset val="1"/>
      </rPr>
      <t xml:space="preserve">%</t>
    </r>
  </si>
  <si>
    <r>
      <rPr>
        <b val="true"/>
        <sz val="10"/>
        <color rgb="FFFFFFFF"/>
        <rFont val="Noto Sans CJK SC"/>
        <family val="2"/>
      </rPr>
      <t xml:space="preserve">投稿枠</t>
    </r>
    <r>
      <rPr>
        <b val="true"/>
        <sz val="10"/>
        <color rgb="FFFFFFFF"/>
        <rFont val="Arial"/>
        <family val="0"/>
        <charset val="1"/>
      </rPr>
      <t xml:space="preserve">(JST)</t>
    </r>
  </si>
  <si>
    <t xml:space="preserve">キュー</t>
  </si>
  <si>
    <r>
      <rPr>
        <b val="true"/>
        <sz val="10"/>
        <color rgb="FFFFFFFF"/>
        <rFont val="Noto Sans CJK SC"/>
        <family val="2"/>
      </rPr>
      <t xml:space="preserve">在庫</t>
    </r>
    <r>
      <rPr>
        <b val="true"/>
        <sz val="10"/>
        <color rgb="FFFFFFFF"/>
        <rFont val="Arial"/>
        <family val="0"/>
        <charset val="1"/>
      </rPr>
      <t xml:space="preserve">(</t>
    </r>
    <r>
      <rPr>
        <b val="true"/>
        <sz val="10"/>
        <color rgb="FFFFFFFF"/>
        <rFont val="Noto Sans CJK SC"/>
        <family val="2"/>
      </rPr>
      <t xml:space="preserve">日</t>
    </r>
    <r>
      <rPr>
        <b val="true"/>
        <sz val="10"/>
        <color rgb="FFFFFFFF"/>
        <rFont val="Arial"/>
        <family val="0"/>
        <charset val="1"/>
      </rPr>
      <t xml:space="preserve">)</t>
    </r>
  </si>
  <si>
    <r>
      <rPr>
        <sz val="10"/>
        <rFont val="Noto Sans CJK SC"/>
        <family val="2"/>
      </rPr>
      <t xml:space="preserve">ゆっくり異常存在</t>
    </r>
    <r>
      <rPr>
        <sz val="10"/>
        <rFont val="Arial"/>
        <family val="0"/>
        <charset val="1"/>
      </rPr>
      <t xml:space="preserve">SCP</t>
    </r>
    <r>
      <rPr>
        <sz val="10"/>
        <rFont val="Noto Sans CJK SC"/>
        <family val="2"/>
      </rPr>
      <t xml:space="preserve">ラボ</t>
    </r>
  </si>
  <si>
    <t xml:space="preserve">2026-09-15</t>
  </si>
  <si>
    <t xml:space="preserve">13:00 / 17:00 / 19:00</t>
  </si>
  <si>
    <t xml:space="preserve">リコとマコトのゆっくり日常科学</t>
  </si>
  <si>
    <t xml:space="preserve">07:30 / 15:00 / 17:00</t>
  </si>
  <si>
    <t xml:space="preserve">12:00 / 16:00 / 19:00</t>
  </si>
  <si>
    <t xml:space="preserve">12:30 / 15:00 / 17:00 / 19:00</t>
  </si>
  <si>
    <r>
      <rPr>
        <sz val="10"/>
        <rFont val="Noto Sans CJK SC"/>
        <family val="2"/>
      </rPr>
      <t xml:space="preserve">ゆっくり</t>
    </r>
    <r>
      <rPr>
        <sz val="10"/>
        <rFont val="Arial"/>
        <family val="0"/>
        <charset val="1"/>
      </rPr>
      <t xml:space="preserve">2ch</t>
    </r>
    <r>
      <rPr>
        <sz val="10"/>
        <rFont val="Noto Sans CJK SC"/>
        <family val="2"/>
      </rPr>
      <t xml:space="preserve">スレまとめ劇場</t>
    </r>
  </si>
  <si>
    <t xml:space="preserve">07:30 / 12:15 / 17:30</t>
  </si>
  <si>
    <t xml:space="preserve">20:00 / 15:00</t>
  </si>
  <si>
    <t xml:space="preserve">pokemon-lab</t>
  </si>
  <si>
    <t xml:space="preserve">2026-09-07</t>
  </si>
  <si>
    <r>
      <rPr>
        <sz val="10"/>
        <rFont val="Arial"/>
        <family val="0"/>
        <charset val="1"/>
      </rPr>
      <t xml:space="preserve">12:30 / 15:00 / 17:00  ⛔</t>
    </r>
    <r>
      <rPr>
        <sz val="10"/>
        <rFont val="Noto Sans CJK SC"/>
        <family val="2"/>
      </rPr>
      <t xml:space="preserve">停止中</t>
    </r>
  </si>
  <si>
    <t xml:space="preserve">fake-paper</t>
  </si>
  <si>
    <t xml:space="preserve">2026-09-05</t>
  </si>
  <si>
    <r>
      <rPr>
        <sz val="10"/>
        <rFont val="Arial"/>
        <family val="0"/>
        <charset val="1"/>
      </rPr>
      <t xml:space="preserve">11:00 / 15:30 / 19:30  ⛔</t>
    </r>
    <r>
      <rPr>
        <sz val="10"/>
        <rFont val="Noto Sans CJK SC"/>
        <family val="2"/>
      </rPr>
      <t xml:space="preserve">停止中</t>
    </r>
  </si>
  <si>
    <t xml:space="preserve">akashic-librarian</t>
  </si>
  <si>
    <r>
      <rPr>
        <sz val="10"/>
        <rFont val="Arial"/>
        <family val="0"/>
        <charset val="1"/>
      </rPr>
      <t xml:space="preserve">10:00 / 14:30 / 17:45  ⛔</t>
    </r>
    <r>
      <rPr>
        <sz val="10"/>
        <rFont val="Noto Sans CJK SC"/>
        <family val="2"/>
      </rPr>
      <t xml:space="preserve">停止中</t>
    </r>
  </si>
  <si>
    <t xml:space="preserve">clip-lab</t>
  </si>
  <si>
    <r>
      <rPr>
        <sz val="10"/>
        <rFont val="Arial"/>
        <family val="0"/>
        <charset val="1"/>
      </rPr>
      <t xml:space="preserve">11:45 / 17:45 / 20:45  ⛔</t>
    </r>
    <r>
      <rPr>
        <sz val="10"/>
        <rFont val="Noto Sans CJK SC"/>
        <family val="2"/>
      </rPr>
      <t xml:space="preserve">停止中</t>
    </r>
  </si>
  <si>
    <t xml:space="preserve">clip-fukada</t>
  </si>
  <si>
    <r>
      <rPr>
        <sz val="10"/>
        <rFont val="Arial"/>
        <family val="0"/>
        <charset val="1"/>
      </rPr>
      <t xml:space="preserve">12:45 / 20:00  ⛔</t>
    </r>
    <r>
      <rPr>
        <sz val="10"/>
        <rFont val="Noto Sans CJK SC"/>
        <family val="2"/>
      </rPr>
      <t xml:space="preserve">停止中</t>
    </r>
  </si>
  <si>
    <t xml:space="preserve">clip-kaneko</t>
  </si>
  <si>
    <r>
      <rPr>
        <sz val="10"/>
        <rFont val="Arial"/>
        <family val="0"/>
        <charset val="1"/>
      </rPr>
      <t xml:space="preserve">08:00 / 14:00 / 20:30  ⛔</t>
    </r>
    <r>
      <rPr>
        <sz val="10"/>
        <rFont val="Noto Sans CJK SC"/>
        <family val="2"/>
      </rPr>
      <t xml:space="preserve">停止中</t>
    </r>
  </si>
  <si>
    <t xml:space="preserve">clip-animal</t>
  </si>
  <si>
    <r>
      <rPr>
        <sz val="10"/>
        <rFont val="Arial"/>
        <family val="0"/>
        <charset val="1"/>
      </rPr>
      <t xml:space="preserve">09:30 / 17:00  ⛔</t>
    </r>
    <r>
      <rPr>
        <sz val="10"/>
        <rFont val="Noto Sans CJK SC"/>
        <family val="2"/>
      </rPr>
      <t xml:space="preserve">停止中</t>
    </r>
  </si>
  <si>
    <r>
      <rPr>
        <b val="true"/>
        <sz val="11"/>
        <rFont val="Noto Sans CJK SC"/>
        <family val="2"/>
      </rPr>
      <t xml:space="preserve">■ 公開時刻（</t>
    </r>
    <r>
      <rPr>
        <b val="true"/>
        <sz val="11"/>
        <rFont val="Arial"/>
        <family val="0"/>
        <charset val="1"/>
      </rPr>
      <t xml:space="preserve">JST</t>
    </r>
    <r>
      <rPr>
        <b val="true"/>
        <sz val="11"/>
        <rFont val="Noto Sans CJK SC"/>
        <family val="2"/>
      </rPr>
      <t xml:space="preserve">）の </t>
    </r>
    <r>
      <rPr>
        <b val="true"/>
        <sz val="11"/>
        <rFont val="Arial"/>
        <family val="0"/>
        <charset val="1"/>
      </rPr>
      <t xml:space="preserve">ch</t>
    </r>
    <r>
      <rPr>
        <b val="true"/>
        <sz val="11"/>
        <rFont val="Noto Sans CJK SC"/>
        <family val="2"/>
      </rPr>
      <t xml:space="preserve">固定効果 — 各</t>
    </r>
    <r>
      <rPr>
        <b val="true"/>
        <sz val="11"/>
        <rFont val="Arial"/>
        <family val="0"/>
        <charset val="1"/>
      </rPr>
      <t xml:space="preserve">ch</t>
    </r>
    <r>
      <rPr>
        <b val="true"/>
        <sz val="11"/>
        <rFont val="Noto Sans CJK SC"/>
        <family val="2"/>
      </rPr>
      <t xml:space="preserve">の自</t>
    </r>
    <r>
      <rPr>
        <b val="true"/>
        <sz val="11"/>
        <rFont val="Arial"/>
        <family val="0"/>
        <charset val="1"/>
      </rPr>
      <t xml:space="preserve">ch</t>
    </r>
    <r>
      <rPr>
        <b val="true"/>
        <sz val="11"/>
        <rFont val="Noto Sans CJK SC"/>
        <family val="2"/>
      </rPr>
      <t xml:space="preserve">平均を </t>
    </r>
    <r>
      <rPr>
        <b val="true"/>
        <sz val="11"/>
        <rFont val="Arial"/>
        <family val="0"/>
        <charset val="1"/>
      </rPr>
      <t xml:space="preserve">1.00 </t>
    </r>
    <r>
      <rPr>
        <b val="true"/>
        <sz val="11"/>
        <rFont val="Noto Sans CJK SC"/>
        <family val="2"/>
      </rPr>
      <t xml:space="preserve">に正規化して比較</t>
    </r>
  </si>
  <si>
    <r>
      <rPr>
        <sz val="9"/>
        <color rgb="FF595959"/>
        <rFont val="Noto Sans CJK SC"/>
        <family val="2"/>
      </rPr>
      <t xml:space="preserve">プールしたまま時刻を比べると「どの時刻が良いか」ではなく「どの</t>
    </r>
    <r>
      <rPr>
        <sz val="9"/>
        <color rgb="FF595959"/>
        <rFont val="Arial"/>
        <family val="0"/>
        <charset val="1"/>
      </rPr>
      <t xml:space="preserve">ch</t>
    </r>
    <r>
      <rPr>
        <sz val="9"/>
        <color rgb="FF595959"/>
        <rFont val="Noto Sans CJK SC"/>
        <family val="2"/>
      </rPr>
      <t xml:space="preserve">が強いか」を測ってしまう（</t>
    </r>
    <r>
      <rPr>
        <sz val="9"/>
        <color rgb="FF595959"/>
        <rFont val="Arial"/>
        <family val="0"/>
        <charset val="1"/>
      </rPr>
      <t xml:space="preserve">ch</t>
    </r>
    <r>
      <rPr>
        <sz val="9"/>
        <color rgb="FF595959"/>
        <rFont val="Noto Sans CJK SC"/>
        <family val="2"/>
      </rPr>
      <t xml:space="preserve">間で登録</t>
    </r>
    <r>
      <rPr>
        <sz val="9"/>
        <color rgb="FF595959"/>
        <rFont val="Arial"/>
        <family val="0"/>
        <charset val="1"/>
      </rPr>
      <t xml:space="preserve">/</t>
    </r>
    <r>
      <rPr>
        <sz val="9"/>
        <color rgb="FF595959"/>
        <rFont val="Noto Sans CJK SC"/>
        <family val="2"/>
      </rPr>
      <t xml:space="preserve">千は最大</t>
    </r>
    <r>
      <rPr>
        <sz val="9"/>
        <color rgb="FF595959"/>
        <rFont val="Arial"/>
        <family val="0"/>
        <charset val="1"/>
      </rPr>
      <t xml:space="preserve">4.8</t>
    </r>
    <r>
      <rPr>
        <sz val="9"/>
        <color rgb="FF595959"/>
        <rFont val="Noto Sans CJK SC"/>
        <family val="2"/>
      </rPr>
      <t xml:space="preserve">倍違う）。そこで各動画を自</t>
    </r>
    <r>
      <rPr>
        <sz val="9"/>
        <color rgb="FF595959"/>
        <rFont val="Arial"/>
        <family val="0"/>
        <charset val="1"/>
      </rPr>
      <t xml:space="preserve">ch</t>
    </r>
    <r>
      <rPr>
        <sz val="9"/>
        <color rgb="FF595959"/>
        <rFont val="Noto Sans CJK SC"/>
        <family val="2"/>
      </rPr>
      <t xml:space="preserve">平均で割った比で評価する。</t>
    </r>
    <r>
      <rPr>
        <sz val="9"/>
        <color rgb="FF595959"/>
        <rFont val="Arial"/>
        <family val="0"/>
        <charset val="1"/>
      </rPr>
      <t xml:space="preserve">n&gt;=3 </t>
    </r>
    <r>
      <rPr>
        <sz val="9"/>
        <color rgb="FF595959"/>
        <rFont val="Noto Sans CJK SC"/>
        <family val="2"/>
      </rPr>
      <t xml:space="preserve">の </t>
    </r>
    <r>
      <rPr>
        <sz val="9"/>
        <color rgb="FF595959"/>
        <rFont val="Arial"/>
        <family val="0"/>
        <charset val="1"/>
      </rPr>
      <t xml:space="preserve">ch </t>
    </r>
    <r>
      <rPr>
        <sz val="9"/>
        <color rgb="FF595959"/>
        <rFont val="Noto Sans CJK SC"/>
        <family val="2"/>
      </rPr>
      <t xml:space="preserve">が</t>
    </r>
    <r>
      <rPr>
        <sz val="9"/>
        <color rgb="FF595959"/>
        <rFont val="Arial"/>
        <family val="0"/>
        <charset val="1"/>
      </rPr>
      <t xml:space="preserve">2</t>
    </r>
    <r>
      <rPr>
        <sz val="9"/>
        <color rgb="FF595959"/>
        <rFont val="Noto Sans CJK SC"/>
        <family val="2"/>
      </rPr>
      <t xml:space="preserve">つ以上ある時刻のみ掲載。</t>
    </r>
  </si>
  <si>
    <t xml:space="preserve">公開時刻</t>
  </si>
  <si>
    <r>
      <rPr>
        <b val="true"/>
        <sz val="10"/>
        <color rgb="FFFFFFFF"/>
        <rFont val="Noto Sans CJK SC"/>
        <family val="2"/>
      </rPr>
      <t xml:space="preserve">測定</t>
    </r>
    <r>
      <rPr>
        <b val="true"/>
        <sz val="10"/>
        <color rgb="FFFFFFFF"/>
        <rFont val="Arial"/>
        <family val="0"/>
        <charset val="1"/>
      </rPr>
      <t xml:space="preserve">ch</t>
    </r>
    <r>
      <rPr>
        <b val="true"/>
        <sz val="10"/>
        <color rgb="FFFFFFFF"/>
        <rFont val="Noto Sans CJK SC"/>
        <family val="2"/>
      </rPr>
      <t xml:space="preserve">数</t>
    </r>
  </si>
  <si>
    <r>
      <rPr>
        <b val="true"/>
        <sz val="10"/>
        <color rgb="FFFFFFFF"/>
        <rFont val="Noto Sans CJK SC"/>
        <family val="2"/>
      </rPr>
      <t xml:space="preserve">比</t>
    </r>
    <r>
      <rPr>
        <b val="true"/>
        <sz val="10"/>
        <color rgb="FFFFFFFF"/>
        <rFont val="Arial"/>
        <family val="0"/>
        <charset val="1"/>
      </rPr>
      <t xml:space="preserve">(</t>
    </r>
    <r>
      <rPr>
        <b val="true"/>
        <sz val="10"/>
        <color rgb="FFFFFFFF"/>
        <rFont val="Noto Sans CJK SC"/>
        <family val="2"/>
      </rPr>
      <t xml:space="preserve">中央値</t>
    </r>
    <r>
      <rPr>
        <b val="true"/>
        <sz val="10"/>
        <color rgb="FFFFFFFF"/>
        <rFont val="Arial"/>
        <family val="0"/>
        <charset val="1"/>
      </rPr>
      <t xml:space="preserve">)</t>
    </r>
  </si>
  <si>
    <r>
      <rPr>
        <b val="true"/>
        <sz val="10"/>
        <color rgb="FFFFFFFF"/>
        <rFont val="Noto Sans CJK SC"/>
        <family val="2"/>
      </rPr>
      <t xml:space="preserve">比</t>
    </r>
    <r>
      <rPr>
        <b val="true"/>
        <sz val="10"/>
        <color rgb="FFFFFFFF"/>
        <rFont val="Arial"/>
        <family val="0"/>
        <charset val="1"/>
      </rPr>
      <t xml:space="preserve">(views</t>
    </r>
    <r>
      <rPr>
        <b val="true"/>
        <sz val="10"/>
        <color rgb="FFFFFFFF"/>
        <rFont val="Noto Sans CJK SC"/>
        <family val="2"/>
      </rPr>
      <t xml:space="preserve">加重</t>
    </r>
    <r>
      <rPr>
        <b val="true"/>
        <sz val="10"/>
        <color rgb="FFFFFFFF"/>
        <rFont val="Arial"/>
        <family val="0"/>
        <charset val="1"/>
      </rPr>
      <t xml:space="preserve">)</t>
    </r>
  </si>
  <si>
    <r>
      <rPr>
        <b val="true"/>
        <sz val="10"/>
        <color rgb="FFFFFFFF"/>
        <rFont val="Noto Sans CJK SC"/>
        <family val="2"/>
      </rPr>
      <t xml:space="preserve">自</t>
    </r>
    <r>
      <rPr>
        <b val="true"/>
        <sz val="10"/>
        <color rgb="FFFFFFFF"/>
        <rFont val="Arial"/>
        <family val="0"/>
        <charset val="1"/>
      </rPr>
      <t xml:space="preserve">ch</t>
    </r>
    <r>
      <rPr>
        <b val="true"/>
        <sz val="10"/>
        <color rgb="FFFFFFFF"/>
        <rFont val="Noto Sans CJK SC"/>
        <family val="2"/>
      </rPr>
      <t xml:space="preserve">平均割れの</t>
    </r>
    <r>
      <rPr>
        <b val="true"/>
        <sz val="10"/>
        <color rgb="FFFFFFFF"/>
        <rFont val="Arial"/>
        <family val="0"/>
        <charset val="1"/>
      </rPr>
      <t xml:space="preserve">ch</t>
    </r>
    <r>
      <rPr>
        <b val="true"/>
        <sz val="10"/>
        <color rgb="FFFFFFFF"/>
        <rFont val="Noto Sans CJK SC"/>
        <family val="2"/>
      </rPr>
      <t xml:space="preserve">数</t>
    </r>
  </si>
  <si>
    <r>
      <rPr>
        <b val="true"/>
        <sz val="10"/>
        <color rgb="FFFFFFFF"/>
        <rFont val="Arial"/>
        <family val="0"/>
        <charset val="1"/>
      </rPr>
      <t xml:space="preserve">ch</t>
    </r>
    <r>
      <rPr>
        <b val="true"/>
        <sz val="10"/>
        <color rgb="FFFFFFFF"/>
        <rFont val="Noto Sans CJK SC"/>
        <family val="2"/>
      </rPr>
      <t xml:space="preserve">別内訳（比・本数）</t>
    </r>
  </si>
  <si>
    <r>
      <rPr>
        <b val="true"/>
        <sz val="10"/>
        <rFont val="Arial"/>
        <family val="0"/>
        <charset val="1"/>
      </rPr>
      <t xml:space="preserve">17</t>
    </r>
    <r>
      <rPr>
        <b val="true"/>
        <sz val="10"/>
        <rFont val="Noto Sans CJK SC"/>
        <family val="2"/>
      </rPr>
      <t xml:space="preserve">時</t>
    </r>
  </si>
  <si>
    <t xml:space="preserve">1 / 5</t>
  </si>
  <si>
    <t xml:space="preserve">scp-lab 1.67(n=4)  daily-science 1.85(n=14)  yokai-watch 0.65(n=5)  company-facts 1.37(n=15)  2ch-matome 1.70(n=3)</t>
  </si>
  <si>
    <r>
      <rPr>
        <b val="true"/>
        <sz val="10"/>
        <rFont val="Arial"/>
        <family val="0"/>
        <charset val="1"/>
      </rPr>
      <t xml:space="preserve">12</t>
    </r>
    <r>
      <rPr>
        <b val="true"/>
        <sz val="10"/>
        <rFont val="Noto Sans CJK SC"/>
        <family val="2"/>
      </rPr>
      <t xml:space="preserve">時</t>
    </r>
  </si>
  <si>
    <t xml:space="preserve">1 / 3</t>
  </si>
  <si>
    <t xml:space="preserve">daily-science 0.24(n=7)  yokai-watch 1.60(n=11)  2ch-matome 1.24(n=10)</t>
  </si>
  <si>
    <r>
      <rPr>
        <b val="true"/>
        <sz val="10"/>
        <rFont val="Arial"/>
        <family val="0"/>
        <charset val="1"/>
      </rPr>
      <t xml:space="preserve">07</t>
    </r>
    <r>
      <rPr>
        <b val="true"/>
        <sz val="10"/>
        <rFont val="Noto Sans CJK SC"/>
        <family val="2"/>
      </rPr>
      <t xml:space="preserve">時</t>
    </r>
  </si>
  <si>
    <t xml:space="preserve">1 / 2</t>
  </si>
  <si>
    <t xml:space="preserve">daily-science 0.38(n=4)  2ch-matome 2.07(n=4)</t>
  </si>
  <si>
    <r>
      <rPr>
        <b val="true"/>
        <sz val="10"/>
        <rFont val="Arial"/>
        <family val="0"/>
        <charset val="1"/>
      </rPr>
      <t xml:space="preserve">18</t>
    </r>
    <r>
      <rPr>
        <b val="true"/>
        <sz val="10"/>
        <rFont val="Noto Sans CJK SC"/>
        <family val="2"/>
      </rPr>
      <t xml:space="preserve">時</t>
    </r>
  </si>
  <si>
    <t xml:space="preserve">3 / 3</t>
  </si>
  <si>
    <t xml:space="preserve">daily-science 0.36(n=6)  yokai-watch 0.81(n=3)  2ch-matome 0.98(n=12)</t>
  </si>
  <si>
    <r>
      <rPr>
        <b val="true"/>
        <sz val="10"/>
        <rFont val="Arial"/>
        <family val="0"/>
        <charset val="1"/>
      </rPr>
      <t xml:space="preserve">13</t>
    </r>
    <r>
      <rPr>
        <b val="true"/>
        <sz val="10"/>
        <rFont val="Noto Sans CJK SC"/>
        <family val="2"/>
      </rPr>
      <t xml:space="preserve">時</t>
    </r>
  </si>
  <si>
    <t xml:space="preserve">scp-lab 0.55(n=11)  daily-science 0.50(n=3)  company-facts 0.00(n=4)</t>
  </si>
  <si>
    <r>
      <rPr>
        <b val="true"/>
        <sz val="10"/>
        <rFont val="Arial"/>
        <family val="0"/>
        <charset val="1"/>
      </rPr>
      <t xml:space="preserve">19</t>
    </r>
    <r>
      <rPr>
        <b val="true"/>
        <sz val="10"/>
        <rFont val="Noto Sans CJK SC"/>
        <family val="2"/>
      </rPr>
      <t xml:space="preserve">時</t>
    </r>
  </si>
  <si>
    <t xml:space="preserve">2 / 3</t>
  </si>
  <si>
    <t xml:space="preserve">scp-lab 1.30(n=10)  yokai-watch 0.49(n=8)  2ch-matome 0.00(n=3)</t>
  </si>
  <si>
    <r>
      <rPr>
        <b val="true"/>
        <sz val="11"/>
        <rFont val="Noto Sans CJK SC"/>
        <family val="2"/>
      </rPr>
      <t xml:space="preserve">■ 時間帯ブロック </t>
    </r>
    <r>
      <rPr>
        <b val="true"/>
        <sz val="11"/>
        <rFont val="Arial"/>
        <family val="0"/>
        <charset val="1"/>
      </rPr>
      <t xml:space="preserve">× ch</t>
    </r>
    <r>
      <rPr>
        <b val="true"/>
        <sz val="11"/>
        <rFont val="Noto Sans CJK SC"/>
        <family val="2"/>
      </rPr>
      <t xml:space="preserve">（登録</t>
    </r>
    <r>
      <rPr>
        <b val="true"/>
        <sz val="11"/>
        <rFont val="Arial"/>
        <family val="0"/>
        <charset val="1"/>
      </rPr>
      <t xml:space="preserve">/</t>
    </r>
    <r>
      <rPr>
        <b val="true"/>
        <sz val="11"/>
        <rFont val="Noto Sans CJK SC"/>
        <family val="2"/>
      </rPr>
      <t xml:space="preserve">千再生）— 単一時刻より </t>
    </r>
    <r>
      <rPr>
        <b val="true"/>
        <sz val="11"/>
        <rFont val="Arial"/>
        <family val="0"/>
        <charset val="1"/>
      </rPr>
      <t xml:space="preserve">n </t>
    </r>
    <r>
      <rPr>
        <b val="true"/>
        <sz val="11"/>
        <rFont val="Noto Sans CJK SC"/>
        <family val="2"/>
      </rPr>
      <t xml:space="preserve">を稼いだ見方</t>
    </r>
  </si>
  <si>
    <r>
      <rPr>
        <b val="true"/>
        <sz val="10"/>
        <color rgb="FFFFFFFF"/>
        <rFont val="Noto Sans CJK SC"/>
        <family val="2"/>
      </rPr>
      <t xml:space="preserve">早朝</t>
    </r>
    <r>
      <rPr>
        <b val="true"/>
        <sz val="10"/>
        <color rgb="FFFFFFFF"/>
        <rFont val="Arial"/>
        <family val="0"/>
        <charset val="1"/>
      </rPr>
      <t xml:space="preserve">6-10</t>
    </r>
  </si>
  <si>
    <r>
      <rPr>
        <b val="true"/>
        <sz val="10"/>
        <color rgb="FFFFFFFF"/>
        <rFont val="Noto Sans CJK SC"/>
        <family val="2"/>
      </rPr>
      <t xml:space="preserve">昼</t>
    </r>
    <r>
      <rPr>
        <b val="true"/>
        <sz val="10"/>
        <color rgb="FFFFFFFF"/>
        <rFont val="Arial"/>
        <family val="0"/>
        <charset val="1"/>
      </rPr>
      <t xml:space="preserve">11-15</t>
    </r>
  </si>
  <si>
    <r>
      <rPr>
        <b val="true"/>
        <sz val="10"/>
        <color rgb="FFFFFFFF"/>
        <rFont val="Noto Sans CJK SC"/>
        <family val="2"/>
      </rPr>
      <t xml:space="preserve">夕</t>
    </r>
    <r>
      <rPr>
        <b val="true"/>
        <sz val="10"/>
        <color rgb="FFFFFFFF"/>
        <rFont val="Arial"/>
        <family val="0"/>
        <charset val="1"/>
      </rPr>
      <t xml:space="preserve">16-19</t>
    </r>
  </si>
  <si>
    <r>
      <rPr>
        <b val="true"/>
        <sz val="10"/>
        <color rgb="FFFFFFFF"/>
        <rFont val="Noto Sans CJK SC"/>
        <family val="2"/>
      </rPr>
      <t xml:space="preserve">夜</t>
    </r>
    <r>
      <rPr>
        <b val="true"/>
        <sz val="10"/>
        <color rgb="FFFFFFFF"/>
        <rFont val="Arial"/>
        <family val="0"/>
        <charset val="1"/>
      </rPr>
      <t xml:space="preserve">20-5</t>
    </r>
  </si>
  <si>
    <r>
      <rPr>
        <b val="true"/>
        <sz val="10"/>
        <color rgb="FFFFFFFF"/>
        <rFont val="Noto Sans CJK SC"/>
        <family val="2"/>
      </rPr>
      <t xml:space="preserve">最良ブロック</t>
    </r>
    <r>
      <rPr>
        <b val="true"/>
        <sz val="10"/>
        <color rgb="FFFFFFFF"/>
        <rFont val="Arial"/>
        <family val="0"/>
        <charset val="1"/>
      </rPr>
      <t xml:space="preserve">(n&gt;=4)</t>
    </r>
  </si>
  <si>
    <t xml:space="preserve">—</t>
  </si>
  <si>
    <r>
      <rPr>
        <b val="true"/>
        <sz val="10"/>
        <rFont val="Noto Sans CJK SC"/>
        <family val="2"/>
      </rPr>
      <t xml:space="preserve">夕</t>
    </r>
    <r>
      <rPr>
        <b val="true"/>
        <sz val="10"/>
        <rFont val="Arial"/>
        <family val="0"/>
        <charset val="1"/>
      </rPr>
      <t xml:space="preserve">16-19</t>
    </r>
  </si>
  <si>
    <r>
      <rPr>
        <b val="true"/>
        <sz val="10"/>
        <rFont val="Noto Sans CJK SC"/>
        <family val="2"/>
      </rPr>
      <t xml:space="preserve">昼</t>
    </r>
    <r>
      <rPr>
        <b val="true"/>
        <sz val="10"/>
        <rFont val="Arial"/>
        <family val="0"/>
        <charset val="1"/>
      </rPr>
      <t xml:space="preserve">11-15</t>
    </r>
  </si>
  <si>
    <r>
      <rPr>
        <b val="true"/>
        <sz val="10"/>
        <rFont val="Noto Sans CJK SC"/>
        <family val="2"/>
      </rPr>
      <t xml:space="preserve">早朝</t>
    </r>
    <r>
      <rPr>
        <b val="true"/>
        <sz val="10"/>
        <rFont val="Arial"/>
        <family val="0"/>
        <charset val="1"/>
      </rPr>
      <t xml:space="preserve">6-10</t>
    </r>
  </si>
  <si>
    <r>
      <rPr>
        <b val="true"/>
        <sz val="10"/>
        <rFont val="Noto Sans CJK SC"/>
        <family val="2"/>
      </rPr>
      <t xml:space="preserve">プール</t>
    </r>
    <r>
      <rPr>
        <b val="true"/>
        <sz val="10"/>
        <rFont val="Arial"/>
        <family val="0"/>
        <charset val="1"/>
      </rPr>
      <t xml:space="preserve">5ch</t>
    </r>
  </si>
  <si>
    <r>
      <rPr>
        <sz val="9"/>
        <color rgb="FF595959"/>
        <rFont val="Noto Sans CJK SC"/>
        <family val="2"/>
      </rPr>
      <t xml:space="preserve">夕</t>
    </r>
    <r>
      <rPr>
        <sz val="9"/>
        <color rgb="FF595959"/>
        <rFont val="Arial"/>
        <family val="0"/>
        <charset val="1"/>
      </rPr>
      <t xml:space="preserve">16-19 </t>
    </r>
    <r>
      <rPr>
        <sz val="9"/>
        <color rgb="FF595959"/>
        <rFont val="Noto Sans CJK SC"/>
        <family val="2"/>
      </rPr>
      <t xml:space="preserve">が </t>
    </r>
    <r>
      <rPr>
        <sz val="9"/>
        <color rgb="FF595959"/>
        <rFont val="Arial"/>
        <family val="0"/>
        <charset val="1"/>
      </rPr>
      <t xml:space="preserve">3/5ch </t>
    </r>
    <r>
      <rPr>
        <sz val="9"/>
        <color rgb="FF595959"/>
        <rFont val="Noto Sans CJK SC"/>
        <family val="2"/>
      </rPr>
      <t xml:space="preserve">で最良</t>
    </r>
  </si>
  <si>
    <r>
      <rPr>
        <sz val="9"/>
        <color rgb="FF595959"/>
        <rFont val="Noto Sans CJK SC"/>
        <family val="2"/>
      </rPr>
      <t xml:space="preserve">各セルの </t>
    </r>
    <r>
      <rPr>
        <sz val="9"/>
        <color rgb="FF595959"/>
        <rFont val="Arial"/>
        <family val="0"/>
        <charset val="1"/>
      </rPr>
      <t xml:space="preserve">n </t>
    </r>
    <r>
      <rPr>
        <sz val="9"/>
        <color rgb="FF595959"/>
        <rFont val="Noto Sans CJK SC"/>
        <family val="2"/>
      </rPr>
      <t xml:space="preserve">は「直近動画一覧」から数えられる。</t>
    </r>
    <r>
      <rPr>
        <sz val="9"/>
        <color rgb="FF595959"/>
        <rFont val="Arial"/>
        <family val="0"/>
        <charset val="1"/>
      </rPr>
      <t xml:space="preserve">yokai-watch </t>
    </r>
    <r>
      <rPr>
        <sz val="9"/>
        <color rgb="FF595959"/>
        <rFont val="Noto Sans CJK SC"/>
        <family val="2"/>
      </rPr>
      <t xml:space="preserve">だけが昼</t>
    </r>
    <r>
      <rPr>
        <sz val="9"/>
        <color rgb="FF595959"/>
        <rFont val="Arial"/>
        <family val="0"/>
        <charset val="1"/>
      </rPr>
      <t xml:space="preserve">11-15 </t>
    </r>
    <r>
      <rPr>
        <sz val="9"/>
        <color rgb="FF595959"/>
        <rFont val="Noto Sans CJK SC"/>
        <family val="2"/>
      </rPr>
      <t xml:space="preserve">を最良とし全体傾向の逆を行く（</t>
    </r>
    <r>
      <rPr>
        <sz val="9"/>
        <color rgb="FF595959"/>
        <rFont val="Arial"/>
        <family val="0"/>
        <charset val="1"/>
      </rPr>
      <t xml:space="preserve">17</t>
    </r>
    <r>
      <rPr>
        <sz val="9"/>
        <color rgb="FF595959"/>
        <rFont val="Noto Sans CJK SC"/>
        <family val="2"/>
      </rPr>
      <t xml:space="preserve">時も</t>
    </r>
    <r>
      <rPr>
        <sz val="9"/>
        <color rgb="FF595959"/>
        <rFont val="Arial"/>
        <family val="0"/>
        <charset val="1"/>
      </rPr>
      <t xml:space="preserve">5ch</t>
    </r>
    <r>
      <rPr>
        <sz val="9"/>
        <color rgb="FF595959"/>
        <rFont val="Noto Sans CJK SC"/>
        <family val="2"/>
      </rPr>
      <t xml:space="preserve">中唯一の平均割れ）。</t>
    </r>
  </si>
  <si>
    <r>
      <rPr>
        <b val="true"/>
        <sz val="14"/>
        <rFont val="Noto Sans CJK SC"/>
        <family val="2"/>
      </rPr>
      <t xml:space="preserve">直近動画一覧（</t>
    </r>
    <r>
      <rPr>
        <b val="true"/>
        <sz val="14"/>
        <rFont val="Arial"/>
        <family val="0"/>
        <charset val="1"/>
      </rPr>
      <t xml:space="preserve">2026-09-07 </t>
    </r>
    <r>
      <rPr>
        <b val="true"/>
        <sz val="14"/>
        <rFont val="Noto Sans CJK SC"/>
        <family val="2"/>
      </rPr>
      <t xml:space="preserve">以降に公開・各</t>
    </r>
    <r>
      <rPr>
        <b val="true"/>
        <sz val="14"/>
        <rFont val="Arial"/>
        <family val="0"/>
        <charset val="1"/>
      </rPr>
      <t xml:space="preserve">ch</t>
    </r>
    <r>
      <rPr>
        <b val="true"/>
        <sz val="14"/>
        <rFont val="Noto Sans CJK SC"/>
        <family val="2"/>
      </rPr>
      <t xml:space="preserve">最新スナップショット時点の実測）</t>
    </r>
  </si>
  <si>
    <r>
      <rPr>
        <sz val="9"/>
        <color rgb="FF595959"/>
        <rFont val="Arial"/>
        <family val="0"/>
        <charset val="1"/>
      </rPr>
      <t xml:space="preserve">views=0 </t>
    </r>
    <r>
      <rPr>
        <sz val="9"/>
        <color rgb="FF595959"/>
        <rFont val="Noto Sans CJK SC"/>
        <family val="2"/>
      </rPr>
      <t xml:space="preserve">は削除でも失敗でもなく </t>
    </r>
    <r>
      <rPr>
        <sz val="9"/>
        <color rgb="FF595959"/>
        <rFont val="Arial"/>
        <family val="0"/>
        <charset val="1"/>
      </rPr>
      <t xml:space="preserve">Analytics </t>
    </r>
    <r>
      <rPr>
        <sz val="9"/>
        <color rgb="FF595959"/>
        <rFont val="Noto Sans CJK SC"/>
        <family val="2"/>
      </rPr>
      <t xml:space="preserve">の反映ラグ（実測で約</t>
    </r>
    <r>
      <rPr>
        <sz val="9"/>
        <color rgb="FF595959"/>
        <rFont val="Arial"/>
        <family val="0"/>
        <charset val="1"/>
      </rPr>
      <t xml:space="preserve">2</t>
    </r>
    <r>
      <rPr>
        <sz val="9"/>
        <color rgb="FF595959"/>
        <rFont val="Noto Sans CJK SC"/>
        <family val="2"/>
      </rPr>
      <t xml:space="preserve">日）。「登録</t>
    </r>
    <r>
      <rPr>
        <sz val="9"/>
        <color rgb="FF595959"/>
        <rFont val="Arial"/>
        <family val="0"/>
        <charset val="1"/>
      </rPr>
      <t xml:space="preserve">/</t>
    </r>
    <r>
      <rPr>
        <sz val="9"/>
        <color rgb="FF595959"/>
        <rFont val="Noto Sans CJK SC"/>
        <family val="2"/>
      </rPr>
      <t xml:space="preserve">千再生」は式。公開時刻は </t>
    </r>
    <r>
      <rPr>
        <sz val="9"/>
        <color rgb="FF595959"/>
        <rFont val="Arial"/>
        <family val="0"/>
        <charset val="1"/>
      </rPr>
      <t xml:space="preserve">JST</t>
    </r>
    <r>
      <rPr>
        <sz val="9"/>
        <color rgb="FF595959"/>
        <rFont val="Noto Sans CJK SC"/>
        <family val="2"/>
      </rPr>
      <t xml:space="preserve">。</t>
    </r>
  </si>
  <si>
    <r>
      <rPr>
        <b val="true"/>
        <sz val="10"/>
        <color rgb="FFFFFFFF"/>
        <rFont val="Noto Sans CJK SC"/>
        <family val="2"/>
      </rPr>
      <t xml:space="preserve">公開</t>
    </r>
    <r>
      <rPr>
        <b val="true"/>
        <sz val="10"/>
        <color rgb="FFFFFFFF"/>
        <rFont val="Arial"/>
        <family val="0"/>
        <charset val="1"/>
      </rPr>
      <t xml:space="preserve">(JST)</t>
    </r>
  </si>
  <si>
    <t xml:space="preserve">タイトル</t>
  </si>
  <si>
    <t xml:space="preserve">いいね</t>
  </si>
  <si>
    <t xml:space="preserve">コメント</t>
  </si>
  <si>
    <r>
      <rPr>
        <b val="true"/>
        <sz val="10"/>
        <color rgb="FFFFFFFF"/>
        <rFont val="Noto Sans CJK SC"/>
        <family val="2"/>
      </rPr>
      <t xml:space="preserve">維持率</t>
    </r>
    <r>
      <rPr>
        <b val="true"/>
        <sz val="10"/>
        <color rgb="FFFFFFFF"/>
        <rFont val="Arial"/>
        <family val="0"/>
        <charset val="1"/>
      </rPr>
      <t xml:space="preserve">%</t>
    </r>
  </si>
  <si>
    <t xml:space="preserve">状態</t>
  </si>
  <si>
    <t xml:space="preserve">2026-09-07 12:15</t>
  </si>
  <si>
    <r>
      <rPr>
        <sz val="10"/>
        <rFont val="Noto Sans CJK SC"/>
        <family val="2"/>
      </rPr>
      <t xml:space="preserve">大学サークルで語り継がれる伝説、尾ひれがヤバすぎる</t>
    </r>
    <r>
      <rPr>
        <sz val="10"/>
        <rFont val="Arial"/>
        <family val="0"/>
        <charset val="1"/>
      </rPr>
      <t xml:space="preserve">w #shorts #2ch #</t>
    </r>
    <r>
      <rPr>
        <sz val="10"/>
        <rFont val="Noto Sans CJK SC"/>
        <family val="2"/>
      </rPr>
      <t xml:space="preserve">面白いスレ</t>
    </r>
  </si>
  <si>
    <t xml:space="preserve">計測済</t>
  </si>
  <si>
    <t xml:space="preserve">2026-09-07 21:00</t>
  </si>
  <si>
    <r>
      <rPr>
        <sz val="10"/>
        <rFont val="Noto Sans CJK SC"/>
        <family val="2"/>
      </rPr>
      <t xml:space="preserve">ワイ、毎月大金をムダにしてるけど質問ある？ </t>
    </r>
    <r>
      <rPr>
        <sz val="10"/>
        <rFont val="Arial"/>
        <family val="0"/>
        <charset val="1"/>
      </rPr>
      <t xml:space="preserve">#shorts #2ch #</t>
    </r>
    <r>
      <rPr>
        <sz val="10"/>
        <rFont val="Noto Sans CJK SC"/>
        <family val="2"/>
      </rPr>
      <t xml:space="preserve">面白いスレ</t>
    </r>
  </si>
  <si>
    <t xml:space="preserve">2026-09-08 07:00</t>
  </si>
  <si>
    <r>
      <rPr>
        <sz val="10"/>
        <rFont val="Noto Sans CJK SC"/>
        <family val="2"/>
      </rPr>
      <t xml:space="preserve">なぜファミマで謎の商品を買ってしまうのか？草 </t>
    </r>
    <r>
      <rPr>
        <sz val="10"/>
        <rFont val="Arial"/>
        <family val="0"/>
        <charset val="1"/>
      </rPr>
      <t xml:space="preserve">#shorts #2ch #</t>
    </r>
    <r>
      <rPr>
        <sz val="10"/>
        <rFont val="Noto Sans CJK SC"/>
        <family val="2"/>
      </rPr>
      <t xml:space="preserve">面白いスレ</t>
    </r>
  </si>
  <si>
    <t xml:space="preserve">2026-09-08 12:15</t>
  </si>
  <si>
    <r>
      <rPr>
        <sz val="10"/>
        <rFont val="Noto Sans CJK SC"/>
        <family val="2"/>
      </rPr>
      <t xml:space="preserve">ワイの</t>
    </r>
    <r>
      <rPr>
        <sz val="10"/>
        <rFont val="Arial"/>
        <family val="0"/>
        <charset val="1"/>
      </rPr>
      <t xml:space="preserve">PC</t>
    </r>
    <r>
      <rPr>
        <sz val="10"/>
        <rFont val="Noto Sans CJK SC"/>
        <family val="2"/>
      </rPr>
      <t xml:space="preserve">で彼女が凍った本当の理由</t>
    </r>
    <r>
      <rPr>
        <sz val="10"/>
        <rFont val="Arial"/>
        <family val="0"/>
        <charset val="1"/>
      </rPr>
      <t xml:space="preserve">w💦 #shorts #2ch #</t>
    </r>
    <r>
      <rPr>
        <sz val="10"/>
        <rFont val="Noto Sans CJK SC"/>
        <family val="2"/>
      </rPr>
      <t xml:space="preserve">面白いスレ</t>
    </r>
  </si>
  <si>
    <t xml:space="preserve">2026-09-08 21:00</t>
  </si>
  <si>
    <r>
      <rPr>
        <sz val="10"/>
        <rFont val="Arial"/>
        <family val="0"/>
        <charset val="1"/>
      </rPr>
      <t xml:space="preserve">Apple</t>
    </r>
    <r>
      <rPr>
        <sz val="10"/>
        <rFont val="Noto Sans CJK SC"/>
        <family val="2"/>
      </rPr>
      <t xml:space="preserve">新製品予想、また本命を外して財布が逝く民ｗ </t>
    </r>
    <r>
      <rPr>
        <sz val="10"/>
        <rFont val="Arial"/>
        <family val="0"/>
        <charset val="1"/>
      </rPr>
      <t xml:space="preserve">#shorts #2ch #</t>
    </r>
    <r>
      <rPr>
        <sz val="10"/>
        <rFont val="Noto Sans CJK SC"/>
        <family val="2"/>
      </rPr>
      <t xml:space="preserve">面白いスレ</t>
    </r>
  </si>
  <si>
    <t xml:space="preserve">2026-09-10 01:14</t>
  </si>
  <si>
    <r>
      <rPr>
        <sz val="10"/>
        <rFont val="Noto Sans CJK SC"/>
        <family val="2"/>
      </rPr>
      <t xml:space="preserve">ワイの財布から毎月消える謎の正体が判明したｗ </t>
    </r>
    <r>
      <rPr>
        <sz val="10"/>
        <rFont val="Arial"/>
        <family val="0"/>
        <charset val="1"/>
      </rPr>
      <t xml:space="preserve">#shorts #2ch #</t>
    </r>
    <r>
      <rPr>
        <sz val="10"/>
        <rFont val="Noto Sans CJK SC"/>
        <family val="2"/>
      </rPr>
      <t xml:space="preserve">面白いスレ</t>
    </r>
  </si>
  <si>
    <t xml:space="preserve">2026-09-07 12:45</t>
  </si>
  <si>
    <r>
      <rPr>
        <sz val="10"/>
        <rFont val="Noto Sans CJK SC"/>
        <family val="2"/>
      </rPr>
      <t xml:space="preserve">毎日体重を記録して 増減を意識する </t>
    </r>
    <r>
      <rPr>
        <sz val="10"/>
        <rFont val="Arial"/>
        <family val="0"/>
        <charset val="1"/>
      </rPr>
      <t xml:space="preserve">#shorts #</t>
    </r>
    <r>
      <rPr>
        <sz val="10"/>
        <rFont val="Noto Sans CJK SC"/>
        <family val="2"/>
      </rPr>
      <t xml:space="preserve">切り抜き</t>
    </r>
  </si>
  <si>
    <r>
      <rPr>
        <sz val="9"/>
        <color rgb="FF595959"/>
        <rFont val="Noto Sans CJK SC"/>
        <family val="2"/>
      </rPr>
      <t xml:space="preserve">未計測</t>
    </r>
    <r>
      <rPr>
        <sz val="9"/>
        <color rgb="FF595959"/>
        <rFont val="Arial"/>
        <family val="0"/>
        <charset val="1"/>
      </rPr>
      <t xml:space="preserve">(</t>
    </r>
    <r>
      <rPr>
        <sz val="9"/>
        <color rgb="FF595959"/>
        <rFont val="Noto Sans CJK SC"/>
        <family val="2"/>
      </rPr>
      <t xml:space="preserve">ラグ</t>
    </r>
    <r>
      <rPr>
        <sz val="9"/>
        <color rgb="FF595959"/>
        <rFont val="Arial"/>
        <family val="0"/>
        <charset val="1"/>
      </rPr>
      <t xml:space="preserve">)</t>
    </r>
  </si>
  <si>
    <t xml:space="preserve">2026-09-07 20:00</t>
  </si>
  <si>
    <r>
      <rPr>
        <sz val="10"/>
        <rFont val="Noto Sans CJK SC"/>
        <family val="2"/>
      </rPr>
      <t xml:space="preserve">クレンジングで落とし切らないと 洗顔しても落ちにくい </t>
    </r>
    <r>
      <rPr>
        <sz val="10"/>
        <rFont val="Arial"/>
        <family val="0"/>
        <charset val="1"/>
      </rPr>
      <t xml:space="preserve">#shorts #</t>
    </r>
    <r>
      <rPr>
        <sz val="10"/>
        <rFont val="Noto Sans CJK SC"/>
        <family val="2"/>
      </rPr>
      <t xml:space="preserve">切り抜き</t>
    </r>
  </si>
  <si>
    <t xml:space="preserve">2026-09-08 12:45</t>
  </si>
  <si>
    <r>
      <rPr>
        <sz val="10"/>
        <rFont val="Noto Sans CJK SC"/>
        <family val="2"/>
      </rPr>
      <t xml:space="preserve">寝ながら腹筋を</t>
    </r>
    <r>
      <rPr>
        <sz val="10"/>
        <rFont val="Arial"/>
        <family val="0"/>
        <charset val="1"/>
      </rPr>
      <t xml:space="preserve">3</t>
    </r>
    <r>
      <rPr>
        <sz val="10"/>
        <rFont val="Noto Sans CJK SC"/>
        <family val="2"/>
      </rPr>
      <t xml:space="preserve">部位鍛える </t>
    </r>
    <r>
      <rPr>
        <sz val="10"/>
        <rFont val="Arial"/>
        <family val="0"/>
        <charset val="1"/>
      </rPr>
      <t xml:space="preserve">#shorts #</t>
    </r>
    <r>
      <rPr>
        <sz val="10"/>
        <rFont val="Noto Sans CJK SC"/>
        <family val="2"/>
      </rPr>
      <t xml:space="preserve">切り抜き</t>
    </r>
  </si>
  <si>
    <t xml:space="preserve">2026-09-08 20:01</t>
  </si>
  <si>
    <r>
      <rPr>
        <sz val="10"/>
        <rFont val="Noto Sans CJK SC"/>
        <family val="2"/>
      </rPr>
      <t xml:space="preserve">カミソリで剃った結果、地獄だった </t>
    </r>
    <r>
      <rPr>
        <sz val="10"/>
        <rFont val="Arial"/>
        <family val="0"/>
        <charset val="1"/>
      </rPr>
      <t xml:space="preserve">#shorts #</t>
    </r>
    <r>
      <rPr>
        <sz val="10"/>
        <rFont val="Noto Sans CJK SC"/>
        <family val="2"/>
      </rPr>
      <t xml:space="preserve">切り抜き</t>
    </r>
  </si>
  <si>
    <t xml:space="preserve">2026-09-07 20:31</t>
  </si>
  <si>
    <r>
      <rPr>
        <sz val="10"/>
        <rFont val="Arial"/>
        <family val="0"/>
        <charset val="1"/>
      </rPr>
      <t xml:space="preserve">70</t>
    </r>
    <r>
      <rPr>
        <sz val="10"/>
        <rFont val="Noto Sans CJK SC"/>
        <family val="2"/>
      </rPr>
      <t xml:space="preserve">歳を過ぎて気づいた 人それぞれの受け止め方 </t>
    </r>
    <r>
      <rPr>
        <sz val="10"/>
        <rFont val="Arial"/>
        <family val="0"/>
        <charset val="1"/>
      </rPr>
      <t xml:space="preserve">#shorts #</t>
    </r>
    <r>
      <rPr>
        <sz val="10"/>
        <rFont val="Noto Sans CJK SC"/>
        <family val="2"/>
      </rPr>
      <t xml:space="preserve">切り抜き</t>
    </r>
  </si>
  <si>
    <t xml:space="preserve">2026-09-08 08:00</t>
  </si>
  <si>
    <r>
      <rPr>
        <sz val="10"/>
        <rFont val="Arial"/>
        <family val="0"/>
        <charset val="1"/>
      </rPr>
      <t xml:space="preserve">PayPay</t>
    </r>
    <r>
      <rPr>
        <sz val="10"/>
        <rFont val="Noto Sans CJK SC"/>
        <family val="2"/>
      </rPr>
      <t xml:space="preserve">が使えない店で 現金を持っていなかった </t>
    </r>
    <r>
      <rPr>
        <sz val="10"/>
        <rFont val="Arial"/>
        <family val="0"/>
        <charset val="1"/>
      </rPr>
      <t xml:space="preserve">#shorts #</t>
    </r>
    <r>
      <rPr>
        <sz val="10"/>
        <rFont val="Noto Sans CJK SC"/>
        <family val="2"/>
      </rPr>
      <t xml:space="preserve">切り抜き</t>
    </r>
  </si>
  <si>
    <t xml:space="preserve">2026-09-08 14:03</t>
  </si>
  <si>
    <r>
      <rPr>
        <sz val="10"/>
        <rFont val="Noto Sans CJK SC"/>
        <family val="2"/>
      </rPr>
      <t xml:space="preserve">愛用中のパックが プレゼントに入ってた </t>
    </r>
    <r>
      <rPr>
        <sz val="10"/>
        <rFont val="Arial"/>
        <family val="0"/>
        <charset val="1"/>
      </rPr>
      <t xml:space="preserve">#shorts #</t>
    </r>
    <r>
      <rPr>
        <sz val="10"/>
        <rFont val="Noto Sans CJK SC"/>
        <family val="2"/>
      </rPr>
      <t xml:space="preserve">切り抜き</t>
    </r>
  </si>
  <si>
    <t xml:space="preserve">2026-09-08 20:30</t>
  </si>
  <si>
    <r>
      <rPr>
        <sz val="10"/>
        <rFont val="Noto Sans CJK SC"/>
        <family val="2"/>
      </rPr>
      <t xml:space="preserve">身長を測ったら</t>
    </r>
    <r>
      <rPr>
        <sz val="10"/>
        <rFont val="Arial"/>
        <family val="0"/>
        <charset val="1"/>
      </rPr>
      <t xml:space="preserve">161cm</t>
    </r>
    <r>
      <rPr>
        <sz val="10"/>
        <rFont val="Noto Sans CJK SC"/>
        <family val="2"/>
      </rPr>
      <t xml:space="preserve">だった </t>
    </r>
    <r>
      <rPr>
        <sz val="10"/>
        <rFont val="Arial"/>
        <family val="0"/>
        <charset val="1"/>
      </rPr>
      <t xml:space="preserve">#shorts #</t>
    </r>
    <r>
      <rPr>
        <sz val="10"/>
        <rFont val="Noto Sans CJK SC"/>
        <family val="2"/>
      </rPr>
      <t xml:space="preserve">切り抜き</t>
    </r>
  </si>
  <si>
    <t xml:space="preserve">2026-09-07 11:45</t>
  </si>
  <si>
    <r>
      <rPr>
        <sz val="10"/>
        <rFont val="Noto Sans CJK SC"/>
        <family val="2"/>
      </rPr>
      <t xml:space="preserve">視聴データが導く 「定番ストーリー」 </t>
    </r>
    <r>
      <rPr>
        <sz val="10"/>
        <rFont val="Arial"/>
        <family val="0"/>
        <charset val="1"/>
      </rPr>
      <t xml:space="preserve">#shorts #</t>
    </r>
    <r>
      <rPr>
        <sz val="10"/>
        <rFont val="Noto Sans CJK SC"/>
        <family val="2"/>
      </rPr>
      <t xml:space="preserve">切り抜き</t>
    </r>
  </si>
  <si>
    <t xml:space="preserve">2026-09-07 17:45</t>
  </si>
  <si>
    <r>
      <rPr>
        <sz val="10"/>
        <rFont val="Noto Sans CJK SC"/>
        <family val="2"/>
      </rPr>
      <t xml:space="preserve">資産</t>
    </r>
    <r>
      <rPr>
        <sz val="10"/>
        <rFont val="Arial"/>
        <family val="0"/>
        <charset val="1"/>
      </rPr>
      <t xml:space="preserve">500</t>
    </r>
    <r>
      <rPr>
        <sz val="10"/>
        <rFont val="Noto Sans CJK SC"/>
        <family val="2"/>
      </rPr>
      <t xml:space="preserve">万円で一生暮らすのは厳しい </t>
    </r>
    <r>
      <rPr>
        <sz val="10"/>
        <rFont val="Arial"/>
        <family val="0"/>
        <charset val="1"/>
      </rPr>
      <t xml:space="preserve">#shorts #</t>
    </r>
    <r>
      <rPr>
        <sz val="10"/>
        <rFont val="Noto Sans CJK SC"/>
        <family val="2"/>
      </rPr>
      <t xml:space="preserve">切り抜き</t>
    </r>
  </si>
  <si>
    <t xml:space="preserve">2026-09-08 11:45</t>
  </si>
  <si>
    <r>
      <rPr>
        <sz val="10"/>
        <rFont val="Noto Sans CJK SC"/>
        <family val="2"/>
      </rPr>
      <t xml:space="preserve">米国景気は 良くないかもしれない </t>
    </r>
    <r>
      <rPr>
        <sz val="10"/>
        <rFont val="Arial"/>
        <family val="0"/>
        <charset val="1"/>
      </rPr>
      <t xml:space="preserve">#shorts #</t>
    </r>
    <r>
      <rPr>
        <sz val="10"/>
        <rFont val="Noto Sans CJK SC"/>
        <family val="2"/>
      </rPr>
      <t xml:space="preserve">切り抜き</t>
    </r>
  </si>
  <si>
    <t xml:space="preserve">2026-09-08 17:46</t>
  </si>
  <si>
    <r>
      <rPr>
        <sz val="10"/>
        <rFont val="Noto Sans CJK SC"/>
        <family val="2"/>
      </rPr>
      <t xml:space="preserve">リアルロボの操縦席は 腰の位置にある </t>
    </r>
    <r>
      <rPr>
        <sz val="10"/>
        <rFont val="Arial"/>
        <family val="0"/>
        <charset val="1"/>
      </rPr>
      <t xml:space="preserve">#shorts #</t>
    </r>
    <r>
      <rPr>
        <sz val="10"/>
        <rFont val="Noto Sans CJK SC"/>
        <family val="2"/>
      </rPr>
      <t xml:space="preserve">切り抜き</t>
    </r>
  </si>
  <si>
    <t xml:space="preserve">2026-09-07 13:30</t>
  </si>
  <si>
    <r>
      <rPr>
        <sz val="10"/>
        <rFont val="Noto Sans CJK SC"/>
        <family val="2"/>
      </rPr>
      <t xml:space="preserve">サイゼリヤの原価率が社員年収に与える意外な影響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</si>
  <si>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2026-09-07 17:00</t>
  </si>
  <si>
    <r>
      <rPr>
        <sz val="10"/>
        <rFont val="Noto Sans CJK SC"/>
        <family val="2"/>
      </rPr>
      <t xml:space="preserve">日本郵政の年収、職種で</t>
    </r>
    <r>
      <rPr>
        <sz val="10"/>
        <rFont val="Arial"/>
        <family val="0"/>
        <charset val="1"/>
      </rPr>
      <t xml:space="preserve">2</t>
    </r>
    <r>
      <rPr>
        <sz val="10"/>
        <rFont val="Noto Sans CJK SC"/>
        <family val="2"/>
      </rPr>
      <t xml:space="preserve">倍差がつく理由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</si>
  <si>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2026-09-08 08:15</t>
  </si>
  <si>
    <r>
      <rPr>
        <sz val="10"/>
        <rFont val="Noto Sans CJK SC"/>
        <family val="2"/>
      </rPr>
      <t xml:space="preserve">大和ハウス工業の年収</t>
    </r>
    <r>
      <rPr>
        <sz val="10"/>
        <rFont val="Arial"/>
        <family val="0"/>
        <charset val="1"/>
      </rPr>
      <t xml:space="preserve">1000</t>
    </r>
    <r>
      <rPr>
        <sz val="10"/>
        <rFont val="Noto Sans CJK SC"/>
        <family val="2"/>
      </rPr>
      <t xml:space="preserve">万円超、残業の実態がヤバい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</si>
  <si>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2026-09-08 17:00</t>
  </si>
  <si>
    <r>
      <rPr>
        <sz val="10"/>
        <rFont val="Arial"/>
        <family val="0"/>
        <charset val="1"/>
      </rPr>
      <t xml:space="preserve">NTT</t>
    </r>
    <r>
      <rPr>
        <sz val="10"/>
        <rFont val="Noto Sans CJK SC"/>
        <family val="2"/>
      </rPr>
      <t xml:space="preserve">データの年収</t>
    </r>
    <r>
      <rPr>
        <sz val="10"/>
        <rFont val="Arial"/>
        <family val="0"/>
        <charset val="1"/>
      </rPr>
      <t xml:space="preserve">905</t>
    </r>
    <r>
      <rPr>
        <sz val="10"/>
        <rFont val="Noto Sans CJK SC"/>
        <family val="2"/>
      </rPr>
      <t xml:space="preserve">万円、実は在宅勤務の裏側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</si>
  <si>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2026-09-08 19:00</t>
  </si>
  <si>
    <r>
      <rPr>
        <sz val="10"/>
        <rFont val="Noto Sans CJK SC"/>
        <family val="2"/>
      </rPr>
      <t xml:space="preserve">ユニクロ店長、売上</t>
    </r>
    <r>
      <rPr>
        <sz val="10"/>
        <rFont val="Arial"/>
        <family val="0"/>
        <charset val="1"/>
      </rPr>
      <t xml:space="preserve">1</t>
    </r>
    <r>
      <rPr>
        <sz val="10"/>
        <rFont val="Noto Sans CJK SC"/>
        <family val="2"/>
      </rPr>
      <t xml:space="preserve">億円を任される仕事の実態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</si>
  <si>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2026-09-09 23:57</t>
  </si>
  <si>
    <r>
      <rPr>
        <sz val="10"/>
        <rFont val="Arial"/>
        <family val="0"/>
        <charset val="1"/>
      </rPr>
      <t xml:space="preserve">Apple</t>
    </r>
    <r>
      <rPr>
        <sz val="10"/>
        <rFont val="Noto Sans CJK SC"/>
        <family val="2"/>
      </rPr>
      <t xml:space="preserve">の本当は年収約</t>
    </r>
    <r>
      <rPr>
        <sz val="10"/>
        <rFont val="Arial"/>
        <family val="0"/>
        <charset val="1"/>
      </rPr>
      <t xml:space="preserve">3,800</t>
    </r>
    <r>
      <rPr>
        <sz val="10"/>
        <rFont val="Noto Sans CJK SC"/>
        <family val="2"/>
      </rPr>
      <t xml:space="preserve">万円、新製品発表の裏側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</si>
  <si>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2026-09-13 17:00</t>
  </si>
  <si>
    <r>
      <rPr>
        <sz val="10"/>
        <rFont val="Noto Sans CJK SC"/>
        <family val="2"/>
      </rPr>
      <t xml:space="preserve">ワークマンが一般客を呼んだ転機、売上</t>
    </r>
    <r>
      <rPr>
        <sz val="10"/>
        <rFont val="Arial"/>
        <family val="0"/>
        <charset val="1"/>
      </rPr>
      <t xml:space="preserve">1,283</t>
    </r>
    <r>
      <rPr>
        <sz val="10"/>
        <rFont val="Noto Sans CJK SC"/>
        <family val="2"/>
      </rPr>
      <t xml:space="preserve">億円の裏側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</si>
  <si>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2026-09-13 19:00</t>
  </si>
  <si>
    <r>
      <rPr>
        <sz val="10"/>
        <rFont val="Noto Sans CJK SC"/>
        <family val="2"/>
      </rPr>
      <t xml:space="preserve">スシローが回転をやめた店を増やす</t>
    </r>
    <r>
      <rPr>
        <sz val="10"/>
        <rFont val="Arial"/>
        <family val="0"/>
        <charset val="1"/>
      </rPr>
      <t xml:space="preserve">3</t>
    </r>
    <r>
      <rPr>
        <sz val="10"/>
        <rFont val="Noto Sans CJK SC"/>
        <family val="2"/>
      </rPr>
      <t xml:space="preserve">業態の狙い実態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</si>
  <si>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2026-09-14 08:15</t>
  </si>
  <si>
    <r>
      <rPr>
        <sz val="10"/>
        <rFont val="Noto Sans CJK SC"/>
        <family val="2"/>
      </rPr>
      <t xml:space="preserve">コメダ珈琲が</t>
    </r>
    <r>
      <rPr>
        <sz val="10"/>
        <rFont val="Arial"/>
        <family val="0"/>
        <charset val="1"/>
      </rPr>
      <t xml:space="preserve">FC</t>
    </r>
    <r>
      <rPr>
        <sz val="10"/>
        <rFont val="Noto Sans CJK SC"/>
        <family val="2"/>
      </rPr>
      <t xml:space="preserve">比率</t>
    </r>
    <r>
      <rPr>
        <sz val="10"/>
        <rFont val="Arial"/>
        <family val="0"/>
        <charset val="1"/>
      </rPr>
      <t xml:space="preserve">99%</t>
    </r>
    <r>
      <rPr>
        <sz val="10"/>
        <rFont val="Noto Sans CJK SC"/>
        <family val="2"/>
      </rPr>
      <t xml:space="preserve">にする本当の理由とは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</si>
  <si>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2026-09-14 12:30</t>
  </si>
  <si>
    <r>
      <rPr>
        <sz val="10"/>
        <rFont val="Noto Sans CJK SC"/>
        <family val="2"/>
      </rPr>
      <t xml:space="preserve">任天堂の年収</t>
    </r>
    <r>
      <rPr>
        <sz val="10"/>
        <rFont val="Arial"/>
        <family val="0"/>
        <charset val="1"/>
      </rPr>
      <t xml:space="preserve">986</t>
    </r>
    <r>
      <rPr>
        <sz val="10"/>
        <rFont val="Noto Sans CJK SC"/>
        <family val="2"/>
      </rPr>
      <t xml:space="preserve">万円、実は職種で差が出る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</si>
  <si>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2026-09-14 15:00</t>
  </si>
  <si>
    <r>
      <rPr>
        <sz val="10"/>
        <rFont val="Arial"/>
        <family val="0"/>
        <charset val="1"/>
      </rPr>
      <t xml:space="preserve">USJ</t>
    </r>
    <r>
      <rPr>
        <sz val="10"/>
        <rFont val="Noto Sans CJK SC"/>
        <family val="2"/>
      </rPr>
      <t xml:space="preserve">の年収と福利厚生、その実態とは？人気の裏側を暴露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</si>
  <si>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2026-09-14 17:00</t>
  </si>
  <si>
    <r>
      <rPr>
        <sz val="10"/>
        <rFont val="Noto Sans CJK SC"/>
        <family val="2"/>
      </rPr>
      <t xml:space="preserve">ニトリ</t>
    </r>
    <r>
      <rPr>
        <sz val="10"/>
        <rFont val="Arial"/>
        <family val="0"/>
        <charset val="1"/>
      </rPr>
      <t xml:space="preserve">864</t>
    </r>
    <r>
      <rPr>
        <sz val="10"/>
        <rFont val="Noto Sans CJK SC"/>
        <family val="2"/>
      </rPr>
      <t xml:space="preserve">万円の裏側、配置転換が生む働き方のリアル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</si>
  <si>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2026-09-14 19:00</t>
  </si>
  <si>
    <r>
      <rPr>
        <sz val="10"/>
        <rFont val="Noto Sans CJK SC"/>
        <family val="2"/>
      </rPr>
      <t xml:space="preserve">味の素の給与</t>
    </r>
    <r>
      <rPr>
        <sz val="10"/>
        <rFont val="Arial"/>
        <family val="0"/>
        <charset val="1"/>
      </rPr>
      <t xml:space="preserve">1065</t>
    </r>
    <r>
      <rPr>
        <sz val="10"/>
        <rFont val="Noto Sans CJK SC"/>
        <family val="2"/>
      </rPr>
      <t xml:space="preserve">万円、手当だけではない本当の理由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</si>
  <si>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2026-09-15 12:30</t>
  </si>
  <si>
    <r>
      <rPr>
        <sz val="10"/>
        <rFont val="Noto Sans CJK SC"/>
        <family val="2"/>
      </rPr>
      <t xml:space="preserve">楽天トラベルの年収、最大</t>
    </r>
    <r>
      <rPr>
        <sz val="10"/>
        <rFont val="Arial"/>
        <family val="0"/>
        <charset val="1"/>
      </rPr>
      <t xml:space="preserve">70%</t>
    </r>
    <r>
      <rPr>
        <sz val="10"/>
        <rFont val="Noto Sans CJK SC"/>
        <family val="2"/>
      </rPr>
      <t xml:space="preserve">割引の裏側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</si>
  <si>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2026-09-15 15:00</t>
  </si>
  <si>
    <r>
      <rPr>
        <sz val="10"/>
        <rFont val="Noto Sans CJK SC"/>
        <family val="2"/>
      </rPr>
      <t xml:space="preserve">リクルート年収</t>
    </r>
    <r>
      <rPr>
        <sz val="10"/>
        <rFont val="Arial"/>
        <family val="0"/>
        <charset val="1"/>
      </rPr>
      <t xml:space="preserve">1,138</t>
    </r>
    <r>
      <rPr>
        <sz val="10"/>
        <rFont val="Noto Sans CJK SC"/>
        <family val="2"/>
      </rPr>
      <t xml:space="preserve">万円、実は等級で差が出る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</si>
  <si>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2026-09-15 17:00</t>
  </si>
  <si>
    <r>
      <rPr>
        <sz val="10"/>
        <rFont val="Noto Sans CJK SC"/>
        <family val="2"/>
      </rPr>
      <t xml:space="preserve">日本電産の年収</t>
    </r>
    <r>
      <rPr>
        <sz val="10"/>
        <rFont val="Arial"/>
        <family val="0"/>
        <charset val="1"/>
      </rPr>
      <t xml:space="preserve">817</t>
    </r>
    <r>
      <rPr>
        <sz val="10"/>
        <rFont val="Noto Sans CJK SC"/>
        <family val="2"/>
      </rPr>
      <t xml:space="preserve">万円、実は残業時間とのバランス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</si>
  <si>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2026-09-15 19:00</t>
  </si>
  <si>
    <r>
      <rPr>
        <sz val="10"/>
        <rFont val="Noto Sans CJK SC"/>
        <family val="2"/>
      </rPr>
      <t xml:space="preserve">ニトリの粗利率</t>
    </r>
    <r>
      <rPr>
        <sz val="10"/>
        <rFont val="Arial"/>
        <family val="0"/>
        <charset val="1"/>
      </rPr>
      <t xml:space="preserve">55%</t>
    </r>
    <r>
      <rPr>
        <sz val="10"/>
        <rFont val="Noto Sans CJK SC"/>
        <family val="2"/>
      </rPr>
      <t xml:space="preserve">、実は物流まで握る実態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</si>
  <si>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2026-09-16 12:30</t>
  </si>
  <si>
    <r>
      <rPr>
        <sz val="10"/>
        <rFont val="Noto Sans CJK SC"/>
        <family val="2"/>
      </rPr>
      <t xml:space="preserve">ドン・キホーテの</t>
    </r>
    <r>
      <rPr>
        <sz val="10"/>
        <rFont val="Arial"/>
        <family val="0"/>
        <charset val="1"/>
      </rPr>
      <t xml:space="preserve">4</t>
    </r>
    <r>
      <rPr>
        <sz val="10"/>
        <rFont val="Noto Sans CJK SC"/>
        <family val="2"/>
      </rPr>
      <t xml:space="preserve">万点、実は在庫を寝かせない売り場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</si>
  <si>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2026-09-16 15:00</t>
  </si>
  <si>
    <r>
      <rPr>
        <sz val="10"/>
        <rFont val="Noto Sans CJK SC"/>
        <family val="2"/>
      </rPr>
      <t xml:space="preserve">サイゼリヤが価格を維持できた</t>
    </r>
    <r>
      <rPr>
        <sz val="10"/>
        <rFont val="Arial"/>
        <family val="0"/>
        <charset val="1"/>
      </rPr>
      <t xml:space="preserve">10</t>
    </r>
    <r>
      <rPr>
        <sz val="10"/>
        <rFont val="Noto Sans CJK SC"/>
        <family val="2"/>
      </rPr>
      <t xml:space="preserve">年と原価率の実態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</si>
  <si>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2026-09-16 17:00</t>
  </si>
  <si>
    <r>
      <rPr>
        <sz val="10"/>
        <rFont val="Noto Sans CJK SC"/>
        <family val="2"/>
      </rPr>
      <t xml:space="preserve">無印良品の</t>
    </r>
    <r>
      <rPr>
        <sz val="10"/>
        <rFont val="Arial"/>
        <family val="0"/>
        <charset val="1"/>
      </rPr>
      <t xml:space="preserve">1,200</t>
    </r>
    <r>
      <rPr>
        <sz val="10"/>
        <rFont val="Noto Sans CJK SC"/>
        <family val="2"/>
      </rPr>
      <t xml:space="preserve">店、実は衣料だけではない売上構成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</si>
  <si>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2026-09-16 19:00</t>
  </si>
  <si>
    <r>
      <rPr>
        <sz val="10"/>
        <rFont val="Noto Sans CJK SC"/>
        <family val="2"/>
      </rPr>
      <t xml:space="preserve">ユニクロのヒートテック</t>
    </r>
    <r>
      <rPr>
        <sz val="10"/>
        <rFont val="Arial"/>
        <family val="0"/>
        <charset val="1"/>
      </rPr>
      <t xml:space="preserve">10</t>
    </r>
    <r>
      <rPr>
        <sz val="10"/>
        <rFont val="Noto Sans CJK SC"/>
        <family val="2"/>
      </rPr>
      <t xml:space="preserve">億枚、その売上が残らない理由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</si>
  <si>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2026-09-07 12:30</t>
  </si>
  <si>
    <r>
      <rPr>
        <sz val="10"/>
        <rFont val="Noto Sans CJK SC"/>
        <family val="2"/>
      </rPr>
      <t xml:space="preserve">なぜ他人のあくびは約</t>
    </r>
    <r>
      <rPr>
        <sz val="10"/>
        <rFont val="Arial"/>
        <family val="0"/>
        <charset val="1"/>
      </rPr>
      <t xml:space="preserve">45</t>
    </r>
    <r>
      <rPr>
        <sz val="10"/>
        <rFont val="Noto Sans CJK SC"/>
        <family val="2"/>
      </rPr>
      <t xml:space="preserve">％もつられる？脳の反応を解説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</si>
  <si>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なぜ冷たい水だけ歯にしみる？歯の中で起きる変化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</si>
  <si>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t xml:space="preserve">2026-09-08 07:30</t>
  </si>
  <si>
    <r>
      <rPr>
        <sz val="10"/>
        <rFont val="Noto Sans CJK SC"/>
        <family val="2"/>
      </rPr>
      <t xml:space="preserve">走った後の鉄味、あなたの肺で何が？</t>
    </r>
    <r>
      <rPr>
        <sz val="10"/>
        <rFont val="Arial"/>
        <family val="0"/>
        <charset val="1"/>
      </rPr>
      <t xml:space="preserve">0.1%</t>
    </r>
    <r>
      <rPr>
        <sz val="10"/>
        <rFont val="Noto Sans CJK SC"/>
        <family val="2"/>
      </rPr>
      <t xml:space="preserve">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</si>
  <si>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t xml:space="preserve">2026-09-08 12:30</t>
  </si>
  <si>
    <r>
      <rPr>
        <sz val="10"/>
        <rFont val="Noto Sans CJK SC"/>
        <family val="2"/>
      </rPr>
      <t xml:space="preserve">耳を塞ぐと聞こえる</t>
    </r>
    <r>
      <rPr>
        <sz val="10"/>
        <rFont val="Arial"/>
        <family val="0"/>
        <charset val="1"/>
      </rPr>
      <t xml:space="preserve">20Hz</t>
    </r>
    <r>
      <rPr>
        <sz val="10"/>
        <rFont val="Noto Sans CJK SC"/>
        <family val="2"/>
      </rPr>
      <t xml:space="preserve">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</si>
  <si>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疲れた日の甘い物がすぐ消えるのはなぜ？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</si>
  <si>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t xml:space="preserve">2026-09-09 11:57</t>
  </si>
  <si>
    <r>
      <rPr>
        <sz val="10"/>
        <rFont val="Noto Sans CJK SC"/>
        <family val="2"/>
      </rPr>
      <t xml:space="preserve">なぜ寒さで顎が先に震える？</t>
    </r>
    <r>
      <rPr>
        <sz val="10"/>
        <rFont val="Arial"/>
        <family val="0"/>
        <charset val="1"/>
      </rPr>
      <t xml:space="preserve">3</t>
    </r>
    <r>
      <rPr>
        <sz val="10"/>
        <rFont val="Noto Sans CJK SC"/>
        <family val="2"/>
      </rPr>
      <t xml:space="preserve">秒の正体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</si>
  <si>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なぜ海で沖へ運ばれる？毎秒</t>
    </r>
    <r>
      <rPr>
        <sz val="10"/>
        <rFont val="Arial"/>
        <family val="0"/>
        <charset val="1"/>
      </rPr>
      <t xml:space="preserve">1m</t>
    </r>
    <r>
      <rPr>
        <sz val="10"/>
        <rFont val="Noto Sans CJK SC"/>
        <family val="2"/>
      </rPr>
      <t xml:space="preserve">の流れの正体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</si>
  <si>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t xml:space="preserve">2026-09-14 07:30</t>
  </si>
  <si>
    <r>
      <rPr>
        <sz val="10"/>
        <rFont val="Noto Sans CJK SC"/>
        <family val="2"/>
      </rPr>
      <t xml:space="preserve">なぜあなたはくしゃみの</t>
    </r>
    <r>
      <rPr>
        <sz val="10"/>
        <rFont val="Arial"/>
        <family val="0"/>
        <charset val="1"/>
      </rPr>
      <t xml:space="preserve">3</t>
    </r>
    <r>
      <rPr>
        <sz val="10"/>
        <rFont val="Noto Sans CJK SC"/>
        <family val="2"/>
      </rPr>
      <t xml:space="preserve">秒前を予感するのか？本当の正体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</si>
  <si>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なぜ朝は身長が</t>
    </r>
    <r>
      <rPr>
        <sz val="10"/>
        <rFont val="Arial"/>
        <family val="0"/>
        <charset val="1"/>
      </rPr>
      <t xml:space="preserve">2cm</t>
    </r>
    <r>
      <rPr>
        <sz val="10"/>
        <rFont val="Noto Sans CJK SC"/>
        <family val="2"/>
      </rPr>
      <t xml:space="preserve">高いのか？あなたの背中の正体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</si>
  <si>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なぜ</t>
    </r>
    <r>
      <rPr>
        <sz val="10"/>
        <rFont val="Arial"/>
        <family val="0"/>
        <charset val="1"/>
      </rPr>
      <t xml:space="preserve">USJ</t>
    </r>
    <r>
      <rPr>
        <sz val="10"/>
        <rFont val="Noto Sans CJK SC"/>
        <family val="2"/>
      </rPr>
      <t xml:space="preserve">で脳が</t>
    </r>
    <r>
      <rPr>
        <sz val="10"/>
        <rFont val="Arial"/>
        <family val="0"/>
        <charset val="1"/>
      </rPr>
      <t xml:space="preserve">3</t>
    </r>
    <r>
      <rPr>
        <sz val="10"/>
        <rFont val="Noto Sans CJK SC"/>
        <family val="2"/>
      </rPr>
      <t xml:space="preserve">時間も興奮するのか？実はその正体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</si>
  <si>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片足立ちが目を閉じた瞬間、</t>
    </r>
    <r>
      <rPr>
        <sz val="10"/>
        <rFont val="Arial"/>
        <family val="0"/>
        <charset val="1"/>
      </rPr>
      <t xml:space="preserve">3</t>
    </r>
    <r>
      <rPr>
        <sz val="10"/>
        <rFont val="Noto Sans CJK SC"/>
        <family val="2"/>
      </rPr>
      <t xml:space="preserve">倍ぐらつくワケの正体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</si>
  <si>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t xml:space="preserve">2026-09-15 07:30</t>
  </si>
  <si>
    <r>
      <rPr>
        <sz val="10"/>
        <rFont val="Noto Sans CJK SC"/>
        <family val="2"/>
      </rPr>
      <t xml:space="preserve">なぜ立つと</t>
    </r>
    <r>
      <rPr>
        <sz val="10"/>
        <rFont val="Arial"/>
        <family val="0"/>
        <charset val="1"/>
      </rPr>
      <t xml:space="preserve">3</t>
    </r>
    <r>
      <rPr>
        <sz val="10"/>
        <rFont val="Noto Sans CJK SC"/>
        <family val="2"/>
      </rPr>
      <t xml:space="preserve">秒で暗くなるのか？血圧変動の正体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</si>
  <si>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なぜ味噌汁は冷めると</t>
    </r>
    <r>
      <rPr>
        <sz val="10"/>
        <rFont val="Arial"/>
        <family val="0"/>
        <charset val="1"/>
      </rPr>
      <t xml:space="preserve">2</t>
    </r>
    <r>
      <rPr>
        <sz val="10"/>
        <rFont val="Noto Sans CJK SC"/>
        <family val="2"/>
      </rPr>
      <t xml:space="preserve">倍しょっぱく感じるのか？実は舌の正体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</si>
  <si>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なぜ階段を下りる時だけ膝に体重の</t>
    </r>
    <r>
      <rPr>
        <sz val="10"/>
        <rFont val="Arial"/>
        <family val="0"/>
        <charset val="1"/>
      </rPr>
      <t xml:space="preserve">3</t>
    </r>
    <r>
      <rPr>
        <sz val="10"/>
        <rFont val="Noto Sans CJK SC"/>
        <family val="2"/>
      </rPr>
      <t xml:space="preserve">倍の力がかかるのか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</si>
  <si>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t xml:space="preserve">2026-09-16 07:30</t>
  </si>
  <si>
    <r>
      <rPr>
        <sz val="10"/>
        <rFont val="Noto Sans CJK SC"/>
        <family val="2"/>
      </rPr>
      <t xml:space="preserve">なぜ熱い風呂は最初の</t>
    </r>
    <r>
      <rPr>
        <sz val="10"/>
        <rFont val="Arial"/>
        <family val="0"/>
        <charset val="1"/>
      </rPr>
      <t xml:space="preserve">10</t>
    </r>
    <r>
      <rPr>
        <sz val="10"/>
        <rFont val="Noto Sans CJK SC"/>
        <family val="2"/>
      </rPr>
      <t xml:space="preserve">秒だけ痛いのか？体の正体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</si>
  <si>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なぜ長時間立つと足だけむくむのか？</t>
    </r>
    <r>
      <rPr>
        <sz val="10"/>
        <rFont val="Arial"/>
        <family val="0"/>
        <charset val="1"/>
      </rPr>
      <t xml:space="preserve">2</t>
    </r>
    <r>
      <rPr>
        <sz val="10"/>
        <rFont val="Noto Sans CJK SC"/>
        <family val="2"/>
      </rPr>
      <t xml:space="preserve">時間後の正体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</si>
  <si>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寝落ち直後の「ビクッ」脳と体の</t>
    </r>
    <r>
      <rPr>
        <sz val="10"/>
        <rFont val="Arial"/>
        <family val="0"/>
        <charset val="1"/>
      </rPr>
      <t xml:space="preserve">0.5</t>
    </r>
    <r>
      <rPr>
        <sz val="10"/>
        <rFont val="Noto Sans CJK SC"/>
        <family val="2"/>
      </rPr>
      <t xml:space="preserve">秒切り替えの正体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</si>
  <si>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t xml:space="preserve">2026-09-07 15:00</t>
  </si>
  <si>
    <r>
      <rPr>
        <sz val="10"/>
        <rFont val="Noto Sans CJK SC"/>
        <family val="2"/>
      </rPr>
      <t xml:space="preserve">四天王の呼び名が定着した</t>
    </r>
    <r>
      <rPr>
        <sz val="10"/>
        <rFont val="Arial"/>
        <family val="0"/>
        <charset val="1"/>
      </rPr>
      <t xml:space="preserve">25</t>
    </r>
    <r>
      <rPr>
        <sz val="10"/>
        <rFont val="Noto Sans CJK SC"/>
        <family val="2"/>
      </rPr>
      <t xml:space="preserve">年の謎 </t>
    </r>
    <r>
      <rPr>
        <sz val="10"/>
        <rFont val="Arial"/>
        <family val="0"/>
        <charset val="1"/>
      </rPr>
      <t xml:space="preserve">#shorts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</si>
  <si>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t xml:space="preserve">2026-09-07 17:30</t>
  </si>
  <si>
    <r>
      <rPr>
        <sz val="10"/>
        <rFont val="Noto Sans CJK SC"/>
        <family val="2"/>
      </rPr>
      <t xml:space="preserve">イーブイの昼夜進化、エーフィとブラッキーに分かれた理由 </t>
    </r>
    <r>
      <rPr>
        <sz val="10"/>
        <rFont val="Arial"/>
        <family val="0"/>
        <charset val="1"/>
      </rPr>
      <t xml:space="preserve">#shorts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</si>
  <si>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t xml:space="preserve">2026-09-07 19:00</t>
  </si>
  <si>
    <r>
      <rPr>
        <sz val="10"/>
        <rFont val="Noto Sans CJK SC"/>
        <family val="2"/>
      </rPr>
      <t xml:space="preserve">ロケット団の幹部だけ口調が別キャラ級？</t>
    </r>
    <r>
      <rPr>
        <sz val="10"/>
        <rFont val="Arial"/>
        <family val="0"/>
        <charset val="1"/>
      </rPr>
      <t xml:space="preserve">3</t>
    </r>
    <r>
      <rPr>
        <sz val="10"/>
        <rFont val="Noto Sans CJK SC"/>
        <family val="2"/>
      </rPr>
      <t xml:space="preserve">作品で徹底比較の本当 </t>
    </r>
    <r>
      <rPr>
        <sz val="10"/>
        <rFont val="Arial"/>
        <family val="0"/>
        <charset val="1"/>
      </rPr>
      <t xml:space="preserve">#shorts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</si>
  <si>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t xml:space="preserve">2026-09-08 08:30</t>
  </si>
  <si>
    <r>
      <rPr>
        <sz val="10"/>
        <rFont val="Noto Sans CJK SC"/>
        <family val="2"/>
      </rPr>
      <t xml:space="preserve">ソーナンスが反撃しかできない設計の狙いが深すぎる </t>
    </r>
    <r>
      <rPr>
        <sz val="10"/>
        <rFont val="Arial"/>
        <family val="0"/>
        <charset val="1"/>
      </rPr>
      <t xml:space="preserve">#shorts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</si>
  <si>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r>
      <rPr>
        <sz val="10"/>
        <rFont val="Noto Sans CJK SC"/>
        <family val="2"/>
      </rPr>
      <t xml:space="preserve">ドラパルト、子どもを音速超えで撃ち出すってマジ</t>
    </r>
    <r>
      <rPr>
        <sz val="10"/>
        <rFont val="Arial"/>
        <family val="0"/>
        <charset val="1"/>
      </rPr>
      <t xml:space="preserve">!? #shorts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</si>
  <si>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r>
      <rPr>
        <sz val="10"/>
        <rFont val="Noto Sans CJK SC"/>
        <family val="2"/>
      </rPr>
      <t xml:space="preserve">アンノーン</t>
    </r>
    <r>
      <rPr>
        <sz val="10"/>
        <rFont val="Arial"/>
        <family val="0"/>
        <charset val="1"/>
      </rPr>
      <t xml:space="preserve">28</t>
    </r>
    <r>
      <rPr>
        <sz val="10"/>
        <rFont val="Noto Sans CJK SC"/>
        <family val="2"/>
      </rPr>
      <t xml:space="preserve">種類コンプしても完成にならない</t>
    </r>
    <r>
      <rPr>
        <sz val="10"/>
        <rFont val="Arial"/>
        <family val="0"/>
        <charset val="1"/>
      </rPr>
      <t xml:space="preserve">!? #shorts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</si>
  <si>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t xml:space="preserve">2026-09-07 13:00</t>
  </si>
  <si>
    <r>
      <rPr>
        <sz val="10"/>
        <rFont val="Arial"/>
        <family val="0"/>
        <charset val="1"/>
      </rPr>
      <t xml:space="preserve">RTX5090</t>
    </r>
    <r>
      <rPr>
        <sz val="10"/>
        <rFont val="Noto Sans CJK SC"/>
        <family val="2"/>
      </rPr>
      <t xml:space="preserve">はで部屋の外から名前を呼ぶのか </t>
    </r>
    <r>
      <rPr>
        <sz val="10"/>
        <rFont val="Arial"/>
        <family val="0"/>
        <charset val="1"/>
      </rPr>
      <t xml:space="preserve">#shorts #SCP #SCP</t>
    </r>
    <r>
      <rPr>
        <sz val="10"/>
        <rFont val="Noto Sans CJK SC"/>
        <family val="2"/>
      </rPr>
      <t xml:space="preserve">解説</t>
    </r>
  </si>
  <si>
    <r>
      <rPr>
        <sz val="10"/>
        <rFont val="Noto Sans CJK SC"/>
        <family val="2"/>
      </rPr>
      <t xml:space="preserve">なぜこの火山は</t>
    </r>
    <r>
      <rPr>
        <sz val="10"/>
        <rFont val="Arial"/>
        <family val="0"/>
        <charset val="1"/>
      </rPr>
      <t xml:space="preserve">72</t>
    </r>
    <r>
      <rPr>
        <sz val="10"/>
        <rFont val="Noto Sans CJK SC"/>
        <family val="2"/>
      </rPr>
      <t xml:space="preserve">時間沈黙し職員が消えるのか </t>
    </r>
    <r>
      <rPr>
        <sz val="10"/>
        <rFont val="Arial"/>
        <family val="0"/>
        <charset val="1"/>
      </rPr>
      <t xml:space="preserve">#shorts #SCP #SCP</t>
    </r>
    <r>
      <rPr>
        <sz val="10"/>
        <rFont val="Noto Sans CJK SC"/>
        <family val="2"/>
      </rPr>
      <t xml:space="preserve">解説</t>
    </r>
  </si>
  <si>
    <r>
      <rPr>
        <sz val="10"/>
        <rFont val="Arial"/>
        <family val="0"/>
        <charset val="1"/>
      </rPr>
      <t xml:space="preserve">SCP-7241 </t>
    </r>
    <r>
      <rPr>
        <sz val="10"/>
        <rFont val="Noto Sans CJK SC"/>
        <family val="2"/>
      </rPr>
      <t xml:space="preserve">収容違反記録から毎回消える頁 </t>
    </r>
    <r>
      <rPr>
        <sz val="10"/>
        <rFont val="Arial"/>
        <family val="0"/>
        <charset val="1"/>
      </rPr>
      <t xml:space="preserve">#shorts #SCP #SCP</t>
    </r>
    <r>
      <rPr>
        <sz val="10"/>
        <rFont val="Noto Sans CJK SC"/>
        <family val="2"/>
      </rPr>
      <t xml:space="preserve">解説</t>
    </r>
  </si>
  <si>
    <t xml:space="preserve">2026-09-08 13:00</t>
  </si>
  <si>
    <r>
      <rPr>
        <sz val="10"/>
        <rFont val="Arial"/>
        <family val="0"/>
        <charset val="1"/>
      </rPr>
      <t xml:space="preserve">SCP-3288 </t>
    </r>
    <r>
      <rPr>
        <sz val="10"/>
        <rFont val="Noto Sans CJK SC"/>
        <family val="2"/>
      </rPr>
      <t xml:space="preserve">大雨の真相 あなたの部屋も沈む </t>
    </r>
    <r>
      <rPr>
        <sz val="10"/>
        <rFont val="Arial"/>
        <family val="0"/>
        <charset val="1"/>
      </rPr>
      <t xml:space="preserve">#shorts #SCP #SCP</t>
    </r>
    <r>
      <rPr>
        <sz val="10"/>
        <rFont val="Noto Sans CJK SC"/>
        <family val="2"/>
      </rPr>
      <t xml:space="preserve">解説</t>
    </r>
  </si>
  <si>
    <r>
      <rPr>
        <sz val="10"/>
        <rFont val="Arial"/>
        <family val="0"/>
        <charset val="1"/>
      </rPr>
      <t xml:space="preserve">SCP</t>
    </r>
    <r>
      <rPr>
        <sz val="10"/>
        <rFont val="Noto Sans CJK SC"/>
        <family val="2"/>
      </rPr>
      <t xml:space="preserve">の最後の一行だけが隔離対象になった理由 </t>
    </r>
    <r>
      <rPr>
        <sz val="10"/>
        <rFont val="Arial"/>
        <family val="0"/>
        <charset val="1"/>
      </rPr>
      <t xml:space="preserve">#shorts #SCP #SCP</t>
    </r>
    <r>
      <rPr>
        <sz val="10"/>
        <rFont val="Noto Sans CJK SC"/>
        <family val="2"/>
      </rPr>
      <t xml:space="preserve">解説</t>
    </r>
  </si>
  <si>
    <r>
      <rPr>
        <sz val="10"/>
        <rFont val="Arial"/>
        <family val="0"/>
        <charset val="1"/>
      </rPr>
      <t xml:space="preserve">7</t>
    </r>
    <r>
      <rPr>
        <sz val="10"/>
        <rFont val="Noto Sans CJK SC"/>
        <family val="2"/>
      </rPr>
      <t xml:space="preserve">日間でずつ消えたエージェント名簿異常事件 </t>
    </r>
    <r>
      <rPr>
        <sz val="10"/>
        <rFont val="Arial"/>
        <family val="0"/>
        <charset val="1"/>
      </rPr>
      <t xml:space="preserve">#shorts #SCP #SCP</t>
    </r>
    <r>
      <rPr>
        <sz val="10"/>
        <rFont val="Noto Sans CJK SC"/>
        <family val="2"/>
      </rPr>
      <t xml:space="preserve">解説</t>
    </r>
  </si>
  <si>
    <t xml:space="preserve">2026-09-13 13:00</t>
  </si>
  <si>
    <r>
      <rPr>
        <sz val="10"/>
        <rFont val="Noto Sans CJK SC"/>
        <family val="2"/>
      </rPr>
      <t xml:space="preserve">なぜ職員</t>
    </r>
    <r>
      <rPr>
        <sz val="10"/>
        <rFont val="Arial"/>
        <family val="0"/>
        <charset val="1"/>
      </rPr>
      <t xml:space="preserve">12</t>
    </r>
    <r>
      <rPr>
        <sz val="10"/>
        <rFont val="Noto Sans CJK SC"/>
        <family val="2"/>
      </rPr>
      <t xml:space="preserve">名は眠れず消えたのか【</t>
    </r>
    <r>
      <rPr>
        <sz val="10"/>
        <rFont val="Arial"/>
        <family val="0"/>
        <charset val="1"/>
      </rPr>
      <t xml:space="preserve">SCP-XXXX</t>
    </r>
    <r>
      <rPr>
        <sz val="10"/>
        <rFont val="Noto Sans CJK SC"/>
        <family val="2"/>
      </rPr>
      <t xml:space="preserve">】 </t>
    </r>
    <r>
      <rPr>
        <sz val="10"/>
        <rFont val="Arial"/>
        <family val="0"/>
        <charset val="1"/>
      </rPr>
      <t xml:space="preserve">#shorts #SCP #SCP</t>
    </r>
    <r>
      <rPr>
        <sz val="10"/>
        <rFont val="Noto Sans CJK SC"/>
        <family val="2"/>
      </rPr>
      <t xml:space="preserve">解説</t>
    </r>
  </si>
  <si>
    <r>
      <rPr>
        <sz val="10"/>
        <rFont val="Arial"/>
        <family val="0"/>
        <charset val="1"/>
      </rPr>
      <t xml:space="preserve">SCP-7777</t>
    </r>
    <r>
      <rPr>
        <sz val="10"/>
        <rFont val="Noto Sans CJK SC"/>
        <family val="2"/>
      </rPr>
      <t xml:space="preserve">が</t>
    </r>
    <r>
      <rPr>
        <sz val="10"/>
        <rFont val="Arial"/>
        <family val="0"/>
        <charset val="1"/>
      </rPr>
      <t xml:space="preserve">72</t>
    </r>
    <r>
      <rPr>
        <sz val="10"/>
        <rFont val="Noto Sans CJK SC"/>
        <family val="2"/>
      </rPr>
      <t xml:space="preserve">時間で窓へ接近する理由 </t>
    </r>
    <r>
      <rPr>
        <sz val="10"/>
        <rFont val="Arial"/>
        <family val="0"/>
        <charset val="1"/>
      </rPr>
      <t xml:space="preserve">#shorts #SCP #SCP</t>
    </r>
    <r>
      <rPr>
        <sz val="10"/>
        <rFont val="Noto Sans CJK SC"/>
        <family val="2"/>
      </rPr>
      <t xml:space="preserve">解説</t>
    </r>
  </si>
  <si>
    <t xml:space="preserve">2026-09-14 09:00</t>
  </si>
  <si>
    <r>
      <rPr>
        <sz val="10"/>
        <rFont val="Noto Sans CJK SC"/>
        <family val="2"/>
      </rPr>
      <t xml:space="preserve">なぜ堀大輔は</t>
    </r>
    <r>
      <rPr>
        <sz val="10"/>
        <rFont val="Arial"/>
        <family val="0"/>
        <charset val="1"/>
      </rPr>
      <t xml:space="preserve">72</t>
    </r>
    <r>
      <rPr>
        <sz val="10"/>
        <rFont val="Noto Sans CJK SC"/>
        <family val="2"/>
      </rPr>
      <t xml:space="preserve">時間眠らないのか？睡眠不足の恐怖 </t>
    </r>
    <r>
      <rPr>
        <sz val="10"/>
        <rFont val="Arial"/>
        <family val="0"/>
        <charset val="1"/>
      </rPr>
      <t xml:space="preserve">#shorts #SCP #SCP</t>
    </r>
    <r>
      <rPr>
        <sz val="10"/>
        <rFont val="Noto Sans CJK SC"/>
        <family val="2"/>
      </rPr>
      <t xml:space="preserve">解説</t>
    </r>
  </si>
  <si>
    <t xml:space="preserve">2026-09-14 13:00</t>
  </si>
  <si>
    <r>
      <rPr>
        <sz val="10"/>
        <rFont val="Arial"/>
        <family val="0"/>
        <charset val="1"/>
      </rPr>
      <t xml:space="preserve">SCP-████</t>
    </r>
    <r>
      <rPr>
        <sz val="10"/>
        <rFont val="Noto Sans CJK SC"/>
        <family val="2"/>
      </rPr>
      <t xml:space="preserve">「閲覧禁止文書」読了</t>
    </r>
    <r>
      <rPr>
        <sz val="10"/>
        <rFont val="Arial"/>
        <family val="0"/>
        <charset val="1"/>
      </rPr>
      <t xml:space="preserve">23</t>
    </r>
    <r>
      <rPr>
        <sz val="10"/>
        <rFont val="Noto Sans CJK SC"/>
        <family val="2"/>
      </rPr>
      <t xml:space="preserve">名の実態 </t>
    </r>
    <r>
      <rPr>
        <sz val="10"/>
        <rFont val="Arial"/>
        <family val="0"/>
        <charset val="1"/>
      </rPr>
      <t xml:space="preserve">#shorts #SCP #SCP</t>
    </r>
    <r>
      <rPr>
        <sz val="10"/>
        <rFont val="Noto Sans CJK SC"/>
        <family val="2"/>
      </rPr>
      <t xml:space="preserve">解説</t>
    </r>
  </si>
  <si>
    <r>
      <rPr>
        <sz val="10"/>
        <rFont val="Arial"/>
        <family val="0"/>
        <charset val="1"/>
      </rPr>
      <t xml:space="preserve">SCP-3125</t>
    </r>
    <r>
      <rPr>
        <sz val="10"/>
        <rFont val="Noto Sans CJK SC"/>
        <family val="2"/>
      </rPr>
      <t xml:space="preserve">「認識の終点」全員消失の真相 </t>
    </r>
    <r>
      <rPr>
        <sz val="10"/>
        <rFont val="Arial"/>
        <family val="0"/>
        <charset val="1"/>
      </rPr>
      <t xml:space="preserve">#shorts #SCP #SCP</t>
    </r>
    <r>
      <rPr>
        <sz val="10"/>
        <rFont val="Noto Sans CJK SC"/>
        <family val="2"/>
      </rPr>
      <t xml:space="preserve">解説</t>
    </r>
  </si>
  <si>
    <r>
      <rPr>
        <sz val="10"/>
        <rFont val="Arial"/>
        <family val="0"/>
        <charset val="1"/>
      </rPr>
      <t xml:space="preserve">SCP-1440 </t>
    </r>
    <r>
      <rPr>
        <sz val="10"/>
        <rFont val="Noto Sans CJK SC"/>
        <family val="2"/>
      </rPr>
      <t xml:space="preserve">追跡班が</t>
    </r>
    <r>
      <rPr>
        <sz val="10"/>
        <rFont val="Arial"/>
        <family val="0"/>
        <charset val="1"/>
      </rPr>
      <t xml:space="preserve">7</t>
    </r>
    <r>
      <rPr>
        <sz val="10"/>
        <rFont val="Noto Sans CJK SC"/>
        <family val="2"/>
      </rPr>
      <t xml:space="preserve">日目に報告をやめた謎 </t>
    </r>
    <r>
      <rPr>
        <sz val="10"/>
        <rFont val="Arial"/>
        <family val="0"/>
        <charset val="1"/>
      </rPr>
      <t xml:space="preserve">#shorts #SCP #SCP</t>
    </r>
    <r>
      <rPr>
        <sz val="10"/>
        <rFont val="Noto Sans CJK SC"/>
        <family val="2"/>
      </rPr>
      <t xml:space="preserve">解説</t>
    </r>
  </si>
  <si>
    <r>
      <rPr>
        <sz val="10"/>
        <rFont val="Arial"/>
        <family val="0"/>
        <charset val="1"/>
      </rPr>
      <t xml:space="preserve">SCP-1471 </t>
    </r>
    <r>
      <rPr>
        <sz val="10"/>
        <rFont val="Noto Sans CJK SC"/>
        <family val="2"/>
      </rPr>
      <t xml:space="preserve">通知から後に起きる異変の真相 </t>
    </r>
    <r>
      <rPr>
        <sz val="10"/>
        <rFont val="Arial"/>
        <family val="0"/>
        <charset val="1"/>
      </rPr>
      <t xml:space="preserve">#shorts #SCP #SCP</t>
    </r>
    <r>
      <rPr>
        <sz val="10"/>
        <rFont val="Noto Sans CJK SC"/>
        <family val="2"/>
      </rPr>
      <t xml:space="preserve">解説</t>
    </r>
  </si>
  <si>
    <r>
      <rPr>
        <sz val="10"/>
        <rFont val="Noto Sans CJK SC"/>
        <family val="2"/>
      </rPr>
      <t xml:space="preserve">なぜ</t>
    </r>
    <r>
      <rPr>
        <sz val="10"/>
        <rFont val="Arial"/>
        <family val="0"/>
        <charset val="1"/>
      </rPr>
      <t xml:space="preserve">SCP-610</t>
    </r>
    <r>
      <rPr>
        <sz val="10"/>
        <rFont val="Noto Sans CJK SC"/>
        <family val="2"/>
      </rPr>
      <t xml:space="preserve">の救援隊は全員感染したのか？ </t>
    </r>
    <r>
      <rPr>
        <sz val="10"/>
        <rFont val="Arial"/>
        <family val="0"/>
        <charset val="1"/>
      </rPr>
      <t xml:space="preserve">#shorts #SCP #SCP</t>
    </r>
    <r>
      <rPr>
        <sz val="10"/>
        <rFont val="Noto Sans CJK SC"/>
        <family val="2"/>
      </rPr>
      <t xml:space="preserve">解説</t>
    </r>
  </si>
  <si>
    <t xml:space="preserve">2026-09-16 13:00</t>
  </si>
  <si>
    <r>
      <rPr>
        <sz val="10"/>
        <rFont val="Arial"/>
        <family val="0"/>
        <charset val="1"/>
      </rPr>
      <t xml:space="preserve">SCP-1548</t>
    </r>
    <r>
      <rPr>
        <sz val="10"/>
        <rFont val="Noto Sans CJK SC"/>
        <family val="2"/>
      </rPr>
      <t xml:space="preserve">「予言する星」</t>
    </r>
    <r>
      <rPr>
        <sz val="10"/>
        <rFont val="Arial"/>
        <family val="0"/>
        <charset val="1"/>
      </rPr>
      <t xml:space="preserve">7</t>
    </r>
    <r>
      <rPr>
        <sz val="10"/>
        <rFont val="Noto Sans CJK SC"/>
        <family val="2"/>
      </rPr>
      <t xml:space="preserve">組失踪の裏側 </t>
    </r>
    <r>
      <rPr>
        <sz val="10"/>
        <rFont val="Arial"/>
        <family val="0"/>
        <charset val="1"/>
      </rPr>
      <t xml:space="preserve">#shorts #SCP #SCP</t>
    </r>
    <r>
      <rPr>
        <sz val="10"/>
        <rFont val="Noto Sans CJK SC"/>
        <family val="2"/>
      </rPr>
      <t xml:space="preserve">解説</t>
    </r>
  </si>
  <si>
    <r>
      <rPr>
        <sz val="10"/>
        <rFont val="Noto Sans CJK SC"/>
        <family val="2"/>
      </rPr>
      <t xml:space="preserve">毎朝</t>
    </r>
    <r>
      <rPr>
        <sz val="10"/>
        <rFont val="Arial"/>
        <family val="0"/>
        <charset val="1"/>
      </rPr>
      <t xml:space="preserve">3mm</t>
    </r>
    <r>
      <rPr>
        <sz val="10"/>
        <rFont val="Noto Sans CJK SC"/>
        <family val="2"/>
      </rPr>
      <t xml:space="preserve">短くなる廊下、</t>
    </r>
    <r>
      <rPr>
        <sz val="10"/>
        <rFont val="Arial"/>
        <family val="0"/>
        <charset val="1"/>
      </rPr>
      <t xml:space="preserve">21</t>
    </r>
    <r>
      <rPr>
        <sz val="10"/>
        <rFont val="Noto Sans CJK SC"/>
        <family val="2"/>
      </rPr>
      <t xml:space="preserve">日目に消えた理由 </t>
    </r>
    <r>
      <rPr>
        <sz val="10"/>
        <rFont val="Arial"/>
        <family val="0"/>
        <charset val="1"/>
      </rPr>
      <t xml:space="preserve">#shorts #SCP #SCP</t>
    </r>
    <r>
      <rPr>
        <sz val="10"/>
        <rFont val="Noto Sans CJK SC"/>
        <family val="2"/>
      </rPr>
      <t xml:space="preserve">解説</t>
    </r>
  </si>
  <si>
    <r>
      <rPr>
        <sz val="10"/>
        <rFont val="Arial"/>
        <family val="0"/>
        <charset val="1"/>
      </rPr>
      <t xml:space="preserve">SCP-093 </t>
    </r>
    <r>
      <rPr>
        <sz val="10"/>
        <rFont val="Noto Sans CJK SC"/>
        <family val="2"/>
      </rPr>
      <t xml:space="preserve">帰還者の証言から消えた</t>
    </r>
    <r>
      <rPr>
        <sz val="10"/>
        <rFont val="Arial"/>
        <family val="0"/>
        <charset val="1"/>
      </rPr>
      <t xml:space="preserve">15</t>
    </r>
    <r>
      <rPr>
        <sz val="10"/>
        <rFont val="Noto Sans CJK SC"/>
        <family val="2"/>
      </rPr>
      <t xml:space="preserve">分の真相 </t>
    </r>
    <r>
      <rPr>
        <sz val="10"/>
        <rFont val="Arial"/>
        <family val="0"/>
        <charset val="1"/>
      </rPr>
      <t xml:space="preserve">#shorts #SCP #SCP</t>
    </r>
    <r>
      <rPr>
        <sz val="10"/>
        <rFont val="Noto Sans CJK SC"/>
        <family val="2"/>
      </rPr>
      <t xml:space="preserve">解説</t>
    </r>
  </si>
  <si>
    <t xml:space="preserve">2026-09-13 15:00</t>
  </si>
  <si>
    <r>
      <rPr>
        <sz val="10"/>
        <rFont val="Noto Sans CJK SC"/>
        <family val="2"/>
      </rPr>
      <t xml:space="preserve">なぜ天才は一人で育たないのか フィールズ賞の本当の理由 </t>
    </r>
    <r>
      <rPr>
        <sz val="10"/>
        <rFont val="Arial"/>
        <family val="0"/>
        <charset val="1"/>
      </rPr>
      <t xml:space="preserve">#shorts #</t>
    </r>
    <r>
      <rPr>
        <sz val="10"/>
        <rFont val="Noto Sans CJK SC"/>
        <family val="2"/>
      </rPr>
      <t xml:space="preserve">社会学 </t>
    </r>
    <r>
      <rPr>
        <sz val="10"/>
        <rFont val="Arial"/>
        <family val="0"/>
        <charset val="1"/>
      </rPr>
      <t xml:space="preserve">#</t>
    </r>
    <r>
      <rPr>
        <sz val="10"/>
        <rFont val="Noto Sans CJK SC"/>
        <family val="2"/>
      </rPr>
      <t xml:space="preserve">自己啓発</t>
    </r>
  </si>
  <si>
    <t xml:space="preserve">2026-09-14 20:00</t>
  </si>
  <si>
    <r>
      <rPr>
        <sz val="10"/>
        <rFont val="Noto Sans CJK SC"/>
        <family val="2"/>
      </rPr>
      <t xml:space="preserve">原油高の正体家計に届く </t>
    </r>
    <r>
      <rPr>
        <sz val="10"/>
        <rFont val="Arial"/>
        <family val="0"/>
        <charset val="1"/>
      </rPr>
      <t xml:space="preserve">#shorts #</t>
    </r>
    <r>
      <rPr>
        <sz val="10"/>
        <rFont val="Noto Sans CJK SC"/>
        <family val="2"/>
      </rPr>
      <t xml:space="preserve">社会学 </t>
    </r>
    <r>
      <rPr>
        <sz val="10"/>
        <rFont val="Arial"/>
        <family val="0"/>
        <charset val="1"/>
      </rPr>
      <t xml:space="preserve">#</t>
    </r>
    <r>
      <rPr>
        <sz val="10"/>
        <rFont val="Noto Sans CJK SC"/>
        <family val="2"/>
      </rPr>
      <t xml:space="preserve">自己啓発</t>
    </r>
  </si>
  <si>
    <t xml:space="preserve">2026-09-15 20:00</t>
  </si>
  <si>
    <r>
      <rPr>
        <sz val="10"/>
        <rFont val="Noto Sans CJK SC"/>
        <family val="2"/>
      </rPr>
      <t xml:space="preserve">寝不足で自信が消える人、短眠者との決定的な違い処方箋 </t>
    </r>
    <r>
      <rPr>
        <sz val="10"/>
        <rFont val="Arial"/>
        <family val="0"/>
        <charset val="1"/>
      </rPr>
      <t xml:space="preserve">#shorts #</t>
    </r>
    <r>
      <rPr>
        <sz val="10"/>
        <rFont val="Noto Sans CJK SC"/>
        <family val="2"/>
      </rPr>
      <t xml:space="preserve">社会学 </t>
    </r>
    <r>
      <rPr>
        <sz val="10"/>
        <rFont val="Arial"/>
        <family val="0"/>
        <charset val="1"/>
      </rPr>
      <t xml:space="preserve">#</t>
    </r>
    <r>
      <rPr>
        <sz val="10"/>
        <rFont val="Noto Sans CJK SC"/>
        <family val="2"/>
      </rPr>
      <t xml:space="preserve">自己啓発</t>
    </r>
  </si>
  <si>
    <t xml:space="preserve">2026-09-16 20:00</t>
  </si>
  <si>
    <r>
      <rPr>
        <sz val="10"/>
        <rFont val="Noto Sans CJK SC"/>
        <family val="2"/>
      </rPr>
      <t xml:space="preserve">短眠の人が自信満々に見えるのは能力より自己効力感だった処方箋 </t>
    </r>
    <r>
      <rPr>
        <sz val="10"/>
        <rFont val="Arial"/>
        <family val="0"/>
        <charset val="1"/>
      </rPr>
      <t xml:space="preserve">#shorts #</t>
    </r>
    <r>
      <rPr>
        <sz val="10"/>
        <rFont val="Noto Sans CJK SC"/>
        <family val="2"/>
      </rPr>
      <t xml:space="preserve">社会学 </t>
    </r>
    <r>
      <rPr>
        <sz val="10"/>
        <rFont val="Arial"/>
        <family val="0"/>
        <charset val="1"/>
      </rPr>
      <t xml:space="preserve">#</t>
    </r>
    <r>
      <rPr>
        <sz val="10"/>
        <rFont val="Noto Sans CJK SC"/>
        <family val="2"/>
      </rPr>
      <t xml:space="preserve">自己啓発</t>
    </r>
  </si>
  <si>
    <t xml:space="preserve">2026-09-07 12:00</t>
  </si>
  <si>
    <r>
      <rPr>
        <sz val="10"/>
        <rFont val="Noto Sans CJK SC"/>
        <family val="2"/>
      </rPr>
      <t xml:space="preserve">人面犬の噂が昭和の学校で生まれた土壌とは…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</si>
  <si>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なぜ狐は人を化かす妖怪にされたのか？江戸の記録に残る事情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</si>
  <si>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2026-09-08 09:30</t>
  </si>
  <si>
    <r>
      <rPr>
        <sz val="10"/>
        <rFont val="Noto Sans CJK SC"/>
        <family val="2"/>
      </rPr>
      <t xml:space="preserve">鬼の角が「目印」になった千年前の変化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</si>
  <si>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2026-09-08 12:00</t>
  </si>
  <si>
    <r>
      <rPr>
        <sz val="10"/>
        <rFont val="Noto Sans CJK SC"/>
        <family val="2"/>
      </rPr>
      <t xml:space="preserve">ろくろ首の正体は飛頭蛮？首が飛ぶ怪異の出どころ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</si>
  <si>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覚の元ネタが怖すぎる…心を先回りする山の怪物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</si>
  <si>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雷獣の爪痕が落雷木に残る…江戸で剥製まで売られた怪異の正体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</si>
  <si>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2026-09-14 09:30</t>
  </si>
  <si>
    <r>
      <rPr>
        <sz val="10"/>
        <rFont val="Noto Sans CJK SC"/>
        <family val="2"/>
      </rPr>
      <t xml:space="preserve">影女の元ネタが怖すぎる…誰もいない家に影が映る理由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</si>
  <si>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2026-09-14 12:00</t>
  </si>
  <si>
    <r>
      <rPr>
        <sz val="10"/>
        <rFont val="Noto Sans CJK SC"/>
        <family val="2"/>
      </rPr>
      <t xml:space="preserve">見越し入道の正体はなぜ見上げると負けるのか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</si>
  <si>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2026-09-14 16:00</t>
  </si>
  <si>
    <r>
      <rPr>
        <sz val="10"/>
        <rFont val="Noto Sans CJK SC"/>
        <family val="2"/>
      </rPr>
      <t xml:space="preserve">河童が相撲を求める理由…本朝俗諺志に残る水難の警告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</si>
  <si>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山彦の声が妖怪になった…江戸時代に描かれた不気味な伝承の正体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</si>
  <si>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2026-09-15 12:00</t>
  </si>
  <si>
    <r>
      <rPr>
        <sz val="10"/>
        <rFont val="Noto Sans CJK SC"/>
        <family val="2"/>
      </rPr>
      <t xml:space="preserve">天井なめが座敷にだけ現れた理由と囲炉裏の煤の関係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</si>
  <si>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2026-09-15 16:00</t>
  </si>
  <si>
    <r>
      <rPr>
        <sz val="10"/>
        <rFont val="Noto Sans CJK SC"/>
        <family val="2"/>
      </rPr>
      <t xml:space="preserve">泥田坊が「田を返せ」と叫ぶ本当の理由が怖すぎる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</si>
  <si>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なぜ江戸の髪切りの噂は一気に広がったのか？文化五年の記録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</si>
  <si>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2026-09-16 12:00</t>
  </si>
  <si>
    <r>
      <rPr>
        <sz val="10"/>
        <rFont val="Noto Sans CJK SC"/>
        <family val="2"/>
      </rPr>
      <t xml:space="preserve">なぜ送り犬を振り返るなと言うのか 山道の掟、その正体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</si>
  <si>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2026-09-16 16:00</t>
  </si>
  <si>
    <r>
      <rPr>
        <sz val="10"/>
        <rFont val="Noto Sans CJK SC"/>
        <family val="2"/>
      </rPr>
      <t xml:space="preserve">山姥はなぜ決まった季節に里へ降りるのか 正体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</si>
  <si>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姑獲鳥が赤子を抱かせる本当の理由…産で死んだ女の正体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</si>
  <si>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b val="true"/>
        <sz val="10"/>
        <rFont val="Noto Sans CJK SC"/>
        <family val="2"/>
      </rPr>
      <t xml:space="preserve">計 </t>
    </r>
    <r>
      <rPr>
        <b val="true"/>
        <sz val="10"/>
        <rFont val="Arial"/>
        <family val="0"/>
        <charset val="1"/>
      </rPr>
      <t xml:space="preserve">99 </t>
    </r>
    <r>
      <rPr>
        <b val="true"/>
        <sz val="10"/>
        <rFont val="Noto Sans CJK SC"/>
        <family val="2"/>
      </rPr>
      <t xml:space="preserve">本 </t>
    </r>
    <r>
      <rPr>
        <b val="true"/>
        <sz val="10"/>
        <rFont val="Arial"/>
        <family val="0"/>
        <charset val="1"/>
      </rPr>
      <t xml:space="preserve">/ </t>
    </r>
    <r>
      <rPr>
        <b val="true"/>
        <sz val="10"/>
        <rFont val="Noto Sans CJK SC"/>
        <family val="2"/>
      </rPr>
      <t xml:space="preserve">うち未計測 </t>
    </r>
    <r>
      <rPr>
        <b val="true"/>
        <sz val="10"/>
        <rFont val="Arial"/>
        <family val="0"/>
        <charset val="1"/>
      </rPr>
      <t xml:space="preserve">53 </t>
    </r>
    <r>
      <rPr>
        <b val="true"/>
        <sz val="10"/>
        <rFont val="Noto Sans CJK SC"/>
        <family val="2"/>
      </rPr>
      <t xml:space="preserve">本</t>
    </r>
  </si>
  <si>
    <t xml:space="preserve">改善提案と本日実施したアクション</t>
  </si>
  <si>
    <r>
      <rPr>
        <sz val="9"/>
        <color rgb="FF595959"/>
        <rFont val="Noto Sans CJK SC"/>
        <family val="2"/>
      </rPr>
      <t xml:space="preserve">「実施」は本日 </t>
    </r>
    <r>
      <rPr>
        <sz val="9"/>
        <color rgb="FF595959"/>
        <rFont val="Arial"/>
        <family val="0"/>
        <charset val="1"/>
      </rPr>
      <t xml:space="preserve">config </t>
    </r>
    <r>
      <rPr>
        <sz val="9"/>
        <color rgb="FF595959"/>
        <rFont val="Noto Sans CJK SC"/>
        <family val="2"/>
      </rPr>
      <t xml:space="preserve">に書き込み済み。「提案」は根拠が </t>
    </r>
    <r>
      <rPr>
        <sz val="9"/>
        <color rgb="FF595959"/>
        <rFont val="Arial"/>
        <family val="0"/>
        <charset val="1"/>
      </rPr>
      <t xml:space="preserve">n </t>
    </r>
    <r>
      <rPr>
        <sz val="9"/>
        <color rgb="FF595959"/>
        <rFont val="Noto Sans CJK SC"/>
        <family val="2"/>
      </rPr>
      <t xml:space="preserve">不足などで保留したもの。実施したものには必ず評価期日と撤回条件を付けている。</t>
    </r>
  </si>
  <si>
    <r>
      <rPr>
        <b val="true"/>
        <sz val="11"/>
        <rFont val="Noto Sans CJK SC"/>
        <family val="2"/>
      </rPr>
      <t xml:space="preserve">■ タイトル型の </t>
    </r>
    <r>
      <rPr>
        <b val="true"/>
        <sz val="11"/>
        <rFont val="Arial"/>
        <family val="0"/>
        <charset val="1"/>
      </rPr>
      <t xml:space="preserve">ch</t>
    </r>
    <r>
      <rPr>
        <b val="true"/>
        <sz val="11"/>
        <rFont val="Noto Sans CJK SC"/>
        <family val="2"/>
      </rPr>
      <t xml:space="preserve">内対照（本日の最重要）</t>
    </r>
  </si>
  <si>
    <t xml:space="preserve">パターン</t>
  </si>
  <si>
    <r>
      <rPr>
        <b val="true"/>
        <sz val="10"/>
        <color rgb="FFFFFFFF"/>
        <rFont val="Noto Sans CJK SC"/>
        <family val="2"/>
      </rPr>
      <t xml:space="preserve">該当</t>
    </r>
    <r>
      <rPr>
        <b val="true"/>
        <sz val="10"/>
        <color rgb="FFFFFFFF"/>
        <rFont val="Arial"/>
        <family val="0"/>
        <charset val="1"/>
      </rPr>
      <t xml:space="preserve">/</t>
    </r>
    <r>
      <rPr>
        <b val="true"/>
        <sz val="10"/>
        <color rgb="FFFFFFFF"/>
        <rFont val="Noto Sans CJK SC"/>
        <family val="2"/>
      </rPr>
      <t xml:space="preserve">非該当 本数</t>
    </r>
  </si>
  <si>
    <r>
      <rPr>
        <b val="true"/>
        <sz val="10"/>
        <color rgb="FFFFFFFF"/>
        <rFont val="Noto Sans CJK SC"/>
        <family val="2"/>
      </rPr>
      <t xml:space="preserve">登録</t>
    </r>
    <r>
      <rPr>
        <b val="true"/>
        <sz val="10"/>
        <color rgb="FFFFFFFF"/>
        <rFont val="Arial"/>
        <family val="0"/>
        <charset val="1"/>
      </rPr>
      <t xml:space="preserve">/</t>
    </r>
    <r>
      <rPr>
        <b val="true"/>
        <sz val="10"/>
        <color rgb="FFFFFFFF"/>
        <rFont val="Noto Sans CJK SC"/>
        <family val="2"/>
      </rPr>
      <t xml:space="preserve">千再生（該当 </t>
    </r>
    <r>
      <rPr>
        <b val="true"/>
        <sz val="10"/>
        <color rgb="FFFFFFFF"/>
        <rFont val="Arial"/>
        <family val="0"/>
        <charset val="1"/>
      </rPr>
      <t xml:space="preserve">vs </t>
    </r>
    <r>
      <rPr>
        <b val="true"/>
        <sz val="10"/>
        <color rgb="FFFFFFFF"/>
        <rFont val="Noto Sans CJK SC"/>
        <family val="2"/>
      </rPr>
      <t xml:space="preserve">非該当）</t>
    </r>
  </si>
  <si>
    <r>
      <rPr>
        <b val="true"/>
        <sz val="10"/>
        <color rgb="FFFFFFFF"/>
        <rFont val="Arial"/>
        <family val="0"/>
        <charset val="1"/>
      </rPr>
      <t xml:space="preserve">ch</t>
    </r>
    <r>
      <rPr>
        <b val="true"/>
        <sz val="10"/>
        <color rgb="FFFFFFFF"/>
        <rFont val="Noto Sans CJK SC"/>
        <family val="2"/>
      </rPr>
      <t xml:space="preserve">内一致</t>
    </r>
  </si>
  <si>
    <t xml:space="preserve">採否</t>
  </si>
  <si>
    <r>
      <rPr>
        <b val="true"/>
        <sz val="10"/>
        <rFont val="Noto Sans CJK SC"/>
        <family val="2"/>
      </rPr>
      <t xml:space="preserve">疑問型</t>
    </r>
    <r>
      <rPr>
        <b val="true"/>
        <sz val="10"/>
        <rFont val="Arial"/>
        <family val="0"/>
        <charset val="1"/>
      </rPr>
      <t xml:space="preserve">(</t>
    </r>
    <r>
      <rPr>
        <b val="true"/>
        <sz val="10"/>
        <rFont val="Noto Sans CJK SC"/>
        <family val="2"/>
      </rPr>
      <t xml:space="preserve">なぜ</t>
    </r>
    <r>
      <rPr>
        <b val="true"/>
        <sz val="10"/>
        <rFont val="Arial"/>
        <family val="0"/>
        <charset val="1"/>
      </rPr>
      <t xml:space="preserve">/</t>
    </r>
    <r>
      <rPr>
        <b val="true"/>
        <sz val="10"/>
        <rFont val="Noto Sans CJK SC"/>
        <family val="2"/>
      </rPr>
      <t xml:space="preserve">のか</t>
    </r>
    <r>
      <rPr>
        <b val="true"/>
        <sz val="10"/>
        <rFont val="Arial"/>
        <family val="0"/>
        <charset val="1"/>
      </rPr>
      <t xml:space="preserve">)</t>
    </r>
  </si>
  <si>
    <t xml:space="preserve">65 / 118</t>
  </si>
  <si>
    <r>
      <rPr>
        <sz val="10"/>
        <rFont val="Arial"/>
        <family val="0"/>
        <charset val="1"/>
      </rPr>
      <t xml:space="preserve">0.708 vs 0.499</t>
    </r>
    <r>
      <rPr>
        <sz val="10"/>
        <rFont val="Noto Sans CJK SC"/>
        <family val="2"/>
      </rPr>
      <t xml:space="preserve">（</t>
    </r>
    <r>
      <rPr>
        <sz val="10"/>
        <rFont val="Arial"/>
        <family val="0"/>
        <charset val="1"/>
      </rPr>
      <t xml:space="preserve">1.42</t>
    </r>
    <r>
      <rPr>
        <sz val="10"/>
        <rFont val="Noto Sans CJK SC"/>
        <family val="2"/>
      </rPr>
      <t xml:space="preserve">倍）</t>
    </r>
  </si>
  <si>
    <t xml:space="preserve">4 / 4 ch</t>
  </si>
  <si>
    <t xml:space="preserve">★採用</t>
  </si>
  <si>
    <r>
      <rPr>
        <b val="true"/>
        <sz val="10"/>
        <rFont val="Noto Sans CJK SC"/>
        <family val="2"/>
      </rPr>
      <t xml:space="preserve">疑問符</t>
    </r>
    <r>
      <rPr>
        <b val="true"/>
        <sz val="10"/>
        <rFont val="Arial"/>
        <family val="0"/>
        <charset val="1"/>
      </rPr>
      <t xml:space="preserve">(</t>
    </r>
    <r>
      <rPr>
        <b val="true"/>
        <sz val="10"/>
        <rFont val="Noto Sans CJK SC"/>
        <family val="2"/>
      </rPr>
      <t xml:space="preserve">？</t>
    </r>
    <r>
      <rPr>
        <b val="true"/>
        <sz val="10"/>
        <rFont val="Arial"/>
        <family val="0"/>
        <charset val="1"/>
      </rPr>
      <t xml:space="preserve">)</t>
    </r>
    <r>
      <rPr>
        <b val="true"/>
        <sz val="10"/>
        <rFont val="Noto Sans CJK SC"/>
        <family val="2"/>
      </rPr>
      <t xml:space="preserve">のみ</t>
    </r>
  </si>
  <si>
    <t xml:space="preserve">92 / 91</t>
  </si>
  <si>
    <r>
      <rPr>
        <sz val="10"/>
        <rFont val="Arial"/>
        <family val="0"/>
        <charset val="1"/>
      </rPr>
      <t xml:space="preserve">0.582 vs 0.557</t>
    </r>
    <r>
      <rPr>
        <sz val="10"/>
        <rFont val="Noto Sans CJK SC"/>
        <family val="2"/>
      </rPr>
      <t xml:space="preserve">（</t>
    </r>
    <r>
      <rPr>
        <sz val="10"/>
        <rFont val="Arial"/>
        <family val="0"/>
        <charset val="1"/>
      </rPr>
      <t xml:space="preserve">1.04</t>
    </r>
    <r>
      <rPr>
        <sz val="10"/>
        <rFont val="Noto Sans CJK SC"/>
        <family val="2"/>
      </rPr>
      <t xml:space="preserve">倍）</t>
    </r>
  </si>
  <si>
    <t xml:space="preserve">3 / 5 ch</t>
  </si>
  <si>
    <t xml:space="preserve">不採用</t>
  </si>
  <si>
    <r>
      <rPr>
        <b val="true"/>
        <sz val="10"/>
        <rFont val="Noto Sans CJK SC"/>
        <family val="2"/>
      </rPr>
      <t xml:space="preserve">疑問型</t>
    </r>
    <r>
      <rPr>
        <b val="true"/>
        <sz val="10"/>
        <rFont val="Arial"/>
        <family val="0"/>
        <charset val="1"/>
      </rPr>
      <t xml:space="preserve">(</t>
    </r>
    <r>
      <rPr>
        <b val="true"/>
        <sz val="10"/>
        <rFont val="Noto Sans CJK SC"/>
        <family val="2"/>
      </rPr>
      <t xml:space="preserve">なぜ</t>
    </r>
    <r>
      <rPr>
        <b val="true"/>
        <sz val="10"/>
        <rFont val="Arial"/>
        <family val="0"/>
        <charset val="1"/>
      </rPr>
      <t xml:space="preserve">/</t>
    </r>
    <r>
      <rPr>
        <b val="true"/>
        <sz val="10"/>
        <rFont val="Noto Sans CJK SC"/>
        <family val="2"/>
      </rPr>
      <t xml:space="preserve">のか</t>
    </r>
    <r>
      <rPr>
        <b val="true"/>
        <sz val="10"/>
        <rFont val="Arial"/>
        <family val="0"/>
        <charset val="1"/>
      </rPr>
      <t xml:space="preserve">/</t>
    </r>
    <r>
      <rPr>
        <b val="true"/>
        <sz val="10"/>
        <rFont val="Noto Sans CJK SC"/>
        <family val="2"/>
      </rPr>
      <t xml:space="preserve">？</t>
    </r>
    <r>
      <rPr>
        <b val="true"/>
        <sz val="10"/>
        <rFont val="Arial"/>
        <family val="0"/>
        <charset val="1"/>
      </rPr>
      <t xml:space="preserve">)</t>
    </r>
  </si>
  <si>
    <t xml:space="preserve">103 / 80</t>
  </si>
  <si>
    <r>
      <rPr>
        <sz val="10"/>
        <rFont val="Arial"/>
        <family val="0"/>
        <charset val="1"/>
      </rPr>
      <t xml:space="preserve">0.600 vs 0.532</t>
    </r>
    <r>
      <rPr>
        <sz val="10"/>
        <rFont val="Noto Sans CJK SC"/>
        <family val="2"/>
      </rPr>
      <t xml:space="preserve">（</t>
    </r>
    <r>
      <rPr>
        <sz val="10"/>
        <rFont val="Arial"/>
        <family val="0"/>
        <charset val="1"/>
      </rPr>
      <t xml:space="preserve">1.13</t>
    </r>
    <r>
      <rPr>
        <sz val="10"/>
        <rFont val="Noto Sans CJK SC"/>
        <family val="2"/>
      </rPr>
      <t xml:space="preserve">倍）</t>
    </r>
  </si>
  <si>
    <r>
      <rPr>
        <b val="true"/>
        <sz val="10"/>
        <rFont val="Noto Sans CJK SC"/>
        <family val="2"/>
      </rPr>
      <t xml:space="preserve">正体</t>
    </r>
    <r>
      <rPr>
        <b val="true"/>
        <sz val="10"/>
        <rFont val="Arial"/>
        <family val="0"/>
        <charset val="1"/>
      </rPr>
      <t xml:space="preserve">/</t>
    </r>
    <r>
      <rPr>
        <b val="true"/>
        <sz val="10"/>
        <rFont val="Noto Sans CJK SC"/>
        <family val="2"/>
      </rPr>
      <t xml:space="preserve">真相</t>
    </r>
  </si>
  <si>
    <t xml:space="preserve">34 / 149</t>
  </si>
  <si>
    <r>
      <rPr>
        <sz val="10"/>
        <rFont val="Arial"/>
        <family val="0"/>
        <charset val="1"/>
      </rPr>
      <t xml:space="preserve">0.522 vs 0.579</t>
    </r>
    <r>
      <rPr>
        <sz val="10"/>
        <rFont val="Noto Sans CJK SC"/>
        <family val="2"/>
      </rPr>
      <t xml:space="preserve">（</t>
    </r>
    <r>
      <rPr>
        <sz val="10"/>
        <rFont val="Arial"/>
        <family val="0"/>
        <charset val="1"/>
      </rPr>
      <t xml:space="preserve">0.90</t>
    </r>
    <r>
      <rPr>
        <sz val="10"/>
        <rFont val="Noto Sans CJK SC"/>
        <family val="2"/>
      </rPr>
      <t xml:space="preserve">倍）</t>
    </r>
  </si>
  <si>
    <t xml:space="preserve">1 / 4 ch</t>
  </si>
  <si>
    <r>
      <rPr>
        <b val="true"/>
        <sz val="10"/>
        <rFont val="Noto Sans CJK SC"/>
        <family val="2"/>
      </rPr>
      <t xml:space="preserve">理由</t>
    </r>
    <r>
      <rPr>
        <b val="true"/>
        <sz val="10"/>
        <rFont val="Arial"/>
        <family val="0"/>
        <charset val="1"/>
      </rPr>
      <t xml:space="preserve">/</t>
    </r>
    <r>
      <rPr>
        <b val="true"/>
        <sz val="10"/>
        <rFont val="Noto Sans CJK SC"/>
        <family val="2"/>
      </rPr>
      <t xml:space="preserve">わけ</t>
    </r>
  </si>
  <si>
    <t xml:space="preserve">18 / 165</t>
  </si>
  <si>
    <r>
      <rPr>
        <sz val="10"/>
        <rFont val="Arial"/>
        <family val="0"/>
        <charset val="1"/>
      </rPr>
      <t xml:space="preserve">0.547 vs 0.571</t>
    </r>
    <r>
      <rPr>
        <sz val="10"/>
        <rFont val="Noto Sans CJK SC"/>
        <family val="2"/>
      </rPr>
      <t xml:space="preserve">（</t>
    </r>
    <r>
      <rPr>
        <sz val="10"/>
        <rFont val="Arial"/>
        <family val="0"/>
        <charset val="1"/>
      </rPr>
      <t xml:space="preserve">0.96</t>
    </r>
    <r>
      <rPr>
        <sz val="10"/>
        <rFont val="Noto Sans CJK SC"/>
        <family val="2"/>
      </rPr>
      <t xml:space="preserve">倍）</t>
    </r>
  </si>
  <si>
    <t xml:space="preserve">2 / 3 ch</t>
  </si>
  <si>
    <t xml:space="preserve">実は</t>
  </si>
  <si>
    <t xml:space="preserve">22 / 161</t>
  </si>
  <si>
    <r>
      <rPr>
        <sz val="10"/>
        <rFont val="Arial"/>
        <family val="0"/>
        <charset val="1"/>
      </rPr>
      <t xml:space="preserve">0.730 vs 0.544</t>
    </r>
    <r>
      <rPr>
        <sz val="10"/>
        <rFont val="Noto Sans CJK SC"/>
        <family val="2"/>
      </rPr>
      <t xml:space="preserve">（</t>
    </r>
    <r>
      <rPr>
        <sz val="10"/>
        <rFont val="Arial"/>
        <family val="0"/>
        <charset val="1"/>
      </rPr>
      <t xml:space="preserve">1.34</t>
    </r>
    <r>
      <rPr>
        <sz val="10"/>
        <rFont val="Noto Sans CJK SC"/>
        <family val="2"/>
      </rPr>
      <t xml:space="preserve">倍）</t>
    </r>
  </si>
  <si>
    <t xml:space="preserve">裏側</t>
  </si>
  <si>
    <t xml:space="preserve">8 / 175</t>
  </si>
  <si>
    <r>
      <rPr>
        <sz val="10"/>
        <rFont val="Arial"/>
        <family val="0"/>
        <charset val="1"/>
      </rPr>
      <t xml:space="preserve">0.951 vs 0.548</t>
    </r>
    <r>
      <rPr>
        <sz val="10"/>
        <rFont val="Noto Sans CJK SC"/>
        <family val="2"/>
      </rPr>
      <t xml:space="preserve">（</t>
    </r>
    <r>
      <rPr>
        <sz val="10"/>
        <rFont val="Arial"/>
        <family val="0"/>
        <charset val="1"/>
      </rPr>
      <t xml:space="preserve">1.74</t>
    </r>
    <r>
      <rPr>
        <sz val="10"/>
        <rFont val="Noto Sans CJK SC"/>
        <family val="2"/>
      </rPr>
      <t xml:space="preserve">倍）</t>
    </r>
  </si>
  <si>
    <t xml:space="preserve">1 / 1 ch</t>
  </si>
  <si>
    <t xml:space="preserve">数字あり</t>
  </si>
  <si>
    <t xml:space="preserve">150 / 33</t>
  </si>
  <si>
    <r>
      <rPr>
        <sz val="10"/>
        <rFont val="Arial"/>
        <family val="0"/>
        <charset val="1"/>
      </rPr>
      <t xml:space="preserve">0.530 vs 0.739</t>
    </r>
    <r>
      <rPr>
        <sz val="10"/>
        <rFont val="Noto Sans CJK SC"/>
        <family val="2"/>
      </rPr>
      <t xml:space="preserve">（</t>
    </r>
    <r>
      <rPr>
        <sz val="10"/>
        <rFont val="Arial"/>
        <family val="0"/>
        <charset val="1"/>
      </rPr>
      <t xml:space="preserve">0.72</t>
    </r>
    <r>
      <rPr>
        <sz val="10"/>
        <rFont val="Noto Sans CJK SC"/>
        <family val="2"/>
      </rPr>
      <t xml:space="preserve">倍）</t>
    </r>
  </si>
  <si>
    <t xml:space="preserve">1 / 3 ch</t>
  </si>
  <si>
    <r>
      <rPr>
        <sz val="9"/>
        <color rgb="FF595959"/>
        <rFont val="Noto Sans CJK SC"/>
        <family val="2"/>
      </rPr>
      <t xml:space="preserve">「数字あり」は </t>
    </r>
    <r>
      <rPr>
        <sz val="9"/>
        <color rgb="FF595959"/>
        <rFont val="Arial"/>
        <family val="0"/>
        <charset val="1"/>
      </rPr>
      <t xml:space="preserve">1/3ch</t>
    </r>
    <r>
      <rPr>
        <sz val="9"/>
        <color rgb="FF595959"/>
        <rFont val="Noto Sans CJK SC"/>
        <family val="2"/>
      </rPr>
      <t xml:space="preserve">・</t>
    </r>
    <r>
      <rPr>
        <sz val="9"/>
        <color rgb="FF595959"/>
        <rFont val="Arial"/>
        <family val="0"/>
        <charset val="1"/>
      </rPr>
      <t xml:space="preserve">0.530 vs 0.739 </t>
    </r>
    <r>
      <rPr>
        <sz val="9"/>
        <color rgb="FF595959"/>
        <rFont val="Noto Sans CJK SC"/>
        <family val="2"/>
      </rPr>
      <t xml:space="preserve">で負。</t>
    </r>
    <r>
      <rPr>
        <sz val="9"/>
        <color rgb="FF595959"/>
        <rFont val="Arial"/>
        <family val="0"/>
        <charset val="1"/>
      </rPr>
      <t xml:space="preserve">yokai-watch </t>
    </r>
    <r>
      <rPr>
        <sz val="9"/>
        <color rgb="FF595959"/>
        <rFont val="Noto Sans CJK SC"/>
        <family val="2"/>
      </rPr>
      <t xml:space="preserve">の </t>
    </r>
    <r>
      <rPr>
        <sz val="9"/>
        <color rgb="FF595959"/>
        <rFont val="Arial"/>
        <family val="0"/>
        <charset val="1"/>
      </rPr>
      <t xml:space="preserve">forbid_digits </t>
    </r>
    <r>
      <rPr>
        <sz val="9"/>
        <color rgb="FF595959"/>
        <rFont val="Noto Sans CJK SC"/>
        <family val="2"/>
      </rPr>
      <t xml:space="preserve">は妥当であり、他</t>
    </r>
    <r>
      <rPr>
        <sz val="9"/>
        <color rgb="FF595959"/>
        <rFont val="Arial"/>
        <family val="0"/>
        <charset val="1"/>
      </rPr>
      <t xml:space="preserve">ch</t>
    </r>
    <r>
      <rPr>
        <sz val="9"/>
        <color rgb="FF595959"/>
        <rFont val="Noto Sans CJK SC"/>
        <family val="2"/>
      </rPr>
      <t xml:space="preserve">でもタイトルの数字は増やさないこと。</t>
    </r>
  </si>
  <si>
    <r>
      <rPr>
        <b val="true"/>
        <sz val="11"/>
        <rFont val="Noto Sans CJK SC"/>
        <family val="2"/>
      </rPr>
      <t xml:space="preserve">■ 本日実施したアクション（</t>
    </r>
    <r>
      <rPr>
        <b val="true"/>
        <sz val="11"/>
        <rFont val="Arial"/>
        <family val="0"/>
        <charset val="1"/>
      </rPr>
      <t xml:space="preserve">config </t>
    </r>
    <r>
      <rPr>
        <b val="true"/>
        <sz val="11"/>
        <rFont val="Noto Sans CJK SC"/>
        <family val="2"/>
      </rPr>
      <t xml:space="preserve">反映済み）</t>
    </r>
  </si>
  <si>
    <t xml:space="preserve">種別</t>
  </si>
  <si>
    <t xml:space="preserve">内容と根拠（すべて実測）</t>
  </si>
  <si>
    <t xml:space="preserve">評価期日</t>
  </si>
  <si>
    <t xml:space="preserve">撤回条件</t>
  </si>
  <si>
    <t xml:space="preserve">投稿枠</t>
  </si>
  <si>
    <r>
      <rPr>
        <sz val="10"/>
        <rFont val="Arial"/>
        <family val="0"/>
        <charset val="1"/>
      </rPr>
      <t xml:space="preserve">13:00 → 12:45</t>
    </r>
    <r>
      <rPr>
        <sz val="10"/>
        <rFont val="Noto Sans CJK SC"/>
        <family val="2"/>
      </rPr>
      <t xml:space="preserve">。</t>
    </r>
    <r>
      <rPr>
        <sz val="10"/>
        <rFont val="Arial"/>
        <family val="0"/>
        <charset val="1"/>
      </rPr>
      <t xml:space="preserve">13</t>
    </r>
    <r>
      <rPr>
        <sz val="10"/>
        <rFont val="Noto Sans CJK SC"/>
        <family val="2"/>
      </rPr>
      <t xml:space="preserve">時は </t>
    </r>
    <r>
      <rPr>
        <sz val="10"/>
        <rFont val="Arial"/>
        <family val="0"/>
        <charset val="1"/>
      </rPr>
      <t xml:space="preserve">ch</t>
    </r>
    <r>
      <rPr>
        <sz val="10"/>
        <rFont val="Noto Sans CJK SC"/>
        <family val="2"/>
      </rPr>
      <t xml:space="preserve">固定効果で </t>
    </r>
    <r>
      <rPr>
        <sz val="10"/>
        <rFont val="Arial"/>
        <family val="0"/>
        <charset val="1"/>
      </rPr>
      <t xml:space="preserve">3/3ch </t>
    </r>
    <r>
      <rPr>
        <sz val="10"/>
        <rFont val="Noto Sans CJK SC"/>
        <family val="2"/>
      </rPr>
      <t xml:space="preserve">すべて自</t>
    </r>
    <r>
      <rPr>
        <sz val="10"/>
        <rFont val="Arial"/>
        <family val="0"/>
        <charset val="1"/>
      </rPr>
      <t xml:space="preserve">ch</t>
    </r>
    <r>
      <rPr>
        <sz val="10"/>
        <rFont val="Noto Sans CJK SC"/>
        <family val="2"/>
      </rPr>
      <t xml:space="preserve">平均割れ（</t>
    </r>
    <r>
      <rPr>
        <sz val="10"/>
        <rFont val="Arial"/>
        <family val="0"/>
        <charset val="1"/>
      </rPr>
      <t xml:space="preserve">scp-lab 0.55(n=11) / daily-science 0.50(n=3) / company-facts 0.00(n=4)</t>
    </r>
    <r>
      <rPr>
        <sz val="10"/>
        <rFont val="Noto Sans CJK SC"/>
        <family val="2"/>
      </rPr>
      <t xml:space="preserve">、中央値</t>
    </r>
    <r>
      <rPr>
        <sz val="10"/>
        <rFont val="Arial"/>
        <family val="0"/>
        <charset val="1"/>
      </rPr>
      <t xml:space="preserve">0.50</t>
    </r>
    <r>
      <rPr>
        <sz val="10"/>
        <rFont val="Noto Sans CJK SC"/>
        <family val="2"/>
      </rPr>
      <t xml:space="preserve">）＝測定できた全時刻で最下位。当</t>
    </r>
    <r>
      <rPr>
        <sz val="10"/>
        <rFont val="Arial"/>
        <family val="0"/>
        <charset val="1"/>
      </rPr>
      <t xml:space="preserve">ch</t>
    </r>
    <r>
      <rPr>
        <sz val="10"/>
        <rFont val="Noto Sans CJK SC"/>
        <family val="2"/>
      </rPr>
      <t xml:space="preserve">内でも </t>
    </r>
    <r>
      <rPr>
        <sz val="10"/>
        <rFont val="Arial"/>
        <family val="0"/>
        <charset val="1"/>
      </rPr>
      <t xml:space="preserve">13</t>
    </r>
    <r>
      <rPr>
        <sz val="10"/>
        <rFont val="Noto Sans CJK SC"/>
        <family val="2"/>
      </rPr>
      <t xml:space="preserve">時 </t>
    </r>
    <r>
      <rPr>
        <sz val="10"/>
        <rFont val="Arial"/>
        <family val="0"/>
        <charset val="1"/>
      </rPr>
      <t xml:space="preserve">0.437(n=11) </t>
    </r>
    <r>
      <rPr>
        <sz val="10"/>
        <rFont val="Noto Sans CJK SC"/>
        <family val="2"/>
      </rPr>
      <t xml:space="preserve">は </t>
    </r>
    <r>
      <rPr>
        <sz val="10"/>
        <rFont val="Arial"/>
        <family val="0"/>
        <charset val="1"/>
      </rPr>
      <t xml:space="preserve">17</t>
    </r>
    <r>
      <rPr>
        <sz val="10"/>
        <rFont val="Noto Sans CJK SC"/>
        <family val="2"/>
      </rPr>
      <t xml:space="preserve">時 </t>
    </r>
    <r>
      <rPr>
        <sz val="10"/>
        <rFont val="Arial"/>
        <family val="0"/>
        <charset val="1"/>
      </rPr>
      <t xml:space="preserve">1.322(n=4)</t>
    </r>
    <r>
      <rPr>
        <sz val="10"/>
        <rFont val="Noto Sans CJK SC"/>
        <family val="2"/>
      </rPr>
      <t xml:space="preserve">・</t>
    </r>
    <r>
      <rPr>
        <sz val="10"/>
        <rFont val="Arial"/>
        <family val="0"/>
        <charset val="1"/>
      </rPr>
      <t xml:space="preserve">19</t>
    </r>
    <r>
      <rPr>
        <sz val="10"/>
        <rFont val="Noto Sans CJK SC"/>
        <family val="2"/>
      </rPr>
      <t xml:space="preserve">時 </t>
    </r>
    <r>
      <rPr>
        <sz val="10"/>
        <rFont val="Arial"/>
        <family val="0"/>
        <charset val="1"/>
      </rPr>
      <t xml:space="preserve">1.025(n=10) </t>
    </r>
    <r>
      <rPr>
        <sz val="10"/>
        <rFont val="Noto Sans CJK SC"/>
        <family val="2"/>
      </rPr>
      <t xml:space="preserve">の半分以下。振替先</t>
    </r>
    <r>
      <rPr>
        <sz val="10"/>
        <rFont val="Arial"/>
        <family val="0"/>
        <charset val="1"/>
      </rPr>
      <t xml:space="preserve">12</t>
    </r>
    <r>
      <rPr>
        <sz val="10"/>
        <rFont val="Noto Sans CJK SC"/>
        <family val="2"/>
      </rPr>
      <t xml:space="preserve">時は中央値</t>
    </r>
    <r>
      <rPr>
        <sz val="10"/>
        <rFont val="Arial"/>
        <family val="0"/>
        <charset val="1"/>
      </rPr>
      <t xml:space="preserve">1.24</t>
    </r>
    <r>
      <rPr>
        <sz val="10"/>
        <rFont val="Noto Sans CJK SC"/>
        <family val="2"/>
      </rPr>
      <t xml:space="preserve">倍。</t>
    </r>
    <r>
      <rPr>
        <sz val="10"/>
        <rFont val="Arial"/>
        <family val="0"/>
        <charset val="1"/>
      </rPr>
      <t xml:space="preserve">12:45 </t>
    </r>
    <r>
      <rPr>
        <sz val="10"/>
        <rFont val="Noto Sans CJK SC"/>
        <family val="2"/>
      </rPr>
      <t xml:space="preserve">にしたのは生成開始</t>
    </r>
    <r>
      <rPr>
        <sz val="10"/>
        <rFont val="Arial"/>
        <family val="0"/>
        <charset val="1"/>
      </rPr>
      <t xml:space="preserve">(12:00)</t>
    </r>
    <r>
      <rPr>
        <sz val="10"/>
        <rFont val="Noto Sans CJK SC"/>
        <family val="2"/>
      </rPr>
      <t xml:space="preserve">を他</t>
    </r>
    <r>
      <rPr>
        <sz val="10"/>
        <rFont val="Arial"/>
        <family val="0"/>
        <charset val="1"/>
      </rPr>
      <t xml:space="preserve">ch</t>
    </r>
    <r>
      <rPr>
        <sz val="10"/>
        <rFont val="Noto Sans CJK SC"/>
        <family val="2"/>
      </rPr>
      <t xml:space="preserve">と衝突させないため。</t>
    </r>
  </si>
  <si>
    <t xml:space="preserve">2026-09-24</t>
  </si>
  <si>
    <r>
      <rPr>
        <sz val="9"/>
        <color rgb="FF595959"/>
        <rFont val="Arial"/>
        <family val="0"/>
        <charset val="1"/>
      </rPr>
      <t xml:space="preserve">12</t>
    </r>
    <r>
      <rPr>
        <sz val="9"/>
        <color rgb="FF595959"/>
        <rFont val="Noto Sans CJK SC"/>
        <family val="2"/>
      </rPr>
      <t xml:space="preserve">時台枠が </t>
    </r>
    <r>
      <rPr>
        <sz val="9"/>
        <color rgb="FF595959"/>
        <rFont val="Arial"/>
        <family val="0"/>
        <charset val="1"/>
      </rPr>
      <t xml:space="preserve">ch</t>
    </r>
    <r>
      <rPr>
        <sz val="9"/>
        <color rgb="FF595959"/>
        <rFont val="Noto Sans CJK SC"/>
        <family val="2"/>
      </rPr>
      <t xml:space="preserve">平均</t>
    </r>
    <r>
      <rPr>
        <sz val="9"/>
        <color rgb="FF595959"/>
        <rFont val="Arial"/>
        <family val="0"/>
        <charset val="1"/>
      </rPr>
      <t xml:space="preserve">×0.8 </t>
    </r>
    <r>
      <rPr>
        <sz val="9"/>
        <color rgb="FF595959"/>
        <rFont val="Noto Sans CJK SC"/>
        <family val="2"/>
      </rPr>
      <t xml:space="preserve">未満</t>
    </r>
    <r>
      <rPr>
        <sz val="9"/>
        <color rgb="FF595959"/>
        <rFont val="Arial"/>
        <family val="0"/>
        <charset val="1"/>
      </rPr>
      <t xml:space="preserve">(n&gt;=5) </t>
    </r>
    <r>
      <rPr>
        <sz val="9"/>
        <color rgb="FF595959"/>
        <rFont val="Noto Sans CJK SC"/>
        <family val="2"/>
      </rPr>
      <t xml:space="preserve">なら </t>
    </r>
    <r>
      <rPr>
        <sz val="9"/>
        <color rgb="FF595959"/>
        <rFont val="Arial"/>
        <family val="0"/>
        <charset val="1"/>
      </rPr>
      <t xml:space="preserve">16:00 </t>
    </r>
    <r>
      <rPr>
        <sz val="9"/>
        <color rgb="FF595959"/>
        <rFont val="Noto Sans CJK SC"/>
        <family val="2"/>
      </rPr>
      <t xml:space="preserve">へ再振替</t>
    </r>
  </si>
  <si>
    <r>
      <rPr>
        <sz val="10"/>
        <rFont val="Arial"/>
        <family val="0"/>
        <charset val="1"/>
      </rPr>
      <t xml:space="preserve">07:30 → 19:00</t>
    </r>
    <r>
      <rPr>
        <sz val="10"/>
        <rFont val="Noto Sans CJK SC"/>
        <family val="2"/>
      </rPr>
      <t xml:space="preserve">。当</t>
    </r>
    <r>
      <rPr>
        <sz val="10"/>
        <rFont val="Arial"/>
        <family val="0"/>
        <charset val="1"/>
      </rPr>
      <t xml:space="preserve">ch</t>
    </r>
    <r>
      <rPr>
        <sz val="10"/>
        <rFont val="Noto Sans CJK SC"/>
        <family val="2"/>
      </rPr>
      <t xml:space="preserve">の早朝</t>
    </r>
    <r>
      <rPr>
        <sz val="10"/>
        <rFont val="Arial"/>
        <family val="0"/>
        <charset val="1"/>
      </rPr>
      <t xml:space="preserve">6-10</t>
    </r>
    <r>
      <rPr>
        <sz val="10"/>
        <rFont val="Noto Sans CJK SC"/>
        <family val="2"/>
      </rPr>
      <t xml:space="preserve">時 </t>
    </r>
    <r>
      <rPr>
        <sz val="10"/>
        <rFont val="Arial"/>
        <family val="0"/>
        <charset val="1"/>
      </rPr>
      <t xml:space="preserve">0.240(n=4) </t>
    </r>
    <r>
      <rPr>
        <sz val="10"/>
        <rFont val="Noto Sans CJK SC"/>
        <family val="2"/>
      </rPr>
      <t xml:space="preserve">に対し夕</t>
    </r>
    <r>
      <rPr>
        <sz val="10"/>
        <rFont val="Arial"/>
        <family val="0"/>
        <charset val="1"/>
      </rPr>
      <t xml:space="preserve">16-19</t>
    </r>
    <r>
      <rPr>
        <sz val="10"/>
        <rFont val="Noto Sans CJK SC"/>
        <family val="2"/>
      </rPr>
      <t xml:space="preserve">時 </t>
    </r>
    <r>
      <rPr>
        <sz val="10"/>
        <rFont val="Arial"/>
        <family val="0"/>
        <charset val="1"/>
      </rPr>
      <t xml:space="preserve">0.926(n=20) </t>
    </r>
    <r>
      <rPr>
        <sz val="10"/>
        <rFont val="Noto Sans CJK SC"/>
        <family val="2"/>
      </rPr>
      <t xml:space="preserve">で </t>
    </r>
    <r>
      <rPr>
        <sz val="10"/>
        <rFont val="Arial"/>
        <family val="0"/>
        <charset val="1"/>
      </rPr>
      <t xml:space="preserve">3.9</t>
    </r>
    <r>
      <rPr>
        <sz val="10"/>
        <rFont val="Noto Sans CJK SC"/>
        <family val="2"/>
      </rPr>
      <t xml:space="preserve">倍。早朝は稼働</t>
    </r>
    <r>
      <rPr>
        <sz val="10"/>
        <rFont val="Arial"/>
        <family val="0"/>
        <charset val="1"/>
      </rPr>
      <t xml:space="preserve">5ch</t>
    </r>
    <r>
      <rPr>
        <sz val="10"/>
        <rFont val="Noto Sans CJK SC"/>
        <family val="2"/>
      </rPr>
      <t xml:space="preserve">中</t>
    </r>
    <r>
      <rPr>
        <sz val="10"/>
        <rFont val="Arial"/>
        <family val="0"/>
        <charset val="1"/>
      </rPr>
      <t xml:space="preserve">4ch</t>
    </r>
    <r>
      <rPr>
        <sz val="10"/>
        <rFont val="Noto Sans CJK SC"/>
        <family val="2"/>
      </rPr>
      <t xml:space="preserve">で最下位ブロック（プール </t>
    </r>
    <r>
      <rPr>
        <sz val="10"/>
        <rFont val="Arial"/>
        <family val="0"/>
        <charset val="1"/>
      </rPr>
      <t xml:space="preserve">0.299(n=23) vs 0.695(n=89)</t>
    </r>
    <r>
      <rPr>
        <sz val="10"/>
        <rFont val="Noto Sans CJK SC"/>
        <family val="2"/>
      </rPr>
      <t xml:space="preserve">）。⚠️ 本 </t>
    </r>
    <r>
      <rPr>
        <sz val="10"/>
        <rFont val="Arial"/>
        <family val="0"/>
        <charset val="1"/>
      </rPr>
      <t xml:space="preserve">run </t>
    </r>
    <r>
      <rPr>
        <sz val="10"/>
        <rFont val="Noto Sans CJK SC"/>
        <family val="2"/>
      </rPr>
      <t xml:space="preserve">は当初 </t>
    </r>
    <r>
      <rPr>
        <sz val="10"/>
        <rFont val="Arial"/>
        <family val="0"/>
        <charset val="1"/>
      </rPr>
      <t xml:space="preserve">16:30 </t>
    </r>
    <r>
      <rPr>
        <sz val="10"/>
        <rFont val="Noto Sans CJK SC"/>
        <family val="2"/>
      </rPr>
      <t xml:space="preserve">を適用したが、</t>
    </r>
    <r>
      <rPr>
        <sz val="10"/>
        <rFont val="Arial"/>
        <family val="0"/>
        <charset val="1"/>
      </rPr>
      <t xml:space="preserve">17:00 </t>
    </r>
    <r>
      <rPr>
        <sz val="10"/>
        <rFont val="Noto Sans CJK SC"/>
        <family val="2"/>
      </rPr>
      <t xml:space="preserve">枠と生成発火が</t>
    </r>
    <r>
      <rPr>
        <sz val="10"/>
        <rFont val="Arial"/>
        <family val="0"/>
        <charset val="1"/>
      </rPr>
      <t xml:space="preserve">30</t>
    </r>
    <r>
      <rPr>
        <sz val="10"/>
        <rFont val="Noto Sans CJK SC"/>
        <family val="2"/>
      </rPr>
      <t xml:space="preserve">分差となり連投ガード</t>
    </r>
    <r>
      <rPr>
        <sz val="10"/>
        <rFont val="Arial"/>
        <family val="0"/>
        <charset val="1"/>
      </rPr>
      <t xml:space="preserve">(90</t>
    </r>
    <r>
      <rPr>
        <sz val="10"/>
        <rFont val="Noto Sans CJK SC"/>
        <family val="2"/>
      </rPr>
      <t xml:space="preserve">分</t>
    </r>
    <r>
      <rPr>
        <sz val="10"/>
        <rFont val="Arial"/>
        <family val="0"/>
        <charset val="1"/>
      </rPr>
      <t xml:space="preserve">)</t>
    </r>
    <r>
      <rPr>
        <sz val="10"/>
        <rFont val="Noto Sans CJK SC"/>
        <family val="2"/>
      </rPr>
      <t xml:space="preserve">で毎日</t>
    </r>
    <r>
      <rPr>
        <sz val="10"/>
        <rFont val="Arial"/>
        <family val="0"/>
        <charset val="1"/>
      </rPr>
      <t xml:space="preserve">1</t>
    </r>
    <r>
      <rPr>
        <sz val="10"/>
        <rFont val="Noto Sans CJK SC"/>
        <family val="2"/>
      </rPr>
      <t xml:space="preserve">本落ちる。並走 </t>
    </r>
    <r>
      <rPr>
        <sz val="10"/>
        <rFont val="Arial"/>
        <family val="0"/>
        <charset val="1"/>
      </rPr>
      <t xml:space="preserve">run </t>
    </r>
    <r>
      <rPr>
        <sz val="10"/>
        <rFont val="Noto Sans CJK SC"/>
        <family val="2"/>
      </rPr>
      <t xml:space="preserve">が検出し </t>
    </r>
    <r>
      <rPr>
        <sz val="10"/>
        <rFont val="Arial"/>
        <family val="0"/>
        <charset val="1"/>
      </rPr>
      <t xml:space="preserve">19:00 </t>
    </r>
    <r>
      <rPr>
        <sz val="10"/>
        <rFont val="Noto Sans CJK SC"/>
        <family val="2"/>
      </rPr>
      <t xml:space="preserve">へ訂正した。</t>
    </r>
  </si>
  <si>
    <r>
      <rPr>
        <sz val="9"/>
        <color rgb="FF595959"/>
        <rFont val="Arial"/>
        <family val="0"/>
        <charset val="1"/>
      </rPr>
      <t xml:space="preserve">19</t>
    </r>
    <r>
      <rPr>
        <sz val="9"/>
        <color rgb="FF595959"/>
        <rFont val="Noto Sans CJK SC"/>
        <family val="2"/>
      </rPr>
      <t xml:space="preserve">時台枠が </t>
    </r>
    <r>
      <rPr>
        <sz val="9"/>
        <color rgb="FF595959"/>
        <rFont val="Arial"/>
        <family val="0"/>
        <charset val="1"/>
      </rPr>
      <t xml:space="preserve">ch</t>
    </r>
    <r>
      <rPr>
        <sz val="9"/>
        <color rgb="FF595959"/>
        <rFont val="Noto Sans CJK SC"/>
        <family val="2"/>
      </rPr>
      <t xml:space="preserve">平均</t>
    </r>
    <r>
      <rPr>
        <sz val="9"/>
        <color rgb="FF595959"/>
        <rFont val="Arial"/>
        <family val="0"/>
        <charset val="1"/>
      </rPr>
      <t xml:space="preserve">×0.8 </t>
    </r>
    <r>
      <rPr>
        <sz val="9"/>
        <color rgb="FF595959"/>
        <rFont val="Noto Sans CJK SC"/>
        <family val="2"/>
      </rPr>
      <t xml:space="preserve">未満</t>
    </r>
    <r>
      <rPr>
        <sz val="9"/>
        <color rgb="FF595959"/>
        <rFont val="Arial"/>
        <family val="0"/>
        <charset val="1"/>
      </rPr>
      <t xml:space="preserve">(n&gt;=5) </t>
    </r>
    <r>
      <rPr>
        <sz val="9"/>
        <color rgb="FF595959"/>
        <rFont val="Noto Sans CJK SC"/>
        <family val="2"/>
      </rPr>
      <t xml:space="preserve">なら </t>
    </r>
    <r>
      <rPr>
        <sz val="9"/>
        <color rgb="FF595959"/>
        <rFont val="Arial"/>
        <family val="0"/>
        <charset val="1"/>
      </rPr>
      <t xml:space="preserve">16:00</t>
    </r>
    <r>
      <rPr>
        <sz val="9"/>
        <color rgb="FF595959"/>
        <rFont val="Noto Sans CJK SC"/>
        <family val="2"/>
      </rPr>
      <t xml:space="preserve">（</t>
    </r>
    <r>
      <rPr>
        <sz val="9"/>
        <color rgb="FF595959"/>
        <rFont val="Arial"/>
        <family val="0"/>
        <charset val="1"/>
      </rPr>
      <t xml:space="preserve">16:30 </t>
    </r>
    <r>
      <rPr>
        <sz val="9"/>
        <color rgb="FF595959"/>
        <rFont val="Noto Sans CJK SC"/>
        <family val="2"/>
      </rPr>
      <t xml:space="preserve">ではない）へ</t>
    </r>
  </si>
  <si>
    <r>
      <rPr>
        <b val="true"/>
        <sz val="10"/>
        <rFont val="Arial"/>
        <family val="0"/>
        <charset val="1"/>
      </rPr>
      <t xml:space="preserve">5ch</t>
    </r>
    <r>
      <rPr>
        <b val="true"/>
        <sz val="10"/>
        <rFont val="Noto Sans CJK SC"/>
        <family val="2"/>
      </rPr>
      <t xml:space="preserve">共通</t>
    </r>
  </si>
  <si>
    <t xml:space="preserve">タイトルゲート</t>
  </si>
  <si>
    <r>
      <rPr>
        <sz val="10"/>
        <rFont val="Arial"/>
        <family val="0"/>
        <charset val="1"/>
      </rPr>
      <t xml:space="preserve">require_any_of.words </t>
    </r>
    <r>
      <rPr>
        <sz val="10"/>
        <rFont val="Noto Sans CJK SC"/>
        <family val="2"/>
      </rPr>
      <t xml:space="preserve">に「のか」を追加。「なぜ</t>
    </r>
    <r>
      <rPr>
        <sz val="10"/>
        <rFont val="Arial"/>
        <family val="0"/>
        <charset val="1"/>
      </rPr>
      <t xml:space="preserve">/</t>
    </r>
    <r>
      <rPr>
        <sz val="10"/>
        <rFont val="Noto Sans CJK SC"/>
        <family val="2"/>
      </rPr>
      <t xml:space="preserve">のか」型は </t>
    </r>
    <r>
      <rPr>
        <sz val="10"/>
        <rFont val="Arial"/>
        <family val="0"/>
        <charset val="1"/>
      </rPr>
      <t xml:space="preserve">ch</t>
    </r>
    <r>
      <rPr>
        <sz val="10"/>
        <rFont val="Noto Sans CJK SC"/>
        <family val="2"/>
      </rPr>
      <t xml:space="preserve">内対照 </t>
    </r>
    <r>
      <rPr>
        <sz val="10"/>
        <rFont val="Arial"/>
        <family val="0"/>
        <charset val="1"/>
      </rPr>
      <t xml:space="preserve">4/4ch </t>
    </r>
    <r>
      <rPr>
        <sz val="10"/>
        <rFont val="Noto Sans CJK SC"/>
        <family val="2"/>
      </rPr>
      <t xml:space="preserve">一致（</t>
    </r>
    <r>
      <rPr>
        <sz val="10"/>
        <rFont val="Arial"/>
        <family val="0"/>
        <charset val="1"/>
      </rPr>
      <t xml:space="preserve">0.708 vs 0.499</t>
    </r>
    <r>
      <rPr>
        <sz val="10"/>
        <rFont val="Noto Sans CJK SC"/>
        <family val="2"/>
      </rPr>
      <t xml:space="preserve">）で本日唯一の全</t>
    </r>
    <r>
      <rPr>
        <sz val="10"/>
        <rFont val="Arial"/>
        <family val="0"/>
        <charset val="1"/>
      </rPr>
      <t xml:space="preserve">ch</t>
    </r>
    <r>
      <rPr>
        <sz val="10"/>
        <rFont val="Noto Sans CJK SC"/>
        <family val="2"/>
      </rPr>
      <t xml:space="preserve">一致指標なのに、許容語に「のか」が無く「…は何だったのか」等が </t>
    </r>
    <r>
      <rPr>
        <sz val="10"/>
        <rFont val="Arial"/>
        <family val="0"/>
        <charset val="1"/>
      </rPr>
      <t xml:space="preserve">answer-marker </t>
    </r>
    <r>
      <rPr>
        <sz val="10"/>
        <rFont val="Noto Sans CJK SC"/>
        <family val="2"/>
      </rPr>
      <t xml:space="preserve">違反として再生成に回されていた。ゲートを緩める方向なので </t>
    </r>
    <r>
      <rPr>
        <sz val="10"/>
        <rFont val="Arial"/>
        <family val="0"/>
        <charset val="1"/>
      </rPr>
      <t xml:space="preserve">publish_blocked </t>
    </r>
    <r>
      <rPr>
        <sz val="10"/>
        <rFont val="Noto Sans CJK SC"/>
        <family val="2"/>
      </rPr>
      <t xml:space="preserve">は増えない。キュー違反 </t>
    </r>
    <r>
      <rPr>
        <sz val="10"/>
        <rFont val="Arial"/>
        <family val="0"/>
        <charset val="1"/>
      </rPr>
      <t xml:space="preserve">scp-lab 5→4 / company-facts 4→2</t>
    </r>
    <r>
      <rPr>
        <sz val="10"/>
        <rFont val="Noto Sans CJK SC"/>
        <family val="2"/>
      </rPr>
      <t xml:space="preserve">。</t>
    </r>
  </si>
  <si>
    <r>
      <rPr>
        <sz val="9"/>
        <color rgb="FF595959"/>
        <rFont val="Arial"/>
        <family val="0"/>
        <charset val="1"/>
      </rPr>
      <t xml:space="preserve">backend.log </t>
    </r>
    <r>
      <rPr>
        <sz val="9"/>
        <color rgb="FF595959"/>
        <rFont val="Noto Sans CJK SC"/>
        <family val="2"/>
      </rPr>
      <t xml:space="preserve">の「タイトル規約違反」件数が減らなければ撤回</t>
    </r>
  </si>
  <si>
    <t xml:space="preserve">scp-lab / 2ch-matome</t>
  </si>
  <si>
    <t xml:space="preserve">テーマキュー</t>
  </si>
  <si>
    <r>
      <rPr>
        <sz val="10"/>
        <rFont val="Noto Sans CJK SC"/>
        <family val="2"/>
      </rPr>
      <t xml:space="preserve">疑問型を前方へ安定ソート（内容・件数は変更なし）。</t>
    </r>
    <r>
      <rPr>
        <sz val="10"/>
        <rFont val="Arial"/>
        <family val="0"/>
        <charset val="1"/>
      </rPr>
      <t xml:space="preserve">scp-lab </t>
    </r>
    <r>
      <rPr>
        <sz val="10"/>
        <rFont val="Noto Sans CJK SC"/>
        <family val="2"/>
      </rPr>
      <t xml:space="preserve">は先頭</t>
    </r>
    <r>
      <rPr>
        <sz val="10"/>
        <rFont val="Arial"/>
        <family val="0"/>
        <charset val="1"/>
      </rPr>
      <t xml:space="preserve">3</t>
    </r>
    <r>
      <rPr>
        <sz val="10"/>
        <rFont val="Noto Sans CJK SC"/>
        <family val="2"/>
      </rPr>
      <t xml:space="preserve">件が非疑問型（地震トレンドの重複テーマ）だった。</t>
    </r>
  </si>
  <si>
    <t xml:space="preserve">効果が出なければ並び替えではなくキュー入替に切り替える</t>
  </si>
  <si>
    <r>
      <rPr>
        <sz val="10"/>
        <rFont val="Noto Sans CJK SC"/>
        <family val="2"/>
      </rPr>
      <t xml:space="preserve">規約違反タイトルを事前修正。「セブン</t>
    </r>
    <r>
      <rPr>
        <sz val="10"/>
        <rFont val="Arial"/>
        <family val="0"/>
        <charset val="1"/>
      </rPr>
      <t xml:space="preserve">-</t>
    </r>
    <r>
      <rPr>
        <sz val="10"/>
        <rFont val="Noto Sans CJK SC"/>
        <family val="2"/>
      </rPr>
      <t xml:space="preserve">イレブンの日販</t>
    </r>
    <r>
      <rPr>
        <sz val="10"/>
        <rFont val="Arial"/>
        <family val="0"/>
        <charset val="1"/>
      </rPr>
      <t xml:space="preserve">68</t>
    </r>
    <r>
      <rPr>
        <sz val="10"/>
        <rFont val="Noto Sans CJK SC"/>
        <family val="2"/>
      </rPr>
      <t xml:space="preserve">万円、</t>
    </r>
    <r>
      <rPr>
        <sz val="10"/>
        <rFont val="Arial"/>
        <family val="0"/>
        <charset val="1"/>
      </rPr>
      <t xml:space="preserve">24</t>
    </r>
    <r>
      <rPr>
        <sz val="10"/>
        <rFont val="Noto Sans CJK SC"/>
        <family val="2"/>
      </rPr>
      <t xml:space="preserve">時間営業の採算」（数字</t>
    </r>
    <r>
      <rPr>
        <sz val="10"/>
        <rFont val="Arial"/>
        <family val="0"/>
        <charset val="1"/>
      </rPr>
      <t xml:space="preserve">2</t>
    </r>
    <r>
      <rPr>
        <sz val="10"/>
        <rFont val="Noto Sans CJK SC"/>
        <family val="2"/>
      </rPr>
      <t xml:space="preserve">個・上限</t>
    </r>
    <r>
      <rPr>
        <sz val="10"/>
        <rFont val="Arial"/>
        <family val="0"/>
        <charset val="1"/>
      </rPr>
      <t xml:space="preserve">1</t>
    </r>
    <r>
      <rPr>
        <sz val="10"/>
        <rFont val="Noto Sans CJK SC"/>
        <family val="2"/>
      </rPr>
      <t xml:space="preserve">）→「セブン</t>
    </r>
    <r>
      <rPr>
        <sz val="10"/>
        <rFont val="Arial"/>
        <family val="0"/>
        <charset val="1"/>
      </rPr>
      <t xml:space="preserve">-</t>
    </r>
    <r>
      <rPr>
        <sz val="10"/>
        <rFont val="Noto Sans CJK SC"/>
        <family val="2"/>
      </rPr>
      <t xml:space="preserve">イレブンの日販</t>
    </r>
    <r>
      <rPr>
        <sz val="10"/>
        <rFont val="Arial"/>
        <family val="0"/>
        <charset val="1"/>
      </rPr>
      <t xml:space="preserve">68</t>
    </r>
    <r>
      <rPr>
        <sz val="10"/>
        <rFont val="Noto Sans CJK SC"/>
        <family val="2"/>
      </rPr>
      <t xml:space="preserve">万円が維持できる本当の理由」。</t>
    </r>
    <r>
      <rPr>
        <sz val="10"/>
        <rFont val="Arial"/>
        <family val="0"/>
        <charset val="1"/>
      </rPr>
      <t xml:space="preserve">09-15 </t>
    </r>
    <r>
      <rPr>
        <sz val="10"/>
        <rFont val="Noto Sans CJK SC"/>
        <family val="2"/>
      </rPr>
      <t xml:space="preserve">に </t>
    </r>
    <r>
      <rPr>
        <sz val="10"/>
        <rFont val="Arial"/>
        <family val="0"/>
        <charset val="1"/>
      </rPr>
      <t xml:space="preserve">scp-lab </t>
    </r>
    <r>
      <rPr>
        <sz val="10"/>
        <rFont val="Noto Sans CJK SC"/>
        <family val="2"/>
      </rPr>
      <t xml:space="preserve">が同種の違反で </t>
    </r>
    <r>
      <rPr>
        <sz val="10"/>
        <rFont val="Arial"/>
        <family val="0"/>
        <charset val="1"/>
      </rPr>
      <t xml:space="preserve">publish_blocked </t>
    </r>
    <r>
      <rPr>
        <sz val="10"/>
        <rFont val="Noto Sans CJK SC"/>
        <family val="2"/>
      </rPr>
      <t xml:space="preserve">となり</t>
    </r>
    <r>
      <rPr>
        <sz val="10"/>
        <rFont val="Arial"/>
        <family val="0"/>
        <charset val="1"/>
      </rPr>
      <t xml:space="preserve">1</t>
    </r>
    <r>
      <rPr>
        <sz val="10"/>
        <rFont val="Noto Sans CJK SC"/>
        <family val="2"/>
      </rPr>
      <t xml:space="preserve">枠を失っているため先回りした。</t>
    </r>
  </si>
  <si>
    <r>
      <rPr>
        <b val="true"/>
        <sz val="11"/>
        <rFont val="Noto Sans CJK SC"/>
        <family val="2"/>
      </rPr>
      <t xml:space="preserve">■ あえて変更しなかったもの（理由を残さないと後続 </t>
    </r>
    <r>
      <rPr>
        <b val="true"/>
        <sz val="11"/>
        <rFont val="Arial"/>
        <family val="0"/>
        <charset val="1"/>
      </rPr>
      <t xml:space="preserve">run </t>
    </r>
    <r>
      <rPr>
        <b val="true"/>
        <sz val="11"/>
        <rFont val="Noto Sans CJK SC"/>
        <family val="2"/>
      </rPr>
      <t xml:space="preserve">が蒸し返すため）</t>
    </r>
  </si>
  <si>
    <t xml:space="preserve">見送った理由</t>
  </si>
  <si>
    <t xml:space="preserve">再判定の条件</t>
  </si>
  <si>
    <r>
      <rPr>
        <sz val="10"/>
        <rFont val="Noto Sans CJK SC"/>
        <family val="2"/>
      </rPr>
      <t xml:space="preserve">最弱は </t>
    </r>
    <r>
      <rPr>
        <sz val="10"/>
        <rFont val="Arial"/>
        <family val="0"/>
        <charset val="1"/>
      </rPr>
      <t xml:space="preserve">19</t>
    </r>
    <r>
      <rPr>
        <sz val="10"/>
        <rFont val="Noto Sans CJK SC"/>
        <family val="2"/>
      </rPr>
      <t xml:space="preserve">時 </t>
    </r>
    <r>
      <rPr>
        <sz val="10"/>
        <rFont val="Arial"/>
        <family val="0"/>
        <charset val="1"/>
      </rPr>
      <t xml:space="preserve">0.347(n=8)</t>
    </r>
    <r>
      <rPr>
        <sz val="10"/>
        <rFont val="Noto Sans CJK SC"/>
        <family val="2"/>
      </rPr>
      <t xml:space="preserve">＝自</t>
    </r>
    <r>
      <rPr>
        <sz val="10"/>
        <rFont val="Arial"/>
        <family val="0"/>
        <charset val="1"/>
      </rPr>
      <t xml:space="preserve">ch</t>
    </r>
    <r>
      <rPr>
        <sz val="10"/>
        <rFont val="Noto Sans CJK SC"/>
        <family val="2"/>
      </rPr>
      <t xml:space="preserve">平均の</t>
    </r>
    <r>
      <rPr>
        <sz val="10"/>
        <rFont val="Arial"/>
        <family val="0"/>
        <charset val="1"/>
      </rPr>
      <t xml:space="preserve">0.49</t>
    </r>
    <r>
      <rPr>
        <sz val="10"/>
        <rFont val="Noto Sans CJK SC"/>
        <family val="2"/>
      </rPr>
      <t xml:space="preserve">倍だが、振替先に根拠がない。</t>
    </r>
    <r>
      <rPr>
        <sz val="10"/>
        <rFont val="Arial"/>
        <family val="0"/>
        <charset val="1"/>
      </rPr>
      <t xml:space="preserve">18</t>
    </r>
    <r>
      <rPr>
        <sz val="10"/>
        <rFont val="Noto Sans CJK SC"/>
        <family val="2"/>
      </rPr>
      <t xml:space="preserve">時は </t>
    </r>
    <r>
      <rPr>
        <sz val="10"/>
        <rFont val="Arial"/>
        <family val="0"/>
        <charset val="1"/>
      </rPr>
      <t xml:space="preserve">n=3 </t>
    </r>
    <r>
      <rPr>
        <sz val="10"/>
        <rFont val="Noto Sans CJK SC"/>
        <family val="2"/>
      </rPr>
      <t xml:space="preserve">かつ </t>
    </r>
    <r>
      <rPr>
        <sz val="10"/>
        <rFont val="Arial"/>
        <family val="0"/>
        <charset val="1"/>
      </rPr>
      <t xml:space="preserve">3/3ch </t>
    </r>
    <r>
      <rPr>
        <sz val="10"/>
        <rFont val="Noto Sans CJK SC"/>
        <family val="2"/>
      </rPr>
      <t xml:space="preserve">で平均割れ、</t>
    </r>
    <r>
      <rPr>
        <sz val="10"/>
        <rFont val="Arial"/>
        <family val="0"/>
        <charset val="1"/>
      </rPr>
      <t xml:space="preserve">13</t>
    </r>
    <r>
      <rPr>
        <sz val="10"/>
        <rFont val="Noto Sans CJK SC"/>
        <family val="2"/>
      </rPr>
      <t xml:space="preserve">時は全時刻最下位、</t>
    </r>
    <r>
      <rPr>
        <sz val="10"/>
        <rFont val="Arial"/>
        <family val="0"/>
        <charset val="1"/>
      </rPr>
      <t xml:space="preserve">11/14</t>
    </r>
    <r>
      <rPr>
        <sz val="10"/>
        <rFont val="Noto Sans CJK SC"/>
        <family val="2"/>
      </rPr>
      <t xml:space="preserve">時は当</t>
    </r>
    <r>
      <rPr>
        <sz val="10"/>
        <rFont val="Arial"/>
        <family val="0"/>
        <charset val="1"/>
      </rPr>
      <t xml:space="preserve">ch</t>
    </r>
    <r>
      <rPr>
        <sz val="10"/>
        <rFont val="Noto Sans CJK SC"/>
        <family val="2"/>
      </rPr>
      <t xml:space="preserve">実績ゼロ。当</t>
    </r>
    <r>
      <rPr>
        <sz val="10"/>
        <rFont val="Arial"/>
        <family val="0"/>
        <charset val="1"/>
      </rPr>
      <t xml:space="preserve">ch</t>
    </r>
    <r>
      <rPr>
        <sz val="10"/>
        <rFont val="Noto Sans CJK SC"/>
        <family val="2"/>
      </rPr>
      <t xml:space="preserve">の昼ブロックの強さは実質 </t>
    </r>
    <r>
      <rPr>
        <sz val="10"/>
        <rFont val="Arial"/>
        <family val="0"/>
        <charset val="1"/>
      </rPr>
      <t xml:space="preserve">12</t>
    </r>
    <r>
      <rPr>
        <sz val="10"/>
        <rFont val="Noto Sans CJK SC"/>
        <family val="2"/>
      </rPr>
      <t xml:space="preserve">時</t>
    </r>
    <r>
      <rPr>
        <sz val="10"/>
        <rFont val="Arial"/>
        <family val="0"/>
        <charset val="1"/>
      </rPr>
      <t xml:space="preserve">(n=11) </t>
    </r>
    <r>
      <rPr>
        <sz val="10"/>
        <rFont val="Noto Sans CJK SC"/>
        <family val="2"/>
      </rPr>
      <t xml:space="preserve">単独で、</t>
    </r>
    <r>
      <rPr>
        <sz val="10"/>
        <rFont val="Arial"/>
        <family val="0"/>
        <charset val="1"/>
      </rPr>
      <t xml:space="preserve">13-15</t>
    </r>
    <r>
      <rPr>
        <sz val="10"/>
        <rFont val="Noto Sans CJK SC"/>
        <family val="2"/>
      </rPr>
      <t xml:space="preserve">時へ外挿できない。当</t>
    </r>
    <r>
      <rPr>
        <sz val="10"/>
        <rFont val="Arial"/>
        <family val="0"/>
        <charset val="1"/>
      </rPr>
      <t xml:space="preserve">ch</t>
    </r>
    <r>
      <rPr>
        <sz val="10"/>
        <rFont val="Noto Sans CJK SC"/>
        <family val="2"/>
      </rPr>
      <t xml:space="preserve">は</t>
    </r>
    <r>
      <rPr>
        <sz val="10"/>
        <rFont val="Arial"/>
        <family val="0"/>
        <charset val="1"/>
      </rPr>
      <t xml:space="preserve">5ch</t>
    </r>
    <r>
      <rPr>
        <sz val="10"/>
        <rFont val="Noto Sans CJK SC"/>
        <family val="2"/>
      </rPr>
      <t xml:space="preserve">中唯一 昼</t>
    </r>
    <r>
      <rPr>
        <sz val="10"/>
        <rFont val="Arial"/>
        <family val="0"/>
        <charset val="1"/>
      </rPr>
      <t xml:space="preserve">&gt;</t>
    </r>
    <r>
      <rPr>
        <sz val="10"/>
        <rFont val="Noto Sans CJK SC"/>
        <family val="2"/>
      </rPr>
      <t xml:space="preserve">夕 で、</t>
    </r>
    <r>
      <rPr>
        <sz val="10"/>
        <rFont val="Arial"/>
        <family val="0"/>
        <charset val="1"/>
      </rPr>
      <t xml:space="preserve">17</t>
    </r>
    <r>
      <rPr>
        <sz val="10"/>
        <rFont val="Noto Sans CJK SC"/>
        <family val="2"/>
      </rPr>
      <t xml:space="preserve">時も唯一の平均割れ（</t>
    </r>
    <r>
      <rPr>
        <sz val="10"/>
        <rFont val="Arial"/>
        <family val="0"/>
        <charset val="1"/>
      </rPr>
      <t xml:space="preserve">0.65</t>
    </r>
    <r>
      <rPr>
        <sz val="10"/>
        <rFont val="Noto Sans CJK SC"/>
        <family val="2"/>
      </rPr>
      <t xml:space="preserve">倍）。</t>
    </r>
  </si>
  <si>
    <r>
      <rPr>
        <sz val="9"/>
        <color rgb="FF595959"/>
        <rFont val="Arial"/>
        <family val="0"/>
        <charset val="1"/>
      </rPr>
      <t xml:space="preserve">09-14 </t>
    </r>
    <r>
      <rPr>
        <sz val="9"/>
        <color rgb="FF595959"/>
        <rFont val="Noto Sans CJK SC"/>
        <family val="2"/>
      </rPr>
      <t xml:space="preserve">新設の </t>
    </r>
    <r>
      <rPr>
        <sz val="9"/>
        <color rgb="FF595959"/>
        <rFont val="Arial"/>
        <family val="0"/>
        <charset val="1"/>
      </rPr>
      <t xml:space="preserve">16:00 </t>
    </r>
    <r>
      <rPr>
        <sz val="9"/>
        <color rgb="FF595959"/>
        <rFont val="Noto Sans CJK SC"/>
        <family val="2"/>
      </rPr>
      <t xml:space="preserve">枠が </t>
    </r>
    <r>
      <rPr>
        <sz val="9"/>
        <color rgb="FF595959"/>
        <rFont val="Arial"/>
        <family val="0"/>
        <charset val="1"/>
      </rPr>
      <t xml:space="preserve">n&gt;=5 </t>
    </r>
    <r>
      <rPr>
        <sz val="9"/>
        <color rgb="FF595959"/>
        <rFont val="Noto Sans CJK SC"/>
        <family val="2"/>
      </rPr>
      <t xml:space="preserve">に達する </t>
    </r>
    <r>
      <rPr>
        <sz val="9"/>
        <color rgb="FF595959"/>
        <rFont val="Arial"/>
        <family val="0"/>
        <charset val="1"/>
      </rPr>
      <t xml:space="preserve">09-24</t>
    </r>
  </si>
  <si>
    <r>
      <rPr>
        <sz val="10"/>
        <rFont val="Arial"/>
        <family val="0"/>
        <charset val="1"/>
      </rPr>
      <t xml:space="preserve">auto_optimize_schedule=true </t>
    </r>
    <r>
      <rPr>
        <sz val="10"/>
        <rFont val="Noto Sans CJK SC"/>
        <family val="2"/>
      </rPr>
      <t xml:space="preserve">でバックエンドが枠を自動最適化しており、手動変更は上書きされる（</t>
    </r>
    <r>
      <rPr>
        <sz val="10"/>
        <rFont val="Arial"/>
        <family val="0"/>
        <charset val="1"/>
      </rPr>
      <t xml:space="preserve">09-15 </t>
    </r>
    <r>
      <rPr>
        <sz val="10"/>
        <rFont val="Noto Sans CJK SC"/>
        <family val="2"/>
      </rPr>
      <t xml:space="preserve">のログに </t>
    </r>
    <r>
      <rPr>
        <sz val="10"/>
        <rFont val="Arial"/>
        <family val="0"/>
        <charset val="1"/>
      </rPr>
      <t xml:space="preserve">"current slot underperforms recommended by 100%" </t>
    </r>
    <r>
      <rPr>
        <sz val="10"/>
        <rFont val="Noto Sans CJK SC"/>
        <family val="2"/>
      </rPr>
      <t xml:space="preserve">が実在）。夕</t>
    </r>
    <r>
      <rPr>
        <sz val="10"/>
        <rFont val="Arial"/>
        <family val="0"/>
        <charset val="1"/>
      </rPr>
      <t xml:space="preserve">16-19 </t>
    </r>
    <r>
      <rPr>
        <sz val="10"/>
        <rFont val="Noto Sans CJK SC"/>
        <family val="2"/>
      </rPr>
      <t xml:space="preserve">が当</t>
    </r>
    <r>
      <rPr>
        <sz val="10"/>
        <rFont val="Arial"/>
        <family val="0"/>
        <charset val="1"/>
      </rPr>
      <t xml:space="preserve">ch</t>
    </r>
    <r>
      <rPr>
        <sz val="10"/>
        <rFont val="Noto Sans CJK SC"/>
        <family val="2"/>
      </rPr>
      <t xml:space="preserve">最良 </t>
    </r>
    <r>
      <rPr>
        <sz val="10"/>
        <rFont val="Arial"/>
        <family val="0"/>
        <charset val="1"/>
      </rPr>
      <t xml:space="preserve">0.741(n=18) </t>
    </r>
    <r>
      <rPr>
        <sz val="10"/>
        <rFont val="Noto Sans CJK SC"/>
        <family val="2"/>
      </rPr>
      <t xml:space="preserve">である事実はメモリに記録した。</t>
    </r>
  </si>
  <si>
    <r>
      <rPr>
        <sz val="9"/>
        <color rgb="FF595959"/>
        <rFont val="Arial"/>
        <family val="0"/>
        <charset val="1"/>
      </rPr>
      <t xml:space="preserve">auto_optimize </t>
    </r>
    <r>
      <rPr>
        <sz val="9"/>
        <color rgb="FF595959"/>
        <rFont val="Noto Sans CJK SC"/>
        <family val="2"/>
      </rPr>
      <t xml:space="preserve">を切るかどうかの仕様判断が先</t>
    </r>
  </si>
  <si>
    <r>
      <rPr>
        <sz val="10"/>
        <rFont val="Noto Sans CJK SC"/>
        <family val="2"/>
      </rPr>
      <t xml:space="preserve">投稿枠 </t>
    </r>
    <r>
      <rPr>
        <sz val="10"/>
        <rFont val="Arial"/>
        <family val="0"/>
        <charset val="1"/>
      </rPr>
      <t xml:space="preserve">/ autopilot</t>
    </r>
  </si>
  <si>
    <r>
      <rPr>
        <sz val="10"/>
        <rFont val="Arial"/>
        <family val="0"/>
        <charset val="1"/>
      </rPr>
      <t xml:space="preserve">09-16 </t>
    </r>
    <r>
      <rPr>
        <sz val="10"/>
        <rFont val="Noto Sans CJK SC"/>
        <family val="2"/>
      </rPr>
      <t xml:space="preserve">に </t>
    </r>
    <r>
      <rPr>
        <sz val="10"/>
        <rFont val="Arial"/>
        <family val="0"/>
        <charset val="1"/>
      </rPr>
      <t xml:space="preserve">enabled </t>
    </r>
    <r>
      <rPr>
        <sz val="10"/>
        <rFont val="Noto Sans CJK SC"/>
        <family val="2"/>
      </rPr>
      <t xml:space="preserve">を </t>
    </r>
    <r>
      <rPr>
        <sz val="10"/>
        <rFont val="Arial"/>
        <family val="0"/>
        <charset val="1"/>
      </rPr>
      <t xml:space="preserve">true </t>
    </r>
    <r>
      <rPr>
        <sz val="10"/>
        <rFont val="Noto Sans CJK SC"/>
        <family val="2"/>
      </rPr>
      <t xml:space="preserve">へ戻したが </t>
    </r>
    <r>
      <rPr>
        <sz val="10"/>
        <rFont val="Arial"/>
        <family val="0"/>
        <charset val="1"/>
      </rPr>
      <t xml:space="preserve">09-16 </t>
    </r>
    <r>
      <rPr>
        <sz val="10"/>
        <rFont val="Noto Sans CJK SC"/>
        <family val="2"/>
      </rPr>
      <t xml:space="preserve">の</t>
    </r>
    <r>
      <rPr>
        <sz val="10"/>
        <rFont val="Arial"/>
        <family val="0"/>
        <charset val="1"/>
      </rPr>
      <t xml:space="preserve">3</t>
    </r>
    <r>
      <rPr>
        <sz val="10"/>
        <rFont val="Noto Sans CJK SC"/>
        <family val="2"/>
      </rPr>
      <t xml:space="preserve">枠・</t>
    </r>
    <r>
      <rPr>
        <sz val="10"/>
        <rFont val="Arial"/>
        <family val="0"/>
        <charset val="1"/>
      </rPr>
      <t xml:space="preserve">09-17 07:30 </t>
    </r>
    <r>
      <rPr>
        <sz val="10"/>
        <rFont val="Noto Sans CJK SC"/>
        <family val="2"/>
      </rPr>
      <t xml:space="preserve">とも一度も発火せず、効果測定が成立していない。原因は </t>
    </r>
    <r>
      <rPr>
        <sz val="10"/>
        <rFont val="Arial"/>
        <family val="0"/>
        <charset val="1"/>
      </rPr>
      <t xml:space="preserve">config </t>
    </r>
    <r>
      <rPr>
        <sz val="10"/>
        <rFont val="Noto Sans CJK SC"/>
        <family val="2"/>
      </rPr>
      <t xml:space="preserve">再読込では </t>
    </r>
    <r>
      <rPr>
        <sz val="10"/>
        <rFont val="Arial"/>
        <family val="0"/>
        <charset val="1"/>
      </rPr>
      <t xml:space="preserve">APScheduler </t>
    </r>
    <r>
      <rPr>
        <sz val="10"/>
        <rFont val="Noto Sans CJK SC"/>
        <family val="2"/>
      </rPr>
      <t xml:space="preserve">にジョブが再登録されないバグ。同一データで二重に判断しないため据え置き。</t>
    </r>
  </si>
  <si>
    <t xml:space="preserve">バックエンド再起動後、発火を確認してから</t>
  </si>
  <si>
    <t xml:space="preserve">全般</t>
  </si>
  <si>
    <r>
      <rPr>
        <sz val="10"/>
        <rFont val="Arial"/>
        <family val="0"/>
        <charset val="1"/>
      </rPr>
      <t xml:space="preserve">5</t>
    </r>
    <r>
      <rPr>
        <sz val="10"/>
        <rFont val="Noto Sans CJK SC"/>
        <family val="2"/>
      </rPr>
      <t xml:space="preserve">本・</t>
    </r>
    <r>
      <rPr>
        <sz val="10"/>
        <rFont val="Arial"/>
        <family val="0"/>
        <charset val="1"/>
      </rPr>
      <t xml:space="preserve">1,091</t>
    </r>
    <r>
      <rPr>
        <sz val="10"/>
        <rFont val="Noto Sans CJK SC"/>
        <family val="2"/>
      </rPr>
      <t xml:space="preserve">再生・登録</t>
    </r>
    <r>
      <rPr>
        <sz val="10"/>
        <rFont val="Arial"/>
        <family val="0"/>
        <charset val="1"/>
      </rPr>
      <t xml:space="preserve">0</t>
    </r>
    <r>
      <rPr>
        <sz val="10"/>
        <rFont val="Noto Sans CJK SC"/>
        <family val="2"/>
      </rPr>
      <t xml:space="preserve">人。登録</t>
    </r>
    <r>
      <rPr>
        <sz val="10"/>
        <rFont val="Arial"/>
        <family val="0"/>
        <charset val="1"/>
      </rPr>
      <t xml:space="preserve">/</t>
    </r>
    <r>
      <rPr>
        <sz val="10"/>
        <rFont val="Noto Sans CJK SC"/>
        <family val="2"/>
      </rPr>
      <t xml:space="preserve">千再生を推定できる母数に達していない（他</t>
    </r>
    <r>
      <rPr>
        <sz val="10"/>
        <rFont val="Arial"/>
        <family val="0"/>
        <charset val="1"/>
      </rPr>
      <t xml:space="preserve">ch</t>
    </r>
    <r>
      <rPr>
        <sz val="10"/>
        <rFont val="Noto Sans CJK SC"/>
        <family val="2"/>
      </rPr>
      <t xml:space="preserve">の判断基準は </t>
    </r>
    <r>
      <rPr>
        <sz val="10"/>
        <rFont val="Arial"/>
        <family val="0"/>
        <charset val="1"/>
      </rPr>
      <t xml:space="preserve">views&gt;=200 </t>
    </r>
    <r>
      <rPr>
        <sz val="10"/>
        <rFont val="Noto Sans CJK SC"/>
        <family val="2"/>
      </rPr>
      <t xml:space="preserve">かつ </t>
    </r>
    <r>
      <rPr>
        <sz val="10"/>
        <rFont val="Arial"/>
        <family val="0"/>
        <charset val="1"/>
      </rPr>
      <t xml:space="preserve">ch</t>
    </r>
    <r>
      <rPr>
        <sz val="10"/>
        <rFont val="Noto Sans CJK SC"/>
        <family val="2"/>
      </rPr>
      <t xml:space="preserve">内 </t>
    </r>
    <r>
      <rPr>
        <sz val="10"/>
        <rFont val="Arial"/>
        <family val="0"/>
        <charset val="1"/>
      </rPr>
      <t xml:space="preserve">n&gt;=10</t>
    </r>
    <r>
      <rPr>
        <sz val="10"/>
        <rFont val="Noto Sans CJK SC"/>
        <family val="2"/>
      </rPr>
      <t xml:space="preserve">）。⚠️ ただしキュー</t>
    </r>
    <r>
      <rPr>
        <sz val="10"/>
        <rFont val="Arial"/>
        <family val="0"/>
        <charset val="1"/>
      </rPr>
      <t xml:space="preserve">12</t>
    </r>
    <r>
      <rPr>
        <sz val="10"/>
        <rFont val="Noto Sans CJK SC"/>
        <family val="2"/>
      </rPr>
      <t xml:space="preserve">件が全件タイトル規約違反で、毎枠が再生成</t>
    </r>
    <r>
      <rPr>
        <sz val="10"/>
        <rFont val="Arial"/>
        <family val="0"/>
        <charset val="1"/>
      </rPr>
      <t xml:space="preserve">2</t>
    </r>
    <r>
      <rPr>
        <sz val="10"/>
        <rFont val="Noto Sans CJK SC"/>
        <family val="2"/>
      </rPr>
      <t xml:space="preserve">回→機械修復に落ちている。</t>
    </r>
  </si>
  <si>
    <r>
      <rPr>
        <sz val="9"/>
        <color rgb="FF595959"/>
        <rFont val="Arial"/>
        <family val="0"/>
        <charset val="1"/>
      </rPr>
      <t xml:space="preserve">n&gt;=10 </t>
    </r>
    <r>
      <rPr>
        <sz val="9"/>
        <color rgb="FF595959"/>
        <rFont val="Noto Sans CJK SC"/>
        <family val="2"/>
      </rPr>
      <t xml:space="preserve">到達後。キュー違反は母数と無関係なので別途対処が必要</t>
    </r>
  </si>
  <si>
    <r>
      <rPr>
        <b val="true"/>
        <sz val="10"/>
        <rFont val="Arial"/>
        <family val="0"/>
        <charset val="1"/>
      </rPr>
      <t xml:space="preserve">OAuth</t>
    </r>
    <r>
      <rPr>
        <b val="true"/>
        <sz val="10"/>
        <rFont val="Noto Sans CJK SC"/>
        <family val="2"/>
      </rPr>
      <t xml:space="preserve">失効</t>
    </r>
    <r>
      <rPr>
        <b val="true"/>
        <sz val="10"/>
        <rFont val="Arial"/>
        <family val="0"/>
        <charset val="1"/>
      </rPr>
      <t xml:space="preserve">7ch</t>
    </r>
  </si>
  <si>
    <r>
      <rPr>
        <sz val="10"/>
        <rFont val="Arial"/>
        <family val="0"/>
        <charset val="1"/>
      </rPr>
      <t xml:space="preserve">pokemon-lab / fake-paper / akashic-librarian / clip-lab / clip-fukada / clip-kaneko / clip-animal </t>
    </r>
    <r>
      <rPr>
        <sz val="10"/>
        <rFont val="Noto Sans CJK SC"/>
        <family val="2"/>
      </rPr>
      <t xml:space="preserve">はスナップショットが </t>
    </r>
    <r>
      <rPr>
        <sz val="10"/>
        <rFont val="Arial"/>
        <family val="0"/>
        <charset val="1"/>
      </rPr>
      <t xml:space="preserve">09-06</t>
    </r>
    <r>
      <rPr>
        <sz val="10"/>
        <rFont val="Noto Sans CJK SC"/>
        <family val="2"/>
      </rPr>
      <t xml:space="preserve">〜</t>
    </r>
    <r>
      <rPr>
        <sz val="10"/>
        <rFont val="Arial"/>
        <family val="0"/>
        <charset val="1"/>
      </rPr>
      <t xml:space="preserve">09-08 </t>
    </r>
    <r>
      <rPr>
        <sz val="10"/>
        <rFont val="Noto Sans CJK SC"/>
        <family val="2"/>
      </rPr>
      <t xml:space="preserve">で凍結。同一データでの二重意思決定を避けるため一切変更しない。</t>
    </r>
  </si>
  <si>
    <t xml:space="preserve">再認可してスナップショットが動いてから</t>
  </si>
  <si>
    <t xml:space="preserve">■ 未解決・次の指揮者への申し送り</t>
  </si>
  <si>
    <r>
      <rPr>
        <sz val="10"/>
        <rFont val="Arial"/>
        <family val="0"/>
        <charset val="1"/>
      </rPr>
      <t xml:space="preserve">1. </t>
    </r>
    <r>
      <rPr>
        <sz val="10"/>
        <rFont val="Noto Sans CJK SC"/>
        <family val="2"/>
      </rPr>
      <t xml:space="preserve">【最優先】バックエンド再起動。</t>
    </r>
    <r>
      <rPr>
        <sz val="10"/>
        <rFont val="Arial"/>
        <family val="0"/>
        <charset val="1"/>
      </rPr>
      <t xml:space="preserve">2ch-matome </t>
    </r>
    <r>
      <rPr>
        <sz val="10"/>
        <rFont val="Noto Sans CJK SC"/>
        <family val="2"/>
      </rPr>
      <t xml:space="preserve">は </t>
    </r>
    <r>
      <rPr>
        <sz val="10"/>
        <rFont val="Arial"/>
        <family val="0"/>
        <charset val="1"/>
      </rPr>
      <t xml:space="preserve">09-13 </t>
    </r>
    <r>
      <rPr>
        <sz val="10"/>
        <rFont val="Noto Sans CJK SC"/>
        <family val="2"/>
      </rPr>
      <t xml:space="preserve">以降</t>
    </r>
    <r>
      <rPr>
        <sz val="10"/>
        <rFont val="Arial"/>
        <family val="0"/>
        <charset val="1"/>
      </rPr>
      <t xml:space="preserve">0</t>
    </r>
    <r>
      <rPr>
        <sz val="10"/>
        <rFont val="Noto Sans CJK SC"/>
        <family val="2"/>
      </rPr>
      <t xml:space="preserve">本のまま。並走 </t>
    </r>
    <r>
      <rPr>
        <sz val="10"/>
        <rFont val="Arial"/>
        <family val="0"/>
        <charset val="1"/>
      </rPr>
      <t xml:space="preserve">run </t>
    </r>
    <r>
      <rPr>
        <sz val="10"/>
        <rFont val="Noto Sans CJK SC"/>
        <family val="2"/>
      </rPr>
      <t xml:space="preserve">がスケジューラ再登録のバグを直しているが、反映には再起動が要る（</t>
    </r>
    <r>
      <rPr>
        <sz val="10"/>
        <rFont val="Arial"/>
        <family val="0"/>
        <charset val="1"/>
      </rPr>
      <t xml:space="preserve">restart_and_trigger_20260917.command</t>
    </r>
    <r>
      <rPr>
        <sz val="10"/>
        <rFont val="Noto Sans CJK SC"/>
        <family val="2"/>
      </rPr>
      <t xml:space="preserve">）。</t>
    </r>
  </si>
  <si>
    <r>
      <rPr>
        <sz val="10"/>
        <rFont val="Arial"/>
        <family val="0"/>
        <charset val="1"/>
      </rPr>
      <t xml:space="preserve">2. </t>
    </r>
    <r>
      <rPr>
        <sz val="10"/>
        <rFont val="Noto Sans CJK SC"/>
        <family val="2"/>
      </rPr>
      <t xml:space="preserve">【本日できなかった】</t>
    </r>
    <r>
      <rPr>
        <sz val="10"/>
        <rFont val="Arial"/>
        <family val="0"/>
        <charset val="1"/>
      </rPr>
      <t xml:space="preserve">config </t>
    </r>
    <r>
      <rPr>
        <sz val="10"/>
        <rFont val="Noto Sans CJK SC"/>
        <family val="2"/>
      </rPr>
      <t xml:space="preserve">のコミット。</t>
    </r>
    <r>
      <rPr>
        <sz val="10"/>
        <rFont val="Arial"/>
        <family val="0"/>
        <charset val="1"/>
      </rPr>
      <t xml:space="preserve">.git/HEAD.lock </t>
    </r>
    <r>
      <rPr>
        <sz val="10"/>
        <rFont val="Noto Sans CJK SC"/>
        <family val="2"/>
      </rPr>
      <t xml:space="preserve">が </t>
    </r>
    <r>
      <rPr>
        <sz val="10"/>
        <rFont val="Arial"/>
        <family val="0"/>
        <charset val="1"/>
      </rPr>
      <t xml:space="preserve">09-16 23:17 </t>
    </r>
    <r>
      <rPr>
        <sz val="10"/>
        <rFont val="Noto Sans CJK SC"/>
        <family val="2"/>
      </rPr>
      <t xml:space="preserve">の残骸として残っており、サンドボックス</t>
    </r>
    <r>
      <rPr>
        <sz val="10"/>
        <rFont val="Arial"/>
        <family val="0"/>
        <charset val="1"/>
      </rPr>
      <t xml:space="preserve">VM</t>
    </r>
    <r>
      <rPr>
        <sz val="10"/>
        <rFont val="Noto Sans CJK SC"/>
        <family val="2"/>
      </rPr>
      <t xml:space="preserve">のマウントでは自分が作っていないファイルを削除できない（</t>
    </r>
    <r>
      <rPr>
        <sz val="10"/>
        <rFont val="Arial"/>
        <family val="0"/>
        <charset val="1"/>
      </rPr>
      <t xml:space="preserve">Operation not permitted</t>
    </r>
    <r>
      <rPr>
        <sz val="10"/>
        <rFont val="Noto Sans CJK SC"/>
        <family val="2"/>
      </rPr>
      <t xml:space="preserve">）。</t>
    </r>
    <r>
      <rPr>
        <sz val="10"/>
        <rFont val="Arial"/>
        <family val="0"/>
        <charset val="1"/>
      </rPr>
      <t xml:space="preserve">commit_orch_20260917.command </t>
    </r>
    <r>
      <rPr>
        <sz val="10"/>
        <rFont val="Noto Sans CJK SC"/>
        <family val="2"/>
      </rPr>
      <t xml:space="preserve">を用意したので </t>
    </r>
    <r>
      <rPr>
        <sz val="10"/>
        <rFont val="Arial"/>
        <family val="0"/>
        <charset val="1"/>
      </rPr>
      <t xml:space="preserve">Mac </t>
    </r>
    <r>
      <rPr>
        <sz val="10"/>
        <rFont val="Noto Sans CJK SC"/>
        <family val="2"/>
      </rPr>
      <t xml:space="preserve">側で実行が必要。</t>
    </r>
    <r>
      <rPr>
        <sz val="10"/>
        <rFont val="Arial"/>
        <family val="0"/>
        <charset val="1"/>
      </rPr>
      <t xml:space="preserve">config </t>
    </r>
    <r>
      <rPr>
        <sz val="10"/>
        <rFont val="Noto Sans CJK SC"/>
        <family val="2"/>
      </rPr>
      <t xml:space="preserve">自体は書き込み済み。</t>
    </r>
  </si>
  <si>
    <r>
      <rPr>
        <sz val="10"/>
        <rFont val="Arial"/>
        <family val="0"/>
        <charset val="1"/>
      </rPr>
      <t xml:space="preserve">3. OAuth </t>
    </r>
    <r>
      <rPr>
        <sz val="10"/>
        <rFont val="Noto Sans CJK SC"/>
        <family val="2"/>
      </rPr>
      <t xml:space="preserve">失効 </t>
    </r>
    <r>
      <rPr>
        <sz val="10"/>
        <rFont val="Arial"/>
        <family val="0"/>
        <charset val="1"/>
      </rPr>
      <t xml:space="preserve">7ch</t>
    </r>
    <r>
      <rPr>
        <sz val="10"/>
        <rFont val="Noto Sans CJK SC"/>
        <family val="2"/>
      </rPr>
      <t xml:space="preserve">。</t>
    </r>
    <r>
      <rPr>
        <sz val="10"/>
        <rFont val="Arial"/>
        <family val="0"/>
        <charset val="1"/>
      </rPr>
      <t xml:space="preserve">09-20 </t>
    </r>
    <r>
      <rPr>
        <sz val="10"/>
        <rFont val="Noto Sans CJK SC"/>
        <family val="2"/>
      </rPr>
      <t xml:space="preserve">昼に稼働</t>
    </r>
    <r>
      <rPr>
        <sz val="10"/>
        <rFont val="Arial"/>
        <family val="0"/>
        <charset val="1"/>
      </rPr>
      <t xml:space="preserve">6ch</t>
    </r>
    <r>
      <rPr>
        <sz val="10"/>
        <rFont val="Noto Sans CJK SC"/>
        <family val="2"/>
      </rPr>
      <t xml:space="preserve">も一斉失効する見込み。同意画面の本番公開が先。</t>
    </r>
  </si>
  <si>
    <r>
      <rPr>
        <sz val="10"/>
        <rFont val="Arial"/>
        <family val="0"/>
        <charset val="1"/>
      </rPr>
      <t xml:space="preserve">4. 09-21: </t>
    </r>
    <r>
      <rPr>
        <sz val="10"/>
        <rFont val="Noto Sans CJK SC"/>
        <family val="2"/>
      </rPr>
      <t xml:space="preserve">いいね率と維持率のどちらを先行指標にするかを </t>
    </r>
    <r>
      <rPr>
        <sz val="10"/>
        <rFont val="Arial"/>
        <family val="0"/>
        <charset val="1"/>
      </rPr>
      <t xml:space="preserve">09-14 </t>
    </r>
    <r>
      <rPr>
        <sz val="10"/>
        <rFont val="Noto Sans CJK SC"/>
        <family val="2"/>
      </rPr>
      <t xml:space="preserve">以降の独立コホート（</t>
    </r>
    <r>
      <rPr>
        <sz val="10"/>
        <rFont val="Arial"/>
        <family val="0"/>
        <charset val="1"/>
      </rPr>
      <t xml:space="preserve">n&gt;=20/ch</t>
    </r>
    <r>
      <rPr>
        <sz val="10"/>
        <rFont val="Noto Sans CJK SC"/>
        <family val="2"/>
      </rPr>
      <t xml:space="preserve">）で本判定。本日 </t>
    </r>
    <r>
      <rPr>
        <sz val="10"/>
        <rFont val="Arial"/>
        <family val="0"/>
        <charset val="1"/>
      </rPr>
      <t xml:space="preserve">ch</t>
    </r>
    <r>
      <rPr>
        <sz val="10"/>
        <rFont val="Noto Sans CJK SC"/>
        <family val="2"/>
      </rPr>
      <t xml:space="preserve">内対照は いいね率 </t>
    </r>
    <r>
      <rPr>
        <sz val="10"/>
        <rFont val="Arial"/>
        <family val="0"/>
        <charset val="1"/>
      </rPr>
      <t xml:space="preserve">3/5ch</t>
    </r>
    <r>
      <rPr>
        <sz val="10"/>
        <rFont val="Noto Sans CJK SC"/>
        <family val="2"/>
      </rPr>
      <t xml:space="preserve">・維持率 </t>
    </r>
    <r>
      <rPr>
        <sz val="10"/>
        <rFont val="Arial"/>
        <family val="0"/>
        <charset val="1"/>
      </rPr>
      <t xml:space="preserve">4/5ch</t>
    </r>
    <r>
      <rPr>
        <sz val="10"/>
        <rFont val="Noto Sans CJK SC"/>
        <family val="2"/>
      </rPr>
      <t xml:space="preserve">。維持率も </t>
    </r>
    <r>
      <rPr>
        <sz val="10"/>
        <rFont val="Arial"/>
        <family val="0"/>
        <charset val="1"/>
      </rPr>
      <t xml:space="preserve">09-13</t>
    </r>
    <r>
      <rPr>
        <sz val="10"/>
        <rFont val="Noto Sans CJK SC"/>
        <family val="2"/>
      </rPr>
      <t xml:space="preserve">〜</t>
    </r>
    <r>
      <rPr>
        <sz val="10"/>
        <rFont val="Arial"/>
        <family val="0"/>
        <charset val="1"/>
      </rPr>
      <t xml:space="preserve">09-15 </t>
    </r>
    <r>
      <rPr>
        <sz val="10"/>
        <rFont val="Noto Sans CJK SC"/>
        <family val="2"/>
      </rPr>
      <t xml:space="preserve">の </t>
    </r>
    <r>
      <rPr>
        <sz val="10"/>
        <rFont val="Arial"/>
        <family val="0"/>
        <charset val="1"/>
      </rPr>
      <t xml:space="preserve">5/5 </t>
    </r>
    <r>
      <rPr>
        <sz val="10"/>
        <rFont val="Noto Sans CJK SC"/>
        <family val="2"/>
      </rPr>
      <t xml:space="preserve">から落ちたので、「維持率へ乗り換える」根拠は今日もできていない。</t>
    </r>
  </si>
  <si>
    <r>
      <rPr>
        <sz val="10"/>
        <rFont val="Arial"/>
        <family val="0"/>
        <charset val="1"/>
      </rPr>
      <t xml:space="preserve">5. 09-24: </t>
    </r>
    <r>
      <rPr>
        <sz val="10"/>
        <rFont val="Noto Sans CJK SC"/>
        <family val="2"/>
      </rPr>
      <t xml:space="preserve">本日の 投稿枠</t>
    </r>
    <r>
      <rPr>
        <sz val="10"/>
        <rFont val="Arial"/>
        <family val="0"/>
        <charset val="1"/>
      </rPr>
      <t xml:space="preserve">2</t>
    </r>
    <r>
      <rPr>
        <sz val="10"/>
        <rFont val="Noto Sans CJK SC"/>
        <family val="2"/>
      </rPr>
      <t xml:space="preserve">件・「のか」追加・キュー並べ替えを評価。撤回条件は上表のとおり。</t>
    </r>
  </si>
  <si>
    <r>
      <rPr>
        <sz val="10"/>
        <rFont val="Arial"/>
        <family val="0"/>
        <charset val="1"/>
      </rPr>
      <t xml:space="preserve">6. </t>
    </r>
    <r>
      <rPr>
        <sz val="10"/>
        <rFont val="Noto Sans CJK SC"/>
        <family val="2"/>
      </rPr>
      <t xml:space="preserve">並走 </t>
    </r>
    <r>
      <rPr>
        <sz val="10"/>
        <rFont val="Arial"/>
        <family val="0"/>
        <charset val="1"/>
      </rPr>
      <t xml:space="preserve">run </t>
    </r>
    <r>
      <rPr>
        <sz val="10"/>
        <rFont val="Noto Sans CJK SC"/>
        <family val="2"/>
      </rPr>
      <t xml:space="preserve">の抑止を仕組みにする。</t>
    </r>
    <r>
      <rPr>
        <sz val="10"/>
        <rFont val="Arial"/>
        <family val="0"/>
        <charset val="1"/>
      </rPr>
      <t xml:space="preserve">3</t>
    </r>
    <r>
      <rPr>
        <sz val="10"/>
        <rFont val="Noto Sans CJK SC"/>
        <family val="2"/>
      </rPr>
      <t xml:space="preserve">日連続で並走しており、本日はついに同一スナップショットでの二重 </t>
    </r>
    <r>
      <rPr>
        <sz val="10"/>
        <rFont val="Arial"/>
        <family val="0"/>
        <charset val="1"/>
      </rPr>
      <t xml:space="preserve">Phase3 </t>
    </r>
    <r>
      <rPr>
        <sz val="10"/>
        <rFont val="Noto Sans CJK SC"/>
        <family val="2"/>
      </rPr>
      <t xml:space="preserve">が起きた。マーカーファイル方式は「先に走った方が置く」前提が守られないと機能しない。</t>
    </r>
  </si>
  <si>
    <r>
      <rPr>
        <b val="true"/>
        <sz val="14"/>
        <rFont val="Noto Sans CJK SC"/>
        <family val="2"/>
      </rPr>
      <t xml:space="preserve">前回比較  </t>
    </r>
    <r>
      <rPr>
        <b val="true"/>
        <sz val="14"/>
        <rFont val="Arial"/>
        <family val="0"/>
        <charset val="1"/>
      </rPr>
      <t xml:space="preserve">2026-09-16 </t>
    </r>
    <r>
      <rPr>
        <b val="true"/>
        <sz val="14"/>
        <rFont val="Noto Sans CJK SC"/>
        <family val="2"/>
      </rPr>
      <t xml:space="preserve">レポート（</t>
    </r>
    <r>
      <rPr>
        <b val="true"/>
        <sz val="14"/>
        <rFont val="Arial"/>
        <family val="0"/>
        <charset val="1"/>
      </rPr>
      <t xml:space="preserve">09-15 </t>
    </r>
    <r>
      <rPr>
        <b val="true"/>
        <sz val="14"/>
        <rFont val="Noto Sans CJK SC"/>
        <family val="2"/>
      </rPr>
      <t xml:space="preserve">スナップショット） → 本日（</t>
    </r>
    <r>
      <rPr>
        <b val="true"/>
        <sz val="14"/>
        <rFont val="Arial"/>
        <family val="0"/>
        <charset val="1"/>
      </rPr>
      <t xml:space="preserve">09-16 </t>
    </r>
    <r>
      <rPr>
        <b val="true"/>
        <sz val="14"/>
        <rFont val="Noto Sans CJK SC"/>
        <family val="2"/>
      </rPr>
      <t xml:space="preserve">スナップショット）</t>
    </r>
  </si>
  <si>
    <r>
      <rPr>
        <sz val="9"/>
        <color rgb="FF595959"/>
        <rFont val="Noto Sans CJK SC"/>
        <family val="2"/>
      </rPr>
      <t xml:space="preserve">前回生成</t>
    </r>
    <r>
      <rPr>
        <sz val="9"/>
        <color rgb="FF595959"/>
        <rFont val="Arial"/>
        <family val="0"/>
        <charset val="1"/>
      </rPr>
      <t xml:space="preserve">: 2026-09-16 10:18  /  </t>
    </r>
    <r>
      <rPr>
        <sz val="9"/>
        <color rgb="FF595959"/>
        <rFont val="Noto Sans CJK SC"/>
        <family val="2"/>
      </rPr>
      <t xml:space="preserve">差分は</t>
    </r>
    <r>
      <rPr>
        <sz val="9"/>
        <color rgb="FF595959"/>
        <rFont val="Arial"/>
        <family val="0"/>
        <charset val="1"/>
      </rPr>
      <t xml:space="preserve">1</t>
    </r>
    <r>
      <rPr>
        <sz val="9"/>
        <color rgb="FF595959"/>
        <rFont val="Noto Sans CJK SC"/>
        <family val="2"/>
      </rPr>
      <t xml:space="preserve">スナップショットぶん。連続スナップショットは同一動画が約</t>
    </r>
    <r>
      <rPr>
        <sz val="9"/>
        <color rgb="FF595959"/>
        <rFont val="Arial"/>
        <family val="0"/>
        <charset val="1"/>
      </rPr>
      <t xml:space="preserve">95%</t>
    </r>
    <r>
      <rPr>
        <sz val="9"/>
        <color rgb="FF595959"/>
        <rFont val="Noto Sans CJK SC"/>
        <family val="2"/>
      </rPr>
      <t xml:space="preserve">重なるため独立標本ではない点に注意。</t>
    </r>
  </si>
  <si>
    <t xml:space="preserve">今回スナップ</t>
  </si>
  <si>
    <r>
      <rPr>
        <b val="true"/>
        <sz val="10"/>
        <color rgb="FFFFFFFF"/>
        <rFont val="Noto Sans CJK SC"/>
        <family val="2"/>
      </rPr>
      <t xml:space="preserve">登録</t>
    </r>
    <r>
      <rPr>
        <b val="true"/>
        <sz val="10"/>
        <color rgb="FFFFFFFF"/>
        <rFont val="Arial"/>
        <family val="0"/>
        <charset val="1"/>
      </rPr>
      <t xml:space="preserve">/</t>
    </r>
    <r>
      <rPr>
        <b val="true"/>
        <sz val="10"/>
        <color rgb="FFFFFFFF"/>
        <rFont val="Noto Sans CJK SC"/>
        <family val="2"/>
      </rPr>
      <t xml:space="preserve">千</t>
    </r>
    <r>
      <rPr>
        <b val="true"/>
        <sz val="10"/>
        <color rgb="FFFFFFFF"/>
        <rFont val="Arial"/>
        <family val="0"/>
        <charset val="1"/>
      </rPr>
      <t xml:space="preserve">(</t>
    </r>
    <r>
      <rPr>
        <b val="true"/>
        <sz val="10"/>
        <color rgb="FFFFFFFF"/>
        <rFont val="Noto Sans CJK SC"/>
        <family val="2"/>
      </rPr>
      <t xml:space="preserve">前</t>
    </r>
    <r>
      <rPr>
        <b val="true"/>
        <sz val="10"/>
        <color rgb="FFFFFFFF"/>
        <rFont val="Arial"/>
        <family val="0"/>
        <charset val="1"/>
      </rPr>
      <t xml:space="preserve">)</t>
    </r>
  </si>
  <si>
    <r>
      <rPr>
        <b val="true"/>
        <sz val="10"/>
        <color rgb="FFFFFFFF"/>
        <rFont val="Noto Sans CJK SC"/>
        <family val="2"/>
      </rPr>
      <t xml:space="preserve">登録</t>
    </r>
    <r>
      <rPr>
        <b val="true"/>
        <sz val="10"/>
        <color rgb="FFFFFFFF"/>
        <rFont val="Arial"/>
        <family val="0"/>
        <charset val="1"/>
      </rPr>
      <t xml:space="preserve">/</t>
    </r>
    <r>
      <rPr>
        <b val="true"/>
        <sz val="10"/>
        <color rgb="FFFFFFFF"/>
        <rFont val="Noto Sans CJK SC"/>
        <family val="2"/>
      </rPr>
      <t xml:space="preserve">千</t>
    </r>
    <r>
      <rPr>
        <b val="true"/>
        <sz val="10"/>
        <color rgb="FFFFFFFF"/>
        <rFont val="Arial"/>
        <family val="0"/>
        <charset val="1"/>
      </rPr>
      <t xml:space="preserve">(</t>
    </r>
    <r>
      <rPr>
        <b val="true"/>
        <sz val="10"/>
        <color rgb="FFFFFFFF"/>
        <rFont val="Noto Sans CJK SC"/>
        <family val="2"/>
      </rPr>
      <t xml:space="preserve">今</t>
    </r>
    <r>
      <rPr>
        <b val="true"/>
        <sz val="10"/>
        <color rgb="FFFFFFFF"/>
        <rFont val="Arial"/>
        <family val="0"/>
        <charset val="1"/>
      </rPr>
      <t xml:space="preserve">)</t>
    </r>
  </si>
  <si>
    <r>
      <rPr>
        <b val="true"/>
        <sz val="10"/>
        <color rgb="FFFFFFFF"/>
        <rFont val="Noto Sans CJK SC"/>
        <family val="2"/>
      </rPr>
      <t xml:space="preserve">いいね率</t>
    </r>
    <r>
      <rPr>
        <b val="true"/>
        <sz val="10"/>
        <color rgb="FFFFFFFF"/>
        <rFont val="Arial"/>
        <family val="0"/>
        <charset val="1"/>
      </rPr>
      <t xml:space="preserve">%(</t>
    </r>
    <r>
      <rPr>
        <b val="true"/>
        <sz val="10"/>
        <color rgb="FFFFFFFF"/>
        <rFont val="Noto Sans CJK SC"/>
        <family val="2"/>
      </rPr>
      <t xml:space="preserve">前</t>
    </r>
    <r>
      <rPr>
        <b val="true"/>
        <sz val="10"/>
        <color rgb="FFFFFFFF"/>
        <rFont val="Arial"/>
        <family val="0"/>
        <charset val="1"/>
      </rPr>
      <t xml:space="preserve">)</t>
    </r>
  </si>
  <si>
    <r>
      <rPr>
        <b val="true"/>
        <sz val="10"/>
        <color rgb="FFFFFFFF"/>
        <rFont val="Noto Sans CJK SC"/>
        <family val="2"/>
      </rPr>
      <t xml:space="preserve">いいね率</t>
    </r>
    <r>
      <rPr>
        <b val="true"/>
        <sz val="10"/>
        <color rgb="FFFFFFFF"/>
        <rFont val="Arial"/>
        <family val="0"/>
        <charset val="1"/>
      </rPr>
      <t xml:space="preserve">%(</t>
    </r>
    <r>
      <rPr>
        <b val="true"/>
        <sz val="10"/>
        <color rgb="FFFFFFFF"/>
        <rFont val="Noto Sans CJK SC"/>
        <family val="2"/>
      </rPr>
      <t xml:space="preserve">今</t>
    </r>
    <r>
      <rPr>
        <b val="true"/>
        <sz val="10"/>
        <color rgb="FFFFFFFF"/>
        <rFont val="Arial"/>
        <family val="0"/>
        <charset val="1"/>
      </rPr>
      <t xml:space="preserve">)</t>
    </r>
  </si>
  <si>
    <r>
      <rPr>
        <b val="true"/>
        <sz val="10"/>
        <color rgb="FFFFFFFF"/>
        <rFont val="Noto Sans CJK SC"/>
        <family val="2"/>
      </rPr>
      <t xml:space="preserve">維持率</t>
    </r>
    <r>
      <rPr>
        <b val="true"/>
        <sz val="10"/>
        <color rgb="FFFFFFFF"/>
        <rFont val="Arial"/>
        <family val="0"/>
        <charset val="1"/>
      </rPr>
      <t xml:space="preserve">%(</t>
    </r>
    <r>
      <rPr>
        <b val="true"/>
        <sz val="10"/>
        <color rgb="FFFFFFFF"/>
        <rFont val="Noto Sans CJK SC"/>
        <family val="2"/>
      </rPr>
      <t xml:space="preserve">今</t>
    </r>
    <r>
      <rPr>
        <b val="true"/>
        <sz val="10"/>
        <color rgb="FFFFFFFF"/>
        <rFont val="Arial"/>
        <family val="0"/>
        <charset val="1"/>
      </rPr>
      <t xml:space="preserve">)</t>
    </r>
  </si>
  <si>
    <t xml:space="preserve">読み方</t>
  </si>
  <si>
    <r>
      <rPr>
        <sz val="9"/>
        <color rgb="FF595959"/>
        <rFont val="Noto Sans CJK SC"/>
        <family val="2"/>
      </rPr>
      <t xml:space="preserve">同一動画で </t>
    </r>
    <r>
      <rPr>
        <sz val="9"/>
        <color rgb="FF595959"/>
        <rFont val="Arial"/>
        <family val="0"/>
        <charset val="1"/>
      </rPr>
      <t xml:space="preserve">+2,446 </t>
    </r>
    <r>
      <rPr>
        <sz val="9"/>
        <color rgb="FF595959"/>
        <rFont val="Noto Sans CJK SC"/>
        <family val="2"/>
      </rPr>
      <t xml:space="preserve">再生。分母が増えたぶんの希釈で、実質は伸びている。</t>
    </r>
  </si>
  <si>
    <r>
      <rPr>
        <sz val="9"/>
        <color rgb="FF595959"/>
        <rFont val="Noto Sans CJK SC"/>
        <family val="2"/>
      </rPr>
      <t xml:space="preserve">同一動画で </t>
    </r>
    <r>
      <rPr>
        <sz val="9"/>
        <color rgb="FF595959"/>
        <rFont val="Arial"/>
        <family val="0"/>
        <charset val="1"/>
      </rPr>
      <t xml:space="preserve">+3,645 </t>
    </r>
    <r>
      <rPr>
        <sz val="9"/>
        <color rgb="FF595959"/>
        <rFont val="Noto Sans CJK SC"/>
        <family val="2"/>
      </rPr>
      <t xml:space="preserve">再生・登録</t>
    </r>
    <r>
      <rPr>
        <sz val="9"/>
        <color rgb="FF595959"/>
        <rFont val="Arial"/>
        <family val="0"/>
        <charset val="1"/>
      </rPr>
      <t xml:space="preserve">+0</t>
    </r>
    <r>
      <rPr>
        <sz val="9"/>
        <color rgb="FF595959"/>
        <rFont val="Noto Sans CJK SC"/>
        <family val="2"/>
      </rPr>
      <t xml:space="preserve">。本日の最大の下げ幅だが希釈が主因。いいね率は </t>
    </r>
    <r>
      <rPr>
        <sz val="9"/>
        <color rgb="FF595959"/>
        <rFont val="Arial"/>
        <family val="0"/>
        <charset val="1"/>
      </rPr>
      <t xml:space="preserve">+0.018 </t>
    </r>
    <r>
      <rPr>
        <sz val="9"/>
        <color rgb="FF595959"/>
        <rFont val="Noto Sans CJK SC"/>
        <family val="2"/>
      </rPr>
      <t xml:space="preserve">で全</t>
    </r>
    <r>
      <rPr>
        <sz val="9"/>
        <color rgb="FF595959"/>
        <rFont val="Arial"/>
        <family val="0"/>
        <charset val="1"/>
      </rPr>
      <t xml:space="preserve">ch</t>
    </r>
    <r>
      <rPr>
        <sz val="9"/>
        <color rgb="FF595959"/>
        <rFont val="Noto Sans CJK SC"/>
        <family val="2"/>
      </rPr>
      <t xml:space="preserve">最高を維持。</t>
    </r>
  </si>
  <si>
    <r>
      <rPr>
        <sz val="9"/>
        <color rgb="FF595959"/>
        <rFont val="Noto Sans CJK SC"/>
        <family val="2"/>
      </rPr>
      <t xml:space="preserve">いいね率 </t>
    </r>
    <r>
      <rPr>
        <sz val="9"/>
        <color rgb="FF595959"/>
        <rFont val="Arial"/>
        <family val="0"/>
        <charset val="1"/>
      </rPr>
      <t xml:space="preserve">-0.034 </t>
    </r>
    <r>
      <rPr>
        <sz val="9"/>
        <color rgb="FF595959"/>
        <rFont val="Noto Sans CJK SC"/>
        <family val="2"/>
      </rPr>
      <t xml:space="preserve">と登録 </t>
    </r>
    <r>
      <rPr>
        <sz val="9"/>
        <color rgb="FF595959"/>
        <rFont val="Arial"/>
        <family val="0"/>
        <charset val="1"/>
      </rPr>
      <t xml:space="preserve">-2 </t>
    </r>
    <r>
      <rPr>
        <sz val="9"/>
        <color rgb="FF595959"/>
        <rFont val="Noto Sans CJK SC"/>
        <family val="2"/>
      </rPr>
      <t xml:space="preserve">が同方向。</t>
    </r>
    <r>
      <rPr>
        <sz val="9"/>
        <color rgb="FF595959"/>
        <rFont val="Arial"/>
        <family val="0"/>
        <charset val="1"/>
      </rPr>
      <t xml:space="preserve">5ch</t>
    </r>
    <r>
      <rPr>
        <sz val="9"/>
        <color rgb="FF595959"/>
        <rFont val="Noto Sans CJK SC"/>
        <family val="2"/>
      </rPr>
      <t xml:space="preserve">中唯一 昼</t>
    </r>
    <r>
      <rPr>
        <sz val="9"/>
        <color rgb="FF595959"/>
        <rFont val="Arial"/>
        <family val="0"/>
        <charset val="1"/>
      </rPr>
      <t xml:space="preserve">&gt;</t>
    </r>
    <r>
      <rPr>
        <sz val="9"/>
        <color rgb="FF595959"/>
        <rFont val="Noto Sans CJK SC"/>
        <family val="2"/>
      </rPr>
      <t xml:space="preserve">夕 の </t>
    </r>
    <r>
      <rPr>
        <sz val="9"/>
        <color rgb="FF595959"/>
        <rFont val="Arial"/>
        <family val="0"/>
        <charset val="1"/>
      </rPr>
      <t xml:space="preserve">ch</t>
    </r>
    <r>
      <rPr>
        <sz val="9"/>
        <color rgb="FF595959"/>
        <rFont val="Noto Sans CJK SC"/>
        <family val="2"/>
      </rPr>
      <t xml:space="preserve">。</t>
    </r>
  </si>
  <si>
    <r>
      <rPr>
        <sz val="9"/>
        <color rgb="FF595959"/>
        <rFont val="Noto Sans CJK SC"/>
        <family val="2"/>
      </rPr>
      <t xml:space="preserve">同一動画で </t>
    </r>
    <r>
      <rPr>
        <sz val="9"/>
        <color rgb="FF595959"/>
        <rFont val="Arial"/>
        <family val="0"/>
        <charset val="1"/>
      </rPr>
      <t xml:space="preserve">+4,785 </t>
    </r>
    <r>
      <rPr>
        <sz val="9"/>
        <color rgb="FF595959"/>
        <rFont val="Noto Sans CJK SC"/>
        <family val="2"/>
      </rPr>
      <t xml:space="preserve">再生＝</t>
    </r>
    <r>
      <rPr>
        <sz val="9"/>
        <color rgb="FF595959"/>
        <rFont val="Arial"/>
        <family val="0"/>
        <charset val="1"/>
      </rPr>
      <t xml:space="preserve">5ch</t>
    </r>
    <r>
      <rPr>
        <sz val="9"/>
        <color rgb="FF595959"/>
        <rFont val="Noto Sans CJK SC"/>
        <family val="2"/>
      </rPr>
      <t xml:space="preserve">最大。</t>
    </r>
    <r>
      <rPr>
        <sz val="9"/>
        <color rgb="FF595959"/>
        <rFont val="Arial"/>
        <family val="0"/>
        <charset val="1"/>
      </rPr>
      <t xml:space="preserve">6</t>
    </r>
    <r>
      <rPr>
        <sz val="9"/>
        <color rgb="FF595959"/>
        <rFont val="Noto Sans CJK SC"/>
        <family val="2"/>
      </rPr>
      <t xml:space="preserve">日連続の微減だが下げ幅は最小</t>
    </r>
    <r>
      <rPr>
        <sz val="9"/>
        <color rgb="FF595959"/>
        <rFont val="Arial"/>
        <family val="0"/>
        <charset val="1"/>
      </rPr>
      <t xml:space="preserve">(-0.008)</t>
    </r>
    <r>
      <rPr>
        <sz val="9"/>
        <color rgb="FF595959"/>
        <rFont val="Noto Sans CJK SC"/>
        <family val="2"/>
      </rPr>
      <t xml:space="preserve">。</t>
    </r>
  </si>
  <si>
    <r>
      <rPr>
        <sz val="9"/>
        <color rgb="FF595959"/>
        <rFont val="Noto Sans CJK SC"/>
        <family val="2"/>
      </rPr>
      <t xml:space="preserve">前日と完全に横ばい。</t>
    </r>
    <r>
      <rPr>
        <sz val="9"/>
        <color rgb="FF595959"/>
        <rFont val="Arial"/>
        <family val="0"/>
        <charset val="1"/>
      </rPr>
      <t xml:space="preserve">09-13 </t>
    </r>
    <r>
      <rPr>
        <sz val="9"/>
        <color rgb="FF595959"/>
        <rFont val="Noto Sans CJK SC"/>
        <family val="2"/>
      </rPr>
      <t xml:space="preserve">以降</t>
    </r>
    <r>
      <rPr>
        <sz val="9"/>
        <color rgb="FF595959"/>
        <rFont val="Arial"/>
        <family val="0"/>
        <charset val="1"/>
      </rPr>
      <t xml:space="preserve">1</t>
    </r>
    <r>
      <rPr>
        <sz val="9"/>
        <color rgb="FF595959"/>
        <rFont val="Noto Sans CJK SC"/>
        <family val="2"/>
      </rPr>
      <t xml:space="preserve">本も公開していないため当然（</t>
    </r>
    <r>
      <rPr>
        <sz val="9"/>
        <color rgb="FF595959"/>
        <rFont val="Arial"/>
        <family val="0"/>
        <charset val="1"/>
      </rPr>
      <t xml:space="preserve">autopilot </t>
    </r>
    <r>
      <rPr>
        <sz val="9"/>
        <color rgb="FF595959"/>
        <rFont val="Noto Sans CJK SC"/>
        <family val="2"/>
      </rPr>
      <t xml:space="preserve">未発火）。</t>
    </r>
  </si>
  <si>
    <r>
      <rPr>
        <sz val="9"/>
        <color rgb="FF595959"/>
        <rFont val="Arial"/>
        <family val="0"/>
        <charset val="1"/>
      </rPr>
      <t xml:space="preserve">5</t>
    </r>
    <r>
      <rPr>
        <sz val="9"/>
        <color rgb="FF595959"/>
        <rFont val="Noto Sans CJK SC"/>
        <family val="2"/>
      </rPr>
      <t xml:space="preserve">本・登録</t>
    </r>
    <r>
      <rPr>
        <sz val="9"/>
        <color rgb="FF595959"/>
        <rFont val="Arial"/>
        <family val="0"/>
        <charset val="1"/>
      </rPr>
      <t xml:space="preserve">0</t>
    </r>
    <r>
      <rPr>
        <sz val="9"/>
        <color rgb="FF595959"/>
        <rFont val="Noto Sans CJK SC"/>
        <family val="2"/>
      </rPr>
      <t xml:space="preserve">。いいね率 </t>
    </r>
    <r>
      <rPr>
        <sz val="9"/>
        <color rgb="FF595959"/>
        <rFont val="Arial"/>
        <family val="0"/>
        <charset val="1"/>
      </rPr>
      <t xml:space="preserve">-0.586 </t>
    </r>
    <r>
      <rPr>
        <sz val="9"/>
        <color rgb="FF595959"/>
        <rFont val="Noto Sans CJK SC"/>
        <family val="2"/>
      </rPr>
      <t xml:space="preserve">は </t>
    </r>
    <r>
      <rPr>
        <sz val="9"/>
        <color rgb="FF595959"/>
        <rFont val="Arial"/>
        <family val="0"/>
        <charset val="1"/>
      </rPr>
      <t xml:space="preserve">n=5 </t>
    </r>
    <r>
      <rPr>
        <sz val="9"/>
        <color rgb="FF595959"/>
        <rFont val="Noto Sans CJK SC"/>
        <family val="2"/>
      </rPr>
      <t xml:space="preserve">の揺れで、意味を読んではいけない。</t>
    </r>
  </si>
  <si>
    <r>
      <rPr>
        <sz val="9"/>
        <color rgb="FF595959"/>
        <rFont val="Arial"/>
        <family val="0"/>
        <charset val="1"/>
      </rPr>
      <t xml:space="preserve">OAuth</t>
    </r>
    <r>
      <rPr>
        <sz val="9"/>
        <color rgb="FF595959"/>
        <rFont val="Noto Sans CJK SC"/>
        <family val="2"/>
      </rPr>
      <t xml:space="preserve">失効でスナップショットが動いていない＝前回と同一データ。</t>
    </r>
  </si>
  <si>
    <r>
      <rPr>
        <b val="true"/>
        <sz val="11"/>
        <rFont val="Noto Sans CJK SC"/>
        <family val="2"/>
      </rPr>
      <t xml:space="preserve">■ 前回 </t>
    </r>
    <r>
      <rPr>
        <b val="true"/>
        <sz val="11"/>
        <rFont val="Arial"/>
        <family val="0"/>
        <charset val="1"/>
      </rPr>
      <t xml:space="preserve">config </t>
    </r>
    <r>
      <rPr>
        <b val="true"/>
        <sz val="11"/>
        <rFont val="Noto Sans CJK SC"/>
        <family val="2"/>
      </rPr>
      <t xml:space="preserve">変更の効果検証（</t>
    </r>
    <r>
      <rPr>
        <b val="true"/>
        <sz val="11"/>
        <rFont val="Arial"/>
        <family val="0"/>
        <charset val="1"/>
      </rPr>
      <t xml:space="preserve">PDCA </t>
    </r>
    <r>
      <rPr>
        <b val="true"/>
        <sz val="11"/>
        <rFont val="Noto Sans CJK SC"/>
        <family val="2"/>
      </rPr>
      <t xml:space="preserve">の </t>
    </r>
    <r>
      <rPr>
        <b val="true"/>
        <sz val="11"/>
        <rFont val="Arial"/>
        <family val="0"/>
        <charset val="1"/>
      </rPr>
      <t xml:space="preserve">Check</t>
    </r>
    <r>
      <rPr>
        <b val="true"/>
        <sz val="11"/>
        <rFont val="Noto Sans CJK SC"/>
        <family val="2"/>
      </rPr>
      <t xml:space="preserve">）</t>
    </r>
  </si>
  <si>
    <t xml:space="preserve">実施日</t>
  </si>
  <si>
    <t xml:space="preserve">対象</t>
  </si>
  <si>
    <t xml:space="preserve">変更内容</t>
  </si>
  <si>
    <t xml:space="preserve">期待した効果</t>
  </si>
  <si>
    <t xml:space="preserve">実測</t>
  </si>
  <si>
    <t xml:space="preserve">次アクション</t>
  </si>
  <si>
    <t xml:space="preserve">scp-lab / pokemon-lab</t>
  </si>
  <si>
    <t xml:space="preserve">max_digit_groups 1 → 2</t>
  </si>
  <si>
    <r>
      <rPr>
        <sz val="9"/>
        <color rgb="FF595959"/>
        <rFont val="Arial"/>
        <family val="0"/>
        <charset val="1"/>
      </rPr>
      <t xml:space="preserve">scp-lab </t>
    </r>
    <r>
      <rPr>
        <sz val="9"/>
        <color rgb="FF595959"/>
        <rFont val="Noto Sans CJK SC"/>
        <family val="2"/>
      </rPr>
      <t xml:space="preserve">の枠到達率が </t>
    </r>
    <r>
      <rPr>
        <sz val="9"/>
        <color rgb="FF595959"/>
        <rFont val="Arial"/>
        <family val="0"/>
        <charset val="1"/>
      </rPr>
      <t xml:space="preserve">3/3 </t>
    </r>
    <r>
      <rPr>
        <sz val="9"/>
        <color rgb="FF595959"/>
        <rFont val="Noto Sans CJK SC"/>
        <family val="2"/>
      </rPr>
      <t xml:space="preserve">になる（</t>
    </r>
    <r>
      <rPr>
        <sz val="9"/>
        <color rgb="FF595959"/>
        <rFont val="Arial"/>
        <family val="0"/>
        <charset val="1"/>
      </rPr>
      <t xml:space="preserve">09-15 </t>
    </r>
    <r>
      <rPr>
        <sz val="9"/>
        <color rgb="FF595959"/>
        <rFont val="Noto Sans CJK SC"/>
        <family val="2"/>
      </rPr>
      <t xml:space="preserve">は </t>
    </r>
    <r>
      <rPr>
        <sz val="9"/>
        <color rgb="FF595959"/>
        <rFont val="Arial"/>
        <family val="0"/>
        <charset val="1"/>
      </rPr>
      <t xml:space="preserve">SCP-2718 </t>
    </r>
    <r>
      <rPr>
        <sz val="9"/>
        <color rgb="FF595959"/>
        <rFont val="Noto Sans CJK SC"/>
        <family val="2"/>
      </rPr>
      <t xml:space="preserve">が数字</t>
    </r>
    <r>
      <rPr>
        <sz val="9"/>
        <color rgb="FF595959"/>
        <rFont val="Arial"/>
        <family val="0"/>
        <charset val="1"/>
      </rPr>
      <t xml:space="preserve">2</t>
    </r>
    <r>
      <rPr>
        <sz val="9"/>
        <color rgb="FF595959"/>
        <rFont val="Noto Sans CJK SC"/>
        <family val="2"/>
      </rPr>
      <t xml:space="preserve">個で </t>
    </r>
    <r>
      <rPr>
        <sz val="9"/>
        <color rgb="FF595959"/>
        <rFont val="Arial"/>
        <family val="0"/>
        <charset val="1"/>
      </rPr>
      <t xml:space="preserve">publish_blocked </t>
    </r>
    <r>
      <rPr>
        <sz val="9"/>
        <color rgb="FF595959"/>
        <rFont val="Noto Sans CJK SC"/>
        <family val="2"/>
      </rPr>
      <t xml:space="preserve">となり</t>
    </r>
    <r>
      <rPr>
        <sz val="9"/>
        <color rgb="FF595959"/>
        <rFont val="Arial"/>
        <family val="0"/>
        <charset val="1"/>
      </rPr>
      <t xml:space="preserve">1</t>
    </r>
    <r>
      <rPr>
        <sz val="9"/>
        <color rgb="FF595959"/>
        <rFont val="Noto Sans CJK SC"/>
        <family val="2"/>
      </rPr>
      <t xml:space="preserve">枠喪失）</t>
    </r>
  </si>
  <si>
    <r>
      <rPr>
        <sz val="10"/>
        <rFont val="Arial"/>
        <family val="0"/>
        <charset val="1"/>
      </rPr>
      <t xml:space="preserve">scp-lab </t>
    </r>
    <r>
      <rPr>
        <sz val="10"/>
        <rFont val="Noto Sans CJK SC"/>
        <family val="2"/>
      </rPr>
      <t xml:space="preserve">の </t>
    </r>
    <r>
      <rPr>
        <sz val="10"/>
        <rFont val="Arial"/>
        <family val="0"/>
        <charset val="1"/>
      </rPr>
      <t xml:space="preserve">09-16 </t>
    </r>
    <r>
      <rPr>
        <sz val="10"/>
        <rFont val="Noto Sans CJK SC"/>
        <family val="2"/>
      </rPr>
      <t xml:space="preserve">公開は </t>
    </r>
    <r>
      <rPr>
        <sz val="10"/>
        <rFont val="Arial"/>
        <family val="0"/>
        <charset val="1"/>
      </rPr>
      <t xml:space="preserve">3</t>
    </r>
    <r>
      <rPr>
        <sz val="10"/>
        <rFont val="Noto Sans CJK SC"/>
        <family val="2"/>
      </rPr>
      <t xml:space="preserve">本＝</t>
    </r>
    <r>
      <rPr>
        <sz val="10"/>
        <rFont val="Arial"/>
        <family val="0"/>
        <charset val="1"/>
      </rPr>
      <t xml:space="preserve">3/3 </t>
    </r>
    <r>
      <rPr>
        <sz val="10"/>
        <rFont val="Noto Sans CJK SC"/>
        <family val="2"/>
      </rPr>
      <t xml:space="preserve">で枠到達。</t>
    </r>
    <r>
      <rPr>
        <sz val="10"/>
        <rFont val="Arial"/>
        <family val="0"/>
        <charset val="1"/>
      </rPr>
      <t xml:space="preserve">publish_blocked </t>
    </r>
    <r>
      <rPr>
        <sz val="10"/>
        <rFont val="Noto Sans CJK SC"/>
        <family val="2"/>
      </rPr>
      <t xml:space="preserve">の新規発生は</t>
    </r>
    <r>
      <rPr>
        <sz val="10"/>
        <rFont val="Arial"/>
        <family val="0"/>
        <charset val="1"/>
      </rPr>
      <t xml:space="preserve">0</t>
    </r>
    <r>
      <rPr>
        <sz val="10"/>
        <rFont val="Noto Sans CJK SC"/>
        <family val="2"/>
      </rPr>
      <t xml:space="preserve">件。</t>
    </r>
  </si>
  <si>
    <t xml:space="preserve">○ 効果あり</t>
  </si>
  <si>
    <r>
      <rPr>
        <sz val="9"/>
        <color rgb="FF595959"/>
        <rFont val="Noto Sans CJK SC"/>
        <family val="2"/>
      </rPr>
      <t xml:space="preserve">継続。</t>
    </r>
    <r>
      <rPr>
        <sz val="9"/>
        <color rgb="FF595959"/>
        <rFont val="Arial"/>
        <family val="0"/>
        <charset val="1"/>
      </rPr>
      <t xml:space="preserve">pokemon-lab </t>
    </r>
    <r>
      <rPr>
        <sz val="9"/>
        <color rgb="FF595959"/>
        <rFont val="Noto Sans CJK SC"/>
        <family val="2"/>
      </rPr>
      <t xml:space="preserve">は </t>
    </r>
    <r>
      <rPr>
        <sz val="9"/>
        <color rgb="FF595959"/>
        <rFont val="Arial"/>
        <family val="0"/>
        <charset val="1"/>
      </rPr>
      <t xml:space="preserve">autopilot </t>
    </r>
    <r>
      <rPr>
        <sz val="9"/>
        <color rgb="FF595959"/>
        <rFont val="Noto Sans CJK SC"/>
        <family val="2"/>
      </rPr>
      <t xml:space="preserve">停止中のため未検証。</t>
    </r>
  </si>
  <si>
    <t xml:space="preserve">autopilot.enabled false → true</t>
  </si>
  <si>
    <r>
      <rPr>
        <sz val="9"/>
        <color rgb="FF595959"/>
        <rFont val="Arial"/>
        <family val="0"/>
        <charset val="1"/>
      </rPr>
      <t xml:space="preserve">1</t>
    </r>
    <r>
      <rPr>
        <sz val="9"/>
        <color rgb="FF595959"/>
        <rFont val="Noto Sans CJK SC"/>
        <family val="2"/>
      </rPr>
      <t xml:space="preserve">日</t>
    </r>
    <r>
      <rPr>
        <sz val="9"/>
        <color rgb="FF595959"/>
        <rFont val="Arial"/>
        <family val="0"/>
        <charset val="1"/>
      </rPr>
      <t xml:space="preserve">3</t>
    </r>
    <r>
      <rPr>
        <sz val="9"/>
        <color rgb="FF595959"/>
        <rFont val="Noto Sans CJK SC"/>
        <family val="2"/>
      </rPr>
      <t xml:space="preserve">枠・約 </t>
    </r>
    <r>
      <rPr>
        <sz val="9"/>
        <color rgb="FF595959"/>
        <rFont val="Arial"/>
        <family val="0"/>
        <charset val="1"/>
      </rPr>
      <t xml:space="preserve">+0.7 </t>
    </r>
    <r>
      <rPr>
        <sz val="9"/>
        <color rgb="FF595959"/>
        <rFont val="Noto Sans CJK SC"/>
        <family val="2"/>
      </rPr>
      <t xml:space="preserve">登録</t>
    </r>
    <r>
      <rPr>
        <sz val="9"/>
        <color rgb="FF595959"/>
        <rFont val="Arial"/>
        <family val="0"/>
        <charset val="1"/>
      </rPr>
      <t xml:space="preserve">/</t>
    </r>
    <r>
      <rPr>
        <sz val="9"/>
        <color rgb="FF595959"/>
        <rFont val="Noto Sans CJK SC"/>
        <family val="2"/>
      </rPr>
      <t xml:space="preserve">日 の上積み</t>
    </r>
  </si>
  <si>
    <r>
      <rPr>
        <sz val="10"/>
        <rFont val="Arial"/>
        <family val="0"/>
        <charset val="1"/>
      </rPr>
      <t xml:space="preserve">09-16 </t>
    </r>
    <r>
      <rPr>
        <sz val="10"/>
        <rFont val="Noto Sans CJK SC"/>
        <family val="2"/>
      </rPr>
      <t xml:space="preserve">の</t>
    </r>
    <r>
      <rPr>
        <sz val="10"/>
        <rFont val="Arial"/>
        <family val="0"/>
        <charset val="1"/>
      </rPr>
      <t xml:space="preserve">3</t>
    </r>
    <r>
      <rPr>
        <sz val="10"/>
        <rFont val="Noto Sans CJK SC"/>
        <family val="2"/>
      </rPr>
      <t xml:space="preserve">枠・</t>
    </r>
    <r>
      <rPr>
        <sz val="10"/>
        <rFont val="Arial"/>
        <family val="0"/>
        <charset val="1"/>
      </rPr>
      <t xml:space="preserve">09-17 07:30 </t>
    </r>
    <r>
      <rPr>
        <sz val="10"/>
        <rFont val="Noto Sans CJK SC"/>
        <family val="2"/>
      </rPr>
      <t xml:space="preserve">とも発火</t>
    </r>
    <r>
      <rPr>
        <sz val="10"/>
        <rFont val="Arial"/>
        <family val="0"/>
        <charset val="1"/>
      </rPr>
      <t xml:space="preserve">0</t>
    </r>
    <r>
      <rPr>
        <sz val="10"/>
        <rFont val="Noto Sans CJK SC"/>
        <family val="2"/>
      </rPr>
      <t xml:space="preserve">回・公開</t>
    </r>
    <r>
      <rPr>
        <sz val="10"/>
        <rFont val="Arial"/>
        <family val="0"/>
        <charset val="1"/>
      </rPr>
      <t xml:space="preserve">0</t>
    </r>
    <r>
      <rPr>
        <sz val="10"/>
        <rFont val="Noto Sans CJK SC"/>
        <family val="2"/>
      </rPr>
      <t xml:space="preserve">本。</t>
    </r>
    <r>
      <rPr>
        <sz val="10"/>
        <rFont val="Arial"/>
        <family val="0"/>
        <charset val="1"/>
      </rPr>
      <t xml:space="preserve">backend.log </t>
    </r>
    <r>
      <rPr>
        <sz val="10"/>
        <rFont val="Noto Sans CJK SC"/>
        <family val="2"/>
      </rPr>
      <t xml:space="preserve">に </t>
    </r>
    <r>
      <rPr>
        <sz val="10"/>
        <rFont val="Arial"/>
        <family val="0"/>
        <charset val="1"/>
      </rPr>
      <t xml:space="preserve">"Autopilot fired for 2ch-matome" </t>
    </r>
    <r>
      <rPr>
        <sz val="10"/>
        <rFont val="Noto Sans CJK SC"/>
        <family val="2"/>
      </rPr>
      <t xml:space="preserve">が皆無。</t>
    </r>
  </si>
  <si>
    <r>
      <rPr>
        <b val="true"/>
        <sz val="10"/>
        <rFont val="Arial"/>
        <family val="0"/>
        <charset val="1"/>
      </rPr>
      <t xml:space="preserve">× </t>
    </r>
    <r>
      <rPr>
        <b val="true"/>
        <sz val="10"/>
        <rFont val="Noto Sans CJK SC"/>
        <family val="2"/>
      </rPr>
      <t xml:space="preserve">効果ゼロ（施策の是非以前にバグ）</t>
    </r>
  </si>
  <si>
    <r>
      <rPr>
        <sz val="9"/>
        <color rgb="FF595959"/>
        <rFont val="Arial"/>
        <family val="0"/>
        <charset val="1"/>
      </rPr>
      <t xml:space="preserve">config </t>
    </r>
    <r>
      <rPr>
        <sz val="9"/>
        <color rgb="FF595959"/>
        <rFont val="Noto Sans CJK SC"/>
        <family val="2"/>
      </rPr>
      <t xml:space="preserve">は据え置き。バックエンド再起動後に再計測。</t>
    </r>
  </si>
  <si>
    <t xml:space="preserve">6ch</t>
  </si>
  <si>
    <r>
      <rPr>
        <sz val="10"/>
        <rFont val="Arial"/>
        <family val="0"/>
        <charset val="1"/>
      </rPr>
      <t xml:space="preserve">optimization._retention_note</t>
    </r>
    <r>
      <rPr>
        <sz val="10"/>
        <rFont val="Noto Sans CJK SC"/>
        <family val="2"/>
      </rPr>
      <t xml:space="preserve">（</t>
    </r>
    <r>
      <rPr>
        <sz val="10"/>
        <rFont val="Arial"/>
        <family val="0"/>
        <charset val="1"/>
      </rPr>
      <t xml:space="preserve">70%</t>
    </r>
    <r>
      <rPr>
        <sz val="10"/>
        <rFont val="Noto Sans CJK SC"/>
        <family val="2"/>
      </rPr>
      <t xml:space="preserve">帯は再現せず）</t>
    </r>
  </si>
  <si>
    <r>
      <rPr>
        <sz val="9"/>
        <color rgb="FF595959"/>
        <rFont val="Noto Sans CJK SC"/>
        <family val="2"/>
      </rPr>
      <t xml:space="preserve">維持率</t>
    </r>
    <r>
      <rPr>
        <sz val="9"/>
        <color rgb="FF595959"/>
        <rFont val="Arial"/>
        <family val="0"/>
        <charset val="1"/>
      </rPr>
      <t xml:space="preserve">70%</t>
    </r>
    <r>
      <rPr>
        <sz val="9"/>
        <color rgb="FF595959"/>
        <rFont val="Noto Sans CJK SC"/>
        <family val="2"/>
      </rPr>
      <t xml:space="preserve">超を目標にしないという方針の明文化</t>
    </r>
  </si>
  <si>
    <r>
      <rPr>
        <sz val="10"/>
        <rFont val="Noto Sans CJK SC"/>
        <family val="2"/>
      </rPr>
      <t xml:space="preserve">本日の維持率バンドも頂点は </t>
    </r>
    <r>
      <rPr>
        <sz val="10"/>
        <rFont val="Arial"/>
        <family val="0"/>
        <charset val="1"/>
      </rPr>
      <t xml:space="preserve">40-50%(0.629)</t>
    </r>
    <r>
      <rPr>
        <sz val="10"/>
        <rFont val="Noto Sans CJK SC"/>
        <family val="2"/>
      </rPr>
      <t xml:space="preserve">、</t>
    </r>
    <r>
      <rPr>
        <sz val="10"/>
        <rFont val="Arial"/>
        <family val="0"/>
        <charset val="1"/>
      </rPr>
      <t xml:space="preserve">70%+ </t>
    </r>
    <r>
      <rPr>
        <sz val="10"/>
        <rFont val="Noto Sans CJK SC"/>
        <family val="2"/>
      </rPr>
      <t xml:space="preserve">は </t>
    </r>
    <r>
      <rPr>
        <sz val="10"/>
        <rFont val="Arial"/>
        <family val="0"/>
        <charset val="1"/>
      </rPr>
      <t xml:space="preserve">0.536 </t>
    </r>
    <r>
      <rPr>
        <sz val="10"/>
        <rFont val="Noto Sans CJK SC"/>
        <family val="2"/>
      </rPr>
      <t xml:space="preserve">で </t>
    </r>
    <r>
      <rPr>
        <sz val="10"/>
        <rFont val="Arial"/>
        <family val="0"/>
        <charset val="1"/>
      </rPr>
      <t xml:space="preserve">4</t>
    </r>
    <r>
      <rPr>
        <sz val="10"/>
        <rFont val="Noto Sans CJK SC"/>
        <family val="2"/>
      </rPr>
      <t xml:space="preserve">日連続再現。</t>
    </r>
  </si>
  <si>
    <t xml:space="preserve">○ 記述は実測と整合</t>
  </si>
  <si>
    <t xml:space="preserve">維持率を目的関数にしない方針を継続。</t>
  </si>
  <si>
    <t xml:space="preserve">5ch</t>
  </si>
  <si>
    <r>
      <rPr>
        <sz val="10"/>
        <rFont val="Noto Sans CJK SC"/>
        <family val="2"/>
      </rPr>
      <t xml:space="preserve">投稿枠の再編（</t>
    </r>
    <r>
      <rPr>
        <sz val="10"/>
        <rFont val="Arial"/>
        <family val="0"/>
        <charset val="1"/>
      </rPr>
      <t xml:space="preserve">17</t>
    </r>
    <r>
      <rPr>
        <sz val="10"/>
        <rFont val="Noto Sans CJK SC"/>
        <family val="2"/>
      </rPr>
      <t xml:space="preserve">時中心へ）</t>
    </r>
  </si>
  <si>
    <r>
      <rPr>
        <sz val="9"/>
        <color rgb="FF595959"/>
        <rFont val="Arial"/>
        <family val="0"/>
        <charset val="1"/>
      </rPr>
      <t xml:space="preserve">17</t>
    </r>
    <r>
      <rPr>
        <sz val="9"/>
        <color rgb="FF595959"/>
        <rFont val="Noto Sans CJK SC"/>
        <family val="2"/>
      </rPr>
      <t xml:space="preserve">時枠の登録効率が他時刻を上回る</t>
    </r>
  </si>
  <si>
    <r>
      <rPr>
        <sz val="10"/>
        <rFont val="Arial"/>
        <family val="0"/>
        <charset val="1"/>
      </rPr>
      <t xml:space="preserve">17</t>
    </r>
    <r>
      <rPr>
        <sz val="10"/>
        <rFont val="Noto Sans CJK SC"/>
        <family val="2"/>
      </rPr>
      <t xml:space="preserve">時は </t>
    </r>
    <r>
      <rPr>
        <sz val="10"/>
        <rFont val="Arial"/>
        <family val="0"/>
        <charset val="1"/>
      </rPr>
      <t xml:space="preserve">5/5ch </t>
    </r>
    <r>
      <rPr>
        <sz val="10"/>
        <rFont val="Noto Sans CJK SC"/>
        <family val="2"/>
      </rPr>
      <t xml:space="preserve">で測定でき </t>
    </r>
    <r>
      <rPr>
        <sz val="10"/>
        <rFont val="Arial"/>
        <family val="0"/>
        <charset val="1"/>
      </rPr>
      <t xml:space="preserve">ch</t>
    </r>
    <r>
      <rPr>
        <sz val="10"/>
        <rFont val="Noto Sans CJK SC"/>
        <family val="2"/>
      </rPr>
      <t xml:space="preserve">固定効果 中央値</t>
    </r>
    <r>
      <rPr>
        <sz val="10"/>
        <rFont val="Arial"/>
        <family val="0"/>
        <charset val="1"/>
      </rPr>
      <t xml:space="preserve">1.67</t>
    </r>
    <r>
      <rPr>
        <sz val="10"/>
        <rFont val="Noto Sans CJK SC"/>
        <family val="2"/>
      </rPr>
      <t xml:space="preserve">倍・加重</t>
    </r>
    <r>
      <rPr>
        <sz val="10"/>
        <rFont val="Arial"/>
        <family val="0"/>
        <charset val="1"/>
      </rPr>
      <t xml:space="preserve">1.47</t>
    </r>
    <r>
      <rPr>
        <sz val="10"/>
        <rFont val="Noto Sans CJK SC"/>
        <family val="2"/>
      </rPr>
      <t xml:space="preserve">倍で全時刻中最良。</t>
    </r>
    <r>
      <rPr>
        <sz val="10"/>
        <rFont val="Arial"/>
        <family val="0"/>
        <charset val="1"/>
      </rPr>
      <t xml:space="preserve">4/5ch </t>
    </r>
    <r>
      <rPr>
        <sz val="10"/>
        <rFont val="Noto Sans CJK SC"/>
        <family val="2"/>
      </rPr>
      <t xml:space="preserve">で自</t>
    </r>
    <r>
      <rPr>
        <sz val="10"/>
        <rFont val="Arial"/>
        <family val="0"/>
        <charset val="1"/>
      </rPr>
      <t xml:space="preserve">ch</t>
    </r>
    <r>
      <rPr>
        <sz val="10"/>
        <rFont val="Noto Sans CJK SC"/>
        <family val="2"/>
      </rPr>
      <t xml:space="preserve">平均超（例外は </t>
    </r>
    <r>
      <rPr>
        <sz val="10"/>
        <rFont val="Arial"/>
        <family val="0"/>
        <charset val="1"/>
      </rPr>
      <t xml:space="preserve">yokai-watch 0.65</t>
    </r>
    <r>
      <rPr>
        <sz val="10"/>
        <rFont val="Noto Sans CJK SC"/>
        <family val="2"/>
      </rPr>
      <t xml:space="preserve">）。</t>
    </r>
  </si>
  <si>
    <r>
      <rPr>
        <b val="true"/>
        <sz val="10"/>
        <rFont val="Noto Sans CJK SC"/>
        <family val="2"/>
      </rPr>
      <t xml:space="preserve">○ 再現（</t>
    </r>
    <r>
      <rPr>
        <b val="true"/>
        <sz val="10"/>
        <rFont val="Arial"/>
        <family val="0"/>
        <charset val="1"/>
      </rPr>
      <t xml:space="preserve">3</t>
    </r>
    <r>
      <rPr>
        <b val="true"/>
        <sz val="10"/>
        <rFont val="Noto Sans CJK SC"/>
        <family val="2"/>
      </rPr>
      <t xml:space="preserve">日連続）</t>
    </r>
  </si>
  <si>
    <r>
      <rPr>
        <sz val="9"/>
        <color rgb="FF595959"/>
        <rFont val="Arial"/>
        <family val="0"/>
        <charset val="1"/>
      </rPr>
      <t xml:space="preserve">17</t>
    </r>
    <r>
      <rPr>
        <sz val="9"/>
        <color rgb="FF595959"/>
        <rFont val="Noto Sans CJK SC"/>
        <family val="2"/>
      </rPr>
      <t xml:space="preserve">時は維持。</t>
    </r>
    <r>
      <rPr>
        <sz val="9"/>
        <color rgb="FF595959"/>
        <rFont val="Arial"/>
        <family val="0"/>
        <charset val="1"/>
      </rPr>
      <t xml:space="preserve">yokai-watch </t>
    </r>
    <r>
      <rPr>
        <sz val="9"/>
        <color rgb="FF595959"/>
        <rFont val="Noto Sans CJK SC"/>
        <family val="2"/>
      </rPr>
      <t xml:space="preserve">だけ例外として扱う。</t>
    </r>
  </si>
  <si>
    <t xml:space="preserve">daily-science / company-facts</t>
  </si>
  <si>
    <r>
      <rPr>
        <sz val="10"/>
        <rFont val="Arial"/>
        <family val="0"/>
        <charset val="1"/>
      </rPr>
      <t xml:space="preserve">15:00 </t>
    </r>
    <r>
      <rPr>
        <sz val="10"/>
        <rFont val="Noto Sans CJK SC"/>
        <family val="2"/>
      </rPr>
      <t xml:space="preserve">枠の新設</t>
    </r>
  </si>
  <si>
    <r>
      <rPr>
        <sz val="9"/>
        <color rgb="FF595959"/>
        <rFont val="Arial"/>
        <family val="0"/>
        <charset val="1"/>
      </rPr>
      <t xml:space="preserve">15</t>
    </r>
    <r>
      <rPr>
        <sz val="9"/>
        <color rgb="FF595959"/>
        <rFont val="Noto Sans CJK SC"/>
        <family val="2"/>
      </rPr>
      <t xml:space="preserve">時が使える時刻かどうか</t>
    </r>
  </si>
  <si>
    <r>
      <rPr>
        <sz val="10"/>
        <rFont val="Arial"/>
        <family val="0"/>
        <charset val="1"/>
      </rPr>
      <t xml:space="preserve">15</t>
    </r>
    <r>
      <rPr>
        <sz val="10"/>
        <rFont val="Noto Sans CJK SC"/>
        <family val="2"/>
      </rPr>
      <t xml:space="preserve">時は </t>
    </r>
    <r>
      <rPr>
        <sz val="10"/>
        <rFont val="Arial"/>
        <family val="0"/>
        <charset val="1"/>
      </rPr>
      <t xml:space="preserve">n=5 </t>
    </r>
    <r>
      <rPr>
        <sz val="10"/>
        <rFont val="Noto Sans CJK SC"/>
        <family val="2"/>
      </rPr>
      <t xml:space="preserve">までしか増えず、</t>
    </r>
    <r>
      <rPr>
        <sz val="10"/>
        <rFont val="Arial"/>
        <family val="0"/>
        <charset val="1"/>
      </rPr>
      <t xml:space="preserve">ch</t>
    </r>
    <r>
      <rPr>
        <sz val="10"/>
        <rFont val="Noto Sans CJK SC"/>
        <family val="2"/>
      </rPr>
      <t xml:space="preserve">固定効果の掲載基準（</t>
    </r>
    <r>
      <rPr>
        <sz val="10"/>
        <rFont val="Arial"/>
        <family val="0"/>
        <charset val="1"/>
      </rPr>
      <t xml:space="preserve">2ch</t>
    </r>
    <r>
      <rPr>
        <sz val="10"/>
        <rFont val="Noto Sans CJK SC"/>
        <family val="2"/>
      </rPr>
      <t xml:space="preserve">以上で </t>
    </r>
    <r>
      <rPr>
        <sz val="10"/>
        <rFont val="Arial"/>
        <family val="0"/>
        <charset val="1"/>
      </rPr>
      <t xml:space="preserve">n&gt;=3</t>
    </r>
    <r>
      <rPr>
        <sz val="10"/>
        <rFont val="Noto Sans CJK SC"/>
        <family val="2"/>
      </rPr>
      <t xml:space="preserve">）に届かない。</t>
    </r>
  </si>
  <si>
    <t xml:space="preserve">△ 判定不能</t>
  </si>
  <si>
    <r>
      <rPr>
        <sz val="9"/>
        <color rgb="FF595959"/>
        <rFont val="Arial"/>
        <family val="0"/>
        <charset val="1"/>
      </rPr>
      <t xml:space="preserve">09-24 </t>
    </r>
    <r>
      <rPr>
        <sz val="9"/>
        <color rgb="FF595959"/>
        <rFont val="Noto Sans CJK SC"/>
        <family val="2"/>
      </rPr>
      <t xml:space="preserve">まで保留。</t>
    </r>
    <r>
      <rPr>
        <sz val="9"/>
        <color rgb="FF595959"/>
        <rFont val="Arial"/>
        <family val="0"/>
        <charset val="1"/>
      </rPr>
      <t xml:space="preserve">09-15 </t>
    </r>
    <r>
      <rPr>
        <sz val="9"/>
        <color rgb="FF595959"/>
        <rFont val="Noto Sans CJK SC"/>
        <family val="2"/>
      </rPr>
      <t xml:space="preserve">の「</t>
    </r>
    <r>
      <rPr>
        <sz val="9"/>
        <color rgb="FF595959"/>
        <rFont val="Arial"/>
        <family val="0"/>
        <charset val="1"/>
      </rPr>
      <t xml:space="preserve">15</t>
    </r>
    <r>
      <rPr>
        <sz val="9"/>
        <color rgb="FF595959"/>
        <rFont val="Noto Sans CJK SC"/>
        <family val="2"/>
      </rPr>
      <t xml:space="preserve">時が悪化」も母集団が変更前なので無効。</t>
    </r>
  </si>
  <si>
    <t xml:space="preserve">■ 指標の安定性（再現しているか／崩れたか）</t>
  </si>
  <si>
    <t xml:space="preserve">指標</t>
  </si>
  <si>
    <t xml:space="preserve">09-08</t>
  </si>
  <si>
    <r>
      <rPr>
        <b val="true"/>
        <sz val="10"/>
        <rFont val="Noto Sans CJK SC"/>
        <family val="2"/>
      </rPr>
      <t xml:space="preserve">いいね率 </t>
    </r>
    <r>
      <rPr>
        <b val="true"/>
        <sz val="10"/>
        <rFont val="Arial"/>
        <family val="0"/>
        <charset val="1"/>
      </rPr>
      <t xml:space="preserve">ch</t>
    </r>
    <r>
      <rPr>
        <b val="true"/>
        <sz val="10"/>
        <rFont val="Noto Sans CJK SC"/>
        <family val="2"/>
      </rPr>
      <t xml:space="preserve">内対照 一致</t>
    </r>
    <r>
      <rPr>
        <b val="true"/>
        <sz val="10"/>
        <rFont val="Arial"/>
        <family val="0"/>
        <charset val="1"/>
      </rPr>
      <t xml:space="preserve">ch</t>
    </r>
    <r>
      <rPr>
        <b val="true"/>
        <sz val="10"/>
        <rFont val="Noto Sans CJK SC"/>
        <family val="2"/>
      </rPr>
      <t xml:space="preserve">数</t>
    </r>
  </si>
  <si>
    <t xml:space="preserve">5/5</t>
  </si>
  <si>
    <t xml:space="preserve">4/5</t>
  </si>
  <si>
    <t xml:space="preserve">3/5</t>
  </si>
  <si>
    <r>
      <rPr>
        <sz val="9"/>
        <color rgb="FF595959"/>
        <rFont val="Arial"/>
        <family val="0"/>
        <charset val="1"/>
      </rPr>
      <t xml:space="preserve">5→4→4→3→3 </t>
    </r>
    <r>
      <rPr>
        <sz val="9"/>
        <color rgb="FF595959"/>
        <rFont val="Noto Sans CJK SC"/>
        <family val="2"/>
      </rPr>
      <t xml:space="preserve">と単調に落ちている。「符号が反転しない」は誤りで、</t>
    </r>
    <r>
      <rPr>
        <sz val="9"/>
        <color rgb="FF595959"/>
        <rFont val="Arial"/>
        <family val="0"/>
        <charset val="1"/>
      </rPr>
      <t xml:space="preserve">2ch-matome </t>
    </r>
    <r>
      <rPr>
        <sz val="9"/>
        <color rgb="FF595959"/>
        <rFont val="Noto Sans CJK SC"/>
        <family val="2"/>
      </rPr>
      <t xml:space="preserve">は</t>
    </r>
    <r>
      <rPr>
        <sz val="9"/>
        <color rgb="FF595959"/>
        <rFont val="Arial"/>
        <family val="0"/>
        <charset val="1"/>
      </rPr>
      <t xml:space="preserve">4</t>
    </r>
    <r>
      <rPr>
        <sz val="9"/>
        <color rgb="FF595959"/>
        <rFont val="Noto Sans CJK SC"/>
        <family val="2"/>
      </rPr>
      <t xml:space="preserve">スナップショット連続で逆。</t>
    </r>
  </si>
  <si>
    <r>
      <rPr>
        <b val="true"/>
        <sz val="10"/>
        <rFont val="Noto Sans CJK SC"/>
        <family val="2"/>
      </rPr>
      <t xml:space="preserve">維持率 </t>
    </r>
    <r>
      <rPr>
        <b val="true"/>
        <sz val="10"/>
        <rFont val="Arial"/>
        <family val="0"/>
        <charset val="1"/>
      </rPr>
      <t xml:space="preserve">ch</t>
    </r>
    <r>
      <rPr>
        <b val="true"/>
        <sz val="10"/>
        <rFont val="Noto Sans CJK SC"/>
        <family val="2"/>
      </rPr>
      <t xml:space="preserve">内対照 一致</t>
    </r>
    <r>
      <rPr>
        <b val="true"/>
        <sz val="10"/>
        <rFont val="Arial"/>
        <family val="0"/>
        <charset val="1"/>
      </rPr>
      <t xml:space="preserve">ch</t>
    </r>
    <r>
      <rPr>
        <b val="true"/>
        <sz val="10"/>
        <rFont val="Noto Sans CJK SC"/>
        <family val="2"/>
      </rPr>
      <t xml:space="preserve">数</t>
    </r>
  </si>
  <si>
    <r>
      <rPr>
        <sz val="9"/>
        <color rgb="FF595959"/>
        <rFont val="Arial"/>
        <family val="0"/>
        <charset val="1"/>
      </rPr>
      <t xml:space="preserve">3→5→5→5→4</t>
    </r>
    <r>
      <rPr>
        <sz val="9"/>
        <color rgb="FF595959"/>
        <rFont val="Noto Sans CJK SC"/>
        <family val="2"/>
      </rPr>
      <t xml:space="preserve">。本日 </t>
    </r>
    <r>
      <rPr>
        <sz val="9"/>
        <color rgb="FF595959"/>
        <rFont val="Arial"/>
        <family val="0"/>
        <charset val="1"/>
      </rPr>
      <t xml:space="preserve">daily-science </t>
    </r>
    <r>
      <rPr>
        <sz val="9"/>
        <color rgb="FF595959"/>
        <rFont val="Noto Sans CJK SC"/>
        <family val="2"/>
      </rPr>
      <t xml:space="preserve">が初めて逆転（</t>
    </r>
    <r>
      <rPr>
        <sz val="9"/>
        <color rgb="FF595959"/>
        <rFont val="Arial"/>
        <family val="0"/>
        <charset val="1"/>
      </rPr>
      <t xml:space="preserve">0.633→0.623 </t>
    </r>
    <r>
      <rPr>
        <sz val="9"/>
        <color rgb="FF595959"/>
        <rFont val="Noto Sans CJK SC"/>
        <family val="2"/>
      </rPr>
      <t xml:space="preserve">と僅差）。維持率も全</t>
    </r>
    <r>
      <rPr>
        <sz val="9"/>
        <color rgb="FF595959"/>
        <rFont val="Arial"/>
        <family val="0"/>
        <charset val="1"/>
      </rPr>
      <t xml:space="preserve">ch</t>
    </r>
    <r>
      <rPr>
        <sz val="9"/>
        <color rgb="FF595959"/>
        <rFont val="Noto Sans CJK SC"/>
        <family val="2"/>
      </rPr>
      <t xml:space="preserve">一致ではなくなったので、いいね率から乗り換える根拠は本日もできていない。</t>
    </r>
  </si>
  <si>
    <r>
      <rPr>
        <b val="true"/>
        <sz val="10"/>
        <rFont val="Noto Sans CJK SC"/>
        <family val="2"/>
      </rPr>
      <t xml:space="preserve">いいね率</t>
    </r>
    <r>
      <rPr>
        <b val="true"/>
        <sz val="10"/>
        <rFont val="Arial"/>
        <family val="0"/>
        <charset val="1"/>
      </rPr>
      <t xml:space="preserve">4</t>
    </r>
    <r>
      <rPr>
        <b val="true"/>
        <sz val="10"/>
        <rFont val="Noto Sans CJK SC"/>
        <family val="2"/>
      </rPr>
      <t xml:space="preserve">分位 </t>
    </r>
    <r>
      <rPr>
        <b val="true"/>
        <sz val="10"/>
        <rFont val="Arial"/>
        <family val="0"/>
        <charset val="1"/>
      </rPr>
      <t xml:space="preserve">Q4/Q1</t>
    </r>
  </si>
  <si>
    <r>
      <rPr>
        <sz val="9"/>
        <color rgb="FF595959"/>
        <rFont val="Noto Sans CJK SC"/>
        <family val="2"/>
      </rPr>
      <t xml:space="preserve">単調性は前回 </t>
    </r>
    <r>
      <rPr>
        <sz val="9"/>
        <color rgb="FF595959"/>
        <rFont val="Arial"/>
        <family val="0"/>
        <charset val="1"/>
      </rPr>
      <t xml:space="preserve">False → </t>
    </r>
    <r>
      <rPr>
        <sz val="9"/>
        <color rgb="FF595959"/>
        <rFont val="Noto Sans CJK SC"/>
        <family val="2"/>
      </rPr>
      <t xml:space="preserve">今回 </t>
    </r>
    <r>
      <rPr>
        <sz val="9"/>
        <color rgb="FF595959"/>
        <rFont val="Arial"/>
        <family val="0"/>
        <charset val="1"/>
      </rPr>
      <t xml:space="preserve">False</t>
    </r>
    <r>
      <rPr>
        <sz val="9"/>
        <color rgb="FF595959"/>
        <rFont val="Noto Sans CJK SC"/>
        <family val="2"/>
      </rPr>
      <t xml:space="preserve">。</t>
    </r>
    <r>
      <rPr>
        <sz val="9"/>
        <color rgb="FF595959"/>
        <rFont val="Arial"/>
        <family val="0"/>
        <charset val="1"/>
      </rPr>
      <t xml:space="preserve">Q2&gt;Q3 </t>
    </r>
    <r>
      <rPr>
        <sz val="9"/>
        <color rgb="FF595959"/>
        <rFont val="Noto Sans CJK SC"/>
        <family val="2"/>
      </rPr>
      <t xml:space="preserve">の逆転が</t>
    </r>
    <r>
      <rPr>
        <sz val="9"/>
        <color rgb="FF595959"/>
        <rFont val="Arial"/>
        <family val="0"/>
        <charset val="1"/>
      </rPr>
      <t xml:space="preserve">2</t>
    </r>
    <r>
      <rPr>
        <sz val="9"/>
        <color rgb="FF595959"/>
        <rFont val="Noto Sans CJK SC"/>
        <family val="2"/>
      </rPr>
      <t xml:space="preserve">日連続で、</t>
    </r>
    <r>
      <rPr>
        <sz val="9"/>
        <color rgb="FF595959"/>
        <rFont val="Arial"/>
        <family val="0"/>
        <charset val="1"/>
      </rPr>
      <t xml:space="preserve">6</t>
    </r>
    <r>
      <rPr>
        <sz val="9"/>
        <color rgb="FF595959"/>
        <rFont val="Noto Sans CJK SC"/>
        <family val="2"/>
      </rPr>
      <t xml:space="preserve">回続いた単調の記録は止まったまま。</t>
    </r>
  </si>
  <si>
    <t xml:space="preserve">維持率バンドの頂点</t>
  </si>
  <si>
    <t xml:space="preserve">40-50%</t>
  </si>
  <si>
    <r>
      <rPr>
        <sz val="9"/>
        <color rgb="FF595959"/>
        <rFont val="Noto Sans CJK SC"/>
        <family val="2"/>
      </rPr>
      <t xml:space="preserve">本日 </t>
    </r>
    <r>
      <rPr>
        <sz val="9"/>
        <color rgb="FF595959"/>
        <rFont val="Arial"/>
        <family val="0"/>
        <charset val="1"/>
      </rPr>
      <t xml:space="preserve">0.629</t>
    </r>
    <r>
      <rPr>
        <sz val="9"/>
        <color rgb="FF595959"/>
        <rFont val="Noto Sans CJK SC"/>
        <family val="2"/>
      </rPr>
      <t xml:space="preserve">（</t>
    </r>
    <r>
      <rPr>
        <sz val="9"/>
        <color rgb="FF595959"/>
        <rFont val="Arial"/>
        <family val="0"/>
        <charset val="1"/>
      </rPr>
      <t xml:space="preserve">n=60</t>
    </r>
    <r>
      <rPr>
        <sz val="9"/>
        <color rgb="FF595959"/>
        <rFont val="Noto Sans CJK SC"/>
        <family val="2"/>
      </rPr>
      <t xml:space="preserve">）。最下位は </t>
    </r>
    <r>
      <rPr>
        <sz val="9"/>
        <color rgb="FF595959"/>
        <rFont val="Arial"/>
        <family val="0"/>
        <charset val="1"/>
      </rPr>
      <t xml:space="preserve">&lt;30% 0.255</t>
    </r>
    <r>
      <rPr>
        <sz val="9"/>
        <color rgb="FF595959"/>
        <rFont val="Noto Sans CJK SC"/>
        <family val="2"/>
      </rPr>
      <t xml:space="preserve">。</t>
    </r>
    <r>
      <rPr>
        <sz val="9"/>
        <color rgb="FF595959"/>
        <rFont val="Arial"/>
        <family val="0"/>
        <charset val="1"/>
      </rPr>
      <t xml:space="preserve">4</t>
    </r>
    <r>
      <rPr>
        <sz val="9"/>
        <color rgb="FF595959"/>
        <rFont val="Noto Sans CJK SC"/>
        <family val="2"/>
      </rPr>
      <t xml:space="preserve">日連続で再現。</t>
    </r>
  </si>
</sst>
</file>

<file path=xl/styles.xml><?xml version="1.0" encoding="utf-8"?>
<styleSheet xmlns="http://schemas.openxmlformats.org/spreadsheetml/2006/main">
  <numFmts count="9">
    <numFmt numFmtId="164" formatCode="General"/>
    <numFmt numFmtId="165" formatCode="#,##0"/>
    <numFmt numFmtId="166" formatCode="0.000"/>
    <numFmt numFmtId="167" formatCode="0.000\%"/>
    <numFmt numFmtId="168" formatCode="0.00"/>
    <numFmt numFmtId="169" formatCode="0.00\倍"/>
    <numFmt numFmtId="170" formatCode="0%"/>
    <numFmt numFmtId="171" formatCode="\+0.000;\-0.000;0.000"/>
    <numFmt numFmtId="172" formatCode="0.0"/>
  </numFmts>
  <fonts count="16">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4"/>
      <name val="Noto Sans CJK SC"/>
      <family val="2"/>
    </font>
    <font>
      <sz val="9"/>
      <color rgb="FF595959"/>
      <name val="Noto Sans CJK SC"/>
      <family val="2"/>
    </font>
    <font>
      <sz val="9"/>
      <color rgb="FF595959"/>
      <name val="Arial"/>
      <family val="0"/>
      <charset val="1"/>
    </font>
    <font>
      <b val="true"/>
      <sz val="11"/>
      <name val="Noto Sans CJK SC"/>
      <family val="2"/>
    </font>
    <font>
      <sz val="10"/>
      <name val="Arial"/>
      <family val="0"/>
      <charset val="1"/>
    </font>
    <font>
      <sz val="10"/>
      <name val="Noto Sans CJK SC"/>
      <family val="2"/>
    </font>
    <font>
      <b val="true"/>
      <sz val="11"/>
      <name val="Arial"/>
      <family val="0"/>
      <charset val="1"/>
    </font>
    <font>
      <b val="true"/>
      <sz val="10"/>
      <color rgb="FFFFFFFF"/>
      <name val="Arial"/>
      <family val="0"/>
      <charset val="1"/>
    </font>
    <font>
      <b val="true"/>
      <sz val="10"/>
      <color rgb="FFFFFFFF"/>
      <name val="Noto Sans CJK SC"/>
      <family val="2"/>
    </font>
    <font>
      <b val="true"/>
      <sz val="10"/>
      <name val="Noto Sans CJK SC"/>
      <family val="2"/>
    </font>
    <font>
      <b val="true"/>
      <sz val="1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2F2F2"/>
        <bgColor rgb="FFE2EFDA"/>
      </patternFill>
    </fill>
    <fill>
      <patternFill patternType="solid">
        <fgColor rgb="FFE2EFDA"/>
        <bgColor rgb="FFF2F2F2"/>
      </patternFill>
    </fill>
    <fill>
      <patternFill patternType="solid">
        <fgColor rgb="FFFFF2CC"/>
        <bgColor rgb="FFF2F2F2"/>
      </patternFill>
    </fill>
    <fill>
      <patternFill patternType="solid">
        <fgColor rgb="FFFCE4EC"/>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6" fontId="15"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14" fillId="4" borderId="1" xfId="0" applyFont="true" applyBorder="true" applyAlignment="false" applyProtection="false">
      <alignment horizontal="general" vertical="bottom" textRotation="0" wrapText="false" indent="0" shrinkToFit="false"/>
      <protection locked="true" hidden="false"/>
    </xf>
    <xf numFmtId="165" fontId="15" fillId="4" borderId="1" xfId="0" applyFont="true" applyBorder="true" applyAlignment="false" applyProtection="false">
      <alignment horizontal="general" vertical="bottom" textRotation="0" wrapText="false" indent="0" shrinkToFit="false"/>
      <protection locked="true" hidden="false"/>
    </xf>
    <xf numFmtId="166" fontId="15" fillId="4"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14" fillId="5" borderId="1" xfId="0" applyFont="true" applyBorder="true" applyAlignment="false" applyProtection="false">
      <alignment horizontal="general" vertical="bottom" textRotation="0" wrapText="false" indent="0" shrinkToFit="false"/>
      <protection locked="true" hidden="false"/>
    </xf>
    <xf numFmtId="169" fontId="15" fillId="5" borderId="1"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70" fontId="15" fillId="0" borderId="1" xfId="0" applyFont="true" applyBorder="true" applyAlignment="false" applyProtection="false">
      <alignment horizontal="general" vertical="bottom" textRotation="0" wrapText="false" indent="0" shrinkToFit="false"/>
      <protection locked="true" hidden="false"/>
    </xf>
    <xf numFmtId="165" fontId="9" fillId="6"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71" fontId="15" fillId="6" borderId="1" xfId="0" applyFont="true" applyBorder="true" applyAlignment="false" applyProtection="false">
      <alignment horizontal="general" vertical="bottom" textRotation="0" wrapText="false" indent="0" shrinkToFit="false"/>
      <protection locked="true" hidden="false"/>
    </xf>
    <xf numFmtId="172" fontId="9" fillId="0" borderId="1" xfId="0" applyFont="true" applyBorder="true" applyAlignment="false" applyProtection="false">
      <alignment horizontal="general" vertical="bottom" textRotation="0" wrapText="false" indent="0" shrinkToFit="false"/>
      <protection locked="true" hidden="false"/>
    </xf>
    <xf numFmtId="171" fontId="15" fillId="4"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9" fontId="15" fillId="4"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69" fontId="15" fillId="0" borderId="1" xfId="0" applyFont="true" applyBorder="true" applyAlignment="false" applyProtection="false">
      <alignment horizontal="general" vertical="bottom" textRotation="0" wrapText="false" indent="0" shrinkToFit="false"/>
      <protection locked="true" hidden="false"/>
    </xf>
    <xf numFmtId="169" fontId="15" fillId="6" borderId="1" xfId="0" applyFont="true" applyBorder="true" applyAlignment="false" applyProtection="false">
      <alignment horizontal="general" vertical="bottom" textRotation="0" wrapText="false" indent="0" shrinkToFit="false"/>
      <protection locked="true" hidden="false"/>
    </xf>
    <xf numFmtId="164" fontId="14" fillId="3" borderId="1" xfId="0" applyFont="true" applyBorder="true" applyAlignment="false" applyProtection="false">
      <alignment horizontal="general" vertical="bottom" textRotation="0" wrapText="false" indent="0" shrinkToFit="false"/>
      <protection locked="true" hidden="false"/>
    </xf>
    <xf numFmtId="166" fontId="15" fillId="3"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5" fontId="15" fillId="3" borderId="1" xfId="0" applyFont="true" applyBorder="true" applyAlignment="false" applyProtection="false">
      <alignment horizontal="general" vertical="bottom" textRotation="0" wrapText="false" indent="0" shrinkToFit="false"/>
      <protection locked="true" hidden="false"/>
    </xf>
    <xf numFmtId="164" fontId="15" fillId="4" borderId="1" xfId="0" applyFont="true" applyBorder="true" applyAlignment="false" applyProtection="false">
      <alignment horizontal="general" vertical="bottom" textRotation="0" wrapText="false" indent="0" shrinkToFit="false"/>
      <protection locked="true" hidden="false"/>
    </xf>
    <xf numFmtId="164" fontId="15" fillId="5" borderId="1" xfId="0" applyFont="true" applyBorder="true" applyAlignment="false" applyProtection="false">
      <alignment horizontal="general" vertical="bottom" textRotation="0" wrapText="false" indent="0" shrinkToFit="false"/>
      <protection locked="true" hidden="false"/>
    </xf>
    <xf numFmtId="164" fontId="15" fillId="6"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4" fillId="4" borderId="1" xfId="0" applyFont="true" applyBorder="true" applyAlignment="true" applyProtection="false">
      <alignment horizontal="general" vertical="top" textRotation="0" wrapText="true" indent="0" shrinkToFit="false"/>
      <protection locked="true" hidden="false"/>
    </xf>
    <xf numFmtId="164" fontId="15" fillId="6" borderId="1" xfId="0" applyFont="true" applyBorder="true" applyAlignment="true" applyProtection="false">
      <alignment horizontal="general" vertical="top" textRotation="0" wrapText="true" indent="0" shrinkToFit="false"/>
      <protection locked="true" hidden="false"/>
    </xf>
    <xf numFmtId="164" fontId="14" fillId="5"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FCE4EC"/>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13"/>
    <col collapsed="false" customWidth="true" hidden="false" outlineLevel="0" max="8" min="3" style="0" width="11"/>
    <col collapsed="false" customWidth="true" hidden="false" outlineLevel="0" max="9" min="9" style="0" width="13"/>
    <col collapsed="false" customWidth="true" hidden="false" outlineLevel="0" max="10" min="10" style="0" width="40"/>
  </cols>
  <sheetData>
    <row r="1" customFormat="false" ht="21.6"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15" hidden="false" customHeight="false" outlineLevel="0" collapsed="false">
      <c r="A4" s="3" t="s">
        <v>3</v>
      </c>
    </row>
    <row r="6" customFormat="false" ht="15" hidden="false" customHeight="false" outlineLevel="0" collapsed="false">
      <c r="A6" s="4" t="s">
        <v>4</v>
      </c>
    </row>
    <row r="7" customFormat="false" ht="30" hidden="false" customHeight="true" outlineLevel="0" collapsed="false">
      <c r="A7" s="5" t="s">
        <v>5</v>
      </c>
      <c r="B7" s="5"/>
      <c r="C7" s="5"/>
      <c r="D7" s="5"/>
      <c r="E7" s="5"/>
      <c r="F7" s="5"/>
      <c r="G7" s="5"/>
      <c r="H7" s="5"/>
      <c r="I7" s="5"/>
      <c r="J7" s="5"/>
    </row>
    <row r="8" customFormat="false" ht="30" hidden="false" customHeight="true" outlineLevel="0" collapsed="false">
      <c r="A8" s="5" t="s">
        <v>6</v>
      </c>
      <c r="B8" s="5"/>
      <c r="C8" s="5"/>
      <c r="D8" s="5"/>
      <c r="E8" s="5"/>
      <c r="F8" s="5"/>
      <c r="G8" s="5"/>
      <c r="H8" s="5"/>
      <c r="I8" s="5"/>
      <c r="J8" s="5"/>
    </row>
    <row r="9" customFormat="false" ht="30" hidden="false" customHeight="true" outlineLevel="0" collapsed="false">
      <c r="A9" s="5" t="s">
        <v>7</v>
      </c>
      <c r="B9" s="5"/>
      <c r="C9" s="5"/>
      <c r="D9" s="5"/>
      <c r="E9" s="5"/>
      <c r="F9" s="5"/>
      <c r="G9" s="5"/>
      <c r="H9" s="5"/>
      <c r="I9" s="5"/>
      <c r="J9" s="5"/>
    </row>
    <row r="10" customFormat="false" ht="30" hidden="false" customHeight="true" outlineLevel="0" collapsed="false">
      <c r="A10" s="5" t="s">
        <v>8</v>
      </c>
      <c r="B10" s="5"/>
      <c r="C10" s="5"/>
      <c r="D10" s="5"/>
      <c r="E10" s="5"/>
      <c r="F10" s="5"/>
      <c r="G10" s="5"/>
      <c r="H10" s="5"/>
      <c r="I10" s="5"/>
      <c r="J10" s="5"/>
    </row>
    <row r="11" customFormat="false" ht="30" hidden="false" customHeight="true" outlineLevel="0" collapsed="false">
      <c r="A11" s="5" t="s">
        <v>9</v>
      </c>
      <c r="B11" s="5"/>
      <c r="C11" s="5"/>
      <c r="D11" s="5"/>
      <c r="E11" s="5"/>
      <c r="F11" s="5"/>
      <c r="G11" s="5"/>
      <c r="H11" s="5"/>
      <c r="I11" s="5"/>
      <c r="J11" s="5"/>
    </row>
    <row r="12" customFormat="false" ht="30" hidden="false" customHeight="true" outlineLevel="0" collapsed="false">
      <c r="A12" s="5" t="s">
        <v>10</v>
      </c>
      <c r="B12" s="5"/>
      <c r="C12" s="5"/>
      <c r="D12" s="5"/>
      <c r="E12" s="5"/>
      <c r="F12" s="5"/>
      <c r="G12" s="5"/>
      <c r="H12" s="5"/>
      <c r="I12" s="5"/>
      <c r="J12" s="5"/>
    </row>
    <row r="14" customFormat="false" ht="17.15" hidden="false" customHeight="false" outlineLevel="0" collapsed="false">
      <c r="A14" s="4" t="s">
        <v>11</v>
      </c>
    </row>
    <row r="15" customFormat="false" ht="31.5" hidden="false" customHeight="true" outlineLevel="0" collapsed="false">
      <c r="A15" s="6" t="s">
        <v>12</v>
      </c>
      <c r="B15" s="7" t="s">
        <v>13</v>
      </c>
      <c r="C15" s="7" t="s">
        <v>14</v>
      </c>
      <c r="D15" s="7" t="s">
        <v>15</v>
      </c>
      <c r="E15" s="7" t="s">
        <v>16</v>
      </c>
      <c r="F15" s="7" t="s">
        <v>17</v>
      </c>
      <c r="G15" s="7" t="s">
        <v>18</v>
      </c>
      <c r="H15" s="7" t="s">
        <v>19</v>
      </c>
      <c r="I15" s="7" t="s">
        <v>20</v>
      </c>
      <c r="J15" s="7" t="s">
        <v>21</v>
      </c>
    </row>
    <row r="16" customFormat="false" ht="15" hidden="false" customHeight="false" outlineLevel="0" collapsed="false">
      <c r="A16" s="8" t="s">
        <v>22</v>
      </c>
      <c r="B16" s="9" t="s">
        <v>23</v>
      </c>
      <c r="C16" s="10" t="n">
        <v>50</v>
      </c>
      <c r="D16" s="10" t="n">
        <v>32383</v>
      </c>
      <c r="E16" s="10" t="n">
        <v>27</v>
      </c>
      <c r="F16" s="11" t="n">
        <f aca="false">IF(D16=0,0,E16/D16*1000)</f>
        <v>0.833770805669642</v>
      </c>
      <c r="G16" s="12" t="n">
        <v>0.426149522897817</v>
      </c>
      <c r="H16" s="13" t="n">
        <v>33.8566</v>
      </c>
      <c r="I16" s="10" t="n">
        <v>2446</v>
      </c>
      <c r="J16" s="2"/>
    </row>
    <row r="17" customFormat="false" ht="15" hidden="false" customHeight="false" outlineLevel="0" collapsed="false">
      <c r="A17" s="8" t="s">
        <v>24</v>
      </c>
      <c r="B17" s="9" t="s">
        <v>23</v>
      </c>
      <c r="C17" s="10" t="n">
        <v>50</v>
      </c>
      <c r="D17" s="10" t="n">
        <v>35056</v>
      </c>
      <c r="E17" s="10" t="n">
        <v>22</v>
      </c>
      <c r="F17" s="11" t="n">
        <f aca="false">IF(D17=0,0,E17/D17*1000)</f>
        <v>0.627567320858056</v>
      </c>
      <c r="G17" s="12" t="n">
        <v>0.773048836147878</v>
      </c>
      <c r="H17" s="13" t="n">
        <v>40.5834</v>
      </c>
      <c r="I17" s="10" t="n">
        <v>3645</v>
      </c>
      <c r="J17" s="2"/>
    </row>
    <row r="18" customFormat="false" ht="15" hidden="false" customHeight="false" outlineLevel="0" collapsed="false">
      <c r="A18" s="8" t="s">
        <v>25</v>
      </c>
      <c r="B18" s="9" t="s">
        <v>23</v>
      </c>
      <c r="C18" s="10" t="n">
        <v>50</v>
      </c>
      <c r="D18" s="10" t="n">
        <v>27445</v>
      </c>
      <c r="E18" s="10" t="n">
        <v>19</v>
      </c>
      <c r="F18" s="11" t="n">
        <f aca="false">IF(D18=0,0,E18/D18*1000)</f>
        <v>0.692293678265622</v>
      </c>
      <c r="G18" s="12" t="n">
        <v>0.546547640736018</v>
      </c>
      <c r="H18" s="13" t="n">
        <v>38.5444</v>
      </c>
      <c r="I18" s="10" t="n">
        <v>939</v>
      </c>
      <c r="J18" s="2"/>
    </row>
    <row r="19" customFormat="false" ht="15" hidden="false" customHeight="false" outlineLevel="0" collapsed="false">
      <c r="A19" s="8" t="s">
        <v>26</v>
      </c>
      <c r="B19" s="9" t="s">
        <v>23</v>
      </c>
      <c r="C19" s="10" t="n">
        <v>50</v>
      </c>
      <c r="D19" s="10" t="n">
        <v>51168</v>
      </c>
      <c r="E19" s="10" t="n">
        <v>31</v>
      </c>
      <c r="F19" s="11" t="n">
        <f aca="false">IF(D19=0,0,E19/D19*1000)</f>
        <v>0.605847404627892</v>
      </c>
      <c r="G19" s="12" t="n">
        <v>0.316604127579737</v>
      </c>
      <c r="H19" s="13" t="n">
        <v>47.0116</v>
      </c>
      <c r="I19" s="10" t="n">
        <v>4785</v>
      </c>
      <c r="J19" s="2"/>
    </row>
    <row r="20" customFormat="false" ht="15" hidden="false" customHeight="false" outlineLevel="0" collapsed="false">
      <c r="A20" s="8" t="s">
        <v>27</v>
      </c>
      <c r="B20" s="9" t="s">
        <v>23</v>
      </c>
      <c r="C20" s="10" t="n">
        <v>50</v>
      </c>
      <c r="D20" s="10" t="n">
        <v>36804</v>
      </c>
      <c r="E20" s="10" t="n">
        <v>6</v>
      </c>
      <c r="F20" s="11" t="n">
        <f aca="false">IF(D20=0,0,E20/D20*1000)</f>
        <v>0.163025758069775</v>
      </c>
      <c r="G20" s="12" t="n">
        <v>0.225518965329855</v>
      </c>
      <c r="H20" s="13" t="n">
        <v>40.93</v>
      </c>
      <c r="I20" s="10" t="n">
        <v>69</v>
      </c>
      <c r="J20" s="2"/>
    </row>
    <row r="21" customFormat="false" ht="15" hidden="false" customHeight="false" outlineLevel="0" collapsed="false">
      <c r="A21" s="8" t="s">
        <v>28</v>
      </c>
      <c r="B21" s="9" t="s">
        <v>23</v>
      </c>
      <c r="C21" s="10" t="n">
        <v>5</v>
      </c>
      <c r="D21" s="10" t="n">
        <v>1091</v>
      </c>
      <c r="E21" s="10" t="n">
        <v>0</v>
      </c>
      <c r="F21" s="11" t="n">
        <f aca="false">IF(D21=0,0,E21/D21*1000)</f>
        <v>0</v>
      </c>
      <c r="G21" s="12" t="n">
        <v>0.183318056828598</v>
      </c>
      <c r="H21" s="13" t="n">
        <v>8.444</v>
      </c>
      <c r="I21" s="10" t="n">
        <v>831</v>
      </c>
      <c r="J21" s="2" t="s">
        <v>29</v>
      </c>
    </row>
    <row r="22" customFormat="false" ht="15" hidden="false" customHeight="false" outlineLevel="0" collapsed="false">
      <c r="A22" s="14" t="s">
        <v>30</v>
      </c>
      <c r="B22" s="15" t="s">
        <v>31</v>
      </c>
      <c r="C22" s="10" t="n">
        <v>49</v>
      </c>
      <c r="D22" s="10" t="n">
        <v>33101</v>
      </c>
      <c r="E22" s="10" t="n">
        <v>9</v>
      </c>
      <c r="F22" s="11" t="n">
        <f aca="false">IF(D22=0,0,E22/D22*1000)</f>
        <v>0.271895108909096</v>
      </c>
      <c r="G22" s="12" t="n">
        <v>0.2507477115495</v>
      </c>
      <c r="H22" s="13" t="n">
        <v>41.2467346938776</v>
      </c>
      <c r="I22" s="10" t="n">
        <v>540</v>
      </c>
      <c r="J22" s="16" t="s">
        <v>32</v>
      </c>
    </row>
    <row r="23" customFormat="false" ht="15" hidden="false" customHeight="false" outlineLevel="0" collapsed="false">
      <c r="A23" s="14" t="s">
        <v>33</v>
      </c>
      <c r="B23" s="15" t="s">
        <v>34</v>
      </c>
      <c r="C23" s="10" t="n">
        <v>17</v>
      </c>
      <c r="D23" s="10" t="n">
        <v>7047</v>
      </c>
      <c r="E23" s="10" t="n">
        <v>0</v>
      </c>
      <c r="F23" s="11" t="n">
        <f aca="false">IF(D23=0,0,E23/D23*1000)</f>
        <v>0</v>
      </c>
      <c r="G23" s="12" t="n">
        <v>0.397332198098482</v>
      </c>
      <c r="H23" s="13" t="n">
        <v>25.0941176470588</v>
      </c>
      <c r="I23" s="10" t="n">
        <v>642</v>
      </c>
      <c r="J23" s="16" t="s">
        <v>32</v>
      </c>
    </row>
    <row r="24" customFormat="false" ht="15" hidden="false" customHeight="false" outlineLevel="0" collapsed="false">
      <c r="A24" s="14" t="s">
        <v>35</v>
      </c>
      <c r="B24" s="15" t="s">
        <v>34</v>
      </c>
      <c r="C24" s="10" t="n">
        <v>17</v>
      </c>
      <c r="D24" s="10" t="n">
        <v>5259</v>
      </c>
      <c r="E24" s="10" t="n">
        <v>3</v>
      </c>
      <c r="F24" s="11" t="n">
        <f aca="false">IF(D24=0,0,E24/D24*1000)</f>
        <v>0.570450656018254</v>
      </c>
      <c r="G24" s="12" t="n">
        <v>0.209165240540027</v>
      </c>
      <c r="H24" s="13" t="n">
        <v>29.8870588235294</v>
      </c>
      <c r="I24" s="10" t="n">
        <v>475</v>
      </c>
      <c r="J24" s="16" t="s">
        <v>32</v>
      </c>
    </row>
    <row r="25" customFormat="false" ht="15" hidden="false" customHeight="false" outlineLevel="0" collapsed="false">
      <c r="A25" s="14" t="s">
        <v>36</v>
      </c>
      <c r="B25" s="15" t="s">
        <v>31</v>
      </c>
      <c r="C25" s="10" t="n">
        <v>18</v>
      </c>
      <c r="D25" s="10" t="n">
        <v>42321</v>
      </c>
      <c r="E25" s="10" t="n">
        <v>1</v>
      </c>
      <c r="F25" s="11" t="n">
        <f aca="false">IF(D25=0,0,E25/D25*1000)</f>
        <v>0.023628931263439</v>
      </c>
      <c r="G25" s="12" t="n">
        <v>0.158313839465041</v>
      </c>
      <c r="H25" s="13" t="n">
        <v>44.1166666666667</v>
      </c>
      <c r="I25" s="10" t="n">
        <v>8246</v>
      </c>
      <c r="J25" s="16" t="s">
        <v>32</v>
      </c>
    </row>
    <row r="26" customFormat="false" ht="15" hidden="false" customHeight="false" outlineLevel="0" collapsed="false">
      <c r="A26" s="14" t="s">
        <v>37</v>
      </c>
      <c r="B26" s="15" t="s">
        <v>31</v>
      </c>
      <c r="C26" s="10" t="n">
        <v>13</v>
      </c>
      <c r="D26" s="10" t="n">
        <v>23704</v>
      </c>
      <c r="E26" s="10" t="n">
        <v>5</v>
      </c>
      <c r="F26" s="11" t="n">
        <f aca="false">IF(D26=0,0,E26/D26*1000)</f>
        <v>0.210934863314209</v>
      </c>
      <c r="G26" s="12" t="n">
        <v>0.219372257846777</v>
      </c>
      <c r="H26" s="13" t="n">
        <v>33.7092307692308</v>
      </c>
      <c r="I26" s="10" t="n">
        <v>2301</v>
      </c>
      <c r="J26" s="16" t="s">
        <v>32</v>
      </c>
    </row>
    <row r="27" customFormat="false" ht="15" hidden="false" customHeight="false" outlineLevel="0" collapsed="false">
      <c r="A27" s="14" t="s">
        <v>38</v>
      </c>
      <c r="B27" s="15" t="s">
        <v>31</v>
      </c>
      <c r="C27" s="10" t="n">
        <v>30</v>
      </c>
      <c r="D27" s="10" t="n">
        <v>23682</v>
      </c>
      <c r="E27" s="10" t="n">
        <v>4</v>
      </c>
      <c r="F27" s="11" t="n">
        <f aca="false">IF(D27=0,0,E27/D27*1000)</f>
        <v>0.168904653323199</v>
      </c>
      <c r="G27" s="12" t="n">
        <v>0.232243898319399</v>
      </c>
      <c r="H27" s="13" t="n">
        <v>38.822</v>
      </c>
      <c r="I27" s="10" t="n">
        <v>57</v>
      </c>
      <c r="J27" s="16" t="s">
        <v>32</v>
      </c>
    </row>
    <row r="28" customFormat="false" ht="15" hidden="false" customHeight="false" outlineLevel="0" collapsed="false">
      <c r="A28" s="14" t="s">
        <v>39</v>
      </c>
      <c r="B28" s="15" t="s">
        <v>34</v>
      </c>
      <c r="C28" s="10" t="n">
        <v>3</v>
      </c>
      <c r="D28" s="10" t="n">
        <v>17</v>
      </c>
      <c r="E28" s="10" t="n">
        <v>0</v>
      </c>
      <c r="F28" s="11" t="n">
        <f aca="false">IF(D28=0,0,E28/D28*1000)</f>
        <v>0</v>
      </c>
      <c r="G28" s="12" t="n">
        <v>0</v>
      </c>
      <c r="H28" s="13" t="n">
        <v>6.73333333333333</v>
      </c>
      <c r="I28" s="10" t="n">
        <v>17</v>
      </c>
      <c r="J28" s="16" t="s">
        <v>32</v>
      </c>
    </row>
    <row r="29" customFormat="false" ht="15" hidden="false" customHeight="false" outlineLevel="0" collapsed="false">
      <c r="A29" s="17" t="s">
        <v>40</v>
      </c>
      <c r="C29" s="18" t="n">
        <f aca="false">SUM(C16:C21)</f>
        <v>255</v>
      </c>
      <c r="D29" s="18" t="n">
        <f aca="false">SUM(D16:D21)</f>
        <v>183947</v>
      </c>
      <c r="E29" s="18" t="n">
        <f aca="false">SUM(E16:E21)</f>
        <v>105</v>
      </c>
      <c r="F29" s="19" t="n">
        <f aca="false">IF(D29=0,0,E29/D29*1000)</f>
        <v>0.570816593910203</v>
      </c>
      <c r="J29" s="20" t="s">
        <v>41</v>
      </c>
    </row>
    <row r="31" customFormat="false" ht="17.15" hidden="false" customHeight="false" outlineLevel="0" collapsed="false">
      <c r="A31" s="4" t="s">
        <v>42</v>
      </c>
    </row>
    <row r="32" customFormat="false" ht="31.5" hidden="false" customHeight="true" outlineLevel="0" collapsed="false">
      <c r="A32" s="7" t="s">
        <v>43</v>
      </c>
      <c r="B32" s="6" t="s">
        <v>44</v>
      </c>
      <c r="C32" s="7" t="s">
        <v>14</v>
      </c>
      <c r="D32" s="7" t="s">
        <v>45</v>
      </c>
      <c r="E32" s="7" t="s">
        <v>16</v>
      </c>
      <c r="F32" s="7" t="s">
        <v>17</v>
      </c>
      <c r="G32" s="7" t="s">
        <v>18</v>
      </c>
    </row>
    <row r="33" customFormat="false" ht="15" hidden="false" customHeight="false" outlineLevel="0" collapsed="false">
      <c r="A33" s="8" t="s">
        <v>46</v>
      </c>
      <c r="B33" s="10" t="n">
        <v>8</v>
      </c>
      <c r="C33" s="10" t="n">
        <v>321</v>
      </c>
      <c r="D33" s="10" t="n">
        <v>224095</v>
      </c>
      <c r="E33" s="10" t="n">
        <v>114</v>
      </c>
      <c r="F33" s="11" t="n">
        <f aca="false">IF(D33=0,0,E33/D33*1000)</f>
        <v>0.508712822686807</v>
      </c>
      <c r="G33" s="12" t="n">
        <v>0.409201454740177</v>
      </c>
    </row>
    <row r="34" customFormat="false" ht="15" hidden="false" customHeight="false" outlineLevel="0" collapsed="false">
      <c r="A34" s="8" t="s">
        <v>47</v>
      </c>
      <c r="B34" s="10" t="n">
        <v>4</v>
      </c>
      <c r="C34" s="10" t="n">
        <v>64</v>
      </c>
      <c r="D34" s="10" t="n">
        <v>89724</v>
      </c>
      <c r="E34" s="10" t="n">
        <v>10</v>
      </c>
      <c r="F34" s="11" t="n">
        <f aca="false">IF(D34=0,0,E34/D34*1000)</f>
        <v>0.111452900004458</v>
      </c>
      <c r="G34" s="12" t="n">
        <v>0.193928046007757</v>
      </c>
    </row>
    <row r="35" customFormat="false" ht="15" hidden="false" customHeight="false" outlineLevel="0" collapsed="false">
      <c r="A35" s="8" t="s">
        <v>48</v>
      </c>
      <c r="B35" s="10" t="n">
        <v>1</v>
      </c>
      <c r="C35" s="10" t="n">
        <v>17</v>
      </c>
      <c r="D35" s="10" t="n">
        <v>5259</v>
      </c>
      <c r="E35" s="10" t="n">
        <v>3</v>
      </c>
      <c r="F35" s="11" t="n">
        <f aca="false">IF(D35=0,0,E35/D35*1000)</f>
        <v>0.570450656018254</v>
      </c>
      <c r="G35" s="12" t="n">
        <v>0.209165240540027</v>
      </c>
    </row>
    <row r="36" customFormat="false" ht="15" hidden="false" customHeight="false" outlineLevel="0" collapsed="false">
      <c r="A36" s="21" t="s">
        <v>49</v>
      </c>
      <c r="F36" s="22" t="n">
        <f aca="false">IF(F34=0,0,F33/F34)</f>
        <v>4.56437493027511</v>
      </c>
      <c r="G36" s="3" t="s">
        <v>50</v>
      </c>
    </row>
    <row r="38" customFormat="false" ht="17.15" hidden="false" customHeight="false" outlineLevel="0" collapsed="false">
      <c r="A38" s="4" t="s">
        <v>51</v>
      </c>
    </row>
    <row r="39" customFormat="false" ht="31.5" hidden="false" customHeight="true" outlineLevel="0" collapsed="false">
      <c r="A39" s="6" t="s">
        <v>12</v>
      </c>
      <c r="B39" s="6" t="s">
        <v>52</v>
      </c>
      <c r="C39" s="6" t="s">
        <v>53</v>
      </c>
      <c r="D39" s="6" t="s">
        <v>54</v>
      </c>
      <c r="E39" s="6" t="s">
        <v>55</v>
      </c>
      <c r="F39" s="6" t="s">
        <v>56</v>
      </c>
      <c r="G39" s="7" t="s">
        <v>57</v>
      </c>
    </row>
    <row r="40" customFormat="false" ht="15" hidden="false" customHeight="false" outlineLevel="0" collapsed="false">
      <c r="A40" s="23" t="s">
        <v>58</v>
      </c>
      <c r="B40" s="10" t="n">
        <v>2</v>
      </c>
      <c r="C40" s="10" t="n">
        <v>4</v>
      </c>
      <c r="D40" s="10" t="n">
        <v>2</v>
      </c>
      <c r="E40" s="10" t="n">
        <v>3</v>
      </c>
      <c r="F40" s="10" t="n">
        <v>3</v>
      </c>
      <c r="G40" s="24" t="n">
        <f aca="false">IF(F40=0,0,E40/F40)</f>
        <v>1</v>
      </c>
    </row>
    <row r="41" customFormat="false" ht="15" hidden="false" customHeight="false" outlineLevel="0" collapsed="false">
      <c r="A41" s="23" t="s">
        <v>59</v>
      </c>
      <c r="B41" s="10" t="n">
        <v>1</v>
      </c>
      <c r="C41" s="10" t="n">
        <v>4</v>
      </c>
      <c r="D41" s="10" t="n">
        <v>3</v>
      </c>
      <c r="E41" s="10" t="n">
        <v>3</v>
      </c>
      <c r="F41" s="10" t="n">
        <v>3</v>
      </c>
      <c r="G41" s="24" t="n">
        <f aca="false">IF(F41=0,0,E41/F41)</f>
        <v>1</v>
      </c>
    </row>
    <row r="42" customFormat="false" ht="15" hidden="false" customHeight="false" outlineLevel="0" collapsed="false">
      <c r="A42" s="23" t="s">
        <v>60</v>
      </c>
      <c r="B42" s="10" t="n">
        <v>1</v>
      </c>
      <c r="C42" s="10" t="n">
        <v>4</v>
      </c>
      <c r="D42" s="10" t="n">
        <v>3</v>
      </c>
      <c r="E42" s="10" t="n">
        <v>3</v>
      </c>
      <c r="F42" s="10" t="n">
        <v>3</v>
      </c>
      <c r="G42" s="24" t="n">
        <f aca="false">IF(F42=0,0,E42/F42)</f>
        <v>1</v>
      </c>
    </row>
    <row r="43" customFormat="false" ht="15" hidden="false" customHeight="false" outlineLevel="0" collapsed="false">
      <c r="A43" s="23" t="s">
        <v>61</v>
      </c>
      <c r="B43" s="10" t="n">
        <v>2</v>
      </c>
      <c r="C43" s="10" t="n">
        <v>5</v>
      </c>
      <c r="D43" s="10" t="n">
        <v>4</v>
      </c>
      <c r="E43" s="10" t="n">
        <v>4</v>
      </c>
      <c r="F43" s="10" t="n">
        <v>4</v>
      </c>
      <c r="G43" s="24" t="n">
        <f aca="false">IF(F43=0,0,E43/F43)</f>
        <v>1</v>
      </c>
    </row>
    <row r="44" customFormat="false" ht="15" hidden="false" customHeight="false" outlineLevel="0" collapsed="false">
      <c r="A44" s="23" t="s">
        <v>62</v>
      </c>
      <c r="B44" s="25" t="n">
        <v>0</v>
      </c>
      <c r="C44" s="25" t="n">
        <v>0</v>
      </c>
      <c r="D44" s="25" t="n">
        <v>0</v>
      </c>
      <c r="E44" s="25" t="n">
        <v>0</v>
      </c>
      <c r="F44" s="10" t="n">
        <v>3</v>
      </c>
      <c r="G44" s="24" t="n">
        <f aca="false">IF(F44=0,0,E44/F44)</f>
        <v>0</v>
      </c>
    </row>
    <row r="45" customFormat="false" ht="15" hidden="false" customHeight="false" outlineLevel="0" collapsed="false">
      <c r="A45" s="23" t="s">
        <v>63</v>
      </c>
      <c r="B45" s="10" t="n">
        <v>1</v>
      </c>
      <c r="C45" s="10" t="n">
        <v>1</v>
      </c>
      <c r="D45" s="10" t="n">
        <v>1</v>
      </c>
      <c r="E45" s="10" t="n">
        <v>1</v>
      </c>
      <c r="F45" s="10" t="n">
        <v>2</v>
      </c>
      <c r="G45" s="24" t="n">
        <f aca="false">IF(F45=0,0,E45/F45)</f>
        <v>0.5</v>
      </c>
    </row>
    <row r="46" customFormat="false" ht="27.75" hidden="false" customHeight="true" outlineLevel="0" collapsed="false">
      <c r="A46" s="26" t="s">
        <v>64</v>
      </c>
      <c r="B46" s="26"/>
      <c r="C46" s="26"/>
      <c r="D46" s="26"/>
      <c r="E46" s="26"/>
      <c r="F46" s="26"/>
      <c r="G46" s="26"/>
      <c r="H46" s="26"/>
      <c r="I46" s="26"/>
      <c r="J46" s="26"/>
    </row>
  </sheetData>
  <mergeCells count="7">
    <mergeCell ref="A7:J7"/>
    <mergeCell ref="A8:J8"/>
    <mergeCell ref="A9:J9"/>
    <mergeCell ref="A10:J10"/>
    <mergeCell ref="A11:J11"/>
    <mergeCell ref="A12:J12"/>
    <mergeCell ref="A46:J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20"/>
    <col collapsed="false" customWidth="true" hidden="false" outlineLevel="0" max="3" min="3" style="0" width="11"/>
    <col collapsed="false" customWidth="true" hidden="false" outlineLevel="0" max="4" min="4" style="0" width="10"/>
    <col collapsed="false" customWidth="true" hidden="false" outlineLevel="0" max="5" min="5" style="0" width="12"/>
    <col collapsed="false" customWidth="true" hidden="false" outlineLevel="0" max="6" min="6" style="0" width="8"/>
    <col collapsed="false" customWidth="true" hidden="false" outlineLevel="0" max="7" min="7" style="0" width="11"/>
    <col collapsed="false" customWidth="true" hidden="false" outlineLevel="0" max="9" min="8" style="0" width="10"/>
    <col collapsed="false" customWidth="true" hidden="false" outlineLevel="0" max="10" min="10" style="0" width="12"/>
    <col collapsed="false" customWidth="true" hidden="false" outlineLevel="0" max="11" min="11" style="0" width="10"/>
    <col collapsed="false" customWidth="true" hidden="false" outlineLevel="0" max="12" min="12" style="0" width="26"/>
    <col collapsed="false" customWidth="true" hidden="false" outlineLevel="0" max="13" min="13" style="0" width="8"/>
    <col collapsed="false" customWidth="true" hidden="false" outlineLevel="0" max="14" min="14" style="0" width="9"/>
  </cols>
  <sheetData>
    <row r="1" customFormat="false" ht="21.6" hidden="false" customHeight="false" outlineLevel="0" collapsed="false">
      <c r="A1" s="27" t="s">
        <v>65</v>
      </c>
    </row>
    <row r="2" customFormat="false" ht="15" hidden="false" customHeight="false" outlineLevel="0" collapsed="false">
      <c r="A2" s="2" t="s">
        <v>66</v>
      </c>
    </row>
    <row r="4" customFormat="false" ht="31.5" hidden="false" customHeight="true" outlineLevel="0" collapsed="false">
      <c r="A4" s="6" t="s">
        <v>12</v>
      </c>
      <c r="B4" s="7" t="s">
        <v>67</v>
      </c>
      <c r="C4" s="7" t="s">
        <v>68</v>
      </c>
      <c r="D4" s="7" t="s">
        <v>69</v>
      </c>
      <c r="E4" s="7" t="s">
        <v>14</v>
      </c>
      <c r="F4" s="7" t="s">
        <v>17</v>
      </c>
      <c r="G4" s="7" t="s">
        <v>70</v>
      </c>
      <c r="H4" s="7" t="s">
        <v>71</v>
      </c>
      <c r="I4" s="7" t="s">
        <v>18</v>
      </c>
      <c r="J4" s="7" t="s">
        <v>72</v>
      </c>
      <c r="K4" s="7" t="s">
        <v>19</v>
      </c>
      <c r="L4" s="7" t="s">
        <v>73</v>
      </c>
      <c r="M4" s="7" t="s">
        <v>74</v>
      </c>
      <c r="N4" s="7" t="s">
        <v>75</v>
      </c>
    </row>
    <row r="5" customFormat="false" ht="15" hidden="false" customHeight="false" outlineLevel="0" collapsed="false">
      <c r="A5" s="23" t="s">
        <v>58</v>
      </c>
      <c r="B5" s="14" t="s">
        <v>76</v>
      </c>
      <c r="C5" s="9" t="s">
        <v>23</v>
      </c>
      <c r="D5" s="9" t="s">
        <v>77</v>
      </c>
      <c r="E5" s="10" t="n">
        <v>50</v>
      </c>
      <c r="F5" s="11" t="n">
        <v>0.833770805669642</v>
      </c>
      <c r="G5" s="28" t="n">
        <v>0.853889943074004</v>
      </c>
      <c r="H5" s="29" t="n">
        <f aca="false">F5-G5</f>
        <v>-0.0201191374043622</v>
      </c>
      <c r="I5" s="12" t="n">
        <v>0.426149522897817</v>
      </c>
      <c r="J5" s="12" t="n">
        <v>0.426944971537002</v>
      </c>
      <c r="K5" s="13" t="n">
        <v>33.8566</v>
      </c>
      <c r="L5" s="9" t="s">
        <v>78</v>
      </c>
      <c r="M5" s="10" t="n">
        <v>17</v>
      </c>
      <c r="N5" s="30" t="n">
        <f aca="false">IF(3=0,0,M5/3)</f>
        <v>5.66666666666667</v>
      </c>
    </row>
    <row r="6" customFormat="false" ht="15" hidden="false" customHeight="false" outlineLevel="0" collapsed="false">
      <c r="A6" s="23" t="s">
        <v>59</v>
      </c>
      <c r="B6" s="14" t="s">
        <v>79</v>
      </c>
      <c r="C6" s="9" t="s">
        <v>23</v>
      </c>
      <c r="D6" s="9" t="s">
        <v>77</v>
      </c>
      <c r="E6" s="10" t="n">
        <v>50</v>
      </c>
      <c r="F6" s="11" t="n">
        <v>0.627567320858056</v>
      </c>
      <c r="G6" s="28" t="n">
        <v>0.725067563113836</v>
      </c>
      <c r="H6" s="29" t="n">
        <f aca="false">F6-G6</f>
        <v>-0.09750024225578</v>
      </c>
      <c r="I6" s="12" t="n">
        <v>0.773048836147878</v>
      </c>
      <c r="J6" s="12" t="n">
        <v>0.754729417968493</v>
      </c>
      <c r="K6" s="13" t="n">
        <v>40.5834</v>
      </c>
      <c r="L6" s="9" t="s">
        <v>80</v>
      </c>
      <c r="M6" s="10" t="n">
        <v>13</v>
      </c>
      <c r="N6" s="30" t="n">
        <f aca="false">IF(3=0,0,M6/3)</f>
        <v>4.33333333333333</v>
      </c>
    </row>
    <row r="7" customFormat="false" ht="15" hidden="false" customHeight="false" outlineLevel="0" collapsed="false">
      <c r="A7" s="23" t="s">
        <v>60</v>
      </c>
      <c r="B7" s="14" t="s">
        <v>25</v>
      </c>
      <c r="C7" s="9" t="s">
        <v>23</v>
      </c>
      <c r="D7" s="9" t="s">
        <v>77</v>
      </c>
      <c r="E7" s="10" t="n">
        <v>50</v>
      </c>
      <c r="F7" s="11" t="n">
        <v>0.692293678265622</v>
      </c>
      <c r="G7" s="28" t="n">
        <v>0.791467229487808</v>
      </c>
      <c r="H7" s="29" t="n">
        <f aca="false">F7-G7</f>
        <v>-0.0991735512221855</v>
      </c>
      <c r="I7" s="12" t="n">
        <v>0.546547640736018</v>
      </c>
      <c r="J7" s="12" t="n">
        <v>0.580409301624392</v>
      </c>
      <c r="K7" s="13" t="n">
        <v>38.5444</v>
      </c>
      <c r="L7" s="9" t="s">
        <v>81</v>
      </c>
      <c r="M7" s="10" t="n">
        <v>15</v>
      </c>
      <c r="N7" s="30" t="n">
        <f aca="false">IF(3=0,0,M7/3)</f>
        <v>5</v>
      </c>
    </row>
    <row r="8" customFormat="false" ht="15" hidden="false" customHeight="false" outlineLevel="0" collapsed="false">
      <c r="A8" s="23" t="s">
        <v>61</v>
      </c>
      <c r="B8" s="14" t="s">
        <v>26</v>
      </c>
      <c r="C8" s="9" t="s">
        <v>23</v>
      </c>
      <c r="D8" s="9" t="s">
        <v>77</v>
      </c>
      <c r="E8" s="10" t="n">
        <v>50</v>
      </c>
      <c r="F8" s="11" t="n">
        <v>0.605847404627892</v>
      </c>
      <c r="G8" s="28" t="n">
        <v>0.613484386822355</v>
      </c>
      <c r="H8" s="29" t="n">
        <f aca="false">F8-G8</f>
        <v>-0.00763698219446296</v>
      </c>
      <c r="I8" s="12" t="n">
        <v>0.316604127579737</v>
      </c>
      <c r="J8" s="12" t="n">
        <v>0.304697245455103</v>
      </c>
      <c r="K8" s="13" t="n">
        <v>47.0116</v>
      </c>
      <c r="L8" s="9" t="s">
        <v>82</v>
      </c>
      <c r="M8" s="10" t="n">
        <v>19</v>
      </c>
      <c r="N8" s="30" t="n">
        <f aca="false">IF(4=0,0,M8/4)</f>
        <v>4.75</v>
      </c>
    </row>
    <row r="9" customFormat="false" ht="15" hidden="false" customHeight="false" outlineLevel="0" collapsed="false">
      <c r="A9" s="23" t="s">
        <v>62</v>
      </c>
      <c r="B9" s="14" t="s">
        <v>83</v>
      </c>
      <c r="C9" s="9" t="s">
        <v>23</v>
      </c>
      <c r="D9" s="9" t="s">
        <v>77</v>
      </c>
      <c r="E9" s="10" t="n">
        <v>50</v>
      </c>
      <c r="F9" s="11" t="n">
        <v>0.163025758069775</v>
      </c>
      <c r="G9" s="28" t="n">
        <v>0.163331972233565</v>
      </c>
      <c r="H9" s="29" t="n">
        <f aca="false">F9-G9</f>
        <v>-0.000306214163789675</v>
      </c>
      <c r="I9" s="12" t="n">
        <v>0.225518965329855</v>
      </c>
      <c r="J9" s="12" t="n">
        <v>0.225942561589765</v>
      </c>
      <c r="K9" s="13" t="n">
        <v>40.93</v>
      </c>
      <c r="L9" s="9" t="s">
        <v>84</v>
      </c>
      <c r="M9" s="10" t="n">
        <v>26</v>
      </c>
      <c r="N9" s="30" t="n">
        <f aca="false">IF(3=0,0,M9/3)</f>
        <v>8.66666666666667</v>
      </c>
    </row>
    <row r="10" customFormat="false" ht="15" hidden="false" customHeight="false" outlineLevel="0" collapsed="false">
      <c r="A10" s="23" t="s">
        <v>63</v>
      </c>
      <c r="B10" s="14" t="s">
        <v>28</v>
      </c>
      <c r="C10" s="9" t="s">
        <v>23</v>
      </c>
      <c r="D10" s="9" t="s">
        <v>77</v>
      </c>
      <c r="E10" s="10" t="n">
        <v>5</v>
      </c>
      <c r="F10" s="11" t="n">
        <v>0</v>
      </c>
      <c r="G10" s="28" t="n">
        <v>0</v>
      </c>
      <c r="H10" s="31" t="n">
        <f aca="false">F10-G10</f>
        <v>0</v>
      </c>
      <c r="I10" s="12" t="n">
        <v>0.183318056828598</v>
      </c>
      <c r="J10" s="12" t="n">
        <v>0.769230769230769</v>
      </c>
      <c r="K10" s="13" t="n">
        <v>8.444</v>
      </c>
      <c r="L10" s="9" t="s">
        <v>85</v>
      </c>
      <c r="M10" s="10" t="n">
        <v>12</v>
      </c>
      <c r="N10" s="30" t="n">
        <f aca="false">IF(2=0,0,M10/2)</f>
        <v>6</v>
      </c>
    </row>
    <row r="11" customFormat="false" ht="15" hidden="false" customHeight="false" outlineLevel="0" collapsed="false">
      <c r="A11" s="23" t="s">
        <v>86</v>
      </c>
      <c r="B11" s="14" t="s">
        <v>30</v>
      </c>
      <c r="C11" s="15" t="s">
        <v>31</v>
      </c>
      <c r="D11" s="9" t="s">
        <v>87</v>
      </c>
      <c r="E11" s="10" t="n">
        <v>49</v>
      </c>
      <c r="F11" s="11" t="n">
        <v>0.271895108909096</v>
      </c>
      <c r="G11" s="28" t="n">
        <v>0.269138755980861</v>
      </c>
      <c r="H11" s="31" t="n">
        <f aca="false">F11-G11</f>
        <v>0.00275635292823523</v>
      </c>
      <c r="I11" s="12" t="n">
        <v>0.2507477115495</v>
      </c>
      <c r="J11" s="12" t="n">
        <v>0.2811004784689</v>
      </c>
      <c r="K11" s="13" t="n">
        <v>41.2467346938776</v>
      </c>
      <c r="L11" s="9" t="s">
        <v>88</v>
      </c>
      <c r="M11" s="10" t="n">
        <v>21</v>
      </c>
      <c r="N11" s="30" t="n">
        <f aca="false">IF(3=0,0,M11/3)</f>
        <v>7</v>
      </c>
    </row>
    <row r="12" customFormat="false" ht="15" hidden="false" customHeight="false" outlineLevel="0" collapsed="false">
      <c r="A12" s="23" t="s">
        <v>89</v>
      </c>
      <c r="B12" s="14" t="s">
        <v>33</v>
      </c>
      <c r="C12" s="15" t="s">
        <v>34</v>
      </c>
      <c r="D12" s="9" t="s">
        <v>90</v>
      </c>
      <c r="E12" s="10" t="n">
        <v>17</v>
      </c>
      <c r="F12" s="11" t="n">
        <v>0</v>
      </c>
      <c r="G12" s="28" t="n">
        <v>0</v>
      </c>
      <c r="H12" s="31" t="n">
        <f aca="false">F12-G12</f>
        <v>0</v>
      </c>
      <c r="I12" s="12" t="n">
        <v>0.397332198098482</v>
      </c>
      <c r="J12" s="12" t="n">
        <v>0.405932864949258</v>
      </c>
      <c r="K12" s="13" t="n">
        <v>25.0941176470588</v>
      </c>
      <c r="L12" s="9" t="s">
        <v>91</v>
      </c>
      <c r="M12" s="10" t="n">
        <v>3</v>
      </c>
      <c r="N12" s="30" t="n">
        <f aca="false">IF(3=0,0,M12/3)</f>
        <v>1</v>
      </c>
    </row>
    <row r="13" customFormat="false" ht="15" hidden="false" customHeight="false" outlineLevel="0" collapsed="false">
      <c r="A13" s="23" t="s">
        <v>92</v>
      </c>
      <c r="B13" s="14" t="s">
        <v>35</v>
      </c>
      <c r="C13" s="15" t="s">
        <v>34</v>
      </c>
      <c r="D13" s="9" t="s">
        <v>90</v>
      </c>
      <c r="E13" s="10" t="n">
        <v>17</v>
      </c>
      <c r="F13" s="11" t="n">
        <v>0.570450656018254</v>
      </c>
      <c r="G13" s="28" t="n">
        <v>0.627090301003345</v>
      </c>
      <c r="H13" s="29" t="n">
        <f aca="false">F13-G13</f>
        <v>-0.0566396449850901</v>
      </c>
      <c r="I13" s="12" t="n">
        <v>0.209165240540027</v>
      </c>
      <c r="J13" s="12" t="n">
        <v>0.209030100334448</v>
      </c>
      <c r="K13" s="13" t="n">
        <v>29.8870588235294</v>
      </c>
      <c r="L13" s="9" t="s">
        <v>93</v>
      </c>
      <c r="M13" s="10" t="n">
        <v>11</v>
      </c>
      <c r="N13" s="30" t="n">
        <f aca="false">IF(3=0,0,M13/3)</f>
        <v>3.66666666666667</v>
      </c>
    </row>
    <row r="14" customFormat="false" ht="15" hidden="false" customHeight="false" outlineLevel="0" collapsed="false">
      <c r="A14" s="23" t="s">
        <v>94</v>
      </c>
      <c r="B14" s="14" t="s">
        <v>36</v>
      </c>
      <c r="C14" s="15" t="s">
        <v>31</v>
      </c>
      <c r="D14" s="9" t="s">
        <v>87</v>
      </c>
      <c r="E14" s="10" t="n">
        <v>18</v>
      </c>
      <c r="F14" s="11" t="n">
        <v>0.023628931263439</v>
      </c>
      <c r="G14" s="28" t="n">
        <v>0</v>
      </c>
      <c r="H14" s="31" t="n">
        <f aca="false">F14-G14</f>
        <v>0.023628931263439</v>
      </c>
      <c r="I14" s="12" t="n">
        <v>0.158313839465041</v>
      </c>
      <c r="J14" s="12" t="n">
        <v>0.170212765957447</v>
      </c>
      <c r="K14" s="13" t="n">
        <v>44.1166666666667</v>
      </c>
      <c r="L14" s="9" t="s">
        <v>95</v>
      </c>
      <c r="M14" s="10" t="n">
        <v>32</v>
      </c>
      <c r="N14" s="30" t="n">
        <f aca="false">IF(3=0,0,M14/3)</f>
        <v>10.6666666666667</v>
      </c>
    </row>
    <row r="15" customFormat="false" ht="15" hidden="false" customHeight="false" outlineLevel="0" collapsed="false">
      <c r="A15" s="23" t="s">
        <v>96</v>
      </c>
      <c r="B15" s="14" t="s">
        <v>37</v>
      </c>
      <c r="C15" s="15" t="s">
        <v>31</v>
      </c>
      <c r="D15" s="9" t="s">
        <v>87</v>
      </c>
      <c r="E15" s="10" t="n">
        <v>13</v>
      </c>
      <c r="F15" s="11" t="n">
        <v>0.210934863314209</v>
      </c>
      <c r="G15" s="28" t="n">
        <v>0.186889688361445</v>
      </c>
      <c r="H15" s="31" t="n">
        <f aca="false">F15-G15</f>
        <v>0.0240451749527639</v>
      </c>
      <c r="I15" s="12" t="n">
        <v>0.219372257846777</v>
      </c>
      <c r="J15" s="12" t="n">
        <v>0.238284352660842</v>
      </c>
      <c r="K15" s="13" t="n">
        <v>33.7092307692308</v>
      </c>
      <c r="L15" s="9" t="s">
        <v>97</v>
      </c>
      <c r="M15" s="10" t="n">
        <v>30</v>
      </c>
      <c r="N15" s="30" t="n">
        <f aca="false">IF(2=0,0,M15/2)</f>
        <v>15</v>
      </c>
    </row>
    <row r="16" customFormat="false" ht="15" hidden="false" customHeight="false" outlineLevel="0" collapsed="false">
      <c r="A16" s="23" t="s">
        <v>98</v>
      </c>
      <c r="B16" s="14" t="s">
        <v>38</v>
      </c>
      <c r="C16" s="15" t="s">
        <v>31</v>
      </c>
      <c r="D16" s="9" t="s">
        <v>87</v>
      </c>
      <c r="E16" s="10" t="n">
        <v>30</v>
      </c>
      <c r="F16" s="11" t="n">
        <v>0.168904653323199</v>
      </c>
      <c r="G16" s="28" t="n">
        <v>0.169312169312169</v>
      </c>
      <c r="H16" s="29" t="n">
        <f aca="false">F16-G16</f>
        <v>-0.000407515988970208</v>
      </c>
      <c r="I16" s="12" t="n">
        <v>0.232243898319399</v>
      </c>
      <c r="J16" s="12" t="n">
        <v>0.241269841269841</v>
      </c>
      <c r="K16" s="13" t="n">
        <v>38.822</v>
      </c>
      <c r="L16" s="9" t="s">
        <v>99</v>
      </c>
      <c r="M16" s="10" t="n">
        <v>36</v>
      </c>
      <c r="N16" s="30" t="n">
        <f aca="false">IF(3=0,0,M16/3)</f>
        <v>12</v>
      </c>
    </row>
    <row r="17" customFormat="false" ht="15" hidden="false" customHeight="false" outlineLevel="0" collapsed="false">
      <c r="A17" s="23" t="s">
        <v>100</v>
      </c>
      <c r="B17" s="14" t="s">
        <v>39</v>
      </c>
      <c r="C17" s="15" t="s">
        <v>34</v>
      </c>
      <c r="D17" s="9" t="s">
        <v>90</v>
      </c>
      <c r="E17" s="10" t="n">
        <v>3</v>
      </c>
      <c r="F17" s="11" t="n">
        <v>0</v>
      </c>
      <c r="G17" s="28" t="n">
        <v>0</v>
      </c>
      <c r="H17" s="31" t="n">
        <f aca="false">F17-G17</f>
        <v>0</v>
      </c>
      <c r="I17" s="12" t="n">
        <v>0</v>
      </c>
      <c r="J17" s="12" t="n">
        <v>0</v>
      </c>
      <c r="K17" s="13" t="n">
        <v>6.73333333333333</v>
      </c>
      <c r="L17" s="9" t="s">
        <v>101</v>
      </c>
      <c r="M17" s="10" t="n">
        <v>13</v>
      </c>
      <c r="N17" s="30" t="n">
        <f aca="false">IF(2=0,0,M17/2)</f>
        <v>6.5</v>
      </c>
    </row>
    <row r="19" customFormat="false" ht="17.15" hidden="false" customHeight="false" outlineLevel="0" collapsed="false">
      <c r="A19" s="4" t="s">
        <v>102</v>
      </c>
    </row>
    <row r="20" customFormat="false" ht="27.75" hidden="false" customHeight="true" outlineLevel="0" collapsed="false">
      <c r="A20" s="32" t="s">
        <v>103</v>
      </c>
      <c r="B20" s="32"/>
      <c r="C20" s="32"/>
      <c r="D20" s="32"/>
      <c r="E20" s="32"/>
      <c r="F20" s="32"/>
      <c r="G20" s="32"/>
      <c r="H20" s="32"/>
      <c r="I20" s="32"/>
      <c r="J20" s="32"/>
      <c r="K20" s="32"/>
      <c r="L20" s="32"/>
      <c r="M20" s="32"/>
      <c r="N20" s="32"/>
    </row>
    <row r="21" customFormat="false" ht="31.5" hidden="false" customHeight="true" outlineLevel="0" collapsed="false">
      <c r="A21" s="7" t="s">
        <v>104</v>
      </c>
      <c r="B21" s="7" t="s">
        <v>105</v>
      </c>
      <c r="C21" s="7" t="s">
        <v>14</v>
      </c>
      <c r="D21" s="7" t="s">
        <v>106</v>
      </c>
      <c r="E21" s="7" t="s">
        <v>107</v>
      </c>
      <c r="F21" s="7" t="s">
        <v>108</v>
      </c>
      <c r="G21" s="6" t="s">
        <v>109</v>
      </c>
      <c r="H21" s="6"/>
      <c r="I21" s="6"/>
      <c r="J21" s="6"/>
      <c r="K21" s="6"/>
      <c r="L21" s="6"/>
      <c r="M21" s="6"/>
      <c r="N21" s="6"/>
    </row>
    <row r="22" customFormat="false" ht="15" hidden="false" customHeight="false" outlineLevel="0" collapsed="false">
      <c r="A22" s="23" t="s">
        <v>110</v>
      </c>
      <c r="B22" s="10" t="n">
        <v>5</v>
      </c>
      <c r="C22" s="10" t="n">
        <v>41</v>
      </c>
      <c r="D22" s="33" t="n">
        <v>1.67163626751256</v>
      </c>
      <c r="E22" s="34" t="n">
        <v>1.47439973364071</v>
      </c>
      <c r="F22" s="9" t="s">
        <v>111</v>
      </c>
      <c r="G22" s="3" t="s">
        <v>112</v>
      </c>
      <c r="H22" s="3"/>
      <c r="I22" s="3"/>
      <c r="J22" s="3"/>
      <c r="K22" s="3"/>
      <c r="L22" s="3"/>
      <c r="M22" s="3"/>
      <c r="N22" s="3"/>
    </row>
    <row r="23" customFormat="false" ht="15" hidden="false" customHeight="false" outlineLevel="0" collapsed="false">
      <c r="A23" s="23" t="s">
        <v>113</v>
      </c>
      <c r="B23" s="10" t="n">
        <v>3</v>
      </c>
      <c r="C23" s="10" t="n">
        <v>28</v>
      </c>
      <c r="D23" s="33" t="n">
        <v>1.24304847372357</v>
      </c>
      <c r="E23" s="34" t="n">
        <v>1.12038244305302</v>
      </c>
      <c r="F23" s="9" t="s">
        <v>114</v>
      </c>
      <c r="G23" s="3" t="s">
        <v>115</v>
      </c>
      <c r="H23" s="3"/>
      <c r="I23" s="3"/>
      <c r="J23" s="3"/>
      <c r="K23" s="3"/>
      <c r="L23" s="3"/>
      <c r="M23" s="3"/>
      <c r="N23" s="3"/>
    </row>
    <row r="24" customFormat="false" ht="15" hidden="false" customHeight="false" outlineLevel="0" collapsed="false">
      <c r="A24" s="23" t="s">
        <v>116</v>
      </c>
      <c r="B24" s="10" t="n">
        <v>2</v>
      </c>
      <c r="C24" s="10" t="n">
        <v>8</v>
      </c>
      <c r="D24" s="33" t="n">
        <v>1.22588419703566</v>
      </c>
      <c r="E24" s="34" t="n">
        <v>1.08103109565632</v>
      </c>
      <c r="F24" s="9" t="s">
        <v>117</v>
      </c>
      <c r="G24" s="3" t="s">
        <v>118</v>
      </c>
      <c r="H24" s="3"/>
      <c r="I24" s="3"/>
      <c r="J24" s="3"/>
      <c r="K24" s="3"/>
      <c r="L24" s="3"/>
      <c r="M24" s="3"/>
      <c r="N24" s="3"/>
    </row>
    <row r="25" customFormat="false" ht="15" hidden="false" customHeight="false" outlineLevel="0" collapsed="false">
      <c r="A25" s="23" t="s">
        <v>119</v>
      </c>
      <c r="B25" s="10" t="n">
        <v>3</v>
      </c>
      <c r="C25" s="10" t="n">
        <v>21</v>
      </c>
      <c r="D25" s="35" t="n">
        <v>0.807983814959084</v>
      </c>
      <c r="E25" s="34" t="n">
        <v>0.81870187438571</v>
      </c>
      <c r="F25" s="9" t="s">
        <v>120</v>
      </c>
      <c r="G25" s="3" t="s">
        <v>121</v>
      </c>
      <c r="H25" s="3"/>
      <c r="I25" s="3"/>
      <c r="J25" s="3"/>
      <c r="K25" s="3"/>
      <c r="L25" s="3"/>
      <c r="M25" s="3"/>
      <c r="N25" s="3"/>
    </row>
    <row r="26" customFormat="false" ht="15" hidden="false" customHeight="false" outlineLevel="0" collapsed="false">
      <c r="A26" s="23" t="s">
        <v>122</v>
      </c>
      <c r="B26" s="10" t="n">
        <v>3</v>
      </c>
      <c r="C26" s="10" t="n">
        <v>18</v>
      </c>
      <c r="D26" s="36" t="n">
        <v>0.500328449433068</v>
      </c>
      <c r="E26" s="34" t="n">
        <v>0.42374883446171</v>
      </c>
      <c r="F26" s="9" t="s">
        <v>120</v>
      </c>
      <c r="G26" s="3" t="s">
        <v>123</v>
      </c>
      <c r="H26" s="3"/>
      <c r="I26" s="3"/>
      <c r="J26" s="3"/>
      <c r="K26" s="3"/>
      <c r="L26" s="3"/>
      <c r="M26" s="3"/>
      <c r="N26" s="3"/>
    </row>
    <row r="27" customFormat="false" ht="15" hidden="false" customHeight="false" outlineLevel="0" collapsed="false">
      <c r="A27" s="23" t="s">
        <v>124</v>
      </c>
      <c r="B27" s="10" t="n">
        <v>3</v>
      </c>
      <c r="C27" s="10" t="n">
        <v>21</v>
      </c>
      <c r="D27" s="36" t="n">
        <v>0.488038277511962</v>
      </c>
      <c r="E27" s="34" t="n">
        <v>0.810962660730596</v>
      </c>
      <c r="F27" s="9" t="s">
        <v>125</v>
      </c>
      <c r="G27" s="3" t="s">
        <v>126</v>
      </c>
      <c r="H27" s="3"/>
      <c r="I27" s="3"/>
      <c r="J27" s="3"/>
      <c r="K27" s="3"/>
      <c r="L27" s="3"/>
      <c r="M27" s="3"/>
      <c r="N27" s="3"/>
    </row>
    <row r="29" customFormat="false" ht="17.15" hidden="false" customHeight="false" outlineLevel="0" collapsed="false">
      <c r="A29" s="4" t="s">
        <v>127</v>
      </c>
    </row>
    <row r="30" customFormat="false" ht="31.5" hidden="false" customHeight="true" outlineLevel="0" collapsed="false">
      <c r="A30" s="6" t="s">
        <v>12</v>
      </c>
      <c r="B30" s="7" t="s">
        <v>128</v>
      </c>
      <c r="C30" s="7" t="s">
        <v>129</v>
      </c>
      <c r="D30" s="7" t="s">
        <v>130</v>
      </c>
      <c r="E30" s="7" t="s">
        <v>131</v>
      </c>
      <c r="F30" s="7" t="s">
        <v>132</v>
      </c>
    </row>
    <row r="31" customFormat="false" ht="15" hidden="false" customHeight="false" outlineLevel="0" collapsed="false">
      <c r="A31" s="23" t="s">
        <v>58</v>
      </c>
      <c r="B31" s="28" t="n">
        <v>0.513434879342803</v>
      </c>
      <c r="C31" s="28" t="n">
        <v>0.440722785368004</v>
      </c>
      <c r="D31" s="28" t="n">
        <v>1.17801954126533</v>
      </c>
      <c r="E31" s="3" t="s">
        <v>133</v>
      </c>
      <c r="F31" s="8" t="s">
        <v>134</v>
      </c>
    </row>
    <row r="32" customFormat="false" ht="15" hidden="false" customHeight="false" outlineLevel="0" collapsed="false">
      <c r="A32" s="23" t="s">
        <v>59</v>
      </c>
      <c r="B32" s="28" t="n">
        <v>0.240038406144983</v>
      </c>
      <c r="C32" s="28" t="n">
        <v>0.367674093683359</v>
      </c>
      <c r="D32" s="28" t="n">
        <v>0.926408430316716</v>
      </c>
      <c r="E32" s="3" t="s">
        <v>133</v>
      </c>
      <c r="F32" s="8" t="s">
        <v>134</v>
      </c>
    </row>
    <row r="33" customFormat="false" ht="15" hidden="false" customHeight="false" outlineLevel="0" collapsed="false">
      <c r="A33" s="23" t="s">
        <v>60</v>
      </c>
      <c r="B33" s="28" t="n">
        <v>0</v>
      </c>
      <c r="C33" s="28" t="n">
        <v>1.06796116504854</v>
      </c>
      <c r="D33" s="28" t="n">
        <v>0.507292327203551</v>
      </c>
      <c r="E33" s="3" t="s">
        <v>133</v>
      </c>
      <c r="F33" s="8" t="s">
        <v>135</v>
      </c>
    </row>
    <row r="34" customFormat="false" ht="15" hidden="false" customHeight="false" outlineLevel="0" collapsed="false">
      <c r="A34" s="23" t="s">
        <v>61</v>
      </c>
      <c r="B34" s="28" t="n">
        <v>0.189465706707086</v>
      </c>
      <c r="C34" s="28" t="n">
        <v>0.402927943052851</v>
      </c>
      <c r="D34" s="28" t="n">
        <v>0.740765682346207</v>
      </c>
      <c r="E34" s="28" t="n">
        <v>1.68350168350168</v>
      </c>
      <c r="F34" s="8" t="s">
        <v>134</v>
      </c>
    </row>
    <row r="35" customFormat="false" ht="15" hidden="false" customHeight="false" outlineLevel="0" collapsed="false">
      <c r="A35" s="23" t="s">
        <v>62</v>
      </c>
      <c r="B35" s="28" t="n">
        <v>0.244558571777941</v>
      </c>
      <c r="C35" s="28" t="n">
        <v>0.171585449553878</v>
      </c>
      <c r="D35" s="28" t="n">
        <v>0.168312387791742</v>
      </c>
      <c r="E35" s="28" t="n">
        <v>0</v>
      </c>
      <c r="F35" s="8" t="s">
        <v>136</v>
      </c>
    </row>
    <row r="36" customFormat="false" ht="15" hidden="false" customHeight="false" outlineLevel="0" collapsed="false">
      <c r="A36" s="37" t="s">
        <v>137</v>
      </c>
      <c r="B36" s="38" t="n">
        <v>0.299043062200957</v>
      </c>
      <c r="C36" s="38" t="n">
        <v>0.469324011587448</v>
      </c>
      <c r="D36" s="38" t="n">
        <v>0.694773409126796</v>
      </c>
      <c r="E36" s="38" t="n">
        <v>0.477668975400048</v>
      </c>
      <c r="F36" s="39" t="s">
        <v>138</v>
      </c>
    </row>
    <row r="37" customFormat="false" ht="14.15" hidden="false" customHeight="false" outlineLevel="0" collapsed="false">
      <c r="A37" s="2" t="s">
        <v>139</v>
      </c>
      <c r="B37" s="2"/>
      <c r="C37" s="2"/>
      <c r="D37" s="2"/>
      <c r="E37" s="2"/>
      <c r="F37" s="2"/>
      <c r="G37" s="2"/>
      <c r="H37" s="2"/>
      <c r="I37" s="2"/>
      <c r="J37" s="2"/>
      <c r="K37" s="2"/>
      <c r="L37" s="2"/>
      <c r="M37" s="2"/>
      <c r="N37" s="2"/>
    </row>
  </sheetData>
  <mergeCells count="8">
    <mergeCell ref="A20:N20"/>
    <mergeCell ref="G22:N22"/>
    <mergeCell ref="G23:N23"/>
    <mergeCell ref="G24:N24"/>
    <mergeCell ref="G25:N25"/>
    <mergeCell ref="G26:N26"/>
    <mergeCell ref="G27:N27"/>
    <mergeCell ref="A37:N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17"/>
    <col collapsed="false" customWidth="true" hidden="false" outlineLevel="0" max="3" min="3" style="0" width="52"/>
    <col collapsed="false" customWidth="true" hidden="false" outlineLevel="0" max="4" min="4" style="0" width="10"/>
    <col collapsed="false" customWidth="true" hidden="false" outlineLevel="0" max="7" min="5" style="0" width="8"/>
    <col collapsed="false" customWidth="true" hidden="false" outlineLevel="0" max="9" min="8" style="0" width="10"/>
    <col collapsed="false" customWidth="true" hidden="false" outlineLevel="0" max="10" min="10" style="0" width="12"/>
  </cols>
  <sheetData>
    <row r="1" customFormat="false" ht="21.6" hidden="false" customHeight="false" outlineLevel="0" collapsed="false">
      <c r="A1" s="27" t="s">
        <v>140</v>
      </c>
    </row>
    <row r="2" customFormat="false" ht="15" hidden="false" customHeight="false" outlineLevel="0" collapsed="false">
      <c r="A2" s="3" t="s">
        <v>141</v>
      </c>
    </row>
    <row r="4" customFormat="false" ht="31.5" hidden="false" customHeight="true" outlineLevel="0" collapsed="false">
      <c r="A4" s="6" t="s">
        <v>12</v>
      </c>
      <c r="B4" s="7" t="s">
        <v>142</v>
      </c>
      <c r="C4" s="7" t="s">
        <v>143</v>
      </c>
      <c r="D4" s="7" t="s">
        <v>45</v>
      </c>
      <c r="E4" s="7" t="s">
        <v>144</v>
      </c>
      <c r="F4" s="7" t="s">
        <v>145</v>
      </c>
      <c r="G4" s="7" t="s">
        <v>16</v>
      </c>
      <c r="H4" s="7" t="s">
        <v>17</v>
      </c>
      <c r="I4" s="7" t="s">
        <v>146</v>
      </c>
      <c r="J4" s="7" t="s">
        <v>147</v>
      </c>
    </row>
    <row r="5" customFormat="false" ht="15" hidden="false" customHeight="false" outlineLevel="0" collapsed="false">
      <c r="A5" s="9" t="s">
        <v>62</v>
      </c>
      <c r="B5" s="9" t="s">
        <v>148</v>
      </c>
      <c r="C5" s="14" t="s">
        <v>149</v>
      </c>
      <c r="D5" s="10" t="n">
        <v>999</v>
      </c>
      <c r="E5" s="10" t="n">
        <v>1</v>
      </c>
      <c r="F5" s="10" t="n">
        <v>0</v>
      </c>
      <c r="G5" s="10" t="n">
        <v>0</v>
      </c>
      <c r="H5" s="11" t="n">
        <f aca="false">IF(D5=0,"",G5/D5*1000)</f>
        <v>0</v>
      </c>
      <c r="I5" s="13" t="n">
        <v>30.94</v>
      </c>
      <c r="J5" s="2" t="s">
        <v>150</v>
      </c>
    </row>
    <row r="6" customFormat="false" ht="15" hidden="false" customHeight="false" outlineLevel="0" collapsed="false">
      <c r="A6" s="9" t="s">
        <v>62</v>
      </c>
      <c r="B6" s="9" t="s">
        <v>151</v>
      </c>
      <c r="C6" s="14" t="s">
        <v>152</v>
      </c>
      <c r="D6" s="10" t="n">
        <v>264</v>
      </c>
      <c r="E6" s="10" t="n">
        <v>1</v>
      </c>
      <c r="F6" s="10" t="n">
        <v>0</v>
      </c>
      <c r="G6" s="10" t="n">
        <v>0</v>
      </c>
      <c r="H6" s="11" t="n">
        <f aca="false">IF(D6=0,"",G6/D6*1000)</f>
        <v>0</v>
      </c>
      <c r="I6" s="13" t="n">
        <v>43.61</v>
      </c>
      <c r="J6" s="2" t="s">
        <v>150</v>
      </c>
    </row>
    <row r="7" customFormat="false" ht="15" hidden="false" customHeight="false" outlineLevel="0" collapsed="false">
      <c r="A7" s="9" t="s">
        <v>62</v>
      </c>
      <c r="B7" s="9" t="s">
        <v>153</v>
      </c>
      <c r="C7" s="14" t="s">
        <v>154</v>
      </c>
      <c r="D7" s="10" t="n">
        <v>665</v>
      </c>
      <c r="E7" s="10" t="n">
        <v>0</v>
      </c>
      <c r="F7" s="10" t="n">
        <v>0</v>
      </c>
      <c r="G7" s="10" t="n">
        <v>0</v>
      </c>
      <c r="H7" s="11" t="n">
        <f aca="false">IF(D7=0,"",G7/D7*1000)</f>
        <v>0</v>
      </c>
      <c r="I7" s="13" t="n">
        <v>40.83</v>
      </c>
      <c r="J7" s="2" t="s">
        <v>150</v>
      </c>
    </row>
    <row r="8" customFormat="false" ht="15" hidden="false" customHeight="false" outlineLevel="0" collapsed="false">
      <c r="A8" s="9" t="s">
        <v>62</v>
      </c>
      <c r="B8" s="9" t="s">
        <v>155</v>
      </c>
      <c r="C8" s="14" t="s">
        <v>156</v>
      </c>
      <c r="D8" s="10" t="n">
        <v>683</v>
      </c>
      <c r="E8" s="10" t="n">
        <v>1</v>
      </c>
      <c r="F8" s="10" t="n">
        <v>1</v>
      </c>
      <c r="G8" s="10" t="n">
        <v>0</v>
      </c>
      <c r="H8" s="11" t="n">
        <f aca="false">IF(D8=0,"",G8/D8*1000)</f>
        <v>0</v>
      </c>
      <c r="I8" s="13" t="n">
        <v>35.83</v>
      </c>
      <c r="J8" s="2" t="s">
        <v>150</v>
      </c>
    </row>
    <row r="9" customFormat="false" ht="15" hidden="false" customHeight="false" outlineLevel="0" collapsed="false">
      <c r="A9" s="9" t="s">
        <v>62</v>
      </c>
      <c r="B9" s="9" t="s">
        <v>157</v>
      </c>
      <c r="C9" s="9" t="s">
        <v>158</v>
      </c>
      <c r="D9" s="10" t="n">
        <v>794</v>
      </c>
      <c r="E9" s="10" t="n">
        <v>1</v>
      </c>
      <c r="F9" s="10" t="n">
        <v>0</v>
      </c>
      <c r="G9" s="10" t="n">
        <v>0</v>
      </c>
      <c r="H9" s="11" t="n">
        <f aca="false">IF(D9=0,"",G9/D9*1000)</f>
        <v>0</v>
      </c>
      <c r="I9" s="13" t="n">
        <v>35.09</v>
      </c>
      <c r="J9" s="2" t="s">
        <v>150</v>
      </c>
    </row>
    <row r="10" customFormat="false" ht="15" hidden="false" customHeight="false" outlineLevel="0" collapsed="false">
      <c r="A10" s="9" t="s">
        <v>62</v>
      </c>
      <c r="B10" s="9" t="s">
        <v>159</v>
      </c>
      <c r="C10" s="14" t="s">
        <v>160</v>
      </c>
      <c r="D10" s="10" t="n">
        <v>954</v>
      </c>
      <c r="E10" s="10" t="n">
        <v>1</v>
      </c>
      <c r="F10" s="10" t="n">
        <v>0</v>
      </c>
      <c r="G10" s="10" t="n">
        <v>0</v>
      </c>
      <c r="H10" s="11" t="n">
        <f aca="false">IF(D10=0,"",G10/D10*1000)</f>
        <v>0</v>
      </c>
      <c r="I10" s="13" t="n">
        <v>69.49</v>
      </c>
      <c r="J10" s="2" t="s">
        <v>150</v>
      </c>
    </row>
    <row r="11" customFormat="false" ht="15" hidden="false" customHeight="false" outlineLevel="0" collapsed="false">
      <c r="A11" s="9" t="s">
        <v>96</v>
      </c>
      <c r="B11" s="9" t="s">
        <v>161</v>
      </c>
      <c r="C11" s="14" t="s">
        <v>162</v>
      </c>
      <c r="D11" s="10" t="n">
        <v>0</v>
      </c>
      <c r="E11" s="10" t="n">
        <v>0</v>
      </c>
      <c r="F11" s="10" t="n">
        <v>0</v>
      </c>
      <c r="G11" s="10" t="n">
        <v>0</v>
      </c>
      <c r="H11" s="11" t="str">
        <f aca="false">IF(D11=0,"",G11/D11*1000)</f>
        <v/>
      </c>
      <c r="I11" s="13" t="n">
        <v>0</v>
      </c>
      <c r="J11" s="39" t="s">
        <v>163</v>
      </c>
    </row>
    <row r="12" customFormat="false" ht="15" hidden="false" customHeight="false" outlineLevel="0" collapsed="false">
      <c r="A12" s="9" t="s">
        <v>96</v>
      </c>
      <c r="B12" s="9" t="s">
        <v>164</v>
      </c>
      <c r="C12" s="14" t="s">
        <v>165</v>
      </c>
      <c r="D12" s="10" t="n">
        <v>0</v>
      </c>
      <c r="E12" s="10" t="n">
        <v>0</v>
      </c>
      <c r="F12" s="10" t="n">
        <v>0</v>
      </c>
      <c r="G12" s="10" t="n">
        <v>0</v>
      </c>
      <c r="H12" s="11" t="str">
        <f aca="false">IF(D12=0,"",G12/D12*1000)</f>
        <v/>
      </c>
      <c r="I12" s="13" t="n">
        <v>0</v>
      </c>
      <c r="J12" s="39" t="s">
        <v>163</v>
      </c>
    </row>
    <row r="13" customFormat="false" ht="15" hidden="false" customHeight="false" outlineLevel="0" collapsed="false">
      <c r="A13" s="9" t="s">
        <v>96</v>
      </c>
      <c r="B13" s="9" t="s">
        <v>166</v>
      </c>
      <c r="C13" s="14" t="s">
        <v>167</v>
      </c>
      <c r="D13" s="10" t="n">
        <v>0</v>
      </c>
      <c r="E13" s="10" t="n">
        <v>0</v>
      </c>
      <c r="F13" s="10" t="n">
        <v>0</v>
      </c>
      <c r="G13" s="10" t="n">
        <v>0</v>
      </c>
      <c r="H13" s="11" t="str">
        <f aca="false">IF(D13=0,"",G13/D13*1000)</f>
        <v/>
      </c>
      <c r="I13" s="13" t="n">
        <v>0</v>
      </c>
      <c r="J13" s="39" t="s">
        <v>163</v>
      </c>
    </row>
    <row r="14" customFormat="false" ht="15" hidden="false" customHeight="false" outlineLevel="0" collapsed="false">
      <c r="A14" s="9" t="s">
        <v>96</v>
      </c>
      <c r="B14" s="9" t="s">
        <v>168</v>
      </c>
      <c r="C14" s="14" t="s">
        <v>169</v>
      </c>
      <c r="D14" s="10" t="n">
        <v>0</v>
      </c>
      <c r="E14" s="10" t="n">
        <v>0</v>
      </c>
      <c r="F14" s="10" t="n">
        <v>0</v>
      </c>
      <c r="G14" s="10" t="n">
        <v>0</v>
      </c>
      <c r="H14" s="11" t="str">
        <f aca="false">IF(D14=0,"",G14/D14*1000)</f>
        <v/>
      </c>
      <c r="I14" s="13" t="n">
        <v>0</v>
      </c>
      <c r="J14" s="39" t="s">
        <v>163</v>
      </c>
    </row>
    <row r="15" customFormat="false" ht="15" hidden="false" customHeight="false" outlineLevel="0" collapsed="false">
      <c r="A15" s="9" t="s">
        <v>98</v>
      </c>
      <c r="B15" s="9" t="s">
        <v>170</v>
      </c>
      <c r="C15" s="9" t="s">
        <v>171</v>
      </c>
      <c r="D15" s="10" t="n">
        <v>0</v>
      </c>
      <c r="E15" s="10" t="n">
        <v>0</v>
      </c>
      <c r="F15" s="10" t="n">
        <v>0</v>
      </c>
      <c r="G15" s="10" t="n">
        <v>0</v>
      </c>
      <c r="H15" s="11" t="str">
        <f aca="false">IF(D15=0,"",G15/D15*1000)</f>
        <v/>
      </c>
      <c r="I15" s="13" t="n">
        <v>0</v>
      </c>
      <c r="J15" s="39" t="s">
        <v>163</v>
      </c>
    </row>
    <row r="16" customFormat="false" ht="15" hidden="false" customHeight="false" outlineLevel="0" collapsed="false">
      <c r="A16" s="9" t="s">
        <v>98</v>
      </c>
      <c r="B16" s="9" t="s">
        <v>172</v>
      </c>
      <c r="C16" s="9" t="s">
        <v>173</v>
      </c>
      <c r="D16" s="10" t="n">
        <v>0</v>
      </c>
      <c r="E16" s="10" t="n">
        <v>0</v>
      </c>
      <c r="F16" s="10" t="n">
        <v>0</v>
      </c>
      <c r="G16" s="10" t="n">
        <v>0</v>
      </c>
      <c r="H16" s="11" t="str">
        <f aca="false">IF(D16=0,"",G16/D16*1000)</f>
        <v/>
      </c>
      <c r="I16" s="13" t="n">
        <v>0</v>
      </c>
      <c r="J16" s="39" t="s">
        <v>163</v>
      </c>
    </row>
    <row r="17" customFormat="false" ht="15" hidden="false" customHeight="false" outlineLevel="0" collapsed="false">
      <c r="A17" s="9" t="s">
        <v>98</v>
      </c>
      <c r="B17" s="9" t="s">
        <v>174</v>
      </c>
      <c r="C17" s="14" t="s">
        <v>175</v>
      </c>
      <c r="D17" s="10" t="n">
        <v>0</v>
      </c>
      <c r="E17" s="10" t="n">
        <v>0</v>
      </c>
      <c r="F17" s="10" t="n">
        <v>0</v>
      </c>
      <c r="G17" s="10" t="n">
        <v>0</v>
      </c>
      <c r="H17" s="11" t="str">
        <f aca="false">IF(D17=0,"",G17/D17*1000)</f>
        <v/>
      </c>
      <c r="I17" s="13" t="n">
        <v>0</v>
      </c>
      <c r="J17" s="39" t="s">
        <v>163</v>
      </c>
    </row>
    <row r="18" customFormat="false" ht="15" hidden="false" customHeight="false" outlineLevel="0" collapsed="false">
      <c r="A18" s="9" t="s">
        <v>98</v>
      </c>
      <c r="B18" s="9" t="s">
        <v>176</v>
      </c>
      <c r="C18" s="14" t="s">
        <v>177</v>
      </c>
      <c r="D18" s="10" t="n">
        <v>0</v>
      </c>
      <c r="E18" s="10" t="n">
        <v>0</v>
      </c>
      <c r="F18" s="10" t="n">
        <v>0</v>
      </c>
      <c r="G18" s="10" t="n">
        <v>0</v>
      </c>
      <c r="H18" s="11" t="str">
        <f aca="false">IF(D18=0,"",G18/D18*1000)</f>
        <v/>
      </c>
      <c r="I18" s="13" t="n">
        <v>0</v>
      </c>
      <c r="J18" s="39" t="s">
        <v>163</v>
      </c>
    </row>
    <row r="19" customFormat="false" ht="15" hidden="false" customHeight="false" outlineLevel="0" collapsed="false">
      <c r="A19" s="9" t="s">
        <v>94</v>
      </c>
      <c r="B19" s="9" t="s">
        <v>178</v>
      </c>
      <c r="C19" s="14" t="s">
        <v>179</v>
      </c>
      <c r="D19" s="10" t="n">
        <v>0</v>
      </c>
      <c r="E19" s="10" t="n">
        <v>0</v>
      </c>
      <c r="F19" s="10" t="n">
        <v>0</v>
      </c>
      <c r="G19" s="10" t="n">
        <v>0</v>
      </c>
      <c r="H19" s="11" t="str">
        <f aca="false">IF(D19=0,"",G19/D19*1000)</f>
        <v/>
      </c>
      <c r="I19" s="13" t="n">
        <v>0</v>
      </c>
      <c r="J19" s="39" t="s">
        <v>163</v>
      </c>
    </row>
    <row r="20" customFormat="false" ht="15" hidden="false" customHeight="false" outlineLevel="0" collapsed="false">
      <c r="A20" s="9" t="s">
        <v>94</v>
      </c>
      <c r="B20" s="9" t="s">
        <v>180</v>
      </c>
      <c r="C20" s="14" t="s">
        <v>181</v>
      </c>
      <c r="D20" s="10" t="n">
        <v>0</v>
      </c>
      <c r="E20" s="10" t="n">
        <v>0</v>
      </c>
      <c r="F20" s="10" t="n">
        <v>0</v>
      </c>
      <c r="G20" s="10" t="n">
        <v>0</v>
      </c>
      <c r="H20" s="11" t="str">
        <f aca="false">IF(D20=0,"",G20/D20*1000)</f>
        <v/>
      </c>
      <c r="I20" s="13" t="n">
        <v>0</v>
      </c>
      <c r="J20" s="39" t="s">
        <v>163</v>
      </c>
    </row>
    <row r="21" customFormat="false" ht="15" hidden="false" customHeight="false" outlineLevel="0" collapsed="false">
      <c r="A21" s="9" t="s">
        <v>94</v>
      </c>
      <c r="B21" s="9" t="s">
        <v>182</v>
      </c>
      <c r="C21" s="14" t="s">
        <v>183</v>
      </c>
      <c r="D21" s="10" t="n">
        <v>0</v>
      </c>
      <c r="E21" s="10" t="n">
        <v>0</v>
      </c>
      <c r="F21" s="10" t="n">
        <v>0</v>
      </c>
      <c r="G21" s="10" t="n">
        <v>0</v>
      </c>
      <c r="H21" s="11" t="str">
        <f aca="false">IF(D21=0,"",G21/D21*1000)</f>
        <v/>
      </c>
      <c r="I21" s="13" t="n">
        <v>0</v>
      </c>
      <c r="J21" s="39" t="s">
        <v>163</v>
      </c>
    </row>
    <row r="22" customFormat="false" ht="15" hidden="false" customHeight="false" outlineLevel="0" collapsed="false">
      <c r="A22" s="9" t="s">
        <v>94</v>
      </c>
      <c r="B22" s="9" t="s">
        <v>184</v>
      </c>
      <c r="C22" s="14" t="s">
        <v>185</v>
      </c>
      <c r="D22" s="10" t="n">
        <v>0</v>
      </c>
      <c r="E22" s="10" t="n">
        <v>0</v>
      </c>
      <c r="F22" s="10" t="n">
        <v>0</v>
      </c>
      <c r="G22" s="10" t="n">
        <v>0</v>
      </c>
      <c r="H22" s="11" t="str">
        <f aca="false">IF(D22=0,"",G22/D22*1000)</f>
        <v/>
      </c>
      <c r="I22" s="13" t="n">
        <v>0</v>
      </c>
      <c r="J22" s="39" t="s">
        <v>163</v>
      </c>
    </row>
    <row r="23" customFormat="false" ht="15" hidden="false" customHeight="false" outlineLevel="0" collapsed="false">
      <c r="A23" s="9" t="s">
        <v>61</v>
      </c>
      <c r="B23" s="9" t="s">
        <v>186</v>
      </c>
      <c r="C23" s="14" t="s">
        <v>187</v>
      </c>
      <c r="D23" s="10" t="n">
        <v>1010</v>
      </c>
      <c r="E23" s="10" t="n">
        <v>3</v>
      </c>
      <c r="F23" s="10" t="n">
        <v>0</v>
      </c>
      <c r="G23" s="10" t="n">
        <v>0</v>
      </c>
      <c r="H23" s="11" t="n">
        <f aca="false">IF(D23=0,"",G23/D23*1000)</f>
        <v>0</v>
      </c>
      <c r="I23" s="13" t="n">
        <v>52.69</v>
      </c>
      <c r="J23" s="2" t="s">
        <v>150</v>
      </c>
    </row>
    <row r="24" customFormat="false" ht="15" hidden="false" customHeight="false" outlineLevel="0" collapsed="false">
      <c r="A24" s="9" t="s">
        <v>61</v>
      </c>
      <c r="B24" s="9" t="s">
        <v>188</v>
      </c>
      <c r="C24" s="14" t="s">
        <v>189</v>
      </c>
      <c r="D24" s="10" t="n">
        <v>1055</v>
      </c>
      <c r="E24" s="10" t="n">
        <v>4</v>
      </c>
      <c r="F24" s="10" t="n">
        <v>0</v>
      </c>
      <c r="G24" s="10" t="n">
        <v>0</v>
      </c>
      <c r="H24" s="11" t="n">
        <f aca="false">IF(D24=0,"",G24/D24*1000)</f>
        <v>0</v>
      </c>
      <c r="I24" s="13" t="n">
        <v>56.42</v>
      </c>
      <c r="J24" s="2" t="s">
        <v>150</v>
      </c>
    </row>
    <row r="25" customFormat="false" ht="15" hidden="false" customHeight="false" outlineLevel="0" collapsed="false">
      <c r="A25" s="9" t="s">
        <v>61</v>
      </c>
      <c r="B25" s="9" t="s">
        <v>190</v>
      </c>
      <c r="C25" s="14" t="s">
        <v>191</v>
      </c>
      <c r="D25" s="10" t="n">
        <v>1054</v>
      </c>
      <c r="E25" s="10" t="n">
        <v>1</v>
      </c>
      <c r="F25" s="10" t="n">
        <v>1</v>
      </c>
      <c r="G25" s="10" t="n">
        <v>0</v>
      </c>
      <c r="H25" s="11" t="n">
        <f aca="false">IF(D25=0,"",G25/D25*1000)</f>
        <v>0</v>
      </c>
      <c r="I25" s="13" t="n">
        <v>46.09</v>
      </c>
      <c r="J25" s="2" t="s">
        <v>150</v>
      </c>
    </row>
    <row r="26" customFormat="false" ht="15" hidden="false" customHeight="false" outlineLevel="0" collapsed="false">
      <c r="A26" s="9" t="s">
        <v>61</v>
      </c>
      <c r="B26" s="9" t="s">
        <v>192</v>
      </c>
      <c r="C26" s="9" t="s">
        <v>193</v>
      </c>
      <c r="D26" s="10" t="n">
        <v>1011</v>
      </c>
      <c r="E26" s="10" t="n">
        <v>3</v>
      </c>
      <c r="F26" s="10" t="n">
        <v>0</v>
      </c>
      <c r="G26" s="10" t="n">
        <v>1</v>
      </c>
      <c r="H26" s="11" t="n">
        <f aca="false">IF(D26=0,"",G26/D26*1000)</f>
        <v>0.989119683481701</v>
      </c>
      <c r="I26" s="13" t="n">
        <v>45.05</v>
      </c>
      <c r="J26" s="2" t="s">
        <v>150</v>
      </c>
    </row>
    <row r="27" customFormat="false" ht="15" hidden="false" customHeight="false" outlineLevel="0" collapsed="false">
      <c r="A27" s="9" t="s">
        <v>61</v>
      </c>
      <c r="B27" s="9" t="s">
        <v>194</v>
      </c>
      <c r="C27" s="14" t="s">
        <v>195</v>
      </c>
      <c r="D27" s="10" t="n">
        <v>1095</v>
      </c>
      <c r="E27" s="10" t="n">
        <v>4</v>
      </c>
      <c r="F27" s="10" t="n">
        <v>0</v>
      </c>
      <c r="G27" s="10" t="n">
        <v>0</v>
      </c>
      <c r="H27" s="11" t="n">
        <f aca="false">IF(D27=0,"",G27/D27*1000)</f>
        <v>0</v>
      </c>
      <c r="I27" s="13" t="n">
        <v>45.1</v>
      </c>
      <c r="J27" s="2" t="s">
        <v>150</v>
      </c>
    </row>
    <row r="28" customFormat="false" ht="15" hidden="false" customHeight="false" outlineLevel="0" collapsed="false">
      <c r="A28" s="9" t="s">
        <v>61</v>
      </c>
      <c r="B28" s="9" t="s">
        <v>196</v>
      </c>
      <c r="C28" s="9" t="s">
        <v>197</v>
      </c>
      <c r="D28" s="10" t="n">
        <v>1188</v>
      </c>
      <c r="E28" s="10" t="n">
        <v>1</v>
      </c>
      <c r="F28" s="10" t="n">
        <v>0</v>
      </c>
      <c r="G28" s="10" t="n">
        <v>2</v>
      </c>
      <c r="H28" s="11" t="n">
        <f aca="false">IF(D28=0,"",G28/D28*1000)</f>
        <v>1.68350168350168</v>
      </c>
      <c r="I28" s="13" t="n">
        <v>87.55</v>
      </c>
      <c r="J28" s="2" t="s">
        <v>150</v>
      </c>
    </row>
    <row r="29" customFormat="false" ht="15" hidden="false" customHeight="false" outlineLevel="0" collapsed="false">
      <c r="A29" s="9" t="s">
        <v>61</v>
      </c>
      <c r="B29" s="9" t="s">
        <v>198</v>
      </c>
      <c r="C29" s="14" t="s">
        <v>199</v>
      </c>
      <c r="D29" s="10" t="n">
        <v>986</v>
      </c>
      <c r="E29" s="10" t="n">
        <v>4</v>
      </c>
      <c r="F29" s="10" t="n">
        <v>0</v>
      </c>
      <c r="G29" s="10" t="n">
        <v>1</v>
      </c>
      <c r="H29" s="11" t="n">
        <f aca="false">IF(D29=0,"",G29/D29*1000)</f>
        <v>1.01419878296146</v>
      </c>
      <c r="I29" s="13" t="n">
        <v>41.31</v>
      </c>
      <c r="J29" s="2" t="s">
        <v>150</v>
      </c>
    </row>
    <row r="30" customFormat="false" ht="15" hidden="false" customHeight="false" outlineLevel="0" collapsed="false">
      <c r="A30" s="9" t="s">
        <v>61</v>
      </c>
      <c r="B30" s="9" t="s">
        <v>200</v>
      </c>
      <c r="C30" s="14" t="s">
        <v>201</v>
      </c>
      <c r="D30" s="10" t="n">
        <v>1078</v>
      </c>
      <c r="E30" s="10" t="n">
        <v>4</v>
      </c>
      <c r="F30" s="10" t="n">
        <v>0</v>
      </c>
      <c r="G30" s="10" t="n">
        <v>0</v>
      </c>
      <c r="H30" s="11" t="n">
        <f aca="false">IF(D30=0,"",G30/D30*1000)</f>
        <v>0</v>
      </c>
      <c r="I30" s="13" t="n">
        <v>33.84</v>
      </c>
      <c r="J30" s="2" t="s">
        <v>150</v>
      </c>
    </row>
    <row r="31" customFormat="false" ht="15" hidden="false" customHeight="false" outlineLevel="0" collapsed="false">
      <c r="A31" s="9" t="s">
        <v>61</v>
      </c>
      <c r="B31" s="9" t="s">
        <v>202</v>
      </c>
      <c r="C31" s="14" t="s">
        <v>203</v>
      </c>
      <c r="D31" s="10" t="n">
        <v>991</v>
      </c>
      <c r="E31" s="10" t="n">
        <v>3</v>
      </c>
      <c r="F31" s="10" t="n">
        <v>0</v>
      </c>
      <c r="G31" s="10" t="n">
        <v>0</v>
      </c>
      <c r="H31" s="11" t="n">
        <f aca="false">IF(D31=0,"",G31/D31*1000)</f>
        <v>0</v>
      </c>
      <c r="I31" s="13" t="n">
        <v>48.84</v>
      </c>
      <c r="J31" s="2" t="s">
        <v>150</v>
      </c>
    </row>
    <row r="32" customFormat="false" ht="15" hidden="false" customHeight="false" outlineLevel="0" collapsed="false">
      <c r="A32" s="9" t="s">
        <v>61</v>
      </c>
      <c r="B32" s="9" t="s">
        <v>204</v>
      </c>
      <c r="C32" s="14" t="s">
        <v>205</v>
      </c>
      <c r="D32" s="10" t="n">
        <v>1050</v>
      </c>
      <c r="E32" s="10" t="n">
        <v>3</v>
      </c>
      <c r="F32" s="10" t="n">
        <v>0</v>
      </c>
      <c r="G32" s="10" t="n">
        <v>0</v>
      </c>
      <c r="H32" s="11" t="n">
        <f aca="false">IF(D32=0,"",G32/D32*1000)</f>
        <v>0</v>
      </c>
      <c r="I32" s="13" t="n">
        <v>58.68</v>
      </c>
      <c r="J32" s="2" t="s">
        <v>150</v>
      </c>
    </row>
    <row r="33" customFormat="false" ht="15" hidden="false" customHeight="false" outlineLevel="0" collapsed="false">
      <c r="A33" s="9" t="s">
        <v>61</v>
      </c>
      <c r="B33" s="9" t="s">
        <v>206</v>
      </c>
      <c r="C33" s="9" t="s">
        <v>207</v>
      </c>
      <c r="D33" s="10" t="n">
        <v>605</v>
      </c>
      <c r="E33" s="10" t="n">
        <v>3</v>
      </c>
      <c r="F33" s="10" t="n">
        <v>0</v>
      </c>
      <c r="G33" s="10" t="n">
        <v>1</v>
      </c>
      <c r="H33" s="11" t="n">
        <f aca="false">IF(D33=0,"",G33/D33*1000)</f>
        <v>1.65289256198347</v>
      </c>
      <c r="I33" s="13" t="n">
        <v>57.77</v>
      </c>
      <c r="J33" s="2" t="s">
        <v>150</v>
      </c>
    </row>
    <row r="34" customFormat="false" ht="15" hidden="false" customHeight="false" outlineLevel="0" collapsed="false">
      <c r="A34" s="9" t="s">
        <v>61</v>
      </c>
      <c r="B34" s="9" t="s">
        <v>208</v>
      </c>
      <c r="C34" s="14" t="s">
        <v>209</v>
      </c>
      <c r="D34" s="10" t="n">
        <v>0</v>
      </c>
      <c r="E34" s="10" t="n">
        <v>0</v>
      </c>
      <c r="F34" s="10" t="n">
        <v>0</v>
      </c>
      <c r="G34" s="10" t="n">
        <v>0</v>
      </c>
      <c r="H34" s="11" t="str">
        <f aca="false">IF(D34=0,"",G34/D34*1000)</f>
        <v/>
      </c>
      <c r="I34" s="13" t="n">
        <v>0</v>
      </c>
      <c r="J34" s="39" t="s">
        <v>163</v>
      </c>
    </row>
    <row r="35" customFormat="false" ht="15" hidden="false" customHeight="false" outlineLevel="0" collapsed="false">
      <c r="A35" s="9" t="s">
        <v>61</v>
      </c>
      <c r="B35" s="9" t="s">
        <v>210</v>
      </c>
      <c r="C35" s="14" t="s">
        <v>211</v>
      </c>
      <c r="D35" s="10" t="n">
        <v>0</v>
      </c>
      <c r="E35" s="10" t="n">
        <v>0</v>
      </c>
      <c r="F35" s="10" t="n">
        <v>0</v>
      </c>
      <c r="G35" s="10" t="n">
        <v>0</v>
      </c>
      <c r="H35" s="11" t="str">
        <f aca="false">IF(D35=0,"",G35/D35*1000)</f>
        <v/>
      </c>
      <c r="I35" s="13" t="n">
        <v>0</v>
      </c>
      <c r="J35" s="39" t="s">
        <v>163</v>
      </c>
    </row>
    <row r="36" customFormat="false" ht="15" hidden="false" customHeight="false" outlineLevel="0" collapsed="false">
      <c r="A36" s="9" t="s">
        <v>61</v>
      </c>
      <c r="B36" s="9" t="s">
        <v>212</v>
      </c>
      <c r="C36" s="14" t="s">
        <v>213</v>
      </c>
      <c r="D36" s="10" t="n">
        <v>0</v>
      </c>
      <c r="E36" s="10" t="n">
        <v>0</v>
      </c>
      <c r="F36" s="10" t="n">
        <v>0</v>
      </c>
      <c r="G36" s="10" t="n">
        <v>0</v>
      </c>
      <c r="H36" s="11" t="str">
        <f aca="false">IF(D36=0,"",G36/D36*1000)</f>
        <v/>
      </c>
      <c r="I36" s="13" t="n">
        <v>0</v>
      </c>
      <c r="J36" s="39" t="s">
        <v>163</v>
      </c>
    </row>
    <row r="37" customFormat="false" ht="15" hidden="false" customHeight="false" outlineLevel="0" collapsed="false">
      <c r="A37" s="9" t="s">
        <v>61</v>
      </c>
      <c r="B37" s="9" t="s">
        <v>214</v>
      </c>
      <c r="C37" s="14" t="s">
        <v>215</v>
      </c>
      <c r="D37" s="10" t="n">
        <v>0</v>
      </c>
      <c r="E37" s="10" t="n">
        <v>0</v>
      </c>
      <c r="F37" s="10" t="n">
        <v>0</v>
      </c>
      <c r="G37" s="10" t="n">
        <v>0</v>
      </c>
      <c r="H37" s="11" t="str">
        <f aca="false">IF(D37=0,"",G37/D37*1000)</f>
        <v/>
      </c>
      <c r="I37" s="13" t="n">
        <v>0</v>
      </c>
      <c r="J37" s="39" t="s">
        <v>163</v>
      </c>
    </row>
    <row r="38" customFormat="false" ht="15" hidden="false" customHeight="false" outlineLevel="0" collapsed="false">
      <c r="A38" s="9" t="s">
        <v>61</v>
      </c>
      <c r="B38" s="9" t="s">
        <v>216</v>
      </c>
      <c r="C38" s="14" t="s">
        <v>217</v>
      </c>
      <c r="D38" s="10" t="n">
        <v>0</v>
      </c>
      <c r="E38" s="10" t="n">
        <v>0</v>
      </c>
      <c r="F38" s="10" t="n">
        <v>0</v>
      </c>
      <c r="G38" s="10" t="n">
        <v>0</v>
      </c>
      <c r="H38" s="11" t="str">
        <f aca="false">IF(D38=0,"",G38/D38*1000)</f>
        <v/>
      </c>
      <c r="I38" s="13" t="n">
        <v>0</v>
      </c>
      <c r="J38" s="39" t="s">
        <v>163</v>
      </c>
    </row>
    <row r="39" customFormat="false" ht="15" hidden="false" customHeight="false" outlineLevel="0" collapsed="false">
      <c r="A39" s="9" t="s">
        <v>61</v>
      </c>
      <c r="B39" s="9" t="s">
        <v>218</v>
      </c>
      <c r="C39" s="14" t="s">
        <v>219</v>
      </c>
      <c r="D39" s="10" t="n">
        <v>0</v>
      </c>
      <c r="E39" s="10" t="n">
        <v>0</v>
      </c>
      <c r="F39" s="10" t="n">
        <v>0</v>
      </c>
      <c r="G39" s="10" t="n">
        <v>0</v>
      </c>
      <c r="H39" s="11" t="str">
        <f aca="false">IF(D39=0,"",G39/D39*1000)</f>
        <v/>
      </c>
      <c r="I39" s="13" t="n">
        <v>0</v>
      </c>
      <c r="J39" s="39" t="s">
        <v>163</v>
      </c>
    </row>
    <row r="40" customFormat="false" ht="15" hidden="false" customHeight="false" outlineLevel="0" collapsed="false">
      <c r="A40" s="9" t="s">
        <v>61</v>
      </c>
      <c r="B40" s="9" t="s">
        <v>220</v>
      </c>
      <c r="C40" s="14" t="s">
        <v>221</v>
      </c>
      <c r="D40" s="10" t="n">
        <v>0</v>
      </c>
      <c r="E40" s="10" t="n">
        <v>0</v>
      </c>
      <c r="F40" s="10" t="n">
        <v>0</v>
      </c>
      <c r="G40" s="10" t="n">
        <v>0</v>
      </c>
      <c r="H40" s="11" t="str">
        <f aca="false">IF(D40=0,"",G40/D40*1000)</f>
        <v/>
      </c>
      <c r="I40" s="13" t="n">
        <v>0</v>
      </c>
      <c r="J40" s="39" t="s">
        <v>163</v>
      </c>
    </row>
    <row r="41" customFormat="false" ht="15" hidden="false" customHeight="false" outlineLevel="0" collapsed="false">
      <c r="A41" s="9" t="s">
        <v>61</v>
      </c>
      <c r="B41" s="9" t="s">
        <v>222</v>
      </c>
      <c r="C41" s="14" t="s">
        <v>223</v>
      </c>
      <c r="D41" s="10" t="n">
        <v>0</v>
      </c>
      <c r="E41" s="10" t="n">
        <v>0</v>
      </c>
      <c r="F41" s="10" t="n">
        <v>0</v>
      </c>
      <c r="G41" s="10" t="n">
        <v>0</v>
      </c>
      <c r="H41" s="11" t="str">
        <f aca="false">IF(D41=0,"",G41/D41*1000)</f>
        <v/>
      </c>
      <c r="I41" s="13" t="n">
        <v>0</v>
      </c>
      <c r="J41" s="39" t="s">
        <v>163</v>
      </c>
    </row>
    <row r="42" customFormat="false" ht="15" hidden="false" customHeight="false" outlineLevel="0" collapsed="false">
      <c r="A42" s="9" t="s">
        <v>61</v>
      </c>
      <c r="B42" s="9" t="s">
        <v>224</v>
      </c>
      <c r="C42" s="14" t="s">
        <v>225</v>
      </c>
      <c r="D42" s="10" t="n">
        <v>0</v>
      </c>
      <c r="E42" s="10" t="n">
        <v>0</v>
      </c>
      <c r="F42" s="10" t="n">
        <v>0</v>
      </c>
      <c r="G42" s="10" t="n">
        <v>0</v>
      </c>
      <c r="H42" s="11" t="str">
        <f aca="false">IF(D42=0,"",G42/D42*1000)</f>
        <v/>
      </c>
      <c r="I42" s="13" t="n">
        <v>0</v>
      </c>
      <c r="J42" s="39" t="s">
        <v>163</v>
      </c>
    </row>
    <row r="43" customFormat="false" ht="15" hidden="false" customHeight="false" outlineLevel="0" collapsed="false">
      <c r="A43" s="9" t="s">
        <v>61</v>
      </c>
      <c r="B43" s="9" t="s">
        <v>226</v>
      </c>
      <c r="C43" s="14" t="s">
        <v>227</v>
      </c>
      <c r="D43" s="10" t="n">
        <v>0</v>
      </c>
      <c r="E43" s="10" t="n">
        <v>0</v>
      </c>
      <c r="F43" s="10" t="n">
        <v>0</v>
      </c>
      <c r="G43" s="10" t="n">
        <v>0</v>
      </c>
      <c r="H43" s="11" t="str">
        <f aca="false">IF(D43=0,"",G43/D43*1000)</f>
        <v/>
      </c>
      <c r="I43" s="13" t="n">
        <v>0</v>
      </c>
      <c r="J43" s="39" t="s">
        <v>163</v>
      </c>
    </row>
    <row r="44" customFormat="false" ht="15" hidden="false" customHeight="false" outlineLevel="0" collapsed="false">
      <c r="A44" s="9" t="s">
        <v>59</v>
      </c>
      <c r="B44" s="9" t="s">
        <v>228</v>
      </c>
      <c r="C44" s="14" t="s">
        <v>229</v>
      </c>
      <c r="D44" s="10" t="n">
        <v>975</v>
      </c>
      <c r="E44" s="10" t="n">
        <v>10</v>
      </c>
      <c r="F44" s="10" t="n">
        <v>0</v>
      </c>
      <c r="G44" s="10" t="n">
        <v>0</v>
      </c>
      <c r="H44" s="11" t="n">
        <f aca="false">IF(D44=0,"",G44/D44*1000)</f>
        <v>0</v>
      </c>
      <c r="I44" s="13" t="n">
        <v>40.26</v>
      </c>
      <c r="J44" s="2" t="s">
        <v>150</v>
      </c>
    </row>
    <row r="45" customFormat="false" ht="15" hidden="false" customHeight="false" outlineLevel="0" collapsed="false">
      <c r="A45" s="9" t="s">
        <v>59</v>
      </c>
      <c r="B45" s="9" t="s">
        <v>188</v>
      </c>
      <c r="C45" s="14" t="s">
        <v>230</v>
      </c>
      <c r="D45" s="10" t="n">
        <v>950</v>
      </c>
      <c r="E45" s="10" t="n">
        <v>12</v>
      </c>
      <c r="F45" s="10" t="n">
        <v>0</v>
      </c>
      <c r="G45" s="10" t="n">
        <v>2</v>
      </c>
      <c r="H45" s="11" t="n">
        <f aca="false">IF(D45=0,"",G45/D45*1000)</f>
        <v>2.10526315789474</v>
      </c>
      <c r="I45" s="13" t="n">
        <v>42.65</v>
      </c>
      <c r="J45" s="2" t="s">
        <v>150</v>
      </c>
    </row>
    <row r="46" customFormat="false" ht="15" hidden="false" customHeight="false" outlineLevel="0" collapsed="false">
      <c r="A46" s="9" t="s">
        <v>59</v>
      </c>
      <c r="B46" s="9" t="s">
        <v>231</v>
      </c>
      <c r="C46" s="14" t="s">
        <v>232</v>
      </c>
      <c r="D46" s="10" t="n">
        <v>1116</v>
      </c>
      <c r="E46" s="10" t="n">
        <v>10</v>
      </c>
      <c r="F46" s="10" t="n">
        <v>0</v>
      </c>
      <c r="G46" s="10" t="n">
        <v>0</v>
      </c>
      <c r="H46" s="11" t="n">
        <f aca="false">IF(D46=0,"",G46/D46*1000)</f>
        <v>0</v>
      </c>
      <c r="I46" s="13" t="n">
        <v>46.54</v>
      </c>
      <c r="J46" s="2" t="s">
        <v>150</v>
      </c>
    </row>
    <row r="47" customFormat="false" ht="15" hidden="false" customHeight="false" outlineLevel="0" collapsed="false">
      <c r="A47" s="9" t="s">
        <v>59</v>
      </c>
      <c r="B47" s="9" t="s">
        <v>233</v>
      </c>
      <c r="C47" s="14" t="s">
        <v>234</v>
      </c>
      <c r="D47" s="10" t="n">
        <v>1052</v>
      </c>
      <c r="E47" s="10" t="n">
        <v>15</v>
      </c>
      <c r="F47" s="10" t="n">
        <v>0</v>
      </c>
      <c r="G47" s="10" t="n">
        <v>0</v>
      </c>
      <c r="H47" s="11" t="n">
        <f aca="false">IF(D47=0,"",G47/D47*1000)</f>
        <v>0</v>
      </c>
      <c r="I47" s="13" t="n">
        <v>45.93</v>
      </c>
      <c r="J47" s="2" t="s">
        <v>150</v>
      </c>
    </row>
    <row r="48" customFormat="false" ht="15" hidden="false" customHeight="false" outlineLevel="0" collapsed="false">
      <c r="A48" s="9" t="s">
        <v>59</v>
      </c>
      <c r="B48" s="9" t="s">
        <v>192</v>
      </c>
      <c r="C48" s="14" t="s">
        <v>235</v>
      </c>
      <c r="D48" s="10" t="n">
        <v>912</v>
      </c>
      <c r="E48" s="10" t="n">
        <v>12</v>
      </c>
      <c r="F48" s="10" t="n">
        <v>0</v>
      </c>
      <c r="G48" s="10" t="n">
        <v>3</v>
      </c>
      <c r="H48" s="11" t="n">
        <f aca="false">IF(D48=0,"",G48/D48*1000)</f>
        <v>3.28947368421053</v>
      </c>
      <c r="I48" s="13" t="n">
        <v>68.98</v>
      </c>
      <c r="J48" s="2" t="s">
        <v>150</v>
      </c>
    </row>
    <row r="49" customFormat="false" ht="15" hidden="false" customHeight="false" outlineLevel="0" collapsed="false">
      <c r="A49" s="9" t="s">
        <v>59</v>
      </c>
      <c r="B49" s="9" t="s">
        <v>236</v>
      </c>
      <c r="C49" s="14" t="s">
        <v>237</v>
      </c>
      <c r="D49" s="10" t="n">
        <v>1138</v>
      </c>
      <c r="E49" s="10" t="n">
        <v>15</v>
      </c>
      <c r="F49" s="10" t="n">
        <v>0</v>
      </c>
      <c r="G49" s="10" t="n">
        <v>2</v>
      </c>
      <c r="H49" s="11" t="n">
        <f aca="false">IF(D49=0,"",G49/D49*1000)</f>
        <v>1.75746924428823</v>
      </c>
      <c r="I49" s="13" t="n">
        <v>38.08</v>
      </c>
      <c r="J49" s="2" t="s">
        <v>150</v>
      </c>
    </row>
    <row r="50" customFormat="false" ht="15" hidden="false" customHeight="false" outlineLevel="0" collapsed="false">
      <c r="A50" s="9" t="s">
        <v>59</v>
      </c>
      <c r="B50" s="9" t="s">
        <v>198</v>
      </c>
      <c r="C50" s="14" t="s">
        <v>238</v>
      </c>
      <c r="D50" s="10" t="n">
        <v>974</v>
      </c>
      <c r="E50" s="10" t="n">
        <v>12</v>
      </c>
      <c r="F50" s="10" t="n">
        <v>0</v>
      </c>
      <c r="G50" s="10" t="n">
        <v>0</v>
      </c>
      <c r="H50" s="11" t="n">
        <f aca="false">IF(D50=0,"",G50/D50*1000)</f>
        <v>0</v>
      </c>
      <c r="I50" s="13" t="n">
        <v>47.05</v>
      </c>
      <c r="J50" s="2" t="s">
        <v>150</v>
      </c>
    </row>
    <row r="51" customFormat="false" ht="15" hidden="false" customHeight="false" outlineLevel="0" collapsed="false">
      <c r="A51" s="9" t="s">
        <v>59</v>
      </c>
      <c r="B51" s="9" t="s">
        <v>239</v>
      </c>
      <c r="C51" s="14" t="s">
        <v>240</v>
      </c>
      <c r="D51" s="10" t="n">
        <v>972</v>
      </c>
      <c r="E51" s="10" t="n">
        <v>4</v>
      </c>
      <c r="F51" s="10" t="n">
        <v>0</v>
      </c>
      <c r="G51" s="10" t="n">
        <v>0</v>
      </c>
      <c r="H51" s="11" t="n">
        <f aca="false">IF(D51=0,"",G51/D51*1000)</f>
        <v>0</v>
      </c>
      <c r="I51" s="13" t="n">
        <v>41.9</v>
      </c>
      <c r="J51" s="2" t="s">
        <v>150</v>
      </c>
    </row>
    <row r="52" customFormat="false" ht="15" hidden="false" customHeight="false" outlineLevel="0" collapsed="false">
      <c r="A52" s="9" t="s">
        <v>59</v>
      </c>
      <c r="B52" s="9" t="s">
        <v>204</v>
      </c>
      <c r="C52" s="14" t="s">
        <v>241</v>
      </c>
      <c r="D52" s="10" t="n">
        <v>1087</v>
      </c>
      <c r="E52" s="10" t="n">
        <v>11</v>
      </c>
      <c r="F52" s="10" t="n">
        <v>1</v>
      </c>
      <c r="G52" s="10" t="n">
        <v>0</v>
      </c>
      <c r="H52" s="11" t="n">
        <f aca="false">IF(D52=0,"",G52/D52*1000)</f>
        <v>0</v>
      </c>
      <c r="I52" s="13" t="n">
        <v>44.06</v>
      </c>
      <c r="J52" s="2" t="s">
        <v>150</v>
      </c>
    </row>
    <row r="53" customFormat="false" ht="15" hidden="false" customHeight="false" outlineLevel="0" collapsed="false">
      <c r="A53" s="9" t="s">
        <v>59</v>
      </c>
      <c r="B53" s="9" t="s">
        <v>206</v>
      </c>
      <c r="C53" s="14" t="s">
        <v>242</v>
      </c>
      <c r="D53" s="10" t="n">
        <v>574</v>
      </c>
      <c r="E53" s="10" t="n">
        <v>7</v>
      </c>
      <c r="F53" s="10" t="n">
        <v>0</v>
      </c>
      <c r="G53" s="10" t="n">
        <v>1</v>
      </c>
      <c r="H53" s="11" t="n">
        <f aca="false">IF(D53=0,"",G53/D53*1000)</f>
        <v>1.74216027874564</v>
      </c>
      <c r="I53" s="13" t="n">
        <v>40.61</v>
      </c>
      <c r="J53" s="2" t="s">
        <v>150</v>
      </c>
    </row>
    <row r="54" customFormat="false" ht="15" hidden="false" customHeight="false" outlineLevel="0" collapsed="false">
      <c r="A54" s="9" t="s">
        <v>59</v>
      </c>
      <c r="B54" s="9" t="s">
        <v>208</v>
      </c>
      <c r="C54" s="14" t="s">
        <v>243</v>
      </c>
      <c r="D54" s="10" t="n">
        <v>0</v>
      </c>
      <c r="E54" s="10" t="n">
        <v>0</v>
      </c>
      <c r="F54" s="10" t="n">
        <v>0</v>
      </c>
      <c r="G54" s="10" t="n">
        <v>0</v>
      </c>
      <c r="H54" s="11" t="str">
        <f aca="false">IF(D54=0,"",G54/D54*1000)</f>
        <v/>
      </c>
      <c r="I54" s="13" t="n">
        <v>0</v>
      </c>
      <c r="J54" s="39" t="s">
        <v>163</v>
      </c>
    </row>
    <row r="55" customFormat="false" ht="15" hidden="false" customHeight="false" outlineLevel="0" collapsed="false">
      <c r="A55" s="9" t="s">
        <v>59</v>
      </c>
      <c r="B55" s="9" t="s">
        <v>244</v>
      </c>
      <c r="C55" s="14" t="s">
        <v>245</v>
      </c>
      <c r="D55" s="10" t="n">
        <v>0</v>
      </c>
      <c r="E55" s="10" t="n">
        <v>0</v>
      </c>
      <c r="F55" s="10" t="n">
        <v>0</v>
      </c>
      <c r="G55" s="10" t="n">
        <v>0</v>
      </c>
      <c r="H55" s="11" t="str">
        <f aca="false">IF(D55=0,"",G55/D55*1000)</f>
        <v/>
      </c>
      <c r="I55" s="13" t="n">
        <v>0</v>
      </c>
      <c r="J55" s="39" t="s">
        <v>163</v>
      </c>
    </row>
    <row r="56" customFormat="false" ht="15" hidden="false" customHeight="false" outlineLevel="0" collapsed="false">
      <c r="A56" s="9" t="s">
        <v>59</v>
      </c>
      <c r="B56" s="9" t="s">
        <v>214</v>
      </c>
      <c r="C56" s="14" t="s">
        <v>246</v>
      </c>
      <c r="D56" s="10" t="n">
        <v>0</v>
      </c>
      <c r="E56" s="10" t="n">
        <v>0</v>
      </c>
      <c r="F56" s="10" t="n">
        <v>0</v>
      </c>
      <c r="G56" s="10" t="n">
        <v>0</v>
      </c>
      <c r="H56" s="11" t="str">
        <f aca="false">IF(D56=0,"",G56/D56*1000)</f>
        <v/>
      </c>
      <c r="I56" s="13" t="n">
        <v>0</v>
      </c>
      <c r="J56" s="39" t="s">
        <v>163</v>
      </c>
    </row>
    <row r="57" customFormat="false" ht="15" hidden="false" customHeight="false" outlineLevel="0" collapsed="false">
      <c r="A57" s="9" t="s">
        <v>59</v>
      </c>
      <c r="B57" s="9" t="s">
        <v>216</v>
      </c>
      <c r="C57" s="14" t="s">
        <v>247</v>
      </c>
      <c r="D57" s="10" t="n">
        <v>0</v>
      </c>
      <c r="E57" s="10" t="n">
        <v>0</v>
      </c>
      <c r="F57" s="10" t="n">
        <v>0</v>
      </c>
      <c r="G57" s="10" t="n">
        <v>0</v>
      </c>
      <c r="H57" s="11" t="str">
        <f aca="false">IF(D57=0,"",G57/D57*1000)</f>
        <v/>
      </c>
      <c r="I57" s="13" t="n">
        <v>0</v>
      </c>
      <c r="J57" s="39" t="s">
        <v>163</v>
      </c>
    </row>
    <row r="58" customFormat="false" ht="15" hidden="false" customHeight="false" outlineLevel="0" collapsed="false">
      <c r="A58" s="9" t="s">
        <v>59</v>
      </c>
      <c r="B58" s="9" t="s">
        <v>248</v>
      </c>
      <c r="C58" s="14" t="s">
        <v>249</v>
      </c>
      <c r="D58" s="10" t="n">
        <v>0</v>
      </c>
      <c r="E58" s="10" t="n">
        <v>0</v>
      </c>
      <c r="F58" s="10" t="n">
        <v>0</v>
      </c>
      <c r="G58" s="10" t="n">
        <v>0</v>
      </c>
      <c r="H58" s="11" t="str">
        <f aca="false">IF(D58=0,"",G58/D58*1000)</f>
        <v/>
      </c>
      <c r="I58" s="13" t="n">
        <v>0</v>
      </c>
      <c r="J58" s="39" t="s">
        <v>163</v>
      </c>
    </row>
    <row r="59" customFormat="false" ht="15" hidden="false" customHeight="false" outlineLevel="0" collapsed="false">
      <c r="A59" s="9" t="s">
        <v>59</v>
      </c>
      <c r="B59" s="9" t="s">
        <v>222</v>
      </c>
      <c r="C59" s="14" t="s">
        <v>250</v>
      </c>
      <c r="D59" s="10" t="n">
        <v>0</v>
      </c>
      <c r="E59" s="10" t="n">
        <v>0</v>
      </c>
      <c r="F59" s="10" t="n">
        <v>0</v>
      </c>
      <c r="G59" s="10" t="n">
        <v>0</v>
      </c>
      <c r="H59" s="11" t="str">
        <f aca="false">IF(D59=0,"",G59/D59*1000)</f>
        <v/>
      </c>
      <c r="I59" s="13" t="n">
        <v>0</v>
      </c>
      <c r="J59" s="39" t="s">
        <v>163</v>
      </c>
    </row>
    <row r="60" customFormat="false" ht="15" hidden="false" customHeight="false" outlineLevel="0" collapsed="false">
      <c r="A60" s="9" t="s">
        <v>59</v>
      </c>
      <c r="B60" s="9" t="s">
        <v>224</v>
      </c>
      <c r="C60" s="14" t="s">
        <v>251</v>
      </c>
      <c r="D60" s="10" t="n">
        <v>0</v>
      </c>
      <c r="E60" s="10" t="n">
        <v>0</v>
      </c>
      <c r="F60" s="10" t="n">
        <v>0</v>
      </c>
      <c r="G60" s="10" t="n">
        <v>0</v>
      </c>
      <c r="H60" s="11" t="str">
        <f aca="false">IF(D60=0,"",G60/D60*1000)</f>
        <v/>
      </c>
      <c r="I60" s="13" t="n">
        <v>0</v>
      </c>
      <c r="J60" s="39" t="s">
        <v>163</v>
      </c>
    </row>
    <row r="61" customFormat="false" ht="15" hidden="false" customHeight="false" outlineLevel="0" collapsed="false">
      <c r="A61" s="9" t="s">
        <v>86</v>
      </c>
      <c r="B61" s="9" t="s">
        <v>252</v>
      </c>
      <c r="C61" s="14" t="s">
        <v>253</v>
      </c>
      <c r="D61" s="10" t="n">
        <v>0</v>
      </c>
      <c r="E61" s="10" t="n">
        <v>0</v>
      </c>
      <c r="F61" s="10" t="n">
        <v>0</v>
      </c>
      <c r="G61" s="10" t="n">
        <v>0</v>
      </c>
      <c r="H61" s="11" t="str">
        <f aca="false">IF(D61=0,"",G61/D61*1000)</f>
        <v/>
      </c>
      <c r="I61" s="13" t="n">
        <v>0</v>
      </c>
      <c r="J61" s="39" t="s">
        <v>163</v>
      </c>
    </row>
    <row r="62" customFormat="false" ht="15" hidden="false" customHeight="false" outlineLevel="0" collapsed="false">
      <c r="A62" s="9" t="s">
        <v>86</v>
      </c>
      <c r="B62" s="9" t="s">
        <v>254</v>
      </c>
      <c r="C62" s="14" t="s">
        <v>255</v>
      </c>
      <c r="D62" s="10" t="n">
        <v>0</v>
      </c>
      <c r="E62" s="10" t="n">
        <v>0</v>
      </c>
      <c r="F62" s="10" t="n">
        <v>0</v>
      </c>
      <c r="G62" s="10" t="n">
        <v>0</v>
      </c>
      <c r="H62" s="11" t="str">
        <f aca="false">IF(D62=0,"",G62/D62*1000)</f>
        <v/>
      </c>
      <c r="I62" s="13" t="n">
        <v>0</v>
      </c>
      <c r="J62" s="39" t="s">
        <v>163</v>
      </c>
    </row>
    <row r="63" customFormat="false" ht="15" hidden="false" customHeight="false" outlineLevel="0" collapsed="false">
      <c r="A63" s="9" t="s">
        <v>86</v>
      </c>
      <c r="B63" s="9" t="s">
        <v>256</v>
      </c>
      <c r="C63" s="14" t="s">
        <v>257</v>
      </c>
      <c r="D63" s="10" t="n">
        <v>0</v>
      </c>
      <c r="E63" s="10" t="n">
        <v>0</v>
      </c>
      <c r="F63" s="10" t="n">
        <v>0</v>
      </c>
      <c r="G63" s="10" t="n">
        <v>0</v>
      </c>
      <c r="H63" s="11" t="str">
        <f aca="false">IF(D63=0,"",G63/D63*1000)</f>
        <v/>
      </c>
      <c r="I63" s="13" t="n">
        <v>0</v>
      </c>
      <c r="J63" s="39" t="s">
        <v>163</v>
      </c>
    </row>
    <row r="64" customFormat="false" ht="15" hidden="false" customHeight="false" outlineLevel="0" collapsed="false">
      <c r="A64" s="9" t="s">
        <v>86</v>
      </c>
      <c r="B64" s="9" t="s">
        <v>258</v>
      </c>
      <c r="C64" s="14" t="s">
        <v>259</v>
      </c>
      <c r="D64" s="10" t="n">
        <v>0</v>
      </c>
      <c r="E64" s="10" t="n">
        <v>0</v>
      </c>
      <c r="F64" s="10" t="n">
        <v>0</v>
      </c>
      <c r="G64" s="10" t="n">
        <v>0</v>
      </c>
      <c r="H64" s="11" t="str">
        <f aca="false">IF(D64=0,"",G64/D64*1000)</f>
        <v/>
      </c>
      <c r="I64" s="13" t="n">
        <v>0</v>
      </c>
      <c r="J64" s="39" t="s">
        <v>163</v>
      </c>
    </row>
    <row r="65" customFormat="false" ht="15" hidden="false" customHeight="false" outlineLevel="0" collapsed="false">
      <c r="A65" s="9" t="s">
        <v>86</v>
      </c>
      <c r="B65" s="9" t="s">
        <v>192</v>
      </c>
      <c r="C65" s="14" t="s">
        <v>260</v>
      </c>
      <c r="D65" s="10" t="n">
        <v>0</v>
      </c>
      <c r="E65" s="10" t="n">
        <v>0</v>
      </c>
      <c r="F65" s="10" t="n">
        <v>0</v>
      </c>
      <c r="G65" s="10" t="n">
        <v>0</v>
      </c>
      <c r="H65" s="11" t="str">
        <f aca="false">IF(D65=0,"",G65/D65*1000)</f>
        <v/>
      </c>
      <c r="I65" s="13" t="n">
        <v>0</v>
      </c>
      <c r="J65" s="39" t="s">
        <v>163</v>
      </c>
    </row>
    <row r="66" customFormat="false" ht="15" hidden="false" customHeight="false" outlineLevel="0" collapsed="false">
      <c r="A66" s="9" t="s">
        <v>86</v>
      </c>
      <c r="B66" s="9" t="s">
        <v>194</v>
      </c>
      <c r="C66" s="14" t="s">
        <v>261</v>
      </c>
      <c r="D66" s="10" t="n">
        <v>0</v>
      </c>
      <c r="E66" s="10" t="n">
        <v>0</v>
      </c>
      <c r="F66" s="10" t="n">
        <v>0</v>
      </c>
      <c r="G66" s="10" t="n">
        <v>0</v>
      </c>
      <c r="H66" s="11" t="str">
        <f aca="false">IF(D66=0,"",G66/D66*1000)</f>
        <v/>
      </c>
      <c r="I66" s="13" t="n">
        <v>0</v>
      </c>
      <c r="J66" s="39" t="s">
        <v>163</v>
      </c>
    </row>
    <row r="67" customFormat="false" ht="15" hidden="false" customHeight="false" outlineLevel="0" collapsed="false">
      <c r="A67" s="9" t="s">
        <v>58</v>
      </c>
      <c r="B67" s="9" t="s">
        <v>262</v>
      </c>
      <c r="C67" s="9" t="s">
        <v>263</v>
      </c>
      <c r="D67" s="10" t="n">
        <v>904</v>
      </c>
      <c r="E67" s="10" t="n">
        <v>2</v>
      </c>
      <c r="F67" s="10" t="n">
        <v>0</v>
      </c>
      <c r="G67" s="10" t="n">
        <v>0</v>
      </c>
      <c r="H67" s="11" t="n">
        <f aca="false">IF(D67=0,"",G67/D67*1000)</f>
        <v>0</v>
      </c>
      <c r="I67" s="13" t="n">
        <v>43.82</v>
      </c>
      <c r="J67" s="2" t="s">
        <v>150</v>
      </c>
    </row>
    <row r="68" customFormat="false" ht="15" hidden="false" customHeight="false" outlineLevel="0" collapsed="false">
      <c r="A68" s="9" t="s">
        <v>58</v>
      </c>
      <c r="B68" s="9" t="s">
        <v>188</v>
      </c>
      <c r="C68" s="14" t="s">
        <v>264</v>
      </c>
      <c r="D68" s="10" t="n">
        <v>901</v>
      </c>
      <c r="E68" s="10" t="n">
        <v>4</v>
      </c>
      <c r="F68" s="10" t="n">
        <v>0</v>
      </c>
      <c r="G68" s="10" t="n">
        <v>1</v>
      </c>
      <c r="H68" s="11" t="n">
        <f aca="false">IF(D68=0,"",G68/D68*1000)</f>
        <v>1.10987791342952</v>
      </c>
      <c r="I68" s="13" t="n">
        <v>48.55</v>
      </c>
      <c r="J68" s="2" t="s">
        <v>150</v>
      </c>
    </row>
    <row r="69" customFormat="false" ht="15" hidden="false" customHeight="false" outlineLevel="0" collapsed="false">
      <c r="A69" s="9" t="s">
        <v>58</v>
      </c>
      <c r="B69" s="9" t="s">
        <v>256</v>
      </c>
      <c r="C69" s="9" t="s">
        <v>265</v>
      </c>
      <c r="D69" s="10" t="n">
        <v>182</v>
      </c>
      <c r="E69" s="10" t="n">
        <v>1</v>
      </c>
      <c r="F69" s="10" t="n">
        <v>0</v>
      </c>
      <c r="G69" s="10" t="n">
        <v>1</v>
      </c>
      <c r="H69" s="11" t="n">
        <f aca="false">IF(D69=0,"",G69/D69*1000)</f>
        <v>5.49450549450549</v>
      </c>
      <c r="I69" s="13" t="n">
        <v>32.34</v>
      </c>
      <c r="J69" s="2" t="s">
        <v>150</v>
      </c>
    </row>
    <row r="70" customFormat="false" ht="15" hidden="false" customHeight="false" outlineLevel="0" collapsed="false">
      <c r="A70" s="9" t="s">
        <v>58</v>
      </c>
      <c r="B70" s="9" t="s">
        <v>266</v>
      </c>
      <c r="C70" s="9" t="s">
        <v>267</v>
      </c>
      <c r="D70" s="10" t="n">
        <v>383</v>
      </c>
      <c r="E70" s="10" t="n">
        <v>4</v>
      </c>
      <c r="F70" s="10" t="n">
        <v>0</v>
      </c>
      <c r="G70" s="10" t="n">
        <v>0</v>
      </c>
      <c r="H70" s="11" t="n">
        <f aca="false">IF(D70=0,"",G70/D70*1000)</f>
        <v>0</v>
      </c>
      <c r="I70" s="13" t="n">
        <v>152.7</v>
      </c>
      <c r="J70" s="2" t="s">
        <v>150</v>
      </c>
    </row>
    <row r="71" customFormat="false" ht="15" hidden="false" customHeight="false" outlineLevel="0" collapsed="false">
      <c r="A71" s="9" t="s">
        <v>58</v>
      </c>
      <c r="B71" s="9" t="s">
        <v>192</v>
      </c>
      <c r="C71" s="9" t="s">
        <v>268</v>
      </c>
      <c r="D71" s="10" t="n">
        <v>915</v>
      </c>
      <c r="E71" s="10" t="n">
        <v>4</v>
      </c>
      <c r="F71" s="10" t="n">
        <v>0</v>
      </c>
      <c r="G71" s="10" t="n">
        <v>2</v>
      </c>
      <c r="H71" s="11" t="n">
        <f aca="false">IF(D71=0,"",G71/D71*1000)</f>
        <v>2.18579234972678</v>
      </c>
      <c r="I71" s="13" t="n">
        <v>45.73</v>
      </c>
      <c r="J71" s="2" t="s">
        <v>150</v>
      </c>
    </row>
    <row r="72" customFormat="false" ht="15" hidden="false" customHeight="false" outlineLevel="0" collapsed="false">
      <c r="A72" s="9" t="s">
        <v>58</v>
      </c>
      <c r="B72" s="9" t="s">
        <v>194</v>
      </c>
      <c r="C72" s="9" t="s">
        <v>269</v>
      </c>
      <c r="D72" s="10" t="n">
        <v>143</v>
      </c>
      <c r="E72" s="10" t="n">
        <v>0</v>
      </c>
      <c r="F72" s="10" t="n">
        <v>0</v>
      </c>
      <c r="G72" s="10" t="n">
        <v>0</v>
      </c>
      <c r="H72" s="11" t="n">
        <f aca="false">IF(D72=0,"",G72/D72*1000)</f>
        <v>0</v>
      </c>
      <c r="I72" s="13" t="n">
        <v>40.1</v>
      </c>
      <c r="J72" s="2" t="s">
        <v>150</v>
      </c>
    </row>
    <row r="73" customFormat="false" ht="15" hidden="false" customHeight="false" outlineLevel="0" collapsed="false">
      <c r="A73" s="9" t="s">
        <v>58</v>
      </c>
      <c r="B73" s="9" t="s">
        <v>270</v>
      </c>
      <c r="C73" s="14" t="s">
        <v>271</v>
      </c>
      <c r="D73" s="10" t="n">
        <v>1076</v>
      </c>
      <c r="E73" s="10" t="n">
        <v>6</v>
      </c>
      <c r="F73" s="10" t="n">
        <v>0</v>
      </c>
      <c r="G73" s="10" t="n">
        <v>0</v>
      </c>
      <c r="H73" s="11" t="n">
        <f aca="false">IF(D73=0,"",G73/D73*1000)</f>
        <v>0</v>
      </c>
      <c r="I73" s="13" t="n">
        <v>39.67</v>
      </c>
      <c r="J73" s="2" t="s">
        <v>150</v>
      </c>
    </row>
    <row r="74" customFormat="false" ht="15" hidden="false" customHeight="false" outlineLevel="0" collapsed="false">
      <c r="A74" s="9" t="s">
        <v>58</v>
      </c>
      <c r="B74" s="9" t="s">
        <v>200</v>
      </c>
      <c r="C74" s="9" t="s">
        <v>272</v>
      </c>
      <c r="D74" s="10" t="n">
        <v>1058</v>
      </c>
      <c r="E74" s="10" t="n">
        <v>4</v>
      </c>
      <c r="F74" s="10" t="n">
        <v>1</v>
      </c>
      <c r="G74" s="10" t="n">
        <v>1</v>
      </c>
      <c r="H74" s="11" t="n">
        <f aca="false">IF(D74=0,"",G74/D74*1000)</f>
        <v>0.945179584120983</v>
      </c>
      <c r="I74" s="13" t="n">
        <v>36.65</v>
      </c>
      <c r="J74" s="2" t="s">
        <v>150</v>
      </c>
    </row>
    <row r="75" customFormat="false" ht="15" hidden="false" customHeight="false" outlineLevel="0" collapsed="false">
      <c r="A75" s="9" t="s">
        <v>58</v>
      </c>
      <c r="B75" s="9" t="s">
        <v>273</v>
      </c>
      <c r="C75" s="14" t="s">
        <v>274</v>
      </c>
      <c r="D75" s="10" t="n">
        <v>205</v>
      </c>
      <c r="E75" s="10" t="n">
        <v>2</v>
      </c>
      <c r="F75" s="10" t="n">
        <v>0</v>
      </c>
      <c r="G75" s="10" t="n">
        <v>0</v>
      </c>
      <c r="H75" s="11" t="n">
        <f aca="false">IF(D75=0,"",G75/D75*1000)</f>
        <v>0</v>
      </c>
      <c r="I75" s="13" t="n">
        <v>41.81</v>
      </c>
      <c r="J75" s="2" t="s">
        <v>150</v>
      </c>
    </row>
    <row r="76" customFormat="false" ht="15" hidden="false" customHeight="false" outlineLevel="0" collapsed="false">
      <c r="A76" s="9" t="s">
        <v>58</v>
      </c>
      <c r="B76" s="9" t="s">
        <v>275</v>
      </c>
      <c r="C76" s="9" t="s">
        <v>276</v>
      </c>
      <c r="D76" s="10" t="n">
        <v>1046</v>
      </c>
      <c r="E76" s="10" t="n">
        <v>5</v>
      </c>
      <c r="F76" s="10" t="n">
        <v>0</v>
      </c>
      <c r="G76" s="10" t="n">
        <v>0</v>
      </c>
      <c r="H76" s="11" t="n">
        <f aca="false">IF(D76=0,"",G76/D76*1000)</f>
        <v>0</v>
      </c>
      <c r="I76" s="13" t="n">
        <v>40.32</v>
      </c>
      <c r="J76" s="2" t="s">
        <v>150</v>
      </c>
    </row>
    <row r="77" customFormat="false" ht="15" hidden="false" customHeight="false" outlineLevel="0" collapsed="false">
      <c r="A77" s="9" t="s">
        <v>58</v>
      </c>
      <c r="B77" s="9" t="s">
        <v>208</v>
      </c>
      <c r="C77" s="9" t="s">
        <v>277</v>
      </c>
      <c r="D77" s="10" t="n">
        <v>0</v>
      </c>
      <c r="E77" s="10" t="n">
        <v>0</v>
      </c>
      <c r="F77" s="10" t="n">
        <v>0</v>
      </c>
      <c r="G77" s="10" t="n">
        <v>0</v>
      </c>
      <c r="H77" s="11" t="str">
        <f aca="false">IF(D77=0,"",G77/D77*1000)</f>
        <v/>
      </c>
      <c r="I77" s="13" t="n">
        <v>0</v>
      </c>
      <c r="J77" s="39" t="s">
        <v>163</v>
      </c>
    </row>
    <row r="78" customFormat="false" ht="15" hidden="false" customHeight="false" outlineLevel="0" collapsed="false">
      <c r="A78" s="9" t="s">
        <v>58</v>
      </c>
      <c r="B78" s="9" t="s">
        <v>210</v>
      </c>
      <c r="C78" s="9" t="s">
        <v>278</v>
      </c>
      <c r="D78" s="10" t="n">
        <v>0</v>
      </c>
      <c r="E78" s="10" t="n">
        <v>0</v>
      </c>
      <c r="F78" s="10" t="n">
        <v>0</v>
      </c>
      <c r="G78" s="10" t="n">
        <v>0</v>
      </c>
      <c r="H78" s="11" t="str">
        <f aca="false">IF(D78=0,"",G78/D78*1000)</f>
        <v/>
      </c>
      <c r="I78" s="13" t="n">
        <v>0</v>
      </c>
      <c r="J78" s="39" t="s">
        <v>163</v>
      </c>
    </row>
    <row r="79" customFormat="false" ht="15" hidden="false" customHeight="false" outlineLevel="0" collapsed="false">
      <c r="A79" s="9" t="s">
        <v>58</v>
      </c>
      <c r="B79" s="9" t="s">
        <v>216</v>
      </c>
      <c r="C79" s="9" t="s">
        <v>279</v>
      </c>
      <c r="D79" s="10" t="n">
        <v>0</v>
      </c>
      <c r="E79" s="10" t="n">
        <v>0</v>
      </c>
      <c r="F79" s="10" t="n">
        <v>0</v>
      </c>
      <c r="G79" s="10" t="n">
        <v>0</v>
      </c>
      <c r="H79" s="11" t="str">
        <f aca="false">IF(D79=0,"",G79/D79*1000)</f>
        <v/>
      </c>
      <c r="I79" s="13" t="n">
        <v>0</v>
      </c>
      <c r="J79" s="39" t="s">
        <v>163</v>
      </c>
    </row>
    <row r="80" customFormat="false" ht="15" hidden="false" customHeight="false" outlineLevel="0" collapsed="false">
      <c r="A80" s="9" t="s">
        <v>58</v>
      </c>
      <c r="B80" s="9" t="s">
        <v>218</v>
      </c>
      <c r="C80" s="14" t="s">
        <v>280</v>
      </c>
      <c r="D80" s="10" t="n">
        <v>0</v>
      </c>
      <c r="E80" s="10" t="n">
        <v>0</v>
      </c>
      <c r="F80" s="10" t="n">
        <v>0</v>
      </c>
      <c r="G80" s="10" t="n">
        <v>0</v>
      </c>
      <c r="H80" s="11" t="str">
        <f aca="false">IF(D80=0,"",G80/D80*1000)</f>
        <v/>
      </c>
      <c r="I80" s="13" t="n">
        <v>0</v>
      </c>
      <c r="J80" s="39" t="s">
        <v>163</v>
      </c>
    </row>
    <row r="81" customFormat="false" ht="15" hidden="false" customHeight="false" outlineLevel="0" collapsed="false">
      <c r="A81" s="9" t="s">
        <v>58</v>
      </c>
      <c r="B81" s="9" t="s">
        <v>281</v>
      </c>
      <c r="C81" s="9" t="s">
        <v>282</v>
      </c>
      <c r="D81" s="10" t="n">
        <v>0</v>
      </c>
      <c r="E81" s="10" t="n">
        <v>0</v>
      </c>
      <c r="F81" s="10" t="n">
        <v>0</v>
      </c>
      <c r="G81" s="10" t="n">
        <v>0</v>
      </c>
      <c r="H81" s="11" t="str">
        <f aca="false">IF(D81=0,"",G81/D81*1000)</f>
        <v/>
      </c>
      <c r="I81" s="13" t="n">
        <v>0</v>
      </c>
      <c r="J81" s="39" t="s">
        <v>163</v>
      </c>
    </row>
    <row r="82" customFormat="false" ht="15" hidden="false" customHeight="false" outlineLevel="0" collapsed="false">
      <c r="A82" s="9" t="s">
        <v>58</v>
      </c>
      <c r="B82" s="9" t="s">
        <v>224</v>
      </c>
      <c r="C82" s="14" t="s">
        <v>283</v>
      </c>
      <c r="D82" s="10" t="n">
        <v>0</v>
      </c>
      <c r="E82" s="10" t="n">
        <v>0</v>
      </c>
      <c r="F82" s="10" t="n">
        <v>0</v>
      </c>
      <c r="G82" s="10" t="n">
        <v>0</v>
      </c>
      <c r="H82" s="11" t="str">
        <f aca="false">IF(D82=0,"",G82/D82*1000)</f>
        <v/>
      </c>
      <c r="I82" s="13" t="n">
        <v>0</v>
      </c>
      <c r="J82" s="39" t="s">
        <v>163</v>
      </c>
    </row>
    <row r="83" customFormat="false" ht="15" hidden="false" customHeight="false" outlineLevel="0" collapsed="false">
      <c r="A83" s="9" t="s">
        <v>58</v>
      </c>
      <c r="B83" s="9" t="s">
        <v>226</v>
      </c>
      <c r="C83" s="9" t="s">
        <v>284</v>
      </c>
      <c r="D83" s="10" t="n">
        <v>0</v>
      </c>
      <c r="E83" s="10" t="n">
        <v>0</v>
      </c>
      <c r="F83" s="10" t="n">
        <v>0</v>
      </c>
      <c r="G83" s="10" t="n">
        <v>0</v>
      </c>
      <c r="H83" s="11" t="str">
        <f aca="false">IF(D83=0,"",G83/D83*1000)</f>
        <v/>
      </c>
      <c r="I83" s="13" t="n">
        <v>0</v>
      </c>
      <c r="J83" s="39" t="s">
        <v>163</v>
      </c>
    </row>
    <row r="84" customFormat="false" ht="15" hidden="false" customHeight="false" outlineLevel="0" collapsed="false">
      <c r="A84" s="9" t="s">
        <v>63</v>
      </c>
      <c r="B84" s="9" t="s">
        <v>285</v>
      </c>
      <c r="C84" s="14" t="s">
        <v>286</v>
      </c>
      <c r="D84" s="10" t="n">
        <v>1091</v>
      </c>
      <c r="E84" s="10" t="n">
        <v>2</v>
      </c>
      <c r="F84" s="10" t="n">
        <v>0</v>
      </c>
      <c r="G84" s="10" t="n">
        <v>0</v>
      </c>
      <c r="H84" s="11" t="n">
        <f aca="false">IF(D84=0,"",G84/D84*1000)</f>
        <v>0</v>
      </c>
      <c r="I84" s="13" t="n">
        <v>42.22</v>
      </c>
      <c r="J84" s="2" t="s">
        <v>150</v>
      </c>
    </row>
    <row r="85" customFormat="false" ht="15" hidden="false" customHeight="false" outlineLevel="0" collapsed="false">
      <c r="A85" s="9" t="s">
        <v>63</v>
      </c>
      <c r="B85" s="9" t="s">
        <v>287</v>
      </c>
      <c r="C85" s="14" t="s">
        <v>288</v>
      </c>
      <c r="D85" s="10" t="n">
        <v>0</v>
      </c>
      <c r="E85" s="10" t="n">
        <v>0</v>
      </c>
      <c r="F85" s="10" t="n">
        <v>0</v>
      </c>
      <c r="G85" s="10" t="n">
        <v>0</v>
      </c>
      <c r="H85" s="11" t="str">
        <f aca="false">IF(D85=0,"",G85/D85*1000)</f>
        <v/>
      </c>
      <c r="I85" s="13" t="n">
        <v>0</v>
      </c>
      <c r="J85" s="39" t="s">
        <v>163</v>
      </c>
    </row>
    <row r="86" customFormat="false" ht="15" hidden="false" customHeight="false" outlineLevel="0" collapsed="false">
      <c r="A86" s="9" t="s">
        <v>63</v>
      </c>
      <c r="B86" s="9" t="s">
        <v>289</v>
      </c>
      <c r="C86" s="14" t="s">
        <v>290</v>
      </c>
      <c r="D86" s="10" t="n">
        <v>0</v>
      </c>
      <c r="E86" s="10" t="n">
        <v>0</v>
      </c>
      <c r="F86" s="10" t="n">
        <v>0</v>
      </c>
      <c r="G86" s="10" t="n">
        <v>0</v>
      </c>
      <c r="H86" s="11" t="str">
        <f aca="false">IF(D86=0,"",G86/D86*1000)</f>
        <v/>
      </c>
      <c r="I86" s="13" t="n">
        <v>0</v>
      </c>
      <c r="J86" s="39" t="s">
        <v>163</v>
      </c>
    </row>
    <row r="87" customFormat="false" ht="15" hidden="false" customHeight="false" outlineLevel="0" collapsed="false">
      <c r="A87" s="9" t="s">
        <v>63</v>
      </c>
      <c r="B87" s="9" t="s">
        <v>291</v>
      </c>
      <c r="C87" s="14" t="s">
        <v>292</v>
      </c>
      <c r="D87" s="10" t="n">
        <v>0</v>
      </c>
      <c r="E87" s="10" t="n">
        <v>0</v>
      </c>
      <c r="F87" s="10" t="n">
        <v>0</v>
      </c>
      <c r="G87" s="10" t="n">
        <v>0</v>
      </c>
      <c r="H87" s="11" t="str">
        <f aca="false">IF(D87=0,"",G87/D87*1000)</f>
        <v/>
      </c>
      <c r="I87" s="13" t="n">
        <v>0</v>
      </c>
      <c r="J87" s="39" t="s">
        <v>163</v>
      </c>
    </row>
    <row r="88" customFormat="false" ht="15" hidden="false" customHeight="false" outlineLevel="0" collapsed="false">
      <c r="A88" s="9" t="s">
        <v>60</v>
      </c>
      <c r="B88" s="9" t="s">
        <v>293</v>
      </c>
      <c r="C88" s="14" t="s">
        <v>294</v>
      </c>
      <c r="D88" s="10" t="n">
        <v>1173</v>
      </c>
      <c r="E88" s="10" t="n">
        <v>13</v>
      </c>
      <c r="F88" s="10" t="n">
        <v>0</v>
      </c>
      <c r="G88" s="10" t="n">
        <v>3</v>
      </c>
      <c r="H88" s="11" t="n">
        <f aca="false">IF(D88=0,"",G88/D88*1000)</f>
        <v>2.55754475703325</v>
      </c>
      <c r="I88" s="13" t="n">
        <v>51.57</v>
      </c>
      <c r="J88" s="2" t="s">
        <v>150</v>
      </c>
    </row>
    <row r="89" customFormat="false" ht="15" hidden="false" customHeight="false" outlineLevel="0" collapsed="false">
      <c r="A89" s="9" t="s">
        <v>60</v>
      </c>
      <c r="B89" s="9" t="s">
        <v>180</v>
      </c>
      <c r="C89" s="14" t="s">
        <v>295</v>
      </c>
      <c r="D89" s="10" t="n">
        <v>852</v>
      </c>
      <c r="E89" s="10" t="n">
        <v>9</v>
      </c>
      <c r="F89" s="10" t="n">
        <v>0</v>
      </c>
      <c r="G89" s="10" t="n">
        <v>1</v>
      </c>
      <c r="H89" s="11" t="n">
        <f aca="false">IF(D89=0,"",G89/D89*1000)</f>
        <v>1.17370892018779</v>
      </c>
      <c r="I89" s="13" t="n">
        <v>48.98</v>
      </c>
      <c r="J89" s="2" t="s">
        <v>150</v>
      </c>
    </row>
    <row r="90" customFormat="false" ht="15" hidden="false" customHeight="false" outlineLevel="0" collapsed="false">
      <c r="A90" s="9" t="s">
        <v>60</v>
      </c>
      <c r="B90" s="9" t="s">
        <v>296</v>
      </c>
      <c r="C90" s="14" t="s">
        <v>297</v>
      </c>
      <c r="D90" s="10" t="n">
        <v>231</v>
      </c>
      <c r="E90" s="10" t="n">
        <v>0</v>
      </c>
      <c r="F90" s="10" t="n">
        <v>0</v>
      </c>
      <c r="G90" s="10" t="n">
        <v>0</v>
      </c>
      <c r="H90" s="11" t="n">
        <f aca="false">IF(D90=0,"",G90/D90*1000)</f>
        <v>0</v>
      </c>
      <c r="I90" s="13" t="n">
        <v>38.85</v>
      </c>
      <c r="J90" s="2" t="s">
        <v>150</v>
      </c>
    </row>
    <row r="91" customFormat="false" ht="15" hidden="false" customHeight="false" outlineLevel="0" collapsed="false">
      <c r="A91" s="9" t="s">
        <v>60</v>
      </c>
      <c r="B91" s="9" t="s">
        <v>298</v>
      </c>
      <c r="C91" s="14" t="s">
        <v>299</v>
      </c>
      <c r="D91" s="10" t="n">
        <v>1105</v>
      </c>
      <c r="E91" s="10" t="n">
        <v>6</v>
      </c>
      <c r="F91" s="10" t="n">
        <v>1</v>
      </c>
      <c r="G91" s="10" t="n">
        <v>1</v>
      </c>
      <c r="H91" s="11" t="n">
        <f aca="false">IF(D91=0,"",G91/D91*1000)</f>
        <v>0.904977375565611</v>
      </c>
      <c r="I91" s="13" t="n">
        <v>44.31</v>
      </c>
      <c r="J91" s="2" t="s">
        <v>150</v>
      </c>
    </row>
    <row r="92" customFormat="false" ht="15" hidden="false" customHeight="false" outlineLevel="0" collapsed="false">
      <c r="A92" s="9" t="s">
        <v>60</v>
      </c>
      <c r="B92" s="9" t="s">
        <v>192</v>
      </c>
      <c r="C92" s="14" t="s">
        <v>300</v>
      </c>
      <c r="D92" s="10" t="n">
        <v>790</v>
      </c>
      <c r="E92" s="10" t="n">
        <v>6</v>
      </c>
      <c r="F92" s="10" t="n">
        <v>0</v>
      </c>
      <c r="G92" s="10" t="n">
        <v>1</v>
      </c>
      <c r="H92" s="11" t="n">
        <f aca="false">IF(D92=0,"",G92/D92*1000)</f>
        <v>1.26582278481013</v>
      </c>
      <c r="I92" s="13" t="n">
        <v>38.07</v>
      </c>
      <c r="J92" s="2" t="s">
        <v>150</v>
      </c>
    </row>
    <row r="93" customFormat="false" ht="15" hidden="false" customHeight="false" outlineLevel="0" collapsed="false">
      <c r="A93" s="9" t="s">
        <v>60</v>
      </c>
      <c r="B93" s="9" t="s">
        <v>198</v>
      </c>
      <c r="C93" s="14" t="s">
        <v>301</v>
      </c>
      <c r="D93" s="10" t="n">
        <v>828</v>
      </c>
      <c r="E93" s="10" t="n">
        <v>3</v>
      </c>
      <c r="F93" s="10" t="n">
        <v>0</v>
      </c>
      <c r="G93" s="10" t="n">
        <v>0</v>
      </c>
      <c r="H93" s="11" t="n">
        <f aca="false">IF(D93=0,"",G93/D93*1000)</f>
        <v>0</v>
      </c>
      <c r="I93" s="13" t="n">
        <v>64.12</v>
      </c>
      <c r="J93" s="2" t="s">
        <v>150</v>
      </c>
    </row>
    <row r="94" customFormat="false" ht="15" hidden="false" customHeight="false" outlineLevel="0" collapsed="false">
      <c r="A94" s="9" t="s">
        <v>60</v>
      </c>
      <c r="B94" s="9" t="s">
        <v>302</v>
      </c>
      <c r="C94" s="14" t="s">
        <v>303</v>
      </c>
      <c r="D94" s="10" t="n">
        <v>457</v>
      </c>
      <c r="E94" s="10" t="n">
        <v>0</v>
      </c>
      <c r="F94" s="10" t="n">
        <v>0</v>
      </c>
      <c r="G94" s="10" t="n">
        <v>0</v>
      </c>
      <c r="H94" s="11" t="n">
        <f aca="false">IF(D94=0,"",G94/D94*1000)</f>
        <v>0</v>
      </c>
      <c r="I94" s="13" t="n">
        <v>176.13</v>
      </c>
      <c r="J94" s="2" t="s">
        <v>150</v>
      </c>
    </row>
    <row r="95" customFormat="false" ht="15" hidden="false" customHeight="false" outlineLevel="0" collapsed="false">
      <c r="A95" s="9" t="s">
        <v>60</v>
      </c>
      <c r="B95" s="9" t="s">
        <v>304</v>
      </c>
      <c r="C95" s="14" t="s">
        <v>305</v>
      </c>
      <c r="D95" s="10" t="n">
        <v>762</v>
      </c>
      <c r="E95" s="10" t="n">
        <v>3</v>
      </c>
      <c r="F95" s="10" t="n">
        <v>0</v>
      </c>
      <c r="G95" s="10" t="n">
        <v>0</v>
      </c>
      <c r="H95" s="11" t="n">
        <f aca="false">IF(D95=0,"",G95/D95*1000)</f>
        <v>0</v>
      </c>
      <c r="I95" s="13" t="n">
        <v>59.19</v>
      </c>
      <c r="J95" s="2" t="s">
        <v>150</v>
      </c>
    </row>
    <row r="96" customFormat="false" ht="15" hidden="false" customHeight="false" outlineLevel="0" collapsed="false">
      <c r="A96" s="9" t="s">
        <v>60</v>
      </c>
      <c r="B96" s="9" t="s">
        <v>306</v>
      </c>
      <c r="C96" s="14" t="s">
        <v>307</v>
      </c>
      <c r="D96" s="10" t="n">
        <v>0</v>
      </c>
      <c r="E96" s="10" t="n">
        <v>0</v>
      </c>
      <c r="F96" s="10" t="n">
        <v>0</v>
      </c>
      <c r="G96" s="10" t="n">
        <v>0</v>
      </c>
      <c r="H96" s="11" t="str">
        <f aca="false">IF(D96=0,"",G96/D96*1000)</f>
        <v/>
      </c>
      <c r="I96" s="13" t="n">
        <v>0</v>
      </c>
      <c r="J96" s="39" t="s">
        <v>163</v>
      </c>
    </row>
    <row r="97" customFormat="false" ht="15" hidden="false" customHeight="false" outlineLevel="0" collapsed="false">
      <c r="A97" s="9" t="s">
        <v>60</v>
      </c>
      <c r="B97" s="9" t="s">
        <v>210</v>
      </c>
      <c r="C97" s="14" t="s">
        <v>308</v>
      </c>
      <c r="D97" s="10" t="n">
        <v>0</v>
      </c>
      <c r="E97" s="10" t="n">
        <v>0</v>
      </c>
      <c r="F97" s="10" t="n">
        <v>0</v>
      </c>
      <c r="G97" s="10" t="n">
        <v>0</v>
      </c>
      <c r="H97" s="11" t="str">
        <f aca="false">IF(D97=0,"",G97/D97*1000)</f>
        <v/>
      </c>
      <c r="I97" s="13" t="n">
        <v>0</v>
      </c>
      <c r="J97" s="39" t="s">
        <v>163</v>
      </c>
    </row>
    <row r="98" customFormat="false" ht="15" hidden="false" customHeight="false" outlineLevel="0" collapsed="false">
      <c r="A98" s="9" t="s">
        <v>60</v>
      </c>
      <c r="B98" s="9" t="s">
        <v>309</v>
      </c>
      <c r="C98" s="14" t="s">
        <v>310</v>
      </c>
      <c r="D98" s="10" t="n">
        <v>0</v>
      </c>
      <c r="E98" s="10" t="n">
        <v>0</v>
      </c>
      <c r="F98" s="10" t="n">
        <v>0</v>
      </c>
      <c r="G98" s="10" t="n">
        <v>0</v>
      </c>
      <c r="H98" s="11" t="str">
        <f aca="false">IF(D98=0,"",G98/D98*1000)</f>
        <v/>
      </c>
      <c r="I98" s="13" t="n">
        <v>0</v>
      </c>
      <c r="J98" s="39" t="s">
        <v>163</v>
      </c>
    </row>
    <row r="99" customFormat="false" ht="15" hidden="false" customHeight="false" outlineLevel="0" collapsed="false">
      <c r="A99" s="9" t="s">
        <v>60</v>
      </c>
      <c r="B99" s="9" t="s">
        <v>311</v>
      </c>
      <c r="C99" s="14" t="s">
        <v>312</v>
      </c>
      <c r="D99" s="10" t="n">
        <v>0</v>
      </c>
      <c r="E99" s="10" t="n">
        <v>0</v>
      </c>
      <c r="F99" s="10" t="n">
        <v>0</v>
      </c>
      <c r="G99" s="10" t="n">
        <v>0</v>
      </c>
      <c r="H99" s="11" t="str">
        <f aca="false">IF(D99=0,"",G99/D99*1000)</f>
        <v/>
      </c>
      <c r="I99" s="13" t="n">
        <v>0</v>
      </c>
      <c r="J99" s="39" t="s">
        <v>163</v>
      </c>
    </row>
    <row r="100" customFormat="false" ht="15" hidden="false" customHeight="false" outlineLevel="0" collapsed="false">
      <c r="A100" s="9" t="s">
        <v>60</v>
      </c>
      <c r="B100" s="9" t="s">
        <v>218</v>
      </c>
      <c r="C100" s="14" t="s">
        <v>313</v>
      </c>
      <c r="D100" s="10" t="n">
        <v>0</v>
      </c>
      <c r="E100" s="10" t="n">
        <v>0</v>
      </c>
      <c r="F100" s="10" t="n">
        <v>0</v>
      </c>
      <c r="G100" s="10" t="n">
        <v>0</v>
      </c>
      <c r="H100" s="11" t="str">
        <f aca="false">IF(D100=0,"",G100/D100*1000)</f>
        <v/>
      </c>
      <c r="I100" s="13" t="n">
        <v>0</v>
      </c>
      <c r="J100" s="39" t="s">
        <v>163</v>
      </c>
    </row>
    <row r="101" customFormat="false" ht="15" hidden="false" customHeight="false" outlineLevel="0" collapsed="false">
      <c r="A101" s="9" t="s">
        <v>60</v>
      </c>
      <c r="B101" s="9" t="s">
        <v>314</v>
      </c>
      <c r="C101" s="14" t="s">
        <v>315</v>
      </c>
      <c r="D101" s="10" t="n">
        <v>0</v>
      </c>
      <c r="E101" s="10" t="n">
        <v>0</v>
      </c>
      <c r="F101" s="10" t="n">
        <v>0</v>
      </c>
      <c r="G101" s="10" t="n">
        <v>0</v>
      </c>
      <c r="H101" s="11" t="str">
        <f aca="false">IF(D101=0,"",G101/D101*1000)</f>
        <v/>
      </c>
      <c r="I101" s="13" t="n">
        <v>0</v>
      </c>
      <c r="J101" s="39" t="s">
        <v>163</v>
      </c>
    </row>
    <row r="102" customFormat="false" ht="15" hidden="false" customHeight="false" outlineLevel="0" collapsed="false">
      <c r="A102" s="9" t="s">
        <v>60</v>
      </c>
      <c r="B102" s="9" t="s">
        <v>316</v>
      </c>
      <c r="C102" s="14" t="s">
        <v>317</v>
      </c>
      <c r="D102" s="10" t="n">
        <v>0</v>
      </c>
      <c r="E102" s="10" t="n">
        <v>0</v>
      </c>
      <c r="F102" s="10" t="n">
        <v>0</v>
      </c>
      <c r="G102" s="10" t="n">
        <v>0</v>
      </c>
      <c r="H102" s="11" t="str">
        <f aca="false">IF(D102=0,"",G102/D102*1000)</f>
        <v/>
      </c>
      <c r="I102" s="13" t="n">
        <v>0</v>
      </c>
      <c r="J102" s="39" t="s">
        <v>163</v>
      </c>
    </row>
    <row r="103" customFormat="false" ht="15" hidden="false" customHeight="false" outlineLevel="0" collapsed="false">
      <c r="A103" s="9" t="s">
        <v>60</v>
      </c>
      <c r="B103" s="9" t="s">
        <v>226</v>
      </c>
      <c r="C103" s="14" t="s">
        <v>318</v>
      </c>
      <c r="D103" s="10" t="n">
        <v>0</v>
      </c>
      <c r="E103" s="10" t="n">
        <v>0</v>
      </c>
      <c r="F103" s="10" t="n">
        <v>0</v>
      </c>
      <c r="G103" s="10" t="n">
        <v>0</v>
      </c>
      <c r="H103" s="11" t="str">
        <f aca="false">IF(D103=0,"",G103/D103*1000)</f>
        <v/>
      </c>
      <c r="I103" s="13" t="n">
        <v>0</v>
      </c>
      <c r="J103" s="39" t="s">
        <v>163</v>
      </c>
    </row>
    <row r="104" customFormat="false" ht="15" hidden="false" customHeight="false" outlineLevel="0" collapsed="false">
      <c r="A104" s="37" t="s">
        <v>319</v>
      </c>
      <c r="D104" s="40" t="n">
        <f aca="false">SUM(D5:D103)</f>
        <v>39334</v>
      </c>
      <c r="G104" s="40" t="n">
        <f aca="false">SUM(G5:G103)</f>
        <v>24</v>
      </c>
      <c r="H104" s="38" t="n">
        <f aca="false">IF(D104=0,0,G104/D104*1000)</f>
        <v>0.610159149844918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15"/>
    <col collapsed="false" customWidth="true" hidden="false" outlineLevel="0" max="4" min="4" style="0" width="62"/>
    <col collapsed="false" customWidth="true" hidden="false" outlineLevel="0" max="5" min="5" style="0" width="16"/>
    <col collapsed="false" customWidth="true" hidden="false" outlineLevel="0" max="6" min="6" style="0" width="13"/>
  </cols>
  <sheetData>
    <row r="1" customFormat="false" ht="17.35" hidden="false" customHeight="false" outlineLevel="0" collapsed="false">
      <c r="A1" s="27" t="s">
        <v>320</v>
      </c>
    </row>
    <row r="2" customFormat="false" ht="15" hidden="false" customHeight="false" outlineLevel="0" collapsed="false">
      <c r="A2" s="2" t="s">
        <v>321</v>
      </c>
    </row>
    <row r="4" customFormat="false" ht="17.15" hidden="false" customHeight="false" outlineLevel="0" collapsed="false">
      <c r="A4" s="4" t="s">
        <v>322</v>
      </c>
    </row>
    <row r="5" customFormat="false" ht="31.5" hidden="false" customHeight="true" outlineLevel="0" collapsed="false">
      <c r="A5" s="6"/>
      <c r="B5" s="7" t="s">
        <v>323</v>
      </c>
      <c r="C5" s="7" t="s">
        <v>324</v>
      </c>
      <c r="D5" s="7" t="s">
        <v>325</v>
      </c>
      <c r="E5" s="6" t="s">
        <v>326</v>
      </c>
      <c r="F5" s="7" t="s">
        <v>327</v>
      </c>
    </row>
    <row r="6" customFormat="false" ht="15" hidden="false" customHeight="false" outlineLevel="0" collapsed="false">
      <c r="A6" s="9" t="n">
        <v>1</v>
      </c>
      <c r="B6" s="8" t="s">
        <v>328</v>
      </c>
      <c r="C6" s="9" t="s">
        <v>329</v>
      </c>
      <c r="D6" s="9" t="s">
        <v>330</v>
      </c>
      <c r="E6" s="41" t="s">
        <v>331</v>
      </c>
      <c r="F6" s="17" t="s">
        <v>332</v>
      </c>
    </row>
    <row r="7" customFormat="false" ht="15" hidden="false" customHeight="false" outlineLevel="0" collapsed="false">
      <c r="A7" s="9" t="n">
        <v>2</v>
      </c>
      <c r="B7" s="8" t="s">
        <v>333</v>
      </c>
      <c r="C7" s="9" t="s">
        <v>334</v>
      </c>
      <c r="D7" s="9" t="s">
        <v>335</v>
      </c>
      <c r="E7" s="42" t="s">
        <v>336</v>
      </c>
      <c r="F7" s="2" t="s">
        <v>337</v>
      </c>
    </row>
    <row r="8" customFormat="false" ht="15" hidden="false" customHeight="false" outlineLevel="0" collapsed="false">
      <c r="A8" s="9" t="n">
        <v>3</v>
      </c>
      <c r="B8" s="8" t="s">
        <v>338</v>
      </c>
      <c r="C8" s="9" t="s">
        <v>339</v>
      </c>
      <c r="D8" s="9" t="s">
        <v>340</v>
      </c>
      <c r="E8" s="41" t="s">
        <v>331</v>
      </c>
      <c r="F8" s="17" t="s">
        <v>332</v>
      </c>
    </row>
    <row r="9" customFormat="false" ht="15" hidden="false" customHeight="false" outlineLevel="0" collapsed="false">
      <c r="A9" s="9" t="n">
        <v>4</v>
      </c>
      <c r="B9" s="8" t="s">
        <v>341</v>
      </c>
      <c r="C9" s="9" t="s">
        <v>342</v>
      </c>
      <c r="D9" s="9" t="s">
        <v>343</v>
      </c>
      <c r="E9" s="43" t="s">
        <v>344</v>
      </c>
      <c r="F9" s="2" t="s">
        <v>337</v>
      </c>
    </row>
    <row r="10" customFormat="false" ht="15" hidden="false" customHeight="false" outlineLevel="0" collapsed="false">
      <c r="A10" s="9" t="n">
        <v>5</v>
      </c>
      <c r="B10" s="8" t="s">
        <v>345</v>
      </c>
      <c r="C10" s="9" t="s">
        <v>346</v>
      </c>
      <c r="D10" s="9" t="s">
        <v>347</v>
      </c>
      <c r="E10" s="42" t="s">
        <v>348</v>
      </c>
      <c r="F10" s="2" t="s">
        <v>337</v>
      </c>
    </row>
    <row r="11" customFormat="false" ht="15" hidden="false" customHeight="false" outlineLevel="0" collapsed="false">
      <c r="A11" s="9" t="n">
        <v>6</v>
      </c>
      <c r="B11" s="8" t="s">
        <v>349</v>
      </c>
      <c r="C11" s="9" t="s">
        <v>350</v>
      </c>
      <c r="D11" s="9" t="s">
        <v>351</v>
      </c>
      <c r="E11" s="42" t="s">
        <v>348</v>
      </c>
      <c r="F11" s="2" t="s">
        <v>337</v>
      </c>
    </row>
    <row r="12" customFormat="false" ht="15" hidden="false" customHeight="false" outlineLevel="0" collapsed="false">
      <c r="A12" s="9" t="n">
        <v>7</v>
      </c>
      <c r="B12" s="8" t="s">
        <v>352</v>
      </c>
      <c r="C12" s="9" t="s">
        <v>353</v>
      </c>
      <c r="D12" s="9" t="s">
        <v>354</v>
      </c>
      <c r="E12" s="41" t="s">
        <v>355</v>
      </c>
      <c r="F12" s="17" t="s">
        <v>332</v>
      </c>
    </row>
    <row r="13" customFormat="false" ht="15" hidden="false" customHeight="false" outlineLevel="0" collapsed="false">
      <c r="A13" s="9" t="n">
        <v>8</v>
      </c>
      <c r="B13" s="8" t="s">
        <v>356</v>
      </c>
      <c r="C13" s="9" t="s">
        <v>357</v>
      </c>
      <c r="D13" s="9" t="s">
        <v>358</v>
      </c>
      <c r="E13" s="43" t="s">
        <v>359</v>
      </c>
      <c r="F13" s="2" t="s">
        <v>337</v>
      </c>
    </row>
    <row r="14" customFormat="false" ht="15" hidden="false" customHeight="false" outlineLevel="0" collapsed="false">
      <c r="A14" s="9"/>
      <c r="B14" s="2" t="s">
        <v>360</v>
      </c>
      <c r="C14" s="2"/>
      <c r="D14" s="2"/>
      <c r="E14" s="2"/>
      <c r="F14" s="2"/>
    </row>
    <row r="16" customFormat="false" ht="17.15" hidden="false" customHeight="false" outlineLevel="0" collapsed="false">
      <c r="A16" s="4" t="s">
        <v>361</v>
      </c>
    </row>
    <row r="17" customFormat="false" ht="31.5" hidden="false" customHeight="true" outlineLevel="0" collapsed="false">
      <c r="A17" s="6"/>
      <c r="B17" s="6" t="s">
        <v>12</v>
      </c>
      <c r="C17" s="7" t="s">
        <v>362</v>
      </c>
      <c r="D17" s="7" t="s">
        <v>363</v>
      </c>
      <c r="E17" s="7" t="s">
        <v>364</v>
      </c>
      <c r="F17" s="7" t="s">
        <v>365</v>
      </c>
    </row>
    <row r="18" customFormat="false" ht="73.5" hidden="false" customHeight="true" outlineLevel="0" collapsed="false">
      <c r="A18" s="9" t="n">
        <v>1</v>
      </c>
      <c r="B18" s="23" t="s">
        <v>58</v>
      </c>
      <c r="C18" s="14" t="s">
        <v>366</v>
      </c>
      <c r="D18" s="5" t="s">
        <v>367</v>
      </c>
      <c r="E18" s="42" t="s">
        <v>368</v>
      </c>
      <c r="F18" s="26" t="s">
        <v>369</v>
      </c>
    </row>
    <row r="19" customFormat="false" ht="73.5" hidden="false" customHeight="true" outlineLevel="0" collapsed="false">
      <c r="A19" s="9" t="n">
        <v>2</v>
      </c>
      <c r="B19" s="23" t="s">
        <v>59</v>
      </c>
      <c r="C19" s="14" t="s">
        <v>366</v>
      </c>
      <c r="D19" s="5" t="s">
        <v>370</v>
      </c>
      <c r="E19" s="42" t="s">
        <v>368</v>
      </c>
      <c r="F19" s="26" t="s">
        <v>371</v>
      </c>
    </row>
    <row r="20" customFormat="false" ht="73.5" hidden="false" customHeight="true" outlineLevel="0" collapsed="false">
      <c r="A20" s="9" t="n">
        <v>3</v>
      </c>
      <c r="B20" s="23" t="s">
        <v>372</v>
      </c>
      <c r="C20" s="14" t="s">
        <v>373</v>
      </c>
      <c r="D20" s="5" t="s">
        <v>374</v>
      </c>
      <c r="E20" s="42" t="s">
        <v>368</v>
      </c>
      <c r="F20" s="26" t="s">
        <v>375</v>
      </c>
    </row>
    <row r="21" customFormat="false" ht="73.5" hidden="false" customHeight="true" outlineLevel="0" collapsed="false">
      <c r="A21" s="9" t="n">
        <v>4</v>
      </c>
      <c r="B21" s="23" t="s">
        <v>376</v>
      </c>
      <c r="C21" s="14" t="s">
        <v>377</v>
      </c>
      <c r="D21" s="44" t="s">
        <v>378</v>
      </c>
      <c r="E21" s="42" t="s">
        <v>368</v>
      </c>
      <c r="F21" s="32" t="s">
        <v>379</v>
      </c>
    </row>
    <row r="22" customFormat="false" ht="73.5" hidden="false" customHeight="true" outlineLevel="0" collapsed="false">
      <c r="A22" s="9" t="n">
        <v>5</v>
      </c>
      <c r="B22" s="23" t="s">
        <v>61</v>
      </c>
      <c r="C22" s="14" t="s">
        <v>377</v>
      </c>
      <c r="D22" s="44" t="s">
        <v>380</v>
      </c>
      <c r="E22" s="23" t="s">
        <v>133</v>
      </c>
      <c r="F22" s="26" t="s">
        <v>133</v>
      </c>
    </row>
    <row r="24" customFormat="false" ht="17.15" hidden="false" customHeight="false" outlineLevel="0" collapsed="false">
      <c r="A24" s="4" t="s">
        <v>381</v>
      </c>
    </row>
    <row r="25" customFormat="false" ht="31.5" hidden="false" customHeight="true" outlineLevel="0" collapsed="false">
      <c r="A25" s="6"/>
      <c r="B25" s="6" t="s">
        <v>12</v>
      </c>
      <c r="C25" s="7" t="s">
        <v>362</v>
      </c>
      <c r="D25" s="7" t="s">
        <v>382</v>
      </c>
      <c r="E25" s="7" t="s">
        <v>383</v>
      </c>
      <c r="F25" s="6"/>
    </row>
    <row r="26" customFormat="false" ht="61.5" hidden="false" customHeight="true" outlineLevel="0" collapsed="false">
      <c r="A26" s="9" t="n">
        <v>1</v>
      </c>
      <c r="B26" s="23" t="s">
        <v>60</v>
      </c>
      <c r="C26" s="14" t="s">
        <v>366</v>
      </c>
      <c r="D26" s="44" t="s">
        <v>384</v>
      </c>
      <c r="E26" s="26" t="s">
        <v>385</v>
      </c>
      <c r="F26" s="9"/>
    </row>
    <row r="27" customFormat="false" ht="61.5" hidden="false" customHeight="true" outlineLevel="0" collapsed="false">
      <c r="A27" s="9" t="n">
        <v>2</v>
      </c>
      <c r="B27" s="23" t="s">
        <v>61</v>
      </c>
      <c r="C27" s="14" t="s">
        <v>366</v>
      </c>
      <c r="D27" s="5" t="s">
        <v>386</v>
      </c>
      <c r="E27" s="26" t="s">
        <v>387</v>
      </c>
      <c r="F27" s="9"/>
    </row>
    <row r="28" customFormat="false" ht="61.5" hidden="false" customHeight="true" outlineLevel="0" collapsed="false">
      <c r="A28" s="9" t="n">
        <v>3</v>
      </c>
      <c r="B28" s="23" t="s">
        <v>62</v>
      </c>
      <c r="C28" s="14" t="s">
        <v>388</v>
      </c>
      <c r="D28" s="5" t="s">
        <v>389</v>
      </c>
      <c r="E28" s="32" t="s">
        <v>390</v>
      </c>
      <c r="F28" s="9"/>
    </row>
    <row r="29" customFormat="false" ht="61.5" hidden="false" customHeight="true" outlineLevel="0" collapsed="false">
      <c r="A29" s="9" t="n">
        <v>4</v>
      </c>
      <c r="B29" s="23" t="s">
        <v>63</v>
      </c>
      <c r="C29" s="14" t="s">
        <v>391</v>
      </c>
      <c r="D29" s="5" t="s">
        <v>392</v>
      </c>
      <c r="E29" s="26" t="s">
        <v>393</v>
      </c>
      <c r="F29" s="9"/>
    </row>
    <row r="30" customFormat="false" ht="61.5" hidden="false" customHeight="true" outlineLevel="0" collapsed="false">
      <c r="A30" s="9" t="n">
        <v>5</v>
      </c>
      <c r="B30" s="23" t="s">
        <v>394</v>
      </c>
      <c r="C30" s="14" t="s">
        <v>391</v>
      </c>
      <c r="D30" s="5" t="s">
        <v>395</v>
      </c>
      <c r="E30" s="32" t="s">
        <v>396</v>
      </c>
      <c r="F30" s="9"/>
    </row>
    <row r="32" customFormat="false" ht="15" hidden="false" customHeight="false" outlineLevel="0" collapsed="false">
      <c r="A32" s="4" t="s">
        <v>397</v>
      </c>
    </row>
    <row r="33" customFormat="false" ht="30" hidden="false" customHeight="true" outlineLevel="0" collapsed="false">
      <c r="A33" s="9"/>
      <c r="B33" s="5" t="s">
        <v>398</v>
      </c>
      <c r="C33" s="5"/>
      <c r="D33" s="5"/>
      <c r="E33" s="5"/>
      <c r="F33" s="5"/>
    </row>
    <row r="34" customFormat="false" ht="30" hidden="false" customHeight="true" outlineLevel="0" collapsed="false">
      <c r="A34" s="9"/>
      <c r="B34" s="5" t="s">
        <v>399</v>
      </c>
      <c r="C34" s="5"/>
      <c r="D34" s="5"/>
      <c r="E34" s="5"/>
      <c r="F34" s="5"/>
    </row>
    <row r="35" customFormat="false" ht="30" hidden="false" customHeight="true" outlineLevel="0" collapsed="false">
      <c r="A35" s="9"/>
      <c r="B35" s="5" t="s">
        <v>400</v>
      </c>
      <c r="C35" s="5"/>
      <c r="D35" s="5"/>
      <c r="E35" s="5"/>
      <c r="F35" s="5"/>
    </row>
    <row r="36" customFormat="false" ht="30" hidden="false" customHeight="true" outlineLevel="0" collapsed="false">
      <c r="A36" s="9"/>
      <c r="B36" s="5" t="s">
        <v>401</v>
      </c>
      <c r="C36" s="5"/>
      <c r="D36" s="5"/>
      <c r="E36" s="5"/>
      <c r="F36" s="5"/>
    </row>
    <row r="37" customFormat="false" ht="30" hidden="false" customHeight="true" outlineLevel="0" collapsed="false">
      <c r="A37" s="9"/>
      <c r="B37" s="5" t="s">
        <v>402</v>
      </c>
      <c r="C37" s="5"/>
      <c r="D37" s="5"/>
      <c r="E37" s="5"/>
      <c r="F37" s="5"/>
    </row>
    <row r="38" customFormat="false" ht="30" hidden="false" customHeight="true" outlineLevel="0" collapsed="false">
      <c r="A38" s="9"/>
      <c r="B38" s="5" t="s">
        <v>403</v>
      </c>
      <c r="C38" s="5"/>
      <c r="D38" s="5"/>
      <c r="E38" s="5"/>
      <c r="F38" s="5"/>
    </row>
  </sheetData>
  <mergeCells count="7">
    <mergeCell ref="B14:F14"/>
    <mergeCell ref="B33:F33"/>
    <mergeCell ref="B34:F34"/>
    <mergeCell ref="B35:F35"/>
    <mergeCell ref="B36:F36"/>
    <mergeCell ref="B37:F37"/>
    <mergeCell ref="B38:F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3" min="2" style="0" width="13"/>
    <col collapsed="false" customWidth="true" hidden="false" outlineLevel="0" max="9" min="4" style="0" width="12"/>
    <col collapsed="false" customWidth="true" hidden="false" outlineLevel="0" max="10" min="10" style="0" width="34"/>
  </cols>
  <sheetData>
    <row r="1" customFormat="false" ht="21.6" hidden="false" customHeight="false" outlineLevel="0" collapsed="false">
      <c r="A1" s="27" t="s">
        <v>404</v>
      </c>
    </row>
    <row r="2" customFormat="false" ht="15" hidden="false" customHeight="false" outlineLevel="0" collapsed="false">
      <c r="A2" s="2" t="s">
        <v>405</v>
      </c>
    </row>
    <row r="4" customFormat="false" ht="31.5" hidden="false" customHeight="true" outlineLevel="0" collapsed="false">
      <c r="A4" s="6" t="s">
        <v>12</v>
      </c>
      <c r="B4" s="7" t="s">
        <v>69</v>
      </c>
      <c r="C4" s="7" t="s">
        <v>406</v>
      </c>
      <c r="D4" s="7" t="s">
        <v>407</v>
      </c>
      <c r="E4" s="7" t="s">
        <v>408</v>
      </c>
      <c r="F4" s="7" t="s">
        <v>71</v>
      </c>
      <c r="G4" s="7" t="s">
        <v>409</v>
      </c>
      <c r="H4" s="7" t="s">
        <v>410</v>
      </c>
      <c r="I4" s="7" t="s">
        <v>411</v>
      </c>
      <c r="J4" s="7" t="s">
        <v>412</v>
      </c>
    </row>
    <row r="5" customFormat="false" ht="25.5" hidden="false" customHeight="true" outlineLevel="0" collapsed="false">
      <c r="A5" s="23" t="s">
        <v>58</v>
      </c>
      <c r="B5" s="9" t="s">
        <v>77</v>
      </c>
      <c r="C5" s="9" t="s">
        <v>23</v>
      </c>
      <c r="D5" s="28" t="n">
        <v>0.853889943074004</v>
      </c>
      <c r="E5" s="11" t="n">
        <v>0.833770805669642</v>
      </c>
      <c r="F5" s="29" t="n">
        <f aca="false">IF(D5="","",E5-D5)</f>
        <v>-0.0201191374043622</v>
      </c>
      <c r="G5" s="12" t="n">
        <v>0.426944971537002</v>
      </c>
      <c r="H5" s="12" t="n">
        <v>0.426149522897817</v>
      </c>
      <c r="I5" s="13" t="n">
        <v>33.8566</v>
      </c>
      <c r="J5" s="32" t="s">
        <v>413</v>
      </c>
    </row>
    <row r="6" customFormat="false" ht="25.5" hidden="false" customHeight="true" outlineLevel="0" collapsed="false">
      <c r="A6" s="23" t="s">
        <v>59</v>
      </c>
      <c r="B6" s="9" t="s">
        <v>77</v>
      </c>
      <c r="C6" s="9" t="s">
        <v>23</v>
      </c>
      <c r="D6" s="28" t="n">
        <v>0.725067563113836</v>
      </c>
      <c r="E6" s="11" t="n">
        <v>0.627567320858056</v>
      </c>
      <c r="F6" s="29" t="n">
        <f aca="false">IF(D6="","",E6-D6)</f>
        <v>-0.09750024225578</v>
      </c>
      <c r="G6" s="12" t="n">
        <v>0.754729417968493</v>
      </c>
      <c r="H6" s="12" t="n">
        <v>0.773048836147878</v>
      </c>
      <c r="I6" s="13" t="n">
        <v>40.5834</v>
      </c>
      <c r="J6" s="32" t="s">
        <v>414</v>
      </c>
    </row>
    <row r="7" customFormat="false" ht="25.5" hidden="false" customHeight="true" outlineLevel="0" collapsed="false">
      <c r="A7" s="23" t="s">
        <v>60</v>
      </c>
      <c r="B7" s="9" t="s">
        <v>77</v>
      </c>
      <c r="C7" s="9" t="s">
        <v>23</v>
      </c>
      <c r="D7" s="28" t="n">
        <v>0.791467229487808</v>
      </c>
      <c r="E7" s="11" t="n">
        <v>0.692293678265622</v>
      </c>
      <c r="F7" s="29" t="n">
        <f aca="false">IF(D7="","",E7-D7)</f>
        <v>-0.0991735512221855</v>
      </c>
      <c r="G7" s="12" t="n">
        <v>0.580409301624392</v>
      </c>
      <c r="H7" s="12" t="n">
        <v>0.546547640736018</v>
      </c>
      <c r="I7" s="13" t="n">
        <v>38.5444</v>
      </c>
      <c r="J7" s="32" t="s">
        <v>415</v>
      </c>
    </row>
    <row r="8" customFormat="false" ht="25.5" hidden="false" customHeight="true" outlineLevel="0" collapsed="false">
      <c r="A8" s="23" t="s">
        <v>61</v>
      </c>
      <c r="B8" s="9" t="s">
        <v>77</v>
      </c>
      <c r="C8" s="9" t="s">
        <v>23</v>
      </c>
      <c r="D8" s="28" t="n">
        <v>0.613484386822355</v>
      </c>
      <c r="E8" s="11" t="n">
        <v>0.605847404627892</v>
      </c>
      <c r="F8" s="29" t="n">
        <f aca="false">IF(D8="","",E8-D8)</f>
        <v>-0.00763698219446296</v>
      </c>
      <c r="G8" s="12" t="n">
        <v>0.304697245455103</v>
      </c>
      <c r="H8" s="12" t="n">
        <v>0.316604127579737</v>
      </c>
      <c r="I8" s="13" t="n">
        <v>47.0116</v>
      </c>
      <c r="J8" s="32" t="s">
        <v>416</v>
      </c>
    </row>
    <row r="9" customFormat="false" ht="25.5" hidden="false" customHeight="true" outlineLevel="0" collapsed="false">
      <c r="A9" s="23" t="s">
        <v>62</v>
      </c>
      <c r="B9" s="9" t="s">
        <v>77</v>
      </c>
      <c r="C9" s="9" t="s">
        <v>23</v>
      </c>
      <c r="D9" s="28" t="n">
        <v>0.163331972233565</v>
      </c>
      <c r="E9" s="11" t="n">
        <v>0.163025758069775</v>
      </c>
      <c r="F9" s="29" t="n">
        <f aca="false">IF(D9="","",E9-D9)</f>
        <v>-0.000306214163789675</v>
      </c>
      <c r="G9" s="12" t="n">
        <v>0.225942561589765</v>
      </c>
      <c r="H9" s="12" t="n">
        <v>0.225518965329855</v>
      </c>
      <c r="I9" s="13" t="n">
        <v>40.93</v>
      </c>
      <c r="J9" s="32" t="s">
        <v>417</v>
      </c>
    </row>
    <row r="10" customFormat="false" ht="25.5" hidden="false" customHeight="true" outlineLevel="0" collapsed="false">
      <c r="A10" s="23" t="s">
        <v>63</v>
      </c>
      <c r="B10" s="9" t="s">
        <v>77</v>
      </c>
      <c r="C10" s="9" t="s">
        <v>23</v>
      </c>
      <c r="D10" s="28" t="n">
        <v>0</v>
      </c>
      <c r="E10" s="11" t="n">
        <v>0</v>
      </c>
      <c r="F10" s="31" t="n">
        <f aca="false">IF(D10="","",E10-D10)</f>
        <v>0</v>
      </c>
      <c r="G10" s="12" t="n">
        <v>0.769230769230769</v>
      </c>
      <c r="H10" s="12" t="n">
        <v>0.183318056828598</v>
      </c>
      <c r="I10" s="13" t="n">
        <v>8.444</v>
      </c>
      <c r="J10" s="26" t="s">
        <v>418</v>
      </c>
    </row>
    <row r="11" customFormat="false" ht="25.5" hidden="false" customHeight="true" outlineLevel="0" collapsed="false">
      <c r="A11" s="23" t="s">
        <v>86</v>
      </c>
      <c r="B11" s="9" t="s">
        <v>31</v>
      </c>
      <c r="C11" s="15" t="s">
        <v>31</v>
      </c>
      <c r="D11" s="28" t="n">
        <v>0.271895108909096</v>
      </c>
      <c r="E11" s="11" t="n">
        <v>0.271895108909096</v>
      </c>
      <c r="F11" s="31" t="n">
        <f aca="false">IF(D11="","",E11-D11)</f>
        <v>0</v>
      </c>
      <c r="G11" s="12" t="n">
        <v>0.2507477115495</v>
      </c>
      <c r="H11" s="12" t="n">
        <v>0.2507477115495</v>
      </c>
      <c r="I11" s="13" t="n">
        <v>41.2467346938776</v>
      </c>
      <c r="J11" s="26" t="s">
        <v>419</v>
      </c>
    </row>
    <row r="12" customFormat="false" ht="25.5" hidden="false" customHeight="true" outlineLevel="0" collapsed="false">
      <c r="A12" s="23" t="s">
        <v>89</v>
      </c>
      <c r="B12" s="9" t="s">
        <v>34</v>
      </c>
      <c r="C12" s="15" t="s">
        <v>34</v>
      </c>
      <c r="D12" s="28" t="n">
        <v>0</v>
      </c>
      <c r="E12" s="11" t="n">
        <v>0</v>
      </c>
      <c r="F12" s="31" t="n">
        <f aca="false">IF(D12="","",E12-D12)</f>
        <v>0</v>
      </c>
      <c r="G12" s="12" t="n">
        <v>0.397332198098482</v>
      </c>
      <c r="H12" s="12" t="n">
        <v>0.397332198098482</v>
      </c>
      <c r="I12" s="13" t="n">
        <v>25.0941176470588</v>
      </c>
      <c r="J12" s="26" t="s">
        <v>419</v>
      </c>
    </row>
    <row r="13" customFormat="false" ht="25.5" hidden="false" customHeight="true" outlineLevel="0" collapsed="false">
      <c r="A13" s="23" t="s">
        <v>92</v>
      </c>
      <c r="B13" s="9" t="s">
        <v>34</v>
      </c>
      <c r="C13" s="15" t="s">
        <v>34</v>
      </c>
      <c r="D13" s="28" t="n">
        <v>0.570450656018254</v>
      </c>
      <c r="E13" s="11" t="n">
        <v>0.570450656018254</v>
      </c>
      <c r="F13" s="31" t="n">
        <f aca="false">IF(D13="","",E13-D13)</f>
        <v>0</v>
      </c>
      <c r="G13" s="12" t="n">
        <v>0.209165240540027</v>
      </c>
      <c r="H13" s="12" t="n">
        <v>0.209165240540027</v>
      </c>
      <c r="I13" s="13" t="n">
        <v>29.8870588235294</v>
      </c>
      <c r="J13" s="26" t="s">
        <v>419</v>
      </c>
    </row>
    <row r="14" customFormat="false" ht="25.5" hidden="false" customHeight="true" outlineLevel="0" collapsed="false">
      <c r="A14" s="23" t="s">
        <v>94</v>
      </c>
      <c r="B14" s="9" t="s">
        <v>31</v>
      </c>
      <c r="C14" s="15" t="s">
        <v>31</v>
      </c>
      <c r="D14" s="28" t="n">
        <v>0.023628931263439</v>
      </c>
      <c r="E14" s="11" t="n">
        <v>0.023628931263439</v>
      </c>
      <c r="F14" s="31" t="n">
        <f aca="false">IF(D14="","",E14-D14)</f>
        <v>0</v>
      </c>
      <c r="G14" s="12" t="n">
        <v>0.158313839465041</v>
      </c>
      <c r="H14" s="12" t="n">
        <v>0.158313839465041</v>
      </c>
      <c r="I14" s="13" t="n">
        <v>44.1166666666667</v>
      </c>
      <c r="J14" s="26" t="s">
        <v>419</v>
      </c>
    </row>
    <row r="15" customFormat="false" ht="25.5" hidden="false" customHeight="true" outlineLevel="0" collapsed="false">
      <c r="A15" s="23" t="s">
        <v>96</v>
      </c>
      <c r="B15" s="9" t="s">
        <v>31</v>
      </c>
      <c r="C15" s="15" t="s">
        <v>31</v>
      </c>
      <c r="D15" s="28" t="n">
        <v>0.210934863314209</v>
      </c>
      <c r="E15" s="11" t="n">
        <v>0.210934863314209</v>
      </c>
      <c r="F15" s="31" t="n">
        <f aca="false">IF(D15="","",E15-D15)</f>
        <v>0</v>
      </c>
      <c r="G15" s="12" t="n">
        <v>0.219372257846777</v>
      </c>
      <c r="H15" s="12" t="n">
        <v>0.219372257846777</v>
      </c>
      <c r="I15" s="13" t="n">
        <v>33.7092307692308</v>
      </c>
      <c r="J15" s="26" t="s">
        <v>419</v>
      </c>
    </row>
    <row r="16" customFormat="false" ht="25.5" hidden="false" customHeight="true" outlineLevel="0" collapsed="false">
      <c r="A16" s="23" t="s">
        <v>98</v>
      </c>
      <c r="B16" s="9" t="s">
        <v>31</v>
      </c>
      <c r="C16" s="15" t="s">
        <v>31</v>
      </c>
      <c r="D16" s="28" t="n">
        <v>0.168904653323199</v>
      </c>
      <c r="E16" s="11" t="n">
        <v>0.168904653323199</v>
      </c>
      <c r="F16" s="31" t="n">
        <f aca="false">IF(D16="","",E16-D16)</f>
        <v>0</v>
      </c>
      <c r="G16" s="12" t="n">
        <v>0.232243898319399</v>
      </c>
      <c r="H16" s="12" t="n">
        <v>0.232243898319399</v>
      </c>
      <c r="I16" s="13" t="n">
        <v>38.822</v>
      </c>
      <c r="J16" s="26" t="s">
        <v>419</v>
      </c>
    </row>
    <row r="17" customFormat="false" ht="25.5" hidden="false" customHeight="true" outlineLevel="0" collapsed="false">
      <c r="A17" s="23" t="s">
        <v>100</v>
      </c>
      <c r="B17" s="9" t="s">
        <v>34</v>
      </c>
      <c r="C17" s="15" t="s">
        <v>34</v>
      </c>
      <c r="D17" s="28" t="n">
        <v>0</v>
      </c>
      <c r="E17" s="11" t="n">
        <v>0</v>
      </c>
      <c r="F17" s="31" t="n">
        <f aca="false">IF(D17="","",E17-D17)</f>
        <v>0</v>
      </c>
      <c r="G17" s="12" t="n">
        <v>0</v>
      </c>
      <c r="H17" s="12" t="n">
        <v>0</v>
      </c>
      <c r="I17" s="13" t="n">
        <v>6.73333333333333</v>
      </c>
      <c r="J17" s="26" t="s">
        <v>419</v>
      </c>
    </row>
    <row r="19" customFormat="false" ht="17.15" hidden="false" customHeight="false" outlineLevel="0" collapsed="false">
      <c r="A19" s="4" t="s">
        <v>420</v>
      </c>
    </row>
    <row r="20" customFormat="false" ht="31.5" hidden="false" customHeight="true" outlineLevel="0" collapsed="false">
      <c r="A20" s="7" t="s">
        <v>421</v>
      </c>
      <c r="B20" s="7" t="s">
        <v>422</v>
      </c>
      <c r="C20" s="7" t="s">
        <v>423</v>
      </c>
      <c r="D20" s="7" t="s">
        <v>424</v>
      </c>
      <c r="E20" s="7" t="s">
        <v>425</v>
      </c>
      <c r="F20" s="7" t="s">
        <v>21</v>
      </c>
      <c r="G20" s="7" t="s">
        <v>426</v>
      </c>
      <c r="H20" s="6"/>
      <c r="I20" s="6"/>
      <c r="J20" s="6"/>
    </row>
    <row r="21" customFormat="false" ht="57.75" hidden="false" customHeight="true" outlineLevel="0" collapsed="false">
      <c r="A21" s="23" t="s">
        <v>55</v>
      </c>
      <c r="B21" s="9" t="s">
        <v>427</v>
      </c>
      <c r="C21" s="5" t="s">
        <v>428</v>
      </c>
      <c r="D21" s="26" t="s">
        <v>429</v>
      </c>
      <c r="E21" s="5" t="s">
        <v>430</v>
      </c>
      <c r="F21" s="45" t="s">
        <v>431</v>
      </c>
      <c r="G21" s="32" t="s">
        <v>432</v>
      </c>
    </row>
    <row r="22" customFormat="false" ht="57.75" hidden="false" customHeight="true" outlineLevel="0" collapsed="false">
      <c r="A22" s="23" t="s">
        <v>55</v>
      </c>
      <c r="B22" s="9" t="s">
        <v>62</v>
      </c>
      <c r="C22" s="5" t="s">
        <v>433</v>
      </c>
      <c r="D22" s="26" t="s">
        <v>434</v>
      </c>
      <c r="E22" s="5" t="s">
        <v>435</v>
      </c>
      <c r="F22" s="46" t="s">
        <v>436</v>
      </c>
      <c r="G22" s="26" t="s">
        <v>437</v>
      </c>
    </row>
    <row r="23" customFormat="false" ht="57.75" hidden="false" customHeight="true" outlineLevel="0" collapsed="false">
      <c r="A23" s="23" t="s">
        <v>55</v>
      </c>
      <c r="B23" s="9" t="s">
        <v>438</v>
      </c>
      <c r="C23" s="5" t="s">
        <v>439</v>
      </c>
      <c r="D23" s="32" t="s">
        <v>440</v>
      </c>
      <c r="E23" s="44" t="s">
        <v>441</v>
      </c>
      <c r="F23" s="45" t="s">
        <v>442</v>
      </c>
      <c r="G23" s="32" t="s">
        <v>443</v>
      </c>
    </row>
    <row r="24" customFormat="false" ht="57.75" hidden="false" customHeight="true" outlineLevel="0" collapsed="false">
      <c r="A24" s="23" t="s">
        <v>53</v>
      </c>
      <c r="B24" s="9" t="s">
        <v>444</v>
      </c>
      <c r="C24" s="44" t="s">
        <v>445</v>
      </c>
      <c r="D24" s="26" t="s">
        <v>446</v>
      </c>
      <c r="E24" s="5" t="s">
        <v>447</v>
      </c>
      <c r="F24" s="45" t="s">
        <v>448</v>
      </c>
      <c r="G24" s="26" t="s">
        <v>449</v>
      </c>
    </row>
    <row r="25" customFormat="false" ht="57.75" hidden="false" customHeight="true" outlineLevel="0" collapsed="false">
      <c r="A25" s="23" t="s">
        <v>53</v>
      </c>
      <c r="B25" s="9" t="s">
        <v>450</v>
      </c>
      <c r="C25" s="5" t="s">
        <v>451</v>
      </c>
      <c r="D25" s="26" t="s">
        <v>452</v>
      </c>
      <c r="E25" s="5" t="s">
        <v>453</v>
      </c>
      <c r="F25" s="47" t="s">
        <v>454</v>
      </c>
      <c r="G25" s="26" t="s">
        <v>455</v>
      </c>
    </row>
    <row r="27" customFormat="false" ht="15" hidden="false" customHeight="false" outlineLevel="0" collapsed="false">
      <c r="A27" s="4" t="s">
        <v>456</v>
      </c>
    </row>
    <row r="28" customFormat="false" ht="31.5" hidden="false" customHeight="true" outlineLevel="0" collapsed="false">
      <c r="A28" s="7" t="s">
        <v>457</v>
      </c>
      <c r="B28" s="6" t="s">
        <v>458</v>
      </c>
      <c r="C28" s="6" t="s">
        <v>52</v>
      </c>
      <c r="D28" s="6" t="s">
        <v>53</v>
      </c>
      <c r="E28" s="6" t="s">
        <v>54</v>
      </c>
      <c r="F28" s="6" t="s">
        <v>55</v>
      </c>
      <c r="G28" s="7" t="s">
        <v>21</v>
      </c>
      <c r="H28" s="6"/>
      <c r="I28" s="6"/>
      <c r="J28" s="6"/>
    </row>
    <row r="29" customFormat="false" ht="39.75" hidden="false" customHeight="true" outlineLevel="0" collapsed="false">
      <c r="A29" s="8" t="s">
        <v>459</v>
      </c>
      <c r="B29" s="48" t="s">
        <v>460</v>
      </c>
      <c r="C29" s="49" t="s">
        <v>461</v>
      </c>
      <c r="D29" s="49" t="s">
        <v>461</v>
      </c>
      <c r="E29" s="49" t="s">
        <v>462</v>
      </c>
      <c r="F29" s="49" t="s">
        <v>462</v>
      </c>
      <c r="G29" s="26" t="s">
        <v>463</v>
      </c>
      <c r="H29" s="26"/>
      <c r="I29" s="26"/>
      <c r="J29" s="26"/>
    </row>
    <row r="30" customFormat="false" ht="39.75" hidden="false" customHeight="true" outlineLevel="0" collapsed="false">
      <c r="A30" s="8" t="s">
        <v>464</v>
      </c>
      <c r="B30" s="49" t="s">
        <v>462</v>
      </c>
      <c r="C30" s="48" t="s">
        <v>460</v>
      </c>
      <c r="D30" s="48" t="s">
        <v>460</v>
      </c>
      <c r="E30" s="48" t="s">
        <v>460</v>
      </c>
      <c r="F30" s="49" t="s">
        <v>461</v>
      </c>
      <c r="G30" s="26" t="s">
        <v>465</v>
      </c>
      <c r="H30" s="26"/>
      <c r="I30" s="26"/>
      <c r="J30" s="26"/>
    </row>
    <row r="31" customFormat="false" ht="26.85" hidden="false" customHeight="true" outlineLevel="0" collapsed="false">
      <c r="A31" s="8" t="s">
        <v>466</v>
      </c>
      <c r="E31" s="34" t="n">
        <v>3.19071053041674</v>
      </c>
      <c r="F31" s="35" t="n">
        <v>3.24577178812084</v>
      </c>
      <c r="G31" s="32" t="s">
        <v>467</v>
      </c>
      <c r="H31" s="32"/>
      <c r="I31" s="32"/>
      <c r="J31" s="32"/>
    </row>
    <row r="32" customFormat="false" ht="15" hidden="false" customHeight="true" outlineLevel="0" collapsed="false">
      <c r="A32" s="8" t="s">
        <v>468</v>
      </c>
      <c r="F32" s="41" t="s">
        <v>469</v>
      </c>
      <c r="G32" s="32" t="s">
        <v>470</v>
      </c>
      <c r="H32" s="32"/>
      <c r="I32" s="32"/>
      <c r="J32" s="32"/>
    </row>
  </sheetData>
  <mergeCells count="4">
    <mergeCell ref="G29:J29"/>
    <mergeCell ref="G30:J30"/>
    <mergeCell ref="G31:J31"/>
    <mergeCell ref="G32:J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2026-09-17T03:28:01Z</dcterms:created>
  <dc:creator>openpyxl</dc:creator>
  <dc:description/>
  <dc:language>en-US</dc:language>
  <cp:lastModifiedBy/>
  <dcterms:modified xsi:type="dcterms:W3CDTF">2026-09-17T03:28:01Z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