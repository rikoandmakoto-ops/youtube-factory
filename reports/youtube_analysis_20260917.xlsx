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チャンネル別詳細" sheetId="2" state="visible" r:id="rId4"/>
    <sheet name="動画別パフォーマンス" sheetId="3" state="visible" r:id="rId5"/>
    <sheet name="改善アクション" sheetId="4" state="visible" r:id="rId6"/>
    <sheet name="トレンド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<sst xmlns="http://schemas.openxmlformats.org/spreadsheetml/2006/main" count="376" uniqueCount="218">
  <si>
    <r>
      <rPr>
        <b val="true"/>
        <sz val="14"/>
        <color rgb="FF1F3864"/>
        <rFont val="Arial"/>
        <family val="0"/>
        <charset val="1"/>
      </rPr>
      <t xml:space="preserve">YouTube Factory </t>
    </r>
    <r>
      <rPr>
        <b val="true"/>
        <sz val="14"/>
        <color rgb="FF1F3864"/>
        <rFont val="Noto Sans CJK SC"/>
        <family val="2"/>
      </rPr>
      <t xml:space="preserve">日次分析 — </t>
    </r>
    <r>
      <rPr>
        <b val="true"/>
        <sz val="14"/>
        <color rgb="FF1F3864"/>
        <rFont val="Arial"/>
        <family val="0"/>
        <charset val="1"/>
      </rPr>
      <t xml:space="preserve">2026-09-17</t>
    </r>
  </si>
  <si>
    <r>
      <rPr>
        <i val="true"/>
        <sz val="9"/>
        <color rgb="FF595959"/>
        <rFont val="Noto Sans CJK SC"/>
        <family val="2"/>
      </rPr>
      <t xml:space="preserve">至上目標</t>
    </r>
    <r>
      <rPr>
        <i val="true"/>
        <sz val="9"/>
        <color rgb="FF595959"/>
        <rFont val="Arial"/>
        <family val="0"/>
        <charset val="1"/>
      </rPr>
      <t xml:space="preserve">=</t>
    </r>
    <r>
      <rPr>
        <i val="true"/>
        <sz val="9"/>
        <color rgb="FF595959"/>
        <rFont val="Noto Sans CJK SC"/>
        <family val="2"/>
      </rPr>
      <t xml:space="preserve">チャンネル登録者数。指標は「登録者</t>
    </r>
    <r>
      <rPr>
        <i val="true"/>
        <sz val="9"/>
        <color rgb="FF595959"/>
        <rFont val="Arial"/>
        <family val="0"/>
        <charset val="1"/>
      </rPr>
      <t xml:space="preserve">÷</t>
    </r>
    <r>
      <rPr>
        <i val="true"/>
        <sz val="9"/>
        <color rgb="FF595959"/>
        <rFont val="Noto Sans CJK SC"/>
        <family val="2"/>
      </rPr>
      <t xml:space="preserve">千再生」。データ元 </t>
    </r>
    <r>
      <rPr>
        <i val="true"/>
        <sz val="9"/>
        <color rgb="FF595959"/>
        <rFont val="Arial"/>
        <family val="0"/>
        <charset val="1"/>
      </rPr>
      <t xml:space="preserve">data/analytics/analytics.db</t>
    </r>
    <r>
      <rPr>
        <i val="true"/>
        <sz val="9"/>
        <color rgb="FF595959"/>
        <rFont val="Noto Sans CJK SC"/>
        <family val="2"/>
      </rPr>
      <t xml:space="preserve">（最終取得 </t>
    </r>
    <r>
      <rPr>
        <i val="true"/>
        <sz val="9"/>
        <color rgb="FF595959"/>
        <rFont val="Arial"/>
        <family val="0"/>
        <charset val="1"/>
      </rPr>
      <t xml:space="preserve">2026-09-16 22:30</t>
    </r>
    <r>
      <rPr>
        <i val="true"/>
        <sz val="9"/>
        <color rgb="FF595959"/>
        <rFont val="Noto Sans CJK SC"/>
        <family val="2"/>
      </rPr>
      <t xml:space="preserve">）</t>
    </r>
  </si>
  <si>
    <t xml:space="preserve">■ 今日の結論</t>
  </si>
  <si>
    <r>
      <rPr>
        <sz val="11"/>
        <rFont val="Arial"/>
        <family val="0"/>
        <charset val="1"/>
      </rPr>
      <t xml:space="preserve">1. 2ch-matome </t>
    </r>
    <r>
      <rPr>
        <sz val="11"/>
        <rFont val="Noto Sans CJK SC"/>
        <family val="2"/>
      </rPr>
      <t xml:space="preserve">が </t>
    </r>
    <r>
      <rPr>
        <sz val="11"/>
        <rFont val="Arial"/>
        <family val="0"/>
        <charset val="1"/>
      </rPr>
      <t xml:space="preserve">09-13 </t>
    </r>
    <r>
      <rPr>
        <sz val="11"/>
        <rFont val="Noto Sans CJK SC"/>
        <family val="2"/>
      </rPr>
      <t xml:space="preserve">以降まったく公開されていない原因はバグだった。指揮者がファイルへ書いた </t>
    </r>
    <r>
      <rPr>
        <sz val="11"/>
        <rFont val="Arial"/>
        <family val="0"/>
        <charset val="1"/>
      </rPr>
      <t xml:space="preserve">autopilot </t>
    </r>
    <r>
      <rPr>
        <sz val="11"/>
        <rFont val="Noto Sans CJK SC"/>
        <family val="2"/>
      </rPr>
      <t xml:space="preserve">設定は </t>
    </r>
    <r>
      <rPr>
        <sz val="11"/>
        <rFont val="Arial"/>
        <family val="0"/>
        <charset val="1"/>
      </rPr>
      <t xml:space="preserve">backend </t>
    </r>
    <r>
      <rPr>
        <sz val="11"/>
        <rFont val="Noto Sans CJK SC"/>
        <family val="2"/>
      </rPr>
      <t xml:space="preserve">再起動まで一切効かない。今日コードを修正した（要再起動）。</t>
    </r>
  </si>
  <si>
    <r>
      <rPr>
        <sz val="11"/>
        <rFont val="Arial"/>
        <family val="0"/>
        <charset val="1"/>
      </rPr>
      <t xml:space="preserve">2. </t>
    </r>
    <r>
      <rPr>
        <sz val="11"/>
        <rFont val="Noto Sans CJK SC"/>
        <family val="2"/>
      </rPr>
      <t xml:space="preserve">答え提示語の割り当てが実測と食い違っていた。</t>
    </r>
    <r>
      <rPr>
        <sz val="11"/>
        <rFont val="Arial"/>
        <family val="0"/>
        <charset val="1"/>
      </rPr>
      <t xml:space="preserve">yokai-watch </t>
    </r>
    <r>
      <rPr>
        <sz val="11"/>
        <rFont val="Noto Sans CJK SC"/>
        <family val="2"/>
      </rPr>
      <t xml:space="preserve">の「理由」</t>
    </r>
    <r>
      <rPr>
        <sz val="11"/>
        <rFont val="Arial"/>
        <family val="0"/>
        <charset val="1"/>
      </rPr>
      <t xml:space="preserve">(0.26</t>
    </r>
    <r>
      <rPr>
        <sz val="11"/>
        <rFont val="Noto Sans CJK SC"/>
        <family val="2"/>
      </rPr>
      <t xml:space="preserve">倍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と </t>
    </r>
    <r>
      <rPr>
        <sz val="11"/>
        <rFont val="Arial"/>
        <family val="0"/>
        <charset val="1"/>
      </rPr>
      <t xml:space="preserve">company-facts </t>
    </r>
    <r>
      <rPr>
        <sz val="11"/>
        <rFont val="Noto Sans CJK SC"/>
        <family val="2"/>
      </rPr>
      <t xml:space="preserve">の「実態」</t>
    </r>
    <r>
      <rPr>
        <sz val="11"/>
        <rFont val="Arial"/>
        <family val="0"/>
        <charset val="1"/>
      </rPr>
      <t xml:space="preserve">(0.47</t>
    </r>
    <r>
      <rPr>
        <sz val="11"/>
        <rFont val="Noto Sans CJK SC"/>
        <family val="2"/>
      </rPr>
      <t xml:space="preserve">倍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という負け語が </t>
    </r>
    <r>
      <rPr>
        <sz val="11"/>
        <rFont val="Arial"/>
        <family val="0"/>
        <charset val="1"/>
      </rPr>
      <t xml:space="preserve">repair_with </t>
    </r>
    <r>
      <rPr>
        <sz val="11"/>
        <rFont val="Noto Sans CJK SC"/>
        <family val="2"/>
      </rPr>
      <t xml:space="preserve">の第一に置かれていた。</t>
    </r>
    <r>
      <rPr>
        <sz val="11"/>
        <rFont val="Arial"/>
        <family val="0"/>
        <charset val="1"/>
      </rPr>
      <t xml:space="preserve">5ch </t>
    </r>
    <r>
      <rPr>
        <sz val="11"/>
        <rFont val="Noto Sans CJK SC"/>
        <family val="2"/>
      </rPr>
      <t xml:space="preserve">すべて付け替えた。</t>
    </r>
  </si>
  <si>
    <r>
      <rPr>
        <sz val="11"/>
        <rFont val="Arial"/>
        <family val="0"/>
        <charset val="1"/>
      </rPr>
      <t xml:space="preserve">3. </t>
    </r>
    <r>
      <rPr>
        <sz val="11"/>
        <rFont val="Noto Sans CJK SC"/>
        <family val="2"/>
      </rPr>
      <t xml:space="preserve">視聴維持の離脱は尺の </t>
    </r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</rPr>
      <t xml:space="preserve">〜</t>
    </r>
    <r>
      <rPr>
        <sz val="11"/>
        <rFont val="Arial"/>
        <family val="0"/>
        <charset val="1"/>
      </rPr>
      <t xml:space="preserve">25% </t>
    </r>
    <r>
      <rPr>
        <sz val="11"/>
        <rFont val="Noto Sans CJK SC"/>
        <family val="2"/>
      </rPr>
      <t xml:space="preserve">に集中（</t>
    </r>
    <r>
      <rPr>
        <sz val="11"/>
        <rFont val="Arial"/>
        <family val="0"/>
        <charset val="1"/>
      </rPr>
      <t xml:space="preserve">middle </t>
    </r>
    <r>
      <rPr>
        <sz val="11"/>
        <rFont val="Noto Sans CJK SC"/>
        <family val="2"/>
      </rPr>
      <t xml:space="preserve">の約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〜</t>
    </r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倍）。冒頭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秒ではなく本題直後で切られている。</t>
    </r>
  </si>
  <si>
    <r>
      <rPr>
        <sz val="11"/>
        <rFont val="Arial"/>
        <family val="0"/>
        <charset val="1"/>
      </rPr>
      <t xml:space="preserve">4. </t>
    </r>
    <r>
      <rPr>
        <sz val="11"/>
        <rFont val="Noto Sans CJK SC"/>
        <family val="2"/>
      </rPr>
      <t xml:space="preserve">維持率と登録は連動しない。維持 </t>
    </r>
    <r>
      <rPr>
        <sz val="11"/>
        <rFont val="Arial"/>
        <family val="0"/>
        <charset val="1"/>
      </rPr>
      <t xml:space="preserve">75.6% </t>
    </r>
    <r>
      <rPr>
        <sz val="11"/>
        <rFont val="Noto Sans CJK SC"/>
        <family val="2"/>
      </rPr>
      <t xml:space="preserve">で登録</t>
    </r>
    <r>
      <rPr>
        <sz val="11"/>
        <rFont val="Arial"/>
        <family val="0"/>
        <charset val="1"/>
      </rPr>
      <t xml:space="preserve">0</t>
    </r>
    <r>
      <rPr>
        <sz val="11"/>
        <rFont val="Noto Sans CJK SC"/>
        <family val="2"/>
      </rPr>
      <t xml:space="preserve">人、維持 </t>
    </r>
    <r>
      <rPr>
        <sz val="11"/>
        <rFont val="Arial"/>
        <family val="0"/>
        <charset val="1"/>
      </rPr>
      <t xml:space="preserve">22.8% </t>
    </r>
    <r>
      <rPr>
        <sz val="11"/>
        <rFont val="Noto Sans CJK SC"/>
        <family val="2"/>
      </rPr>
      <t xml:space="preserve">で </t>
    </r>
    <r>
      <rPr>
        <sz val="11"/>
        <rFont val="Arial"/>
        <family val="0"/>
        <charset val="1"/>
      </rPr>
      <t xml:space="preserve">5.63 </t>
    </r>
    <r>
      <rPr>
        <sz val="11"/>
        <rFont val="Noto Sans CJK SC"/>
        <family val="2"/>
      </rPr>
      <t xml:space="preserve">の本がある。維持率を目的関数にしない方針を明記した。</t>
    </r>
  </si>
  <si>
    <r>
      <rPr>
        <sz val="11"/>
        <rFont val="Arial"/>
        <family val="0"/>
        <charset val="1"/>
      </rPr>
      <t xml:space="preserve">5. daily-science </t>
    </r>
    <r>
      <rPr>
        <sz val="11"/>
        <rFont val="Noto Sans CJK SC"/>
        <family val="2"/>
      </rPr>
      <t xml:space="preserve">の投稿枠 </t>
    </r>
    <r>
      <rPr>
        <sz val="11"/>
        <rFont val="Arial"/>
        <family val="0"/>
        <charset val="1"/>
      </rPr>
      <t xml:space="preserve">16:30 </t>
    </r>
    <r>
      <rPr>
        <sz val="11"/>
        <rFont val="Noto Sans CJK SC"/>
        <family val="2"/>
      </rPr>
      <t xml:space="preserve">は </t>
    </r>
    <r>
      <rPr>
        <sz val="11"/>
        <rFont val="Arial"/>
        <family val="0"/>
        <charset val="1"/>
      </rPr>
      <t xml:space="preserve">17:00 </t>
    </r>
    <r>
      <rPr>
        <sz val="11"/>
        <rFont val="Noto Sans CJK SC"/>
        <family val="2"/>
      </rPr>
      <t xml:space="preserve">と </t>
    </r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分差で、連投ガードにより毎日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本が捨てられる形になっていた。</t>
    </r>
    <r>
      <rPr>
        <sz val="11"/>
        <rFont val="Arial"/>
        <family val="0"/>
        <charset val="1"/>
      </rPr>
      <t xml:space="preserve">19:00 </t>
    </r>
    <r>
      <rPr>
        <sz val="11"/>
        <rFont val="Noto Sans CJK SC"/>
        <family val="2"/>
      </rPr>
      <t xml:space="preserve">へ移して</t>
    </r>
    <r>
      <rPr>
        <sz val="11"/>
        <rFont val="Arial"/>
        <family val="0"/>
        <charset val="1"/>
      </rPr>
      <t xml:space="preserve">120</t>
    </r>
    <r>
      <rPr>
        <sz val="11"/>
        <rFont val="Noto Sans CJK SC"/>
        <family val="2"/>
      </rPr>
      <t xml:space="preserve">分間隔に是正した。</t>
    </r>
  </si>
  <si>
    <r>
      <rPr>
        <sz val="11"/>
        <rFont val="Arial"/>
        <family val="0"/>
        <charset val="1"/>
      </rPr>
      <t xml:space="preserve">6. pokemon-lab </t>
    </r>
    <r>
      <rPr>
        <sz val="11"/>
        <rFont val="Noto Sans CJK SC"/>
        <family val="2"/>
      </rPr>
      <t xml:space="preserve">は </t>
    </r>
    <r>
      <rPr>
        <sz val="11"/>
        <rFont val="Arial"/>
        <family val="0"/>
        <charset val="1"/>
      </rPr>
      <t xml:space="preserve">09-10 </t>
    </r>
    <r>
      <rPr>
        <sz val="11"/>
        <rFont val="Noto Sans CJK SC"/>
        <family val="2"/>
      </rPr>
      <t xml:space="preserve">を最後にトークンが失効（</t>
    </r>
    <r>
      <rPr>
        <sz val="11"/>
        <rFont val="Arial"/>
        <family val="0"/>
        <charset val="1"/>
      </rPr>
      <t xml:space="preserve">7.1</t>
    </r>
    <r>
      <rPr>
        <sz val="11"/>
        <rFont val="Noto Sans CJK SC"/>
        <family val="2"/>
      </rPr>
      <t xml:space="preserve">日経過）。</t>
    </r>
    <r>
      <rPr>
        <sz val="11"/>
        <rFont val="Arial"/>
        <family val="0"/>
        <charset val="1"/>
      </rPr>
      <t xml:space="preserve">09-15</t>
    </r>
    <r>
      <rPr>
        <sz val="11"/>
        <rFont val="Noto Sans CJK SC"/>
        <family val="2"/>
      </rPr>
      <t xml:space="preserve">・</t>
    </r>
    <r>
      <rPr>
        <sz val="11"/>
        <rFont val="Arial"/>
        <family val="0"/>
        <charset val="1"/>
      </rPr>
      <t xml:space="preserve">09-16 </t>
    </r>
    <r>
      <rPr>
        <sz val="11"/>
        <rFont val="Noto Sans CJK SC"/>
        <family val="2"/>
      </rPr>
      <t xml:space="preserve">の公開は</t>
    </r>
    <r>
      <rPr>
        <sz val="11"/>
        <rFont val="Arial"/>
        <family val="0"/>
        <charset val="1"/>
      </rPr>
      <t xml:space="preserve">0</t>
    </r>
    <r>
      <rPr>
        <sz val="11"/>
        <rFont val="Noto Sans CJK SC"/>
        <family val="2"/>
      </rPr>
      <t xml:space="preserve">本。再認可はユーザー操作が必要。</t>
    </r>
  </si>
  <si>
    <r>
      <rPr>
        <b val="true"/>
        <sz val="11"/>
        <rFont val="Noto Sans CJK SC"/>
        <family val="2"/>
      </rPr>
      <t xml:space="preserve">■ 稼働状況（公開本数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日）</t>
    </r>
  </si>
  <si>
    <t xml:space="preserve">日付</t>
  </si>
  <si>
    <t xml:space="preserve">公開本数</t>
  </si>
  <si>
    <t xml:space="preserve">備考</t>
  </si>
  <si>
    <t xml:space="preserve">2026-09-03</t>
  </si>
  <si>
    <t xml:space="preserve">2026-09-04</t>
  </si>
  <si>
    <t xml:space="preserve">2026-09-05</t>
  </si>
  <si>
    <t xml:space="preserve">ピーク</t>
  </si>
  <si>
    <t xml:space="preserve">2026-09-06</t>
  </si>
  <si>
    <t xml:space="preserve">2026-09-07</t>
  </si>
  <si>
    <t xml:space="preserve">2026-09-08</t>
  </si>
  <si>
    <t xml:space="preserve">2026-09-09</t>
  </si>
  <si>
    <r>
      <rPr>
        <sz val="11"/>
        <rFont val="Arial"/>
        <family val="0"/>
        <charset val="1"/>
      </rPr>
      <t xml:space="preserve">OAuth </t>
    </r>
    <r>
      <rPr>
        <sz val="11"/>
        <rFont val="Noto Sans CJK SC"/>
        <family val="2"/>
      </rPr>
      <t xml:space="preserve">一斉失効で公開停止</t>
    </r>
  </si>
  <si>
    <t xml:space="preserve">2026-09-10</t>
  </si>
  <si>
    <t xml:space="preserve">同上</t>
  </si>
  <si>
    <t xml:space="preserve">2026-09-13</t>
  </si>
  <si>
    <r>
      <rPr>
        <sz val="11"/>
        <rFont val="Arial"/>
        <family val="0"/>
        <charset val="1"/>
      </rPr>
      <t xml:space="preserve">5ch </t>
    </r>
    <r>
      <rPr>
        <sz val="11"/>
        <rFont val="Noto Sans CJK SC"/>
        <family val="2"/>
      </rPr>
      <t xml:space="preserve">再認可で復帰</t>
    </r>
  </si>
  <si>
    <t xml:space="preserve">2026-09-14</t>
  </si>
  <si>
    <t xml:space="preserve">2026-09-15</t>
  </si>
  <si>
    <t xml:space="preserve">2026-09-16</t>
  </si>
  <si>
    <t xml:space="preserve">合計</t>
  </si>
  <si>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日平均</t>
    </r>
  </si>
  <si>
    <r>
      <rPr>
        <i val="true"/>
        <sz val="9"/>
        <color rgb="FF595959"/>
        <rFont val="Arial"/>
        <family val="0"/>
        <charset val="1"/>
      </rPr>
      <t xml:space="preserve">※ 09-05 </t>
    </r>
    <r>
      <rPr>
        <i val="true"/>
        <sz val="9"/>
        <color rgb="FF595959"/>
        <rFont val="Noto Sans CJK SC"/>
        <family val="2"/>
      </rPr>
      <t xml:space="preserve">のピーク </t>
    </r>
    <r>
      <rPr>
        <i val="true"/>
        <sz val="9"/>
        <color rgb="FF595959"/>
        <rFont val="Arial"/>
        <family val="0"/>
        <charset val="1"/>
      </rPr>
      <t xml:space="preserve">33</t>
    </r>
    <r>
      <rPr>
        <i val="true"/>
        <sz val="9"/>
        <color rgb="FF595959"/>
        <rFont val="Noto Sans CJK SC"/>
        <family val="2"/>
      </rPr>
      <t xml:space="preserve">本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日 に対し、直近は </t>
    </r>
    <r>
      <rPr>
        <i val="true"/>
        <sz val="9"/>
        <color rgb="FF595959"/>
        <rFont val="Arial"/>
        <family val="0"/>
        <charset val="1"/>
      </rPr>
      <t xml:space="preserve">13</t>
    </r>
    <r>
      <rPr>
        <i val="true"/>
        <sz val="9"/>
        <color rgb="FF595959"/>
        <rFont val="Noto Sans CJK SC"/>
        <family val="2"/>
      </rPr>
      <t xml:space="preserve">本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日。停止した </t>
    </r>
    <r>
      <rPr>
        <i val="true"/>
        <sz val="9"/>
        <color rgb="FF595959"/>
        <rFont val="Arial"/>
        <family val="0"/>
        <charset val="1"/>
      </rPr>
      <t xml:space="preserve">8ch </t>
    </r>
    <r>
      <rPr>
        <i val="true"/>
        <sz val="9"/>
        <color rgb="FF595959"/>
        <rFont val="Noto Sans CJK SC"/>
        <family val="2"/>
      </rPr>
      <t xml:space="preserve">のうち </t>
    </r>
    <r>
      <rPr>
        <i val="true"/>
        <sz val="9"/>
        <color rgb="FF595959"/>
        <rFont val="Arial"/>
        <family val="0"/>
        <charset val="1"/>
      </rPr>
      <t xml:space="preserve">7ch </t>
    </r>
    <r>
      <rPr>
        <i val="true"/>
        <sz val="9"/>
        <color rgb="FF595959"/>
        <rFont val="Noto Sans CJK SC"/>
        <family val="2"/>
      </rPr>
      <t xml:space="preserve">は </t>
    </r>
    <r>
      <rPr>
        <i val="true"/>
        <sz val="9"/>
        <color rgb="FF595959"/>
        <rFont val="Arial"/>
        <family val="0"/>
        <charset val="1"/>
      </rPr>
      <t xml:space="preserve">OAuth </t>
    </r>
    <r>
      <rPr>
        <i val="true"/>
        <sz val="9"/>
        <color rgb="FF595959"/>
        <rFont val="Noto Sans CJK SC"/>
        <family val="2"/>
      </rPr>
      <t xml:space="preserve">失効、</t>
    </r>
    <r>
      <rPr>
        <i val="true"/>
        <sz val="9"/>
        <color rgb="FF595959"/>
        <rFont val="Arial"/>
        <family val="0"/>
        <charset val="1"/>
      </rPr>
      <t xml:space="preserve">1ch(2ch-matome) </t>
    </r>
    <r>
      <rPr>
        <i val="true"/>
        <sz val="9"/>
        <color rgb="FF595959"/>
        <rFont val="Noto Sans CJK SC"/>
        <family val="2"/>
      </rPr>
      <t xml:space="preserve">は上記バグが原因。</t>
    </r>
  </si>
  <si>
    <t xml:space="preserve">チャンネル別パフォーマンス</t>
  </si>
  <si>
    <r>
      <rPr>
        <i val="true"/>
        <sz val="9"/>
        <color rgb="FF595959"/>
        <rFont val="Noto Sans CJK SC"/>
        <family val="2"/>
      </rPr>
      <t xml:space="preserve">成熟コーパス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公開 </t>
    </r>
    <r>
      <rPr>
        <i val="true"/>
        <sz val="9"/>
        <color rgb="FF595959"/>
        <rFont val="Arial"/>
        <family val="0"/>
        <charset val="1"/>
      </rPr>
      <t xml:space="preserve">2026-08-15</t>
    </r>
    <r>
      <rPr>
        <i val="true"/>
        <sz val="9"/>
        <color rgb="FF595959"/>
        <rFont val="Noto Sans CJK SC"/>
        <family val="2"/>
      </rPr>
      <t xml:space="preserve">〜</t>
    </r>
    <r>
      <rPr>
        <i val="true"/>
        <sz val="9"/>
        <color rgb="FF595959"/>
        <rFont val="Arial"/>
        <family val="0"/>
        <charset val="1"/>
      </rPr>
      <t xml:space="preserve">09-10 / 300</t>
    </r>
    <r>
      <rPr>
        <i val="true"/>
        <sz val="9"/>
        <color rgb="FF595959"/>
        <rFont val="Noto Sans CJK SC"/>
        <family val="2"/>
      </rPr>
      <t xml:space="preserve">再生以上。登録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千再生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登録者 </t>
    </r>
    <r>
      <rPr>
        <i val="true"/>
        <sz val="9"/>
        <color rgb="FF595959"/>
        <rFont val="Arial"/>
        <family val="0"/>
        <charset val="1"/>
      </rPr>
      <t xml:space="preserve">÷ (</t>
    </r>
    <r>
      <rPr>
        <i val="true"/>
        <sz val="9"/>
        <color rgb="FF595959"/>
        <rFont val="Noto Sans CJK SC"/>
        <family val="2"/>
      </rPr>
      <t xml:space="preserve">再生 </t>
    </r>
    <r>
      <rPr>
        <i val="true"/>
        <sz val="9"/>
        <color rgb="FF595959"/>
        <rFont val="Arial"/>
        <family val="0"/>
        <charset val="1"/>
      </rPr>
      <t xml:space="preserve">÷ 1000)</t>
    </r>
  </si>
  <si>
    <t xml:space="preserve">チャンネル</t>
  </si>
  <si>
    <t xml:space="preserve">本数</t>
  </si>
  <si>
    <t xml:space="preserve">総再生</t>
  </si>
  <si>
    <t xml:space="preserve">総登録</t>
  </si>
  <si>
    <r>
      <rPr>
        <b val="true"/>
        <sz val="11"/>
        <color rgb="FFFFFFFF"/>
        <rFont val="Noto Sans CJK SC"/>
        <family val="2"/>
      </rPr>
      <t xml:space="preserve">登録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千再生</t>
    </r>
  </si>
  <si>
    <r>
      <rPr>
        <b val="true"/>
        <sz val="11"/>
        <color rgb="FFFFFFFF"/>
        <rFont val="Noto Sans CJK SC"/>
        <family val="2"/>
      </rPr>
      <t xml:space="preserve">平均維持率</t>
    </r>
    <r>
      <rPr>
        <b val="true"/>
        <sz val="11"/>
        <color rgb="FFFFFFFF"/>
        <rFont val="Arial"/>
        <family val="0"/>
        <charset val="1"/>
      </rPr>
      <t xml:space="preserve">%</t>
    </r>
  </si>
  <si>
    <r>
      <rPr>
        <b val="true"/>
        <sz val="11"/>
        <color rgb="FFFFFFFF"/>
        <rFont val="Noto Sans CJK SC"/>
        <family val="2"/>
      </rPr>
      <t xml:space="preserve">高評価率</t>
    </r>
    <r>
      <rPr>
        <b val="true"/>
        <sz val="11"/>
        <color rgb="FFFFFFFF"/>
        <rFont val="Arial"/>
        <family val="0"/>
        <charset val="1"/>
      </rPr>
      <t xml:space="preserve">%</t>
    </r>
  </si>
  <si>
    <t xml:space="preserve">コメント</t>
  </si>
  <si>
    <t xml:space="preserve">公開状況</t>
  </si>
  <si>
    <t xml:space="preserve">評価</t>
  </si>
  <si>
    <t xml:space="preserve">scp-lab</t>
  </si>
  <si>
    <r>
      <rPr>
        <sz val="11"/>
        <rFont val="Noto Sans CJK SC"/>
        <family val="2"/>
      </rPr>
      <t xml:space="preserve">稼働中（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枠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日）</t>
    </r>
  </si>
  <si>
    <r>
      <rPr>
        <sz val="11"/>
        <rFont val="Noto Sans CJK SC"/>
        <family val="2"/>
      </rPr>
      <t xml:space="preserve">本数・転換とも安定。「理由」「なぜ」が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倍超。</t>
    </r>
  </si>
  <si>
    <t xml:space="preserve">company-facts</t>
  </si>
  <si>
    <r>
      <rPr>
        <sz val="11"/>
        <rFont val="Noto Sans CJK SC"/>
        <family val="2"/>
      </rPr>
      <t xml:space="preserve">稼働中（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枠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日）</t>
    </r>
  </si>
  <si>
    <t xml:space="preserve">最多投稿だが転換は下位。「実態」を「実は」へ替えるのが最大の改善余地。</t>
  </si>
  <si>
    <t xml:space="preserve">daily-science</t>
  </si>
  <si>
    <r>
      <rPr>
        <sz val="11"/>
        <rFont val="Noto Sans CJK SC"/>
        <family val="2"/>
      </rPr>
      <t xml:space="preserve">「なぜ〜？」の短い疑問形が </t>
    </r>
    <r>
      <rPr>
        <sz val="11"/>
        <rFont val="Arial"/>
        <family val="0"/>
        <charset val="1"/>
      </rPr>
      <t xml:space="preserve">2.4</t>
    </r>
    <r>
      <rPr>
        <sz val="11"/>
        <rFont val="Noto Sans CJK SC"/>
        <family val="2"/>
      </rPr>
      <t xml:space="preserve">倍。長い「なぜ〜のか」型は逆効果。</t>
    </r>
  </si>
  <si>
    <t xml:space="preserve">yokai-watch</t>
  </si>
  <si>
    <r>
      <rPr>
        <sz val="11"/>
        <rFont val="Noto Sans CJK SC"/>
        <family val="2"/>
      </rPr>
      <t xml:space="preserve">登録転換が最良。「なぜ」型が </t>
    </r>
    <r>
      <rPr>
        <sz val="11"/>
        <rFont val="Arial"/>
        <family val="0"/>
        <charset val="1"/>
      </rPr>
      <t xml:space="preserve">3.99</t>
    </r>
    <r>
      <rPr>
        <sz val="11"/>
        <rFont val="Noto Sans CJK SC"/>
        <family val="2"/>
      </rPr>
      <t xml:space="preserve">倍。ただし維持率データが</t>
    </r>
    <r>
      <rPr>
        <sz val="11"/>
        <rFont val="Arial"/>
        <family val="0"/>
        <charset val="1"/>
      </rPr>
      <t xml:space="preserve">0</t>
    </r>
    <r>
      <rPr>
        <sz val="11"/>
        <rFont val="Noto Sans CJK SC"/>
        <family val="2"/>
      </rPr>
      <t xml:space="preserve">本で検証できない。</t>
    </r>
  </si>
  <si>
    <t xml:space="preserve">2ch-matome</t>
  </si>
  <si>
    <t xml:space="preserve">★停止中（バグ・要再起動）</t>
  </si>
  <si>
    <r>
      <rPr>
        <sz val="11"/>
        <rFont val="Noto Sans CJK SC"/>
        <family val="2"/>
      </rPr>
      <t xml:space="preserve">転換 </t>
    </r>
    <r>
      <rPr>
        <sz val="11"/>
        <rFont val="Arial"/>
        <family val="0"/>
        <charset val="1"/>
      </rPr>
      <t xml:space="preserve">0.108 </t>
    </r>
    <r>
      <rPr>
        <sz val="11"/>
        <rFont val="Noto Sans CJK SC"/>
        <family val="2"/>
      </rPr>
      <t xml:space="preserve">で最下位だが、主因は公開が止まっていること。型の問題ではない。</t>
    </r>
  </si>
  <si>
    <r>
      <rPr>
        <b val="true"/>
        <sz val="11"/>
        <rFont val="Noto Sans CJK SC"/>
        <family val="2"/>
      </rPr>
      <t xml:space="preserve">合計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加重平均</t>
    </r>
  </si>
  <si>
    <r>
      <rPr>
        <i val="true"/>
        <sz val="9"/>
        <color rgb="FF595959"/>
        <rFont val="Arial"/>
        <family val="0"/>
        <charset val="1"/>
      </rPr>
      <t xml:space="preserve">※ 2ch-matome </t>
    </r>
    <r>
      <rPr>
        <i val="true"/>
        <sz val="9"/>
        <color rgb="FF595959"/>
        <rFont val="Noto Sans CJK SC"/>
        <family val="2"/>
      </rPr>
      <t xml:space="preserve">の低さは「公開が止まっている」ことの結果であり、タイトル型やテーマの問題と混同しないこと。</t>
    </r>
  </si>
  <si>
    <r>
      <rPr>
        <b val="true"/>
        <sz val="14"/>
        <color rgb="FF1F3864"/>
        <rFont val="Noto Sans CJK SC"/>
        <family val="2"/>
      </rPr>
      <t xml:space="preserve">動画別パフォーマンス（成熟コーパス 上位</t>
    </r>
    <r>
      <rPr>
        <b val="true"/>
        <sz val="14"/>
        <color rgb="FF1F3864"/>
        <rFont val="Arial"/>
        <family val="0"/>
        <charset val="1"/>
      </rPr>
      <t xml:space="preserve">30</t>
    </r>
    <r>
      <rPr>
        <b val="true"/>
        <sz val="14"/>
        <color rgb="FF1F3864"/>
        <rFont val="Noto Sans CJK SC"/>
        <family val="2"/>
      </rPr>
      <t xml:space="preserve">本 </t>
    </r>
    <r>
      <rPr>
        <b val="true"/>
        <sz val="14"/>
        <color rgb="FF1F3864"/>
        <rFont val="Arial"/>
        <family val="0"/>
        <charset val="1"/>
      </rPr>
      <t xml:space="preserve">/ </t>
    </r>
    <r>
      <rPr>
        <b val="true"/>
        <sz val="14"/>
        <color rgb="FF1F3864"/>
        <rFont val="Noto Sans CJK SC"/>
        <family val="2"/>
      </rPr>
      <t xml:space="preserve">下位</t>
    </r>
    <r>
      <rPr>
        <b val="true"/>
        <sz val="14"/>
        <color rgb="FF1F3864"/>
        <rFont val="Arial"/>
        <family val="0"/>
        <charset val="1"/>
      </rPr>
      <t xml:space="preserve">10</t>
    </r>
    <r>
      <rPr>
        <b val="true"/>
        <sz val="14"/>
        <color rgb="FF1F3864"/>
        <rFont val="Noto Sans CJK SC"/>
        <family val="2"/>
      </rPr>
      <t xml:space="preserve">本）</t>
    </r>
  </si>
  <si>
    <r>
      <rPr>
        <i val="true"/>
        <sz val="9"/>
        <color rgb="FF595959"/>
        <rFont val="Arial"/>
        <family val="0"/>
        <charset val="1"/>
      </rPr>
      <t xml:space="preserve">300</t>
    </r>
    <r>
      <rPr>
        <i val="true"/>
        <sz val="9"/>
        <color rgb="FF595959"/>
        <rFont val="Noto Sans CJK SC"/>
        <family val="2"/>
      </rPr>
      <t xml:space="preserve">再生以上・公開後</t>
    </r>
    <r>
      <rPr>
        <i val="true"/>
        <sz val="9"/>
        <color rgb="FF595959"/>
        <rFont val="Arial"/>
        <family val="0"/>
        <charset val="1"/>
      </rPr>
      <t xml:space="preserve">5</t>
    </r>
    <r>
      <rPr>
        <i val="true"/>
        <sz val="9"/>
        <color rgb="FF595959"/>
        <rFont val="Noto Sans CJK SC"/>
        <family val="2"/>
      </rPr>
      <t xml:space="preserve">日以上経過した本のみ。直近公開分はデータが未成熟のため除外している。</t>
    </r>
  </si>
  <si>
    <t xml:space="preserve">順位</t>
  </si>
  <si>
    <t xml:space="preserve">タイトル</t>
  </si>
  <si>
    <t xml:space="preserve">公開日</t>
  </si>
  <si>
    <t xml:space="preserve">再生</t>
  </si>
  <si>
    <t xml:space="preserve">登録</t>
  </si>
  <si>
    <r>
      <rPr>
        <b val="true"/>
        <sz val="11"/>
        <color rgb="FFFFFFFF"/>
        <rFont val="Noto Sans CJK SC"/>
        <family val="2"/>
      </rPr>
      <t xml:space="preserve">維持率</t>
    </r>
    <r>
      <rPr>
        <b val="true"/>
        <sz val="11"/>
        <color rgb="FFFFFFFF"/>
        <rFont val="Arial"/>
        <family val="0"/>
        <charset val="1"/>
      </rPr>
      <t xml:space="preserve">%</t>
    </r>
  </si>
  <si>
    <r>
      <rPr>
        <sz val="11"/>
        <rFont val="Noto Sans CJK SC"/>
        <family val="2"/>
      </rPr>
      <t xml:space="preserve">実は完治後に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人が戻れなかった本当の理由とは？【ショート】</t>
    </r>
  </si>
  <si>
    <t xml:space="preserve">2026-08-22</t>
  </si>
  <si>
    <r>
      <rPr>
        <sz val="11"/>
        <rFont val="Arial"/>
        <family val="0"/>
        <charset val="1"/>
      </rPr>
      <t xml:space="preserve">SCP-7241 </t>
    </r>
    <r>
      <rPr>
        <sz val="11"/>
        <rFont val="Noto Sans CJK SC"/>
        <family val="2"/>
      </rPr>
      <t xml:space="preserve">収容違反記録から毎回消える頁 </t>
    </r>
    <r>
      <rPr>
        <sz val="11"/>
        <rFont val="Arial"/>
        <family val="0"/>
        <charset val="1"/>
      </rPr>
      <t xml:space="preserve">#shorts #SCP #SCP</t>
    </r>
    <r>
      <rPr>
        <sz val="11"/>
        <rFont val="Noto Sans CJK SC"/>
        <family val="2"/>
      </rPr>
      <t xml:space="preserve">解説</t>
    </r>
  </si>
  <si>
    <r>
      <rPr>
        <sz val="11"/>
        <rFont val="Noto Sans CJK SC"/>
        <family val="2"/>
      </rPr>
      <t xml:space="preserve">なぜ座ると腰だけ痛い？圧力</t>
    </r>
    <r>
      <rPr>
        <sz val="11"/>
        <rFont val="Arial"/>
        <family val="0"/>
        <charset val="1"/>
      </rPr>
      <t xml:space="preserve">1.4</t>
    </r>
    <r>
      <rPr>
        <sz val="11"/>
        <rFont val="Noto Sans CJK SC"/>
        <family val="2"/>
      </rPr>
      <t xml:space="preserve">倍【ショート】</t>
    </r>
  </si>
  <si>
    <t xml:space="preserve">2026-08-31</t>
  </si>
  <si>
    <r>
      <rPr>
        <sz val="11"/>
        <rFont val="Noto Sans CJK SC"/>
        <family val="2"/>
      </rPr>
      <t xml:space="preserve">疲れた日の甘い物がすぐ消えるのはなぜ？ </t>
    </r>
    <r>
      <rPr>
        <sz val="11"/>
        <rFont val="Arial"/>
        <family val="0"/>
        <charset val="1"/>
      </rPr>
      <t xml:space="preserve">#shorts #</t>
    </r>
    <r>
      <rPr>
        <sz val="11"/>
        <rFont val="Noto Sans CJK SC"/>
        <family val="2"/>
      </rPr>
      <t xml:space="preserve">雑学 </t>
    </r>
    <r>
      <rPr>
        <sz val="11"/>
        <rFont val="Arial"/>
        <family val="0"/>
        <charset val="1"/>
      </rPr>
      <t xml:space="preserve">#</t>
    </r>
    <r>
      <rPr>
        <sz val="11"/>
        <rFont val="Noto Sans CJK SC"/>
        <family val="2"/>
      </rPr>
      <t xml:space="preserve">豆知識</t>
    </r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</si>
  <si>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分妖怪ファイル </t>
    </r>
    <r>
      <rPr>
        <sz val="11"/>
        <rFont val="Arial"/>
        <family val="0"/>
        <charset val="1"/>
      </rPr>
      <t xml:space="preserve">#20</t>
    </r>
    <r>
      <rPr>
        <sz val="11"/>
        <rFont val="Noto Sans CJK SC"/>
        <family val="2"/>
      </rPr>
      <t xml:space="preserve">：🔍スネイキーに隠された秘密、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段階進化の元ネタは蛇神だった？👁️【ショート】</t>
    </r>
  </si>
  <si>
    <t xml:space="preserve">2026-08-30</t>
  </si>
  <si>
    <r>
      <rPr>
        <sz val="11"/>
        <rFont val="Noto Sans CJK SC"/>
        <family val="2"/>
      </rPr>
      <t xml:space="preserve">犬神憑きはなぜ家系ごと記録されたのか 恒一 </t>
    </r>
    <r>
      <rPr>
        <sz val="11"/>
        <rFont val="Arial"/>
        <family val="0"/>
        <charset val="1"/>
      </rPr>
      <t xml:space="preserve">#shorts #</t>
    </r>
    <r>
      <rPr>
        <sz val="11"/>
        <rFont val="Noto Sans CJK SC"/>
        <family val="2"/>
      </rPr>
      <t xml:space="preserve">妖怪 </t>
    </r>
    <r>
      <rPr>
        <sz val="11"/>
        <rFont val="Arial"/>
        <family val="0"/>
        <charset val="1"/>
      </rPr>
      <t xml:space="preserve">#</t>
    </r>
    <r>
      <rPr>
        <sz val="11"/>
        <rFont val="Noto Sans CJK SC"/>
        <family val="2"/>
      </rPr>
      <t xml:space="preserve">都市伝説</t>
    </r>
  </si>
  <si>
    <r>
      <rPr>
        <sz val="11"/>
        <rFont val="Noto Sans CJK SC"/>
        <family val="2"/>
      </rPr>
      <t xml:space="preserve">人面犬の噂が昭和の学校で生まれた土壌とは… </t>
    </r>
    <r>
      <rPr>
        <sz val="11"/>
        <rFont val="Arial"/>
        <family val="0"/>
        <charset val="1"/>
      </rPr>
      <t xml:space="preserve">#shorts #</t>
    </r>
    <r>
      <rPr>
        <sz val="11"/>
        <rFont val="Noto Sans CJK SC"/>
        <family val="2"/>
      </rPr>
      <t xml:space="preserve">妖怪 </t>
    </r>
    <r>
      <rPr>
        <sz val="11"/>
        <rFont val="Arial"/>
        <family val="0"/>
        <charset val="1"/>
      </rPr>
      <t xml:space="preserve">#</t>
    </r>
    <r>
      <rPr>
        <sz val="11"/>
        <rFont val="Noto Sans CJK SC"/>
        <family val="2"/>
      </rPr>
      <t xml:space="preserve">都市伝説</t>
    </r>
  </si>
  <si>
    <r>
      <rPr>
        <sz val="11"/>
        <rFont val="Noto Sans CJK SC"/>
        <family val="2"/>
      </rPr>
      <t xml:space="preserve">なぜ調査員は</t>
    </r>
    <r>
      <rPr>
        <sz val="11"/>
        <rFont val="Arial"/>
        <family val="0"/>
        <charset val="1"/>
      </rPr>
      <t xml:space="preserve">SCP-1283-JP</t>
    </r>
    <r>
      <rPr>
        <sz val="11"/>
        <rFont val="Noto Sans CJK SC"/>
        <family val="2"/>
      </rPr>
      <t xml:space="preserve">の踏切のむこうで消えたのか？【ショート】</t>
    </r>
  </si>
  <si>
    <t xml:space="preserve">2026-08-26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</si>
  <si>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分科学 </t>
    </r>
    <r>
      <rPr>
        <sz val="11"/>
        <rFont val="Arial"/>
        <family val="0"/>
        <charset val="1"/>
      </rPr>
      <t xml:space="preserve">#99</t>
    </r>
    <r>
      <rPr>
        <sz val="11"/>
        <rFont val="Noto Sans CJK SC"/>
        <family val="2"/>
      </rPr>
      <t xml:space="preserve">：🧪なぜ濡れた紙は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倍も破れやすい？あなたが毎日触る繊維の正体【ショート】</t>
    </r>
  </si>
  <si>
    <t xml:space="preserve">2026-08-28</t>
  </si>
  <si>
    <r>
      <rPr>
        <sz val="11"/>
        <rFont val="Noto Sans CJK SC"/>
        <family val="2"/>
      </rPr>
      <t xml:space="preserve">実はマックに神メニュー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品が決まらない本当の理由とは？ </t>
    </r>
    <r>
      <rPr>
        <sz val="11"/>
        <rFont val="Arial"/>
        <family val="0"/>
        <charset val="1"/>
      </rPr>
      <t xml:space="preserve">#shorts #2ch #</t>
    </r>
    <r>
      <rPr>
        <sz val="11"/>
        <rFont val="Noto Sans CJK SC"/>
        <family val="2"/>
      </rPr>
      <t xml:space="preserve">面白いスレ</t>
    </r>
  </si>
  <si>
    <r>
      <rPr>
        <sz val="11"/>
        <rFont val="Arial"/>
        <family val="0"/>
        <charset val="1"/>
      </rPr>
      <t xml:space="preserve">SCP</t>
    </r>
    <r>
      <rPr>
        <sz val="11"/>
        <rFont val="Noto Sans CJK SC"/>
        <family val="2"/>
      </rPr>
      <t xml:space="preserve">の最後の一行だけが隔離対象になった理由 </t>
    </r>
    <r>
      <rPr>
        <sz val="11"/>
        <rFont val="Arial"/>
        <family val="0"/>
        <charset val="1"/>
      </rPr>
      <t xml:space="preserve">#shorts #SCP #SCP</t>
    </r>
    <r>
      <rPr>
        <sz val="11"/>
        <rFont val="Noto Sans CJK SC"/>
        <family val="2"/>
      </rPr>
      <t xml:space="preserve">解説</t>
    </r>
  </si>
  <si>
    <r>
      <rPr>
        <sz val="11"/>
        <rFont val="Arial"/>
        <family val="0"/>
        <charset val="1"/>
      </rPr>
      <t xml:space="preserve">SCP-096</t>
    </r>
    <r>
      <rPr>
        <sz val="11"/>
        <rFont val="Noto Sans CJK SC"/>
        <family val="2"/>
      </rPr>
      <t xml:space="preserve">の顔を見た者に起きた記録消失の真相 </t>
    </r>
    <r>
      <rPr>
        <sz val="11"/>
        <rFont val="Arial"/>
        <family val="0"/>
        <charset val="1"/>
      </rPr>
      <t xml:space="preserve">#shorts #SCP #SCP</t>
    </r>
    <r>
      <rPr>
        <sz val="11"/>
        <rFont val="Noto Sans CJK SC"/>
        <family val="2"/>
      </rPr>
      <t xml:space="preserve">解説</t>
    </r>
  </si>
  <si>
    <r>
      <rPr>
        <sz val="11"/>
        <rFont val="Noto Sans CJK SC"/>
        <family val="2"/>
      </rPr>
      <t xml:space="preserve">なぜ冷たい水だけ歯にしみる？歯の中で起きる変化 </t>
    </r>
    <r>
      <rPr>
        <sz val="11"/>
        <rFont val="Arial"/>
        <family val="0"/>
        <charset val="1"/>
      </rPr>
      <t xml:space="preserve">#shorts #</t>
    </r>
    <r>
      <rPr>
        <sz val="11"/>
        <rFont val="Noto Sans CJK SC"/>
        <family val="2"/>
      </rPr>
      <t xml:space="preserve">雑学 </t>
    </r>
    <r>
      <rPr>
        <sz val="11"/>
        <rFont val="Arial"/>
        <family val="0"/>
        <charset val="1"/>
      </rPr>
      <t xml:space="preserve">#</t>
    </r>
    <r>
      <rPr>
        <sz val="11"/>
        <rFont val="Noto Sans CJK SC"/>
        <family val="2"/>
      </rPr>
      <t xml:space="preserve">豆知識</t>
    </r>
  </si>
  <si>
    <r>
      <rPr>
        <sz val="11"/>
        <rFont val="Arial"/>
        <family val="0"/>
        <charset val="1"/>
      </rPr>
      <t xml:space="preserve">SCP-4335</t>
    </r>
    <r>
      <rPr>
        <sz val="11"/>
        <rFont val="Noto Sans CJK SC"/>
        <family val="2"/>
      </rPr>
      <t xml:space="preserve">を見た海域で、なぜ観測記録が途絶えたのか？【ショート】</t>
    </r>
  </si>
  <si>
    <r>
      <rPr>
        <sz val="11"/>
        <rFont val="Noto Sans CJK SC"/>
        <family val="2"/>
      </rPr>
      <t xml:space="preserve">じんめん犬はなぜ笑い話になった？消えた恐怖の噂 </t>
    </r>
    <r>
      <rPr>
        <sz val="11"/>
        <rFont val="Arial"/>
        <family val="0"/>
        <charset val="1"/>
      </rPr>
      <t xml:space="preserve">#shorts #</t>
    </r>
    <r>
      <rPr>
        <sz val="11"/>
        <rFont val="Noto Sans CJK SC"/>
        <family val="2"/>
      </rPr>
      <t xml:space="preserve">妖怪 </t>
    </r>
    <r>
      <rPr>
        <sz val="11"/>
        <rFont val="Arial"/>
        <family val="0"/>
        <charset val="1"/>
      </rPr>
      <t xml:space="preserve">#</t>
    </r>
    <r>
      <rPr>
        <sz val="11"/>
        <rFont val="Noto Sans CJK SC"/>
        <family val="2"/>
      </rPr>
      <t xml:space="preserve">都市伝説</t>
    </r>
  </si>
  <si>
    <r>
      <rPr>
        <sz val="11"/>
        <rFont val="Arial"/>
        <family val="0"/>
        <charset val="1"/>
      </rPr>
      <t xml:space="preserve">Netflix</t>
    </r>
    <r>
      <rPr>
        <sz val="11"/>
        <rFont val="Noto Sans CJK SC"/>
        <family val="2"/>
      </rPr>
      <t xml:space="preserve">の月額</t>
    </r>
    <r>
      <rPr>
        <sz val="11"/>
        <rFont val="Arial"/>
        <family val="0"/>
        <charset val="1"/>
      </rPr>
      <t xml:space="preserve">1,590</t>
    </r>
    <r>
      <rPr>
        <sz val="11"/>
        <rFont val="Noto Sans CJK SC"/>
        <family val="2"/>
      </rPr>
      <t xml:space="preserve">円、本当はどこに消える？【ショート】</t>
    </r>
  </si>
  <si>
    <r>
      <rPr>
        <sz val="11"/>
        <rFont val="Noto Sans CJK SC"/>
        <family val="2"/>
      </rPr>
      <t xml:space="preserve">キュウビが日本へ渡った理由、知ってる？ </t>
    </r>
    <r>
      <rPr>
        <sz val="11"/>
        <rFont val="Arial"/>
        <family val="0"/>
        <charset val="1"/>
      </rPr>
      <t xml:space="preserve">#shorts #</t>
    </r>
    <r>
      <rPr>
        <sz val="11"/>
        <rFont val="Noto Sans CJK SC"/>
        <family val="2"/>
      </rPr>
      <t xml:space="preserve">妖怪 </t>
    </r>
    <r>
      <rPr>
        <sz val="11"/>
        <rFont val="Arial"/>
        <family val="0"/>
        <charset val="1"/>
      </rPr>
      <t xml:space="preserve">#</t>
    </r>
    <r>
      <rPr>
        <sz val="11"/>
        <rFont val="Noto Sans CJK SC"/>
        <family val="2"/>
      </rPr>
      <t xml:space="preserve">都市伝説</t>
    </r>
  </si>
  <si>
    <r>
      <rPr>
        <sz val="11"/>
        <rFont val="Arial"/>
        <family val="0"/>
        <charset val="1"/>
      </rPr>
      <t xml:space="preserve">SCP-5800 </t>
    </r>
    <r>
      <rPr>
        <sz val="11"/>
        <rFont val="Noto Sans CJK SC"/>
        <family val="2"/>
      </rPr>
      <t xml:space="preserve">職員証だけが戻った未解決ファイル </t>
    </r>
    <r>
      <rPr>
        <sz val="11"/>
        <rFont val="Arial"/>
        <family val="0"/>
        <charset val="1"/>
      </rPr>
      <t xml:space="preserve">#shorts #SCP #SCP</t>
    </r>
    <r>
      <rPr>
        <sz val="11"/>
        <rFont val="Noto Sans CJK SC"/>
        <family val="2"/>
      </rPr>
      <t xml:space="preserve">解説</t>
    </r>
  </si>
  <si>
    <r>
      <rPr>
        <sz val="11"/>
        <rFont val="Arial"/>
        <family val="0"/>
        <charset val="1"/>
      </rPr>
      <t xml:space="preserve">SCP-6121 </t>
    </r>
    <r>
      <rPr>
        <sz val="11"/>
        <rFont val="Noto Sans CJK SC"/>
        <family val="2"/>
      </rPr>
      <t xml:space="preserve">毎晩</t>
    </r>
    <r>
      <rPr>
        <sz val="11"/>
        <rFont val="Arial"/>
        <family val="0"/>
        <charset val="1"/>
      </rPr>
      <t xml:space="preserve">1cm</t>
    </r>
    <r>
      <rPr>
        <sz val="11"/>
        <rFont val="Noto Sans CJK SC"/>
        <family val="2"/>
      </rPr>
      <t xml:space="preserve">動く椅子、</t>
    </r>
    <r>
      <rPr>
        <sz val="11"/>
        <rFont val="Arial"/>
        <family val="0"/>
        <charset val="1"/>
      </rPr>
      <t xml:space="preserve">14</t>
    </r>
    <r>
      <rPr>
        <sz val="11"/>
        <rFont val="Noto Sans CJK SC"/>
        <family val="2"/>
      </rPr>
      <t xml:space="preserve">日目に起きた異変 </t>
    </r>
    <r>
      <rPr>
        <sz val="11"/>
        <rFont val="Arial"/>
        <family val="0"/>
        <charset val="1"/>
      </rPr>
      <t xml:space="preserve">#shorts #SCP #SCP</t>
    </r>
    <r>
      <rPr>
        <sz val="11"/>
        <rFont val="Noto Sans CJK SC"/>
        <family val="2"/>
      </rPr>
      <t xml:space="preserve">解説</t>
    </r>
  </si>
  <si>
    <r>
      <rPr>
        <sz val="11"/>
        <rFont val="Noto Sans CJK SC"/>
        <family val="2"/>
      </rPr>
      <t xml:space="preserve">なぜ寒さで顎が先に震える？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秒の正体 </t>
    </r>
    <r>
      <rPr>
        <sz val="11"/>
        <rFont val="Arial"/>
        <family val="0"/>
        <charset val="1"/>
      </rPr>
      <t xml:space="preserve">#shorts #</t>
    </r>
    <r>
      <rPr>
        <sz val="11"/>
        <rFont val="Noto Sans CJK SC"/>
        <family val="2"/>
      </rPr>
      <t xml:space="preserve">雑学 </t>
    </r>
    <r>
      <rPr>
        <sz val="11"/>
        <rFont val="Arial"/>
        <family val="0"/>
        <charset val="1"/>
      </rPr>
      <t xml:space="preserve">#</t>
    </r>
    <r>
      <rPr>
        <sz val="11"/>
        <rFont val="Noto Sans CJK SC"/>
        <family val="2"/>
      </rPr>
      <t xml:space="preserve">豆知識</t>
    </r>
  </si>
  <si>
    <t xml:space="preserve">花子さんの正体 — なぜ学校のトイレで「三番目」なのか【ショート】</t>
  </si>
  <si>
    <t xml:space="preserve">2026-08-15</t>
  </si>
  <si>
    <r>
      <rPr>
        <sz val="11"/>
        <rFont val="Arial"/>
        <family val="0"/>
        <charset val="1"/>
      </rPr>
      <t xml:space="preserve">Apple</t>
    </r>
    <r>
      <rPr>
        <sz val="11"/>
        <rFont val="Noto Sans CJK SC"/>
        <family val="2"/>
      </rPr>
      <t xml:space="preserve">の本当は年収約</t>
    </r>
    <r>
      <rPr>
        <sz val="11"/>
        <rFont val="Arial"/>
        <family val="0"/>
        <charset val="1"/>
      </rPr>
      <t xml:space="preserve">3,800</t>
    </r>
    <r>
      <rPr>
        <sz val="11"/>
        <rFont val="Noto Sans CJK SC"/>
        <family val="2"/>
      </rPr>
      <t xml:space="preserve">万円、新製品発表の裏側 </t>
    </r>
    <r>
      <rPr>
        <sz val="11"/>
        <rFont val="Arial"/>
        <family val="0"/>
        <charset val="1"/>
      </rPr>
      <t xml:space="preserve">#shorts #</t>
    </r>
    <r>
      <rPr>
        <sz val="11"/>
        <rFont val="Noto Sans CJK SC"/>
        <family val="2"/>
      </rPr>
      <t xml:space="preserve">企業分析 </t>
    </r>
    <r>
      <rPr>
        <sz val="11"/>
        <rFont val="Arial"/>
        <family val="0"/>
        <charset val="1"/>
      </rPr>
      <t xml:space="preserve">#</t>
    </r>
    <r>
      <rPr>
        <sz val="11"/>
        <rFont val="Noto Sans CJK SC"/>
        <family val="2"/>
      </rPr>
      <t xml:space="preserve">年収 </t>
    </r>
    <r>
      <rPr>
        <sz val="11"/>
        <rFont val="Arial"/>
        <family val="0"/>
        <charset val="1"/>
      </rPr>
      <t xml:space="preserve">#</t>
    </r>
    <r>
      <rPr>
        <sz val="11"/>
        <rFont val="Noto Sans CJK SC"/>
        <family val="2"/>
      </rPr>
      <t xml:space="preserve">転職</t>
    </r>
  </si>
  <si>
    <r>
      <rPr>
        <sz val="11"/>
        <rFont val="Arial"/>
        <family val="0"/>
        <charset val="1"/>
      </rPr>
      <t xml:space="preserve">SCP-1987 </t>
    </r>
    <r>
      <rPr>
        <sz val="11"/>
        <rFont val="Noto Sans CJK SC"/>
        <family val="2"/>
      </rPr>
      <t xml:space="preserve">なぜ</t>
    </r>
    <r>
      <rPr>
        <sz val="11"/>
        <rFont val="Arial"/>
        <family val="0"/>
        <charset val="1"/>
      </rPr>
      <t xml:space="preserve">24</t>
    </r>
    <r>
      <rPr>
        <sz val="11"/>
        <rFont val="Noto Sans CJK SC"/>
        <family val="2"/>
      </rPr>
      <t xml:space="preserve">時間ごとに被害が増える？【ショート】</t>
    </r>
  </si>
  <si>
    <t xml:space="preserve">2026-09-01</t>
  </si>
  <si>
    <r>
      <rPr>
        <sz val="11"/>
        <rFont val="Noto Sans CJK SC"/>
        <family val="2"/>
      </rPr>
      <t xml:space="preserve">💸トヨタ自動車の年収</t>
    </r>
    <r>
      <rPr>
        <sz val="11"/>
        <rFont val="Arial"/>
        <family val="0"/>
        <charset val="1"/>
      </rPr>
      <t xml:space="preserve">982</t>
    </r>
    <r>
      <rPr>
        <sz val="11"/>
        <rFont val="Noto Sans CJK SC"/>
        <family val="2"/>
      </rPr>
      <t xml:space="preserve">万円、実は手当の中身が違う【ショート】</t>
    </r>
  </si>
  <si>
    <r>
      <rPr>
        <sz val="11"/>
        <rFont val="Noto Sans CJK SC"/>
        <family val="2"/>
      </rPr>
      <t xml:space="preserve">触れた全員が笑う粘体、なぜ</t>
    </r>
    <r>
      <rPr>
        <sz val="11"/>
        <rFont val="Arial"/>
        <family val="0"/>
        <charset val="1"/>
      </rPr>
      <t xml:space="preserve">Safe</t>
    </r>
    <r>
      <rPr>
        <sz val="11"/>
        <rFont val="Noto Sans CJK SC"/>
        <family val="2"/>
      </rPr>
      <t xml:space="preserve">なのか？【ショート】</t>
    </r>
  </si>
  <si>
    <t xml:space="preserve">2026-08-19</t>
  </si>
  <si>
    <r>
      <rPr>
        <sz val="11"/>
        <rFont val="Noto Sans CJK SC"/>
        <family val="2"/>
      </rPr>
      <t xml:space="preserve">📉大谷翔平の年収が実は約</t>
    </r>
    <r>
      <rPr>
        <sz val="11"/>
        <rFont val="Arial"/>
        <family val="0"/>
        <charset val="1"/>
      </rPr>
      <t xml:space="preserve">160</t>
    </r>
    <r>
      <rPr>
        <sz val="11"/>
        <rFont val="Noto Sans CJK SC"/>
        <family val="2"/>
      </rPr>
      <t xml:space="preserve">億円？スポンサー契約の裏側📉【ショート】</t>
    </r>
  </si>
  <si>
    <t xml:space="preserve">2026-08-27</t>
  </si>
  <si>
    <r>
      <rPr>
        <sz val="11"/>
        <rFont val="Noto Sans CJK SC"/>
        <family val="2"/>
      </rPr>
      <t xml:space="preserve">覚の元ネタが怖すぎる…心を先回りする山の怪物 </t>
    </r>
    <r>
      <rPr>
        <sz val="11"/>
        <rFont val="Arial"/>
        <family val="0"/>
        <charset val="1"/>
      </rPr>
      <t xml:space="preserve">#shorts #</t>
    </r>
    <r>
      <rPr>
        <sz val="11"/>
        <rFont val="Noto Sans CJK SC"/>
        <family val="2"/>
      </rPr>
      <t xml:space="preserve">妖怪 </t>
    </r>
    <r>
      <rPr>
        <sz val="11"/>
        <rFont val="Arial"/>
        <family val="0"/>
        <charset val="1"/>
      </rPr>
      <t xml:space="preserve">#</t>
    </r>
    <r>
      <rPr>
        <sz val="11"/>
        <rFont val="Noto Sans CJK SC"/>
        <family val="2"/>
      </rPr>
      <t xml:space="preserve">都市伝説</t>
    </r>
  </si>
  <si>
    <r>
      <rPr>
        <sz val="11"/>
        <rFont val="Noto Sans CJK SC"/>
        <family val="2"/>
      </rPr>
      <t xml:space="preserve">ちいかわチョコサプ、なぜ中身が攻めすぎなのか？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秒予想してみたら草【ショート】</t>
    </r>
  </si>
  <si>
    <t xml:space="preserve">2026-08-20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</si>
  <si>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分科学 </t>
    </r>
    <r>
      <rPr>
        <sz val="11"/>
        <rFont val="Arial"/>
        <family val="0"/>
        <charset val="1"/>
      </rPr>
      <t xml:space="preserve">#97</t>
    </r>
    <r>
      <rPr>
        <sz val="11"/>
        <rFont val="Noto Sans CJK SC"/>
        <family val="2"/>
      </rPr>
      <t xml:space="preserve">：🧬なぜ大谷翔平は睡眠を最優先するのか？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時間超が支える体の正体【ショート】</t>
    </r>
  </si>
  <si>
    <r>
      <rPr>
        <sz val="11"/>
        <rFont val="Noto Sans CJK SC"/>
        <family val="2"/>
      </rPr>
      <t xml:space="preserve">なぜ狐は人を化かす妖怪にされたのか？江戸の記録に残る事情 </t>
    </r>
    <r>
      <rPr>
        <sz val="11"/>
        <rFont val="Arial"/>
        <family val="0"/>
        <charset val="1"/>
      </rPr>
      <t xml:space="preserve">#shorts #</t>
    </r>
    <r>
      <rPr>
        <sz val="11"/>
        <rFont val="Noto Sans CJK SC"/>
        <family val="2"/>
      </rPr>
      <t xml:space="preserve">妖怪 </t>
    </r>
    <r>
      <rPr>
        <sz val="11"/>
        <rFont val="Arial"/>
        <family val="0"/>
        <charset val="1"/>
      </rPr>
      <t xml:space="preserve">#</t>
    </r>
    <r>
      <rPr>
        <sz val="11"/>
        <rFont val="Noto Sans CJK SC"/>
        <family val="2"/>
      </rPr>
      <t xml:space="preserve">都市伝説</t>
    </r>
  </si>
  <si>
    <r>
      <rPr>
        <b val="true"/>
        <sz val="11"/>
        <rFont val="Noto Sans CJK SC"/>
        <family val="2"/>
      </rPr>
      <t xml:space="preserve">▼ 下位</t>
    </r>
    <r>
      <rPr>
        <b val="true"/>
        <sz val="11"/>
        <rFont val="Arial"/>
        <family val="0"/>
        <charset val="1"/>
      </rPr>
      <t xml:space="preserve">10</t>
    </r>
    <r>
      <rPr>
        <b val="true"/>
        <sz val="11"/>
        <rFont val="Noto Sans CJK SC"/>
        <family val="2"/>
      </rPr>
      <t xml:space="preserve">本（登録</t>
    </r>
    <r>
      <rPr>
        <b val="true"/>
        <sz val="11"/>
        <rFont val="Arial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人）</t>
    </r>
  </si>
  <si>
    <r>
      <rPr>
        <sz val="11"/>
        <rFont val="Noto Sans CJK SC"/>
        <family val="2"/>
      </rPr>
      <t xml:space="preserve">伊藤忠商事の年収</t>
    </r>
    <r>
      <rPr>
        <sz val="11"/>
        <rFont val="Arial"/>
        <family val="0"/>
        <charset val="1"/>
      </rPr>
      <t xml:space="preserve">850</t>
    </r>
    <r>
      <rPr>
        <sz val="11"/>
        <rFont val="Noto Sans CJK SC"/>
        <family val="2"/>
      </rPr>
      <t xml:space="preserve">万円がヤバい、離職率</t>
    </r>
    <r>
      <rPr>
        <sz val="11"/>
        <rFont val="Arial"/>
        <family val="0"/>
        <charset val="1"/>
      </rPr>
      <t xml:space="preserve">1%</t>
    </r>
    <r>
      <rPr>
        <sz val="11"/>
        <rFont val="Noto Sans CJK SC"/>
        <family val="2"/>
      </rPr>
      <t xml:space="preserve">台の実態【ショート】</t>
    </r>
  </si>
  <si>
    <t xml:space="preserve">2026-08-18</t>
  </si>
  <si>
    <r>
      <rPr>
        <sz val="11"/>
        <rFont val="Arial"/>
        <family val="0"/>
        <charset val="1"/>
      </rPr>
      <t xml:space="preserve">RTX5090</t>
    </r>
    <r>
      <rPr>
        <sz val="11"/>
        <rFont val="Noto Sans CJK SC"/>
        <family val="2"/>
      </rPr>
      <t xml:space="preserve">はで部屋の外から名前を呼ぶのか </t>
    </r>
    <r>
      <rPr>
        <sz val="11"/>
        <rFont val="Arial"/>
        <family val="0"/>
        <charset val="1"/>
      </rPr>
      <t xml:space="preserve">#shorts #SCP #SCP</t>
    </r>
    <r>
      <rPr>
        <sz val="11"/>
        <rFont val="Noto Sans CJK SC"/>
        <family val="2"/>
      </rPr>
      <t xml:space="preserve">解説</t>
    </r>
  </si>
  <si>
    <r>
      <rPr>
        <sz val="11"/>
        <rFont val="Noto Sans CJK SC"/>
        <family val="2"/>
      </rPr>
      <t xml:space="preserve">なぜあなたは階段で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段だけ外すのか？ </t>
    </r>
    <r>
      <rPr>
        <sz val="11"/>
        <rFont val="Arial"/>
        <family val="0"/>
        <charset val="1"/>
      </rPr>
      <t xml:space="preserve">#shorts #</t>
    </r>
    <r>
      <rPr>
        <sz val="11"/>
        <rFont val="Noto Sans CJK SC"/>
        <family val="2"/>
      </rPr>
      <t xml:space="preserve">雑学 </t>
    </r>
    <r>
      <rPr>
        <sz val="11"/>
        <rFont val="Arial"/>
        <family val="0"/>
        <charset val="1"/>
      </rPr>
      <t xml:space="preserve">#</t>
    </r>
    <r>
      <rPr>
        <sz val="11"/>
        <rFont val="Noto Sans CJK SC"/>
        <family val="2"/>
      </rPr>
      <t xml:space="preserve">豆知識</t>
    </r>
  </si>
  <si>
    <r>
      <rPr>
        <sz val="11"/>
        <rFont val="Noto Sans CJK SC"/>
        <family val="2"/>
      </rPr>
      <t xml:space="preserve">なぜ他人のあくびは約</t>
    </r>
    <r>
      <rPr>
        <sz val="11"/>
        <rFont val="Arial"/>
        <family val="0"/>
        <charset val="1"/>
      </rPr>
      <t xml:space="preserve">45</t>
    </r>
    <r>
      <rPr>
        <sz val="11"/>
        <rFont val="Noto Sans CJK SC"/>
        <family val="2"/>
      </rPr>
      <t xml:space="preserve">％もつられる？脳の反応を解説 </t>
    </r>
    <r>
      <rPr>
        <sz val="11"/>
        <rFont val="Arial"/>
        <family val="0"/>
        <charset val="1"/>
      </rPr>
      <t xml:space="preserve">#shorts #</t>
    </r>
    <r>
      <rPr>
        <sz val="11"/>
        <rFont val="Noto Sans CJK SC"/>
        <family val="2"/>
      </rPr>
      <t xml:space="preserve">雑学 </t>
    </r>
    <r>
      <rPr>
        <sz val="11"/>
        <rFont val="Arial"/>
        <family val="0"/>
        <charset val="1"/>
      </rPr>
      <t xml:space="preserve">#</t>
    </r>
    <r>
      <rPr>
        <sz val="11"/>
        <rFont val="Noto Sans CJK SC"/>
        <family val="2"/>
      </rPr>
      <t xml:space="preserve">豆知識</t>
    </r>
  </si>
  <si>
    <r>
      <rPr>
        <sz val="11"/>
        <rFont val="Noto Sans CJK SC"/>
        <family val="2"/>
      </rPr>
      <t xml:space="preserve">なぜ辛い物で汗が出るのか？実は</t>
    </r>
    <r>
      <rPr>
        <sz val="11"/>
        <rFont val="Arial"/>
        <family val="0"/>
        <charset val="1"/>
      </rPr>
      <t xml:space="preserve">9</t>
    </r>
    <r>
      <rPr>
        <sz val="11"/>
        <rFont val="Noto Sans CJK SC"/>
        <family val="2"/>
      </rPr>
      <t xml:space="preserve">割が勘違いする</t>
    </r>
    <r>
      <rPr>
        <sz val="11"/>
        <rFont val="Arial"/>
        <family val="0"/>
        <charset val="1"/>
      </rPr>
      <t xml:space="preserve">0.5</t>
    </r>
    <r>
      <rPr>
        <sz val="11"/>
        <rFont val="Noto Sans CJK SC"/>
        <family val="2"/>
      </rPr>
      <t xml:space="preserve">秒の温度反応【ショート】</t>
    </r>
  </si>
  <si>
    <t xml:space="preserve">2026-08-17</t>
  </si>
  <si>
    <r>
      <rPr>
        <sz val="11"/>
        <rFont val="Noto Sans CJK SC"/>
        <family val="2"/>
      </rPr>
      <t xml:space="preserve">💦ワイ、同棲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年目やけど質問ある？💦 </t>
    </r>
    <r>
      <rPr>
        <sz val="11"/>
        <rFont val="Arial"/>
        <family val="0"/>
        <charset val="1"/>
      </rPr>
      <t xml:space="preserve">#shorts #2ch #</t>
    </r>
    <r>
      <rPr>
        <sz val="11"/>
        <rFont val="Noto Sans CJK SC"/>
        <family val="2"/>
      </rPr>
      <t xml:space="preserve">面白いスレ</t>
    </r>
  </si>
  <si>
    <r>
      <rPr>
        <sz val="11"/>
        <rFont val="Noto Sans CJK SC"/>
        <family val="2"/>
      </rPr>
      <t xml:space="preserve">💦ワイ、夫が寝た後の秘密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つあげてけ</t>
    </r>
    <r>
      <rPr>
        <sz val="11"/>
        <rFont val="Arial"/>
        <family val="0"/>
        <charset val="1"/>
      </rPr>
      <t xml:space="preserve">w🤣</t>
    </r>
    <r>
      <rPr>
        <sz val="11"/>
        <rFont val="Noto Sans CJK SC"/>
        <family val="2"/>
      </rPr>
      <t xml:space="preserve">【ショート】</t>
    </r>
  </si>
  <si>
    <r>
      <rPr>
        <sz val="11"/>
        <rFont val="Noto Sans CJK SC"/>
        <family val="2"/>
      </rPr>
      <t xml:space="preserve">一口</t>
    </r>
    <r>
      <rPr>
        <sz val="11"/>
        <rFont val="Arial"/>
        <family val="0"/>
        <charset val="1"/>
      </rPr>
      <t xml:space="preserve">SCP #93</t>
    </r>
    <r>
      <rPr>
        <sz val="11"/>
        <rFont val="Noto Sans CJK SC"/>
        <family val="2"/>
      </rPr>
      <t xml:space="preserve">：⚠️</t>
    </r>
    <r>
      <rPr>
        <sz val="11"/>
        <rFont val="Arial"/>
        <family val="0"/>
        <charset val="1"/>
      </rPr>
      <t xml:space="preserve">SCP-1689</t>
    </r>
    <r>
      <rPr>
        <sz val="11"/>
        <rFont val="Noto Sans CJK SC"/>
        <family val="2"/>
      </rPr>
      <t xml:space="preserve">「黒いジャガイモ」— 摂取実験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件、帰還率</t>
    </r>
    <r>
      <rPr>
        <sz val="11"/>
        <rFont val="Arial"/>
        <family val="0"/>
        <charset val="1"/>
      </rPr>
      <t xml:space="preserve">0%</t>
    </r>
    <r>
      <rPr>
        <sz val="11"/>
        <rFont val="Noto Sans CJK SC"/>
        <family val="2"/>
      </rPr>
      <t xml:space="preserve">だった【ショート】</t>
    </r>
  </si>
  <si>
    <t xml:space="preserve">2026-08-21</t>
  </si>
  <si>
    <r>
      <rPr>
        <sz val="11"/>
        <rFont val="Arial"/>
        <family val="0"/>
        <charset val="1"/>
      </rPr>
      <t xml:space="preserve">SCP-3288 </t>
    </r>
    <r>
      <rPr>
        <sz val="11"/>
        <rFont val="Noto Sans CJK SC"/>
        <family val="2"/>
      </rPr>
      <t xml:space="preserve">大雨の真相 あなたの部屋も沈む </t>
    </r>
    <r>
      <rPr>
        <sz val="11"/>
        <rFont val="Arial"/>
        <family val="0"/>
        <charset val="1"/>
      </rPr>
      <t xml:space="preserve">#shorts #SCP #SCP</t>
    </r>
    <r>
      <rPr>
        <sz val="11"/>
        <rFont val="Noto Sans CJK SC"/>
        <family val="2"/>
      </rPr>
      <t xml:space="preserve">解説</t>
    </r>
  </si>
  <si>
    <r>
      <rPr>
        <sz val="11"/>
        <rFont val="Noto Sans CJK SC"/>
        <family val="2"/>
      </rPr>
      <t xml:space="preserve">⚠️三菱重工の年収がヤバい 平均</t>
    </r>
    <r>
      <rPr>
        <sz val="11"/>
        <rFont val="Arial"/>
        <family val="0"/>
        <charset val="1"/>
      </rPr>
      <t xml:space="preserve">965</t>
    </r>
    <r>
      <rPr>
        <sz val="11"/>
        <rFont val="Noto Sans CJK SC"/>
        <family val="2"/>
      </rPr>
      <t xml:space="preserve">万円、その裏側【ショート】</t>
    </r>
  </si>
  <si>
    <r>
      <rPr>
        <i val="true"/>
        <sz val="9"/>
        <color rgb="FF595959"/>
        <rFont val="Noto Sans CJK SC"/>
        <family val="2"/>
      </rPr>
      <t xml:space="preserve">※ 下位には維持率 </t>
    </r>
    <r>
      <rPr>
        <i val="true"/>
        <sz val="9"/>
        <color rgb="FF595959"/>
        <rFont val="Arial"/>
        <family val="0"/>
        <charset val="1"/>
      </rPr>
      <t xml:space="preserve">40</t>
    </r>
    <r>
      <rPr>
        <i val="true"/>
        <sz val="9"/>
        <color rgb="FF595959"/>
        <rFont val="Noto Sans CJK SC"/>
        <family val="2"/>
      </rPr>
      <t xml:space="preserve">〜</t>
    </r>
    <r>
      <rPr>
        <i val="true"/>
        <sz val="9"/>
        <color rgb="FF595959"/>
        <rFont val="Arial"/>
        <family val="0"/>
        <charset val="1"/>
      </rPr>
      <t xml:space="preserve">75% </t>
    </r>
    <r>
      <rPr>
        <i val="true"/>
        <sz val="9"/>
        <color rgb="FF595959"/>
        <rFont val="Noto Sans CJK SC"/>
        <family val="2"/>
      </rPr>
      <t xml:space="preserve">の本が複数含まれる。最後まで見られていても登録には変換していない。</t>
    </r>
  </si>
  <si>
    <t xml:space="preserve">本日実施した改善アクション</t>
  </si>
  <si>
    <r>
      <rPr>
        <i val="true"/>
        <sz val="9"/>
        <color rgb="FF595959"/>
        <rFont val="Noto Sans CJK SC"/>
        <family val="2"/>
      </rPr>
      <t xml:space="preserve">「提案」ではなく、すべて本日ファイル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コードへ反映済み。反証期限つき。</t>
    </r>
  </si>
  <si>
    <t xml:space="preserve">#</t>
  </si>
  <si>
    <t xml:space="preserve">対象</t>
  </si>
  <si>
    <t xml:space="preserve">施策</t>
  </si>
  <si>
    <r>
      <rPr>
        <b val="true"/>
        <sz val="11"/>
        <color rgb="FFFFFFFF"/>
        <rFont val="Noto Sans CJK SC"/>
        <family val="2"/>
      </rPr>
      <t xml:space="preserve">実測根拠（</t>
    </r>
    <r>
      <rPr>
        <b val="true"/>
        <sz val="11"/>
        <color rgb="FFFFFFFF"/>
        <rFont val="Arial"/>
        <family val="0"/>
        <charset val="1"/>
      </rPr>
      <t xml:space="preserve">n</t>
    </r>
    <r>
      <rPr>
        <b val="true"/>
        <sz val="11"/>
        <color rgb="FFFFFFFF"/>
        <rFont val="Noto Sans CJK SC"/>
        <family val="2"/>
      </rPr>
      <t xml:space="preserve">・倍率）</t>
    </r>
  </si>
  <si>
    <t xml:space="preserve">変更前 → 変更後</t>
  </si>
  <si>
    <t xml:space="preserve">状態</t>
  </si>
  <si>
    <t xml:space="preserve">反証期限</t>
  </si>
  <si>
    <t xml:space="preserve">backend</t>
  </si>
  <si>
    <r>
      <rPr>
        <sz val="11"/>
        <rFont val="Arial"/>
        <family val="0"/>
        <charset val="1"/>
      </rPr>
      <t xml:space="preserve">autopilot </t>
    </r>
    <r>
      <rPr>
        <sz val="11"/>
        <rFont val="Noto Sans CJK SC"/>
        <family val="2"/>
      </rPr>
      <t xml:space="preserve">スケジューラをディスク変更に追従させる</t>
    </r>
  </si>
  <si>
    <r>
      <rPr>
        <sz val="11"/>
        <rFont val="Arial"/>
        <family val="0"/>
        <charset val="1"/>
      </rPr>
      <t xml:space="preserve">2ch-matome </t>
    </r>
    <r>
      <rPr>
        <sz val="11"/>
        <rFont val="Noto Sans CJK SC"/>
        <family val="2"/>
      </rPr>
      <t xml:space="preserve">は </t>
    </r>
    <r>
      <rPr>
        <sz val="11"/>
        <rFont val="Arial"/>
        <family val="0"/>
        <charset val="1"/>
      </rPr>
      <t xml:space="preserve">09-16 </t>
    </r>
    <r>
      <rPr>
        <sz val="11"/>
        <rFont val="Noto Sans CJK SC"/>
        <family val="2"/>
      </rPr>
      <t xml:space="preserve">に </t>
    </r>
    <r>
      <rPr>
        <sz val="11"/>
        <rFont val="Arial"/>
        <family val="0"/>
        <charset val="1"/>
      </rPr>
      <t xml:space="preserve">enabled=true </t>
    </r>
    <r>
      <rPr>
        <sz val="11"/>
        <rFont val="Noto Sans CJK SC"/>
        <family val="2"/>
      </rPr>
      <t xml:space="preserve">へ直されているが </t>
    </r>
    <r>
      <rPr>
        <sz val="11"/>
        <rFont val="Arial"/>
        <family val="0"/>
        <charset val="1"/>
      </rPr>
      <t xml:space="preserve">09-13 </t>
    </r>
    <r>
      <rPr>
        <sz val="11"/>
        <rFont val="Noto Sans CJK SC"/>
        <family val="2"/>
      </rPr>
      <t xml:space="preserve">以降 </t>
    </r>
    <r>
      <rPr>
        <sz val="11"/>
        <rFont val="Arial"/>
        <family val="0"/>
        <charset val="1"/>
      </rPr>
      <t xml:space="preserve">0 </t>
    </r>
    <r>
      <rPr>
        <sz val="11"/>
        <rFont val="Noto Sans CJK SC"/>
        <family val="2"/>
      </rPr>
      <t xml:space="preserve">回発火。</t>
    </r>
    <r>
      <rPr>
        <sz val="11"/>
        <rFont val="Arial"/>
        <family val="0"/>
        <charset val="1"/>
      </rPr>
      <t xml:space="preserve">_refresh_channel_job </t>
    </r>
    <r>
      <rPr>
        <sz val="11"/>
        <rFont val="Noto Sans CJK SC"/>
        <family val="2"/>
      </rPr>
      <t xml:space="preserve">は起動時と</t>
    </r>
    <r>
      <rPr>
        <sz val="11"/>
        <rFont val="Arial"/>
        <family val="0"/>
        <charset val="1"/>
      </rPr>
      <t xml:space="preserve">API</t>
    </r>
    <r>
      <rPr>
        <sz val="11"/>
        <rFont val="Noto Sans CJK SC"/>
        <family val="2"/>
      </rPr>
      <t xml:space="preserve">経由からしか呼ばれず、ファイル直書きは反映されない。</t>
    </r>
  </si>
  <si>
    <r>
      <rPr>
        <sz val="11"/>
        <rFont val="Arial"/>
        <family val="0"/>
        <charset val="1"/>
      </rPr>
      <t xml:space="preserve">ChannelManager </t>
    </r>
    <r>
      <rPr>
        <sz val="11"/>
        <rFont val="Noto Sans CJK SC"/>
        <family val="2"/>
      </rPr>
      <t xml:space="preserve">にリロードフック追加 </t>
    </r>
    <r>
      <rPr>
        <sz val="11"/>
        <rFont val="Arial"/>
        <family val="0"/>
        <charset val="1"/>
      </rPr>
      <t xml:space="preserve">/ api_channel_autopilot </t>
    </r>
    <r>
      <rPr>
        <sz val="11"/>
        <rFont val="Noto Sans CJK SC"/>
        <family val="2"/>
      </rPr>
      <t xml:space="preserve">が指紋比較して再登録</t>
    </r>
  </si>
  <si>
    <t xml:space="preserve">コード修正済（要再起動）</t>
  </si>
  <si>
    <t xml:space="preserve">—</t>
  </si>
  <si>
    <t xml:space="preserve">答え提示語の主軸を「正体」→「なぜ」へ</t>
  </si>
  <si>
    <r>
      <rPr>
        <sz val="11"/>
        <rFont val="Noto Sans CJK SC"/>
        <family val="2"/>
      </rPr>
      <t xml:space="preserve">なぜ </t>
    </r>
    <r>
      <rPr>
        <sz val="11"/>
        <rFont val="Arial"/>
        <family val="0"/>
        <charset val="1"/>
      </rPr>
      <t xml:space="preserve">0.675(n=27) vs </t>
    </r>
    <r>
      <rPr>
        <sz val="11"/>
        <rFont val="Noto Sans CJK SC"/>
        <family val="2"/>
      </rPr>
      <t xml:space="preserve">非該当 </t>
    </r>
    <r>
      <rPr>
        <sz val="11"/>
        <rFont val="Arial"/>
        <family val="0"/>
        <charset val="1"/>
      </rPr>
      <t xml:space="preserve">0.203 = 3.33</t>
    </r>
    <r>
      <rPr>
        <sz val="11"/>
        <rFont val="Noto Sans CJK SC"/>
        <family val="2"/>
      </rPr>
      <t xml:space="preserve">倍。正体 </t>
    </r>
    <r>
      <rPr>
        <sz val="11"/>
        <rFont val="Arial"/>
        <family val="0"/>
        <charset val="1"/>
      </rPr>
      <t xml:space="preserve">0.587(n=15) = 0.92</t>
    </r>
    <r>
      <rPr>
        <sz val="11"/>
        <rFont val="Noto Sans CJK SC"/>
        <family val="2"/>
      </rPr>
      <t xml:space="preserve">倍で中立。</t>
    </r>
  </si>
  <si>
    <r>
      <rPr>
        <sz val="11"/>
        <rFont val="Arial"/>
        <family val="0"/>
        <charset val="1"/>
      </rPr>
      <t xml:space="preserve">repair_with ["</t>
    </r>
    <r>
      <rPr>
        <sz val="11"/>
        <rFont val="Noto Sans CJK SC"/>
        <family val="2"/>
      </rPr>
      <t xml:space="preserve">正体</t>
    </r>
    <r>
      <rPr>
        <sz val="11"/>
        <rFont val="Arial"/>
        <family val="0"/>
        <charset val="1"/>
      </rPr>
      <t xml:space="preserve">"] → ["</t>
    </r>
    <r>
      <rPr>
        <sz val="11"/>
        <rFont val="Noto Sans CJK SC"/>
        <family val="2"/>
      </rPr>
      <t xml:space="preserve">なぜ</t>
    </r>
    <r>
      <rPr>
        <sz val="11"/>
        <rFont val="Arial"/>
        <family val="0"/>
        <charset val="1"/>
      </rPr>
      <t xml:space="preserve">","</t>
    </r>
    <r>
      <rPr>
        <sz val="11"/>
        <rFont val="Noto Sans CJK SC"/>
        <family val="2"/>
      </rPr>
      <t xml:space="preserve">正体</t>
    </r>
    <r>
      <rPr>
        <sz val="11"/>
        <rFont val="Arial"/>
        <family val="0"/>
        <charset val="1"/>
      </rPr>
      <t xml:space="preserve">"]</t>
    </r>
  </si>
  <si>
    <t xml:space="preserve">反映済</t>
  </si>
  <si>
    <t xml:space="preserve">2026-09-24</t>
  </si>
  <si>
    <t xml:space="preserve">「なぜ〜のか」を「なぜ〜？」の短い疑問符止めへ</t>
  </si>
  <si>
    <r>
      <rPr>
        <sz val="11"/>
        <rFont val="Noto Sans CJK SC"/>
        <family val="2"/>
      </rPr>
      <t xml:space="preserve">「なぜ〜？」</t>
    </r>
    <r>
      <rPr>
        <sz val="11"/>
        <rFont val="Arial"/>
        <family val="0"/>
        <charset val="1"/>
      </rPr>
      <t xml:space="preserve">0.658(n=26) vs </t>
    </r>
    <r>
      <rPr>
        <sz val="11"/>
        <rFont val="Noto Sans CJK SC"/>
        <family val="2"/>
      </rPr>
      <t xml:space="preserve">「なぜ〜のか」</t>
    </r>
    <r>
      <rPr>
        <sz val="11"/>
        <rFont val="Arial"/>
        <family val="0"/>
        <charset val="1"/>
      </rPr>
      <t xml:space="preserve">0.275(n=13) = 2.4</t>
    </r>
    <r>
      <rPr>
        <sz val="11"/>
        <rFont val="Noto Sans CJK SC"/>
        <family val="2"/>
      </rPr>
      <t xml:space="preserve">倍。</t>
    </r>
    <r>
      <rPr>
        <sz val="11"/>
        <rFont val="Arial"/>
        <family val="0"/>
        <charset val="1"/>
      </rPr>
      <t xml:space="preserve">09-11 </t>
    </r>
    <r>
      <rPr>
        <sz val="11"/>
        <rFont val="Noto Sans CJK SC"/>
        <family val="2"/>
      </rPr>
      <t xml:space="preserve">の全</t>
    </r>
    <r>
      <rPr>
        <sz val="11"/>
        <rFont val="Arial"/>
        <family val="0"/>
        <charset val="1"/>
      </rPr>
      <t xml:space="preserve">ch</t>
    </r>
    <r>
      <rPr>
        <sz val="11"/>
        <rFont val="Noto Sans CJK SC"/>
        <family val="2"/>
      </rPr>
      <t xml:space="preserve">共通方針は当</t>
    </r>
    <r>
      <rPr>
        <sz val="11"/>
        <rFont val="Arial"/>
        <family val="0"/>
        <charset val="1"/>
      </rPr>
      <t xml:space="preserve">ch</t>
    </r>
    <r>
      <rPr>
        <sz val="11"/>
        <rFont val="Noto Sans CJK SC"/>
        <family val="2"/>
      </rPr>
      <t xml:space="preserve">では逆効果だった。</t>
    </r>
  </si>
  <si>
    <r>
      <rPr>
        <sz val="11"/>
        <rFont val="Arial"/>
        <family val="0"/>
        <charset val="1"/>
      </rPr>
      <t xml:space="preserve">theme_priority.title_style </t>
    </r>
    <r>
      <rPr>
        <sz val="11"/>
        <rFont val="Noto Sans CJK SC"/>
        <family val="2"/>
      </rPr>
      <t xml:space="preserve">に最優先で前置</t>
    </r>
  </si>
  <si>
    <r>
      <rPr>
        <sz val="11"/>
        <rFont val="Noto Sans CJK SC"/>
        <family val="2"/>
      </rPr>
      <t xml:space="preserve">負け語「理由」を </t>
    </r>
    <r>
      <rPr>
        <sz val="11"/>
        <rFont val="Arial"/>
        <family val="0"/>
        <charset val="1"/>
      </rPr>
      <t xml:space="preserve">words </t>
    </r>
    <r>
      <rPr>
        <sz val="11"/>
        <rFont val="Noto Sans CJK SC"/>
        <family val="2"/>
      </rPr>
      <t xml:space="preserve">から除外し「なぜ」を主軸へ</t>
    </r>
  </si>
  <si>
    <r>
      <rPr>
        <sz val="11"/>
        <rFont val="Noto Sans CJK SC"/>
        <family val="2"/>
      </rPr>
      <t xml:space="preserve">理由 </t>
    </r>
    <r>
      <rPr>
        <sz val="11"/>
        <rFont val="Arial"/>
        <family val="0"/>
        <charset val="1"/>
      </rPr>
      <t xml:space="preserve">0.195(n=7) vs 0.748 = 0.26</t>
    </r>
    <r>
      <rPr>
        <sz val="11"/>
        <rFont val="Noto Sans CJK SC"/>
        <family val="2"/>
      </rPr>
      <t xml:space="preserve">倍（明確な負け）。なぜ </t>
    </r>
    <r>
      <rPr>
        <sz val="11"/>
        <rFont val="Arial"/>
        <family val="0"/>
        <charset val="1"/>
      </rPr>
      <t xml:space="preserve">1.375(n=7) = 3.99</t>
    </r>
    <r>
      <rPr>
        <sz val="11"/>
        <rFont val="Noto Sans CJK SC"/>
        <family val="2"/>
      </rPr>
      <t xml:space="preserve">倍。</t>
    </r>
  </si>
  <si>
    <r>
      <rPr>
        <sz val="11"/>
        <rFont val="Arial"/>
        <family val="0"/>
        <charset val="1"/>
      </rPr>
      <t xml:space="preserve">repair_with ["</t>
    </r>
    <r>
      <rPr>
        <sz val="11"/>
        <rFont val="Noto Sans CJK SC"/>
        <family val="2"/>
      </rPr>
      <t xml:space="preserve">正体</t>
    </r>
    <r>
      <rPr>
        <sz val="11"/>
        <rFont val="Arial"/>
        <family val="0"/>
        <charset val="1"/>
      </rPr>
      <t xml:space="preserve">","</t>
    </r>
    <r>
      <rPr>
        <sz val="11"/>
        <rFont val="Noto Sans CJK SC"/>
        <family val="2"/>
      </rPr>
      <t xml:space="preserve">わけ</t>
    </r>
    <r>
      <rPr>
        <sz val="11"/>
        <rFont val="Arial"/>
        <family val="0"/>
        <charset val="1"/>
      </rPr>
      <t xml:space="preserve">","</t>
    </r>
    <r>
      <rPr>
        <sz val="11"/>
        <rFont val="Noto Sans CJK SC"/>
        <family val="2"/>
      </rPr>
      <t xml:space="preserve">理由</t>
    </r>
    <r>
      <rPr>
        <sz val="11"/>
        <rFont val="Arial"/>
        <family val="0"/>
        <charset val="1"/>
      </rPr>
      <t xml:space="preserve">"] → ["</t>
    </r>
    <r>
      <rPr>
        <sz val="11"/>
        <rFont val="Noto Sans CJK SC"/>
        <family val="2"/>
      </rPr>
      <t xml:space="preserve">なぜ</t>
    </r>
    <r>
      <rPr>
        <sz val="11"/>
        <rFont val="Arial"/>
        <family val="0"/>
        <charset val="1"/>
      </rPr>
      <t xml:space="preserve">","</t>
    </r>
    <r>
      <rPr>
        <sz val="11"/>
        <rFont val="Noto Sans CJK SC"/>
        <family val="2"/>
      </rPr>
      <t xml:space="preserve">正体</t>
    </r>
    <r>
      <rPr>
        <sz val="11"/>
        <rFont val="Arial"/>
        <family val="0"/>
        <charset val="1"/>
      </rPr>
      <t xml:space="preserve">"]</t>
    </r>
  </si>
  <si>
    <r>
      <rPr>
        <sz val="11"/>
        <rFont val="Noto Sans CJK SC"/>
        <family val="2"/>
      </rPr>
      <t xml:space="preserve">負け語「実態」を </t>
    </r>
    <r>
      <rPr>
        <sz val="11"/>
        <rFont val="Arial"/>
        <family val="0"/>
        <charset val="1"/>
      </rPr>
      <t xml:space="preserve">words </t>
    </r>
    <r>
      <rPr>
        <sz val="11"/>
        <rFont val="Noto Sans CJK SC"/>
        <family val="2"/>
      </rPr>
      <t xml:space="preserve">から除外し「実は」を主軸へ</t>
    </r>
  </si>
  <si>
    <r>
      <rPr>
        <sz val="11"/>
        <rFont val="Noto Sans CJK SC"/>
        <family val="2"/>
      </rPr>
      <t xml:space="preserve">実態 </t>
    </r>
    <r>
      <rPr>
        <sz val="11"/>
        <rFont val="Arial"/>
        <family val="0"/>
        <charset val="1"/>
      </rPr>
      <t xml:space="preserve">0.362(n=11) vs 0.776 = 0.47</t>
    </r>
    <r>
      <rPr>
        <sz val="11"/>
        <rFont val="Noto Sans CJK SC"/>
        <family val="2"/>
      </rPr>
      <t xml:space="preserve">倍（明確な負け）。実は </t>
    </r>
    <r>
      <rPr>
        <sz val="11"/>
        <rFont val="Arial"/>
        <family val="0"/>
        <charset val="1"/>
      </rPr>
      <t xml:space="preserve">0.963(n=11) = 2.04</t>
    </r>
    <r>
      <rPr>
        <sz val="11"/>
        <rFont val="Noto Sans CJK SC"/>
        <family val="2"/>
      </rPr>
      <t xml:space="preserve">倍。</t>
    </r>
  </si>
  <si>
    <r>
      <rPr>
        <sz val="11"/>
        <rFont val="Arial"/>
        <family val="0"/>
        <charset val="1"/>
      </rPr>
      <t xml:space="preserve">repair_with ["</t>
    </r>
    <r>
      <rPr>
        <sz val="11"/>
        <rFont val="Noto Sans CJK SC"/>
        <family val="2"/>
      </rPr>
      <t xml:space="preserve">実態</t>
    </r>
    <r>
      <rPr>
        <sz val="11"/>
        <rFont val="Arial"/>
        <family val="0"/>
        <charset val="1"/>
      </rPr>
      <t xml:space="preserve">","</t>
    </r>
    <r>
      <rPr>
        <sz val="11"/>
        <rFont val="Noto Sans CJK SC"/>
        <family val="2"/>
      </rPr>
      <t xml:space="preserve">裏側</t>
    </r>
    <r>
      <rPr>
        <sz val="11"/>
        <rFont val="Arial"/>
        <family val="0"/>
        <charset val="1"/>
      </rPr>
      <t xml:space="preserve">"] → ["</t>
    </r>
    <r>
      <rPr>
        <sz val="11"/>
        <rFont val="Noto Sans CJK SC"/>
        <family val="2"/>
      </rPr>
      <t xml:space="preserve">実は</t>
    </r>
    <r>
      <rPr>
        <sz val="11"/>
        <rFont val="Arial"/>
        <family val="0"/>
        <charset val="1"/>
      </rPr>
      <t xml:space="preserve">","</t>
    </r>
    <r>
      <rPr>
        <sz val="11"/>
        <rFont val="Noto Sans CJK SC"/>
        <family val="2"/>
      </rPr>
      <t xml:space="preserve">裏側</t>
    </r>
    <r>
      <rPr>
        <sz val="11"/>
        <rFont val="Arial"/>
        <family val="0"/>
        <charset val="1"/>
      </rPr>
      <t xml:space="preserve">"]</t>
    </r>
  </si>
  <si>
    <r>
      <rPr>
        <sz val="11"/>
        <rFont val="Noto Sans CJK SC"/>
        <family val="2"/>
      </rPr>
      <t xml:space="preserve">実測裏付けのない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語を実測上位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語へ</t>
    </r>
  </si>
  <si>
    <r>
      <rPr>
        <sz val="11"/>
        <rFont val="Noto Sans CJK SC"/>
        <family val="2"/>
      </rPr>
      <t xml:space="preserve">理由 </t>
    </r>
    <r>
      <rPr>
        <sz val="11"/>
        <rFont val="Arial"/>
        <family val="0"/>
        <charset val="1"/>
      </rPr>
      <t xml:space="preserve">1.496(n=4)=2.17</t>
    </r>
    <r>
      <rPr>
        <sz val="11"/>
        <rFont val="Noto Sans CJK SC"/>
        <family val="2"/>
      </rPr>
      <t xml:space="preserve">倍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なぜ </t>
    </r>
    <r>
      <rPr>
        <sz val="11"/>
        <rFont val="Arial"/>
        <family val="0"/>
        <charset val="1"/>
      </rPr>
      <t xml:space="preserve">1.226(n=11)=2.25</t>
    </r>
    <r>
      <rPr>
        <sz val="11"/>
        <rFont val="Noto Sans CJK SC"/>
        <family val="2"/>
      </rPr>
      <t xml:space="preserve">倍。旧 真相・裏側・実態 は </t>
    </r>
    <r>
      <rPr>
        <sz val="11"/>
        <rFont val="Arial"/>
        <family val="0"/>
        <charset val="1"/>
      </rPr>
      <t xml:space="preserve">n&lt;3 </t>
    </r>
    <r>
      <rPr>
        <sz val="11"/>
        <rFont val="Noto Sans CJK SC"/>
        <family val="2"/>
      </rPr>
      <t xml:space="preserve">で根拠なし。</t>
    </r>
  </si>
  <si>
    <r>
      <rPr>
        <sz val="11"/>
        <rFont val="Arial"/>
        <family val="0"/>
        <charset val="1"/>
      </rPr>
      <t xml:space="preserve">repair_with ["</t>
    </r>
    <r>
      <rPr>
        <sz val="11"/>
        <rFont val="Noto Sans CJK SC"/>
        <family val="2"/>
      </rPr>
      <t xml:space="preserve">真相</t>
    </r>
    <r>
      <rPr>
        <sz val="11"/>
        <rFont val="Arial"/>
        <family val="0"/>
        <charset val="1"/>
      </rPr>
      <t xml:space="preserve">","</t>
    </r>
    <r>
      <rPr>
        <sz val="11"/>
        <rFont val="Noto Sans CJK SC"/>
        <family val="2"/>
      </rPr>
      <t xml:space="preserve">裏側</t>
    </r>
    <r>
      <rPr>
        <sz val="11"/>
        <rFont val="Arial"/>
        <family val="0"/>
        <charset val="1"/>
      </rPr>
      <t xml:space="preserve">","</t>
    </r>
    <r>
      <rPr>
        <sz val="11"/>
        <rFont val="Noto Sans CJK SC"/>
        <family val="2"/>
      </rPr>
      <t xml:space="preserve">実態</t>
    </r>
    <r>
      <rPr>
        <sz val="11"/>
        <rFont val="Arial"/>
        <family val="0"/>
        <charset val="1"/>
      </rPr>
      <t xml:space="preserve">"] → ["</t>
    </r>
    <r>
      <rPr>
        <sz val="11"/>
        <rFont val="Noto Sans CJK SC"/>
        <family val="2"/>
      </rPr>
      <t xml:space="preserve">理由</t>
    </r>
    <r>
      <rPr>
        <sz val="11"/>
        <rFont val="Arial"/>
        <family val="0"/>
        <charset val="1"/>
      </rPr>
      <t xml:space="preserve">","</t>
    </r>
    <r>
      <rPr>
        <sz val="11"/>
        <rFont val="Noto Sans CJK SC"/>
        <family val="2"/>
      </rPr>
      <t xml:space="preserve">なぜ</t>
    </r>
    <r>
      <rPr>
        <sz val="11"/>
        <rFont val="Arial"/>
        <family val="0"/>
        <charset val="1"/>
      </rPr>
      <t xml:space="preserve">"]</t>
    </r>
  </si>
  <si>
    <r>
      <rPr>
        <sz val="11"/>
        <rFont val="Noto Sans CJK SC"/>
        <family val="2"/>
      </rPr>
      <t xml:space="preserve">第二語を「わけ」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実測なし</t>
    </r>
    <r>
      <rPr>
        <sz val="11"/>
        <rFont val="Arial"/>
        <family val="0"/>
        <charset val="1"/>
      </rPr>
      <t xml:space="preserve">)→</t>
    </r>
    <r>
      <rPr>
        <sz val="11"/>
        <rFont val="Noto Sans CJK SC"/>
        <family val="2"/>
      </rPr>
      <t xml:space="preserve">「なぜ」へ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「正体」除外</t>
    </r>
  </si>
  <si>
    <r>
      <rPr>
        <sz val="11"/>
        <rFont val="Noto Sans CJK SC"/>
        <family val="2"/>
      </rPr>
      <t xml:space="preserve">理由 </t>
    </r>
    <r>
      <rPr>
        <sz val="11"/>
        <rFont val="Arial"/>
        <family val="0"/>
        <charset val="1"/>
      </rPr>
      <t xml:space="preserve">7.75</t>
    </r>
    <r>
      <rPr>
        <sz val="11"/>
        <rFont val="Noto Sans CJK SC"/>
        <family val="2"/>
      </rPr>
      <t xml:space="preserve">倍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なぜ </t>
    </r>
    <r>
      <rPr>
        <sz val="11"/>
        <rFont val="Arial"/>
        <family val="0"/>
        <charset val="1"/>
      </rPr>
      <t xml:space="preserve">6.20</t>
    </r>
    <r>
      <rPr>
        <sz val="11"/>
        <rFont val="Noto Sans CJK SC"/>
        <family val="2"/>
      </rPr>
      <t xml:space="preserve">倍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正体 </t>
    </r>
    <r>
      <rPr>
        <sz val="11"/>
        <rFont val="Arial"/>
        <family val="0"/>
        <charset val="1"/>
      </rPr>
      <t xml:space="preserve">0.000(n=3)</t>
    </r>
    <r>
      <rPr>
        <sz val="11"/>
        <rFont val="Noto Sans CJK SC"/>
        <family val="2"/>
      </rPr>
      <t xml:space="preserve">。</t>
    </r>
  </si>
  <si>
    <r>
      <rPr>
        <sz val="11"/>
        <rFont val="Arial"/>
        <family val="0"/>
        <charset val="1"/>
      </rPr>
      <t xml:space="preserve">repair_with ["</t>
    </r>
    <r>
      <rPr>
        <sz val="11"/>
        <rFont val="Noto Sans CJK SC"/>
        <family val="2"/>
      </rPr>
      <t xml:space="preserve">理由</t>
    </r>
    <r>
      <rPr>
        <sz val="11"/>
        <rFont val="Arial"/>
        <family val="0"/>
        <charset val="1"/>
      </rPr>
      <t xml:space="preserve">","</t>
    </r>
    <r>
      <rPr>
        <sz val="11"/>
        <rFont val="Noto Sans CJK SC"/>
        <family val="2"/>
      </rPr>
      <t xml:space="preserve">わけ</t>
    </r>
    <r>
      <rPr>
        <sz val="11"/>
        <rFont val="Arial"/>
        <family val="0"/>
        <charset val="1"/>
      </rPr>
      <t xml:space="preserve">"] → ["</t>
    </r>
    <r>
      <rPr>
        <sz val="11"/>
        <rFont val="Noto Sans CJK SC"/>
        <family val="2"/>
      </rPr>
      <t xml:space="preserve">理由</t>
    </r>
    <r>
      <rPr>
        <sz val="11"/>
        <rFont val="Arial"/>
        <family val="0"/>
        <charset val="1"/>
      </rPr>
      <t xml:space="preserve">","</t>
    </r>
    <r>
      <rPr>
        <sz val="11"/>
        <rFont val="Noto Sans CJK SC"/>
        <family val="2"/>
      </rPr>
      <t xml:space="preserve">なぜ</t>
    </r>
    <r>
      <rPr>
        <sz val="11"/>
        <rFont val="Arial"/>
        <family val="0"/>
        <charset val="1"/>
      </rPr>
      <t xml:space="preserve">"]</t>
    </r>
  </si>
  <si>
    <r>
      <rPr>
        <sz val="11"/>
        <rFont val="Noto Sans CJK SC"/>
        <family val="2"/>
      </rPr>
      <t xml:space="preserve">全</t>
    </r>
    <r>
      <rPr>
        <sz val="11"/>
        <rFont val="Arial"/>
        <family val="0"/>
        <charset val="1"/>
      </rPr>
      <t xml:space="preserve">5ch</t>
    </r>
  </si>
  <si>
    <r>
      <rPr>
        <sz val="11"/>
        <rFont val="Noto Sans CJK SC"/>
        <family val="2"/>
      </rPr>
      <t xml:space="preserve">尺の</t>
    </r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</rPr>
      <t xml:space="preserve">〜</t>
    </r>
    <r>
      <rPr>
        <sz val="11"/>
        <rFont val="Arial"/>
        <family val="0"/>
        <charset val="1"/>
      </rPr>
      <t xml:space="preserve">25%</t>
    </r>
    <r>
      <rPr>
        <sz val="11"/>
        <rFont val="Noto Sans CJK SC"/>
        <family val="2"/>
      </rPr>
      <t xml:space="preserve">の行を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行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文に。たとえ話は</t>
    </r>
    <r>
      <rPr>
        <sz val="11"/>
        <rFont val="Arial"/>
        <family val="0"/>
        <charset val="1"/>
      </rPr>
      <t xml:space="preserve">50%</t>
    </r>
    <r>
      <rPr>
        <sz val="11"/>
        <rFont val="Noto Sans CJK SC"/>
        <family val="2"/>
      </rPr>
      <t xml:space="preserve">以降へ</t>
    </r>
  </si>
  <si>
    <r>
      <rPr>
        <sz val="11"/>
        <rFont val="Arial"/>
        <family val="0"/>
        <charset val="1"/>
      </rPr>
      <t xml:space="preserve">early </t>
    </r>
    <r>
      <rPr>
        <sz val="11"/>
        <rFont val="Noto Sans CJK SC"/>
        <family val="2"/>
      </rPr>
      <t xml:space="preserve">バケット離脱 </t>
    </r>
    <r>
      <rPr>
        <sz val="11"/>
        <rFont val="Arial"/>
        <family val="0"/>
        <charset val="1"/>
      </rPr>
      <t xml:space="preserve">0.0217</t>
    </r>
    <r>
      <rPr>
        <sz val="11"/>
        <rFont val="Noto Sans CJK SC"/>
        <family val="2"/>
      </rPr>
      <t xml:space="preserve">〜</t>
    </r>
    <r>
      <rPr>
        <sz val="11"/>
        <rFont val="Arial"/>
        <family val="0"/>
        <charset val="1"/>
      </rPr>
      <t xml:space="preserve">0.0247 vs middle 0.0047</t>
    </r>
    <r>
      <rPr>
        <sz val="11"/>
        <rFont val="Noto Sans CJK SC"/>
        <family val="2"/>
      </rPr>
      <t xml:space="preserve">〜</t>
    </r>
    <r>
      <rPr>
        <sz val="11"/>
        <rFont val="Arial"/>
        <family val="0"/>
        <charset val="1"/>
      </rPr>
      <t xml:space="preserve">0.0055</t>
    </r>
    <r>
      <rPr>
        <sz val="11"/>
        <rFont val="Noto Sans CJK SC"/>
        <family val="2"/>
      </rPr>
      <t xml:space="preserve">（約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〜</t>
    </r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倍）、</t>
    </r>
    <r>
      <rPr>
        <sz val="11"/>
        <rFont val="Arial"/>
        <family val="0"/>
        <charset val="1"/>
      </rPr>
      <t xml:space="preserve">intro 0.0096</t>
    </r>
    <r>
      <rPr>
        <sz val="11"/>
        <rFont val="Noto Sans CJK SC"/>
        <family val="2"/>
      </rPr>
      <t xml:space="preserve">〜</t>
    </r>
    <r>
      <rPr>
        <sz val="11"/>
        <rFont val="Arial"/>
        <family val="0"/>
        <charset val="1"/>
      </rPr>
      <t xml:space="preserve">0.0128 </t>
    </r>
    <r>
      <rPr>
        <sz val="11"/>
        <rFont val="Noto Sans CJK SC"/>
        <family val="2"/>
      </rPr>
      <t xml:space="preserve">より大。離脱行は全て「たとえるなら〜」で始まる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文つなぎの長行。</t>
    </r>
  </si>
  <si>
    <r>
      <rPr>
        <sz val="11"/>
        <rFont val="Arial"/>
        <family val="0"/>
        <charset val="1"/>
      </rPr>
      <t xml:space="preserve">short_format.retention_rule_20260917 </t>
    </r>
    <r>
      <rPr>
        <sz val="11"/>
        <rFont val="Noto Sans CJK SC"/>
        <family val="2"/>
      </rPr>
      <t xml:space="preserve">を追加</t>
    </r>
  </si>
  <si>
    <t xml:space="preserve">維持率を最適化の目的関数にしない方針を明記</t>
  </si>
  <si>
    <r>
      <rPr>
        <sz val="11"/>
        <rFont val="Noto Sans CJK SC"/>
        <family val="2"/>
      </rPr>
      <t xml:space="preserve">維持</t>
    </r>
    <r>
      <rPr>
        <sz val="11"/>
        <rFont val="Arial"/>
        <family val="0"/>
        <charset val="1"/>
      </rPr>
      <t xml:space="preserve">75.6%→</t>
    </r>
    <r>
      <rPr>
        <sz val="11"/>
        <rFont val="Noto Sans CJK SC"/>
        <family val="2"/>
      </rPr>
      <t xml:space="preserve">登録</t>
    </r>
    <r>
      <rPr>
        <sz val="11"/>
        <rFont val="Arial"/>
        <family val="0"/>
        <charset val="1"/>
      </rPr>
      <t xml:space="preserve">0</t>
    </r>
    <r>
      <rPr>
        <sz val="11"/>
        <rFont val="Noto Sans CJK SC"/>
        <family val="2"/>
      </rPr>
      <t xml:space="preserve">人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維持</t>
    </r>
    <r>
      <rPr>
        <sz val="11"/>
        <rFont val="Arial"/>
        <family val="0"/>
        <charset val="1"/>
      </rPr>
      <t xml:space="preserve">122.8%→0</t>
    </r>
    <r>
      <rPr>
        <sz val="11"/>
        <rFont val="Noto Sans CJK SC"/>
        <family val="2"/>
      </rPr>
      <t xml:space="preserve">人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維持</t>
    </r>
    <r>
      <rPr>
        <sz val="11"/>
        <rFont val="Arial"/>
        <family val="0"/>
        <charset val="1"/>
      </rPr>
      <t xml:space="preserve">40.0%</t>
    </r>
    <r>
      <rPr>
        <sz val="11"/>
        <rFont val="Noto Sans CJK SC"/>
        <family val="2"/>
      </rPr>
      <t xml:space="preserve">・</t>
    </r>
    <r>
      <rPr>
        <sz val="11"/>
        <rFont val="Arial"/>
        <family val="0"/>
        <charset val="1"/>
      </rPr>
      <t xml:space="preserve">8,806</t>
    </r>
    <r>
      <rPr>
        <sz val="11"/>
        <rFont val="Noto Sans CJK SC"/>
        <family val="2"/>
      </rPr>
      <t xml:space="preserve">再生→</t>
    </r>
    <r>
      <rPr>
        <sz val="11"/>
        <rFont val="Arial"/>
        <family val="0"/>
        <charset val="1"/>
      </rPr>
      <t xml:space="preserve">0</t>
    </r>
    <r>
      <rPr>
        <sz val="11"/>
        <rFont val="Noto Sans CJK SC"/>
        <family val="2"/>
      </rPr>
      <t xml:space="preserve">人。逆に維持</t>
    </r>
    <r>
      <rPr>
        <sz val="11"/>
        <rFont val="Arial"/>
        <family val="0"/>
        <charset val="1"/>
      </rPr>
      <t xml:space="preserve">22.8%</t>
    </r>
    <r>
      <rPr>
        <sz val="11"/>
        <rFont val="Noto Sans CJK SC"/>
        <family val="2"/>
      </rPr>
      <t xml:space="preserve">で</t>
    </r>
    <r>
      <rPr>
        <sz val="11"/>
        <rFont val="Arial"/>
        <family val="0"/>
        <charset val="1"/>
      </rPr>
      <t xml:space="preserve">5.63</t>
    </r>
    <r>
      <rPr>
        <sz val="11"/>
        <rFont val="Noto Sans CJK SC"/>
        <family val="2"/>
      </rPr>
      <t xml:space="preserve">。</t>
    </r>
  </si>
  <si>
    <r>
      <rPr>
        <sz val="11"/>
        <rFont val="Arial"/>
        <family val="0"/>
        <charset val="1"/>
      </rPr>
      <t xml:space="preserve">analytics_policy </t>
    </r>
    <r>
      <rPr>
        <sz val="11"/>
        <rFont val="Noto Sans CJK SC"/>
        <family val="2"/>
      </rPr>
      <t xml:space="preserve">に明記</t>
    </r>
  </si>
  <si>
    <r>
      <rPr>
        <sz val="11"/>
        <rFont val="Arial"/>
        <family val="0"/>
        <charset val="1"/>
      </rPr>
      <t xml:space="preserve">yokai-watch </t>
    </r>
    <r>
      <rPr>
        <sz val="11"/>
        <rFont val="Noto Sans CJK SC"/>
        <family val="2"/>
      </rPr>
      <t xml:space="preserve">他</t>
    </r>
  </si>
  <si>
    <r>
      <rPr>
        <sz val="11"/>
        <rFont val="Noto Sans CJK SC"/>
        <family val="2"/>
      </rPr>
      <t xml:space="preserve">負け語除外で不適合になった既存テーマ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件を言い換え</t>
    </r>
  </si>
  <si>
    <t xml:space="preserve">題材は変えず語だけ差し替え。例「コストコの利益が会費で決まる実態」→「コストコの利益、実は会費で決まる」</t>
  </si>
  <si>
    <r>
      <rPr>
        <sz val="11"/>
        <rFont val="Arial"/>
        <family val="0"/>
        <charset val="1"/>
      </rPr>
      <t xml:space="preserve">theme_queue / theme_seeds </t>
    </r>
    <r>
      <rPr>
        <sz val="11"/>
        <rFont val="Noto Sans CJK SC"/>
        <family val="2"/>
      </rPr>
      <t xml:space="preserve">を更新</t>
    </r>
  </si>
  <si>
    <r>
      <rPr>
        <sz val="11"/>
        <rFont val="Noto Sans CJK SC"/>
        <family val="2"/>
      </rPr>
      <t xml:space="preserve">規約違反テーマを修正（</t>
    </r>
    <r>
      <rPr>
        <sz val="11"/>
        <rFont val="Arial"/>
        <family val="0"/>
        <charset val="1"/>
      </rPr>
      <t xml:space="preserve">title_gates </t>
    </r>
    <r>
      <rPr>
        <sz val="11"/>
        <rFont val="Noto Sans CJK SC"/>
        <family val="2"/>
      </rPr>
      <t xml:space="preserve">テスト解消）</t>
    </r>
  </si>
  <si>
    <r>
      <rPr>
        <sz val="11"/>
        <rFont val="Noto Sans CJK SC"/>
        <family val="2"/>
      </rPr>
      <t xml:space="preserve">「口裂け女が</t>
    </r>
    <r>
      <rPr>
        <sz val="11"/>
        <rFont val="Arial"/>
        <family val="0"/>
        <charset val="1"/>
      </rPr>
      <t xml:space="preserve">1979</t>
    </r>
    <r>
      <rPr>
        <sz val="11"/>
        <rFont val="Noto Sans CJK SC"/>
        <family val="2"/>
      </rPr>
      <t xml:space="preserve">年に全国へ広がった経路」が西暦の数字でハードルールに違反し、テストが失敗していた。</t>
    </r>
  </si>
  <si>
    <t xml:space="preserve">「なぜ口裂け女の噂は全国へ同時に広がったのか」へ</t>
  </si>
  <si>
    <t xml:space="preserve">反映済・テスト緑</t>
  </si>
  <si>
    <r>
      <rPr>
        <sz val="11"/>
        <rFont val="Noto Sans CJK SC"/>
        <family val="2"/>
      </rPr>
      <t xml:space="preserve">投稿枠 </t>
    </r>
    <r>
      <rPr>
        <sz val="11"/>
        <rFont val="Arial"/>
        <family val="0"/>
        <charset val="1"/>
      </rPr>
      <t xml:space="preserve">16:30 → 19:00</t>
    </r>
    <r>
      <rPr>
        <sz val="11"/>
        <rFont val="Noto Sans CJK SC"/>
        <family val="2"/>
      </rPr>
      <t xml:space="preserve">（連投ガード違反の解消）</t>
    </r>
  </si>
  <si>
    <r>
      <rPr>
        <sz val="11"/>
        <rFont val="Noto Sans CJK SC"/>
        <family val="2"/>
      </rPr>
      <t xml:space="preserve">本日この指揮者より前の実行が </t>
    </r>
    <r>
      <rPr>
        <sz val="11"/>
        <rFont val="Arial"/>
        <family val="0"/>
        <charset val="1"/>
      </rPr>
      <t xml:space="preserve">7:30→16:30 </t>
    </r>
    <r>
      <rPr>
        <sz val="11"/>
        <rFont val="Noto Sans CJK SC"/>
        <family val="2"/>
      </rPr>
      <t xml:space="preserve">へ移していたが、</t>
    </r>
    <r>
      <rPr>
        <sz val="11"/>
        <rFont val="Arial"/>
        <family val="0"/>
        <charset val="1"/>
      </rPr>
      <t xml:space="preserve">16:30 </t>
    </r>
    <r>
      <rPr>
        <sz val="11"/>
        <rFont val="Noto Sans CJK SC"/>
        <family val="2"/>
      </rPr>
      <t xml:space="preserve">は </t>
    </r>
    <r>
      <rPr>
        <sz val="11"/>
        <rFont val="Arial"/>
        <family val="0"/>
        <charset val="1"/>
      </rPr>
      <t xml:space="preserve">17:00 </t>
    </r>
    <r>
      <rPr>
        <sz val="11"/>
        <rFont val="Noto Sans CJK SC"/>
        <family val="2"/>
      </rPr>
      <t xml:space="preserve">枠と </t>
    </r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分差。</t>
    </r>
    <r>
      <rPr>
        <sz val="11"/>
        <rFont val="Arial"/>
        <family val="0"/>
        <charset val="1"/>
      </rPr>
      <t xml:space="preserve">publish_lead 45</t>
    </r>
    <r>
      <rPr>
        <sz val="11"/>
        <rFont val="Noto Sans CJK SC"/>
        <family val="2"/>
      </rPr>
      <t xml:space="preserve">分なので生成発火は </t>
    </r>
    <r>
      <rPr>
        <sz val="11"/>
        <rFont val="Arial"/>
        <family val="0"/>
        <charset val="1"/>
      </rPr>
      <t xml:space="preserve">15:45 </t>
    </r>
    <r>
      <rPr>
        <sz val="11"/>
        <rFont val="Noto Sans CJK SC"/>
        <family val="2"/>
      </rPr>
      <t xml:space="preserve">と </t>
    </r>
    <r>
      <rPr>
        <sz val="11"/>
        <rFont val="Arial"/>
        <family val="0"/>
        <charset val="1"/>
      </rPr>
      <t xml:space="preserve">16:15 </t>
    </r>
    <r>
      <rPr>
        <sz val="11"/>
        <rFont val="Noto Sans CJK SC"/>
        <family val="2"/>
      </rPr>
      <t xml:space="preserve">の </t>
    </r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分差となり、連投ガード</t>
    </r>
    <r>
      <rPr>
        <sz val="11"/>
        <rFont val="Arial"/>
        <family val="0"/>
        <charset val="1"/>
      </rPr>
      <t xml:space="preserve">(90</t>
    </r>
    <r>
      <rPr>
        <sz val="11"/>
        <rFont val="Noto Sans CJK SC"/>
        <family val="2"/>
      </rPr>
      <t xml:space="preserve">分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で毎日どちらか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本が黙って捨てられる。夕方が強い判断自体は実測どおり（</t>
    </r>
    <r>
      <rPr>
        <sz val="11"/>
        <rFont val="Arial"/>
        <family val="0"/>
        <charset val="1"/>
      </rPr>
      <t xml:space="preserve">17</t>
    </r>
    <r>
      <rPr>
        <sz val="11"/>
        <rFont val="Noto Sans CJK SC"/>
        <family val="2"/>
      </rPr>
      <t xml:space="preserve">時台 </t>
    </r>
    <r>
      <rPr>
        <sz val="11"/>
        <rFont val="Arial"/>
        <family val="0"/>
        <charset val="1"/>
      </rPr>
      <t xml:space="preserve">0.766</t>
    </r>
    <r>
      <rPr>
        <sz val="11"/>
        <rFont val="Noto Sans CJK SC"/>
        <family val="2"/>
      </rPr>
      <t xml:space="preserve">・</t>
    </r>
    <r>
      <rPr>
        <sz val="11"/>
        <rFont val="Arial"/>
        <family val="0"/>
        <charset val="1"/>
      </rPr>
      <t xml:space="preserve">n=19 </t>
    </r>
    <r>
      <rPr>
        <sz val="11"/>
        <rFont val="Noto Sans CJK SC"/>
        <family val="2"/>
      </rPr>
      <t xml:space="preserve">が当</t>
    </r>
    <r>
      <rPr>
        <sz val="11"/>
        <rFont val="Arial"/>
        <family val="0"/>
        <charset val="1"/>
      </rPr>
      <t xml:space="preserve">ch</t>
    </r>
    <r>
      <rPr>
        <sz val="11"/>
        <rFont val="Noto Sans CJK SC"/>
        <family val="2"/>
      </rPr>
      <t xml:space="preserve">最良）なので撤回はしていない。</t>
    </r>
  </si>
  <si>
    <r>
      <rPr>
        <sz val="11"/>
        <rFont val="Arial"/>
        <family val="0"/>
        <charset val="1"/>
      </rPr>
      <t xml:space="preserve">times [16:30,15:00,17:00] → [15:00,17:00,19:00]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120</t>
    </r>
    <r>
      <rPr>
        <sz val="11"/>
        <rFont val="Noto Sans CJK SC"/>
        <family val="2"/>
      </rPr>
      <t xml:space="preserve">分間隔）</t>
    </r>
  </si>
  <si>
    <t xml:space="preserve">■ 指揮者では実行できない（ユーザー操作が必要）</t>
  </si>
  <si>
    <t xml:space="preserve">★最優先</t>
  </si>
  <si>
    <r>
      <rPr>
        <sz val="11"/>
        <rFont val="Arial"/>
        <family val="0"/>
        <charset val="1"/>
      </rPr>
      <t xml:space="preserve">Google OAuth </t>
    </r>
    <r>
      <rPr>
        <sz val="11"/>
        <rFont val="Noto Sans CJK SC"/>
        <family val="2"/>
      </rPr>
      <t xml:space="preserve">同意画面を「テスト」→「本番」へ切り替える。テストのままだとリフレッシュトークン寿命は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日。</t>
    </r>
    <r>
      <rPr>
        <sz val="11"/>
        <rFont val="Arial"/>
        <family val="0"/>
        <charset val="1"/>
      </rPr>
      <t xml:space="preserve">09-16 22:30 </t>
    </r>
    <r>
      <rPr>
        <sz val="11"/>
        <rFont val="Noto Sans CJK SC"/>
        <family val="2"/>
      </rPr>
      <t xml:space="preserve">に更新された</t>
    </r>
    <r>
      <rPr>
        <sz val="11"/>
        <rFont val="Arial"/>
        <family val="0"/>
        <charset val="1"/>
      </rPr>
      <t xml:space="preserve">5ch</t>
    </r>
    <r>
      <rPr>
        <sz val="11"/>
        <rFont val="Noto Sans CJK SC"/>
        <family val="2"/>
      </rPr>
      <t xml:space="preserve">は </t>
    </r>
    <r>
      <rPr>
        <sz val="11"/>
        <rFont val="Arial"/>
        <family val="0"/>
        <charset val="1"/>
      </rPr>
      <t xml:space="preserve">09-23 </t>
    </r>
    <r>
      <rPr>
        <sz val="11"/>
        <rFont val="Noto Sans CJK SC"/>
        <family val="2"/>
      </rPr>
      <t xml:space="preserve">前後にまた一斉に止まる。</t>
    </r>
  </si>
  <si>
    <t xml:space="preserve">★</t>
  </si>
  <si>
    <r>
      <rPr>
        <sz val="11"/>
        <rFont val="Arial"/>
        <family val="0"/>
        <charset val="1"/>
      </rPr>
      <t xml:space="preserve">pokemon-lab </t>
    </r>
    <r>
      <rPr>
        <sz val="11"/>
        <rFont val="Noto Sans CJK SC"/>
        <family val="2"/>
      </rPr>
      <t xml:space="preserve">の </t>
    </r>
    <r>
      <rPr>
        <sz val="11"/>
        <rFont val="Arial"/>
        <family val="0"/>
        <charset val="1"/>
      </rPr>
      <t xml:space="preserve">OAuth </t>
    </r>
    <r>
      <rPr>
        <sz val="11"/>
        <rFont val="Noto Sans CJK SC"/>
        <family val="2"/>
      </rPr>
      <t xml:space="preserve">再認可（最終更新 </t>
    </r>
    <r>
      <rPr>
        <sz val="11"/>
        <rFont val="Arial"/>
        <family val="0"/>
        <charset val="1"/>
      </rPr>
      <t xml:space="preserve">09-10 07:43 / 7.1</t>
    </r>
    <r>
      <rPr>
        <sz val="11"/>
        <rFont val="Noto Sans CJK SC"/>
        <family val="2"/>
      </rPr>
      <t xml:space="preserve">日経過で失効）。</t>
    </r>
    <r>
      <rPr>
        <sz val="11"/>
        <rFont val="Arial"/>
        <family val="0"/>
        <charset val="1"/>
      </rPr>
      <t xml:space="preserve">09-15</t>
    </r>
    <r>
      <rPr>
        <sz val="11"/>
        <rFont val="Noto Sans CJK SC"/>
        <family val="2"/>
      </rPr>
      <t xml:space="preserve">・</t>
    </r>
    <r>
      <rPr>
        <sz val="11"/>
        <rFont val="Arial"/>
        <family val="0"/>
        <charset val="1"/>
      </rPr>
      <t xml:space="preserve">09-16 </t>
    </r>
    <r>
      <rPr>
        <sz val="11"/>
        <rFont val="Noto Sans CJK SC"/>
        <family val="2"/>
      </rPr>
      <t xml:space="preserve">の公開は</t>
    </r>
    <r>
      <rPr>
        <sz val="11"/>
        <rFont val="Arial"/>
        <family val="0"/>
        <charset val="1"/>
      </rPr>
      <t xml:space="preserve">0</t>
    </r>
    <r>
      <rPr>
        <sz val="11"/>
        <rFont val="Noto Sans CJK SC"/>
        <family val="2"/>
      </rPr>
      <t xml:space="preserve">本。</t>
    </r>
  </si>
  <si>
    <r>
      <rPr>
        <sz val="11"/>
        <rFont val="Noto Sans CJK SC"/>
        <family val="2"/>
      </rPr>
      <t xml:space="preserve">失効放置の</t>
    </r>
    <r>
      <rPr>
        <sz val="11"/>
        <rFont val="Arial"/>
        <family val="0"/>
        <charset val="1"/>
      </rPr>
      <t xml:space="preserve">6ch: clip-animal(10.5</t>
    </r>
    <r>
      <rPr>
        <sz val="11"/>
        <rFont val="Noto Sans CJK SC"/>
        <family val="2"/>
      </rPr>
      <t xml:space="preserve">日</t>
    </r>
    <r>
      <rPr>
        <sz val="11"/>
        <rFont val="Arial"/>
        <family val="0"/>
        <charset val="1"/>
      </rPr>
      <t xml:space="preserve">) fake-paper(10.0</t>
    </r>
    <r>
      <rPr>
        <sz val="11"/>
        <rFont val="Noto Sans CJK SC"/>
        <family val="2"/>
      </rPr>
      <t xml:space="preserve">日</t>
    </r>
    <r>
      <rPr>
        <sz val="11"/>
        <rFont val="Arial"/>
        <family val="0"/>
        <charset val="1"/>
      </rPr>
      <t xml:space="preserve">) akashic-librarian(9.8</t>
    </r>
    <r>
      <rPr>
        <sz val="11"/>
        <rFont val="Noto Sans CJK SC"/>
        <family val="2"/>
      </rPr>
      <t xml:space="preserve">日</t>
    </r>
    <r>
      <rPr>
        <sz val="11"/>
        <rFont val="Arial"/>
        <family val="0"/>
        <charset val="1"/>
      </rPr>
      <t xml:space="preserve">) clip-fukada / clip-kaneko / clip-lab(8.5</t>
    </r>
    <r>
      <rPr>
        <sz val="11"/>
        <rFont val="Noto Sans CJK SC"/>
        <family val="2"/>
      </rPr>
      <t xml:space="preserve">日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。</t>
    </r>
    <r>
      <rPr>
        <sz val="11"/>
        <rFont val="Arial"/>
        <family val="0"/>
        <charset val="1"/>
      </rPr>
      <t xml:space="preserve">autopilot=false </t>
    </r>
    <r>
      <rPr>
        <sz val="11"/>
        <rFont val="Noto Sans CJK SC"/>
        <family val="2"/>
      </rPr>
      <t xml:space="preserve">なので無駄は出ていない。</t>
    </r>
  </si>
  <si>
    <r>
      <rPr>
        <sz val="11"/>
        <rFont val="Arial"/>
        <family val="0"/>
        <charset val="1"/>
      </rPr>
      <t xml:space="preserve">restart_and_trigger_20260917.command </t>
    </r>
    <r>
      <rPr>
        <sz val="11"/>
        <rFont val="Noto Sans CJK SC"/>
        <family val="2"/>
      </rPr>
      <t xml:space="preserve">を実行（</t>
    </r>
    <r>
      <rPr>
        <sz val="11"/>
        <rFont val="Arial"/>
        <family val="0"/>
        <charset val="1"/>
      </rPr>
      <t xml:space="preserve">backend </t>
    </r>
    <r>
      <rPr>
        <sz val="11"/>
        <rFont val="Noto Sans CJK SC"/>
        <family val="2"/>
      </rPr>
      <t xml:space="preserve">再起動＋制作指示）。今日のコード修正はこれで初めて有効になる。</t>
    </r>
  </si>
  <si>
    <r>
      <rPr>
        <sz val="11"/>
        <rFont val="Arial"/>
        <family val="0"/>
        <charset val="1"/>
      </rPr>
      <t xml:space="preserve">yokai-watch / company-facts / pokemon-lab </t>
    </r>
    <r>
      <rPr>
        <sz val="11"/>
        <rFont val="Noto Sans CJK SC"/>
        <family val="2"/>
      </rPr>
      <t xml:space="preserve">は </t>
    </r>
    <r>
      <rPr>
        <sz val="11"/>
        <rFont val="Arial"/>
        <family val="0"/>
        <charset val="1"/>
      </rPr>
      <t xml:space="preserve">retention_curve </t>
    </r>
    <r>
      <rPr>
        <sz val="11"/>
        <rFont val="Noto Sans CJK SC"/>
        <family val="2"/>
      </rPr>
      <t xml:space="preserve">が</t>
    </r>
    <r>
      <rPr>
        <sz val="11"/>
        <rFont val="Arial"/>
        <family val="0"/>
        <charset val="1"/>
      </rPr>
      <t xml:space="preserve">0</t>
    </r>
    <r>
      <rPr>
        <sz val="11"/>
        <rFont val="Noto Sans CJK SC"/>
        <family val="2"/>
      </rPr>
      <t xml:space="preserve">本で離脱分析ができない。</t>
    </r>
    <r>
      <rPr>
        <sz val="11"/>
        <rFont val="Arial"/>
        <family val="0"/>
        <charset val="1"/>
      </rPr>
      <t xml:space="preserve">yokai-watch </t>
    </r>
    <r>
      <rPr>
        <sz val="11"/>
        <rFont val="Noto Sans CJK SC"/>
        <family val="2"/>
      </rPr>
      <t xml:space="preserve">は登録転換が全</t>
    </r>
    <r>
      <rPr>
        <sz val="11"/>
        <rFont val="Arial"/>
        <family val="0"/>
        <charset val="1"/>
      </rPr>
      <t xml:space="preserve">ch</t>
    </r>
    <r>
      <rPr>
        <sz val="11"/>
        <rFont val="Noto Sans CJK SC"/>
        <family val="2"/>
      </rPr>
      <t xml:space="preserve">最良</t>
    </r>
    <r>
      <rPr>
        <sz val="11"/>
        <rFont val="Arial"/>
        <family val="0"/>
        <charset val="1"/>
      </rPr>
      <t xml:space="preserve">(1.312)</t>
    </r>
    <r>
      <rPr>
        <sz val="11"/>
        <rFont val="Noto Sans CJK SC"/>
        <family val="2"/>
      </rPr>
      <t xml:space="preserve">なのに理由を維持率から検証できていない。</t>
    </r>
  </si>
  <si>
    <r>
      <rPr>
        <b val="true"/>
        <sz val="14"/>
        <color rgb="FF1F3864"/>
        <rFont val="Noto Sans CJK SC"/>
        <family val="2"/>
      </rPr>
      <t xml:space="preserve">タイトル語別トレンド（</t>
    </r>
    <r>
      <rPr>
        <b val="true"/>
        <sz val="14"/>
        <color rgb="FF1F3864"/>
        <rFont val="Arial"/>
        <family val="0"/>
        <charset val="1"/>
      </rPr>
      <t xml:space="preserve">ch</t>
    </r>
    <r>
      <rPr>
        <b val="true"/>
        <sz val="14"/>
        <color rgb="FF1F3864"/>
        <rFont val="Noto Sans CJK SC"/>
        <family val="2"/>
      </rPr>
      <t xml:space="preserve">内対照）</t>
    </r>
  </si>
  <si>
    <r>
      <rPr>
        <i val="true"/>
        <sz val="9"/>
        <color rgb="FF595959"/>
        <rFont val="Noto Sans CJK SC"/>
        <family val="2"/>
      </rPr>
      <t xml:space="preserve">各語について「その語を含む本」と「含まない本」を同一チャンネル内で比較。</t>
    </r>
    <r>
      <rPr>
        <i val="true"/>
        <sz val="9"/>
        <color rgb="FF595959"/>
        <rFont val="Arial"/>
        <family val="0"/>
        <charset val="1"/>
      </rPr>
      <t xml:space="preserve">n&lt;3 </t>
    </r>
    <r>
      <rPr>
        <i val="true"/>
        <sz val="9"/>
        <color rgb="FF595959"/>
        <rFont val="Noto Sans CJK SC"/>
        <family val="2"/>
      </rPr>
      <t xml:space="preserve">の語は除外。</t>
    </r>
  </si>
  <si>
    <t xml:space="preserve">語</t>
  </si>
  <si>
    <r>
      <rPr>
        <b val="true"/>
        <sz val="11"/>
        <color rgb="FFFFFFFF"/>
        <rFont val="Noto Sans CJK SC"/>
        <family val="2"/>
      </rPr>
      <t xml:space="preserve">該当</t>
    </r>
    <r>
      <rPr>
        <b val="true"/>
        <sz val="11"/>
        <color rgb="FFFFFFFF"/>
        <rFont val="Arial"/>
        <family val="0"/>
        <charset val="1"/>
      </rPr>
      <t xml:space="preserve">n</t>
    </r>
  </si>
  <si>
    <r>
      <rPr>
        <b val="true"/>
        <sz val="11"/>
        <color rgb="FFFFFFFF"/>
        <rFont val="Noto Sans CJK SC"/>
        <family val="2"/>
      </rPr>
      <t xml:space="preserve">該当 登録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千</t>
    </r>
  </si>
  <si>
    <r>
      <rPr>
        <b val="true"/>
        <sz val="11"/>
        <color rgb="FFFFFFFF"/>
        <rFont val="Noto Sans CJK SC"/>
        <family val="2"/>
      </rPr>
      <t xml:space="preserve">非該当 登録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千</t>
    </r>
  </si>
  <si>
    <t xml:space="preserve">倍率</t>
  </si>
  <si>
    <t xml:space="preserve">判定</t>
  </si>
  <si>
    <t xml:space="preserve">本日の扱い</t>
  </si>
  <si>
    <t xml:space="preserve">なぜ</t>
  </si>
  <si>
    <t xml:space="preserve">勝ち語</t>
  </si>
  <si>
    <t xml:space="preserve">主軸に採用</t>
  </si>
  <si>
    <t xml:space="preserve">正体</t>
  </si>
  <si>
    <t xml:space="preserve">中立</t>
  </si>
  <si>
    <t xml:space="preserve">理由</t>
  </si>
  <si>
    <t xml:space="preserve">本当の</t>
  </si>
  <si>
    <t xml:space="preserve">据え置き</t>
  </si>
  <si>
    <t xml:space="preserve">負け語</t>
  </si>
  <si>
    <r>
      <rPr>
        <sz val="11"/>
        <rFont val="Arial"/>
        <family val="0"/>
        <charset val="1"/>
      </rPr>
      <t xml:space="preserve">words </t>
    </r>
    <r>
      <rPr>
        <sz val="11"/>
        <rFont val="Noto Sans CJK SC"/>
        <family val="2"/>
      </rPr>
      <t xml:space="preserve">から除外</t>
    </r>
  </si>
  <si>
    <t xml:space="preserve">実は</t>
  </si>
  <si>
    <t xml:space="preserve">裏側</t>
  </si>
  <si>
    <t xml:space="preserve">実態</t>
  </si>
  <si>
    <r>
      <rPr>
        <b val="true"/>
        <sz val="11"/>
        <rFont val="Noto Sans CJK SC"/>
        <family val="2"/>
      </rPr>
      <t xml:space="preserve">■ 視聴維持の離脱バケット（</t>
    </r>
    <r>
      <rPr>
        <b val="true"/>
        <sz val="11"/>
        <rFont val="Arial"/>
        <family val="0"/>
        <charset val="1"/>
      </rPr>
      <t xml:space="preserve">retention_insights.json / 2026-09-16 </t>
    </r>
    <r>
      <rPr>
        <b val="true"/>
        <sz val="11"/>
        <rFont val="Noto Sans CJK SC"/>
        <family val="2"/>
      </rPr>
      <t xml:space="preserve">生成）</t>
    </r>
  </si>
  <si>
    <t xml:space="preserve">分析本数</t>
  </si>
  <si>
    <t xml:space="preserve">intro</t>
  </si>
  <si>
    <t xml:space="preserve">early(12-25%)</t>
  </si>
  <si>
    <t xml:space="preserve">middle</t>
  </si>
  <si>
    <t xml:space="preserve">late</t>
  </si>
  <si>
    <t xml:space="preserve">ending</t>
  </si>
  <si>
    <t xml:space="preserve">所見</t>
  </si>
  <si>
    <r>
      <rPr>
        <sz val="11"/>
        <rFont val="Arial"/>
        <family val="0"/>
        <charset val="1"/>
      </rPr>
      <t xml:space="preserve">early </t>
    </r>
    <r>
      <rPr>
        <sz val="11"/>
        <rFont val="Noto Sans CJK SC"/>
        <family val="2"/>
      </rPr>
      <t xml:space="preserve">は </t>
    </r>
    <r>
      <rPr>
        <sz val="11"/>
        <rFont val="Arial"/>
        <family val="0"/>
        <charset val="1"/>
      </rPr>
      <t xml:space="preserve">middle </t>
    </r>
    <r>
      <rPr>
        <sz val="11"/>
        <rFont val="Noto Sans CJK SC"/>
        <family val="2"/>
      </rPr>
      <t xml:space="preserve">の </t>
    </r>
    <r>
      <rPr>
        <sz val="11"/>
        <rFont val="Arial"/>
        <family val="0"/>
        <charset val="1"/>
      </rPr>
      <t xml:space="preserve">4.8</t>
    </r>
    <r>
      <rPr>
        <sz val="11"/>
        <rFont val="Noto Sans CJK SC"/>
        <family val="2"/>
      </rPr>
      <t xml:space="preserve">倍。本題直後で切られている。</t>
    </r>
  </si>
  <si>
    <r>
      <rPr>
        <sz val="11"/>
        <rFont val="Arial"/>
        <family val="0"/>
        <charset val="1"/>
      </rPr>
      <t xml:space="preserve">early </t>
    </r>
    <r>
      <rPr>
        <sz val="11"/>
        <rFont val="Noto Sans CJK SC"/>
        <family val="2"/>
      </rPr>
      <t xml:space="preserve">は </t>
    </r>
    <r>
      <rPr>
        <sz val="11"/>
        <rFont val="Arial"/>
        <family val="0"/>
        <charset val="1"/>
      </rPr>
      <t xml:space="preserve">middle </t>
    </r>
    <r>
      <rPr>
        <sz val="11"/>
        <rFont val="Noto Sans CJK SC"/>
        <family val="2"/>
      </rPr>
      <t xml:space="preserve">の </t>
    </r>
    <r>
      <rPr>
        <sz val="11"/>
        <rFont val="Arial"/>
        <family val="0"/>
        <charset val="1"/>
      </rPr>
      <t xml:space="preserve">4.0</t>
    </r>
    <r>
      <rPr>
        <sz val="11"/>
        <rFont val="Noto Sans CJK SC"/>
        <family val="2"/>
      </rPr>
      <t xml:space="preserve">倍。本題直後で切られている。</t>
    </r>
  </si>
  <si>
    <r>
      <rPr>
        <sz val="11"/>
        <rFont val="Arial"/>
        <family val="0"/>
        <charset val="1"/>
      </rPr>
      <t xml:space="preserve">retention_curve </t>
    </r>
    <r>
      <rPr>
        <sz val="11"/>
        <rFont val="Noto Sans CJK SC"/>
        <family val="2"/>
      </rPr>
      <t xml:space="preserve">が</t>
    </r>
    <r>
      <rPr>
        <sz val="11"/>
        <rFont val="Arial"/>
        <family val="0"/>
        <charset val="1"/>
      </rPr>
      <t xml:space="preserve">0</t>
    </r>
    <r>
      <rPr>
        <sz val="11"/>
        <rFont val="Noto Sans CJK SC"/>
        <family val="2"/>
      </rPr>
      <t xml:space="preserve">本。離脱分析ができない（要 </t>
    </r>
    <r>
      <rPr>
        <sz val="11"/>
        <rFont val="Arial"/>
        <family val="0"/>
        <charset val="1"/>
      </rPr>
      <t xml:space="preserve">fetch </t>
    </r>
    <r>
      <rPr>
        <sz val="11"/>
        <rFont val="Noto Sans CJK SC"/>
        <family val="2"/>
      </rPr>
      <t xml:space="preserve">設定確認）</t>
    </r>
  </si>
  <si>
    <r>
      <rPr>
        <sz val="11"/>
        <rFont val="Arial"/>
        <family val="0"/>
        <charset val="1"/>
      </rPr>
      <t xml:space="preserve">early </t>
    </r>
    <r>
      <rPr>
        <sz val="11"/>
        <rFont val="Noto Sans CJK SC"/>
        <family val="2"/>
      </rPr>
      <t xml:space="preserve">は </t>
    </r>
    <r>
      <rPr>
        <sz val="11"/>
        <rFont val="Arial"/>
        <family val="0"/>
        <charset val="1"/>
      </rPr>
      <t xml:space="preserve">middle </t>
    </r>
    <r>
      <rPr>
        <sz val="11"/>
        <rFont val="Noto Sans CJK SC"/>
        <family val="2"/>
      </rPr>
      <t xml:space="preserve">の </t>
    </r>
    <r>
      <rPr>
        <sz val="11"/>
        <rFont val="Arial"/>
        <family val="0"/>
        <charset val="1"/>
      </rPr>
      <t xml:space="preserve">4.5</t>
    </r>
    <r>
      <rPr>
        <sz val="11"/>
        <rFont val="Noto Sans CJK SC"/>
        <family val="2"/>
      </rPr>
      <t xml:space="preserve">倍。本題直後で切られている。</t>
    </r>
  </si>
  <si>
    <r>
      <rPr>
        <i val="true"/>
        <sz val="9"/>
        <color rgb="FF595959"/>
        <rFont val="Noto Sans CJK SC"/>
        <family val="2"/>
      </rPr>
      <t xml:space="preserve">※ 離脱行はいずれも「たとえるなら〜」「そう考えると分かりやすいです」で始まる</t>
    </r>
    <r>
      <rPr>
        <i val="true"/>
        <sz val="9"/>
        <color rgb="FF595959"/>
        <rFont val="Arial"/>
        <family val="0"/>
        <charset val="1"/>
      </rPr>
      <t xml:space="preserve">2</t>
    </r>
    <r>
      <rPr>
        <i val="true"/>
        <sz val="9"/>
        <color rgb="FF595959"/>
        <rFont val="Noto Sans CJK SC"/>
        <family val="2"/>
      </rPr>
      <t xml:space="preserve">文つなぎの長行（</t>
    </r>
    <r>
      <rPr>
        <i val="true"/>
        <sz val="9"/>
        <color rgb="FF595959"/>
        <rFont val="Arial"/>
        <family val="0"/>
        <charset val="1"/>
      </rPr>
      <t xml:space="preserve">scenario index 7</t>
    </r>
    <r>
      <rPr>
        <i val="true"/>
        <sz val="9"/>
        <color rgb="FF595959"/>
        <rFont val="Noto Sans CJK SC"/>
        <family val="2"/>
      </rPr>
      <t xml:space="preserve">〜</t>
    </r>
    <r>
      <rPr>
        <i val="true"/>
        <sz val="9"/>
        <color rgb="FF595959"/>
        <rFont val="Arial"/>
        <family val="0"/>
        <charset val="1"/>
      </rPr>
      <t xml:space="preserve">12</t>
    </r>
    <r>
      <rPr>
        <i val="true"/>
        <sz val="9"/>
        <color rgb="FF595959"/>
        <rFont val="Noto Sans CJK SC"/>
        <family val="2"/>
      </rPr>
      <t xml:space="preserve">）だった。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</si>
</sst>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4"/>
      <color rgb="FF1F3864"/>
      <name val="Noto Sans CJK SC"/>
      <family val="2"/>
    </font>
    <font>
      <i val="true"/>
      <sz val="9"/>
      <color rgb="FF595959"/>
      <name val="Noto Sans CJK SC"/>
      <family val="2"/>
    </font>
    <font>
      <i val="true"/>
      <sz val="9"/>
      <color rgb="FF595959"/>
      <name val="Arial"/>
      <family val="0"/>
      <charset val="1"/>
    </font>
    <font>
      <b val="true"/>
      <sz val="11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CE4EC"/>
        <bgColor rgb="FFFFF2CC"/>
      </patternFill>
    </fill>
    <fill>
      <patternFill patternType="solid">
        <fgColor rgb="FFFFF2CC"/>
        <bgColor rgb="FFFCE4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6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</row>
    <row r="6" customFormat="false" ht="30" hidden="false" customHeight="true" outlineLevel="0" collapsed="false">
      <c r="A6" s="4" t="s">
        <v>4</v>
      </c>
    </row>
    <row r="7" customFormat="false" ht="30" hidden="false" customHeight="true" outlineLevel="0" collapsed="false">
      <c r="A7" s="4" t="s">
        <v>5</v>
      </c>
    </row>
    <row r="8" customFormat="false" ht="30" hidden="false" customHeight="true" outlineLevel="0" collapsed="false">
      <c r="A8" s="4" t="s">
        <v>6</v>
      </c>
    </row>
    <row r="9" customFormat="false" ht="30" hidden="false" customHeight="true" outlineLevel="0" collapsed="false">
      <c r="A9" s="4" t="s">
        <v>7</v>
      </c>
    </row>
    <row r="10" customFormat="false" ht="30" hidden="false" customHeight="true" outlineLevel="0" collapsed="false">
      <c r="A10" s="4" t="s">
        <v>8</v>
      </c>
    </row>
    <row r="12" customFormat="false" ht="17.15" hidden="false" customHeight="false" outlineLevel="0" collapsed="false">
      <c r="A12" s="3" t="s">
        <v>9</v>
      </c>
    </row>
    <row r="13" customFormat="false" ht="17.15" hidden="false" customHeight="false" outlineLevel="0" collapsed="false">
      <c r="A13" s="5" t="s">
        <v>10</v>
      </c>
      <c r="B13" s="5" t="s">
        <v>11</v>
      </c>
      <c r="C13" s="5" t="s">
        <v>12</v>
      </c>
    </row>
    <row r="14" customFormat="false" ht="15" hidden="false" customHeight="false" outlineLevel="0" collapsed="false">
      <c r="A14" s="6" t="s">
        <v>13</v>
      </c>
      <c r="B14" s="6" t="n">
        <v>12</v>
      </c>
      <c r="C14" s="6"/>
    </row>
    <row r="15" customFormat="false" ht="15" hidden="false" customHeight="false" outlineLevel="0" collapsed="false">
      <c r="A15" s="6" t="s">
        <v>14</v>
      </c>
      <c r="B15" s="7" t="n">
        <v>25</v>
      </c>
      <c r="C15" s="6"/>
    </row>
    <row r="16" customFormat="false" ht="15" hidden="false" customHeight="false" outlineLevel="0" collapsed="false">
      <c r="A16" s="6" t="s">
        <v>15</v>
      </c>
      <c r="B16" s="7" t="n">
        <v>33</v>
      </c>
      <c r="C16" s="8" t="s">
        <v>16</v>
      </c>
    </row>
    <row r="17" customFormat="false" ht="15" hidden="false" customHeight="false" outlineLevel="0" collapsed="false">
      <c r="A17" s="6" t="s">
        <v>17</v>
      </c>
      <c r="B17" s="7" t="n">
        <v>30</v>
      </c>
      <c r="C17" s="6"/>
    </row>
    <row r="18" customFormat="false" ht="15" hidden="false" customHeight="false" outlineLevel="0" collapsed="false">
      <c r="A18" s="6" t="s">
        <v>18</v>
      </c>
      <c r="B18" s="7" t="n">
        <v>27</v>
      </c>
      <c r="C18" s="6"/>
    </row>
    <row r="19" customFormat="false" ht="15" hidden="false" customHeight="false" outlineLevel="0" collapsed="false">
      <c r="A19" s="6" t="s">
        <v>19</v>
      </c>
      <c r="B19" s="6" t="n">
        <v>21</v>
      </c>
      <c r="C19" s="6"/>
    </row>
    <row r="20" customFormat="false" ht="17.15" hidden="false" customHeight="false" outlineLevel="0" collapsed="false">
      <c r="A20" s="6" t="s">
        <v>20</v>
      </c>
      <c r="B20" s="9" t="n">
        <v>2</v>
      </c>
      <c r="C20" s="6" t="s">
        <v>21</v>
      </c>
    </row>
    <row r="21" customFormat="false" ht="15" hidden="false" customHeight="false" outlineLevel="0" collapsed="false">
      <c r="A21" s="6" t="s">
        <v>22</v>
      </c>
      <c r="B21" s="9" t="n">
        <v>2</v>
      </c>
      <c r="C21" s="8" t="s">
        <v>23</v>
      </c>
    </row>
    <row r="22" customFormat="false" ht="17.15" hidden="false" customHeight="false" outlineLevel="0" collapsed="false">
      <c r="A22" s="6" t="s">
        <v>24</v>
      </c>
      <c r="B22" s="6" t="n">
        <v>9</v>
      </c>
      <c r="C22" s="6" t="s">
        <v>25</v>
      </c>
    </row>
    <row r="23" customFormat="false" ht="15" hidden="false" customHeight="false" outlineLevel="0" collapsed="false">
      <c r="A23" s="6" t="s">
        <v>26</v>
      </c>
      <c r="B23" s="6" t="n">
        <v>17</v>
      </c>
      <c r="C23" s="6"/>
    </row>
    <row r="24" customFormat="false" ht="15" hidden="false" customHeight="false" outlineLevel="0" collapsed="false">
      <c r="A24" s="6" t="s">
        <v>27</v>
      </c>
      <c r="B24" s="6" t="n">
        <v>13</v>
      </c>
      <c r="C24" s="6"/>
    </row>
    <row r="25" customFormat="false" ht="15" hidden="false" customHeight="false" outlineLevel="0" collapsed="false">
      <c r="A25" s="6" t="s">
        <v>28</v>
      </c>
      <c r="B25" s="6" t="n">
        <v>13</v>
      </c>
      <c r="C25" s="6"/>
    </row>
    <row r="26" customFormat="false" ht="15" hidden="false" customHeight="false" outlineLevel="0" collapsed="false">
      <c r="A26" s="3" t="s">
        <v>29</v>
      </c>
      <c r="B26" s="3" t="n">
        <f aca="false">SUM(B14:B25)</f>
        <v>204</v>
      </c>
    </row>
    <row r="27" customFormat="false" ht="17.15" hidden="false" customHeight="false" outlineLevel="0" collapsed="false">
      <c r="A27" s="10" t="s">
        <v>30</v>
      </c>
      <c r="B27" s="3" t="n">
        <f aca="false">ROUND(AVERAGE(B14:B25),1)</f>
        <v>17</v>
      </c>
    </row>
    <row r="29" customFormat="false" ht="15" hidden="false" customHeight="false" outlineLevel="0" collapsed="false">
      <c r="A29" s="11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34"/>
  </cols>
  <sheetData>
    <row r="1" customFormat="false" ht="17.35" hidden="false" customHeight="false" outlineLevel="0" collapsed="false">
      <c r="A1" s="12" t="s">
        <v>32</v>
      </c>
    </row>
    <row r="2" customFormat="false" ht="15" hidden="false" customHeight="false" outlineLevel="0" collapsed="false">
      <c r="A2" s="2" t="s">
        <v>33</v>
      </c>
    </row>
    <row r="4" customFormat="false" ht="29.85" hidden="false" customHeight="false" outlineLevel="0" collapsed="false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40</v>
      </c>
      <c r="H4" s="5" t="s">
        <v>41</v>
      </c>
      <c r="I4" s="5" t="s">
        <v>42</v>
      </c>
      <c r="J4" s="5" t="s">
        <v>43</v>
      </c>
    </row>
    <row r="5" customFormat="false" ht="31.5" hidden="false" customHeight="true" outlineLevel="0" collapsed="false">
      <c r="A5" s="6" t="s">
        <v>44</v>
      </c>
      <c r="B5" s="6" t="n">
        <v>46</v>
      </c>
      <c r="C5" s="6" t="n">
        <v>363588</v>
      </c>
      <c r="D5" s="6" t="n">
        <v>264</v>
      </c>
      <c r="E5" s="13" t="n">
        <f aca="false">IFERROR(ROUND(D5/C5*1000,3),0)</f>
        <v>0.726</v>
      </c>
      <c r="F5" s="6" t="n">
        <v>32</v>
      </c>
      <c r="G5" s="6" t="n">
        <f aca="false">IFERROR(ROUND(1595/C5*100,3),0)</f>
        <v>0.439</v>
      </c>
      <c r="H5" s="6" t="n">
        <v>0</v>
      </c>
      <c r="I5" s="8" t="s">
        <v>45</v>
      </c>
      <c r="J5" s="14" t="s">
        <v>46</v>
      </c>
    </row>
    <row r="6" customFormat="false" ht="31.5" hidden="false" customHeight="true" outlineLevel="0" collapsed="false">
      <c r="A6" s="6" t="s">
        <v>47</v>
      </c>
      <c r="B6" s="6" t="n">
        <v>37</v>
      </c>
      <c r="C6" s="6" t="n">
        <v>434194</v>
      </c>
      <c r="D6" s="6" t="n">
        <v>282</v>
      </c>
      <c r="E6" s="13" t="n">
        <f aca="false">IFERROR(ROUND(D6/C6*1000,3),0)</f>
        <v>0.649</v>
      </c>
      <c r="F6" s="6" t="n">
        <v>51.1</v>
      </c>
      <c r="G6" s="6" t="n">
        <f aca="false">IFERROR(ROUND(1374/C6*100,3),0)</f>
        <v>0.316</v>
      </c>
      <c r="H6" s="6" t="n">
        <v>40</v>
      </c>
      <c r="I6" s="8" t="s">
        <v>48</v>
      </c>
      <c r="J6" s="14" t="s">
        <v>49</v>
      </c>
    </row>
    <row r="7" customFormat="false" ht="31.5" hidden="false" customHeight="true" outlineLevel="0" collapsed="false">
      <c r="A7" s="6" t="s">
        <v>50</v>
      </c>
      <c r="B7" s="6" t="n">
        <v>35</v>
      </c>
      <c r="C7" s="6" t="n">
        <v>322391</v>
      </c>
      <c r="D7" s="6" t="n">
        <v>199</v>
      </c>
      <c r="E7" s="13" t="n">
        <f aca="false">IFERROR(ROUND(D7/C7*1000,3),0)</f>
        <v>0.617</v>
      </c>
      <c r="F7" s="6" t="n">
        <v>39.1</v>
      </c>
      <c r="G7" s="6" t="n">
        <f aca="false">IFERROR(ROUND(2029/C7*100,3),0)</f>
        <v>0.629</v>
      </c>
      <c r="H7" s="6" t="n">
        <v>17</v>
      </c>
      <c r="I7" s="8" t="s">
        <v>45</v>
      </c>
      <c r="J7" s="14" t="s">
        <v>51</v>
      </c>
    </row>
    <row r="8" customFormat="false" ht="31.5" hidden="false" customHeight="true" outlineLevel="0" collapsed="false">
      <c r="A8" s="6" t="s">
        <v>52</v>
      </c>
      <c r="B8" s="6" t="n">
        <v>33</v>
      </c>
      <c r="C8" s="6" t="n">
        <v>294812</v>
      </c>
      <c r="D8" s="6" t="n">
        <v>175</v>
      </c>
      <c r="E8" s="13" t="n">
        <f aca="false">IFERROR(ROUND(D8/C8*1000,3),0)</f>
        <v>0.594</v>
      </c>
      <c r="F8" s="6" t="n">
        <v>34.5</v>
      </c>
      <c r="G8" s="6" t="n">
        <f aca="false">IFERROR(ROUND(1435/C8*100,3),0)</f>
        <v>0.487</v>
      </c>
      <c r="H8" s="6" t="n">
        <v>4</v>
      </c>
      <c r="I8" s="8" t="s">
        <v>45</v>
      </c>
      <c r="J8" s="14" t="s">
        <v>53</v>
      </c>
    </row>
    <row r="9" customFormat="false" ht="31.5" hidden="false" customHeight="true" outlineLevel="0" collapsed="false">
      <c r="A9" s="6" t="s">
        <v>54</v>
      </c>
      <c r="B9" s="6" t="n">
        <v>44</v>
      </c>
      <c r="C9" s="6" t="n">
        <v>526799</v>
      </c>
      <c r="D9" s="6" t="n">
        <v>57</v>
      </c>
      <c r="E9" s="15" t="n">
        <f aca="false">IFERROR(ROUND(D9/C9*1000,3),0)</f>
        <v>0.108</v>
      </c>
      <c r="F9" s="6" t="n">
        <v>37.3</v>
      </c>
      <c r="G9" s="6" t="n">
        <f aca="false">IFERROR(ROUND(1253/C9*100,3),0)</f>
        <v>0.238</v>
      </c>
      <c r="H9" s="6" t="n">
        <v>106</v>
      </c>
      <c r="I9" s="16" t="s">
        <v>55</v>
      </c>
      <c r="J9" s="14" t="s">
        <v>56</v>
      </c>
    </row>
    <row r="10" customFormat="false" ht="17.15" hidden="false" customHeight="false" outlineLevel="0" collapsed="false">
      <c r="A10" s="3" t="s">
        <v>57</v>
      </c>
      <c r="B10" s="3" t="n">
        <f aca="false">SUM(B5:B9)</f>
        <v>195</v>
      </c>
      <c r="C10" s="3" t="n">
        <f aca="false">SUM(C5:C9)</f>
        <v>1941784</v>
      </c>
      <c r="D10" s="3" t="n">
        <f aca="false">SUM(D5:D9)</f>
        <v>977</v>
      </c>
      <c r="E10" s="3" t="n">
        <f aca="false">IFERROR(ROUND(D10/C10*1000,3),0)</f>
        <v>0.503</v>
      </c>
    </row>
    <row r="12" customFormat="false" ht="15" hidden="false" customHeight="false" outlineLevel="0" collapsed="false">
      <c r="A12" s="11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5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1"/>
  </cols>
  <sheetData>
    <row r="1" customFormat="false" ht="21.6" hidden="false" customHeight="false" outlineLevel="0" collapsed="false">
      <c r="A1" s="12" t="s">
        <v>59</v>
      </c>
    </row>
    <row r="2" customFormat="false" ht="15" hidden="false" customHeight="false" outlineLevel="0" collapsed="false">
      <c r="A2" s="11" t="s">
        <v>60</v>
      </c>
    </row>
    <row r="4" customFormat="false" ht="17.15" hidden="false" customHeight="false" outlineLevel="0" collapsed="false">
      <c r="A4" s="5" t="s">
        <v>61</v>
      </c>
      <c r="B4" s="5" t="s">
        <v>34</v>
      </c>
      <c r="C4" s="5" t="s">
        <v>62</v>
      </c>
      <c r="D4" s="5" t="s">
        <v>63</v>
      </c>
      <c r="E4" s="5" t="s">
        <v>64</v>
      </c>
      <c r="F4" s="5" t="s">
        <v>65</v>
      </c>
      <c r="G4" s="5" t="s">
        <v>38</v>
      </c>
      <c r="H4" s="5" t="s">
        <v>66</v>
      </c>
    </row>
    <row r="5" customFormat="false" ht="32.8" hidden="false" customHeight="false" outlineLevel="0" collapsed="false">
      <c r="A5" s="6" t="n">
        <v>1</v>
      </c>
      <c r="B5" s="6" t="s">
        <v>44</v>
      </c>
      <c r="C5" s="17" t="s">
        <v>67</v>
      </c>
      <c r="D5" s="6" t="s">
        <v>68</v>
      </c>
      <c r="E5" s="6" t="n">
        <v>3020</v>
      </c>
      <c r="F5" s="6" t="n">
        <v>17</v>
      </c>
      <c r="G5" s="18" t="n">
        <f aca="false">IFERROR(ROUND(F5/E5*1000,2),0)</f>
        <v>5.63</v>
      </c>
      <c r="H5" s="6" t="n">
        <v>22.8</v>
      </c>
    </row>
    <row r="6" customFormat="false" ht="32.8" hidden="false" customHeight="false" outlineLevel="0" collapsed="false">
      <c r="A6" s="6" t="n">
        <v>2</v>
      </c>
      <c r="B6" s="6" t="s">
        <v>44</v>
      </c>
      <c r="C6" s="19" t="s">
        <v>69</v>
      </c>
      <c r="D6" s="6" t="s">
        <v>18</v>
      </c>
      <c r="E6" s="6" t="n">
        <v>728</v>
      </c>
      <c r="F6" s="6" t="n">
        <v>4</v>
      </c>
      <c r="G6" s="18" t="n">
        <f aca="false">IFERROR(ROUND(F6/E6*1000,2),0)</f>
        <v>5.49</v>
      </c>
      <c r="H6" s="6" t="n">
        <v>21.6</v>
      </c>
    </row>
    <row r="7" customFormat="false" ht="17.15" hidden="false" customHeight="false" outlineLevel="0" collapsed="false">
      <c r="A7" s="6" t="n">
        <v>3</v>
      </c>
      <c r="B7" s="6" t="s">
        <v>50</v>
      </c>
      <c r="C7" s="17" t="s">
        <v>70</v>
      </c>
      <c r="D7" s="6" t="s">
        <v>71</v>
      </c>
      <c r="E7" s="6" t="n">
        <v>8618</v>
      </c>
      <c r="F7" s="6" t="n">
        <v>30</v>
      </c>
      <c r="G7" s="18" t="n">
        <f aca="false">IFERROR(ROUND(F7/E7*1000,2),0)</f>
        <v>3.48</v>
      </c>
      <c r="H7" s="6" t="n">
        <v>39.9</v>
      </c>
    </row>
    <row r="8" customFormat="false" ht="32.8" hidden="false" customHeight="false" outlineLevel="0" collapsed="false">
      <c r="A8" s="6" t="n">
        <v>4</v>
      </c>
      <c r="B8" s="6" t="s">
        <v>50</v>
      </c>
      <c r="C8" s="17" t="s">
        <v>72</v>
      </c>
      <c r="D8" s="6" t="s">
        <v>19</v>
      </c>
      <c r="E8" s="6" t="n">
        <v>3643</v>
      </c>
      <c r="F8" s="6" t="n">
        <v>12</v>
      </c>
      <c r="G8" s="18" t="n">
        <f aca="false">IFERROR(ROUND(F8/E8*1000,2),0)</f>
        <v>3.29</v>
      </c>
      <c r="H8" s="6" t="n">
        <v>55.3</v>
      </c>
    </row>
    <row r="9" customFormat="false" ht="32.8" hidden="false" customHeight="false" outlineLevel="0" collapsed="false">
      <c r="A9" s="6" t="n">
        <v>5</v>
      </c>
      <c r="B9" s="6" t="s">
        <v>52</v>
      </c>
      <c r="C9" s="19" t="s">
        <v>73</v>
      </c>
      <c r="D9" s="6" t="s">
        <v>74</v>
      </c>
      <c r="E9" s="6" t="n">
        <v>3147</v>
      </c>
      <c r="F9" s="6" t="n">
        <v>10</v>
      </c>
      <c r="G9" s="18" t="n">
        <f aca="false">IFERROR(ROUND(F9/E9*1000,2),0)</f>
        <v>3.18</v>
      </c>
      <c r="H9" s="6" t="n">
        <v>41.3</v>
      </c>
    </row>
    <row r="10" customFormat="false" ht="32.8" hidden="false" customHeight="false" outlineLevel="0" collapsed="false">
      <c r="A10" s="6" t="n">
        <v>6</v>
      </c>
      <c r="B10" s="6" t="s">
        <v>52</v>
      </c>
      <c r="C10" s="17" t="s">
        <v>75</v>
      </c>
      <c r="D10" s="6" t="s">
        <v>14</v>
      </c>
      <c r="E10" s="6" t="n">
        <v>6764</v>
      </c>
      <c r="F10" s="6" t="n">
        <v>20</v>
      </c>
      <c r="G10" s="18" t="n">
        <f aca="false">IFERROR(ROUND(F10/E10*1000,2),0)</f>
        <v>2.96</v>
      </c>
      <c r="H10" s="6" t="n">
        <v>32.9</v>
      </c>
    </row>
    <row r="11" customFormat="false" ht="32.8" hidden="false" customHeight="false" outlineLevel="0" collapsed="false">
      <c r="A11" s="6" t="n">
        <v>7</v>
      </c>
      <c r="B11" s="6" t="s">
        <v>52</v>
      </c>
      <c r="C11" s="17" t="s">
        <v>76</v>
      </c>
      <c r="D11" s="6" t="s">
        <v>18</v>
      </c>
      <c r="E11" s="6" t="n">
        <v>4686</v>
      </c>
      <c r="F11" s="6" t="n">
        <v>12</v>
      </c>
      <c r="G11" s="18" t="n">
        <f aca="false">IFERROR(ROUND(F11/E11*1000,2),0)</f>
        <v>2.56</v>
      </c>
      <c r="H11" s="6" t="n">
        <v>34.4</v>
      </c>
    </row>
    <row r="12" customFormat="false" ht="32.8" hidden="false" customHeight="false" outlineLevel="0" collapsed="false">
      <c r="A12" s="6" t="n">
        <v>8</v>
      </c>
      <c r="B12" s="6" t="s">
        <v>44</v>
      </c>
      <c r="C12" s="17" t="s">
        <v>77</v>
      </c>
      <c r="D12" s="6" t="s">
        <v>78</v>
      </c>
      <c r="E12" s="6" t="n">
        <v>12762</v>
      </c>
      <c r="F12" s="6" t="n">
        <v>32</v>
      </c>
      <c r="G12" s="18" t="n">
        <f aca="false">IFERROR(ROUND(F12/E12*1000,2),0)</f>
        <v>2.51</v>
      </c>
      <c r="H12" s="6" t="n">
        <v>27</v>
      </c>
    </row>
    <row r="13" customFormat="false" ht="32.8" hidden="false" customHeight="false" outlineLevel="0" collapsed="false">
      <c r="A13" s="6" t="n">
        <v>9</v>
      </c>
      <c r="B13" s="6" t="s">
        <v>50</v>
      </c>
      <c r="C13" s="19" t="s">
        <v>79</v>
      </c>
      <c r="D13" s="6" t="s">
        <v>80</v>
      </c>
      <c r="E13" s="6" t="n">
        <v>9065</v>
      </c>
      <c r="F13" s="6" t="n">
        <v>22</v>
      </c>
      <c r="G13" s="18" t="n">
        <f aca="false">IFERROR(ROUND(F13/E13*1000,2),0)</f>
        <v>2.43</v>
      </c>
      <c r="H13" s="6" t="n">
        <v>23.6</v>
      </c>
    </row>
    <row r="14" customFormat="false" ht="32.8" hidden="false" customHeight="false" outlineLevel="0" collapsed="false">
      <c r="A14" s="6" t="n">
        <v>10</v>
      </c>
      <c r="B14" s="6" t="s">
        <v>54</v>
      </c>
      <c r="C14" s="17" t="s">
        <v>81</v>
      </c>
      <c r="D14" s="6" t="s">
        <v>13</v>
      </c>
      <c r="E14" s="6" t="n">
        <v>6382</v>
      </c>
      <c r="F14" s="6" t="n">
        <v>14</v>
      </c>
      <c r="G14" s="18" t="n">
        <f aca="false">IFERROR(ROUND(F14/E14*1000,2),0)</f>
        <v>2.19</v>
      </c>
      <c r="H14" s="6" t="n">
        <v>27</v>
      </c>
    </row>
    <row r="15" customFormat="false" ht="32.8" hidden="false" customHeight="false" outlineLevel="0" collapsed="false">
      <c r="A15" s="6" t="n">
        <v>11</v>
      </c>
      <c r="B15" s="6" t="s">
        <v>44</v>
      </c>
      <c r="C15" s="19" t="s">
        <v>82</v>
      </c>
      <c r="D15" s="6" t="s">
        <v>19</v>
      </c>
      <c r="E15" s="6" t="n">
        <v>3652</v>
      </c>
      <c r="F15" s="6" t="n">
        <v>8</v>
      </c>
      <c r="G15" s="18" t="n">
        <f aca="false">IFERROR(ROUND(F15/E15*1000,2),0)</f>
        <v>2.19</v>
      </c>
      <c r="H15" s="6" t="n">
        <v>36.7</v>
      </c>
    </row>
    <row r="16" customFormat="false" ht="32.8" hidden="false" customHeight="false" outlineLevel="0" collapsed="false">
      <c r="A16" s="6" t="n">
        <v>12</v>
      </c>
      <c r="B16" s="6" t="s">
        <v>44</v>
      </c>
      <c r="C16" s="19" t="s">
        <v>83</v>
      </c>
      <c r="D16" s="6" t="s">
        <v>15</v>
      </c>
      <c r="E16" s="6" t="n">
        <v>4599</v>
      </c>
      <c r="F16" s="6" t="n">
        <v>10</v>
      </c>
      <c r="G16" s="18" t="n">
        <f aca="false">IFERROR(ROUND(F16/E16*1000,2),0)</f>
        <v>2.17</v>
      </c>
      <c r="H16" s="6" t="n">
        <v>25</v>
      </c>
    </row>
    <row r="17" customFormat="false" ht="32.8" hidden="false" customHeight="false" outlineLevel="0" collapsed="false">
      <c r="A17" s="6" t="n">
        <v>13</v>
      </c>
      <c r="B17" s="6" t="s">
        <v>50</v>
      </c>
      <c r="C17" s="17" t="s">
        <v>84</v>
      </c>
      <c r="D17" s="6" t="s">
        <v>18</v>
      </c>
      <c r="E17" s="6" t="n">
        <v>3799</v>
      </c>
      <c r="F17" s="6" t="n">
        <v>8</v>
      </c>
      <c r="G17" s="18" t="n">
        <f aca="false">IFERROR(ROUND(F17/E17*1000,2),0)</f>
        <v>2.11</v>
      </c>
      <c r="H17" s="6" t="n">
        <v>28.4</v>
      </c>
    </row>
    <row r="18" customFormat="false" ht="32.8" hidden="false" customHeight="false" outlineLevel="0" collapsed="false">
      <c r="A18" s="6" t="n">
        <v>14</v>
      </c>
      <c r="B18" s="6" t="s">
        <v>44</v>
      </c>
      <c r="C18" s="19" t="s">
        <v>85</v>
      </c>
      <c r="D18" s="6" t="s">
        <v>74</v>
      </c>
      <c r="E18" s="6" t="n">
        <v>9582</v>
      </c>
      <c r="F18" s="6" t="n">
        <v>20</v>
      </c>
      <c r="G18" s="18" t="n">
        <f aca="false">IFERROR(ROUND(F18/E18*1000,2),0)</f>
        <v>2.09</v>
      </c>
      <c r="H18" s="6" t="n">
        <v>49.8</v>
      </c>
    </row>
    <row r="19" customFormat="false" ht="32.8" hidden="false" customHeight="false" outlineLevel="0" collapsed="false">
      <c r="A19" s="6" t="n">
        <v>15</v>
      </c>
      <c r="B19" s="6" t="s">
        <v>52</v>
      </c>
      <c r="C19" s="17" t="s">
        <v>86</v>
      </c>
      <c r="D19" s="6" t="s">
        <v>14</v>
      </c>
      <c r="E19" s="6" t="n">
        <v>5801</v>
      </c>
      <c r="F19" s="6" t="n">
        <v>12</v>
      </c>
      <c r="G19" s="18" t="n">
        <f aca="false">IFERROR(ROUND(F19/E19*1000,2),0)</f>
        <v>2.07</v>
      </c>
      <c r="H19" s="6" t="n">
        <v>34.8</v>
      </c>
    </row>
    <row r="20" customFormat="false" ht="32.8" hidden="false" customHeight="false" outlineLevel="0" collapsed="false">
      <c r="A20" s="6" t="n">
        <v>16</v>
      </c>
      <c r="B20" s="6" t="s">
        <v>47</v>
      </c>
      <c r="C20" s="19" t="s">
        <v>87</v>
      </c>
      <c r="D20" s="6" t="s">
        <v>71</v>
      </c>
      <c r="E20" s="6" t="n">
        <v>10025</v>
      </c>
      <c r="F20" s="6" t="n">
        <v>20</v>
      </c>
      <c r="G20" s="18" t="n">
        <f aca="false">IFERROR(ROUND(F20/E20*1000,2),0)</f>
        <v>2</v>
      </c>
      <c r="H20" s="6" t="n">
        <v>42.3</v>
      </c>
    </row>
    <row r="21" customFormat="false" ht="32.8" hidden="false" customHeight="false" outlineLevel="0" collapsed="false">
      <c r="A21" s="6" t="n">
        <v>17</v>
      </c>
      <c r="B21" s="6" t="s">
        <v>52</v>
      </c>
      <c r="C21" s="17" t="s">
        <v>88</v>
      </c>
      <c r="D21" s="6" t="s">
        <v>15</v>
      </c>
      <c r="E21" s="6" t="n">
        <v>5097</v>
      </c>
      <c r="F21" s="6" t="n">
        <v>10</v>
      </c>
      <c r="G21" s="18" t="n">
        <f aca="false">IFERROR(ROUND(F21/E21*1000,2),0)</f>
        <v>1.96</v>
      </c>
      <c r="H21" s="6" t="n">
        <v>28.8</v>
      </c>
    </row>
    <row r="22" customFormat="false" ht="32.8" hidden="false" customHeight="false" outlineLevel="0" collapsed="false">
      <c r="A22" s="6" t="n">
        <v>18</v>
      </c>
      <c r="B22" s="6" t="s">
        <v>44</v>
      </c>
      <c r="C22" s="19" t="s">
        <v>89</v>
      </c>
      <c r="D22" s="6" t="s">
        <v>17</v>
      </c>
      <c r="E22" s="6" t="n">
        <v>4219</v>
      </c>
      <c r="F22" s="6" t="n">
        <v>8</v>
      </c>
      <c r="G22" s="18" t="n">
        <f aca="false">IFERROR(ROUND(F22/E22*1000,2),0)</f>
        <v>1.9</v>
      </c>
      <c r="H22" s="6" t="n">
        <v>24.8</v>
      </c>
    </row>
    <row r="23" customFormat="false" ht="32.8" hidden="false" customHeight="false" outlineLevel="0" collapsed="false">
      <c r="A23" s="6" t="n">
        <v>19</v>
      </c>
      <c r="B23" s="6" t="s">
        <v>44</v>
      </c>
      <c r="C23" s="19" t="s">
        <v>90</v>
      </c>
      <c r="D23" s="6" t="s">
        <v>14</v>
      </c>
      <c r="E23" s="6" t="n">
        <v>7565</v>
      </c>
      <c r="F23" s="6" t="n">
        <v>14</v>
      </c>
      <c r="G23" s="18" t="n">
        <f aca="false">IFERROR(ROUND(F23/E23*1000,2),0)</f>
        <v>1.85</v>
      </c>
      <c r="H23" s="6" t="n">
        <v>31</v>
      </c>
    </row>
    <row r="24" customFormat="false" ht="32.8" hidden="false" customHeight="false" outlineLevel="0" collapsed="false">
      <c r="A24" s="6" t="n">
        <v>20</v>
      </c>
      <c r="B24" s="6" t="s">
        <v>50</v>
      </c>
      <c r="C24" s="17" t="s">
        <v>91</v>
      </c>
      <c r="D24" s="6" t="s">
        <v>20</v>
      </c>
      <c r="E24" s="6" t="n">
        <v>4548</v>
      </c>
      <c r="F24" s="6" t="n">
        <v>8</v>
      </c>
      <c r="G24" s="18" t="n">
        <f aca="false">IFERROR(ROUND(F24/E24*1000,2),0)</f>
        <v>1.76</v>
      </c>
      <c r="H24" s="6" t="n">
        <v>38.1</v>
      </c>
    </row>
    <row r="25" customFormat="false" ht="32.8" hidden="false" customHeight="false" outlineLevel="0" collapsed="false">
      <c r="A25" s="6" t="n">
        <v>21</v>
      </c>
      <c r="B25" s="6" t="s">
        <v>52</v>
      </c>
      <c r="C25" s="17" t="s">
        <v>92</v>
      </c>
      <c r="D25" s="6" t="s">
        <v>93</v>
      </c>
      <c r="E25" s="6" t="n">
        <v>22324</v>
      </c>
      <c r="F25" s="6" t="n">
        <v>38</v>
      </c>
      <c r="G25" s="18" t="n">
        <f aca="false">IFERROR(ROUND(F25/E25*1000,2),0)</f>
        <v>1.7</v>
      </c>
      <c r="H25" s="6" t="n">
        <v>55.6</v>
      </c>
    </row>
    <row r="26" customFormat="false" ht="32.8" hidden="false" customHeight="false" outlineLevel="0" collapsed="false">
      <c r="A26" s="6" t="n">
        <v>22</v>
      </c>
      <c r="B26" s="6" t="s">
        <v>47</v>
      </c>
      <c r="C26" s="19" t="s">
        <v>94</v>
      </c>
      <c r="D26" s="6" t="s">
        <v>20</v>
      </c>
      <c r="E26" s="6" t="n">
        <v>4707</v>
      </c>
      <c r="F26" s="6" t="n">
        <v>8</v>
      </c>
      <c r="G26" s="18" t="n">
        <f aca="false">IFERROR(ROUND(F26/E26*1000,2),0)</f>
        <v>1.7</v>
      </c>
      <c r="H26" s="6" t="n">
        <v>88.2</v>
      </c>
    </row>
    <row r="27" customFormat="false" ht="32.8" hidden="false" customHeight="false" outlineLevel="0" collapsed="false">
      <c r="A27" s="6" t="n">
        <v>23</v>
      </c>
      <c r="B27" s="6" t="s">
        <v>44</v>
      </c>
      <c r="C27" s="19" t="s">
        <v>95</v>
      </c>
      <c r="D27" s="6" t="s">
        <v>96</v>
      </c>
      <c r="E27" s="6" t="n">
        <v>9441</v>
      </c>
      <c r="F27" s="6" t="n">
        <v>16</v>
      </c>
      <c r="G27" s="18" t="n">
        <f aca="false">IFERROR(ROUND(F27/E27*1000,2),0)</f>
        <v>1.69</v>
      </c>
      <c r="H27" s="6" t="n">
        <v>38.2</v>
      </c>
    </row>
    <row r="28" customFormat="false" ht="32.8" hidden="false" customHeight="false" outlineLevel="0" collapsed="false">
      <c r="A28" s="6" t="n">
        <v>24</v>
      </c>
      <c r="B28" s="6" t="s">
        <v>47</v>
      </c>
      <c r="C28" s="17" t="s">
        <v>97</v>
      </c>
      <c r="D28" s="6" t="s">
        <v>78</v>
      </c>
      <c r="E28" s="6" t="n">
        <v>39580</v>
      </c>
      <c r="F28" s="6" t="n">
        <v>66</v>
      </c>
      <c r="G28" s="18" t="n">
        <f aca="false">IFERROR(ROUND(F28/E28*1000,2),0)</f>
        <v>1.67</v>
      </c>
      <c r="H28" s="6" t="n">
        <v>79</v>
      </c>
    </row>
    <row r="29" customFormat="false" ht="32.8" hidden="false" customHeight="false" outlineLevel="0" collapsed="false">
      <c r="A29" s="6" t="n">
        <v>25</v>
      </c>
      <c r="B29" s="6" t="s">
        <v>44</v>
      </c>
      <c r="C29" s="17" t="s">
        <v>98</v>
      </c>
      <c r="D29" s="6" t="s">
        <v>99</v>
      </c>
      <c r="E29" s="6" t="n">
        <v>11552</v>
      </c>
      <c r="F29" s="6" t="n">
        <v>18</v>
      </c>
      <c r="G29" s="18" t="n">
        <f aca="false">IFERROR(ROUND(F29/E29*1000,2),0)</f>
        <v>1.56</v>
      </c>
      <c r="H29" s="6" t="n">
        <v>47.4</v>
      </c>
    </row>
    <row r="30" customFormat="false" ht="32.8" hidden="false" customHeight="false" outlineLevel="0" collapsed="false">
      <c r="A30" s="6" t="n">
        <v>26</v>
      </c>
      <c r="B30" s="6" t="s">
        <v>47</v>
      </c>
      <c r="C30" s="17" t="s">
        <v>100</v>
      </c>
      <c r="D30" s="6" t="s">
        <v>101</v>
      </c>
      <c r="E30" s="6" t="n">
        <v>24530</v>
      </c>
      <c r="F30" s="6" t="n">
        <v>33</v>
      </c>
      <c r="G30" s="18" t="n">
        <f aca="false">IFERROR(ROUND(F30/E30*1000,2),0)</f>
        <v>1.35</v>
      </c>
      <c r="H30" s="6" t="n">
        <v>89.9</v>
      </c>
    </row>
    <row r="31" customFormat="false" ht="32.8" hidden="false" customHeight="false" outlineLevel="0" collapsed="false">
      <c r="A31" s="6" t="n">
        <v>27</v>
      </c>
      <c r="B31" s="6" t="s">
        <v>52</v>
      </c>
      <c r="C31" s="17" t="s">
        <v>102</v>
      </c>
      <c r="D31" s="6" t="s">
        <v>19</v>
      </c>
      <c r="E31" s="6" t="n">
        <v>3134</v>
      </c>
      <c r="F31" s="6" t="n">
        <v>4</v>
      </c>
      <c r="G31" s="18" t="n">
        <f aca="false">IFERROR(ROUND(F31/E31*1000,2),0)</f>
        <v>1.28</v>
      </c>
      <c r="H31" s="6" t="n">
        <v>30.6</v>
      </c>
    </row>
    <row r="32" customFormat="false" ht="32.8" hidden="false" customHeight="false" outlineLevel="0" collapsed="false">
      <c r="A32" s="6" t="n">
        <v>28</v>
      </c>
      <c r="B32" s="6" t="s">
        <v>54</v>
      </c>
      <c r="C32" s="17" t="s">
        <v>103</v>
      </c>
      <c r="D32" s="6" t="s">
        <v>104</v>
      </c>
      <c r="E32" s="6" t="n">
        <v>14758</v>
      </c>
      <c r="F32" s="6" t="n">
        <v>18</v>
      </c>
      <c r="G32" s="18" t="n">
        <f aca="false">IFERROR(ROUND(F32/E32*1000,2),0)</f>
        <v>1.22</v>
      </c>
      <c r="H32" s="6" t="n">
        <v>28.7</v>
      </c>
    </row>
    <row r="33" customFormat="false" ht="32.8" hidden="false" customHeight="false" outlineLevel="0" collapsed="false">
      <c r="A33" s="6" t="n">
        <v>29</v>
      </c>
      <c r="B33" s="6" t="s">
        <v>50</v>
      </c>
      <c r="C33" s="19" t="s">
        <v>105</v>
      </c>
      <c r="D33" s="6" t="s">
        <v>101</v>
      </c>
      <c r="E33" s="6" t="n">
        <v>10174</v>
      </c>
      <c r="F33" s="6" t="n">
        <v>12</v>
      </c>
      <c r="G33" s="18" t="n">
        <f aca="false">IFERROR(ROUND(F33/E33*1000,2),0)</f>
        <v>1.18</v>
      </c>
      <c r="H33" s="6" t="n">
        <v>47.7</v>
      </c>
    </row>
    <row r="34" customFormat="false" ht="32.8" hidden="false" customHeight="false" outlineLevel="0" collapsed="false">
      <c r="A34" s="6" t="n">
        <v>30</v>
      </c>
      <c r="B34" s="6" t="s">
        <v>52</v>
      </c>
      <c r="C34" s="17" t="s">
        <v>106</v>
      </c>
      <c r="D34" s="6" t="s">
        <v>18</v>
      </c>
      <c r="E34" s="6" t="n">
        <v>3402</v>
      </c>
      <c r="F34" s="6" t="n">
        <v>4</v>
      </c>
      <c r="G34" s="18" t="n">
        <f aca="false">IFERROR(ROUND(F34/E34*1000,2),0)</f>
        <v>1.18</v>
      </c>
      <c r="H34" s="6" t="n">
        <v>32.5</v>
      </c>
    </row>
    <row r="36" customFormat="false" ht="17.15" hidden="false" customHeight="false" outlineLevel="0" collapsed="false">
      <c r="A36" s="3" t="s">
        <v>107</v>
      </c>
    </row>
    <row r="37" customFormat="false" ht="32.8" hidden="false" customHeight="false" outlineLevel="0" collapsed="false">
      <c r="A37" s="6" t="n">
        <v>186</v>
      </c>
      <c r="B37" s="6" t="s">
        <v>47</v>
      </c>
      <c r="C37" s="17" t="s">
        <v>108</v>
      </c>
      <c r="D37" s="6" t="s">
        <v>109</v>
      </c>
      <c r="E37" s="6" t="n">
        <v>424</v>
      </c>
      <c r="F37" s="6" t="n">
        <v>0</v>
      </c>
      <c r="G37" s="15" t="n">
        <f aca="false">IFERROR(ROUND(F37/E37*1000,2),0)</f>
        <v>0</v>
      </c>
      <c r="H37" s="6" t="n">
        <v>36.1</v>
      </c>
    </row>
    <row r="38" customFormat="false" ht="32.8" hidden="false" customHeight="false" outlineLevel="0" collapsed="false">
      <c r="A38" s="6" t="n">
        <v>187</v>
      </c>
      <c r="B38" s="6" t="s">
        <v>44</v>
      </c>
      <c r="C38" s="19" t="s">
        <v>110</v>
      </c>
      <c r="D38" s="6" t="s">
        <v>18</v>
      </c>
      <c r="E38" s="6" t="n">
        <v>3600</v>
      </c>
      <c r="F38" s="6" t="n">
        <v>0</v>
      </c>
      <c r="G38" s="15" t="n">
        <f aca="false">IFERROR(ROUND(F38/E38*1000,2),0)</f>
        <v>0</v>
      </c>
      <c r="H38" s="6" t="n">
        <v>29</v>
      </c>
    </row>
    <row r="39" customFormat="false" ht="32.8" hidden="false" customHeight="false" outlineLevel="0" collapsed="false">
      <c r="A39" s="6" t="n">
        <v>188</v>
      </c>
      <c r="B39" s="6" t="s">
        <v>50</v>
      </c>
      <c r="C39" s="17" t="s">
        <v>111</v>
      </c>
      <c r="D39" s="6" t="s">
        <v>15</v>
      </c>
      <c r="E39" s="6" t="n">
        <v>5651</v>
      </c>
      <c r="F39" s="6" t="n">
        <v>0</v>
      </c>
      <c r="G39" s="15" t="n">
        <f aca="false">IFERROR(ROUND(F39/E39*1000,2),0)</f>
        <v>0</v>
      </c>
      <c r="H39" s="6" t="n">
        <v>75.6</v>
      </c>
    </row>
    <row r="40" customFormat="false" ht="32.8" hidden="false" customHeight="false" outlineLevel="0" collapsed="false">
      <c r="A40" s="6" t="n">
        <v>189</v>
      </c>
      <c r="B40" s="6" t="s">
        <v>50</v>
      </c>
      <c r="C40" s="17" t="s">
        <v>112</v>
      </c>
      <c r="D40" s="6" t="s">
        <v>18</v>
      </c>
      <c r="E40" s="6" t="n">
        <v>3898</v>
      </c>
      <c r="F40" s="6" t="n">
        <v>0</v>
      </c>
      <c r="G40" s="15" t="n">
        <f aca="false">IFERROR(ROUND(F40/E40*1000,2),0)</f>
        <v>0</v>
      </c>
      <c r="H40" s="6" t="n">
        <v>26.8</v>
      </c>
    </row>
    <row r="41" customFormat="false" ht="32.8" hidden="false" customHeight="false" outlineLevel="0" collapsed="false">
      <c r="A41" s="6" t="n">
        <v>190</v>
      </c>
      <c r="B41" s="6" t="s">
        <v>50</v>
      </c>
      <c r="C41" s="17" t="s">
        <v>113</v>
      </c>
      <c r="D41" s="6" t="s">
        <v>114</v>
      </c>
      <c r="E41" s="6" t="n">
        <v>12613</v>
      </c>
      <c r="F41" s="6" t="n">
        <v>0</v>
      </c>
      <c r="G41" s="15" t="n">
        <f aca="false">IFERROR(ROUND(F41/E41*1000,2),0)</f>
        <v>0</v>
      </c>
      <c r="H41" s="6" t="n">
        <v>39.5</v>
      </c>
    </row>
    <row r="42" customFormat="false" ht="32.8" hidden="false" customHeight="false" outlineLevel="0" collapsed="false">
      <c r="A42" s="6" t="n">
        <v>191</v>
      </c>
      <c r="B42" s="6" t="s">
        <v>54</v>
      </c>
      <c r="C42" s="17" t="s">
        <v>115</v>
      </c>
      <c r="D42" s="6" t="s">
        <v>15</v>
      </c>
      <c r="E42" s="6" t="n">
        <v>951</v>
      </c>
      <c r="F42" s="6" t="n">
        <v>0</v>
      </c>
      <c r="G42" s="15" t="n">
        <f aca="false">IFERROR(ROUND(F42/E42*1000,2),0)</f>
        <v>0</v>
      </c>
      <c r="H42" s="6" t="n">
        <v>17.5</v>
      </c>
    </row>
    <row r="43" customFormat="false" ht="32.8" hidden="false" customHeight="false" outlineLevel="0" collapsed="false">
      <c r="A43" s="6" t="n">
        <v>192</v>
      </c>
      <c r="B43" s="6" t="s">
        <v>54</v>
      </c>
      <c r="C43" s="17" t="s">
        <v>116</v>
      </c>
      <c r="D43" s="6" t="s">
        <v>80</v>
      </c>
      <c r="E43" s="6" t="n">
        <v>9695</v>
      </c>
      <c r="F43" s="6" t="n">
        <v>0</v>
      </c>
      <c r="G43" s="15" t="n">
        <f aca="false">IFERROR(ROUND(F43/E43*1000,2),0)</f>
        <v>0</v>
      </c>
      <c r="H43" s="6" t="n">
        <v>28.1</v>
      </c>
    </row>
    <row r="44" customFormat="false" ht="32.8" hidden="false" customHeight="false" outlineLevel="0" collapsed="false">
      <c r="A44" s="6" t="n">
        <v>193</v>
      </c>
      <c r="B44" s="6" t="s">
        <v>44</v>
      </c>
      <c r="C44" s="17" t="s">
        <v>117</v>
      </c>
      <c r="D44" s="6" t="s">
        <v>118</v>
      </c>
      <c r="E44" s="6" t="n">
        <v>1048</v>
      </c>
      <c r="F44" s="6" t="n">
        <v>0</v>
      </c>
      <c r="G44" s="15" t="n">
        <f aca="false">IFERROR(ROUND(F44/E44*1000,2),0)</f>
        <v>0</v>
      </c>
      <c r="H44" s="6" t="n">
        <v>21.8</v>
      </c>
    </row>
    <row r="45" customFormat="false" ht="32.8" hidden="false" customHeight="false" outlineLevel="0" collapsed="false">
      <c r="A45" s="6" t="n">
        <v>194</v>
      </c>
      <c r="B45" s="6" t="s">
        <v>44</v>
      </c>
      <c r="C45" s="19" t="s">
        <v>119</v>
      </c>
      <c r="D45" s="6" t="s">
        <v>19</v>
      </c>
      <c r="E45" s="6" t="n">
        <v>1521</v>
      </c>
      <c r="F45" s="6" t="n">
        <v>0</v>
      </c>
      <c r="G45" s="15" t="n">
        <f aca="false">IFERROR(ROUND(F45/E45*1000,2),0)</f>
        <v>0</v>
      </c>
      <c r="H45" s="6" t="n">
        <v>122.8</v>
      </c>
    </row>
    <row r="46" customFormat="false" ht="32.8" hidden="false" customHeight="false" outlineLevel="0" collapsed="false">
      <c r="A46" s="6" t="n">
        <v>195</v>
      </c>
      <c r="B46" s="6" t="s">
        <v>47</v>
      </c>
      <c r="C46" s="17" t="s">
        <v>120</v>
      </c>
      <c r="D46" s="6" t="s">
        <v>118</v>
      </c>
      <c r="E46" s="6" t="n">
        <v>454</v>
      </c>
      <c r="F46" s="6" t="n">
        <v>0</v>
      </c>
      <c r="G46" s="15" t="n">
        <f aca="false">IFERROR(ROUND(F46/E46*1000,2),0)</f>
        <v>0</v>
      </c>
      <c r="H46" s="6" t="n">
        <v>50.8</v>
      </c>
    </row>
    <row r="48" customFormat="false" ht="15" hidden="false" customHeight="false" outlineLevel="0" collapsed="false">
      <c r="A48" s="2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46"/>
    <col collapsed="false" customWidth="true" hidden="false" outlineLevel="0" max="5" min="5" style="0" width="34"/>
    <col collapsed="false" customWidth="true" hidden="false" outlineLevel="0" max="6" min="6" style="0" width="20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2" t="s">
        <v>122</v>
      </c>
    </row>
    <row r="2" customFormat="false" ht="15" hidden="false" customHeight="false" outlineLevel="0" collapsed="false">
      <c r="A2" s="2" t="s">
        <v>123</v>
      </c>
    </row>
    <row r="4" customFormat="false" ht="17.15" hidden="false" customHeight="false" outlineLevel="0" collapsed="false">
      <c r="A4" s="20" t="s">
        <v>124</v>
      </c>
      <c r="B4" s="5" t="s">
        <v>125</v>
      </c>
      <c r="C4" s="5" t="s">
        <v>126</v>
      </c>
      <c r="D4" s="5" t="s">
        <v>127</v>
      </c>
      <c r="E4" s="5" t="s">
        <v>128</v>
      </c>
      <c r="F4" s="5" t="s">
        <v>129</v>
      </c>
      <c r="G4" s="5" t="s">
        <v>130</v>
      </c>
    </row>
    <row r="5" customFormat="false" ht="45.75" hidden="false" customHeight="true" outlineLevel="0" collapsed="false">
      <c r="A5" s="21" t="n">
        <v>1</v>
      </c>
      <c r="B5" s="4" t="s">
        <v>131</v>
      </c>
      <c r="C5" s="4" t="s">
        <v>132</v>
      </c>
      <c r="D5" s="4" t="s">
        <v>133</v>
      </c>
      <c r="E5" s="4" t="s">
        <v>134</v>
      </c>
      <c r="F5" s="22" t="s">
        <v>135</v>
      </c>
      <c r="G5" s="4" t="s">
        <v>136</v>
      </c>
    </row>
    <row r="6" customFormat="false" ht="45.75" hidden="false" customHeight="true" outlineLevel="0" collapsed="false">
      <c r="A6" s="21" t="n">
        <v>2</v>
      </c>
      <c r="B6" s="4" t="s">
        <v>50</v>
      </c>
      <c r="C6" s="14" t="s">
        <v>137</v>
      </c>
      <c r="D6" s="14" t="s">
        <v>138</v>
      </c>
      <c r="E6" s="4" t="s">
        <v>139</v>
      </c>
      <c r="F6" s="23" t="s">
        <v>140</v>
      </c>
      <c r="G6" s="4" t="s">
        <v>141</v>
      </c>
    </row>
    <row r="7" customFormat="false" ht="45.75" hidden="false" customHeight="true" outlineLevel="0" collapsed="false">
      <c r="A7" s="21" t="n">
        <v>3</v>
      </c>
      <c r="B7" s="4" t="s">
        <v>50</v>
      </c>
      <c r="C7" s="14" t="s">
        <v>142</v>
      </c>
      <c r="D7" s="14" t="s">
        <v>143</v>
      </c>
      <c r="E7" s="4" t="s">
        <v>144</v>
      </c>
      <c r="F7" s="23" t="s">
        <v>140</v>
      </c>
      <c r="G7" s="4" t="s">
        <v>141</v>
      </c>
    </row>
    <row r="8" customFormat="false" ht="45.75" hidden="false" customHeight="true" outlineLevel="0" collapsed="false">
      <c r="A8" s="21" t="n">
        <v>4</v>
      </c>
      <c r="B8" s="4" t="s">
        <v>52</v>
      </c>
      <c r="C8" s="14" t="s">
        <v>145</v>
      </c>
      <c r="D8" s="14" t="s">
        <v>146</v>
      </c>
      <c r="E8" s="4" t="s">
        <v>147</v>
      </c>
      <c r="F8" s="23" t="s">
        <v>140</v>
      </c>
      <c r="G8" s="4" t="s">
        <v>141</v>
      </c>
    </row>
    <row r="9" customFormat="false" ht="45.75" hidden="false" customHeight="true" outlineLevel="0" collapsed="false">
      <c r="A9" s="21" t="n">
        <v>5</v>
      </c>
      <c r="B9" s="4" t="s">
        <v>47</v>
      </c>
      <c r="C9" s="14" t="s">
        <v>148</v>
      </c>
      <c r="D9" s="14" t="s">
        <v>149</v>
      </c>
      <c r="E9" s="4" t="s">
        <v>150</v>
      </c>
      <c r="F9" s="23" t="s">
        <v>140</v>
      </c>
      <c r="G9" s="4" t="s">
        <v>141</v>
      </c>
    </row>
    <row r="10" customFormat="false" ht="45.75" hidden="false" customHeight="true" outlineLevel="0" collapsed="false">
      <c r="A10" s="21" t="n">
        <v>6</v>
      </c>
      <c r="B10" s="4" t="s">
        <v>44</v>
      </c>
      <c r="C10" s="14" t="s">
        <v>151</v>
      </c>
      <c r="D10" s="14" t="s">
        <v>152</v>
      </c>
      <c r="E10" s="4" t="s">
        <v>153</v>
      </c>
      <c r="F10" s="23" t="s">
        <v>140</v>
      </c>
      <c r="G10" s="4" t="s">
        <v>141</v>
      </c>
    </row>
    <row r="11" customFormat="false" ht="45.75" hidden="false" customHeight="true" outlineLevel="0" collapsed="false">
      <c r="A11" s="21" t="n">
        <v>7</v>
      </c>
      <c r="B11" s="4" t="s">
        <v>54</v>
      </c>
      <c r="C11" s="14" t="s">
        <v>154</v>
      </c>
      <c r="D11" s="14" t="s">
        <v>155</v>
      </c>
      <c r="E11" s="4" t="s">
        <v>156</v>
      </c>
      <c r="F11" s="23" t="s">
        <v>140</v>
      </c>
      <c r="G11" s="4" t="s">
        <v>141</v>
      </c>
    </row>
    <row r="12" customFormat="false" ht="45.75" hidden="false" customHeight="true" outlineLevel="0" collapsed="false">
      <c r="A12" s="21" t="n">
        <v>8</v>
      </c>
      <c r="B12" s="14" t="s">
        <v>157</v>
      </c>
      <c r="C12" s="14" t="s">
        <v>158</v>
      </c>
      <c r="D12" s="4" t="s">
        <v>159</v>
      </c>
      <c r="E12" s="4" t="s">
        <v>160</v>
      </c>
      <c r="F12" s="23" t="s">
        <v>140</v>
      </c>
      <c r="G12" s="4" t="s">
        <v>141</v>
      </c>
    </row>
    <row r="13" customFormat="false" ht="45.75" hidden="false" customHeight="true" outlineLevel="0" collapsed="false">
      <c r="A13" s="21" t="n">
        <v>9</v>
      </c>
      <c r="B13" s="14" t="s">
        <v>157</v>
      </c>
      <c r="C13" s="14" t="s">
        <v>161</v>
      </c>
      <c r="D13" s="14" t="s">
        <v>162</v>
      </c>
      <c r="E13" s="4" t="s">
        <v>163</v>
      </c>
      <c r="F13" s="23" t="s">
        <v>140</v>
      </c>
      <c r="G13" s="4" t="s">
        <v>136</v>
      </c>
    </row>
    <row r="14" customFormat="false" ht="45.75" hidden="false" customHeight="true" outlineLevel="0" collapsed="false">
      <c r="A14" s="21" t="n">
        <v>10</v>
      </c>
      <c r="B14" s="4" t="s">
        <v>164</v>
      </c>
      <c r="C14" s="14" t="s">
        <v>165</v>
      </c>
      <c r="D14" s="14" t="s">
        <v>166</v>
      </c>
      <c r="E14" s="4" t="s">
        <v>167</v>
      </c>
      <c r="F14" s="23" t="s">
        <v>140</v>
      </c>
      <c r="G14" s="4" t="s">
        <v>136</v>
      </c>
    </row>
    <row r="15" customFormat="false" ht="45.75" hidden="false" customHeight="true" outlineLevel="0" collapsed="false">
      <c r="A15" s="21" t="n">
        <v>11</v>
      </c>
      <c r="B15" s="4" t="s">
        <v>52</v>
      </c>
      <c r="C15" s="14" t="s">
        <v>168</v>
      </c>
      <c r="D15" s="14" t="s">
        <v>169</v>
      </c>
      <c r="E15" s="14" t="s">
        <v>170</v>
      </c>
      <c r="F15" s="23" t="s">
        <v>171</v>
      </c>
      <c r="G15" s="4" t="s">
        <v>136</v>
      </c>
    </row>
    <row r="16" customFormat="false" ht="45.75" hidden="false" customHeight="true" outlineLevel="0" collapsed="false">
      <c r="A16" s="21" t="n">
        <v>12</v>
      </c>
      <c r="B16" s="4" t="s">
        <v>50</v>
      </c>
      <c r="C16" s="14" t="s">
        <v>172</v>
      </c>
      <c r="D16" s="14" t="s">
        <v>173</v>
      </c>
      <c r="E16" s="4" t="s">
        <v>174</v>
      </c>
      <c r="F16" s="23" t="s">
        <v>171</v>
      </c>
      <c r="G16" s="4" t="s">
        <v>141</v>
      </c>
    </row>
    <row r="18" customFormat="false" ht="15" hidden="false" customHeight="false" outlineLevel="0" collapsed="false">
      <c r="A18" s="3" t="s">
        <v>175</v>
      </c>
    </row>
    <row r="19" customFormat="false" ht="31.5" hidden="false" customHeight="true" outlineLevel="0" collapsed="false">
      <c r="A19" s="3" t="s">
        <v>176</v>
      </c>
      <c r="B19" s="24" t="s">
        <v>177</v>
      </c>
    </row>
    <row r="20" customFormat="false" ht="31.5" hidden="false" customHeight="true" outlineLevel="0" collapsed="false">
      <c r="A20" s="10" t="s">
        <v>178</v>
      </c>
      <c r="B20" s="24" t="s">
        <v>179</v>
      </c>
    </row>
    <row r="21" customFormat="false" ht="31.5" hidden="false" customHeight="true" outlineLevel="0" collapsed="false">
      <c r="A21" s="3"/>
      <c r="B21" s="14" t="s">
        <v>180</v>
      </c>
    </row>
    <row r="22" customFormat="false" ht="31.5" hidden="false" customHeight="true" outlineLevel="0" collapsed="false">
      <c r="A22" s="3"/>
      <c r="B22" s="4" t="s">
        <v>181</v>
      </c>
    </row>
    <row r="23" customFormat="false" ht="31.5" hidden="false" customHeight="true" outlineLevel="0" collapsed="false">
      <c r="A23" s="3"/>
      <c r="B23" s="4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8" topLeftCell="A2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7" min="5" style="0" width="10"/>
    <col collapsed="false" customWidth="true" hidden="false" outlineLevel="0" max="8" min="8" style="0" width="44"/>
  </cols>
  <sheetData>
    <row r="1" customFormat="false" ht="21.6" hidden="false" customHeight="false" outlineLevel="0" collapsed="false">
      <c r="A1" s="12" t="s">
        <v>183</v>
      </c>
    </row>
    <row r="2" customFormat="false" ht="15" hidden="false" customHeight="false" outlineLevel="0" collapsed="false">
      <c r="A2" s="2" t="s">
        <v>184</v>
      </c>
    </row>
    <row r="4" customFormat="false" ht="32.8" hidden="false" customHeight="false" outlineLevel="0" collapsed="false">
      <c r="A4" s="5" t="s">
        <v>34</v>
      </c>
      <c r="B4" s="5" t="s">
        <v>185</v>
      </c>
      <c r="C4" s="5" t="s">
        <v>186</v>
      </c>
      <c r="D4" s="5" t="s">
        <v>187</v>
      </c>
      <c r="E4" s="5" t="s">
        <v>188</v>
      </c>
      <c r="F4" s="5" t="s">
        <v>189</v>
      </c>
      <c r="G4" s="5" t="s">
        <v>190</v>
      </c>
      <c r="H4" s="5" t="s">
        <v>191</v>
      </c>
    </row>
    <row r="5" customFormat="false" ht="15" hidden="false" customHeight="false" outlineLevel="0" collapsed="false">
      <c r="A5" s="6" t="s">
        <v>50</v>
      </c>
      <c r="B5" s="3" t="s">
        <v>192</v>
      </c>
      <c r="C5" s="6" t="n">
        <v>27</v>
      </c>
      <c r="D5" s="6" t="n">
        <v>0.675</v>
      </c>
      <c r="E5" s="6" t="n">
        <v>0.203</v>
      </c>
      <c r="F5" s="18" t="n">
        <f aca="false">IFERROR(ROUND(D5/E5,2),0)</f>
        <v>3.33</v>
      </c>
      <c r="G5" s="8" t="s">
        <v>193</v>
      </c>
      <c r="H5" s="8" t="s">
        <v>194</v>
      </c>
    </row>
    <row r="6" customFormat="false" ht="15" hidden="false" customHeight="false" outlineLevel="0" collapsed="false">
      <c r="A6" s="6" t="s">
        <v>50</v>
      </c>
      <c r="B6" s="3" t="s">
        <v>195</v>
      </c>
      <c r="C6" s="6" t="n">
        <v>15</v>
      </c>
      <c r="D6" s="6" t="n">
        <v>0.587</v>
      </c>
      <c r="E6" s="6" t="n">
        <v>0.64</v>
      </c>
      <c r="F6" s="13" t="n">
        <f aca="false">IFERROR(ROUND(D6/E6,2),0)</f>
        <v>0.92</v>
      </c>
      <c r="G6" s="8" t="s">
        <v>196</v>
      </c>
      <c r="H6" s="8" t="s">
        <v>194</v>
      </c>
    </row>
    <row r="8" customFormat="false" ht="15" hidden="false" customHeight="false" outlineLevel="0" collapsed="false">
      <c r="A8" s="6" t="s">
        <v>44</v>
      </c>
      <c r="B8" s="3" t="s">
        <v>192</v>
      </c>
      <c r="C8" s="6" t="n">
        <v>11</v>
      </c>
      <c r="D8" s="6" t="n">
        <v>1.226</v>
      </c>
      <c r="E8" s="6" t="n">
        <v>0.544</v>
      </c>
      <c r="F8" s="18" t="n">
        <f aca="false">IFERROR(ROUND(D8/E8,2),0)</f>
        <v>2.25</v>
      </c>
      <c r="G8" s="8" t="s">
        <v>193</v>
      </c>
      <c r="H8" s="8" t="s">
        <v>194</v>
      </c>
    </row>
    <row r="9" customFormat="false" ht="15" hidden="false" customHeight="false" outlineLevel="0" collapsed="false">
      <c r="A9" s="6" t="s">
        <v>44</v>
      </c>
      <c r="B9" s="3" t="s">
        <v>197</v>
      </c>
      <c r="C9" s="6" t="n">
        <v>4</v>
      </c>
      <c r="D9" s="6" t="n">
        <v>1.496</v>
      </c>
      <c r="E9" s="6" t="n">
        <v>0.689</v>
      </c>
      <c r="F9" s="18" t="n">
        <f aca="false">IFERROR(ROUND(D9/E9,2),0)</f>
        <v>2.17</v>
      </c>
      <c r="G9" s="8" t="s">
        <v>193</v>
      </c>
      <c r="H9" s="8" t="s">
        <v>194</v>
      </c>
    </row>
    <row r="10" customFormat="false" ht="15" hidden="false" customHeight="false" outlineLevel="0" collapsed="false">
      <c r="A10" s="6" t="s">
        <v>44</v>
      </c>
      <c r="B10" s="3" t="s">
        <v>198</v>
      </c>
      <c r="C10" s="6" t="n">
        <v>3</v>
      </c>
      <c r="D10" s="6" t="n">
        <v>0.758</v>
      </c>
      <c r="E10" s="6" t="n">
        <v>0.724</v>
      </c>
      <c r="F10" s="13" t="n">
        <f aca="false">IFERROR(ROUND(D10/E10,2),0)</f>
        <v>1.05</v>
      </c>
      <c r="G10" s="8" t="s">
        <v>196</v>
      </c>
      <c r="H10" s="8" t="s">
        <v>199</v>
      </c>
    </row>
    <row r="12" customFormat="false" ht="15" hidden="false" customHeight="false" outlineLevel="0" collapsed="false">
      <c r="A12" s="6" t="s">
        <v>52</v>
      </c>
      <c r="B12" s="3" t="s">
        <v>192</v>
      </c>
      <c r="C12" s="6" t="n">
        <v>7</v>
      </c>
      <c r="D12" s="6" t="n">
        <v>1.375</v>
      </c>
      <c r="E12" s="6" t="n">
        <v>0.344</v>
      </c>
      <c r="F12" s="18" t="n">
        <f aca="false">IFERROR(ROUND(D12/E12,2),0)</f>
        <v>4</v>
      </c>
      <c r="G12" s="8" t="s">
        <v>193</v>
      </c>
      <c r="H12" s="8" t="s">
        <v>194</v>
      </c>
    </row>
    <row r="13" customFormat="false" ht="15" hidden="false" customHeight="false" outlineLevel="0" collapsed="false">
      <c r="A13" s="6" t="s">
        <v>52</v>
      </c>
      <c r="B13" s="3" t="s">
        <v>195</v>
      </c>
      <c r="C13" s="6" t="n">
        <v>6</v>
      </c>
      <c r="D13" s="6" t="n">
        <v>0.788</v>
      </c>
      <c r="E13" s="6" t="n">
        <v>0.492</v>
      </c>
      <c r="F13" s="18" t="n">
        <f aca="false">IFERROR(ROUND(D13/E13,2),0)</f>
        <v>1.6</v>
      </c>
      <c r="G13" s="8" t="s">
        <v>193</v>
      </c>
      <c r="H13" s="8" t="s">
        <v>194</v>
      </c>
    </row>
    <row r="14" customFormat="false" ht="15" hidden="false" customHeight="false" outlineLevel="0" collapsed="false">
      <c r="A14" s="6" t="s">
        <v>52</v>
      </c>
      <c r="B14" s="3" t="s">
        <v>198</v>
      </c>
      <c r="C14" s="6" t="n">
        <v>3</v>
      </c>
      <c r="D14" s="6" t="n">
        <v>0.32</v>
      </c>
      <c r="E14" s="6" t="n">
        <v>0.612</v>
      </c>
      <c r="F14" s="15" t="n">
        <f aca="false">IFERROR(ROUND(D14/E14,2),0)</f>
        <v>0.52</v>
      </c>
      <c r="G14" s="8" t="s">
        <v>200</v>
      </c>
      <c r="H14" s="8" t="s">
        <v>199</v>
      </c>
    </row>
    <row r="15" customFormat="false" ht="17.15" hidden="false" customHeight="false" outlineLevel="0" collapsed="false">
      <c r="A15" s="6" t="s">
        <v>52</v>
      </c>
      <c r="B15" s="3" t="s">
        <v>197</v>
      </c>
      <c r="C15" s="6" t="n">
        <v>7</v>
      </c>
      <c r="D15" s="6" t="n">
        <v>0.195</v>
      </c>
      <c r="E15" s="6" t="n">
        <v>0.748</v>
      </c>
      <c r="F15" s="15" t="n">
        <f aca="false">IFERROR(ROUND(D15/E15,2),0)</f>
        <v>0.26</v>
      </c>
      <c r="G15" s="8" t="s">
        <v>200</v>
      </c>
      <c r="H15" s="6" t="s">
        <v>201</v>
      </c>
    </row>
    <row r="17" customFormat="false" ht="15" hidden="false" customHeight="false" outlineLevel="0" collapsed="false">
      <c r="A17" s="6" t="s">
        <v>47</v>
      </c>
      <c r="B17" s="3" t="s">
        <v>202</v>
      </c>
      <c r="C17" s="6" t="n">
        <v>11</v>
      </c>
      <c r="D17" s="6" t="n">
        <v>0.963</v>
      </c>
      <c r="E17" s="6" t="n">
        <v>0.472</v>
      </c>
      <c r="F17" s="18" t="n">
        <f aca="false">IFERROR(ROUND(D17/E17,2),0)</f>
        <v>2.04</v>
      </c>
      <c r="G17" s="8" t="s">
        <v>193</v>
      </c>
      <c r="H17" s="8" t="s">
        <v>194</v>
      </c>
    </row>
    <row r="18" customFormat="false" ht="15" hidden="false" customHeight="false" outlineLevel="0" collapsed="false">
      <c r="A18" s="6" t="s">
        <v>47</v>
      </c>
      <c r="B18" s="3" t="s">
        <v>203</v>
      </c>
      <c r="C18" s="6" t="n">
        <v>7</v>
      </c>
      <c r="D18" s="6" t="n">
        <v>0.84</v>
      </c>
      <c r="E18" s="6" t="n">
        <v>0.618</v>
      </c>
      <c r="F18" s="13" t="n">
        <f aca="false">IFERROR(ROUND(D18/E18,2),0)</f>
        <v>1.36</v>
      </c>
      <c r="G18" s="8" t="s">
        <v>196</v>
      </c>
      <c r="H18" s="8" t="s">
        <v>194</v>
      </c>
    </row>
    <row r="19" customFormat="false" ht="17.15" hidden="false" customHeight="false" outlineLevel="0" collapsed="false">
      <c r="A19" s="6" t="s">
        <v>47</v>
      </c>
      <c r="B19" s="3" t="s">
        <v>204</v>
      </c>
      <c r="C19" s="6" t="n">
        <v>11</v>
      </c>
      <c r="D19" s="6" t="n">
        <v>0.362</v>
      </c>
      <c r="E19" s="6" t="n">
        <v>0.776</v>
      </c>
      <c r="F19" s="15" t="n">
        <f aca="false">IFERROR(ROUND(D19/E19,2),0)</f>
        <v>0.47</v>
      </c>
      <c r="G19" s="8" t="s">
        <v>200</v>
      </c>
      <c r="H19" s="6" t="s">
        <v>201</v>
      </c>
    </row>
    <row r="21" customFormat="false" ht="15" hidden="false" customHeight="false" outlineLevel="0" collapsed="false">
      <c r="A21" s="6" t="s">
        <v>54</v>
      </c>
      <c r="B21" s="3" t="s">
        <v>197</v>
      </c>
      <c r="C21" s="6" t="n">
        <v>5</v>
      </c>
      <c r="D21" s="6" t="n">
        <v>0.518</v>
      </c>
      <c r="E21" s="6" t="n">
        <v>0.067</v>
      </c>
      <c r="F21" s="18" t="n">
        <f aca="false">IFERROR(ROUND(D21/E21,2),0)</f>
        <v>7.73</v>
      </c>
      <c r="G21" s="8" t="s">
        <v>193</v>
      </c>
      <c r="H21" s="8" t="s">
        <v>194</v>
      </c>
    </row>
    <row r="22" customFormat="false" ht="15" hidden="false" customHeight="false" outlineLevel="0" collapsed="false">
      <c r="A22" s="6" t="s">
        <v>54</v>
      </c>
      <c r="B22" s="3" t="s">
        <v>192</v>
      </c>
      <c r="C22" s="6" t="n">
        <v>11</v>
      </c>
      <c r="D22" s="6" t="n">
        <v>0.286</v>
      </c>
      <c r="E22" s="6" t="n">
        <v>0.046</v>
      </c>
      <c r="F22" s="18" t="n">
        <f aca="false">IFERROR(ROUND(D22/E22,2),0)</f>
        <v>6.22</v>
      </c>
      <c r="G22" s="8" t="s">
        <v>193</v>
      </c>
      <c r="H22" s="8" t="s">
        <v>194</v>
      </c>
    </row>
    <row r="23" customFormat="false" ht="15" hidden="false" customHeight="false" outlineLevel="0" collapsed="false">
      <c r="A23" s="6" t="s">
        <v>54</v>
      </c>
      <c r="B23" s="3" t="s">
        <v>202</v>
      </c>
      <c r="C23" s="6" t="n">
        <v>4</v>
      </c>
      <c r="D23" s="6" t="n">
        <v>0.312</v>
      </c>
      <c r="E23" s="6" t="n">
        <v>0.089</v>
      </c>
      <c r="F23" s="18" t="n">
        <f aca="false">IFERROR(ROUND(D23/E23,2),0)</f>
        <v>3.51</v>
      </c>
      <c r="G23" s="8" t="s">
        <v>193</v>
      </c>
      <c r="H23" s="8" t="s">
        <v>199</v>
      </c>
    </row>
    <row r="24" customFormat="false" ht="17.15" hidden="false" customHeight="false" outlineLevel="0" collapsed="false">
      <c r="A24" s="6" t="s">
        <v>54</v>
      </c>
      <c r="B24" s="3" t="s">
        <v>195</v>
      </c>
      <c r="C24" s="6" t="n">
        <v>3</v>
      </c>
      <c r="D24" s="6" t="n">
        <v>0</v>
      </c>
      <c r="E24" s="6" t="n">
        <v>0.11</v>
      </c>
      <c r="F24" s="15" t="n">
        <f aca="false">IFERROR(ROUND(D24/E24,2),0)</f>
        <v>0</v>
      </c>
      <c r="G24" s="8" t="s">
        <v>200</v>
      </c>
      <c r="H24" s="6" t="s">
        <v>201</v>
      </c>
    </row>
    <row r="27" customFormat="false" ht="17.15" hidden="false" customHeight="false" outlineLevel="0" collapsed="false">
      <c r="A27" s="3" t="s">
        <v>205</v>
      </c>
    </row>
    <row r="28" customFormat="false" ht="17.15" hidden="false" customHeight="false" outlineLevel="0" collapsed="false">
      <c r="A28" s="5" t="s">
        <v>34</v>
      </c>
      <c r="B28" s="5" t="s">
        <v>206</v>
      </c>
      <c r="C28" s="20" t="s">
        <v>207</v>
      </c>
      <c r="D28" s="20" t="s">
        <v>208</v>
      </c>
      <c r="E28" s="20" t="s">
        <v>209</v>
      </c>
      <c r="F28" s="20" t="s">
        <v>210</v>
      </c>
      <c r="G28" s="20" t="s">
        <v>211</v>
      </c>
      <c r="H28" s="5" t="s">
        <v>212</v>
      </c>
    </row>
    <row r="29" customFormat="false" ht="32.8" hidden="false" customHeight="false" outlineLevel="0" collapsed="false">
      <c r="A29" s="6" t="s">
        <v>50</v>
      </c>
      <c r="B29" s="6" t="n">
        <v>3</v>
      </c>
      <c r="C29" s="6" t="n">
        <v>0.011</v>
      </c>
      <c r="D29" s="15" t="n">
        <v>0.0227</v>
      </c>
      <c r="E29" s="6" t="n">
        <v>0.0047</v>
      </c>
      <c r="F29" s="6" t="n">
        <v>0.0051</v>
      </c>
      <c r="G29" s="6" t="n">
        <v>0.0034</v>
      </c>
      <c r="H29" s="19" t="s">
        <v>213</v>
      </c>
    </row>
    <row r="30" customFormat="false" ht="32.8" hidden="false" customHeight="false" outlineLevel="0" collapsed="false">
      <c r="A30" s="6" t="s">
        <v>44</v>
      </c>
      <c r="B30" s="6" t="n">
        <v>1</v>
      </c>
      <c r="C30" s="6" t="n">
        <v>0.0128</v>
      </c>
      <c r="D30" s="15" t="n">
        <v>0.0217</v>
      </c>
      <c r="E30" s="6" t="n">
        <v>0.0054</v>
      </c>
      <c r="F30" s="6" t="n">
        <v>0.0046</v>
      </c>
      <c r="G30" s="6" t="n">
        <v>0.0018</v>
      </c>
      <c r="H30" s="19" t="s">
        <v>214</v>
      </c>
    </row>
    <row r="31" customFormat="false" ht="32.8" hidden="false" customHeight="false" outlineLevel="0" collapsed="false">
      <c r="A31" s="6" t="s">
        <v>52</v>
      </c>
      <c r="H31" s="25" t="s">
        <v>215</v>
      </c>
    </row>
    <row r="32" customFormat="false" ht="32.8" hidden="false" customHeight="false" outlineLevel="0" collapsed="false">
      <c r="A32" s="6" t="s">
        <v>47</v>
      </c>
      <c r="H32" s="25" t="s">
        <v>215</v>
      </c>
    </row>
    <row r="33" customFormat="false" ht="32.8" hidden="false" customHeight="false" outlineLevel="0" collapsed="false">
      <c r="A33" s="6" t="s">
        <v>54</v>
      </c>
      <c r="B33" s="6" t="n">
        <v>5</v>
      </c>
      <c r="C33" s="6" t="n">
        <v>0.0096</v>
      </c>
      <c r="D33" s="15" t="n">
        <v>0.0247</v>
      </c>
      <c r="E33" s="6" t="n">
        <v>0.0055</v>
      </c>
      <c r="F33" s="6" t="n">
        <v>0.0028</v>
      </c>
      <c r="G33" s="6" t="n">
        <v>0.002</v>
      </c>
      <c r="H33" s="19" t="s">
        <v>216</v>
      </c>
    </row>
    <row r="35" customFormat="false" ht="15" hidden="false" customHeight="false" outlineLevel="0" collapsed="false">
      <c r="A35" s="2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2026-09-17T01:22:05Z</dcterms:created>
  <dc:creator>openpyxl</dc:creator>
  <dc:description/>
  <dc:language>en-US</dc:language>
  <cp:lastModifiedBy/>
  <dcterms:modified xsi:type="dcterms:W3CDTF">2026-09-17T01:22:05Z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