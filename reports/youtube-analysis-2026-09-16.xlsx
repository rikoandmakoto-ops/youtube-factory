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チャンネル別詳細" sheetId="2" state="visible" r:id="rId4"/>
    <sheet name="直近動画一覧" sheetId="3" state="visible" r:id="rId5"/>
    <sheet name="改善提案" sheetId="4" state="visible" r:id="rId6"/>
    <sheet name="前回比較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<sst xmlns="http://schemas.openxmlformats.org/spreadsheetml/2006/main" count="906" uniqueCount="479">
  <si>
    <r>
      <rPr>
        <b val="true"/>
        <sz val="14"/>
        <rFont val="Arial"/>
        <family val="0"/>
        <charset val="1"/>
      </rPr>
      <t xml:space="preserve">YouTube Factory </t>
    </r>
    <r>
      <rPr>
        <b val="true"/>
        <sz val="14"/>
        <rFont val="Noto Sans CJK SC"/>
        <family val="2"/>
      </rPr>
      <t xml:space="preserve">指揮者レポート  </t>
    </r>
    <r>
      <rPr>
        <b val="true"/>
        <sz val="14"/>
        <rFont val="Arial"/>
        <family val="0"/>
        <charset val="1"/>
      </rPr>
      <t xml:space="preserve">2026-09-16</t>
    </r>
    <r>
      <rPr>
        <b val="true"/>
        <sz val="14"/>
        <rFont val="Noto Sans CJK SC"/>
        <family val="2"/>
      </rPr>
      <t xml:space="preserve">（水）</t>
    </r>
  </si>
  <si>
    <r>
      <rPr>
        <sz val="10"/>
        <rFont val="Noto Sans CJK SC"/>
        <family val="2"/>
      </rPr>
      <t xml:space="preserve">データ源</t>
    </r>
    <r>
      <rPr>
        <sz val="10"/>
        <rFont val="Arial"/>
        <family val="0"/>
        <charset val="1"/>
      </rPr>
      <t xml:space="preserve">: data/analytics/analytics.db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YouTube Analytics API</t>
    </r>
    <r>
      <rPr>
        <sz val="10"/>
        <rFont val="Noto Sans CJK SC"/>
        <family val="2"/>
      </rPr>
      <t xml:space="preserve">）。ブラウザ収集・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キーは使用していない。</t>
    </r>
  </si>
  <si>
    <r>
      <rPr>
        <sz val="10"/>
        <rFont val="Noto Sans CJK SC"/>
        <family val="2"/>
      </rPr>
      <t xml:space="preserve">生成</t>
    </r>
    <r>
      <rPr>
        <sz val="10"/>
        <rFont val="Arial"/>
        <family val="0"/>
        <charset val="1"/>
      </rPr>
      <t xml:space="preserve">: 2026-09-16 10:18  /  </t>
    </r>
    <r>
      <rPr>
        <sz val="10"/>
        <rFont val="Noto Sans CJK SC"/>
        <family val="2"/>
      </rPr>
      <t xml:space="preserve">最新スナップショット</t>
    </r>
    <r>
      <rPr>
        <sz val="10"/>
        <rFont val="Arial"/>
        <family val="0"/>
        <charset val="1"/>
      </rPr>
      <t xml:space="preserve">: 2026-09-15 22:30–22:41 JST fetch</t>
    </r>
  </si>
  <si>
    <t xml:space="preserve">■ 本日の結論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</si>
  <si>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新規データは </t>
    </r>
    <r>
      <rPr>
        <sz val="10"/>
        <rFont val="Arial"/>
        <family val="0"/>
        <charset val="1"/>
      </rPr>
      <t xml:space="preserve">09-15 22:41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fetch 1</t>
    </r>
    <r>
      <rPr>
        <sz val="10"/>
        <rFont val="Noto Sans CJK SC"/>
        <family val="2"/>
      </rPr>
      <t xml:space="preserve">本ぶん。稼働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のみ更新（他</t>
    </r>
    <r>
      <rPr>
        <sz val="10"/>
        <rFont val="Arial"/>
        <family val="0"/>
        <charset val="1"/>
      </rPr>
      <t xml:space="preserve">7ch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09-06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で停止＝</t>
    </r>
    <r>
      <rPr>
        <sz val="10"/>
        <rFont val="Arial"/>
        <family val="0"/>
        <charset val="1"/>
      </rPr>
      <t xml:space="preserve">OAuth invalid_grant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</si>
  <si>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【鉄則】同一スナップショットでの二重判断を避けるため、実績ベースの </t>
    </r>
    <r>
      <rPr>
        <sz val="10"/>
        <rFont val="Arial"/>
        <family val="0"/>
        <charset val="1"/>
      </rPr>
      <t xml:space="preserve">config </t>
    </r>
    <r>
      <rPr>
        <sz val="10"/>
        <rFont val="Noto Sans CJK SC"/>
        <family val="2"/>
      </rPr>
      <t xml:space="preserve">変更は本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では行わない。 </t>
    </r>
    <r>
      <rPr>
        <sz val="10"/>
        <rFont val="Arial"/>
        <family val="0"/>
        <charset val="1"/>
      </rPr>
      <t xml:space="preserve">10:10 </t>
    </r>
    <r>
      <rPr>
        <sz val="10"/>
        <rFont val="Noto Sans CJK SC"/>
        <family val="2"/>
      </rPr>
      <t xml:space="preserve">の並走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Phase 3 </t>
    </r>
    <r>
      <rPr>
        <sz val="10"/>
        <rFont val="Noto Sans CJK SC"/>
        <family val="2"/>
      </rPr>
      <t xml:space="preserve">を先に消費している（</t>
    </r>
    <r>
      <rPr>
        <sz val="10"/>
        <rFont val="Arial"/>
        <family val="0"/>
        <charset val="1"/>
      </rPr>
      <t xml:space="preserve">reports/orch_config_changes_20260916.json </t>
    </r>
    <r>
      <rPr>
        <sz val="10"/>
        <rFont val="Noto Sans CJK SC"/>
        <family val="2"/>
      </rPr>
      <t xml:space="preserve">が存在）。並走は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日連続。</t>
    </r>
  </si>
  <si>
    <r>
      <rPr>
        <sz val="10"/>
        <rFont val="Arial"/>
        <family val="0"/>
        <charset val="1"/>
      </rPr>
      <t xml:space="preserve">3. ★</t>
    </r>
    <r>
      <rPr>
        <sz val="10"/>
        <rFont val="Noto Sans CJK SC"/>
        <family val="2"/>
      </rPr>
      <t xml:space="preserve">本日の最大の発見★ いいね率の「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回連続の単調関係」は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内対照では成り立っていない。 プール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分位は </t>
    </r>
    <r>
      <rPr>
        <sz val="10"/>
        <rFont val="Arial"/>
        <family val="0"/>
        <charset val="1"/>
      </rPr>
      <t xml:space="preserve">Q2 0.537 &gt; Q3 0.488 </t>
    </r>
    <r>
      <rPr>
        <sz val="10"/>
        <rFont val="Noto Sans CJK SC"/>
        <family val="2"/>
      </rPr>
      <t xml:space="preserve">で単調が崩れ（</t>
    </r>
    <r>
      <rPr>
        <sz val="10"/>
        <rFont val="Arial"/>
        <family val="0"/>
        <charset val="1"/>
      </rPr>
      <t xml:space="preserve">Q4/Q1 </t>
    </r>
    <r>
      <rPr>
        <sz val="10"/>
        <rFont val="Noto Sans CJK SC"/>
        <family val="2"/>
      </rPr>
      <t xml:space="preserve">も </t>
    </r>
    <r>
      <rPr>
        <sz val="10"/>
        <rFont val="Arial"/>
        <family val="0"/>
        <charset val="1"/>
      </rPr>
      <t xml:space="preserve">3.96→3.19 </t>
    </r>
    <r>
      <rPr>
        <sz val="10"/>
        <rFont val="Noto Sans CJK SC"/>
        <family val="2"/>
      </rPr>
      <t xml:space="preserve">倍に低下）、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内中央値二分では </t>
    </r>
    <r>
      <rPr>
        <sz val="10"/>
        <rFont val="Arial"/>
        <family val="0"/>
        <charset val="1"/>
      </rPr>
      <t xml:space="preserve">3/5ch </t>
    </r>
    <r>
      <rPr>
        <sz val="10"/>
        <rFont val="Noto Sans CJK SC"/>
        <family val="2"/>
      </rPr>
      <t xml:space="preserve">のみ一致（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と </t>
    </r>
    <r>
      <rPr>
        <sz val="10"/>
        <rFont val="Arial"/>
        <family val="0"/>
        <charset val="1"/>
      </rPr>
      <t xml:space="preserve">2ch-matome </t>
    </r>
    <r>
      <rPr>
        <sz val="10"/>
        <rFont val="Noto Sans CJK SC"/>
        <family val="2"/>
      </rPr>
      <t xml:space="preserve">が逆）。シンプソンのパラドックス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例目の候補。</t>
    </r>
  </si>
  <si>
    <r>
      <rPr>
        <sz val="10"/>
        <rFont val="Arial"/>
        <family val="0"/>
        <charset val="1"/>
      </rPr>
      <t xml:space="preserve">4. ★</t>
    </r>
    <r>
      <rPr>
        <sz val="10"/>
        <rFont val="Noto Sans CJK SC"/>
        <family val="2"/>
      </rPr>
      <t xml:space="preserve">入れ替わり★ 代わりに維持率が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内対照で </t>
    </r>
    <r>
      <rPr>
        <sz val="10"/>
        <rFont val="Arial"/>
        <family val="0"/>
        <charset val="1"/>
      </rPr>
      <t xml:space="preserve">09-13/14/15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スナップショット連続 </t>
    </r>
    <r>
      <rPr>
        <sz val="10"/>
        <rFont val="Arial"/>
        <family val="0"/>
        <charset val="1"/>
      </rPr>
      <t xml:space="preserve">5/5ch </t>
    </r>
    <r>
      <rPr>
        <sz val="10"/>
        <rFont val="Noto Sans CJK SC"/>
        <family val="2"/>
      </rPr>
      <t xml:space="preserve">一致した。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時点は逆（いいね率 </t>
    </r>
    <r>
      <rPr>
        <sz val="10"/>
        <rFont val="Arial"/>
        <family val="0"/>
        <charset val="1"/>
      </rPr>
      <t xml:space="preserve">5/5</t>
    </r>
    <r>
      <rPr>
        <sz val="10"/>
        <rFont val="Noto Sans CJK SC"/>
        <family val="2"/>
      </rPr>
      <t xml:space="preserve">・維持率 </t>
    </r>
    <r>
      <rPr>
        <sz val="10"/>
        <rFont val="Arial"/>
        <family val="0"/>
        <charset val="1"/>
      </rPr>
      <t xml:space="preserve">3/5</t>
    </r>
    <r>
      <rPr>
        <sz val="10"/>
        <rFont val="Noto Sans CJK SC"/>
        <family val="2"/>
      </rPr>
      <t xml:space="preserve">）。ただし連続スナップショットは同一動画が約</t>
    </r>
    <r>
      <rPr>
        <sz val="10"/>
        <rFont val="Arial"/>
        <family val="0"/>
        <charset val="1"/>
      </rPr>
      <t xml:space="preserve">95%</t>
    </r>
    <r>
      <rPr>
        <sz val="10"/>
        <rFont val="Noto Sans CJK SC"/>
        <family val="2"/>
      </rPr>
      <t xml:space="preserve">重なり自己相関するため、 独立性のある比較点は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と 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つだけ。「維持率は判断に使わない」という現行の鉄則は根拠が弱くなったが、撤回はせず 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に独立コホートで再判定する。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</si>
  <si>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維持率バンドの頂点 </t>
    </r>
    <r>
      <rPr>
        <sz val="10"/>
        <rFont val="Arial"/>
        <family val="0"/>
        <charset val="1"/>
      </rPr>
      <t xml:space="preserve">40-50%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0.687</t>
    </r>
    <r>
      <rPr>
        <sz val="10"/>
        <rFont val="Noto Sans CJK SC"/>
        <family val="2"/>
      </rPr>
      <t xml:space="preserve">）は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日連続で再現。</t>
    </r>
    <r>
      <rPr>
        <sz val="10"/>
        <rFont val="Arial"/>
        <family val="0"/>
        <charset val="1"/>
      </rPr>
      <t xml:space="preserve">&lt;30% </t>
    </r>
    <r>
      <rPr>
        <sz val="10"/>
        <rFont val="Noto Sans CJK SC"/>
        <family val="2"/>
      </rPr>
      <t xml:space="preserve">が最下位（</t>
    </r>
    <r>
      <rPr>
        <sz val="10"/>
        <rFont val="Arial"/>
        <family val="0"/>
        <charset val="1"/>
      </rPr>
      <t xml:space="preserve">0.245</t>
    </r>
    <r>
      <rPr>
        <sz val="10"/>
        <rFont val="Noto Sans CJK SC"/>
        <family val="2"/>
      </rPr>
      <t xml:space="preserve">）も再現。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の訂正版の結論は堅い。</t>
    </r>
  </si>
  <si>
    <r>
      <rPr>
        <sz val="10"/>
        <rFont val="Arial"/>
        <family val="0"/>
        <charset val="1"/>
      </rPr>
      <t xml:space="preserve">6. 17</t>
    </r>
    <r>
      <rPr>
        <sz val="10"/>
        <rFont val="Noto Sans CJK SC"/>
        <family val="2"/>
      </rPr>
      <t xml:space="preserve">時枠 </t>
    </r>
    <r>
      <rPr>
        <sz val="10"/>
        <rFont val="Arial"/>
        <family val="0"/>
        <charset val="1"/>
      </rPr>
      <t xml:space="preserve">0.932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n=38</t>
    </r>
    <r>
      <rPr>
        <sz val="10"/>
        <rFont val="Noto Sans CJK SC"/>
        <family val="2"/>
      </rPr>
      <t xml:space="preserve">）が再び最良で 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の枠再編は妥当。一方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時枠は </t>
    </r>
    <r>
      <rPr>
        <sz val="10"/>
        <rFont val="Arial"/>
        <family val="0"/>
        <charset val="1"/>
      </rPr>
      <t xml:space="preserve">0.000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n=4</t>
    </r>
    <r>
      <rPr>
        <sz val="10"/>
        <rFont val="Noto Sans CJK SC"/>
        <family val="2"/>
      </rPr>
      <t xml:space="preserve">）へ悪化（前日 </t>
    </r>
    <r>
      <rPr>
        <sz val="10"/>
        <rFont val="Arial"/>
        <family val="0"/>
        <charset val="1"/>
      </rPr>
      <t xml:space="preserve">0.169/n=7</t>
    </r>
    <r>
      <rPr>
        <sz val="10"/>
        <rFont val="Noto Sans CJK SC"/>
        <family val="2"/>
      </rPr>
      <t xml:space="preserve">）。 ただし 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以降の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時公開分は全て未計測なので、これは変更前の母集団しか見ていない。</t>
    </r>
  </si>
  <si>
    <r>
      <rPr>
        <sz val="10"/>
        <rFont val="Arial"/>
        <family val="0"/>
        <charset val="1"/>
      </rPr>
      <t xml:space="preserve">7. 09-07</t>
    </r>
    <r>
      <rPr>
        <sz val="10"/>
        <rFont val="Noto Sans CJK SC"/>
        <family val="2"/>
      </rPr>
      <t xml:space="preserve">以降の公開 </t>
    </r>
    <r>
      <rPr>
        <sz val="10"/>
        <rFont val="Arial"/>
        <family val="0"/>
        <charset val="1"/>
      </rPr>
      <t xml:space="preserve">85</t>
    </r>
    <r>
      <rPr>
        <sz val="10"/>
        <rFont val="Noto Sans CJK SC"/>
        <family val="2"/>
      </rPr>
      <t xml:space="preserve">本中 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本が依然 </t>
    </r>
    <r>
      <rPr>
        <sz val="10"/>
        <rFont val="Arial"/>
        <family val="0"/>
        <charset val="1"/>
      </rPr>
      <t xml:space="preserve">views=0</t>
    </r>
    <r>
      <rPr>
        <sz val="10"/>
        <rFont val="Noto Sans CJK SC"/>
        <family val="2"/>
      </rPr>
      <t xml:space="preserve">（反映ラグ実測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日）。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の枠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型変更の本判定は変わらず </t>
    </r>
    <r>
      <rPr>
        <sz val="10"/>
        <rFont val="Arial"/>
        <family val="0"/>
        <charset val="1"/>
      </rPr>
      <t xml:space="preserve">09-21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</si>
  <si>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8. </t>
    </r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Act </t>
    </r>
    <r>
      <rPr>
        <sz val="10"/>
        <rFont val="Noto Sans CJK SC"/>
        <family val="2"/>
      </rPr>
      <t xml:space="preserve">実行】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夜メモが本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へ申し送った仕様判断を実行した — </t>
    </r>
    <r>
      <rPr>
        <sz val="10"/>
        <rFont val="Arial"/>
        <family val="0"/>
        <charset val="1"/>
      </rPr>
      <t xml:space="preserve">scp-lab / pokemon-lab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max_digit_groups </t>
    </r>
    <r>
      <rPr>
        <sz val="10"/>
        <rFont val="Noto Sans CJK SC"/>
        <family val="2"/>
      </rPr>
      <t xml:space="preserve">を </t>
    </r>
    <r>
      <rPr>
        <sz val="10"/>
        <rFont val="Arial"/>
        <family val="0"/>
        <charset val="1"/>
      </rPr>
      <t xml:space="preserve">1→2</t>
    </r>
    <r>
      <rPr>
        <sz val="10"/>
        <rFont val="Noto Sans CJK SC"/>
        <family val="2"/>
      </rPr>
      <t xml:space="preserve">（コミット </t>
    </r>
    <r>
      <rPr>
        <sz val="10"/>
        <rFont val="Arial"/>
        <family val="0"/>
        <charset val="1"/>
      </rPr>
      <t xml:space="preserve">fb2eee6</t>
    </r>
    <r>
      <rPr>
        <sz val="10"/>
        <rFont val="Noto Sans CJK SC"/>
        <family val="2"/>
      </rPr>
      <t xml:space="preserve">）。題材名の数字がゲート枠を使い切る構造的衝突で、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に実際に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枠を捨てていた。</t>
    </r>
  </si>
  <si>
    <r>
      <rPr>
        <sz val="10"/>
        <rFont val="Arial"/>
        <family val="0"/>
        <charset val="1"/>
      </rPr>
      <t xml:space="preserve">9. </t>
    </r>
    <r>
      <rPr>
        <sz val="10"/>
        <rFont val="Noto Sans CJK SC"/>
        <family val="2"/>
      </rPr>
      <t xml:space="preserve">人手案件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件（</t>
    </r>
    <r>
      <rPr>
        <sz val="10"/>
        <rFont val="Arial"/>
        <family val="0"/>
        <charset val="1"/>
      </rPr>
      <t xml:space="preserve">OAuth 09-20</t>
    </r>
    <r>
      <rPr>
        <sz val="10"/>
        <rFont val="Noto Sans CJK SC"/>
        <family val="2"/>
      </rPr>
      <t xml:space="preserve">失効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サムネ</t>
    </r>
    <r>
      <rPr>
        <sz val="10"/>
        <rFont val="Arial"/>
        <family val="0"/>
        <charset val="1"/>
      </rPr>
      <t xml:space="preserve">403 / Anthropic API</t>
    </r>
    <r>
      <rPr>
        <sz val="10"/>
        <rFont val="Noto Sans CJK SC"/>
        <family val="2"/>
      </rPr>
      <t xml:space="preserve">キー</t>
    </r>
    <r>
      <rPr>
        <sz val="10"/>
        <rFont val="Arial"/>
        <family val="0"/>
        <charset val="1"/>
      </rPr>
      <t xml:space="preserve">401</t>
    </r>
    <r>
      <rPr>
        <sz val="10"/>
        <rFont val="Noto Sans CJK SC"/>
        <family val="2"/>
      </rPr>
      <t xml:space="preserve">）はいずれも未解消。 とくに </t>
    </r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09-20 </t>
    </r>
    <r>
      <rPr>
        <sz val="10"/>
        <rFont val="Noto Sans CJK SC"/>
        <family val="2"/>
      </rPr>
      <t xml:space="preserve">昼に稼働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が一斉失効する確定予定で、残り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日。</t>
    </r>
  </si>
  <si>
    <r>
      <rPr>
        <b val="true"/>
        <sz val="11"/>
        <rFont val="Noto Sans CJK SC"/>
        <family val="2"/>
      </rPr>
      <t xml:space="preserve">■ チャンネル別 実績（各</t>
    </r>
    <r>
      <rPr>
        <b val="true"/>
        <sz val="11"/>
        <rFont val="Arial"/>
        <family val="0"/>
        <charset val="1"/>
      </rPr>
      <t xml:space="preserve">ch</t>
    </r>
    <r>
      <rPr>
        <b val="true"/>
        <sz val="11"/>
        <rFont val="Noto Sans CJK SC"/>
        <family val="2"/>
      </rPr>
      <t xml:space="preserve">の最新スナップショット・直近</t>
    </r>
    <r>
      <rPr>
        <b val="true"/>
        <sz val="11"/>
        <rFont val="Arial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本ローリング窓・</t>
    </r>
    <r>
      <rPr>
        <b val="true"/>
        <sz val="11"/>
        <rFont val="Arial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日窓の累積）</t>
    </r>
  </si>
  <si>
    <t xml:space="preserve">チャンネル</t>
  </si>
  <si>
    <t xml:space="preserve">名称</t>
  </si>
  <si>
    <t xml:space="preserve">系統</t>
  </si>
  <si>
    <t xml:space="preserve">スナップ</t>
  </si>
  <si>
    <t xml:space="preserve">本数</t>
  </si>
  <si>
    <t xml:space="preserve">総再生</t>
  </si>
  <si>
    <t xml:space="preserve">平均再生</t>
  </si>
  <si>
    <t xml:space="preserve">登録者</t>
  </si>
  <si>
    <r>
      <rPr>
        <b val="true"/>
        <sz val="10"/>
        <color rgb="FFFFFFFF"/>
        <rFont val="Noto Sans CJK SC"/>
        <family val="2"/>
      </rPr>
      <t xml:space="preserve">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千再生</t>
    </r>
  </si>
  <si>
    <t xml:space="preserve">いいね数</t>
  </si>
  <si>
    <r>
      <rPr>
        <b val="true"/>
        <sz val="10"/>
        <color rgb="FFFFFFFF"/>
        <rFont val="Noto Sans CJK SC"/>
        <family val="2"/>
      </rPr>
      <t xml:space="preserve">いいね率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</si>
  <si>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コメント</t>
  </si>
  <si>
    <r>
      <rPr>
        <b val="true"/>
        <sz val="10"/>
        <color rgb="FFFFFFFF"/>
        <rFont val="Noto Sans CJK SC"/>
        <family val="2"/>
      </rPr>
      <t xml:space="preserve">平均維持率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</si>
  <si>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scp-lab</t>
  </si>
  <si>
    <r>
      <rPr>
        <sz val="10"/>
        <rFont val="Noto Sans CJK SC"/>
        <family val="2"/>
      </rPr>
      <t xml:space="preserve">ゆっくり異常存在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ラボ</t>
    </r>
  </si>
  <si>
    <t xml:space="preserve">ゆっくり系</t>
  </si>
  <si>
    <t xml:space="preserve">2026-09-15</t>
  </si>
  <si>
    <t xml:space="preserve">daily-science</t>
  </si>
  <si>
    <t xml:space="preserve">リコとマコトのゆっくり日常科学</t>
  </si>
  <si>
    <t xml:space="preserve">yokai-watch</t>
  </si>
  <si>
    <t xml:space="preserve">ゆっくり妖怪ラボ</t>
  </si>
  <si>
    <t xml:space="preserve">company-facts</t>
  </si>
  <si>
    <t xml:space="preserve">企業のホンネ</t>
  </si>
  <si>
    <t xml:space="preserve">2ch-matome</t>
  </si>
  <si>
    <r>
      <rPr>
        <sz val="10"/>
        <rFont val="Noto Sans CJK SC"/>
        <family val="2"/>
      </rPr>
      <t xml:space="preserve">ゆっくり</t>
    </r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スレまとめ劇場</t>
    </r>
  </si>
  <si>
    <t xml:space="preserve">socio-rx</t>
  </si>
  <si>
    <t xml:space="preserve">社会学の処方箋</t>
  </si>
  <si>
    <t xml:space="preserve">pokemon-lab</t>
  </si>
  <si>
    <t xml:space="preserve">ポケモン考察ラボ</t>
  </si>
  <si>
    <t xml:space="preserve">2026-09-08</t>
  </si>
  <si>
    <t xml:space="preserve">fake-paper</t>
  </si>
  <si>
    <t xml:space="preserve">架空論文ファイル</t>
  </si>
  <si>
    <t xml:space="preserve">2026-09-06</t>
  </si>
  <si>
    <t xml:space="preserve">akashic-librarian</t>
  </si>
  <si>
    <t xml:space="preserve">ラグナロクの司書</t>
  </si>
  <si>
    <t xml:space="preserve">長尺系</t>
  </si>
  <si>
    <t xml:space="preserve">clip-lab</t>
  </si>
  <si>
    <t xml:space="preserve">切り抜きラボ（ひろゆき）</t>
  </si>
  <si>
    <t xml:space="preserve">切り抜き系</t>
  </si>
  <si>
    <t xml:space="preserve">clip-fukada</t>
  </si>
  <si>
    <t xml:space="preserve">深田えいみ 切り抜き</t>
  </si>
  <si>
    <t xml:space="preserve">clip-kaneko</t>
  </si>
  <si>
    <t xml:space="preserve">金子みゆ 切り抜き</t>
  </si>
  <si>
    <t xml:space="preserve">clip-animal</t>
  </si>
  <si>
    <t xml:space="preserve">動物情報局</t>
  </si>
  <si>
    <r>
      <rPr>
        <b val="true"/>
        <sz val="10"/>
        <rFont val="Noto Sans CJK SC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全</t>
    </r>
    <r>
      <rPr>
        <b val="true"/>
        <sz val="10"/>
        <rFont val="Arial"/>
        <family val="0"/>
        <charset val="1"/>
      </rPr>
      <t xml:space="preserve">13ch</t>
    </r>
  </si>
  <si>
    <r>
      <rPr>
        <sz val="10"/>
        <rFont val="Noto Sans CJK SC"/>
        <family val="2"/>
      </rPr>
      <t xml:space="preserve">※ 黄色のスナップ日 </t>
    </r>
    <r>
      <rPr>
        <sz val="10"/>
        <rFont val="Arial"/>
        <family val="0"/>
        <charset val="1"/>
      </rPr>
      <t xml:space="preserve">= 09-15 </t>
    </r>
    <r>
      <rPr>
        <sz val="10"/>
        <rFont val="Noto Sans CJK SC"/>
        <family val="2"/>
      </rPr>
      <t xml:space="preserve">より古い（</t>
    </r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失効で </t>
    </r>
    <r>
      <rPr>
        <sz val="10"/>
        <rFont val="Arial"/>
        <family val="0"/>
        <charset val="1"/>
      </rPr>
      <t xml:space="preserve">fetch </t>
    </r>
    <r>
      <rPr>
        <sz val="10"/>
        <rFont val="Noto Sans CJK SC"/>
        <family val="2"/>
      </rPr>
      <t xml:space="preserve">停止中）。その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の数値は当該日時点の値で、本日の実績ではない。</t>
    </r>
  </si>
  <si>
    <r>
      <rPr>
        <sz val="10"/>
        <rFont val="Noto Sans CJK SC"/>
        <family val="2"/>
      </rPr>
      <t xml:space="preserve">※ 総再生の前日比は指標にならない（窓が固定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本なので新規公開が入ると古い高再生本が落ちる）。判断は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 で行う。</t>
    </r>
  </si>
  <si>
    <r>
      <rPr>
        <sz val="10"/>
        <rFont val="Arial"/>
        <family val="0"/>
        <charset val="1"/>
      </rPr>
      <t xml:space="preserve">※ video_metrics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views / subscribers_gained </t>
    </r>
    <r>
      <rPr>
        <sz val="10"/>
        <rFont val="Noto Sans CJK SC"/>
        <family val="2"/>
      </rPr>
      <t xml:space="preserve">は「直近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日窓」の値（</t>
    </r>
    <r>
      <rPr>
        <sz val="10"/>
        <rFont val="Arial"/>
        <family val="0"/>
        <charset val="1"/>
      </rPr>
      <t xml:space="preserve">fetch_video_metrics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days=30</t>
    </r>
    <r>
      <rPr>
        <sz val="10"/>
        <rFont val="Noto Sans CJK SC"/>
        <family val="2"/>
      </rPr>
      <t xml:space="preserve">）。生涯累計ではない。</t>
    </r>
  </si>
  <si>
    <r>
      <rPr>
        <b val="true"/>
        <sz val="11"/>
        <rFont val="Noto Sans CJK SC"/>
        <family val="2"/>
      </rPr>
      <t xml:space="preserve">■ 系統別（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分類）</t>
    </r>
  </si>
  <si>
    <r>
      <rPr>
        <b val="true"/>
        <sz val="10"/>
        <color rgb="FFFFFFFF"/>
        <rFont val="Arial"/>
        <family val="0"/>
        <charset val="1"/>
      </rPr>
      <t xml:space="preserve">ch</t>
    </r>
    <r>
      <rPr>
        <b val="true"/>
        <sz val="10"/>
        <color rgb="FFFFFFFF"/>
        <rFont val="Noto Sans CJK SC"/>
        <family val="2"/>
      </rPr>
      <t xml:space="preserve">数</t>
    </r>
  </si>
  <si>
    <t xml:space="preserve">登録</t>
  </si>
  <si>
    <r>
      <rPr>
        <b val="true"/>
        <sz val="10"/>
        <rFont val="Noto Sans CJK SC"/>
        <family val="2"/>
      </rPr>
      <t xml:space="preserve">ゆっくり</t>
    </r>
    <r>
      <rPr>
        <b val="true"/>
        <sz val="10"/>
        <rFont val="Arial"/>
        <family val="0"/>
        <charset val="1"/>
      </rPr>
      <t xml:space="preserve">8ch ÷ </t>
    </r>
    <r>
      <rPr>
        <b val="true"/>
        <sz val="10"/>
        <rFont val="Noto Sans CJK SC"/>
        <family val="2"/>
      </rPr>
      <t xml:space="preserve">切り抜き</t>
    </r>
    <r>
      <rPr>
        <b val="true"/>
        <sz val="10"/>
        <rFont val="Arial"/>
        <family val="0"/>
        <charset val="1"/>
      </rPr>
      <t xml:space="preserve">4ch =</t>
    </r>
  </si>
  <si>
    <r>
      <rPr>
        <sz val="10"/>
        <rFont val="Noto Sans CJK SC"/>
        <family val="2"/>
      </rPr>
      <t xml:space="preserve">倍率は窓と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構成で必ず変わる。分子と分母で同じ分類を使うこと（</t>
    </r>
    <r>
      <rPr>
        <sz val="10"/>
        <rFont val="Arial"/>
        <family val="0"/>
        <charset val="1"/>
      </rPr>
      <t xml:space="preserve">09-12 4.58</t>
    </r>
    <r>
      <rPr>
        <sz val="10"/>
        <rFont val="Noto Sans CJK SC"/>
        <family val="2"/>
      </rPr>
      <t xml:space="preserve">倍</t>
    </r>
    <r>
      <rPr>
        <sz val="10"/>
        <rFont val="Arial"/>
        <family val="0"/>
        <charset val="1"/>
      </rPr>
      <t xml:space="preserve">/3ch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09-13 4.56</t>
    </r>
    <r>
      <rPr>
        <sz val="10"/>
        <rFont val="Noto Sans CJK SC"/>
        <family val="2"/>
      </rPr>
      <t xml:space="preserve">倍</t>
    </r>
    <r>
      <rPr>
        <sz val="10"/>
        <rFont val="Arial"/>
        <family val="0"/>
        <charset val="1"/>
      </rPr>
      <t xml:space="preserve">/4ch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09-14 4.81</t>
    </r>
    <r>
      <rPr>
        <sz val="10"/>
        <rFont val="Noto Sans CJK SC"/>
        <family val="2"/>
      </rPr>
      <t xml:space="preserve">倍・</t>
    </r>
    <r>
      <rPr>
        <sz val="10"/>
        <rFont val="Arial"/>
        <family val="0"/>
        <charset val="1"/>
      </rPr>
      <t xml:space="preserve">09-15 4.72</t>
    </r>
    <r>
      <rPr>
        <sz val="10"/>
        <rFont val="Noto Sans CJK SC"/>
        <family val="2"/>
      </rPr>
      <t xml:space="preserve">倍）</t>
    </r>
  </si>
  <si>
    <r>
      <rPr>
        <b val="true"/>
        <sz val="11"/>
        <rFont val="Noto Sans CJK SC"/>
        <family val="2"/>
      </rPr>
      <t xml:space="preserve">■ いいね率</t>
    </r>
    <r>
      <rPr>
        <b val="true"/>
        <sz val="11"/>
        <rFont val="Arial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分位 </t>
    </r>
    <r>
      <rPr>
        <b val="true"/>
        <sz val="11"/>
        <rFont val="Arial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登録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千（稼働</t>
    </r>
    <r>
      <rPr>
        <b val="true"/>
        <sz val="11"/>
        <rFont val="Arial"/>
        <family val="0"/>
        <charset val="1"/>
      </rPr>
      <t xml:space="preserve">5ch</t>
    </r>
    <r>
      <rPr>
        <b val="true"/>
        <sz val="11"/>
        <rFont val="Noto Sans CJK SC"/>
        <family val="2"/>
      </rPr>
      <t xml:space="preserve">・</t>
    </r>
    <r>
      <rPr>
        <b val="true"/>
        <sz val="11"/>
        <rFont val="Arial"/>
        <family val="0"/>
        <charset val="1"/>
      </rPr>
      <t xml:space="preserve">views≧200</t>
    </r>
    <r>
      <rPr>
        <b val="true"/>
        <sz val="11"/>
        <rFont val="Noto Sans CJK SC"/>
        <family val="2"/>
      </rPr>
      <t xml:space="preserve">・</t>
    </r>
    <r>
      <rPr>
        <b val="true"/>
        <sz val="11"/>
        <rFont val="Arial"/>
        <family val="0"/>
        <charset val="1"/>
      </rPr>
      <t xml:space="preserve">09-15</t>
    </r>
    <r>
      <rPr>
        <b val="true"/>
        <sz val="11"/>
        <rFont val="Noto Sans CJK SC"/>
        <family val="2"/>
      </rPr>
      <t xml:space="preserve">と同一母集団）</t>
    </r>
  </si>
  <si>
    <t xml:space="preserve">四分位</t>
  </si>
  <si>
    <t xml:space="preserve">判定</t>
  </si>
  <si>
    <t xml:space="preserve">Q1</t>
  </si>
  <si>
    <r>
      <rPr>
        <sz val="10"/>
        <rFont val="Arial"/>
        <family val="0"/>
        <charset val="1"/>
      </rPr>
      <t xml:space="preserve">Q2 &gt; Q3 </t>
    </r>
    <r>
      <rPr>
        <sz val="10"/>
        <rFont val="Noto Sans CJK SC"/>
        <family val="2"/>
      </rPr>
      <t xml:space="preserve">で単調が崩れた（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回連続の単調関係は本日で途切れ）</t>
    </r>
  </si>
  <si>
    <t xml:space="preserve">Q2</t>
  </si>
  <si>
    <r>
      <rPr>
        <sz val="10"/>
        <rFont val="Arial"/>
        <family val="0"/>
        <charset val="1"/>
      </rPr>
      <t xml:space="preserve">Q4/Q1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3.96</t>
    </r>
    <r>
      <rPr>
        <sz val="10"/>
        <rFont val="Noto Sans CJK SC"/>
        <family val="2"/>
      </rPr>
      <t xml:space="preserve">倍</t>
    </r>
    <r>
      <rPr>
        <sz val="10"/>
        <rFont val="Arial"/>
        <family val="0"/>
        <charset val="1"/>
      </rPr>
      <t xml:space="preserve">(09-15) → 3.19</t>
    </r>
    <r>
      <rPr>
        <sz val="10"/>
        <rFont val="Noto Sans CJK SC"/>
        <family val="2"/>
      </rPr>
      <t xml:space="preserve">倍 に低下</t>
    </r>
  </si>
  <si>
    <t xml:space="preserve">Q3</t>
  </si>
  <si>
    <t xml:space="preserve">Q4</t>
  </si>
  <si>
    <t xml:space="preserve">Q4/Q1 =</t>
  </si>
  <si>
    <r>
      <rPr>
        <sz val="10"/>
        <rFont val="Noto Sans CJK SC"/>
        <family val="2"/>
      </rPr>
      <t xml:space="preserve">方向（高いほど良い）は保つが単調性は崩れた。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内対照では </t>
    </r>
    <r>
      <rPr>
        <sz val="10"/>
        <rFont val="Arial"/>
        <family val="0"/>
        <charset val="1"/>
      </rPr>
      <t xml:space="preserve">3/5ch </t>
    </r>
    <r>
      <rPr>
        <sz val="10"/>
        <rFont val="Noto Sans CJK SC"/>
        <family val="2"/>
      </rPr>
      <t xml:space="preserve">のみ一致 →「チャンネル別詳細」シート下部を参照</t>
    </r>
  </si>
  <si>
    <r>
      <rPr>
        <b val="true"/>
        <sz val="14"/>
        <rFont val="Noto Sans CJK SC"/>
        <family val="2"/>
      </rPr>
      <t xml:space="preserve">チャンネル別詳細 — 実績・在庫・本日の </t>
    </r>
    <r>
      <rPr>
        <b val="true"/>
        <sz val="14"/>
        <rFont val="Arial"/>
        <family val="0"/>
        <charset val="1"/>
      </rPr>
      <t xml:space="preserve">config</t>
    </r>
  </si>
  <si>
    <r>
      <rPr>
        <sz val="10"/>
        <rFont val="Noto Sans CJK SC"/>
        <family val="2"/>
      </rPr>
      <t xml:space="preserve">投稿枠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型ルール </t>
    </r>
    <r>
      <rPr>
        <sz val="10"/>
        <rFont val="Arial"/>
        <family val="0"/>
        <charset val="1"/>
      </rPr>
      <t xml:space="preserve">/ voice_style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に変更済み。本日は据え置き（実績ベース変更は </t>
    </r>
    <r>
      <rPr>
        <sz val="10"/>
        <rFont val="Arial"/>
        <family val="0"/>
        <charset val="1"/>
      </rPr>
      <t xml:space="preserve">10:10 </t>
    </r>
    <r>
      <rPr>
        <sz val="10"/>
        <rFont val="Noto Sans CJK SC"/>
        <family val="2"/>
      </rPr>
      <t xml:space="preserve">の並走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が消費）。</t>
    </r>
  </si>
  <si>
    <t xml:space="preserve">autopilot</t>
  </si>
  <si>
    <r>
      <rPr>
        <b val="true"/>
        <sz val="10"/>
        <color rgb="FFFFFFFF"/>
        <rFont val="Noto Sans CJK SC"/>
        <family val="2"/>
      </rPr>
      <t xml:space="preserve">投稿枠</t>
    </r>
    <r>
      <rPr>
        <b val="true"/>
        <sz val="10"/>
        <color rgb="FFFFFFFF"/>
        <rFont val="Arial"/>
        <family val="0"/>
        <charset val="1"/>
      </rPr>
      <t xml:space="preserve">(JST)</t>
    </r>
  </si>
  <si>
    <t xml:space="preserve">枠数</t>
  </si>
  <si>
    <t xml:space="preserve">キュー本数</t>
  </si>
  <si>
    <t xml:space="preserve">在庫日数</t>
  </si>
  <si>
    <r>
      <rPr>
        <b val="true"/>
        <sz val="10"/>
        <color rgb="FFFFFFFF"/>
        <rFont val="Arial"/>
        <family val="0"/>
        <charset val="1"/>
      </rPr>
      <t xml:space="preserve">mdg</t>
    </r>
    <r>
      <rPr>
        <b val="true"/>
        <sz val="10"/>
        <color rgb="FFFFFFFF"/>
        <rFont val="Noto Sans CJK SC"/>
        <family val="2"/>
      </rPr>
      <t xml:space="preserve">違反</t>
    </r>
  </si>
  <si>
    <t xml:space="preserve">本日の変更</t>
  </si>
  <si>
    <r>
      <rPr>
        <b val="true"/>
        <sz val="10"/>
        <color rgb="FFFFFFFF"/>
        <rFont val="Noto Sans CJK SC"/>
        <family val="2"/>
      </rPr>
      <t xml:space="preserve">評価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次アクション</t>
    </r>
  </si>
  <si>
    <t xml:space="preserve">有効</t>
  </si>
  <si>
    <t xml:space="preserve">13:00 / 17:00 / 19:00</t>
  </si>
  <si>
    <r>
      <rPr>
        <sz val="10"/>
        <rFont val="Arial"/>
        <family val="0"/>
        <charset val="1"/>
      </rPr>
      <t xml:space="preserve">mdg 1→2</t>
    </r>
    <r>
      <rPr>
        <sz val="10"/>
        <rFont val="Noto Sans CJK SC"/>
        <family val="2"/>
      </rPr>
      <t xml:space="preserve">（本 </t>
    </r>
    <r>
      <rPr>
        <sz val="10"/>
        <rFont val="Arial"/>
        <family val="0"/>
        <charset val="1"/>
      </rPr>
      <t xml:space="preserve">run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</si>
  <si>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○ 5ch</t>
    </r>
    <r>
      <rPr>
        <sz val="10"/>
        <rFont val="Noto Sans CJK SC"/>
        <family val="2"/>
      </rPr>
      <t xml:space="preserve">中最良 </t>
    </r>
    <r>
      <rPr>
        <sz val="10"/>
        <rFont val="Arial"/>
        <family val="0"/>
        <charset val="1"/>
      </rPr>
      <t xml:space="preserve">0.854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-0.009</t>
    </r>
    <r>
      <rPr>
        <sz val="10"/>
        <rFont val="Noto Sans CJK SC"/>
        <family val="2"/>
      </rPr>
      <t xml:space="preserve">）。同一動画のみでは </t>
    </r>
    <r>
      <rPr>
        <sz val="10"/>
        <rFont val="Arial"/>
        <family val="0"/>
        <charset val="1"/>
      </rPr>
      <t xml:space="preserve">+961</t>
    </r>
    <r>
      <rPr>
        <sz val="10"/>
        <rFont val="Noto Sans CJK SC"/>
        <family val="2"/>
      </rPr>
      <t xml:space="preserve">再生で実質は伸びている。</t>
    </r>
    <r>
      <rPr>
        <sz val="10"/>
        <rFont val="Arial"/>
        <family val="0"/>
        <charset val="1"/>
      </rPr>
      <t xml:space="preserve">mdg 1→2 </t>
    </r>
    <r>
      <rPr>
        <sz val="10"/>
        <rFont val="Noto Sans CJK SC"/>
        <family val="2"/>
      </rPr>
      <t xml:space="preserve">で枠落ちを解消したので </t>
    </r>
    <r>
      <rPr>
        <sz val="10"/>
        <rFont val="Arial"/>
        <family val="0"/>
        <charset val="1"/>
      </rPr>
      <t xml:space="preserve">09-17 </t>
    </r>
    <r>
      <rPr>
        <sz val="10"/>
        <rFont val="Noto Sans CJK SC"/>
        <family val="2"/>
      </rPr>
      <t xml:space="preserve">以降の枠到達率を見る。</t>
    </r>
  </si>
  <si>
    <t xml:space="preserve">07:30 / 15:00 / 17:00</t>
  </si>
  <si>
    <t xml:space="preserve">変更なし</t>
  </si>
  <si>
    <r>
      <rPr>
        <sz val="10"/>
        <rFont val="Arial"/>
        <family val="0"/>
        <charset val="1"/>
      </rPr>
      <t xml:space="preserve">◎ 0.725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+0.062</t>
    </r>
    <r>
      <rPr>
        <sz val="10"/>
        <rFont val="Noto Sans CJK SC"/>
        <family val="2"/>
      </rPr>
      <t xml:space="preserve">）で本日の最大改善。いいね率 </t>
    </r>
    <r>
      <rPr>
        <sz val="10"/>
        <rFont val="Arial"/>
        <family val="0"/>
        <charset val="1"/>
      </rPr>
      <t xml:space="preserve">0.755% </t>
    </r>
    <r>
      <rPr>
        <sz val="10"/>
        <rFont val="Noto Sans CJK SC"/>
        <family val="2"/>
      </rPr>
      <t xml:space="preserve">は全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最高。サムネ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が通っている唯一の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である点は、サムネ品質が効いている可能性を示す（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解消後に他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で検証できる）。</t>
    </r>
  </si>
  <si>
    <t xml:space="preserve">12:00 / 16:00 / 19:00</t>
  </si>
  <si>
    <r>
      <rPr>
        <sz val="10"/>
        <rFont val="Arial"/>
        <family val="0"/>
        <charset val="1"/>
      </rPr>
      <t xml:space="preserve">○ 0.791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+0.004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日で </t>
    </r>
    <r>
      <rPr>
        <sz val="10"/>
        <rFont val="Arial"/>
        <family val="0"/>
        <charset val="1"/>
      </rPr>
      <t xml:space="preserve">+0.328 </t>
    </r>
    <r>
      <rPr>
        <sz val="10"/>
        <rFont val="Noto Sans CJK SC"/>
        <family val="2"/>
      </rPr>
      <t xml:space="preserve">と最速。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内対照でいいね率・維持率とも○で最も素直な 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。</t>
    </r>
  </si>
  <si>
    <t xml:space="preserve">12:30 / 15:00 / 17:00 / 19:00</t>
  </si>
  <si>
    <r>
      <rPr>
        <sz val="10"/>
        <rFont val="Arial"/>
        <family val="0"/>
        <charset val="1"/>
      </rPr>
      <t xml:space="preserve">△ 0.613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-0.006</t>
    </r>
    <r>
      <rPr>
        <sz val="10"/>
        <rFont val="Noto Sans CJK SC"/>
        <family val="2"/>
      </rPr>
      <t xml:space="preserve">）で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日連続低下。総再生は全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最大</t>
    </r>
    <r>
      <rPr>
        <sz val="10"/>
        <rFont val="Arial"/>
        <family val="0"/>
        <charset val="1"/>
      </rPr>
      <t xml:space="preserve">(48,901)</t>
    </r>
    <r>
      <rPr>
        <sz val="10"/>
        <rFont val="Noto Sans CJK SC"/>
        <family val="2"/>
      </rPr>
      <t xml:space="preserve">なのに登録変換だけ落ち続けている。枠</t>
    </r>
    <r>
      <rPr>
        <sz val="10"/>
        <rFont val="Arial"/>
        <family val="0"/>
        <charset val="1"/>
      </rPr>
      <t xml:space="preserve">3→4 </t>
    </r>
    <r>
      <rPr>
        <sz val="10"/>
        <rFont val="Noto Sans CJK SC"/>
        <family val="2"/>
      </rPr>
      <t xml:space="preserve">の増枠が疑わしい。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内対照でいいね率が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4→3 </t>
    </r>
    <r>
      <rPr>
        <sz val="10"/>
        <rFont val="Noto Sans CJK SC"/>
        <family val="2"/>
      </rPr>
      <t xml:space="preserve">差し戻しを判断。</t>
    </r>
  </si>
  <si>
    <t xml:space="preserve">07:30 / 12:15 / 17:30</t>
  </si>
  <si>
    <r>
      <rPr>
        <sz val="10"/>
        <rFont val="Arial"/>
        <family val="0"/>
        <charset val="1"/>
      </rPr>
      <t xml:space="preserve">autopilot false→true</t>
    </r>
    <r>
      <rPr>
        <sz val="10"/>
        <rFont val="Noto Sans CJK SC"/>
        <family val="2"/>
      </rPr>
      <t xml:space="preserve">（並走 </t>
    </r>
    <r>
      <rPr>
        <sz val="10"/>
        <rFont val="Arial"/>
        <family val="0"/>
        <charset val="1"/>
      </rPr>
      <t xml:space="preserve">run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</si>
  <si>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× 0.163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+0.011</t>
    </r>
    <r>
      <rPr>
        <sz val="10"/>
        <rFont val="Noto Sans CJK SC"/>
        <family val="2"/>
      </rPr>
      <t xml:space="preserve">）で最下位。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内対照ではいいね率が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スナップショット連続で逆（いいね率が高い本ほど登録が少ない）。本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にいいね率ベースの施策を当てても効かない。</t>
    </r>
  </si>
  <si>
    <t xml:space="preserve">20:00 / 15:00</t>
  </si>
  <si>
    <r>
      <rPr>
        <sz val="10"/>
        <rFont val="Noto Sans CJK SC"/>
        <family val="2"/>
      </rPr>
      <t xml:space="preserve">－ 公開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本・</t>
    </r>
    <r>
      <rPr>
        <sz val="10"/>
        <rFont val="Arial"/>
        <family val="0"/>
        <charset val="1"/>
      </rPr>
      <t xml:space="preserve">260</t>
    </r>
    <r>
      <rPr>
        <sz val="10"/>
        <rFont val="Noto Sans CJK SC"/>
        <family val="2"/>
      </rPr>
      <t xml:space="preserve">再生・登録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。ゲートは付いたが </t>
    </r>
    <r>
      <rPr>
        <sz val="10"/>
        <rFont val="Arial"/>
        <family val="0"/>
        <charset val="1"/>
      </rPr>
      <t xml:space="preserve">retention_target_band </t>
    </r>
    <r>
      <rPr>
        <sz val="10"/>
        <rFont val="Noto Sans CJK SC"/>
        <family val="2"/>
      </rPr>
      <t xml:space="preserve">は未設定。母数が足りず判断不能。</t>
    </r>
  </si>
  <si>
    <t xml:space="preserve">停止</t>
  </si>
  <si>
    <t xml:space="preserve">12:30 / 15:00 / 17:00</t>
  </si>
  <si>
    <r>
      <rPr>
        <sz val="10"/>
        <rFont val="Noto Sans CJK SC"/>
        <family val="2"/>
      </rPr>
      <t xml:space="preserve">－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以降 </t>
    </r>
    <r>
      <rPr>
        <sz val="10"/>
        <rFont val="Arial"/>
        <family val="0"/>
        <charset val="1"/>
      </rPr>
      <t xml:space="preserve">fetch </t>
    </r>
    <r>
      <rPr>
        <sz val="10"/>
        <rFont val="Noto Sans CJK SC"/>
        <family val="2"/>
      </rPr>
      <t xml:space="preserve">停止（</t>
    </r>
    <r>
      <rPr>
        <sz val="10"/>
        <rFont val="Arial"/>
        <family val="0"/>
        <charset val="1"/>
      </rPr>
      <t xml:space="preserve">OAuth invalid_grant</t>
    </r>
    <r>
      <rPr>
        <sz val="10"/>
        <rFont val="Noto Sans CJK SC"/>
        <family val="2"/>
      </rPr>
      <t xml:space="preserve">）。種族値が構造的に数字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個になるため </t>
    </r>
    <r>
      <rPr>
        <sz val="10"/>
        <rFont val="Arial"/>
        <family val="0"/>
        <charset val="1"/>
      </rPr>
      <t xml:space="preserve">mdg </t>
    </r>
    <r>
      <rPr>
        <sz val="10"/>
        <rFont val="Noto Sans CJK SC"/>
        <family val="2"/>
      </rPr>
      <t xml:space="preserve">を先に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へ。再開時の枠落ちを潰した。</t>
    </r>
  </si>
  <si>
    <t xml:space="preserve">11:00 / 15:30 / 19:30</t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</si>
  <si>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/ 7,047</t>
    </r>
    <r>
      <rPr>
        <sz val="10"/>
        <rFont val="Noto Sans CJK SC"/>
        <family val="2"/>
      </rPr>
      <t xml:space="preserve">再生。停止中。据え置き。</t>
    </r>
  </si>
  <si>
    <t xml:space="preserve">10:00 / 14:30 / 17:45</t>
  </si>
  <si>
    <r>
      <rPr>
        <sz val="10"/>
        <rFont val="Noto Sans CJK SC"/>
        <family val="2"/>
      </rPr>
      <t xml:space="preserve">－ </t>
    </r>
    <r>
      <rPr>
        <sz val="10"/>
        <rFont val="Arial"/>
        <family val="0"/>
        <charset val="1"/>
      </rPr>
      <t xml:space="preserve">OAuth</t>
    </r>
    <r>
      <rPr>
        <sz val="10"/>
        <rFont val="Noto Sans CJK SC"/>
        <family val="2"/>
      </rPr>
      <t xml:space="preserve">未連携。</t>
    </r>
    <r>
      <rPr>
        <sz val="10"/>
        <rFont val="Arial"/>
        <family val="0"/>
        <charset val="1"/>
      </rPr>
      <t xml:space="preserve">0.570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09-06 </t>
    </r>
    <r>
      <rPr>
        <sz val="10"/>
        <rFont val="Noto Sans CJK SC"/>
        <family val="2"/>
      </rPr>
      <t xml:space="preserve">の値。登録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千は全</t>
    </r>
    <r>
      <rPr>
        <sz val="10"/>
        <rFont val="Arial"/>
        <family val="0"/>
        <charset val="1"/>
      </rPr>
      <t xml:space="preserve">ch3</t>
    </r>
    <r>
      <rPr>
        <sz val="10"/>
        <rFont val="Noto Sans CJK SC"/>
        <family val="2"/>
      </rPr>
      <t xml:space="preserve">位なので再認可の優先度は高い（実力で切った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ではない）。</t>
    </r>
  </si>
  <si>
    <t xml:space="preserve">11:45 / 17:45 / 20:45</t>
  </si>
  <si>
    <r>
      <rPr>
        <sz val="10"/>
        <rFont val="Arial"/>
        <family val="0"/>
        <charset val="1"/>
      </rPr>
      <t xml:space="preserve">× 0.024</t>
    </r>
    <r>
      <rPr>
        <sz val="10"/>
        <rFont val="Noto Sans CJK SC"/>
        <family val="2"/>
      </rPr>
      <t xml:space="preserve">。総再生</t>
    </r>
    <r>
      <rPr>
        <sz val="10"/>
        <rFont val="Arial"/>
        <family val="0"/>
        <charset val="1"/>
      </rPr>
      <t xml:space="preserve">42,321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位だが登録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人。切り抜きは再生が登録に変換されない構造。</t>
    </r>
  </si>
  <si>
    <t xml:space="preserve">12:45 / 20:00</t>
  </si>
  <si>
    <r>
      <rPr>
        <sz val="10"/>
        <rFont val="Arial"/>
        <family val="0"/>
        <charset val="1"/>
      </rPr>
      <t xml:space="preserve">× 0.211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CTR 6.29% </t>
    </r>
    <r>
      <rPr>
        <sz val="10"/>
        <rFont val="Noto Sans CJK SC"/>
        <family val="2"/>
      </rPr>
      <t xml:space="preserve">は全</t>
    </r>
    <r>
      <rPr>
        <sz val="10"/>
        <rFont val="Arial"/>
        <family val="0"/>
        <charset val="1"/>
      </rPr>
      <t xml:space="preserve">ch1</t>
    </r>
    <r>
      <rPr>
        <sz val="10"/>
        <rFont val="Noto Sans CJK SC"/>
        <family val="2"/>
      </rPr>
      <t xml:space="preserve">位なのに登録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千は下位＝</t>
    </r>
    <r>
      <rPr>
        <sz val="10"/>
        <rFont val="Arial"/>
        <family val="0"/>
        <charset val="1"/>
      </rPr>
      <t xml:space="preserve">CTR</t>
    </r>
    <r>
      <rPr>
        <sz val="10"/>
        <rFont val="Noto Sans CJK SC"/>
        <family val="2"/>
      </rPr>
      <t xml:space="preserve">は目的関数ではない実例。</t>
    </r>
  </si>
  <si>
    <t xml:space="preserve">08:00 / 14:00 / 20:30</t>
  </si>
  <si>
    <r>
      <rPr>
        <sz val="10"/>
        <rFont val="Arial"/>
        <family val="0"/>
        <charset val="1"/>
      </rPr>
      <t xml:space="preserve">× 0.169</t>
    </r>
    <r>
      <rPr>
        <sz val="10"/>
        <rFont val="Noto Sans CJK SC"/>
        <family val="2"/>
      </rPr>
      <t xml:space="preserve">。停止中。</t>
    </r>
  </si>
  <si>
    <t xml:space="preserve">09:30 / 17:00</t>
  </si>
  <si>
    <r>
      <rPr>
        <sz val="10"/>
        <rFont val="Arial"/>
        <family val="0"/>
        <charset val="1"/>
      </rPr>
      <t xml:space="preserve">× 3</t>
    </r>
    <r>
      <rPr>
        <sz val="10"/>
        <rFont val="Noto Sans CJK SC"/>
        <family val="2"/>
      </rPr>
      <t xml:space="preserve">本・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再生。実質未稼働。ゲート未設定のまま（稼働させるなら先に付与）。</t>
    </r>
  </si>
  <si>
    <r>
      <rPr>
        <sz val="10"/>
        <rFont val="Noto Sans CJK SC"/>
        <family val="2"/>
      </rPr>
      <t xml:space="preserve">※ 在庫日数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キュー本数 </t>
    </r>
    <r>
      <rPr>
        <sz val="10"/>
        <rFont val="Arial"/>
        <family val="0"/>
        <charset val="1"/>
      </rPr>
      <t xml:space="preserve">÷ 1</t>
    </r>
    <r>
      <rPr>
        <sz val="10"/>
        <rFont val="Noto Sans CJK SC"/>
        <family val="2"/>
      </rPr>
      <t xml:space="preserve">日あたり投稿枠数。黄色 </t>
    </r>
    <r>
      <rPr>
        <sz val="10"/>
        <rFont val="Arial"/>
        <family val="0"/>
        <charset val="1"/>
      </rPr>
      <t xml:space="preserve">= 7</t>
    </r>
    <r>
      <rPr>
        <sz val="10"/>
        <rFont val="Noto Sans CJK SC"/>
        <family val="2"/>
      </rPr>
      <t xml:space="preserve">日未満。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を </t>
    </r>
    <r>
      <rPr>
        <sz val="10"/>
        <rFont val="Arial"/>
        <family val="0"/>
        <charset val="1"/>
      </rPr>
      <t xml:space="preserve">7.0</t>
    </r>
    <r>
      <rPr>
        <sz val="10"/>
        <rFont val="Noto Sans CJK SC"/>
        <family val="2"/>
      </rPr>
      <t xml:space="preserve">日へ補充したが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時間で </t>
    </r>
    <r>
      <rPr>
        <sz val="10"/>
        <rFont val="Arial"/>
        <family val="0"/>
        <charset val="1"/>
      </rPr>
      <t xml:space="preserve">5.7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6.0</t>
    </r>
    <r>
      <rPr>
        <sz val="10"/>
        <rFont val="Noto Sans CJK SC"/>
        <family val="2"/>
      </rPr>
      <t xml:space="preserve">日まで落ちた＝補充が消費に追いついていない。</t>
    </r>
  </si>
  <si>
    <r>
      <rPr>
        <sz val="10"/>
        <rFont val="Arial"/>
        <family val="0"/>
        <charset val="1"/>
      </rPr>
      <t xml:space="preserve">※ mdg</t>
    </r>
    <r>
      <rPr>
        <sz val="10"/>
        <rFont val="Noto Sans CJK SC"/>
        <family val="2"/>
      </rPr>
      <t xml:space="preserve">違反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未使用キューのうち </t>
    </r>
    <r>
      <rPr>
        <sz val="10"/>
        <rFont val="Arial"/>
        <family val="0"/>
        <charset val="1"/>
      </rPr>
      <t xml:space="preserve">max_digit_groups </t>
    </r>
    <r>
      <rPr>
        <sz val="10"/>
        <rFont val="Noto Sans CJK SC"/>
        <family val="2"/>
      </rPr>
      <t xml:space="preserve">を超えるタイトル件数。</t>
    </r>
    <r>
      <rPr>
        <sz val="10"/>
        <rFont val="Arial"/>
        <family val="0"/>
        <charset val="1"/>
      </rPr>
      <t xml:space="preserve">publish_blocked </t>
    </r>
    <r>
      <rPr>
        <sz val="10"/>
        <rFont val="Noto Sans CJK SC"/>
        <family val="2"/>
      </rPr>
      <t xml:space="preserve">により、この件数がそのまま「捨てる枠」になる。</t>
    </r>
  </si>
  <si>
    <r>
      <rPr>
        <sz val="10"/>
        <rFont val="Arial"/>
        <family val="0"/>
        <charset val="1"/>
      </rPr>
      <t xml:space="preserve">※ 2ch-matome / pokemon-lab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autopilot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09-13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集中運用で停止したもの。並走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2ch-matome </t>
    </r>
    <r>
      <rPr>
        <sz val="10"/>
        <rFont val="Noto Sans CJK SC"/>
        <family val="2"/>
      </rPr>
      <t xml:space="preserve">を </t>
    </r>
    <r>
      <rPr>
        <sz val="10"/>
        <rFont val="Arial"/>
        <family val="0"/>
        <charset val="1"/>
      </rPr>
      <t xml:space="preserve">09-16 </t>
    </r>
    <r>
      <rPr>
        <sz val="10"/>
        <rFont val="Noto Sans CJK SC"/>
        <family val="2"/>
      </rPr>
      <t xml:space="preserve">に再有効化した。</t>
    </r>
  </si>
  <si>
    <r>
      <rPr>
        <sz val="10"/>
        <rFont val="Arial"/>
        <family val="0"/>
        <charset val="1"/>
      </rPr>
      <t xml:space="preserve">※ company-facts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top-level days_of_week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[3,4,5] </t>
    </r>
    <r>
      <rPr>
        <sz val="10"/>
        <rFont val="Noto Sans CJK SC"/>
        <family val="2"/>
      </rPr>
      <t xml:space="preserve">に戻っている（</t>
    </r>
    <r>
      <rPr>
        <sz val="10"/>
        <rFont val="Arial"/>
        <family val="0"/>
        <charset val="1"/>
      </rPr>
      <t xml:space="preserve">auto_optimize_schedule </t>
    </r>
    <r>
      <rPr>
        <sz val="10"/>
        <rFont val="Noto Sans CJK SC"/>
        <family val="2"/>
      </rPr>
      <t xml:space="preserve">による書き換え）。各スロットが </t>
    </r>
    <r>
      <rPr>
        <sz val="10"/>
        <rFont val="Arial"/>
        <family val="0"/>
        <charset val="1"/>
      </rPr>
      <t xml:space="preserve">[0..6] </t>
    </r>
    <r>
      <rPr>
        <sz val="10"/>
        <rFont val="Noto Sans CJK SC"/>
        <family val="2"/>
      </rPr>
      <t xml:space="preserve">を持つ間は無害。</t>
    </r>
  </si>
  <si>
    <r>
      <rPr>
        <b val="true"/>
        <sz val="11"/>
        <rFont val="Arial"/>
        <family val="0"/>
        <charset val="1"/>
      </rPr>
      <t xml:space="preserve">■ ch</t>
    </r>
    <r>
      <rPr>
        <b val="true"/>
        <sz val="11"/>
        <rFont val="Noto Sans CJK SC"/>
        <family val="2"/>
      </rPr>
      <t xml:space="preserve">内対照（鉄則準拠・中央値二分）— プール集計では見えない符号の食い違い</t>
    </r>
  </si>
  <si>
    <r>
      <rPr>
        <sz val="10"/>
        <rFont val="Noto Sans CJK SC"/>
        <family val="2"/>
      </rPr>
      <t xml:space="preserve">各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の中で「いいね率が高い半分」と「維持率が高い半分」の登録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千を、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つのスナップショットで独立に測った。○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高い側の方が登録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千も高い（期待どおり）</t>
    </r>
  </si>
  <si>
    <t xml:space="preserve">いいね率 低位半</t>
  </si>
  <si>
    <t xml:space="preserve">いいね率 高位半</t>
  </si>
  <si>
    <t xml:space="preserve">いいね率 判定</t>
  </si>
  <si>
    <t xml:space="preserve">維持率 低位半</t>
  </si>
  <si>
    <t xml:space="preserve">維持率 高位半</t>
  </si>
  <si>
    <t xml:space="preserve">維持率 判定</t>
  </si>
  <si>
    <t xml:space="preserve">○</t>
  </si>
  <si>
    <t xml:space="preserve">×</t>
  </si>
  <si>
    <r>
      <rPr>
        <b val="true"/>
        <sz val="10"/>
        <rFont val="Arial"/>
        <family val="0"/>
        <charset val="1"/>
      </rPr>
      <t xml:space="preserve">2026-09-08 </t>
    </r>
    <r>
      <rPr>
        <b val="true"/>
        <sz val="10"/>
        <rFont val="Noto Sans CJK SC"/>
        <family val="2"/>
      </rPr>
      <t xml:space="preserve">小計</t>
    </r>
  </si>
  <si>
    <t xml:space="preserve">5/5ch</t>
  </si>
  <si>
    <t xml:space="preserve">3/5ch</t>
  </si>
  <si>
    <t xml:space="preserve">2026-09-13</t>
  </si>
  <si>
    <r>
      <rPr>
        <b val="true"/>
        <sz val="10"/>
        <rFont val="Arial"/>
        <family val="0"/>
        <charset val="1"/>
      </rPr>
      <t xml:space="preserve">2026-09-13 </t>
    </r>
    <r>
      <rPr>
        <b val="true"/>
        <sz val="10"/>
        <rFont val="Noto Sans CJK SC"/>
        <family val="2"/>
      </rPr>
      <t xml:space="preserve">小計</t>
    </r>
  </si>
  <si>
    <t xml:space="preserve">4/5ch</t>
  </si>
  <si>
    <t xml:space="preserve">2026-09-14</t>
  </si>
  <si>
    <r>
      <rPr>
        <b val="true"/>
        <sz val="10"/>
        <rFont val="Arial"/>
        <family val="0"/>
        <charset val="1"/>
      </rPr>
      <t xml:space="preserve">2026-09-14 </t>
    </r>
    <r>
      <rPr>
        <b val="true"/>
        <sz val="10"/>
        <rFont val="Noto Sans CJK SC"/>
        <family val="2"/>
      </rPr>
      <t xml:space="preserve">小計</t>
    </r>
  </si>
  <si>
    <r>
      <rPr>
        <b val="true"/>
        <sz val="10"/>
        <rFont val="Arial"/>
        <family val="0"/>
        <charset val="1"/>
      </rPr>
      <t xml:space="preserve">2026-09-15 </t>
    </r>
    <r>
      <rPr>
        <b val="true"/>
        <sz val="10"/>
        <rFont val="Noto Sans CJK SC"/>
        <family val="2"/>
      </rPr>
      <t xml:space="preserve">小計</t>
    </r>
  </si>
  <si>
    <r>
      <rPr>
        <sz val="10"/>
        <rFont val="Noto Sans CJK SC"/>
        <family val="2"/>
      </rPr>
      <t xml:space="preserve">⚠ 連続スナップショットは同一動画が約</t>
    </r>
    <r>
      <rPr>
        <sz val="10"/>
        <rFont val="Arial"/>
        <family val="0"/>
        <charset val="1"/>
      </rPr>
      <t xml:space="preserve">95%</t>
    </r>
    <r>
      <rPr>
        <sz val="10"/>
        <rFont val="Noto Sans CJK SC"/>
        <family val="2"/>
      </rPr>
      <t xml:space="preserve">重なるため独立な標本ではない。独立性が高いのは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と 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点のみで、そこで符号が入れ替わっている（</t>
    </r>
    <r>
      <rPr>
        <sz val="10"/>
        <rFont val="Arial"/>
        <family val="0"/>
        <charset val="1"/>
      </rPr>
      <t xml:space="preserve">09-08: </t>
    </r>
    <r>
      <rPr>
        <sz val="10"/>
        <rFont val="Noto Sans CJK SC"/>
        <family val="2"/>
      </rPr>
      <t xml:space="preserve">いいね率</t>
    </r>
    <r>
      <rPr>
        <sz val="10"/>
        <rFont val="Arial"/>
        <family val="0"/>
        <charset val="1"/>
      </rPr>
      <t xml:space="preserve">5/5</t>
    </r>
    <r>
      <rPr>
        <sz val="10"/>
        <rFont val="Noto Sans CJK SC"/>
        <family val="2"/>
      </rPr>
      <t xml:space="preserve">・維持率</t>
    </r>
    <r>
      <rPr>
        <sz val="10"/>
        <rFont val="Arial"/>
        <family val="0"/>
        <charset val="1"/>
      </rPr>
      <t xml:space="preserve">3/5 → 09-15: </t>
    </r>
    <r>
      <rPr>
        <sz val="10"/>
        <rFont val="Noto Sans CJK SC"/>
        <family val="2"/>
      </rPr>
      <t xml:space="preserve">いいね率</t>
    </r>
    <r>
      <rPr>
        <sz val="10"/>
        <rFont val="Arial"/>
        <family val="0"/>
        <charset val="1"/>
      </rPr>
      <t xml:space="preserve">3/5</t>
    </r>
    <r>
      <rPr>
        <sz val="10"/>
        <rFont val="Noto Sans CJK SC"/>
        <family val="2"/>
      </rPr>
      <t xml:space="preserve">・維持率</t>
    </r>
    <r>
      <rPr>
        <sz val="10"/>
        <rFont val="Arial"/>
        <family val="0"/>
        <charset val="1"/>
      </rPr>
      <t xml:space="preserve">5/5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</si>
  <si>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⚠ よって「維持率のほうが信頼できる」と結論づけるのは早い。現行の鉄則（いいね率を先行指標にする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維持率は判断に使わない）は撤回せず、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に独立コホートで再判定する。</t>
    </r>
  </si>
  <si>
    <r>
      <rPr>
        <b val="true"/>
        <sz val="14"/>
        <rFont val="Noto Sans CJK SC"/>
        <family val="2"/>
      </rPr>
      <t xml:space="preserve">直近動画一覧 — </t>
    </r>
    <r>
      <rPr>
        <b val="true"/>
        <sz val="14"/>
        <rFont val="Arial"/>
        <family val="0"/>
        <charset val="1"/>
      </rPr>
      <t xml:space="preserve">2026-09-07 </t>
    </r>
    <r>
      <rPr>
        <b val="true"/>
        <sz val="14"/>
        <rFont val="Noto Sans CJK SC"/>
        <family val="2"/>
      </rPr>
      <t xml:space="preserve">以降に公開（</t>
    </r>
    <r>
      <rPr>
        <b val="true"/>
        <sz val="14"/>
        <rFont val="Arial"/>
        <family val="0"/>
        <charset val="1"/>
      </rPr>
      <t xml:space="preserve">JST</t>
    </r>
    <r>
      <rPr>
        <b val="true"/>
        <sz val="14"/>
        <rFont val="Noto Sans CJK SC"/>
        <family val="2"/>
      </rPr>
      <t xml:space="preserve">換算）</t>
    </r>
  </si>
  <si>
    <r>
      <rPr>
        <sz val="10"/>
        <rFont val="Arial"/>
        <family val="0"/>
        <charset val="1"/>
      </rPr>
      <t xml:space="preserve">views=0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YouTube Analytics </t>
    </r>
    <r>
      <rPr>
        <sz val="10"/>
        <rFont val="Noto Sans CJK SC"/>
        <family val="2"/>
      </rPr>
      <t xml:space="preserve">の反映ラグ（実測約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日）。公開失敗ではない。</t>
    </r>
    <r>
      <rPr>
        <sz val="10"/>
        <rFont val="Arial"/>
        <family val="0"/>
        <charset val="1"/>
      </rPr>
      <t xml:space="preserve">85</t>
    </r>
    <r>
      <rPr>
        <sz val="10"/>
        <rFont val="Noto Sans CJK SC"/>
        <family val="2"/>
      </rPr>
      <t xml:space="preserve">本中 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本が未計測。</t>
    </r>
  </si>
  <si>
    <r>
      <rPr>
        <b val="true"/>
        <sz val="10"/>
        <color rgb="FFFFFFFF"/>
        <rFont val="Noto Sans CJK SC"/>
        <family val="2"/>
      </rPr>
      <t xml:space="preserve">公開</t>
    </r>
    <r>
      <rPr>
        <b val="true"/>
        <sz val="10"/>
        <color rgb="FFFFFFFF"/>
        <rFont val="Arial"/>
        <family val="0"/>
        <charset val="1"/>
      </rPr>
      <t xml:space="preserve">(JST)</t>
    </r>
  </si>
  <si>
    <t xml:space="preserve">タイトル</t>
  </si>
  <si>
    <t xml:space="preserve">再生</t>
  </si>
  <si>
    <t xml:space="preserve">いいね</t>
  </si>
  <si>
    <r>
      <rPr>
        <b val="true"/>
        <sz val="10"/>
        <color rgb="FFFFFFFF"/>
        <rFont val="Noto Sans CJK SC"/>
        <family val="2"/>
      </rPr>
      <t xml:space="preserve">維持率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</si>
  <si>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CTR%</t>
  </si>
  <si>
    <t xml:space="preserve">表示回数</t>
  </si>
  <si>
    <t xml:space="preserve">状態</t>
  </si>
  <si>
    <t xml:space="preserve">数字個数</t>
  </si>
  <si>
    <t xml:space="preserve">2026-09-07 12:15</t>
  </si>
  <si>
    <r>
      <rPr>
        <sz val="10"/>
        <rFont val="Noto Sans CJK SC"/>
        <family val="2"/>
      </rPr>
      <t xml:space="preserve">大学サークルで語り継がれる伝説、尾ひれがヤバすぎる</t>
    </r>
    <r>
      <rPr>
        <sz val="10"/>
        <rFont val="Arial"/>
        <family val="0"/>
        <charset val="1"/>
      </rPr>
      <t xml:space="preserve">w #shorts #2ch #</t>
    </r>
    <r>
      <rPr>
        <sz val="10"/>
        <rFont val="Noto Sans CJK SC"/>
        <family val="2"/>
      </rPr>
      <t xml:space="preserve">面白いスレ</t>
    </r>
  </si>
  <si>
    <t xml:space="preserve">計測済</t>
  </si>
  <si>
    <t xml:space="preserve">2026-09-07 21:00</t>
  </si>
  <si>
    <r>
      <rPr>
        <sz val="10"/>
        <rFont val="Noto Sans CJK SC"/>
        <family val="2"/>
      </rPr>
      <t xml:space="preserve">ワイ、毎月大金をムダにしてるけど質問ある？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</si>
  <si>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2026-09-08 07:00</t>
  </si>
  <si>
    <r>
      <rPr>
        <sz val="10"/>
        <rFont val="Noto Sans CJK SC"/>
        <family val="2"/>
      </rPr>
      <t xml:space="preserve">なぜファミマで謎の商品を買ってしまうのか？草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</si>
  <si>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2026-09-08 12:15</t>
  </si>
  <si>
    <r>
      <rPr>
        <sz val="10"/>
        <rFont val="Noto Sans CJK SC"/>
        <family val="2"/>
      </rPr>
      <t xml:space="preserve">ワイの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で彼女が凍った本当の理由</t>
    </r>
    <r>
      <rPr>
        <sz val="10"/>
        <rFont val="Arial"/>
        <family val="0"/>
        <charset val="1"/>
      </rPr>
      <t xml:space="preserve">w💦 #shorts #2ch #</t>
    </r>
    <r>
      <rPr>
        <sz val="10"/>
        <rFont val="Noto Sans CJK SC"/>
        <family val="2"/>
      </rPr>
      <t xml:space="preserve">面白いスレ</t>
    </r>
  </si>
  <si>
    <t xml:space="preserve">2026-09-08 21:00</t>
  </si>
  <si>
    <r>
      <rPr>
        <sz val="10"/>
        <rFont val="Arial"/>
        <family val="0"/>
        <charset val="1"/>
      </rPr>
      <t xml:space="preserve">Apple</t>
    </r>
    <r>
      <rPr>
        <sz val="10"/>
        <rFont val="Noto Sans CJK SC"/>
        <family val="2"/>
      </rPr>
      <t xml:space="preserve">新製品予想、また本命を外して財布が逝く民ｗ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</si>
  <si>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2026-09-10 01:14</t>
  </si>
  <si>
    <r>
      <rPr>
        <sz val="10"/>
        <rFont val="Noto Sans CJK SC"/>
        <family val="2"/>
      </rPr>
      <t xml:space="preserve">ワイの財布から毎月消える謎の正体が判明したｗ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</si>
  <si>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2026-09-07 12:45</t>
  </si>
  <si>
    <r>
      <rPr>
        <sz val="10"/>
        <rFont val="Noto Sans CJK SC"/>
        <family val="2"/>
      </rPr>
      <t xml:space="preserve">毎日体重を記録して 増減を意識する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</si>
  <si>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未計測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ラグ</t>
    </r>
    <r>
      <rPr>
        <sz val="10"/>
        <rFont val="Arial"/>
        <family val="0"/>
        <charset val="1"/>
      </rPr>
      <t xml:space="preserve">)</t>
    </r>
  </si>
  <si>
    <t xml:space="preserve">2026-09-07 20:00</t>
  </si>
  <si>
    <r>
      <rPr>
        <sz val="10"/>
        <rFont val="Noto Sans CJK SC"/>
        <family val="2"/>
      </rPr>
      <t xml:space="preserve">クレンジングで落とし切らないと 洗顔しても落ちにくい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</si>
  <si>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 12:45</t>
  </si>
  <si>
    <r>
      <rPr>
        <sz val="10"/>
        <rFont val="Noto Sans CJK SC"/>
        <family val="2"/>
      </rPr>
      <t xml:space="preserve">寝ながら腹筋を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部位鍛える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</si>
  <si>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 20:01</t>
  </si>
  <si>
    <r>
      <rPr>
        <sz val="10"/>
        <rFont val="Noto Sans CJK SC"/>
        <family val="2"/>
      </rPr>
      <t xml:space="preserve">カミソリで剃った結果、地獄だった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</si>
  <si>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 20:31</t>
  </si>
  <si>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歳を過ぎて気づいた 人それぞれの受け止め方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</si>
  <si>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 08:00</t>
  </si>
  <si>
    <r>
      <rPr>
        <sz val="10"/>
        <rFont val="Arial"/>
        <family val="0"/>
        <charset val="1"/>
      </rPr>
      <t xml:space="preserve">PayPay</t>
    </r>
    <r>
      <rPr>
        <sz val="10"/>
        <rFont val="Noto Sans CJK SC"/>
        <family val="2"/>
      </rPr>
      <t xml:space="preserve">が使えない店で 現金を持っていなかった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</si>
  <si>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 14:03</t>
  </si>
  <si>
    <r>
      <rPr>
        <sz val="10"/>
        <rFont val="Noto Sans CJK SC"/>
        <family val="2"/>
      </rPr>
      <t xml:space="preserve">愛用中のパックが プレゼントに入ってた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</si>
  <si>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 20:30</t>
  </si>
  <si>
    <r>
      <rPr>
        <sz val="10"/>
        <rFont val="Noto Sans CJK SC"/>
        <family val="2"/>
      </rPr>
      <t xml:space="preserve">身長を測ったら</t>
    </r>
    <r>
      <rPr>
        <sz val="10"/>
        <rFont val="Arial"/>
        <family val="0"/>
        <charset val="1"/>
      </rPr>
      <t xml:space="preserve">161cm</t>
    </r>
    <r>
      <rPr>
        <sz val="10"/>
        <rFont val="Noto Sans CJK SC"/>
        <family val="2"/>
      </rPr>
      <t xml:space="preserve">だった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</si>
  <si>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 11:45</t>
  </si>
  <si>
    <r>
      <rPr>
        <sz val="10"/>
        <rFont val="Noto Sans CJK SC"/>
        <family val="2"/>
      </rPr>
      <t xml:space="preserve">視聴データが導く 「定番ストーリー」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</si>
  <si>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 17:45</t>
  </si>
  <si>
    <r>
      <rPr>
        <sz val="10"/>
        <rFont val="Noto Sans CJK SC"/>
        <family val="2"/>
      </rPr>
      <t xml:space="preserve">資産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万円で一生暮らすのは厳しい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</si>
  <si>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 11:45</t>
  </si>
  <si>
    <r>
      <rPr>
        <sz val="10"/>
        <rFont val="Noto Sans CJK SC"/>
        <family val="2"/>
      </rPr>
      <t xml:space="preserve">米国景気は 良くないかもしれない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</si>
  <si>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 17:46</t>
  </si>
  <si>
    <r>
      <rPr>
        <sz val="10"/>
        <rFont val="Noto Sans CJK SC"/>
        <family val="2"/>
      </rPr>
      <t xml:space="preserve">リアルロボの操縦席は 腰の位置にある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</si>
  <si>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 13:30</t>
  </si>
  <si>
    <r>
      <rPr>
        <sz val="10"/>
        <rFont val="Noto Sans CJK SC"/>
        <family val="2"/>
      </rPr>
      <t xml:space="preserve">サイゼリヤの原価率が社員年収に与える意外な影響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</si>
  <si>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2026-09-07 17:00</t>
  </si>
  <si>
    <r>
      <rPr>
        <sz val="10"/>
        <rFont val="Noto Sans CJK SC"/>
        <family val="2"/>
      </rPr>
      <t xml:space="preserve">日本郵政の年収、職種で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倍差がつく理由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</si>
  <si>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2026-09-08 08:15</t>
  </si>
  <si>
    <r>
      <rPr>
        <sz val="10"/>
        <rFont val="Noto Sans CJK SC"/>
        <family val="2"/>
      </rPr>
      <t xml:space="preserve">大和ハウス工業の年収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万円超、残業の実態がヤバい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</si>
  <si>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2026-09-08 17:00</t>
  </si>
  <si>
    <r>
      <rPr>
        <sz val="10"/>
        <rFont val="Arial"/>
        <family val="0"/>
        <charset val="1"/>
      </rPr>
      <t xml:space="preserve">NTT</t>
    </r>
    <r>
      <rPr>
        <sz val="10"/>
        <rFont val="Noto Sans CJK SC"/>
        <family val="2"/>
      </rPr>
      <t xml:space="preserve">データの年収</t>
    </r>
    <r>
      <rPr>
        <sz val="10"/>
        <rFont val="Arial"/>
        <family val="0"/>
        <charset val="1"/>
      </rPr>
      <t xml:space="preserve">905</t>
    </r>
    <r>
      <rPr>
        <sz val="10"/>
        <rFont val="Noto Sans CJK SC"/>
        <family val="2"/>
      </rPr>
      <t xml:space="preserve">万円、実は在宅勤務の裏側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</si>
  <si>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2026-09-08 19:00</t>
  </si>
  <si>
    <r>
      <rPr>
        <sz val="10"/>
        <rFont val="Noto Sans CJK SC"/>
        <family val="2"/>
      </rPr>
      <t xml:space="preserve">ユニクロ店長、売上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億円を任される仕事の実態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</si>
  <si>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2026-09-09 23:57</t>
  </si>
  <si>
    <r>
      <rPr>
        <sz val="10"/>
        <rFont val="Arial"/>
        <family val="0"/>
        <charset val="1"/>
      </rPr>
      <t xml:space="preserve">Apple</t>
    </r>
    <r>
      <rPr>
        <sz val="10"/>
        <rFont val="Noto Sans CJK SC"/>
        <family val="2"/>
      </rPr>
      <t xml:space="preserve">の本当は年収約</t>
    </r>
    <r>
      <rPr>
        <sz val="10"/>
        <rFont val="Arial"/>
        <family val="0"/>
        <charset val="1"/>
      </rPr>
      <t xml:space="preserve">3,800</t>
    </r>
    <r>
      <rPr>
        <sz val="10"/>
        <rFont val="Noto Sans CJK SC"/>
        <family val="2"/>
      </rPr>
      <t xml:space="preserve">万円、新製品発表の裏側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</si>
  <si>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2026-09-13 17:00</t>
  </si>
  <si>
    <r>
      <rPr>
        <sz val="10"/>
        <rFont val="Noto Sans CJK SC"/>
        <family val="2"/>
      </rPr>
      <t xml:space="preserve">ワークマンが一般客を呼んだ転機、売上</t>
    </r>
    <r>
      <rPr>
        <sz val="10"/>
        <rFont val="Arial"/>
        <family val="0"/>
        <charset val="1"/>
      </rPr>
      <t xml:space="preserve">1,283</t>
    </r>
    <r>
      <rPr>
        <sz val="10"/>
        <rFont val="Noto Sans CJK SC"/>
        <family val="2"/>
      </rPr>
      <t xml:space="preserve">億円の裏側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</si>
  <si>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2026-09-13 19:00</t>
  </si>
  <si>
    <r>
      <rPr>
        <sz val="10"/>
        <rFont val="Noto Sans CJK SC"/>
        <family val="2"/>
      </rPr>
      <t xml:space="preserve">スシローが回転をやめた店を増やす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業態の狙い実態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</si>
  <si>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 08:15</t>
  </si>
  <si>
    <r>
      <rPr>
        <sz val="10"/>
        <rFont val="Noto Sans CJK SC"/>
        <family val="2"/>
      </rPr>
      <t xml:space="preserve">コメダ珈琲が</t>
    </r>
    <r>
      <rPr>
        <sz val="10"/>
        <rFont val="Arial"/>
        <family val="0"/>
        <charset val="1"/>
      </rPr>
      <t xml:space="preserve">FC</t>
    </r>
    <r>
      <rPr>
        <sz val="10"/>
        <rFont val="Noto Sans CJK SC"/>
        <family val="2"/>
      </rPr>
      <t xml:space="preserve">比率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にする本当の理由とは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</si>
  <si>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 12:30</t>
  </si>
  <si>
    <r>
      <rPr>
        <sz val="10"/>
        <rFont val="Noto Sans CJK SC"/>
        <family val="2"/>
      </rPr>
      <t xml:space="preserve">任天堂の年収</t>
    </r>
    <r>
      <rPr>
        <sz val="10"/>
        <rFont val="Arial"/>
        <family val="0"/>
        <charset val="1"/>
      </rPr>
      <t xml:space="preserve">986</t>
    </r>
    <r>
      <rPr>
        <sz val="10"/>
        <rFont val="Noto Sans CJK SC"/>
        <family val="2"/>
      </rPr>
      <t xml:space="preserve">万円、実は職種で差が出る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</si>
  <si>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 15:00</t>
  </si>
  <si>
    <r>
      <rPr>
        <sz val="10"/>
        <rFont val="Arial"/>
        <family val="0"/>
        <charset val="1"/>
      </rPr>
      <t xml:space="preserve">USJ</t>
    </r>
    <r>
      <rPr>
        <sz val="10"/>
        <rFont val="Noto Sans CJK SC"/>
        <family val="2"/>
      </rPr>
      <t xml:space="preserve">の年収と福利厚生、その実態とは？人気の裏側を暴露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</si>
  <si>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 17:00</t>
  </si>
  <si>
    <r>
      <rPr>
        <sz val="10"/>
        <rFont val="Noto Sans CJK SC"/>
        <family val="2"/>
      </rPr>
      <t xml:space="preserve">ニトリ</t>
    </r>
    <r>
      <rPr>
        <sz val="10"/>
        <rFont val="Arial"/>
        <family val="0"/>
        <charset val="1"/>
      </rPr>
      <t xml:space="preserve">864</t>
    </r>
    <r>
      <rPr>
        <sz val="10"/>
        <rFont val="Noto Sans CJK SC"/>
        <family val="2"/>
      </rPr>
      <t xml:space="preserve">万円の裏側、配置転換が生む働き方のリアル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</si>
  <si>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 19:00</t>
  </si>
  <si>
    <r>
      <rPr>
        <sz val="10"/>
        <rFont val="Noto Sans CJK SC"/>
        <family val="2"/>
      </rPr>
      <t xml:space="preserve">味の素の給与</t>
    </r>
    <r>
      <rPr>
        <sz val="10"/>
        <rFont val="Arial"/>
        <family val="0"/>
        <charset val="1"/>
      </rPr>
      <t xml:space="preserve">1065</t>
    </r>
    <r>
      <rPr>
        <sz val="10"/>
        <rFont val="Noto Sans CJK SC"/>
        <family val="2"/>
      </rPr>
      <t xml:space="preserve">万円、手当だけではない本当の理由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</si>
  <si>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2026-09-15 12:30</t>
  </si>
  <si>
    <r>
      <rPr>
        <sz val="10"/>
        <rFont val="Noto Sans CJK SC"/>
        <family val="2"/>
      </rPr>
      <t xml:space="preserve">楽天トラベルの年収、最大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割引の裏側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</si>
  <si>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2026-09-15 15:00</t>
  </si>
  <si>
    <r>
      <rPr>
        <sz val="10"/>
        <rFont val="Noto Sans CJK SC"/>
        <family val="2"/>
      </rPr>
      <t xml:space="preserve">リクルート年収</t>
    </r>
    <r>
      <rPr>
        <sz val="10"/>
        <rFont val="Arial"/>
        <family val="0"/>
        <charset val="1"/>
      </rPr>
      <t xml:space="preserve">1,138</t>
    </r>
    <r>
      <rPr>
        <sz val="10"/>
        <rFont val="Noto Sans CJK SC"/>
        <family val="2"/>
      </rPr>
      <t xml:space="preserve">万円、実は等級で差が出る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</si>
  <si>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2026-09-15 17:00</t>
  </si>
  <si>
    <r>
      <rPr>
        <sz val="10"/>
        <rFont val="Noto Sans CJK SC"/>
        <family val="2"/>
      </rPr>
      <t xml:space="preserve">日本電産の年収</t>
    </r>
    <r>
      <rPr>
        <sz val="10"/>
        <rFont val="Arial"/>
        <family val="0"/>
        <charset val="1"/>
      </rPr>
      <t xml:space="preserve">817</t>
    </r>
    <r>
      <rPr>
        <sz val="10"/>
        <rFont val="Noto Sans CJK SC"/>
        <family val="2"/>
      </rPr>
      <t xml:space="preserve">万円、実は残業時間とのバランス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</si>
  <si>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2026-09-15 19:00</t>
  </si>
  <si>
    <r>
      <rPr>
        <sz val="10"/>
        <rFont val="Noto Sans CJK SC"/>
        <family val="2"/>
      </rPr>
      <t xml:space="preserve">ニトリの粗利率</t>
    </r>
    <r>
      <rPr>
        <sz val="10"/>
        <rFont val="Arial"/>
        <family val="0"/>
        <charset val="1"/>
      </rPr>
      <t xml:space="preserve">55%</t>
    </r>
    <r>
      <rPr>
        <sz val="10"/>
        <rFont val="Noto Sans CJK SC"/>
        <family val="2"/>
      </rPr>
      <t xml:space="preserve">、実は物流まで握る実態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</si>
  <si>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2026-09-07 12:30</t>
  </si>
  <si>
    <r>
      <rPr>
        <sz val="10"/>
        <rFont val="Noto Sans CJK SC"/>
        <family val="2"/>
      </rPr>
      <t xml:space="preserve">なぜ他人のあくびは約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％もつられる？脳の反応を解説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</si>
  <si>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なぜ冷たい水だけ歯にしみる？歯の中で起きる変化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</si>
  <si>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2026-09-08 07:30</t>
  </si>
  <si>
    <r>
      <rPr>
        <sz val="10"/>
        <rFont val="Noto Sans CJK SC"/>
        <family val="2"/>
      </rPr>
      <t xml:space="preserve">走った後の鉄味、あなたの肺で何が？</t>
    </r>
    <r>
      <rPr>
        <sz val="10"/>
        <rFont val="Arial"/>
        <family val="0"/>
        <charset val="1"/>
      </rPr>
      <t xml:space="preserve">0.1%</t>
    </r>
    <r>
      <rPr>
        <sz val="10"/>
        <rFont val="Noto Sans CJK SC"/>
        <family val="2"/>
      </rPr>
      <t xml:space="preserve">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</si>
  <si>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2026-09-08 12:30</t>
  </si>
  <si>
    <r>
      <rPr>
        <sz val="10"/>
        <rFont val="Noto Sans CJK SC"/>
        <family val="2"/>
      </rPr>
      <t xml:space="preserve">耳を塞ぐと聞こえる</t>
    </r>
    <r>
      <rPr>
        <sz val="10"/>
        <rFont val="Arial"/>
        <family val="0"/>
        <charset val="1"/>
      </rPr>
      <t xml:space="preserve">20Hz</t>
    </r>
    <r>
      <rPr>
        <sz val="10"/>
        <rFont val="Noto Sans CJK SC"/>
        <family val="2"/>
      </rPr>
      <t xml:space="preserve">の正体？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</si>
  <si>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疲れた日の甘い物がすぐ消えるのはなぜ？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</si>
  <si>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2026-09-09 11:57</t>
  </si>
  <si>
    <r>
      <rPr>
        <sz val="10"/>
        <rFont val="Noto Sans CJK SC"/>
        <family val="2"/>
      </rPr>
      <t xml:space="preserve">なぜ寒さで顎が先に震える？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</si>
  <si>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なぜ海で沖へ運ばれる？毎秒</t>
    </r>
    <r>
      <rPr>
        <sz val="10"/>
        <rFont val="Arial"/>
        <family val="0"/>
        <charset val="1"/>
      </rPr>
      <t xml:space="preserve">1m</t>
    </r>
    <r>
      <rPr>
        <sz val="10"/>
        <rFont val="Noto Sans CJK SC"/>
        <family val="2"/>
      </rPr>
      <t xml:space="preserve">の流れの正体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</si>
  <si>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2026-09-14 07:30</t>
  </si>
  <si>
    <r>
      <rPr>
        <sz val="10"/>
        <rFont val="Noto Sans CJK SC"/>
        <family val="2"/>
      </rPr>
      <t xml:space="preserve">なぜあなたはくしゃみの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秒前を予感するのか？本当の正体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</si>
  <si>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なぜ朝は身長が</t>
    </r>
    <r>
      <rPr>
        <sz val="10"/>
        <rFont val="Arial"/>
        <family val="0"/>
        <charset val="1"/>
      </rPr>
      <t xml:space="preserve">2cm</t>
    </r>
    <r>
      <rPr>
        <sz val="10"/>
        <rFont val="Noto Sans CJK SC"/>
        <family val="2"/>
      </rPr>
      <t xml:space="preserve">高いのか？あなたの背中の正体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</si>
  <si>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USJ</t>
    </r>
    <r>
      <rPr>
        <sz val="10"/>
        <rFont val="Noto Sans CJK SC"/>
        <family val="2"/>
      </rPr>
      <t xml:space="preserve">で脳が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時間も興奮するのか？実はその正体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</si>
  <si>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片足立ちが目を閉じた瞬間、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倍ぐらつくワケの正体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</si>
  <si>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2026-09-15 07:30</t>
  </si>
  <si>
    <r>
      <rPr>
        <sz val="10"/>
        <rFont val="Noto Sans CJK SC"/>
        <family val="2"/>
      </rPr>
      <t xml:space="preserve">なぜ立つと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秒で暗くなるのか？血圧変動の正体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</si>
  <si>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なぜ味噌汁は冷めると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倍しょっぱく感じるのか？実は舌の正体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</si>
  <si>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なぜ階段を下りる時だけ膝に体重の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倍の力がかかるのか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</si>
  <si>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2026-09-07 15:00</t>
  </si>
  <si>
    <r>
      <rPr>
        <sz val="10"/>
        <rFont val="Noto Sans CJK SC"/>
        <family val="2"/>
      </rPr>
      <t xml:space="preserve">四天王の呼び名が定着した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年の謎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</si>
  <si>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 17:30</t>
  </si>
  <si>
    <r>
      <rPr>
        <sz val="10"/>
        <rFont val="Noto Sans CJK SC"/>
        <family val="2"/>
      </rPr>
      <t xml:space="preserve">イーブイの昼夜進化、エーフィとブラッキーに分かれた理由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</si>
  <si>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 19:00</t>
  </si>
  <si>
    <r>
      <rPr>
        <sz val="10"/>
        <rFont val="Noto Sans CJK SC"/>
        <family val="2"/>
      </rPr>
      <t xml:space="preserve">ロケット団の幹部だけ口調が別キャラ級？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作品で徹底比較の本当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</si>
  <si>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2026-09-08 08:30</t>
  </si>
  <si>
    <r>
      <rPr>
        <sz val="10"/>
        <rFont val="Noto Sans CJK SC"/>
        <family val="2"/>
      </rPr>
      <t xml:space="preserve">ソーナンスが反撃しかできない設計の狙いが深すぎる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</si>
  <si>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ドラパルト、子どもを音速超えで撃ち出すってマジ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</si>
  <si>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アンノーン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種類コンプしても完成にならない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</si>
  <si>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 13:00</t>
  </si>
  <si>
    <r>
      <rPr>
        <sz val="10"/>
        <rFont val="Arial"/>
        <family val="0"/>
        <charset val="1"/>
      </rPr>
      <t xml:space="preserve">RTX5090</t>
    </r>
    <r>
      <rPr>
        <sz val="10"/>
        <rFont val="Noto Sans CJK SC"/>
        <family val="2"/>
      </rPr>
      <t xml:space="preserve">はで部屋の外から名前を呼ぶのか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</si>
  <si>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なぜこの火山は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時間沈黙し職員が消えるのか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</si>
  <si>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SCP-7241 </t>
    </r>
    <r>
      <rPr>
        <sz val="10"/>
        <rFont val="Noto Sans CJK SC"/>
        <family val="2"/>
      </rPr>
      <t xml:space="preserve">収容違反記録から毎回消える頁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</si>
  <si>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2026-09-08 13:00</t>
  </si>
  <si>
    <r>
      <rPr>
        <sz val="10"/>
        <rFont val="Arial"/>
        <family val="0"/>
        <charset val="1"/>
      </rPr>
      <t xml:space="preserve">SCP-3288 </t>
    </r>
    <r>
      <rPr>
        <sz val="10"/>
        <rFont val="Noto Sans CJK SC"/>
        <family val="2"/>
      </rPr>
      <t xml:space="preserve">大雨の真相 あなたの部屋も沈む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</si>
  <si>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の最後の一行だけが隔離対象になった理由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</si>
  <si>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日間でずつ消えたエージェント名簿異常事件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</si>
  <si>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2026-09-13 13:00</t>
  </si>
  <si>
    <r>
      <rPr>
        <sz val="10"/>
        <rFont val="Noto Sans CJK SC"/>
        <family val="2"/>
      </rPr>
      <t xml:space="preserve">なぜ職員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名は眠れず消えたのか【</t>
    </r>
    <r>
      <rPr>
        <sz val="10"/>
        <rFont val="Arial"/>
        <family val="0"/>
        <charset val="1"/>
      </rPr>
      <t xml:space="preserve">SCP-XXXX</t>
    </r>
    <r>
      <rPr>
        <sz val="10"/>
        <rFont val="Noto Sans CJK SC"/>
        <family val="2"/>
      </rPr>
      <t xml:space="preserve">】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</si>
  <si>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SCP-7777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時間で窓へ接近する理由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</si>
  <si>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2026-09-14 09:00</t>
  </si>
  <si>
    <r>
      <rPr>
        <sz val="10"/>
        <rFont val="Noto Sans CJK SC"/>
        <family val="2"/>
      </rPr>
      <t xml:space="preserve">なぜ堀大輔は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時間眠らないのか？睡眠不足の恐怖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</si>
  <si>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2026-09-14 13:00</t>
  </si>
  <si>
    <r>
      <rPr>
        <sz val="10"/>
        <rFont val="Arial"/>
        <family val="0"/>
        <charset val="1"/>
      </rPr>
      <t xml:space="preserve">SCP-████</t>
    </r>
    <r>
      <rPr>
        <sz val="10"/>
        <rFont val="Noto Sans CJK SC"/>
        <family val="2"/>
      </rPr>
      <t xml:space="preserve">「閲覧禁止文書」読了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名の実態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</si>
  <si>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SCP-3125</t>
    </r>
    <r>
      <rPr>
        <sz val="10"/>
        <rFont val="Noto Sans CJK SC"/>
        <family val="2"/>
      </rPr>
      <t xml:space="preserve">「認識の終点」全員消失の真相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</si>
  <si>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SCP-1440 </t>
    </r>
    <r>
      <rPr>
        <sz val="10"/>
        <rFont val="Noto Sans CJK SC"/>
        <family val="2"/>
      </rPr>
      <t xml:space="preserve">追跡班が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日目に報告をやめた謎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</si>
  <si>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SCP-1471 </t>
    </r>
    <r>
      <rPr>
        <sz val="10"/>
        <rFont val="Noto Sans CJK SC"/>
        <family val="2"/>
      </rPr>
      <t xml:space="preserve">通知から後に起きる異変の真相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</si>
  <si>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SCP-610</t>
    </r>
    <r>
      <rPr>
        <sz val="10"/>
        <rFont val="Noto Sans CJK SC"/>
        <family val="2"/>
      </rPr>
      <t xml:space="preserve">の救援隊は全員感染したのか？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</si>
  <si>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2026-09-13 15:00</t>
  </si>
  <si>
    <r>
      <rPr>
        <sz val="10"/>
        <rFont val="Noto Sans CJK SC"/>
        <family val="2"/>
      </rPr>
      <t xml:space="preserve">なぜ天才は一人で育たないのか フィールズ賞の本当の理由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自己啓発</t>
    </r>
  </si>
  <si>
    <t xml:space="preserve">2026-09-14 20:00</t>
  </si>
  <si>
    <r>
      <rPr>
        <sz val="10"/>
        <rFont val="Noto Sans CJK SC"/>
        <family val="2"/>
      </rPr>
      <t xml:space="preserve">原油高の正体家計に届く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自己啓発</t>
    </r>
  </si>
  <si>
    <t xml:space="preserve">2026-09-15 20:00</t>
  </si>
  <si>
    <r>
      <rPr>
        <sz val="10"/>
        <rFont val="Noto Sans CJK SC"/>
        <family val="2"/>
      </rPr>
      <t xml:space="preserve">寝不足で自信が消える人、短眠者との決定的な違い処方箋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自己啓発</t>
    </r>
  </si>
  <si>
    <t xml:space="preserve">2026-09-07 12:00</t>
  </si>
  <si>
    <r>
      <rPr>
        <sz val="10"/>
        <rFont val="Noto Sans CJK SC"/>
        <family val="2"/>
      </rPr>
      <t xml:space="preserve">人面犬の噂が昭和の学校で生まれた土壌とは…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</si>
  <si>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なぜ狐は人を化かす妖怪にされたのか？江戸の記録に残る事情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</si>
  <si>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2026-09-08 09:30</t>
  </si>
  <si>
    <r>
      <rPr>
        <sz val="10"/>
        <rFont val="Noto Sans CJK SC"/>
        <family val="2"/>
      </rPr>
      <t xml:space="preserve">鬼の角が「目印」になった千年前の変化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</si>
  <si>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2026-09-08 12:00</t>
  </si>
  <si>
    <r>
      <rPr>
        <sz val="10"/>
        <rFont val="Noto Sans CJK SC"/>
        <family val="2"/>
      </rPr>
      <t xml:space="preserve">ろくろ首の正体は飛頭蛮？首が飛ぶ怪異の出どころ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</si>
  <si>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覚の元ネタが怖すぎる…心を先回りする山の怪物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</si>
  <si>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雷獣の爪痕が落雷木に残る…江戸で剥製まで売られた怪異の正体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</si>
  <si>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2026-09-14 09:30</t>
  </si>
  <si>
    <r>
      <rPr>
        <sz val="10"/>
        <rFont val="Noto Sans CJK SC"/>
        <family val="2"/>
      </rPr>
      <t xml:space="preserve">影女の元ネタが怖すぎる…誰もいない家に影が映る理由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</si>
  <si>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2026-09-14 12:00</t>
  </si>
  <si>
    <r>
      <rPr>
        <sz val="10"/>
        <rFont val="Noto Sans CJK SC"/>
        <family val="2"/>
      </rPr>
      <t xml:space="preserve">見越し入道の正体はなぜ見上げると負けるのか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</si>
  <si>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2026-09-14 16:00</t>
  </si>
  <si>
    <r>
      <rPr>
        <sz val="10"/>
        <rFont val="Noto Sans CJK SC"/>
        <family val="2"/>
      </rPr>
      <t xml:space="preserve">河童が相撲を求める理由…本朝俗諺志に残る水難の警告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</si>
  <si>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山彦の声が妖怪になった…江戸時代に描かれた不気味な伝承の正体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</si>
  <si>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2026-09-15 12:00</t>
  </si>
  <si>
    <r>
      <rPr>
        <sz val="10"/>
        <rFont val="Noto Sans CJK SC"/>
        <family val="2"/>
      </rPr>
      <t xml:space="preserve">天井なめが座敷にだけ現れた理由と囲炉裏の煤の関係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</si>
  <si>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2026-09-15 16:00</t>
  </si>
  <si>
    <r>
      <rPr>
        <sz val="10"/>
        <rFont val="Noto Sans CJK SC"/>
        <family val="2"/>
      </rPr>
      <t xml:space="preserve">泥田坊が「田を返せ」と叫ぶ本当の理由が怖すぎる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</si>
  <si>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なぜ江戸の髪切りの噂は一気に広がったのか？文化五年の記録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</si>
  <si>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※ CTR </t>
    </r>
    <r>
      <rPr>
        <sz val="10"/>
        <rFont val="Noto Sans CJK SC"/>
        <family val="2"/>
      </rPr>
      <t xml:space="preserve">は表示回数ベースで窓が整合しないため参考値（正しくは </t>
    </r>
    <r>
      <rPr>
        <sz val="10"/>
        <rFont val="Arial"/>
        <family val="0"/>
        <charset val="1"/>
      </rPr>
      <t xml:space="preserve">video_reach_daily </t>
    </r>
    <r>
      <rPr>
        <sz val="10"/>
        <rFont val="Noto Sans CJK SC"/>
        <family val="2"/>
      </rPr>
      <t xml:space="preserve">から出す）。</t>
    </r>
  </si>
  <si>
    <r>
      <rPr>
        <sz val="10"/>
        <rFont val="Noto Sans CJK SC"/>
        <family val="2"/>
      </rPr>
      <t xml:space="preserve">※ 数字個数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タイトル内の数字グループ数。</t>
    </r>
    <r>
      <rPr>
        <sz val="10"/>
        <rFont val="Arial"/>
        <family val="0"/>
        <charset val="1"/>
      </rPr>
      <t xml:space="preserve">scp-lab </t>
    </r>
    <r>
      <rPr>
        <sz val="10"/>
        <rFont val="Noto Sans CJK SC"/>
        <family val="2"/>
      </rPr>
      <t xml:space="preserve">は題材名 </t>
    </r>
    <r>
      <rPr>
        <sz val="10"/>
        <rFont val="Arial"/>
        <family val="0"/>
        <charset val="1"/>
      </rPr>
      <t xml:space="preserve">SCP-#### 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つ消費するため、本日 </t>
    </r>
    <r>
      <rPr>
        <sz val="10"/>
        <rFont val="Arial"/>
        <family val="0"/>
        <charset val="1"/>
      </rPr>
      <t xml:space="preserve">max_digit_groups </t>
    </r>
    <r>
      <rPr>
        <sz val="10"/>
        <rFont val="Noto Sans CJK SC"/>
        <family val="2"/>
      </rPr>
      <t xml:space="preserve">を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に上げた。</t>
    </r>
  </si>
  <si>
    <t xml:space="preserve">改善提案 — 本日の判断と根拠</t>
  </si>
  <si>
    <r>
      <rPr>
        <sz val="10"/>
        <rFont val="Noto Sans CJK SC"/>
        <family val="2"/>
      </rPr>
      <t xml:space="preserve">原則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実データのみ。勘・一般論は採用しない。同一スナップショットで二重に判断しない。</t>
    </r>
  </si>
  <si>
    <r>
      <rPr>
        <b val="true"/>
        <sz val="11"/>
        <rFont val="Arial"/>
        <family val="0"/>
        <charset val="1"/>
      </rPr>
      <t xml:space="preserve">■ A. </t>
    </r>
    <r>
      <rPr>
        <b val="true"/>
        <sz val="11"/>
        <rFont val="Noto Sans CJK SC"/>
        <family val="2"/>
      </rPr>
      <t xml:space="preserve">本日 適用した </t>
    </r>
    <r>
      <rPr>
        <b val="true"/>
        <sz val="11"/>
        <rFont val="Arial"/>
        <family val="0"/>
        <charset val="1"/>
      </rPr>
      <t xml:space="preserve">config </t>
    </r>
    <r>
      <rPr>
        <b val="true"/>
        <sz val="11"/>
        <rFont val="Noto Sans CJK SC"/>
        <family val="2"/>
      </rPr>
      <t xml:space="preserve">変更</t>
    </r>
  </si>
  <si>
    <t xml:space="preserve">対象</t>
  </si>
  <si>
    <t xml:space="preserve">変更内容</t>
  </si>
  <si>
    <t xml:space="preserve">根拠（実測）</t>
  </si>
  <si>
    <t xml:space="preserve">検算結果</t>
  </si>
  <si>
    <t xml:space="preserve">次判定日</t>
  </si>
  <si>
    <t xml:space="preserve">max_digit_groups 1 → 2</t>
  </si>
  <si>
    <r>
      <rPr>
        <sz val="10"/>
        <rFont val="Noto Sans CJK SC"/>
        <family val="2"/>
      </rPr>
      <t xml:space="preserve">キュー </t>
    </r>
    <r>
      <rPr>
        <sz val="10"/>
        <rFont val="Arial"/>
        <family val="0"/>
        <charset val="1"/>
      </rPr>
      <t xml:space="preserve">5/17(29%) </t>
    </r>
    <r>
      <rPr>
        <sz val="10"/>
        <rFont val="Noto Sans CJK SC"/>
        <family val="2"/>
      </rPr>
      <t xml:space="preserve">が違反。公開済み </t>
    </r>
    <r>
      <rPr>
        <sz val="10"/>
        <rFont val="Arial"/>
        <family val="0"/>
        <charset val="1"/>
      </rPr>
      <t xml:space="preserve">209</t>
    </r>
    <r>
      <rPr>
        <sz val="10"/>
        <rFont val="Noto Sans CJK SC"/>
        <family val="2"/>
      </rPr>
      <t xml:space="preserve">本中 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本</t>
    </r>
    <r>
      <rPr>
        <sz val="10"/>
        <rFont val="Arial"/>
        <family val="0"/>
        <charset val="1"/>
      </rPr>
      <t xml:space="preserve">(54%) </t>
    </r>
    <r>
      <rPr>
        <sz val="10"/>
        <rFont val="Noto Sans CJK SC"/>
        <family val="2"/>
      </rPr>
      <t xml:space="preserve">が現ルールでは公開不能。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publish_blocked </t>
    </r>
    <r>
      <rPr>
        <sz val="10"/>
        <rFont val="Noto Sans CJK SC"/>
        <family val="2"/>
      </rPr>
      <t xml:space="preserve">が実際に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枠を捨てた（</t>
    </r>
    <r>
      <rPr>
        <sz val="10"/>
        <rFont val="Arial"/>
        <family val="0"/>
        <charset val="1"/>
      </rPr>
      <t xml:space="preserve">SCP-2718 + 31</t>
    </r>
    <r>
      <rPr>
        <sz val="10"/>
        <rFont val="Noto Sans CJK SC"/>
        <family val="2"/>
      </rPr>
      <t xml:space="preserve">分）。数字個数と登録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千は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内で無相関（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0.863 n=18 / 2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0.673 n=10 / 3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1.055 n=3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</si>
  <si>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○ mdg=2 </t>
    </r>
    <r>
      <rPr>
        <sz val="10"/>
        <rFont val="Noto Sans CJK SC"/>
        <family val="2"/>
      </rPr>
      <t xml:space="preserve">でキュー違反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件。回帰 </t>
    </r>
    <r>
      <rPr>
        <sz val="10"/>
        <rFont val="Arial"/>
        <family val="0"/>
        <charset val="1"/>
      </rPr>
      <t xml:space="preserve">19 failed / 642 passed / 4 errors = HEAD </t>
    </r>
    <r>
      <rPr>
        <sz val="10"/>
        <rFont val="Noto Sans CJK SC"/>
        <family val="2"/>
      </rPr>
      <t xml:space="preserve">と同一（無退行を実測）</t>
    </r>
  </si>
  <si>
    <r>
      <rPr>
        <sz val="10"/>
        <rFont val="Arial"/>
        <family val="0"/>
        <charset val="1"/>
      </rPr>
      <t xml:space="preserve">09-17 </t>
    </r>
    <r>
      <rPr>
        <sz val="10"/>
        <rFont val="Noto Sans CJK SC"/>
        <family val="2"/>
      </rPr>
      <t xml:space="preserve">枠到達率</t>
    </r>
  </si>
  <si>
    <r>
      <rPr>
        <sz val="10"/>
        <rFont val="Noto Sans CJK SC"/>
        <family val="2"/>
      </rPr>
      <t xml:space="preserve">種族値（防御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HP250 </t>
    </r>
    <r>
      <rPr>
        <sz val="10"/>
        <rFont val="Noto Sans CJK SC"/>
        <family val="2"/>
      </rPr>
      <t xml:space="preserve">等）が構造的に数字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個。キュー </t>
    </r>
    <r>
      <rPr>
        <sz val="10"/>
        <rFont val="Arial"/>
        <family val="0"/>
        <charset val="1"/>
      </rPr>
      <t xml:space="preserve">5/21(24%) </t>
    </r>
    <r>
      <rPr>
        <sz val="10"/>
        <rFont val="Noto Sans CJK SC"/>
        <family val="2"/>
      </rPr>
      <t xml:space="preserve">が違反。停止中だが再開時に同じ枠落ちを起こす</t>
    </r>
  </si>
  <si>
    <r>
      <rPr>
        <sz val="10"/>
        <rFont val="Arial"/>
        <family val="0"/>
        <charset val="1"/>
      </rPr>
      <t xml:space="preserve">○ mdg=2 </t>
    </r>
    <r>
      <rPr>
        <sz val="10"/>
        <rFont val="Noto Sans CJK SC"/>
        <family val="2"/>
      </rPr>
      <t xml:space="preserve">でキュー違反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件</t>
    </r>
  </si>
  <si>
    <t xml:space="preserve">再開時</t>
  </si>
  <si>
    <t xml:space="preserve">実績ベースの変更</t>
  </si>
  <si>
    <t xml:space="preserve">行わない（鉄則）</t>
  </si>
  <si>
    <r>
      <rPr>
        <sz val="10"/>
        <rFont val="Arial"/>
        <family val="0"/>
        <charset val="1"/>
      </rPr>
      <t xml:space="preserve">10:10 </t>
    </r>
    <r>
      <rPr>
        <sz val="10"/>
        <rFont val="Noto Sans CJK SC"/>
        <family val="2"/>
      </rPr>
      <t xml:space="preserve">の並走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が同一スナップショット</t>
    </r>
    <r>
      <rPr>
        <sz val="10"/>
        <rFont val="Arial"/>
        <family val="0"/>
        <charset val="1"/>
      </rPr>
      <t xml:space="preserve">(09-15 22:41)</t>
    </r>
    <r>
      <rPr>
        <sz val="10"/>
        <rFont val="Noto Sans CJK SC"/>
        <family val="2"/>
      </rPr>
      <t xml:space="preserve">で </t>
    </r>
    <r>
      <rPr>
        <sz val="10"/>
        <rFont val="Arial"/>
        <family val="0"/>
        <charset val="1"/>
      </rPr>
      <t xml:space="preserve">Phase 3 </t>
    </r>
    <r>
      <rPr>
        <sz val="10"/>
        <rFont val="Noto Sans CJK SC"/>
        <family val="2"/>
      </rPr>
      <t xml:space="preserve">を消費済み。</t>
    </r>
    <r>
      <rPr>
        <sz val="10"/>
        <rFont val="Arial"/>
        <family val="0"/>
        <charset val="1"/>
      </rPr>
      <t xml:space="preserve">reports/orch_config_changes_20260916.json </t>
    </r>
    <r>
      <rPr>
        <sz val="10"/>
        <rFont val="Noto Sans CJK SC"/>
        <family val="2"/>
      </rPr>
      <t xml:space="preserve">が存在</t>
    </r>
  </si>
  <si>
    <r>
      <rPr>
        <sz val="10"/>
        <rFont val="Noto Sans CJK SC"/>
        <family val="2"/>
      </rPr>
      <t xml:space="preserve">○ 投稿枠 </t>
    </r>
    <r>
      <rPr>
        <sz val="10"/>
        <rFont val="Arial"/>
        <family val="0"/>
        <charset val="1"/>
      </rPr>
      <t xml:space="preserve">/ title_rules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mdg </t>
    </r>
    <r>
      <rPr>
        <sz val="10"/>
        <rFont val="Noto Sans CJK SC"/>
        <family val="2"/>
      </rPr>
      <t xml:space="preserve">以外）</t>
    </r>
    <r>
      <rPr>
        <sz val="10"/>
        <rFont val="Arial"/>
        <family val="0"/>
        <charset val="1"/>
      </rPr>
      <t xml:space="preserve">/ voice_style / theme_queue </t>
    </r>
    <r>
      <rPr>
        <sz val="10"/>
        <rFont val="Noto Sans CJK SC"/>
        <family val="2"/>
      </rPr>
      <t xml:space="preserve">に本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からの差分ゼロ</t>
    </r>
  </si>
  <si>
    <t xml:space="preserve">—</t>
  </si>
  <si>
    <r>
      <rPr>
        <sz val="10"/>
        <rFont val="Noto Sans CJK SC"/>
        <family val="2"/>
      </rPr>
      <t xml:space="preserve">並走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の変更（検算のみ）</t>
    </r>
  </si>
  <si>
    <r>
      <rPr>
        <sz val="10"/>
        <rFont val="Noto Sans CJK SC"/>
        <family val="2"/>
      </rPr>
      <t xml:space="preserve">評価期日 </t>
    </r>
    <r>
      <rPr>
        <sz val="10"/>
        <rFont val="Arial"/>
        <family val="0"/>
        <charset val="1"/>
      </rPr>
      <t xml:space="preserve">09-17→09-23 / retention_note </t>
    </r>
    <r>
      <rPr>
        <sz val="10"/>
        <rFont val="Noto Sans CJK SC"/>
        <family val="2"/>
      </rPr>
      <t xml:space="preserve">追加 </t>
    </r>
    <r>
      <rPr>
        <sz val="10"/>
        <rFont val="Arial"/>
        <family val="0"/>
        <charset val="1"/>
      </rPr>
      <t xml:space="preserve">/ 2ch-matome autopilot </t>
    </r>
    <r>
      <rPr>
        <sz val="10"/>
        <rFont val="Noto Sans CJK SC"/>
        <family val="2"/>
      </rPr>
      <t xml:space="preserve">有効化</t>
    </r>
  </si>
  <si>
    <r>
      <rPr>
        <sz val="10"/>
        <rFont val="Noto Sans CJK SC"/>
        <family val="2"/>
      </rPr>
      <t xml:space="preserve">並走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の判断。本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は独立検算のみ</t>
    </r>
  </si>
  <si>
    <r>
      <rPr>
        <sz val="10"/>
        <rFont val="Arial"/>
        <family val="0"/>
        <charset val="1"/>
      </rPr>
      <t xml:space="preserve">△ 2ch-matome </t>
    </r>
    <r>
      <rPr>
        <sz val="10"/>
        <rFont val="Noto Sans CJK SC"/>
        <family val="2"/>
      </rPr>
      <t xml:space="preserve">の再有効化は実績根拠が薄い（登録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0.163 </t>
    </r>
    <r>
      <rPr>
        <sz val="10"/>
        <rFont val="Noto Sans CJK SC"/>
        <family val="2"/>
      </rPr>
      <t xml:space="preserve">で最下位・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内でいいね率が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スナップショット連続逆）。ただし停止の理由に </t>
    </r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と実力が混在しているので再開自体は否定しない</t>
    </r>
  </si>
  <si>
    <t xml:space="preserve">09-23</t>
  </si>
  <si>
    <r>
      <rPr>
        <b val="true"/>
        <sz val="11"/>
        <rFont val="Arial"/>
        <family val="0"/>
        <charset val="1"/>
      </rPr>
      <t xml:space="preserve">■ B. </t>
    </r>
    <r>
      <rPr>
        <b val="true"/>
        <sz val="11"/>
        <rFont val="Noto Sans CJK SC"/>
        <family val="2"/>
      </rPr>
      <t xml:space="preserve">次回以降に判断する（本日は根拠不足で保留）</t>
    </r>
  </si>
  <si>
    <t xml:space="preserve">提案</t>
  </si>
  <si>
    <t xml:space="preserve">保留の理由</t>
  </si>
  <si>
    <t xml:space="preserve">判断予定日</t>
  </si>
  <si>
    <r>
      <rPr>
        <sz val="10"/>
        <rFont val="Noto Sans CJK SC"/>
        <family val="2"/>
      </rPr>
      <t xml:space="preserve">投稿枠 </t>
    </r>
    <r>
      <rPr>
        <sz val="10"/>
        <rFont val="Arial"/>
        <family val="0"/>
        <charset val="1"/>
      </rPr>
      <t xml:space="preserve">4 → 3 </t>
    </r>
    <r>
      <rPr>
        <sz val="10"/>
        <rFont val="Noto Sans CJK SC"/>
        <family val="2"/>
      </rPr>
      <t xml:space="preserve">へ差し戻し</t>
    </r>
  </si>
  <si>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千が </t>
    </r>
    <r>
      <rPr>
        <sz val="10"/>
        <rFont val="Arial"/>
        <family val="0"/>
        <charset val="1"/>
      </rPr>
      <t xml:space="preserve">0.715→0.649→0.619→0.613 </t>
    </r>
    <r>
      <rPr>
        <sz val="10"/>
        <rFont val="Noto Sans CJK SC"/>
        <family val="2"/>
      </rPr>
      <t xml:space="preserve">と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日連続低下。総再生は全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最大</t>
    </r>
    <r>
      <rPr>
        <sz val="10"/>
        <rFont val="Arial"/>
        <family val="0"/>
        <charset val="1"/>
      </rPr>
      <t xml:space="preserve">(48,901)</t>
    </r>
    <r>
      <rPr>
        <sz val="10"/>
        <rFont val="Noto Sans CJK SC"/>
        <family val="2"/>
      </rPr>
      <t xml:space="preserve">なのに変換だけ落ちている。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内対照でいいね率も</t>
    </r>
    <r>
      <rPr>
        <sz val="10"/>
        <rFont val="Arial"/>
        <family val="0"/>
        <charset val="1"/>
      </rPr>
      <t xml:space="preserve">×</t>
    </r>
  </si>
  <si>
    <t xml:space="preserve">枠増後に公開した分が全て未計測。増枠の効果とテーマ疲れの切り分けができない</t>
  </si>
  <si>
    <t xml:space="preserve">09-21</t>
  </si>
  <si>
    <t xml:space="preserve">daily-science / company-facts</t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</si>
  <si>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時枠を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/ 19</t>
    </r>
    <r>
      <rPr>
        <sz val="10"/>
        <rFont val="Noto Sans CJK SC"/>
        <family val="2"/>
      </rPr>
      <t xml:space="preserve">時へ寄せ直す</t>
    </r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</si>
  <si>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0.000(n=4)</t>
    </r>
    <r>
      <rPr>
        <sz val="10"/>
        <rFont val="Noto Sans CJK SC"/>
        <family val="2"/>
      </rPr>
      <t xml:space="preserve">・前日 </t>
    </r>
    <r>
      <rPr>
        <sz val="10"/>
        <rFont val="Arial"/>
        <family val="0"/>
        <charset val="1"/>
      </rPr>
      <t xml:space="preserve">0.169(n=7) </t>
    </r>
    <r>
      <rPr>
        <sz val="10"/>
        <rFont val="Noto Sans CJK SC"/>
        <family val="2"/>
      </rPr>
      <t xml:space="preserve">で最下位。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0.932(n=38) / 19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0.672(n=24) </t>
    </r>
    <r>
      <rPr>
        <sz val="10"/>
        <rFont val="Noto Sans CJK SC"/>
        <family val="2"/>
      </rPr>
      <t xml:space="preserve">が上位</t>
    </r>
  </si>
  <si>
    <r>
      <rPr>
        <sz val="10"/>
        <rFont val="Arial"/>
        <family val="0"/>
        <charset val="1"/>
      </rPr>
      <t xml:space="preserve">n=4 </t>
    </r>
    <r>
      <rPr>
        <sz val="10"/>
        <rFont val="Noto Sans CJK SC"/>
        <family val="2"/>
      </rPr>
      <t xml:space="preserve">と小さく、かつ 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新設後の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時公開分は全て未計測＝変更前の母集団しか見ていない</t>
    </r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</si>
  <si>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6ch</t>
    </r>
  </si>
  <si>
    <t xml:space="preserve">いいね率の「先行指標」としての扱いを見直す</t>
  </si>
  <si>
    <r>
      <rPr>
        <sz val="10"/>
        <rFont val="Noto Sans CJK SC"/>
        <family val="2"/>
      </rPr>
      <t xml:space="preserve">プール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分位の単調性が本日崩れた（</t>
    </r>
    <r>
      <rPr>
        <sz val="10"/>
        <rFont val="Arial"/>
        <family val="0"/>
        <charset val="1"/>
      </rPr>
      <t xml:space="preserve">Q2 0.537 &gt; Q3 0.488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Q4/Q1 3.96→3.19</t>
    </r>
    <r>
      <rPr>
        <sz val="10"/>
        <rFont val="Noto Sans CJK SC"/>
        <family val="2"/>
      </rPr>
      <t xml:space="preserve">倍）。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内対照では </t>
    </r>
    <r>
      <rPr>
        <sz val="10"/>
        <rFont val="Arial"/>
        <family val="0"/>
        <charset val="1"/>
      </rPr>
      <t xml:space="preserve">3/5ch </t>
    </r>
    <r>
      <rPr>
        <sz val="10"/>
        <rFont val="Noto Sans CJK SC"/>
        <family val="2"/>
      </rPr>
      <t xml:space="preserve">のみ一致で </t>
    </r>
    <r>
      <rPr>
        <sz val="10"/>
        <rFont val="Arial"/>
        <family val="0"/>
        <charset val="1"/>
      </rPr>
      <t xml:space="preserve">company-facts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2ch-matome </t>
    </r>
    <r>
      <rPr>
        <sz val="10"/>
        <rFont val="Noto Sans CJK SC"/>
        <family val="2"/>
      </rPr>
      <t xml:space="preserve">が逆</t>
    </r>
  </si>
  <si>
    <r>
      <rPr>
        <sz val="10"/>
        <rFont val="Noto Sans CJK SC"/>
        <family val="2"/>
      </rPr>
      <t xml:space="preserve">連続スナップショットは同一動画</t>
    </r>
    <r>
      <rPr>
        <sz val="10"/>
        <rFont val="Arial"/>
        <family val="0"/>
        <charset val="1"/>
      </rPr>
      <t xml:space="preserve">95%</t>
    </r>
    <r>
      <rPr>
        <sz val="10"/>
        <rFont val="Noto Sans CJK SC"/>
        <family val="2"/>
      </rPr>
      <t xml:space="preserve">重複で自己相関する。独立な比較点は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と 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つだけ</t>
    </r>
  </si>
  <si>
    <r>
      <rPr>
        <sz val="10"/>
        <rFont val="Noto Sans CJK SC"/>
        <family val="2"/>
      </rPr>
      <t xml:space="preserve">いいね率ベースの施策を外す（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単独で符号が逆）</t>
    </r>
  </si>
  <si>
    <r>
      <rPr>
        <sz val="10"/>
        <rFont val="Arial"/>
        <family val="0"/>
        <charset val="1"/>
      </rPr>
      <t xml:space="preserve">09-13/14/15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スナップショットすべてで、いいね率が高い半分の方が登録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千が低い（</t>
    </r>
    <r>
      <rPr>
        <sz val="10"/>
        <rFont val="Arial"/>
        <family val="0"/>
        <charset val="1"/>
      </rPr>
      <t xml:space="preserve">0.221→0.125 / 0.228→0.093 / 0.258→0.095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</si>
  <si>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点とも同一動画が重なる標本。独立性のある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では○だった</t>
    </r>
  </si>
  <si>
    <r>
      <rPr>
        <sz val="10"/>
        <rFont val="Arial"/>
        <family val="0"/>
        <charset val="1"/>
      </rPr>
      <t xml:space="preserve">retention_target_band </t>
    </r>
    <r>
      <rPr>
        <sz val="10"/>
        <rFont val="Noto Sans CJK SC"/>
        <family val="2"/>
      </rPr>
      <t xml:space="preserve">の付与</t>
    </r>
  </si>
  <si>
    <r>
      <rPr>
        <sz val="10"/>
        <rFont val="Noto Sans CJK SC"/>
        <family val="2"/>
      </rPr>
      <t xml:space="preserve">他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には付与済みだが </t>
    </r>
    <r>
      <rPr>
        <sz val="10"/>
        <rFont val="Arial"/>
        <family val="0"/>
        <charset val="1"/>
      </rPr>
      <t xml:space="preserve">socio-rx </t>
    </r>
    <r>
      <rPr>
        <sz val="10"/>
        <rFont val="Noto Sans CJK SC"/>
        <family val="2"/>
      </rPr>
      <t xml:space="preserve">のみ未設定。公開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本・</t>
    </r>
    <r>
      <rPr>
        <sz val="10"/>
        <rFont val="Arial"/>
        <family val="0"/>
        <charset val="1"/>
      </rPr>
      <t xml:space="preserve">260</t>
    </r>
    <r>
      <rPr>
        <sz val="10"/>
        <rFont val="Noto Sans CJK SC"/>
        <family val="2"/>
      </rPr>
      <t xml:space="preserve">再生で母数不足</t>
    </r>
  </si>
  <si>
    <r>
      <rPr>
        <sz val="10"/>
        <rFont val="Noto Sans CJK SC"/>
        <family val="2"/>
      </rPr>
      <t xml:space="preserve">そもそも当該キーはコードから参照されていない（実害なし）。母数が </t>
    </r>
    <r>
      <rPr>
        <sz val="10"/>
        <rFont val="Arial"/>
        <family val="0"/>
        <charset val="1"/>
      </rPr>
      <t xml:space="preserve">n≧20 </t>
    </r>
    <r>
      <rPr>
        <sz val="10"/>
        <rFont val="Noto Sans CJK SC"/>
        <family val="2"/>
      </rPr>
      <t xml:space="preserve">に届いてから</t>
    </r>
  </si>
  <si>
    <r>
      <rPr>
        <b val="true"/>
        <sz val="11"/>
        <rFont val="Arial"/>
        <family val="0"/>
        <charset val="1"/>
      </rPr>
      <t xml:space="preserve">■ C. </t>
    </r>
    <r>
      <rPr>
        <b val="true"/>
        <sz val="11"/>
        <rFont val="Noto Sans CJK SC"/>
        <family val="2"/>
      </rPr>
      <t xml:space="preserve">人手が必要な未解決案件（自動化不可・本日も未解消）</t>
    </r>
  </si>
  <si>
    <t xml:space="preserve">優先</t>
  </si>
  <si>
    <t xml:space="preserve">案件</t>
  </si>
  <si>
    <t xml:space="preserve">実測の状態</t>
  </si>
  <si>
    <t xml:space="preserve">影響</t>
  </si>
  <si>
    <t xml:space="preserve">必要な操作</t>
  </si>
  <si>
    <t xml:space="preserve">1</t>
  </si>
  <si>
    <r>
      <rPr>
        <sz val="10"/>
        <rFont val="Arial"/>
        <family val="0"/>
        <charset val="1"/>
      </rPr>
      <t xml:space="preserve">OAuth 09-20 </t>
    </r>
    <r>
      <rPr>
        <sz val="10"/>
        <rFont val="Noto Sans CJK SC"/>
        <family val="2"/>
      </rPr>
      <t xml:space="preserve">失効（残り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日）</t>
    </r>
  </si>
  <si>
    <r>
      <rPr>
        <sz val="10"/>
        <rFont val="Noto Sans CJK SC"/>
        <family val="2"/>
      </rPr>
      <t xml:space="preserve">ログに確定値「失効予定 </t>
    </r>
    <r>
      <rPr>
        <sz val="10"/>
        <rFont val="Arial"/>
        <family val="0"/>
        <charset val="1"/>
      </rPr>
      <t xml:space="preserve">2026-09-20 12:05:39</t>
    </r>
    <r>
      <rPr>
        <sz val="10"/>
        <rFont val="Noto Sans CJK SC"/>
        <family val="2"/>
      </rPr>
      <t xml:space="preserve">」。同意画面が「テスト中」のため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日で失効する仕様</t>
    </r>
  </si>
  <si>
    <r>
      <rPr>
        <sz val="10"/>
        <rFont val="Noto Sans CJK SC"/>
        <family val="2"/>
      </rPr>
      <t xml:space="preserve">稼働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が一斉に停止する。</t>
    </r>
    <r>
      <rPr>
        <sz val="10"/>
        <rFont val="Arial"/>
        <family val="0"/>
        <charset val="1"/>
      </rPr>
      <t xml:space="preserve">09-09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09-12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日連続データ欠損が再発する</t>
    </r>
  </si>
  <si>
    <r>
      <rPr>
        <sz val="10"/>
        <rFont val="Arial"/>
        <family val="0"/>
        <charset val="1"/>
      </rPr>
      <t xml:space="preserve">GCP project 844705815004 </t>
    </r>
    <r>
      <rPr>
        <sz val="10"/>
        <rFont val="Noto Sans CJK SC"/>
        <family val="2"/>
      </rPr>
      <t xml:space="preserve">の同意画面を「テスト中」→「本番」へ公開し、そのあと再認可</t>
    </r>
  </si>
  <si>
    <t xml:space="preserve">2</t>
  </si>
  <si>
    <r>
      <rPr>
        <sz val="10"/>
        <rFont val="Noto Sans CJK SC"/>
        <family val="2"/>
      </rPr>
      <t xml:space="preserve">カスタムサムネイル 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日連続）</t>
    </r>
  </si>
  <si>
    <r>
      <rPr>
        <sz val="10"/>
        <rFont val="Noto Sans CJK SC"/>
        <family val="2"/>
      </rPr>
      <t xml:space="preserve">通っているのは </t>
    </r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のみ。</t>
    </r>
    <r>
      <rPr>
        <sz val="10"/>
        <rFont val="Arial"/>
        <family val="0"/>
        <charset val="1"/>
      </rPr>
      <t xml:space="preserve">scp-lab / yokai-watch / company-facts </t>
    </r>
    <r>
      <rPr>
        <sz val="10"/>
        <rFont val="Noto Sans CJK SC"/>
        <family val="2"/>
      </rPr>
      <t xml:space="preserve">は全件 </t>
    </r>
    <r>
      <rPr>
        <sz val="10"/>
        <rFont val="Arial"/>
        <family val="0"/>
        <charset val="1"/>
      </rPr>
      <t xml:space="preserve">403</t>
    </r>
  </si>
  <si>
    <r>
      <rPr>
        <sz val="10"/>
        <rFont val="Noto Sans CJK SC"/>
        <family val="2"/>
      </rPr>
      <t xml:space="preserve">「サムネ品質最優先」の改善が</t>
    </r>
    <r>
      <rPr>
        <sz val="10"/>
        <rFont val="Arial"/>
        <family val="0"/>
        <charset val="1"/>
      </rPr>
      <t xml:space="preserve">9ch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枚も届いていない。</t>
    </r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が本日の最大改善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であることは、サムネが効いている可能性を示す</t>
    </r>
  </si>
  <si>
    <r>
      <rPr>
        <sz val="10"/>
        <rFont val="Arial"/>
        <family val="0"/>
        <charset val="1"/>
      </rPr>
      <t xml:space="preserve">youtube.com/verify </t>
    </r>
    <r>
      <rPr>
        <sz val="10"/>
        <rFont val="Noto Sans CJK SC"/>
        <family val="2"/>
      </rPr>
      <t xml:space="preserve">で電話番号確認</t>
    </r>
  </si>
  <si>
    <t xml:space="preserve">3</t>
  </si>
  <si>
    <r>
      <rPr>
        <sz val="10"/>
        <rFont val="Arial"/>
        <family val="0"/>
        <charset val="1"/>
      </rPr>
      <t xml:space="preserve">Anthropic API</t>
    </r>
    <r>
      <rPr>
        <sz val="10"/>
        <rFont val="Noto Sans CJK SC"/>
        <family val="2"/>
      </rPr>
      <t xml:space="preserve">キー </t>
    </r>
    <r>
      <rPr>
        <sz val="10"/>
        <rFont val="Arial"/>
        <family val="0"/>
        <charset val="1"/>
      </rPr>
      <t xml:space="preserve">401</t>
    </r>
  </si>
  <si>
    <r>
      <rPr>
        <sz val="10"/>
        <rFont val="Arial"/>
        <family val="0"/>
        <charset val="1"/>
      </rPr>
      <t xml:space="preserve">backend/.env 18</t>
    </r>
    <r>
      <rPr>
        <sz val="10"/>
        <rFont val="Noto Sans CJK SC"/>
        <family val="2"/>
      </rPr>
      <t xml:space="preserve">行目に</t>
    </r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文字の値が入った状態で </t>
    </r>
    <r>
      <rPr>
        <sz val="10"/>
        <rFont val="Arial"/>
        <family val="0"/>
        <charset val="1"/>
      </rPr>
      <t xml:space="preserve">401</t>
    </r>
    <r>
      <rPr>
        <sz val="10"/>
        <rFont val="Noto Sans CJK SC"/>
        <family val="2"/>
      </rPr>
      <t xml:space="preserve">。入れ忘れではなくキー自体が無効</t>
    </r>
  </si>
  <si>
    <r>
      <rPr>
        <sz val="10"/>
        <rFont val="Arial"/>
        <family val="0"/>
        <charset val="1"/>
      </rPr>
      <t xml:space="preserve">thumbnail_brief / trend_relevance / series_engine </t>
    </r>
    <r>
      <rPr>
        <sz val="10"/>
        <rFont val="Noto Sans CJK SC"/>
        <family val="2"/>
      </rPr>
      <t xml:space="preserve">が全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で停止。続編候補が生成されない</t>
    </r>
  </si>
  <si>
    <t xml:space="preserve">キーの貼り直し</t>
  </si>
  <si>
    <t xml:space="preserve">4</t>
  </si>
  <si>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未再認可 </t>
    </r>
    <r>
      <rPr>
        <sz val="10"/>
        <rFont val="Arial"/>
        <family val="0"/>
        <charset val="1"/>
      </rPr>
      <t xml:space="preserve">7ch</t>
    </r>
  </si>
  <si>
    <r>
      <rPr>
        <sz val="10"/>
        <rFont val="Arial"/>
        <family val="0"/>
        <charset val="1"/>
      </rPr>
      <t xml:space="preserve">clip-animal / fake-paper / akashic-librarian / clip-fukada / clip-kaneko / clip-lab / pokemon-lab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invalid_grant</t>
    </r>
  </si>
  <si>
    <r>
      <rPr>
        <sz val="10"/>
        <rFont val="Arial"/>
        <family val="0"/>
        <charset val="1"/>
      </rPr>
      <t xml:space="preserve">13ch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しか実質稼働していない。</t>
    </r>
    <r>
      <rPr>
        <sz val="10"/>
        <rFont val="Arial"/>
        <family val="0"/>
        <charset val="1"/>
      </rPr>
      <t xml:space="preserve">akashic-librarian </t>
    </r>
    <r>
      <rPr>
        <sz val="10"/>
        <rFont val="Noto Sans CJK SC"/>
        <family val="2"/>
      </rPr>
      <t xml:space="preserve">は登録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0.570 </t>
    </r>
    <r>
      <rPr>
        <sz val="10"/>
        <rFont val="Noto Sans CJK SC"/>
        <family val="2"/>
      </rPr>
      <t xml:space="preserve">で全</t>
    </r>
    <r>
      <rPr>
        <sz val="10"/>
        <rFont val="Arial"/>
        <family val="0"/>
        <charset val="1"/>
      </rPr>
      <t xml:space="preserve">ch3</t>
    </r>
    <r>
      <rPr>
        <sz val="10"/>
        <rFont val="Noto Sans CJK SC"/>
        <family val="2"/>
      </rPr>
      <t xml:space="preserve">位なので損失が大きい</t>
    </r>
  </si>
  <si>
    <t xml:space="preserve">同意画面の本番公開後にまとめて再認可</t>
  </si>
  <si>
    <t xml:space="preserve">5</t>
  </si>
  <si>
    <t xml:space="preserve">テーマキュー在庫の目減り</t>
  </si>
  <si>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を </t>
    </r>
    <r>
      <rPr>
        <sz val="10"/>
        <rFont val="Arial"/>
        <family val="0"/>
        <charset val="1"/>
      </rPr>
      <t xml:space="preserve">7.0</t>
    </r>
    <r>
      <rPr>
        <sz val="10"/>
        <rFont val="Noto Sans CJK SC"/>
        <family val="2"/>
      </rPr>
      <t xml:space="preserve">日へ補充したが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時間で </t>
    </r>
    <r>
      <rPr>
        <sz val="10"/>
        <rFont val="Arial"/>
        <family val="0"/>
        <charset val="1"/>
      </rPr>
      <t xml:space="preserve">5.7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6.0</t>
    </r>
    <r>
      <rPr>
        <sz val="10"/>
        <rFont val="Noto Sans CJK SC"/>
        <family val="2"/>
      </rPr>
      <t xml:space="preserve">日へ。本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では補充しない（</t>
    </r>
    <r>
      <rPr>
        <sz val="10"/>
        <rFont val="Arial"/>
        <family val="0"/>
        <charset val="1"/>
      </rPr>
      <t xml:space="preserve">Phase 3 </t>
    </r>
    <r>
      <rPr>
        <sz val="10"/>
        <rFont val="Noto Sans CJK SC"/>
        <family val="2"/>
      </rPr>
      <t xml:space="preserve">消費済み）</t>
    </r>
  </si>
  <si>
    <r>
      <rPr>
        <sz val="10"/>
        <rFont val="Noto Sans CJK SC"/>
        <family val="2"/>
      </rPr>
      <t xml:space="preserve">今のペースだと </t>
    </r>
    <r>
      <rPr>
        <sz val="10"/>
        <rFont val="Arial"/>
        <family val="0"/>
        <charset val="1"/>
      </rPr>
      <t xml:space="preserve">09-21 </t>
    </r>
    <r>
      <rPr>
        <sz val="10"/>
        <rFont val="Noto Sans CJK SC"/>
        <family val="2"/>
      </rPr>
      <t xml:space="preserve">前後に在庫が枯れて枠が空く</t>
    </r>
  </si>
  <si>
    <r>
      <rPr>
        <sz val="10"/>
        <rFont val="Noto Sans CJK SC"/>
        <family val="2"/>
      </rPr>
      <t xml:space="preserve">（自動）次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で補充。並走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が補充しない場合は指揮者が入れる</t>
    </r>
  </si>
  <si>
    <r>
      <rPr>
        <b val="true"/>
        <sz val="11"/>
        <rFont val="Arial"/>
        <family val="0"/>
        <charset val="1"/>
      </rPr>
      <t xml:space="preserve">■ D. </t>
    </r>
    <r>
      <rPr>
        <b val="true"/>
        <sz val="11"/>
        <rFont val="Noto Sans CJK SC"/>
        <family val="2"/>
      </rPr>
      <t xml:space="preserve">公開時刻</t>
    </r>
    <r>
      <rPr>
        <b val="true"/>
        <sz val="11"/>
        <rFont val="Arial"/>
        <family val="0"/>
        <charset val="1"/>
      </rPr>
      <t xml:space="preserve">(JST)</t>
    </r>
    <r>
      <rPr>
        <b val="true"/>
        <sz val="11"/>
        <rFont val="Noto Sans CJK SC"/>
        <family val="2"/>
      </rPr>
      <t xml:space="preserve">別 登録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千 — 稼働</t>
    </r>
    <r>
      <rPr>
        <b val="true"/>
        <sz val="11"/>
        <rFont val="Arial"/>
        <family val="0"/>
        <charset val="1"/>
      </rPr>
      <t xml:space="preserve">6ch</t>
    </r>
    <r>
      <rPr>
        <b val="true"/>
        <sz val="11"/>
        <rFont val="Noto Sans CJK SC"/>
        <family val="2"/>
      </rPr>
      <t xml:space="preserve">・公開</t>
    </r>
    <r>
      <rPr>
        <b val="true"/>
        <sz val="11"/>
        <rFont val="Arial"/>
        <family val="0"/>
        <charset val="1"/>
      </rPr>
      <t xml:space="preserve">08-01</t>
    </r>
    <r>
      <rPr>
        <b val="true"/>
        <sz val="11"/>
        <rFont val="Noto Sans CJK SC"/>
        <family val="2"/>
      </rPr>
      <t xml:space="preserve">以降・</t>
    </r>
    <r>
      <rPr>
        <b val="true"/>
        <sz val="11"/>
        <rFont val="Arial"/>
        <family val="0"/>
        <charset val="1"/>
      </rPr>
      <t xml:space="preserve">views≧200</t>
    </r>
  </si>
  <si>
    <t xml:space="preserve">時刻</t>
  </si>
  <si>
    <r>
      <rPr>
        <b val="true"/>
        <sz val="10"/>
        <rFont val="Arial"/>
        <family val="0"/>
        <charset val="1"/>
      </rPr>
      <t xml:space="preserve">17</t>
    </r>
    <r>
      <rPr>
        <b val="true"/>
        <sz val="10"/>
        <rFont val="Noto Sans CJK SC"/>
        <family val="2"/>
      </rPr>
      <t xml:space="preserve">時</t>
    </r>
  </si>
  <si>
    <r>
      <rPr>
        <sz val="10"/>
        <rFont val="Noto Sans CJK SC"/>
        <family val="2"/>
      </rPr>
      <t xml:space="preserve">◎ 最良。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の枠再編は妥当</t>
    </r>
  </si>
  <si>
    <r>
      <rPr>
        <b val="true"/>
        <sz val="10"/>
        <rFont val="Arial"/>
        <family val="0"/>
        <charset val="1"/>
      </rPr>
      <t xml:space="preserve">19</t>
    </r>
    <r>
      <rPr>
        <b val="true"/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</si>
  <si>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○ 2</t>
    </r>
    <r>
      <rPr>
        <sz val="10"/>
        <rFont val="Noto Sans CJK SC"/>
        <family val="2"/>
      </rPr>
      <t xml:space="preserve">番目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</si>
  <si>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Noto Sans CJK SC"/>
        <family val="2"/>
      </rPr>
      <t xml:space="preserve">時</t>
    </r>
  </si>
  <si>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時</t>
    </r>
  </si>
  <si>
    <t xml:space="preserve">○ 全廃は妥当</t>
  </si>
  <si>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</si>
  <si>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△ daily-science / 2ch </t>
    </r>
    <r>
      <rPr>
        <sz val="10"/>
        <rFont val="Noto Sans CJK SC"/>
        <family val="2"/>
      </rPr>
      <t xml:space="preserve">が使用中</t>
    </r>
  </si>
  <si>
    <r>
      <rPr>
        <b val="true"/>
        <sz val="10"/>
        <rFont val="Arial"/>
        <family val="0"/>
        <charset val="1"/>
      </rPr>
      <t xml:space="preserve">13</t>
    </r>
    <r>
      <rPr>
        <b val="true"/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</si>
  <si>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△ scp-lab </t>
    </r>
    <r>
      <rPr>
        <sz val="10"/>
        <rFont val="Noto Sans CJK SC"/>
        <family val="2"/>
      </rPr>
      <t xml:space="preserve">が使用中</t>
    </r>
  </si>
  <si>
    <r>
      <rPr>
        <b val="true"/>
        <sz val="10"/>
        <rFont val="Arial"/>
        <family val="0"/>
        <charset val="1"/>
      </rPr>
      <t xml:space="preserve">18</t>
    </r>
    <r>
      <rPr>
        <b val="true"/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</si>
  <si>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採用なしは妥当</t>
    </r>
  </si>
  <si>
    <r>
      <rPr>
        <b val="true"/>
        <sz val="10"/>
        <rFont val="Arial"/>
        <family val="0"/>
        <charset val="1"/>
      </rPr>
      <t xml:space="preserve">14</t>
    </r>
    <r>
      <rPr>
        <b val="true"/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</si>
  <si>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採用なし</t>
    </r>
  </si>
  <si>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時</t>
    </r>
  </si>
  <si>
    <r>
      <rPr>
        <b val="true"/>
        <sz val="10"/>
        <rFont val="Arial"/>
        <family val="0"/>
        <charset val="1"/>
      </rPr>
      <t xml:space="preserve">15</t>
    </r>
    <r>
      <rPr>
        <b val="true"/>
        <sz val="10"/>
        <rFont val="Noto Sans CJK SC"/>
        <family val="2"/>
      </rPr>
      <t xml:space="preserve">時</t>
    </r>
  </si>
  <si>
    <r>
      <rPr>
        <sz val="10"/>
        <rFont val="Noto Sans CJK SC"/>
        <family val="2"/>
      </rPr>
      <t xml:space="preserve">⚠ 最下位 </t>
    </r>
    <r>
      <rPr>
        <sz val="10"/>
        <rFont val="Arial"/>
        <family val="0"/>
        <charset val="1"/>
      </rPr>
      <t xml:space="preserve">0.000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3ch</t>
    </r>
    <r>
      <rPr>
        <sz val="10"/>
        <rFont val="Noto Sans CJK SC"/>
        <family val="2"/>
      </rPr>
      <t xml:space="preserve">へ新設したが、変更後の公開分は未計測</t>
    </r>
  </si>
  <si>
    <r>
      <rPr>
        <b val="true"/>
        <sz val="10"/>
        <rFont val="Arial"/>
        <family val="0"/>
        <charset val="1"/>
      </rPr>
      <t xml:space="preserve">21</t>
    </r>
    <r>
      <rPr>
        <b val="true"/>
        <sz val="10"/>
        <rFont val="Noto Sans CJK SC"/>
        <family val="2"/>
      </rPr>
      <t xml:space="preserve">時</t>
    </r>
  </si>
  <si>
    <r>
      <rPr>
        <sz val="10"/>
        <rFont val="Arial"/>
        <family val="0"/>
        <charset val="1"/>
      </rPr>
      <t xml:space="preserve">※ n&lt;3 </t>
    </r>
    <r>
      <rPr>
        <sz val="10"/>
        <rFont val="Noto Sans CJK SC"/>
        <family val="2"/>
      </rPr>
      <t xml:space="preserve">の時刻は除外。※ この表は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をプールしているため系統・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実力差で交絡する（鉄則）。時刻の採否は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内対照で最終判断する。</t>
    </r>
  </si>
  <si>
    <t xml:space="preserve">前回比較 — 前スナップショット比 と 前回施策の効果検証</t>
  </si>
  <si>
    <r>
      <rPr>
        <sz val="10"/>
        <rFont val="Noto Sans CJK SC"/>
        <family val="2"/>
      </rPr>
      <t xml:space="preserve">比較は同一定義（各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の直近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本ローリング窓）。前回レポート</t>
    </r>
    <r>
      <rPr>
        <sz val="10"/>
        <rFont val="Arial"/>
        <family val="0"/>
        <charset val="1"/>
      </rPr>
      <t xml:space="preserve">: reports/youtube-analysis-2026-09-15.xlsx</t>
    </r>
  </si>
  <si>
    <r>
      <rPr>
        <b val="true"/>
        <sz val="11"/>
        <rFont val="Arial"/>
        <family val="0"/>
        <charset val="1"/>
      </rPr>
      <t xml:space="preserve">■ 1. </t>
    </r>
    <r>
      <rPr>
        <b val="true"/>
        <sz val="11"/>
        <rFont val="Noto Sans CJK SC"/>
        <family val="2"/>
      </rPr>
      <t xml:space="preserve">前スナップショット比（至上指標 登録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千再生）</t>
    </r>
  </si>
  <si>
    <t xml:space="preserve">前回日</t>
  </si>
  <si>
    <t xml:space="preserve">今回日</t>
  </si>
  <si>
    <r>
      <rPr>
        <b val="true"/>
        <sz val="10"/>
        <color rgb="FFFFFFFF"/>
        <rFont val="Noto Sans CJK SC"/>
        <family val="2"/>
      </rPr>
      <t xml:space="preserve">前回 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</t>
    </r>
  </si>
  <si>
    <r>
      <rPr>
        <b val="true"/>
        <sz val="10"/>
        <color rgb="FFFFFFFF"/>
        <rFont val="Noto Sans CJK SC"/>
        <family val="2"/>
      </rPr>
      <t xml:space="preserve">今回 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</t>
    </r>
  </si>
  <si>
    <t xml:space="preserve">差</t>
  </si>
  <si>
    <r>
      <rPr>
        <b val="true"/>
        <sz val="10"/>
        <color rgb="FFFFFFFF"/>
        <rFont val="Noto Sans CJK SC"/>
        <family val="2"/>
      </rPr>
      <t xml:space="preserve">前回 いいね率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</si>
  <si>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今回 いいね率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</si>
  <si>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いいね率 差</t>
  </si>
  <si>
    <t xml:space="preserve">符号一致</t>
  </si>
  <si>
    <r>
      <rPr>
        <b val="true"/>
        <sz val="10"/>
        <color rgb="FFFFFFFF"/>
        <rFont val="Noto Sans CJK SC"/>
        <family val="2"/>
      </rPr>
      <t xml:space="preserve">同一動画のみ </t>
    </r>
    <r>
      <rPr>
        <b val="true"/>
        <sz val="10"/>
        <color rgb="FFFFFFFF"/>
        <rFont val="Arial"/>
        <family val="0"/>
        <charset val="1"/>
      </rPr>
      <t xml:space="preserve">Δ</t>
    </r>
    <r>
      <rPr>
        <b val="true"/>
        <sz val="10"/>
        <color rgb="FFFFFFFF"/>
        <rFont val="Noto Sans CJK SC"/>
        <family val="2"/>
      </rPr>
      <t xml:space="preserve">再生</t>
    </r>
  </si>
  <si>
    <t xml:space="preserve">△ 微減</t>
  </si>
  <si>
    <t xml:space="preserve">○ 改善</t>
  </si>
  <si>
    <t xml:space="preserve">◎ 改善</t>
  </si>
  <si>
    <t xml:space="preserve">－ 母数不足</t>
  </si>
  <si>
    <r>
      <rPr>
        <b val="true"/>
        <sz val="10"/>
        <rFont val="Noto Sans CJK SC"/>
        <family val="2"/>
      </rPr>
      <t xml:space="preserve">符号一致 </t>
    </r>
    <r>
      <rPr>
        <b val="true"/>
        <sz val="10"/>
        <rFont val="Arial"/>
        <family val="0"/>
        <charset val="1"/>
      </rPr>
      <t xml:space="preserve">4/5ch</t>
    </r>
  </si>
  <si>
    <r>
      <rPr>
        <sz val="10"/>
        <rFont val="Noto Sans CJK SC"/>
        <family val="2"/>
      </rPr>
      <t xml:space="preserve">いいね率と登録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千の前日比の符号一致。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4/5ch</t>
    </r>
    <r>
      <rPr>
        <sz val="10"/>
        <rFont val="Noto Sans CJK SC"/>
        <family val="2"/>
      </rPr>
      <t xml:space="preserve">。「全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一致」という言い方は使わない（</t>
    </r>
    <r>
      <rPr>
        <sz val="10"/>
        <rFont val="Arial"/>
        <family val="0"/>
        <charset val="1"/>
      </rPr>
      <t xml:space="preserve">09-15 </t>
    </r>
    <r>
      <rPr>
        <sz val="10"/>
        <rFont val="Noto Sans CJK SC"/>
        <family val="2"/>
      </rPr>
      <t xml:space="preserve">に自己訂正済み）</t>
    </r>
  </si>
  <si>
    <r>
      <rPr>
        <b val="true"/>
        <sz val="11"/>
        <rFont val="Arial"/>
        <family val="0"/>
        <charset val="1"/>
      </rPr>
      <t xml:space="preserve">■ 2. </t>
    </r>
    <r>
      <rPr>
        <b val="true"/>
        <sz val="11"/>
        <rFont val="Noto Sans CJK SC"/>
        <family val="2"/>
      </rPr>
      <t xml:space="preserve">前回施策の効果検証（差分検証）</t>
    </r>
  </si>
  <si>
    <t xml:space="preserve">実施日</t>
  </si>
  <si>
    <t xml:space="preserve">施策</t>
  </si>
  <si>
    <t xml:space="preserve">前回判定</t>
  </si>
  <si>
    <t xml:space="preserve">本日の判定</t>
  </si>
  <si>
    <t xml:space="preserve">09-12</t>
  </si>
  <si>
    <r>
      <rPr>
        <sz val="10"/>
        <rFont val="Arial"/>
        <family val="0"/>
        <charset val="1"/>
      </rPr>
      <t xml:space="preserve">autopilot </t>
    </r>
    <r>
      <rPr>
        <sz val="10"/>
        <rFont val="Noto Sans CJK SC"/>
        <family val="2"/>
      </rPr>
      <t xml:space="preserve">週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日化</t>
    </r>
  </si>
  <si>
    <t xml:space="preserve">△ 未測定</t>
  </si>
  <si>
    <r>
      <rPr>
        <sz val="10"/>
        <rFont val="Noto Sans CJK SC"/>
        <family val="2"/>
      </rPr>
      <t xml:space="preserve">△ 未測定継続。公開は継続しているが </t>
    </r>
    <r>
      <rPr>
        <sz val="10"/>
        <rFont val="Arial"/>
        <family val="0"/>
        <charset val="1"/>
      </rPr>
      <t xml:space="preserve">09-07</t>
    </r>
    <r>
      <rPr>
        <sz val="10"/>
        <rFont val="Noto Sans CJK SC"/>
        <family val="2"/>
      </rPr>
      <t xml:space="preserve">以降の </t>
    </r>
    <r>
      <rPr>
        <sz val="10"/>
        <rFont val="Arial"/>
        <family val="0"/>
        <charset val="1"/>
      </rPr>
      <t xml:space="preserve">85</t>
    </r>
    <r>
      <rPr>
        <sz val="10"/>
        <rFont val="Noto Sans CJK SC"/>
        <family val="2"/>
      </rPr>
      <t xml:space="preserve">本中 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本が未計測</t>
    </r>
  </si>
  <si>
    <r>
      <rPr>
        <sz val="10"/>
        <rFont val="Noto Sans CJK SC"/>
        <family val="2"/>
      </rPr>
      <t xml:space="preserve">投稿枠 </t>
    </r>
    <r>
      <rPr>
        <sz val="10"/>
        <rFont val="Arial"/>
        <family val="0"/>
        <charset val="1"/>
      </rPr>
      <t xml:space="preserve">3→4</t>
    </r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</si>
  <si>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疑わしい</t>
    </r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</si>
  <si>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疑わしいまま。</t>
    </r>
    <r>
      <rPr>
        <sz val="10"/>
        <rFont val="Arial"/>
        <family val="0"/>
        <charset val="1"/>
      </rPr>
      <t xml:space="preserve">0.715→0.649→0.619→0.613 </t>
    </r>
    <r>
      <rPr>
        <sz val="10"/>
        <rFont val="Noto Sans CJK SC"/>
        <family val="2"/>
      </rPr>
      <t xml:space="preserve">と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日連続低下。総再生は全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最大なので「本数を増やすと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本あたりの変換が落ちる」の実例候補</t>
    </r>
  </si>
  <si>
    <t xml:space="preserve">09-13</t>
  </si>
  <si>
    <t xml:space="preserve">8ch</t>
  </si>
  <si>
    <r>
      <rPr>
        <sz val="10"/>
        <rFont val="Arial"/>
        <family val="0"/>
        <charset val="1"/>
      </rPr>
      <t xml:space="preserve">autopilot </t>
    </r>
    <r>
      <rPr>
        <sz val="10"/>
        <rFont val="Noto Sans CJK SC"/>
        <family val="2"/>
      </rPr>
      <t xml:space="preserve">無効化（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集中）</t>
    </r>
  </si>
  <si>
    <t xml:space="preserve">○ 成立</t>
  </si>
  <si>
    <r>
      <rPr>
        <sz val="10"/>
        <rFont val="Noto Sans CJK SC"/>
        <family val="2"/>
      </rPr>
      <t xml:space="preserve">○ 成立継続。停止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の指標に悪化なし。ただし </t>
    </r>
    <r>
      <rPr>
        <sz val="10"/>
        <rFont val="Arial"/>
        <family val="0"/>
        <charset val="1"/>
      </rPr>
      <t xml:space="preserve">akashic-librarian(0.570</t>
    </r>
    <r>
      <rPr>
        <sz val="10"/>
        <rFont val="Noto Sans CJK SC"/>
        <family val="2"/>
      </rPr>
      <t xml:space="preserve">・全</t>
    </r>
    <r>
      <rPr>
        <sz val="10"/>
        <rFont val="Arial"/>
        <family val="0"/>
        <charset val="1"/>
      </rPr>
      <t xml:space="preserve">ch3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を実力ではなく </t>
    </r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都合で止めている点は損失</t>
    </r>
  </si>
  <si>
    <t xml:space="preserve">09-14</t>
  </si>
  <si>
    <r>
      <rPr>
        <sz val="10"/>
        <rFont val="Noto Sans CJK SC"/>
        <family val="2"/>
      </rPr>
      <t xml:space="preserve">投稿枠を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時中心へ再編</t>
    </r>
  </si>
  <si>
    <t xml:space="preserve">△ 方向は妥当</t>
  </si>
  <si>
    <r>
      <rPr>
        <sz val="10"/>
        <rFont val="Noto Sans CJK SC"/>
        <family val="2"/>
      </rPr>
      <t xml:space="preserve">○ 方向は再現。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0.932(n=38) </t>
    </r>
    <r>
      <rPr>
        <sz val="10"/>
        <rFont val="Noto Sans CJK SC"/>
        <family val="2"/>
      </rPr>
      <t xml:space="preserve">が再び最良。廃止した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0.279 / 21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0.000 </t>
    </r>
    <r>
      <rPr>
        <sz val="10"/>
        <rFont val="Noto Sans CJK SC"/>
        <family val="2"/>
      </rPr>
      <t xml:space="preserve">も妥当。ただし新設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時枠は </t>
    </r>
    <r>
      <rPr>
        <sz val="10"/>
        <rFont val="Arial"/>
        <family val="0"/>
        <charset val="1"/>
      </rPr>
      <t xml:space="preserve">0.000(n=4) </t>
    </r>
    <r>
      <rPr>
        <sz val="10"/>
        <rFont val="Noto Sans CJK SC"/>
        <family val="2"/>
      </rPr>
      <t xml:space="preserve">に悪化</t>
    </r>
  </si>
  <si>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別タイトル型ルール固定</t>
    </r>
  </si>
  <si>
    <t xml:space="preserve">△ 未測定継続（変更後の公開分が未計測）</t>
  </si>
  <si>
    <t xml:space="preserve">title_constraints</t>
  </si>
  <si>
    <r>
      <rPr>
        <sz val="10"/>
        <rFont val="Arial"/>
        <family val="0"/>
        <charset val="1"/>
      </rPr>
      <t xml:space="preserve">repair()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forbid_patterns </t>
    </r>
    <r>
      <rPr>
        <sz val="10"/>
        <rFont val="Noto Sans CJK SC"/>
        <family val="2"/>
      </rPr>
      <t xml:space="preserve">追加</t>
    </r>
  </si>
  <si>
    <r>
      <rPr>
        <sz val="10"/>
        <rFont val="Noto Sans CJK SC"/>
        <family val="2"/>
      </rPr>
      <t xml:space="preserve">○ 成立継続。</t>
    </r>
    <r>
      <rPr>
        <sz val="10"/>
        <rFont val="Arial"/>
        <family val="0"/>
        <charset val="1"/>
      </rPr>
      <t xml:space="preserve">09-14</t>
    </r>
    <r>
      <rPr>
        <sz val="10"/>
        <rFont val="Noto Sans CJK SC"/>
        <family val="2"/>
      </rPr>
      <t xml:space="preserve">以降の公開分に 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型・絵文字の違反なし</t>
    </r>
  </si>
  <si>
    <t xml:space="preserve">09-15</t>
  </si>
  <si>
    <r>
      <rPr>
        <sz val="10"/>
        <rFont val="Noto Sans CJK SC"/>
        <family val="2"/>
      </rPr>
      <t xml:space="preserve">維持率目標帯 </t>
    </r>
    <r>
      <rPr>
        <sz val="10"/>
        <rFont val="Arial"/>
        <family val="0"/>
        <charset val="1"/>
      </rPr>
      <t xml:space="preserve">40-50% </t>
    </r>
    <r>
      <rPr>
        <sz val="10"/>
        <rFont val="Noto Sans CJK SC"/>
        <family val="2"/>
      </rPr>
      <t xml:space="preserve">を明記</t>
    </r>
  </si>
  <si>
    <t xml:space="preserve">△ 一部修正要</t>
  </si>
  <si>
    <r>
      <rPr>
        <sz val="10"/>
        <rFont val="Noto Sans CJK SC"/>
        <family val="2"/>
      </rPr>
      <t xml:space="preserve">○ 頂点 </t>
    </r>
    <r>
      <rPr>
        <sz val="10"/>
        <rFont val="Arial"/>
        <family val="0"/>
        <charset val="1"/>
      </rPr>
      <t xml:space="preserve">40-50%(0.687) 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日連続で再現。最下位 </t>
    </r>
    <r>
      <rPr>
        <sz val="10"/>
        <rFont val="Arial"/>
        <family val="0"/>
        <charset val="1"/>
      </rPr>
      <t xml:space="preserve">&lt;30%(0.245) </t>
    </r>
    <r>
      <rPr>
        <sz val="10"/>
        <rFont val="Noto Sans CJK SC"/>
        <family val="2"/>
      </rPr>
      <t xml:space="preserve">も再現。ただし当該キーはコード未参照なのでドキュメント値</t>
    </r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</si>
  <si>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4ch</t>
    </r>
  </si>
  <si>
    <r>
      <rPr>
        <sz val="10"/>
        <rFont val="Noto Sans CJK SC"/>
        <family val="2"/>
      </rPr>
      <t xml:space="preserve">テーマキュー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日以上へ補充</t>
    </r>
  </si>
  <si>
    <r>
      <rPr>
        <sz val="10"/>
        <rFont val="Noto Sans CJK SC"/>
        <family val="2"/>
      </rPr>
      <t xml:space="preserve">△ 効果が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時間しか持たない。</t>
    </r>
    <r>
      <rPr>
        <sz val="10"/>
        <rFont val="Arial"/>
        <family val="0"/>
        <charset val="1"/>
      </rPr>
      <t xml:space="preserve">7.0</t>
    </r>
    <r>
      <rPr>
        <sz val="10"/>
        <rFont val="Noto Sans CJK SC"/>
        <family val="2"/>
      </rPr>
      <t xml:space="preserve">日→</t>
    </r>
    <r>
      <rPr>
        <sz val="10"/>
        <rFont val="Arial"/>
        <family val="0"/>
        <charset val="1"/>
      </rPr>
      <t xml:space="preserve">5.7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6.0</t>
    </r>
    <r>
      <rPr>
        <sz val="10"/>
        <rFont val="Noto Sans CJK SC"/>
        <family val="2"/>
      </rPr>
      <t xml:space="preserve">日。補充が消費に追いついていない</t>
    </r>
  </si>
  <si>
    <t xml:space="preserve">09-17</t>
  </si>
  <si>
    <t xml:space="preserve">backend</t>
  </si>
  <si>
    <r>
      <rPr>
        <sz val="10"/>
        <rFont val="Arial"/>
        <family val="0"/>
        <charset val="1"/>
      </rPr>
      <t xml:space="preserve">publish_blocked </t>
    </r>
    <r>
      <rPr>
        <sz val="10"/>
        <rFont val="Noto Sans CJK SC"/>
        <family val="2"/>
      </rPr>
      <t xml:space="preserve">の導入</t>
    </r>
  </si>
  <si>
    <t xml:space="preserve">○ 初めて公開を止めた</t>
  </si>
  <si>
    <r>
      <rPr>
        <sz val="10"/>
        <rFont val="Noto Sans CJK SC"/>
        <family val="2"/>
      </rPr>
      <t xml:space="preserve">○ 成立。ただし代償が枠の欠落だと確認できたので、本 </t>
    </r>
    <r>
      <rPr>
        <sz val="10"/>
        <rFont val="Arial"/>
        <family val="0"/>
        <charset val="1"/>
      </rPr>
      <t xml:space="preserve">run </t>
    </r>
    <r>
      <rPr>
        <sz val="10"/>
        <rFont val="Noto Sans CJK SC"/>
        <family val="2"/>
      </rPr>
      <t xml:space="preserve">で原因側（</t>
    </r>
    <r>
      <rPr>
        <sz val="10"/>
        <rFont val="Arial"/>
        <family val="0"/>
        <charset val="1"/>
      </rPr>
      <t xml:space="preserve">mdg=1</t>
    </r>
    <r>
      <rPr>
        <sz val="10"/>
        <rFont val="Noto Sans CJK SC"/>
        <family val="2"/>
      </rPr>
      <t xml:space="preserve">）を修正した</t>
    </r>
  </si>
  <si>
    <t xml:space="preserve">09-16</t>
  </si>
  <si>
    <t xml:space="preserve">scp-lab / pokemon-lab</t>
  </si>
  <si>
    <r>
      <rPr>
        <sz val="10"/>
        <rFont val="Arial"/>
        <family val="0"/>
        <charset val="1"/>
      </rPr>
      <t xml:space="preserve">max_digit_groups 1→2</t>
    </r>
    <r>
      <rPr>
        <sz val="10"/>
        <rFont val="Noto Sans CJK SC"/>
        <family val="2"/>
      </rPr>
      <t xml:space="preserve">（本 </t>
    </r>
    <r>
      <rPr>
        <sz val="10"/>
        <rFont val="Arial"/>
        <family val="0"/>
        <charset val="1"/>
      </rPr>
      <t xml:space="preserve">run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</si>
  <si>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— 本日適用。キュー違反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件・無退行を確認。効果は </t>
    </r>
    <r>
      <rPr>
        <sz val="10"/>
        <rFont val="Arial"/>
        <family val="0"/>
        <charset val="1"/>
      </rPr>
      <t xml:space="preserve">09-17 </t>
    </r>
    <r>
      <rPr>
        <sz val="10"/>
        <rFont val="Noto Sans CJK SC"/>
        <family val="2"/>
      </rPr>
      <t xml:space="preserve">の枠到達率で見る</t>
    </r>
  </si>
  <si>
    <r>
      <rPr>
        <b val="true"/>
        <sz val="11"/>
        <rFont val="Arial"/>
        <family val="0"/>
        <charset val="1"/>
      </rPr>
      <t xml:space="preserve">■ 3. </t>
    </r>
    <r>
      <rPr>
        <b val="true"/>
        <sz val="11"/>
        <rFont val="Noto Sans CJK SC"/>
        <family val="2"/>
      </rPr>
      <t xml:space="preserve">維持率バンド（ゆっくり</t>
    </r>
    <r>
      <rPr>
        <b val="true"/>
        <sz val="11"/>
        <rFont val="Arial"/>
        <family val="0"/>
        <charset val="1"/>
      </rPr>
      <t xml:space="preserve">8ch</t>
    </r>
    <r>
      <rPr>
        <b val="true"/>
        <sz val="11"/>
        <rFont val="Noto Sans CJK SC"/>
        <family val="2"/>
      </rPr>
      <t xml:space="preserve">・</t>
    </r>
    <r>
      <rPr>
        <b val="true"/>
        <sz val="11"/>
        <rFont val="Arial"/>
        <family val="0"/>
        <charset val="1"/>
      </rPr>
      <t xml:space="preserve">views≧200</t>
    </r>
    <r>
      <rPr>
        <b val="true"/>
        <sz val="11"/>
        <rFont val="Noto Sans CJK SC"/>
        <family val="2"/>
      </rPr>
      <t xml:space="preserve">）— </t>
    </r>
    <r>
      <rPr>
        <b val="true"/>
        <sz val="11"/>
        <rFont val="Arial"/>
        <family val="0"/>
        <charset val="1"/>
      </rPr>
      <t xml:space="preserve">09-15 </t>
    </r>
    <r>
      <rPr>
        <b val="true"/>
        <sz val="11"/>
        <rFont val="Noto Sans CJK SC"/>
        <family val="2"/>
      </rPr>
      <t xml:space="preserve">の訂正版結論の再現確認</t>
    </r>
  </si>
  <si>
    <t xml:space="preserve">維持率バンド</t>
  </si>
  <si>
    <t xml:space="preserve">0-30%</t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</si>
  <si>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最下位（再現）</t>
    </r>
  </si>
  <si>
    <t xml:space="preserve">30-40%</t>
  </si>
  <si>
    <t xml:space="preserve">○ ほぼ平坦</t>
  </si>
  <si>
    <t xml:space="preserve">40-50%</t>
  </si>
  <si>
    <r>
      <rPr>
        <sz val="10"/>
        <rFont val="Noto Sans CJK SC"/>
        <family val="2"/>
      </rPr>
      <t xml:space="preserve">◎ 頂点（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日連続で再現）</t>
    </r>
  </si>
  <si>
    <t xml:space="preserve">50-60%</t>
  </si>
  <si>
    <t xml:space="preserve">60-70%</t>
  </si>
  <si>
    <t xml:space="preserve">70-+%</t>
  </si>
  <si>
    <r>
      <rPr>
        <sz val="10"/>
        <rFont val="Arial"/>
        <family val="0"/>
        <charset val="1"/>
      </rPr>
      <t xml:space="preserve">※ 09-15 </t>
    </r>
    <r>
      <rPr>
        <sz val="10"/>
        <rFont val="Noto Sans CJK SC"/>
        <family val="2"/>
      </rPr>
      <t xml:space="preserve">の「維持率が高すぎると登録が減る」の撤回は本日も支持される（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以上は </t>
    </r>
    <r>
      <rPr>
        <sz val="10"/>
        <rFont val="Arial"/>
        <family val="0"/>
        <charset val="1"/>
      </rPr>
      <t xml:space="preserve">0.545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0.627 </t>
    </r>
    <r>
      <rPr>
        <sz val="10"/>
        <rFont val="Noto Sans CJK SC"/>
        <family val="2"/>
      </rPr>
      <t xml:space="preserve">で平坦・最下位は </t>
    </r>
    <r>
      <rPr>
        <sz val="10"/>
        <rFont val="Arial"/>
        <family val="0"/>
        <charset val="1"/>
      </rPr>
      <t xml:space="preserve">&lt;30%</t>
    </r>
    <r>
      <rPr>
        <sz val="10"/>
        <rFont val="Noto Sans CJK SC"/>
        <family val="2"/>
      </rPr>
      <t xml:space="preserve">）。維持率を下げる施策は打たない。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</si>
</sst>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"/>
    <numFmt numFmtId="167" formatCode="0.000"/>
    <numFmt numFmtId="168" formatCode="0.0"/>
    <numFmt numFmtId="169" formatCode="0.00\倍"/>
    <numFmt numFmtId="170" formatCode="0.00"/>
    <numFmt numFmtId="171" formatCode="\+0.000;\-0.000;0.000"/>
    <numFmt numFmtId="172" formatCode="\+#,##0;\-#,##0;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E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43.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43.5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43.5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27.75" hidden="false" customHeight="true" outlineLevel="0" collapsed="false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43.5" hidden="false" customHeight="true" outlineLevel="0" collapsed="false">
      <c r="A11" s="4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27.75" hidden="false" customHeight="true" outlineLevel="0" collapsed="false">
      <c r="A12" s="4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43.5" hidden="false" customHeight="true" outlineLevel="0" collapsed="false">
      <c r="A13" s="4" t="s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27.75" hidden="false" customHeight="true" outlineLevel="0" collapsed="false">
      <c r="A14" s="4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6" customFormat="false" ht="17.15" hidden="false" customHeight="false" outlineLevel="0" collapsed="false">
      <c r="A16" s="3" t="s">
        <v>13</v>
      </c>
    </row>
    <row r="17" customFormat="false" ht="30" hidden="false" customHeight="true" outlineLevel="0" collapsed="false">
      <c r="A17" s="5" t="s">
        <v>14</v>
      </c>
      <c r="B17" s="5" t="s">
        <v>15</v>
      </c>
      <c r="C17" s="5" t="s">
        <v>16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21</v>
      </c>
      <c r="I17" s="5" t="s">
        <v>22</v>
      </c>
      <c r="J17" s="5" t="s">
        <v>23</v>
      </c>
      <c r="K17" s="5" t="s">
        <v>24</v>
      </c>
      <c r="L17" s="5" t="s">
        <v>25</v>
      </c>
      <c r="M17" s="5" t="s">
        <v>26</v>
      </c>
    </row>
    <row r="18" customFormat="false" ht="15" hidden="false" customHeight="false" outlineLevel="0" collapsed="false">
      <c r="A18" s="6" t="s">
        <v>27</v>
      </c>
      <c r="B18" s="2" t="s">
        <v>28</v>
      </c>
      <c r="C18" s="2" t="s">
        <v>29</v>
      </c>
      <c r="D18" s="7" t="s">
        <v>30</v>
      </c>
      <c r="E18" s="2" t="n">
        <v>50</v>
      </c>
      <c r="F18" s="8" t="n">
        <v>31620</v>
      </c>
      <c r="G18" s="9" t="n">
        <f aca="false">IFERROR(F18/E18,0)</f>
        <v>632.4</v>
      </c>
      <c r="H18" s="2" t="n">
        <v>27</v>
      </c>
      <c r="I18" s="10" t="n">
        <f aca="false">IFERROR(H18*1000/F18,0)</f>
        <v>0.853889943074004</v>
      </c>
      <c r="J18" s="2" t="n">
        <v>135</v>
      </c>
      <c r="K18" s="11" t="n">
        <f aca="false">IFERROR(J18*100/F18,0)</f>
        <v>0.426944971537002</v>
      </c>
      <c r="L18" s="2" t="n">
        <v>0</v>
      </c>
      <c r="M18" s="12" t="n">
        <v>33.4464</v>
      </c>
    </row>
    <row r="19" customFormat="false" ht="15" hidden="false" customHeight="false" outlineLevel="0" collapsed="false">
      <c r="A19" s="6" t="s">
        <v>31</v>
      </c>
      <c r="B19" s="2" t="s">
        <v>32</v>
      </c>
      <c r="C19" s="2" t="s">
        <v>29</v>
      </c>
      <c r="D19" s="7" t="s">
        <v>30</v>
      </c>
      <c r="E19" s="2" t="n">
        <v>49</v>
      </c>
      <c r="F19" s="8" t="n">
        <v>30342</v>
      </c>
      <c r="G19" s="9" t="n">
        <f aca="false">IFERROR(F19/E19,0)</f>
        <v>619.224489795918</v>
      </c>
      <c r="H19" s="2" t="n">
        <v>22</v>
      </c>
      <c r="I19" s="10" t="n">
        <f aca="false">IFERROR(H19*1000/F19,0)</f>
        <v>0.725067563113836</v>
      </c>
      <c r="J19" s="2" t="n">
        <v>229</v>
      </c>
      <c r="K19" s="11" t="n">
        <f aca="false">IFERROR(J19*100/F19,0)</f>
        <v>0.754729417968493</v>
      </c>
      <c r="L19" s="2" t="n">
        <v>2</v>
      </c>
      <c r="M19" s="12" t="n">
        <v>38.7738775510204</v>
      </c>
    </row>
    <row r="20" customFormat="false" ht="15" hidden="false" customHeight="false" outlineLevel="0" collapsed="false">
      <c r="A20" s="6" t="s">
        <v>33</v>
      </c>
      <c r="B20" s="2" t="s">
        <v>34</v>
      </c>
      <c r="C20" s="2" t="s">
        <v>29</v>
      </c>
      <c r="D20" s="7" t="s">
        <v>30</v>
      </c>
      <c r="E20" s="2" t="n">
        <v>50</v>
      </c>
      <c r="F20" s="8" t="n">
        <v>26533</v>
      </c>
      <c r="G20" s="9" t="n">
        <f aca="false">IFERROR(F20/E20,0)</f>
        <v>530.66</v>
      </c>
      <c r="H20" s="2" t="n">
        <v>21</v>
      </c>
      <c r="I20" s="10" t="n">
        <f aca="false">IFERROR(H20*1000/F20,0)</f>
        <v>0.791467229487808</v>
      </c>
      <c r="J20" s="2" t="n">
        <v>154</v>
      </c>
      <c r="K20" s="11" t="n">
        <f aca="false">IFERROR(J20*100/F20,0)</f>
        <v>0.580409301624392</v>
      </c>
      <c r="L20" s="2" t="n">
        <v>1</v>
      </c>
      <c r="M20" s="12" t="n">
        <v>35.0138</v>
      </c>
    </row>
    <row r="21" customFormat="false" ht="15" hidden="false" customHeight="false" outlineLevel="0" collapsed="false">
      <c r="A21" s="6" t="s">
        <v>35</v>
      </c>
      <c r="B21" s="2" t="s">
        <v>36</v>
      </c>
      <c r="C21" s="2" t="s">
        <v>29</v>
      </c>
      <c r="D21" s="7" t="s">
        <v>30</v>
      </c>
      <c r="E21" s="2" t="n">
        <v>50</v>
      </c>
      <c r="F21" s="8" t="n">
        <v>48901</v>
      </c>
      <c r="G21" s="9" t="n">
        <f aca="false">IFERROR(F21/E21,0)</f>
        <v>978.02</v>
      </c>
      <c r="H21" s="2" t="n">
        <v>30</v>
      </c>
      <c r="I21" s="10" t="n">
        <f aca="false">IFERROR(H21*1000/F21,0)</f>
        <v>0.613484386822355</v>
      </c>
      <c r="J21" s="2" t="n">
        <v>149</v>
      </c>
      <c r="K21" s="11" t="n">
        <f aca="false">IFERROR(J21*100/F21,0)</f>
        <v>0.304697245455103</v>
      </c>
      <c r="L21" s="2" t="n">
        <v>6</v>
      </c>
      <c r="M21" s="12" t="n">
        <v>45.6798</v>
      </c>
    </row>
    <row r="22" customFormat="false" ht="15" hidden="false" customHeight="false" outlineLevel="0" collapsed="false">
      <c r="A22" s="6" t="s">
        <v>37</v>
      </c>
      <c r="B22" s="2" t="s">
        <v>38</v>
      </c>
      <c r="C22" s="2" t="s">
        <v>29</v>
      </c>
      <c r="D22" s="7" t="s">
        <v>30</v>
      </c>
      <c r="E22" s="2" t="n">
        <v>50</v>
      </c>
      <c r="F22" s="8" t="n">
        <v>36735</v>
      </c>
      <c r="G22" s="9" t="n">
        <f aca="false">IFERROR(F22/E22,0)</f>
        <v>734.7</v>
      </c>
      <c r="H22" s="2" t="n">
        <v>6</v>
      </c>
      <c r="I22" s="10" t="n">
        <f aca="false">IFERROR(H22*1000/F22,0)</f>
        <v>0.163331972233565</v>
      </c>
      <c r="J22" s="2" t="n">
        <v>83</v>
      </c>
      <c r="K22" s="11" t="n">
        <f aca="false">IFERROR(J22*100/F22,0)</f>
        <v>0.225942561589765</v>
      </c>
      <c r="L22" s="2" t="n">
        <v>5</v>
      </c>
      <c r="M22" s="12" t="n">
        <v>41.8478</v>
      </c>
    </row>
    <row r="23" customFormat="false" ht="15" hidden="false" customHeight="false" outlineLevel="0" collapsed="false">
      <c r="A23" s="6" t="s">
        <v>39</v>
      </c>
      <c r="B23" s="2" t="s">
        <v>40</v>
      </c>
      <c r="C23" s="2" t="s">
        <v>29</v>
      </c>
      <c r="D23" s="7" t="s">
        <v>30</v>
      </c>
      <c r="E23" s="2" t="n">
        <v>4</v>
      </c>
      <c r="F23" s="8" t="n">
        <v>260</v>
      </c>
      <c r="G23" s="9" t="n">
        <f aca="false">IFERROR(F23/E23,0)</f>
        <v>65</v>
      </c>
      <c r="H23" s="2" t="n">
        <v>0</v>
      </c>
      <c r="I23" s="10" t="n">
        <f aca="false">IFERROR(H23*1000/F23,0)</f>
        <v>0</v>
      </c>
      <c r="J23" s="2" t="n">
        <v>2</v>
      </c>
      <c r="K23" s="11" t="n">
        <f aca="false">IFERROR(J23*100/F23,0)</f>
        <v>0.769230769230769</v>
      </c>
      <c r="L23" s="2" t="n">
        <v>0</v>
      </c>
      <c r="M23" s="12" t="n">
        <v>10.04</v>
      </c>
    </row>
    <row r="24" customFormat="false" ht="15" hidden="false" customHeight="false" outlineLevel="0" collapsed="false">
      <c r="A24" s="6" t="s">
        <v>41</v>
      </c>
      <c r="B24" s="2" t="s">
        <v>42</v>
      </c>
      <c r="C24" s="2" t="s">
        <v>29</v>
      </c>
      <c r="D24" s="13" t="s">
        <v>43</v>
      </c>
      <c r="E24" s="2" t="n">
        <v>49</v>
      </c>
      <c r="F24" s="8" t="n">
        <v>33101</v>
      </c>
      <c r="G24" s="9" t="n">
        <f aca="false">IFERROR(F24/E24,0)</f>
        <v>675.530612244898</v>
      </c>
      <c r="H24" s="2" t="n">
        <v>9</v>
      </c>
      <c r="I24" s="10" t="n">
        <f aca="false">IFERROR(H24*1000/F24,0)</f>
        <v>0.271895108909096</v>
      </c>
      <c r="J24" s="2" t="n">
        <v>83</v>
      </c>
      <c r="K24" s="11" t="n">
        <f aca="false">IFERROR(J24*100/F24,0)</f>
        <v>0.2507477115495</v>
      </c>
      <c r="L24" s="2" t="n">
        <v>6</v>
      </c>
      <c r="M24" s="12" t="n">
        <v>41.2467346938776</v>
      </c>
    </row>
    <row r="25" customFormat="false" ht="15" hidden="false" customHeight="false" outlineLevel="0" collapsed="false">
      <c r="A25" s="6" t="s">
        <v>44</v>
      </c>
      <c r="B25" s="2" t="s">
        <v>45</v>
      </c>
      <c r="C25" s="2" t="s">
        <v>29</v>
      </c>
      <c r="D25" s="13" t="s">
        <v>46</v>
      </c>
      <c r="E25" s="2" t="n">
        <v>17</v>
      </c>
      <c r="F25" s="8" t="n">
        <v>7047</v>
      </c>
      <c r="G25" s="9" t="n">
        <f aca="false">IFERROR(F25/E25,0)</f>
        <v>414.529411764706</v>
      </c>
      <c r="H25" s="2" t="n">
        <v>0</v>
      </c>
      <c r="I25" s="10" t="n">
        <f aca="false">IFERROR(H25*1000/F25,0)</f>
        <v>0</v>
      </c>
      <c r="J25" s="2" t="n">
        <v>28</v>
      </c>
      <c r="K25" s="11" t="n">
        <f aca="false">IFERROR(J25*100/F25,0)</f>
        <v>0.397332198098482</v>
      </c>
      <c r="L25" s="2" t="n">
        <v>1</v>
      </c>
      <c r="M25" s="12" t="n">
        <v>25.0941176470588</v>
      </c>
    </row>
    <row r="26" customFormat="false" ht="15" hidden="false" customHeight="false" outlineLevel="0" collapsed="false">
      <c r="A26" s="6" t="s">
        <v>47</v>
      </c>
      <c r="B26" s="2" t="s">
        <v>48</v>
      </c>
      <c r="C26" s="2" t="s">
        <v>49</v>
      </c>
      <c r="D26" s="13" t="s">
        <v>46</v>
      </c>
      <c r="E26" s="2" t="n">
        <v>17</v>
      </c>
      <c r="F26" s="8" t="n">
        <v>5259</v>
      </c>
      <c r="G26" s="9" t="n">
        <f aca="false">IFERROR(F26/E26,0)</f>
        <v>309.352941176471</v>
      </c>
      <c r="H26" s="2" t="n">
        <v>3</v>
      </c>
      <c r="I26" s="10" t="n">
        <f aca="false">IFERROR(H26*1000/F26,0)</f>
        <v>0.570450656018254</v>
      </c>
      <c r="J26" s="2" t="n">
        <v>11</v>
      </c>
      <c r="K26" s="11" t="n">
        <f aca="false">IFERROR(J26*100/F26,0)</f>
        <v>0.209165240540027</v>
      </c>
      <c r="L26" s="2" t="n">
        <v>0</v>
      </c>
      <c r="M26" s="12" t="n">
        <v>29.8870588235294</v>
      </c>
    </row>
    <row r="27" customFormat="false" ht="15" hidden="false" customHeight="false" outlineLevel="0" collapsed="false">
      <c r="A27" s="6" t="s">
        <v>50</v>
      </c>
      <c r="B27" s="2" t="s">
        <v>51</v>
      </c>
      <c r="C27" s="2" t="s">
        <v>52</v>
      </c>
      <c r="D27" s="13" t="s">
        <v>43</v>
      </c>
      <c r="E27" s="2" t="n">
        <v>18</v>
      </c>
      <c r="F27" s="8" t="n">
        <v>42321</v>
      </c>
      <c r="G27" s="9" t="n">
        <f aca="false">IFERROR(F27/E27,0)</f>
        <v>2351.16666666667</v>
      </c>
      <c r="H27" s="2" t="n">
        <v>1</v>
      </c>
      <c r="I27" s="10" t="n">
        <f aca="false">IFERROR(H27*1000/F27,0)</f>
        <v>0.023628931263439</v>
      </c>
      <c r="J27" s="2" t="n">
        <v>67</v>
      </c>
      <c r="K27" s="11" t="n">
        <f aca="false">IFERROR(J27*100/F27,0)</f>
        <v>0.158313839465041</v>
      </c>
      <c r="L27" s="2" t="n">
        <v>2</v>
      </c>
      <c r="M27" s="12" t="n">
        <v>44.1166666666667</v>
      </c>
    </row>
    <row r="28" customFormat="false" ht="15" hidden="false" customHeight="false" outlineLevel="0" collapsed="false">
      <c r="A28" s="6" t="s">
        <v>53</v>
      </c>
      <c r="B28" s="2" t="s">
        <v>54</v>
      </c>
      <c r="C28" s="2" t="s">
        <v>52</v>
      </c>
      <c r="D28" s="13" t="s">
        <v>43</v>
      </c>
      <c r="E28" s="2" t="n">
        <v>13</v>
      </c>
      <c r="F28" s="8" t="n">
        <v>23704</v>
      </c>
      <c r="G28" s="9" t="n">
        <f aca="false">IFERROR(F28/E28,0)</f>
        <v>1823.38461538462</v>
      </c>
      <c r="H28" s="2" t="n">
        <v>5</v>
      </c>
      <c r="I28" s="10" t="n">
        <f aca="false">IFERROR(H28*1000/F28,0)</f>
        <v>0.210934863314209</v>
      </c>
      <c r="J28" s="2" t="n">
        <v>52</v>
      </c>
      <c r="K28" s="11" t="n">
        <f aca="false">IFERROR(J28*100/F28,0)</f>
        <v>0.219372257846777</v>
      </c>
      <c r="L28" s="2" t="n">
        <v>2</v>
      </c>
      <c r="M28" s="12" t="n">
        <v>33.7092307692308</v>
      </c>
    </row>
    <row r="29" customFormat="false" ht="15" hidden="false" customHeight="false" outlineLevel="0" collapsed="false">
      <c r="A29" s="6" t="s">
        <v>55</v>
      </c>
      <c r="B29" s="2" t="s">
        <v>56</v>
      </c>
      <c r="C29" s="2" t="s">
        <v>52</v>
      </c>
      <c r="D29" s="13" t="s">
        <v>43</v>
      </c>
      <c r="E29" s="2" t="n">
        <v>30</v>
      </c>
      <c r="F29" s="8" t="n">
        <v>23682</v>
      </c>
      <c r="G29" s="9" t="n">
        <f aca="false">IFERROR(F29/E29,0)</f>
        <v>789.4</v>
      </c>
      <c r="H29" s="2" t="n">
        <v>4</v>
      </c>
      <c r="I29" s="10" t="n">
        <f aca="false">IFERROR(H29*1000/F29,0)</f>
        <v>0.168904653323199</v>
      </c>
      <c r="J29" s="2" t="n">
        <v>55</v>
      </c>
      <c r="K29" s="11" t="n">
        <f aca="false">IFERROR(J29*100/F29,0)</f>
        <v>0.232243898319399</v>
      </c>
      <c r="L29" s="2" t="n">
        <v>1</v>
      </c>
      <c r="M29" s="12" t="n">
        <v>38.822</v>
      </c>
    </row>
    <row r="30" customFormat="false" ht="15" hidden="false" customHeight="false" outlineLevel="0" collapsed="false">
      <c r="A30" s="6" t="s">
        <v>57</v>
      </c>
      <c r="B30" s="2" t="s">
        <v>58</v>
      </c>
      <c r="C30" s="2" t="s">
        <v>52</v>
      </c>
      <c r="D30" s="13" t="s">
        <v>46</v>
      </c>
      <c r="E30" s="2" t="n">
        <v>3</v>
      </c>
      <c r="F30" s="8" t="n">
        <v>17</v>
      </c>
      <c r="G30" s="9" t="n">
        <f aca="false">IFERROR(F30/E30,0)</f>
        <v>5.66666666666667</v>
      </c>
      <c r="H30" s="2" t="n">
        <v>0</v>
      </c>
      <c r="I30" s="10" t="n">
        <f aca="false">IFERROR(H30*1000/F30,0)</f>
        <v>0</v>
      </c>
      <c r="J30" s="2" t="n">
        <v>0</v>
      </c>
      <c r="K30" s="11" t="n">
        <f aca="false">IFERROR(J30*100/F30,0)</f>
        <v>0</v>
      </c>
      <c r="L30" s="2" t="n">
        <v>0</v>
      </c>
      <c r="M30" s="12" t="n">
        <v>6.73333333333333</v>
      </c>
    </row>
    <row r="31" customFormat="false" ht="15" hidden="false" customHeight="false" outlineLevel="0" collapsed="false">
      <c r="A31" s="14" t="s">
        <v>59</v>
      </c>
      <c r="B31" s="15"/>
      <c r="C31" s="15"/>
      <c r="D31" s="15"/>
      <c r="E31" s="16" t="n">
        <f aca="false">SUM(E18:E30)</f>
        <v>400</v>
      </c>
      <c r="F31" s="16" t="n">
        <f aca="false">SUM(F18:F30)</f>
        <v>309522</v>
      </c>
      <c r="G31" s="17" t="n">
        <f aca="false">IFERROR(F31/E31,0)</f>
        <v>773.805</v>
      </c>
      <c r="H31" s="16" t="n">
        <f aca="false">SUM(H18:H30)</f>
        <v>128</v>
      </c>
      <c r="I31" s="18" t="n">
        <f aca="false">IFERROR(H31*1000/F31,0)</f>
        <v>0.413540879162063</v>
      </c>
      <c r="J31" s="16" t="n">
        <f aca="false">SUM(J18:J30)</f>
        <v>1048</v>
      </c>
      <c r="K31" s="18" t="n">
        <f aca="false">IFERROR(J31*100/F31,0)</f>
        <v>0.338586594813939</v>
      </c>
      <c r="L31" s="16" t="n">
        <f aca="false">SUM(L18:L30)</f>
        <v>26</v>
      </c>
      <c r="M31" s="15"/>
    </row>
    <row r="33" customFormat="false" ht="15" hidden="false" customHeight="false" outlineLevel="0" collapsed="false">
      <c r="A33" s="2" t="s">
        <v>60</v>
      </c>
    </row>
    <row r="34" customFormat="false" ht="15" hidden="false" customHeight="false" outlineLevel="0" collapsed="false">
      <c r="A34" s="2" t="s">
        <v>61</v>
      </c>
    </row>
    <row r="35" customFormat="false" ht="15" hidden="false" customHeight="false" outlineLevel="0" collapsed="false">
      <c r="A35" s="7" t="s">
        <v>62</v>
      </c>
    </row>
    <row r="37" customFormat="false" ht="17.15" hidden="false" customHeight="false" outlineLevel="0" collapsed="false">
      <c r="A37" s="3" t="s">
        <v>63</v>
      </c>
    </row>
    <row r="38" customFormat="false" ht="30" hidden="false" customHeight="true" outlineLevel="0" collapsed="false">
      <c r="A38" s="5" t="s">
        <v>16</v>
      </c>
      <c r="B38" s="19" t="s">
        <v>64</v>
      </c>
      <c r="C38" s="5" t="s">
        <v>18</v>
      </c>
      <c r="D38" s="5" t="s">
        <v>19</v>
      </c>
      <c r="E38" s="5" t="s">
        <v>65</v>
      </c>
      <c r="F38" s="5" t="s">
        <v>22</v>
      </c>
      <c r="G38" s="5" t="s">
        <v>24</v>
      </c>
    </row>
    <row r="39" customFormat="false" ht="15" hidden="false" customHeight="false" outlineLevel="0" collapsed="false">
      <c r="A39" s="20" t="s">
        <v>29</v>
      </c>
      <c r="B39" s="2" t="n">
        <v>8</v>
      </c>
      <c r="C39" s="2" t="n">
        <v>319</v>
      </c>
      <c r="D39" s="8" t="n">
        <v>214539</v>
      </c>
      <c r="E39" s="2" t="n">
        <v>115</v>
      </c>
      <c r="F39" s="10" t="n">
        <f aca="false">IFERROR(E39*1000/D39,0)</f>
        <v>0.536033075571341</v>
      </c>
      <c r="G39" s="11" t="n">
        <f aca="false">IFERROR(863*100/D39,0)</f>
        <v>0.40225786453745</v>
      </c>
    </row>
    <row r="40" customFormat="false" ht="15" hidden="false" customHeight="false" outlineLevel="0" collapsed="false">
      <c r="A40" s="20" t="s">
        <v>52</v>
      </c>
      <c r="B40" s="2" t="n">
        <v>4</v>
      </c>
      <c r="C40" s="2" t="n">
        <v>64</v>
      </c>
      <c r="D40" s="8" t="n">
        <v>89724</v>
      </c>
      <c r="E40" s="2" t="n">
        <v>10</v>
      </c>
      <c r="F40" s="10" t="n">
        <f aca="false">IFERROR(E40*1000/D40,0)</f>
        <v>0.111452900004458</v>
      </c>
      <c r="G40" s="11" t="n">
        <f aca="false">IFERROR(174*100/D40,0)</f>
        <v>0.193928046007757</v>
      </c>
    </row>
    <row r="41" customFormat="false" ht="15" hidden="false" customHeight="false" outlineLevel="0" collapsed="false">
      <c r="A41" s="20" t="s">
        <v>49</v>
      </c>
      <c r="B41" s="2" t="n">
        <v>1</v>
      </c>
      <c r="C41" s="2" t="n">
        <v>17</v>
      </c>
      <c r="D41" s="8" t="n">
        <v>5259</v>
      </c>
      <c r="E41" s="2" t="n">
        <v>3</v>
      </c>
      <c r="F41" s="10" t="n">
        <f aca="false">IFERROR(E41*1000/D41,0)</f>
        <v>0.570450656018254</v>
      </c>
      <c r="G41" s="11" t="n">
        <f aca="false">IFERROR(11*100/D41,0)</f>
        <v>0.209165240540027</v>
      </c>
    </row>
    <row r="42" customFormat="false" ht="15" hidden="false" customHeight="false" outlineLevel="0" collapsed="false">
      <c r="A42" s="20" t="s">
        <v>66</v>
      </c>
      <c r="B42" s="21" t="n">
        <f aca="false">IFERROR(F39/F40,0)</f>
        <v>4.8095031672563</v>
      </c>
      <c r="C42" s="2" t="s">
        <v>67</v>
      </c>
    </row>
    <row r="44" customFormat="false" ht="17.15" hidden="false" customHeight="false" outlineLevel="0" collapsed="false">
      <c r="A44" s="3" t="s">
        <v>68</v>
      </c>
    </row>
    <row r="45" customFormat="false" ht="30" hidden="false" customHeight="true" outlineLevel="0" collapsed="false">
      <c r="A45" s="5" t="s">
        <v>69</v>
      </c>
      <c r="B45" s="5" t="s">
        <v>18</v>
      </c>
      <c r="C45" s="5" t="s">
        <v>24</v>
      </c>
      <c r="D45" s="5" t="s">
        <v>19</v>
      </c>
      <c r="E45" s="5" t="s">
        <v>65</v>
      </c>
      <c r="F45" s="5" t="s">
        <v>22</v>
      </c>
      <c r="G45" s="5" t="s">
        <v>70</v>
      </c>
    </row>
    <row r="46" customFormat="false" ht="15" hidden="false" customHeight="false" outlineLevel="0" collapsed="false">
      <c r="A46" s="6" t="s">
        <v>71</v>
      </c>
      <c r="B46" s="2" t="n">
        <v>43</v>
      </c>
      <c r="C46" s="11" t="n">
        <f aca="false">IFERROR(31*100/D46,0)</f>
        <v>0.085663755941196</v>
      </c>
      <c r="D46" s="8" t="n">
        <v>36188</v>
      </c>
      <c r="E46" s="2" t="n">
        <v>12</v>
      </c>
      <c r="F46" s="10" t="n">
        <f aca="false">IFERROR(E46*1000/D46,0)</f>
        <v>0.331601635901404</v>
      </c>
      <c r="G46" s="22" t="s">
        <v>72</v>
      </c>
    </row>
    <row r="47" customFormat="false" ht="15" hidden="false" customHeight="false" outlineLevel="0" collapsed="false">
      <c r="A47" s="6" t="s">
        <v>73</v>
      </c>
      <c r="B47" s="2" t="n">
        <v>43</v>
      </c>
      <c r="C47" s="11" t="n">
        <f aca="false">IFERROR(132*100/D47,0)</f>
        <v>0.253320027634912</v>
      </c>
      <c r="D47" s="8" t="n">
        <v>52108</v>
      </c>
      <c r="E47" s="2" t="n">
        <v>28</v>
      </c>
      <c r="F47" s="10" t="n">
        <f aca="false">IFERROR(E47*1000/D47,0)</f>
        <v>0.537345513164965</v>
      </c>
      <c r="G47" s="13" t="s">
        <v>74</v>
      </c>
    </row>
    <row r="48" customFormat="false" ht="15" hidden="false" customHeight="false" outlineLevel="0" collapsed="false">
      <c r="A48" s="6" t="s">
        <v>75</v>
      </c>
      <c r="B48" s="2" t="n">
        <v>43</v>
      </c>
      <c r="C48" s="11" t="n">
        <f aca="false">IFERROR(206*100/D48,0)</f>
        <v>0.478368901377052</v>
      </c>
      <c r="D48" s="8" t="n">
        <v>43063</v>
      </c>
      <c r="E48" s="2" t="n">
        <v>21</v>
      </c>
      <c r="F48" s="10" t="n">
        <f aca="false">IFERROR(E48*1000/D48,0)</f>
        <v>0.487657617908646</v>
      </c>
    </row>
    <row r="49" customFormat="false" ht="15" hidden="false" customHeight="false" outlineLevel="0" collapsed="false">
      <c r="A49" s="6" t="s">
        <v>76</v>
      </c>
      <c r="B49" s="2" t="n">
        <v>43</v>
      </c>
      <c r="C49" s="11" t="n">
        <f aca="false">IFERROR(378*100/D49,0)</f>
        <v>0.930095224034842</v>
      </c>
      <c r="D49" s="8" t="n">
        <v>40641</v>
      </c>
      <c r="E49" s="2" t="n">
        <v>43</v>
      </c>
      <c r="F49" s="10" t="n">
        <f aca="false">IFERROR(E49*1000/D49,0)</f>
        <v>1.05804483157403</v>
      </c>
    </row>
    <row r="50" customFormat="false" ht="15" hidden="false" customHeight="false" outlineLevel="0" collapsed="false">
      <c r="A50" s="6" t="s">
        <v>77</v>
      </c>
      <c r="B50" s="21" t="n">
        <f aca="false">IFERROR(F49/F46,0)</f>
        <v>3.19071053041674</v>
      </c>
      <c r="C50" s="2" t="s">
        <v>78</v>
      </c>
    </row>
  </sheetData>
  <mergeCells count="9">
    <mergeCell ref="A6:M6"/>
    <mergeCell ref="A7:M7"/>
    <mergeCell ref="A8:M8"/>
    <mergeCell ref="A9:M9"/>
    <mergeCell ref="A10:M10"/>
    <mergeCell ref="A11:M11"/>
    <mergeCell ref="A12:M12"/>
    <mergeCell ref="A13:M13"/>
    <mergeCell ref="A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6"/>
  </cols>
  <sheetData>
    <row r="1" customFormat="false" ht="21.6" hidden="false" customHeight="false" outlineLevel="0" collapsed="false">
      <c r="A1" s="23" t="s">
        <v>79</v>
      </c>
    </row>
    <row r="2" customFormat="false" ht="15" hidden="false" customHeight="false" outlineLevel="0" collapsed="false">
      <c r="A2" s="2" t="s">
        <v>80</v>
      </c>
    </row>
    <row r="4" customFormat="false" ht="30" hidden="false" customHeight="true" outlineLevel="0" collapsed="false">
      <c r="A4" s="5" t="s">
        <v>14</v>
      </c>
      <c r="B4" s="19" t="s">
        <v>81</v>
      </c>
      <c r="C4" s="5" t="s">
        <v>82</v>
      </c>
      <c r="D4" s="5" t="s">
        <v>83</v>
      </c>
      <c r="E4" s="5" t="s">
        <v>84</v>
      </c>
      <c r="F4" s="5" t="s">
        <v>85</v>
      </c>
      <c r="G4" s="5" t="s">
        <v>22</v>
      </c>
      <c r="H4" s="5" t="s">
        <v>24</v>
      </c>
      <c r="I4" s="5" t="s">
        <v>26</v>
      </c>
      <c r="J4" s="19" t="s">
        <v>86</v>
      </c>
      <c r="K4" s="5" t="s">
        <v>87</v>
      </c>
      <c r="L4" s="5" t="s">
        <v>88</v>
      </c>
    </row>
    <row r="5" customFormat="false" ht="48" hidden="false" customHeight="true" outlineLevel="0" collapsed="false">
      <c r="A5" s="6" t="s">
        <v>27</v>
      </c>
      <c r="B5" s="24" t="s">
        <v>89</v>
      </c>
      <c r="C5" s="7" t="s">
        <v>90</v>
      </c>
      <c r="D5" s="2" t="n">
        <v>3</v>
      </c>
      <c r="E5" s="2" t="n">
        <v>17</v>
      </c>
      <c r="F5" s="25" t="n">
        <f aca="false">IFERROR(E5/D5,0)</f>
        <v>5.66666666666667</v>
      </c>
      <c r="G5" s="10" t="n">
        <f aca="false">IFERROR(27*1000/31620,0)</f>
        <v>0.853889943074004</v>
      </c>
      <c r="H5" s="11" t="n">
        <f aca="false">IFERROR(135*100/31620,0)</f>
        <v>0.426944971537002</v>
      </c>
      <c r="I5" s="12" t="n">
        <v>33.4464</v>
      </c>
      <c r="J5" s="24" t="n">
        <v>0</v>
      </c>
      <c r="K5" s="4" t="s">
        <v>91</v>
      </c>
      <c r="L5" s="4" t="s">
        <v>92</v>
      </c>
    </row>
    <row r="6" customFormat="false" ht="48" hidden="false" customHeight="true" outlineLevel="0" collapsed="false">
      <c r="A6" s="6" t="s">
        <v>31</v>
      </c>
      <c r="B6" s="24" t="s">
        <v>89</v>
      </c>
      <c r="C6" s="7" t="s">
        <v>93</v>
      </c>
      <c r="D6" s="2" t="n">
        <v>3</v>
      </c>
      <c r="E6" s="2" t="n">
        <v>18</v>
      </c>
      <c r="F6" s="25" t="n">
        <f aca="false">IFERROR(E6/D6,0)</f>
        <v>6</v>
      </c>
      <c r="G6" s="10" t="n">
        <f aca="false">IFERROR(22*1000/30342,0)</f>
        <v>0.725067563113836</v>
      </c>
      <c r="H6" s="11" t="n">
        <f aca="false">IFERROR(229*100/30342,0)</f>
        <v>0.754729417968493</v>
      </c>
      <c r="I6" s="12" t="n">
        <v>38.7738775510204</v>
      </c>
      <c r="J6" s="24" t="n">
        <v>0</v>
      </c>
      <c r="K6" s="26" t="s">
        <v>94</v>
      </c>
      <c r="L6" s="4" t="s">
        <v>95</v>
      </c>
    </row>
    <row r="7" customFormat="false" ht="48" hidden="false" customHeight="true" outlineLevel="0" collapsed="false">
      <c r="A7" s="6" t="s">
        <v>33</v>
      </c>
      <c r="B7" s="24" t="s">
        <v>89</v>
      </c>
      <c r="C7" s="7" t="s">
        <v>96</v>
      </c>
      <c r="D7" s="2" t="n">
        <v>3</v>
      </c>
      <c r="E7" s="2" t="n">
        <v>18</v>
      </c>
      <c r="F7" s="25" t="n">
        <f aca="false">IFERROR(E7/D7,0)</f>
        <v>6</v>
      </c>
      <c r="G7" s="10" t="n">
        <f aca="false">IFERROR(21*1000/26533,0)</f>
        <v>0.791467229487808</v>
      </c>
      <c r="H7" s="11" t="n">
        <f aca="false">IFERROR(154*100/26533,0)</f>
        <v>0.580409301624392</v>
      </c>
      <c r="I7" s="12" t="n">
        <v>35.0138</v>
      </c>
      <c r="J7" s="24" t="n">
        <v>0</v>
      </c>
      <c r="K7" s="26" t="s">
        <v>94</v>
      </c>
      <c r="L7" s="4" t="s">
        <v>97</v>
      </c>
    </row>
    <row r="8" customFormat="false" ht="48" hidden="false" customHeight="true" outlineLevel="0" collapsed="false">
      <c r="A8" s="6" t="s">
        <v>35</v>
      </c>
      <c r="B8" s="24" t="s">
        <v>89</v>
      </c>
      <c r="C8" s="7" t="s">
        <v>98</v>
      </c>
      <c r="D8" s="2" t="n">
        <v>4</v>
      </c>
      <c r="E8" s="2" t="n">
        <v>23</v>
      </c>
      <c r="F8" s="25" t="n">
        <f aca="false">IFERROR(E8/D8,0)</f>
        <v>5.75</v>
      </c>
      <c r="G8" s="10" t="n">
        <f aca="false">IFERROR(30*1000/48901,0)</f>
        <v>0.613484386822355</v>
      </c>
      <c r="H8" s="11" t="n">
        <f aca="false">IFERROR(149*100/48901,0)</f>
        <v>0.304697245455103</v>
      </c>
      <c r="I8" s="12" t="n">
        <v>45.6798</v>
      </c>
      <c r="J8" s="22" t="n">
        <v>3</v>
      </c>
      <c r="K8" s="26" t="s">
        <v>94</v>
      </c>
      <c r="L8" s="4" t="s">
        <v>99</v>
      </c>
    </row>
    <row r="9" customFormat="false" ht="48" hidden="false" customHeight="true" outlineLevel="0" collapsed="false">
      <c r="A9" s="6" t="s">
        <v>37</v>
      </c>
      <c r="B9" s="24" t="s">
        <v>89</v>
      </c>
      <c r="C9" s="7" t="s">
        <v>100</v>
      </c>
      <c r="D9" s="2" t="n">
        <v>3</v>
      </c>
      <c r="E9" s="2" t="n">
        <v>26</v>
      </c>
      <c r="F9" s="12" t="n">
        <f aca="false">IFERROR(E9/D9,0)</f>
        <v>8.66666666666667</v>
      </c>
      <c r="G9" s="10" t="n">
        <f aca="false">IFERROR(6*1000/36735,0)</f>
        <v>0.163331972233565</v>
      </c>
      <c r="H9" s="11" t="n">
        <f aca="false">IFERROR(83*100/36735,0)</f>
        <v>0.225942561589765</v>
      </c>
      <c r="I9" s="12" t="n">
        <v>41.8478</v>
      </c>
      <c r="J9" s="24" t="n">
        <v>0</v>
      </c>
      <c r="K9" s="4" t="s">
        <v>101</v>
      </c>
      <c r="L9" s="4" t="s">
        <v>102</v>
      </c>
    </row>
    <row r="10" customFormat="false" ht="48" hidden="false" customHeight="true" outlineLevel="0" collapsed="false">
      <c r="A10" s="6" t="s">
        <v>39</v>
      </c>
      <c r="B10" s="24" t="s">
        <v>89</v>
      </c>
      <c r="C10" s="7" t="s">
        <v>103</v>
      </c>
      <c r="D10" s="2" t="n">
        <v>2</v>
      </c>
      <c r="E10" s="2" t="n">
        <v>12</v>
      </c>
      <c r="F10" s="25" t="n">
        <f aca="false">IFERROR(E10/D10,0)</f>
        <v>6</v>
      </c>
      <c r="G10" s="10" t="n">
        <f aca="false">IFERROR(0*1000/260,0)</f>
        <v>0</v>
      </c>
      <c r="H10" s="11" t="n">
        <f aca="false">IFERROR(2*100/260,0)</f>
        <v>0.769230769230769</v>
      </c>
      <c r="I10" s="12" t="n">
        <v>10.04</v>
      </c>
      <c r="J10" s="24" t="n">
        <v>0</v>
      </c>
      <c r="K10" s="26" t="s">
        <v>94</v>
      </c>
      <c r="L10" s="26" t="s">
        <v>104</v>
      </c>
    </row>
    <row r="11" customFormat="false" ht="48" hidden="false" customHeight="true" outlineLevel="0" collapsed="false">
      <c r="A11" s="6" t="s">
        <v>41</v>
      </c>
      <c r="B11" s="27" t="s">
        <v>105</v>
      </c>
      <c r="C11" s="7" t="s">
        <v>106</v>
      </c>
      <c r="D11" s="2" t="n">
        <v>3</v>
      </c>
      <c r="E11" s="2" t="n">
        <v>21</v>
      </c>
      <c r="F11" s="12" t="n">
        <f aca="false">IFERROR(E11/D11,0)</f>
        <v>7</v>
      </c>
      <c r="G11" s="10" t="n">
        <f aca="false">IFERROR(9*1000/33101,0)</f>
        <v>0.271895108909096</v>
      </c>
      <c r="H11" s="11" t="n">
        <f aca="false">IFERROR(83*100/33101,0)</f>
        <v>0.2507477115495</v>
      </c>
      <c r="I11" s="12" t="n">
        <v>41.2467346938776</v>
      </c>
      <c r="J11" s="24" t="n">
        <v>0</v>
      </c>
      <c r="K11" s="4" t="s">
        <v>91</v>
      </c>
      <c r="L11" s="26" t="s">
        <v>107</v>
      </c>
    </row>
    <row r="12" customFormat="false" ht="48" hidden="false" customHeight="true" outlineLevel="0" collapsed="false">
      <c r="A12" s="6" t="s">
        <v>44</v>
      </c>
      <c r="B12" s="27" t="s">
        <v>105</v>
      </c>
      <c r="C12" s="7" t="s">
        <v>108</v>
      </c>
      <c r="D12" s="2" t="n">
        <v>3</v>
      </c>
      <c r="E12" s="2" t="n">
        <v>3</v>
      </c>
      <c r="F12" s="25" t="n">
        <f aca="false">IFERROR(E12/D12,0)</f>
        <v>1</v>
      </c>
      <c r="G12" s="10" t="n">
        <f aca="false">IFERROR(0*1000/7047,0)</f>
        <v>0</v>
      </c>
      <c r="H12" s="11" t="n">
        <f aca="false">IFERROR(28*100/7047,0)</f>
        <v>0.397332198098482</v>
      </c>
      <c r="I12" s="12" t="n">
        <v>25.0941176470588</v>
      </c>
      <c r="J12" s="24" t="n">
        <v>0</v>
      </c>
      <c r="K12" s="26" t="s">
        <v>94</v>
      </c>
      <c r="L12" s="4" t="s">
        <v>109</v>
      </c>
    </row>
    <row r="13" customFormat="false" ht="48" hidden="false" customHeight="true" outlineLevel="0" collapsed="false">
      <c r="A13" s="6" t="s">
        <v>47</v>
      </c>
      <c r="B13" s="27" t="s">
        <v>105</v>
      </c>
      <c r="C13" s="7" t="s">
        <v>110</v>
      </c>
      <c r="D13" s="2" t="n">
        <v>3</v>
      </c>
      <c r="E13" s="2" t="n">
        <v>11</v>
      </c>
      <c r="F13" s="25" t="n">
        <f aca="false">IFERROR(E13/D13,0)</f>
        <v>3.66666666666667</v>
      </c>
      <c r="G13" s="10" t="n">
        <f aca="false">IFERROR(3*1000/5259,0)</f>
        <v>0.570450656018254</v>
      </c>
      <c r="H13" s="11" t="n">
        <f aca="false">IFERROR(11*100/5259,0)</f>
        <v>0.209165240540027</v>
      </c>
      <c r="I13" s="12" t="n">
        <v>29.8870588235294</v>
      </c>
      <c r="J13" s="24" t="n">
        <v>0</v>
      </c>
      <c r="K13" s="26" t="s">
        <v>94</v>
      </c>
      <c r="L13" s="26" t="s">
        <v>111</v>
      </c>
    </row>
    <row r="14" customFormat="false" ht="48" hidden="false" customHeight="true" outlineLevel="0" collapsed="false">
      <c r="A14" s="6" t="s">
        <v>50</v>
      </c>
      <c r="B14" s="27" t="s">
        <v>105</v>
      </c>
      <c r="C14" s="7" t="s">
        <v>112</v>
      </c>
      <c r="D14" s="2" t="n">
        <v>3</v>
      </c>
      <c r="E14" s="2" t="n">
        <v>32</v>
      </c>
      <c r="F14" s="12" t="n">
        <f aca="false">IFERROR(E14/D14,0)</f>
        <v>10.6666666666667</v>
      </c>
      <c r="G14" s="10" t="n">
        <f aca="false">IFERROR(1*1000/42321,0)</f>
        <v>0.023628931263439</v>
      </c>
      <c r="H14" s="11" t="n">
        <f aca="false">IFERROR(67*100/42321,0)</f>
        <v>0.158313839465041</v>
      </c>
      <c r="I14" s="12" t="n">
        <v>44.1166666666667</v>
      </c>
      <c r="J14" s="24" t="n">
        <v>0</v>
      </c>
      <c r="K14" s="26" t="s">
        <v>94</v>
      </c>
      <c r="L14" s="4" t="s">
        <v>113</v>
      </c>
    </row>
    <row r="15" customFormat="false" ht="48" hidden="false" customHeight="true" outlineLevel="0" collapsed="false">
      <c r="A15" s="6" t="s">
        <v>53</v>
      </c>
      <c r="B15" s="27" t="s">
        <v>105</v>
      </c>
      <c r="C15" s="7" t="s">
        <v>114</v>
      </c>
      <c r="D15" s="2" t="n">
        <v>2</v>
      </c>
      <c r="E15" s="2" t="n">
        <v>30</v>
      </c>
      <c r="F15" s="12" t="n">
        <f aca="false">IFERROR(E15/D15,0)</f>
        <v>15</v>
      </c>
      <c r="G15" s="10" t="n">
        <f aca="false">IFERROR(5*1000/23704,0)</f>
        <v>0.210934863314209</v>
      </c>
      <c r="H15" s="11" t="n">
        <f aca="false">IFERROR(52*100/23704,0)</f>
        <v>0.219372257846777</v>
      </c>
      <c r="I15" s="12" t="n">
        <v>33.7092307692308</v>
      </c>
      <c r="J15" s="24" t="n">
        <v>0</v>
      </c>
      <c r="K15" s="26" t="s">
        <v>94</v>
      </c>
      <c r="L15" s="4" t="s">
        <v>115</v>
      </c>
    </row>
    <row r="16" customFormat="false" ht="48" hidden="false" customHeight="true" outlineLevel="0" collapsed="false">
      <c r="A16" s="6" t="s">
        <v>55</v>
      </c>
      <c r="B16" s="27" t="s">
        <v>105</v>
      </c>
      <c r="C16" s="7" t="s">
        <v>116</v>
      </c>
      <c r="D16" s="2" t="n">
        <v>3</v>
      </c>
      <c r="E16" s="2" t="n">
        <v>36</v>
      </c>
      <c r="F16" s="12" t="n">
        <f aca="false">IFERROR(E16/D16,0)</f>
        <v>12</v>
      </c>
      <c r="G16" s="10" t="n">
        <f aca="false">IFERROR(4*1000/23682,0)</f>
        <v>0.168904653323199</v>
      </c>
      <c r="H16" s="11" t="n">
        <f aca="false">IFERROR(55*100/23682,0)</f>
        <v>0.232243898319399</v>
      </c>
      <c r="I16" s="12" t="n">
        <v>38.822</v>
      </c>
      <c r="J16" s="24" t="n">
        <v>0</v>
      </c>
      <c r="K16" s="26" t="s">
        <v>94</v>
      </c>
      <c r="L16" s="4" t="s">
        <v>117</v>
      </c>
    </row>
    <row r="17" customFormat="false" ht="48" hidden="false" customHeight="true" outlineLevel="0" collapsed="false">
      <c r="A17" s="6" t="s">
        <v>57</v>
      </c>
      <c r="B17" s="27" t="s">
        <v>105</v>
      </c>
      <c r="C17" s="7" t="s">
        <v>118</v>
      </c>
      <c r="D17" s="2" t="n">
        <v>2</v>
      </c>
      <c r="E17" s="2" t="n">
        <v>13</v>
      </c>
      <c r="F17" s="25" t="n">
        <f aca="false">IFERROR(E17/D17,0)</f>
        <v>6.5</v>
      </c>
      <c r="G17" s="10" t="n">
        <f aca="false">IFERROR(0*1000/17,0)</f>
        <v>0</v>
      </c>
      <c r="H17" s="11" t="n">
        <f aca="false">IFERROR(0*100/17,0)</f>
        <v>0</v>
      </c>
      <c r="I17" s="12" t="n">
        <v>6.73333333333333</v>
      </c>
      <c r="J17" s="24" t="n">
        <v>0</v>
      </c>
      <c r="K17" s="26" t="s">
        <v>94</v>
      </c>
      <c r="L17" s="4" t="s">
        <v>119</v>
      </c>
    </row>
    <row r="19" customFormat="false" ht="15" hidden="false" customHeight="false" outlineLevel="0" collapsed="false">
      <c r="A19" s="2" t="s">
        <v>120</v>
      </c>
    </row>
    <row r="20" customFormat="false" ht="15" hidden="false" customHeight="false" outlineLevel="0" collapsed="false">
      <c r="A20" s="7" t="s">
        <v>121</v>
      </c>
    </row>
    <row r="21" customFormat="false" ht="15" hidden="false" customHeight="false" outlineLevel="0" collapsed="false">
      <c r="A21" s="7" t="s">
        <v>122</v>
      </c>
    </row>
    <row r="22" customFormat="false" ht="15" hidden="false" customHeight="false" outlineLevel="0" collapsed="false">
      <c r="A22" s="7" t="s">
        <v>123</v>
      </c>
    </row>
    <row r="24" customFormat="false" ht="17.15" hidden="false" customHeight="false" outlineLevel="0" collapsed="false">
      <c r="A24" s="28" t="s">
        <v>124</v>
      </c>
    </row>
    <row r="25" customFormat="false" ht="15" hidden="false" customHeight="false" outlineLevel="0" collapsed="false">
      <c r="A25" s="2" t="s">
        <v>125</v>
      </c>
    </row>
    <row r="26" customFormat="false" ht="30" hidden="false" customHeight="true" outlineLevel="0" collapsed="false">
      <c r="A26" s="5" t="s">
        <v>17</v>
      </c>
      <c r="B26" s="5" t="s">
        <v>14</v>
      </c>
      <c r="C26" s="5" t="s">
        <v>18</v>
      </c>
      <c r="D26" s="5" t="s">
        <v>126</v>
      </c>
      <c r="E26" s="5" t="s">
        <v>127</v>
      </c>
      <c r="F26" s="5" t="s">
        <v>128</v>
      </c>
      <c r="G26" s="5" t="s">
        <v>129</v>
      </c>
      <c r="H26" s="5" t="s">
        <v>130</v>
      </c>
      <c r="I26" s="5" t="s">
        <v>131</v>
      </c>
    </row>
    <row r="27" customFormat="false" ht="15" hidden="false" customHeight="false" outlineLevel="0" collapsed="false">
      <c r="A27" s="7" t="s">
        <v>43</v>
      </c>
      <c r="B27" s="6" t="s">
        <v>27</v>
      </c>
      <c r="C27" s="2" t="n">
        <v>37</v>
      </c>
      <c r="D27" s="11" t="n">
        <v>0.600921412833011</v>
      </c>
      <c r="E27" s="11" t="n">
        <v>0.920810313075506</v>
      </c>
      <c r="F27" s="29" t="s">
        <v>132</v>
      </c>
      <c r="G27" s="11" t="n">
        <v>0.617360167921966</v>
      </c>
      <c r="H27" s="11" t="n">
        <v>0.928505106778087</v>
      </c>
      <c r="I27" s="29" t="s">
        <v>132</v>
      </c>
    </row>
    <row r="28" customFormat="false" ht="15" hidden="false" customHeight="false" outlineLevel="0" collapsed="false">
      <c r="A28" s="7" t="s">
        <v>43</v>
      </c>
      <c r="B28" s="6" t="s">
        <v>31</v>
      </c>
      <c r="C28" s="2" t="n">
        <v>36</v>
      </c>
      <c r="D28" s="11" t="n">
        <v>0.131268049356787</v>
      </c>
      <c r="E28" s="11" t="n">
        <v>0.781343911527828</v>
      </c>
      <c r="F28" s="29" t="s">
        <v>132</v>
      </c>
      <c r="G28" s="11" t="n">
        <v>0.486203962562295</v>
      </c>
      <c r="H28" s="11" t="n">
        <v>0.453955901426719</v>
      </c>
      <c r="I28" s="30" t="s">
        <v>133</v>
      </c>
    </row>
    <row r="29" customFormat="false" ht="15" hidden="false" customHeight="false" outlineLevel="0" collapsed="false">
      <c r="A29" s="7" t="s">
        <v>43</v>
      </c>
      <c r="B29" s="6" t="s">
        <v>33</v>
      </c>
      <c r="C29" s="2" t="n">
        <v>29</v>
      </c>
      <c r="D29" s="11" t="n">
        <v>0.134789055128724</v>
      </c>
      <c r="E29" s="11" t="n">
        <v>0.774362639980939</v>
      </c>
      <c r="F29" s="29" t="s">
        <v>132</v>
      </c>
      <c r="G29" s="11" t="n">
        <v>0.378357926598562</v>
      </c>
      <c r="H29" s="11" t="n">
        <v>0.543153549508446</v>
      </c>
      <c r="I29" s="29" t="s">
        <v>132</v>
      </c>
    </row>
    <row r="30" customFormat="false" ht="15" hidden="false" customHeight="false" outlineLevel="0" collapsed="false">
      <c r="A30" s="7" t="s">
        <v>43</v>
      </c>
      <c r="B30" s="6" t="s">
        <v>35</v>
      </c>
      <c r="C30" s="2" t="n">
        <v>31</v>
      </c>
      <c r="D30" s="11" t="n">
        <v>0.598469627666396</v>
      </c>
      <c r="E30" s="11" t="n">
        <v>0.846660395108184</v>
      </c>
      <c r="F30" s="29" t="s">
        <v>132</v>
      </c>
      <c r="G30" s="11" t="n">
        <v>0.675184377272255</v>
      </c>
      <c r="H30" s="11" t="n">
        <v>0.748060947281389</v>
      </c>
      <c r="I30" s="29" t="s">
        <v>132</v>
      </c>
    </row>
    <row r="31" customFormat="false" ht="15" hidden="false" customHeight="false" outlineLevel="0" collapsed="false">
      <c r="A31" s="7" t="s">
        <v>43</v>
      </c>
      <c r="B31" s="6" t="s">
        <v>37</v>
      </c>
      <c r="C31" s="2" t="n">
        <v>39</v>
      </c>
      <c r="D31" s="11" t="n">
        <v>0.173591019557922</v>
      </c>
      <c r="E31" s="11" t="n">
        <v>0.219221325850579</v>
      </c>
      <c r="F31" s="29" t="s">
        <v>132</v>
      </c>
      <c r="G31" s="11" t="n">
        <v>0.23995200959808</v>
      </c>
      <c r="H31" s="11" t="n">
        <v>0.170794192997438</v>
      </c>
      <c r="I31" s="30" t="s">
        <v>133</v>
      </c>
    </row>
    <row r="32" customFormat="false" ht="15" hidden="false" customHeight="false" outlineLevel="0" collapsed="false">
      <c r="A32" s="31" t="s">
        <v>134</v>
      </c>
      <c r="B32" s="27"/>
      <c r="C32" s="27"/>
      <c r="D32" s="27"/>
      <c r="E32" s="27"/>
      <c r="F32" s="31" t="s">
        <v>135</v>
      </c>
      <c r="G32" s="27"/>
      <c r="H32" s="27"/>
      <c r="I32" s="31" t="s">
        <v>136</v>
      </c>
    </row>
    <row r="33" customFormat="false" ht="15" hidden="false" customHeight="false" outlineLevel="0" collapsed="false">
      <c r="A33" s="7" t="s">
        <v>137</v>
      </c>
      <c r="B33" s="6" t="s">
        <v>27</v>
      </c>
      <c r="C33" s="2" t="n">
        <v>38</v>
      </c>
      <c r="D33" s="11" t="n">
        <v>0.719769673704415</v>
      </c>
      <c r="E33" s="11" t="n">
        <v>0.841194496184582</v>
      </c>
      <c r="F33" s="29" t="s">
        <v>132</v>
      </c>
      <c r="G33" s="11" t="n">
        <v>0.743792195903422</v>
      </c>
      <c r="H33" s="11" t="n">
        <v>0.820862537096672</v>
      </c>
      <c r="I33" s="29" t="s">
        <v>132</v>
      </c>
    </row>
    <row r="34" customFormat="false" ht="15" hidden="false" customHeight="false" outlineLevel="0" collapsed="false">
      <c r="A34" s="7" t="s">
        <v>137</v>
      </c>
      <c r="B34" s="6" t="s">
        <v>31</v>
      </c>
      <c r="C34" s="2" t="n">
        <v>36</v>
      </c>
      <c r="D34" s="11" t="n">
        <v>0.260365813968626</v>
      </c>
      <c r="E34" s="11" t="n">
        <v>0.977236146240515</v>
      </c>
      <c r="F34" s="29" t="s">
        <v>132</v>
      </c>
      <c r="G34" s="11" t="n">
        <v>0.532638929987572</v>
      </c>
      <c r="H34" s="11" t="n">
        <v>0.756525028369689</v>
      </c>
      <c r="I34" s="29" t="s">
        <v>132</v>
      </c>
    </row>
    <row r="35" customFormat="false" ht="15" hidden="false" customHeight="false" outlineLevel="0" collapsed="false">
      <c r="A35" s="7" t="s">
        <v>137</v>
      </c>
      <c r="B35" s="6" t="s">
        <v>33</v>
      </c>
      <c r="C35" s="2" t="n">
        <v>30</v>
      </c>
      <c r="D35" s="11" t="n">
        <v>0.211625282167043</v>
      </c>
      <c r="E35" s="11" t="n">
        <v>1.318391562294</v>
      </c>
      <c r="F35" s="29" t="s">
        <v>132</v>
      </c>
      <c r="G35" s="11" t="n">
        <v>0.471623958497092</v>
      </c>
      <c r="H35" s="11" t="n">
        <v>0.992917190706295</v>
      </c>
      <c r="I35" s="29" t="s">
        <v>132</v>
      </c>
    </row>
    <row r="36" customFormat="false" ht="15" hidden="false" customHeight="false" outlineLevel="0" collapsed="false">
      <c r="A36" s="7" t="s">
        <v>137</v>
      </c>
      <c r="B36" s="6" t="s">
        <v>35</v>
      </c>
      <c r="C36" s="2" t="n">
        <v>36</v>
      </c>
      <c r="D36" s="11" t="n">
        <v>0.597215482811392</v>
      </c>
      <c r="E36" s="11" t="n">
        <v>0.673400673400673</v>
      </c>
      <c r="F36" s="29" t="s">
        <v>132</v>
      </c>
      <c r="G36" s="11" t="n">
        <v>0.566226752036239</v>
      </c>
      <c r="H36" s="11" t="n">
        <v>0.688605392867498</v>
      </c>
      <c r="I36" s="29" t="s">
        <v>132</v>
      </c>
    </row>
    <row r="37" customFormat="false" ht="15" hidden="false" customHeight="false" outlineLevel="0" collapsed="false">
      <c r="A37" s="7" t="s">
        <v>137</v>
      </c>
      <c r="B37" s="6" t="s">
        <v>37</v>
      </c>
      <c r="C37" s="2" t="n">
        <v>44</v>
      </c>
      <c r="D37" s="11" t="n">
        <v>0.220701831825204</v>
      </c>
      <c r="E37" s="11" t="n">
        <v>0.124895920066611</v>
      </c>
      <c r="F37" s="30" t="s">
        <v>133</v>
      </c>
      <c r="G37" s="11" t="n">
        <v>0.155965687548739</v>
      </c>
      <c r="H37" s="11" t="n">
        <v>0.174603867475665</v>
      </c>
      <c r="I37" s="29" t="s">
        <v>132</v>
      </c>
    </row>
    <row r="38" customFormat="false" ht="15" hidden="false" customHeight="false" outlineLevel="0" collapsed="false">
      <c r="A38" s="31" t="s">
        <v>138</v>
      </c>
      <c r="B38" s="27"/>
      <c r="C38" s="27"/>
      <c r="D38" s="27"/>
      <c r="E38" s="27"/>
      <c r="F38" s="31" t="s">
        <v>139</v>
      </c>
      <c r="G38" s="27"/>
      <c r="H38" s="27"/>
      <c r="I38" s="31" t="s">
        <v>135</v>
      </c>
    </row>
    <row r="39" customFormat="false" ht="15" hidden="false" customHeight="false" outlineLevel="0" collapsed="false">
      <c r="A39" s="7" t="s">
        <v>140</v>
      </c>
      <c r="B39" s="6" t="s">
        <v>27</v>
      </c>
      <c r="C39" s="2" t="n">
        <v>37</v>
      </c>
      <c r="D39" s="11" t="n">
        <v>0.773146060176535</v>
      </c>
      <c r="E39" s="11" t="n">
        <v>0.86967325133557</v>
      </c>
      <c r="F39" s="29" t="s">
        <v>132</v>
      </c>
      <c r="G39" s="11" t="n">
        <v>0.686341798215511</v>
      </c>
      <c r="H39" s="11" t="n">
        <v>0.962031811185223</v>
      </c>
      <c r="I39" s="29" t="s">
        <v>132</v>
      </c>
    </row>
    <row r="40" customFormat="false" ht="15" hidden="false" customHeight="false" outlineLevel="0" collapsed="false">
      <c r="A40" s="7" t="s">
        <v>140</v>
      </c>
      <c r="B40" s="6" t="s">
        <v>31</v>
      </c>
      <c r="C40" s="2" t="n">
        <v>35</v>
      </c>
      <c r="D40" s="11" t="n">
        <v>0.280563933506348</v>
      </c>
      <c r="E40" s="11" t="n">
        <v>0.97779822845968</v>
      </c>
      <c r="F40" s="29" t="s">
        <v>132</v>
      </c>
      <c r="G40" s="11" t="n">
        <v>0.569836646827909</v>
      </c>
      <c r="H40" s="11" t="n">
        <v>0.757145561234147</v>
      </c>
      <c r="I40" s="29" t="s">
        <v>132</v>
      </c>
    </row>
    <row r="41" customFormat="false" ht="15" hidden="false" customHeight="false" outlineLevel="0" collapsed="false">
      <c r="A41" s="7" t="s">
        <v>140</v>
      </c>
      <c r="B41" s="6" t="s">
        <v>33</v>
      </c>
      <c r="C41" s="2" t="n">
        <v>29</v>
      </c>
      <c r="D41" s="11" t="n">
        <v>0.245579567779961</v>
      </c>
      <c r="E41" s="11" t="n">
        <v>1.31819846210179</v>
      </c>
      <c r="F41" s="29" t="s">
        <v>132</v>
      </c>
      <c r="G41" s="11" t="n">
        <v>0.429922613929493</v>
      </c>
      <c r="H41" s="11" t="n">
        <v>1.12351660697985</v>
      </c>
      <c r="I41" s="29" t="s">
        <v>132</v>
      </c>
    </row>
    <row r="42" customFormat="false" ht="15" hidden="false" customHeight="false" outlineLevel="0" collapsed="false">
      <c r="A42" s="7" t="s">
        <v>140</v>
      </c>
      <c r="B42" s="6" t="s">
        <v>35</v>
      </c>
      <c r="C42" s="2" t="n">
        <v>36</v>
      </c>
      <c r="D42" s="11" t="n">
        <v>0.595770032767352</v>
      </c>
      <c r="E42" s="11" t="n">
        <v>0.609570252971655</v>
      </c>
      <c r="F42" s="29" t="s">
        <v>132</v>
      </c>
      <c r="G42" s="11" t="n">
        <v>0.495607118720433</v>
      </c>
      <c r="H42" s="11" t="n">
        <v>0.687708122194875</v>
      </c>
      <c r="I42" s="29" t="s">
        <v>132</v>
      </c>
    </row>
    <row r="43" customFormat="false" ht="15" hidden="false" customHeight="false" outlineLevel="0" collapsed="false">
      <c r="A43" s="7" t="s">
        <v>140</v>
      </c>
      <c r="B43" s="6" t="s">
        <v>37</v>
      </c>
      <c r="C43" s="2" t="n">
        <v>42</v>
      </c>
      <c r="D43" s="11" t="n">
        <v>0.228258388495777</v>
      </c>
      <c r="E43" s="11" t="n">
        <v>0.0926612305411416</v>
      </c>
      <c r="F43" s="30" t="s">
        <v>133</v>
      </c>
      <c r="G43" s="11" t="n">
        <v>0.108914665359691</v>
      </c>
      <c r="H43" s="11" t="n">
        <v>0.192817546396722</v>
      </c>
      <c r="I43" s="29" t="s">
        <v>132</v>
      </c>
    </row>
    <row r="44" customFormat="false" ht="15" hidden="false" customHeight="false" outlineLevel="0" collapsed="false">
      <c r="A44" s="31" t="s">
        <v>141</v>
      </c>
      <c r="B44" s="27"/>
      <c r="C44" s="27"/>
      <c r="D44" s="27"/>
      <c r="E44" s="27"/>
      <c r="F44" s="31" t="s">
        <v>139</v>
      </c>
      <c r="G44" s="27"/>
      <c r="H44" s="27"/>
      <c r="I44" s="31" t="s">
        <v>135</v>
      </c>
    </row>
    <row r="45" customFormat="false" ht="15" hidden="false" customHeight="false" outlineLevel="0" collapsed="false">
      <c r="A45" s="7" t="s">
        <v>30</v>
      </c>
      <c r="B45" s="6" t="s">
        <v>27</v>
      </c>
      <c r="C45" s="2" t="n">
        <v>36</v>
      </c>
      <c r="D45" s="11" t="n">
        <v>0.77379417075058</v>
      </c>
      <c r="E45" s="11" t="n">
        <v>0.850952412122799</v>
      </c>
      <c r="F45" s="29" t="s">
        <v>132</v>
      </c>
      <c r="G45" s="11" t="n">
        <v>0.686684562082527</v>
      </c>
      <c r="H45" s="11" t="n">
        <v>0.948124068806718</v>
      </c>
      <c r="I45" s="29" t="s">
        <v>132</v>
      </c>
    </row>
    <row r="46" customFormat="false" ht="15" hidden="false" customHeight="false" outlineLevel="0" collapsed="false">
      <c r="A46" s="7" t="s">
        <v>30</v>
      </c>
      <c r="B46" s="6" t="s">
        <v>31</v>
      </c>
      <c r="C46" s="2" t="n">
        <v>33</v>
      </c>
      <c r="D46" s="11" t="n">
        <v>0.35642999714856</v>
      </c>
      <c r="E46" s="11" t="n">
        <v>1.04358502148557</v>
      </c>
      <c r="F46" s="29" t="s">
        <v>132</v>
      </c>
      <c r="G46" s="11" t="n">
        <v>0.611995104039168</v>
      </c>
      <c r="H46" s="11" t="n">
        <v>0.832692800409941</v>
      </c>
      <c r="I46" s="29" t="s">
        <v>132</v>
      </c>
    </row>
    <row r="47" customFormat="false" ht="15" hidden="false" customHeight="false" outlineLevel="0" collapsed="false">
      <c r="A47" s="7" t="s">
        <v>30</v>
      </c>
      <c r="B47" s="6" t="s">
        <v>33</v>
      </c>
      <c r="C47" s="2" t="n">
        <v>28</v>
      </c>
      <c r="D47" s="11" t="n">
        <v>0.305040799206894</v>
      </c>
      <c r="E47" s="11" t="n">
        <v>1.35750219595944</v>
      </c>
      <c r="F47" s="29" t="s">
        <v>132</v>
      </c>
      <c r="G47" s="11" t="n">
        <v>0.430329632498494</v>
      </c>
      <c r="H47" s="11" t="n">
        <v>1.14147107084255</v>
      </c>
      <c r="I47" s="29" t="s">
        <v>132</v>
      </c>
    </row>
    <row r="48" customFormat="false" ht="15" hidden="false" customHeight="false" outlineLevel="0" collapsed="false">
      <c r="A48" s="7" t="s">
        <v>30</v>
      </c>
      <c r="B48" s="6" t="s">
        <v>35</v>
      </c>
      <c r="C48" s="2" t="n">
        <v>35</v>
      </c>
      <c r="D48" s="11" t="n">
        <v>0.6395650957349</v>
      </c>
      <c r="E48" s="11" t="n">
        <v>0.589548153450962</v>
      </c>
      <c r="F48" s="30" t="s">
        <v>133</v>
      </c>
      <c r="G48" s="11" t="n">
        <v>0.520266754954358</v>
      </c>
      <c r="H48" s="11" t="n">
        <v>0.687882408312516</v>
      </c>
      <c r="I48" s="29" t="s">
        <v>132</v>
      </c>
    </row>
    <row r="49" customFormat="false" ht="15" hidden="false" customHeight="false" outlineLevel="0" collapsed="false">
      <c r="A49" s="7" t="s">
        <v>30</v>
      </c>
      <c r="B49" s="6" t="s">
        <v>37</v>
      </c>
      <c r="C49" s="2" t="n">
        <v>40</v>
      </c>
      <c r="D49" s="11" t="n">
        <v>0.257914759172094</v>
      </c>
      <c r="E49" s="11" t="n">
        <v>0.0952925481227368</v>
      </c>
      <c r="F49" s="30" t="s">
        <v>133</v>
      </c>
      <c r="G49" s="11" t="n">
        <v>0.11513441943469</v>
      </c>
      <c r="H49" s="11" t="n">
        <v>0.209139391404371</v>
      </c>
      <c r="I49" s="29" t="s">
        <v>132</v>
      </c>
    </row>
    <row r="50" customFormat="false" ht="15" hidden="false" customHeight="false" outlineLevel="0" collapsed="false">
      <c r="A50" s="31" t="s">
        <v>142</v>
      </c>
      <c r="B50" s="27"/>
      <c r="C50" s="27"/>
      <c r="D50" s="27"/>
      <c r="E50" s="27"/>
      <c r="F50" s="31" t="s">
        <v>136</v>
      </c>
      <c r="G50" s="27"/>
      <c r="H50" s="27"/>
      <c r="I50" s="31" t="s">
        <v>135</v>
      </c>
    </row>
    <row r="51" customFormat="false" ht="15" hidden="false" customHeight="false" outlineLevel="0" collapsed="false">
      <c r="A51" s="32" t="s">
        <v>143</v>
      </c>
    </row>
    <row r="52" customFormat="false" ht="15" hidden="false" customHeight="false" outlineLevel="0" collapsed="false">
      <c r="A52" s="3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8"/>
  </cols>
  <sheetData>
    <row r="1" customFormat="false" ht="21.6" hidden="false" customHeight="false" outlineLevel="0" collapsed="false">
      <c r="A1" s="23" t="s">
        <v>145</v>
      </c>
    </row>
    <row r="2" customFormat="false" ht="15" hidden="false" customHeight="false" outlineLevel="0" collapsed="false">
      <c r="A2" s="7" t="s">
        <v>146</v>
      </c>
    </row>
    <row r="4" customFormat="false" ht="30" hidden="false" customHeight="true" outlineLevel="0" collapsed="false">
      <c r="A4" s="5" t="s">
        <v>14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24</v>
      </c>
      <c r="G4" s="5" t="s">
        <v>25</v>
      </c>
      <c r="H4" s="5" t="s">
        <v>65</v>
      </c>
      <c r="I4" s="5" t="s">
        <v>22</v>
      </c>
      <c r="J4" s="5" t="s">
        <v>151</v>
      </c>
      <c r="K4" s="19" t="s">
        <v>152</v>
      </c>
      <c r="L4" s="5" t="s">
        <v>153</v>
      </c>
      <c r="M4" s="5" t="s">
        <v>154</v>
      </c>
      <c r="N4" s="5" t="s">
        <v>155</v>
      </c>
    </row>
    <row r="5" customFormat="false" ht="15" hidden="false" customHeight="false" outlineLevel="0" collapsed="false">
      <c r="A5" s="7" t="s">
        <v>37</v>
      </c>
      <c r="B5" s="7" t="s">
        <v>156</v>
      </c>
      <c r="C5" s="2" t="s">
        <v>157</v>
      </c>
      <c r="D5" s="8" t="n">
        <v>989</v>
      </c>
      <c r="E5" s="2" t="n">
        <v>1</v>
      </c>
      <c r="F5" s="11" t="n">
        <f aca="false">IFERROR(E5*100/D5,0)</f>
        <v>0.101112234580384</v>
      </c>
      <c r="G5" s="2" t="n">
        <v>0</v>
      </c>
      <c r="H5" s="2" t="n">
        <v>0</v>
      </c>
      <c r="I5" s="10" t="n">
        <f aca="false">IFERROR(H5*1000/D5,0)</f>
        <v>0</v>
      </c>
      <c r="J5" s="12" t="n">
        <v>30.94</v>
      </c>
      <c r="K5" s="33" t="n">
        <v>0</v>
      </c>
      <c r="L5" s="8" t="n">
        <v>71</v>
      </c>
      <c r="M5" s="24" t="s">
        <v>158</v>
      </c>
      <c r="N5" s="2" t="n">
        <v>1</v>
      </c>
    </row>
    <row r="6" customFormat="false" ht="15" hidden="false" customHeight="false" outlineLevel="0" collapsed="false">
      <c r="A6" s="7" t="s">
        <v>37</v>
      </c>
      <c r="B6" s="7" t="s">
        <v>159</v>
      </c>
      <c r="C6" s="2" t="s">
        <v>160</v>
      </c>
      <c r="D6" s="8" t="n">
        <v>264</v>
      </c>
      <c r="E6" s="2" t="n">
        <v>1</v>
      </c>
      <c r="F6" s="11" t="n">
        <f aca="false">IFERROR(E6*100/D6,0)</f>
        <v>0.378787878787879</v>
      </c>
      <c r="G6" s="2" t="n">
        <v>0</v>
      </c>
      <c r="H6" s="2" t="n">
        <v>0</v>
      </c>
      <c r="I6" s="10" t="n">
        <f aca="false">IFERROR(H6*1000/D6,0)</f>
        <v>0</v>
      </c>
      <c r="J6" s="12" t="n">
        <v>43.61</v>
      </c>
      <c r="K6" s="33" t="n">
        <v>0</v>
      </c>
      <c r="L6" s="8" t="n">
        <v>16</v>
      </c>
      <c r="M6" s="24" t="s">
        <v>158</v>
      </c>
      <c r="N6" s="2" t="n">
        <v>1</v>
      </c>
    </row>
    <row r="7" customFormat="false" ht="15" hidden="false" customHeight="false" outlineLevel="0" collapsed="false">
      <c r="A7" s="7" t="s">
        <v>37</v>
      </c>
      <c r="B7" s="7" t="s">
        <v>161</v>
      </c>
      <c r="C7" s="2" t="s">
        <v>162</v>
      </c>
      <c r="D7" s="8" t="n">
        <v>659</v>
      </c>
      <c r="E7" s="2" t="n">
        <v>0</v>
      </c>
      <c r="F7" s="11" t="n">
        <f aca="false">IFERROR(E7*100/D7,0)</f>
        <v>0</v>
      </c>
      <c r="G7" s="2" t="n">
        <v>0</v>
      </c>
      <c r="H7" s="2" t="n">
        <v>0</v>
      </c>
      <c r="I7" s="10" t="n">
        <f aca="false">IFERROR(H7*1000/D7,0)</f>
        <v>0</v>
      </c>
      <c r="J7" s="12" t="n">
        <v>40.83</v>
      </c>
      <c r="K7" s="33" t="n">
        <v>0</v>
      </c>
      <c r="L7" s="8" t="n">
        <v>37</v>
      </c>
      <c r="M7" s="24" t="s">
        <v>158</v>
      </c>
      <c r="N7" s="2" t="n">
        <v>1</v>
      </c>
    </row>
    <row r="8" customFormat="false" ht="15" hidden="false" customHeight="false" outlineLevel="0" collapsed="false">
      <c r="A8" s="7" t="s">
        <v>37</v>
      </c>
      <c r="B8" s="7" t="s">
        <v>163</v>
      </c>
      <c r="C8" s="2" t="s">
        <v>164</v>
      </c>
      <c r="D8" s="8" t="n">
        <v>676</v>
      </c>
      <c r="E8" s="2" t="n">
        <v>1</v>
      </c>
      <c r="F8" s="11" t="n">
        <f aca="false">IFERROR(E8*100/D8,0)</f>
        <v>0.14792899408284</v>
      </c>
      <c r="G8" s="2" t="n">
        <v>1</v>
      </c>
      <c r="H8" s="2" t="n">
        <v>0</v>
      </c>
      <c r="I8" s="10" t="n">
        <f aca="false">IFERROR(H8*1000/D8,0)</f>
        <v>0</v>
      </c>
      <c r="J8" s="12" t="n">
        <v>35.83</v>
      </c>
      <c r="K8" s="33" t="n">
        <v>0</v>
      </c>
      <c r="L8" s="8" t="n">
        <v>6</v>
      </c>
      <c r="M8" s="24" t="s">
        <v>158</v>
      </c>
      <c r="N8" s="2" t="n">
        <v>1</v>
      </c>
    </row>
    <row r="9" customFormat="false" ht="15" hidden="false" customHeight="false" outlineLevel="0" collapsed="false">
      <c r="A9" s="7" t="s">
        <v>37</v>
      </c>
      <c r="B9" s="7" t="s">
        <v>165</v>
      </c>
      <c r="C9" s="7" t="s">
        <v>166</v>
      </c>
      <c r="D9" s="8" t="n">
        <v>791</v>
      </c>
      <c r="E9" s="2" t="n">
        <v>1</v>
      </c>
      <c r="F9" s="11" t="n">
        <f aca="false">IFERROR(E9*100/D9,0)</f>
        <v>0.126422250316056</v>
      </c>
      <c r="G9" s="2" t="n">
        <v>0</v>
      </c>
      <c r="H9" s="2" t="n">
        <v>0</v>
      </c>
      <c r="I9" s="10" t="n">
        <f aca="false">IFERROR(H9*1000/D9,0)</f>
        <v>0</v>
      </c>
      <c r="J9" s="12" t="n">
        <v>35.09</v>
      </c>
      <c r="K9" s="33" t="n">
        <v>0</v>
      </c>
      <c r="L9" s="8" t="n">
        <v>22</v>
      </c>
      <c r="M9" s="24" t="s">
        <v>158</v>
      </c>
      <c r="N9" s="2" t="n">
        <v>1</v>
      </c>
    </row>
    <row r="10" customFormat="false" ht="15" hidden="false" customHeight="false" outlineLevel="0" collapsed="false">
      <c r="A10" s="7" t="s">
        <v>37</v>
      </c>
      <c r="B10" s="7" t="s">
        <v>167</v>
      </c>
      <c r="C10" s="2" t="s">
        <v>168</v>
      </c>
      <c r="D10" s="8" t="n">
        <v>954</v>
      </c>
      <c r="E10" s="2" t="n">
        <v>1</v>
      </c>
      <c r="F10" s="11" t="n">
        <f aca="false">IFERROR(E10*100/D10,0)</f>
        <v>0.10482180293501</v>
      </c>
      <c r="G10" s="2" t="n">
        <v>0</v>
      </c>
      <c r="H10" s="2" t="n">
        <v>0</v>
      </c>
      <c r="I10" s="10" t="n">
        <f aca="false">IFERROR(H10*1000/D10,0)</f>
        <v>0</v>
      </c>
      <c r="J10" s="12" t="n">
        <v>69.49</v>
      </c>
      <c r="K10" s="33" t="n">
        <v>0</v>
      </c>
      <c r="L10" s="8" t="n">
        <v>7</v>
      </c>
      <c r="M10" s="24" t="s">
        <v>158</v>
      </c>
      <c r="N10" s="2" t="n">
        <v>1</v>
      </c>
    </row>
    <row r="11" customFormat="false" ht="15" hidden="false" customHeight="false" outlineLevel="0" collapsed="false">
      <c r="A11" s="7" t="s">
        <v>53</v>
      </c>
      <c r="B11" s="7" t="s">
        <v>169</v>
      </c>
      <c r="C11" s="2" t="s">
        <v>170</v>
      </c>
      <c r="D11" s="8" t="n">
        <v>0</v>
      </c>
      <c r="E11" s="2" t="n">
        <v>0</v>
      </c>
      <c r="F11" s="11" t="n">
        <f aca="false">IFERROR(E11*100/D11,0)</f>
        <v>0</v>
      </c>
      <c r="G11" s="2" t="n">
        <v>0</v>
      </c>
      <c r="H11" s="2" t="n">
        <v>0</v>
      </c>
      <c r="I11" s="10" t="n">
        <f aca="false">IFERROR(H11*1000/D11,0)</f>
        <v>0</v>
      </c>
      <c r="J11" s="12" t="n">
        <v>0</v>
      </c>
      <c r="K11" s="33" t="n">
        <v>2.27272727272727</v>
      </c>
      <c r="L11" s="8" t="n">
        <v>44</v>
      </c>
      <c r="M11" s="32" t="s">
        <v>171</v>
      </c>
      <c r="N11" s="2" t="n">
        <v>0</v>
      </c>
    </row>
    <row r="12" customFormat="false" ht="15" hidden="false" customHeight="false" outlineLevel="0" collapsed="false">
      <c r="A12" s="7" t="s">
        <v>53</v>
      </c>
      <c r="B12" s="7" t="s">
        <v>172</v>
      </c>
      <c r="C12" s="2" t="s">
        <v>173</v>
      </c>
      <c r="D12" s="8" t="n">
        <v>0</v>
      </c>
      <c r="E12" s="2" t="n">
        <v>0</v>
      </c>
      <c r="F12" s="11" t="n">
        <f aca="false">IFERROR(E12*100/D12,0)</f>
        <v>0</v>
      </c>
      <c r="G12" s="2" t="n">
        <v>0</v>
      </c>
      <c r="H12" s="2" t="n">
        <v>0</v>
      </c>
      <c r="I12" s="10" t="n">
        <f aca="false">IFERROR(H12*1000/D12,0)</f>
        <v>0</v>
      </c>
      <c r="J12" s="12" t="n">
        <v>0</v>
      </c>
      <c r="K12" s="33" t="n">
        <v>0</v>
      </c>
      <c r="L12" s="8" t="n">
        <v>0</v>
      </c>
      <c r="M12" s="32" t="s">
        <v>171</v>
      </c>
      <c r="N12" s="2" t="n">
        <v>0</v>
      </c>
    </row>
    <row r="13" customFormat="false" ht="15" hidden="false" customHeight="false" outlineLevel="0" collapsed="false">
      <c r="A13" s="7" t="s">
        <v>53</v>
      </c>
      <c r="B13" s="7" t="s">
        <v>174</v>
      </c>
      <c r="C13" s="2" t="s">
        <v>175</v>
      </c>
      <c r="D13" s="8" t="n">
        <v>0</v>
      </c>
      <c r="E13" s="2" t="n">
        <v>0</v>
      </c>
      <c r="F13" s="11" t="n">
        <f aca="false">IFERROR(E13*100/D13,0)</f>
        <v>0</v>
      </c>
      <c r="G13" s="2" t="n">
        <v>0</v>
      </c>
      <c r="H13" s="2" t="n">
        <v>0</v>
      </c>
      <c r="I13" s="10" t="n">
        <f aca="false">IFERROR(H13*1000/D13,0)</f>
        <v>0</v>
      </c>
      <c r="J13" s="12" t="n">
        <v>0</v>
      </c>
      <c r="K13" s="33" t="n">
        <v>0</v>
      </c>
      <c r="L13" s="8" t="n">
        <v>0</v>
      </c>
      <c r="M13" s="32" t="s">
        <v>171</v>
      </c>
      <c r="N13" s="2" t="n">
        <v>1</v>
      </c>
    </row>
    <row r="14" customFormat="false" ht="15" hidden="false" customHeight="false" outlineLevel="0" collapsed="false">
      <c r="A14" s="7" t="s">
        <v>53</v>
      </c>
      <c r="B14" s="7" t="s">
        <v>176</v>
      </c>
      <c r="C14" s="2" t="s">
        <v>177</v>
      </c>
      <c r="D14" s="8" t="n">
        <v>0</v>
      </c>
      <c r="E14" s="2" t="n">
        <v>0</v>
      </c>
      <c r="F14" s="11" t="n">
        <f aca="false">IFERROR(E14*100/D14,0)</f>
        <v>0</v>
      </c>
      <c r="G14" s="2" t="n">
        <v>0</v>
      </c>
      <c r="H14" s="2" t="n">
        <v>0</v>
      </c>
      <c r="I14" s="10" t="n">
        <f aca="false">IFERROR(H14*1000/D14,0)</f>
        <v>0</v>
      </c>
      <c r="J14" s="12" t="n">
        <v>0</v>
      </c>
      <c r="K14" s="33" t="n">
        <v>0</v>
      </c>
      <c r="L14" s="8" t="n">
        <v>0</v>
      </c>
      <c r="M14" s="32" t="s">
        <v>171</v>
      </c>
      <c r="N14" s="2" t="n">
        <v>0</v>
      </c>
    </row>
    <row r="15" customFormat="false" ht="15" hidden="false" customHeight="false" outlineLevel="0" collapsed="false">
      <c r="A15" s="7" t="s">
        <v>55</v>
      </c>
      <c r="B15" s="7" t="s">
        <v>178</v>
      </c>
      <c r="C15" s="7" t="s">
        <v>179</v>
      </c>
      <c r="D15" s="8" t="n">
        <v>0</v>
      </c>
      <c r="E15" s="2" t="n">
        <v>0</v>
      </c>
      <c r="F15" s="11" t="n">
        <f aca="false">IFERROR(E15*100/D15,0)</f>
        <v>0</v>
      </c>
      <c r="G15" s="2" t="n">
        <v>0</v>
      </c>
      <c r="H15" s="2" t="n">
        <v>0</v>
      </c>
      <c r="I15" s="10" t="n">
        <f aca="false">IFERROR(H15*1000/D15,0)</f>
        <v>0</v>
      </c>
      <c r="J15" s="12" t="n">
        <v>0</v>
      </c>
      <c r="K15" s="33" t="n">
        <v>0</v>
      </c>
      <c r="L15" s="8" t="n">
        <v>0</v>
      </c>
      <c r="M15" s="32" t="s">
        <v>171</v>
      </c>
      <c r="N15" s="2" t="n">
        <v>1</v>
      </c>
    </row>
    <row r="16" customFormat="false" ht="15" hidden="false" customHeight="false" outlineLevel="0" collapsed="false">
      <c r="A16" s="7" t="s">
        <v>55</v>
      </c>
      <c r="B16" s="7" t="s">
        <v>180</v>
      </c>
      <c r="C16" s="7" t="s">
        <v>181</v>
      </c>
      <c r="D16" s="8" t="n">
        <v>0</v>
      </c>
      <c r="E16" s="2" t="n">
        <v>0</v>
      </c>
      <c r="F16" s="11" t="n">
        <f aca="false">IFERROR(E16*100/D16,0)</f>
        <v>0</v>
      </c>
      <c r="G16" s="2" t="n">
        <v>0</v>
      </c>
      <c r="H16" s="2" t="n">
        <v>0</v>
      </c>
      <c r="I16" s="10" t="n">
        <f aca="false">IFERROR(H16*1000/D16,0)</f>
        <v>0</v>
      </c>
      <c r="J16" s="12" t="n">
        <v>0</v>
      </c>
      <c r="K16" s="33" t="n">
        <v>0</v>
      </c>
      <c r="L16" s="8" t="n">
        <v>0</v>
      </c>
      <c r="M16" s="32" t="s">
        <v>171</v>
      </c>
      <c r="N16" s="2" t="n">
        <v>0</v>
      </c>
    </row>
    <row r="17" customFormat="false" ht="15" hidden="false" customHeight="false" outlineLevel="0" collapsed="false">
      <c r="A17" s="7" t="s">
        <v>55</v>
      </c>
      <c r="B17" s="7" t="s">
        <v>182</v>
      </c>
      <c r="C17" s="2" t="s">
        <v>183</v>
      </c>
      <c r="D17" s="8" t="n">
        <v>0</v>
      </c>
      <c r="E17" s="2" t="n">
        <v>0</v>
      </c>
      <c r="F17" s="11" t="n">
        <f aca="false">IFERROR(E17*100/D17,0)</f>
        <v>0</v>
      </c>
      <c r="G17" s="2" t="n">
        <v>0</v>
      </c>
      <c r="H17" s="2" t="n">
        <v>0</v>
      </c>
      <c r="I17" s="10" t="n">
        <f aca="false">IFERROR(H17*1000/D17,0)</f>
        <v>0</v>
      </c>
      <c r="J17" s="12" t="n">
        <v>0</v>
      </c>
      <c r="K17" s="33" t="n">
        <v>0</v>
      </c>
      <c r="L17" s="8" t="n">
        <v>0</v>
      </c>
      <c r="M17" s="32" t="s">
        <v>171</v>
      </c>
      <c r="N17" s="2" t="n">
        <v>0</v>
      </c>
    </row>
    <row r="18" customFormat="false" ht="15" hidden="false" customHeight="false" outlineLevel="0" collapsed="false">
      <c r="A18" s="7" t="s">
        <v>55</v>
      </c>
      <c r="B18" s="7" t="s">
        <v>184</v>
      </c>
      <c r="C18" s="2" t="s">
        <v>185</v>
      </c>
      <c r="D18" s="8" t="n">
        <v>0</v>
      </c>
      <c r="E18" s="2" t="n">
        <v>0</v>
      </c>
      <c r="F18" s="11" t="n">
        <f aca="false">IFERROR(E18*100/D18,0)</f>
        <v>0</v>
      </c>
      <c r="G18" s="2" t="n">
        <v>0</v>
      </c>
      <c r="H18" s="2" t="n">
        <v>0</v>
      </c>
      <c r="I18" s="10" t="n">
        <f aca="false">IFERROR(H18*1000/D18,0)</f>
        <v>0</v>
      </c>
      <c r="J18" s="12" t="n">
        <v>0</v>
      </c>
      <c r="K18" s="33" t="n">
        <v>0</v>
      </c>
      <c r="L18" s="8" t="n">
        <v>0</v>
      </c>
      <c r="M18" s="32" t="s">
        <v>171</v>
      </c>
      <c r="N18" s="2" t="n">
        <v>1</v>
      </c>
    </row>
    <row r="19" customFormat="false" ht="15" hidden="false" customHeight="false" outlineLevel="0" collapsed="false">
      <c r="A19" s="7" t="s">
        <v>50</v>
      </c>
      <c r="B19" s="7" t="s">
        <v>186</v>
      </c>
      <c r="C19" s="2" t="s">
        <v>187</v>
      </c>
      <c r="D19" s="8" t="n">
        <v>0</v>
      </c>
      <c r="E19" s="2" t="n">
        <v>0</v>
      </c>
      <c r="F19" s="11" t="n">
        <f aca="false">IFERROR(E19*100/D19,0)</f>
        <v>0</v>
      </c>
      <c r="G19" s="2" t="n">
        <v>0</v>
      </c>
      <c r="H19" s="2" t="n">
        <v>0</v>
      </c>
      <c r="I19" s="10" t="n">
        <f aca="false">IFERROR(H19*1000/D19,0)</f>
        <v>0</v>
      </c>
      <c r="J19" s="12" t="n">
        <v>0</v>
      </c>
      <c r="K19" s="33" t="n">
        <v>0</v>
      </c>
      <c r="L19" s="8" t="n">
        <v>24</v>
      </c>
      <c r="M19" s="32" t="s">
        <v>171</v>
      </c>
      <c r="N19" s="2" t="n">
        <v>0</v>
      </c>
    </row>
    <row r="20" customFormat="false" ht="15" hidden="false" customHeight="false" outlineLevel="0" collapsed="false">
      <c r="A20" s="7" t="s">
        <v>50</v>
      </c>
      <c r="B20" s="7" t="s">
        <v>188</v>
      </c>
      <c r="C20" s="2" t="s">
        <v>189</v>
      </c>
      <c r="D20" s="8" t="n">
        <v>0</v>
      </c>
      <c r="E20" s="2" t="n">
        <v>0</v>
      </c>
      <c r="F20" s="11" t="n">
        <f aca="false">IFERROR(E20*100/D20,0)</f>
        <v>0</v>
      </c>
      <c r="G20" s="2" t="n">
        <v>0</v>
      </c>
      <c r="H20" s="2" t="n">
        <v>0</v>
      </c>
      <c r="I20" s="10" t="n">
        <f aca="false">IFERROR(H20*1000/D20,0)</f>
        <v>0</v>
      </c>
      <c r="J20" s="12" t="n">
        <v>0</v>
      </c>
      <c r="K20" s="33" t="n">
        <v>0</v>
      </c>
      <c r="L20" s="8" t="n">
        <v>0</v>
      </c>
      <c r="M20" s="32" t="s">
        <v>171</v>
      </c>
      <c r="N20" s="2" t="n">
        <v>1</v>
      </c>
    </row>
    <row r="21" customFormat="false" ht="15" hidden="false" customHeight="false" outlineLevel="0" collapsed="false">
      <c r="A21" s="7" t="s">
        <v>50</v>
      </c>
      <c r="B21" s="7" t="s">
        <v>190</v>
      </c>
      <c r="C21" s="2" t="s">
        <v>191</v>
      </c>
      <c r="D21" s="8" t="n">
        <v>0</v>
      </c>
      <c r="E21" s="2" t="n">
        <v>0</v>
      </c>
      <c r="F21" s="11" t="n">
        <f aca="false">IFERROR(E21*100/D21,0)</f>
        <v>0</v>
      </c>
      <c r="G21" s="2" t="n">
        <v>0</v>
      </c>
      <c r="H21" s="2" t="n">
        <v>0</v>
      </c>
      <c r="I21" s="10" t="n">
        <f aca="false">IFERROR(H21*1000/D21,0)</f>
        <v>0</v>
      </c>
      <c r="J21" s="12" t="n">
        <v>0</v>
      </c>
      <c r="K21" s="33" t="n">
        <v>0</v>
      </c>
      <c r="L21" s="8" t="n">
        <v>0</v>
      </c>
      <c r="M21" s="32" t="s">
        <v>171</v>
      </c>
      <c r="N21" s="2" t="n">
        <v>0</v>
      </c>
    </row>
    <row r="22" customFormat="false" ht="15" hidden="false" customHeight="false" outlineLevel="0" collapsed="false">
      <c r="A22" s="7" t="s">
        <v>50</v>
      </c>
      <c r="B22" s="7" t="s">
        <v>192</v>
      </c>
      <c r="C22" s="2" t="s">
        <v>193</v>
      </c>
      <c r="D22" s="8" t="n">
        <v>0</v>
      </c>
      <c r="E22" s="2" t="n">
        <v>0</v>
      </c>
      <c r="F22" s="11" t="n">
        <f aca="false">IFERROR(E22*100/D22,0)</f>
        <v>0</v>
      </c>
      <c r="G22" s="2" t="n">
        <v>0</v>
      </c>
      <c r="H22" s="2" t="n">
        <v>0</v>
      </c>
      <c r="I22" s="10" t="n">
        <f aca="false">IFERROR(H22*1000/D22,0)</f>
        <v>0</v>
      </c>
      <c r="J22" s="12" t="n">
        <v>0</v>
      </c>
      <c r="K22" s="33" t="n">
        <v>0</v>
      </c>
      <c r="L22" s="8" t="n">
        <v>0</v>
      </c>
      <c r="M22" s="32" t="s">
        <v>171</v>
      </c>
      <c r="N22" s="2" t="n">
        <v>0</v>
      </c>
    </row>
    <row r="23" customFormat="false" ht="15" hidden="false" customHeight="false" outlineLevel="0" collapsed="false">
      <c r="A23" s="7" t="s">
        <v>35</v>
      </c>
      <c r="B23" s="7" t="s">
        <v>194</v>
      </c>
      <c r="C23" s="2" t="s">
        <v>195</v>
      </c>
      <c r="D23" s="8" t="n">
        <v>1008</v>
      </c>
      <c r="E23" s="2" t="n">
        <v>3</v>
      </c>
      <c r="F23" s="11" t="n">
        <f aca="false">IFERROR(E23*100/D23,0)</f>
        <v>0.297619047619048</v>
      </c>
      <c r="G23" s="2" t="n">
        <v>0</v>
      </c>
      <c r="H23" s="2" t="n">
        <v>0</v>
      </c>
      <c r="I23" s="10" t="n">
        <f aca="false">IFERROR(H23*1000/D23,0)</f>
        <v>0</v>
      </c>
      <c r="J23" s="12" t="n">
        <v>52.69</v>
      </c>
      <c r="K23" s="33" t="n">
        <v>2.08333333333333</v>
      </c>
      <c r="L23" s="8" t="n">
        <v>48</v>
      </c>
      <c r="M23" s="24" t="s">
        <v>158</v>
      </c>
      <c r="N23" s="2" t="n">
        <v>0</v>
      </c>
    </row>
    <row r="24" customFormat="false" ht="15" hidden="false" customHeight="false" outlineLevel="0" collapsed="false">
      <c r="A24" s="7" t="s">
        <v>35</v>
      </c>
      <c r="B24" s="7" t="s">
        <v>196</v>
      </c>
      <c r="C24" s="2" t="s">
        <v>197</v>
      </c>
      <c r="D24" s="8" t="n">
        <v>1050</v>
      </c>
      <c r="E24" s="2" t="n">
        <v>4</v>
      </c>
      <c r="F24" s="11" t="n">
        <f aca="false">IFERROR(E24*100/D24,0)</f>
        <v>0.380952380952381</v>
      </c>
      <c r="G24" s="2" t="n">
        <v>0</v>
      </c>
      <c r="H24" s="2" t="n">
        <v>0</v>
      </c>
      <c r="I24" s="10" t="n">
        <f aca="false">IFERROR(H24*1000/D24,0)</f>
        <v>0</v>
      </c>
      <c r="J24" s="12" t="n">
        <v>56.45</v>
      </c>
      <c r="K24" s="33" t="n">
        <v>5.33333333333333</v>
      </c>
      <c r="L24" s="8" t="n">
        <v>75</v>
      </c>
      <c r="M24" s="24" t="s">
        <v>158</v>
      </c>
      <c r="N24" s="2" t="n">
        <v>1</v>
      </c>
    </row>
    <row r="25" customFormat="false" ht="15" hidden="false" customHeight="false" outlineLevel="0" collapsed="false">
      <c r="A25" s="7" t="s">
        <v>35</v>
      </c>
      <c r="B25" s="7" t="s">
        <v>198</v>
      </c>
      <c r="C25" s="2" t="s">
        <v>199</v>
      </c>
      <c r="D25" s="8" t="n">
        <v>1047</v>
      </c>
      <c r="E25" s="2" t="n">
        <v>1</v>
      </c>
      <c r="F25" s="11" t="n">
        <f aca="false">IFERROR(E25*100/D25,0)</f>
        <v>0.0955109837631328</v>
      </c>
      <c r="G25" s="2" t="n">
        <v>1</v>
      </c>
      <c r="H25" s="2" t="n">
        <v>0</v>
      </c>
      <c r="I25" s="10" t="n">
        <f aca="false">IFERROR(H25*1000/D25,0)</f>
        <v>0</v>
      </c>
      <c r="J25" s="12" t="n">
        <v>45.99</v>
      </c>
      <c r="K25" s="33" t="n">
        <v>2.7027027027027</v>
      </c>
      <c r="L25" s="8" t="n">
        <v>444</v>
      </c>
      <c r="M25" s="24" t="s">
        <v>158</v>
      </c>
      <c r="N25" s="2" t="n">
        <v>1</v>
      </c>
    </row>
    <row r="26" customFormat="false" ht="15" hidden="false" customHeight="false" outlineLevel="0" collapsed="false">
      <c r="A26" s="7" t="s">
        <v>35</v>
      </c>
      <c r="B26" s="7" t="s">
        <v>200</v>
      </c>
      <c r="C26" s="7" t="s">
        <v>201</v>
      </c>
      <c r="D26" s="8" t="n">
        <v>1001</v>
      </c>
      <c r="E26" s="2" t="n">
        <v>3</v>
      </c>
      <c r="F26" s="11" t="n">
        <f aca="false">IFERROR(E26*100/D26,0)</f>
        <v>0.2997002997003</v>
      </c>
      <c r="G26" s="2" t="n">
        <v>0</v>
      </c>
      <c r="H26" s="2" t="n">
        <v>1</v>
      </c>
      <c r="I26" s="10" t="n">
        <f aca="false">IFERROR(H26*1000/D26,0)</f>
        <v>0.999000999000999</v>
      </c>
      <c r="J26" s="12" t="n">
        <v>44.76</v>
      </c>
      <c r="K26" s="33" t="n">
        <v>1.77935943060498</v>
      </c>
      <c r="L26" s="8" t="n">
        <v>281</v>
      </c>
      <c r="M26" s="24" t="s">
        <v>158</v>
      </c>
      <c r="N26" s="2" t="n">
        <v>1</v>
      </c>
    </row>
    <row r="27" customFormat="false" ht="15" hidden="false" customHeight="false" outlineLevel="0" collapsed="false">
      <c r="A27" s="7" t="s">
        <v>35</v>
      </c>
      <c r="B27" s="7" t="s">
        <v>202</v>
      </c>
      <c r="C27" s="2" t="s">
        <v>203</v>
      </c>
      <c r="D27" s="8" t="n">
        <v>1089</v>
      </c>
      <c r="E27" s="2" t="n">
        <v>4</v>
      </c>
      <c r="F27" s="11" t="n">
        <f aca="false">IFERROR(E27*100/D27,0)</f>
        <v>0.367309458218549</v>
      </c>
      <c r="G27" s="2" t="n">
        <v>0</v>
      </c>
      <c r="H27" s="2" t="n">
        <v>0</v>
      </c>
      <c r="I27" s="10" t="n">
        <f aca="false">IFERROR(H27*1000/D27,0)</f>
        <v>0</v>
      </c>
      <c r="J27" s="12" t="n">
        <v>45.04</v>
      </c>
      <c r="K27" s="33" t="n">
        <v>3.26086956521739</v>
      </c>
      <c r="L27" s="8" t="n">
        <v>184</v>
      </c>
      <c r="M27" s="24" t="s">
        <v>158</v>
      </c>
      <c r="N27" s="2" t="n">
        <v>1</v>
      </c>
    </row>
    <row r="28" customFormat="false" ht="15" hidden="false" customHeight="false" outlineLevel="0" collapsed="false">
      <c r="A28" s="7" t="s">
        <v>35</v>
      </c>
      <c r="B28" s="7" t="s">
        <v>204</v>
      </c>
      <c r="C28" s="7" t="s">
        <v>205</v>
      </c>
      <c r="D28" s="8" t="n">
        <v>1186</v>
      </c>
      <c r="E28" s="2" t="n">
        <v>1</v>
      </c>
      <c r="F28" s="11" t="n">
        <f aca="false">IFERROR(E28*100/D28,0)</f>
        <v>0.0843170320404722</v>
      </c>
      <c r="G28" s="2" t="n">
        <v>0</v>
      </c>
      <c r="H28" s="2" t="n">
        <v>2</v>
      </c>
      <c r="I28" s="10" t="n">
        <f aca="false">IFERROR(H28*1000/D28,0)</f>
        <v>1.68634064080944</v>
      </c>
      <c r="J28" s="12" t="n">
        <v>87.68</v>
      </c>
      <c r="K28" s="33" t="n">
        <v>0</v>
      </c>
      <c r="L28" s="8" t="n">
        <v>145</v>
      </c>
      <c r="M28" s="24" t="s">
        <v>158</v>
      </c>
      <c r="N28" s="2" t="n">
        <v>1</v>
      </c>
    </row>
    <row r="29" customFormat="false" ht="15" hidden="false" customHeight="false" outlineLevel="0" collapsed="false">
      <c r="A29" s="7" t="s">
        <v>35</v>
      </c>
      <c r="B29" s="7" t="s">
        <v>206</v>
      </c>
      <c r="C29" s="2" t="s">
        <v>207</v>
      </c>
      <c r="D29" s="8" t="n">
        <v>0</v>
      </c>
      <c r="E29" s="2" t="n">
        <v>0</v>
      </c>
      <c r="F29" s="11" t="n">
        <f aca="false">IFERROR(E29*100/D29,0)</f>
        <v>0</v>
      </c>
      <c r="G29" s="2" t="n">
        <v>0</v>
      </c>
      <c r="H29" s="2" t="n">
        <v>0</v>
      </c>
      <c r="I29" s="10" t="n">
        <f aca="false">IFERROR(H29*1000/D29,0)</f>
        <v>0</v>
      </c>
      <c r="J29" s="12" t="n">
        <v>0</v>
      </c>
      <c r="K29" s="33" t="n">
        <v>2.08333333333333</v>
      </c>
      <c r="L29" s="8" t="n">
        <v>96</v>
      </c>
      <c r="M29" s="32" t="s">
        <v>171</v>
      </c>
      <c r="N29" s="2" t="n">
        <v>1</v>
      </c>
    </row>
    <row r="30" customFormat="false" ht="15" hidden="false" customHeight="false" outlineLevel="0" collapsed="false">
      <c r="A30" s="7" t="s">
        <v>35</v>
      </c>
      <c r="B30" s="7" t="s">
        <v>208</v>
      </c>
      <c r="C30" s="2" t="s">
        <v>209</v>
      </c>
      <c r="D30" s="8" t="n">
        <v>0</v>
      </c>
      <c r="E30" s="2" t="n">
        <v>0</v>
      </c>
      <c r="F30" s="11" t="n">
        <f aca="false">IFERROR(E30*100/D30,0)</f>
        <v>0</v>
      </c>
      <c r="G30" s="2" t="n">
        <v>0</v>
      </c>
      <c r="H30" s="2" t="n">
        <v>0</v>
      </c>
      <c r="I30" s="10" t="n">
        <f aca="false">IFERROR(H30*1000/D30,0)</f>
        <v>0</v>
      </c>
      <c r="J30" s="12" t="n">
        <v>0</v>
      </c>
      <c r="K30" s="33" t="n">
        <v>16.1290322580645</v>
      </c>
      <c r="L30" s="8" t="n">
        <v>31</v>
      </c>
      <c r="M30" s="32" t="s">
        <v>171</v>
      </c>
      <c r="N30" s="2" t="n">
        <v>1</v>
      </c>
    </row>
    <row r="31" customFormat="false" ht="15" hidden="false" customHeight="false" outlineLevel="0" collapsed="false">
      <c r="A31" s="7" t="s">
        <v>35</v>
      </c>
      <c r="B31" s="7" t="s">
        <v>210</v>
      </c>
      <c r="C31" s="2" t="s">
        <v>211</v>
      </c>
      <c r="D31" s="8" t="n">
        <v>0</v>
      </c>
      <c r="E31" s="2" t="n">
        <v>0</v>
      </c>
      <c r="F31" s="11" t="n">
        <f aca="false">IFERROR(E31*100/D31,0)</f>
        <v>0</v>
      </c>
      <c r="G31" s="2" t="n">
        <v>0</v>
      </c>
      <c r="H31" s="2" t="n">
        <v>0</v>
      </c>
      <c r="I31" s="10" t="n">
        <f aca="false">IFERROR(H31*1000/D31,0)</f>
        <v>0</v>
      </c>
      <c r="J31" s="12" t="n">
        <v>0</v>
      </c>
      <c r="K31" s="33" t="n">
        <v>0</v>
      </c>
      <c r="L31" s="8" t="n">
        <v>16</v>
      </c>
      <c r="M31" s="32" t="s">
        <v>171</v>
      </c>
      <c r="N31" s="2" t="n">
        <v>1</v>
      </c>
    </row>
    <row r="32" customFormat="false" ht="15" hidden="false" customHeight="false" outlineLevel="0" collapsed="false">
      <c r="A32" s="7" t="s">
        <v>35</v>
      </c>
      <c r="B32" s="7" t="s">
        <v>212</v>
      </c>
      <c r="C32" s="2" t="s">
        <v>213</v>
      </c>
      <c r="D32" s="8" t="n">
        <v>0</v>
      </c>
      <c r="E32" s="2" t="n">
        <v>0</v>
      </c>
      <c r="F32" s="11" t="n">
        <f aca="false">IFERROR(E32*100/D32,0)</f>
        <v>0</v>
      </c>
      <c r="G32" s="2" t="n">
        <v>0</v>
      </c>
      <c r="H32" s="2" t="n">
        <v>0</v>
      </c>
      <c r="I32" s="10" t="n">
        <f aca="false">IFERROR(H32*1000/D32,0)</f>
        <v>0</v>
      </c>
      <c r="J32" s="12" t="n">
        <v>0</v>
      </c>
      <c r="K32" s="33" t="n">
        <v>0</v>
      </c>
      <c r="L32" s="8" t="n">
        <v>9</v>
      </c>
      <c r="M32" s="32" t="s">
        <v>171</v>
      </c>
      <c r="N32" s="2" t="n">
        <v>1</v>
      </c>
    </row>
    <row r="33" customFormat="false" ht="15" hidden="false" customHeight="false" outlineLevel="0" collapsed="false">
      <c r="A33" s="7" t="s">
        <v>35</v>
      </c>
      <c r="B33" s="7" t="s">
        <v>214</v>
      </c>
      <c r="C33" s="7" t="s">
        <v>215</v>
      </c>
      <c r="D33" s="8" t="n">
        <v>0</v>
      </c>
      <c r="E33" s="2" t="n">
        <v>0</v>
      </c>
      <c r="F33" s="11" t="n">
        <f aca="false">IFERROR(E33*100/D33,0)</f>
        <v>0</v>
      </c>
      <c r="G33" s="2" t="n">
        <v>0</v>
      </c>
      <c r="H33" s="2" t="n">
        <v>0</v>
      </c>
      <c r="I33" s="10" t="n">
        <f aca="false">IFERROR(H33*1000/D33,0)</f>
        <v>0</v>
      </c>
      <c r="J33" s="12" t="n">
        <v>0</v>
      </c>
      <c r="K33" s="33" t="n">
        <v>0</v>
      </c>
      <c r="L33" s="8" t="n">
        <v>3</v>
      </c>
      <c r="M33" s="32" t="s">
        <v>171</v>
      </c>
      <c r="N33" s="2" t="n">
        <v>0</v>
      </c>
    </row>
    <row r="34" customFormat="false" ht="15" hidden="false" customHeight="false" outlineLevel="0" collapsed="false">
      <c r="A34" s="7" t="s">
        <v>35</v>
      </c>
      <c r="B34" s="7" t="s">
        <v>216</v>
      </c>
      <c r="C34" s="2" t="s">
        <v>217</v>
      </c>
      <c r="D34" s="8" t="n">
        <v>0</v>
      </c>
      <c r="E34" s="2" t="n">
        <v>0</v>
      </c>
      <c r="F34" s="11" t="n">
        <f aca="false">IFERROR(E34*100/D34,0)</f>
        <v>0</v>
      </c>
      <c r="G34" s="2" t="n">
        <v>0</v>
      </c>
      <c r="H34" s="2" t="n">
        <v>0</v>
      </c>
      <c r="I34" s="10" t="n">
        <f aca="false">IFERROR(H34*1000/D34,0)</f>
        <v>0</v>
      </c>
      <c r="J34" s="12" t="n">
        <v>0</v>
      </c>
      <c r="K34" s="33" t="n">
        <v>0</v>
      </c>
      <c r="L34" s="8" t="n">
        <v>0</v>
      </c>
      <c r="M34" s="32" t="s">
        <v>171</v>
      </c>
      <c r="N34" s="2" t="n">
        <v>1</v>
      </c>
    </row>
    <row r="35" customFormat="false" ht="15" hidden="false" customHeight="false" outlineLevel="0" collapsed="false">
      <c r="A35" s="7" t="s">
        <v>35</v>
      </c>
      <c r="B35" s="7" t="s">
        <v>218</v>
      </c>
      <c r="C35" s="2" t="s">
        <v>219</v>
      </c>
      <c r="D35" s="8" t="n">
        <v>0</v>
      </c>
      <c r="E35" s="2" t="n">
        <v>0</v>
      </c>
      <c r="F35" s="11" t="n">
        <f aca="false">IFERROR(E35*100/D35,0)</f>
        <v>0</v>
      </c>
      <c r="G35" s="2" t="n">
        <v>0</v>
      </c>
      <c r="H35" s="2" t="n">
        <v>0</v>
      </c>
      <c r="I35" s="10" t="n">
        <f aca="false">IFERROR(H35*1000/D35,0)</f>
        <v>0</v>
      </c>
      <c r="J35" s="12" t="n">
        <v>0</v>
      </c>
      <c r="K35" s="33" t="n">
        <v>0</v>
      </c>
      <c r="L35" s="8" t="n">
        <v>0</v>
      </c>
      <c r="M35" s="32" t="s">
        <v>171</v>
      </c>
      <c r="N35" s="2" t="n">
        <v>1</v>
      </c>
    </row>
    <row r="36" customFormat="false" ht="15" hidden="false" customHeight="false" outlineLevel="0" collapsed="false">
      <c r="A36" s="7" t="s">
        <v>35</v>
      </c>
      <c r="B36" s="7" t="s">
        <v>220</v>
      </c>
      <c r="C36" s="2" t="s">
        <v>221</v>
      </c>
      <c r="D36" s="8" t="n">
        <v>0</v>
      </c>
      <c r="E36" s="2" t="n">
        <v>0</v>
      </c>
      <c r="F36" s="11" t="n">
        <f aca="false">IFERROR(E36*100/D36,0)</f>
        <v>0</v>
      </c>
      <c r="G36" s="2" t="n">
        <v>0</v>
      </c>
      <c r="H36" s="2" t="n">
        <v>0</v>
      </c>
      <c r="I36" s="10" t="n">
        <f aca="false">IFERROR(H36*1000/D36,0)</f>
        <v>0</v>
      </c>
      <c r="J36" s="12" t="n">
        <v>0</v>
      </c>
      <c r="K36" s="33" t="n">
        <v>0</v>
      </c>
      <c r="L36" s="8" t="n">
        <v>0</v>
      </c>
      <c r="M36" s="32" t="s">
        <v>171</v>
      </c>
      <c r="N36" s="2" t="n">
        <v>1</v>
      </c>
    </row>
    <row r="37" customFormat="false" ht="15" hidden="false" customHeight="false" outlineLevel="0" collapsed="false">
      <c r="A37" s="7" t="s">
        <v>35</v>
      </c>
      <c r="B37" s="7" t="s">
        <v>222</v>
      </c>
      <c r="C37" s="2" t="s">
        <v>223</v>
      </c>
      <c r="D37" s="8" t="n">
        <v>0</v>
      </c>
      <c r="E37" s="2" t="n">
        <v>0</v>
      </c>
      <c r="F37" s="11" t="n">
        <f aca="false">IFERROR(E37*100/D37,0)</f>
        <v>0</v>
      </c>
      <c r="G37" s="2" t="n">
        <v>0</v>
      </c>
      <c r="H37" s="2" t="n">
        <v>0</v>
      </c>
      <c r="I37" s="10" t="n">
        <f aca="false">IFERROR(H37*1000/D37,0)</f>
        <v>0</v>
      </c>
      <c r="J37" s="12" t="n">
        <v>0</v>
      </c>
      <c r="K37" s="33" t="n">
        <v>0</v>
      </c>
      <c r="L37" s="8" t="n">
        <v>0</v>
      </c>
      <c r="M37" s="32" t="s">
        <v>171</v>
      </c>
      <c r="N37" s="2" t="n">
        <v>1</v>
      </c>
    </row>
    <row r="38" customFormat="false" ht="15" hidden="false" customHeight="false" outlineLevel="0" collapsed="false">
      <c r="A38" s="7" t="s">
        <v>35</v>
      </c>
      <c r="B38" s="7" t="s">
        <v>224</v>
      </c>
      <c r="C38" s="2" t="s">
        <v>225</v>
      </c>
      <c r="D38" s="8" t="n">
        <v>0</v>
      </c>
      <c r="E38" s="2" t="n">
        <v>0</v>
      </c>
      <c r="F38" s="11" t="n">
        <f aca="false">IFERROR(E38*100/D38,0)</f>
        <v>0</v>
      </c>
      <c r="G38" s="2" t="n">
        <v>0</v>
      </c>
      <c r="H38" s="2" t="n">
        <v>0</v>
      </c>
      <c r="I38" s="10" t="n">
        <f aca="false">IFERROR(H38*1000/D38,0)</f>
        <v>0</v>
      </c>
      <c r="J38" s="12" t="n">
        <v>0</v>
      </c>
      <c r="K38" s="33" t="n">
        <v>0</v>
      </c>
      <c r="L38" s="8" t="n">
        <v>0</v>
      </c>
      <c r="M38" s="32" t="s">
        <v>171</v>
      </c>
      <c r="N38" s="2" t="n">
        <v>1</v>
      </c>
    </row>
    <row r="39" customFormat="false" ht="15" hidden="false" customHeight="false" outlineLevel="0" collapsed="false">
      <c r="A39" s="7" t="s">
        <v>35</v>
      </c>
      <c r="B39" s="7" t="s">
        <v>226</v>
      </c>
      <c r="C39" s="2" t="s">
        <v>227</v>
      </c>
      <c r="D39" s="8" t="n">
        <v>0</v>
      </c>
      <c r="E39" s="2" t="n">
        <v>0</v>
      </c>
      <c r="F39" s="11" t="n">
        <f aca="false">IFERROR(E39*100/D39,0)</f>
        <v>0</v>
      </c>
      <c r="G39" s="2" t="n">
        <v>0</v>
      </c>
      <c r="H39" s="2" t="n">
        <v>0</v>
      </c>
      <c r="I39" s="10" t="n">
        <f aca="false">IFERROR(H39*1000/D39,0)</f>
        <v>0</v>
      </c>
      <c r="J39" s="12" t="n">
        <v>0</v>
      </c>
      <c r="K39" s="33" t="n">
        <v>0</v>
      </c>
      <c r="L39" s="8" t="n">
        <v>0</v>
      </c>
      <c r="M39" s="32" t="s">
        <v>171</v>
      </c>
      <c r="N39" s="2" t="n">
        <v>1</v>
      </c>
    </row>
    <row r="40" customFormat="false" ht="15" hidden="false" customHeight="false" outlineLevel="0" collapsed="false">
      <c r="A40" s="7" t="s">
        <v>31</v>
      </c>
      <c r="B40" s="7" t="s">
        <v>228</v>
      </c>
      <c r="C40" s="2" t="s">
        <v>229</v>
      </c>
      <c r="D40" s="8" t="n">
        <v>973</v>
      </c>
      <c r="E40" s="2" t="n">
        <v>10</v>
      </c>
      <c r="F40" s="11" t="n">
        <f aca="false">IFERROR(E40*100/D40,0)</f>
        <v>1.02774922918808</v>
      </c>
      <c r="G40" s="2" t="n">
        <v>0</v>
      </c>
      <c r="H40" s="2" t="n">
        <v>0</v>
      </c>
      <c r="I40" s="10" t="n">
        <f aca="false">IFERROR(H40*1000/D40,0)</f>
        <v>0</v>
      </c>
      <c r="J40" s="12" t="n">
        <v>40.26</v>
      </c>
      <c r="K40" s="33" t="n">
        <v>0</v>
      </c>
      <c r="L40" s="8" t="n">
        <v>47</v>
      </c>
      <c r="M40" s="24" t="s">
        <v>158</v>
      </c>
      <c r="N40" s="2" t="n">
        <v>1</v>
      </c>
    </row>
    <row r="41" customFormat="false" ht="15" hidden="false" customHeight="false" outlineLevel="0" collapsed="false">
      <c r="A41" s="7" t="s">
        <v>31</v>
      </c>
      <c r="B41" s="7" t="s">
        <v>196</v>
      </c>
      <c r="C41" s="2" t="s">
        <v>230</v>
      </c>
      <c r="D41" s="8" t="n">
        <v>951</v>
      </c>
      <c r="E41" s="2" t="n">
        <v>12</v>
      </c>
      <c r="F41" s="11" t="n">
        <f aca="false">IFERROR(E41*100/D41,0)</f>
        <v>1.26182965299685</v>
      </c>
      <c r="G41" s="2" t="n">
        <v>0</v>
      </c>
      <c r="H41" s="2" t="n">
        <v>2</v>
      </c>
      <c r="I41" s="10" t="n">
        <f aca="false">IFERROR(H41*1000/D41,0)</f>
        <v>2.10304942166141</v>
      </c>
      <c r="J41" s="12" t="n">
        <v>42.65</v>
      </c>
      <c r="K41" s="33" t="n">
        <v>1.0752688172043</v>
      </c>
      <c r="L41" s="8" t="n">
        <v>93</v>
      </c>
      <c r="M41" s="24" t="s">
        <v>158</v>
      </c>
      <c r="N41" s="2" t="n">
        <v>0</v>
      </c>
    </row>
    <row r="42" customFormat="false" ht="15" hidden="false" customHeight="false" outlineLevel="0" collapsed="false">
      <c r="A42" s="7" t="s">
        <v>31</v>
      </c>
      <c r="B42" s="7" t="s">
        <v>231</v>
      </c>
      <c r="C42" s="2" t="s">
        <v>232</v>
      </c>
      <c r="D42" s="8" t="n">
        <v>1115</v>
      </c>
      <c r="E42" s="2" t="n">
        <v>10</v>
      </c>
      <c r="F42" s="11" t="n">
        <f aca="false">IFERROR(E42*100/D42,0)</f>
        <v>0.896860986547085</v>
      </c>
      <c r="G42" s="2" t="n">
        <v>0</v>
      </c>
      <c r="H42" s="2" t="n">
        <v>0</v>
      </c>
      <c r="I42" s="10" t="n">
        <f aca="false">IFERROR(H42*1000/D42,0)</f>
        <v>0</v>
      </c>
      <c r="J42" s="12" t="n">
        <v>46.54</v>
      </c>
      <c r="K42" s="33" t="n">
        <v>0</v>
      </c>
      <c r="L42" s="8" t="n">
        <v>38</v>
      </c>
      <c r="M42" s="24" t="s">
        <v>158</v>
      </c>
      <c r="N42" s="2" t="n">
        <v>1</v>
      </c>
    </row>
    <row r="43" customFormat="false" ht="15" hidden="false" customHeight="false" outlineLevel="0" collapsed="false">
      <c r="A43" s="7" t="s">
        <v>31</v>
      </c>
      <c r="B43" s="7" t="s">
        <v>233</v>
      </c>
      <c r="C43" s="2" t="s">
        <v>234</v>
      </c>
      <c r="D43" s="8" t="n">
        <v>1048</v>
      </c>
      <c r="E43" s="2" t="n">
        <v>15</v>
      </c>
      <c r="F43" s="11" t="n">
        <f aca="false">IFERROR(E43*100/D43,0)</f>
        <v>1.43129770992366</v>
      </c>
      <c r="G43" s="2" t="n">
        <v>0</v>
      </c>
      <c r="H43" s="2" t="n">
        <v>0</v>
      </c>
      <c r="I43" s="10" t="n">
        <f aca="false">IFERROR(H43*1000/D43,0)</f>
        <v>0</v>
      </c>
      <c r="J43" s="12" t="n">
        <v>45.93</v>
      </c>
      <c r="K43" s="33" t="n">
        <v>1.75438596491228</v>
      </c>
      <c r="L43" s="8" t="n">
        <v>114</v>
      </c>
      <c r="M43" s="24" t="s">
        <v>158</v>
      </c>
      <c r="N43" s="2" t="n">
        <v>1</v>
      </c>
    </row>
    <row r="44" customFormat="false" ht="15" hidden="false" customHeight="false" outlineLevel="0" collapsed="false">
      <c r="A44" s="7" t="s">
        <v>31</v>
      </c>
      <c r="B44" s="7" t="s">
        <v>200</v>
      </c>
      <c r="C44" s="2" t="s">
        <v>235</v>
      </c>
      <c r="D44" s="8" t="n">
        <v>907</v>
      </c>
      <c r="E44" s="2" t="n">
        <v>12</v>
      </c>
      <c r="F44" s="11" t="n">
        <f aca="false">IFERROR(E44*100/D44,0)</f>
        <v>1.32304299889746</v>
      </c>
      <c r="G44" s="2" t="n">
        <v>0</v>
      </c>
      <c r="H44" s="2" t="n">
        <v>3</v>
      </c>
      <c r="I44" s="10" t="n">
        <f aca="false">IFERROR(H44*1000/D44,0)</f>
        <v>3.30760749724366</v>
      </c>
      <c r="J44" s="12" t="n">
        <v>68.98</v>
      </c>
      <c r="K44" s="33" t="n">
        <v>0</v>
      </c>
      <c r="L44" s="8" t="n">
        <v>23</v>
      </c>
      <c r="M44" s="24" t="s">
        <v>158</v>
      </c>
      <c r="N44" s="2" t="n">
        <v>0</v>
      </c>
    </row>
    <row r="45" customFormat="false" ht="15" hidden="false" customHeight="false" outlineLevel="0" collapsed="false">
      <c r="A45" s="7" t="s">
        <v>31</v>
      </c>
      <c r="B45" s="7" t="s">
        <v>236</v>
      </c>
      <c r="C45" s="2" t="s">
        <v>237</v>
      </c>
      <c r="D45" s="8" t="n">
        <v>1134</v>
      </c>
      <c r="E45" s="2" t="n">
        <v>15</v>
      </c>
      <c r="F45" s="11" t="n">
        <f aca="false">IFERROR(E45*100/D45,0)</f>
        <v>1.32275132275132</v>
      </c>
      <c r="G45" s="2" t="n">
        <v>0</v>
      </c>
      <c r="H45" s="2" t="n">
        <v>2</v>
      </c>
      <c r="I45" s="10" t="n">
        <f aca="false">IFERROR(H45*1000/D45,0)</f>
        <v>1.7636684303351</v>
      </c>
      <c r="J45" s="12" t="n">
        <v>38.08</v>
      </c>
      <c r="K45" s="33" t="n">
        <v>0</v>
      </c>
      <c r="L45" s="8" t="n">
        <v>23</v>
      </c>
      <c r="M45" s="24" t="s">
        <v>158</v>
      </c>
      <c r="N45" s="2" t="n">
        <v>1</v>
      </c>
    </row>
    <row r="46" customFormat="false" ht="15" hidden="false" customHeight="false" outlineLevel="0" collapsed="false">
      <c r="A46" s="7" t="s">
        <v>31</v>
      </c>
      <c r="B46" s="7" t="s">
        <v>206</v>
      </c>
      <c r="C46" s="2" t="s">
        <v>238</v>
      </c>
      <c r="D46" s="8" t="n">
        <v>0</v>
      </c>
      <c r="E46" s="2" t="n">
        <v>0</v>
      </c>
      <c r="F46" s="11" t="n">
        <f aca="false">IFERROR(E46*100/D46,0)</f>
        <v>0</v>
      </c>
      <c r="G46" s="2" t="n">
        <v>0</v>
      </c>
      <c r="H46" s="2" t="n">
        <v>0</v>
      </c>
      <c r="I46" s="10" t="n">
        <f aca="false">IFERROR(H46*1000/D46,0)</f>
        <v>0</v>
      </c>
      <c r="J46" s="12" t="n">
        <v>0</v>
      </c>
      <c r="K46" s="33" t="n">
        <v>4.76190476190476</v>
      </c>
      <c r="L46" s="8" t="n">
        <v>21</v>
      </c>
      <c r="M46" s="32" t="s">
        <v>171</v>
      </c>
      <c r="N46" s="2" t="n">
        <v>1</v>
      </c>
    </row>
    <row r="47" customFormat="false" ht="15" hidden="false" customHeight="false" outlineLevel="0" collapsed="false">
      <c r="A47" s="7" t="s">
        <v>31</v>
      </c>
      <c r="B47" s="7" t="s">
        <v>239</v>
      </c>
      <c r="C47" s="2" t="s">
        <v>240</v>
      </c>
      <c r="D47" s="8" t="n">
        <v>0</v>
      </c>
      <c r="E47" s="2" t="n">
        <v>0</v>
      </c>
      <c r="F47" s="11" t="n">
        <f aca="false">IFERROR(E47*100/D47,0)</f>
        <v>0</v>
      </c>
      <c r="G47" s="2" t="n">
        <v>0</v>
      </c>
      <c r="H47" s="2" t="n">
        <v>0</v>
      </c>
      <c r="I47" s="10" t="n">
        <f aca="false">IFERROR(H47*1000/D47,0)</f>
        <v>0</v>
      </c>
      <c r="J47" s="12" t="n">
        <v>0</v>
      </c>
      <c r="K47" s="33" t="n">
        <v>0</v>
      </c>
      <c r="L47" s="8" t="n">
        <v>31</v>
      </c>
      <c r="M47" s="32" t="s">
        <v>171</v>
      </c>
      <c r="N47" s="2" t="n">
        <v>1</v>
      </c>
    </row>
    <row r="48" customFormat="false" ht="15" hidden="false" customHeight="false" outlineLevel="0" collapsed="false">
      <c r="A48" s="7" t="s">
        <v>31</v>
      </c>
      <c r="B48" s="7" t="s">
        <v>212</v>
      </c>
      <c r="C48" s="2" t="s">
        <v>241</v>
      </c>
      <c r="D48" s="8" t="n">
        <v>0</v>
      </c>
      <c r="E48" s="2" t="n">
        <v>0</v>
      </c>
      <c r="F48" s="11" t="n">
        <f aca="false">IFERROR(E48*100/D48,0)</f>
        <v>0</v>
      </c>
      <c r="G48" s="2" t="n">
        <v>0</v>
      </c>
      <c r="H48" s="2" t="n">
        <v>0</v>
      </c>
      <c r="I48" s="10" t="n">
        <f aca="false">IFERROR(H48*1000/D48,0)</f>
        <v>0</v>
      </c>
      <c r="J48" s="12" t="n">
        <v>0</v>
      </c>
      <c r="K48" s="33" t="n">
        <v>0</v>
      </c>
      <c r="L48" s="8" t="n">
        <v>9</v>
      </c>
      <c r="M48" s="32" t="s">
        <v>171</v>
      </c>
      <c r="N48" s="2" t="n">
        <v>1</v>
      </c>
    </row>
    <row r="49" customFormat="false" ht="15" hidden="false" customHeight="false" outlineLevel="0" collapsed="false">
      <c r="A49" s="7" t="s">
        <v>31</v>
      </c>
      <c r="B49" s="7" t="s">
        <v>214</v>
      </c>
      <c r="C49" s="2" t="s">
        <v>242</v>
      </c>
      <c r="D49" s="8" t="n">
        <v>0</v>
      </c>
      <c r="E49" s="2" t="n">
        <v>0</v>
      </c>
      <c r="F49" s="11" t="n">
        <f aca="false">IFERROR(E49*100/D49,0)</f>
        <v>0</v>
      </c>
      <c r="G49" s="2" t="n">
        <v>0</v>
      </c>
      <c r="H49" s="2" t="n">
        <v>0</v>
      </c>
      <c r="I49" s="10" t="n">
        <f aca="false">IFERROR(H49*1000/D49,0)</f>
        <v>0</v>
      </c>
      <c r="J49" s="12" t="n">
        <v>0</v>
      </c>
      <c r="K49" s="33" t="n">
        <v>0</v>
      </c>
      <c r="L49" s="8" t="n">
        <v>5</v>
      </c>
      <c r="M49" s="32" t="s">
        <v>171</v>
      </c>
      <c r="N49" s="2" t="n">
        <v>1</v>
      </c>
    </row>
    <row r="50" customFormat="false" ht="15" hidden="false" customHeight="false" outlineLevel="0" collapsed="false">
      <c r="A50" s="7" t="s">
        <v>31</v>
      </c>
      <c r="B50" s="7" t="s">
        <v>216</v>
      </c>
      <c r="C50" s="2" t="s">
        <v>243</v>
      </c>
      <c r="D50" s="8" t="n">
        <v>0</v>
      </c>
      <c r="E50" s="2" t="n">
        <v>0</v>
      </c>
      <c r="F50" s="11" t="n">
        <f aca="false">IFERROR(E50*100/D50,0)</f>
        <v>0</v>
      </c>
      <c r="G50" s="2" t="n">
        <v>0</v>
      </c>
      <c r="H50" s="2" t="n">
        <v>0</v>
      </c>
      <c r="I50" s="10" t="n">
        <f aca="false">IFERROR(H50*1000/D50,0)</f>
        <v>0</v>
      </c>
      <c r="J50" s="12" t="n">
        <v>0</v>
      </c>
      <c r="K50" s="33" t="n">
        <v>0</v>
      </c>
      <c r="L50" s="8" t="n">
        <v>0</v>
      </c>
      <c r="M50" s="32" t="s">
        <v>171</v>
      </c>
      <c r="N50" s="2" t="n">
        <v>1</v>
      </c>
    </row>
    <row r="51" customFormat="false" ht="15" hidden="false" customHeight="false" outlineLevel="0" collapsed="false">
      <c r="A51" s="7" t="s">
        <v>31</v>
      </c>
      <c r="B51" s="7" t="s">
        <v>244</v>
      </c>
      <c r="C51" s="2" t="s">
        <v>245</v>
      </c>
      <c r="D51" s="8" t="n">
        <v>0</v>
      </c>
      <c r="E51" s="2" t="n">
        <v>0</v>
      </c>
      <c r="F51" s="11" t="n">
        <f aca="false">IFERROR(E51*100/D51,0)</f>
        <v>0</v>
      </c>
      <c r="G51" s="2" t="n">
        <v>0</v>
      </c>
      <c r="H51" s="2" t="n">
        <v>0</v>
      </c>
      <c r="I51" s="10" t="n">
        <f aca="false">IFERROR(H51*1000/D51,0)</f>
        <v>0</v>
      </c>
      <c r="J51" s="12" t="n">
        <v>0</v>
      </c>
      <c r="K51" s="33" t="n">
        <v>0</v>
      </c>
      <c r="L51" s="8" t="n">
        <v>0</v>
      </c>
      <c r="M51" s="32" t="s">
        <v>171</v>
      </c>
      <c r="N51" s="2" t="n">
        <v>1</v>
      </c>
    </row>
    <row r="52" customFormat="false" ht="15" hidden="false" customHeight="false" outlineLevel="0" collapsed="false">
      <c r="A52" s="7" t="s">
        <v>31</v>
      </c>
      <c r="B52" s="7" t="s">
        <v>222</v>
      </c>
      <c r="C52" s="2" t="s">
        <v>246</v>
      </c>
      <c r="D52" s="8" t="n">
        <v>0</v>
      </c>
      <c r="E52" s="2" t="n">
        <v>0</v>
      </c>
      <c r="F52" s="11" t="n">
        <f aca="false">IFERROR(E52*100/D52,0)</f>
        <v>0</v>
      </c>
      <c r="G52" s="2" t="n">
        <v>0</v>
      </c>
      <c r="H52" s="2" t="n">
        <v>0</v>
      </c>
      <c r="I52" s="10" t="n">
        <f aca="false">IFERROR(H52*1000/D52,0)</f>
        <v>0</v>
      </c>
      <c r="J52" s="12" t="n">
        <v>0</v>
      </c>
      <c r="K52" s="33" t="n">
        <v>0</v>
      </c>
      <c r="L52" s="8" t="n">
        <v>0</v>
      </c>
      <c r="M52" s="32" t="s">
        <v>171</v>
      </c>
      <c r="N52" s="2" t="n">
        <v>1</v>
      </c>
    </row>
    <row r="53" customFormat="false" ht="15" hidden="false" customHeight="false" outlineLevel="0" collapsed="false">
      <c r="A53" s="7" t="s">
        <v>31</v>
      </c>
      <c r="B53" s="7" t="s">
        <v>224</v>
      </c>
      <c r="C53" s="2" t="s">
        <v>247</v>
      </c>
      <c r="D53" s="8" t="n">
        <v>0</v>
      </c>
      <c r="E53" s="2" t="n">
        <v>0</v>
      </c>
      <c r="F53" s="11" t="n">
        <f aca="false">IFERROR(E53*100/D53,0)</f>
        <v>0</v>
      </c>
      <c r="G53" s="2" t="n">
        <v>0</v>
      </c>
      <c r="H53" s="2" t="n">
        <v>0</v>
      </c>
      <c r="I53" s="10" t="n">
        <f aca="false">IFERROR(H53*1000/D53,0)</f>
        <v>0</v>
      </c>
      <c r="J53" s="12" t="n">
        <v>0</v>
      </c>
      <c r="K53" s="33" t="n">
        <v>0</v>
      </c>
      <c r="L53" s="8" t="n">
        <v>0</v>
      </c>
      <c r="M53" s="32" t="s">
        <v>171</v>
      </c>
      <c r="N53" s="2" t="n">
        <v>1</v>
      </c>
    </row>
    <row r="54" customFormat="false" ht="15" hidden="false" customHeight="false" outlineLevel="0" collapsed="false">
      <c r="A54" s="7" t="s">
        <v>41</v>
      </c>
      <c r="B54" s="7" t="s">
        <v>248</v>
      </c>
      <c r="C54" s="2" t="s">
        <v>249</v>
      </c>
      <c r="D54" s="8" t="n">
        <v>0</v>
      </c>
      <c r="E54" s="2" t="n">
        <v>0</v>
      </c>
      <c r="F54" s="11" t="n">
        <f aca="false">IFERROR(E54*100/D54,0)</f>
        <v>0</v>
      </c>
      <c r="G54" s="2" t="n">
        <v>0</v>
      </c>
      <c r="H54" s="2" t="n">
        <v>0</v>
      </c>
      <c r="I54" s="10" t="n">
        <f aca="false">IFERROR(H54*1000/D54,0)</f>
        <v>0</v>
      </c>
      <c r="J54" s="12" t="n">
        <v>0</v>
      </c>
      <c r="K54" s="33" t="n">
        <v>0</v>
      </c>
      <c r="L54" s="8" t="n">
        <v>0</v>
      </c>
      <c r="M54" s="32" t="s">
        <v>171</v>
      </c>
      <c r="N54" s="2" t="n">
        <v>1</v>
      </c>
    </row>
    <row r="55" customFormat="false" ht="15" hidden="false" customHeight="false" outlineLevel="0" collapsed="false">
      <c r="A55" s="7" t="s">
        <v>41</v>
      </c>
      <c r="B55" s="7" t="s">
        <v>250</v>
      </c>
      <c r="C55" s="2" t="s">
        <v>251</v>
      </c>
      <c r="D55" s="8" t="n">
        <v>0</v>
      </c>
      <c r="E55" s="2" t="n">
        <v>0</v>
      </c>
      <c r="F55" s="11" t="n">
        <f aca="false">IFERROR(E55*100/D55,0)</f>
        <v>0</v>
      </c>
      <c r="G55" s="2" t="n">
        <v>0</v>
      </c>
      <c r="H55" s="2" t="n">
        <v>0</v>
      </c>
      <c r="I55" s="10" t="n">
        <f aca="false">IFERROR(H55*1000/D55,0)</f>
        <v>0</v>
      </c>
      <c r="J55" s="12" t="n">
        <v>0</v>
      </c>
      <c r="K55" s="33" t="n">
        <v>0</v>
      </c>
      <c r="L55" s="8" t="n">
        <v>0</v>
      </c>
      <c r="M55" s="32" t="s">
        <v>171</v>
      </c>
      <c r="N55" s="2" t="n">
        <v>0</v>
      </c>
    </row>
    <row r="56" customFormat="false" ht="15" hidden="false" customHeight="false" outlineLevel="0" collapsed="false">
      <c r="A56" s="7" t="s">
        <v>41</v>
      </c>
      <c r="B56" s="7" t="s">
        <v>252</v>
      </c>
      <c r="C56" s="2" t="s">
        <v>253</v>
      </c>
      <c r="D56" s="8" t="n">
        <v>0</v>
      </c>
      <c r="E56" s="2" t="n">
        <v>0</v>
      </c>
      <c r="F56" s="11" t="n">
        <f aca="false">IFERROR(E56*100/D56,0)</f>
        <v>0</v>
      </c>
      <c r="G56" s="2" t="n">
        <v>0</v>
      </c>
      <c r="H56" s="2" t="n">
        <v>0</v>
      </c>
      <c r="I56" s="10" t="n">
        <f aca="false">IFERROR(H56*1000/D56,0)</f>
        <v>0</v>
      </c>
      <c r="J56" s="12" t="n">
        <v>0</v>
      </c>
      <c r="K56" s="33" t="n">
        <v>0</v>
      </c>
      <c r="L56" s="8" t="n">
        <v>0</v>
      </c>
      <c r="M56" s="32" t="s">
        <v>171</v>
      </c>
      <c r="N56" s="2" t="n">
        <v>1</v>
      </c>
    </row>
    <row r="57" customFormat="false" ht="15" hidden="false" customHeight="false" outlineLevel="0" collapsed="false">
      <c r="A57" s="7" t="s">
        <v>41</v>
      </c>
      <c r="B57" s="7" t="s">
        <v>254</v>
      </c>
      <c r="C57" s="2" t="s">
        <v>255</v>
      </c>
      <c r="D57" s="8" t="n">
        <v>0</v>
      </c>
      <c r="E57" s="2" t="n">
        <v>0</v>
      </c>
      <c r="F57" s="11" t="n">
        <f aca="false">IFERROR(E57*100/D57,0)</f>
        <v>0</v>
      </c>
      <c r="G57" s="2" t="n">
        <v>0</v>
      </c>
      <c r="H57" s="2" t="n">
        <v>0</v>
      </c>
      <c r="I57" s="10" t="n">
        <f aca="false">IFERROR(H57*1000/D57,0)</f>
        <v>0</v>
      </c>
      <c r="J57" s="12" t="n">
        <v>0</v>
      </c>
      <c r="K57" s="33" t="n">
        <v>0</v>
      </c>
      <c r="L57" s="8" t="n">
        <v>0</v>
      </c>
      <c r="M57" s="32" t="s">
        <v>171</v>
      </c>
      <c r="N57" s="2" t="n">
        <v>0</v>
      </c>
    </row>
    <row r="58" customFormat="false" ht="15" hidden="false" customHeight="false" outlineLevel="0" collapsed="false">
      <c r="A58" s="7" t="s">
        <v>41</v>
      </c>
      <c r="B58" s="7" t="s">
        <v>200</v>
      </c>
      <c r="C58" s="2" t="s">
        <v>256</v>
      </c>
      <c r="D58" s="8" t="n">
        <v>0</v>
      </c>
      <c r="E58" s="2" t="n">
        <v>0</v>
      </c>
      <c r="F58" s="11" t="n">
        <f aca="false">IFERROR(E58*100/D58,0)</f>
        <v>0</v>
      </c>
      <c r="G58" s="2" t="n">
        <v>0</v>
      </c>
      <c r="H58" s="2" t="n">
        <v>0</v>
      </c>
      <c r="I58" s="10" t="n">
        <f aca="false">IFERROR(H58*1000/D58,0)</f>
        <v>0</v>
      </c>
      <c r="J58" s="12" t="n">
        <v>0</v>
      </c>
      <c r="K58" s="33" t="n">
        <v>0</v>
      </c>
      <c r="L58" s="8" t="n">
        <v>0</v>
      </c>
      <c r="M58" s="32" t="s">
        <v>171</v>
      </c>
      <c r="N58" s="2" t="n">
        <v>0</v>
      </c>
    </row>
    <row r="59" customFormat="false" ht="15" hidden="false" customHeight="false" outlineLevel="0" collapsed="false">
      <c r="A59" s="7" t="s">
        <v>41</v>
      </c>
      <c r="B59" s="7" t="s">
        <v>202</v>
      </c>
      <c r="C59" s="2" t="s">
        <v>257</v>
      </c>
      <c r="D59" s="8" t="n">
        <v>0</v>
      </c>
      <c r="E59" s="2" t="n">
        <v>0</v>
      </c>
      <c r="F59" s="11" t="n">
        <f aca="false">IFERROR(E59*100/D59,0)</f>
        <v>0</v>
      </c>
      <c r="G59" s="2" t="n">
        <v>0</v>
      </c>
      <c r="H59" s="2" t="n">
        <v>0</v>
      </c>
      <c r="I59" s="10" t="n">
        <f aca="false">IFERROR(H59*1000/D59,0)</f>
        <v>0</v>
      </c>
      <c r="J59" s="12" t="n">
        <v>0</v>
      </c>
      <c r="K59" s="33" t="n">
        <v>0</v>
      </c>
      <c r="L59" s="8" t="n">
        <v>0</v>
      </c>
      <c r="M59" s="32" t="s">
        <v>171</v>
      </c>
      <c r="N59" s="2" t="n">
        <v>1</v>
      </c>
    </row>
    <row r="60" customFormat="false" ht="15" hidden="false" customHeight="false" outlineLevel="0" collapsed="false">
      <c r="A60" s="7" t="s">
        <v>27</v>
      </c>
      <c r="B60" s="7" t="s">
        <v>258</v>
      </c>
      <c r="C60" s="7" t="s">
        <v>259</v>
      </c>
      <c r="D60" s="8" t="n">
        <v>892</v>
      </c>
      <c r="E60" s="2" t="n">
        <v>2</v>
      </c>
      <c r="F60" s="11" t="n">
        <f aca="false">IFERROR(E60*100/D60,0)</f>
        <v>0.224215246636771</v>
      </c>
      <c r="G60" s="2" t="n">
        <v>0</v>
      </c>
      <c r="H60" s="2" t="n">
        <v>0</v>
      </c>
      <c r="I60" s="10" t="n">
        <f aca="false">IFERROR(H60*1000/D60,0)</f>
        <v>0</v>
      </c>
      <c r="J60" s="12" t="n">
        <v>43.82</v>
      </c>
      <c r="K60" s="33" t="n">
        <v>1.5748031496063</v>
      </c>
      <c r="L60" s="8" t="n">
        <v>127</v>
      </c>
      <c r="M60" s="24" t="s">
        <v>158</v>
      </c>
      <c r="N60" s="2" t="n">
        <v>1</v>
      </c>
    </row>
    <row r="61" customFormat="false" ht="15" hidden="false" customHeight="false" outlineLevel="0" collapsed="false">
      <c r="A61" s="7" t="s">
        <v>27</v>
      </c>
      <c r="B61" s="7" t="s">
        <v>196</v>
      </c>
      <c r="C61" s="2" t="s">
        <v>260</v>
      </c>
      <c r="D61" s="8" t="n">
        <v>900</v>
      </c>
      <c r="E61" s="2" t="n">
        <v>4</v>
      </c>
      <c r="F61" s="11" t="n">
        <f aca="false">IFERROR(E61*100/D61,0)</f>
        <v>0.444444444444444</v>
      </c>
      <c r="G61" s="2" t="n">
        <v>0</v>
      </c>
      <c r="H61" s="2" t="n">
        <v>1</v>
      </c>
      <c r="I61" s="10" t="n">
        <f aca="false">IFERROR(H61*1000/D61,0)</f>
        <v>1.11111111111111</v>
      </c>
      <c r="J61" s="12" t="n">
        <v>48.55</v>
      </c>
      <c r="K61" s="33" t="n">
        <v>0</v>
      </c>
      <c r="L61" s="8" t="n">
        <v>79</v>
      </c>
      <c r="M61" s="24" t="s">
        <v>158</v>
      </c>
      <c r="N61" s="2" t="n">
        <v>1</v>
      </c>
    </row>
    <row r="62" customFormat="false" ht="15" hidden="false" customHeight="false" outlineLevel="0" collapsed="false">
      <c r="A62" s="7" t="s">
        <v>27</v>
      </c>
      <c r="B62" s="7" t="s">
        <v>252</v>
      </c>
      <c r="C62" s="7" t="s">
        <v>261</v>
      </c>
      <c r="D62" s="8" t="n">
        <v>182</v>
      </c>
      <c r="E62" s="2" t="n">
        <v>1</v>
      </c>
      <c r="F62" s="11" t="n">
        <f aca="false">IFERROR(E62*100/D62,0)</f>
        <v>0.54945054945055</v>
      </c>
      <c r="G62" s="2" t="n">
        <v>0</v>
      </c>
      <c r="H62" s="2" t="n">
        <v>1</v>
      </c>
      <c r="I62" s="10" t="n">
        <f aca="false">IFERROR(H62*1000/D62,0)</f>
        <v>5.49450549450549</v>
      </c>
      <c r="J62" s="12" t="n">
        <v>32.34</v>
      </c>
      <c r="K62" s="33" t="n">
        <v>0.925925925925926</v>
      </c>
      <c r="L62" s="8" t="n">
        <v>216</v>
      </c>
      <c r="M62" s="24" t="s">
        <v>158</v>
      </c>
      <c r="N62" s="2" t="n">
        <v>1</v>
      </c>
    </row>
    <row r="63" customFormat="false" ht="15" hidden="false" customHeight="false" outlineLevel="0" collapsed="false">
      <c r="A63" s="7" t="s">
        <v>27</v>
      </c>
      <c r="B63" s="7" t="s">
        <v>262</v>
      </c>
      <c r="C63" s="7" t="s">
        <v>263</v>
      </c>
      <c r="D63" s="8" t="n">
        <v>376</v>
      </c>
      <c r="E63" s="2" t="n">
        <v>4</v>
      </c>
      <c r="F63" s="11" t="n">
        <f aca="false">IFERROR(E63*100/D63,0)</f>
        <v>1.06382978723404</v>
      </c>
      <c r="G63" s="2" t="n">
        <v>0</v>
      </c>
      <c r="H63" s="2" t="n">
        <v>0</v>
      </c>
      <c r="I63" s="10" t="n">
        <f aca="false">IFERROR(H63*1000/D63,0)</f>
        <v>0</v>
      </c>
      <c r="J63" s="12" t="n">
        <v>152.7</v>
      </c>
      <c r="K63" s="33" t="n">
        <v>0.775193798449612</v>
      </c>
      <c r="L63" s="8" t="n">
        <v>258</v>
      </c>
      <c r="M63" s="24" t="s">
        <v>158</v>
      </c>
      <c r="N63" s="2" t="n">
        <v>1</v>
      </c>
    </row>
    <row r="64" customFormat="false" ht="15" hidden="false" customHeight="false" outlineLevel="0" collapsed="false">
      <c r="A64" s="7" t="s">
        <v>27</v>
      </c>
      <c r="B64" s="7" t="s">
        <v>200</v>
      </c>
      <c r="C64" s="7" t="s">
        <v>264</v>
      </c>
      <c r="D64" s="8" t="n">
        <v>914</v>
      </c>
      <c r="E64" s="2" t="n">
        <v>4</v>
      </c>
      <c r="F64" s="11" t="n">
        <f aca="false">IFERROR(E64*100/D64,0)</f>
        <v>0.437636761487965</v>
      </c>
      <c r="G64" s="2" t="n">
        <v>0</v>
      </c>
      <c r="H64" s="2" t="n">
        <v>2</v>
      </c>
      <c r="I64" s="10" t="n">
        <f aca="false">IFERROR(H64*1000/D64,0)</f>
        <v>2.18818380743982</v>
      </c>
      <c r="J64" s="12" t="n">
        <v>45.82</v>
      </c>
      <c r="K64" s="33" t="n">
        <v>0.580270793036751</v>
      </c>
      <c r="L64" s="8" t="n">
        <v>517</v>
      </c>
      <c r="M64" s="24" t="s">
        <v>158</v>
      </c>
      <c r="N64" s="2" t="n">
        <v>0</v>
      </c>
    </row>
    <row r="65" customFormat="false" ht="15" hidden="false" customHeight="false" outlineLevel="0" collapsed="false">
      <c r="A65" s="7" t="s">
        <v>27</v>
      </c>
      <c r="B65" s="7" t="s">
        <v>202</v>
      </c>
      <c r="C65" s="7" t="s">
        <v>265</v>
      </c>
      <c r="D65" s="8" t="n">
        <v>138</v>
      </c>
      <c r="E65" s="2" t="n">
        <v>0</v>
      </c>
      <c r="F65" s="11" t="n">
        <f aca="false">IFERROR(E65*100/D65,0)</f>
        <v>0</v>
      </c>
      <c r="G65" s="2" t="n">
        <v>0</v>
      </c>
      <c r="H65" s="2" t="n">
        <v>0</v>
      </c>
      <c r="I65" s="10" t="n">
        <f aca="false">IFERROR(H65*1000/D65,0)</f>
        <v>0</v>
      </c>
      <c r="J65" s="12" t="n">
        <v>40.74</v>
      </c>
      <c r="K65" s="33" t="n">
        <v>0.660501981505945</v>
      </c>
      <c r="L65" s="8" t="n">
        <v>757</v>
      </c>
      <c r="M65" s="24" t="s">
        <v>158</v>
      </c>
      <c r="N65" s="2" t="n">
        <v>1</v>
      </c>
    </row>
    <row r="66" customFormat="false" ht="15" hidden="false" customHeight="false" outlineLevel="0" collapsed="false">
      <c r="A66" s="7" t="s">
        <v>27</v>
      </c>
      <c r="B66" s="7" t="s">
        <v>266</v>
      </c>
      <c r="C66" s="2" t="s">
        <v>267</v>
      </c>
      <c r="D66" s="8" t="n">
        <v>1030</v>
      </c>
      <c r="E66" s="2" t="n">
        <v>5</v>
      </c>
      <c r="F66" s="11" t="n">
        <f aca="false">IFERROR(E66*100/D66,0)</f>
        <v>0.485436893203884</v>
      </c>
      <c r="G66" s="2" t="n">
        <v>0</v>
      </c>
      <c r="H66" s="2" t="n">
        <v>0</v>
      </c>
      <c r="I66" s="10" t="n">
        <f aca="false">IFERROR(H66*1000/D66,0)</f>
        <v>0</v>
      </c>
      <c r="J66" s="12" t="n">
        <v>39.09</v>
      </c>
      <c r="K66" s="33" t="n">
        <v>1.37614678899083</v>
      </c>
      <c r="L66" s="8" t="n">
        <v>654</v>
      </c>
      <c r="M66" s="24" t="s">
        <v>158</v>
      </c>
      <c r="N66" s="2" t="n">
        <v>1</v>
      </c>
    </row>
    <row r="67" customFormat="false" ht="15" hidden="false" customHeight="false" outlineLevel="0" collapsed="false">
      <c r="A67" s="7" t="s">
        <v>27</v>
      </c>
      <c r="B67" s="7" t="s">
        <v>208</v>
      </c>
      <c r="C67" s="7" t="s">
        <v>268</v>
      </c>
      <c r="D67" s="8" t="n">
        <v>0</v>
      </c>
      <c r="E67" s="2" t="n">
        <v>0</v>
      </c>
      <c r="F67" s="11" t="n">
        <f aca="false">IFERROR(E67*100/D67,0)</f>
        <v>0</v>
      </c>
      <c r="G67" s="2" t="n">
        <v>0</v>
      </c>
      <c r="H67" s="2" t="n">
        <v>0</v>
      </c>
      <c r="I67" s="10" t="n">
        <f aca="false">IFERROR(H67*1000/D67,0)</f>
        <v>0</v>
      </c>
      <c r="J67" s="12" t="n">
        <v>0</v>
      </c>
      <c r="K67" s="33" t="n">
        <v>1.31233595800525</v>
      </c>
      <c r="L67" s="8" t="n">
        <v>381</v>
      </c>
      <c r="M67" s="32" t="s">
        <v>171</v>
      </c>
      <c r="N67" s="2" t="n">
        <v>2</v>
      </c>
    </row>
    <row r="68" customFormat="false" ht="15" hidden="false" customHeight="false" outlineLevel="0" collapsed="false">
      <c r="A68" s="7" t="s">
        <v>27</v>
      </c>
      <c r="B68" s="7" t="s">
        <v>269</v>
      </c>
      <c r="C68" s="2" t="s">
        <v>270</v>
      </c>
      <c r="D68" s="8" t="n">
        <v>0</v>
      </c>
      <c r="E68" s="2" t="n">
        <v>0</v>
      </c>
      <c r="F68" s="11" t="n">
        <f aca="false">IFERROR(E68*100/D68,0)</f>
        <v>0</v>
      </c>
      <c r="G68" s="2" t="n">
        <v>0</v>
      </c>
      <c r="H68" s="2" t="n">
        <v>0</v>
      </c>
      <c r="I68" s="10" t="n">
        <f aca="false">IFERROR(H68*1000/D68,0)</f>
        <v>0</v>
      </c>
      <c r="J68" s="12" t="n">
        <v>0</v>
      </c>
      <c r="K68" s="33" t="n">
        <v>3.84615384615385</v>
      </c>
      <c r="L68" s="8" t="n">
        <v>26</v>
      </c>
      <c r="M68" s="32" t="s">
        <v>171</v>
      </c>
      <c r="N68" s="2" t="n">
        <v>1</v>
      </c>
    </row>
    <row r="69" customFormat="false" ht="15" hidden="false" customHeight="false" outlineLevel="0" collapsed="false">
      <c r="A69" s="7" t="s">
        <v>27</v>
      </c>
      <c r="B69" s="7" t="s">
        <v>271</v>
      </c>
      <c r="C69" s="7" t="s">
        <v>272</v>
      </c>
      <c r="D69" s="8" t="n">
        <v>0</v>
      </c>
      <c r="E69" s="2" t="n">
        <v>0</v>
      </c>
      <c r="F69" s="11" t="n">
        <f aca="false">IFERROR(E69*100/D69,0)</f>
        <v>0</v>
      </c>
      <c r="G69" s="2" t="n">
        <v>0</v>
      </c>
      <c r="H69" s="2" t="n">
        <v>0</v>
      </c>
      <c r="I69" s="10" t="n">
        <f aca="false">IFERROR(H69*1000/D69,0)</f>
        <v>0</v>
      </c>
      <c r="J69" s="12" t="n">
        <v>0</v>
      </c>
      <c r="K69" s="33" t="n">
        <v>0.925925925925926</v>
      </c>
      <c r="L69" s="8" t="n">
        <v>108</v>
      </c>
      <c r="M69" s="32" t="s">
        <v>171</v>
      </c>
      <c r="N69" s="2" t="n">
        <v>1</v>
      </c>
    </row>
    <row r="70" customFormat="false" ht="15" hidden="false" customHeight="false" outlineLevel="0" collapsed="false">
      <c r="A70" s="7" t="s">
        <v>27</v>
      </c>
      <c r="B70" s="7" t="s">
        <v>216</v>
      </c>
      <c r="C70" s="7" t="s">
        <v>273</v>
      </c>
      <c r="D70" s="8" t="n">
        <v>0</v>
      </c>
      <c r="E70" s="2" t="n">
        <v>0</v>
      </c>
      <c r="F70" s="11" t="n">
        <f aca="false">IFERROR(E70*100/D70,0)</f>
        <v>0</v>
      </c>
      <c r="G70" s="2" t="n">
        <v>0</v>
      </c>
      <c r="H70" s="2" t="n">
        <v>0</v>
      </c>
      <c r="I70" s="10" t="n">
        <f aca="false">IFERROR(H70*1000/D70,0)</f>
        <v>0</v>
      </c>
      <c r="J70" s="12" t="n">
        <v>0</v>
      </c>
      <c r="K70" s="33" t="n">
        <v>0</v>
      </c>
      <c r="L70" s="8" t="n">
        <v>0</v>
      </c>
      <c r="M70" s="32" t="s">
        <v>171</v>
      </c>
      <c r="N70" s="2" t="n">
        <v>1</v>
      </c>
    </row>
    <row r="71" customFormat="false" ht="15" hidden="false" customHeight="false" outlineLevel="0" collapsed="false">
      <c r="A71" s="7" t="s">
        <v>27</v>
      </c>
      <c r="B71" s="7" t="s">
        <v>218</v>
      </c>
      <c r="C71" s="7" t="s">
        <v>274</v>
      </c>
      <c r="D71" s="8" t="n">
        <v>0</v>
      </c>
      <c r="E71" s="2" t="n">
        <v>0</v>
      </c>
      <c r="F71" s="11" t="n">
        <f aca="false">IFERROR(E71*100/D71,0)</f>
        <v>0</v>
      </c>
      <c r="G71" s="2" t="n">
        <v>0</v>
      </c>
      <c r="H71" s="2" t="n">
        <v>0</v>
      </c>
      <c r="I71" s="10" t="n">
        <f aca="false">IFERROR(H71*1000/D71,0)</f>
        <v>0</v>
      </c>
      <c r="J71" s="12" t="n">
        <v>0</v>
      </c>
      <c r="K71" s="33" t="n">
        <v>0</v>
      </c>
      <c r="L71" s="8" t="n">
        <v>0</v>
      </c>
      <c r="M71" s="32" t="s">
        <v>171</v>
      </c>
      <c r="N71" s="2" t="n">
        <v>2</v>
      </c>
    </row>
    <row r="72" customFormat="false" ht="15" hidden="false" customHeight="false" outlineLevel="0" collapsed="false">
      <c r="A72" s="7" t="s">
        <v>27</v>
      </c>
      <c r="B72" s="7" t="s">
        <v>224</v>
      </c>
      <c r="C72" s="7" t="s">
        <v>275</v>
      </c>
      <c r="D72" s="8" t="n">
        <v>0</v>
      </c>
      <c r="E72" s="2" t="n">
        <v>0</v>
      </c>
      <c r="F72" s="11" t="n">
        <f aca="false">IFERROR(E72*100/D72,0)</f>
        <v>0</v>
      </c>
      <c r="G72" s="2" t="n">
        <v>0</v>
      </c>
      <c r="H72" s="2" t="n">
        <v>0</v>
      </c>
      <c r="I72" s="10" t="n">
        <f aca="false">IFERROR(H72*1000/D72,0)</f>
        <v>0</v>
      </c>
      <c r="J72" s="12" t="n">
        <v>0</v>
      </c>
      <c r="K72" s="33" t="n">
        <v>0</v>
      </c>
      <c r="L72" s="8" t="n">
        <v>0</v>
      </c>
      <c r="M72" s="32" t="s">
        <v>171</v>
      </c>
      <c r="N72" s="2" t="n">
        <v>1</v>
      </c>
    </row>
    <row r="73" customFormat="false" ht="15" hidden="false" customHeight="false" outlineLevel="0" collapsed="false">
      <c r="A73" s="7" t="s">
        <v>27</v>
      </c>
      <c r="B73" s="7" t="s">
        <v>226</v>
      </c>
      <c r="C73" s="2" t="s">
        <v>276</v>
      </c>
      <c r="D73" s="8" t="n">
        <v>0</v>
      </c>
      <c r="E73" s="2" t="n">
        <v>0</v>
      </c>
      <c r="F73" s="11" t="n">
        <f aca="false">IFERROR(E73*100/D73,0)</f>
        <v>0</v>
      </c>
      <c r="G73" s="2" t="n">
        <v>0</v>
      </c>
      <c r="H73" s="2" t="n">
        <v>0</v>
      </c>
      <c r="I73" s="10" t="n">
        <f aca="false">IFERROR(H73*1000/D73,0)</f>
        <v>0</v>
      </c>
      <c r="J73" s="12" t="n">
        <v>0</v>
      </c>
      <c r="K73" s="33" t="n">
        <v>0</v>
      </c>
      <c r="L73" s="8" t="n">
        <v>0</v>
      </c>
      <c r="M73" s="32" t="s">
        <v>171</v>
      </c>
      <c r="N73" s="2" t="n">
        <v>1</v>
      </c>
    </row>
    <row r="74" customFormat="false" ht="15" hidden="false" customHeight="false" outlineLevel="0" collapsed="false">
      <c r="A74" s="7" t="s">
        <v>39</v>
      </c>
      <c r="B74" s="7" t="s">
        <v>277</v>
      </c>
      <c r="C74" s="2" t="s">
        <v>278</v>
      </c>
      <c r="D74" s="8" t="n">
        <v>260</v>
      </c>
      <c r="E74" s="2" t="n">
        <v>2</v>
      </c>
      <c r="F74" s="11" t="n">
        <f aca="false">IFERROR(E74*100/D74,0)</f>
        <v>0.769230769230769</v>
      </c>
      <c r="G74" s="2" t="n">
        <v>0</v>
      </c>
      <c r="H74" s="2" t="n">
        <v>0</v>
      </c>
      <c r="I74" s="10" t="n">
        <f aca="false">IFERROR(H74*1000/D74,0)</f>
        <v>0</v>
      </c>
      <c r="J74" s="12" t="n">
        <v>40.16</v>
      </c>
      <c r="K74" s="33" t="n">
        <v>0</v>
      </c>
      <c r="L74" s="8" t="n">
        <v>4</v>
      </c>
      <c r="M74" s="24" t="s">
        <v>158</v>
      </c>
      <c r="N74" s="2" t="n">
        <v>0</v>
      </c>
    </row>
    <row r="75" customFormat="false" ht="15" hidden="false" customHeight="false" outlineLevel="0" collapsed="false">
      <c r="A75" s="7" t="s">
        <v>39</v>
      </c>
      <c r="B75" s="7" t="s">
        <v>279</v>
      </c>
      <c r="C75" s="2" t="s">
        <v>280</v>
      </c>
      <c r="D75" s="8" t="n">
        <v>0</v>
      </c>
      <c r="E75" s="2" t="n">
        <v>0</v>
      </c>
      <c r="F75" s="11" t="n">
        <f aca="false">IFERROR(E75*100/D75,0)</f>
        <v>0</v>
      </c>
      <c r="G75" s="2" t="n">
        <v>0</v>
      </c>
      <c r="H75" s="2" t="n">
        <v>0</v>
      </c>
      <c r="I75" s="10" t="n">
        <f aca="false">IFERROR(H75*1000/D75,0)</f>
        <v>0</v>
      </c>
      <c r="J75" s="12" t="n">
        <v>0</v>
      </c>
      <c r="K75" s="33" t="n">
        <v>0</v>
      </c>
      <c r="L75" s="8" t="n">
        <v>0</v>
      </c>
      <c r="M75" s="32" t="s">
        <v>171</v>
      </c>
      <c r="N75" s="2" t="n">
        <v>0</v>
      </c>
    </row>
    <row r="76" customFormat="false" ht="15" hidden="false" customHeight="false" outlineLevel="0" collapsed="false">
      <c r="A76" s="7" t="s">
        <v>39</v>
      </c>
      <c r="B76" s="7" t="s">
        <v>281</v>
      </c>
      <c r="C76" s="2" t="s">
        <v>282</v>
      </c>
      <c r="D76" s="8" t="n">
        <v>0</v>
      </c>
      <c r="E76" s="2" t="n">
        <v>0</v>
      </c>
      <c r="F76" s="11" t="n">
        <f aca="false">IFERROR(E76*100/D76,0)</f>
        <v>0</v>
      </c>
      <c r="G76" s="2" t="n">
        <v>0</v>
      </c>
      <c r="H76" s="2" t="n">
        <v>0</v>
      </c>
      <c r="I76" s="10" t="n">
        <f aca="false">IFERROR(H76*1000/D76,0)</f>
        <v>0</v>
      </c>
      <c r="J76" s="12" t="n">
        <v>0</v>
      </c>
      <c r="K76" s="33" t="n">
        <v>0</v>
      </c>
      <c r="L76" s="8" t="n">
        <v>0</v>
      </c>
      <c r="M76" s="32" t="s">
        <v>171</v>
      </c>
      <c r="N76" s="2" t="n">
        <v>0</v>
      </c>
    </row>
    <row r="77" customFormat="false" ht="15" hidden="false" customHeight="false" outlineLevel="0" collapsed="false">
      <c r="A77" s="7" t="s">
        <v>33</v>
      </c>
      <c r="B77" s="7" t="s">
        <v>283</v>
      </c>
      <c r="C77" s="2" t="s">
        <v>284</v>
      </c>
      <c r="D77" s="8" t="n">
        <v>1167</v>
      </c>
      <c r="E77" s="2" t="n">
        <v>13</v>
      </c>
      <c r="F77" s="11" t="n">
        <f aca="false">IFERROR(E77*100/D77,0)</f>
        <v>1.11396743787489</v>
      </c>
      <c r="G77" s="2" t="n">
        <v>0</v>
      </c>
      <c r="H77" s="2" t="n">
        <v>3</v>
      </c>
      <c r="I77" s="10" t="n">
        <f aca="false">IFERROR(H77*1000/D77,0)</f>
        <v>2.5706940874036</v>
      </c>
      <c r="J77" s="12" t="n">
        <v>51.57</v>
      </c>
      <c r="K77" s="33" t="n">
        <v>0</v>
      </c>
      <c r="L77" s="8" t="n">
        <v>111</v>
      </c>
      <c r="M77" s="24" t="s">
        <v>158</v>
      </c>
      <c r="N77" s="2" t="n">
        <v>0</v>
      </c>
    </row>
    <row r="78" customFormat="false" ht="15" hidden="false" customHeight="false" outlineLevel="0" collapsed="false">
      <c r="A78" s="7" t="s">
        <v>33</v>
      </c>
      <c r="B78" s="7" t="s">
        <v>188</v>
      </c>
      <c r="C78" s="2" t="s">
        <v>285</v>
      </c>
      <c r="D78" s="8" t="n">
        <v>848</v>
      </c>
      <c r="E78" s="2" t="n">
        <v>9</v>
      </c>
      <c r="F78" s="11" t="n">
        <f aca="false">IFERROR(E78*100/D78,0)</f>
        <v>1.06132075471698</v>
      </c>
      <c r="G78" s="2" t="n">
        <v>0</v>
      </c>
      <c r="H78" s="2" t="n">
        <v>1</v>
      </c>
      <c r="I78" s="10" t="n">
        <f aca="false">IFERROR(H78*1000/D78,0)</f>
        <v>1.17924528301887</v>
      </c>
      <c r="J78" s="12" t="n">
        <v>48.98</v>
      </c>
      <c r="K78" s="33" t="n">
        <v>3.19148936170213</v>
      </c>
      <c r="L78" s="8" t="n">
        <v>94</v>
      </c>
      <c r="M78" s="24" t="s">
        <v>158</v>
      </c>
      <c r="N78" s="2" t="n">
        <v>0</v>
      </c>
    </row>
    <row r="79" customFormat="false" ht="15" hidden="false" customHeight="false" outlineLevel="0" collapsed="false">
      <c r="A79" s="7" t="s">
        <v>33</v>
      </c>
      <c r="B79" s="7" t="s">
        <v>286</v>
      </c>
      <c r="C79" s="2" t="s">
        <v>287</v>
      </c>
      <c r="D79" s="8" t="n">
        <v>229</v>
      </c>
      <c r="E79" s="2" t="n">
        <v>0</v>
      </c>
      <c r="F79" s="11" t="n">
        <f aca="false">IFERROR(E79*100/D79,0)</f>
        <v>0</v>
      </c>
      <c r="G79" s="2" t="n">
        <v>0</v>
      </c>
      <c r="H79" s="2" t="n">
        <v>0</v>
      </c>
      <c r="I79" s="10" t="n">
        <f aca="false">IFERROR(H79*1000/D79,0)</f>
        <v>0</v>
      </c>
      <c r="J79" s="12" t="n">
        <v>38.85</v>
      </c>
      <c r="K79" s="33" t="n">
        <v>0.555555555555556</v>
      </c>
      <c r="L79" s="8" t="n">
        <v>180</v>
      </c>
      <c r="M79" s="24" t="s">
        <v>158</v>
      </c>
      <c r="N79" s="2" t="n">
        <v>0</v>
      </c>
    </row>
    <row r="80" customFormat="false" ht="15" hidden="false" customHeight="false" outlineLevel="0" collapsed="false">
      <c r="A80" s="7" t="s">
        <v>33</v>
      </c>
      <c r="B80" s="7" t="s">
        <v>288</v>
      </c>
      <c r="C80" s="2" t="s">
        <v>289</v>
      </c>
      <c r="D80" s="8" t="n">
        <v>1100</v>
      </c>
      <c r="E80" s="2" t="n">
        <v>6</v>
      </c>
      <c r="F80" s="11" t="n">
        <f aca="false">IFERROR(E80*100/D80,0)</f>
        <v>0.545454545454545</v>
      </c>
      <c r="G80" s="2" t="n">
        <v>1</v>
      </c>
      <c r="H80" s="2" t="n">
        <v>1</v>
      </c>
      <c r="I80" s="10" t="n">
        <f aca="false">IFERROR(H80*1000/D80,0)</f>
        <v>0.909090909090909</v>
      </c>
      <c r="J80" s="12" t="n">
        <v>44.31</v>
      </c>
      <c r="K80" s="33" t="n">
        <v>1.62932790224033</v>
      </c>
      <c r="L80" s="8" t="n">
        <v>491</v>
      </c>
      <c r="M80" s="24" t="s">
        <v>158</v>
      </c>
      <c r="N80" s="2" t="n">
        <v>0</v>
      </c>
    </row>
    <row r="81" customFormat="false" ht="15" hidden="false" customHeight="false" outlineLevel="0" collapsed="false">
      <c r="A81" s="7" t="s">
        <v>33</v>
      </c>
      <c r="B81" s="7" t="s">
        <v>200</v>
      </c>
      <c r="C81" s="2" t="s">
        <v>290</v>
      </c>
      <c r="D81" s="8" t="n">
        <v>783</v>
      </c>
      <c r="E81" s="2" t="n">
        <v>6</v>
      </c>
      <c r="F81" s="11" t="n">
        <f aca="false">IFERROR(E81*100/D81,0)</f>
        <v>0.766283524904215</v>
      </c>
      <c r="G81" s="2" t="n">
        <v>0</v>
      </c>
      <c r="H81" s="2" t="n">
        <v>1</v>
      </c>
      <c r="I81" s="10" t="n">
        <f aca="false">IFERROR(H81*1000/D81,0)</f>
        <v>1.27713920817369</v>
      </c>
      <c r="J81" s="12" t="n">
        <v>38.15</v>
      </c>
      <c r="K81" s="33" t="n">
        <v>2.35294117647059</v>
      </c>
      <c r="L81" s="8" t="n">
        <v>255</v>
      </c>
      <c r="M81" s="24" t="s">
        <v>158</v>
      </c>
      <c r="N81" s="2" t="n">
        <v>0</v>
      </c>
    </row>
    <row r="82" customFormat="false" ht="15" hidden="false" customHeight="false" outlineLevel="0" collapsed="false">
      <c r="A82" s="7" t="s">
        <v>33</v>
      </c>
      <c r="B82" s="7" t="s">
        <v>206</v>
      </c>
      <c r="C82" s="2" t="s">
        <v>291</v>
      </c>
      <c r="D82" s="8" t="n">
        <v>0</v>
      </c>
      <c r="E82" s="2" t="n">
        <v>0</v>
      </c>
      <c r="F82" s="11" t="n">
        <f aca="false">IFERROR(E82*100/D82,0)</f>
        <v>0</v>
      </c>
      <c r="G82" s="2" t="n">
        <v>0</v>
      </c>
      <c r="H82" s="2" t="n">
        <v>0</v>
      </c>
      <c r="I82" s="10" t="n">
        <f aca="false">IFERROR(H82*1000/D82,0)</f>
        <v>0</v>
      </c>
      <c r="J82" s="12" t="n">
        <v>0</v>
      </c>
      <c r="K82" s="33" t="n">
        <v>0</v>
      </c>
      <c r="L82" s="8" t="n">
        <v>34</v>
      </c>
      <c r="M82" s="32" t="s">
        <v>171</v>
      </c>
      <c r="N82" s="2" t="n">
        <v>0</v>
      </c>
    </row>
    <row r="83" customFormat="false" ht="15" hidden="false" customHeight="false" outlineLevel="0" collapsed="false">
      <c r="A83" s="7" t="s">
        <v>33</v>
      </c>
      <c r="B83" s="7" t="s">
        <v>292</v>
      </c>
      <c r="C83" s="2" t="s">
        <v>293</v>
      </c>
      <c r="D83" s="8" t="n">
        <v>0</v>
      </c>
      <c r="E83" s="2" t="n">
        <v>0</v>
      </c>
      <c r="F83" s="11" t="n">
        <f aca="false">IFERROR(E83*100/D83,0)</f>
        <v>0</v>
      </c>
      <c r="G83" s="2" t="n">
        <v>0</v>
      </c>
      <c r="H83" s="2" t="n">
        <v>0</v>
      </c>
      <c r="I83" s="10" t="n">
        <f aca="false">IFERROR(H83*1000/D83,0)</f>
        <v>0</v>
      </c>
      <c r="J83" s="12" t="n">
        <v>0</v>
      </c>
      <c r="K83" s="33" t="n">
        <v>0</v>
      </c>
      <c r="L83" s="8" t="n">
        <v>9</v>
      </c>
      <c r="M83" s="32" t="s">
        <v>171</v>
      </c>
      <c r="N83" s="2" t="n">
        <v>0</v>
      </c>
    </row>
    <row r="84" customFormat="false" ht="15" hidden="false" customHeight="false" outlineLevel="0" collapsed="false">
      <c r="A84" s="7" t="s">
        <v>33</v>
      </c>
      <c r="B84" s="7" t="s">
        <v>294</v>
      </c>
      <c r="C84" s="2" t="s">
        <v>295</v>
      </c>
      <c r="D84" s="8" t="n">
        <v>0</v>
      </c>
      <c r="E84" s="2" t="n">
        <v>0</v>
      </c>
      <c r="F84" s="11" t="n">
        <f aca="false">IFERROR(E84*100/D84,0)</f>
        <v>0</v>
      </c>
      <c r="G84" s="2" t="n">
        <v>0</v>
      </c>
      <c r="H84" s="2" t="n">
        <v>0</v>
      </c>
      <c r="I84" s="10" t="n">
        <f aca="false">IFERROR(H84*1000/D84,0)</f>
        <v>0</v>
      </c>
      <c r="J84" s="12" t="n">
        <v>0</v>
      </c>
      <c r="K84" s="33" t="n">
        <v>0</v>
      </c>
      <c r="L84" s="8" t="n">
        <v>8</v>
      </c>
      <c r="M84" s="32" t="s">
        <v>171</v>
      </c>
      <c r="N84" s="2" t="n">
        <v>0</v>
      </c>
    </row>
    <row r="85" customFormat="false" ht="15" hidden="false" customHeight="false" outlineLevel="0" collapsed="false">
      <c r="A85" s="7" t="s">
        <v>33</v>
      </c>
      <c r="B85" s="7" t="s">
        <v>296</v>
      </c>
      <c r="C85" s="2" t="s">
        <v>297</v>
      </c>
      <c r="D85" s="8" t="n">
        <v>0</v>
      </c>
      <c r="E85" s="2" t="n">
        <v>0</v>
      </c>
      <c r="F85" s="11" t="n">
        <f aca="false">IFERROR(E85*100/D85,0)</f>
        <v>0</v>
      </c>
      <c r="G85" s="2" t="n">
        <v>0</v>
      </c>
      <c r="H85" s="2" t="n">
        <v>0</v>
      </c>
      <c r="I85" s="10" t="n">
        <f aca="false">IFERROR(H85*1000/D85,0)</f>
        <v>0</v>
      </c>
      <c r="J85" s="12" t="n">
        <v>0</v>
      </c>
      <c r="K85" s="33" t="n">
        <v>0</v>
      </c>
      <c r="L85" s="8" t="n">
        <v>0</v>
      </c>
      <c r="M85" s="32" t="s">
        <v>171</v>
      </c>
      <c r="N85" s="2" t="n">
        <v>0</v>
      </c>
    </row>
    <row r="86" customFormat="false" ht="15" hidden="false" customHeight="false" outlineLevel="0" collapsed="false">
      <c r="A86" s="7" t="s">
        <v>33</v>
      </c>
      <c r="B86" s="7" t="s">
        <v>218</v>
      </c>
      <c r="C86" s="2" t="s">
        <v>298</v>
      </c>
      <c r="D86" s="8" t="n">
        <v>0</v>
      </c>
      <c r="E86" s="2" t="n">
        <v>0</v>
      </c>
      <c r="F86" s="11" t="n">
        <f aca="false">IFERROR(E86*100/D86,0)</f>
        <v>0</v>
      </c>
      <c r="G86" s="2" t="n">
        <v>0</v>
      </c>
      <c r="H86" s="2" t="n">
        <v>0</v>
      </c>
      <c r="I86" s="10" t="n">
        <f aca="false">IFERROR(H86*1000/D86,0)</f>
        <v>0</v>
      </c>
      <c r="J86" s="12" t="n">
        <v>0</v>
      </c>
      <c r="K86" s="33" t="n">
        <v>0</v>
      </c>
      <c r="L86" s="8" t="n">
        <v>0</v>
      </c>
      <c r="M86" s="32" t="s">
        <v>171</v>
      </c>
      <c r="N86" s="2" t="n">
        <v>0</v>
      </c>
    </row>
    <row r="87" customFormat="false" ht="15" hidden="false" customHeight="false" outlineLevel="0" collapsed="false">
      <c r="A87" s="7" t="s">
        <v>33</v>
      </c>
      <c r="B87" s="7" t="s">
        <v>299</v>
      </c>
      <c r="C87" s="2" t="s">
        <v>300</v>
      </c>
      <c r="D87" s="8" t="n">
        <v>0</v>
      </c>
      <c r="E87" s="2" t="n">
        <v>0</v>
      </c>
      <c r="F87" s="11" t="n">
        <f aca="false">IFERROR(E87*100/D87,0)</f>
        <v>0</v>
      </c>
      <c r="G87" s="2" t="n">
        <v>0</v>
      </c>
      <c r="H87" s="2" t="n">
        <v>0</v>
      </c>
      <c r="I87" s="10" t="n">
        <f aca="false">IFERROR(H87*1000/D87,0)</f>
        <v>0</v>
      </c>
      <c r="J87" s="12" t="n">
        <v>0</v>
      </c>
      <c r="K87" s="33" t="n">
        <v>0</v>
      </c>
      <c r="L87" s="8" t="n">
        <v>0</v>
      </c>
      <c r="M87" s="32" t="s">
        <v>171</v>
      </c>
      <c r="N87" s="2" t="n">
        <v>0</v>
      </c>
    </row>
    <row r="88" customFormat="false" ht="15" hidden="false" customHeight="false" outlineLevel="0" collapsed="false">
      <c r="A88" s="7" t="s">
        <v>33</v>
      </c>
      <c r="B88" s="7" t="s">
        <v>301</v>
      </c>
      <c r="C88" s="2" t="s">
        <v>302</v>
      </c>
      <c r="D88" s="8" t="n">
        <v>0</v>
      </c>
      <c r="E88" s="2" t="n">
        <v>0</v>
      </c>
      <c r="F88" s="11" t="n">
        <f aca="false">IFERROR(E88*100/D88,0)</f>
        <v>0</v>
      </c>
      <c r="G88" s="2" t="n">
        <v>0</v>
      </c>
      <c r="H88" s="2" t="n">
        <v>0</v>
      </c>
      <c r="I88" s="10" t="n">
        <f aca="false">IFERROR(H88*1000/D88,0)</f>
        <v>0</v>
      </c>
      <c r="J88" s="12" t="n">
        <v>0</v>
      </c>
      <c r="K88" s="33" t="n">
        <v>0</v>
      </c>
      <c r="L88" s="8" t="n">
        <v>0</v>
      </c>
      <c r="M88" s="32" t="s">
        <v>171</v>
      </c>
      <c r="N88" s="2" t="n">
        <v>0</v>
      </c>
    </row>
    <row r="89" customFormat="false" ht="15" hidden="false" customHeight="false" outlineLevel="0" collapsed="false">
      <c r="A89" s="7" t="s">
        <v>33</v>
      </c>
      <c r="B89" s="7" t="s">
        <v>226</v>
      </c>
      <c r="C89" s="2" t="s">
        <v>303</v>
      </c>
      <c r="D89" s="8" t="n">
        <v>0</v>
      </c>
      <c r="E89" s="2" t="n">
        <v>0</v>
      </c>
      <c r="F89" s="11" t="n">
        <f aca="false">IFERROR(E89*100/D89,0)</f>
        <v>0</v>
      </c>
      <c r="G89" s="2" t="n">
        <v>0</v>
      </c>
      <c r="H89" s="2" t="n">
        <v>0</v>
      </c>
      <c r="I89" s="10" t="n">
        <f aca="false">IFERROR(H89*1000/D89,0)</f>
        <v>0</v>
      </c>
      <c r="J89" s="12" t="n">
        <v>0</v>
      </c>
      <c r="K89" s="33" t="n">
        <v>0</v>
      </c>
      <c r="L89" s="8" t="n">
        <v>0</v>
      </c>
      <c r="M89" s="32" t="s">
        <v>171</v>
      </c>
      <c r="N89" s="2" t="n">
        <v>0</v>
      </c>
    </row>
    <row r="91" customFormat="false" ht="15" hidden="false" customHeight="false" outlineLevel="0" collapsed="false">
      <c r="A91" s="7" t="s">
        <v>304</v>
      </c>
    </row>
    <row r="92" customFormat="false" ht="15" hidden="false" customHeight="false" outlineLevel="0" collapsed="false">
      <c r="A92" s="2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3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23" t="s">
        <v>306</v>
      </c>
    </row>
    <row r="2" customFormat="false" ht="15" hidden="false" customHeight="false" outlineLevel="0" collapsed="false">
      <c r="A2" s="2" t="s">
        <v>307</v>
      </c>
    </row>
    <row r="4" customFormat="false" ht="17.15" hidden="false" customHeight="false" outlineLevel="0" collapsed="false">
      <c r="A4" s="28" t="s">
        <v>308</v>
      </c>
    </row>
    <row r="5" customFormat="false" ht="30" hidden="false" customHeight="true" outlineLevel="0" collapsed="false">
      <c r="A5" s="5" t="s">
        <v>309</v>
      </c>
      <c r="B5" s="5" t="s">
        <v>310</v>
      </c>
      <c r="C5" s="5" t="s">
        <v>311</v>
      </c>
      <c r="D5" s="5" t="s">
        <v>312</v>
      </c>
      <c r="E5" s="5" t="s">
        <v>313</v>
      </c>
    </row>
    <row r="6" customFormat="false" ht="79.5" hidden="false" customHeight="true" outlineLevel="0" collapsed="false">
      <c r="A6" s="4" t="s">
        <v>27</v>
      </c>
      <c r="B6" s="4" t="s">
        <v>314</v>
      </c>
      <c r="C6" s="26" t="s">
        <v>315</v>
      </c>
      <c r="D6" s="4" t="s">
        <v>316</v>
      </c>
      <c r="E6" s="4" t="s">
        <v>317</v>
      </c>
    </row>
    <row r="7" customFormat="false" ht="79.5" hidden="false" customHeight="true" outlineLevel="0" collapsed="false">
      <c r="A7" s="4" t="s">
        <v>41</v>
      </c>
      <c r="B7" s="4" t="s">
        <v>314</v>
      </c>
      <c r="C7" s="26" t="s">
        <v>318</v>
      </c>
      <c r="D7" s="4" t="s">
        <v>319</v>
      </c>
      <c r="E7" s="26" t="s">
        <v>320</v>
      </c>
    </row>
    <row r="8" customFormat="false" ht="79.5" hidden="false" customHeight="true" outlineLevel="0" collapsed="false">
      <c r="A8" s="26" t="s">
        <v>321</v>
      </c>
      <c r="B8" s="26" t="s">
        <v>322</v>
      </c>
      <c r="C8" s="4" t="s">
        <v>323</v>
      </c>
      <c r="D8" s="26" t="s">
        <v>324</v>
      </c>
      <c r="E8" s="4" t="s">
        <v>325</v>
      </c>
    </row>
    <row r="9" customFormat="false" ht="79.5" hidden="false" customHeight="true" outlineLevel="0" collapsed="false">
      <c r="A9" s="26" t="s">
        <v>326</v>
      </c>
      <c r="B9" s="26" t="s">
        <v>327</v>
      </c>
      <c r="C9" s="26" t="s">
        <v>328</v>
      </c>
      <c r="D9" s="4" t="s">
        <v>329</v>
      </c>
      <c r="E9" s="4" t="s">
        <v>330</v>
      </c>
    </row>
    <row r="11" customFormat="false" ht="17.15" hidden="false" customHeight="false" outlineLevel="0" collapsed="false">
      <c r="A11" s="28" t="s">
        <v>331</v>
      </c>
    </row>
    <row r="12" customFormat="false" ht="30" hidden="false" customHeight="true" outlineLevel="0" collapsed="false">
      <c r="A12" s="5" t="s">
        <v>309</v>
      </c>
      <c r="B12" s="5" t="s">
        <v>332</v>
      </c>
      <c r="C12" s="5" t="s">
        <v>311</v>
      </c>
      <c r="D12" s="5" t="s">
        <v>333</v>
      </c>
      <c r="E12" s="5" t="s">
        <v>334</v>
      </c>
    </row>
    <row r="13" customFormat="false" ht="75.75" hidden="false" customHeight="true" outlineLevel="0" collapsed="false">
      <c r="A13" s="4" t="s">
        <v>35</v>
      </c>
      <c r="B13" s="26" t="s">
        <v>335</v>
      </c>
      <c r="C13" s="26" t="s">
        <v>336</v>
      </c>
      <c r="D13" s="26" t="s">
        <v>337</v>
      </c>
      <c r="E13" s="4" t="s">
        <v>338</v>
      </c>
    </row>
    <row r="14" customFormat="false" ht="75.75" hidden="false" customHeight="true" outlineLevel="0" collapsed="false">
      <c r="A14" s="4" t="s">
        <v>339</v>
      </c>
      <c r="B14" s="4" t="s">
        <v>340</v>
      </c>
      <c r="C14" s="4" t="s">
        <v>341</v>
      </c>
      <c r="D14" s="4" t="s">
        <v>342</v>
      </c>
      <c r="E14" s="4" t="s">
        <v>338</v>
      </c>
    </row>
    <row r="15" customFormat="false" ht="75.75" hidden="false" customHeight="true" outlineLevel="0" collapsed="false">
      <c r="A15" s="26" t="s">
        <v>343</v>
      </c>
      <c r="B15" s="26" t="s">
        <v>344</v>
      </c>
      <c r="C15" s="26" t="s">
        <v>345</v>
      </c>
      <c r="D15" s="26" t="s">
        <v>346</v>
      </c>
      <c r="E15" s="4" t="s">
        <v>338</v>
      </c>
    </row>
    <row r="16" customFormat="false" ht="75.75" hidden="false" customHeight="true" outlineLevel="0" collapsed="false">
      <c r="A16" s="4" t="s">
        <v>37</v>
      </c>
      <c r="B16" s="26" t="s">
        <v>347</v>
      </c>
      <c r="C16" s="4" t="s">
        <v>348</v>
      </c>
      <c r="D16" s="4" t="s">
        <v>349</v>
      </c>
      <c r="E16" s="4" t="s">
        <v>338</v>
      </c>
    </row>
    <row r="17" customFormat="false" ht="75.75" hidden="false" customHeight="true" outlineLevel="0" collapsed="false">
      <c r="A17" s="4" t="s">
        <v>39</v>
      </c>
      <c r="B17" s="4" t="s">
        <v>350</v>
      </c>
      <c r="C17" s="26" t="s">
        <v>351</v>
      </c>
      <c r="D17" s="26" t="s">
        <v>352</v>
      </c>
      <c r="E17" s="4" t="s">
        <v>330</v>
      </c>
    </row>
    <row r="19" customFormat="false" ht="17.15" hidden="false" customHeight="false" outlineLevel="0" collapsed="false">
      <c r="A19" s="28" t="s">
        <v>353</v>
      </c>
    </row>
    <row r="20" customFormat="false" ht="30" hidden="false" customHeight="true" outlineLevel="0" collapsed="false">
      <c r="A20" s="5" t="s">
        <v>354</v>
      </c>
      <c r="B20" s="5" t="s">
        <v>355</v>
      </c>
      <c r="C20" s="5" t="s">
        <v>356</v>
      </c>
      <c r="D20" s="5" t="s">
        <v>357</v>
      </c>
      <c r="E20" s="5" t="s">
        <v>358</v>
      </c>
    </row>
    <row r="21" customFormat="false" ht="75.75" hidden="false" customHeight="true" outlineLevel="0" collapsed="false">
      <c r="A21" s="4" t="s">
        <v>359</v>
      </c>
      <c r="B21" s="4" t="s">
        <v>360</v>
      </c>
      <c r="C21" s="26" t="s">
        <v>361</v>
      </c>
      <c r="D21" s="26" t="s">
        <v>362</v>
      </c>
      <c r="E21" s="4" t="s">
        <v>363</v>
      </c>
    </row>
    <row r="22" customFormat="false" ht="75.75" hidden="false" customHeight="true" outlineLevel="0" collapsed="false">
      <c r="A22" s="4" t="s">
        <v>364</v>
      </c>
      <c r="B22" s="26" t="s">
        <v>365</v>
      </c>
      <c r="C22" s="26" t="s">
        <v>366</v>
      </c>
      <c r="D22" s="26" t="s">
        <v>367</v>
      </c>
      <c r="E22" s="4" t="s">
        <v>368</v>
      </c>
    </row>
    <row r="23" customFormat="false" ht="75.75" hidden="false" customHeight="true" outlineLevel="0" collapsed="false">
      <c r="A23" s="4" t="s">
        <v>369</v>
      </c>
      <c r="B23" s="4" t="s">
        <v>370</v>
      </c>
      <c r="C23" s="4" t="s">
        <v>371</v>
      </c>
      <c r="D23" s="4" t="s">
        <v>372</v>
      </c>
      <c r="E23" s="26" t="s">
        <v>373</v>
      </c>
    </row>
    <row r="24" customFormat="false" ht="75.75" hidden="false" customHeight="true" outlineLevel="0" collapsed="false">
      <c r="A24" s="4" t="s">
        <v>374</v>
      </c>
      <c r="B24" s="4" t="s">
        <v>375</v>
      </c>
      <c r="C24" s="4" t="s">
        <v>376</v>
      </c>
      <c r="D24" s="4" t="s">
        <v>377</v>
      </c>
      <c r="E24" s="26" t="s">
        <v>378</v>
      </c>
    </row>
    <row r="25" customFormat="false" ht="75.75" hidden="false" customHeight="true" outlineLevel="0" collapsed="false">
      <c r="A25" s="4" t="s">
        <v>379</v>
      </c>
      <c r="B25" s="26" t="s">
        <v>380</v>
      </c>
      <c r="C25" s="4" t="s">
        <v>381</v>
      </c>
      <c r="D25" s="26" t="s">
        <v>382</v>
      </c>
      <c r="E25" s="26" t="s">
        <v>383</v>
      </c>
    </row>
    <row r="27" customFormat="false" ht="17.15" hidden="false" customHeight="false" outlineLevel="0" collapsed="false">
      <c r="A27" s="28" t="s">
        <v>384</v>
      </c>
    </row>
    <row r="28" customFormat="false" ht="30" hidden="false" customHeight="true" outlineLevel="0" collapsed="false">
      <c r="A28" s="5" t="s">
        <v>385</v>
      </c>
      <c r="B28" s="5" t="s">
        <v>18</v>
      </c>
      <c r="C28" s="5" t="s">
        <v>19</v>
      </c>
      <c r="D28" s="5" t="s">
        <v>65</v>
      </c>
      <c r="E28" s="5" t="s">
        <v>22</v>
      </c>
      <c r="F28" s="5" t="s">
        <v>70</v>
      </c>
    </row>
    <row r="29" customFormat="false" ht="15" hidden="false" customHeight="false" outlineLevel="0" collapsed="false">
      <c r="A29" s="6" t="s">
        <v>386</v>
      </c>
      <c r="B29" s="2" t="n">
        <v>38</v>
      </c>
      <c r="C29" s="8" t="n">
        <v>48258</v>
      </c>
      <c r="D29" s="2" t="n">
        <v>45</v>
      </c>
      <c r="E29" s="10" t="n">
        <f aca="false">IFERROR(D29*1000/C29,0)</f>
        <v>0.93248787765759</v>
      </c>
      <c r="F29" s="2" t="s">
        <v>387</v>
      </c>
    </row>
    <row r="30" customFormat="false" ht="15" hidden="false" customHeight="false" outlineLevel="0" collapsed="false">
      <c r="A30" s="6" t="s">
        <v>388</v>
      </c>
      <c r="B30" s="2" t="n">
        <v>24</v>
      </c>
      <c r="C30" s="8" t="n">
        <v>22326</v>
      </c>
      <c r="D30" s="2" t="n">
        <v>15</v>
      </c>
      <c r="E30" s="10" t="n">
        <f aca="false">IFERROR(D30*1000/C30,0)</f>
        <v>0.671862402579952</v>
      </c>
      <c r="F30" s="7" t="s">
        <v>389</v>
      </c>
    </row>
    <row r="31" customFormat="false" ht="15" hidden="false" customHeight="false" outlineLevel="0" collapsed="false">
      <c r="A31" s="6" t="s">
        <v>390</v>
      </c>
      <c r="B31" s="2" t="n">
        <v>29</v>
      </c>
      <c r="C31" s="8" t="n">
        <v>27443</v>
      </c>
      <c r="D31" s="2" t="n">
        <v>17</v>
      </c>
      <c r="E31" s="10" t="n">
        <f aca="false">IFERROR(D31*1000/C31,0)</f>
        <v>0.619465801843822</v>
      </c>
      <c r="F31" s="7" t="s">
        <v>132</v>
      </c>
    </row>
    <row r="32" customFormat="false" ht="15" hidden="false" customHeight="false" outlineLevel="0" collapsed="false">
      <c r="A32" s="6" t="s">
        <v>391</v>
      </c>
      <c r="B32" s="2" t="n">
        <v>8</v>
      </c>
      <c r="C32" s="8" t="n">
        <v>7006</v>
      </c>
      <c r="D32" s="2" t="n">
        <v>3</v>
      </c>
      <c r="E32" s="10" t="n">
        <f aca="false">IFERROR(D32*1000/C32,0)</f>
        <v>0.428204396231801</v>
      </c>
      <c r="F32" s="2" t="s">
        <v>392</v>
      </c>
    </row>
    <row r="33" customFormat="false" ht="15" hidden="false" customHeight="false" outlineLevel="0" collapsed="false">
      <c r="A33" s="6" t="s">
        <v>393</v>
      </c>
      <c r="B33" s="2" t="n">
        <v>6</v>
      </c>
      <c r="C33" s="8" t="n">
        <v>5051</v>
      </c>
      <c r="D33" s="2" t="n">
        <v>2</v>
      </c>
      <c r="E33" s="10" t="n">
        <f aca="false">IFERROR(D33*1000/C33,0)</f>
        <v>0.395961195802811</v>
      </c>
      <c r="F33" s="7" t="s">
        <v>394</v>
      </c>
    </row>
    <row r="34" customFormat="false" ht="15" hidden="false" customHeight="false" outlineLevel="0" collapsed="false">
      <c r="A34" s="6" t="s">
        <v>395</v>
      </c>
      <c r="B34" s="2" t="n">
        <v>17</v>
      </c>
      <c r="C34" s="8" t="n">
        <v>14546</v>
      </c>
      <c r="D34" s="2" t="n">
        <v>5</v>
      </c>
      <c r="E34" s="10" t="n">
        <f aca="false">IFERROR(D34*1000/C34,0)</f>
        <v>0.34373710985838</v>
      </c>
      <c r="F34" s="7" t="s">
        <v>396</v>
      </c>
    </row>
    <row r="35" customFormat="false" ht="15" hidden="false" customHeight="false" outlineLevel="0" collapsed="false">
      <c r="A35" s="6" t="s">
        <v>397</v>
      </c>
      <c r="B35" s="2" t="n">
        <v>24</v>
      </c>
      <c r="C35" s="8" t="n">
        <v>21538</v>
      </c>
      <c r="D35" s="2" t="n">
        <v>6</v>
      </c>
      <c r="E35" s="10" t="n">
        <f aca="false">IFERROR(D35*1000/C35,0)</f>
        <v>0.278577398087102</v>
      </c>
      <c r="F35" s="7" t="s">
        <v>398</v>
      </c>
    </row>
    <row r="36" customFormat="false" ht="15" hidden="false" customHeight="false" outlineLevel="0" collapsed="false">
      <c r="A36" s="6" t="s">
        <v>399</v>
      </c>
      <c r="B36" s="2" t="n">
        <v>10</v>
      </c>
      <c r="C36" s="8" t="n">
        <v>11778</v>
      </c>
      <c r="D36" s="2" t="n">
        <v>3</v>
      </c>
      <c r="E36" s="10" t="n">
        <f aca="false">IFERROR(D36*1000/C36,0)</f>
        <v>0.254712175241977</v>
      </c>
      <c r="F36" s="7" t="s">
        <v>400</v>
      </c>
    </row>
    <row r="37" customFormat="false" ht="15" hidden="false" customHeight="false" outlineLevel="0" collapsed="false">
      <c r="A37" s="6" t="s">
        <v>401</v>
      </c>
      <c r="B37" s="2" t="n">
        <v>4</v>
      </c>
      <c r="C37" s="8" t="n">
        <v>4270</v>
      </c>
      <c r="D37" s="2" t="n">
        <v>1</v>
      </c>
      <c r="E37" s="10" t="n">
        <f aca="false">IFERROR(D37*1000/C37,0)</f>
        <v>0.234192037470726</v>
      </c>
      <c r="F37" s="2" t="s">
        <v>392</v>
      </c>
    </row>
    <row r="38" customFormat="false" ht="15" hidden="false" customHeight="false" outlineLevel="0" collapsed="false">
      <c r="A38" s="6" t="s">
        <v>402</v>
      </c>
      <c r="B38" s="2" t="n">
        <v>4</v>
      </c>
      <c r="C38" s="8" t="n">
        <v>2802</v>
      </c>
      <c r="D38" s="2" t="n">
        <v>0</v>
      </c>
      <c r="E38" s="10" t="n">
        <f aca="false">IFERROR(D38*1000/C38,0)</f>
        <v>0</v>
      </c>
      <c r="F38" s="32" t="s">
        <v>403</v>
      </c>
    </row>
    <row r="39" customFormat="false" ht="15" hidden="false" customHeight="false" outlineLevel="0" collapsed="false">
      <c r="A39" s="6" t="s">
        <v>404</v>
      </c>
      <c r="B39" s="2" t="n">
        <v>4</v>
      </c>
      <c r="C39" s="8" t="n">
        <v>2042</v>
      </c>
      <c r="D39" s="2" t="n">
        <v>0</v>
      </c>
      <c r="E39" s="10" t="n">
        <f aca="false">IFERROR(D39*1000/C39,0)</f>
        <v>0</v>
      </c>
      <c r="F39" s="7" t="s">
        <v>398</v>
      </c>
    </row>
    <row r="40" customFormat="false" ht="15" hidden="false" customHeight="false" outlineLevel="0" collapsed="false">
      <c r="A40" s="7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1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23" t="s">
        <v>406</v>
      </c>
    </row>
    <row r="2" customFormat="false" ht="15" hidden="false" customHeight="false" outlineLevel="0" collapsed="false">
      <c r="A2" s="2" t="s">
        <v>407</v>
      </c>
    </row>
    <row r="4" customFormat="false" ht="17.15" hidden="false" customHeight="false" outlineLevel="0" collapsed="false">
      <c r="A4" s="28" t="s">
        <v>408</v>
      </c>
    </row>
    <row r="5" customFormat="false" ht="30" hidden="false" customHeight="true" outlineLevel="0" collapsed="false">
      <c r="A5" s="5" t="s">
        <v>14</v>
      </c>
      <c r="B5" s="5" t="s">
        <v>409</v>
      </c>
      <c r="C5" s="5" t="s">
        <v>410</v>
      </c>
      <c r="D5" s="5" t="s">
        <v>411</v>
      </c>
      <c r="E5" s="5" t="s">
        <v>412</v>
      </c>
      <c r="F5" s="5" t="s">
        <v>413</v>
      </c>
      <c r="G5" s="5" t="s">
        <v>414</v>
      </c>
      <c r="H5" s="5" t="s">
        <v>415</v>
      </c>
      <c r="I5" s="5" t="s">
        <v>416</v>
      </c>
      <c r="J5" s="5" t="s">
        <v>417</v>
      </c>
      <c r="K5" s="5" t="s">
        <v>418</v>
      </c>
      <c r="L5" s="5" t="s">
        <v>70</v>
      </c>
    </row>
    <row r="6" customFormat="false" ht="15" hidden="false" customHeight="false" outlineLevel="0" collapsed="false">
      <c r="A6" s="6" t="s">
        <v>27</v>
      </c>
      <c r="B6" s="7" t="s">
        <v>140</v>
      </c>
      <c r="C6" s="7" t="s">
        <v>30</v>
      </c>
      <c r="D6" s="11" t="n">
        <f aca="false">IFERROR(28*1000/32455,0)</f>
        <v>0.862733014943768</v>
      </c>
      <c r="E6" s="10" t="n">
        <f aca="false">IFERROR(27*1000/31620,0)</f>
        <v>0.853889943074004</v>
      </c>
      <c r="F6" s="34" t="n">
        <f aca="false">IFERROR(E6-D6,0)</f>
        <v>-0.00884307186976452</v>
      </c>
      <c r="G6" s="11" t="n">
        <f aca="false">IFERROR(145*100/32455,0)</f>
        <v>0.446772454167309</v>
      </c>
      <c r="H6" s="11" t="n">
        <f aca="false">IFERROR(135*100/31620,0)</f>
        <v>0.426944971537002</v>
      </c>
      <c r="I6" s="35" t="n">
        <f aca="false">IFERROR(H6-G6,0)</f>
        <v>-0.0198274826303067</v>
      </c>
      <c r="J6" s="6" t="str">
        <f aca="false">IF(OR(AND(F6&gt;0,I6&gt;0),AND(F6&lt;0,I6&lt;0)),"○","×")</f>
        <v>○</v>
      </c>
      <c r="K6" s="36" t="n">
        <v>961</v>
      </c>
      <c r="L6" s="2" t="s">
        <v>419</v>
      </c>
    </row>
    <row r="7" customFormat="false" ht="15" hidden="false" customHeight="false" outlineLevel="0" collapsed="false">
      <c r="A7" s="6" t="s">
        <v>33</v>
      </c>
      <c r="B7" s="7" t="s">
        <v>140</v>
      </c>
      <c r="C7" s="7" t="s">
        <v>30</v>
      </c>
      <c r="D7" s="11" t="n">
        <f aca="false">IFERROR(21*1000/26675,0)</f>
        <v>0.787253983130272</v>
      </c>
      <c r="E7" s="10" t="n">
        <f aca="false">IFERROR(21*1000/26533,0)</f>
        <v>0.791467229487808</v>
      </c>
      <c r="F7" s="34" t="n">
        <f aca="false">IFERROR(E7-D7,0)</f>
        <v>0.00421324635753584</v>
      </c>
      <c r="G7" s="11" t="n">
        <f aca="false">IFERROR(154*100/26675,0)</f>
        <v>0.577319587628866</v>
      </c>
      <c r="H7" s="11" t="n">
        <f aca="false">IFERROR(154*100/26533,0)</f>
        <v>0.580409301624392</v>
      </c>
      <c r="I7" s="35" t="n">
        <f aca="false">IFERROR(H7-G7,0)</f>
        <v>0.00308971399552638</v>
      </c>
      <c r="J7" s="6" t="str">
        <f aca="false">IF(OR(AND(F7&gt;0,I7&gt;0),AND(F7&lt;0,I7&lt;0)),"○","×")</f>
        <v>○</v>
      </c>
      <c r="K7" s="36" t="n">
        <v>-43</v>
      </c>
      <c r="L7" s="2" t="s">
        <v>420</v>
      </c>
    </row>
    <row r="8" customFormat="false" ht="15" hidden="false" customHeight="false" outlineLevel="0" collapsed="false">
      <c r="A8" s="6" t="s">
        <v>31</v>
      </c>
      <c r="B8" s="7" t="s">
        <v>140</v>
      </c>
      <c r="C8" s="7" t="s">
        <v>30</v>
      </c>
      <c r="D8" s="11" t="n">
        <f aca="false">IFERROR(21*1000/31678,0)</f>
        <v>0.662920638929225</v>
      </c>
      <c r="E8" s="10" t="n">
        <f aca="false">IFERROR(22*1000/30342,0)</f>
        <v>0.725067563113836</v>
      </c>
      <c r="F8" s="34" t="n">
        <f aca="false">IFERROR(E8-D8,0)</f>
        <v>0.0621469241846102</v>
      </c>
      <c r="G8" s="11" t="n">
        <f aca="false">IFERROR(236*100/31678,0)</f>
        <v>0.744996527558558</v>
      </c>
      <c r="H8" s="11" t="n">
        <f aca="false">IFERROR(229*100/30342,0)</f>
        <v>0.754729417968493</v>
      </c>
      <c r="I8" s="35" t="n">
        <f aca="false">IFERROR(H8-G8,0)</f>
        <v>0.00973289040993453</v>
      </c>
      <c r="J8" s="6" t="str">
        <f aca="false">IF(OR(AND(F8&gt;0,I8&gt;0),AND(F8&lt;0,I8&lt;0)),"○","×")</f>
        <v>○</v>
      </c>
      <c r="K8" s="36" t="n">
        <v>-252</v>
      </c>
      <c r="L8" s="2" t="s">
        <v>421</v>
      </c>
    </row>
    <row r="9" customFormat="false" ht="15" hidden="false" customHeight="false" outlineLevel="0" collapsed="false">
      <c r="A9" s="6" t="s">
        <v>35</v>
      </c>
      <c r="B9" s="7" t="s">
        <v>140</v>
      </c>
      <c r="C9" s="7" t="s">
        <v>30</v>
      </c>
      <c r="D9" s="11" t="n">
        <f aca="false">IFERROR(31*1000/50065,0)</f>
        <v>0.619195046439629</v>
      </c>
      <c r="E9" s="10" t="n">
        <f aca="false">IFERROR(30*1000/48901,0)</f>
        <v>0.613484386822355</v>
      </c>
      <c r="F9" s="34" t="n">
        <f aca="false">IFERROR(E9-D9,0)</f>
        <v>-0.00571065961727313</v>
      </c>
      <c r="G9" s="11" t="n">
        <f aca="false">IFERROR(152*100/50065,0)</f>
        <v>0.303605313092979</v>
      </c>
      <c r="H9" s="11" t="n">
        <f aca="false">IFERROR(149*100/48901,0)</f>
        <v>0.304697245455103</v>
      </c>
      <c r="I9" s="35" t="n">
        <f aca="false">IFERROR(H9-G9,0)</f>
        <v>0.00109193236212407</v>
      </c>
      <c r="J9" s="6" t="str">
        <f aca="false">IF(OR(AND(F9&gt;0,I9&gt;0),AND(F9&lt;0,I9&lt;0)),"○","×")</f>
        <v>×</v>
      </c>
      <c r="K9" s="36" t="n">
        <v>-1032</v>
      </c>
      <c r="L9" s="2" t="s">
        <v>419</v>
      </c>
    </row>
    <row r="10" customFormat="false" ht="15" hidden="false" customHeight="false" outlineLevel="0" collapsed="false">
      <c r="A10" s="6" t="s">
        <v>37</v>
      </c>
      <c r="B10" s="7" t="s">
        <v>140</v>
      </c>
      <c r="C10" s="7" t="s">
        <v>30</v>
      </c>
      <c r="D10" s="11" t="n">
        <f aca="false">IFERROR(6*1000/39353,0)</f>
        <v>0.15246613981145</v>
      </c>
      <c r="E10" s="10" t="n">
        <f aca="false">IFERROR(6*1000/36735,0)</f>
        <v>0.163331972233565</v>
      </c>
      <c r="F10" s="34" t="n">
        <f aca="false">IFERROR(E10-D10,0)</f>
        <v>0.0108658324221145</v>
      </c>
      <c r="G10" s="11" t="n">
        <f aca="false">IFERROR(84*100/39353,0)</f>
        <v>0.21345259573603</v>
      </c>
      <c r="H10" s="11" t="n">
        <f aca="false">IFERROR(83*100/36735,0)</f>
        <v>0.225942561589765</v>
      </c>
      <c r="I10" s="35" t="n">
        <f aca="false">IFERROR(H10-G10,0)</f>
        <v>0.0124899658537342</v>
      </c>
      <c r="J10" s="6" t="str">
        <f aca="false">IF(OR(AND(F10&gt;0,I10&gt;0),AND(F10&lt;0,I10&lt;0)),"○","×")</f>
        <v>○</v>
      </c>
      <c r="K10" s="36" t="n">
        <v>-2618</v>
      </c>
      <c r="L10" s="2" t="s">
        <v>420</v>
      </c>
    </row>
    <row r="11" customFormat="false" ht="15" hidden="false" customHeight="false" outlineLevel="0" collapsed="false">
      <c r="A11" s="6" t="s">
        <v>39</v>
      </c>
      <c r="B11" s="7" t="s">
        <v>140</v>
      </c>
      <c r="C11" s="7" t="s">
        <v>30</v>
      </c>
      <c r="D11" s="11" t="n">
        <v>0</v>
      </c>
      <c r="E11" s="10" t="n">
        <f aca="false">IFERROR(0*1000/260,0)</f>
        <v>0</v>
      </c>
      <c r="F11" s="34" t="n">
        <f aca="false">IFERROR(E11-D11,0)</f>
        <v>0</v>
      </c>
      <c r="G11" s="11" t="n">
        <v>0</v>
      </c>
      <c r="H11" s="11" t="n">
        <f aca="false">IFERROR(2*100/260,0)</f>
        <v>0.769230769230769</v>
      </c>
      <c r="I11" s="35" t="n">
        <f aca="false">IFERROR(H11-G11,0)</f>
        <v>0.769230769230769</v>
      </c>
      <c r="J11" s="6" t="str">
        <f aca="false">IF(OR(AND(F11&gt;0,I11&gt;0),AND(F11&lt;0,I11&lt;0)),"○","×")</f>
        <v>×</v>
      </c>
      <c r="K11" s="36" t="n">
        <v>260</v>
      </c>
      <c r="L11" s="2" t="s">
        <v>422</v>
      </c>
    </row>
    <row r="12" customFormat="false" ht="15" hidden="false" customHeight="false" outlineLevel="0" collapsed="false">
      <c r="A12" s="37" t="s">
        <v>423</v>
      </c>
      <c r="B12" s="2" t="s">
        <v>424</v>
      </c>
    </row>
    <row r="14" customFormat="false" ht="17.15" hidden="false" customHeight="false" outlineLevel="0" collapsed="false">
      <c r="A14" s="28" t="s">
        <v>425</v>
      </c>
    </row>
    <row r="15" customFormat="false" ht="30" hidden="false" customHeight="true" outlineLevel="0" collapsed="false">
      <c r="A15" s="5" t="s">
        <v>426</v>
      </c>
      <c r="B15" s="5" t="s">
        <v>309</v>
      </c>
      <c r="C15" s="5" t="s">
        <v>427</v>
      </c>
      <c r="D15" s="5" t="s">
        <v>428</v>
      </c>
      <c r="E15" s="5" t="s">
        <v>429</v>
      </c>
      <c r="F15" s="5" t="s">
        <v>313</v>
      </c>
    </row>
    <row r="16" customFormat="false" ht="63.75" hidden="false" customHeight="true" outlineLevel="0" collapsed="false">
      <c r="A16" s="4" t="s">
        <v>430</v>
      </c>
      <c r="B16" s="4" t="s">
        <v>27</v>
      </c>
      <c r="C16" s="4" t="s">
        <v>431</v>
      </c>
      <c r="D16" s="26" t="s">
        <v>432</v>
      </c>
      <c r="E16" s="26" t="s">
        <v>433</v>
      </c>
      <c r="F16" s="4" t="s">
        <v>338</v>
      </c>
    </row>
    <row r="17" customFormat="false" ht="63.75" hidden="false" customHeight="true" outlineLevel="0" collapsed="false">
      <c r="A17" s="4" t="s">
        <v>430</v>
      </c>
      <c r="B17" s="4" t="s">
        <v>35</v>
      </c>
      <c r="C17" s="26" t="s">
        <v>434</v>
      </c>
      <c r="D17" s="4" t="s">
        <v>435</v>
      </c>
      <c r="E17" s="4" t="s">
        <v>436</v>
      </c>
      <c r="F17" s="4" t="s">
        <v>338</v>
      </c>
    </row>
    <row r="18" customFormat="false" ht="63.75" hidden="false" customHeight="true" outlineLevel="0" collapsed="false">
      <c r="A18" s="4" t="s">
        <v>437</v>
      </c>
      <c r="B18" s="4" t="s">
        <v>438</v>
      </c>
      <c r="C18" s="4" t="s">
        <v>439</v>
      </c>
      <c r="D18" s="26" t="s">
        <v>440</v>
      </c>
      <c r="E18" s="26" t="s">
        <v>441</v>
      </c>
      <c r="F18" s="4" t="s">
        <v>338</v>
      </c>
    </row>
    <row r="19" customFormat="false" ht="63.75" hidden="false" customHeight="true" outlineLevel="0" collapsed="false">
      <c r="A19" s="4" t="s">
        <v>442</v>
      </c>
      <c r="B19" s="26" t="s">
        <v>343</v>
      </c>
      <c r="C19" s="26" t="s">
        <v>443</v>
      </c>
      <c r="D19" s="26" t="s">
        <v>444</v>
      </c>
      <c r="E19" s="26" t="s">
        <v>445</v>
      </c>
      <c r="F19" s="4" t="s">
        <v>338</v>
      </c>
    </row>
    <row r="20" customFormat="false" ht="63.75" hidden="false" customHeight="true" outlineLevel="0" collapsed="false">
      <c r="A20" s="4" t="s">
        <v>442</v>
      </c>
      <c r="B20" s="26" t="s">
        <v>343</v>
      </c>
      <c r="C20" s="4" t="s">
        <v>446</v>
      </c>
      <c r="D20" s="26" t="s">
        <v>432</v>
      </c>
      <c r="E20" s="26" t="s">
        <v>447</v>
      </c>
      <c r="F20" s="4" t="s">
        <v>338</v>
      </c>
    </row>
    <row r="21" customFormat="false" ht="63.75" hidden="false" customHeight="true" outlineLevel="0" collapsed="false">
      <c r="A21" s="4" t="s">
        <v>442</v>
      </c>
      <c r="B21" s="4" t="s">
        <v>448</v>
      </c>
      <c r="C21" s="4" t="s">
        <v>449</v>
      </c>
      <c r="D21" s="26" t="s">
        <v>440</v>
      </c>
      <c r="E21" s="26" t="s">
        <v>450</v>
      </c>
      <c r="F21" s="4" t="s">
        <v>325</v>
      </c>
    </row>
    <row r="22" customFormat="false" ht="63.75" hidden="false" customHeight="true" outlineLevel="0" collapsed="false">
      <c r="A22" s="4" t="s">
        <v>451</v>
      </c>
      <c r="B22" s="26" t="s">
        <v>343</v>
      </c>
      <c r="C22" s="26" t="s">
        <v>452</v>
      </c>
      <c r="D22" s="26" t="s">
        <v>453</v>
      </c>
      <c r="E22" s="26" t="s">
        <v>454</v>
      </c>
      <c r="F22" s="4" t="s">
        <v>338</v>
      </c>
    </row>
    <row r="23" customFormat="false" ht="63.75" hidden="false" customHeight="true" outlineLevel="0" collapsed="false">
      <c r="A23" s="4" t="s">
        <v>451</v>
      </c>
      <c r="B23" s="26" t="s">
        <v>455</v>
      </c>
      <c r="C23" s="26" t="s">
        <v>456</v>
      </c>
      <c r="D23" s="26" t="s">
        <v>440</v>
      </c>
      <c r="E23" s="26" t="s">
        <v>457</v>
      </c>
      <c r="F23" s="4" t="s">
        <v>458</v>
      </c>
    </row>
    <row r="24" customFormat="false" ht="63.75" hidden="false" customHeight="true" outlineLevel="0" collapsed="false">
      <c r="A24" s="4" t="s">
        <v>451</v>
      </c>
      <c r="B24" s="4" t="s">
        <v>459</v>
      </c>
      <c r="C24" s="4" t="s">
        <v>460</v>
      </c>
      <c r="D24" s="26" t="s">
        <v>461</v>
      </c>
      <c r="E24" s="26" t="s">
        <v>462</v>
      </c>
      <c r="F24" s="4" t="s">
        <v>458</v>
      </c>
    </row>
    <row r="25" customFormat="false" ht="63.75" hidden="false" customHeight="true" outlineLevel="0" collapsed="false">
      <c r="A25" s="4" t="s">
        <v>463</v>
      </c>
      <c r="B25" s="4" t="s">
        <v>464</v>
      </c>
      <c r="C25" s="4" t="s">
        <v>465</v>
      </c>
      <c r="D25" s="4" t="s">
        <v>325</v>
      </c>
      <c r="E25" s="26" t="s">
        <v>466</v>
      </c>
      <c r="F25" s="4" t="s">
        <v>458</v>
      </c>
    </row>
    <row r="27" customFormat="false" ht="17.15" hidden="false" customHeight="false" outlineLevel="0" collapsed="false">
      <c r="A27" s="28" t="s">
        <v>467</v>
      </c>
    </row>
    <row r="28" customFormat="false" ht="30" hidden="false" customHeight="true" outlineLevel="0" collapsed="false">
      <c r="A28" s="5" t="s">
        <v>468</v>
      </c>
      <c r="B28" s="5" t="s">
        <v>18</v>
      </c>
      <c r="C28" s="5" t="s">
        <v>19</v>
      </c>
      <c r="D28" s="5" t="s">
        <v>65</v>
      </c>
      <c r="E28" s="5" t="s">
        <v>22</v>
      </c>
      <c r="F28" s="5" t="s">
        <v>70</v>
      </c>
    </row>
    <row r="29" customFormat="false" ht="15" hidden="false" customHeight="false" outlineLevel="0" collapsed="false">
      <c r="A29" s="6" t="s">
        <v>469</v>
      </c>
      <c r="B29" s="2" t="n">
        <v>28</v>
      </c>
      <c r="C29" s="8" t="n">
        <v>24534</v>
      </c>
      <c r="D29" s="2" t="n">
        <v>6</v>
      </c>
      <c r="E29" s="10" t="n">
        <f aca="false">IFERROR(D29*1000/C29,0)</f>
        <v>0.244558571777941</v>
      </c>
      <c r="F29" s="22" t="s">
        <v>470</v>
      </c>
    </row>
    <row r="30" customFormat="false" ht="15" hidden="false" customHeight="false" outlineLevel="0" collapsed="false">
      <c r="A30" s="6" t="s">
        <v>471</v>
      </c>
      <c r="B30" s="2" t="n">
        <v>67</v>
      </c>
      <c r="C30" s="8" t="n">
        <v>57061</v>
      </c>
      <c r="D30" s="2" t="n">
        <v>26</v>
      </c>
      <c r="E30" s="10" t="n">
        <f aca="false">IFERROR(D30*1000/C30,0)</f>
        <v>0.455652722525017</v>
      </c>
      <c r="F30" s="2" t="s">
        <v>472</v>
      </c>
    </row>
    <row r="31" customFormat="false" ht="15" hidden="false" customHeight="false" outlineLevel="0" collapsed="false">
      <c r="A31" s="6" t="s">
        <v>473</v>
      </c>
      <c r="B31" s="2" t="n">
        <v>52</v>
      </c>
      <c r="C31" s="8" t="n">
        <v>46554</v>
      </c>
      <c r="D31" s="2" t="n">
        <v>32</v>
      </c>
      <c r="E31" s="10" t="n">
        <f aca="false">IFERROR(D31*1000/C31,0)</f>
        <v>0.687373802465954</v>
      </c>
      <c r="F31" s="24" t="s">
        <v>474</v>
      </c>
    </row>
    <row r="32" customFormat="false" ht="15" hidden="false" customHeight="false" outlineLevel="0" collapsed="false">
      <c r="A32" s="6" t="s">
        <v>475</v>
      </c>
      <c r="B32" s="2" t="n">
        <v>33</v>
      </c>
      <c r="C32" s="8" t="n">
        <v>41475</v>
      </c>
      <c r="D32" s="2" t="n">
        <v>26</v>
      </c>
      <c r="E32" s="10" t="n">
        <f aca="false">IFERROR(D32*1000/C32,0)</f>
        <v>0.626883664858349</v>
      </c>
      <c r="F32" s="2" t="s">
        <v>472</v>
      </c>
    </row>
    <row r="33" customFormat="false" ht="15" hidden="false" customHeight="false" outlineLevel="0" collapsed="false">
      <c r="A33" s="6" t="s">
        <v>476</v>
      </c>
      <c r="B33" s="2" t="n">
        <v>10</v>
      </c>
      <c r="C33" s="8" t="n">
        <v>12816</v>
      </c>
      <c r="D33" s="2" t="n">
        <v>7</v>
      </c>
      <c r="E33" s="10" t="n">
        <f aca="false">IFERROR(D33*1000/C33,0)</f>
        <v>0.546192259675406</v>
      </c>
      <c r="F33" s="2" t="s">
        <v>472</v>
      </c>
    </row>
    <row r="34" customFormat="false" ht="15" hidden="false" customHeight="false" outlineLevel="0" collapsed="false">
      <c r="A34" s="6" t="s">
        <v>477</v>
      </c>
      <c r="B34" s="2" t="n">
        <v>22</v>
      </c>
      <c r="C34" s="8" t="n">
        <v>29346</v>
      </c>
      <c r="D34" s="2" t="n">
        <v>16</v>
      </c>
      <c r="E34" s="10" t="n">
        <f aca="false">IFERROR(D34*1000/C34,0)</f>
        <v>0.545219109929803</v>
      </c>
      <c r="F34" s="2" t="s">
        <v>472</v>
      </c>
    </row>
    <row r="35" customFormat="false" ht="15" hidden="false" customHeight="false" outlineLevel="0" collapsed="false">
      <c r="A35" s="7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2026-09-16T01:24:21Z</dcterms:created>
  <dc:creator>openpyxl</dc:creator>
  <dc:description/>
  <dc:language>en-US</dc:language>
  <cp:lastModifiedBy/>
  <dcterms:modified xsi:type="dcterms:W3CDTF">2026-09-16T01:24:21Z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