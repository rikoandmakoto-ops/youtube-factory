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チャンネル別詳細" sheetId="2" state="visible" r:id="rId2"/>
    <sheet xmlns:r="http://schemas.openxmlformats.org/officeDocument/2006/relationships" name="動画別パフォーマンス" sheetId="3" state="visible" r:id="rId3"/>
    <sheet xmlns:r="http://schemas.openxmlformats.org/officeDocument/2006/relationships" name="改善アクション" sheetId="4" state="visible" r:id="rId4"/>
    <sheet xmlns:r="http://schemas.openxmlformats.org/officeDocument/2006/relationships" name="トレン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%"/>
    <numFmt numFmtId="167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7F7F7F"/>
      <sz val="9"/>
    </font>
    <font>
      <name val="Arial"/>
      <b val="1"/>
      <color rgb="00C00000"/>
      <sz val="12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4" fillId="0" borderId="1" pivotButton="0" quotePrefix="0" xfId="0"/>
    <xf numFmtId="0" fontId="4" fillId="5" borderId="1" pivotButton="0" quotePrefix="0" xfId="0"/>
    <xf numFmtId="0" fontId="7" fillId="5" borderId="1" pivotButton="0" quotePrefix="0" xfId="0"/>
    <xf numFmtId="0" fontId="4" fillId="3" borderId="1" applyAlignment="1" pivotButton="0" quotePrefix="0" xfId="0">
      <alignment vertical="top" wrapText="1"/>
    </xf>
    <xf numFmtId="164" fontId="4" fillId="3" borderId="1" pivotButton="0" quotePrefix="0" xfId="0"/>
    <xf numFmtId="165" fontId="4" fillId="3" borderId="1" pivotButton="0" quotePrefix="0" xfId="0"/>
    <xf numFmtId="2" fontId="4" fillId="3" borderId="1" pivotButton="0" quotePrefix="0" xfId="0"/>
    <xf numFmtId="164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4" fillId="0" borderId="1" applyAlignment="1" pivotButton="0" quotePrefix="0" xfId="0">
      <alignment vertical="top" wrapText="1"/>
    </xf>
    <xf numFmtId="164" fontId="4" fillId="4" borderId="1" pivotButton="0" quotePrefix="0" xfId="0"/>
    <xf numFmtId="165" fontId="4" fillId="4" borderId="1" pivotButton="0" quotePrefix="0" xfId="0"/>
    <xf numFmtId="2" fontId="4" fillId="4" borderId="1" pivotButton="0" quotePrefix="0" xfId="0"/>
    <xf numFmtId="0" fontId="4" fillId="4" borderId="1" applyAlignment="1" pivotButton="0" quotePrefix="0" xfId="0">
      <alignment vertical="top" wrapText="1"/>
    </xf>
    <xf numFmtId="0" fontId="8" fillId="6" borderId="1" pivotButton="0" quotePrefix="0" xfId="0"/>
    <xf numFmtId="0" fontId="9" fillId="0" borderId="0" pivotButton="0" quotePrefix="0" xfId="0"/>
    <xf numFmtId="0" fontId="8" fillId="0" borderId="0" pivotButton="0" quotePrefix="0" xfId="0"/>
    <xf numFmtId="166" fontId="4" fillId="0" borderId="1" pivotButton="0" quotePrefix="0" xfId="0"/>
    <xf numFmtId="0" fontId="8" fillId="5" borderId="1" pivotButton="0" quotePrefix="0" xfId="0"/>
    <xf numFmtId="0" fontId="8" fillId="5" borderId="1" applyAlignment="1" pivotButton="0" quotePrefix="0" xfId="0">
      <alignment vertical="top" wrapText="1"/>
    </xf>
    <xf numFmtId="167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指揮者</author>
  </authors>
  <commentList>
    <comment ref="D11" authorId="0" shapeId="0">
      <text>
        <t>「✅ アップロード完了」の出現回数。09-09 以降ゼロ。
最後に公開された動画は 2026-09-08T12:00:03Z の 2ch-matome 回。</t>
      </text>
    </comment>
  </commentList>
</comments>
</file>

<file path=xl/comments/comment2.xml><?xml version="1.0" encoding="utf-8"?>
<comments xmlns="http://schemas.openxmlformats.org/spreadsheetml/2006/main">
  <authors>
    <author>指揮者</author>
  </authors>
  <commentList>
    <comment ref="E3" authorId="0" shapeId="0">
      <text>
        <t>CTR=0 の行は計測欠損を含む（コホート159本中 85本が 0、うち 28本は impressions も 0）。
CTR の集計は impressions&gt;0 の行に限って行っている。</t>
      </text>
    </comment>
    <comment ref="H3" authorId="0" shapeId="0">
      <text>
        <t>高評価率＝高評価÷再生。本レポートの意思決定指標。
四分位で登録/千再生を Q4/Q1 3.90倍で説明する唯一の指標。
緑=0.8%以上／赤=200再生以上かつ0.15%未満。</t>
      </text>
    </comment>
  </commentList>
</comments>
</file>

<file path=xl/comments/comment3.xml><?xml version="1.0" encoding="utf-8"?>
<comments xmlns="http://schemas.openxmlformats.org/spreadsheetml/2006/main">
  <authors>
    <author>指揮者</author>
  </authors>
  <commentList>
    <comment ref="A5" authorId="0" shapeId="0">
      <text>
        <t>video_metrics は 2026-09-08 で更新停止。
YouTube Analytics API も OAuth を使うため、トークン失効と同時に取得も止まった。
再認可すると 09-09 以降が遡って入る見込み。
09-01/09-02 は計測本数 27 本と不完全なため推移から除外した。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62" customWidth="1" min="7" max="7"/>
  </cols>
  <sheetData>
    <row r="1">
      <c r="A1" s="1" t="inlineStr">
        <is>
          <t>YouTube Factory 指揮者レポート 2026-09-12（土）</t>
        </is>
      </c>
    </row>
    <row r="2">
      <c r="A2" s="2" t="inlineStr">
        <is>
          <t>計測スナップショット: video_metrics date=2026-09-08（以降 OAuth 失効により取得停止）／コホート: 200再生以上・08-10以降公開・moviepy系6ch n=198</t>
        </is>
      </c>
    </row>
    <row r="4">
      <c r="A4" s="3" t="inlineStr">
        <is>
          <t>■ 結論（3行）</t>
        </is>
      </c>
    </row>
    <row r="5" ht="30" customHeight="1">
      <c r="A5" s="4" t="inlineStr">
        <is>
          <t>① YouTube 投稿は 09-09 から 4 日連続で 0 本。動画は作れているが、全13chの OAuth リフレッシュトークンが失効し公開だけが落ちている。至上目標（登録者増）は現在 100% 停止している。</t>
        </is>
      </c>
    </row>
    <row r="6" ht="30" customHeight="1">
      <c r="A6" s="4" t="inlineStr">
        <is>
          <t>② 登録を説明する指標は「高評価率」だけで、「維持率」ではない。高評価率 四分位で登録/千再生は Q4/Q1 3.90倍、維持率は 1.16倍・非単調。09-08 に続き 5 回目の再現。</t>
        </is>
      </c>
    </row>
    <row r="7" ht="30" customHeight="1">
      <c r="A7" s="4" t="inlineStr">
        <is>
          <t>③ よって維持率のために入れていた構造ルール（答えの遅延）を本日撤回し、登録効率1位の scp-lab を週7日へ、2位の company-facts を4枠へ増設した。</t>
        </is>
      </c>
    </row>
    <row r="9">
      <c r="A9" s="5" t="inlineStr">
        <is>
          <t>■ 稼働状況（logs/backend.log 実測）</t>
        </is>
      </c>
    </row>
    <row r="10" ht="30" customHeight="1">
      <c r="A10" s="6" t="inlineStr">
        <is>
          <t>日付</t>
        </is>
      </c>
      <c r="B10" s="6" t="inlineStr">
        <is>
          <t>Job投入</t>
        </is>
      </c>
      <c r="C10" s="6" t="inlineStr">
        <is>
          <t>Job完了</t>
        </is>
      </c>
      <c r="D10" s="6" t="inlineStr">
        <is>
          <t>アップロード</t>
        </is>
      </c>
      <c r="E10" s="6" t="inlineStr">
        <is>
          <t>OAuth失敗</t>
        </is>
      </c>
      <c r="F10" s="6" t="inlineStr">
        <is>
          <t>Autopilot失敗</t>
        </is>
      </c>
      <c r="G10" s="6" t="inlineStr">
        <is>
          <t>状態</t>
        </is>
      </c>
    </row>
    <row r="11">
      <c r="A11" s="7" t="inlineStr">
        <is>
          <t>2026-09-06</t>
        </is>
      </c>
      <c r="B11" s="7" t="n">
        <v>24</v>
      </c>
      <c r="C11" s="7" t="n">
        <v>24</v>
      </c>
      <c r="D11" s="7" t="n">
        <v>6</v>
      </c>
      <c r="E11" s="7" t="n">
        <v>0</v>
      </c>
      <c r="F11" s="7" t="n">
        <v>4</v>
      </c>
      <c r="G11" s="7" t="inlineStr">
        <is>
          <t>正常</t>
        </is>
      </c>
    </row>
    <row r="12">
      <c r="A12" s="7" t="inlineStr">
        <is>
          <t>2026-09-07</t>
        </is>
      </c>
      <c r="B12" s="7" t="n">
        <v>24</v>
      </c>
      <c r="C12" s="7" t="n">
        <v>24</v>
      </c>
      <c r="D12" s="7" t="n">
        <v>6</v>
      </c>
      <c r="E12" s="7" t="n">
        <v>29</v>
      </c>
      <c r="F12" s="7" t="n">
        <v>4</v>
      </c>
      <c r="G12" s="7" t="inlineStr">
        <is>
          <t>正常</t>
        </is>
      </c>
    </row>
    <row r="13">
      <c r="A13" s="7" t="inlineStr">
        <is>
          <t>2026-09-08</t>
        </is>
      </c>
      <c r="B13" s="7" t="n">
        <v>24</v>
      </c>
      <c r="C13" s="7" t="n">
        <v>24</v>
      </c>
      <c r="D13" s="7" t="n">
        <v>7</v>
      </c>
      <c r="E13" s="7" t="n">
        <v>31</v>
      </c>
      <c r="F13" s="7" t="n">
        <v>3</v>
      </c>
      <c r="G13" s="7" t="inlineStr">
        <is>
          <t>正常（最後に公開できた日）</t>
        </is>
      </c>
    </row>
    <row r="14">
      <c r="A14" s="8" t="inlineStr">
        <is>
          <t>2026-09-09</t>
        </is>
      </c>
      <c r="B14" s="8" t="n">
        <v>22</v>
      </c>
      <c r="C14" s="8" t="n">
        <v>3</v>
      </c>
      <c r="D14" s="8" t="n">
        <v>0</v>
      </c>
      <c r="E14" s="8" t="n">
        <v>0</v>
      </c>
      <c r="F14" s="8" t="n">
        <v>10</v>
      </c>
      <c r="G14" s="8" t="inlineStr">
        <is>
          <t>レンダ激遅化で滞留（現在は解消）</t>
        </is>
      </c>
    </row>
    <row r="15">
      <c r="A15" s="8" t="inlineStr">
        <is>
          <t>2026-09-10</t>
        </is>
      </c>
      <c r="B15" s="8" t="n">
        <v>24</v>
      </c>
      <c r="C15" s="8" t="n">
        <v>41</v>
      </c>
      <c r="D15" s="8" t="n">
        <v>0</v>
      </c>
      <c r="E15" s="8" t="n">
        <v>140</v>
      </c>
      <c r="F15" s="8" t="n">
        <v>6</v>
      </c>
      <c r="G15" s="8" t="inlineStr">
        <is>
          <t>生成OK・公開0。トークン失効</t>
        </is>
      </c>
    </row>
    <row r="16">
      <c r="A16" s="8" t="inlineStr">
        <is>
          <t>2026-09-11</t>
        </is>
      </c>
      <c r="B16" s="8" t="n">
        <v>24</v>
      </c>
      <c r="C16" s="8" t="n">
        <v>24</v>
      </c>
      <c r="D16" s="8" t="n">
        <v>0</v>
      </c>
      <c r="E16" s="8" t="n">
        <v>317</v>
      </c>
      <c r="F16" s="8" t="n">
        <v>5</v>
      </c>
      <c r="G16" s="8" t="inlineStr">
        <is>
          <t>生成OK・公開0。トークン失効</t>
        </is>
      </c>
    </row>
    <row r="17">
      <c r="A17" s="8" t="inlineStr">
        <is>
          <t>2026-09-12</t>
        </is>
      </c>
      <c r="B17" s="8" t="n">
        <v>6</v>
      </c>
      <c r="C17" s="8" t="n">
        <v>6</v>
      </c>
      <c r="D17" s="8" t="n">
        <v>0</v>
      </c>
      <c r="E17" s="8" t="n">
        <v>6</v>
      </c>
      <c r="F17" s="8" t="n">
        <v>2</v>
      </c>
      <c r="G17" s="8" t="inlineStr">
        <is>
          <t>生成OK・公開0。トークン失効（10:00時点）</t>
        </is>
      </c>
    </row>
    <row r="19">
      <c r="A19" s="5" t="inlineStr">
        <is>
          <t>■ 至上目標への影響</t>
        </is>
      </c>
    </row>
    <row r="20" ht="30" customHeight="1">
      <c r="A20" s="6" t="inlineStr">
        <is>
          <t>項目</t>
        </is>
      </c>
      <c r="B20" s="6" t="inlineStr">
        <is>
          <t>値</t>
        </is>
      </c>
      <c r="C20" s="6" t="inlineStr"/>
      <c r="D20" s="6" t="inlineStr"/>
      <c r="E20" s="6" t="inlineStr"/>
      <c r="F20" s="6" t="inlineStr"/>
      <c r="G20" s="6" t="inlineStr">
        <is>
          <t>算出根拠</t>
        </is>
      </c>
    </row>
    <row r="21">
      <c r="A21" s="9" t="inlineStr">
        <is>
          <t>投稿停止日数</t>
        </is>
      </c>
      <c r="B21" s="9" t="n">
        <v>4</v>
      </c>
      <c r="C21" s="9" t="inlineStr"/>
      <c r="D21" s="9" t="inlineStr"/>
      <c r="E21" s="9" t="inlineStr"/>
      <c r="F21" s="9" t="inlineStr"/>
      <c r="G21" s="9" t="inlineStr">
        <is>
          <t>09-09 / 09-10 / 09-11 / 09-12</t>
        </is>
      </c>
    </row>
    <row r="22">
      <c r="A22" s="9" t="inlineStr">
        <is>
          <t>1日あたり平均公開本数（09-06〜09-08）</t>
        </is>
      </c>
      <c r="B22" s="9" t="n">
        <v>6.3</v>
      </c>
      <c r="C22" s="9" t="inlineStr"/>
      <c r="D22" s="9" t="inlineStr"/>
      <c r="E22" s="9" t="inlineStr"/>
      <c r="F22" s="9" t="inlineStr"/>
      <c r="G22" s="9" t="inlineStr">
        <is>
          <t>6+6+7 本 / 3日</t>
        </is>
      </c>
    </row>
    <row r="23">
      <c r="A23" s="9" t="inlineStr">
        <is>
          <t>推定・未公開のまま滞留した本数</t>
        </is>
      </c>
      <c r="B23" s="9" t="n">
        <v>24</v>
      </c>
      <c r="C23" s="9" t="inlineStr"/>
      <c r="D23" s="9" t="inlineStr"/>
      <c r="E23" s="9" t="inlineStr"/>
      <c r="F23" s="9" t="inlineStr"/>
      <c r="G23" s="9" t="inlineStr">
        <is>
          <t>停止日数 × 平均公開本数</t>
        </is>
      </c>
    </row>
    <row r="24">
      <c r="A24" s="9" t="inlineStr">
        <is>
          <t>moviepy6ch の登録/千再生（中央値）</t>
        </is>
      </c>
      <c r="B24" s="9" t="n">
        <v>0.487</v>
      </c>
      <c r="C24" s="9" t="inlineStr"/>
      <c r="D24" s="9" t="inlineStr"/>
      <c r="E24" s="9" t="inlineStr"/>
      <c r="F24" s="9" t="inlineStr"/>
      <c r="G24" s="9" t="inlineStr">
        <is>
          <t>コホート n=198 より</t>
        </is>
      </c>
    </row>
    <row r="25">
      <c r="A25" s="9" t="inlineStr">
        <is>
          <t>6ch 合計 1日あたり登録者（09-08 実績）</t>
        </is>
      </c>
      <c r="B25" s="9" t="n">
        <v>105</v>
      </c>
      <c r="C25" s="9" t="inlineStr"/>
      <c r="D25" s="9" t="inlineStr"/>
      <c r="E25" s="9" t="inlineStr"/>
      <c r="F25" s="9" t="inlineStr"/>
      <c r="G25" s="9" t="inlineStr">
        <is>
          <t>daily-science15+scp26+2ch8+pokemon9+yokai15+company32</t>
        </is>
      </c>
    </row>
    <row r="26">
      <c r="A26" s="10" t="inlineStr">
        <is>
          <t>推定・失われた登録者（4日分）</t>
        </is>
      </c>
      <c r="B26" s="11" t="n">
        <v>420</v>
      </c>
      <c r="C26" s="10" t="inlineStr"/>
      <c r="D26" s="10" t="inlineStr"/>
      <c r="E26" s="10" t="inlineStr"/>
      <c r="F26" s="10" t="inlineStr"/>
      <c r="G26" s="10" t="inlineStr">
        <is>
          <t>105人/日 × 4日 ※投稿停止に伴う新規流入の喪失分</t>
        </is>
      </c>
    </row>
    <row r="29">
      <c r="A29" s="5" t="inlineStr">
        <is>
          <t>■ 本日のコンフィグ変更（全て実データ由来・適用済み）</t>
        </is>
      </c>
    </row>
    <row r="30" ht="30" customHeight="1">
      <c r="A30" s="6" t="inlineStr">
        <is>
          <t>ID</t>
        </is>
      </c>
      <c r="B30" s="6" t="inlineStr">
        <is>
          <t>対象</t>
        </is>
      </c>
      <c r="C30" s="6" t="inlineStr">
        <is>
          <t>変更</t>
        </is>
      </c>
      <c r="D30" s="6" t="inlineStr"/>
      <c r="E30" s="6" t="inlineStr"/>
      <c r="F30" s="6" t="inlineStr"/>
      <c r="G30" s="6" t="inlineStr">
        <is>
          <t>根拠（実測値）</t>
        </is>
      </c>
    </row>
    <row r="31" ht="44" customHeight="1">
      <c r="A31" s="7" t="inlineStr">
        <is>
          <t>C1</t>
        </is>
      </c>
      <c r="B31" s="12" t="inlineStr">
        <is>
          <t>daily-science / scp-lab / pokemon-lab / yokai-watch</t>
        </is>
      </c>
      <c r="C31" s="12" t="inlineStr">
        <is>
          <t>short_format の『答えの遅延』を撤回し、答えを3行目で渡す構造へ</t>
        </is>
      </c>
      <c r="D31" s="7" t="inlineStr"/>
      <c r="E31" s="7" t="inlineStr"/>
      <c r="F31" s="7" t="inlineStr"/>
      <c r="G31" s="12" t="inlineStr">
        <is>
          <t>維持率四分位→登録/千 = 0.356/0.482/0.708/0.413（非単調・Q4/Q1 1.16倍）。維持率50%以上の高評価率は 0.93倍</t>
        </is>
      </c>
    </row>
    <row r="32" ht="44" customHeight="1">
      <c r="A32" s="7" t="inlineStr">
        <is>
          <t>C2</t>
        </is>
      </c>
      <c r="B32" s="12" t="inlineStr">
        <is>
          <t>2ch-matome / pokemon-lab</t>
        </is>
      </c>
      <c r="C32" s="12" t="inlineStr">
        <is>
          <t>title_style に『疑問形＋答え提示語の併用』を必須として明記</t>
        </is>
      </c>
      <c r="D32" s="7" t="inlineStr"/>
      <c r="E32" s="7" t="inlineStr"/>
      <c r="F32" s="7" t="inlineStr"/>
      <c r="G32" s="12" t="inlineStr">
        <is>
          <t>ch内対照の高評価率: 疑問符 2ch 1.53倍 / pokemon 1.93倍。両chの高評価率 0.232% / 0.218% は6ch最下位級</t>
        </is>
      </c>
    </row>
    <row r="33" ht="44" customHeight="1">
      <c r="A33" s="7" t="inlineStr">
        <is>
          <t>C3</t>
        </is>
      </c>
      <c r="B33" s="12" t="inlineStr">
        <is>
          <t>scp-lab</t>
        </is>
      </c>
      <c r="C33" s="12" t="inlineStr">
        <is>
          <t>投稿を平日限定 → 週7日（週15本→21本）</t>
        </is>
      </c>
      <c r="D33" s="7" t="inlineStr"/>
      <c r="E33" s="7" t="inlineStr"/>
      <c r="F33" s="7" t="inlineStr"/>
      <c r="G33" s="12" t="inlineStr">
        <is>
          <t>scp-lab 登録/千 0.773 で6ch1位。曜日別 土 0.763 / 日 0.774 で ch平均と同等、週末が弱い事実は無い</t>
        </is>
      </c>
    </row>
    <row r="34" ht="44" customHeight="1">
      <c r="A34" s="7" t="inlineStr">
        <is>
          <t>C4</t>
        </is>
      </c>
      <c r="B34" s="12" t="inlineStr">
        <is>
          <t>company-facts</t>
        </is>
      </c>
      <c r="C34" s="12" t="inlineStr">
        <is>
          <t>autopilot 枠を 3 → 4（12:30 を増設、週21本→28本）</t>
        </is>
      </c>
      <c r="D34" s="7" t="inlineStr"/>
      <c r="E34" s="7" t="inlineStr"/>
      <c r="F34" s="7" t="inlineStr"/>
      <c r="G34" s="12" t="inlineStr">
        <is>
          <t>登録/千 0.711（2位）・維持率 56.7%（1位）・有効CTR 2.19%（1位）。正午帯が未使用</t>
        </is>
      </c>
    </row>
  </sheetData>
  <mergeCells count="3">
    <mergeCell ref="A6:G6"/>
    <mergeCell ref="A7:G7"/>
    <mergeCell ref="A5:G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2" customWidth="1" min="4" max="4"/>
    <col width="11" customWidth="1" min="5" max="5"/>
    <col width="12" customWidth="1" min="6" max="6"/>
    <col width="10" customWidth="1" min="7" max="7"/>
    <col width="14" customWidth="1" min="8" max="8"/>
    <col width="34" customWidth="1" min="9" max="9"/>
  </cols>
  <sheetData>
    <row r="1">
      <c r="A1" s="1" t="inlineStr">
        <is>
          <t>チャンネル別詳細（moviepy系6ch・コホート: 200再生以上／08-10以降公開／09-08計測）</t>
        </is>
      </c>
    </row>
    <row r="3" ht="30" customHeight="1">
      <c r="A3" s="6" t="inlineStr">
        <is>
          <t>チャンネル</t>
        </is>
      </c>
      <c r="B3" s="6" t="inlineStr">
        <is>
          <t>本数</t>
        </is>
      </c>
      <c r="C3" s="6" t="inlineStr">
        <is>
          <t>平均再生</t>
        </is>
      </c>
      <c r="D3" s="6" t="inlineStr">
        <is>
          <t>登録/千再生</t>
        </is>
      </c>
      <c r="E3" s="6" t="inlineStr">
        <is>
          <t>高評価率%</t>
        </is>
      </c>
      <c r="F3" s="6" t="inlineStr">
        <is>
          <t>平均維持率%</t>
        </is>
      </c>
      <c r="G3" s="6" t="inlineStr">
        <is>
          <t>有効CTR%</t>
        </is>
      </c>
      <c r="H3" s="6" t="inlineStr">
        <is>
          <t>週あたり投稿数</t>
        </is>
      </c>
      <c r="I3" s="6" t="inlineStr">
        <is>
          <t>判定</t>
        </is>
      </c>
    </row>
    <row r="4" ht="30" customHeight="1">
      <c r="A4" s="7" t="inlineStr">
        <is>
          <t>scp-lab</t>
        </is>
      </c>
      <c r="B4" s="7" t="n">
        <v>37</v>
      </c>
      <c r="C4" s="7" t="n">
        <v>874</v>
      </c>
      <c r="D4" s="13" t="n">
        <v>0.773</v>
      </c>
      <c r="E4" s="13" t="n">
        <v>0.417</v>
      </c>
      <c r="F4" s="14" t="n">
        <v>37.7</v>
      </c>
      <c r="G4" s="15" t="n">
        <v>1.21</v>
      </c>
      <c r="H4" s="7" t="n">
        <v>21</v>
      </c>
      <c r="I4" s="12" t="inlineStr">
        <is>
          <t>★登録効率1位。本日 週7日化（週15→21本）。維持率 37.7% は最下位で伸びしろ</t>
        </is>
      </c>
    </row>
    <row r="5" ht="30" customHeight="1">
      <c r="A5" s="7" t="inlineStr">
        <is>
          <t>company-facts</t>
        </is>
      </c>
      <c r="B5" s="7" t="n">
        <v>30</v>
      </c>
      <c r="C5" s="7" t="n">
        <v>1454</v>
      </c>
      <c r="D5" s="13" t="n">
        <v>0.711</v>
      </c>
      <c r="E5" s="13" t="n">
        <v>0.335</v>
      </c>
      <c r="F5" s="14" t="n">
        <v>56.7</v>
      </c>
      <c r="G5" s="15" t="n">
        <v>2.48</v>
      </c>
      <c r="H5" s="7" t="n">
        <v>28</v>
      </c>
      <c r="I5" s="12" t="inlineStr">
        <is>
          <t>★維持率・CTR ともに1位。本日 4枠目を増設（週21→28本）</t>
        </is>
      </c>
    </row>
    <row r="6" ht="30" customHeight="1">
      <c r="A6" s="9" t="inlineStr">
        <is>
          <t>yokai-watch</t>
        </is>
      </c>
      <c r="B6" s="9" t="n">
        <v>28</v>
      </c>
      <c r="C6" s="9" t="n">
        <v>1083</v>
      </c>
      <c r="D6" s="16" t="n">
        <v>0.495</v>
      </c>
      <c r="E6" s="16" t="n">
        <v>0.485</v>
      </c>
      <c r="F6" s="17" t="n">
        <v>43.9</v>
      </c>
      <c r="G6" s="18" t="n">
        <v>1.27</v>
      </c>
      <c r="H6" s="9" t="n">
        <v>21</v>
      </c>
      <c r="I6" s="19" t="inlineStr">
        <is>
          <t>高評価率2位。末尾疑問符の機械ゲート禁止は維持（登録0.07倍の実測）</t>
        </is>
      </c>
    </row>
    <row r="7" ht="30" customHeight="1">
      <c r="A7" s="9" t="inlineStr">
        <is>
          <t>daily-science</t>
        </is>
      </c>
      <c r="B7" s="9" t="n">
        <v>35</v>
      </c>
      <c r="C7" s="9" t="n">
        <v>881</v>
      </c>
      <c r="D7" s="16" t="n">
        <v>0.487</v>
      </c>
      <c r="E7" s="16" t="n">
        <v>0.574</v>
      </c>
      <c r="F7" s="17" t="n">
        <v>48.8</v>
      </c>
      <c r="G7" s="18" t="n">
        <v>1.05</v>
      </c>
      <c r="H7" s="9" t="n">
        <v>21</v>
      </c>
      <c r="I7" s="19" t="inlineStr">
        <is>
          <t>高評価率1位（0.574%）だが有効CTR 0.67% で最下位。サムネ側に伸びしろ</t>
        </is>
      </c>
    </row>
    <row r="8" ht="30" customHeight="1">
      <c r="A8" s="8" t="inlineStr">
        <is>
          <t>pokemon-lab</t>
        </is>
      </c>
      <c r="B8" s="8" t="n">
        <v>29</v>
      </c>
      <c r="C8" s="8" t="n">
        <v>1077</v>
      </c>
      <c r="D8" s="20" t="n">
        <v>0.256</v>
      </c>
      <c r="E8" s="20" t="n">
        <v>0.218</v>
      </c>
      <c r="F8" s="21" t="n">
        <v>42.1</v>
      </c>
      <c r="G8" s="22" t="n">
        <v>1.19</v>
      </c>
      <c r="H8" s="8" t="n">
        <v>21</v>
      </c>
      <c r="I8" s="23" t="inlineStr">
        <is>
          <t>登録/千0.256でワースト2。疑問符が1.93倍と最も効くため C2 を適用</t>
        </is>
      </c>
    </row>
    <row r="9" ht="30" customHeight="1">
      <c r="A9" s="8" t="inlineStr">
        <is>
          <t>2ch-matome</t>
        </is>
      </c>
      <c r="B9" s="8" t="n">
        <v>39</v>
      </c>
      <c r="C9" s="8" t="n">
        <v>1028</v>
      </c>
      <c r="D9" s="20" t="n">
        <v>0.2</v>
      </c>
      <c r="E9" s="20" t="n">
        <v>0.232</v>
      </c>
      <c r="F9" s="21" t="n">
        <v>48.9</v>
      </c>
      <c r="G9" s="22" t="n">
        <v>1.61</v>
      </c>
      <c r="H9" s="8" t="n">
        <v>21</v>
      </c>
      <c r="I9" s="23" t="inlineStr">
        <is>
          <t>登録/千0.200でワースト。再生は出るが登録に変換できていない。C2 を適用</t>
        </is>
      </c>
    </row>
    <row r="10">
      <c r="A10" s="24" t="inlineStr">
        <is>
          <t>合計 / 平均</t>
        </is>
      </c>
      <c r="B10" s="24">
        <f>SUM(B4:B9)</f>
        <v/>
      </c>
      <c r="C10" s="24">
        <f>ROUND(AVERAGE(C4:C9),0)</f>
        <v/>
      </c>
      <c r="D10" s="24">
        <f>ROUND(AVERAGE(D4:D9),3)</f>
        <v/>
      </c>
      <c r="E10" s="24">
        <f>ROUND(AVERAGE(E4:E9),3)</f>
        <v/>
      </c>
      <c r="F10" s="24">
        <f>ROUND(AVERAGE(F4:F9),1)</f>
        <v/>
      </c>
      <c r="G10" s="24">
        <f>ROUND(AVERAGE(G4:G9),2)</f>
        <v/>
      </c>
      <c r="H10" s="24">
        <f>SUM(H4:H9)</f>
        <v/>
      </c>
      <c r="I10" s="24" t="inlineStr">
        <is>
          <t>週133本（変更前 週120本／+10.8%）</t>
        </is>
      </c>
    </row>
    <row r="13">
      <c r="A13" s="25" t="inlineStr">
        <is>
          <t>■ 参考: 切り抜き系・その他ch（09-08 スナップショット全体）</t>
        </is>
      </c>
    </row>
    <row r="14" ht="30" customHeight="1">
      <c r="A14" s="6" t="inlineStr">
        <is>
          <t>チャンネル</t>
        </is>
      </c>
      <c r="B14" s="6" t="inlineStr">
        <is>
          <t>本数</t>
        </is>
      </c>
      <c r="C14" s="6" t="inlineStr">
        <is>
          <t>合計再生</t>
        </is>
      </c>
      <c r="D14" s="6" t="inlineStr">
        <is>
          <t>登録者</t>
        </is>
      </c>
      <c r="E14" s="6" t="inlineStr">
        <is>
          <t>高評価</t>
        </is>
      </c>
      <c r="F14" s="6" t="inlineStr">
        <is>
          <t>平均維持率%</t>
        </is>
      </c>
      <c r="G14" s="6" t="inlineStr"/>
      <c r="H14" s="6" t="inlineStr"/>
      <c r="I14" s="6" t="inlineStr">
        <is>
          <t>状態</t>
        </is>
      </c>
    </row>
    <row r="15">
      <c r="A15" s="9" t="inlineStr">
        <is>
          <t>clip-lab</t>
        </is>
      </c>
      <c r="B15" s="9" t="n">
        <v>18</v>
      </c>
      <c r="C15" s="9" t="n">
        <v>42321</v>
      </c>
      <c r="D15" s="9" t="n">
        <v>1</v>
      </c>
      <c r="E15" s="9" t="n">
        <v>67</v>
      </c>
      <c r="F15" s="9" t="n">
        <v>44.1</v>
      </c>
      <c r="G15" s="9" t="inlineStr"/>
      <c r="H15" s="9" t="inlineStr"/>
      <c r="I15" s="9" t="inlineStr">
        <is>
          <t>凍結中（指揮者の制作対象外）</t>
        </is>
      </c>
    </row>
    <row r="16">
      <c r="A16" s="9" t="inlineStr">
        <is>
          <t>clip-kaneko</t>
        </is>
      </c>
      <c r="B16" s="9" t="n">
        <v>30</v>
      </c>
      <c r="C16" s="9" t="n">
        <v>23682</v>
      </c>
      <c r="D16" s="9" t="n">
        <v>4</v>
      </c>
      <c r="E16" s="9" t="n">
        <v>55</v>
      </c>
      <c r="F16" s="9" t="n">
        <v>38.8</v>
      </c>
      <c r="G16" s="9" t="inlineStr"/>
      <c r="H16" s="9" t="inlineStr"/>
      <c r="I16" s="9" t="inlineStr">
        <is>
          <t>切り抜き系・指揮者の管掌外</t>
        </is>
      </c>
    </row>
    <row r="17">
      <c r="A17" s="9" t="inlineStr">
        <is>
          <t>clip-fukada</t>
        </is>
      </c>
      <c r="B17" s="9" t="n">
        <v>13</v>
      </c>
      <c r="C17" s="9" t="n">
        <v>23704</v>
      </c>
      <c r="D17" s="9" t="n">
        <v>5</v>
      </c>
      <c r="E17" s="9" t="n">
        <v>52</v>
      </c>
      <c r="F17" s="9" t="n">
        <v>33.7</v>
      </c>
      <c r="G17" s="9" t="inlineStr"/>
      <c r="H17" s="9" t="inlineStr"/>
      <c r="I17" s="9" t="inlineStr">
        <is>
          <t>切り抜き系・指揮者の管掌外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6" customWidth="1" min="3" max="3"/>
    <col width="9" customWidth="1" min="4" max="4"/>
    <col width="8" customWidth="1" min="5" max="5"/>
    <col width="9" customWidth="1" min="6" max="6"/>
    <col width="8" customWidth="1" min="7" max="7"/>
    <col width="10" customWidth="1" min="8" max="8"/>
    <col width="7" customWidth="1" min="9" max="9"/>
    <col width="9" customWidth="1" min="10" max="10"/>
  </cols>
  <sheetData>
    <row r="1">
      <c r="A1" s="1" t="inlineStr">
        <is>
          <t>動画別パフォーマンス（09-01以降公開・09-08計測・再生数降順）</t>
        </is>
      </c>
    </row>
    <row r="3" ht="30" customHeight="1">
      <c r="A3" s="6" t="inlineStr">
        <is>
          <t>チャンネル</t>
        </is>
      </c>
      <c r="B3" s="6" t="inlineStr">
        <is>
          <t>公開日時(UTC)</t>
        </is>
      </c>
      <c r="C3" s="6" t="inlineStr">
        <is>
          <t>タイトル</t>
        </is>
      </c>
      <c r="D3" s="6" t="inlineStr">
        <is>
          <t>再生</t>
        </is>
      </c>
      <c r="E3" s="6" t="inlineStr">
        <is>
          <t>CTR%</t>
        </is>
      </c>
      <c r="F3" s="6" t="inlineStr">
        <is>
          <t>維持率%</t>
        </is>
      </c>
      <c r="G3" s="6" t="inlineStr">
        <is>
          <t>高評価</t>
        </is>
      </c>
      <c r="H3" s="6" t="inlineStr">
        <is>
          <t>高評価率%</t>
        </is>
      </c>
      <c r="I3" s="6" t="inlineStr">
        <is>
          <t>登録</t>
        </is>
      </c>
      <c r="J3" s="6" t="inlineStr">
        <is>
          <t>コメント</t>
        </is>
      </c>
    </row>
    <row r="4">
      <c r="A4" s="8" t="inlineStr">
        <is>
          <t>clip-lab</t>
        </is>
      </c>
      <c r="B4" s="8" t="inlineStr">
        <is>
          <t>2026-09-05T08:45:51Z</t>
        </is>
      </c>
      <c r="C4" s="8" t="inlineStr">
        <is>
          <t>刑務所行きを恐れ 暴力団は来なくなった #shorts #切り抜き</t>
        </is>
      </c>
      <c r="D4" s="8" t="n">
        <v>6382</v>
      </c>
      <c r="E4" s="22" t="n">
        <v>0</v>
      </c>
      <c r="F4" s="21" t="n">
        <v>73.3</v>
      </c>
      <c r="G4" s="8" t="n">
        <v>6</v>
      </c>
      <c r="H4" s="20" t="n">
        <v>0.094</v>
      </c>
      <c r="I4" s="8" t="n">
        <v>1</v>
      </c>
      <c r="J4" s="8" t="n">
        <v>0</v>
      </c>
    </row>
    <row r="5">
      <c r="A5" s="8" t="inlineStr">
        <is>
          <t>clip-lab</t>
        </is>
      </c>
      <c r="B5" s="8" t="inlineStr">
        <is>
          <t>2026-09-04T02:48:22Z</t>
        </is>
      </c>
      <c r="C5" s="8" t="inlineStr">
        <is>
          <t>株を渡されない社長は いつでもクビになれる #shorts #切り抜き</t>
        </is>
      </c>
      <c r="D5" s="8" t="n">
        <v>1930</v>
      </c>
      <c r="E5" s="22" t="n">
        <v>2.17</v>
      </c>
      <c r="F5" s="21" t="n">
        <v>51.1</v>
      </c>
      <c r="G5" s="8" t="n">
        <v>0</v>
      </c>
      <c r="H5" s="20" t="n">
        <v>0</v>
      </c>
      <c r="I5" s="8" t="n">
        <v>0</v>
      </c>
      <c r="J5" s="8" t="n">
        <v>0</v>
      </c>
    </row>
    <row r="6">
      <c r="A6" s="9" t="inlineStr">
        <is>
          <t>company-facts</t>
        </is>
      </c>
      <c r="B6" s="9" t="inlineStr">
        <is>
          <t>2026-09-03T08:00:14Z</t>
        </is>
      </c>
      <c r="C6" s="9" t="inlineStr">
        <is>
          <t>日本マクドナルドの正体、年収670万円の裏側 #shorts #企業分析 #年収 #転職</t>
        </is>
      </c>
      <c r="D6" s="9" t="n">
        <v>1730</v>
      </c>
      <c r="E6" s="18" t="n">
        <v>2.32</v>
      </c>
      <c r="F6" s="17" t="n">
        <v>72.3</v>
      </c>
      <c r="G6" s="9" t="n">
        <v>7</v>
      </c>
      <c r="H6" s="16" t="n">
        <v>0.405</v>
      </c>
      <c r="I6" s="9" t="n">
        <v>1</v>
      </c>
      <c r="J6" s="9" t="n">
        <v>1</v>
      </c>
    </row>
    <row r="7">
      <c r="A7" s="8" t="inlineStr">
        <is>
          <t>clip-lab</t>
        </is>
      </c>
      <c r="B7" s="8" t="inlineStr">
        <is>
          <t>2026-09-06T02:46:02Z</t>
        </is>
      </c>
      <c r="C7" s="8" t="inlineStr">
        <is>
          <t>弟を亡くした悲しみは 6年経っても消えない #shorts #切り抜き</t>
        </is>
      </c>
      <c r="D7" s="8" t="n">
        <v>1349</v>
      </c>
      <c r="E7" s="22" t="n">
        <v>13.89</v>
      </c>
      <c r="F7" s="21" t="n">
        <v>97.40000000000001</v>
      </c>
      <c r="G7" s="8" t="n">
        <v>2</v>
      </c>
      <c r="H7" s="20" t="n">
        <v>0.148</v>
      </c>
      <c r="I7" s="8" t="n">
        <v>0</v>
      </c>
      <c r="J7" s="8" t="n">
        <v>0</v>
      </c>
    </row>
    <row r="8">
      <c r="A8" s="9" t="inlineStr">
        <is>
          <t>clip-lab</t>
        </is>
      </c>
      <c r="B8" s="9" t="inlineStr">
        <is>
          <t>2026-09-05T02:45:52Z</t>
        </is>
      </c>
      <c r="C8" s="9" t="inlineStr">
        <is>
          <t>男性の被害は 事件化されにくい #shorts #切り抜き</t>
        </is>
      </c>
      <c r="D8" s="9" t="n">
        <v>1307</v>
      </c>
      <c r="E8" s="18" t="n">
        <v>0</v>
      </c>
      <c r="F8" s="17" t="n">
        <v>58.3</v>
      </c>
      <c r="G8" s="9" t="n">
        <v>2</v>
      </c>
      <c r="H8" s="16" t="n">
        <v>0.153</v>
      </c>
      <c r="I8" s="9" t="n">
        <v>0</v>
      </c>
      <c r="J8" s="9" t="n">
        <v>0</v>
      </c>
    </row>
    <row r="9">
      <c r="A9" s="8" t="inlineStr">
        <is>
          <t>clip-fukada</t>
        </is>
      </c>
      <c r="B9" s="8" t="inlineStr">
        <is>
          <t>2026-09-05T11:00:52Z</t>
        </is>
      </c>
      <c r="C9" s="8" t="inlineStr">
        <is>
          <t>今の自分のまま 学生時代に戻りたい #shorts #切り抜き</t>
        </is>
      </c>
      <c r="D9" s="8" t="n">
        <v>1220</v>
      </c>
      <c r="E9" s="22" t="n">
        <v>1.58</v>
      </c>
      <c r="F9" s="21" t="n">
        <v>49.5</v>
      </c>
      <c r="G9" s="8" t="n">
        <v>1</v>
      </c>
      <c r="H9" s="20" t="n">
        <v>0.082</v>
      </c>
      <c r="I9" s="8" t="n">
        <v>0</v>
      </c>
      <c r="J9" s="8" t="n">
        <v>0</v>
      </c>
    </row>
    <row r="10">
      <c r="A10" s="8" t="inlineStr">
        <is>
          <t>clip-kaneko</t>
        </is>
      </c>
      <c r="B10" s="8" t="inlineStr">
        <is>
          <t>2026-09-04T11:30:42Z</t>
        </is>
      </c>
      <c r="C10" s="8" t="inlineStr">
        <is>
          <t>白いゲーミングPCは 中の色まで変えられる #shorts #切り抜き</t>
        </is>
      </c>
      <c r="D10" s="8" t="n">
        <v>1206</v>
      </c>
      <c r="E10" s="22" t="n">
        <v>2.82</v>
      </c>
      <c r="F10" s="21" t="n">
        <v>39.5</v>
      </c>
      <c r="G10" s="8" t="n">
        <v>1</v>
      </c>
      <c r="H10" s="20" t="n">
        <v>0.083</v>
      </c>
      <c r="I10" s="8" t="n">
        <v>0</v>
      </c>
      <c r="J10" s="8" t="n">
        <v>0</v>
      </c>
    </row>
    <row r="11">
      <c r="A11" s="8" t="inlineStr">
        <is>
          <t>clip-kaneko</t>
        </is>
      </c>
      <c r="B11" s="8" t="inlineStr">
        <is>
          <t>2026-09-04T23:00:57Z</t>
        </is>
      </c>
      <c r="C11" s="8" t="inlineStr">
        <is>
          <t>6年間隠した恋が 都合のいい関係に #shorts #切り抜き</t>
        </is>
      </c>
      <c r="D11" s="8" t="n">
        <v>1172</v>
      </c>
      <c r="E11" s="22" t="n">
        <v>4.4</v>
      </c>
      <c r="F11" s="21" t="n">
        <v>54.6</v>
      </c>
      <c r="G11" s="8" t="n">
        <v>1</v>
      </c>
      <c r="H11" s="20" t="n">
        <v>0.08500000000000001</v>
      </c>
      <c r="I11" s="8" t="n">
        <v>0</v>
      </c>
      <c r="J11" s="8" t="n">
        <v>0</v>
      </c>
    </row>
    <row r="12">
      <c r="A12" s="8" t="inlineStr">
        <is>
          <t>clip-lab</t>
        </is>
      </c>
      <c r="B12" s="8" t="inlineStr">
        <is>
          <t>2026-09-04T08:46:59Z</t>
        </is>
      </c>
      <c r="C12" s="8" t="inlineStr">
        <is>
          <t>向いていることを やり続ければいい #shorts #切り抜き</t>
        </is>
      </c>
      <c r="D12" s="8" t="n">
        <v>1142</v>
      </c>
      <c r="E12" s="22" t="n">
        <v>0</v>
      </c>
      <c r="F12" s="21" t="n">
        <v>51.7</v>
      </c>
      <c r="G12" s="8" t="n">
        <v>0</v>
      </c>
      <c r="H12" s="20" t="n">
        <v>0</v>
      </c>
      <c r="I12" s="8" t="n">
        <v>0</v>
      </c>
      <c r="J12" s="8" t="n">
        <v>0</v>
      </c>
    </row>
    <row r="13">
      <c r="A13" s="9" t="inlineStr">
        <is>
          <t>daily-science</t>
        </is>
      </c>
      <c r="B13" s="9" t="inlineStr">
        <is>
          <t>2026-09-05T08:00:17Z</t>
        </is>
      </c>
      <c r="C13" s="9" t="inlineStr">
        <is>
          <t>なぜあなたは階段で1段だけ外すのか？ #shorts #雑学 #豆知識</t>
        </is>
      </c>
      <c r="D13" s="9" t="n">
        <v>1132</v>
      </c>
      <c r="E13" s="18" t="n">
        <v>0</v>
      </c>
      <c r="F13" s="17" t="n">
        <v>120.7</v>
      </c>
      <c r="G13" s="9" t="n">
        <v>5</v>
      </c>
      <c r="H13" s="16" t="n">
        <v>0.442</v>
      </c>
      <c r="I13" s="9" t="n">
        <v>0</v>
      </c>
      <c r="J13" s="9" t="n">
        <v>0</v>
      </c>
    </row>
    <row r="14">
      <c r="A14" s="9" t="inlineStr">
        <is>
          <t>clip-lab</t>
        </is>
      </c>
      <c r="B14" s="9" t="inlineStr">
        <is>
          <t>2026-09-03T07:54:46Z</t>
        </is>
      </c>
      <c r="C14" s="9" t="inlineStr">
        <is>
          <t>100点を10個より 60点を1000個作れ #shorts #切り抜き</t>
        </is>
      </c>
      <c r="D14" s="9" t="n">
        <v>1130</v>
      </c>
      <c r="E14" s="18" t="n">
        <v>2.13</v>
      </c>
      <c r="F14" s="17" t="n">
        <v>58.4</v>
      </c>
      <c r="G14" s="9" t="n">
        <v>2</v>
      </c>
      <c r="H14" s="16" t="n">
        <v>0.177</v>
      </c>
      <c r="I14" s="9" t="n">
        <v>0</v>
      </c>
      <c r="J14" s="9" t="n">
        <v>0</v>
      </c>
    </row>
    <row r="15">
      <c r="A15" s="9" t="inlineStr">
        <is>
          <t>scp-lab</t>
        </is>
      </c>
      <c r="B15" s="9" t="inlineStr">
        <is>
          <t>2026-09-04T04:00:33Z</t>
        </is>
      </c>
      <c r="C15" s="9" t="inlineStr">
        <is>
          <t>SCP-6121 毎晩1cm動く椅子、14日目に起きた異変 #shorts #SCP #SCP解説</t>
        </is>
      </c>
      <c r="D15" s="9" t="n">
        <v>1088</v>
      </c>
      <c r="E15" s="18" t="n">
        <v>0.73</v>
      </c>
      <c r="F15" s="17" t="n">
        <v>39.8</v>
      </c>
      <c r="G15" s="9" t="n">
        <v>6</v>
      </c>
      <c r="H15" s="16" t="n">
        <v>0.551</v>
      </c>
      <c r="I15" s="9" t="n">
        <v>2</v>
      </c>
      <c r="J15" s="9" t="n">
        <v>0</v>
      </c>
    </row>
    <row r="16">
      <c r="A16" s="7" t="inlineStr">
        <is>
          <t>yokai-watch</t>
        </is>
      </c>
      <c r="B16" s="7" t="inlineStr">
        <is>
          <t>2026-09-05T03:00:07Z</t>
        </is>
      </c>
      <c r="C16" s="7" t="inlineStr">
        <is>
          <t>口裂け女の噂はなぜ全国へ？名前を呼べない本当の理由 #shorts #妖怪 #都市伝説</t>
        </is>
      </c>
      <c r="D16" s="7" t="n">
        <v>1074</v>
      </c>
      <c r="E16" s="15" t="n">
        <v>2.04</v>
      </c>
      <c r="F16" s="14" t="n">
        <v>56.1</v>
      </c>
      <c r="G16" s="7" t="n">
        <v>14</v>
      </c>
      <c r="H16" s="13" t="n">
        <v>1.304</v>
      </c>
      <c r="I16" s="7" t="n">
        <v>1</v>
      </c>
      <c r="J16" s="7" t="n">
        <v>0</v>
      </c>
    </row>
    <row r="17">
      <c r="A17" s="8" t="inlineStr">
        <is>
          <t>company-facts</t>
        </is>
      </c>
      <c r="B17" s="8" t="inlineStr">
        <is>
          <t>2026-09-04T08:00:21Z</t>
        </is>
      </c>
      <c r="C17" s="8" t="inlineStr">
        <is>
          <t>星野リゾートの推定年収400万円、業界平均と比べると？ #shorts #企業分析 #年収 #転職</t>
        </is>
      </c>
      <c r="D17" s="8" t="n">
        <v>1045</v>
      </c>
      <c r="E17" s="22" t="n">
        <v>3.96</v>
      </c>
      <c r="F17" s="21" t="n">
        <v>65.90000000000001</v>
      </c>
      <c r="G17" s="8" t="n">
        <v>0</v>
      </c>
      <c r="H17" s="20" t="n">
        <v>0</v>
      </c>
      <c r="I17" s="8" t="n">
        <v>0</v>
      </c>
      <c r="J17" s="8" t="n">
        <v>0</v>
      </c>
    </row>
    <row r="18">
      <c r="A18" s="9" t="inlineStr">
        <is>
          <t>company-facts</t>
        </is>
      </c>
      <c r="B18" s="9" t="inlineStr">
        <is>
          <t>2026-09-06T04:30:22Z</t>
        </is>
      </c>
      <c r="C18" s="9" t="inlineStr">
        <is>
          <t>トヨタ895万円の実態、ルーミー人気を支える社員の本音 #shorts #企業分析 #年収 #転職</t>
        </is>
      </c>
      <c r="D18" s="9" t="n">
        <v>1039</v>
      </c>
      <c r="E18" s="18" t="n">
        <v>2.5</v>
      </c>
      <c r="F18" s="17" t="n">
        <v>63.8</v>
      </c>
      <c r="G18" s="9" t="n">
        <v>2</v>
      </c>
      <c r="H18" s="16" t="n">
        <v>0.192</v>
      </c>
      <c r="I18" s="9" t="n">
        <v>0</v>
      </c>
      <c r="J18" s="9" t="n">
        <v>0</v>
      </c>
    </row>
    <row r="19">
      <c r="A19" s="9" t="inlineStr">
        <is>
          <t>scp-lab</t>
        </is>
      </c>
      <c r="B19" s="9" t="inlineStr">
        <is>
          <t>2026-09-03T10:00:06Z</t>
        </is>
      </c>
      <c r="C19" s="9" t="inlineStr">
        <is>
          <t>SCP-███ 正体は0秒の無音録音 #shorts #SCP #SCP解説</t>
        </is>
      </c>
      <c r="D19" s="9" t="n">
        <v>1033</v>
      </c>
      <c r="E19" s="18" t="n">
        <v>0.52</v>
      </c>
      <c r="F19" s="17" t="n">
        <v>44.3</v>
      </c>
      <c r="G19" s="9" t="n">
        <v>7</v>
      </c>
      <c r="H19" s="16" t="n">
        <v>0.678</v>
      </c>
      <c r="I19" s="9" t="n">
        <v>1</v>
      </c>
      <c r="J19" s="9" t="n">
        <v>0</v>
      </c>
    </row>
    <row r="20">
      <c r="A20" s="8" t="inlineStr">
        <is>
          <t>pokemon-lab</t>
        </is>
      </c>
      <c r="B20" s="8" t="inlineStr">
        <is>
          <t>2026-09-05T06:00:19Z</t>
        </is>
      </c>
      <c r="C20" s="8" t="inlineStr">
        <is>
          <t>初代図鑑にだけけつばんが現れた本当の理由 #shorts #ポケモン #ポケモン雑学</t>
        </is>
      </c>
      <c r="D20" s="8" t="n">
        <v>1020</v>
      </c>
      <c r="E20" s="22" t="n">
        <v>0</v>
      </c>
      <c r="F20" s="21" t="n">
        <v>42.8</v>
      </c>
      <c r="G20" s="8" t="n">
        <v>1</v>
      </c>
      <c r="H20" s="20" t="n">
        <v>0.098</v>
      </c>
      <c r="I20" s="8" t="n">
        <v>1</v>
      </c>
      <c r="J20" s="8" t="n">
        <v>0</v>
      </c>
    </row>
    <row r="21">
      <c r="A21" s="9" t="inlineStr">
        <is>
          <t>yokai-watch</t>
        </is>
      </c>
      <c r="B21" s="9" t="inlineStr">
        <is>
          <t>2026-09-05T07:00:16Z</t>
        </is>
      </c>
      <c r="C21" s="9" t="inlineStr">
        <is>
          <t>キュウビが日本へ渡った理由、知ってる？ #shorts #妖怪 #都市伝説</t>
        </is>
      </c>
      <c r="D21" s="9" t="n">
        <v>1013</v>
      </c>
      <c r="E21" s="18" t="n">
        <v>3.64</v>
      </c>
      <c r="F21" s="17" t="n">
        <v>46.1</v>
      </c>
      <c r="G21" s="9" t="n">
        <v>6</v>
      </c>
      <c r="H21" s="16" t="n">
        <v>0.592</v>
      </c>
      <c r="I21" s="9" t="n">
        <v>2</v>
      </c>
      <c r="J21" s="9" t="n">
        <v>0</v>
      </c>
    </row>
    <row r="22">
      <c r="A22" s="9" t="inlineStr">
        <is>
          <t>yokai-watch</t>
        </is>
      </c>
      <c r="B22" s="9" t="inlineStr">
        <is>
          <t>2026-09-05T08:45:17Z</t>
        </is>
      </c>
      <c r="C22" s="9" t="inlineStr">
        <is>
          <t>雪女が去り際に名を呼ぶ理由…約束を破った男の末路 #shorts #妖怪 #都市伝説</t>
        </is>
      </c>
      <c r="D22" s="9" t="n">
        <v>1008</v>
      </c>
      <c r="E22" s="18" t="n">
        <v>4.48</v>
      </c>
      <c r="F22" s="17" t="n">
        <v>44.6</v>
      </c>
      <c r="G22" s="9" t="n">
        <v>3</v>
      </c>
      <c r="H22" s="16" t="n">
        <v>0.298</v>
      </c>
      <c r="I22" s="9" t="n">
        <v>0</v>
      </c>
      <c r="J22" s="9" t="n">
        <v>0</v>
      </c>
    </row>
    <row r="23">
      <c r="A23" s="9" t="inlineStr">
        <is>
          <t>scp-lab</t>
        </is>
      </c>
      <c r="B23" s="9" t="inlineStr">
        <is>
          <t>2026-09-05T00:00:28Z</t>
        </is>
      </c>
      <c r="C23" s="9" t="inlineStr">
        <is>
          <t>SCP-2140 閲覧後、8人の職員記録が別人に置換された #shorts #SCP #SCP解説</t>
        </is>
      </c>
      <c r="D23" s="9" t="n">
        <v>1003</v>
      </c>
      <c r="E23" s="18" t="n">
        <v>1.57</v>
      </c>
      <c r="F23" s="17" t="n">
        <v>31.7</v>
      </c>
      <c r="G23" s="9" t="n">
        <v>3</v>
      </c>
      <c r="H23" s="16" t="n">
        <v>0.299</v>
      </c>
      <c r="I23" s="9" t="n">
        <v>1</v>
      </c>
      <c r="J23" s="9" t="n">
        <v>0</v>
      </c>
    </row>
    <row r="24">
      <c r="A24" s="8" t="inlineStr">
        <is>
          <t>company-facts</t>
        </is>
      </c>
      <c r="B24" s="8" t="inlineStr">
        <is>
          <t>2026-09-04T04:30:02Z</t>
        </is>
      </c>
      <c r="C24" s="8" t="inlineStr">
        <is>
          <t>日本マクドナルドの年収576万円、その内訳とは #shorts #企業分析 #年収 #転職</t>
        </is>
      </c>
      <c r="D24" s="8" t="n">
        <v>1002</v>
      </c>
      <c r="E24" s="22" t="n">
        <v>0.9399999999999999</v>
      </c>
      <c r="F24" s="21" t="n">
        <v>44.2</v>
      </c>
      <c r="G24" s="8" t="n">
        <v>1</v>
      </c>
      <c r="H24" s="20" t="n">
        <v>0.1</v>
      </c>
      <c r="I24" s="8" t="n">
        <v>0</v>
      </c>
      <c r="J24" s="8" t="n">
        <v>0</v>
      </c>
    </row>
    <row r="25">
      <c r="A25" s="9" t="inlineStr">
        <is>
          <t>clip-kaneko</t>
        </is>
      </c>
      <c r="B25" s="9" t="inlineStr">
        <is>
          <t>2026-09-03T05:00:50Z</t>
        </is>
      </c>
      <c r="C25" s="9" t="inlineStr">
        <is>
          <t>行事を一緒に乗り越えると 恋が生まれやすい #shorts #切り抜き</t>
        </is>
      </c>
      <c r="D25" s="9" t="n">
        <v>1001</v>
      </c>
      <c r="E25" s="18" t="n">
        <v>0</v>
      </c>
      <c r="F25" s="17" t="n">
        <v>44.4</v>
      </c>
      <c r="G25" s="9" t="n">
        <v>2</v>
      </c>
      <c r="H25" s="16" t="n">
        <v>0.2</v>
      </c>
      <c r="I25" s="9" t="n">
        <v>1</v>
      </c>
      <c r="J25" s="9" t="n">
        <v>0</v>
      </c>
    </row>
    <row r="26">
      <c r="A26" s="7" t="inlineStr">
        <is>
          <t>daily-science</t>
        </is>
      </c>
      <c r="B26" s="7" t="inlineStr">
        <is>
          <t>2026-09-05T22:30:18Z</t>
        </is>
      </c>
      <c r="C26" s="7" t="inlineStr">
        <is>
          <t>なぜ壁のシミが顔に見える？0.1秒の正体 #shorts #雑学 #豆知識</t>
        </is>
      </c>
      <c r="D26" s="7" t="n">
        <v>1001</v>
      </c>
      <c r="E26" s="15" t="n">
        <v>0</v>
      </c>
      <c r="F26" s="14" t="n">
        <v>42.2</v>
      </c>
      <c r="G26" s="7" t="n">
        <v>13</v>
      </c>
      <c r="H26" s="13" t="n">
        <v>1.299</v>
      </c>
      <c r="I26" s="7" t="n">
        <v>1</v>
      </c>
      <c r="J26" s="7" t="n">
        <v>0</v>
      </c>
    </row>
    <row r="27">
      <c r="A27" s="9" t="inlineStr">
        <is>
          <t>company-facts</t>
        </is>
      </c>
      <c r="B27" s="9" t="inlineStr">
        <is>
          <t>2026-09-04T23:15:03Z</t>
        </is>
      </c>
      <c r="C27" s="9" t="inlineStr">
        <is>
          <t>航空自衛隊千歳の正体、年収400万円台の実態 #shorts #企業分析 #年収 #転職</t>
        </is>
      </c>
      <c r="D27" s="9" t="n">
        <v>999</v>
      </c>
      <c r="E27" s="18" t="n">
        <v>2.33</v>
      </c>
      <c r="F27" s="17" t="n">
        <v>53.4</v>
      </c>
      <c r="G27" s="9" t="n">
        <v>2</v>
      </c>
      <c r="H27" s="16" t="n">
        <v>0.2</v>
      </c>
      <c r="I27" s="9" t="n">
        <v>0</v>
      </c>
      <c r="J27" s="9" t="n">
        <v>0</v>
      </c>
    </row>
    <row r="28">
      <c r="A28" s="9" t="inlineStr">
        <is>
          <t>pokemon-lab</t>
        </is>
      </c>
      <c r="B28" s="9" t="inlineStr">
        <is>
          <t>2026-09-04T06:00:30Z</t>
        </is>
      </c>
      <c r="C28" s="9" t="inlineStr">
        <is>
          <t>エースバーンのリベロ、1試合でしか変われない!? #shorts #ポケモン #ポケモン雑学</t>
        </is>
      </c>
      <c r="D28" s="9" t="n">
        <v>996</v>
      </c>
      <c r="E28" s="18" t="n">
        <v>1.92</v>
      </c>
      <c r="F28" s="17" t="n">
        <v>31.2</v>
      </c>
      <c r="G28" s="9" t="n">
        <v>2</v>
      </c>
      <c r="H28" s="16" t="n">
        <v>0.201</v>
      </c>
      <c r="I28" s="9" t="n">
        <v>0</v>
      </c>
      <c r="J28" s="9" t="n">
        <v>0</v>
      </c>
    </row>
    <row r="29">
      <c r="A29" s="9" t="inlineStr">
        <is>
          <t>daily-science</t>
        </is>
      </c>
      <c r="B29" s="9" t="inlineStr">
        <is>
          <t>2026-09-05T03:30:12Z</t>
        </is>
      </c>
      <c r="C29" s="9" t="inlineStr">
        <is>
          <t>鏡の顔だけ違う？99%が知らない左右差 #shorts #雑学 #豆知識</t>
        </is>
      </c>
      <c r="D29" s="9" t="n">
        <v>992</v>
      </c>
      <c r="E29" s="18" t="n">
        <v>0</v>
      </c>
      <c r="F29" s="17" t="n">
        <v>91.2</v>
      </c>
      <c r="G29" s="9" t="n">
        <v>4</v>
      </c>
      <c r="H29" s="16" t="n">
        <v>0.403</v>
      </c>
      <c r="I29" s="9" t="n">
        <v>0</v>
      </c>
      <c r="J29" s="9" t="n">
        <v>0</v>
      </c>
    </row>
    <row r="30">
      <c r="A30" s="7" t="inlineStr">
        <is>
          <t>yokai-watch</t>
        </is>
      </c>
      <c r="B30" s="7" t="inlineStr">
        <is>
          <t>2026-09-04T03:00:01Z</t>
        </is>
      </c>
      <c r="C30" s="7" t="inlineStr">
        <is>
          <t>犬神憑きはなぜ家系ごと記録されたのか 恒一 #shorts #妖怪 #都市伝説</t>
        </is>
      </c>
      <c r="D30" s="7" t="n">
        <v>992</v>
      </c>
      <c r="E30" s="15" t="n">
        <v>0</v>
      </c>
      <c r="F30" s="14" t="n">
        <v>42.4</v>
      </c>
      <c r="G30" s="7" t="n">
        <v>10</v>
      </c>
      <c r="H30" s="13" t="n">
        <v>1.008</v>
      </c>
      <c r="I30" s="7" t="n">
        <v>3</v>
      </c>
      <c r="J30" s="7" t="n">
        <v>0</v>
      </c>
    </row>
    <row r="31">
      <c r="A31" s="8" t="inlineStr">
        <is>
          <t>clip-fukada</t>
        </is>
      </c>
      <c r="B31" s="8" t="inlineStr">
        <is>
          <t>2026-09-06T03:45:41Z</t>
        </is>
      </c>
      <c r="C31" s="8" t="inlineStr">
        <is>
          <t>部活は1日で辞めました #shorts #切り抜き</t>
        </is>
      </c>
      <c r="D31" s="8" t="n">
        <v>985</v>
      </c>
      <c r="E31" s="22" t="n">
        <v>16.67</v>
      </c>
      <c r="F31" s="21" t="n">
        <v>0</v>
      </c>
      <c r="G31" s="8" t="n">
        <v>0</v>
      </c>
      <c r="H31" s="20" t="n">
        <v>0</v>
      </c>
      <c r="I31" s="8" t="n">
        <v>1</v>
      </c>
      <c r="J31" s="8" t="n">
        <v>1</v>
      </c>
    </row>
    <row r="32">
      <c r="A32" s="9" t="inlineStr">
        <is>
          <t>company-facts</t>
        </is>
      </c>
      <c r="B32" s="9" t="inlineStr">
        <is>
          <t>2026-09-05T08:00:37Z</t>
        </is>
      </c>
      <c r="C32" s="9" t="inlineStr">
        <is>
          <t>キーエンス年収2067万円の内訳、残業37.7時間と評価制度 #shorts #企業分析 #年収 #転職</t>
        </is>
      </c>
      <c r="D32" s="9" t="n">
        <v>980</v>
      </c>
      <c r="E32" s="18" t="n">
        <v>0.52</v>
      </c>
      <c r="F32" s="17" t="n">
        <v>59.7</v>
      </c>
      <c r="G32" s="9" t="n">
        <v>3</v>
      </c>
      <c r="H32" s="16" t="n">
        <v>0.306</v>
      </c>
      <c r="I32" s="9" t="n">
        <v>1</v>
      </c>
      <c r="J32" s="9" t="n">
        <v>0</v>
      </c>
    </row>
    <row r="33">
      <c r="A33" s="8" t="inlineStr">
        <is>
          <t>clip-kaneko</t>
        </is>
      </c>
      <c r="B33" s="8" t="inlineStr">
        <is>
          <t>2026-09-05T05:00:47Z</t>
        </is>
      </c>
      <c r="C33" s="8" t="inlineStr">
        <is>
          <t>斉藤さん企画を終え TikTokerとして決意表明 #shorts #切り抜き</t>
        </is>
      </c>
      <c r="D33" s="8" t="n">
        <v>978</v>
      </c>
      <c r="E33" s="22" t="n">
        <v>3.01</v>
      </c>
      <c r="F33" s="21" t="n">
        <v>68.8</v>
      </c>
      <c r="G33" s="8" t="n">
        <v>1</v>
      </c>
      <c r="H33" s="20" t="n">
        <v>0.102</v>
      </c>
      <c r="I33" s="8" t="n">
        <v>0</v>
      </c>
      <c r="J33" s="8" t="n">
        <v>0</v>
      </c>
    </row>
    <row r="34">
      <c r="A34" s="7" t="inlineStr">
        <is>
          <t>yokai-watch</t>
        </is>
      </c>
      <c r="B34" s="7" t="inlineStr">
        <is>
          <t>2026-09-04T10:00:05Z</t>
        </is>
      </c>
      <c r="C34" s="7" t="inlineStr">
        <is>
          <t>じんめん犬はなぜ笑い話になった？消えた恐怖の噂 #shorts #妖怪 #都市伝説</t>
        </is>
      </c>
      <c r="D34" s="7" t="n">
        <v>968</v>
      </c>
      <c r="E34" s="15" t="n">
        <v>0</v>
      </c>
      <c r="F34" s="14" t="n">
        <v>52.2</v>
      </c>
      <c r="G34" s="7" t="n">
        <v>14</v>
      </c>
      <c r="H34" s="13" t="n">
        <v>1.446</v>
      </c>
      <c r="I34" s="7" t="n">
        <v>2</v>
      </c>
      <c r="J34" s="7" t="n">
        <v>0</v>
      </c>
    </row>
    <row r="35">
      <c r="A35" s="9" t="inlineStr">
        <is>
          <t>2ch-matome</t>
        </is>
      </c>
      <c r="B35" s="9" t="inlineStr">
        <is>
          <t>2026-09-05T22:00:08Z</t>
        </is>
      </c>
      <c r="C35" s="9" t="inlineStr">
        <is>
          <t>3秒で凍結何言った #shorts #2ch #面白いスレ</t>
        </is>
      </c>
      <c r="D35" s="9" t="n">
        <v>967</v>
      </c>
      <c r="E35" s="18" t="n">
        <v>0</v>
      </c>
      <c r="F35" s="17" t="n">
        <v>48.5</v>
      </c>
      <c r="G35" s="9" t="n">
        <v>2</v>
      </c>
      <c r="H35" s="16" t="n">
        <v>0.207</v>
      </c>
      <c r="I35" s="9" t="n">
        <v>0</v>
      </c>
      <c r="J35" s="9" t="n">
        <v>0</v>
      </c>
    </row>
    <row r="36">
      <c r="A36" s="8" t="inlineStr">
        <is>
          <t>2ch-matome</t>
        </is>
      </c>
      <c r="B36" s="8" t="inlineStr">
        <is>
          <t>2026-09-06T03:15:36Z</t>
        </is>
      </c>
      <c r="C36" s="8" t="inlineStr">
        <is>
          <t>3回目の店謎の予約名 #shorts #2ch #面白いスレ</t>
        </is>
      </c>
      <c r="D36" s="8" t="n">
        <v>952</v>
      </c>
      <c r="E36" s="22" t="n">
        <v>0</v>
      </c>
      <c r="F36" s="21" t="n">
        <v>42.7</v>
      </c>
      <c r="G36" s="8" t="n">
        <v>0</v>
      </c>
      <c r="H36" s="20" t="n">
        <v>0</v>
      </c>
      <c r="I36" s="8" t="n">
        <v>0</v>
      </c>
      <c r="J36" s="8" t="n">
        <v>0</v>
      </c>
    </row>
    <row r="37">
      <c r="A37" s="8" t="inlineStr">
        <is>
          <t>scp-lab</t>
        </is>
      </c>
      <c r="B37" s="8" t="inlineStr">
        <is>
          <t>2026-09-01T00:00:22Z</t>
        </is>
      </c>
      <c r="C37" s="8" t="inlineStr">
        <is>
          <t>SCP-1987 なぜ24時間ごとに被害が増える？【ショート】</t>
        </is>
      </c>
      <c r="D37" s="8" t="n">
        <v>951</v>
      </c>
      <c r="E37" s="22" t="n">
        <v>0.58</v>
      </c>
      <c r="F37" s="21" t="n">
        <v>38.4</v>
      </c>
      <c r="G37" s="8" t="n">
        <v>1</v>
      </c>
      <c r="H37" s="20" t="n">
        <v>0.105</v>
      </c>
      <c r="I37" s="8" t="n">
        <v>2</v>
      </c>
      <c r="J37" s="8" t="n">
        <v>0</v>
      </c>
    </row>
    <row r="38">
      <c r="A38" s="9" t="inlineStr">
        <is>
          <t>2ch-matome</t>
        </is>
      </c>
      <c r="B38" s="9" t="inlineStr">
        <is>
          <t>2026-09-04T09:00:30Z</t>
        </is>
      </c>
      <c r="C38" s="9" t="inlineStr">
        <is>
          <t>なぜ友達の風呂で3回もやらかしたのか？ｗ #shorts #2ch #面白いスレ</t>
        </is>
      </c>
      <c r="D38" s="9" t="n">
        <v>947</v>
      </c>
      <c r="E38" s="18" t="n">
        <v>0</v>
      </c>
      <c r="F38" s="17" t="n">
        <v>32.1</v>
      </c>
      <c r="G38" s="9" t="n">
        <v>2</v>
      </c>
      <c r="H38" s="16" t="n">
        <v>0.211</v>
      </c>
      <c r="I38" s="9" t="n">
        <v>0</v>
      </c>
      <c r="J38" s="9" t="n">
        <v>0</v>
      </c>
    </row>
    <row r="39">
      <c r="A39" s="9" t="inlineStr">
        <is>
          <t>clip-kaneko</t>
        </is>
      </c>
      <c r="B39" s="9" t="inlineStr">
        <is>
          <t>2026-09-04T05:00:48Z</t>
        </is>
      </c>
      <c r="C39" s="9" t="inlineStr">
        <is>
          <t>恋愛を体験できる一冊に #shorts #切り抜き</t>
        </is>
      </c>
      <c r="D39" s="9" t="n">
        <v>943</v>
      </c>
      <c r="E39" s="18" t="n">
        <v>0</v>
      </c>
      <c r="F39" s="17" t="n">
        <v>34.1</v>
      </c>
      <c r="G39" s="9" t="n">
        <v>2</v>
      </c>
      <c r="H39" s="16" t="n">
        <v>0.212</v>
      </c>
      <c r="I39" s="9" t="n">
        <v>0</v>
      </c>
      <c r="J39" s="9" t="n">
        <v>0</v>
      </c>
    </row>
    <row r="40">
      <c r="A40" s="9" t="inlineStr">
        <is>
          <t>yokai-watch</t>
        </is>
      </c>
      <c r="B40" s="9" t="inlineStr">
        <is>
          <t>2026-09-06T03:00:08Z</t>
        </is>
      </c>
      <c r="C40" s="9" t="inlineStr">
        <is>
          <t>小豆洗い、姿を消して「音」だけ残った土地の記録 #shorts #妖怪 #都市伝説</t>
        </is>
      </c>
      <c r="D40" s="9" t="n">
        <v>943</v>
      </c>
      <c r="E40" s="18" t="n">
        <v>0</v>
      </c>
      <c r="F40" s="17" t="n">
        <v>45</v>
      </c>
      <c r="G40" s="9" t="n">
        <v>7</v>
      </c>
      <c r="H40" s="16" t="n">
        <v>0.742</v>
      </c>
      <c r="I40" s="9" t="n">
        <v>1</v>
      </c>
      <c r="J40" s="9" t="n">
        <v>0</v>
      </c>
    </row>
    <row r="41">
      <c r="A41" s="8" t="inlineStr">
        <is>
          <t>company-facts</t>
        </is>
      </c>
      <c r="B41" s="8" t="inlineStr">
        <is>
          <t>2026-09-05T23:15:21Z</t>
        </is>
      </c>
      <c r="C41" s="8" t="inlineStr">
        <is>
          <t>東京エレクトロンの年収1272万円、実は転職後に差が出る #shorts #企業分析 #年収 #転職</t>
        </is>
      </c>
      <c r="D41" s="8" t="n">
        <v>942</v>
      </c>
      <c r="E41" s="22" t="n">
        <v>3.16</v>
      </c>
      <c r="F41" s="21" t="n">
        <v>37.5</v>
      </c>
      <c r="G41" s="8" t="n">
        <v>1</v>
      </c>
      <c r="H41" s="20" t="n">
        <v>0.106</v>
      </c>
      <c r="I41" s="8" t="n">
        <v>1</v>
      </c>
      <c r="J41" s="8" t="n">
        <v>0</v>
      </c>
    </row>
    <row r="42">
      <c r="A42" s="9" t="inlineStr">
        <is>
          <t>pokemon-lab</t>
        </is>
      </c>
      <c r="B42" s="9" t="inlineStr">
        <is>
          <t>2026-09-05T23:30:33Z</t>
        </is>
      </c>
      <c r="C42" s="9" t="inlineStr">
        <is>
          <t>ハピナスHP255・特防なのに防御衝撃 #shorts #ポケモン #ポケモン雑学</t>
        </is>
      </c>
      <c r="D42" s="9" t="n">
        <v>942</v>
      </c>
      <c r="E42" s="18" t="n">
        <v>1.15</v>
      </c>
      <c r="F42" s="17" t="n">
        <v>43.4</v>
      </c>
      <c r="G42" s="9" t="n">
        <v>2</v>
      </c>
      <c r="H42" s="16" t="n">
        <v>0.212</v>
      </c>
      <c r="I42" s="9" t="n">
        <v>1</v>
      </c>
      <c r="J42" s="9" t="n">
        <v>0</v>
      </c>
    </row>
    <row r="43">
      <c r="A43" s="9" t="inlineStr">
        <is>
          <t>daily-science</t>
        </is>
      </c>
      <c r="B43" s="9" t="inlineStr">
        <is>
          <t>2026-09-04T22:30:09Z</t>
        </is>
      </c>
      <c r="C43" s="9" t="inlineStr">
        <is>
          <t>あなたの耳が3秒で抜ける正体は？ #shorts #雑学 #豆知識</t>
        </is>
      </c>
      <c r="D43" s="9" t="n">
        <v>937</v>
      </c>
      <c r="E43" s="18" t="n">
        <v>0</v>
      </c>
      <c r="F43" s="17" t="n">
        <v>37.5</v>
      </c>
      <c r="G43" s="9" t="n">
        <v>7</v>
      </c>
      <c r="H43" s="16" t="n">
        <v>0.747</v>
      </c>
      <c r="I43" s="9" t="n">
        <v>0</v>
      </c>
      <c r="J43" s="9" t="n">
        <v>0</v>
      </c>
    </row>
    <row r="44">
      <c r="A44" s="8" t="inlineStr">
        <is>
          <t>pokemon-lab</t>
        </is>
      </c>
      <c r="B44" s="8" t="inlineStr">
        <is>
          <t>2026-09-05T08:30:35Z</t>
        </is>
      </c>
      <c r="C44" s="8" t="inlineStr">
        <is>
          <t>君のサンダースだけ3個必要だった時代 #shorts #ポケモン #ポケモン雑学</t>
        </is>
      </c>
      <c r="D44" s="8" t="n">
        <v>935</v>
      </c>
      <c r="E44" s="22" t="n">
        <v>0</v>
      </c>
      <c r="F44" s="21" t="n">
        <v>55.9</v>
      </c>
      <c r="G44" s="8" t="n">
        <v>0</v>
      </c>
      <c r="H44" s="20" t="n">
        <v>0</v>
      </c>
      <c r="I44" s="8" t="n">
        <v>0</v>
      </c>
      <c r="J44" s="8" t="n">
        <v>0</v>
      </c>
    </row>
    <row r="45">
      <c r="A45" s="8" t="inlineStr">
        <is>
          <t>2ch-matome</t>
        </is>
      </c>
      <c r="B45" s="8" t="inlineStr">
        <is>
          <t>2026-09-03T09:00:19Z</t>
        </is>
      </c>
      <c r="C45" s="8" t="inlineStr">
        <is>
          <t>実はマックに神メニュー3品が決まらない本当の理由とは？ #shorts #2ch #面白いスレ</t>
        </is>
      </c>
      <c r="D45" s="8" t="n">
        <v>914</v>
      </c>
      <c r="E45" s="22" t="n">
        <v>0</v>
      </c>
      <c r="F45" s="21" t="n">
        <v>38.6</v>
      </c>
      <c r="G45" s="8" t="n">
        <v>1</v>
      </c>
      <c r="H45" s="20" t="n">
        <v>0.109</v>
      </c>
      <c r="I45" s="8" t="n">
        <v>2</v>
      </c>
      <c r="J45" s="8" t="n">
        <v>0</v>
      </c>
    </row>
    <row r="46">
      <c r="A46" s="8" t="inlineStr">
        <is>
          <t>2ch-matome</t>
        </is>
      </c>
      <c r="B46" s="8" t="inlineStr">
        <is>
          <t>2026-09-05T03:15:34Z</t>
        </is>
      </c>
      <c r="C46" s="8" t="inlineStr">
        <is>
          <t>なぜ親は無言で机を閉めたのか…見つかって終わった物とは？ #shorts #2ch #面白いスレ</t>
        </is>
      </c>
      <c r="D46" s="8" t="n">
        <v>912</v>
      </c>
      <c r="E46" s="22" t="n">
        <v>0</v>
      </c>
      <c r="F46" s="21" t="n">
        <v>36.1</v>
      </c>
      <c r="G46" s="8" t="n">
        <v>0</v>
      </c>
      <c r="H46" s="20" t="n">
        <v>0</v>
      </c>
      <c r="I46" s="8" t="n">
        <v>0</v>
      </c>
      <c r="J46" s="8" t="n">
        <v>0</v>
      </c>
    </row>
    <row r="47">
      <c r="A47" s="9" t="inlineStr">
        <is>
          <t>scp-lab</t>
        </is>
      </c>
      <c r="B47" s="9" t="inlineStr">
        <is>
          <t>2026-09-05T10:00:19Z</t>
        </is>
      </c>
      <c r="C47" s="9" t="inlineStr">
        <is>
          <t>SCP-096の顔を見た者に起きた記録消失の真相 #shorts #SCP #SCP解説</t>
        </is>
      </c>
      <c r="D47" s="9" t="n">
        <v>911</v>
      </c>
      <c r="E47" s="18" t="n">
        <v>2.7</v>
      </c>
      <c r="F47" s="17" t="n">
        <v>40</v>
      </c>
      <c r="G47" s="9" t="n">
        <v>7</v>
      </c>
      <c r="H47" s="16" t="n">
        <v>0.768</v>
      </c>
      <c r="I47" s="9" t="n">
        <v>2</v>
      </c>
      <c r="J47" s="9" t="n">
        <v>0</v>
      </c>
    </row>
    <row r="48">
      <c r="A48" s="9" t="inlineStr">
        <is>
          <t>scp-lab</t>
        </is>
      </c>
      <c r="B48" s="9" t="inlineStr">
        <is>
          <t>2026-09-03T07:50:41Z</t>
        </is>
      </c>
      <c r="C48" s="9" t="inlineStr">
        <is>
          <t>SCP-███ なぜ扉に3枚目の札がある？ #shorts #SCP #SCP解説</t>
        </is>
      </c>
      <c r="D48" s="9" t="n">
        <v>910</v>
      </c>
      <c r="E48" s="18" t="n">
        <v>0.44</v>
      </c>
      <c r="F48" s="17" t="n">
        <v>37</v>
      </c>
      <c r="G48" s="9" t="n">
        <v>6</v>
      </c>
      <c r="H48" s="16" t="n">
        <v>0.659</v>
      </c>
      <c r="I48" s="9" t="n">
        <v>1</v>
      </c>
      <c r="J48" s="9" t="n">
        <v>0</v>
      </c>
    </row>
    <row r="49">
      <c r="A49" s="9" t="inlineStr">
        <is>
          <t>scp-lab</t>
        </is>
      </c>
      <c r="B49" s="9" t="inlineStr">
        <is>
          <t>2026-09-05T08:00:12Z</t>
        </is>
      </c>
      <c r="C49" s="9" t="inlineStr">
        <is>
          <t>SCP-2006 笑い声を聞いた12名に起きた異変 #shorts #SCP #SCP解説</t>
        </is>
      </c>
      <c r="D49" s="9" t="n">
        <v>901</v>
      </c>
      <c r="E49" s="18" t="n">
        <v>0.62</v>
      </c>
      <c r="F49" s="17" t="n">
        <v>39</v>
      </c>
      <c r="G49" s="9" t="n">
        <v>4</v>
      </c>
      <c r="H49" s="16" t="n">
        <v>0.444</v>
      </c>
      <c r="I49" s="9" t="n">
        <v>0</v>
      </c>
      <c r="J49" s="9" t="n">
        <v>0</v>
      </c>
    </row>
    <row r="50">
      <c r="A50" s="9" t="inlineStr">
        <is>
          <t>daily-science</t>
        </is>
      </c>
      <c r="B50" s="9" t="inlineStr">
        <is>
          <t>2026-09-06T03:30:21Z</t>
        </is>
      </c>
      <c r="C50" s="9" t="inlineStr">
        <is>
          <t>あなたの字が30秒で別物に見える？ #shorts #雑学 #豆知識</t>
        </is>
      </c>
      <c r="D50" s="9" t="n">
        <v>899</v>
      </c>
      <c r="E50" s="18" t="n">
        <v>0</v>
      </c>
      <c r="F50" s="17" t="n">
        <v>110.6</v>
      </c>
      <c r="G50" s="9" t="n">
        <v>7</v>
      </c>
      <c r="H50" s="16" t="n">
        <v>0.779</v>
      </c>
      <c r="I50" s="9" t="n">
        <v>0</v>
      </c>
      <c r="J50" s="9" t="n">
        <v>1</v>
      </c>
    </row>
    <row r="51">
      <c r="A51" s="9" t="inlineStr">
        <is>
          <t>scp-lab</t>
        </is>
      </c>
      <c r="B51" s="9" t="inlineStr">
        <is>
          <t>2026-09-06T04:00:09Z</t>
        </is>
      </c>
      <c r="C51" s="9" t="inlineStr">
        <is>
          <t>なぜ非常灯が消えた3秒に5人目の足音がしたのか #shorts #SCP #SCP解説</t>
        </is>
      </c>
      <c r="D51" s="9" t="n">
        <v>891</v>
      </c>
      <c r="E51" s="18" t="n">
        <v>2.7</v>
      </c>
      <c r="F51" s="17" t="n">
        <v>0</v>
      </c>
      <c r="G51" s="9" t="n">
        <v>3</v>
      </c>
      <c r="H51" s="16" t="n">
        <v>0.337</v>
      </c>
      <c r="I51" s="9" t="n">
        <v>0</v>
      </c>
      <c r="J51" s="9" t="n">
        <v>0</v>
      </c>
    </row>
    <row r="52">
      <c r="A52" s="7" t="inlineStr">
        <is>
          <t>daily-science</t>
        </is>
      </c>
      <c r="B52" s="7" t="inlineStr">
        <is>
          <t>2026-09-03T08:00:33Z</t>
        </is>
      </c>
      <c r="C52" s="7" t="inlineStr">
        <is>
          <t>歩き方を意識した3秒で迷う正体 #shorts #雑学 #豆知識</t>
        </is>
      </c>
      <c r="D52" s="7" t="n">
        <v>890</v>
      </c>
      <c r="E52" s="15" t="n">
        <v>0</v>
      </c>
      <c r="F52" s="14" t="n">
        <v>40.5</v>
      </c>
      <c r="G52" s="7" t="n">
        <v>10</v>
      </c>
      <c r="H52" s="13" t="n">
        <v>1.124</v>
      </c>
      <c r="I52" s="7" t="n">
        <v>1</v>
      </c>
      <c r="J52" s="7" t="n">
        <v>0</v>
      </c>
    </row>
    <row r="53">
      <c r="A53" s="9" t="inlineStr">
        <is>
          <t>daily-science</t>
        </is>
      </c>
      <c r="B53" s="9" t="inlineStr">
        <is>
          <t>2026-09-04T08:00:06Z</t>
        </is>
      </c>
      <c r="C53" s="9" t="inlineStr">
        <is>
          <t>泳いでいる脳が3秒ごとに息継ぎを気にするワケ #shorts #雑学 #豆知識</t>
        </is>
      </c>
      <c r="D53" s="9" t="n">
        <v>879</v>
      </c>
      <c r="E53" s="18" t="n">
        <v>0</v>
      </c>
      <c r="F53" s="17" t="n">
        <v>58.8</v>
      </c>
      <c r="G53" s="9" t="n">
        <v>5</v>
      </c>
      <c r="H53" s="16" t="n">
        <v>0.569</v>
      </c>
      <c r="I53" s="9" t="n">
        <v>0</v>
      </c>
      <c r="J53" s="9" t="n">
        <v>0</v>
      </c>
    </row>
    <row r="54">
      <c r="A54" s="8" t="inlineStr">
        <is>
          <t>2ch-matome</t>
        </is>
      </c>
      <c r="B54" s="8" t="inlineStr">
        <is>
          <t>2026-09-04T03:15:29Z</t>
        </is>
      </c>
      <c r="C54" s="8" t="inlineStr">
        <is>
          <t>正体を大人が知る3秒の言葉あげてけw😂 #shorts #2ch #面白いスレ</t>
        </is>
      </c>
      <c r="D54" s="8" t="n">
        <v>825</v>
      </c>
      <c r="E54" s="22" t="n">
        <v>0</v>
      </c>
      <c r="F54" s="21" t="n">
        <v>42.4</v>
      </c>
      <c r="G54" s="8" t="n">
        <v>1</v>
      </c>
      <c r="H54" s="20" t="n">
        <v>0.121</v>
      </c>
      <c r="I54" s="8" t="n">
        <v>0</v>
      </c>
      <c r="J54" s="8" t="n">
        <v>0</v>
      </c>
    </row>
    <row r="55">
      <c r="A55" s="9" t="inlineStr">
        <is>
          <t>daily-science</t>
        </is>
      </c>
      <c r="B55" s="9" t="inlineStr">
        <is>
          <t>2026-09-04T03:30:10Z</t>
        </is>
      </c>
      <c r="C55" s="9" t="inlineStr">
        <is>
          <t>黙読中の喉、なぜ声なしで1秒だけ動く？ #shorts #雑学 #豆知識</t>
        </is>
      </c>
      <c r="D55" s="9" t="n">
        <v>707</v>
      </c>
      <c r="E55" s="18" t="n">
        <v>5</v>
      </c>
      <c r="F55" s="17" t="n">
        <v>38.5</v>
      </c>
      <c r="G55" s="9" t="n">
        <v>3</v>
      </c>
      <c r="H55" s="16" t="n">
        <v>0.424</v>
      </c>
      <c r="I55" s="9" t="n">
        <v>0</v>
      </c>
      <c r="J55" s="9" t="n">
        <v>0</v>
      </c>
    </row>
    <row r="56">
      <c r="A56" s="9" t="inlineStr">
        <is>
          <t>pokemon-lab</t>
        </is>
      </c>
      <c r="B56" s="9" t="inlineStr">
        <is>
          <t>2026-09-06T06:00:10Z</t>
        </is>
      </c>
      <c r="C56" s="9" t="inlineStr">
        <is>
          <t>3秒でわかる？ポリゴンがテレビから消えた本当の理由 #shorts #ポケモン #ポケモン雑学</t>
        </is>
      </c>
      <c r="D56" s="9" t="n">
        <v>346</v>
      </c>
      <c r="E56" s="18" t="n">
        <v>3.51</v>
      </c>
      <c r="F56" s="17" t="n">
        <v>28.3</v>
      </c>
      <c r="G56" s="9" t="n">
        <v>2</v>
      </c>
      <c r="H56" s="16" t="n">
        <v>0.578</v>
      </c>
      <c r="I56" s="9" t="n">
        <v>0</v>
      </c>
      <c r="J56" s="9" t="n">
        <v>0</v>
      </c>
    </row>
    <row r="57">
      <c r="A57" s="8" t="inlineStr">
        <is>
          <t>scp-lab</t>
        </is>
      </c>
      <c r="B57" s="8" t="inlineStr">
        <is>
          <t>2026-09-04T10:00:14Z</t>
        </is>
      </c>
      <c r="C57" s="8" t="inlineStr">
        <is>
          <t>SCP記録係12名が最後に揃って書いた42字 #shorts #SCP #SCP解説</t>
        </is>
      </c>
      <c r="D57" s="8" t="n">
        <v>263</v>
      </c>
      <c r="E57" s="22" t="n">
        <v>0</v>
      </c>
      <c r="F57" s="21" t="n">
        <v>42.9</v>
      </c>
      <c r="G57" s="8" t="n">
        <v>0</v>
      </c>
      <c r="H57" s="20" t="n">
        <v>0</v>
      </c>
      <c r="I57" s="8" t="n">
        <v>0</v>
      </c>
      <c r="J57" s="8" t="n">
        <v>0</v>
      </c>
    </row>
    <row r="58">
      <c r="A58" s="8" t="inlineStr">
        <is>
          <t>scp-lab</t>
        </is>
      </c>
      <c r="B58" s="8" t="inlineStr">
        <is>
          <t>2026-09-05T04:00:38Z</t>
        </is>
      </c>
      <c r="C58" s="8" t="inlineStr">
        <is>
          <t>SCP-███ 持ち出した報告書が3日後に戻った #shorts #SCP #SCP解説</t>
        </is>
      </c>
      <c r="D58" s="8" t="n">
        <v>252</v>
      </c>
      <c r="E58" s="22" t="n">
        <v>0</v>
      </c>
      <c r="F58" s="21" t="n">
        <v>29.5</v>
      </c>
      <c r="G58" s="8" t="n">
        <v>0</v>
      </c>
      <c r="H58" s="20" t="n">
        <v>0</v>
      </c>
      <c r="I58" s="8" t="n">
        <v>0</v>
      </c>
      <c r="J58" s="8" t="n">
        <v>0</v>
      </c>
    </row>
    <row r="59">
      <c r="A59" s="8" t="inlineStr">
        <is>
          <t>pokemon-lab</t>
        </is>
      </c>
      <c r="B59" s="8" t="inlineStr">
        <is>
          <t>2026-09-04T23:30:36Z</t>
        </is>
      </c>
      <c r="C59" s="8" t="inlineStr">
        <is>
          <t>ポケモンセンターが治療費0円で成り立つ理由がヤバい #shorts #ポケモン #ポケモン雑学</t>
        </is>
      </c>
      <c r="D59" s="8" t="n">
        <v>247</v>
      </c>
      <c r="E59" s="22" t="n">
        <v>0</v>
      </c>
      <c r="F59" s="21" t="n">
        <v>46.6</v>
      </c>
      <c r="G59" s="8" t="n">
        <v>0</v>
      </c>
      <c r="H59" s="20" t="n">
        <v>0</v>
      </c>
      <c r="I59" s="8" t="n">
        <v>0</v>
      </c>
      <c r="J59" s="8" t="n">
        <v>0</v>
      </c>
    </row>
    <row r="60">
      <c r="A60" s="8" t="inlineStr">
        <is>
          <t>2ch-matome</t>
        </is>
      </c>
      <c r="B60" s="8" t="inlineStr">
        <is>
          <t>2026-09-04T22:00:18Z</t>
        </is>
      </c>
      <c r="C60" s="8" t="inlineStr">
        <is>
          <t>🤣ワイ健康診断歴3年やけど正体あるw🍑 #shorts #2ch #面白いスレ</t>
        </is>
      </c>
      <c r="D60" s="8" t="n">
        <v>242</v>
      </c>
      <c r="E60" s="22" t="n">
        <v>0</v>
      </c>
      <c r="F60" s="21" t="n">
        <v>32.3</v>
      </c>
      <c r="G60" s="8" t="n">
        <v>0</v>
      </c>
      <c r="H60" s="20" t="n">
        <v>0</v>
      </c>
      <c r="I60" s="8" t="n">
        <v>0</v>
      </c>
      <c r="J60" s="8" t="n">
        <v>0</v>
      </c>
    </row>
    <row r="61">
      <c r="A61" s="8" t="inlineStr">
        <is>
          <t>company-facts</t>
        </is>
      </c>
      <c r="B61" s="8" t="inlineStr">
        <is>
          <t>2026-09-05T04:30:02Z</t>
        </is>
      </c>
      <c r="C61" s="8" t="inlineStr">
        <is>
          <t>東京エレクトロンの年収1272万円、実は株価上昇の裏側 #shorts #企業分析 #年収 #転職</t>
        </is>
      </c>
      <c r="D61" s="8" t="n">
        <v>241</v>
      </c>
      <c r="E61" s="22" t="n">
        <v>5.6</v>
      </c>
      <c r="F61" s="21" t="n">
        <v>36.9</v>
      </c>
      <c r="G61" s="8" t="n">
        <v>0</v>
      </c>
      <c r="H61" s="20" t="n">
        <v>0</v>
      </c>
      <c r="I61" s="8" t="n">
        <v>0</v>
      </c>
      <c r="J61" s="8" t="n">
        <v>0</v>
      </c>
    </row>
    <row r="62">
      <c r="A62" s="8" t="inlineStr">
        <is>
          <t>yokai-watch</t>
        </is>
      </c>
      <c r="B62" s="8" t="inlineStr">
        <is>
          <t>2026-09-03T10:00:22Z</t>
        </is>
      </c>
      <c r="C62" s="8" t="inlineStr">
        <is>
          <t>小豆洗いの正体 127年の川音 #shorts #妖怪 #都市伝説</t>
        </is>
      </c>
      <c r="D62" s="8" t="n">
        <v>201</v>
      </c>
      <c r="E62" s="22" t="n">
        <v>1.96</v>
      </c>
      <c r="F62" s="21" t="n">
        <v>44.5</v>
      </c>
      <c r="G62" s="8" t="n">
        <v>0</v>
      </c>
      <c r="H62" s="20" t="n">
        <v>0</v>
      </c>
      <c r="I62" s="8" t="n">
        <v>0</v>
      </c>
      <c r="J62" s="8" t="n">
        <v>0</v>
      </c>
    </row>
    <row r="63">
      <c r="A63" s="9" t="inlineStr">
        <is>
          <t>2ch-matome</t>
        </is>
      </c>
      <c r="B63" s="9" t="inlineStr">
        <is>
          <t>2026-09-05T12:00:10Z</t>
        </is>
      </c>
      <c r="C63" s="9" t="inlineStr">
        <is>
          <t>💦ワイ、同棲3年目やけど質問ある？💦 #shorts #2ch #面白いスレ</t>
        </is>
      </c>
      <c r="D63" s="9" t="n">
        <v>190</v>
      </c>
      <c r="E63" s="18" t="n">
        <v>0</v>
      </c>
      <c r="F63" s="17" t="n">
        <v>28.4</v>
      </c>
      <c r="G63" s="9" t="n">
        <v>0</v>
      </c>
      <c r="H63" s="16" t="n">
        <v>0</v>
      </c>
      <c r="I63" s="9" t="n">
        <v>0</v>
      </c>
      <c r="J63" s="9" t="n">
        <v>0</v>
      </c>
    </row>
    <row r="64">
      <c r="A64" s="9" t="inlineStr">
        <is>
          <t>pokemon-lab</t>
        </is>
      </c>
      <c r="B64" s="9" t="inlineStr">
        <is>
          <t>2026-09-04T08:30:35Z</t>
        </is>
      </c>
      <c r="C64" s="9" t="inlineStr">
        <is>
          <t>御三家の相性が三すくみになったワケ #shorts #ポケモン #ポケモン雑学</t>
        </is>
      </c>
      <c r="D64" s="9" t="n">
        <v>189</v>
      </c>
      <c r="E64" s="18" t="n">
        <v>0</v>
      </c>
      <c r="F64" s="17" t="n">
        <v>39.2</v>
      </c>
      <c r="G64" s="9" t="n">
        <v>0</v>
      </c>
      <c r="H64" s="16" t="n">
        <v>0</v>
      </c>
      <c r="I64" s="9" t="n">
        <v>0</v>
      </c>
      <c r="J64" s="9" t="n">
        <v>0</v>
      </c>
    </row>
    <row r="65">
      <c r="A65" s="9" t="inlineStr">
        <is>
          <t>yokai-watch</t>
        </is>
      </c>
      <c r="B65" s="9" t="inlineStr">
        <is>
          <t>2026-09-04T07:00:26Z</t>
        </is>
      </c>
      <c r="C65" s="9" t="inlineStr">
        <is>
          <t>雪夜に顔を隠す白粉婆…雪女とは違う恐ろしさ #shorts #妖怪 #都市伝説</t>
        </is>
      </c>
      <c r="D65" s="9" t="n">
        <v>186</v>
      </c>
      <c r="E65" s="18" t="n">
        <v>0.77</v>
      </c>
      <c r="F65" s="17" t="n">
        <v>31.3</v>
      </c>
      <c r="G65" s="9" t="n">
        <v>0</v>
      </c>
      <c r="H65" s="16" t="n">
        <v>0</v>
      </c>
      <c r="I65" s="9" t="n">
        <v>0</v>
      </c>
      <c r="J65" s="9" t="n">
        <v>0</v>
      </c>
    </row>
    <row r="66">
      <c r="A66" s="9" t="inlineStr">
        <is>
          <t>clip-fukada</t>
        </is>
      </c>
      <c r="B66" s="9" t="inlineStr">
        <is>
          <t>2026-09-05T03:46:14Z</t>
        </is>
      </c>
      <c r="C66" s="9" t="inlineStr">
        <is>
          <t>夜の相性が良いと なかなか抜けられない #shorts #切り抜き</t>
        </is>
      </c>
      <c r="D66" s="9" t="n">
        <v>5</v>
      </c>
      <c r="E66" s="18" t="n">
        <v>2.94</v>
      </c>
      <c r="F66" s="17" t="n">
        <v>26.5</v>
      </c>
      <c r="G66" s="9" t="n">
        <v>0</v>
      </c>
      <c r="H66" s="16" t="n">
        <v>0</v>
      </c>
      <c r="I66" s="9" t="n">
        <v>0</v>
      </c>
      <c r="J66" s="9" t="n">
        <v>0</v>
      </c>
    </row>
    <row r="67">
      <c r="A67" s="9" t="inlineStr">
        <is>
          <t>clip-kaneko</t>
        </is>
      </c>
      <c r="B67" s="9" t="inlineStr">
        <is>
          <t>2026-09-05T11:30:41Z</t>
        </is>
      </c>
      <c r="C67" s="9" t="inlineStr">
        <is>
          <t>「必要とされたい」からこその悩み #shorts #切り抜き</t>
        </is>
      </c>
      <c r="D67" s="9" t="n">
        <v>2</v>
      </c>
      <c r="E67" s="18" t="n">
        <v>16</v>
      </c>
      <c r="F67" s="17" t="n">
        <v>137.6</v>
      </c>
      <c r="G67" s="9" t="n">
        <v>0</v>
      </c>
      <c r="H67" s="16" t="n">
        <v>0</v>
      </c>
      <c r="I67" s="9" t="n">
        <v>0</v>
      </c>
      <c r="J67" s="9" t="n">
        <v>0</v>
      </c>
    </row>
    <row r="68">
      <c r="A68" s="9" t="inlineStr">
        <is>
          <t>2ch-matome</t>
        </is>
      </c>
      <c r="B68" s="9" t="inlineStr">
        <is>
          <t>2026-09-08T12:00:03Z</t>
        </is>
      </c>
      <c r="C68" s="9" t="inlineStr">
        <is>
          <t>Apple新製品予想、また本命を外して財布が逝く民ｗ #shorts #2ch #面白いスレ</t>
        </is>
      </c>
      <c r="D68" s="9" t="n">
        <v>0</v>
      </c>
      <c r="E68" s="18" t="n">
        <v>0</v>
      </c>
      <c r="F68" s="17" t="n">
        <v>0</v>
      </c>
      <c r="G68" s="9" t="n">
        <v>0</v>
      </c>
      <c r="H68" s="16" t="n">
        <v>0</v>
      </c>
      <c r="I68" s="9" t="n">
        <v>0</v>
      </c>
      <c r="J68" s="9" t="n">
        <v>0</v>
      </c>
    </row>
    <row r="69">
      <c r="A69" s="9" t="inlineStr">
        <is>
          <t>2ch-matome</t>
        </is>
      </c>
      <c r="B69" s="9" t="inlineStr">
        <is>
          <t>2026-09-08T03:15:23Z</t>
        </is>
      </c>
      <c r="C69" s="9" t="inlineStr">
        <is>
          <t>ワイのPCで彼女が凍った本当の理由w💦 #shorts #2ch #面白いスレ</t>
        </is>
      </c>
      <c r="D69" s="9" t="n">
        <v>0</v>
      </c>
      <c r="E69" s="18" t="n">
        <v>0</v>
      </c>
      <c r="F69" s="17" t="n">
        <v>0</v>
      </c>
      <c r="G69" s="9" t="n">
        <v>0</v>
      </c>
      <c r="H69" s="16" t="n">
        <v>0</v>
      </c>
      <c r="I69" s="9" t="n">
        <v>0</v>
      </c>
      <c r="J69" s="9" t="n">
        <v>0</v>
      </c>
    </row>
    <row r="70">
      <c r="A70" s="9" t="inlineStr">
        <is>
          <t>2ch-matome</t>
        </is>
      </c>
      <c r="B70" s="9" t="inlineStr">
        <is>
          <t>2026-09-07T22:00:05Z</t>
        </is>
      </c>
      <c r="C70" s="9" t="inlineStr">
        <is>
          <t>なぜファミマで謎の商品を買ってしまうのか？草 #shorts #2ch #面白いスレ</t>
        </is>
      </c>
      <c r="D70" s="9" t="n">
        <v>0</v>
      </c>
      <c r="E70" s="18" t="n">
        <v>0</v>
      </c>
      <c r="F70" s="17" t="n">
        <v>0</v>
      </c>
      <c r="G70" s="9" t="n">
        <v>0</v>
      </c>
      <c r="H70" s="16" t="n">
        <v>0</v>
      </c>
      <c r="I70" s="9" t="n">
        <v>0</v>
      </c>
      <c r="J70" s="9" t="n">
        <v>0</v>
      </c>
    </row>
    <row r="71">
      <c r="A71" s="9" t="inlineStr">
        <is>
          <t>2ch-matome</t>
        </is>
      </c>
      <c r="B71" s="9" t="inlineStr">
        <is>
          <t>2026-09-07T12:00:38Z</t>
        </is>
      </c>
      <c r="C71" s="9" t="inlineStr">
        <is>
          <t>ワイ、毎月大金をムダにしてるけど質問ある？ #shorts #2ch #面白いスレ</t>
        </is>
      </c>
      <c r="D71" s="9" t="n">
        <v>0</v>
      </c>
      <c r="E71" s="18" t="n">
        <v>0</v>
      </c>
      <c r="F71" s="17" t="n">
        <v>0</v>
      </c>
      <c r="G71" s="9" t="n">
        <v>0</v>
      </c>
      <c r="H71" s="16" t="n">
        <v>0</v>
      </c>
      <c r="I71" s="9" t="n">
        <v>0</v>
      </c>
      <c r="J71" s="9" t="n">
        <v>0</v>
      </c>
    </row>
    <row r="72">
      <c r="A72" s="9" t="inlineStr">
        <is>
          <t>2ch-matome</t>
        </is>
      </c>
      <c r="B72" s="9" t="inlineStr">
        <is>
          <t>2026-09-07T03:15:20Z</t>
        </is>
      </c>
      <c r="C72" s="9" t="inlineStr">
        <is>
          <t>大学サークルで語り継がれる伝説、尾ひれがヤバすぎるw #shorts #2ch #面白いスレ</t>
        </is>
      </c>
      <c r="D72" s="9" t="n">
        <v>0</v>
      </c>
      <c r="E72" s="18" t="n">
        <v>0</v>
      </c>
      <c r="F72" s="17" t="n">
        <v>0</v>
      </c>
      <c r="G72" s="9" t="n">
        <v>0</v>
      </c>
      <c r="H72" s="16" t="n">
        <v>0</v>
      </c>
      <c r="I72" s="9" t="n">
        <v>0</v>
      </c>
      <c r="J72" s="9" t="n">
        <v>0</v>
      </c>
    </row>
    <row r="73">
      <c r="A73" s="9" t="inlineStr">
        <is>
          <t>2ch-matome</t>
        </is>
      </c>
      <c r="B73" s="9" t="inlineStr">
        <is>
          <t>2026-09-06T22:00:33Z</t>
        </is>
      </c>
      <c r="C73" s="9" t="inlineStr">
        <is>
          <t>湯けむりの奥全員停止 #shorts #2ch #面白いスレ</t>
        </is>
      </c>
      <c r="D73" s="9" t="n">
        <v>0</v>
      </c>
      <c r="E73" s="18" t="n">
        <v>33.33</v>
      </c>
      <c r="F73" s="17" t="n">
        <v>0</v>
      </c>
      <c r="G73" s="9" t="n">
        <v>0</v>
      </c>
      <c r="H73" s="16" t="n">
        <v>0</v>
      </c>
      <c r="I73" s="9" t="n">
        <v>0</v>
      </c>
      <c r="J73" s="9" t="n">
        <v>0</v>
      </c>
    </row>
    <row r="74">
      <c r="A74" s="9" t="inlineStr">
        <is>
          <t>2ch-matome</t>
        </is>
      </c>
      <c r="B74" s="9" t="inlineStr">
        <is>
          <t>2026-09-06T12:00:05Z</t>
        </is>
      </c>
      <c r="C74" s="9" t="inlineStr">
        <is>
          <t>ワイ、保健体育歴3年やけど質問ある？w💦 #shorts #2ch #面白いスレ</t>
        </is>
      </c>
      <c r="D74" s="9" t="n">
        <v>0</v>
      </c>
      <c r="E74" s="18" t="n">
        <v>0</v>
      </c>
      <c r="F74" s="17" t="n">
        <v>0</v>
      </c>
      <c r="G74" s="9" t="n">
        <v>0</v>
      </c>
      <c r="H74" s="16" t="n">
        <v>0</v>
      </c>
      <c r="I74" s="9" t="n">
        <v>0</v>
      </c>
      <c r="J74" s="9" t="n">
        <v>0</v>
      </c>
    </row>
    <row r="75">
      <c r="A75" s="9" t="inlineStr">
        <is>
          <t>clip-fukada</t>
        </is>
      </c>
      <c r="B75" s="9" t="inlineStr">
        <is>
          <t>2026-09-08T11:01:04Z</t>
        </is>
      </c>
      <c r="C75" s="9" t="inlineStr">
        <is>
          <t>カミソリで剃った結果、地獄だった #shorts #切り抜き</t>
        </is>
      </c>
      <c r="D75" s="9" t="n">
        <v>0</v>
      </c>
      <c r="E75" s="18" t="n">
        <v>0</v>
      </c>
      <c r="F75" s="17" t="n">
        <v>0</v>
      </c>
      <c r="G75" s="9" t="n">
        <v>0</v>
      </c>
      <c r="H75" s="16" t="n">
        <v>0</v>
      </c>
      <c r="I75" s="9" t="n">
        <v>0</v>
      </c>
      <c r="J75" s="9" t="n">
        <v>0</v>
      </c>
    </row>
    <row r="76">
      <c r="A76" s="9" t="inlineStr">
        <is>
          <t>clip-fukada</t>
        </is>
      </c>
      <c r="B76" s="9" t="inlineStr">
        <is>
          <t>2026-09-08T03:45:42Z</t>
        </is>
      </c>
      <c r="C76" s="9" t="inlineStr">
        <is>
          <t>寝ながら腹筋を3部位鍛える #shorts #切り抜き</t>
        </is>
      </c>
      <c r="D76" s="9" t="n">
        <v>0</v>
      </c>
      <c r="E76" s="18" t="n">
        <v>0</v>
      </c>
      <c r="F76" s="17" t="n">
        <v>0</v>
      </c>
      <c r="G76" s="9" t="n">
        <v>0</v>
      </c>
      <c r="H76" s="16" t="n">
        <v>0</v>
      </c>
      <c r="I76" s="9" t="n">
        <v>0</v>
      </c>
      <c r="J76" s="9" t="n">
        <v>0</v>
      </c>
    </row>
    <row r="77">
      <c r="A77" s="9" t="inlineStr">
        <is>
          <t>clip-fukada</t>
        </is>
      </c>
      <c r="B77" s="9" t="inlineStr">
        <is>
          <t>2026-09-07T11:00:56Z</t>
        </is>
      </c>
      <c r="C77" s="9" t="inlineStr">
        <is>
          <t>クレンジングで落とし切らないと 洗顔しても落ちにくい #shorts #切り抜き</t>
        </is>
      </c>
      <c r="D77" s="9" t="n">
        <v>0</v>
      </c>
      <c r="E77" s="18" t="n">
        <v>0</v>
      </c>
      <c r="F77" s="17" t="n">
        <v>0</v>
      </c>
      <c r="G77" s="9" t="n">
        <v>0</v>
      </c>
      <c r="H77" s="16" t="n">
        <v>0</v>
      </c>
      <c r="I77" s="9" t="n">
        <v>0</v>
      </c>
      <c r="J77" s="9" t="n">
        <v>0</v>
      </c>
    </row>
    <row r="78">
      <c r="A78" s="9" t="inlineStr">
        <is>
          <t>clip-fukada</t>
        </is>
      </c>
      <c r="B78" s="9" t="inlineStr">
        <is>
          <t>2026-09-07T03:45:43Z</t>
        </is>
      </c>
      <c r="C78" s="9" t="inlineStr">
        <is>
          <t>毎日体重を記録して 増減を意識する #shorts #切り抜き</t>
        </is>
      </c>
      <c r="D78" s="9" t="n">
        <v>0</v>
      </c>
      <c r="E78" s="18" t="n">
        <v>2.27</v>
      </c>
      <c r="F78" s="17" t="n">
        <v>0</v>
      </c>
      <c r="G78" s="9" t="n">
        <v>0</v>
      </c>
      <c r="H78" s="16" t="n">
        <v>0</v>
      </c>
      <c r="I78" s="9" t="n">
        <v>0</v>
      </c>
      <c r="J78" s="9" t="n">
        <v>0</v>
      </c>
    </row>
    <row r="79">
      <c r="A79" s="9" t="inlineStr">
        <is>
          <t>clip-fukada</t>
        </is>
      </c>
      <c r="B79" s="9" t="inlineStr">
        <is>
          <t>2026-09-06T11:00:47Z</t>
        </is>
      </c>
      <c r="C79" s="9" t="inlineStr">
        <is>
          <t>どの下地よりも 圧倒的に崩れにくかった #shorts #切り抜き</t>
        </is>
      </c>
      <c r="D79" s="9" t="n">
        <v>0</v>
      </c>
      <c r="E79" s="18" t="n">
        <v>1.1</v>
      </c>
      <c r="F79" s="17" t="n">
        <v>0</v>
      </c>
      <c r="G79" s="9" t="n">
        <v>0</v>
      </c>
      <c r="H79" s="16" t="n">
        <v>0</v>
      </c>
      <c r="I79" s="9" t="n">
        <v>0</v>
      </c>
      <c r="J79" s="9" t="n">
        <v>0</v>
      </c>
    </row>
    <row r="80">
      <c r="A80" s="9" t="inlineStr">
        <is>
          <t>clip-kaneko</t>
        </is>
      </c>
      <c r="B80" s="9" t="inlineStr">
        <is>
          <t>2026-09-08T11:30:57Z</t>
        </is>
      </c>
      <c r="C80" s="9" t="inlineStr">
        <is>
          <t>身長を測ったら161cmだった #shorts #切り抜き</t>
        </is>
      </c>
      <c r="D80" s="9" t="n">
        <v>0</v>
      </c>
      <c r="E80" s="18" t="n">
        <v>0</v>
      </c>
      <c r="F80" s="17" t="n">
        <v>0</v>
      </c>
      <c r="G80" s="9" t="n">
        <v>0</v>
      </c>
      <c r="H80" s="16" t="n">
        <v>0</v>
      </c>
      <c r="I80" s="9" t="n">
        <v>0</v>
      </c>
      <c r="J80" s="9" t="n">
        <v>0</v>
      </c>
    </row>
    <row r="81">
      <c r="A81" s="9" t="inlineStr">
        <is>
          <t>clip-kaneko</t>
        </is>
      </c>
      <c r="B81" s="9" t="inlineStr">
        <is>
          <t>2026-09-08T05:03:32Z</t>
        </is>
      </c>
      <c r="C81" s="9" t="inlineStr">
        <is>
          <t>愛用中のパックが プレゼントに入ってた #shorts #切り抜き</t>
        </is>
      </c>
      <c r="D81" s="9" t="n">
        <v>0</v>
      </c>
      <c r="E81" s="18" t="n">
        <v>0</v>
      </c>
      <c r="F81" s="17" t="n">
        <v>0</v>
      </c>
      <c r="G81" s="9" t="n">
        <v>0</v>
      </c>
      <c r="H81" s="16" t="n">
        <v>0</v>
      </c>
      <c r="I81" s="9" t="n">
        <v>0</v>
      </c>
      <c r="J81" s="9" t="n">
        <v>0</v>
      </c>
    </row>
    <row r="82">
      <c r="A82" s="9" t="inlineStr">
        <is>
          <t>clip-kaneko</t>
        </is>
      </c>
      <c r="B82" s="9" t="inlineStr">
        <is>
          <t>2026-09-07T23:00:44Z</t>
        </is>
      </c>
      <c r="C82" s="9" t="inlineStr">
        <is>
          <t>PayPayが使えない店で 現金を持っていなかった #shorts #切り抜き</t>
        </is>
      </c>
      <c r="D82" s="9" t="n">
        <v>0</v>
      </c>
      <c r="E82" s="18" t="n">
        <v>0</v>
      </c>
      <c r="F82" s="17" t="n">
        <v>0</v>
      </c>
      <c r="G82" s="9" t="n">
        <v>0</v>
      </c>
      <c r="H82" s="16" t="n">
        <v>0</v>
      </c>
      <c r="I82" s="9" t="n">
        <v>0</v>
      </c>
      <c r="J82" s="9" t="n">
        <v>0</v>
      </c>
    </row>
    <row r="83">
      <c r="A83" s="9" t="inlineStr">
        <is>
          <t>clip-kaneko</t>
        </is>
      </c>
      <c r="B83" s="9" t="inlineStr">
        <is>
          <t>2026-09-07T11:31:04Z</t>
        </is>
      </c>
      <c r="C83" s="9" t="inlineStr">
        <is>
          <t>70歳を過ぎて気づいた 人それぞれの受け止め方 #shorts #切り抜き</t>
        </is>
      </c>
      <c r="D83" s="9" t="n">
        <v>0</v>
      </c>
      <c r="E83" s="18" t="n">
        <v>0</v>
      </c>
      <c r="F83" s="17" t="n">
        <v>0</v>
      </c>
      <c r="G83" s="9" t="n">
        <v>0</v>
      </c>
      <c r="H83" s="16" t="n">
        <v>0</v>
      </c>
      <c r="I83" s="9" t="n">
        <v>0</v>
      </c>
      <c r="J83" s="9" t="n">
        <v>0</v>
      </c>
    </row>
    <row r="84">
      <c r="A84" s="9" t="inlineStr">
        <is>
          <t>clip-kaneko</t>
        </is>
      </c>
      <c r="B84" s="9" t="inlineStr">
        <is>
          <t>2026-09-06T23:00:54Z</t>
        </is>
      </c>
      <c r="C84" s="9" t="inlineStr">
        <is>
          <t>サッカーに詳しい人は 恋愛対象として嬉しい #shorts #切り抜き</t>
        </is>
      </c>
      <c r="D84" s="9" t="n">
        <v>0</v>
      </c>
      <c r="E84" s="18" t="n">
        <v>0</v>
      </c>
      <c r="F84" s="17" t="n">
        <v>0</v>
      </c>
      <c r="G84" s="9" t="n">
        <v>0</v>
      </c>
      <c r="H84" s="16" t="n">
        <v>0</v>
      </c>
      <c r="I84" s="9" t="n">
        <v>0</v>
      </c>
      <c r="J84" s="9" t="n">
        <v>0</v>
      </c>
    </row>
    <row r="85">
      <c r="A85" s="9" t="inlineStr">
        <is>
          <t>clip-kaneko</t>
        </is>
      </c>
      <c r="B85" s="9" t="inlineStr">
        <is>
          <t>2026-09-06T11:30:50Z</t>
        </is>
      </c>
      <c r="C85" s="9" t="inlineStr">
        <is>
          <t>最近出た新曲が 一番好きな曲を更新した #shorts #切り抜き</t>
        </is>
      </c>
      <c r="D85" s="9" t="n">
        <v>0</v>
      </c>
      <c r="E85" s="18" t="n">
        <v>0</v>
      </c>
      <c r="F85" s="17" t="n">
        <v>0</v>
      </c>
      <c r="G85" s="9" t="n">
        <v>0</v>
      </c>
      <c r="H85" s="16" t="n">
        <v>0</v>
      </c>
      <c r="I85" s="9" t="n">
        <v>0</v>
      </c>
      <c r="J85" s="9" t="n">
        <v>0</v>
      </c>
    </row>
    <row r="86">
      <c r="A86" s="9" t="inlineStr">
        <is>
          <t>clip-lab</t>
        </is>
      </c>
      <c r="B86" s="9" t="inlineStr">
        <is>
          <t>2026-09-08T08:46:02Z</t>
        </is>
      </c>
      <c r="C86" s="9" t="inlineStr">
        <is>
          <t>リアルロボの操縦席は 腰の位置にある #shorts #切り抜き</t>
        </is>
      </c>
      <c r="D86" s="9" t="n">
        <v>0</v>
      </c>
      <c r="E86" s="18" t="n">
        <v>0</v>
      </c>
      <c r="F86" s="17" t="n">
        <v>0</v>
      </c>
      <c r="G86" s="9" t="n">
        <v>0</v>
      </c>
      <c r="H86" s="16" t="n">
        <v>0</v>
      </c>
      <c r="I86" s="9" t="n">
        <v>0</v>
      </c>
      <c r="J86" s="9" t="n">
        <v>0</v>
      </c>
    </row>
    <row r="87">
      <c r="A87" s="9" t="inlineStr">
        <is>
          <t>clip-lab</t>
        </is>
      </c>
      <c r="B87" s="9" t="inlineStr">
        <is>
          <t>2026-09-08T02:45:53Z</t>
        </is>
      </c>
      <c r="C87" s="9" t="inlineStr">
        <is>
          <t>米国景気は 良くないかもしれない #shorts #切り抜き</t>
        </is>
      </c>
      <c r="D87" s="9" t="n">
        <v>0</v>
      </c>
      <c r="E87" s="18" t="n">
        <v>0</v>
      </c>
      <c r="F87" s="17" t="n">
        <v>0</v>
      </c>
      <c r="G87" s="9" t="n">
        <v>0</v>
      </c>
      <c r="H87" s="16" t="n">
        <v>0</v>
      </c>
      <c r="I87" s="9" t="n">
        <v>0</v>
      </c>
      <c r="J87" s="9" t="n">
        <v>0</v>
      </c>
    </row>
    <row r="88">
      <c r="A88" s="9" t="inlineStr">
        <is>
          <t>clip-lab</t>
        </is>
      </c>
      <c r="B88" s="9" t="inlineStr">
        <is>
          <t>2026-09-07T08:45:53Z</t>
        </is>
      </c>
      <c r="C88" s="9" t="inlineStr">
        <is>
          <t>資産500万円で一生暮らすのは厳しい #shorts #切り抜き</t>
        </is>
      </c>
      <c r="D88" s="9" t="n">
        <v>0</v>
      </c>
      <c r="E88" s="18" t="n">
        <v>0</v>
      </c>
      <c r="F88" s="17" t="n">
        <v>0</v>
      </c>
      <c r="G88" s="9" t="n">
        <v>0</v>
      </c>
      <c r="H88" s="16" t="n">
        <v>0</v>
      </c>
      <c r="I88" s="9" t="n">
        <v>0</v>
      </c>
      <c r="J88" s="9" t="n">
        <v>0</v>
      </c>
    </row>
    <row r="89">
      <c r="A89" s="9" t="inlineStr">
        <is>
          <t>clip-lab</t>
        </is>
      </c>
      <c r="B89" s="9" t="inlineStr">
        <is>
          <t>2026-09-07T02:45:50Z</t>
        </is>
      </c>
      <c r="C89" s="9" t="inlineStr">
        <is>
          <t>視聴データが導く 「定番ストーリー」 #shorts #切り抜き</t>
        </is>
      </c>
      <c r="D89" s="9" t="n">
        <v>0</v>
      </c>
      <c r="E89" s="18" t="n">
        <v>0</v>
      </c>
      <c r="F89" s="17" t="n">
        <v>0</v>
      </c>
      <c r="G89" s="9" t="n">
        <v>0</v>
      </c>
      <c r="H89" s="16" t="n">
        <v>0</v>
      </c>
      <c r="I89" s="9" t="n">
        <v>0</v>
      </c>
      <c r="J89" s="9" t="n">
        <v>0</v>
      </c>
    </row>
    <row r="90">
      <c r="A90" s="9" t="inlineStr">
        <is>
          <t>clip-lab</t>
        </is>
      </c>
      <c r="B90" s="9" t="inlineStr">
        <is>
          <t>2026-09-06T08:46:05Z</t>
        </is>
      </c>
      <c r="C90" s="9" t="inlineStr">
        <is>
          <t>アラフォー資産500万なら まず生活を優先 #shorts #切り抜き</t>
        </is>
      </c>
      <c r="D90" s="9" t="n">
        <v>0</v>
      </c>
      <c r="E90" s="18" t="n">
        <v>8</v>
      </c>
      <c r="F90" s="17" t="n">
        <v>0</v>
      </c>
      <c r="G90" s="9" t="n">
        <v>0</v>
      </c>
      <c r="H90" s="16" t="n">
        <v>0</v>
      </c>
      <c r="I90" s="9" t="n">
        <v>0</v>
      </c>
      <c r="J90" s="9" t="n">
        <v>0</v>
      </c>
    </row>
    <row r="91">
      <c r="A91" s="9" t="inlineStr">
        <is>
          <t>company-facts</t>
        </is>
      </c>
      <c r="B91" s="9" t="inlineStr">
        <is>
          <t>2026-09-08T10:00:20Z</t>
        </is>
      </c>
      <c r="C91" s="9" t="inlineStr">
        <is>
          <t>ユニクロ店長、売上1億円を任される仕事の実態 #shorts #企業分析 #年収 #転職</t>
        </is>
      </c>
      <c r="D91" s="9" t="n">
        <v>0</v>
      </c>
      <c r="E91" s="18" t="n">
        <v>0</v>
      </c>
      <c r="F91" s="17" t="n">
        <v>0</v>
      </c>
      <c r="G91" s="9" t="n">
        <v>0</v>
      </c>
      <c r="H91" s="16" t="n">
        <v>0</v>
      </c>
      <c r="I91" s="9" t="n">
        <v>0</v>
      </c>
      <c r="J91" s="9" t="n">
        <v>0</v>
      </c>
    </row>
    <row r="92">
      <c r="A92" s="9" t="inlineStr">
        <is>
          <t>company-facts</t>
        </is>
      </c>
      <c r="B92" s="9" t="inlineStr">
        <is>
          <t>2026-09-08T08:00:26Z</t>
        </is>
      </c>
      <c r="C92" s="9" t="inlineStr">
        <is>
          <t>NTTデータの年収905万円、実は在宅勤務の裏側 #shorts #企業分析 #年収 #転職</t>
        </is>
      </c>
      <c r="D92" s="9" t="n">
        <v>0</v>
      </c>
      <c r="E92" s="18" t="n">
        <v>0</v>
      </c>
      <c r="F92" s="17" t="n">
        <v>0</v>
      </c>
      <c r="G92" s="9" t="n">
        <v>0</v>
      </c>
      <c r="H92" s="16" t="n">
        <v>0</v>
      </c>
      <c r="I92" s="9" t="n">
        <v>0</v>
      </c>
      <c r="J92" s="9" t="n">
        <v>0</v>
      </c>
    </row>
    <row r="93">
      <c r="A93" s="9" t="inlineStr">
        <is>
          <t>company-facts</t>
        </is>
      </c>
      <c r="B93" s="9" t="inlineStr">
        <is>
          <t>2026-09-07T23:15:03Z</t>
        </is>
      </c>
      <c r="C93" s="9" t="inlineStr">
        <is>
          <t>大和ハウス工業の年収1000万円超、残業の実態がヤバい #shorts #企業分析 #年収 #転職</t>
        </is>
      </c>
      <c r="D93" s="9" t="n">
        <v>0</v>
      </c>
      <c r="E93" s="18" t="n">
        <v>0</v>
      </c>
      <c r="F93" s="17" t="n">
        <v>0</v>
      </c>
      <c r="G93" s="9" t="n">
        <v>0</v>
      </c>
      <c r="H93" s="16" t="n">
        <v>0</v>
      </c>
      <c r="I93" s="9" t="n">
        <v>0</v>
      </c>
      <c r="J93" s="9" t="n">
        <v>0</v>
      </c>
    </row>
    <row r="94">
      <c r="A94" s="9" t="inlineStr">
        <is>
          <t>company-facts</t>
        </is>
      </c>
      <c r="B94" s="9" t="inlineStr">
        <is>
          <t>2026-09-07T08:00:18Z</t>
        </is>
      </c>
      <c r="C94" s="9" t="inlineStr">
        <is>
          <t>日本郵政の年収、職種で2倍差がつく理由 #shorts #企業分析 #年収 #転職</t>
        </is>
      </c>
      <c r="D94" s="9" t="n">
        <v>0</v>
      </c>
      <c r="E94" s="18" t="n">
        <v>0</v>
      </c>
      <c r="F94" s="17" t="n">
        <v>0</v>
      </c>
      <c r="G94" s="9" t="n">
        <v>0</v>
      </c>
      <c r="H94" s="16" t="n">
        <v>0</v>
      </c>
      <c r="I94" s="9" t="n">
        <v>0</v>
      </c>
      <c r="J94" s="9" t="n">
        <v>0</v>
      </c>
    </row>
    <row r="95">
      <c r="A95" s="9" t="inlineStr">
        <is>
          <t>company-facts</t>
        </is>
      </c>
      <c r="B95" s="9" t="inlineStr">
        <is>
          <t>2026-09-07T04:30:06Z</t>
        </is>
      </c>
      <c r="C95" s="9" t="inlineStr">
        <is>
          <t>サイゼリヤの原価率が社員年収に与える意外な影響 #shorts #企業分析 #年収 #転職</t>
        </is>
      </c>
      <c r="D95" s="9" t="n">
        <v>0</v>
      </c>
      <c r="E95" s="18" t="n">
        <v>0</v>
      </c>
      <c r="F95" s="17" t="n">
        <v>0</v>
      </c>
      <c r="G95" s="9" t="n">
        <v>0</v>
      </c>
      <c r="H95" s="16" t="n">
        <v>0</v>
      </c>
      <c r="I95" s="9" t="n">
        <v>0</v>
      </c>
      <c r="J95" s="9" t="n">
        <v>0</v>
      </c>
    </row>
    <row r="96">
      <c r="A96" s="9" t="inlineStr">
        <is>
          <t>company-facts</t>
        </is>
      </c>
      <c r="B96" s="9" t="inlineStr">
        <is>
          <t>2026-09-06T23:15:06Z</t>
        </is>
      </c>
      <c r="C96" s="9" t="inlineStr">
        <is>
          <t>Apple Japanの年収、実は1,000万円超の実態 #shorts #企業分析 #年収 #転職</t>
        </is>
      </c>
      <c r="D96" s="9" t="n">
        <v>0</v>
      </c>
      <c r="E96" s="18" t="n">
        <v>2.94</v>
      </c>
      <c r="F96" s="17" t="n">
        <v>0</v>
      </c>
      <c r="G96" s="9" t="n">
        <v>0</v>
      </c>
      <c r="H96" s="16" t="n">
        <v>0</v>
      </c>
      <c r="I96" s="9" t="n">
        <v>0</v>
      </c>
      <c r="J96" s="9" t="n">
        <v>0</v>
      </c>
    </row>
    <row r="97">
      <c r="A97" s="9" t="inlineStr">
        <is>
          <t>company-facts</t>
        </is>
      </c>
      <c r="B97" s="9" t="inlineStr">
        <is>
          <t>2026-09-06T08:00:16Z</t>
        </is>
      </c>
      <c r="C97" s="9" t="inlineStr">
        <is>
          <t>伊藤忠商事の平均1753万円、朝型勤務の実態 #shorts #企業分析 #年収 #転職</t>
        </is>
      </c>
      <c r="D97" s="9" t="n">
        <v>0</v>
      </c>
      <c r="E97" s="18" t="n">
        <v>1.54</v>
      </c>
      <c r="F97" s="17" t="n">
        <v>0</v>
      </c>
      <c r="G97" s="9" t="n">
        <v>0</v>
      </c>
      <c r="H97" s="16" t="n">
        <v>0</v>
      </c>
      <c r="I97" s="9" t="n">
        <v>0</v>
      </c>
      <c r="J97" s="9" t="n">
        <v>0</v>
      </c>
    </row>
    <row r="98">
      <c r="A98" s="9" t="inlineStr">
        <is>
          <t>daily-science</t>
        </is>
      </c>
      <c r="B98" s="9" t="inlineStr">
        <is>
          <t>2026-09-08T08:00:06Z</t>
        </is>
      </c>
      <c r="C98" s="9" t="inlineStr">
        <is>
          <t>疲れた日の甘い物がすぐ消えるのはなぜ？ #shorts #雑学 #豆知識</t>
        </is>
      </c>
      <c r="D98" s="9" t="n">
        <v>0</v>
      </c>
      <c r="E98" s="18" t="n">
        <v>0</v>
      </c>
      <c r="F98" s="17" t="n">
        <v>0</v>
      </c>
      <c r="G98" s="9" t="n">
        <v>0</v>
      </c>
      <c r="H98" s="16" t="n">
        <v>0</v>
      </c>
      <c r="I98" s="9" t="n">
        <v>0</v>
      </c>
      <c r="J98" s="9" t="n">
        <v>0</v>
      </c>
    </row>
    <row r="99">
      <c r="A99" s="9" t="inlineStr">
        <is>
          <t>daily-science</t>
        </is>
      </c>
      <c r="B99" s="9" t="inlineStr">
        <is>
          <t>2026-09-08T03:30:02Z</t>
        </is>
      </c>
      <c r="C99" s="9" t="inlineStr">
        <is>
          <t>耳を塞ぐと聞こえる20Hzの正体？ #shorts #雑学 #豆知識</t>
        </is>
      </c>
      <c r="D99" s="9" t="n">
        <v>0</v>
      </c>
      <c r="E99" s="18" t="n">
        <v>0</v>
      </c>
      <c r="F99" s="17" t="n">
        <v>0</v>
      </c>
      <c r="G99" s="9" t="n">
        <v>0</v>
      </c>
      <c r="H99" s="16" t="n">
        <v>0</v>
      </c>
      <c r="I99" s="9" t="n">
        <v>0</v>
      </c>
      <c r="J99" s="9" t="n">
        <v>0</v>
      </c>
    </row>
    <row r="100">
      <c r="A100" s="9" t="inlineStr">
        <is>
          <t>daily-science</t>
        </is>
      </c>
      <c r="B100" s="9" t="inlineStr">
        <is>
          <t>2026-09-07T22:30:01Z</t>
        </is>
      </c>
      <c r="C100" s="9" t="inlineStr">
        <is>
          <t>走った後の鉄味、あなたの肺で何が？0.1%の正体 #shorts #雑学 #豆知識</t>
        </is>
      </c>
      <c r="D100" s="9" t="n">
        <v>0</v>
      </c>
      <c r="E100" s="18" t="n">
        <v>0</v>
      </c>
      <c r="F100" s="17" t="n">
        <v>0</v>
      </c>
      <c r="G100" s="9" t="n">
        <v>0</v>
      </c>
      <c r="H100" s="16" t="n">
        <v>0</v>
      </c>
      <c r="I100" s="9" t="n">
        <v>0</v>
      </c>
      <c r="J100" s="9" t="n">
        <v>0</v>
      </c>
    </row>
    <row r="101">
      <c r="A101" s="9" t="inlineStr">
        <is>
          <t>daily-science</t>
        </is>
      </c>
      <c r="B101" s="9" t="inlineStr">
        <is>
          <t>2026-09-07T08:00:20Z</t>
        </is>
      </c>
      <c r="C101" s="9" t="inlineStr">
        <is>
          <t>なぜ冷たい水だけ歯にしみる？歯の中で起きる変化 #shorts #雑学 #豆知識</t>
        </is>
      </c>
      <c r="D101" s="9" t="n">
        <v>0</v>
      </c>
      <c r="E101" s="18" t="n">
        <v>0</v>
      </c>
      <c r="F101" s="17" t="n">
        <v>0</v>
      </c>
      <c r="G101" s="9" t="n">
        <v>0</v>
      </c>
      <c r="H101" s="16" t="n">
        <v>0</v>
      </c>
      <c r="I101" s="9" t="n">
        <v>0</v>
      </c>
      <c r="J101" s="9" t="n">
        <v>0</v>
      </c>
    </row>
    <row r="102">
      <c r="A102" s="9" t="inlineStr">
        <is>
          <t>daily-science</t>
        </is>
      </c>
      <c r="B102" s="9" t="inlineStr">
        <is>
          <t>2026-09-07T03:30:13Z</t>
        </is>
      </c>
      <c r="C102" s="9" t="inlineStr">
        <is>
          <t>なぜ他人のあくびは約45％もつられる？脳の反応を解説 #shorts #雑学 #豆知識</t>
        </is>
      </c>
      <c r="D102" s="9" t="n">
        <v>0</v>
      </c>
      <c r="E102" s="18" t="n">
        <v>0</v>
      </c>
      <c r="F102" s="17" t="n">
        <v>0</v>
      </c>
      <c r="G102" s="9" t="n">
        <v>0</v>
      </c>
      <c r="H102" s="16" t="n">
        <v>0</v>
      </c>
      <c r="I102" s="9" t="n">
        <v>0</v>
      </c>
      <c r="J102" s="9" t="n">
        <v>0</v>
      </c>
    </row>
    <row r="103">
      <c r="A103" s="9" t="inlineStr">
        <is>
          <t>daily-science</t>
        </is>
      </c>
      <c r="B103" s="9" t="inlineStr">
        <is>
          <t>2026-09-06T22:30:13Z</t>
        </is>
      </c>
      <c r="C103" s="9" t="inlineStr">
        <is>
          <t>あなたが大雨で不安になる3hPaの正体？ #shorts #雑学 #豆知識</t>
        </is>
      </c>
      <c r="D103" s="9" t="n">
        <v>0</v>
      </c>
      <c r="E103" s="18" t="n">
        <v>0</v>
      </c>
      <c r="F103" s="17" t="n">
        <v>0</v>
      </c>
      <c r="G103" s="9" t="n">
        <v>0</v>
      </c>
      <c r="H103" s="16" t="n">
        <v>0</v>
      </c>
      <c r="I103" s="9" t="n">
        <v>0</v>
      </c>
      <c r="J103" s="9" t="n">
        <v>0</v>
      </c>
    </row>
    <row r="104">
      <c r="A104" s="9" t="inlineStr">
        <is>
          <t>daily-science</t>
        </is>
      </c>
      <c r="B104" s="9" t="inlineStr">
        <is>
          <t>2026-09-06T08:00:32Z</t>
        </is>
      </c>
      <c r="C104" s="9" t="inlineStr">
        <is>
          <t>実は暗い部屋で音に敏感になるのは、耳が目の代わりをするから？ #shorts #雑学 #豆知識</t>
        </is>
      </c>
      <c r="D104" s="9" t="n">
        <v>0</v>
      </c>
      <c r="E104" s="18" t="n">
        <v>0</v>
      </c>
      <c r="F104" s="17" t="n">
        <v>0</v>
      </c>
      <c r="G104" s="9" t="n">
        <v>0</v>
      </c>
      <c r="H104" s="16" t="n">
        <v>0</v>
      </c>
      <c r="I104" s="9" t="n">
        <v>0</v>
      </c>
      <c r="J104" s="9" t="n">
        <v>0</v>
      </c>
    </row>
    <row r="105">
      <c r="A105" s="9" t="inlineStr">
        <is>
          <t>pokemon-lab</t>
        </is>
      </c>
      <c r="B105" s="9" t="inlineStr">
        <is>
          <t>2026-09-08T10:00:15Z</t>
        </is>
      </c>
      <c r="C105" s="9" t="inlineStr">
        <is>
          <t>アンノーン28種類コンプしても完成にならない!? #shorts #ポケモン #ポケモン雑学</t>
        </is>
      </c>
      <c r="D105" s="9" t="n">
        <v>0</v>
      </c>
      <c r="E105" s="18" t="n">
        <v>0</v>
      </c>
      <c r="F105" s="17" t="n">
        <v>0</v>
      </c>
      <c r="G105" s="9" t="n">
        <v>0</v>
      </c>
      <c r="H105" s="16" t="n">
        <v>0</v>
      </c>
      <c r="I105" s="9" t="n">
        <v>0</v>
      </c>
      <c r="J105" s="9" t="n">
        <v>0</v>
      </c>
    </row>
    <row r="106">
      <c r="A106" s="9" t="inlineStr">
        <is>
          <t>pokemon-lab</t>
        </is>
      </c>
      <c r="B106" s="9" t="inlineStr">
        <is>
          <t>2026-09-08T08:00:11Z</t>
        </is>
      </c>
      <c r="C106" s="9" t="inlineStr">
        <is>
          <t>ドラパルト、子どもを音速超えで撃ち出すってマジ!? #shorts #ポケモン #ポケモン雑学</t>
        </is>
      </c>
      <c r="D106" s="9" t="n">
        <v>0</v>
      </c>
      <c r="E106" s="18" t="n">
        <v>0</v>
      </c>
      <c r="F106" s="17" t="n">
        <v>0</v>
      </c>
      <c r="G106" s="9" t="n">
        <v>0</v>
      </c>
      <c r="H106" s="16" t="n">
        <v>0</v>
      </c>
      <c r="I106" s="9" t="n">
        <v>0</v>
      </c>
      <c r="J106" s="9" t="n">
        <v>0</v>
      </c>
    </row>
    <row r="107">
      <c r="A107" s="9" t="inlineStr">
        <is>
          <t>pokemon-lab</t>
        </is>
      </c>
      <c r="B107" s="9" t="inlineStr">
        <is>
          <t>2026-09-07T23:30:15Z</t>
        </is>
      </c>
      <c r="C107" s="9" t="inlineStr">
        <is>
          <t>ソーナンスが反撃しかできない設計の狙いが深すぎる #shorts #ポケモン #ポケモン雑学</t>
        </is>
      </c>
      <c r="D107" s="9" t="n">
        <v>0</v>
      </c>
      <c r="E107" s="18" t="n">
        <v>0</v>
      </c>
      <c r="F107" s="17" t="n">
        <v>0</v>
      </c>
      <c r="G107" s="9" t="n">
        <v>0</v>
      </c>
      <c r="H107" s="16" t="n">
        <v>0</v>
      </c>
      <c r="I107" s="9" t="n">
        <v>0</v>
      </c>
      <c r="J107" s="9" t="n">
        <v>0</v>
      </c>
    </row>
    <row r="108">
      <c r="A108" s="9" t="inlineStr">
        <is>
          <t>pokemon-lab</t>
        </is>
      </c>
      <c r="B108" s="9" t="inlineStr">
        <is>
          <t>2026-09-07T10:00:28Z</t>
        </is>
      </c>
      <c r="C108" s="9" t="inlineStr">
        <is>
          <t>ロケット団の幹部だけ口調が別キャラ級？3作品で徹底比較の本当 #shorts #ポケモン #ポケモン雑学</t>
        </is>
      </c>
      <c r="D108" s="9" t="n">
        <v>0</v>
      </c>
      <c r="E108" s="18" t="n">
        <v>0</v>
      </c>
      <c r="F108" s="17" t="n">
        <v>0</v>
      </c>
      <c r="G108" s="9" t="n">
        <v>0</v>
      </c>
      <c r="H108" s="16" t="n">
        <v>0</v>
      </c>
      <c r="I108" s="9" t="n">
        <v>0</v>
      </c>
      <c r="J108" s="9" t="n">
        <v>0</v>
      </c>
    </row>
    <row r="109">
      <c r="A109" s="9" t="inlineStr">
        <is>
          <t>pokemon-lab</t>
        </is>
      </c>
      <c r="B109" s="9" t="inlineStr">
        <is>
          <t>2026-09-07T08:30:16Z</t>
        </is>
      </c>
      <c r="C109" s="9" t="inlineStr">
        <is>
          <t>イーブイの昼夜進化、エーフィとブラッキーに分かれた理由 #shorts #ポケモン #ポケモン雑学</t>
        </is>
      </c>
      <c r="D109" s="9" t="n">
        <v>0</v>
      </c>
      <c r="E109" s="18" t="n">
        <v>0</v>
      </c>
      <c r="F109" s="17" t="n">
        <v>0</v>
      </c>
      <c r="G109" s="9" t="n">
        <v>0</v>
      </c>
      <c r="H109" s="16" t="n">
        <v>0</v>
      </c>
      <c r="I109" s="9" t="n">
        <v>0</v>
      </c>
      <c r="J109" s="9" t="n">
        <v>0</v>
      </c>
    </row>
    <row r="110">
      <c r="A110" s="9" t="inlineStr">
        <is>
          <t>pokemon-lab</t>
        </is>
      </c>
      <c r="B110" s="9" t="inlineStr">
        <is>
          <t>2026-09-07T06:00:26Z</t>
        </is>
      </c>
      <c r="C110" s="9" t="inlineStr">
        <is>
          <t>四天王の呼び名が定着した25年の謎 #shorts #ポケモン #ポケモン雑学</t>
        </is>
      </c>
      <c r="D110" s="9" t="n">
        <v>0</v>
      </c>
      <c r="E110" s="18" t="n">
        <v>0</v>
      </c>
      <c r="F110" s="17" t="n">
        <v>0</v>
      </c>
      <c r="G110" s="9" t="n">
        <v>0</v>
      </c>
      <c r="H110" s="16" t="n">
        <v>0</v>
      </c>
      <c r="I110" s="9" t="n">
        <v>0</v>
      </c>
      <c r="J110" s="9" t="n">
        <v>0</v>
      </c>
    </row>
    <row r="111">
      <c r="A111" s="9" t="inlineStr">
        <is>
          <t>pokemon-lab</t>
        </is>
      </c>
      <c r="B111" s="9" t="inlineStr">
        <is>
          <t>2026-09-06T23:30:21Z</t>
        </is>
      </c>
      <c r="C111" s="9" t="inlineStr">
        <is>
          <t>ジムリーダーのタイプ縛り、実は町の役目だった！？ #shorts #ポケモン #ポケモン雑学</t>
        </is>
      </c>
      <c r="D111" s="9" t="n">
        <v>0</v>
      </c>
      <c r="E111" s="18" t="n">
        <v>0</v>
      </c>
      <c r="F111" s="17" t="n">
        <v>0</v>
      </c>
      <c r="G111" s="9" t="n">
        <v>0</v>
      </c>
      <c r="H111" s="16" t="n">
        <v>0</v>
      </c>
      <c r="I111" s="9" t="n">
        <v>0</v>
      </c>
      <c r="J111" s="9" t="n">
        <v>0</v>
      </c>
    </row>
    <row r="112">
      <c r="A112" s="9" t="inlineStr">
        <is>
          <t>pokemon-lab</t>
        </is>
      </c>
      <c r="B112" s="9" t="inlineStr">
        <is>
          <t>2026-09-06T08:30:07Z</t>
        </is>
      </c>
      <c r="C112" s="9" t="inlineStr">
        <is>
          <t>ドードリオの首が3つに増えた理由、種族値に出てた説 #shorts #ポケモン #ポケモン雑学</t>
        </is>
      </c>
      <c r="D112" s="9" t="n">
        <v>0</v>
      </c>
      <c r="E112" s="18" t="n">
        <v>0</v>
      </c>
      <c r="F112" s="17" t="n">
        <v>0</v>
      </c>
      <c r="G112" s="9" t="n">
        <v>0</v>
      </c>
      <c r="H112" s="16" t="n">
        <v>0</v>
      </c>
      <c r="I112" s="9" t="n">
        <v>0</v>
      </c>
      <c r="J112" s="9" t="n">
        <v>0</v>
      </c>
    </row>
    <row r="113">
      <c r="A113" s="9" t="inlineStr">
        <is>
          <t>scp-lab</t>
        </is>
      </c>
      <c r="B113" s="9" t="inlineStr">
        <is>
          <t>2026-09-08T10:00:18Z</t>
        </is>
      </c>
      <c r="C113" s="9" t="inlineStr">
        <is>
          <t>7日間でずつ消えたエージェント名簿異常事件 #shorts #SCP #SCP解説</t>
        </is>
      </c>
      <c r="D113" s="9" t="n">
        <v>0</v>
      </c>
      <c r="E113" s="18" t="n">
        <v>0</v>
      </c>
      <c r="F113" s="17" t="n">
        <v>0</v>
      </c>
      <c r="G113" s="9" t="n">
        <v>0</v>
      </c>
      <c r="H113" s="16" t="n">
        <v>0</v>
      </c>
      <c r="I113" s="9" t="n">
        <v>0</v>
      </c>
      <c r="J113" s="9" t="n">
        <v>0</v>
      </c>
    </row>
    <row r="114">
      <c r="A114" s="9" t="inlineStr">
        <is>
          <t>scp-lab</t>
        </is>
      </c>
      <c r="B114" s="9" t="inlineStr">
        <is>
          <t>2026-09-08T08:00:27Z</t>
        </is>
      </c>
      <c r="C114" s="9" t="inlineStr">
        <is>
          <t>SCPの最後の一行だけが隔離対象になった理由 #shorts #SCP #SCP解説</t>
        </is>
      </c>
      <c r="D114" s="9" t="n">
        <v>0</v>
      </c>
      <c r="E114" s="18" t="n">
        <v>0</v>
      </c>
      <c r="F114" s="17" t="n">
        <v>0</v>
      </c>
      <c r="G114" s="9" t="n">
        <v>0</v>
      </c>
      <c r="H114" s="16" t="n">
        <v>0</v>
      </c>
      <c r="I114" s="9" t="n">
        <v>0</v>
      </c>
      <c r="J114" s="9" t="n">
        <v>0</v>
      </c>
    </row>
    <row r="115">
      <c r="A115" s="9" t="inlineStr">
        <is>
          <t>scp-lab</t>
        </is>
      </c>
      <c r="B115" s="9" t="inlineStr">
        <is>
          <t>2026-09-08T04:00:22Z</t>
        </is>
      </c>
      <c r="C115" s="9" t="inlineStr">
        <is>
          <t>SCP-3288 大雨の真相 あなたの部屋も沈む #shorts #SCP #SCP解説</t>
        </is>
      </c>
      <c r="D115" s="9" t="n">
        <v>0</v>
      </c>
      <c r="E115" s="18" t="n">
        <v>0</v>
      </c>
      <c r="F115" s="17" t="n">
        <v>0</v>
      </c>
      <c r="G115" s="9" t="n">
        <v>0</v>
      </c>
      <c r="H115" s="16" t="n">
        <v>0</v>
      </c>
      <c r="I115" s="9" t="n">
        <v>0</v>
      </c>
      <c r="J115" s="9" t="n">
        <v>0</v>
      </c>
    </row>
    <row r="116">
      <c r="A116" s="9" t="inlineStr">
        <is>
          <t>scp-lab</t>
        </is>
      </c>
      <c r="B116" s="9" t="inlineStr">
        <is>
          <t>2026-09-07T10:00:10Z</t>
        </is>
      </c>
      <c r="C116" s="9" t="inlineStr">
        <is>
          <t>SCP-7241 収容違反記録から毎回消える頁 #shorts #SCP #SCP解説</t>
        </is>
      </c>
      <c r="D116" s="9" t="n">
        <v>0</v>
      </c>
      <c r="E116" s="18" t="n">
        <v>0</v>
      </c>
      <c r="F116" s="17" t="n">
        <v>0</v>
      </c>
      <c r="G116" s="9" t="n">
        <v>0</v>
      </c>
      <c r="H116" s="16" t="n">
        <v>0</v>
      </c>
      <c r="I116" s="9" t="n">
        <v>0</v>
      </c>
      <c r="J116" s="9" t="n">
        <v>0</v>
      </c>
    </row>
    <row r="117">
      <c r="A117" s="9" t="inlineStr">
        <is>
          <t>scp-lab</t>
        </is>
      </c>
      <c r="B117" s="9" t="inlineStr">
        <is>
          <t>2026-09-07T08:00:27Z</t>
        </is>
      </c>
      <c r="C117" s="9" t="inlineStr">
        <is>
          <t>なぜこの火山は72時間沈黙し職員が消えるのか #shorts #SCP #SCP解説</t>
        </is>
      </c>
      <c r="D117" s="9" t="n">
        <v>0</v>
      </c>
      <c r="E117" s="18" t="n">
        <v>0</v>
      </c>
      <c r="F117" s="17" t="n">
        <v>0</v>
      </c>
      <c r="G117" s="9" t="n">
        <v>0</v>
      </c>
      <c r="H117" s="16" t="n">
        <v>0</v>
      </c>
      <c r="I117" s="9" t="n">
        <v>0</v>
      </c>
      <c r="J117" s="9" t="n">
        <v>0</v>
      </c>
    </row>
    <row r="118">
      <c r="A118" s="9" t="inlineStr">
        <is>
          <t>scp-lab</t>
        </is>
      </c>
      <c r="B118" s="9" t="inlineStr">
        <is>
          <t>2026-09-07T04:00:33Z</t>
        </is>
      </c>
      <c r="C118" s="9" t="inlineStr">
        <is>
          <t>RTX5090はで部屋の外から名前を呼ぶのか #shorts #SCP #SCP解説</t>
        </is>
      </c>
      <c r="D118" s="9" t="n">
        <v>0</v>
      </c>
      <c r="E118" s="18" t="n">
        <v>6.06</v>
      </c>
      <c r="F118" s="17" t="n">
        <v>0</v>
      </c>
      <c r="G118" s="9" t="n">
        <v>0</v>
      </c>
      <c r="H118" s="16" t="n">
        <v>0</v>
      </c>
      <c r="I118" s="9" t="n">
        <v>0</v>
      </c>
      <c r="J118" s="9" t="n">
        <v>0</v>
      </c>
    </row>
    <row r="119">
      <c r="A119" s="9" t="inlineStr">
        <is>
          <t>scp-lab</t>
        </is>
      </c>
      <c r="B119" s="9" t="inlineStr">
        <is>
          <t>2026-09-06T10:00:37Z</t>
        </is>
      </c>
      <c r="C119" s="9" t="inlineStr">
        <is>
          <t>未来の時刻誰が映る #shorts #SCP #SCP解説</t>
        </is>
      </c>
      <c r="D119" s="9" t="n">
        <v>0</v>
      </c>
      <c r="E119" s="18" t="n">
        <v>1.32</v>
      </c>
      <c r="F119" s="17" t="n">
        <v>0</v>
      </c>
      <c r="G119" s="9" t="n">
        <v>0</v>
      </c>
      <c r="H119" s="16" t="n">
        <v>0</v>
      </c>
      <c r="I119" s="9" t="n">
        <v>0</v>
      </c>
      <c r="J119" s="9" t="n">
        <v>0</v>
      </c>
    </row>
    <row r="120">
      <c r="A120" s="9" t="inlineStr">
        <is>
          <t>scp-lab</t>
        </is>
      </c>
      <c r="B120" s="9" t="inlineStr">
        <is>
          <t>2026-09-06T08:00:37Z</t>
        </is>
      </c>
      <c r="C120" s="9" t="inlineStr">
        <is>
          <t>SCP-5800 職員証だけが戻った未解決ファイル #shorts #SCP #SCP解説</t>
        </is>
      </c>
      <c r="D120" s="9" t="n">
        <v>0</v>
      </c>
      <c r="E120" s="18" t="n">
        <v>0.55</v>
      </c>
      <c r="F120" s="17" t="n">
        <v>0</v>
      </c>
      <c r="G120" s="9" t="n">
        <v>0</v>
      </c>
      <c r="H120" s="16" t="n">
        <v>0</v>
      </c>
      <c r="I120" s="9" t="n">
        <v>0</v>
      </c>
      <c r="J120" s="9" t="n">
        <v>0</v>
      </c>
    </row>
    <row r="121">
      <c r="A121" s="9" t="inlineStr">
        <is>
          <t>yokai-watch</t>
        </is>
      </c>
      <c r="B121" s="9" t="inlineStr">
        <is>
          <t>2026-09-08T08:00:38Z</t>
        </is>
      </c>
      <c r="C121" s="9" t="inlineStr">
        <is>
          <t>覚の元ネタが怖すぎる…心を先回りする山の怪物 #shorts #妖怪 #都市伝説</t>
        </is>
      </c>
      <c r="D121" s="9" t="n">
        <v>0</v>
      </c>
      <c r="E121" s="18" t="n">
        <v>0</v>
      </c>
      <c r="F121" s="17" t="n">
        <v>0</v>
      </c>
      <c r="G121" s="9" t="n">
        <v>0</v>
      </c>
      <c r="H121" s="16" t="n">
        <v>0</v>
      </c>
      <c r="I121" s="9" t="n">
        <v>0</v>
      </c>
      <c r="J121" s="9" t="n">
        <v>0</v>
      </c>
    </row>
    <row r="122">
      <c r="A122" s="9" t="inlineStr">
        <is>
          <t>yokai-watch</t>
        </is>
      </c>
      <c r="B122" s="9" t="inlineStr">
        <is>
          <t>2026-09-08T03:00:10Z</t>
        </is>
      </c>
      <c r="C122" s="9" t="inlineStr">
        <is>
          <t>ろくろ首の正体は飛頭蛮？首が飛ぶ怪異の出どころ #shorts #妖怪 #都市伝説</t>
        </is>
      </c>
      <c r="D122" s="9" t="n">
        <v>0</v>
      </c>
      <c r="E122" s="18" t="n">
        <v>0</v>
      </c>
      <c r="F122" s="17" t="n">
        <v>0</v>
      </c>
      <c r="G122" s="9" t="n">
        <v>0</v>
      </c>
      <c r="H122" s="16" t="n">
        <v>0</v>
      </c>
      <c r="I122" s="9" t="n">
        <v>0</v>
      </c>
      <c r="J122" s="9" t="n">
        <v>0</v>
      </c>
    </row>
    <row r="123">
      <c r="A123" s="9" t="inlineStr">
        <is>
          <t>yokai-watch</t>
        </is>
      </c>
      <c r="B123" s="9" t="inlineStr">
        <is>
          <t>2026-09-08T00:30:23Z</t>
        </is>
      </c>
      <c r="C123" s="9" t="inlineStr">
        <is>
          <t>鬼の角が「目印」になった千年前の変化 #shorts #妖怪 #都市伝説</t>
        </is>
      </c>
      <c r="D123" s="9" t="n">
        <v>0</v>
      </c>
      <c r="E123" s="18" t="n">
        <v>0</v>
      </c>
      <c r="F123" s="17" t="n">
        <v>0</v>
      </c>
      <c r="G123" s="9" t="n">
        <v>0</v>
      </c>
      <c r="H123" s="16" t="n">
        <v>0</v>
      </c>
      <c r="I123" s="9" t="n">
        <v>0</v>
      </c>
      <c r="J123" s="9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  <col width="60" customWidth="1" min="4" max="4"/>
    <col width="17" customWidth="1" min="5" max="5"/>
    <col width="15" customWidth="1" min="6" max="6"/>
    <col width="12" customWidth="1" min="7" max="7"/>
  </cols>
  <sheetData>
    <row r="1">
      <c r="A1" s="1" t="inlineStr">
        <is>
          <t>改善アクション 2026-09-12</t>
        </is>
      </c>
    </row>
    <row r="3" ht="30" customHeight="1">
      <c r="A3" s="6" t="inlineStr">
        <is>
          <t>優先</t>
        </is>
      </c>
      <c r="B3" s="6" t="inlineStr">
        <is>
          <t>アクション</t>
        </is>
      </c>
      <c r="C3" s="6" t="inlineStr">
        <is>
          <t>対象</t>
        </is>
      </c>
      <c r="D3" s="6" t="inlineStr">
        <is>
          <t>根拠（実測）</t>
        </is>
      </c>
      <c r="E3" s="6" t="inlineStr">
        <is>
          <t>状態</t>
        </is>
      </c>
      <c r="F3" s="6" t="inlineStr">
        <is>
          <t>実行者</t>
        </is>
      </c>
      <c r="G3" s="6" t="inlineStr">
        <is>
          <t>検証日</t>
        </is>
      </c>
    </row>
    <row r="4" ht="46" customHeight="1">
      <c r="A4" s="8" t="inlineStr">
        <is>
          <t>P0</t>
        </is>
      </c>
      <c r="B4" s="23" t="inlineStr">
        <is>
          <t>GCP の OAuth 同意画面を「テスト」→「本番」に公開する</t>
        </is>
      </c>
      <c r="C4" s="23" t="inlineStr">
        <is>
          <t>GCP プロジェクト全体</t>
        </is>
      </c>
      <c r="D4" s="23" t="inlineStr">
        <is>
          <t>テスト状態の同意画面は refresh token の寿命が7日固定。09-01〜03・09-07〜08・09-10〜 と7日周期で全13chが同時失効しており周期が一致する</t>
        </is>
      </c>
      <c r="E4" s="8" t="inlineStr">
        <is>
          <t>⛔ 未対応（要人手）</t>
        </is>
      </c>
      <c r="F4" s="8" t="inlineStr">
        <is>
          <t>ザキ（ブラウザ）</t>
        </is>
      </c>
      <c r="G4" s="8" t="inlineStr">
        <is>
          <t>即日</t>
        </is>
      </c>
    </row>
    <row r="5" ht="46" customHeight="1">
      <c r="A5" s="8" t="inlineStr">
        <is>
          <t>P0</t>
        </is>
      </c>
      <c r="B5" s="23" t="inlineStr">
        <is>
          <t>全チャンネルを再認可する（※必ず本番公開の「後」に行う）</t>
        </is>
      </c>
      <c r="C5" s="23" t="inlineStr">
        <is>
          <t>稼働13ch</t>
        </is>
      </c>
      <c r="D5" s="23" t="inlineStr">
        <is>
          <t>寿命は認可した瞬間に確定するため、本番公開前に再認可しても7日後に再発する。logs に invalid_grant が 09-11 だけで317件</t>
        </is>
      </c>
      <c r="E5" s="8" t="inlineStr">
        <is>
          <t>⛔ 未対応（要人手）</t>
        </is>
      </c>
      <c r="F5" s="8" t="inlineStr">
        <is>
          <t>ザキ（ブラウザ）</t>
        </is>
      </c>
      <c r="G5" s="8" t="inlineStr">
        <is>
          <t>即日</t>
        </is>
      </c>
    </row>
    <row r="6" ht="46" customHeight="1">
      <c r="A6" s="9" t="inlineStr">
        <is>
          <t>P1</t>
        </is>
      </c>
      <c r="B6" s="19" t="inlineStr">
        <is>
          <t>滞留している生成済み動画を手動で公開する</t>
        </is>
      </c>
      <c r="C6" s="19" t="inlineStr">
        <is>
          <t>09-09〜09-12 生成分</t>
        </is>
      </c>
      <c r="D6" s="19" t="inlineStr">
        <is>
          <t>Job completed は出ており mp4 は Desktop/動画出力用 と iCloud に存在する。再認可が通れば上げ直せる</t>
        </is>
      </c>
      <c r="E6" s="9" t="inlineStr">
        <is>
          <t>⛔ 未対応</t>
        </is>
      </c>
      <c r="F6" s="9" t="inlineStr">
        <is>
          <t>ザキ</t>
        </is>
      </c>
      <c r="G6" s="9" t="inlineStr">
        <is>
          <t>再認可後</t>
        </is>
      </c>
    </row>
    <row r="7" ht="46" customHeight="1">
      <c r="A7" s="9" t="inlineStr">
        <is>
          <t>P1</t>
        </is>
      </c>
      <c r="B7" s="19" t="inlineStr">
        <is>
          <t>orch_trigger_20260912.command で6chの制作を回す</t>
        </is>
      </c>
      <c r="C7" s="19" t="inlineStr">
        <is>
          <t>moviepy系6ch</t>
        </is>
      </c>
      <c r="D7" s="19" t="inlineStr">
        <is>
          <t>再認可前に回すと未公開動画が積み上がりレンダーワーカー2本を無駄に占有するため、認可後に実行する</t>
        </is>
      </c>
      <c r="E7" s="9" t="inlineStr">
        <is>
          <t>📄 スクリプト作成済み</t>
        </is>
      </c>
      <c r="F7" s="9" t="inlineStr">
        <is>
          <t>ザキ（Mac）</t>
        </is>
      </c>
      <c r="G7" s="9" t="inlineStr">
        <is>
          <t>再認可後</t>
        </is>
      </c>
    </row>
    <row r="8" ht="46" customHeight="1">
      <c r="A8" s="7" t="inlineStr">
        <is>
          <t>P1</t>
        </is>
      </c>
      <c r="B8" s="12" t="inlineStr">
        <is>
          <t>『答えの遅延』ルールの撤回（C1）</t>
        </is>
      </c>
      <c r="C8" s="12" t="inlineStr">
        <is>
          <t>daily-science / scp-lab / pokemon-lab / yokai-watch</t>
        </is>
      </c>
      <c r="D8" s="12" t="inlineStr">
        <is>
          <t>維持率四分位→登録/千 Q4/Q1 1.16倍・非単調。ch内対照 中央値1.12倍・6ch中2chで負。維持率50%以上の高評価率 0.93倍</t>
        </is>
      </c>
      <c r="E8" s="7" t="inlineStr">
        <is>
          <t>✅ 適用済み</t>
        </is>
      </c>
      <c r="F8" s="7" t="inlineStr">
        <is>
          <t>指揮者</t>
        </is>
      </c>
      <c r="G8" s="7" t="inlineStr">
        <is>
          <t>2026-09-19</t>
        </is>
      </c>
    </row>
    <row r="9" ht="46" customHeight="1">
      <c r="A9" s="7" t="inlineStr">
        <is>
          <t>P1</t>
        </is>
      </c>
      <c r="B9" s="12" t="inlineStr">
        <is>
          <t>疑問形＋答え提示語の併用を必須化（C2）</t>
        </is>
      </c>
      <c r="C9" s="12" t="inlineStr">
        <is>
          <t>2ch-matome / pokemon-lab</t>
        </is>
      </c>
      <c r="D9" s="12" t="inlineStr">
        <is>
          <t>ch内対照の高評価率: 疑問符 2ch 1.53倍 / pokemon 1.93倍。答え提示語は対照可能5ch全てでプラス（中央値1.20倍）</t>
        </is>
      </c>
      <c r="E9" s="7" t="inlineStr">
        <is>
          <t>✅ 適用済み</t>
        </is>
      </c>
      <c r="F9" s="7" t="inlineStr">
        <is>
          <t>指揮者</t>
        </is>
      </c>
      <c r="G9" s="7" t="inlineStr">
        <is>
          <t>2026-09-19</t>
        </is>
      </c>
    </row>
    <row r="10" ht="46" customHeight="1">
      <c r="A10" s="7" t="inlineStr">
        <is>
          <t>P2</t>
        </is>
      </c>
      <c r="B10" s="12" t="inlineStr">
        <is>
          <t>scp-lab を週7日化（C3）</t>
        </is>
      </c>
      <c r="C10" s="12" t="inlineStr">
        <is>
          <t>scp-lab</t>
        </is>
      </c>
      <c r="D10" s="12" t="inlineStr">
        <is>
          <t>登録/千 0.773 で6ch1位。曜日別 土 0.763 / 日 0.774 は ch平均 0.773 と同等</t>
        </is>
      </c>
      <c r="E10" s="7" t="inlineStr">
        <is>
          <t>✅ 適用済み</t>
        </is>
      </c>
      <c r="F10" s="7" t="inlineStr">
        <is>
          <t>指揮者</t>
        </is>
      </c>
      <c r="G10" s="7" t="inlineStr">
        <is>
          <t>2026-09-19</t>
        </is>
      </c>
    </row>
    <row r="11" ht="46" customHeight="1">
      <c r="A11" s="7" t="inlineStr">
        <is>
          <t>P2</t>
        </is>
      </c>
      <c r="B11" s="12" t="inlineStr">
        <is>
          <t>company-facts に 12:30 枠を増設（C4）</t>
        </is>
      </c>
      <c r="C11" s="12" t="inlineStr">
        <is>
          <t>company-facts</t>
        </is>
      </c>
      <c r="D11" s="12" t="inlineStr">
        <is>
          <t>登録/千 0.711（2位）・維持率 56.7%（1位）・有効CTR 2.19%（1位）。正午帯が未使用、burst guard 90分に抵触しない</t>
        </is>
      </c>
      <c r="E11" s="7" t="inlineStr">
        <is>
          <t>✅ 適用済み</t>
        </is>
      </c>
      <c r="F11" s="7" t="inlineStr">
        <is>
          <t>指揮者</t>
        </is>
      </c>
      <c r="G11" s="7" t="inlineStr">
        <is>
          <t>2026-09-19</t>
        </is>
      </c>
    </row>
    <row r="12" ht="46" customHeight="1">
      <c r="A12" s="9" t="inlineStr">
        <is>
          <t>P2</t>
        </is>
      </c>
      <c r="B12" s="19" t="inlineStr">
        <is>
          <t>retention_curve の取得漏れを解消する</t>
        </is>
      </c>
      <c r="C12" s="19" t="inlineStr">
        <is>
          <t>scp-lab / pokemon-lab / yokai-watch / 2ch-matome / company-facts</t>
        </is>
      </c>
      <c r="D12" s="19" t="inlineStr">
        <is>
          <t>retention_insights.json でこの5chが analyzed_videos=None。主力6chのうち5chで離脱点分析ができていない</t>
        </is>
      </c>
      <c r="E12" s="9" t="inlineStr">
        <is>
          <t>⛔ 未対応（要調査）</t>
        </is>
      </c>
      <c r="F12" s="9" t="inlineStr">
        <is>
          <t>指揮者/次回</t>
        </is>
      </c>
      <c r="G12" s="9" t="inlineStr">
        <is>
          <t>2026-09-13</t>
        </is>
      </c>
    </row>
    <row r="13" ht="46" customHeight="1">
      <c r="A13" s="9" t="inlineStr">
        <is>
          <t>P2</t>
        </is>
      </c>
      <c r="B13" s="19" t="inlineStr">
        <is>
          <t>daily-science のサムネ改善（CTRのみ最下位）</t>
        </is>
      </c>
      <c r="C13" s="19" t="inlineStr">
        <is>
          <t>daily-science</t>
        </is>
      </c>
      <c r="D13" s="19" t="inlineStr">
        <is>
          <t>高評価率は 0.574% で6ch1位なのに有効CTR 0.67% で最下位。中身は勝っておりサムネだけが足を引っ張っている</t>
        </is>
      </c>
      <c r="E13" s="9" t="inlineStr">
        <is>
          <t>⛔ 未対応</t>
        </is>
      </c>
      <c r="F13" s="9" t="inlineStr">
        <is>
          <t>指揮者/次回</t>
        </is>
      </c>
      <c r="G13" s="9" t="inlineStr">
        <is>
          <t>2026-09-19</t>
        </is>
      </c>
    </row>
    <row r="14" ht="46" customHeight="1">
      <c r="A14" s="9" t="inlineStr">
        <is>
          <t>P3</t>
        </is>
      </c>
      <c r="B14" s="19" t="inlineStr">
        <is>
          <t>clip-animal の素材調達経路を直す</t>
        </is>
      </c>
      <c r="C14" s="19" t="inlineStr">
        <is>
          <t>clip-animal</t>
        </is>
      </c>
      <c r="D14" s="19" t="inlineStr">
        <is>
          <t>Autopilot 失敗が連日継続。字幕取得が HTTP 429、許諾済み外部素材は max_duration_sec 3600秒超で5本除外</t>
        </is>
      </c>
      <c r="E14" s="9" t="inlineStr">
        <is>
          <t>⛔ 未対応</t>
        </is>
      </c>
      <c r="F14" s="9" t="inlineStr">
        <is>
          <t>ザキ</t>
        </is>
      </c>
      <c r="G14" s="9" t="inlineStr">
        <is>
          <t>随時</t>
        </is>
      </c>
    </row>
    <row r="15" ht="46" customHeight="1">
      <c r="A15" s="9" t="inlineStr">
        <is>
          <t>P3</t>
        </is>
      </c>
      <c r="B15" s="19" t="inlineStr">
        <is>
          <t>ANTHROPIC_API_KEY / OPENAI_API_KEY の設定</t>
        </is>
      </c>
      <c r="C15" s="19" t="inlineStr">
        <is>
          <t>clip-lab / clip-kaneko</t>
        </is>
      </c>
      <c r="D15" s="19" t="inlineStr">
        <is>
          <t>viral エンジンが「ANTHROPIC_API_KEY 未設定（3回試行）」、local エンジンがフック生成失敗で停止</t>
        </is>
      </c>
      <c r="E15" s="9" t="inlineStr">
        <is>
          <t>⛔ 未対応</t>
        </is>
      </c>
      <c r="F15" s="9" t="inlineStr">
        <is>
          <t>ザキ</t>
        </is>
      </c>
      <c r="G15" s="9" t="inlineStr">
        <is>
          <t>随時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0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トレンド</t>
        </is>
      </c>
    </row>
    <row r="3">
      <c r="A3" s="26" t="inlineStr">
        <is>
          <t>■ 日次推移（video_metrics スナップショット・チャンネル横断合計）</t>
        </is>
      </c>
    </row>
    <row r="4" ht="30" customHeight="1">
      <c r="A4" s="6" t="inlineStr">
        <is>
          <t>日付</t>
        </is>
      </c>
      <c r="B4" s="6" t="inlineStr">
        <is>
          <t>計測本数</t>
        </is>
      </c>
      <c r="C4" s="6" t="inlineStr">
        <is>
          <t>合計再生</t>
        </is>
      </c>
      <c r="D4" s="6" t="inlineStr">
        <is>
          <t>登録者</t>
        </is>
      </c>
      <c r="E4" s="6" t="inlineStr">
        <is>
          <t>高評価</t>
        </is>
      </c>
      <c r="F4" s="6" t="inlineStr">
        <is>
          <t>平均維持率%</t>
        </is>
      </c>
      <c r="G4" s="6" t="inlineStr">
        <is>
          <t>前日比 再生</t>
        </is>
      </c>
    </row>
    <row r="5">
      <c r="A5" s="9" t="inlineStr">
        <is>
          <t>2026-09-03</t>
        </is>
      </c>
      <c r="B5" s="9" t="n">
        <v>245</v>
      </c>
      <c r="C5" s="9" t="n">
        <v>218164</v>
      </c>
      <c r="D5" s="9" t="n">
        <v>101</v>
      </c>
      <c r="E5" s="9" t="n">
        <v>798</v>
      </c>
      <c r="F5" s="17" t="n">
        <v>49.4</v>
      </c>
      <c r="G5" s="27" t="inlineStr"/>
    </row>
    <row r="6">
      <c r="A6" s="9" t="inlineStr">
        <is>
          <t>2026-09-04</t>
        </is>
      </c>
      <c r="B6" s="9" t="n">
        <v>254</v>
      </c>
      <c r="C6" s="9" t="n">
        <v>207025</v>
      </c>
      <c r="D6" s="9" t="n">
        <v>92</v>
      </c>
      <c r="E6" s="9" t="n">
        <v>744</v>
      </c>
      <c r="F6" s="17" t="n">
        <v>46</v>
      </c>
      <c r="G6" s="27">
        <f>IF(C5=0,"",ROUND(C6/C5-1,3))</f>
        <v/>
      </c>
    </row>
    <row r="7">
      <c r="A7" s="9" t="inlineStr">
        <is>
          <t>2026-09-05</t>
        </is>
      </c>
      <c r="B7" s="9" t="n">
        <v>266</v>
      </c>
      <c r="C7" s="9" t="n">
        <v>198069</v>
      </c>
      <c r="D7" s="9" t="n">
        <v>89</v>
      </c>
      <c r="E7" s="9" t="n">
        <v>713</v>
      </c>
      <c r="F7" s="17" t="n">
        <v>43.3</v>
      </c>
      <c r="G7" s="27">
        <f>IF(C6=0,"",ROUND(C7/C6-1,3))</f>
        <v/>
      </c>
    </row>
    <row r="8">
      <c r="A8" s="9" t="inlineStr">
        <is>
          <t>2026-09-06</t>
        </is>
      </c>
      <c r="B8" s="9" t="n">
        <v>277</v>
      </c>
      <c r="C8" s="9" t="n">
        <v>200749</v>
      </c>
      <c r="D8" s="9" t="n">
        <v>96</v>
      </c>
      <c r="E8" s="9" t="n">
        <v>740</v>
      </c>
      <c r="F8" s="17" t="n">
        <v>42.6</v>
      </c>
      <c r="G8" s="27">
        <f>IF(C7=0,"",ROUND(C8/C7-1,3))</f>
        <v/>
      </c>
    </row>
    <row r="9">
      <c r="A9" s="9" t="inlineStr">
        <is>
          <t>2026-09-07</t>
        </is>
      </c>
      <c r="B9" s="9" t="n">
        <v>286</v>
      </c>
      <c r="C9" s="9" t="n">
        <v>213403</v>
      </c>
      <c r="D9" s="9" t="n">
        <v>101</v>
      </c>
      <c r="E9" s="9" t="n">
        <v>788</v>
      </c>
      <c r="F9" s="17" t="n">
        <v>42.7</v>
      </c>
      <c r="G9" s="27">
        <f>IF(C8=0,"",ROUND(C9/C8-1,3))</f>
        <v/>
      </c>
    </row>
    <row r="10">
      <c r="A10" s="9" t="inlineStr">
        <is>
          <t>2026-09-08</t>
        </is>
      </c>
      <c r="B10" s="9" t="n">
        <v>290</v>
      </c>
      <c r="C10" s="9" t="n">
        <v>215518</v>
      </c>
      <c r="D10" s="9" t="n">
        <v>105</v>
      </c>
      <c r="E10" s="9" t="n">
        <v>803</v>
      </c>
      <c r="F10" s="17" t="n">
        <v>39.4</v>
      </c>
      <c r="G10" s="27">
        <f>IF(C9=0,"",ROUND(C10/C9-1,3))</f>
        <v/>
      </c>
    </row>
    <row r="11" ht="46" customHeight="1">
      <c r="A11" s="28" t="inlineStr">
        <is>
          <t>★所見</t>
        </is>
      </c>
      <c r="B11" s="28" t="inlineStr"/>
      <c r="C11" s="28" t="inlineStr"/>
      <c r="D11" s="28" t="inlineStr"/>
      <c r="E11" s="28" t="inlineStr"/>
      <c r="F11" s="28" t="inlineStr"/>
      <c r="G11" s="29" t="inlineStr">
        <is>
          <t>合計再生はほぼ横ばい（09-03 218,164 → 09-08 215,518）だが、平均維持率が 49.4% → 39.4% と 10pt 低下している。維持率は再生数を r=0.73 で説明するため、このまま下げ続けると再生数に効いてくる。ただし登録には効かないため優先度は P2。</t>
        </is>
      </c>
    </row>
    <row r="14">
      <c r="A14" s="26" t="inlineStr">
        <is>
          <t>■ 意思決定指標の検証（コホート n=198・四分位）</t>
        </is>
      </c>
    </row>
    <row r="15" ht="30" customHeight="1">
      <c r="A15" s="6" t="inlineStr">
        <is>
          <t>指標</t>
        </is>
      </c>
      <c r="B15" s="6" t="inlineStr">
        <is>
          <t>Q1</t>
        </is>
      </c>
      <c r="C15" s="6" t="inlineStr">
        <is>
          <t>Q2</t>
        </is>
      </c>
      <c r="D15" s="6" t="inlineStr">
        <is>
          <t>Q3</t>
        </is>
      </c>
      <c r="E15" s="6" t="inlineStr">
        <is>
          <t>Q4</t>
        </is>
      </c>
      <c r="F15" s="6" t="inlineStr">
        <is>
          <t>Q4/Q1</t>
        </is>
      </c>
      <c r="G15" s="6" t="inlineStr">
        <is>
          <t>判定</t>
        </is>
      </c>
    </row>
    <row r="16" ht="30" customHeight="1">
      <c r="A16" s="7" t="inlineStr">
        <is>
          <t>高評価率 → 登録/千再生</t>
        </is>
      </c>
      <c r="B16" s="13" t="n">
        <v>0.248</v>
      </c>
      <c r="C16" s="13" t="n">
        <v>0.452</v>
      </c>
      <c r="D16" s="13" t="n">
        <v>0.312</v>
      </c>
      <c r="E16" s="13" t="n">
        <v>0.966</v>
      </c>
      <c r="F16" s="15">
        <f>IF(B16=0,"",ROUND(E16/B16,2))</f>
        <v/>
      </c>
      <c r="G16" s="12" t="inlineStr">
        <is>
          <t>★採用。単調かつ最大。09-08 と同値（3.90倍）で5回目の再現。意思決定指標はこれ一本</t>
        </is>
      </c>
    </row>
    <row r="17" ht="30" customHeight="1">
      <c r="A17" s="9" t="inlineStr">
        <is>
          <t>維持率 → 登録/千再生</t>
        </is>
      </c>
      <c r="B17" s="16" t="n">
        <v>0.356</v>
      </c>
      <c r="C17" s="16" t="n">
        <v>0.482</v>
      </c>
      <c r="D17" s="16" t="n">
        <v>0.708</v>
      </c>
      <c r="E17" s="16" t="n">
        <v>0.413</v>
      </c>
      <c r="F17" s="18">
        <f>IF(B17=0,"",ROUND(E17/B17,2))</f>
        <v/>
      </c>
      <c r="G17" s="19" t="inlineStr">
        <is>
          <t>不採用。非単調（Q3&gt;Q4）。ch内対照でも中央値1.12倍・6ch中2chで負</t>
        </is>
      </c>
    </row>
    <row r="18" ht="30" customHeight="1">
      <c r="A18" s="9" t="inlineStr">
        <is>
          <t>CTR → 登録/千再生</t>
        </is>
      </c>
      <c r="B18" s="16" t="n">
        <v>0.301</v>
      </c>
      <c r="C18" s="16" t="n">
        <v>0.5610000000000001</v>
      </c>
      <c r="D18" s="16" t="n">
        <v>0.442</v>
      </c>
      <c r="E18" s="16" t="n">
        <v>0.626</v>
      </c>
      <c r="F18" s="18">
        <f>IF(B18=0,"",ROUND(E18/B18,2))</f>
        <v/>
      </c>
      <c r="G18" s="19" t="inlineStr">
        <is>
          <t>保留。Q1 の CTR中央値が 0.0000 ＝計測欠損群であり、比が信用できない</t>
        </is>
      </c>
    </row>
    <row r="21">
      <c r="A21" s="26" t="inlineStr">
        <is>
          <t>■ タイトル要素 → 高評価率（チャンネル内対照・交絡回避）</t>
        </is>
      </c>
    </row>
    <row r="22" ht="30" customHeight="1">
      <c r="A22" s="6" t="inlineStr">
        <is>
          <t>要素</t>
        </is>
      </c>
      <c r="B22" s="6" t="inlineStr">
        <is>
          <t>対照可能ch数</t>
        </is>
      </c>
      <c r="C22" s="6" t="inlineStr">
        <is>
          <t>中央値</t>
        </is>
      </c>
      <c r="D22" s="6" t="inlineStr">
        <is>
          <t>一貫性</t>
        </is>
      </c>
      <c r="E22" s="6" t="inlineStr"/>
      <c r="F22" s="6" t="inlineStr"/>
      <c r="G22" s="6" t="inlineStr">
        <is>
          <t>解釈</t>
        </is>
      </c>
    </row>
    <row r="23" ht="30" customHeight="1">
      <c r="A23" s="7" t="inlineStr">
        <is>
          <t>答え提示語あり</t>
        </is>
      </c>
      <c r="B23" s="7" t="n">
        <v>5</v>
      </c>
      <c r="C23" s="15" t="n">
        <v>1.2</v>
      </c>
      <c r="D23" s="7" t="inlineStr">
        <is>
          <t>5/5ch でプラス</t>
        </is>
      </c>
      <c r="E23" s="7" t="inlineStr"/>
      <c r="F23" s="7" t="inlineStr"/>
      <c r="G23" s="12" t="inlineStr">
        <is>
          <t>★唯一 全対照chでプラス。本日の C2 と既存の require_any_of 機械ゲートを維持する</t>
        </is>
      </c>
    </row>
    <row r="24" ht="30" customHeight="1">
      <c r="A24" s="7" t="inlineStr">
        <is>
          <t>疑問符あり</t>
        </is>
      </c>
      <c r="B24" s="7" t="n">
        <v>5</v>
      </c>
      <c r="C24" s="15" t="n">
        <v>1.28</v>
      </c>
      <c r="D24" s="7" t="inlineStr">
        <is>
          <t>3/5ch でプラス</t>
        </is>
      </c>
      <c r="E24" s="7" t="inlineStr"/>
      <c r="F24" s="7" t="inlineStr"/>
      <c r="G24" s="12" t="inlineStr">
        <is>
          <t>★2ch 1.53倍 / pokemon 1.93倍 と高評価率ワースト2chで最大。C2 で両chに適用</t>
        </is>
      </c>
    </row>
    <row r="25" ht="30" customHeight="1">
      <c r="A25" s="9" t="inlineStr">
        <is>
          <t>維持率50%以上</t>
        </is>
      </c>
      <c r="B25" s="9" t="n">
        <v>6</v>
      </c>
      <c r="C25" s="18" t="n">
        <v>0.93</v>
      </c>
      <c r="D25" s="9" t="inlineStr">
        <is>
          <t>1/6ch でプラス</t>
        </is>
      </c>
      <c r="E25" s="9" t="inlineStr"/>
      <c r="F25" s="9" t="inlineStr"/>
      <c r="G25" s="19" t="inlineStr">
        <is>
          <t>効果なし〜微負。維持率を上げても高評価＝登録には繋がらない</t>
        </is>
      </c>
    </row>
    <row r="26" ht="30" customHeight="1">
      <c r="A26" s="9" t="inlineStr">
        <is>
          <t>数字あり</t>
        </is>
      </c>
      <c r="B26" s="9" t="n">
        <v>4</v>
      </c>
      <c r="C26" s="18" t="n">
        <v>0.92</v>
      </c>
      <c r="D26" s="9" t="inlineStr">
        <is>
          <t>2/4ch でプラス</t>
        </is>
      </c>
      <c r="E26" s="9" t="inlineStr"/>
      <c r="F26" s="9" t="inlineStr"/>
      <c r="G26" s="19" t="inlineStr">
        <is>
          <t>効果なし。09-07 の『数字は不利』も今回は再現せず、中立と見るのが妥当</t>
        </is>
      </c>
    </row>
    <row r="27" ht="30" customHeight="1">
      <c r="A27" s="9" t="inlineStr">
        <is>
          <t>二人称/一人称あり</t>
        </is>
      </c>
      <c r="B27" s="9" t="n">
        <v>3</v>
      </c>
      <c r="C27" s="18" t="n">
        <v>0.98</v>
      </c>
      <c r="D27" s="9" t="inlineStr">
        <is>
          <t>1/3ch でプラス</t>
        </is>
      </c>
      <c r="E27" s="9" t="inlineStr"/>
      <c r="F27" s="9" t="inlineStr"/>
      <c r="G27" s="19" t="inlineStr">
        <is>
          <t>効果なし。対照可能ch数も少なく判断材料に足りない</t>
        </is>
      </c>
    </row>
    <row r="30">
      <c r="A30" s="26" t="inlineStr">
        <is>
          <t>■ 離脱ポイント（retention_insights.json・バケット別平均離脱率）</t>
        </is>
      </c>
    </row>
    <row r="31" ht="30" customHeight="1">
      <c r="A31" s="6" t="inlineStr">
        <is>
          <t>チャンネル</t>
        </is>
      </c>
      <c r="B31" s="6" t="inlineStr">
        <is>
          <t>intro</t>
        </is>
      </c>
      <c r="C31" s="6" t="inlineStr">
        <is>
          <t>early</t>
        </is>
      </c>
      <c r="D31" s="6" t="inlineStr">
        <is>
          <t>middle</t>
        </is>
      </c>
      <c r="E31" s="6" t="inlineStr">
        <is>
          <t>late</t>
        </is>
      </c>
      <c r="F31" s="6" t="inlineStr">
        <is>
          <t>ending</t>
        </is>
      </c>
      <c r="G31" s="6" t="inlineStr">
        <is>
          <t>備考</t>
        </is>
      </c>
    </row>
    <row r="32">
      <c r="A32" s="9" t="inlineStr">
        <is>
          <t>daily-science</t>
        </is>
      </c>
      <c r="B32" s="30" t="n">
        <v>0.0101</v>
      </c>
      <c r="C32" s="30" t="n">
        <v>0.0235</v>
      </c>
      <c r="D32" s="30" t="n">
        <v>0.005</v>
      </c>
      <c r="E32" s="30" t="n">
        <v>0.0047</v>
      </c>
      <c r="F32" s="30" t="n">
        <v>0.0027</v>
      </c>
      <c r="G32" s="9" t="inlineStr">
        <is>
          <t>n=3。early が最大</t>
        </is>
      </c>
    </row>
    <row r="33">
      <c r="A33" s="8" t="inlineStr">
        <is>
          <t>scp-lab</t>
        </is>
      </c>
      <c r="B33" s="8" t="inlineStr">
        <is>
          <t>—</t>
        </is>
      </c>
      <c r="C33" s="8" t="inlineStr">
        <is>
          <t>—</t>
        </is>
      </c>
      <c r="D33" s="8" t="inlineStr">
        <is>
          <t>—</t>
        </is>
      </c>
      <c r="E33" s="8" t="inlineStr">
        <is>
          <t>—</t>
        </is>
      </c>
      <c r="F33" s="8" t="inlineStr">
        <is>
          <t>—</t>
        </is>
      </c>
      <c r="G33" s="8" t="inlineStr">
        <is>
          <t>⛔ retention_curve 未取得（分析不能）</t>
        </is>
      </c>
    </row>
    <row r="34">
      <c r="A34" s="8" t="inlineStr">
        <is>
          <t>pokemon-lab</t>
        </is>
      </c>
      <c r="B34" s="8" t="inlineStr">
        <is>
          <t>—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⛔ retention_curve 未取得（分析不能）</t>
        </is>
      </c>
    </row>
    <row r="35">
      <c r="A35" s="8" t="inlineStr">
        <is>
          <t>yokai-watch</t>
        </is>
      </c>
      <c r="B35" s="8" t="inlineStr">
        <is>
          <t>—</t>
        </is>
      </c>
      <c r="C35" s="8" t="inlineStr">
        <is>
          <t>—</t>
        </is>
      </c>
      <c r="D35" s="8" t="inlineStr">
        <is>
          <t>—</t>
        </is>
      </c>
      <c r="E35" s="8" t="inlineStr">
        <is>
          <t>—</t>
        </is>
      </c>
      <c r="F35" s="8" t="inlineStr">
        <is>
          <t>—</t>
        </is>
      </c>
      <c r="G35" s="8" t="inlineStr">
        <is>
          <t>⛔ retention_curve 未取得（分析不能）</t>
        </is>
      </c>
    </row>
    <row r="36">
      <c r="A36" s="8" t="inlineStr">
        <is>
          <t>2ch-matome</t>
        </is>
      </c>
      <c r="B36" s="8" t="inlineStr">
        <is>
          <t>—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⛔ retention_curve 未取得（分析不能）</t>
        </is>
      </c>
    </row>
    <row r="37">
      <c r="A37" s="9" t="inlineStr">
        <is>
          <t>fake-paper</t>
        </is>
      </c>
      <c r="B37" s="30" t="n">
        <v>0.0122</v>
      </c>
      <c r="C37" s="30" t="n">
        <v>0.0272</v>
      </c>
      <c r="D37" s="30" t="n">
        <v>0.0022</v>
      </c>
      <c r="E37" s="30" t="n">
        <v>0.0028</v>
      </c>
      <c r="F37" s="30" t="n">
        <v>0.0021</v>
      </c>
      <c r="G37" s="9" t="inlineStr">
        <is>
          <t>n=1。early が最大</t>
        </is>
      </c>
    </row>
    <row r="38">
      <c r="A38" s="9" t="inlineStr">
        <is>
          <t>akashic-librarian</t>
        </is>
      </c>
      <c r="B38" s="30" t="n">
        <v>0.0169</v>
      </c>
      <c r="C38" s="30" t="n">
        <v>0.0238</v>
      </c>
      <c r="D38" s="30" t="n">
        <v>0.0026</v>
      </c>
      <c r="E38" s="30" t="n">
        <v>0.0032</v>
      </c>
      <c r="F38" s="30" t="n">
        <v>0.0021</v>
      </c>
      <c r="G38" s="9" t="inlineStr">
        <is>
          <t>n=2。early が最大</t>
        </is>
      </c>
    </row>
    <row r="39">
      <c r="A39" s="8" t="inlineStr">
        <is>
          <t>clip-animal</t>
        </is>
      </c>
      <c r="B39" s="8" t="inlineStr">
        <is>
          <t>—</t>
        </is>
      </c>
      <c r="C39" s="8" t="inlineStr">
        <is>
          <t>—</t>
        </is>
      </c>
      <c r="D39" s="8" t="inlineStr">
        <is>
          <t>—</t>
        </is>
      </c>
      <c r="E39" s="8" t="inlineStr">
        <is>
          <t>—</t>
        </is>
      </c>
      <c r="F39" s="8" t="inlineStr">
        <is>
          <t>—</t>
        </is>
      </c>
      <c r="G39" s="8" t="inlineStr">
        <is>
          <t>⛔ retention_curve 未取得（分析不能）</t>
        </is>
      </c>
    </row>
    <row r="40">
      <c r="A40" s="9" t="inlineStr">
        <is>
          <t>clip-fukada</t>
        </is>
      </c>
      <c r="B40" s="30" t="n">
        <v>0.0155</v>
      </c>
      <c r="C40" s="30" t="n">
        <v>0.0203</v>
      </c>
      <c r="D40" s="30" t="n">
        <v>0.0056</v>
      </c>
      <c r="E40" s="30" t="n">
        <v>0.0042</v>
      </c>
      <c r="F40" s="30" t="n">
        <v>0.0023</v>
      </c>
      <c r="G40" s="9" t="inlineStr">
        <is>
          <t>n=4。early が最大</t>
        </is>
      </c>
    </row>
    <row r="41">
      <c r="A41" s="9" t="inlineStr">
        <is>
          <t>clip-kaneko</t>
        </is>
      </c>
      <c r="B41" s="30" t="n">
        <v>0.0047</v>
      </c>
      <c r="C41" s="30" t="n">
        <v>0.0295</v>
      </c>
      <c r="D41" s="30" t="n">
        <v>0.0054</v>
      </c>
      <c r="E41" s="30" t="n">
        <v>0.0015</v>
      </c>
      <c r="F41" s="30" t="n">
        <v>0.0004</v>
      </c>
      <c r="G41" s="9" t="inlineStr">
        <is>
          <t>n=2。early が最大</t>
        </is>
      </c>
    </row>
    <row r="42">
      <c r="A42" s="9" t="inlineStr">
        <is>
          <t>clip-lab</t>
        </is>
      </c>
      <c r="B42" s="30" t="n">
        <v>0.0168</v>
      </c>
      <c r="C42" s="30" t="n">
        <v>0.0216</v>
      </c>
      <c r="D42" s="30" t="n">
        <v>0.0048</v>
      </c>
      <c r="E42" s="30" t="n">
        <v>0.0029</v>
      </c>
      <c r="F42" s="30" t="n">
        <v>0.0018</v>
      </c>
      <c r="G42" s="9" t="inlineStr">
        <is>
          <t>n=4。early が最大</t>
        </is>
      </c>
    </row>
    <row r="43">
      <c r="A43" s="8" t="inlineStr">
        <is>
          <t>company-facts</t>
        </is>
      </c>
      <c r="B43" s="8" t="inlineStr">
        <is>
          <t>—</t>
        </is>
      </c>
      <c r="C43" s="8" t="inlineStr">
        <is>
          <t>—</t>
        </is>
      </c>
      <c r="D43" s="8" t="inlineStr">
        <is>
          <t>—</t>
        </is>
      </c>
      <c r="E43" s="8" t="inlineStr">
        <is>
          <t>—</t>
        </is>
      </c>
      <c r="F43" s="8" t="inlineStr">
        <is>
          <t>—</t>
        </is>
      </c>
      <c r="G43" s="8" t="inlineStr">
        <is>
          <t>⛔ retention_curve 未取得（分析不能）</t>
        </is>
      </c>
    </row>
    <row r="44" ht="46" customHeight="1">
      <c r="A44" s="28" t="inlineStr">
        <is>
          <t>★所見</t>
        </is>
      </c>
      <c r="B44" s="28" t="inlineStr"/>
      <c r="C44" s="28" t="inlineStr"/>
      <c r="D44" s="28" t="inlineStr"/>
      <c r="E44" s="28" t="inlineStr"/>
      <c r="F44" s="28" t="inlineStr"/>
      <c r="G44" s="29" t="inlineStr">
        <is>
          <t>データのある6ch全てで early（再生13〜25%地点）の離脱が middle/late の 2〜6倍。離脱行はいずれも専門用語＋メカニズム説明。ただし維持率は登録を説明しないため、この改善の優先度は P2 に落とす。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2026-09-12T01:15:52Z</dcterms:created>
  <dcterms:modified xmlns:dcterms="http://purl.org/dc/terms/" xmlns:xsi="http://www.w3.org/2001/XMLSchema-instance" xsi:type="dcterms:W3CDTF">2026-09-12T01:15:52Z</dcterms:modified>
</cp:coreProperties>
</file>