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動画別パフォーマンス!$A$4:$P$517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orchestrator</author>
  </authors>
  <commentList>
    <comment ref="B30" authorId="0">
      <text>
        <r>
          <rPr>
            <sz val="10"/>
            <rFont val="Noto Sans CJK SC"/>
            <family val="2"/>
          </rPr>
          <t xml:space="preserve">四分位の境界値は </t>
        </r>
        <r>
          <rPr>
            <sz val="10"/>
            <rFont val="Arial"/>
            <family val="2"/>
          </rPr>
          <t xml:space="preserve">Python </t>
        </r>
        <r>
          <rPr>
            <sz val="10"/>
            <rFont val="Noto Sans CJK SC"/>
            <family val="2"/>
          </rPr>
          <t xml:space="preserve">側で算出したハードコード。集計そのものは </t>
        </r>
        <r>
          <rPr>
            <sz val="10"/>
            <rFont val="Arial"/>
            <family val="2"/>
          </rPr>
          <t xml:space="preserve">COUNTIFS/SUMIFS</t>
        </r>
        <r>
          <rPr>
            <sz val="10"/>
            <rFont val="Noto Sans CJK SC"/>
            <family val="2"/>
          </rPr>
          <t xml:space="preserve">。</t>
        </r>
      </text>
    </comment>
    <comment ref="L11" authorId="0">
      <text>
        <r>
          <rPr>
            <sz val="10"/>
            <rFont val="Noto Sans CJK SC"/>
            <family val="2"/>
          </rPr>
          <t xml:space="preserve">直近</t>
        </r>
        <r>
          <rPr>
            <sz val="10"/>
            <rFont val="Arial"/>
            <family val="2"/>
          </rPr>
          <t xml:space="preserve">14</t>
        </r>
        <r>
          <rPr>
            <sz val="10"/>
            <rFont val="Noto Sans CJK SC"/>
            <family val="2"/>
          </rPr>
          <t xml:space="preserve">日の登録</t>
        </r>
        <r>
          <rPr>
            <sz val="10"/>
            <rFont val="Arial"/>
            <family val="2"/>
          </rPr>
          <t xml:space="preserve">/</t>
        </r>
        <r>
          <rPr>
            <sz val="10"/>
            <rFont val="Noto Sans CJK SC"/>
            <family val="2"/>
          </rPr>
          <t xml:space="preserve">千再生 </t>
        </r>
        <r>
          <rPr>
            <sz val="10"/>
            <rFont val="Arial"/>
            <family val="2"/>
          </rPr>
          <t xml:space="preserve">÷ </t>
        </r>
        <r>
          <rPr>
            <sz val="10"/>
            <rFont val="Noto Sans CJK SC"/>
            <family val="2"/>
          </rPr>
          <t xml:space="preserve">全期間の登録</t>
        </r>
        <r>
          <rPr>
            <sz val="10"/>
            <rFont val="Arial"/>
            <family val="2"/>
          </rPr>
          <t xml:space="preserve">/</t>
        </r>
        <r>
          <rPr>
            <sz val="10"/>
            <rFont val="Noto Sans CJK SC"/>
            <family val="2"/>
          </rPr>
          <t xml:space="preserve">千再生。</t>
        </r>
        <r>
          <rPr>
            <sz val="10"/>
            <rFont val="Arial"/>
            <family val="2"/>
          </rPr>
          <t xml:space="preserve">1.00 </t>
        </r>
        <r>
          <rPr>
            <sz val="10"/>
            <rFont val="Noto Sans CJK SC"/>
            <family val="2"/>
          </rPr>
          <t xml:space="preserve">より大きければ改善方向。</t>
        </r>
      </text>
    </comment>
  </commentList>
</comments>
</file>

<file path=xl/comments3.xml><?xml version="1.0" encoding="utf-8"?>
<comments xmlns="http://schemas.openxmlformats.org/spreadsheetml/2006/main" xmlns:xdr="http://schemas.openxmlformats.org/drawingml/2006/spreadsheetDrawing">
  <authors>
    <author>orchestrator</author>
  </authors>
  <commentList>
    <comment ref="P4" authorId="0">
      <text>
        <r>
          <rPr>
            <sz val="10"/>
            <rFont val="Arial"/>
            <family val="2"/>
          </rPr>
          <t xml:space="preserve">B</t>
        </r>
        <r>
          <rPr>
            <sz val="10"/>
            <rFont val="Noto Sans CJK SC"/>
            <family val="2"/>
          </rPr>
          <t xml:space="preserve">列（公開日）はテキストなので </t>
        </r>
        <r>
          <rPr>
            <sz val="10"/>
            <rFont val="Arial"/>
            <family val="2"/>
          </rPr>
          <t xml:space="preserve">SUMIFS/COUNTIFS </t>
        </r>
        <r>
          <rPr>
            <sz val="10"/>
            <rFont val="Noto Sans CJK SC"/>
            <family val="2"/>
          </rPr>
          <t xml:space="preserve">の日付条件が一致しない。</t>
        </r>
        <r>
          <rPr>
            <sz val="10"/>
            <rFont val="Arial"/>
            <family val="2"/>
          </rPr>
          <t xml:space="preserve">YYYYMMDD </t>
        </r>
        <r>
          <rPr>
            <sz val="10"/>
            <rFont val="Noto Sans CJK SC"/>
            <family val="2"/>
          </rPr>
          <t xml:space="preserve">の整数に直したこの列を他シートの集計条件に使う。</t>
        </r>
      </text>
    </comment>
  </commentList>
</comments>
</file>

<file path=xl/comments5.xml><?xml version="1.0" encoding="utf-8"?>
<comments xmlns="http://schemas.openxmlformats.org/spreadsheetml/2006/main" xmlns:xdr="http://schemas.openxmlformats.org/drawingml/2006/spreadsheetDrawing">
  <authors>
    <author>orchestrator</author>
  </authors>
  <commentList>
    <comment ref="B30" authorId="0">
      <text>
        <r>
          <rPr>
            <sz val="10"/>
            <rFont val="Noto Sans CJK SC"/>
            <family val="2"/>
          </rPr>
          <t xml:space="preserve">停止がなければ得られたはずの登録者数の粗い見積り。停止前ペースが続いた前提の外挿で、実測ではない。桁感をつかむための数字として扱うこと。</t>
        </r>
      </text>
    </comment>
  </commentList>
</comments>
</file>

<file path=xl/sharedStrings.xml><?xml version="1.0" encoding="utf-8"?>
<sst xmlns="http://schemas.openxmlformats.org/spreadsheetml/2006/main" count="2521" uniqueCount="1391">
  <si>
    <r>
      <rPr>
        <b val="true"/>
        <sz val="16"/>
        <color rgb="FF1F3864"/>
        <rFont val="Arial"/>
        <family val="0"/>
        <charset val="1"/>
      </rPr>
      <t xml:space="preserve">YouTube Factory </t>
    </r>
    <r>
      <rPr>
        <b val="true"/>
        <sz val="16"/>
        <color rgb="FF1F3864"/>
        <rFont val="Noto Sans CJK SC"/>
        <family val="2"/>
      </rPr>
      <t xml:space="preserve">指揮者レポート — </t>
    </r>
    <r>
      <rPr>
        <b val="true"/>
        <sz val="16"/>
        <color rgb="FF1F3864"/>
        <rFont val="Arial"/>
        <family val="0"/>
        <charset val="1"/>
      </rPr>
      <t xml:space="preserve">2026-09-16</t>
    </r>
  </si>
  <si>
    <r>
      <rPr>
        <i val="true"/>
        <sz val="9"/>
        <color rgb="FF595959"/>
        <rFont val="Arial"/>
        <family val="0"/>
        <charset val="1"/>
      </rPr>
      <t xml:space="preserve">analytics.db </t>
    </r>
    <r>
      <rPr>
        <i val="true"/>
        <sz val="9"/>
        <color rgb="FF595959"/>
        <rFont val="Noto Sans CJK SC"/>
        <family val="2"/>
      </rPr>
      <t xml:space="preserve">最終同期 </t>
    </r>
    <r>
      <rPr>
        <i val="true"/>
        <sz val="9"/>
        <color rgb="FF595959"/>
        <rFont val="Arial"/>
        <family val="0"/>
        <charset val="1"/>
      </rPr>
      <t xml:space="preserve">2026-09-15 22:41</t>
    </r>
    <r>
      <rPr>
        <i val="true"/>
        <sz val="9"/>
        <color rgb="FF595959"/>
        <rFont val="Noto Sans CJK SC"/>
        <family val="2"/>
      </rPr>
      <t xml:space="preserve">／集計対象は </t>
    </r>
    <r>
      <rPr>
        <i val="true"/>
        <sz val="9"/>
        <color rgb="FF595959"/>
        <rFont val="Arial"/>
        <family val="0"/>
        <charset val="1"/>
      </rPr>
      <t xml:space="preserve">moviepy 6ch </t>
    </r>
    <r>
      <rPr>
        <i val="true"/>
        <sz val="9"/>
        <color rgb="FF595959"/>
        <rFont val="Noto Sans CJK SC"/>
        <family val="2"/>
      </rPr>
      <t xml:space="preserve">の </t>
    </r>
    <r>
      <rPr>
        <i val="true"/>
        <sz val="9"/>
        <color rgb="FF595959"/>
        <rFont val="Arial"/>
        <family val="0"/>
        <charset val="1"/>
      </rPr>
      <t xml:space="preserve">views&gt;0 </t>
    </r>
    <r>
      <rPr>
        <i val="true"/>
        <sz val="9"/>
        <color rgb="FF595959"/>
        <rFont val="Noto Sans CJK SC"/>
        <family val="2"/>
      </rPr>
      <t xml:space="preserve">の動画。数値はすべて他シートを参照する数式で、ハードコードしていない。</t>
    </r>
  </si>
  <si>
    <t xml:space="preserve">本日の結論</t>
  </si>
  <si>
    <r>
      <rPr>
        <sz val="10"/>
        <rFont val="Arial"/>
        <family val="0"/>
        <charset val="1"/>
      </rPr>
      <t xml:space="preserve">1. 09-09</t>
    </r>
    <r>
      <rPr>
        <sz val="10"/>
        <rFont val="Noto Sans CJK SC"/>
        <family val="2"/>
      </rPr>
      <t xml:space="preserve">〜</t>
    </r>
    <r>
      <rPr>
        <sz val="10"/>
        <rFont val="Arial"/>
        <family val="0"/>
        <charset val="1"/>
      </rPr>
      <t xml:space="preserve">09-12 </t>
    </r>
    <r>
      <rPr>
        <sz val="10"/>
        <rFont val="Noto Sans CJK SC"/>
        <family val="2"/>
      </rPr>
      <t xml:space="preserve">の </t>
    </r>
    <r>
      <rPr>
        <sz val="10"/>
        <rFont val="Arial"/>
        <family val="0"/>
        <charset val="1"/>
      </rPr>
      <t xml:space="preserve">4 </t>
    </r>
    <r>
      <rPr>
        <sz val="10"/>
        <rFont val="Noto Sans CJK SC"/>
        <family val="2"/>
      </rPr>
      <t xml:space="preserve">日間、公開が </t>
    </r>
    <r>
      <rPr>
        <sz val="10"/>
        <rFont val="Arial"/>
        <family val="0"/>
        <charset val="1"/>
      </rPr>
      <t xml:space="preserve">33</t>
    </r>
    <r>
      <rPr>
        <sz val="10"/>
        <rFont val="Noto Sans CJK SC"/>
        <family val="2"/>
      </rPr>
      <t xml:space="preserve">本</t>
    </r>
    <r>
      <rPr>
        <sz val="10"/>
        <rFont val="Arial"/>
        <family val="0"/>
        <charset val="1"/>
      </rPr>
      <t xml:space="preserve">/</t>
    </r>
    <r>
      <rPr>
        <sz val="10"/>
        <rFont val="Noto Sans CJK SC"/>
        <family val="2"/>
      </rPr>
      <t xml:space="preserve">日 から </t>
    </r>
    <r>
      <rPr>
        <sz val="10"/>
        <rFont val="Arial"/>
        <family val="0"/>
        <charset val="1"/>
      </rPr>
      <t xml:space="preserve">0</t>
    </r>
    <r>
      <rPr>
        <sz val="10"/>
        <rFont val="Noto Sans CJK SC"/>
        <family val="2"/>
      </rPr>
      <t xml:space="preserve">〜</t>
    </r>
    <r>
      <rPr>
        <sz val="10"/>
        <rFont val="Arial"/>
        <family val="0"/>
        <charset val="1"/>
      </rPr>
      <t xml:space="preserve">2</t>
    </r>
    <r>
      <rPr>
        <sz val="10"/>
        <rFont val="Noto Sans CJK SC"/>
        <family val="2"/>
      </rPr>
      <t xml:space="preserve">本</t>
    </r>
    <r>
      <rPr>
        <sz val="10"/>
        <rFont val="Arial"/>
        <family val="0"/>
        <charset val="1"/>
      </rPr>
      <t xml:space="preserve">/</t>
    </r>
    <r>
      <rPr>
        <sz val="10"/>
        <rFont val="Noto Sans CJK SC"/>
        <family val="2"/>
      </rPr>
      <t xml:space="preserve">日 へ全停止していた。</t>
    </r>
    <r>
      <rPr>
        <sz val="10"/>
        <rFont val="Arial"/>
        <family val="0"/>
        <charset val="1"/>
      </rPr>
      <t xml:space="preserve">09-10</t>
    </r>
    <r>
      <rPr>
        <sz val="10"/>
        <rFont val="Noto Sans CJK SC"/>
        <family val="2"/>
      </rPr>
      <t xml:space="preserve">〜</t>
    </r>
    <r>
      <rPr>
        <sz val="10"/>
        <rFont val="Arial"/>
        <family val="0"/>
        <charset val="1"/>
      </rPr>
      <t xml:space="preserve">09-12 </t>
    </r>
    <r>
      <rPr>
        <sz val="10"/>
        <rFont val="Noto Sans CJK SC"/>
        <family val="2"/>
      </rPr>
      <t xml:space="preserve">は</t>
    </r>
    <r>
      <rPr>
        <sz val="10"/>
        <rFont val="Arial"/>
        <family val="0"/>
        <charset val="1"/>
      </rPr>
      <t xml:space="preserve">OAuth </t>
    </r>
    <r>
      <rPr>
        <sz val="10"/>
        <rFont val="Noto Sans CJK SC"/>
        <family val="2"/>
      </rPr>
      <t xml:space="preserve">リフレッシュトークンの一斉失効が原因（失効スキップ </t>
    </r>
    <r>
      <rPr>
        <sz val="10"/>
        <rFont val="Arial"/>
        <family val="0"/>
        <charset val="1"/>
      </rPr>
      <t xml:space="preserve">39/24/21 </t>
    </r>
    <r>
      <rPr>
        <sz val="10"/>
        <rFont val="Noto Sans CJK SC"/>
        <family val="2"/>
      </rPr>
      <t xml:space="preserve">件）。この </t>
    </r>
    <r>
      <rPr>
        <sz val="10"/>
        <rFont val="Arial"/>
        <family val="0"/>
        <charset val="1"/>
      </rPr>
      <t xml:space="preserve">3 </t>
    </r>
    <r>
      <rPr>
        <sz val="10"/>
        <rFont val="Noto Sans CJK SC"/>
        <family val="2"/>
      </rPr>
      <t xml:space="preserve">日間も</t>
    </r>
    <r>
      <rPr>
        <sz val="10"/>
        <rFont val="Arial"/>
        <family val="0"/>
        <charset val="1"/>
      </rPr>
      <t xml:space="preserve">autopilot </t>
    </r>
    <r>
      <rPr>
        <sz val="10"/>
        <rFont val="Noto Sans CJK SC"/>
        <family val="2"/>
      </rPr>
      <t xml:space="preserve">は </t>
    </r>
    <r>
      <rPr>
        <sz val="10"/>
        <rFont val="Arial"/>
        <family val="0"/>
        <charset val="1"/>
      </rPr>
      <t xml:space="preserve">31/31/28 </t>
    </r>
    <r>
      <rPr>
        <sz val="10"/>
        <rFont val="Noto Sans CJK SC"/>
        <family val="2"/>
      </rPr>
      <t xml:space="preserve">回発火しており、生成した約 </t>
    </r>
    <r>
      <rPr>
        <sz val="10"/>
        <rFont val="Arial"/>
        <family val="0"/>
        <charset val="1"/>
      </rPr>
      <t xml:space="preserve">90 </t>
    </r>
    <r>
      <rPr>
        <sz val="10"/>
        <rFont val="Noto Sans CJK SC"/>
        <family val="2"/>
      </rPr>
      <t xml:space="preserve">本が公開されずに捨てられている。</t>
    </r>
  </si>
  <si>
    <r>
      <rPr>
        <sz val="10"/>
        <rFont val="Arial"/>
        <family val="0"/>
        <charset val="1"/>
      </rPr>
      <t xml:space="preserve">2. 13ch </t>
    </r>
    <r>
      <rPr>
        <sz val="10"/>
        <rFont val="Noto Sans CJK SC"/>
        <family val="2"/>
      </rPr>
      <t xml:space="preserve">中 </t>
    </r>
    <r>
      <rPr>
        <sz val="10"/>
        <rFont val="Arial"/>
        <family val="0"/>
        <charset val="1"/>
      </rPr>
      <t xml:space="preserve">7ch </t>
    </r>
    <r>
      <rPr>
        <sz val="10"/>
        <rFont val="Noto Sans CJK SC"/>
        <family val="2"/>
      </rPr>
      <t xml:space="preserve">がいまも停止中。トークンが生きているのに </t>
    </r>
    <r>
      <rPr>
        <sz val="10"/>
        <rFont val="Arial"/>
        <family val="0"/>
        <charset val="1"/>
      </rPr>
      <t xml:space="preserve">autopilot=false </t>
    </r>
    <r>
      <rPr>
        <sz val="10"/>
        <rFont val="Noto Sans CJK SC"/>
        <family val="2"/>
      </rPr>
      <t xml:space="preserve">だったのは </t>
    </r>
    <r>
      <rPr>
        <sz val="10"/>
        <rFont val="Arial"/>
        <family val="0"/>
        <charset val="1"/>
      </rPr>
      <t xml:space="preserve">2ch-matome </t>
    </r>
    <r>
      <rPr>
        <sz val="10"/>
        <rFont val="Noto Sans CJK SC"/>
        <family val="2"/>
      </rPr>
      <t xml:space="preserve">だけだったので、本日 </t>
    </r>
    <r>
      <rPr>
        <sz val="10"/>
        <rFont val="Arial"/>
        <family val="0"/>
        <charset val="1"/>
      </rPr>
      <t xml:space="preserve">autopilot </t>
    </r>
    <r>
      <rPr>
        <sz val="10"/>
        <rFont val="Noto Sans CJK SC"/>
        <family val="2"/>
      </rPr>
      <t xml:space="preserve">を戻した（要バックエンド再起動）。</t>
    </r>
  </si>
  <si>
    <r>
      <rPr>
        <sz val="10"/>
        <rFont val="Arial"/>
        <family val="0"/>
        <charset val="1"/>
      </rPr>
      <t xml:space="preserve">3. </t>
    </r>
    <r>
      <rPr>
        <sz val="10"/>
        <rFont val="Noto Sans CJK SC"/>
        <family val="2"/>
      </rPr>
      <t xml:space="preserve">同意画面が「テスト」のままならトークン寿命は </t>
    </r>
    <r>
      <rPr>
        <sz val="10"/>
        <rFont val="Arial"/>
        <family val="0"/>
        <charset val="1"/>
      </rPr>
      <t xml:space="preserve">7 </t>
    </r>
    <r>
      <rPr>
        <sz val="10"/>
        <rFont val="Noto Sans CJK SC"/>
        <family val="2"/>
      </rPr>
      <t xml:space="preserve">日。</t>
    </r>
    <r>
      <rPr>
        <sz val="10"/>
        <rFont val="Arial"/>
        <family val="0"/>
        <charset val="1"/>
      </rPr>
      <t xml:space="preserve">09-13 </t>
    </r>
    <r>
      <rPr>
        <sz val="10"/>
        <rFont val="Noto Sans CJK SC"/>
        <family val="2"/>
      </rPr>
      <t xml:space="preserve">再認可組は </t>
    </r>
    <r>
      <rPr>
        <sz val="10"/>
        <rFont val="Arial"/>
        <family val="0"/>
        <charset val="1"/>
      </rPr>
      <t xml:space="preserve">09-20 </t>
    </r>
    <r>
      <rPr>
        <sz val="10"/>
        <rFont val="Noto Sans CJK SC"/>
        <family val="2"/>
      </rPr>
      <t xml:space="preserve">前後にまた全部止まる。本番公開への切り替えが今日いちばん効く一手で、これは人手でしかできない。</t>
    </r>
  </si>
  <si>
    <r>
      <rPr>
        <sz val="10"/>
        <rFont val="Arial"/>
        <family val="0"/>
        <charset val="1"/>
      </rPr>
      <t xml:space="preserve">4. analytics </t>
    </r>
    <r>
      <rPr>
        <sz val="10"/>
        <rFont val="Noto Sans CJK SC"/>
        <family val="2"/>
      </rPr>
      <t xml:space="preserve">は </t>
    </r>
    <r>
      <rPr>
        <sz val="10"/>
        <rFont val="Arial"/>
        <family val="0"/>
        <charset val="1"/>
      </rPr>
      <t xml:space="preserve">09-13 </t>
    </r>
    <r>
      <rPr>
        <sz val="10"/>
        <rFont val="Noto Sans CJK SC"/>
        <family val="2"/>
      </rPr>
      <t xml:space="preserve">に再開したが </t>
    </r>
    <r>
      <rPr>
        <sz val="10"/>
        <rFont val="Arial"/>
        <family val="0"/>
        <charset val="1"/>
      </rPr>
      <t xml:space="preserve">09-09</t>
    </r>
    <r>
      <rPr>
        <sz val="10"/>
        <rFont val="Noto Sans CJK SC"/>
        <family val="2"/>
      </rPr>
      <t xml:space="preserve">〜</t>
    </r>
    <r>
      <rPr>
        <sz val="10"/>
        <rFont val="Arial"/>
        <family val="0"/>
        <charset val="1"/>
      </rPr>
      <t xml:space="preserve">09-12 </t>
    </r>
    <r>
      <rPr>
        <sz val="10"/>
        <rFont val="Noto Sans CJK SC"/>
        <family val="2"/>
      </rPr>
      <t xml:space="preserve">が欠測、加えて </t>
    </r>
    <r>
      <rPr>
        <sz val="10"/>
        <rFont val="Arial"/>
        <family val="0"/>
        <charset val="1"/>
      </rPr>
      <t xml:space="preserve">views </t>
    </r>
    <r>
      <rPr>
        <sz val="10"/>
        <rFont val="Noto Sans CJK SC"/>
        <family val="2"/>
      </rPr>
      <t xml:space="preserve">は公開から約 </t>
    </r>
    <r>
      <rPr>
        <sz val="10"/>
        <rFont val="Arial"/>
        <family val="0"/>
        <charset val="1"/>
      </rPr>
      <t xml:space="preserve">2 </t>
    </r>
    <r>
      <rPr>
        <sz val="10"/>
        <rFont val="Noto Sans CJK SC"/>
        <family val="2"/>
      </rPr>
      <t xml:space="preserve">日遅れて入る。</t>
    </r>
    <r>
      <rPr>
        <sz val="10"/>
        <rFont val="Arial"/>
        <family val="0"/>
        <charset val="1"/>
      </rPr>
      <t xml:space="preserve">09-17 </t>
    </r>
    <r>
      <rPr>
        <sz val="10"/>
        <rFont val="Noto Sans CJK SC"/>
        <family val="2"/>
      </rPr>
      <t xml:space="preserve">に予定していた型ルール・投稿枠の評価は </t>
    </r>
    <r>
      <rPr>
        <sz val="10"/>
        <rFont val="Arial"/>
        <family val="0"/>
        <charset val="1"/>
      </rPr>
      <t xml:space="preserve">n </t>
    </r>
    <r>
      <rPr>
        <sz val="10"/>
        <rFont val="Noto Sans CJK SC"/>
        <family val="2"/>
      </rPr>
      <t xml:space="preserve">が足りず実行不能なので </t>
    </r>
    <r>
      <rPr>
        <sz val="10"/>
        <rFont val="Arial"/>
        <family val="0"/>
        <charset val="1"/>
      </rPr>
      <t xml:space="preserve">09-23 </t>
    </r>
    <r>
      <rPr>
        <sz val="10"/>
        <rFont val="Noto Sans CJK SC"/>
        <family val="2"/>
      </rPr>
      <t xml:space="preserve">へ延期した。</t>
    </r>
  </si>
  <si>
    <r>
      <rPr>
        <sz val="10"/>
        <rFont val="Arial"/>
        <family val="0"/>
        <charset val="1"/>
      </rPr>
      <t xml:space="preserve">5. 09-15 </t>
    </r>
    <r>
      <rPr>
        <sz val="10"/>
        <rFont val="Noto Sans CJK SC"/>
        <family val="2"/>
      </rPr>
      <t xml:space="preserve">の「維持率 </t>
    </r>
    <r>
      <rPr>
        <sz val="10"/>
        <rFont val="Arial"/>
        <family val="0"/>
        <charset val="1"/>
      </rPr>
      <t xml:space="preserve">70%</t>
    </r>
    <r>
      <rPr>
        <sz val="10"/>
        <rFont val="Noto Sans CJK SC"/>
        <family val="2"/>
      </rPr>
      <t xml:space="preserve">以上は登録効率が最下位」は再現しなかった（</t>
    </r>
    <r>
      <rPr>
        <sz val="10"/>
        <rFont val="Arial"/>
        <family val="0"/>
        <charset val="1"/>
      </rPr>
      <t xml:space="preserve">0.294 → 0.471</t>
    </r>
    <r>
      <rPr>
        <sz val="10"/>
        <rFont val="Noto Sans CJK SC"/>
        <family val="2"/>
      </rPr>
      <t xml:space="preserve">）。頂点が </t>
    </r>
    <r>
      <rPr>
        <sz val="10"/>
        <rFont val="Arial"/>
        <family val="0"/>
        <charset val="1"/>
      </rPr>
      <t xml:space="preserve">40-50% </t>
    </r>
    <r>
      <rPr>
        <sz val="10"/>
        <rFont val="Noto Sans CJK SC"/>
        <family val="2"/>
      </rPr>
      <t xml:space="preserve">帯であることだけが再現。単調な主張は取り下げた。</t>
    </r>
  </si>
  <si>
    <r>
      <rPr>
        <sz val="10"/>
        <rFont val="Arial"/>
        <family val="0"/>
        <charset val="1"/>
      </rPr>
      <t xml:space="preserve">6. </t>
    </r>
    <r>
      <rPr>
        <sz val="10"/>
        <rFont val="Noto Sans CJK SC"/>
        <family val="2"/>
      </rPr>
      <t xml:space="preserve">最も頑健なのは依然として高評価率。四分位で登録</t>
    </r>
    <r>
      <rPr>
        <sz val="10"/>
        <rFont val="Arial"/>
        <family val="0"/>
        <charset val="1"/>
      </rPr>
      <t xml:space="preserve">/</t>
    </r>
    <r>
      <rPr>
        <sz val="10"/>
        <rFont val="Noto Sans CJK SC"/>
        <family val="2"/>
      </rPr>
      <t xml:space="preserve">千再生が単調に増える（</t>
    </r>
    <r>
      <rPr>
        <sz val="10"/>
        <rFont val="Arial"/>
        <family val="0"/>
        <charset val="1"/>
      </rPr>
      <t xml:space="preserve">Q4/Q1 3.46</t>
    </r>
    <r>
      <rPr>
        <sz val="10"/>
        <rFont val="Noto Sans CJK SC"/>
        <family val="2"/>
      </rPr>
      <t xml:space="preserve">倍・</t>
    </r>
    <r>
      <rPr>
        <sz val="10"/>
        <rFont val="Arial"/>
        <family val="0"/>
        <charset val="1"/>
      </rPr>
      <t xml:space="preserve">6</t>
    </r>
    <r>
      <rPr>
        <sz val="10"/>
        <rFont val="Noto Sans CJK SC"/>
        <family val="2"/>
      </rPr>
      <t xml:space="preserve">回目の再現）。</t>
    </r>
  </si>
  <si>
    <t xml:space="preserve">主要指標</t>
  </si>
  <si>
    <t xml:space="preserve">指標</t>
  </si>
  <si>
    <t xml:space="preserve">値</t>
  </si>
  <si>
    <t xml:space="preserve">参照元</t>
  </si>
  <si>
    <t xml:space="preserve">読み方</t>
  </si>
  <si>
    <r>
      <rPr>
        <sz val="10"/>
        <rFont val="Noto Sans CJK SC"/>
        <family val="2"/>
      </rPr>
      <t xml:space="preserve">計測済み動画（</t>
    </r>
    <r>
      <rPr>
        <sz val="10"/>
        <rFont val="Arial"/>
        <family val="0"/>
        <charset val="1"/>
      </rPr>
      <t xml:space="preserve">6ch</t>
    </r>
    <r>
      <rPr>
        <sz val="10"/>
        <rFont val="Noto Sans CJK SC"/>
        <family val="2"/>
      </rPr>
      <t xml:space="preserve">・全期間）</t>
    </r>
  </si>
  <si>
    <t xml:space="preserve">チャンネル別詳細 合計行</t>
  </si>
  <si>
    <t xml:space="preserve">再生数合計</t>
  </si>
  <si>
    <t xml:space="preserve">同上</t>
  </si>
  <si>
    <t xml:space="preserve">登録者合計</t>
  </si>
  <si>
    <r>
      <rPr>
        <sz val="10"/>
        <rFont val="Noto Sans CJK SC"/>
        <family val="2"/>
      </rPr>
      <t xml:space="preserve">登録</t>
    </r>
    <r>
      <rPr>
        <sz val="10"/>
        <rFont val="Arial"/>
        <family val="0"/>
        <charset val="1"/>
      </rPr>
      <t xml:space="preserve">/</t>
    </r>
    <r>
      <rPr>
        <sz val="10"/>
        <rFont val="Noto Sans CJK SC"/>
        <family val="2"/>
      </rPr>
      <t xml:space="preserve">千再生（全期間）</t>
    </r>
  </si>
  <si>
    <t xml:space="preserve">至上目標の効率指標</t>
  </si>
  <si>
    <r>
      <rPr>
        <sz val="10"/>
        <rFont val="Noto Sans CJK SC"/>
        <family val="2"/>
      </rPr>
      <t xml:space="preserve">登録</t>
    </r>
    <r>
      <rPr>
        <sz val="10"/>
        <rFont val="Arial"/>
        <family val="0"/>
        <charset val="1"/>
      </rPr>
      <t xml:space="preserve">/</t>
    </r>
    <r>
      <rPr>
        <sz val="10"/>
        <rFont val="Noto Sans CJK SC"/>
        <family val="2"/>
      </rPr>
      <t xml:space="preserve">千再生（直近</t>
    </r>
    <r>
      <rPr>
        <sz val="10"/>
        <rFont val="Arial"/>
        <family val="0"/>
        <charset val="1"/>
      </rPr>
      <t xml:space="preserve">14</t>
    </r>
    <r>
      <rPr>
        <sz val="10"/>
        <rFont val="Noto Sans CJK SC"/>
        <family val="2"/>
      </rPr>
      <t xml:space="preserve">日）</t>
    </r>
  </si>
  <si>
    <t xml:space="preserve">全期間より高ければ改善方向</t>
  </si>
  <si>
    <r>
      <rPr>
        <sz val="10"/>
        <rFont val="Noto Sans CJK SC"/>
        <family val="2"/>
      </rPr>
      <t xml:space="preserve">直近</t>
    </r>
    <r>
      <rPr>
        <sz val="10"/>
        <rFont val="Arial"/>
        <family val="0"/>
        <charset val="1"/>
      </rPr>
      <t xml:space="preserve">14</t>
    </r>
    <r>
      <rPr>
        <sz val="10"/>
        <rFont val="Noto Sans CJK SC"/>
        <family val="2"/>
      </rPr>
      <t xml:space="preserve">日 </t>
    </r>
    <r>
      <rPr>
        <sz val="10"/>
        <rFont val="Arial"/>
        <family val="0"/>
        <charset val="1"/>
      </rPr>
      <t xml:space="preserve">/ </t>
    </r>
    <r>
      <rPr>
        <sz val="10"/>
        <rFont val="Noto Sans CJK SC"/>
        <family val="2"/>
      </rPr>
      <t xml:space="preserve">全期間</t>
    </r>
  </si>
  <si>
    <r>
      <rPr>
        <sz val="9"/>
        <color rgb="FF595959"/>
        <rFont val="Arial"/>
        <family val="0"/>
        <charset val="1"/>
      </rPr>
      <t xml:space="preserve">1.00 </t>
    </r>
    <r>
      <rPr>
        <sz val="9"/>
        <color rgb="FF595959"/>
        <rFont val="Noto Sans CJK SC"/>
        <family val="2"/>
      </rPr>
      <t xml:space="preserve">超で改善</t>
    </r>
  </si>
  <si>
    <t xml:space="preserve">高評価率（全期間）</t>
  </si>
  <si>
    <t xml:space="preserve">登録の主説明変数</t>
  </si>
  <si>
    <r>
      <rPr>
        <sz val="10"/>
        <rFont val="Noto Sans CJK SC"/>
        <family val="2"/>
      </rPr>
      <t xml:space="preserve">最良チャンネル（登録</t>
    </r>
    <r>
      <rPr>
        <sz val="10"/>
        <rFont val="Arial"/>
        <family val="0"/>
        <charset val="1"/>
      </rPr>
      <t xml:space="preserve">/</t>
    </r>
    <r>
      <rPr>
        <sz val="10"/>
        <rFont val="Noto Sans CJK SC"/>
        <family val="2"/>
      </rPr>
      <t xml:space="preserve">千・全期間）</t>
    </r>
  </si>
  <si>
    <t xml:space="preserve">チャンネル別詳細</t>
  </si>
  <si>
    <r>
      <rPr>
        <sz val="10"/>
        <rFont val="Noto Sans CJK SC"/>
        <family val="2"/>
      </rPr>
      <t xml:space="preserve">最弱チャンネル（登録</t>
    </r>
    <r>
      <rPr>
        <sz val="10"/>
        <rFont val="Arial"/>
        <family val="0"/>
        <charset val="1"/>
      </rPr>
      <t xml:space="preserve">/</t>
    </r>
    <r>
      <rPr>
        <sz val="10"/>
        <rFont val="Noto Sans CJK SC"/>
        <family val="2"/>
      </rPr>
      <t xml:space="preserve">千・全期間）</t>
    </r>
  </si>
  <si>
    <r>
      <rPr>
        <sz val="10"/>
        <rFont val="Arial"/>
        <family val="0"/>
        <charset val="1"/>
      </rPr>
      <t xml:space="preserve">09-13 </t>
    </r>
    <r>
      <rPr>
        <sz val="10"/>
        <rFont val="Noto Sans CJK SC"/>
        <family val="2"/>
      </rPr>
      <t xml:space="preserve">以降公開で未計測の動画</t>
    </r>
  </si>
  <si>
    <t xml:space="preserve">動画別パフォーマンス 下段</t>
  </si>
  <si>
    <t xml:space="preserve">計測待ち。評価に使えない</t>
  </si>
  <si>
    <r>
      <rPr>
        <sz val="10"/>
        <rFont val="Arial"/>
        <family val="0"/>
        <charset val="1"/>
      </rPr>
      <t xml:space="preserve">OAuth </t>
    </r>
    <r>
      <rPr>
        <sz val="10"/>
        <rFont val="Noto Sans CJK SC"/>
        <family val="2"/>
      </rPr>
      <t xml:space="preserve">失効中の </t>
    </r>
    <r>
      <rPr>
        <sz val="10"/>
        <rFont val="Arial"/>
        <family val="0"/>
        <charset val="1"/>
      </rPr>
      <t xml:space="preserve">ch </t>
    </r>
    <r>
      <rPr>
        <sz val="10"/>
        <rFont val="Noto Sans CJK SC"/>
        <family val="2"/>
      </rPr>
      <t xml:space="preserve">数</t>
    </r>
  </si>
  <si>
    <t xml:space="preserve">トレンド</t>
  </si>
  <si>
    <t xml:space="preserve">公開に到達できない</t>
  </si>
  <si>
    <t xml:space="preserve">本日の未完了アクション数</t>
  </si>
  <si>
    <t xml:space="preserve">改善アクション</t>
  </si>
  <si>
    <t xml:space="preserve">すべて人手でしか動かせない</t>
  </si>
  <si>
    <t xml:space="preserve">本日のコンフィグ変更（適用済）</t>
  </si>
  <si>
    <t xml:space="preserve">チャンネル</t>
  </si>
  <si>
    <t xml:space="preserve">変更内容</t>
  </si>
  <si>
    <t xml:space="preserve">2ch-matome</t>
  </si>
  <si>
    <r>
      <rPr>
        <sz val="10"/>
        <rFont val="Arial"/>
        <family val="0"/>
        <charset val="1"/>
      </rPr>
      <t xml:space="preserve">autopilot.enabled false → true</t>
    </r>
    <r>
      <rPr>
        <sz val="10"/>
        <rFont val="Noto Sans CJK SC"/>
        <family val="2"/>
      </rPr>
      <t xml:space="preserve">（トークン生存を確認・</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枠）／評価期日 </t>
    </r>
    <r>
      <rPr>
        <sz val="10"/>
        <rFont val="Arial"/>
        <family val="0"/>
        <charset val="1"/>
      </rPr>
      <t xml:space="preserve">09-17 → 09-23</t>
    </r>
    <r>
      <rPr>
        <sz val="10"/>
        <rFont val="Noto Sans CJK SC"/>
        <family val="2"/>
      </rPr>
      <t xml:space="preserve">／維持率メモ更新</t>
    </r>
  </si>
  <si>
    <t xml:space="preserve">daily-science</t>
  </si>
  <si>
    <r>
      <rPr>
        <sz val="10"/>
        <rFont val="Noto Sans CJK SC"/>
        <family val="2"/>
      </rPr>
      <t xml:space="preserve">評価期日 </t>
    </r>
    <r>
      <rPr>
        <sz val="10"/>
        <rFont val="Arial"/>
        <family val="0"/>
        <charset val="1"/>
      </rPr>
      <t xml:space="preserve">09-17 → 09-23</t>
    </r>
    <r>
      <rPr>
        <sz val="10"/>
        <rFont val="Noto Sans CJK SC"/>
        <family val="2"/>
      </rPr>
      <t xml:space="preserve">／維持率メモ更新</t>
    </r>
  </si>
  <si>
    <t xml:space="preserve">scp-lab</t>
  </si>
  <si>
    <t xml:space="preserve">pokemon-lab</t>
  </si>
  <si>
    <r>
      <rPr>
        <sz val="10"/>
        <rFont val="Noto Sans CJK SC"/>
        <family val="2"/>
      </rPr>
      <t xml:space="preserve">評価期日 </t>
    </r>
    <r>
      <rPr>
        <sz val="10"/>
        <rFont val="Arial"/>
        <family val="0"/>
        <charset val="1"/>
      </rPr>
      <t xml:space="preserve">09-17 → 09-23</t>
    </r>
    <r>
      <rPr>
        <sz val="10"/>
        <rFont val="Noto Sans CJK SC"/>
        <family val="2"/>
      </rPr>
      <t xml:space="preserve">／維持率メモ更新（</t>
    </r>
    <r>
      <rPr>
        <sz val="10"/>
        <rFont val="Arial"/>
        <family val="0"/>
        <charset val="1"/>
      </rPr>
      <t xml:space="preserve">autopilot </t>
    </r>
    <r>
      <rPr>
        <sz val="10"/>
        <rFont val="Noto Sans CJK SC"/>
        <family val="2"/>
      </rPr>
      <t xml:space="preserve">は </t>
    </r>
    <r>
      <rPr>
        <sz val="10"/>
        <rFont val="Arial"/>
        <family val="0"/>
        <charset val="1"/>
      </rPr>
      <t xml:space="preserve">OAuth </t>
    </r>
    <r>
      <rPr>
        <sz val="10"/>
        <rFont val="Noto Sans CJK SC"/>
        <family val="2"/>
      </rPr>
      <t xml:space="preserve">失効中のため </t>
    </r>
    <r>
      <rPr>
        <sz val="10"/>
        <rFont val="Arial"/>
        <family val="0"/>
        <charset val="1"/>
      </rPr>
      <t xml:space="preserve">false </t>
    </r>
    <r>
      <rPr>
        <sz val="10"/>
        <rFont val="Noto Sans CJK SC"/>
        <family val="2"/>
      </rPr>
      <t xml:space="preserve">のまま）</t>
    </r>
  </si>
  <si>
    <t xml:space="preserve">company-facts</t>
  </si>
  <si>
    <t xml:space="preserve">yokai-watch</t>
  </si>
  <si>
    <r>
      <rPr>
        <sz val="10"/>
        <rFont val="Noto Sans CJK SC"/>
        <family val="2"/>
      </rPr>
      <t xml:space="preserve">維持率メモ更新（</t>
    </r>
    <r>
      <rPr>
        <sz val="10"/>
        <rFont val="Arial"/>
        <family val="0"/>
        <charset val="1"/>
      </rPr>
      <t xml:space="preserve">09-17 </t>
    </r>
    <r>
      <rPr>
        <sz val="10"/>
        <rFont val="Noto Sans CJK SC"/>
        <family val="2"/>
      </rPr>
      <t xml:space="preserve">の記載は元から無し）</t>
    </r>
  </si>
  <si>
    <t xml:space="preserve">（変更なし）</t>
  </si>
  <si>
    <r>
      <rPr>
        <sz val="10"/>
        <rFont val="Noto Sans CJK SC"/>
        <family val="2"/>
      </rPr>
      <t xml:space="preserve">投稿枠 </t>
    </r>
    <r>
      <rPr>
        <sz val="10"/>
        <rFont val="Arial"/>
        <family val="0"/>
        <charset val="1"/>
      </rPr>
      <t xml:space="preserve">/ </t>
    </r>
    <r>
      <rPr>
        <sz val="10"/>
        <rFont val="Noto Sans CJK SC"/>
        <family val="2"/>
      </rPr>
      <t xml:space="preserve">タイトル型ルール </t>
    </r>
    <r>
      <rPr>
        <sz val="10"/>
        <rFont val="Arial"/>
        <family val="0"/>
        <charset val="1"/>
      </rPr>
      <t xml:space="preserve">/ voice_style / </t>
    </r>
    <r>
      <rPr>
        <sz val="10"/>
        <rFont val="Noto Sans CJK SC"/>
        <family val="2"/>
      </rPr>
      <t xml:space="preserve">テーマキュー補充 — 理由は改善アクション </t>
    </r>
    <r>
      <rPr>
        <sz val="10"/>
        <rFont val="Arial"/>
        <family val="0"/>
        <charset val="1"/>
      </rPr>
      <t xml:space="preserve">#8</t>
    </r>
    <r>
      <rPr>
        <sz val="10"/>
        <rFont val="Noto Sans CJK SC"/>
        <family val="2"/>
      </rPr>
      <t xml:space="preserve">・</t>
    </r>
    <r>
      <rPr>
        <sz val="10"/>
        <rFont val="Arial"/>
        <family val="0"/>
        <charset val="1"/>
      </rPr>
      <t xml:space="preserve">#9 </t>
    </r>
    <r>
      <rPr>
        <sz val="10"/>
        <rFont val="Noto Sans CJK SC"/>
        <family val="2"/>
      </rPr>
      <t xml:space="preserve">と、キュー在庫が </t>
    </r>
    <r>
      <rPr>
        <sz val="10"/>
        <rFont val="Arial"/>
        <family val="0"/>
        <charset val="1"/>
      </rPr>
      <t xml:space="preserve">28</t>
    </r>
    <r>
      <rPr>
        <sz val="10"/>
        <rFont val="Noto Sans CJK SC"/>
        <family val="2"/>
      </rPr>
      <t xml:space="preserve">〜</t>
    </r>
    <r>
      <rPr>
        <sz val="10"/>
        <rFont val="Arial"/>
        <family val="0"/>
        <charset val="1"/>
      </rPr>
      <t xml:space="preserve">34 </t>
    </r>
    <r>
      <rPr>
        <sz val="10"/>
        <rFont val="Noto Sans CJK SC"/>
        <family val="2"/>
      </rPr>
      <t xml:space="preserve">件（</t>
    </r>
    <r>
      <rPr>
        <sz val="10"/>
        <rFont val="Arial"/>
        <family val="0"/>
        <charset val="1"/>
      </rPr>
      <t xml:space="preserve">9</t>
    </r>
    <r>
      <rPr>
        <sz val="10"/>
        <rFont val="Noto Sans CJK SC"/>
        <family val="2"/>
      </rPr>
      <t xml:space="preserve">〜</t>
    </r>
    <r>
      <rPr>
        <sz val="10"/>
        <rFont val="Arial"/>
        <family val="0"/>
        <charset val="1"/>
      </rPr>
      <t xml:space="preserve">11 </t>
    </r>
    <r>
      <rPr>
        <sz val="10"/>
        <rFont val="Noto Sans CJK SC"/>
        <family val="2"/>
      </rPr>
      <t xml:space="preserve">日分）あること</t>
    </r>
  </si>
  <si>
    <r>
      <rPr>
        <b val="true"/>
        <sz val="14"/>
        <color rgb="FF1F3864"/>
        <rFont val="Noto Sans CJK SC"/>
        <family val="2"/>
      </rPr>
      <t xml:space="preserve">チャンネル別詳細（全期間 </t>
    </r>
    <r>
      <rPr>
        <b val="true"/>
        <sz val="14"/>
        <color rgb="FF1F3864"/>
        <rFont val="Arial"/>
        <family val="0"/>
        <charset val="1"/>
      </rPr>
      <t xml:space="preserve">/ </t>
    </r>
    <r>
      <rPr>
        <b val="true"/>
        <sz val="14"/>
        <color rgb="FF1F3864"/>
        <rFont val="Noto Sans CJK SC"/>
        <family val="2"/>
      </rPr>
      <t xml:space="preserve">直近</t>
    </r>
    <r>
      <rPr>
        <b val="true"/>
        <sz val="14"/>
        <color rgb="FF1F3864"/>
        <rFont val="Arial"/>
        <family val="0"/>
        <charset val="1"/>
      </rPr>
      <t xml:space="preserve">14</t>
    </r>
    <r>
      <rPr>
        <b val="true"/>
        <sz val="14"/>
        <color rgb="FF1F3864"/>
        <rFont val="Noto Sans CJK SC"/>
        <family val="2"/>
      </rPr>
      <t xml:space="preserve">日）</t>
    </r>
  </si>
  <si>
    <r>
      <rPr>
        <i val="true"/>
        <sz val="9"/>
        <color rgb="FF595959"/>
        <rFont val="Noto Sans CJK SC"/>
        <family val="2"/>
      </rPr>
      <t xml:space="preserve">すべて「動画別パフォーマンス」シートを </t>
    </r>
    <r>
      <rPr>
        <i val="true"/>
        <sz val="9"/>
        <color rgb="FF595959"/>
        <rFont val="Arial"/>
        <family val="0"/>
        <charset val="1"/>
      </rPr>
      <t xml:space="preserve">SUMIFS </t>
    </r>
    <r>
      <rPr>
        <i val="true"/>
        <sz val="9"/>
        <color rgb="FF595959"/>
        <rFont val="Noto Sans CJK SC"/>
        <family val="2"/>
      </rPr>
      <t xml:space="preserve">で集計した数式。登録</t>
    </r>
    <r>
      <rPr>
        <i val="true"/>
        <sz val="9"/>
        <color rgb="FF595959"/>
        <rFont val="Arial"/>
        <family val="0"/>
        <charset val="1"/>
      </rPr>
      <t xml:space="preserve">/</t>
    </r>
    <r>
      <rPr>
        <i val="true"/>
        <sz val="9"/>
        <color rgb="FF595959"/>
        <rFont val="Noto Sans CJK SC"/>
        <family val="2"/>
      </rPr>
      <t xml:space="preserve">千再生 </t>
    </r>
    <r>
      <rPr>
        <i val="true"/>
        <sz val="9"/>
        <color rgb="FF595959"/>
        <rFont val="Arial"/>
        <family val="0"/>
        <charset val="1"/>
      </rPr>
      <t xml:space="preserve">= </t>
    </r>
    <r>
      <rPr>
        <i val="true"/>
        <sz val="9"/>
        <color rgb="FF595959"/>
        <rFont val="Noto Sans CJK SC"/>
        <family val="2"/>
      </rPr>
      <t xml:space="preserve">登録者合計 </t>
    </r>
    <r>
      <rPr>
        <i val="true"/>
        <sz val="9"/>
        <color rgb="FF595959"/>
        <rFont val="Arial"/>
        <family val="0"/>
        <charset val="1"/>
      </rPr>
      <t xml:space="preserve">÷ </t>
    </r>
    <r>
      <rPr>
        <i val="true"/>
        <sz val="9"/>
        <color rgb="FF595959"/>
        <rFont val="Noto Sans CJK SC"/>
        <family val="2"/>
      </rPr>
      <t xml:space="preserve">再生数合計 </t>
    </r>
    <r>
      <rPr>
        <i val="true"/>
        <sz val="9"/>
        <color rgb="FF595959"/>
        <rFont val="Arial"/>
        <family val="0"/>
        <charset val="1"/>
      </rPr>
      <t xml:space="preserve">× 1000</t>
    </r>
    <r>
      <rPr>
        <i val="true"/>
        <sz val="9"/>
        <color rgb="FF595959"/>
        <rFont val="Noto Sans CJK SC"/>
        <family val="2"/>
      </rPr>
      <t xml:space="preserve">（動画ごとの比の平均ではない）。至上目標は登録者数なので、この列で順位を付けている。</t>
    </r>
  </si>
  <si>
    <t xml:space="preserve">本数</t>
  </si>
  <si>
    <t xml:space="preserve">平均再生</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</si>
  <si>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</si>
  <si>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r>
      <rPr>
        <b val="true"/>
        <sz val="10"/>
        <color rgb="FFFFFFFF"/>
        <rFont val="Noto Sans CJK SC"/>
        <family val="2"/>
      </rPr>
      <t xml:space="preserve">高評価率</t>
    </r>
    <r>
      <rPr>
        <b val="true"/>
        <sz val="10"/>
        <color rgb="FFFFFFFF"/>
        <rFont val="Arial"/>
        <family val="0"/>
        <charset val="1"/>
      </rPr>
      <t xml:space="preserve">(%)</t>
    </r>
  </si>
  <si>
    <r>
      <rPr>
        <b val="true"/>
        <sz val="10"/>
        <color rgb="FFFFFFFF"/>
        <rFont val="Noto Sans CJK SC"/>
        <family val="2"/>
      </rPr>
      <t xml:space="preserve">平均維持率</t>
    </r>
    <r>
      <rPr>
        <b val="true"/>
        <sz val="10"/>
        <color rgb="FFFFFFFF"/>
        <rFont val="Arial"/>
        <family val="0"/>
        <charset val="1"/>
      </rPr>
      <t xml:space="preserve">(%)</t>
    </r>
  </si>
  <si>
    <r>
      <rPr>
        <b val="true"/>
        <sz val="10"/>
        <color rgb="FFFFFFFF"/>
        <rFont val="Noto Sans CJK SC"/>
        <family val="2"/>
      </rPr>
      <t xml:space="preserve">直近</t>
    </r>
    <r>
      <rPr>
        <b val="true"/>
        <sz val="10"/>
        <color rgb="FFFFFFFF"/>
        <rFont val="Arial"/>
        <family val="0"/>
        <charset val="1"/>
      </rPr>
      <t xml:space="preserve">14</t>
    </r>
    <r>
      <rPr>
        <b val="true"/>
        <sz val="10"/>
        <color rgb="FFFFFFFF"/>
        <rFont val="Noto Sans CJK SC"/>
        <family val="2"/>
      </rPr>
      <t xml:space="preserve">日 本数</t>
    </r>
  </si>
  <si>
    <r>
      <rPr>
        <b val="true"/>
        <sz val="10"/>
        <color rgb="FFFFFFFF"/>
        <rFont val="Noto Sans CJK SC"/>
        <family val="2"/>
      </rPr>
      <t xml:space="preserve">直近</t>
    </r>
    <r>
      <rPr>
        <b val="true"/>
        <sz val="10"/>
        <color rgb="FFFFFFFF"/>
        <rFont val="Arial"/>
        <family val="0"/>
        <charset val="1"/>
      </rPr>
      <t xml:space="preserve">14</t>
    </r>
    <r>
      <rPr>
        <b val="true"/>
        <sz val="10"/>
        <color rgb="FFFFFFFF"/>
        <rFont val="Noto Sans CJK SC"/>
        <family val="2"/>
      </rPr>
      <t xml:space="preserve">日 登録</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</si>
  <si>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Noto Sans CJK SC"/>
        <family val="2"/>
      </rPr>
      <t xml:space="preserve">直近</t>
    </r>
    <r>
      <rPr>
        <b val="true"/>
        <sz val="10"/>
        <color rgb="FFFFFFFF"/>
        <rFont val="Arial"/>
        <family val="0"/>
        <charset val="1"/>
      </rPr>
      <t xml:space="preserve">14</t>
    </r>
    <r>
      <rPr>
        <b val="true"/>
        <sz val="10"/>
        <color rgb="FFFFFFFF"/>
        <rFont val="Noto Sans CJK SC"/>
        <family val="2"/>
      </rPr>
      <t xml:space="preserve">日 高評価率</t>
    </r>
    <r>
      <rPr>
        <b val="true"/>
        <sz val="10"/>
        <color rgb="FFFFFFFF"/>
        <rFont val="Arial"/>
        <family val="0"/>
        <charset val="1"/>
      </rPr>
      <t xml:space="preserve">(%)</t>
    </r>
  </si>
  <si>
    <t xml:space="preserve">全期間比</t>
  </si>
  <si>
    <t xml:space="preserve">合計</t>
  </si>
  <si>
    <r>
      <rPr>
        <b val="true"/>
        <sz val="11"/>
        <color rgb="FF1F3864"/>
        <rFont val="Noto Sans CJK SC"/>
        <family val="2"/>
      </rPr>
      <t xml:space="preserve">維持率バンド別 登録効率（公開 </t>
    </r>
    <r>
      <rPr>
        <b val="true"/>
        <sz val="11"/>
        <color rgb="FF1F3864"/>
        <rFont val="Arial"/>
        <family val="0"/>
        <charset val="1"/>
      </rPr>
      <t xml:space="preserve">2026-08-01 </t>
    </r>
    <r>
      <rPr>
        <b val="true"/>
        <sz val="11"/>
        <color rgb="FF1F3864"/>
        <rFont val="Noto Sans CJK SC"/>
        <family val="2"/>
      </rPr>
      <t xml:space="preserve">以降・</t>
    </r>
    <r>
      <rPr>
        <b val="true"/>
        <sz val="11"/>
        <color rgb="FF1F3864"/>
        <rFont val="Arial"/>
        <family val="0"/>
        <charset val="1"/>
      </rPr>
      <t xml:space="preserve">200</t>
    </r>
    <r>
      <rPr>
        <b val="true"/>
        <sz val="11"/>
        <color rgb="FF1F3864"/>
        <rFont val="Noto Sans CJK SC"/>
        <family val="2"/>
      </rPr>
      <t xml:space="preserve">再生以上）</t>
    </r>
  </si>
  <si>
    <r>
      <rPr>
        <i val="true"/>
        <sz val="9"/>
        <color rgb="FFC00000"/>
        <rFont val="Arial"/>
        <family val="0"/>
        <charset val="1"/>
      </rPr>
      <t xml:space="preserve">09-15 </t>
    </r>
    <r>
      <rPr>
        <i val="true"/>
        <sz val="9"/>
        <color rgb="FFC00000"/>
        <rFont val="Noto Sans CJK SC"/>
        <family val="2"/>
      </rPr>
      <t xml:space="preserve">に記録した「</t>
    </r>
    <r>
      <rPr>
        <i val="true"/>
        <sz val="9"/>
        <color rgb="FFC00000"/>
        <rFont val="Arial"/>
        <family val="0"/>
        <charset val="1"/>
      </rPr>
      <t xml:space="preserve">70%</t>
    </r>
    <r>
      <rPr>
        <i val="true"/>
        <sz val="9"/>
        <color rgb="FFC00000"/>
        <rFont val="Noto Sans CJK SC"/>
        <family val="2"/>
      </rPr>
      <t xml:space="preserve">以上が最下位（</t>
    </r>
    <r>
      <rPr>
        <i val="true"/>
        <sz val="9"/>
        <color rgb="FFC00000"/>
        <rFont val="Arial"/>
        <family val="0"/>
        <charset val="1"/>
      </rPr>
      <t xml:space="preserve">0.294</t>
    </r>
    <r>
      <rPr>
        <i val="true"/>
        <sz val="9"/>
        <color rgb="FFC00000"/>
        <rFont val="Noto Sans CJK SC"/>
        <family val="2"/>
      </rPr>
      <t xml:space="preserve">）」は本日の再集計で </t>
    </r>
    <r>
      <rPr>
        <i val="true"/>
        <sz val="9"/>
        <color rgb="FFC00000"/>
        <rFont val="Arial"/>
        <family val="0"/>
        <charset val="1"/>
      </rPr>
      <t xml:space="preserve">0.471 </t>
    </r>
    <r>
      <rPr>
        <i val="true"/>
        <sz val="9"/>
        <color rgb="FFC00000"/>
        <rFont val="Noto Sans CJK SC"/>
        <family val="2"/>
      </rPr>
      <t xml:space="preserve">となり再現しなかった。頂点が </t>
    </r>
    <r>
      <rPr>
        <i val="true"/>
        <sz val="9"/>
        <color rgb="FFC00000"/>
        <rFont val="Arial"/>
        <family val="0"/>
        <charset val="1"/>
      </rPr>
      <t xml:space="preserve">40-50% </t>
    </r>
    <r>
      <rPr>
        <i val="true"/>
        <sz val="9"/>
        <color rgb="FFC00000"/>
        <rFont val="Noto Sans CJK SC"/>
        <family val="2"/>
      </rPr>
      <t xml:space="preserve">帯であることだけが再現している。</t>
    </r>
  </si>
  <si>
    <t xml:space="preserve">維持率バンド</t>
  </si>
  <si>
    <t xml:space="preserve">再生数</t>
  </si>
  <si>
    <t xml:space="preserve">登録者</t>
  </si>
  <si>
    <t xml:space="preserve">00-30</t>
  </si>
  <si>
    <t xml:space="preserve">30-40</t>
  </si>
  <si>
    <t xml:space="preserve">40-50</t>
  </si>
  <si>
    <t xml:space="preserve">50-60</t>
  </si>
  <si>
    <t xml:space="preserve">60-70</t>
  </si>
  <si>
    <t xml:space="preserve">70+</t>
  </si>
  <si>
    <r>
      <rPr>
        <b val="true"/>
        <sz val="11"/>
        <color rgb="FF1F3864"/>
        <rFont val="Noto Sans CJK SC"/>
        <family val="2"/>
      </rPr>
      <t xml:space="preserve">高評価率と登録効率の関係（最も頑健な所見・</t>
    </r>
    <r>
      <rPr>
        <b val="true"/>
        <sz val="11"/>
        <color rgb="FF1F3864"/>
        <rFont val="Arial"/>
        <family val="0"/>
        <charset val="1"/>
      </rPr>
      <t xml:space="preserve">6</t>
    </r>
    <r>
      <rPr>
        <b val="true"/>
        <sz val="11"/>
        <color rgb="FF1F3864"/>
        <rFont val="Noto Sans CJK SC"/>
        <family val="2"/>
      </rPr>
      <t xml:space="preserve">回目の再現）</t>
    </r>
  </si>
  <si>
    <r>
      <rPr>
        <i val="true"/>
        <sz val="9"/>
        <color rgb="FF595959"/>
        <rFont val="Arial"/>
        <family val="0"/>
        <charset val="1"/>
      </rPr>
      <t xml:space="preserve">200</t>
    </r>
    <r>
      <rPr>
        <i val="true"/>
        <sz val="9"/>
        <color rgb="FF595959"/>
        <rFont val="Noto Sans CJK SC"/>
        <family val="2"/>
      </rPr>
      <t xml:space="preserve">再生以上 </t>
    </r>
    <r>
      <rPr>
        <i val="true"/>
        <sz val="9"/>
        <color rgb="FF595959"/>
        <rFont val="Arial"/>
        <family val="0"/>
        <charset val="1"/>
      </rPr>
      <t xml:space="preserve">n=474 </t>
    </r>
    <r>
      <rPr>
        <i val="true"/>
        <sz val="9"/>
        <color rgb="FF595959"/>
        <rFont val="Noto Sans CJK SC"/>
        <family val="2"/>
      </rPr>
      <t xml:space="preserve">を高評価率で四分位に分けると、登録</t>
    </r>
    <r>
      <rPr>
        <i val="true"/>
        <sz val="9"/>
        <color rgb="FF595959"/>
        <rFont val="Arial"/>
        <family val="0"/>
        <charset val="1"/>
      </rPr>
      <t xml:space="preserve">/</t>
    </r>
    <r>
      <rPr>
        <i val="true"/>
        <sz val="9"/>
        <color rgb="FF595959"/>
        <rFont val="Noto Sans CJK SC"/>
        <family val="2"/>
      </rPr>
      <t xml:space="preserve">千再生が単調に増える。維持率・再生数にはこの単調性が無い。改善の主レバーは高評価率である。</t>
    </r>
  </si>
  <si>
    <t xml:space="preserve">高評価率 四分位</t>
  </si>
  <si>
    <r>
      <rPr>
        <b val="true"/>
        <sz val="10"/>
        <color rgb="FFFFFFFF"/>
        <rFont val="Noto Sans CJK SC"/>
        <family val="2"/>
      </rPr>
      <t xml:space="preserve">境界</t>
    </r>
    <r>
      <rPr>
        <b val="true"/>
        <sz val="10"/>
        <color rgb="FFFFFFFF"/>
        <rFont val="Arial"/>
        <family val="0"/>
        <charset val="1"/>
      </rPr>
      <t xml:space="preserve">(%)</t>
    </r>
  </si>
  <si>
    <r>
      <rPr>
        <sz val="10"/>
        <rFont val="Arial"/>
        <family val="0"/>
        <charset val="1"/>
      </rPr>
      <t xml:space="preserve">Q1(</t>
    </r>
    <r>
      <rPr>
        <sz val="10"/>
        <rFont val="Noto Sans CJK SC"/>
        <family val="2"/>
      </rPr>
      <t xml:space="preserve">低</t>
    </r>
    <r>
      <rPr>
        <sz val="10"/>
        <rFont val="Arial"/>
        <family val="0"/>
        <charset val="1"/>
      </rPr>
      <t xml:space="preserve">)</t>
    </r>
  </si>
  <si>
    <r>
      <rPr>
        <sz val="10"/>
        <rFont val="Arial"/>
        <family val="0"/>
        <charset val="1"/>
      </rPr>
      <t xml:space="preserve">0.000 </t>
    </r>
    <r>
      <rPr>
        <sz val="10"/>
        <rFont val="Noto Sans CJK SC"/>
        <family val="2"/>
      </rPr>
      <t xml:space="preserve">〜 </t>
    </r>
    <r>
      <rPr>
        <sz val="10"/>
        <rFont val="Arial"/>
        <family val="0"/>
        <charset val="1"/>
      </rPr>
      <t xml:space="preserve">0.209</t>
    </r>
  </si>
  <si>
    <t xml:space="preserve">Q2</t>
  </si>
  <si>
    <r>
      <rPr>
        <sz val="10"/>
        <rFont val="Arial"/>
        <family val="0"/>
        <charset val="1"/>
      </rPr>
      <t xml:space="preserve">0.209 </t>
    </r>
    <r>
      <rPr>
        <sz val="10"/>
        <rFont val="Noto Sans CJK SC"/>
        <family val="2"/>
      </rPr>
      <t xml:space="preserve">〜 </t>
    </r>
    <r>
      <rPr>
        <sz val="10"/>
        <rFont val="Arial"/>
        <family val="0"/>
        <charset val="1"/>
      </rPr>
      <t xml:space="preserve">0.366</t>
    </r>
  </si>
  <si>
    <t xml:space="preserve">Q3</t>
  </si>
  <si>
    <r>
      <rPr>
        <sz val="10"/>
        <rFont val="Arial"/>
        <family val="0"/>
        <charset val="1"/>
      </rPr>
      <t xml:space="preserve">0.366 </t>
    </r>
    <r>
      <rPr>
        <sz val="10"/>
        <rFont val="Noto Sans CJK SC"/>
        <family val="2"/>
      </rPr>
      <t xml:space="preserve">〜 </t>
    </r>
    <r>
      <rPr>
        <sz val="10"/>
        <rFont val="Arial"/>
        <family val="0"/>
        <charset val="1"/>
      </rPr>
      <t xml:space="preserve">0.572</t>
    </r>
  </si>
  <si>
    <r>
      <rPr>
        <sz val="10"/>
        <rFont val="Arial"/>
        <family val="0"/>
        <charset val="1"/>
      </rPr>
      <t xml:space="preserve">Q4(</t>
    </r>
    <r>
      <rPr>
        <sz val="10"/>
        <rFont val="Noto Sans CJK SC"/>
        <family val="2"/>
      </rPr>
      <t xml:space="preserve">高</t>
    </r>
    <r>
      <rPr>
        <sz val="10"/>
        <rFont val="Arial"/>
        <family val="0"/>
        <charset val="1"/>
      </rPr>
      <t xml:space="preserve">)</t>
    </r>
  </si>
  <si>
    <r>
      <rPr>
        <sz val="10"/>
        <rFont val="Arial"/>
        <family val="0"/>
        <charset val="1"/>
      </rPr>
      <t xml:space="preserve">0.572 </t>
    </r>
    <r>
      <rPr>
        <sz val="10"/>
        <rFont val="Noto Sans CJK SC"/>
        <family val="2"/>
      </rPr>
      <t xml:space="preserve">〜 </t>
    </r>
    <r>
      <rPr>
        <sz val="10"/>
        <rFont val="Arial"/>
        <family val="0"/>
        <charset val="1"/>
      </rPr>
      <t xml:space="preserve">100.000</t>
    </r>
  </si>
  <si>
    <r>
      <rPr>
        <b val="true"/>
        <sz val="14"/>
        <color rgb="FF1F3864"/>
        <rFont val="Noto Sans CJK SC"/>
        <family val="2"/>
      </rPr>
      <t xml:space="preserve">動画別パフォーマンス（</t>
    </r>
    <r>
      <rPr>
        <b val="true"/>
        <sz val="14"/>
        <color rgb="FF1F3864"/>
        <rFont val="Arial"/>
        <family val="0"/>
        <charset val="1"/>
      </rPr>
      <t xml:space="preserve">moviepy 6ch</t>
    </r>
    <r>
      <rPr>
        <b val="true"/>
        <sz val="14"/>
        <color rgb="FF1F3864"/>
        <rFont val="Noto Sans CJK SC"/>
        <family val="2"/>
      </rPr>
      <t xml:space="preserve">・</t>
    </r>
    <r>
      <rPr>
        <b val="true"/>
        <sz val="14"/>
        <color rgb="FF1F3864"/>
        <rFont val="Arial"/>
        <family val="0"/>
        <charset val="1"/>
      </rPr>
      <t xml:space="preserve">views&gt;0 </t>
    </r>
    <r>
      <rPr>
        <b val="true"/>
        <sz val="14"/>
        <color rgb="FF1F3864"/>
        <rFont val="Noto Sans CJK SC"/>
        <family val="2"/>
      </rPr>
      <t xml:space="preserve">のみ・</t>
    </r>
    <r>
      <rPr>
        <b val="true"/>
        <sz val="14"/>
        <color rgb="FF1F3864"/>
        <rFont val="Arial"/>
        <family val="0"/>
        <charset val="1"/>
      </rPr>
      <t xml:space="preserve">video_id </t>
    </r>
    <r>
      <rPr>
        <b val="true"/>
        <sz val="14"/>
        <color rgb="FF1F3864"/>
        <rFont val="Noto Sans CJK SC"/>
        <family val="2"/>
      </rPr>
      <t xml:space="preserve">で畳んだ最大値）</t>
    </r>
  </si>
  <si>
    <r>
      <rPr>
        <i val="true"/>
        <sz val="9"/>
        <color rgb="FF595959"/>
        <rFont val="Noto Sans CJK SC"/>
        <family val="2"/>
      </rPr>
      <t xml:space="preserve">出典</t>
    </r>
    <r>
      <rPr>
        <i val="true"/>
        <sz val="9"/>
        <color rgb="FF595959"/>
        <rFont val="Arial"/>
        <family val="0"/>
        <charset val="1"/>
      </rPr>
      <t xml:space="preserve">: data/analytics/analytics.db</t>
    </r>
    <r>
      <rPr>
        <i val="true"/>
        <sz val="9"/>
        <color rgb="FF595959"/>
        <rFont val="Noto Sans CJK SC"/>
        <family val="2"/>
      </rPr>
      <t xml:space="preserve">（最終同期 </t>
    </r>
    <r>
      <rPr>
        <i val="true"/>
        <sz val="9"/>
        <color rgb="FF595959"/>
        <rFont val="Arial"/>
        <family val="0"/>
        <charset val="1"/>
      </rPr>
      <t xml:space="preserve">2026-09-15 22:41</t>
    </r>
    <r>
      <rPr>
        <i val="true"/>
        <sz val="9"/>
        <color rgb="FF595959"/>
        <rFont val="Noto Sans CJK SC"/>
        <family val="2"/>
      </rPr>
      <t xml:space="preserve">）。</t>
    </r>
    <r>
      <rPr>
        <i val="true"/>
        <sz val="9"/>
        <color rgb="FF595959"/>
        <rFont val="Arial"/>
        <family val="0"/>
        <charset val="1"/>
      </rPr>
      <t xml:space="preserve">1</t>
    </r>
    <r>
      <rPr>
        <i val="true"/>
        <sz val="9"/>
        <color rgb="FF595959"/>
        <rFont val="Noto Sans CJK SC"/>
        <family val="2"/>
      </rPr>
      <t xml:space="preserve">動画につき複数日のスナップショットがあるため </t>
    </r>
    <r>
      <rPr>
        <i val="true"/>
        <sz val="9"/>
        <color rgb="FF595959"/>
        <rFont val="Arial"/>
        <family val="0"/>
        <charset val="1"/>
      </rPr>
      <t xml:space="preserve">video_id </t>
    </r>
    <r>
      <rPr>
        <i val="true"/>
        <sz val="9"/>
        <color rgb="FF595959"/>
        <rFont val="Noto Sans CJK SC"/>
        <family val="2"/>
      </rPr>
      <t xml:space="preserve">ごとに最大値を採用。</t>
    </r>
    <r>
      <rPr>
        <i val="true"/>
        <sz val="9"/>
        <color rgb="FF595959"/>
        <rFont val="Arial"/>
        <family val="0"/>
        <charset val="1"/>
      </rPr>
      <t xml:space="preserve">E</t>
    </r>
    <r>
      <rPr>
        <i val="true"/>
        <sz val="9"/>
        <color rgb="FF595959"/>
        <rFont val="Noto Sans CJK SC"/>
        <family val="2"/>
      </rPr>
      <t xml:space="preserve">〜</t>
    </r>
    <r>
      <rPr>
        <i val="true"/>
        <sz val="9"/>
        <color rgb="FF595959"/>
        <rFont val="Arial"/>
        <family val="0"/>
        <charset val="1"/>
      </rPr>
      <t xml:space="preserve">L </t>
    </r>
    <r>
      <rPr>
        <i val="true"/>
        <sz val="9"/>
        <color rgb="FF595959"/>
        <rFont val="Noto Sans CJK SC"/>
        <family val="2"/>
      </rPr>
      <t xml:space="preserve">列は </t>
    </r>
    <r>
      <rPr>
        <i val="true"/>
        <sz val="9"/>
        <color rgb="FF595959"/>
        <rFont val="Arial"/>
        <family val="0"/>
        <charset val="1"/>
      </rPr>
      <t xml:space="preserve">DB </t>
    </r>
    <r>
      <rPr>
        <i val="true"/>
        <sz val="9"/>
        <color rgb="FF595959"/>
        <rFont val="Noto Sans CJK SC"/>
        <family val="2"/>
      </rPr>
      <t xml:space="preserve">の実測値、</t>
    </r>
    <r>
      <rPr>
        <i val="true"/>
        <sz val="9"/>
        <color rgb="FF595959"/>
        <rFont val="Arial"/>
        <family val="0"/>
        <charset val="1"/>
      </rPr>
      <t xml:space="preserve">M</t>
    </r>
    <r>
      <rPr>
        <i val="true"/>
        <sz val="9"/>
        <color rgb="FF595959"/>
        <rFont val="Noto Sans CJK SC"/>
        <family val="2"/>
      </rPr>
      <t xml:space="preserve">〜</t>
    </r>
    <r>
      <rPr>
        <i val="true"/>
        <sz val="9"/>
        <color rgb="FF595959"/>
        <rFont val="Arial"/>
        <family val="0"/>
        <charset val="1"/>
      </rPr>
      <t xml:space="preserve">O </t>
    </r>
    <r>
      <rPr>
        <i val="true"/>
        <sz val="9"/>
        <color rgb="FF595959"/>
        <rFont val="Noto Sans CJK SC"/>
        <family val="2"/>
      </rPr>
      <t xml:space="preserve">列は数式。</t>
    </r>
  </si>
  <si>
    <t xml:space="preserve">公開日</t>
  </si>
  <si>
    <t xml:space="preserve">タイトル</t>
  </si>
  <si>
    <r>
      <rPr>
        <b val="true"/>
        <sz val="10"/>
        <color rgb="FFFFFFFF"/>
        <rFont val="Noto Sans CJK SC"/>
        <family val="2"/>
      </rPr>
      <t xml:space="preserve">動画</t>
    </r>
    <r>
      <rPr>
        <b val="true"/>
        <sz val="10"/>
        <color rgb="FFFFFFFF"/>
        <rFont val="Arial"/>
        <family val="0"/>
        <charset val="1"/>
      </rPr>
      <t xml:space="preserve">ID</t>
    </r>
  </si>
  <si>
    <t xml:space="preserve">インプレッション</t>
  </si>
  <si>
    <t xml:space="preserve">CTR(%)</t>
  </si>
  <si>
    <r>
      <rPr>
        <b val="true"/>
        <sz val="10"/>
        <color rgb="FFFFFFFF"/>
        <rFont val="Noto Sans CJK SC"/>
        <family val="2"/>
      </rPr>
      <t xml:space="preserve">維持率</t>
    </r>
    <r>
      <rPr>
        <b val="true"/>
        <sz val="10"/>
        <color rgb="FFFFFFFF"/>
        <rFont val="Arial"/>
        <family val="0"/>
        <charset val="1"/>
      </rPr>
      <t xml:space="preserve">(%)</t>
    </r>
  </si>
  <si>
    <t xml:space="preserve">平均視聴秒</t>
  </si>
  <si>
    <t xml:space="preserve">高評価</t>
  </si>
  <si>
    <t xml:space="preserve">コメント</t>
  </si>
  <si>
    <r>
      <rPr>
        <b val="true"/>
        <sz val="10"/>
        <color rgb="FFFFFFFF"/>
        <rFont val="Noto Sans CJK SC"/>
        <family val="2"/>
      </rPr>
      <t xml:space="preserve">公開日</t>
    </r>
    <r>
      <rPr>
        <b val="true"/>
        <sz val="10"/>
        <color rgb="FFFFFFFF"/>
        <rFont val="Arial"/>
        <family val="0"/>
        <charset val="1"/>
      </rPr>
      <t xml:space="preserve">key</t>
    </r>
  </si>
  <si>
    <t xml:space="preserve">2026-08-09</t>
  </si>
  <si>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</si>
  <si>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t xml:space="preserve">WtRQk1PvOKM</t>
  </si>
  <si>
    <t xml:space="preserve">2026-08-13</t>
  </si>
  <si>
    <t xml:space="preserve">コンビニで一番いらん商品あげてけ【ショート】</t>
  </si>
  <si>
    <t xml:space="preserve">MASXwV-ZkDc</t>
  </si>
  <si>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</si>
  <si>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t xml:space="preserve">WJpTwtFMnTM</t>
  </si>
  <si>
    <t xml:space="preserve">2026-08-14</t>
  </si>
  <si>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</si>
  <si>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t xml:space="preserve">WDnmFqiOqpU</t>
  </si>
  <si>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</si>
  <si>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t xml:space="preserve">vkhUIYYCiJ8</t>
  </si>
  <si>
    <t xml:space="preserve">2026-08-15</t>
  </si>
  <si>
    <t xml:space="preserve">ワイ、彼女いない歴＝年齢やけど質問ある？【ショート】</t>
  </si>
  <si>
    <t xml:space="preserve">Be4FYVfZ57Y</t>
  </si>
  <si>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</si>
  <si>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t xml:space="preserve">prWmOE1LGbQ</t>
  </si>
  <si>
    <t xml:space="preserve">2026-08-16</t>
  </si>
  <si>
    <t xml:space="preserve">なんかスマホの充電だけ遅いんやが【ショート】</t>
  </si>
  <si>
    <t xml:space="preserve">0lc5Rc36_Dc</t>
  </si>
  <si>
    <t xml:space="preserve">2026-08-17</t>
  </si>
  <si>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</si>
  <si>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0xBt5Iu6AgA</t>
  </si>
  <si>
    <t xml:space="preserve">実際には存在しないけどありそうな県名あげてけ【ショート】</t>
  </si>
  <si>
    <t xml:space="preserve">9TEBWzcaEkg</t>
  </si>
  <si>
    <r>
      <rPr>
        <sz val="10"/>
        <rFont val="Noto Sans CJK SC"/>
        <family val="2"/>
      </rPr>
      <t xml:space="preserve">飲み会で絶対見られたくない通知あげてけ</t>
    </r>
    <r>
      <rPr>
        <sz val="10"/>
        <rFont val="Arial"/>
        <family val="0"/>
        <charset val="1"/>
      </rPr>
      <t xml:space="preserve">w</t>
    </r>
    <r>
      <rPr>
        <sz val="10"/>
        <rFont val="Noto Sans CJK SC"/>
        <family val="2"/>
      </rPr>
      <t xml:space="preserve">【ショート】</t>
    </r>
  </si>
  <si>
    <t xml:space="preserve">RNnXuVaiEDQ</t>
  </si>
  <si>
    <r>
      <rPr>
        <sz val="10"/>
        <rFont val="Noto Sans CJK SC"/>
        <family val="2"/>
      </rPr>
      <t xml:space="preserve">ワイ、</t>
    </r>
    <r>
      <rPr>
        <sz val="10"/>
        <rFont val="Arial"/>
        <family val="0"/>
        <charset val="1"/>
      </rPr>
      <t xml:space="preserve">AI</t>
    </r>
    <r>
      <rPr>
        <sz val="10"/>
        <rFont val="Noto Sans CJK SC"/>
        <family val="2"/>
      </rPr>
      <t xml:space="preserve">に変な質問する係やけど質問ある？</t>
    </r>
    <r>
      <rPr>
        <sz val="10"/>
        <rFont val="Arial"/>
        <family val="0"/>
        <charset val="1"/>
      </rPr>
      <t xml:space="preserve">w</t>
    </r>
    <r>
      <rPr>
        <sz val="10"/>
        <rFont val="Noto Sans CJK SC"/>
        <family val="2"/>
      </rPr>
      <t xml:space="preserve">【ショート】</t>
    </r>
  </si>
  <si>
    <t xml:space="preserve">kFxWX6wPLxA</t>
  </si>
  <si>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</si>
  <si>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t xml:space="preserve">uz4uY3NwY9s</t>
  </si>
  <si>
    <t xml:space="preserve">2026-08-18</t>
  </si>
  <si>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</si>
  <si>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t xml:space="preserve">JHpcaK9BZcg</t>
  </si>
  <si>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</si>
  <si>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t xml:space="preserve">ME3Nrv3L8Sc</t>
  </si>
  <si>
    <t xml:space="preserve">2026-08-19</t>
  </si>
  <si>
    <r>
      <rPr>
        <sz val="10"/>
        <rFont val="Arial"/>
        <family val="0"/>
        <charset val="1"/>
      </rPr>
      <t xml:space="preserve">PC</t>
    </r>
    <r>
      <rPr>
        <sz val="10"/>
        <rFont val="Noto Sans CJK SC"/>
        <family val="2"/>
      </rPr>
      <t xml:space="preserve">パーツ到着時、なぜ箱だけ先に届くのか？【ショート】</t>
    </r>
  </si>
  <si>
    <t xml:space="preserve">VEjXHM7oUWg</t>
  </si>
  <si>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</si>
  <si>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t xml:space="preserve">vpqtuDNuTso</t>
  </si>
  <si>
    <t xml:space="preserve">2026-08-20</t>
  </si>
  <si>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</si>
  <si>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BRU-rMGivCo</t>
  </si>
  <si>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</si>
  <si>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t xml:space="preserve">r4Injc9zOpc</t>
  </si>
  <si>
    <t xml:space="preserve">2026-08-21</t>
  </si>
  <si>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</si>
  <si>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3s9nTiDgeJw</t>
  </si>
  <si>
    <r>
      <rPr>
        <sz val="10"/>
        <rFont val="Arial"/>
        <family val="0"/>
        <charset val="1"/>
      </rPr>
      <t xml:space="preserve">3</t>
    </r>
    <r>
      <rPr>
        <sz val="10"/>
        <rFont val="Noto Sans CJK SC"/>
        <family val="2"/>
      </rPr>
      <t xml:space="preserve">秒で考えろ！この戦闘機の名前が親戚回避型な理由とは？【ショート】</t>
    </r>
  </si>
  <si>
    <t xml:space="preserve">D7GOY2ESPA0</t>
  </si>
  <si>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</si>
  <si>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t xml:space="preserve">EDwb1YE2Fug</t>
  </si>
  <si>
    <t xml:space="preserve">2026-08-22</t>
  </si>
  <si>
    <r>
      <rPr>
        <sz val="10"/>
        <rFont val="Noto Sans CJK SC"/>
        <family val="2"/>
      </rPr>
      <t xml:space="preserve">なぜ</t>
    </r>
    <r>
      <rPr>
        <sz val="10"/>
        <rFont val="Arial"/>
        <family val="0"/>
        <charset val="1"/>
      </rPr>
      <t xml:space="preserve">3</t>
    </r>
    <r>
      <rPr>
        <sz val="10"/>
        <rFont val="Noto Sans CJK SC"/>
        <family val="2"/>
      </rPr>
      <t xml:space="preserve">秒でバレる？お前らをブラックラグーンで例えた結果【ショート】</t>
    </r>
  </si>
  <si>
    <t xml:space="preserve">gVgZ1gzEcvg</t>
  </si>
  <si>
    <t xml:space="preserve">2026-08-23</t>
  </si>
  <si>
    <r>
      <rPr>
        <sz val="10"/>
        <rFont val="Noto Sans CJK SC"/>
        <family val="2"/>
      </rPr>
      <t xml:space="preserve">ワイ、</t>
    </r>
    <r>
      <rPr>
        <sz val="10"/>
        <rFont val="Arial"/>
        <family val="0"/>
        <charset val="1"/>
      </rPr>
      <t xml:space="preserve">GTA6</t>
    </r>
    <r>
      <rPr>
        <sz val="10"/>
        <rFont val="Noto Sans CJK SC"/>
        <family val="2"/>
      </rPr>
      <t xml:space="preserve">妄想歴</t>
    </r>
    <r>
      <rPr>
        <sz val="10"/>
        <rFont val="Arial"/>
        <family val="0"/>
        <charset val="1"/>
      </rPr>
      <t xml:space="preserve">6</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</si>
  <si>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ASi-M1AEuHc</t>
  </si>
  <si>
    <t xml:space="preserve">2026-08-24</t>
  </si>
  <si>
    <r>
      <rPr>
        <sz val="10"/>
        <rFont val="Noto Sans CJK SC"/>
        <family val="2"/>
      </rPr>
      <t xml:space="preserve">味の素</t>
    </r>
    <r>
      <rPr>
        <sz val="10"/>
        <rFont val="Arial"/>
        <family val="0"/>
        <charset val="1"/>
      </rPr>
      <t xml:space="preserve">3</t>
    </r>
    <r>
      <rPr>
        <sz val="10"/>
        <rFont val="Noto Sans CJK SC"/>
        <family val="2"/>
      </rPr>
      <t xml:space="preserve">粒、実は何に使うのか？意外すぎる活用法をあげてけｗ【ショート】</t>
    </r>
  </si>
  <si>
    <t xml:space="preserve">Thh-D1-GLhc</t>
  </si>
  <si>
    <t xml:space="preserve">2026-08-25</t>
  </si>
  <si>
    <r>
      <rPr>
        <sz val="10"/>
        <rFont val="Noto Sans CJK SC"/>
        <family val="2"/>
      </rPr>
      <t xml:space="preserve">🤯ワイ、友達の家でヤバい物を</t>
    </r>
    <r>
      <rPr>
        <sz val="10"/>
        <rFont val="Arial"/>
        <family val="0"/>
        <charset val="1"/>
      </rPr>
      <t xml:space="preserve">3</t>
    </r>
    <r>
      <rPr>
        <sz val="10"/>
        <rFont val="Noto Sans CJK SC"/>
        <family val="2"/>
      </rPr>
      <t xml:space="preserve">個見たんやが</t>
    </r>
    <r>
      <rPr>
        <sz val="10"/>
        <rFont val="Arial"/>
        <family val="0"/>
        <charset val="1"/>
      </rPr>
      <t xml:space="preserve">w🤯</t>
    </r>
    <r>
      <rPr>
        <sz val="10"/>
        <rFont val="Noto Sans CJK SC"/>
        <family val="2"/>
      </rPr>
      <t xml:space="preserve">【ショート】</t>
    </r>
  </si>
  <si>
    <t xml:space="preserve">spL7feJGAi0</t>
  </si>
  <si>
    <t xml:space="preserve">2026-08-26</t>
  </si>
  <si>
    <t xml:space="preserve">実は迷子続出？ドラゴンボールパークで何が起きたのか【ショート】</t>
  </si>
  <si>
    <t xml:space="preserve">ZcYsxQMiswQ</t>
  </si>
  <si>
    <t xml:space="preserve">2026-08-27</t>
  </si>
  <si>
    <r>
      <rPr>
        <sz val="10"/>
        <rFont val="Noto Sans CJK SC"/>
        <family val="2"/>
      </rPr>
      <t xml:space="preserve">🤣ワイ、大谷の昼飯を</t>
    </r>
    <r>
      <rPr>
        <sz val="10"/>
        <rFont val="Arial"/>
        <family val="0"/>
        <charset val="1"/>
      </rPr>
      <t xml:space="preserve">3</t>
    </r>
    <r>
      <rPr>
        <sz val="10"/>
        <rFont val="Noto Sans CJK SC"/>
        <family val="2"/>
      </rPr>
      <t xml:space="preserve">秒で当てるスレ</t>
    </r>
    <r>
      <rPr>
        <sz val="10"/>
        <rFont val="Arial"/>
        <family val="0"/>
        <charset val="1"/>
      </rPr>
      <t xml:space="preserve">w🤣</t>
    </r>
    <r>
      <rPr>
        <sz val="10"/>
        <rFont val="Noto Sans CJK SC"/>
        <family val="2"/>
      </rPr>
      <t xml:space="preserve">【ショート】</t>
    </r>
  </si>
  <si>
    <t xml:space="preserve">Z942Th2KBnI</t>
  </si>
  <si>
    <r>
      <rPr>
        <sz val="10"/>
        <rFont val="Noto Sans CJK SC"/>
        <family val="2"/>
      </rPr>
      <t xml:space="preserve">彼女の家で開けたらアカン引き出し開けたんやが </t>
    </r>
    <r>
      <rPr>
        <sz val="10"/>
        <rFont val="Arial"/>
        <family val="0"/>
        <charset val="1"/>
      </rPr>
      <t xml:space="preserve">#shorts #2ch #</t>
    </r>
    <r>
      <rPr>
        <sz val="10"/>
        <rFont val="Noto Sans CJK SC"/>
        <family val="2"/>
      </rPr>
      <t xml:space="preserve">面白いスレ</t>
    </r>
  </si>
  <si>
    <t xml:space="preserve">v9CmgSdcTs4</t>
  </si>
  <si>
    <t xml:space="preserve">2026-08-28</t>
  </si>
  <si>
    <r>
      <rPr>
        <sz val="10"/>
        <rFont val="Noto Sans CJK SC"/>
        <family val="2"/>
      </rPr>
      <t xml:space="preserve">🤣ワイ、落雷を</t>
    </r>
    <r>
      <rPr>
        <sz val="10"/>
        <rFont val="Arial"/>
        <family val="0"/>
        <charset val="1"/>
      </rPr>
      <t xml:space="preserve">3</t>
    </r>
    <r>
      <rPr>
        <sz val="10"/>
        <rFont val="Noto Sans CJK SC"/>
        <family val="2"/>
      </rPr>
      <t xml:space="preserve">秒で見たんやが質問ある？</t>
    </r>
    <r>
      <rPr>
        <sz val="10"/>
        <rFont val="Arial"/>
        <family val="0"/>
        <charset val="1"/>
      </rPr>
      <t xml:space="preserve">w🍑</t>
    </r>
    <r>
      <rPr>
        <sz val="10"/>
        <rFont val="Noto Sans CJK SC"/>
        <family val="2"/>
      </rPr>
      <t xml:space="preserve">【ショート】</t>
    </r>
  </si>
  <si>
    <t xml:space="preserve">klrbsl8xy6s</t>
  </si>
  <si>
    <r>
      <rPr>
        <sz val="10"/>
        <rFont val="Noto Sans CJK SC"/>
        <family val="2"/>
      </rPr>
      <t xml:space="preserve">💦ワイ、夫が寝た後の秘密</t>
    </r>
    <r>
      <rPr>
        <sz val="10"/>
        <rFont val="Arial"/>
        <family val="0"/>
        <charset val="1"/>
      </rPr>
      <t xml:space="preserve">3</t>
    </r>
    <r>
      <rPr>
        <sz val="10"/>
        <rFont val="Noto Sans CJK SC"/>
        <family val="2"/>
      </rPr>
      <t xml:space="preserve">つあげてけ</t>
    </r>
    <r>
      <rPr>
        <sz val="10"/>
        <rFont val="Arial"/>
        <family val="0"/>
        <charset val="1"/>
      </rPr>
      <t xml:space="preserve">w🤣</t>
    </r>
    <r>
      <rPr>
        <sz val="10"/>
        <rFont val="Noto Sans CJK SC"/>
        <family val="2"/>
      </rPr>
      <t xml:space="preserve">【ショート】</t>
    </r>
  </si>
  <si>
    <t xml:space="preserve">yzT0b41x6no</t>
  </si>
  <si>
    <t xml:space="preserve">2026-08-29</t>
  </si>
  <si>
    <r>
      <rPr>
        <sz val="10"/>
        <rFont val="Noto Sans CJK SC"/>
        <family val="2"/>
      </rPr>
      <t xml:space="preserve">なぜ</t>
    </r>
    <r>
      <rPr>
        <sz val="10"/>
        <rFont val="Arial"/>
        <family val="0"/>
        <charset val="1"/>
      </rPr>
      <t xml:space="preserve">PS5 Pro</t>
    </r>
    <r>
      <rPr>
        <sz val="10"/>
        <rFont val="Noto Sans CJK SC"/>
        <family val="2"/>
      </rPr>
      <t xml:space="preserve">に期待する？値段で胃が痛い理由とは</t>
    </r>
    <r>
      <rPr>
        <sz val="10"/>
        <rFont val="Arial"/>
        <family val="0"/>
        <charset val="1"/>
      </rPr>
      <t xml:space="preserve">w</t>
    </r>
    <r>
      <rPr>
        <sz val="10"/>
        <rFont val="Noto Sans CJK SC"/>
        <family val="2"/>
      </rPr>
      <t xml:space="preserve">【ショート】</t>
    </r>
  </si>
  <si>
    <t xml:space="preserve">tOnOISa0CNo</t>
  </si>
  <si>
    <t xml:space="preserve">2026-08-30</t>
  </si>
  <si>
    <r>
      <rPr>
        <sz val="10"/>
        <rFont val="Noto Sans CJK SC"/>
        <family val="2"/>
      </rPr>
      <t xml:space="preserve">動画作りに</t>
    </r>
    <r>
      <rPr>
        <sz val="10"/>
        <rFont val="Arial"/>
        <family val="0"/>
        <charset val="1"/>
      </rPr>
      <t xml:space="preserve">7</t>
    </r>
    <r>
      <rPr>
        <sz val="10"/>
        <rFont val="Noto Sans CJK SC"/>
        <family val="2"/>
      </rPr>
      <t xml:space="preserve">万課金した男、なぜ昼飯が塩むすびになったのか？【ショート】</t>
    </r>
  </si>
  <si>
    <t xml:space="preserve">AiWmmlXHbu4</t>
  </si>
  <si>
    <t xml:space="preserve">実は家族に見られた通販履歴…一番言い訳できない理由は？【ショート】</t>
  </si>
  <si>
    <t xml:space="preserve">a_gxVwtIGKs</t>
  </si>
  <si>
    <t xml:space="preserve">2026-08-31</t>
  </si>
  <si>
    <r>
      <rPr>
        <sz val="10"/>
        <rFont val="Noto Sans CJK SC"/>
        <family val="2"/>
      </rPr>
      <t xml:space="preserve">なぜ</t>
    </r>
    <r>
      <rPr>
        <sz val="10"/>
        <rFont val="Arial"/>
        <family val="0"/>
        <charset val="1"/>
      </rPr>
      <t xml:space="preserve">PS</t>
    </r>
    <r>
      <rPr>
        <sz val="10"/>
        <rFont val="Noto Sans CJK SC"/>
        <family val="2"/>
      </rPr>
      <t xml:space="preserve">で一番いらないゲームが生まれるのか？ 博牛【ショート】</t>
    </r>
  </si>
  <si>
    <t xml:space="preserve">7_9kPS6VcbY</t>
  </si>
  <si>
    <t xml:space="preserve">2026-09-03</t>
  </si>
  <si>
    <r>
      <rPr>
        <sz val="10"/>
        <rFont val="Noto Sans CJK SC"/>
        <family val="2"/>
      </rPr>
      <t xml:space="preserve">実はマックに神メニュー</t>
    </r>
    <r>
      <rPr>
        <sz val="10"/>
        <rFont val="Arial"/>
        <family val="0"/>
        <charset val="1"/>
      </rPr>
      <t xml:space="preserve">3</t>
    </r>
    <r>
      <rPr>
        <sz val="10"/>
        <rFont val="Noto Sans CJK SC"/>
        <family val="2"/>
      </rPr>
      <t xml:space="preserve">品が決まらない本当の理由とは？ </t>
    </r>
    <r>
      <rPr>
        <sz val="10"/>
        <rFont val="Arial"/>
        <family val="0"/>
        <charset val="1"/>
      </rPr>
      <t xml:space="preserve">#shorts #2ch #</t>
    </r>
    <r>
      <rPr>
        <sz val="10"/>
        <rFont val="Noto Sans CJK SC"/>
        <family val="2"/>
      </rPr>
      <t xml:space="preserve">面白いスレ</t>
    </r>
  </si>
  <si>
    <t xml:space="preserve">4ezWUaTvDD0</t>
  </si>
  <si>
    <t xml:space="preserve">2026-09-04</t>
  </si>
  <si>
    <r>
      <rPr>
        <sz val="10"/>
        <rFont val="Noto Sans CJK SC"/>
        <family val="2"/>
      </rPr>
      <t xml:space="preserve">正体を大人が知る</t>
    </r>
    <r>
      <rPr>
        <sz val="10"/>
        <rFont val="Arial"/>
        <family val="0"/>
        <charset val="1"/>
      </rPr>
      <t xml:space="preserve">3</t>
    </r>
    <r>
      <rPr>
        <sz val="10"/>
        <rFont val="Noto Sans CJK SC"/>
        <family val="2"/>
      </rPr>
      <t xml:space="preserve">秒の言葉あげてけ</t>
    </r>
    <r>
      <rPr>
        <sz val="10"/>
        <rFont val="Arial"/>
        <family val="0"/>
        <charset val="1"/>
      </rPr>
      <t xml:space="preserve">w😂 #shorts #2ch #</t>
    </r>
    <r>
      <rPr>
        <sz val="10"/>
        <rFont val="Noto Sans CJK SC"/>
        <family val="2"/>
      </rPr>
      <t xml:space="preserve">面白いスレ</t>
    </r>
  </si>
  <si>
    <t xml:space="preserve">CPhxUakX8mw</t>
  </si>
  <si>
    <r>
      <rPr>
        <sz val="10"/>
        <rFont val="Noto Sans CJK SC"/>
        <family val="2"/>
      </rPr>
      <t xml:space="preserve">なぜ友達の風呂で</t>
    </r>
    <r>
      <rPr>
        <sz val="10"/>
        <rFont val="Arial"/>
        <family val="0"/>
        <charset val="1"/>
      </rPr>
      <t xml:space="preserve">3</t>
    </r>
    <r>
      <rPr>
        <sz val="10"/>
        <rFont val="Noto Sans CJK SC"/>
        <family val="2"/>
      </rPr>
      <t xml:space="preserve">回もやらかしたのか？ｗ </t>
    </r>
    <r>
      <rPr>
        <sz val="10"/>
        <rFont val="Arial"/>
        <family val="0"/>
        <charset val="1"/>
      </rPr>
      <t xml:space="preserve">#shorts #2ch #</t>
    </r>
    <r>
      <rPr>
        <sz val="10"/>
        <rFont val="Noto Sans CJK SC"/>
        <family val="2"/>
      </rPr>
      <t xml:space="preserve">面白いスレ</t>
    </r>
  </si>
  <si>
    <t xml:space="preserve">DARoakZbgGk</t>
  </si>
  <si>
    <r>
      <rPr>
        <sz val="10"/>
        <rFont val="Noto Sans CJK SC"/>
        <family val="2"/>
      </rPr>
      <t xml:space="preserve">🤣ワイ健康診断歴</t>
    </r>
    <r>
      <rPr>
        <sz val="10"/>
        <rFont val="Arial"/>
        <family val="0"/>
        <charset val="1"/>
      </rPr>
      <t xml:space="preserve">3</t>
    </r>
    <r>
      <rPr>
        <sz val="10"/>
        <rFont val="Noto Sans CJK SC"/>
        <family val="2"/>
      </rPr>
      <t xml:space="preserve">年やけど正体ある</t>
    </r>
    <r>
      <rPr>
        <sz val="10"/>
        <rFont val="Arial"/>
        <family val="0"/>
        <charset val="1"/>
      </rPr>
      <t xml:space="preserve">w🍑 #shorts #2ch #</t>
    </r>
    <r>
      <rPr>
        <sz val="10"/>
        <rFont val="Noto Sans CJK SC"/>
        <family val="2"/>
      </rPr>
      <t xml:space="preserve">面白いスレ</t>
    </r>
  </si>
  <si>
    <t xml:space="preserve">dkBnc29oX7w</t>
  </si>
  <si>
    <t xml:space="preserve">2026-09-05</t>
  </si>
  <si>
    <r>
      <rPr>
        <sz val="10"/>
        <rFont val="Arial"/>
        <family val="0"/>
        <charset val="1"/>
      </rPr>
      <t xml:space="preserve">3</t>
    </r>
    <r>
      <rPr>
        <sz val="10"/>
        <rFont val="Noto Sans CJK SC"/>
        <family val="2"/>
      </rPr>
      <t xml:space="preserve">秒で凍結何言った </t>
    </r>
    <r>
      <rPr>
        <sz val="10"/>
        <rFont val="Arial"/>
        <family val="0"/>
        <charset val="1"/>
      </rPr>
      <t xml:space="preserve">#shorts #2ch #</t>
    </r>
    <r>
      <rPr>
        <sz val="10"/>
        <rFont val="Noto Sans CJK SC"/>
        <family val="2"/>
      </rPr>
      <t xml:space="preserve">面白いスレ</t>
    </r>
  </si>
  <si>
    <t xml:space="preserve">l9_O6CjJuuA</t>
  </si>
  <si>
    <r>
      <rPr>
        <sz val="10"/>
        <rFont val="Noto Sans CJK SC"/>
        <family val="2"/>
      </rPr>
      <t xml:space="preserve">なぜ親は無言で机を閉めたのか…見つかって終わった物とは？ </t>
    </r>
    <r>
      <rPr>
        <sz val="10"/>
        <rFont val="Arial"/>
        <family val="0"/>
        <charset val="1"/>
      </rPr>
      <t xml:space="preserve">#shorts #2ch #</t>
    </r>
    <r>
      <rPr>
        <sz val="10"/>
        <rFont val="Noto Sans CJK SC"/>
        <family val="2"/>
      </rPr>
      <t xml:space="preserve">面白いスレ</t>
    </r>
  </si>
  <si>
    <t xml:space="preserve">nsG-CbP-0-k</t>
  </si>
  <si>
    <r>
      <rPr>
        <sz val="10"/>
        <rFont val="Noto Sans CJK SC"/>
        <family val="2"/>
      </rPr>
      <t xml:space="preserve">💦ワイ、同棲</t>
    </r>
    <r>
      <rPr>
        <sz val="10"/>
        <rFont val="Arial"/>
        <family val="0"/>
        <charset val="1"/>
      </rPr>
      <t xml:space="preserve">3</t>
    </r>
    <r>
      <rPr>
        <sz val="10"/>
        <rFont val="Noto Sans CJK SC"/>
        <family val="2"/>
      </rPr>
      <t xml:space="preserve">年目やけど質問ある？💦 </t>
    </r>
    <r>
      <rPr>
        <sz val="10"/>
        <rFont val="Arial"/>
        <family val="0"/>
        <charset val="1"/>
      </rPr>
      <t xml:space="preserve">#shorts #2ch #</t>
    </r>
    <r>
      <rPr>
        <sz val="10"/>
        <rFont val="Noto Sans CJK SC"/>
        <family val="2"/>
      </rPr>
      <t xml:space="preserve">面白いスレ</t>
    </r>
  </si>
  <si>
    <t xml:space="preserve">yFDc9WPUl6c</t>
  </si>
  <si>
    <t xml:space="preserve">2026-09-06</t>
  </si>
  <si>
    <r>
      <rPr>
        <sz val="10"/>
        <rFont val="Arial"/>
        <family val="0"/>
        <charset val="1"/>
      </rPr>
      <t xml:space="preserve">3</t>
    </r>
    <r>
      <rPr>
        <sz val="10"/>
        <rFont val="Noto Sans CJK SC"/>
        <family val="2"/>
      </rPr>
      <t xml:space="preserve">回目の店謎の予約名 </t>
    </r>
    <r>
      <rPr>
        <sz val="10"/>
        <rFont val="Arial"/>
        <family val="0"/>
        <charset val="1"/>
      </rPr>
      <t xml:space="preserve">#shorts #2ch #</t>
    </r>
    <r>
      <rPr>
        <sz val="10"/>
        <rFont val="Noto Sans CJK SC"/>
        <family val="2"/>
      </rPr>
      <t xml:space="preserve">面白いスレ</t>
    </r>
  </si>
  <si>
    <t xml:space="preserve">7wGbI_BAVuc</t>
  </si>
  <si>
    <r>
      <rPr>
        <sz val="10"/>
        <rFont val="Noto Sans CJK SC"/>
        <family val="2"/>
      </rPr>
      <t xml:space="preserve">湯けむりの奥全員停止 </t>
    </r>
    <r>
      <rPr>
        <sz val="10"/>
        <rFont val="Arial"/>
        <family val="0"/>
        <charset val="1"/>
      </rPr>
      <t xml:space="preserve">#shorts #2ch #</t>
    </r>
    <r>
      <rPr>
        <sz val="10"/>
        <rFont val="Noto Sans CJK SC"/>
        <family val="2"/>
      </rPr>
      <t xml:space="preserve">面白いスレ</t>
    </r>
  </si>
  <si>
    <t xml:space="preserve">PyaOoRuiGCg</t>
  </si>
  <si>
    <r>
      <rPr>
        <sz val="10"/>
        <rFont val="Noto Sans CJK SC"/>
        <family val="2"/>
      </rPr>
      <t xml:space="preserve">ワイ、保健体育歴</t>
    </r>
    <r>
      <rPr>
        <sz val="10"/>
        <rFont val="Arial"/>
        <family val="0"/>
        <charset val="1"/>
      </rPr>
      <t xml:space="preserve">3</t>
    </r>
    <r>
      <rPr>
        <sz val="10"/>
        <rFont val="Noto Sans CJK SC"/>
        <family val="2"/>
      </rPr>
      <t xml:space="preserve">年やけど質問ある？</t>
    </r>
    <r>
      <rPr>
        <sz val="10"/>
        <rFont val="Arial"/>
        <family val="0"/>
        <charset val="1"/>
      </rPr>
      <t xml:space="preserve">w💦 #shorts #2ch #</t>
    </r>
    <r>
      <rPr>
        <sz val="10"/>
        <rFont val="Noto Sans CJK SC"/>
        <family val="2"/>
      </rPr>
      <t xml:space="preserve">面白いスレ</t>
    </r>
  </si>
  <si>
    <t xml:space="preserve">kWmBOvRkaP0</t>
  </si>
  <si>
    <t xml:space="preserve">2026-09-07</t>
  </si>
  <si>
    <r>
      <rPr>
        <sz val="10"/>
        <rFont val="Noto Sans CJK SC"/>
        <family val="2"/>
      </rPr>
      <t xml:space="preserve">なぜファミマで謎の商品を買ってしまうのか？草 </t>
    </r>
    <r>
      <rPr>
        <sz val="10"/>
        <rFont val="Arial"/>
        <family val="0"/>
        <charset val="1"/>
      </rPr>
      <t xml:space="preserve">#shorts #2ch #</t>
    </r>
    <r>
      <rPr>
        <sz val="10"/>
        <rFont val="Noto Sans CJK SC"/>
        <family val="2"/>
      </rPr>
      <t xml:space="preserve">面白いスレ</t>
    </r>
  </si>
  <si>
    <t xml:space="preserve">_mM6oqnCPEw</t>
  </si>
  <si>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</si>
  <si>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t xml:space="preserve">gXggXs2ki2E</t>
  </si>
  <si>
    <r>
      <rPr>
        <sz val="10"/>
        <rFont val="Noto Sans CJK SC"/>
        <family val="2"/>
      </rPr>
      <t xml:space="preserve">ワイ、毎月大金をムダにしてるけど質問ある？ </t>
    </r>
    <r>
      <rPr>
        <sz val="10"/>
        <rFont val="Arial"/>
        <family val="0"/>
        <charset val="1"/>
      </rPr>
      <t xml:space="preserve">#shorts #2ch #</t>
    </r>
    <r>
      <rPr>
        <sz val="10"/>
        <rFont val="Noto Sans CJK SC"/>
        <family val="2"/>
      </rPr>
      <t xml:space="preserve">面白いスレ</t>
    </r>
  </si>
  <si>
    <t xml:space="preserve">m3jehCSh-m8</t>
  </si>
  <si>
    <t xml:space="preserve">2026-09-08</t>
  </si>
  <si>
    <r>
      <rPr>
        <sz val="10"/>
        <rFont val="Noto Sans CJK SC"/>
        <family val="2"/>
      </rPr>
      <t xml:space="preserve">ワイの</t>
    </r>
    <r>
      <rPr>
        <sz val="10"/>
        <rFont val="Arial"/>
        <family val="0"/>
        <charset val="1"/>
      </rPr>
      <t xml:space="preserve">PC</t>
    </r>
    <r>
      <rPr>
        <sz val="10"/>
        <rFont val="Noto Sans CJK SC"/>
        <family val="2"/>
      </rPr>
      <t xml:space="preserve">で彼女が凍った本当の理由</t>
    </r>
    <r>
      <rPr>
        <sz val="10"/>
        <rFont val="Arial"/>
        <family val="0"/>
        <charset val="1"/>
      </rPr>
      <t xml:space="preserve">w💦 #shorts #2ch #</t>
    </r>
    <r>
      <rPr>
        <sz val="10"/>
        <rFont val="Noto Sans CJK SC"/>
        <family val="2"/>
      </rPr>
      <t xml:space="preserve">面白いスレ</t>
    </r>
  </si>
  <si>
    <t xml:space="preserve">BdCQ4EeG7gk</t>
  </si>
  <si>
    <r>
      <rPr>
        <sz val="10"/>
        <rFont val="Arial"/>
        <family val="0"/>
        <charset val="1"/>
      </rPr>
      <t xml:space="preserve">Apple</t>
    </r>
    <r>
      <rPr>
        <sz val="10"/>
        <rFont val="Noto Sans CJK SC"/>
        <family val="2"/>
      </rPr>
      <t xml:space="preserve">新製品予想、また本命を外して財布が逝く民ｗ </t>
    </r>
    <r>
      <rPr>
        <sz val="10"/>
        <rFont val="Arial"/>
        <family val="0"/>
        <charset val="1"/>
      </rPr>
      <t xml:space="preserve">#shorts #2ch #</t>
    </r>
    <r>
      <rPr>
        <sz val="10"/>
        <rFont val="Noto Sans CJK SC"/>
        <family val="2"/>
      </rPr>
      <t xml:space="preserve">面白いスレ</t>
    </r>
  </si>
  <si>
    <t xml:space="preserve">NuTGwFcw4nA</t>
  </si>
  <si>
    <t xml:space="preserve">2026-09-09</t>
  </si>
  <si>
    <r>
      <rPr>
        <sz val="10"/>
        <rFont val="Noto Sans CJK SC"/>
        <family val="2"/>
      </rPr>
      <t xml:space="preserve">ワイの財布から毎月消える謎の正体が判明したｗ </t>
    </r>
    <r>
      <rPr>
        <sz val="10"/>
        <rFont val="Arial"/>
        <family val="0"/>
        <charset val="1"/>
      </rPr>
      <t xml:space="preserve">#shorts #2ch #</t>
    </r>
    <r>
      <rPr>
        <sz val="10"/>
        <rFont val="Noto Sans CJK SC"/>
        <family val="2"/>
      </rPr>
      <t xml:space="preserve">面白いスレ</t>
    </r>
  </si>
  <si>
    <t xml:space="preserve">_2Et6OcEbTI</t>
  </si>
  <si>
    <t xml:space="preserve">2026-08-08</t>
  </si>
  <si>
    <r>
      <rPr>
        <sz val="10"/>
        <rFont val="Noto Sans CJK SC"/>
        <family val="2"/>
      </rPr>
      <t xml:space="preserve">カゴメの年間休日</t>
    </r>
    <r>
      <rPr>
        <sz val="10"/>
        <rFont val="Arial"/>
        <family val="0"/>
        <charset val="1"/>
      </rPr>
      <t xml:space="preserve">125</t>
    </r>
    <r>
      <rPr>
        <sz val="10"/>
        <rFont val="Noto Sans CJK SC"/>
        <family val="2"/>
      </rPr>
      <t xml:space="preserve">日、有給取得率</t>
    </r>
    <r>
      <rPr>
        <sz val="10"/>
        <rFont val="Arial"/>
        <family val="0"/>
        <charset val="1"/>
      </rPr>
      <t xml:space="preserve">74.6%</t>
    </r>
    <r>
      <rPr>
        <sz val="10"/>
        <rFont val="Noto Sans CJK SC"/>
        <family val="2"/>
      </rPr>
      <t xml:space="preserve">はホワイト？【ショート】</t>
    </r>
  </si>
  <si>
    <t xml:space="preserve">Kq4Xx43QCiE</t>
  </si>
  <si>
    <r>
      <rPr>
        <sz val="10"/>
        <rFont val="Noto Sans CJK SC"/>
        <family val="2"/>
      </rPr>
      <t xml:space="preserve">ヤマト運輸ボーナス年</t>
    </r>
    <r>
      <rPr>
        <sz val="10"/>
        <rFont val="Arial"/>
        <family val="0"/>
        <charset val="1"/>
      </rPr>
      <t xml:space="preserve">100</t>
    </r>
    <r>
      <rPr>
        <sz val="10"/>
        <rFont val="Noto Sans CJK SC"/>
        <family val="2"/>
      </rPr>
      <t xml:space="preserve">万円超？</t>
    </r>
    <r>
      <rPr>
        <sz val="10"/>
        <rFont val="Arial"/>
        <family val="0"/>
        <charset val="1"/>
      </rPr>
      <t xml:space="preserve">#</t>
    </r>
    <r>
      <rPr>
        <sz val="10"/>
        <rFont val="Noto Sans CJK SC"/>
        <family val="2"/>
      </rPr>
      <t xml:space="preserve">ヤマト運輸の年収が意外すぎた 現場職ボーナス年</t>
    </r>
    <r>
      <rPr>
        <sz val="10"/>
        <rFont val="Arial"/>
        <family val="0"/>
        <charset val="1"/>
      </rPr>
      <t xml:space="preserve">100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</si>
  <si>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pvTfS3Tish4</t>
  </si>
  <si>
    <t xml:space="preserve">2026-08-12</t>
  </si>
  <si>
    <r>
      <rPr>
        <sz val="10"/>
        <rFont val="Noto Sans CJK SC"/>
        <family val="2"/>
      </rPr>
      <t xml:space="preserve">サントリーの平均年収</t>
    </r>
    <r>
      <rPr>
        <sz val="10"/>
        <rFont val="Arial"/>
        <family val="0"/>
        <charset val="1"/>
      </rPr>
      <t xml:space="preserve">1,000</t>
    </r>
    <r>
      <rPr>
        <sz val="10"/>
        <rFont val="Noto Sans CJK SC"/>
        <family val="2"/>
      </rPr>
      <t xml:space="preserve">万円超？残業</t>
    </r>
    <r>
      <rPr>
        <sz val="10"/>
        <rFont val="Arial"/>
        <family val="0"/>
        <charset val="1"/>
      </rPr>
      <t xml:space="preserve">19.5</t>
    </r>
    <r>
      <rPr>
        <sz val="10"/>
        <rFont val="Noto Sans CJK SC"/>
        <family val="2"/>
      </rPr>
      <t xml:space="preserve">時間の実態【ショート】</t>
    </r>
  </si>
  <si>
    <t xml:space="preserve">5lV_sxOcp3Y</t>
  </si>
  <si>
    <r>
      <rPr>
        <sz val="10"/>
        <rFont val="Noto Sans CJK SC"/>
        <family val="2"/>
      </rPr>
      <t xml:space="preserve">ソニーの平均年収</t>
    </r>
    <r>
      <rPr>
        <sz val="10"/>
        <rFont val="Arial"/>
        <family val="0"/>
        <charset val="1"/>
      </rPr>
      <t xml:space="preserve">1118</t>
    </r>
    <r>
      <rPr>
        <sz val="10"/>
        <rFont val="Noto Sans CJK SC"/>
        <family val="2"/>
      </rPr>
      <t xml:space="preserve">万円、年間休日</t>
    </r>
    <r>
      <rPr>
        <sz val="10"/>
        <rFont val="Arial"/>
        <family val="0"/>
        <charset val="1"/>
      </rPr>
      <t xml:space="preserve">125</t>
    </r>
    <r>
      <rPr>
        <sz val="10"/>
        <rFont val="Noto Sans CJK SC"/>
        <family val="2"/>
      </rPr>
      <t xml:space="preserve">日の実態【ショート】</t>
    </r>
  </si>
  <si>
    <t xml:space="preserve">61oVDTaZUGo</t>
  </si>
  <si>
    <r>
      <rPr>
        <sz val="10"/>
        <rFont val="Noto Sans CJK SC"/>
        <family val="2"/>
      </rPr>
      <t xml:space="preserve">オリエンタルランドの年収</t>
    </r>
    <r>
      <rPr>
        <sz val="10"/>
        <rFont val="Arial"/>
        <family val="0"/>
        <charset val="1"/>
      </rPr>
      <t xml:space="preserve">536</t>
    </r>
    <r>
      <rPr>
        <sz val="10"/>
        <rFont val="Noto Sans CJK SC"/>
        <family val="2"/>
      </rPr>
      <t xml:space="preserve">万円、離職率</t>
    </r>
    <r>
      <rPr>
        <sz val="10"/>
        <rFont val="Arial"/>
        <family val="0"/>
        <charset val="1"/>
      </rPr>
      <t xml:space="preserve">2.1%</t>
    </r>
    <r>
      <rPr>
        <sz val="10"/>
        <rFont val="Noto Sans CJK SC"/>
        <family val="2"/>
      </rPr>
      <t xml:space="preserve">の実態【ショート】</t>
    </r>
  </si>
  <si>
    <t xml:space="preserve">ZcH38vqusdQ</t>
  </si>
  <si>
    <r>
      <rPr>
        <sz val="10"/>
        <rFont val="Noto Sans CJK SC"/>
        <family val="2"/>
      </rPr>
      <t xml:space="preserve">無印良品の正社員待遇、年間休日</t>
    </r>
    <r>
      <rPr>
        <sz val="10"/>
        <rFont val="Arial"/>
        <family val="0"/>
        <charset val="1"/>
      </rPr>
      <t xml:space="preserve">123</t>
    </r>
    <r>
      <rPr>
        <sz val="10"/>
        <rFont val="Noto Sans CJK SC"/>
        <family val="2"/>
      </rPr>
      <t xml:space="preserve">日の実態【ショート】</t>
    </r>
  </si>
  <si>
    <t xml:space="preserve">sKK8tlnT61w</t>
  </si>
  <si>
    <r>
      <rPr>
        <sz val="10"/>
        <rFont val="Noto Sans CJK SC"/>
        <family val="2"/>
      </rPr>
      <t xml:space="preserve">セブン銀行の年間休日</t>
    </r>
    <r>
      <rPr>
        <sz val="10"/>
        <rFont val="Arial"/>
        <family val="0"/>
        <charset val="1"/>
      </rPr>
      <t xml:space="preserve">130</t>
    </r>
    <r>
      <rPr>
        <sz val="10"/>
        <rFont val="Noto Sans CJK SC"/>
        <family val="2"/>
      </rPr>
      <t xml:space="preserve">日、平均年収も数字で解説【ショート】</t>
    </r>
  </si>
  <si>
    <t xml:space="preserve">Nbcteb-cPGk</t>
  </si>
  <si>
    <r>
      <rPr>
        <sz val="10"/>
        <rFont val="Noto Sans CJK SC"/>
        <family val="2"/>
      </rPr>
      <t xml:space="preserve">リクルートの賞与は年間</t>
    </r>
    <r>
      <rPr>
        <sz val="10"/>
        <rFont val="Arial"/>
        <family val="0"/>
        <charset val="1"/>
      </rPr>
      <t xml:space="preserve">150</t>
    </r>
    <r>
      <rPr>
        <sz val="10"/>
        <rFont val="Noto Sans CJK SC"/>
        <family val="2"/>
      </rPr>
      <t xml:space="preserve">万円超？平均年齢</t>
    </r>
    <r>
      <rPr>
        <sz val="10"/>
        <rFont val="Arial"/>
        <family val="0"/>
        <charset val="1"/>
      </rPr>
      <t xml:space="preserve">35</t>
    </r>
    <r>
      <rPr>
        <sz val="10"/>
        <rFont val="Noto Sans CJK SC"/>
        <family val="2"/>
      </rPr>
      <t xml:space="preserve">歳の待遇を検証【ショート】</t>
    </r>
  </si>
  <si>
    <t xml:space="preserve">k98ZRiRmSmo</t>
  </si>
  <si>
    <r>
      <rPr>
        <sz val="10"/>
        <rFont val="Noto Sans CJK SC"/>
        <family val="2"/>
      </rPr>
      <t xml:space="preserve">伊藤忠商事の年収</t>
    </r>
    <r>
      <rPr>
        <sz val="10"/>
        <rFont val="Arial"/>
        <family val="0"/>
        <charset val="1"/>
      </rPr>
      <t xml:space="preserve">850</t>
    </r>
    <r>
      <rPr>
        <sz val="10"/>
        <rFont val="Noto Sans CJK SC"/>
        <family val="2"/>
      </rPr>
      <t xml:space="preserve">万円がヤバい、離職率</t>
    </r>
    <r>
      <rPr>
        <sz val="10"/>
        <rFont val="Arial"/>
        <family val="0"/>
        <charset val="1"/>
      </rPr>
      <t xml:space="preserve">1%</t>
    </r>
    <r>
      <rPr>
        <sz val="10"/>
        <rFont val="Noto Sans CJK SC"/>
        <family val="2"/>
      </rPr>
      <t xml:space="preserve">台の実態【ショート】</t>
    </r>
  </si>
  <si>
    <t xml:space="preserve">w8KmKhjvyNs</t>
  </si>
  <si>
    <r>
      <rPr>
        <sz val="10"/>
        <rFont val="Arial"/>
        <family val="0"/>
        <charset val="1"/>
      </rPr>
      <t xml:space="preserve">ASUS</t>
    </r>
    <r>
      <rPr>
        <sz val="10"/>
        <rFont val="Noto Sans CJK SC"/>
        <family val="2"/>
      </rPr>
      <t xml:space="preserve">の年収が本当は気になる ゲーミング売上が約</t>
    </r>
    <r>
      <rPr>
        <sz val="10"/>
        <rFont val="Arial"/>
        <family val="0"/>
        <charset val="1"/>
      </rPr>
      <t xml:space="preserve">4,800</t>
    </r>
    <r>
      <rPr>
        <sz val="10"/>
        <rFont val="Noto Sans CJK SC"/>
        <family val="2"/>
      </rPr>
      <t xml:space="preserve">億円【ショート】</t>
    </r>
  </si>
  <si>
    <t xml:space="preserve">nHi44PRzdes</t>
  </si>
  <si>
    <r>
      <rPr>
        <sz val="10"/>
        <rFont val="Noto Sans CJK SC"/>
        <family val="2"/>
      </rPr>
      <t xml:space="preserve">💰アジア大会の裏方企業、年収</t>
    </r>
    <r>
      <rPr>
        <sz val="10"/>
        <rFont val="Arial"/>
        <family val="0"/>
        <charset val="1"/>
      </rPr>
      <t xml:space="preserve">932</t>
    </r>
    <r>
      <rPr>
        <sz val="10"/>
        <rFont val="Noto Sans CJK SC"/>
        <family val="2"/>
      </rPr>
      <t xml:space="preserve">万円の実態💰【ショート】</t>
    </r>
  </si>
  <si>
    <t xml:space="preserve">gJ3uyNIsLIg</t>
  </si>
  <si>
    <r>
      <rPr>
        <sz val="10"/>
        <rFont val="Noto Sans CJK SC"/>
        <family val="2"/>
      </rPr>
      <t xml:space="preserve">😱ソニーグループの年収がヤバい </t>
    </r>
    <r>
      <rPr>
        <sz val="10"/>
        <rFont val="Arial"/>
        <family val="0"/>
        <charset val="1"/>
      </rPr>
      <t xml:space="preserve">1118</t>
    </r>
    <r>
      <rPr>
        <sz val="10"/>
        <rFont val="Noto Sans CJK SC"/>
        <family val="2"/>
      </rPr>
      <t xml:space="preserve">万円と</t>
    </r>
    <r>
      <rPr>
        <sz val="10"/>
        <rFont val="Arial"/>
        <family val="0"/>
        <charset val="1"/>
      </rPr>
      <t xml:space="preserve">DualSense</t>
    </r>
    <r>
      <rPr>
        <sz val="10"/>
        <rFont val="Noto Sans CJK SC"/>
        <family val="2"/>
      </rPr>
      <t xml:space="preserve">の仕事【ショート】</t>
    </r>
  </si>
  <si>
    <t xml:space="preserve">Wk0xyqjjnNQ</t>
  </si>
  <si>
    <r>
      <rPr>
        <sz val="10"/>
        <rFont val="Noto Sans CJK SC"/>
        <family val="2"/>
      </rPr>
      <t xml:space="preserve">⚠️三菱重工の年収がヤバい 平均</t>
    </r>
    <r>
      <rPr>
        <sz val="10"/>
        <rFont val="Arial"/>
        <family val="0"/>
        <charset val="1"/>
      </rPr>
      <t xml:space="preserve">965</t>
    </r>
    <r>
      <rPr>
        <sz val="10"/>
        <rFont val="Noto Sans CJK SC"/>
        <family val="2"/>
      </rPr>
      <t xml:space="preserve">万円、その裏側【ショート】</t>
    </r>
  </si>
  <si>
    <t xml:space="preserve">zq6I-VSqt5k</t>
  </si>
  <si>
    <r>
      <rPr>
        <sz val="10"/>
        <rFont val="Arial"/>
        <family val="0"/>
        <charset val="1"/>
      </rPr>
      <t xml:space="preserve">💰Uber Eats</t>
    </r>
    <r>
      <rPr>
        <sz val="10"/>
        <rFont val="Noto Sans CJK SC"/>
        <family val="2"/>
      </rPr>
      <t xml:space="preserve">配達員、本当は時給</t>
    </r>
    <r>
      <rPr>
        <sz val="10"/>
        <rFont val="Arial"/>
        <family val="0"/>
        <charset val="1"/>
      </rPr>
      <t xml:space="preserve">2,000</t>
    </r>
    <r>
      <rPr>
        <sz val="10"/>
        <rFont val="Noto Sans CJK SC"/>
        <family val="2"/>
      </rPr>
      <t xml:space="preserve">円超えもある収入の実態【ショート】</t>
    </r>
  </si>
  <si>
    <t xml:space="preserve">JHLcCe5vBdk</t>
  </si>
  <si>
    <r>
      <rPr>
        <sz val="10"/>
        <rFont val="Noto Sans CJK SC"/>
        <family val="2"/>
      </rPr>
      <t xml:space="preserve">💸資生堂の年収</t>
    </r>
    <r>
      <rPr>
        <sz val="10"/>
        <rFont val="Arial"/>
        <family val="0"/>
        <charset val="1"/>
      </rPr>
      <t xml:space="preserve">729</t>
    </r>
    <r>
      <rPr>
        <sz val="10"/>
        <rFont val="Noto Sans CJK SC"/>
        <family val="2"/>
      </rPr>
      <t xml:space="preserve">万円、実はダイバーシティの裏で何がある？【ショート】</t>
    </r>
  </si>
  <si>
    <t xml:space="preserve">Hsx8j3WyoZE</t>
  </si>
  <si>
    <r>
      <rPr>
        <sz val="10"/>
        <rFont val="Noto Sans CJK SC"/>
        <family val="2"/>
      </rPr>
      <t xml:space="preserve">📈退職金の本当は？</t>
    </r>
    <r>
      <rPr>
        <sz val="10"/>
        <rFont val="Arial"/>
        <family val="0"/>
        <charset val="1"/>
      </rPr>
      <t xml:space="preserve">3</t>
    </r>
    <r>
      <rPr>
        <sz val="10"/>
        <rFont val="Noto Sans CJK SC"/>
        <family val="2"/>
      </rPr>
      <t xml:space="preserve">社で最大</t>
    </r>
    <r>
      <rPr>
        <sz val="10"/>
        <rFont val="Arial"/>
        <family val="0"/>
        <charset val="1"/>
      </rPr>
      <t xml:space="preserve">2,000</t>
    </r>
    <r>
      <rPr>
        <sz val="10"/>
        <rFont val="Noto Sans CJK SC"/>
        <family val="2"/>
      </rPr>
      <t xml:space="preserve">万円差の実態【ショート】</t>
    </r>
  </si>
  <si>
    <t xml:space="preserve">HAgvILwPOmk</t>
  </si>
  <si>
    <r>
      <rPr>
        <sz val="10"/>
        <rFont val="Noto Sans CJK SC"/>
        <family val="2"/>
      </rPr>
      <t xml:space="preserve">💸不二家の半額ケーキ、実は年収</t>
    </r>
    <r>
      <rPr>
        <sz val="10"/>
        <rFont val="Arial"/>
        <family val="0"/>
        <charset val="1"/>
      </rPr>
      <t xml:space="preserve">549</t>
    </r>
    <r>
      <rPr>
        <sz val="10"/>
        <rFont val="Noto Sans CJK SC"/>
        <family val="2"/>
      </rPr>
      <t xml:space="preserve">万円とどう関係する？【ショート】</t>
    </r>
  </si>
  <si>
    <t xml:space="preserve">BuCRdC0KOnE</t>
  </si>
  <si>
    <r>
      <rPr>
        <sz val="10"/>
        <rFont val="Noto Sans CJK SC"/>
        <family val="2"/>
      </rPr>
      <t xml:space="preserve">💸トヨタ自動車の年収</t>
    </r>
    <r>
      <rPr>
        <sz val="10"/>
        <rFont val="Arial"/>
        <family val="0"/>
        <charset val="1"/>
      </rPr>
      <t xml:space="preserve">982</t>
    </r>
    <r>
      <rPr>
        <sz val="10"/>
        <rFont val="Noto Sans CJK SC"/>
        <family val="2"/>
      </rPr>
      <t xml:space="preserve">万円、実は手当の中身が違う【ショート】</t>
    </r>
  </si>
  <si>
    <t xml:space="preserve">5qcaDLeE9pA</t>
  </si>
  <si>
    <r>
      <rPr>
        <sz val="10"/>
        <rFont val="Noto Sans CJK SC"/>
        <family val="2"/>
      </rPr>
      <t xml:space="preserve">📉大谷翔平の年収が実は約</t>
    </r>
    <r>
      <rPr>
        <sz val="10"/>
        <rFont val="Arial"/>
        <family val="0"/>
        <charset val="1"/>
      </rPr>
      <t xml:space="preserve">160</t>
    </r>
    <r>
      <rPr>
        <sz val="10"/>
        <rFont val="Noto Sans CJK SC"/>
        <family val="2"/>
      </rPr>
      <t xml:space="preserve">億円？スポンサー契約の裏側📉【ショート】</t>
    </r>
  </si>
  <si>
    <t xml:space="preserve">D0YEi-jN2Fc</t>
  </si>
  <si>
    <r>
      <rPr>
        <sz val="10"/>
        <rFont val="Noto Sans CJK SC"/>
        <family val="2"/>
      </rPr>
      <t xml:space="preserve">三菱商事の平均年収</t>
    </r>
    <r>
      <rPr>
        <sz val="10"/>
        <rFont val="Arial"/>
        <family val="0"/>
        <charset val="1"/>
      </rPr>
      <t xml:space="preserve">2033</t>
    </r>
    <r>
      <rPr>
        <sz val="10"/>
        <rFont val="Noto Sans CJK SC"/>
        <family val="2"/>
      </rPr>
      <t xml:space="preserve">万円、その中身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</si>
  <si>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dPkVQBSCzXs</t>
  </si>
  <si>
    <r>
      <rPr>
        <sz val="10"/>
        <rFont val="Noto Sans CJK SC"/>
        <family val="2"/>
      </rPr>
      <t xml:space="preserve">📉花王の男性育休</t>
    </r>
    <r>
      <rPr>
        <sz val="10"/>
        <rFont val="Arial"/>
        <family val="0"/>
        <charset val="1"/>
      </rPr>
      <t xml:space="preserve">100%</t>
    </r>
    <r>
      <rPr>
        <sz val="10"/>
        <rFont val="Noto Sans CJK SC"/>
        <family val="2"/>
      </rPr>
      <t xml:space="preserve">、年収はいくら？実は数字の裏も見る【ショート】</t>
    </r>
  </si>
  <si>
    <t xml:space="preserve">U1nCZnLxQyM</t>
  </si>
  <si>
    <r>
      <rPr>
        <sz val="10"/>
        <rFont val="Noto Sans CJK SC"/>
        <family val="2"/>
      </rPr>
      <t xml:space="preserve">💰味の素の有給取得率、実は</t>
    </r>
    <r>
      <rPr>
        <sz val="10"/>
        <rFont val="Arial"/>
        <family val="0"/>
        <charset val="1"/>
      </rPr>
      <t xml:space="preserve">76.8% </t>
    </r>
    <r>
      <rPr>
        <sz val="10"/>
        <rFont val="Noto Sans CJK SC"/>
        <family val="2"/>
      </rPr>
      <t xml:space="preserve">年収と残業の本当は？💸【ショート】</t>
    </r>
  </si>
  <si>
    <t xml:space="preserve">pdiI6XvYoyk</t>
  </si>
  <si>
    <r>
      <rPr>
        <sz val="10"/>
        <rFont val="Arial"/>
        <family val="0"/>
        <charset val="1"/>
      </rPr>
      <t xml:space="preserve">📉JR</t>
    </r>
    <r>
      <rPr>
        <sz val="10"/>
        <rFont val="Noto Sans CJK SC"/>
        <family val="2"/>
      </rPr>
      <t xml:space="preserve">東日本の年収</t>
    </r>
    <r>
      <rPr>
        <sz val="10"/>
        <rFont val="Arial"/>
        <family val="0"/>
        <charset val="1"/>
      </rPr>
      <t xml:space="preserve">810</t>
    </r>
    <r>
      <rPr>
        <sz val="10"/>
        <rFont val="Noto Sans CJK SC"/>
        <family val="2"/>
      </rPr>
      <t xml:space="preserve">万円、本当は休日</t>
    </r>
    <r>
      <rPr>
        <sz val="10"/>
        <rFont val="Arial"/>
        <family val="0"/>
        <charset val="1"/>
      </rPr>
      <t xml:space="preserve">124</t>
    </r>
    <r>
      <rPr>
        <sz val="10"/>
        <rFont val="Noto Sans CJK SC"/>
        <family val="2"/>
      </rPr>
      <t xml:space="preserve">日とのバランス💸【ショート】</t>
    </r>
  </si>
  <si>
    <t xml:space="preserve">wIcx5yV-3QQ</t>
  </si>
  <si>
    <r>
      <rPr>
        <sz val="10"/>
        <rFont val="Arial"/>
        <family val="0"/>
        <charset val="1"/>
      </rPr>
      <t xml:space="preserve">💸GU</t>
    </r>
    <r>
      <rPr>
        <sz val="10"/>
        <rFont val="Noto Sans CJK SC"/>
        <family val="2"/>
      </rPr>
      <t xml:space="preserve">の年収、実はポケモンコラボで上がるのか？平均</t>
    </r>
    <r>
      <rPr>
        <sz val="10"/>
        <rFont val="Arial"/>
        <family val="0"/>
        <charset val="1"/>
      </rPr>
      <t xml:space="preserve">959</t>
    </r>
    <r>
      <rPr>
        <sz val="10"/>
        <rFont val="Noto Sans CJK SC"/>
        <family val="2"/>
      </rPr>
      <t xml:space="preserve">万円の裏側💸【ショート】</t>
    </r>
  </si>
  <si>
    <t xml:space="preserve">QkYPUi8JeYU</t>
  </si>
  <si>
    <r>
      <rPr>
        <sz val="10"/>
        <rFont val="Noto Sans CJK SC"/>
        <family val="2"/>
      </rPr>
      <t xml:space="preserve">📈動画作りに課金しすぎた男、年収</t>
    </r>
    <r>
      <rPr>
        <sz val="10"/>
        <rFont val="Arial"/>
        <family val="0"/>
        <charset val="1"/>
      </rPr>
      <t xml:space="preserve">480</t>
    </r>
    <r>
      <rPr>
        <sz val="10"/>
        <rFont val="Noto Sans CJK SC"/>
        <family val="2"/>
      </rPr>
      <t xml:space="preserve">万円で転職できる？【ショート】</t>
    </r>
  </si>
  <si>
    <t xml:space="preserve">_F-orq4tyjg</t>
  </si>
  <si>
    <r>
      <rPr>
        <sz val="10"/>
        <rFont val="Noto Sans CJK SC"/>
        <family val="2"/>
      </rPr>
      <t xml:space="preserve">📉サイバーエージェントの年収</t>
    </r>
    <r>
      <rPr>
        <sz val="10"/>
        <rFont val="Arial"/>
        <family val="0"/>
        <charset val="1"/>
      </rPr>
      <t xml:space="preserve">773</t>
    </r>
    <r>
      <rPr>
        <sz val="10"/>
        <rFont val="Noto Sans CJK SC"/>
        <family val="2"/>
      </rPr>
      <t xml:space="preserve">万円、平均年齢</t>
    </r>
    <r>
      <rPr>
        <sz val="10"/>
        <rFont val="Arial"/>
        <family val="0"/>
        <charset val="1"/>
      </rPr>
      <t xml:space="preserve">33</t>
    </r>
    <r>
      <rPr>
        <sz val="10"/>
        <rFont val="Noto Sans CJK SC"/>
        <family val="2"/>
      </rPr>
      <t xml:space="preserve">歳の本当は【ショート】</t>
    </r>
  </si>
  <si>
    <t xml:space="preserve">cRl1YYULK94</t>
  </si>
  <si>
    <r>
      <rPr>
        <sz val="10"/>
        <rFont val="Arial"/>
        <family val="0"/>
        <charset val="1"/>
      </rPr>
      <t xml:space="preserve">Netflix</t>
    </r>
    <r>
      <rPr>
        <sz val="10"/>
        <rFont val="Noto Sans CJK SC"/>
        <family val="2"/>
      </rPr>
      <t xml:space="preserve">の月額</t>
    </r>
    <r>
      <rPr>
        <sz val="10"/>
        <rFont val="Arial"/>
        <family val="0"/>
        <charset val="1"/>
      </rPr>
      <t xml:space="preserve">1,590</t>
    </r>
    <r>
      <rPr>
        <sz val="10"/>
        <rFont val="Noto Sans CJK SC"/>
        <family val="2"/>
      </rPr>
      <t xml:space="preserve">円、本当はどこに消える？【ショート】</t>
    </r>
  </si>
  <si>
    <t xml:space="preserve">g8k4eqeaqrU</t>
  </si>
  <si>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</si>
  <si>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5ZSa9g9aPws</t>
  </si>
  <si>
    <r>
      <rPr>
        <sz val="10"/>
        <rFont val="Noto Sans CJK SC"/>
        <family val="2"/>
      </rPr>
      <t xml:space="preserve">航空自衛隊千歳の正体、年収</t>
    </r>
    <r>
      <rPr>
        <sz val="10"/>
        <rFont val="Arial"/>
        <family val="0"/>
        <charset val="1"/>
      </rPr>
      <t xml:space="preserve">400</t>
    </r>
    <r>
      <rPr>
        <sz val="10"/>
        <rFont val="Noto Sans CJK SC"/>
        <family val="2"/>
      </rPr>
      <t xml:space="preserve">万円台の実態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</si>
  <si>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U83NADd0SjQ</t>
  </si>
  <si>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</si>
  <si>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iTLPgjOJAYE</t>
  </si>
  <si>
    <r>
      <rPr>
        <sz val="10"/>
        <rFont val="Noto Sans CJK SC"/>
        <family val="2"/>
      </rPr>
      <t xml:space="preserve">星野リゾートの推定年収</t>
    </r>
    <r>
      <rPr>
        <sz val="10"/>
        <rFont val="Arial"/>
        <family val="0"/>
        <charset val="1"/>
      </rPr>
      <t xml:space="preserve">400</t>
    </r>
    <r>
      <rPr>
        <sz val="10"/>
        <rFont val="Noto Sans CJK SC"/>
        <family val="2"/>
      </rPr>
      <t xml:space="preserve">万円、業界平均と比べると？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</si>
  <si>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kv1KNLaPkWA</t>
  </si>
  <si>
    <r>
      <rPr>
        <sz val="10"/>
        <rFont val="Noto Sans CJK SC"/>
        <family val="2"/>
      </rPr>
      <t xml:space="preserve">キーエンス年収</t>
    </r>
    <r>
      <rPr>
        <sz val="10"/>
        <rFont val="Arial"/>
        <family val="0"/>
        <charset val="1"/>
      </rPr>
      <t xml:space="preserve">2067</t>
    </r>
    <r>
      <rPr>
        <sz val="10"/>
        <rFont val="Noto Sans CJK SC"/>
        <family val="2"/>
      </rPr>
      <t xml:space="preserve">万円の内訳、残業</t>
    </r>
    <r>
      <rPr>
        <sz val="10"/>
        <rFont val="Arial"/>
        <family val="0"/>
        <charset val="1"/>
      </rPr>
      <t xml:space="preserve">37.7</t>
    </r>
    <r>
      <rPr>
        <sz val="10"/>
        <rFont val="Noto Sans CJK SC"/>
        <family val="2"/>
      </rPr>
      <t xml:space="preserve">時間と評価制度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</si>
  <si>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O6CS0R6YWFc</t>
  </si>
  <si>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万円、実は転職後に差が出る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</si>
  <si>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gqCGgFQ1aoI</t>
  </si>
  <si>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万円、実は株価上昇の裏側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</si>
  <si>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qPQwKFO9Qww</t>
  </si>
  <si>
    <r>
      <rPr>
        <sz val="10"/>
        <rFont val="Noto Sans CJK SC"/>
        <family val="2"/>
      </rPr>
      <t xml:space="preserve">伊藤忠商事の平均</t>
    </r>
    <r>
      <rPr>
        <sz val="10"/>
        <rFont val="Arial"/>
        <family val="0"/>
        <charset val="1"/>
      </rPr>
      <t xml:space="preserve">1753</t>
    </r>
    <r>
      <rPr>
        <sz val="10"/>
        <rFont val="Noto Sans CJK SC"/>
        <family val="2"/>
      </rPr>
      <t xml:space="preserve">万円、朝型勤務の実態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</si>
  <si>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FgJddOgir50</t>
  </si>
  <si>
    <r>
      <rPr>
        <sz val="10"/>
        <rFont val="Arial"/>
        <family val="0"/>
        <charset val="1"/>
      </rPr>
      <t xml:space="preserve">Apple Japan</t>
    </r>
    <r>
      <rPr>
        <sz val="10"/>
        <rFont val="Noto Sans CJK SC"/>
        <family val="2"/>
      </rPr>
      <t xml:space="preserve">の年収、実は</t>
    </r>
    <r>
      <rPr>
        <sz val="10"/>
        <rFont val="Arial"/>
        <family val="0"/>
        <charset val="1"/>
      </rPr>
      <t xml:space="preserve">1,000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</si>
  <si>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fXNdAkAm3fY</t>
  </si>
  <si>
    <r>
      <rPr>
        <sz val="10"/>
        <rFont val="Noto Sans CJK SC"/>
        <family val="2"/>
      </rPr>
      <t xml:space="preserve">トヨタ</t>
    </r>
    <r>
      <rPr>
        <sz val="10"/>
        <rFont val="Arial"/>
        <family val="0"/>
        <charset val="1"/>
      </rPr>
      <t xml:space="preserve">895</t>
    </r>
    <r>
      <rPr>
        <sz val="10"/>
        <rFont val="Noto Sans CJK SC"/>
        <family val="2"/>
      </rPr>
      <t xml:space="preserve">万円の実態、ルーミー人気を支える社員の本音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</si>
  <si>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s8mphHjGJvk</t>
  </si>
  <si>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</si>
  <si>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28XcUve__q8</t>
  </si>
  <si>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</si>
  <si>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Ofpu8j3RBAo</t>
  </si>
  <si>
    <r>
      <rPr>
        <sz val="10"/>
        <rFont val="Noto Sans CJK SC"/>
        <family val="2"/>
      </rPr>
      <t xml:space="preserve">大和ハウス工業の年収</t>
    </r>
    <r>
      <rPr>
        <sz val="10"/>
        <rFont val="Arial"/>
        <family val="0"/>
        <charset val="1"/>
      </rPr>
      <t xml:space="preserve">1000</t>
    </r>
    <r>
      <rPr>
        <sz val="10"/>
        <rFont val="Noto Sans CJK SC"/>
        <family val="2"/>
      </rPr>
      <t xml:space="preserve">万円超、残業の実態がヤバい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</si>
  <si>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cJeyyipnOdQ</t>
  </si>
  <si>
    <r>
      <rPr>
        <sz val="10"/>
        <rFont val="Noto Sans CJK SC"/>
        <family val="2"/>
      </rPr>
      <t xml:space="preserve">ユニクロ店長、売上</t>
    </r>
    <r>
      <rPr>
        <sz val="10"/>
        <rFont val="Arial"/>
        <family val="0"/>
        <charset val="1"/>
      </rPr>
      <t xml:space="preserve">1</t>
    </r>
    <r>
      <rPr>
        <sz val="10"/>
        <rFont val="Noto Sans CJK SC"/>
        <family val="2"/>
      </rPr>
      <t xml:space="preserve">億円を任される仕事の実態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</si>
  <si>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W9UYqysinSY</t>
  </si>
  <si>
    <r>
      <rPr>
        <sz val="10"/>
        <rFont val="Arial"/>
        <family val="0"/>
        <charset val="1"/>
      </rPr>
      <t xml:space="preserve">NTT</t>
    </r>
    <r>
      <rPr>
        <sz val="10"/>
        <rFont val="Noto Sans CJK SC"/>
        <family val="2"/>
      </rPr>
      <t xml:space="preserve">データの年収</t>
    </r>
    <r>
      <rPr>
        <sz val="10"/>
        <rFont val="Arial"/>
        <family val="0"/>
        <charset val="1"/>
      </rPr>
      <t xml:space="preserve">905</t>
    </r>
    <r>
      <rPr>
        <sz val="10"/>
        <rFont val="Noto Sans CJK SC"/>
        <family val="2"/>
      </rPr>
      <t xml:space="preserve">万円、実は在宅勤務の裏側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</si>
  <si>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d0UE__SyUks</t>
  </si>
  <si>
    <r>
      <rPr>
        <sz val="10"/>
        <rFont val="Arial"/>
        <family val="0"/>
        <charset val="1"/>
      </rPr>
      <t xml:space="preserve">Apple</t>
    </r>
    <r>
      <rPr>
        <sz val="10"/>
        <rFont val="Noto Sans CJK SC"/>
        <family val="2"/>
      </rPr>
      <t xml:space="preserve">の本当は年収約</t>
    </r>
    <r>
      <rPr>
        <sz val="10"/>
        <rFont val="Arial"/>
        <family val="0"/>
        <charset val="1"/>
      </rPr>
      <t xml:space="preserve">3,800</t>
    </r>
    <r>
      <rPr>
        <sz val="10"/>
        <rFont val="Noto Sans CJK SC"/>
        <family val="2"/>
      </rPr>
      <t xml:space="preserve">万円、新製品発表の裏側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</si>
  <si>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5AaBsO3YJW0</t>
  </si>
  <si>
    <t xml:space="preserve">2026-05-27</t>
  </si>
  <si>
    <t xml:space="preserve">【ゆっくり解説】指パキッ→脳内で何が？快感物質が大量放出！「指を鳴らした瞬間、脳で『ある物質』が大量放出される驚きの理由」</t>
  </si>
  <si>
    <t xml:space="preserve">dJv-ZdzK7Oc</t>
  </si>
  <si>
    <t xml:space="preserve">2026-06-01</t>
  </si>
  <si>
    <t xml:space="preserve">【ゆっくり解説】空気の流れがまさかの原因「シャワーカーテンが『なぜか』体に張り付いてくる本当の理由」</t>
  </si>
  <si>
    <t xml:space="preserve">nilcKHrAuTI</t>
  </si>
  <si>
    <t xml:space="preserve">2026-06-04</t>
  </si>
  <si>
    <r>
      <rPr>
        <sz val="10"/>
        <rFont val="Noto Sans CJK SC"/>
        <family val="2"/>
      </rPr>
      <t xml:space="preserve">【ゆっくり解説】なぜ昨日の記憶だけ？夢が選ぶ記憶の謎「なぜ昨日の出来事が夢に出てくるのに、</t>
    </r>
    <r>
      <rPr>
        <sz val="10"/>
        <rFont val="Arial"/>
        <family val="0"/>
        <charset val="1"/>
      </rPr>
      <t xml:space="preserve">3</t>
    </r>
    <r>
      <rPr>
        <sz val="10"/>
        <rFont val="Noto Sans CJK SC"/>
        <family val="2"/>
      </rPr>
      <t xml:space="preserve">年前の記憶は出てこない？夢が『選ぶ』記憶の法則」</t>
    </r>
  </si>
  <si>
    <t xml:space="preserve">KV7ZYcFA2lc</t>
  </si>
  <si>
    <t xml:space="preserve">2026-06-25</t>
  </si>
  <si>
    <t xml:space="preserve">冷蔵庫の上段、なぜか全然冷えてない…その『不思議な理由』が意外すぎた【ショート】</t>
  </si>
  <si>
    <t xml:space="preserve">0jbfF6rUrmg</t>
  </si>
  <si>
    <r>
      <rPr>
        <sz val="10"/>
        <rFont val="Noto Sans CJK SC"/>
        <family val="2"/>
      </rPr>
      <t xml:space="preserve">なぜ閉まる寸前でも止まるの？センサーの『待機設計』が凄すぎた</t>
    </r>
    <r>
      <rPr>
        <sz val="10"/>
        <rFont val="Arial"/>
        <family val="0"/>
        <charset val="1"/>
      </rPr>
      <t xml:space="preserve">#</t>
    </r>
    <r>
      <rPr>
        <sz val="10"/>
        <rFont val="Noto Sans CJK SC"/>
        <family val="2"/>
      </rPr>
      <t xml:space="preserve">ドアが閉まる直前に飛び込んでも間に合う…エレベーターが『あなた』を待つ本当の理由 </t>
    </r>
    <r>
      <rPr>
        <sz val="10"/>
        <rFont val="Arial"/>
        <family val="0"/>
        <charset val="1"/>
      </rPr>
      <t xml:space="preserve">#shorts </t>
    </r>
  </si>
  <si>
    <t xml:space="preserve">Vi-6U8aElkU</t>
  </si>
  <si>
    <t xml:space="preserve">2026-06-26</t>
  </si>
  <si>
    <t xml:space="preserve">なぜ端っこだけ熱い？電子レンジの『中心が冷たい』現象、実は物理の罠だった【ショート】</t>
  </si>
  <si>
    <t xml:space="preserve">7VlEXKy4m8M</t>
  </si>
  <si>
    <r>
      <rPr>
        <sz val="10"/>
        <rFont val="Noto Sans CJK SC"/>
        <family val="2"/>
      </rPr>
      <t xml:space="preserve">その色、本当に『青』？脳が見ている色と言葉がズレてる</t>
    </r>
    <r>
      <rPr>
        <sz val="10"/>
        <rFont val="Arial"/>
        <family val="0"/>
        <charset val="1"/>
      </rPr>
      <t xml:space="preserve">#</t>
    </r>
    <r>
      <rPr>
        <sz val="10"/>
        <rFont val="Noto Sans CJK SC"/>
        <family val="2"/>
      </rPr>
      <t xml:space="preserve">信号の『青』、実は緑なのになぜ『青』と呼ぶのか？日本語だけに起きた不思議な色の歴史 </t>
    </r>
    <r>
      <rPr>
        <sz val="10"/>
        <rFont val="Arial"/>
        <family val="0"/>
        <charset val="1"/>
      </rPr>
      <t xml:space="preserve">#shorts #</t>
    </r>
    <r>
      <rPr>
        <sz val="10"/>
        <rFont val="Noto Sans CJK SC"/>
        <family val="2"/>
      </rPr>
      <t xml:space="preserve">ゆっ</t>
    </r>
  </si>
  <si>
    <t xml:space="preserve">uVLTqkka02g</t>
  </si>
  <si>
    <r>
      <rPr>
        <sz val="10"/>
        <rFont val="Noto Sans CJK SC"/>
        <family val="2"/>
      </rPr>
      <t xml:space="preserve">信号は『緑』なのになぜ『青』と呼ぶ？</t>
    </r>
    <r>
      <rPr>
        <sz val="10"/>
        <rFont val="Arial"/>
        <family val="0"/>
        <charset val="1"/>
      </rPr>
      <t xml:space="preserve">#</t>
    </r>
    <r>
      <rPr>
        <sz val="10"/>
        <rFont val="Noto Sans CJK SC"/>
        <family val="2"/>
      </rPr>
      <t xml:space="preserve">信号の『青』が実は緑なのに、なぜ日本人だけ青と呼び続けるのか？ </t>
    </r>
    <r>
      <rPr>
        <sz val="10"/>
        <rFont val="Arial"/>
        <family val="0"/>
        <charset val="1"/>
      </rPr>
      <t xml:space="preserve">#shorts #</t>
    </r>
    <r>
      <rPr>
        <sz val="10"/>
        <rFont val="Noto Sans CJK SC"/>
        <family val="2"/>
      </rPr>
      <t xml:space="preserve">ゆっくり解説</t>
    </r>
  </si>
  <si>
    <t xml:space="preserve">xFK847mW54I</t>
  </si>
  <si>
    <t xml:space="preserve">2026-06-27</t>
  </si>
  <si>
    <r>
      <rPr>
        <sz val="10"/>
        <rFont val="Noto Sans CJK SC"/>
        <family val="2"/>
      </rPr>
      <t xml:space="preserve">本を読むと眠くなるのは集中できてる証拠だった</t>
    </r>
    <r>
      <rPr>
        <sz val="10"/>
        <rFont val="Arial"/>
        <family val="0"/>
        <charset val="1"/>
      </rPr>
      <t xml:space="preserve">!?#</t>
    </r>
    <r>
      <rPr>
        <sz val="10"/>
        <rFont val="Noto Sans CJK SC"/>
        <family val="2"/>
      </rPr>
      <t xml:space="preserve">本を読むと必ず眠くなる人へ — 実はあなたの脳が『ある状態』に入っているだけかもしれない </t>
    </r>
    <r>
      <rPr>
        <sz val="10"/>
        <rFont val="Arial"/>
        <family val="0"/>
        <charset val="1"/>
      </rPr>
      <t xml:space="preserve">#shorts #</t>
    </r>
    <r>
      <rPr>
        <sz val="10"/>
        <rFont val="Noto Sans CJK SC"/>
        <family val="2"/>
      </rPr>
      <t xml:space="preserve">ゆ</t>
    </r>
  </si>
  <si>
    <t xml:space="preserve">bGz_weOCYE8</t>
  </si>
  <si>
    <r>
      <rPr>
        <sz val="10"/>
        <rFont val="Noto Sans CJK SC"/>
        <family val="2"/>
      </rPr>
      <t xml:space="preserve">あなたの隣の人があくびをした。うつった？うつらなかった？——その</t>
    </r>
    <r>
      <rPr>
        <sz val="10"/>
        <rFont val="Arial"/>
        <family val="0"/>
        <charset val="1"/>
      </rPr>
      <t xml:space="preserve">0.3</t>
    </r>
    <r>
      <rPr>
        <sz val="10"/>
        <rFont val="Noto Sans CJK SC"/>
        <family val="2"/>
      </rPr>
      <t xml:space="preserve">秒の差が「ある能力」の高さを丸裸にする【ショート】</t>
    </r>
  </si>
  <si>
    <t xml:space="preserve">l79QuDzt2aE</t>
  </si>
  <si>
    <t xml:space="preserve">新しいノートを前にするとなぜか手が止まる——脳が『もったいない』と叫ぶ本当の理由【ショート】</t>
  </si>
  <si>
    <t xml:space="preserve">mQr-ZeGEf-8</t>
  </si>
  <si>
    <r>
      <rPr>
        <sz val="10"/>
        <rFont val="Noto Sans CJK SC"/>
        <family val="2"/>
      </rPr>
      <t xml:space="preserve">なぜ本だけで眠くなる？集中してるのに睡魔が来る理由</t>
    </r>
    <r>
      <rPr>
        <sz val="10"/>
        <rFont val="Arial"/>
        <family val="0"/>
        <charset val="1"/>
      </rPr>
      <t xml:space="preserve">#</t>
    </r>
    <r>
      <rPr>
        <sz val="10"/>
        <rFont val="Noto Sans CJK SC"/>
        <family val="2"/>
      </rPr>
      <t xml:space="preserve">本を読むと必ず眠くなる人が知らない、脳の『省エネモード』の正体 </t>
    </r>
    <r>
      <rPr>
        <sz val="10"/>
        <rFont val="Arial"/>
        <family val="0"/>
        <charset val="1"/>
      </rPr>
      <t xml:space="preserve">#shorts #</t>
    </r>
    <r>
      <rPr>
        <sz val="10"/>
        <rFont val="Noto Sans CJK SC"/>
        <family val="2"/>
      </rPr>
      <t xml:space="preserve">ゆっくり解説</t>
    </r>
  </si>
  <si>
    <t xml:space="preserve">wwgO_MsSoX0</t>
  </si>
  <si>
    <t xml:space="preserve">2026-06-28</t>
  </si>
  <si>
    <t xml:space="preserve">なぜ手だけ汗が出るの？緊張したとき『そこだけ』が濡れる本当の理由【ショート】</t>
  </si>
  <si>
    <t xml:space="preserve">4PzccKU_fGY</t>
  </si>
  <si>
    <r>
      <rPr>
        <sz val="10"/>
        <rFont val="Noto Sans CJK SC"/>
        <family val="2"/>
      </rPr>
      <t xml:space="preserve">なぜ隣の人は平気なのに自分だけ凍えているのか？</t>
    </r>
    <r>
      <rPr>
        <sz val="10"/>
        <rFont val="Arial"/>
        <family val="0"/>
        <charset val="1"/>
      </rPr>
      <t xml:space="preserve">#</t>
    </r>
    <r>
      <rPr>
        <sz val="10"/>
        <rFont val="Noto Sans CJK SC"/>
        <family val="2"/>
      </rPr>
      <t xml:space="preserve">同じ部屋にいるのに自分だけ寒い——その『体感温度のズレ』を生み出す</t>
    </r>
    <r>
      <rPr>
        <sz val="10"/>
        <rFont val="Arial"/>
        <family val="0"/>
        <charset val="1"/>
      </rPr>
      <t xml:space="preserve">5</t>
    </r>
    <r>
      <rPr>
        <sz val="10"/>
        <rFont val="Noto Sans CJK SC"/>
        <family val="2"/>
      </rPr>
      <t xml:space="preserve">つの正体 </t>
    </r>
    <r>
      <rPr>
        <sz val="10"/>
        <rFont val="Arial"/>
        <family val="0"/>
        <charset val="1"/>
      </rPr>
      <t xml:space="preserve">#shorts #</t>
    </r>
    <r>
      <rPr>
        <sz val="10"/>
        <rFont val="Noto Sans CJK SC"/>
        <family val="2"/>
      </rPr>
      <t xml:space="preserve">ゆっくり解説</t>
    </r>
  </si>
  <si>
    <t xml:space="preserve">F8XrdpD-ooo</t>
  </si>
  <si>
    <t xml:space="preserve">蛍光灯の下だと肌が青白く見える。あれ、実は目が『騙されている』だけって知ってた？【ショート】</t>
  </si>
  <si>
    <t xml:space="preserve">aK0i4QhOzZs</t>
  </si>
  <si>
    <r>
      <rPr>
        <sz val="10"/>
        <rFont val="Noto Sans CJK SC"/>
        <family val="2"/>
      </rPr>
      <t xml:space="preserve">なぜ隣の人は平気なのに自分だけ震えているのか？</t>
    </r>
    <r>
      <rPr>
        <sz val="10"/>
        <rFont val="Arial"/>
        <family val="0"/>
        <charset val="1"/>
      </rPr>
      <t xml:space="preserve">#</t>
    </r>
    <r>
      <rPr>
        <sz val="10"/>
        <rFont val="Noto Sans CJK SC"/>
        <family val="2"/>
      </rPr>
      <t xml:space="preserve">同じ部屋なのに自分だけ寒い…その『差』を生み出している</t>
    </r>
    <r>
      <rPr>
        <sz val="10"/>
        <rFont val="Arial"/>
        <family val="0"/>
        <charset val="1"/>
      </rPr>
      <t xml:space="preserve">5</t>
    </r>
    <r>
      <rPr>
        <sz val="10"/>
        <rFont val="Noto Sans CJK SC"/>
        <family val="2"/>
      </rPr>
      <t xml:space="preserve">つの隠れた正体 </t>
    </r>
    <r>
      <rPr>
        <sz val="10"/>
        <rFont val="Arial"/>
        <family val="0"/>
        <charset val="1"/>
      </rPr>
      <t xml:space="preserve">#shorts #</t>
    </r>
    <r>
      <rPr>
        <sz val="10"/>
        <rFont val="Noto Sans CJK SC"/>
        <family val="2"/>
      </rPr>
      <t xml:space="preserve">ゆっくり解説</t>
    </r>
  </si>
  <si>
    <t xml:space="preserve">t4Pjq56Jsu8</t>
  </si>
  <si>
    <t xml:space="preserve">2026-06-29</t>
  </si>
  <si>
    <t xml:space="preserve">くしゃみ中、なぜか目が絶対に開けられない——脳が強制的にシャットダウンする本当の理由【ショート】</t>
  </si>
  <si>
    <t xml:space="preserve">8tcYgncaSf8</t>
  </si>
  <si>
    <t xml:space="preserve">寝落ち直前に体がビクッとするのは、実は脳が『死にかけた』と勘違いしているから？【ショート】</t>
  </si>
  <si>
    <t xml:space="preserve">QDqEzWUKJA0</t>
  </si>
  <si>
    <r>
      <rPr>
        <sz val="10"/>
        <rFont val="Noto Sans CJK SC"/>
        <family val="2"/>
      </rPr>
      <t xml:space="preserve">寝てるのに体がビクッ！脳が起こす</t>
    </r>
    <r>
      <rPr>
        <sz val="10"/>
        <rFont val="Arial"/>
        <family val="0"/>
        <charset val="1"/>
      </rPr>
      <t xml:space="preserve">0.1</t>
    </r>
    <r>
      <rPr>
        <sz val="10"/>
        <rFont val="Noto Sans CJK SC"/>
        <family val="2"/>
      </rPr>
      <t xml:space="preserve">秒の誤作動</t>
    </r>
    <r>
      <rPr>
        <sz val="10"/>
        <rFont val="Arial"/>
        <family val="0"/>
        <charset val="1"/>
      </rPr>
      <t xml:space="preserve">#</t>
    </r>
    <r>
      <rPr>
        <sz val="10"/>
        <rFont val="Noto Sans CJK SC"/>
        <family val="2"/>
      </rPr>
      <t xml:space="preserve">寝落ち直前に体がビクッとなるのは、実は脳が『ある勘違い』をしているせいだった </t>
    </r>
    <r>
      <rPr>
        <sz val="10"/>
        <rFont val="Arial"/>
        <family val="0"/>
        <charset val="1"/>
      </rPr>
      <t xml:space="preserve">#shorts #</t>
    </r>
    <r>
      <rPr>
        <sz val="10"/>
        <rFont val="Noto Sans CJK SC"/>
        <family val="2"/>
      </rPr>
      <t xml:space="preserve">ゆっくり解説</t>
    </r>
  </si>
  <si>
    <t xml:space="preserve">cGfi9L2lpRY</t>
  </si>
  <si>
    <r>
      <rPr>
        <sz val="10"/>
        <rFont val="Noto Sans CJK SC"/>
        <family val="2"/>
      </rPr>
      <t xml:space="preserve">寝てるのになぜ体が跳ねる？脳が起こす</t>
    </r>
    <r>
      <rPr>
        <sz val="10"/>
        <rFont val="Arial"/>
        <family val="0"/>
        <charset val="1"/>
      </rPr>
      <t xml:space="preserve">0.1</t>
    </r>
    <r>
      <rPr>
        <sz val="10"/>
        <rFont val="Noto Sans CJK SC"/>
        <family val="2"/>
      </rPr>
      <t xml:space="preserve">秒の暴走</t>
    </r>
    <r>
      <rPr>
        <sz val="10"/>
        <rFont val="Arial"/>
        <family val="0"/>
        <charset val="1"/>
      </rPr>
      <t xml:space="preserve">#</t>
    </r>
    <r>
      <rPr>
        <sz val="10"/>
        <rFont val="Noto Sans CJK SC"/>
        <family val="2"/>
      </rPr>
      <t xml:space="preserve">寝落ちの瞬間に体がビクッ…あの『謎の震え』の正体が怖すぎる </t>
    </r>
    <r>
      <rPr>
        <sz val="10"/>
        <rFont val="Arial"/>
        <family val="0"/>
        <charset val="1"/>
      </rPr>
      <t xml:space="preserve">#shorts #</t>
    </r>
    <r>
      <rPr>
        <sz val="10"/>
        <rFont val="Noto Sans CJK SC"/>
        <family val="2"/>
      </rPr>
      <t xml:space="preserve">ゆっくり解説</t>
    </r>
  </si>
  <si>
    <t xml:space="preserve">rQtdZQRFI84</t>
  </si>
  <si>
    <t xml:space="preserve">2026-06-30</t>
  </si>
  <si>
    <r>
      <rPr>
        <sz val="10"/>
        <rFont val="Noto Sans CJK SC"/>
        <family val="2"/>
      </rPr>
      <t xml:space="preserve">録音した自分の声、別人みたいで恥ずかしくなった経験ない？実は骨が音を変えている——耳の構造に隠された驚きの仕組み</t>
    </r>
    <r>
      <rPr>
        <sz val="10"/>
        <rFont val="Arial"/>
        <family val="0"/>
        <charset val="1"/>
      </rPr>
      <t xml:space="preserve">#</t>
    </r>
    <r>
      <rPr>
        <sz val="10"/>
        <rFont val="Noto Sans CJK SC"/>
        <family val="2"/>
      </rPr>
      <t xml:space="preserve">自分の声って録音するとなぜあんなに変なの？耳の</t>
    </r>
  </si>
  <si>
    <t xml:space="preserve">ExMsokWg_uU</t>
  </si>
  <si>
    <r>
      <rPr>
        <sz val="10"/>
        <rFont val="Noto Sans CJK SC"/>
        <family val="2"/>
      </rPr>
      <t xml:space="preserve">継ぎ目ゼロなのになぜ鳴る？音の発生源が変わっていた</t>
    </r>
    <r>
      <rPr>
        <sz val="10"/>
        <rFont val="Arial"/>
        <family val="0"/>
        <charset val="1"/>
      </rPr>
      <t xml:space="preserve">#</t>
    </r>
    <r>
      <rPr>
        <sz val="10"/>
        <rFont val="Noto Sans CJK SC"/>
        <family val="2"/>
      </rPr>
      <t xml:space="preserve">毎日聞いてるのに誰も知らない『ガタンゴトン』の正体——レールに継ぎ目がないのになぜ鳴るのか？ </t>
    </r>
    <r>
      <rPr>
        <sz val="10"/>
        <rFont val="Arial"/>
        <family val="0"/>
        <charset val="1"/>
      </rPr>
      <t xml:space="preserve">#shorts</t>
    </r>
  </si>
  <si>
    <t xml:space="preserve">_BtZBwK2P6g</t>
  </si>
  <si>
    <t xml:space="preserve">2026-07-01</t>
  </si>
  <si>
    <r>
      <rPr>
        <sz val="10"/>
        <rFont val="Noto Sans CJK SC"/>
        <family val="2"/>
      </rPr>
      <t xml:space="preserve">録音の声、なぜか気持ち悪い…骨が音を変えていた</t>
    </r>
    <r>
      <rPr>
        <sz val="10"/>
        <rFont val="Arial"/>
        <family val="0"/>
        <charset val="1"/>
      </rPr>
      <t xml:space="preserve">#</t>
    </r>
    <r>
      <rPr>
        <sz val="10"/>
        <rFont val="Noto Sans CJK SC"/>
        <family val="2"/>
      </rPr>
      <t xml:space="preserve">録音した自分の声が「別人みたい」に聞こえるのは、なぜか耳の中だけの話じゃなかった </t>
    </r>
    <r>
      <rPr>
        <sz val="10"/>
        <rFont val="Arial"/>
        <family val="0"/>
        <charset val="1"/>
      </rPr>
      <t xml:space="preserve">#shorts #</t>
    </r>
    <r>
      <rPr>
        <sz val="10"/>
        <rFont val="Noto Sans CJK SC"/>
        <family val="2"/>
      </rPr>
      <t xml:space="preserve">ゆっくり解説</t>
    </r>
  </si>
  <si>
    <t xml:space="preserve">AOi86SMu4qk</t>
  </si>
  <si>
    <t xml:space="preserve">お腹ペコペコなのに、いざ食べ始めたら急に食欲が消える——あの『裏切り感』の正体、実は脳と胃が別々に動いてるせいだった【ショート】</t>
  </si>
  <si>
    <t xml:space="preserve">Vy5m7U1HWY8</t>
  </si>
  <si>
    <t xml:space="preserve">鏡の中の自分、なぜ『左右』だけ反転して見えるの？実は鏡は何も反転していなかった【ショート】</t>
  </si>
  <si>
    <t xml:space="preserve">kAtrwsJPymk</t>
  </si>
  <si>
    <r>
      <rPr>
        <sz val="10"/>
        <rFont val="Noto Sans CJK SC"/>
        <family val="2"/>
      </rPr>
      <t xml:space="preserve">録音で聞く自分の声なぜか別人に聞こえる</t>
    </r>
    <r>
      <rPr>
        <sz val="10"/>
        <rFont val="Arial"/>
        <family val="0"/>
        <charset val="1"/>
      </rPr>
      <t xml:space="preserve">#</t>
    </r>
    <r>
      <rPr>
        <sz val="10"/>
        <rFont val="Noto Sans CJK SC"/>
        <family val="2"/>
      </rPr>
      <t xml:space="preserve">なぜ録音の自分の声は『別人』に聞こえるのか？耳の中で起きていること </t>
    </r>
    <r>
      <rPr>
        <sz val="10"/>
        <rFont val="Arial"/>
        <family val="0"/>
        <charset val="1"/>
      </rPr>
      <t xml:space="preserve">#shorts #</t>
    </r>
    <r>
      <rPr>
        <sz val="10"/>
        <rFont val="Noto Sans CJK SC"/>
        <family val="2"/>
      </rPr>
      <t xml:space="preserve">ゆっくり解説</t>
    </r>
  </si>
  <si>
    <t xml:space="preserve">ukzPdoD3rJQ</t>
  </si>
  <si>
    <t xml:space="preserve">2026-07-02</t>
  </si>
  <si>
    <r>
      <rPr>
        <sz val="10"/>
        <rFont val="Noto Sans CJK SC"/>
        <family val="2"/>
      </rPr>
      <t xml:space="preserve">ブルーライトより</t>
    </r>
    <r>
      <rPr>
        <sz val="10"/>
        <rFont val="Arial"/>
        <family val="0"/>
        <charset val="1"/>
      </rPr>
      <t xml:space="preserve">100</t>
    </r>
    <r>
      <rPr>
        <sz val="10"/>
        <rFont val="Noto Sans CJK SC"/>
        <family val="2"/>
      </rPr>
      <t xml:space="preserve">倍怖い体内時計『崩壊』の正体</t>
    </r>
    <r>
      <rPr>
        <sz val="10"/>
        <rFont val="Arial"/>
        <family val="0"/>
        <charset val="1"/>
      </rPr>
      <t xml:space="preserve">#</t>
    </r>
    <r>
      <rPr>
        <sz val="10"/>
        <rFont val="Noto Sans CJK SC"/>
        <family val="2"/>
      </rPr>
      <t xml:space="preserve">深夜スマホで翌朝ぼんやりする本当の理由、ブルーライトじゃなかった </t>
    </r>
    <r>
      <rPr>
        <sz val="10"/>
        <rFont val="Arial"/>
        <family val="0"/>
        <charset val="1"/>
      </rPr>
      <t xml:space="preserve">#shorts #</t>
    </r>
    <r>
      <rPr>
        <sz val="10"/>
        <rFont val="Noto Sans CJK SC"/>
        <family val="2"/>
      </rPr>
      <t xml:space="preserve">ゆっくり解説</t>
    </r>
  </si>
  <si>
    <t xml:space="preserve">DqaOPJkRAkE</t>
  </si>
  <si>
    <r>
      <rPr>
        <sz val="10"/>
        <rFont val="Noto Sans CJK SC"/>
        <family val="2"/>
      </rPr>
      <t xml:space="preserve">えっ、ブルーライトだけじゃない？スマホが体内時計を狂わせる理由</t>
    </r>
    <r>
      <rPr>
        <sz val="10"/>
        <rFont val="Arial"/>
        <family val="0"/>
        <charset val="1"/>
      </rPr>
      <t xml:space="preserve">#</t>
    </r>
    <r>
      <rPr>
        <sz val="10"/>
        <rFont val="Noto Sans CJK SC"/>
        <family val="2"/>
      </rPr>
      <t xml:space="preserve">深夜のスマホ、翌朝のぼんやりはなぜ？実はブルーライトより怖い『概日リズム崩壊』の正体 </t>
    </r>
    <r>
      <rPr>
        <sz val="10"/>
        <rFont val="Arial"/>
        <family val="0"/>
        <charset val="1"/>
      </rPr>
      <t xml:space="preserve">#shor</t>
    </r>
  </si>
  <si>
    <t xml:space="preserve">bkRlgF7qHBk</t>
  </si>
  <si>
    <r>
      <rPr>
        <sz val="10"/>
        <rFont val="Noto Sans CJK SC"/>
        <family val="2"/>
      </rPr>
      <t xml:space="preserve">なぜパソコンのファンは突然うるさくなるのか？</t>
    </r>
    <r>
      <rPr>
        <sz val="10"/>
        <rFont val="Arial"/>
        <family val="0"/>
        <charset val="1"/>
      </rPr>
      <t xml:space="preserve">CPU</t>
    </r>
    <r>
      <rPr>
        <sz val="10"/>
        <rFont val="Noto Sans CJK SC"/>
        <family val="2"/>
      </rPr>
      <t xml:space="preserve">が『全力疾走』を始める瞬間に起きていること【ショート】</t>
    </r>
  </si>
  <si>
    <t xml:space="preserve">q7EOh-isqm8</t>
  </si>
  <si>
    <t xml:space="preserve">2026-07-03</t>
  </si>
  <si>
    <r>
      <rPr>
        <sz val="10"/>
        <rFont val="Noto Sans CJK SC"/>
        <family val="2"/>
      </rPr>
      <t xml:space="preserve">録音の声がキモい理由骨が音を変えていた</t>
    </r>
    <r>
      <rPr>
        <sz val="10"/>
        <rFont val="Arial"/>
        <family val="0"/>
        <charset val="1"/>
      </rPr>
      <t xml:space="preserve">#</t>
    </r>
    <r>
      <rPr>
        <sz val="10"/>
        <rFont val="Noto Sans CJK SC"/>
        <family val="2"/>
      </rPr>
      <t xml:space="preserve">自分の声が録音だと気持ち悪く聞こえる…あの違和感の正体、実は耳の中にあった </t>
    </r>
    <r>
      <rPr>
        <sz val="10"/>
        <rFont val="Arial"/>
        <family val="0"/>
        <charset val="1"/>
      </rPr>
      <t xml:space="preserve">#shorts #</t>
    </r>
    <r>
      <rPr>
        <sz val="10"/>
        <rFont val="Noto Sans CJK SC"/>
        <family val="2"/>
      </rPr>
      <t xml:space="preserve">ゆっくり解説</t>
    </r>
  </si>
  <si>
    <t xml:space="preserve">Se_H0iH0wYM</t>
  </si>
  <si>
    <r>
      <rPr>
        <sz val="10"/>
        <rFont val="Noto Sans CJK SC"/>
        <family val="2"/>
      </rPr>
      <t xml:space="preserve">録音の自分の声、別人すぎる問題実は</t>
    </r>
    <r>
      <rPr>
        <sz val="10"/>
        <rFont val="Arial"/>
        <family val="0"/>
        <charset val="1"/>
      </rPr>
      <t xml:space="preserve">97%</t>
    </r>
    <r>
      <rPr>
        <sz val="10"/>
        <rFont val="Noto Sans CJK SC"/>
        <family val="2"/>
      </rPr>
      <t xml:space="preserve">の人が同じ衝撃を受けている</t>
    </r>
    <r>
      <rPr>
        <sz val="10"/>
        <rFont val="Arial"/>
        <family val="0"/>
        <charset val="1"/>
      </rPr>
      <t xml:space="preserve">#</t>
    </r>
    <r>
      <rPr>
        <sz val="10"/>
        <rFont val="Noto Sans CJK SC"/>
        <family val="2"/>
      </rPr>
      <t xml:space="preserve">なぜ録音した自分の声だけ別人みたいに聞こえるの？耳の中で起きていること </t>
    </r>
    <r>
      <rPr>
        <sz val="10"/>
        <rFont val="Arial"/>
        <family val="0"/>
        <charset val="1"/>
      </rPr>
      <t xml:space="preserve">#shorts #</t>
    </r>
    <r>
      <rPr>
        <sz val="10"/>
        <rFont val="Noto Sans CJK SC"/>
        <family val="2"/>
      </rPr>
      <t xml:space="preserve">ゆ</t>
    </r>
  </si>
  <si>
    <t xml:space="preserve">XFhwh-182LE</t>
  </si>
  <si>
    <t xml:space="preserve">同じ空を見ているのに、あなたと私で『青』が違う色に見えているかもしれない理由【ショート】</t>
  </si>
  <si>
    <t xml:space="preserve">ZD2grlsF0Ss</t>
  </si>
  <si>
    <r>
      <rPr>
        <sz val="10"/>
        <rFont val="Noto Sans CJK SC"/>
        <family val="2"/>
      </rPr>
      <t xml:space="preserve">夢を忘れる理由、実は脳が『意図的に』消している？</t>
    </r>
    <r>
      <rPr>
        <sz val="10"/>
        <rFont val="Arial"/>
        <family val="0"/>
        <charset val="1"/>
      </rPr>
      <t xml:space="preserve">99%</t>
    </r>
    <r>
      <rPr>
        <sz val="10"/>
        <rFont val="Noto Sans CJK SC"/>
        <family val="2"/>
      </rPr>
      <t xml:space="preserve">が知らない睡眠中の脳の秘密</t>
    </r>
    <r>
      <rPr>
        <sz val="10"/>
        <rFont val="Arial"/>
        <family val="0"/>
        <charset val="1"/>
      </rPr>
      <t xml:space="preserve">#</t>
    </r>
    <r>
      <rPr>
        <sz val="10"/>
        <rFont val="Noto Sans CJK SC"/>
        <family val="2"/>
      </rPr>
      <t xml:space="preserve">朝起きると夢を忘れているのに、なぜ夢を見た『感覚』だけは残っているのか </t>
    </r>
    <r>
      <rPr>
        <sz val="10"/>
        <rFont val="Arial"/>
        <family val="0"/>
        <charset val="1"/>
      </rPr>
      <t xml:space="preserve">#sh</t>
    </r>
  </si>
  <si>
    <t xml:space="preserve">frcdcbOYvbI</t>
  </si>
  <si>
    <t xml:space="preserve">2026-07-05</t>
  </si>
  <si>
    <r>
      <rPr>
        <sz val="10"/>
        <rFont val="Noto Sans CJK SC"/>
        <family val="2"/>
      </rPr>
      <t xml:space="preserve">録音の声＝別人に聞こえる理由骨が音を変えていた！</t>
    </r>
    <r>
      <rPr>
        <sz val="10"/>
        <rFont val="Arial"/>
        <family val="0"/>
        <charset val="1"/>
      </rPr>
      <t xml:space="preserve">#</t>
    </r>
    <r>
      <rPr>
        <sz val="10"/>
        <rFont val="Noto Sans CJK SC"/>
        <family val="2"/>
      </rPr>
      <t xml:space="preserve">なぜ録音の自分の声だけ「別人」に聞こえるのか？耳の中で起きていること </t>
    </r>
    <r>
      <rPr>
        <sz val="10"/>
        <rFont val="Arial"/>
        <family val="0"/>
        <charset val="1"/>
      </rPr>
      <t xml:space="preserve">#shorts #</t>
    </r>
    <r>
      <rPr>
        <sz val="10"/>
        <rFont val="Noto Sans CJK SC"/>
        <family val="2"/>
      </rPr>
      <t xml:space="preserve">ゆっくり解説</t>
    </r>
  </si>
  <si>
    <t xml:space="preserve">DPGbnUVj2Po</t>
  </si>
  <si>
    <r>
      <rPr>
        <sz val="10"/>
        <rFont val="Noto Sans CJK SC"/>
        <family val="2"/>
      </rPr>
      <t xml:space="preserve">自分の声、録音で聞くと変じゃない？実は耳の『ある仕組み』が原因なんです。</t>
    </r>
    <r>
      <rPr>
        <sz val="10"/>
        <rFont val="Arial"/>
        <family val="0"/>
        <charset val="1"/>
      </rPr>
      <t xml:space="preserve">#</t>
    </r>
    <r>
      <rPr>
        <sz val="10"/>
        <rFont val="Noto Sans CJK SC"/>
        <family val="2"/>
      </rPr>
      <t xml:space="preserve">なぜ自分の声だけ？録音で変に聞こえる本当の理由 </t>
    </r>
    <r>
      <rPr>
        <sz val="10"/>
        <rFont val="Arial"/>
        <family val="0"/>
        <charset val="1"/>
      </rPr>
      <t xml:space="preserve">#shorts #</t>
    </r>
    <r>
      <rPr>
        <sz val="10"/>
        <rFont val="Noto Sans CJK SC"/>
        <family val="2"/>
      </rPr>
      <t xml:space="preserve">ゆっくり解説</t>
    </r>
  </si>
  <si>
    <t xml:space="preserve">EmZMg3TiSZk</t>
  </si>
  <si>
    <t xml:space="preserve">体調が悪いときだけ甘いものが異常に食べたくなるのは、なぜか？【ショート】</t>
  </si>
  <si>
    <t xml:space="preserve">Zxtn-s7iPms</t>
  </si>
  <si>
    <t xml:space="preserve">2026-07-06</t>
  </si>
  <si>
    <t xml:space="preserve">なぜ日中に眠気が襲ってくるの？意外な『あの要因』とは【ショート】</t>
  </si>
  <si>
    <t xml:space="preserve">RpLXQJFcWuU</t>
  </si>
  <si>
    <r>
      <rPr>
        <sz val="10"/>
        <rFont val="Noto Sans CJK SC"/>
        <family val="2"/>
      </rPr>
      <t xml:space="preserve">実は、骨伝導がカギなんです！録音で声が変わる理由を解明！</t>
    </r>
    <r>
      <rPr>
        <sz val="10"/>
        <rFont val="Arial"/>
        <family val="0"/>
        <charset val="1"/>
      </rPr>
      <t xml:space="preserve">#</t>
    </r>
    <r>
      <rPr>
        <sz val="10"/>
        <rFont val="Noto Sans CJK SC"/>
        <family val="2"/>
      </rPr>
      <t xml:space="preserve">なぜ録音した自分の声は別人のように聞こえるのか？音の裏にある驚きの科学 </t>
    </r>
    <r>
      <rPr>
        <sz val="10"/>
        <rFont val="Arial"/>
        <family val="0"/>
        <charset val="1"/>
      </rPr>
      <t xml:space="preserve">#shorts #</t>
    </r>
    <r>
      <rPr>
        <sz val="10"/>
        <rFont val="Noto Sans CJK SC"/>
        <family val="2"/>
      </rPr>
      <t xml:space="preserve">ゆっくり解説</t>
    </r>
  </si>
  <si>
    <t xml:space="preserve">_nNfv189mtM</t>
  </si>
  <si>
    <t xml:space="preserve">2026-07-07</t>
  </si>
  <si>
    <r>
      <rPr>
        <sz val="10"/>
        <rFont val="Noto Sans CJK SC"/>
        <family val="2"/>
      </rPr>
      <t xml:space="preserve">録音した自分の声を聞いて驚いたことない？実は骨伝導が原因なんだ！</t>
    </r>
    <r>
      <rPr>
        <sz val="10"/>
        <rFont val="Arial"/>
        <family val="0"/>
        <charset val="1"/>
      </rPr>
      <t xml:space="preserve">#</t>
    </r>
    <r>
      <rPr>
        <sz val="10"/>
        <rFont val="Noto Sans CJK SC"/>
        <family val="2"/>
      </rPr>
      <t xml:space="preserve">録音した自分の声、なぜこんなに変？骨伝導が見せる意外すぎる真実 </t>
    </r>
    <r>
      <rPr>
        <sz val="10"/>
        <rFont val="Arial"/>
        <family val="0"/>
        <charset val="1"/>
      </rPr>
      <t xml:space="preserve">#shorts #</t>
    </r>
    <r>
      <rPr>
        <sz val="10"/>
        <rFont val="Noto Sans CJK SC"/>
        <family val="2"/>
      </rPr>
      <t xml:space="preserve">ゆっくり解説</t>
    </r>
  </si>
  <si>
    <t xml:space="preserve">FdKYK6jXtj8</t>
  </si>
  <si>
    <r>
      <rPr>
        <sz val="10"/>
        <rFont val="Noto Sans CJK SC"/>
        <family val="2"/>
      </rPr>
      <t xml:space="preserve">録音の声が別人すぎる理由骨伝導の謎を解明！</t>
    </r>
    <r>
      <rPr>
        <sz val="10"/>
        <rFont val="Arial"/>
        <family val="0"/>
        <charset val="1"/>
      </rPr>
      <t xml:space="preserve">#</t>
    </r>
    <r>
      <rPr>
        <sz val="10"/>
        <rFont val="Noto Sans CJK SC"/>
        <family val="2"/>
      </rPr>
      <t xml:space="preserve">なぜ録音の声は『別人』に聞こえるのか？実は骨伝導の意外すぎる仕組みが原因！ </t>
    </r>
    <r>
      <rPr>
        <sz val="10"/>
        <rFont val="Arial"/>
        <family val="0"/>
        <charset val="1"/>
      </rPr>
      <t xml:space="preserve">#shorts #</t>
    </r>
    <r>
      <rPr>
        <sz val="10"/>
        <rFont val="Noto Sans CJK SC"/>
        <family val="2"/>
      </rPr>
      <t xml:space="preserve">ゆっくり解説</t>
    </r>
  </si>
  <si>
    <t xml:space="preserve">UwMzQXUGZns</t>
  </si>
  <si>
    <t xml:space="preserve">お風呂上がりに眠くなるのって、実は体が『わざと』冷えようとしているせいだった【ショート】</t>
  </si>
  <si>
    <t xml:space="preserve">tI8_mL64ju4</t>
  </si>
  <si>
    <t xml:space="preserve">2026-07-08</t>
  </si>
  <si>
    <r>
      <rPr>
        <sz val="10"/>
        <rFont val="Noto Sans CJK SC"/>
        <family val="2"/>
      </rPr>
      <t xml:space="preserve">耳鳴りの本当の正体衝撃の耳の構造</t>
    </r>
    <r>
      <rPr>
        <sz val="10"/>
        <rFont val="Arial"/>
        <family val="0"/>
        <charset val="1"/>
      </rPr>
      <t xml:space="preserve">#</t>
    </r>
    <r>
      <rPr>
        <sz val="10"/>
        <rFont val="Noto Sans CJK SC"/>
        <family val="2"/>
      </rPr>
      <t xml:space="preserve">なぜそれが聞こえる？耳鳴りの衝撃的理由と実は知らない耳の構造 </t>
    </r>
    <r>
      <rPr>
        <sz val="10"/>
        <rFont val="Arial"/>
        <family val="0"/>
        <charset val="1"/>
      </rPr>
      <t xml:space="preserve">#shorts #</t>
    </r>
    <r>
      <rPr>
        <sz val="10"/>
        <rFont val="Noto Sans CJK SC"/>
        <family val="2"/>
      </rPr>
      <t xml:space="preserve">ゆっくり解説</t>
    </r>
  </si>
  <si>
    <t xml:space="preserve">KFx_pWi9RSU</t>
  </si>
  <si>
    <r>
      <rPr>
        <sz val="10"/>
        <rFont val="Noto Sans CJK SC"/>
        <family val="2"/>
      </rPr>
      <t xml:space="preserve">静寂のはずなのに…耳の中で音が生まれている</t>
    </r>
    <r>
      <rPr>
        <sz val="10"/>
        <rFont val="Arial"/>
        <family val="0"/>
        <charset val="1"/>
      </rPr>
      <t xml:space="preserve">#</t>
    </r>
    <r>
      <rPr>
        <sz val="10"/>
        <rFont val="Noto Sans CJK SC"/>
        <family val="2"/>
      </rPr>
      <t xml:space="preserve">なぜ静かな部屋でだけ耳鳴りがするのか？内耳で起きている『あの音』の正体 </t>
    </r>
    <r>
      <rPr>
        <sz val="10"/>
        <rFont val="Arial"/>
        <family val="0"/>
        <charset val="1"/>
      </rPr>
      <t xml:space="preserve">#shorts #</t>
    </r>
    <r>
      <rPr>
        <sz val="10"/>
        <rFont val="Noto Sans CJK SC"/>
        <family val="2"/>
      </rPr>
      <t xml:space="preserve">ゆっくり解説</t>
    </r>
  </si>
  <si>
    <t xml:space="preserve">UY7oSXV9-k0</t>
  </si>
  <si>
    <t xml:space="preserve">なぜ『あの日』の記憶だけ鮮明に残るのか？感情が脳に刻む痕跡の正体【ショート】</t>
  </si>
  <si>
    <t xml:space="preserve">pS59Ro3Mehg</t>
  </si>
  <si>
    <t xml:space="preserve">2026-07-09</t>
  </si>
  <si>
    <t xml:space="preserve">なぜあの日の痛みだけ、何年経っても忘れられないのか？【ショート】</t>
  </si>
  <si>
    <t xml:space="preserve">LGdP-4bv0wM</t>
  </si>
  <si>
    <t xml:space="preserve">なぜ夢を見ているとき目が動く？知られざる『目の謎』【ショート】</t>
  </si>
  <si>
    <t xml:space="preserve">kY2LOJFk_AY</t>
  </si>
  <si>
    <r>
      <rPr>
        <sz val="10"/>
        <rFont val="Noto Sans CJK SC"/>
        <family val="2"/>
      </rPr>
      <t xml:space="preserve">録音の声＝別人</t>
    </r>
    <r>
      <rPr>
        <sz val="10"/>
        <rFont val="Arial"/>
        <family val="0"/>
        <charset val="1"/>
      </rPr>
      <t xml:space="preserve">!?</t>
    </r>
    <r>
      <rPr>
        <sz val="10"/>
        <rFont val="Noto Sans CJK SC"/>
        <family val="2"/>
      </rPr>
      <t xml:space="preserve">骨が音を変えていた</t>
    </r>
    <r>
      <rPr>
        <sz val="10"/>
        <rFont val="Arial"/>
        <family val="0"/>
        <charset val="1"/>
      </rPr>
      <t xml:space="preserve">#</t>
    </r>
    <r>
      <rPr>
        <sz val="10"/>
        <rFont val="Noto Sans CJK SC"/>
        <family val="2"/>
      </rPr>
      <t xml:space="preserve">なぜ録音した自分の声だけ別人みたいに聞こえるのか？実は</t>
    </r>
    <r>
      <rPr>
        <sz val="10"/>
        <rFont val="Arial"/>
        <family val="0"/>
        <charset val="1"/>
      </rPr>
      <t xml:space="preserve">99%</t>
    </r>
    <r>
      <rPr>
        <sz val="10"/>
        <rFont val="Noto Sans CJK SC"/>
        <family val="2"/>
      </rPr>
      <t xml:space="preserve">が知らない耳の秘密 </t>
    </r>
    <r>
      <rPr>
        <sz val="10"/>
        <rFont val="Arial"/>
        <family val="0"/>
        <charset val="1"/>
      </rPr>
      <t xml:space="preserve">#shorts #</t>
    </r>
    <r>
      <rPr>
        <sz val="10"/>
        <rFont val="Noto Sans CJK SC"/>
        <family val="2"/>
      </rPr>
      <t xml:space="preserve">ゆっくり解説</t>
    </r>
  </si>
  <si>
    <t xml:space="preserve">mj9jNyEBtf0</t>
  </si>
  <si>
    <r>
      <rPr>
        <sz val="10"/>
        <rFont val="Noto Sans CJK SC"/>
        <family val="2"/>
      </rPr>
      <t xml:space="preserve">録音の声が「別人」に聞こえる本当の理由実は骨が音を変えていた</t>
    </r>
    <r>
      <rPr>
        <sz val="10"/>
        <rFont val="Arial"/>
        <family val="0"/>
        <charset val="1"/>
      </rPr>
      <t xml:space="preserve">#</t>
    </r>
    <r>
      <rPr>
        <sz val="10"/>
        <rFont val="Noto Sans CJK SC"/>
        <family val="2"/>
      </rPr>
      <t xml:space="preserve">なぜ録音した自分の声はあんなに気持ち悪いのか？実は</t>
    </r>
    <r>
      <rPr>
        <sz val="10"/>
        <rFont val="Arial"/>
        <family val="0"/>
        <charset val="1"/>
      </rPr>
      <t xml:space="preserve">99%</t>
    </r>
    <r>
      <rPr>
        <sz val="10"/>
        <rFont val="Noto Sans CJK SC"/>
        <family val="2"/>
      </rPr>
      <t xml:space="preserve">の人が知らない耳の二重構造の正体 </t>
    </r>
    <r>
      <rPr>
        <sz val="10"/>
        <rFont val="Arial"/>
        <family val="0"/>
        <charset val="1"/>
      </rPr>
      <t xml:space="preserve">#sho</t>
    </r>
  </si>
  <si>
    <t xml:space="preserve">uuTaNcS3fJ0</t>
  </si>
  <si>
    <t xml:space="preserve">2026-07-10</t>
  </si>
  <si>
    <r>
      <rPr>
        <sz val="10"/>
        <rFont val="Noto Sans CJK SC"/>
        <family val="2"/>
      </rPr>
      <t xml:space="preserve">自分の声が録音だと別人に聞こえる？実は骨伝導が原因だった！</t>
    </r>
    <r>
      <rPr>
        <sz val="10"/>
        <rFont val="Arial"/>
        <family val="0"/>
        <charset val="1"/>
      </rPr>
      <t xml:space="preserve">#</t>
    </r>
    <r>
      <rPr>
        <sz val="10"/>
        <rFont val="Noto Sans CJK SC"/>
        <family val="2"/>
      </rPr>
      <t xml:space="preserve">なぜ自分の声は録音で別人に聞こえるのか？意外すぎる理由 </t>
    </r>
    <r>
      <rPr>
        <sz val="10"/>
        <rFont val="Arial"/>
        <family val="0"/>
        <charset val="1"/>
      </rPr>
      <t xml:space="preserve">#shorts #</t>
    </r>
    <r>
      <rPr>
        <sz val="10"/>
        <rFont val="Noto Sans CJK SC"/>
        <family val="2"/>
      </rPr>
      <t xml:space="preserve">ゆっくり解説</t>
    </r>
  </si>
  <si>
    <t xml:space="preserve">6bla1bu2Dyg</t>
  </si>
  <si>
    <r>
      <rPr>
        <sz val="10"/>
        <rFont val="Noto Sans CJK SC"/>
        <family val="2"/>
      </rPr>
      <t xml:space="preserve">録音の声が違う？それは骨伝導が原因！</t>
    </r>
    <r>
      <rPr>
        <sz val="10"/>
        <rFont val="Arial"/>
        <family val="0"/>
        <charset val="1"/>
      </rPr>
      <t xml:space="preserve">#</t>
    </r>
    <r>
      <rPr>
        <sz val="10"/>
        <rFont val="Noto Sans CJK SC"/>
        <family val="2"/>
      </rPr>
      <t xml:space="preserve">録音した声が別人に聞こえる理由、実は骨伝導が原因だった！ </t>
    </r>
    <r>
      <rPr>
        <sz val="10"/>
        <rFont val="Arial"/>
        <family val="0"/>
        <charset val="1"/>
      </rPr>
      <t xml:space="preserve">#shorts #</t>
    </r>
    <r>
      <rPr>
        <sz val="10"/>
        <rFont val="Noto Sans CJK SC"/>
        <family val="2"/>
      </rPr>
      <t xml:space="preserve">ゆっくり解説</t>
    </r>
  </si>
  <si>
    <t xml:space="preserve">ijsgEyFJFrg</t>
  </si>
  <si>
    <t xml:space="preserve">なぜか不自然？視覚が騙される瞬間の正体とは【ショート】</t>
  </si>
  <si>
    <t xml:space="preserve">sdJgfJ5UOlc</t>
  </si>
  <si>
    <t xml:space="preserve">2026-07-11</t>
  </si>
  <si>
    <t xml:space="preserve">なぜ夢を見ると疲れが残るのか？脳の意外な『働きすぎ』の実態【ショート】</t>
  </si>
  <si>
    <t xml:space="preserve">GkbtNc9a4XU</t>
  </si>
  <si>
    <r>
      <rPr>
        <sz val="10"/>
        <rFont val="Noto Sans CJK SC"/>
        <family val="2"/>
      </rPr>
      <t xml:space="preserve">録音で声が変わる理由とは？骨が関係するって知ってた？</t>
    </r>
    <r>
      <rPr>
        <sz val="10"/>
        <rFont val="Arial"/>
        <family val="0"/>
        <charset val="1"/>
      </rPr>
      <t xml:space="preserve">#</t>
    </r>
    <r>
      <rPr>
        <sz val="10"/>
        <rFont val="Noto Sans CJK SC"/>
        <family val="2"/>
      </rPr>
      <t xml:space="preserve">録音した自分の声が変に聞こえる本当の理由、実は骨の作用だった！ </t>
    </r>
    <r>
      <rPr>
        <sz val="10"/>
        <rFont val="Arial"/>
        <family val="0"/>
        <charset val="1"/>
      </rPr>
      <t xml:space="preserve">#shorts #</t>
    </r>
    <r>
      <rPr>
        <sz val="10"/>
        <rFont val="Noto Sans CJK SC"/>
        <family val="2"/>
      </rPr>
      <t xml:space="preserve">ゆっくり解説</t>
    </r>
  </si>
  <si>
    <t xml:space="preserve">Z6zT3uFszow</t>
  </si>
  <si>
    <r>
      <rPr>
        <sz val="10"/>
        <rFont val="Noto Sans CJK SC"/>
        <family val="2"/>
      </rPr>
      <t xml:space="preserve">録音の声＝本当の自分の声低音が約</t>
    </r>
    <r>
      <rPr>
        <sz val="10"/>
        <rFont val="Arial"/>
        <family val="0"/>
        <charset val="1"/>
      </rPr>
      <t xml:space="preserve">10dB</t>
    </r>
    <r>
      <rPr>
        <sz val="10"/>
        <rFont val="Noto Sans CJK SC"/>
        <family val="2"/>
      </rPr>
      <t xml:space="preserve">消える！</t>
    </r>
    <r>
      <rPr>
        <sz val="10"/>
        <rFont val="Arial"/>
        <family val="0"/>
        <charset val="1"/>
      </rPr>
      <t xml:space="preserve">#</t>
    </r>
    <r>
      <rPr>
        <sz val="10"/>
        <rFont val="Noto Sans CJK SC"/>
        <family val="2"/>
      </rPr>
      <t xml:space="preserve">録音した自分の声が別人みたいに聞こえる本当の理由——なぜか耳だけが知らない「もう一つの自分の声」 </t>
    </r>
    <r>
      <rPr>
        <sz val="10"/>
        <rFont val="Arial"/>
        <family val="0"/>
        <charset val="1"/>
      </rPr>
      <t xml:space="preserve">#short</t>
    </r>
  </si>
  <si>
    <t xml:space="preserve">k7uPKrOEzNA</t>
  </si>
  <si>
    <t xml:space="preserve">2026-07-12</t>
  </si>
  <si>
    <r>
      <rPr>
        <sz val="10"/>
        <rFont val="Noto Sans CJK SC"/>
        <family val="2"/>
      </rPr>
      <t xml:space="preserve">かゆい場所が選ばれてる</t>
    </r>
    <r>
      <rPr>
        <sz val="10"/>
        <rFont val="Arial"/>
        <family val="0"/>
        <charset val="1"/>
      </rPr>
      <t xml:space="preserve">!?#</t>
    </r>
    <r>
      <rPr>
        <sz val="10"/>
        <rFont val="Noto Sans CJK SC"/>
        <family val="2"/>
      </rPr>
      <t xml:space="preserve">突然のかゆみ、実は『皮膚の反乱』が起こっていた</t>
    </r>
    <r>
      <rPr>
        <sz val="10"/>
        <rFont val="Arial"/>
        <family val="0"/>
        <charset val="1"/>
      </rPr>
      <t xml:space="preserve">!? #</t>
    </r>
    <r>
      <rPr>
        <sz val="10"/>
        <rFont val="Noto Sans CJK SC"/>
        <family val="2"/>
      </rPr>
      <t xml:space="preserve">なぜかかる意外な理由 </t>
    </r>
    <r>
      <rPr>
        <sz val="10"/>
        <rFont val="Arial"/>
        <family val="0"/>
        <charset val="1"/>
      </rPr>
      <t xml:space="preserve">#shorts #</t>
    </r>
    <r>
      <rPr>
        <sz val="10"/>
        <rFont val="Noto Sans CJK SC"/>
        <family val="2"/>
      </rPr>
      <t xml:space="preserve">ゆっくり解説</t>
    </r>
  </si>
  <si>
    <t xml:space="preserve">Y8fDYKcCups</t>
  </si>
  <si>
    <r>
      <rPr>
        <sz val="10"/>
        <rFont val="Noto Sans CJK SC"/>
        <family val="2"/>
      </rPr>
      <t xml:space="preserve">何もしてないのに…急にかゆくなる『本当の理由』</t>
    </r>
    <r>
      <rPr>
        <sz val="10"/>
        <rFont val="Arial"/>
        <family val="0"/>
        <charset val="1"/>
      </rPr>
      <t xml:space="preserve">#</t>
    </r>
    <r>
      <rPr>
        <sz val="10"/>
        <rFont val="Noto Sans CJK SC"/>
        <family val="2"/>
      </rPr>
      <t xml:space="preserve">なぜ何もしていないのに体が急にかゆくなるのか？ — 皮膚の『かゆみセンサー』の正体 </t>
    </r>
    <r>
      <rPr>
        <sz val="10"/>
        <rFont val="Arial"/>
        <family val="0"/>
        <charset val="1"/>
      </rPr>
      <t xml:space="preserve">#shorts #</t>
    </r>
    <r>
      <rPr>
        <sz val="10"/>
        <rFont val="Noto Sans CJK SC"/>
        <family val="2"/>
      </rPr>
      <t xml:space="preserve">ゆっくり解</t>
    </r>
  </si>
  <si>
    <t xml:space="preserve">vKnro778d50</t>
  </si>
  <si>
    <t xml:space="preserve">2026-07-13</t>
  </si>
  <si>
    <r>
      <rPr>
        <sz val="10"/>
        <rFont val="Noto Sans CJK SC"/>
        <family val="2"/>
      </rPr>
      <t xml:space="preserve">耳が痛いと音が…聞こえづらい理由は？</t>
    </r>
    <r>
      <rPr>
        <sz val="10"/>
        <rFont val="Arial"/>
        <family val="0"/>
        <charset val="1"/>
      </rPr>
      <t xml:space="preserve">#</t>
    </r>
    <r>
      <rPr>
        <sz val="10"/>
        <rFont val="Noto Sans CJK SC"/>
        <family val="2"/>
      </rPr>
      <t xml:space="preserve">なぜ耳が痛いと音が聞こえにくくなるのか？— 耳の構造と音の伝わり方の秘密 </t>
    </r>
    <r>
      <rPr>
        <sz val="10"/>
        <rFont val="Arial"/>
        <family val="0"/>
        <charset val="1"/>
      </rPr>
      <t xml:space="preserve">#shorts #</t>
    </r>
    <r>
      <rPr>
        <sz val="10"/>
        <rFont val="Noto Sans CJK SC"/>
        <family val="2"/>
      </rPr>
      <t xml:space="preserve">ゆっくり解説</t>
    </r>
  </si>
  <si>
    <t xml:space="preserve">5bkI49Tdx-g</t>
  </si>
  <si>
    <r>
      <rPr>
        <sz val="10"/>
        <rFont val="Noto Sans CJK SC"/>
        <family val="2"/>
      </rPr>
      <t xml:space="preserve">耳が痛いとき、音が遠くなる理由</t>
    </r>
    <r>
      <rPr>
        <sz val="10"/>
        <rFont val="Arial"/>
        <family val="0"/>
        <charset val="1"/>
      </rPr>
      <t xml:space="preserve">99%</t>
    </r>
    <r>
      <rPr>
        <sz val="10"/>
        <rFont val="Noto Sans CJK SC"/>
        <family val="2"/>
      </rPr>
      <t xml:space="preserve">が知らない『内耳』の仕組み</t>
    </r>
    <r>
      <rPr>
        <sz val="10"/>
        <rFont val="Arial"/>
        <family val="0"/>
        <charset val="1"/>
      </rPr>
      <t xml:space="preserve">#</t>
    </r>
    <r>
      <rPr>
        <sz val="10"/>
        <rFont val="Noto Sans CJK SC"/>
        <family val="2"/>
      </rPr>
      <t xml:space="preserve">耳が痛いと音が聞こえにくくなるのは『内耳』のせいだった——鼓膜・耳小骨・蝸牛、</t>
    </r>
    <r>
      <rPr>
        <sz val="10"/>
        <rFont val="Arial"/>
        <family val="0"/>
        <charset val="1"/>
      </rPr>
      <t xml:space="preserve">3</t>
    </r>
    <r>
      <rPr>
        <sz val="10"/>
        <rFont val="Noto Sans CJK SC"/>
        <family val="2"/>
      </rPr>
      <t xml:space="preserve">段階の崩壊を知っ</t>
    </r>
  </si>
  <si>
    <t xml:space="preserve">DxWPu6i4mdI</t>
  </si>
  <si>
    <t xml:space="preserve">なぜ疲れると体が冷えるのか？知られざるメカニズムが判明【ショート】</t>
  </si>
  <si>
    <t xml:space="preserve">ujQR438JAFU</t>
  </si>
  <si>
    <t xml:space="preserve">2026-07-14</t>
  </si>
  <si>
    <r>
      <rPr>
        <sz val="10"/>
        <rFont val="Noto Sans CJK SC"/>
        <family val="2"/>
      </rPr>
      <t xml:space="preserve">食後の眠気、実は脳への血流が食事直後に最大</t>
    </r>
    <r>
      <rPr>
        <sz val="10"/>
        <rFont val="Arial"/>
        <family val="0"/>
        <charset val="1"/>
      </rPr>
      <t xml:space="preserve">30%</t>
    </r>
    <r>
      <rPr>
        <sz val="10"/>
        <rFont val="Noto Sans CJK SC"/>
        <family val="2"/>
      </rPr>
      <t xml:space="preserve">も減っていた</t>
    </r>
    <r>
      <rPr>
        <sz val="10"/>
        <rFont val="Arial"/>
        <family val="0"/>
        <charset val="1"/>
      </rPr>
      <t xml:space="preserve">99%</t>
    </r>
    <r>
      <rPr>
        <sz val="10"/>
        <rFont val="Noto Sans CJK SC"/>
        <family val="2"/>
      </rPr>
      <t xml:space="preserve">が知らない「消化と睡眠」の驚くべき連鎖メカニズム</t>
    </r>
    <r>
      <rPr>
        <sz val="10"/>
        <rFont val="Arial"/>
        <family val="0"/>
        <charset val="1"/>
      </rPr>
      <t xml:space="preserve">#</t>
    </r>
    <r>
      <rPr>
        <sz val="10"/>
        <rFont val="Noto Sans CJK SC"/>
        <family val="2"/>
      </rPr>
      <t xml:space="preserve">食後に必ず眠くなるのはなぜ？血糖値だけじゃな</t>
    </r>
  </si>
  <si>
    <t xml:space="preserve">U6Y2U_p6ZGM</t>
  </si>
  <si>
    <r>
      <rPr>
        <sz val="10"/>
        <rFont val="Noto Sans CJK SC"/>
        <family val="2"/>
      </rPr>
      <t xml:space="preserve">体温</t>
    </r>
    <r>
      <rPr>
        <sz val="10"/>
        <rFont val="Arial"/>
        <family val="0"/>
        <charset val="1"/>
      </rPr>
      <t xml:space="preserve">1℃</t>
    </r>
    <r>
      <rPr>
        <sz val="10"/>
        <rFont val="Noto Sans CJK SC"/>
        <family val="2"/>
      </rPr>
      <t xml:space="preserve">で気分が変わる？</t>
    </r>
    <r>
      <rPr>
        <sz val="10"/>
        <rFont val="Arial"/>
        <family val="0"/>
        <charset val="1"/>
      </rPr>
      <t xml:space="preserve">99%</t>
    </r>
    <r>
      <rPr>
        <sz val="10"/>
        <rFont val="Noto Sans CJK SC"/>
        <family val="2"/>
      </rPr>
      <t xml:space="preserve">が知らない脳と体温の秘密</t>
    </r>
    <r>
      <rPr>
        <sz val="10"/>
        <rFont val="Arial"/>
        <family val="0"/>
        <charset val="1"/>
      </rPr>
      <t xml:space="preserve">#</t>
    </r>
    <r>
      <rPr>
        <sz val="10"/>
        <rFont val="Noto Sans CJK SC"/>
        <family val="2"/>
      </rPr>
      <t xml:space="preserve">体温が</t>
    </r>
    <r>
      <rPr>
        <sz val="10"/>
        <rFont val="Arial"/>
        <family val="0"/>
        <charset val="1"/>
      </rPr>
      <t xml:space="preserve">1℃</t>
    </r>
    <r>
      <rPr>
        <sz val="10"/>
        <rFont val="Noto Sans CJK SC"/>
        <family val="2"/>
      </rPr>
      <t xml:space="preserve">下がると「なぜか気分まで沈む」——脳と体温をつなぐ本当の仕組み </t>
    </r>
    <r>
      <rPr>
        <sz val="10"/>
        <rFont val="Arial"/>
        <family val="0"/>
        <charset val="1"/>
      </rPr>
      <t xml:space="preserve">#shorts #</t>
    </r>
    <r>
      <rPr>
        <sz val="10"/>
        <rFont val="Noto Sans CJK SC"/>
        <family val="2"/>
      </rPr>
      <t xml:space="preserve">ゆっくり解説</t>
    </r>
  </si>
  <si>
    <t xml:space="preserve">o12ZSppd5ds</t>
  </si>
  <si>
    <t xml:space="preserve">2026-07-15</t>
  </si>
  <si>
    <r>
      <rPr>
        <sz val="10"/>
        <rFont val="Noto Sans CJK SC"/>
        <family val="2"/>
      </rPr>
      <t xml:space="preserve">辛いものを食べると汗が出る、その『本当の理由』が脳の誤作動だった </t>
    </r>
    <r>
      <rPr>
        <sz val="10"/>
        <rFont val="Arial"/>
        <family val="0"/>
        <charset val="1"/>
      </rPr>
      <t xml:space="preserve">#</t>
    </r>
    <r>
      <rPr>
        <sz val="10"/>
        <rFont val="Noto Sans CJK SC"/>
        <family val="2"/>
      </rPr>
      <t xml:space="preserve">カプサイシン </t>
    </r>
    <r>
      <rPr>
        <sz val="10"/>
        <rFont val="Arial"/>
        <family val="0"/>
        <charset val="1"/>
      </rPr>
      <t xml:space="preserve">#TRPV1</t>
    </r>
    <r>
      <rPr>
        <sz val="10"/>
        <rFont val="Noto Sans CJK SC"/>
        <family val="2"/>
      </rPr>
      <t xml:space="preserve">受容体の罠【ショート】</t>
    </r>
  </si>
  <si>
    <t xml:space="preserve">18NhA40xR3Y</t>
  </si>
  <si>
    <r>
      <rPr>
        <sz val="10"/>
        <rFont val="Noto Sans CJK SC"/>
        <family val="2"/>
      </rPr>
      <t xml:space="preserve">走るたびに刺さる「あの痛み」の正体</t>
    </r>
    <r>
      <rPr>
        <sz val="10"/>
        <rFont val="Arial"/>
        <family val="0"/>
        <charset val="1"/>
      </rPr>
      <t xml:space="preserve">98%</t>
    </r>
    <r>
      <rPr>
        <sz val="10"/>
        <rFont val="Noto Sans CJK SC"/>
        <family val="2"/>
      </rPr>
      <t xml:space="preserve">のランナーが誤解している横腹痛の真実</t>
    </r>
    <r>
      <rPr>
        <sz val="10"/>
        <rFont val="Arial"/>
        <family val="0"/>
        <charset val="1"/>
      </rPr>
      <t xml:space="preserve">#</t>
    </r>
    <r>
      <rPr>
        <sz val="10"/>
        <rFont val="Noto Sans CJK SC"/>
        <family val="2"/>
      </rPr>
      <t xml:space="preserve">走ると横腹が痛くなる「本当の原因」、脾臓でも筋肉でもなかった </t>
    </r>
    <r>
      <rPr>
        <sz val="10"/>
        <rFont val="Arial"/>
        <family val="0"/>
        <charset val="1"/>
      </rPr>
      <t xml:space="preserve">#</t>
    </r>
    <r>
      <rPr>
        <sz val="10"/>
        <rFont val="Noto Sans CJK SC"/>
        <family val="2"/>
      </rPr>
      <t xml:space="preserve">横隔膜 </t>
    </r>
    <r>
      <rPr>
        <sz val="10"/>
        <rFont val="Arial"/>
        <family val="0"/>
        <charset val="1"/>
      </rPr>
      <t xml:space="preserve">#</t>
    </r>
    <r>
      <rPr>
        <sz val="10"/>
        <rFont val="Noto Sans CJK SC"/>
        <family val="2"/>
      </rPr>
      <t xml:space="preserve">運動科学</t>
    </r>
  </si>
  <si>
    <t xml:space="preserve">RdAPChiLY2Y</t>
  </si>
  <si>
    <r>
      <rPr>
        <sz val="10"/>
        <rFont val="Noto Sans CJK SC"/>
        <family val="2"/>
      </rPr>
      <t xml:space="preserve">知らない方が幸せだったかも実は耳が特別な共鳴をしている</t>
    </r>
    <r>
      <rPr>
        <sz val="10"/>
        <rFont val="Arial"/>
        <family val="0"/>
        <charset val="1"/>
      </rPr>
      <t xml:space="preserve">!#</t>
    </r>
    <r>
      <rPr>
        <sz val="10"/>
        <rFont val="Noto Sans CJK SC"/>
        <family val="2"/>
      </rPr>
      <t xml:space="preserve">なぜか耳を壊す</t>
    </r>
    <r>
      <rPr>
        <sz val="10"/>
        <rFont val="Arial"/>
        <family val="0"/>
        <charset val="1"/>
      </rPr>
      <t xml:space="preserve">!? </t>
    </r>
    <r>
      <rPr>
        <sz val="10"/>
        <rFont val="Noto Sans CJK SC"/>
        <family val="2"/>
      </rPr>
      <t xml:space="preserve">黒板の音が耐えられない科学的理由 </t>
    </r>
    <r>
      <rPr>
        <sz val="10"/>
        <rFont val="Arial"/>
        <family val="0"/>
        <charset val="1"/>
      </rPr>
      <t xml:space="preserve">#shorts #</t>
    </r>
    <r>
      <rPr>
        <sz val="10"/>
        <rFont val="Noto Sans CJK SC"/>
        <family val="2"/>
      </rPr>
      <t xml:space="preserve">ゆっくり解説</t>
    </r>
  </si>
  <si>
    <t xml:space="preserve">m0j40S-nykU</t>
  </si>
  <si>
    <t xml:space="preserve">2026-07-16</t>
  </si>
  <si>
    <r>
      <rPr>
        <sz val="10"/>
        <rFont val="Noto Sans CJK SC"/>
        <family val="2"/>
      </rPr>
      <t xml:space="preserve">くしゃみの瞬間、脳は『緊急モード』に入っていた時速</t>
    </r>
    <r>
      <rPr>
        <sz val="10"/>
        <rFont val="Arial"/>
        <family val="0"/>
        <charset val="1"/>
      </rPr>
      <t xml:space="preserve">160km</t>
    </r>
    <r>
      <rPr>
        <sz val="10"/>
        <rFont val="Noto Sans CJK SC"/>
        <family val="2"/>
      </rPr>
      <t xml:space="preserve">の爆風を体が生み出す理由</t>
    </r>
    <r>
      <rPr>
        <sz val="10"/>
        <rFont val="Arial"/>
        <family val="0"/>
        <charset val="1"/>
      </rPr>
      <t xml:space="preserve">#</t>
    </r>
    <r>
      <rPr>
        <sz val="10"/>
        <rFont val="Noto Sans CJK SC"/>
        <family val="2"/>
      </rPr>
      <t xml:space="preserve">くしゃみのとき、なぜか全身が震える——その</t>
    </r>
    <r>
      <rPr>
        <sz val="10"/>
        <rFont val="Arial"/>
        <family val="0"/>
        <charset val="1"/>
      </rPr>
      <t xml:space="preserve">0.5</t>
    </r>
    <r>
      <rPr>
        <sz val="10"/>
        <rFont val="Noto Sans CJK SC"/>
        <family val="2"/>
      </rPr>
      <t xml:space="preserve">秒に体で何が起きているのか</t>
    </r>
  </si>
  <si>
    <t xml:space="preserve">1TlUW7l6W20</t>
  </si>
  <si>
    <t xml:space="preserve">食事中に声を出すと、なぜか体が勝手に『恥ずかしい』と感じる本当の理由【ショート】</t>
  </si>
  <si>
    <t xml:space="preserve">ER-XAS7gE94</t>
  </si>
  <si>
    <r>
      <rPr>
        <sz val="10"/>
        <rFont val="Noto Sans CJK SC"/>
        <family val="2"/>
      </rPr>
      <t xml:space="preserve">髪を切っても痛くないのは死んだ細胞のせいだった！？</t>
    </r>
    <r>
      <rPr>
        <sz val="10"/>
        <rFont val="Arial"/>
        <family val="0"/>
        <charset val="1"/>
      </rPr>
      <t xml:space="preserve">#</t>
    </r>
    <r>
      <rPr>
        <sz val="10"/>
        <rFont val="Noto Sans CJK SC"/>
        <family val="2"/>
      </rPr>
      <t xml:space="preserve">なぜ髪の毛だけが痛くない？意外すぎる人体の秘密 </t>
    </r>
    <r>
      <rPr>
        <sz val="10"/>
        <rFont val="Arial"/>
        <family val="0"/>
        <charset val="1"/>
      </rPr>
      <t xml:space="preserve">#</t>
    </r>
    <r>
      <rPr>
        <sz val="10"/>
        <rFont val="Noto Sans CJK SC"/>
        <family val="2"/>
      </rPr>
      <t xml:space="preserve">髪の毛の謎 </t>
    </r>
    <r>
      <rPr>
        <sz val="10"/>
        <rFont val="Arial"/>
        <family val="0"/>
        <charset val="1"/>
      </rPr>
      <t xml:space="preserve">#shorts #</t>
    </r>
    <r>
      <rPr>
        <sz val="10"/>
        <rFont val="Noto Sans CJK SC"/>
        <family val="2"/>
      </rPr>
      <t xml:space="preserve">ゆっくり解説</t>
    </r>
  </si>
  <si>
    <t xml:space="preserve">iYHf1Deulz0</t>
  </si>
  <si>
    <t xml:space="preserve">2026-07-17</t>
  </si>
  <si>
    <r>
      <rPr>
        <sz val="10"/>
        <rFont val="Noto Sans CJK SC"/>
        <family val="2"/>
      </rPr>
      <t xml:space="preserve">夢の「数時間」は現実では何秒？脳が作り出す偽の時間の正体</t>
    </r>
    <r>
      <rPr>
        <sz val="10"/>
        <rFont val="Arial"/>
        <family val="0"/>
        <charset val="1"/>
      </rPr>
      <t xml:space="preserve">#</t>
    </r>
    <r>
      <rPr>
        <sz val="10"/>
        <rFont val="Noto Sans CJK SC"/>
        <family val="2"/>
      </rPr>
      <t xml:space="preserve">夢の中でいた「あの数時間」、実は現実では何秒だったのか？</t>
    </r>
    <r>
      <rPr>
        <sz val="10"/>
        <rFont val="Arial"/>
        <family val="0"/>
        <charset val="1"/>
      </rPr>
      <t xml:space="preserve">99%</t>
    </r>
    <r>
      <rPr>
        <sz val="10"/>
        <rFont val="Noto Sans CJK SC"/>
        <family val="2"/>
      </rPr>
      <t xml:space="preserve">が誤解している脳の時間感覚 </t>
    </r>
    <r>
      <rPr>
        <sz val="10"/>
        <rFont val="Arial"/>
        <family val="0"/>
        <charset val="1"/>
      </rPr>
      <t xml:space="preserve">#short</t>
    </r>
  </si>
  <si>
    <t xml:space="preserve">Kqvax369vKI</t>
  </si>
  <si>
    <r>
      <rPr>
        <sz val="10"/>
        <rFont val="Noto Sans CJK SC"/>
        <family val="2"/>
      </rPr>
      <t xml:space="preserve">くしゃみ</t>
    </r>
    <r>
      <rPr>
        <sz val="10"/>
        <rFont val="Arial"/>
        <family val="0"/>
        <charset val="1"/>
      </rPr>
      <t xml:space="preserve">1</t>
    </r>
    <r>
      <rPr>
        <sz val="10"/>
        <rFont val="Noto Sans CJK SC"/>
        <family val="2"/>
      </rPr>
      <t xml:space="preserve">回で時速</t>
    </r>
    <r>
      <rPr>
        <sz val="10"/>
        <rFont val="Arial"/>
        <family val="0"/>
        <charset val="1"/>
      </rPr>
      <t xml:space="preserve">160km</t>
    </r>
    <r>
      <rPr>
        <sz val="10"/>
        <rFont val="Noto Sans CJK SC"/>
        <family val="2"/>
      </rPr>
      <t xml:space="preserve">の爆風が体内を駆け抜けるその</t>
    </r>
    <r>
      <rPr>
        <sz val="10"/>
        <rFont val="Arial"/>
        <family val="0"/>
        <charset val="1"/>
      </rPr>
      <t xml:space="preserve">0.5</t>
    </r>
    <r>
      <rPr>
        <sz val="10"/>
        <rFont val="Noto Sans CJK SC"/>
        <family val="2"/>
      </rPr>
      <t xml:space="preserve">秒間に脳と体に何が起きているのか？</t>
    </r>
    <r>
      <rPr>
        <sz val="10"/>
        <rFont val="Arial"/>
        <family val="0"/>
        <charset val="1"/>
      </rPr>
      <t xml:space="preserve">#</t>
    </r>
    <r>
      <rPr>
        <sz val="10"/>
        <rFont val="Noto Sans CJK SC"/>
        <family val="2"/>
      </rPr>
      <t xml:space="preserve">くしゃみの後、なぜか体がすっきりする「本当の理由」が</t>
    </r>
    <r>
      <rPr>
        <sz val="10"/>
        <rFont val="Arial"/>
        <family val="0"/>
        <charset val="1"/>
      </rPr>
      <t xml:space="preserve">99%</t>
    </r>
    <r>
      <rPr>
        <sz val="10"/>
        <rFont val="Noto Sans CJK SC"/>
        <family val="2"/>
      </rPr>
      <t xml:space="preserve">に知</t>
    </r>
  </si>
  <si>
    <t xml:space="preserve">QsjC2ejbbw0</t>
  </si>
  <si>
    <r>
      <rPr>
        <sz val="10"/>
        <rFont val="Noto Sans CJK SC"/>
        <family val="2"/>
      </rPr>
      <t xml:space="preserve">赤ちゃんが笑うとき、脳の中で何が起きているのか？実は</t>
    </r>
    <r>
      <rPr>
        <sz val="10"/>
        <rFont val="Arial"/>
        <family val="0"/>
        <charset val="1"/>
      </rPr>
      <t xml:space="preserve">99%</t>
    </r>
    <r>
      <rPr>
        <sz val="10"/>
        <rFont val="Noto Sans CJK SC"/>
        <family val="2"/>
      </rPr>
      <t xml:space="preserve">の大人が知らない「笑い」の正体【ショート】</t>
    </r>
  </si>
  <si>
    <t xml:space="preserve">cYhfWjjWxVI</t>
  </si>
  <si>
    <t xml:space="preserve">2026-07-18</t>
  </si>
  <si>
    <r>
      <rPr>
        <sz val="10"/>
        <rFont val="Arial"/>
        <family val="0"/>
        <charset val="1"/>
      </rPr>
      <t xml:space="preserve">99%</t>
    </r>
    <r>
      <rPr>
        <sz val="10"/>
        <rFont val="Noto Sans CJK SC"/>
        <family val="2"/>
      </rPr>
      <t xml:space="preserve">が知らないアイスクリーム頭痛の発動条件</t>
    </r>
    <r>
      <rPr>
        <sz val="10"/>
        <rFont val="Arial"/>
        <family val="0"/>
        <charset val="1"/>
      </rPr>
      <t xml:space="preserve">#</t>
    </r>
    <r>
      <rPr>
        <sz val="10"/>
        <rFont val="Noto Sans CJK SC"/>
        <family val="2"/>
      </rPr>
      <t xml:space="preserve">かき氷で頭がキーンとならない人がいる、その『差』の正体 </t>
    </r>
    <r>
      <rPr>
        <sz val="10"/>
        <rFont val="Arial"/>
        <family val="0"/>
        <charset val="1"/>
      </rPr>
      <t xml:space="preserve">#shorts #</t>
    </r>
    <r>
      <rPr>
        <sz val="10"/>
        <rFont val="Noto Sans CJK SC"/>
        <family val="2"/>
      </rPr>
      <t xml:space="preserve">ゆっくり解説</t>
    </r>
  </si>
  <si>
    <t xml:space="preserve">SpC95nu6c5Y</t>
  </si>
  <si>
    <r>
      <rPr>
        <sz val="10"/>
        <rFont val="Arial"/>
        <family val="0"/>
        <charset val="1"/>
      </rPr>
      <t xml:space="preserve">99%</t>
    </r>
    <r>
      <rPr>
        <sz val="10"/>
        <rFont val="Noto Sans CJK SC"/>
        <family val="2"/>
      </rPr>
      <t xml:space="preserve">が勘違いしてるあの『鉄の味』の正体</t>
    </r>
    <r>
      <rPr>
        <sz val="10"/>
        <rFont val="Arial"/>
        <family val="0"/>
        <charset val="1"/>
      </rPr>
      <t xml:space="preserve">#</t>
    </r>
    <r>
      <rPr>
        <sz val="10"/>
        <rFont val="Noto Sans CJK SC"/>
        <family val="2"/>
      </rPr>
      <t xml:space="preserve">ステンレスのスプーンを舐めると鉄の味がする…でも実はスプーンから金属は</t>
    </r>
    <r>
      <rPr>
        <sz val="10"/>
        <rFont val="Arial"/>
        <family val="0"/>
        <charset val="1"/>
      </rPr>
      <t xml:space="preserve">1</t>
    </r>
    <r>
      <rPr>
        <sz val="10"/>
        <rFont val="Noto Sans CJK SC"/>
        <family val="2"/>
      </rPr>
      <t xml:space="preserve">ミリも溶け出していない </t>
    </r>
    <r>
      <rPr>
        <sz val="10"/>
        <rFont val="Arial"/>
        <family val="0"/>
        <charset val="1"/>
      </rPr>
      <t xml:space="preserve">#shorts #</t>
    </r>
    <r>
      <rPr>
        <sz val="10"/>
        <rFont val="Noto Sans CJK SC"/>
        <family val="2"/>
      </rPr>
      <t xml:space="preserve">ゆっ</t>
    </r>
  </si>
  <si>
    <t xml:space="preserve">TRk-eVljeRc</t>
  </si>
  <si>
    <r>
      <rPr>
        <sz val="10"/>
        <rFont val="Noto Sans CJK SC"/>
        <family val="2"/>
      </rPr>
      <t xml:space="preserve">冬だけバチッとくるのは実は</t>
    </r>
    <r>
      <rPr>
        <sz val="10"/>
        <rFont val="Arial"/>
        <family val="0"/>
        <charset val="1"/>
      </rPr>
      <t xml:space="preserve">99%</t>
    </r>
    <r>
      <rPr>
        <sz val="10"/>
        <rFont val="Noto Sans CJK SC"/>
        <family val="2"/>
      </rPr>
      <t xml:space="preserve">が誤解してる、湿度</t>
    </r>
    <r>
      <rPr>
        <sz val="10"/>
        <rFont val="Arial"/>
        <family val="0"/>
        <charset val="1"/>
      </rPr>
      <t xml:space="preserve">30%</t>
    </r>
    <r>
      <rPr>
        <sz val="10"/>
        <rFont val="Noto Sans CJK SC"/>
        <family val="2"/>
      </rPr>
      <t xml:space="preserve">を境に電子の逃げ道が消える話【ショート】</t>
    </r>
  </si>
  <si>
    <t xml:space="preserve">jXmyBjdudm4</t>
  </si>
  <si>
    <t xml:space="preserve">2026-07-19</t>
  </si>
  <si>
    <t xml:space="preserve">痛い記憶だけ、なぜか一生消えない——脳が『あの痛み』を特別扱いする本当の理由【ショート】</t>
  </si>
  <si>
    <t xml:space="preserve">9SwKFQXW8rE</t>
  </si>
  <si>
    <r>
      <rPr>
        <sz val="10"/>
        <rFont val="Noto Sans CJK SC"/>
        <family val="2"/>
      </rPr>
      <t xml:space="preserve">実は運動で脳内化学が変わる</t>
    </r>
    <r>
      <rPr>
        <sz val="10"/>
        <rFont val="Arial"/>
        <family val="0"/>
        <charset val="1"/>
      </rPr>
      <t xml:space="preserve">!? #</t>
    </r>
    <r>
      <rPr>
        <sz val="10"/>
        <rFont val="Noto Sans CJK SC"/>
        <family val="2"/>
      </rPr>
      <t xml:space="preserve">なぜ体を動かすと気分が良くなるの？ </t>
    </r>
    <r>
      <rPr>
        <sz val="10"/>
        <rFont val="Arial"/>
        <family val="0"/>
        <charset val="1"/>
      </rPr>
      <t xml:space="preserve">#</t>
    </r>
    <r>
      <rPr>
        <sz val="10"/>
        <rFont val="Noto Sans CJK SC"/>
        <family val="2"/>
      </rPr>
      <t xml:space="preserve">ゆっくり解説【ショート】</t>
    </r>
  </si>
  <si>
    <t xml:space="preserve">CG4foutM0AU</t>
  </si>
  <si>
    <r>
      <rPr>
        <sz val="10"/>
        <rFont val="Noto Sans CJK SC"/>
        <family val="2"/>
      </rPr>
      <t xml:space="preserve">砂糖</t>
    </r>
    <r>
      <rPr>
        <sz val="10"/>
        <rFont val="Arial"/>
        <family val="0"/>
        <charset val="1"/>
      </rPr>
      <t xml:space="preserve">1g</t>
    </r>
    <r>
      <rPr>
        <sz val="10"/>
        <rFont val="Noto Sans CJK SC"/>
        <family val="2"/>
      </rPr>
      <t xml:space="preserve">が脳を動かすその快感、実は罠だった？</t>
    </r>
    <r>
      <rPr>
        <sz val="10"/>
        <rFont val="Arial"/>
        <family val="0"/>
        <charset val="1"/>
      </rPr>
      <t xml:space="preserve">#</t>
    </r>
    <r>
      <rPr>
        <sz val="10"/>
        <rFont val="Noto Sans CJK SC"/>
        <family val="2"/>
      </rPr>
      <t xml:space="preserve">甘いもの、食べると「なぜか」元気が出る </t>
    </r>
    <r>
      <rPr>
        <sz val="10"/>
        <rFont val="Arial"/>
        <family val="0"/>
        <charset val="1"/>
      </rPr>
      <t xml:space="preserve">#</t>
    </r>
    <r>
      <rPr>
        <sz val="10"/>
        <rFont val="Noto Sans CJK SC"/>
        <family val="2"/>
      </rPr>
      <t xml:space="preserve">脳が隠してた本当の理由とは？ </t>
    </r>
    <r>
      <rPr>
        <sz val="10"/>
        <rFont val="Arial"/>
        <family val="0"/>
        <charset val="1"/>
      </rPr>
      <t xml:space="preserve">#shorts #</t>
    </r>
    <r>
      <rPr>
        <sz val="10"/>
        <rFont val="Noto Sans CJK SC"/>
        <family val="2"/>
      </rPr>
      <t xml:space="preserve">ゆっくり解説</t>
    </r>
  </si>
  <si>
    <t xml:space="preserve">U5HXNFFhgZk</t>
  </si>
  <si>
    <r>
      <rPr>
        <sz val="10"/>
        <rFont val="Noto Sans CJK SC"/>
        <family val="2"/>
      </rPr>
      <t xml:space="preserve">視線を向けた瞬間、消える目の端だけが知っている</t>
    </r>
    <r>
      <rPr>
        <sz val="10"/>
        <rFont val="Arial"/>
        <family val="0"/>
        <charset val="1"/>
      </rPr>
      <t xml:space="preserve">#</t>
    </r>
    <r>
      <rPr>
        <sz val="10"/>
        <rFont val="Noto Sans CJK SC"/>
        <family val="2"/>
      </rPr>
      <t xml:space="preserve">目の端にいた『それ』が正面を向いたら消えた </t>
    </r>
    <r>
      <rPr>
        <sz val="10"/>
        <rFont val="Arial"/>
        <family val="0"/>
        <charset val="1"/>
      </rPr>
      <t xml:space="preserve">#</t>
    </r>
    <r>
      <rPr>
        <sz val="10"/>
        <rFont val="Noto Sans CJK SC"/>
        <family val="2"/>
      </rPr>
      <t xml:space="preserve">なぜ視線を動かすだけで見えなくなるのか？ </t>
    </r>
    <r>
      <rPr>
        <sz val="10"/>
        <rFont val="Arial"/>
        <family val="0"/>
        <charset val="1"/>
      </rPr>
      <t xml:space="preserve">#shorts #</t>
    </r>
    <r>
      <rPr>
        <sz val="10"/>
        <rFont val="Noto Sans CJK SC"/>
        <family val="2"/>
      </rPr>
      <t xml:space="preserve">ゆっく</t>
    </r>
  </si>
  <si>
    <t xml:space="preserve">yynoV1nlN30</t>
  </si>
  <si>
    <t xml:space="preserve">2026-07-20</t>
  </si>
  <si>
    <r>
      <rPr>
        <sz val="10"/>
        <rFont val="Noto Sans CJK SC"/>
        <family val="2"/>
      </rPr>
      <t xml:space="preserve">夢の中、なぜか現実味があるのは</t>
    </r>
    <r>
      <rPr>
        <sz val="10"/>
        <rFont val="Arial"/>
        <family val="0"/>
        <charset val="1"/>
      </rPr>
      <t xml:space="preserve">?99%</t>
    </r>
    <r>
      <rPr>
        <sz val="10"/>
        <rFont val="Noto Sans CJK SC"/>
        <family val="2"/>
      </rPr>
      <t xml:space="preserve">が知らない脳のトリック</t>
    </r>
    <r>
      <rPr>
        <sz val="10"/>
        <rFont val="Arial"/>
        <family val="0"/>
        <charset val="1"/>
      </rPr>
      <t xml:space="preserve">!#</t>
    </r>
    <r>
      <rPr>
        <sz val="10"/>
        <rFont val="Noto Sans CJK SC"/>
        <family val="2"/>
      </rPr>
      <t xml:space="preserve">夢の中がリアルすぎる理由、</t>
    </r>
    <r>
      <rPr>
        <sz val="10"/>
        <rFont val="Arial"/>
        <family val="0"/>
        <charset val="1"/>
      </rPr>
      <t xml:space="preserve">99%</t>
    </r>
    <r>
      <rPr>
        <sz val="10"/>
        <rFont val="Noto Sans CJK SC"/>
        <family val="2"/>
      </rPr>
      <t xml:space="preserve">が知らない脳の不思議 </t>
    </r>
    <r>
      <rPr>
        <sz val="10"/>
        <rFont val="Arial"/>
        <family val="0"/>
        <charset val="1"/>
      </rPr>
      <t xml:space="preserve">#shorts #</t>
    </r>
    <r>
      <rPr>
        <sz val="10"/>
        <rFont val="Noto Sans CJK SC"/>
        <family val="2"/>
      </rPr>
      <t xml:space="preserve">ゆっくり解説</t>
    </r>
  </si>
  <si>
    <t xml:space="preserve">PtPcR4RAw3k</t>
  </si>
  <si>
    <r>
      <rPr>
        <sz val="10"/>
        <rFont val="Noto Sans CJK SC"/>
        <family val="2"/>
      </rPr>
      <t xml:space="preserve">視覚がすべてじゃない</t>
    </r>
    <r>
      <rPr>
        <sz val="10"/>
        <rFont val="Arial"/>
        <family val="0"/>
        <charset val="1"/>
      </rPr>
      <t xml:space="preserve">?</t>
    </r>
    <r>
      <rPr>
        <sz val="10"/>
        <rFont val="Noto Sans CJK SC"/>
        <family val="2"/>
      </rPr>
      <t xml:space="preserve">驚くべき目のメカニズム</t>
    </r>
    <r>
      <rPr>
        <sz val="10"/>
        <rFont val="Arial"/>
        <family val="0"/>
        <charset val="1"/>
      </rPr>
      <t xml:space="preserve">#</t>
    </r>
    <r>
      <rPr>
        <sz val="10"/>
        <rFont val="Noto Sans CJK SC"/>
        <family val="2"/>
      </rPr>
      <t xml:space="preserve">なぜ目の前の映像がぼやけるのか？</t>
    </r>
    <r>
      <rPr>
        <sz val="10"/>
        <rFont val="Arial"/>
        <family val="0"/>
        <charset val="1"/>
      </rPr>
      <t xml:space="preserve">99%</t>
    </r>
    <r>
      <rPr>
        <sz val="10"/>
        <rFont val="Noto Sans CJK SC"/>
        <family val="2"/>
      </rPr>
      <t xml:space="preserve">が知らない目の秘密 </t>
    </r>
    <r>
      <rPr>
        <sz val="10"/>
        <rFont val="Arial"/>
        <family val="0"/>
        <charset val="1"/>
      </rPr>
      <t xml:space="preserve">#shorts #</t>
    </r>
    <r>
      <rPr>
        <sz val="10"/>
        <rFont val="Noto Sans CJK SC"/>
        <family val="2"/>
      </rPr>
      <t xml:space="preserve">ゆっくり解説</t>
    </r>
  </si>
  <si>
    <t xml:space="preserve">X72Lw4pk9JI</t>
  </si>
  <si>
    <t xml:space="preserve">2026-07-23</t>
  </si>
  <si>
    <r>
      <rPr>
        <sz val="10"/>
        <rFont val="Noto Sans CJK SC"/>
        <family val="2"/>
      </rPr>
      <t xml:space="preserve">なぜ「あの音」で体が緩む？脳が隠していた本当の理由</t>
    </r>
    <r>
      <rPr>
        <sz val="10"/>
        <rFont val="Arial"/>
        <family val="0"/>
        <charset val="1"/>
      </rPr>
      <t xml:space="preserve">#</t>
    </r>
    <r>
      <rPr>
        <sz val="10"/>
        <rFont val="Noto Sans CJK SC"/>
        <family val="2"/>
      </rPr>
      <t xml:space="preserve">なぜ「あの音」を聴くだけで体が勝手に緩むのか？脳が隠していた本当のメカニズム </t>
    </r>
    <r>
      <rPr>
        <sz val="10"/>
        <rFont val="Arial"/>
        <family val="0"/>
        <charset val="1"/>
      </rPr>
      <t xml:space="preserve">#shorts #</t>
    </r>
    <r>
      <rPr>
        <sz val="10"/>
        <rFont val="Noto Sans CJK SC"/>
        <family val="2"/>
      </rPr>
      <t xml:space="preserve">ゆっくり解説</t>
    </r>
  </si>
  <si>
    <t xml:space="preserve">8i0JvomR9pc</t>
  </si>
  <si>
    <r>
      <rPr>
        <sz val="10"/>
        <rFont val="Arial"/>
        <family val="0"/>
        <charset val="1"/>
      </rPr>
      <t xml:space="preserve">99%</t>
    </r>
    <r>
      <rPr>
        <sz val="10"/>
        <rFont val="Noto Sans CJK SC"/>
        <family val="2"/>
      </rPr>
      <t xml:space="preserve">の人が知らない</t>
    </r>
    <r>
      <rPr>
        <sz val="10"/>
        <rFont val="Arial"/>
        <family val="0"/>
        <charset val="1"/>
      </rPr>
      <t xml:space="preserve">! </t>
    </r>
    <r>
      <rPr>
        <sz val="10"/>
        <rFont val="Noto Sans CJK SC"/>
        <family val="2"/>
      </rPr>
      <t xml:space="preserve">なぜ体がかゆくなるのか？その正体を暴く【ショート】</t>
    </r>
  </si>
  <si>
    <t xml:space="preserve">G8EMQ9bIpzQ</t>
  </si>
  <si>
    <r>
      <rPr>
        <sz val="10"/>
        <rFont val="Noto Sans CJK SC"/>
        <family val="2"/>
      </rPr>
      <t xml:space="preserve">知らない方がよかったかも食べ物の匂いが記憶を蘇らせる理由</t>
    </r>
    <r>
      <rPr>
        <sz val="10"/>
        <rFont val="Arial"/>
        <family val="0"/>
        <charset val="1"/>
      </rPr>
      <t xml:space="preserve">#</t>
    </r>
    <r>
      <rPr>
        <sz val="10"/>
        <rFont val="Noto Sans CJK SC"/>
        <family val="2"/>
      </rPr>
      <t xml:space="preserve">なぜ食べ物の匂いで記憶が蘇る？意外な脳の秘密 </t>
    </r>
    <r>
      <rPr>
        <sz val="10"/>
        <rFont val="Arial"/>
        <family val="0"/>
        <charset val="1"/>
      </rPr>
      <t xml:space="preserve">#shorts #</t>
    </r>
    <r>
      <rPr>
        <sz val="10"/>
        <rFont val="Noto Sans CJK SC"/>
        <family val="2"/>
      </rPr>
      <t xml:space="preserve">ゆっくり解説</t>
    </r>
  </si>
  <si>
    <t xml:space="preserve">Zk_i3sVEbUs</t>
  </si>
  <si>
    <t xml:space="preserve">2026-07-24</t>
  </si>
  <si>
    <r>
      <rPr>
        <sz val="10"/>
        <rFont val="Noto Sans CJK SC"/>
        <family val="2"/>
      </rPr>
      <t xml:space="preserve">夢の中で音を感じる理由実は脳が作り出した</t>
    </r>
    <r>
      <rPr>
        <sz val="10"/>
        <rFont val="Arial"/>
        <family val="0"/>
        <charset val="1"/>
      </rPr>
      <t xml:space="preserve">!?#99%</t>
    </r>
    <r>
      <rPr>
        <sz val="10"/>
        <rFont val="Noto Sans CJK SC"/>
        <family val="2"/>
      </rPr>
      <t xml:space="preserve">が知らない夢の『音』の正体 </t>
    </r>
    <r>
      <rPr>
        <sz val="10"/>
        <rFont val="Arial"/>
        <family val="0"/>
        <charset val="1"/>
      </rPr>
      <t xml:space="preserve">#shorts #</t>
    </r>
    <r>
      <rPr>
        <sz val="10"/>
        <rFont val="Noto Sans CJK SC"/>
        <family val="2"/>
      </rPr>
      <t xml:space="preserve">ゆっくり解説</t>
    </r>
  </si>
  <si>
    <t xml:space="preserve">0y3_N9vqr2E</t>
  </si>
  <si>
    <r>
      <rPr>
        <sz val="10"/>
        <rFont val="Noto Sans CJK SC"/>
        <family val="2"/>
      </rPr>
      <t xml:space="preserve">くしゃみの瞬間、目の前が光る——</t>
    </r>
    <r>
      <rPr>
        <sz val="10"/>
        <rFont val="Arial"/>
        <family val="0"/>
        <charset val="1"/>
      </rPr>
      <t xml:space="preserve">99%</t>
    </r>
    <r>
      <rPr>
        <sz val="10"/>
        <rFont val="Noto Sans CJK SC"/>
        <family val="2"/>
      </rPr>
      <t xml:space="preserve">が知らないその</t>
    </r>
    <r>
      <rPr>
        <sz val="10"/>
        <rFont val="Arial"/>
        <family val="0"/>
        <charset val="1"/>
      </rPr>
      <t xml:space="preserve">0.5</t>
    </r>
    <r>
      <rPr>
        <sz val="10"/>
        <rFont val="Noto Sans CJK SC"/>
        <family val="2"/>
      </rPr>
      <t xml:space="preserve">秒に体で何が起きているのか？【ショート】</t>
    </r>
  </si>
  <si>
    <t xml:space="preserve">N53JZw_AYmo</t>
  </si>
  <si>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が知らない脳の正体</t>
    </r>
    <r>
      <rPr>
        <sz val="10"/>
        <rFont val="Arial"/>
        <family val="0"/>
        <charset val="1"/>
      </rPr>
      <t xml:space="preserve">#</t>
    </r>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が知らない脳の同調メカニズムの正体 </t>
    </r>
    <r>
      <rPr>
        <sz val="10"/>
        <rFont val="Arial"/>
        <family val="0"/>
        <charset val="1"/>
      </rPr>
      <t xml:space="preserve">#short</t>
    </r>
  </si>
  <si>
    <t xml:space="preserve">R7-k34HZXOo</t>
  </si>
  <si>
    <t xml:space="preserve">2026-07-25</t>
  </si>
  <si>
    <r>
      <rPr>
        <sz val="10"/>
        <rFont val="Noto Sans CJK SC"/>
        <family val="2"/>
      </rPr>
      <t xml:space="preserve">耳鳴り中に特定の音が突き刺さる理由、知ってる？</t>
    </r>
    <r>
      <rPr>
        <sz val="10"/>
        <rFont val="Arial"/>
        <family val="0"/>
        <charset val="1"/>
      </rPr>
      <t xml:space="preserve">#</t>
    </r>
    <r>
      <rPr>
        <sz val="10"/>
        <rFont val="Noto Sans CJK SC"/>
        <family val="2"/>
      </rPr>
      <t xml:space="preserve">耳鳴りのとき、なぜか特定の音だけが異様に気になる——</t>
    </r>
    <r>
      <rPr>
        <sz val="10"/>
        <rFont val="Arial"/>
        <family val="0"/>
        <charset val="1"/>
      </rPr>
      <t xml:space="preserve">99%</t>
    </r>
    <r>
      <rPr>
        <sz val="10"/>
        <rFont val="Noto Sans CJK SC"/>
        <family val="2"/>
      </rPr>
      <t xml:space="preserve">が知らない聴覚の正体 </t>
    </r>
    <r>
      <rPr>
        <sz val="10"/>
        <rFont val="Arial"/>
        <family val="0"/>
        <charset val="1"/>
      </rPr>
      <t xml:space="preserve">#shorts #</t>
    </r>
    <r>
      <rPr>
        <sz val="10"/>
        <rFont val="Noto Sans CJK SC"/>
        <family val="2"/>
      </rPr>
      <t xml:space="preserve">ゆっくり解説</t>
    </r>
  </si>
  <si>
    <t xml:space="preserve">1ivF6IelB6E</t>
  </si>
  <si>
    <t xml:space="preserve">耳が急に詰まる感覚、実は鼓膜の内側で起きているある現象の正体【ショート】</t>
  </si>
  <si>
    <t xml:space="preserve">NRYdvdstG6k</t>
  </si>
  <si>
    <r>
      <rPr>
        <sz val="10"/>
        <rFont val="Noto Sans CJK SC"/>
        <family val="2"/>
      </rPr>
      <t xml:space="preserve">免疫反応が体をダルくする！風邪の真相は意外な〇〇だった？</t>
    </r>
    <r>
      <rPr>
        <sz val="10"/>
        <rFont val="Arial"/>
        <family val="0"/>
        <charset val="1"/>
      </rPr>
      <t xml:space="preserve">#</t>
    </r>
    <r>
      <rPr>
        <sz val="10"/>
        <rFont val="Noto Sans CJK SC"/>
        <family val="2"/>
      </rPr>
      <t xml:space="preserve">風邪を引くと体がだるすぎる</t>
    </r>
    <r>
      <rPr>
        <sz val="10"/>
        <rFont val="Arial"/>
        <family val="0"/>
        <charset val="1"/>
      </rPr>
      <t xml:space="preserve">!? </t>
    </r>
    <r>
      <rPr>
        <sz val="10"/>
        <rFont val="Noto Sans CJK SC"/>
        <family val="2"/>
      </rPr>
      <t xml:space="preserve">その意外な原因を徹底解明 </t>
    </r>
    <r>
      <rPr>
        <sz val="10"/>
        <rFont val="Arial"/>
        <family val="0"/>
        <charset val="1"/>
      </rPr>
      <t xml:space="preserve">#shorts #</t>
    </r>
    <r>
      <rPr>
        <sz val="10"/>
        <rFont val="Noto Sans CJK SC"/>
        <family val="2"/>
      </rPr>
      <t xml:space="preserve">ゆっくり解説</t>
    </r>
  </si>
  <si>
    <t xml:space="preserve">PtjvmltdEfQ</t>
  </si>
  <si>
    <t xml:space="preserve">2026-07-26</t>
  </si>
  <si>
    <r>
      <rPr>
        <sz val="10"/>
        <rFont val="Noto Sans CJK SC"/>
        <family val="2"/>
      </rPr>
      <t xml:space="preserve">昼寝したのになぜ余計しんどい？脳の</t>
    </r>
    <r>
      <rPr>
        <sz val="10"/>
        <rFont val="Arial"/>
        <family val="0"/>
        <charset val="1"/>
      </rPr>
      <t xml:space="preserve">90</t>
    </r>
    <r>
      <rPr>
        <sz val="10"/>
        <rFont val="Noto Sans CJK SC"/>
        <family val="2"/>
      </rPr>
      <t xml:space="preserve">分サイクルが引き起こす『睡眠慣性』の罠</t>
    </r>
    <r>
      <rPr>
        <sz val="10"/>
        <rFont val="Arial"/>
        <family val="0"/>
        <charset val="1"/>
      </rPr>
      <t xml:space="preserve">#</t>
    </r>
    <r>
      <rPr>
        <sz val="10"/>
        <rFont val="Noto Sans CJK SC"/>
        <family val="2"/>
      </rPr>
      <t xml:space="preserve">昼寝後にだるいのは睡眠のせいじゃない——脳が</t>
    </r>
    <r>
      <rPr>
        <sz val="10"/>
        <rFont val="Arial"/>
        <family val="0"/>
        <charset val="1"/>
      </rPr>
      <t xml:space="preserve">90</t>
    </r>
    <r>
      <rPr>
        <sz val="10"/>
        <rFont val="Noto Sans CJK SC"/>
        <family val="2"/>
      </rPr>
      <t xml:space="preserve">分ごとに起こしている『ある現象』の</t>
    </r>
  </si>
  <si>
    <t xml:space="preserve">ANHNPYoXiJM</t>
  </si>
  <si>
    <r>
      <rPr>
        <sz val="10"/>
        <rFont val="Noto Sans CJK SC"/>
        <family val="2"/>
      </rPr>
      <t xml:space="preserve">音が消えるのは鼓膜のせいじゃない耳の中で水が起こす『物理的封鎖』の正体</t>
    </r>
    <r>
      <rPr>
        <sz val="10"/>
        <rFont val="Arial"/>
        <family val="0"/>
        <charset val="1"/>
      </rPr>
      <t xml:space="preserve">#</t>
    </r>
    <r>
      <rPr>
        <sz val="10"/>
        <rFont val="Noto Sans CJK SC"/>
        <family val="2"/>
      </rPr>
      <t xml:space="preserve">耳に水が入ると音が消える？実は鼓膜より手前で起きている『あの現象』の正体 </t>
    </r>
    <r>
      <rPr>
        <sz val="10"/>
        <rFont val="Arial"/>
        <family val="0"/>
        <charset val="1"/>
      </rPr>
      <t xml:space="preserve">#shorts</t>
    </r>
  </si>
  <si>
    <t xml:space="preserve">hbBr6lZHOH0</t>
  </si>
  <si>
    <t xml:space="preserve">なぜ運動で気分がスッキリする？実は脳内で『あの物質』が暴走中！【ショート】</t>
  </si>
  <si>
    <t xml:space="preserve">ucP4AHpGGYY</t>
  </si>
  <si>
    <t xml:space="preserve">2026-07-28</t>
  </si>
  <si>
    <t xml:space="preserve">食欲を操る色の魔法！なぜ『色』が食欲に影響を与えるのか？【ショート】</t>
  </si>
  <si>
    <t xml:space="preserve">of3SpVIyBUE</t>
  </si>
  <si>
    <t xml:space="preserve">2026-07-29</t>
  </si>
  <si>
    <t xml:space="preserve">なぜ昼寝中の夢は現実と激しく違う？科学が解明する『夢の仕組み』【ショート】</t>
  </si>
  <si>
    <t xml:space="preserve">VWliqYoxwY4</t>
  </si>
  <si>
    <t xml:space="preserve">2026-07-31</t>
  </si>
  <si>
    <t xml:space="preserve">なぜ目の奥が痛くなる？実はそこに『隠された理由』があるんです【ショート】</t>
  </si>
  <si>
    <t xml:space="preserve">MBDx7aYZ8-E</t>
  </si>
  <si>
    <t xml:space="preserve">2026-08-01</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</si>
  <si>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時に目が覚める？体内時計が仕掛ける意外な罠【ショート】</t>
    </r>
  </si>
  <si>
    <t xml:space="preserve">H-X9rCGfP9E</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</si>
  <si>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t>
    </r>
  </si>
  <si>
    <t xml:space="preserve">Zw-8zNlQSh4</t>
  </si>
  <si>
    <t xml:space="preserve">耳鳴りの瞬間、なぜ突然やってくる？その意外な原因とは【ショート】</t>
  </si>
  <si>
    <t xml:space="preserve">xYcrtosE4XU</t>
  </si>
  <si>
    <t xml:space="preserve">2026-08-02</t>
  </si>
  <si>
    <r>
      <rPr>
        <sz val="10"/>
        <rFont val="Noto Sans CJK SC"/>
        <family val="2"/>
      </rPr>
      <t xml:space="preserve">なぜ日中の疲れで耳鳴りが悪化する？</t>
    </r>
    <r>
      <rPr>
        <sz val="10"/>
        <rFont val="Arial"/>
        <family val="0"/>
        <charset val="1"/>
      </rPr>
      <t xml:space="preserve">99%</t>
    </r>
    <r>
      <rPr>
        <sz val="10"/>
        <rFont val="Noto Sans CJK SC"/>
        <family val="2"/>
      </rPr>
      <t xml:space="preserve">が知らない体の『裏モード』の正体【ショート】</t>
    </r>
  </si>
  <si>
    <t xml:space="preserve">1sEBgmZdKKg</t>
  </si>
  <si>
    <r>
      <rPr>
        <sz val="10"/>
        <rFont val="Noto Sans CJK SC"/>
        <family val="2"/>
      </rPr>
      <t xml:space="preserve">なぜ金縛りは『仰向け』で</t>
    </r>
    <r>
      <rPr>
        <sz val="10"/>
        <rFont val="Arial"/>
        <family val="0"/>
        <charset val="1"/>
      </rPr>
      <t xml:space="preserve">2</t>
    </r>
    <r>
      <rPr>
        <sz val="10"/>
        <rFont val="Noto Sans CJK SC"/>
        <family val="2"/>
      </rPr>
      <t xml:space="preserve">倍も起きやすい？体勢で激変する眠りの謎【ショート】</t>
    </r>
  </si>
  <si>
    <t xml:space="preserve">sQ-Ek8AaaB4</t>
  </si>
  <si>
    <t xml:space="preserve">2026-08-03</t>
  </si>
  <si>
    <t xml:space="preserve">なぜ浅い眠りの夜は脳がぼんやり？記憶力が激変する『睡眠の深さ』の正体【ショート】</t>
  </si>
  <si>
    <t xml:space="preserve">BAXCI66eQ4o</t>
  </si>
  <si>
    <t xml:space="preserve">2026-08-04</t>
  </si>
  <si>
    <r>
      <rPr>
        <sz val="10"/>
        <rFont val="Noto Sans CJK SC"/>
        <family val="2"/>
      </rPr>
      <t xml:space="preserve">目が開いてるのに状況が分からない謎の数秒</t>
    </r>
    <r>
      <rPr>
        <sz val="10"/>
        <rFont val="Arial"/>
        <family val="0"/>
        <charset val="1"/>
      </rPr>
      <t xml:space="preserve">#</t>
    </r>
    <r>
      <rPr>
        <sz val="10"/>
        <rFont val="Noto Sans CJK SC"/>
        <family val="2"/>
      </rPr>
      <t xml:space="preserve">目が開いてるのに『ここどこ？』ってなる寝起きの数秒、脳の中で何が起きてるの？ </t>
    </r>
    <r>
      <rPr>
        <sz val="10"/>
        <rFont val="Arial"/>
        <family val="0"/>
        <charset val="1"/>
      </rPr>
      <t xml:space="preserve">#shorts #</t>
    </r>
    <r>
      <rPr>
        <sz val="10"/>
        <rFont val="Noto Sans CJK SC"/>
        <family val="2"/>
      </rPr>
      <t xml:space="preserve">ゆっくり解説</t>
    </r>
  </si>
  <si>
    <t xml:space="preserve">7o3tLgoe13g</t>
  </si>
  <si>
    <r>
      <rPr>
        <sz val="10"/>
        <rFont val="Noto Sans CJK SC"/>
        <family val="2"/>
      </rPr>
      <t xml:space="preserve">夢の中で急に気づく『これ夢だ』の正体</t>
    </r>
    <r>
      <rPr>
        <sz val="10"/>
        <rFont val="Arial"/>
        <family val="0"/>
        <charset val="1"/>
      </rPr>
      <t xml:space="preserve">#</t>
    </r>
    <r>
      <rPr>
        <sz val="10"/>
        <rFont val="Noto Sans CJK SC"/>
        <family val="2"/>
      </rPr>
      <t xml:space="preserve">夢の中で『あ、これ夢だ』って気づく瞬間、脳の中で何が起きてるか知ってる？ </t>
    </r>
    <r>
      <rPr>
        <sz val="10"/>
        <rFont val="Arial"/>
        <family val="0"/>
        <charset val="1"/>
      </rPr>
      <t xml:space="preserve">#shorts #</t>
    </r>
    <r>
      <rPr>
        <sz val="10"/>
        <rFont val="Noto Sans CJK SC"/>
        <family val="2"/>
      </rPr>
      <t xml:space="preserve">ゆっくり解説</t>
    </r>
  </si>
  <si>
    <t xml:space="preserve">Don010lyESI</t>
  </si>
  <si>
    <t xml:space="preserve">名前だけ出てこないのはなぜ？頭にあるのに言えない「あの人」の正体【ショート】</t>
  </si>
  <si>
    <t xml:space="preserve">zb7w3tBinu8</t>
  </si>
  <si>
    <t xml:space="preserve">2026-08-05</t>
  </si>
  <si>
    <r>
      <rPr>
        <sz val="10"/>
        <rFont val="Noto Sans CJK SC"/>
        <family val="2"/>
      </rPr>
      <t xml:space="preserve">ストレスで体がかゆくなる？</t>
    </r>
    <r>
      <rPr>
        <sz val="10"/>
        <rFont val="Arial"/>
        <family val="0"/>
        <charset val="1"/>
      </rPr>
      <t xml:space="preserve">99%</t>
    </r>
    <r>
      <rPr>
        <sz val="10"/>
        <rFont val="Noto Sans CJK SC"/>
        <family val="2"/>
      </rPr>
      <t xml:space="preserve">が知らない意外な理由</t>
    </r>
    <r>
      <rPr>
        <sz val="10"/>
        <rFont val="Arial"/>
        <family val="0"/>
        <charset val="1"/>
      </rPr>
      <t xml:space="preserve">#</t>
    </r>
    <r>
      <rPr>
        <sz val="10"/>
        <rFont val="Noto Sans CJK SC"/>
        <family val="2"/>
      </rPr>
      <t xml:space="preserve">なぜストレスで体がかゆくなるのか？</t>
    </r>
    <r>
      <rPr>
        <sz val="10"/>
        <rFont val="Arial"/>
        <family val="0"/>
        <charset val="1"/>
      </rPr>
      <t xml:space="preserve">99%</t>
    </r>
    <r>
      <rPr>
        <sz val="10"/>
        <rFont val="Noto Sans CJK SC"/>
        <family val="2"/>
      </rPr>
      <t xml:space="preserve">が知らない意外な理由 </t>
    </r>
    <r>
      <rPr>
        <sz val="10"/>
        <rFont val="Arial"/>
        <family val="0"/>
        <charset val="1"/>
      </rPr>
      <t xml:space="preserve">#shorts #</t>
    </r>
    <r>
      <rPr>
        <sz val="10"/>
        <rFont val="Noto Sans CJK SC"/>
        <family val="2"/>
      </rPr>
      <t xml:space="preserve">ゆっくり解説</t>
    </r>
  </si>
  <si>
    <t xml:space="preserve">9NZgctoAcfo</t>
  </si>
  <si>
    <r>
      <rPr>
        <sz val="10"/>
        <rFont val="Noto Sans CJK SC"/>
        <family val="2"/>
      </rPr>
      <t xml:space="preserve">なぜ涙は悲しくないのに出る？</t>
    </r>
    <r>
      <rPr>
        <sz val="10"/>
        <rFont val="Arial"/>
        <family val="0"/>
        <charset val="1"/>
      </rPr>
      <t xml:space="preserve">3</t>
    </r>
    <r>
      <rPr>
        <sz val="10"/>
        <rFont val="Noto Sans CJK SC"/>
        <family val="2"/>
      </rPr>
      <t xml:space="preserve">種類の正体【ショート】</t>
    </r>
  </si>
  <si>
    <t xml:space="preserve">JFzJf-MePaI</t>
  </si>
  <si>
    <r>
      <rPr>
        <sz val="10"/>
        <rFont val="Noto Sans CJK SC"/>
        <family val="2"/>
      </rPr>
      <t xml:space="preserve">脳が生み出す天然モルヒネの秘密に迫るあなたの体で今も起きている現象</t>
    </r>
    <r>
      <rPr>
        <sz val="10"/>
        <rFont val="Arial"/>
        <family val="0"/>
        <charset val="1"/>
      </rPr>
      <t xml:space="preserve">#</t>
    </r>
    <r>
      <rPr>
        <sz val="10"/>
        <rFont val="Noto Sans CJK SC"/>
        <family val="2"/>
      </rPr>
      <t xml:space="preserve">なぜ脳は天然モルヒネを作る？エンドルフィンの驚きの正体 </t>
    </r>
    <r>
      <rPr>
        <sz val="10"/>
        <rFont val="Arial"/>
        <family val="0"/>
        <charset val="1"/>
      </rPr>
      <t xml:space="preserve">#shorts #</t>
    </r>
    <r>
      <rPr>
        <sz val="10"/>
        <rFont val="Noto Sans CJK SC"/>
        <family val="2"/>
      </rPr>
      <t xml:space="preserve">ゆっくり解説</t>
    </r>
  </si>
  <si>
    <t xml:space="preserve">hoQaClKwu60</t>
  </si>
  <si>
    <t xml:space="preserve">2026-08-06</t>
  </si>
  <si>
    <r>
      <rPr>
        <sz val="10"/>
        <rFont val="Noto Sans CJK SC"/>
        <family val="2"/>
      </rPr>
      <t xml:space="preserve">朝がつらい！そんなあなたに朗報！</t>
    </r>
    <r>
      <rPr>
        <sz val="10"/>
        <rFont val="Arial"/>
        <family val="0"/>
        <charset val="1"/>
      </rPr>
      <t xml:space="preserve">#</t>
    </r>
    <r>
      <rPr>
        <sz val="10"/>
        <rFont val="Noto Sans CJK SC"/>
        <family val="2"/>
      </rPr>
      <t xml:space="preserve">やる気が出ない朝を劇的に変える</t>
    </r>
    <r>
      <rPr>
        <sz val="10"/>
        <rFont val="Arial"/>
        <family val="0"/>
        <charset val="1"/>
      </rPr>
      <t xml:space="preserve">!?</t>
    </r>
    <r>
      <rPr>
        <sz val="10"/>
        <rFont val="Noto Sans CJK SC"/>
        <family val="2"/>
      </rPr>
      <t xml:space="preserve">たった</t>
    </r>
    <r>
      <rPr>
        <sz val="10"/>
        <rFont val="Arial"/>
        <family val="0"/>
        <charset val="1"/>
      </rPr>
      <t xml:space="preserve">5</t>
    </r>
    <r>
      <rPr>
        <sz val="10"/>
        <rFont val="Noto Sans CJK SC"/>
        <family val="2"/>
      </rPr>
      <t xml:space="preserve">分の脳科学的ルーティン </t>
    </r>
    <r>
      <rPr>
        <sz val="10"/>
        <rFont val="Arial"/>
        <family val="0"/>
        <charset val="1"/>
      </rPr>
      <t xml:space="preserve">#shorts #</t>
    </r>
    <r>
      <rPr>
        <sz val="10"/>
        <rFont val="Noto Sans CJK SC"/>
        <family val="2"/>
      </rPr>
      <t xml:space="preserve">ゆっくり解説</t>
    </r>
  </si>
  <si>
    <t xml:space="preserve">SKinId1Jrc4</t>
  </si>
  <si>
    <r>
      <rPr>
        <sz val="10"/>
        <rFont val="Noto Sans CJK SC"/>
        <family val="2"/>
      </rPr>
      <t xml:space="preserve">なぜか毎回『同じ時間帯』それ、偶然じゃないんです</t>
    </r>
    <r>
      <rPr>
        <sz val="10"/>
        <rFont val="Arial"/>
        <family val="0"/>
        <charset val="1"/>
      </rPr>
      <t xml:space="preserve">#</t>
    </r>
    <r>
      <rPr>
        <sz val="10"/>
        <rFont val="Noto Sans CJK SC"/>
        <family val="2"/>
      </rPr>
      <t xml:space="preserve">なぜ金縛りは『決まった時間』にしか起きないのか？</t>
    </r>
    <r>
      <rPr>
        <sz val="10"/>
        <rFont val="Arial"/>
        <family val="0"/>
        <charset val="1"/>
      </rPr>
      <t xml:space="preserve">99%</t>
    </r>
    <r>
      <rPr>
        <sz val="10"/>
        <rFont val="Noto Sans CJK SC"/>
        <family val="2"/>
      </rPr>
      <t xml:space="preserve">が知らない睡眠の本当の仕組み </t>
    </r>
    <r>
      <rPr>
        <sz val="10"/>
        <rFont val="Arial"/>
        <family val="0"/>
        <charset val="1"/>
      </rPr>
      <t xml:space="preserve">#shorts #</t>
    </r>
    <r>
      <rPr>
        <sz val="10"/>
        <rFont val="Noto Sans CJK SC"/>
        <family val="2"/>
      </rPr>
      <t xml:space="preserve">ゆっくり</t>
    </r>
  </si>
  <si>
    <t xml:space="preserve">VQlMukLbX6Y</t>
  </si>
  <si>
    <r>
      <rPr>
        <sz val="10"/>
        <rFont val="Noto Sans CJK SC"/>
        <family val="2"/>
      </rPr>
      <t xml:space="preserve">なぜ寒くないのに鳥肌が立つ？</t>
    </r>
    <r>
      <rPr>
        <sz val="10"/>
        <rFont val="Arial"/>
        <family val="0"/>
        <charset val="1"/>
      </rPr>
      <t xml:space="preserve">90%</t>
    </r>
    <r>
      <rPr>
        <sz val="10"/>
        <rFont val="Noto Sans CJK SC"/>
        <family val="2"/>
      </rPr>
      <t xml:space="preserve">が勘違いする</t>
    </r>
    <r>
      <rPr>
        <sz val="10"/>
        <rFont val="Arial"/>
        <family val="0"/>
        <charset val="1"/>
      </rPr>
      <t xml:space="preserve">2</t>
    </r>
    <r>
      <rPr>
        <sz val="10"/>
        <rFont val="Noto Sans CJK SC"/>
        <family val="2"/>
      </rPr>
      <t xml:space="preserve">つの反応の正体【ショート】【ショート】</t>
    </r>
  </si>
  <si>
    <t xml:space="preserve">iwYiYH8uqrI</t>
  </si>
  <si>
    <r>
      <rPr>
        <sz val="10"/>
        <rFont val="Noto Sans CJK SC"/>
        <family val="2"/>
      </rPr>
      <t xml:space="preserve">あなたの体で毎晩起きていること、気づいていますか？</t>
    </r>
    <r>
      <rPr>
        <sz val="10"/>
        <rFont val="Arial"/>
        <family val="0"/>
        <charset val="1"/>
      </rPr>
      <t xml:space="preserve">#</t>
    </r>
    <r>
      <rPr>
        <sz val="10"/>
        <rFont val="Noto Sans CJK SC"/>
        <family val="2"/>
      </rPr>
      <t xml:space="preserve">睡眠中の『口の乾き』——</t>
    </r>
    <r>
      <rPr>
        <sz val="10"/>
        <rFont val="Arial"/>
        <family val="0"/>
        <charset val="1"/>
      </rPr>
      <t xml:space="preserve">99%</t>
    </r>
    <r>
      <rPr>
        <sz val="10"/>
        <rFont val="Noto Sans CJK SC"/>
        <family val="2"/>
      </rPr>
      <t xml:space="preserve">が見過ごす体内の変化とは？ </t>
    </r>
    <r>
      <rPr>
        <sz val="10"/>
        <rFont val="Arial"/>
        <family val="0"/>
        <charset val="1"/>
      </rPr>
      <t xml:space="preserve">#shorts #</t>
    </r>
    <r>
      <rPr>
        <sz val="10"/>
        <rFont val="Noto Sans CJK SC"/>
        <family val="2"/>
      </rPr>
      <t xml:space="preserve">ゆっくり解説</t>
    </r>
  </si>
  <si>
    <t xml:space="preserve">k_7Sx4h88zI</t>
  </si>
  <si>
    <r>
      <rPr>
        <sz val="10"/>
        <rFont val="Noto Sans CJK SC"/>
        <family val="2"/>
      </rPr>
      <t xml:space="preserve">なぜ立ち上がると目の前が暗い？</t>
    </r>
    <r>
      <rPr>
        <sz val="10"/>
        <rFont val="Arial"/>
        <family val="0"/>
        <charset val="1"/>
      </rPr>
      <t xml:space="preserve">99%</t>
    </r>
    <r>
      <rPr>
        <sz val="10"/>
        <rFont val="Noto Sans CJK SC"/>
        <family val="2"/>
      </rPr>
      <t xml:space="preserve">が知らない『</t>
    </r>
    <r>
      <rPr>
        <sz val="10"/>
        <rFont val="Arial"/>
        <family val="0"/>
        <charset val="1"/>
      </rPr>
      <t xml:space="preserve">3</t>
    </r>
    <r>
      <rPr>
        <sz val="10"/>
        <rFont val="Noto Sans CJK SC"/>
        <family val="2"/>
      </rPr>
      <t xml:space="preserve">秒間』の正体【ショート】【ショート】</t>
    </r>
  </si>
  <si>
    <t xml:space="preserve">z3HSxgDDUMI</t>
  </si>
  <si>
    <r>
      <rPr>
        <sz val="10"/>
        <rFont val="Noto Sans CJK SC"/>
        <family val="2"/>
      </rPr>
      <t xml:space="preserve">なぜ寝起きは鼻だけ詰まるの？</t>
    </r>
    <r>
      <rPr>
        <sz val="10"/>
        <rFont val="Arial"/>
        <family val="0"/>
        <charset val="1"/>
      </rPr>
      <t xml:space="preserve">4</t>
    </r>
    <r>
      <rPr>
        <sz val="10"/>
        <rFont val="Noto Sans CJK SC"/>
        <family val="2"/>
      </rPr>
      <t xml:space="preserve">時間サイクルの秘密、知ってた？</t>
    </r>
    <r>
      <rPr>
        <sz val="10"/>
        <rFont val="Arial"/>
        <family val="0"/>
        <charset val="1"/>
      </rPr>
      <t xml:space="preserve">#</t>
    </r>
    <r>
      <rPr>
        <sz val="10"/>
        <rFont val="Noto Sans CJK SC"/>
        <family val="2"/>
      </rPr>
      <t xml:space="preserve">今朝の鼻づまり、実は</t>
    </r>
    <r>
      <rPr>
        <sz val="10"/>
        <rFont val="Arial"/>
        <family val="0"/>
        <charset val="1"/>
      </rPr>
      <t xml:space="preserve">4</t>
    </r>
    <r>
      <rPr>
        <sz val="10"/>
        <rFont val="Noto Sans CJK SC"/>
        <family val="2"/>
      </rPr>
      <t xml:space="preserve">時間ごとに左右が入れ替わってた——</t>
    </r>
    <r>
      <rPr>
        <sz val="10"/>
        <rFont val="Arial"/>
        <family val="0"/>
        <charset val="1"/>
      </rPr>
      <t xml:space="preserve">99%</t>
    </r>
    <r>
      <rPr>
        <sz val="10"/>
        <rFont val="Noto Sans CJK SC"/>
        <family val="2"/>
      </rPr>
      <t xml:space="preserve">が知らない睡眠中の鼻の正体 </t>
    </r>
    <r>
      <rPr>
        <sz val="10"/>
        <rFont val="Arial"/>
        <family val="0"/>
        <charset val="1"/>
      </rPr>
      <t xml:space="preserve">#sho</t>
    </r>
  </si>
  <si>
    <t xml:space="preserve">--w9U6O1LUY</t>
  </si>
  <si>
    <r>
      <rPr>
        <sz val="10"/>
        <rFont val="Noto Sans CJK SC"/>
        <family val="2"/>
      </rPr>
      <t xml:space="preserve">今朝なぜ寒い？</t>
    </r>
    <r>
      <rPr>
        <sz val="10"/>
        <rFont val="Arial"/>
        <family val="0"/>
        <charset val="1"/>
      </rPr>
      <t xml:space="preserve">99%</t>
    </r>
    <r>
      <rPr>
        <sz val="10"/>
        <rFont val="Noto Sans CJK SC"/>
        <family val="2"/>
      </rPr>
      <t xml:space="preserve">が知らない体温</t>
    </r>
    <r>
      <rPr>
        <sz val="10"/>
        <rFont val="Arial"/>
        <family val="0"/>
        <charset val="1"/>
      </rPr>
      <t xml:space="preserve">0.5</t>
    </r>
    <r>
      <rPr>
        <sz val="10"/>
        <rFont val="Noto Sans CJK SC"/>
        <family val="2"/>
      </rPr>
      <t xml:space="preserve">度の罠——目覚め直後に起きること【ショート】【ショート】</t>
    </r>
  </si>
  <si>
    <t xml:space="preserve">jLs-vH3TxB4</t>
  </si>
  <si>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t>
    </r>
  </si>
  <si>
    <t xml:space="preserve">qyOPOA608QI</t>
  </si>
  <si>
    <t xml:space="preserve">2026-08-10</t>
  </si>
  <si>
    <r>
      <rPr>
        <sz val="10"/>
        <rFont val="Noto Sans CJK SC"/>
        <family val="2"/>
      </rPr>
      <t xml:space="preserve">寝てる間だけ成長する？</t>
    </r>
    <r>
      <rPr>
        <sz val="10"/>
        <rFont val="Arial"/>
        <family val="0"/>
        <charset val="1"/>
      </rPr>
      <t xml:space="preserve">99%</t>
    </r>
    <r>
      <rPr>
        <sz val="10"/>
        <rFont val="Noto Sans CJK SC"/>
        <family val="2"/>
      </rPr>
      <t xml:space="preserve">が知らない夜の体の秘密</t>
    </r>
    <r>
      <rPr>
        <sz val="10"/>
        <rFont val="Arial"/>
        <family val="0"/>
        <charset val="1"/>
      </rPr>
      <t xml:space="preserve">#</t>
    </r>
    <r>
      <rPr>
        <sz val="10"/>
        <rFont val="Noto Sans CJK SC"/>
        <family val="2"/>
      </rPr>
      <t xml:space="preserve">寝ている間だけ分泌される『あのホルモン』——なぜ</t>
    </r>
    <r>
      <rPr>
        <sz val="10"/>
        <rFont val="Arial"/>
        <family val="0"/>
        <charset val="1"/>
      </rPr>
      <t xml:space="preserve">99%</t>
    </r>
    <r>
      <rPr>
        <sz val="10"/>
        <rFont val="Noto Sans CJK SC"/>
        <family val="2"/>
      </rPr>
      <t xml:space="preserve">の人が睡眠中にしか成長できないのか？ </t>
    </r>
    <r>
      <rPr>
        <sz val="10"/>
        <rFont val="Arial"/>
        <family val="0"/>
        <charset val="1"/>
      </rPr>
      <t xml:space="preserve">#shorts </t>
    </r>
  </si>
  <si>
    <t xml:space="preserve">0L8LwyK9MpQ</t>
  </si>
  <si>
    <r>
      <rPr>
        <sz val="10"/>
        <rFont val="Noto Sans CJK SC"/>
        <family val="2"/>
      </rPr>
      <t xml:space="preserve">本を開いた瞬間に眠くなる理由集中しているのに眠い『逆説』の正体</t>
    </r>
    <r>
      <rPr>
        <sz val="10"/>
        <rFont val="Arial"/>
        <family val="0"/>
        <charset val="1"/>
      </rPr>
      <t xml:space="preserve">#</t>
    </r>
    <r>
      <rPr>
        <sz val="10"/>
        <rFont val="Noto Sans CJK SC"/>
        <family val="2"/>
      </rPr>
      <t xml:space="preserve">本を読むと</t>
    </r>
    <r>
      <rPr>
        <sz val="10"/>
        <rFont val="Arial"/>
        <family val="0"/>
        <charset val="1"/>
      </rPr>
      <t xml:space="preserve">90%</t>
    </r>
    <r>
      <rPr>
        <sz val="10"/>
        <rFont val="Noto Sans CJK SC"/>
        <family val="2"/>
      </rPr>
      <t xml:space="preserve">の人が</t>
    </r>
    <r>
      <rPr>
        <sz val="10"/>
        <rFont val="Arial"/>
        <family val="0"/>
        <charset val="1"/>
      </rPr>
      <t xml:space="preserve">5</t>
    </r>
    <r>
      <rPr>
        <sz val="10"/>
        <rFont val="Noto Sans CJK SC"/>
        <family val="2"/>
      </rPr>
      <t xml:space="preserve">分以内に眠くなる——その『睡魔の罠』の正体、知ってる？ </t>
    </r>
    <r>
      <rPr>
        <sz val="10"/>
        <rFont val="Arial"/>
        <family val="0"/>
        <charset val="1"/>
      </rPr>
      <t xml:space="preserve">#shorts </t>
    </r>
  </si>
  <si>
    <t xml:space="preserve">P40o3ZX0leI</t>
  </si>
  <si>
    <r>
      <rPr>
        <sz val="10"/>
        <rFont val="Noto Sans CJK SC"/>
        <family val="2"/>
      </rPr>
      <t xml:space="preserve">なぜ今夜、布団で足だけ熱い？</t>
    </r>
    <r>
      <rPr>
        <sz val="10"/>
        <rFont val="Arial"/>
        <family val="0"/>
        <charset val="1"/>
      </rPr>
      <t xml:space="preserve">90%</t>
    </r>
    <r>
      <rPr>
        <sz val="10"/>
        <rFont val="Noto Sans CJK SC"/>
        <family val="2"/>
      </rPr>
      <t xml:space="preserve">が勘違いする</t>
    </r>
    <r>
      <rPr>
        <sz val="10"/>
        <rFont val="Arial"/>
        <family val="0"/>
        <charset val="1"/>
      </rPr>
      <t xml:space="preserve">30</t>
    </r>
    <r>
      <rPr>
        <sz val="10"/>
        <rFont val="Noto Sans CJK SC"/>
        <family val="2"/>
      </rPr>
      <t xml:space="preserve">分の放熱の正体【ショート】</t>
    </r>
  </si>
  <si>
    <t xml:space="preserve">RcorEmR5ZI0</t>
  </si>
  <si>
    <t xml:space="preserve">2026-08-11</t>
  </si>
  <si>
    <r>
      <rPr>
        <sz val="10"/>
        <rFont val="Noto Sans CJK SC"/>
        <family val="2"/>
      </rPr>
      <t xml:space="preserve">今夜あなたが寝返りした瞬間、なぜ</t>
    </r>
    <r>
      <rPr>
        <sz val="10"/>
        <rFont val="Arial"/>
        <family val="0"/>
        <charset val="1"/>
      </rPr>
      <t xml:space="preserve">0.8</t>
    </r>
    <r>
      <rPr>
        <sz val="10"/>
        <rFont val="Noto Sans CJK SC"/>
        <family val="2"/>
      </rPr>
      <t xml:space="preserve">秒だけ目が覚める？実は眠りが消える前の脳内チェック【ショート】</t>
    </r>
  </si>
  <si>
    <t xml:space="preserve">MBld-Xwy6zI</t>
  </si>
  <si>
    <r>
      <rPr>
        <sz val="10"/>
        <rFont val="Noto Sans CJK SC"/>
        <family val="2"/>
      </rPr>
      <t xml:space="preserve">昨夜の夢、なぜ</t>
    </r>
    <r>
      <rPr>
        <sz val="10"/>
        <rFont val="Arial"/>
        <family val="0"/>
        <charset val="1"/>
      </rPr>
      <t xml:space="preserve">12</t>
    </r>
    <r>
      <rPr>
        <sz val="10"/>
        <rFont val="Noto Sans CJK SC"/>
        <family val="2"/>
      </rPr>
      <t xml:space="preserve">分なのに何時間もいた気がする？</t>
    </r>
    <r>
      <rPr>
        <sz val="10"/>
        <rFont val="Arial"/>
        <family val="0"/>
        <charset val="1"/>
      </rPr>
      <t xml:space="preserve">9</t>
    </r>
    <r>
      <rPr>
        <sz val="10"/>
        <rFont val="Noto Sans CJK SC"/>
        <family val="2"/>
      </rPr>
      <t xml:space="preserve">割が勘違いする時間感覚【ショート】</t>
    </r>
  </si>
  <si>
    <t xml:space="preserve">DiphL3fCX4E</t>
  </si>
  <si>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</si>
  <si>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t xml:space="preserve">8HI19ZAPnBY</t>
  </si>
  <si>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</si>
  <si>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t xml:space="preserve">d-5IpNbvVlA</t>
  </si>
  <si>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</si>
  <si>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t xml:space="preserve">ZAewWmCEeMo</t>
  </si>
  <si>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</si>
  <si>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t xml:space="preserve">I6FcRExlJBI</t>
  </si>
  <si>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</si>
  <si>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t xml:space="preserve">xIm1kegwD0k</t>
  </si>
  <si>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</si>
  <si>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t xml:space="preserve">73r27O4PDZ8</t>
  </si>
  <si>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</si>
  <si>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t xml:space="preserve">GLdmwUUtq5w</t>
  </si>
  <si>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</si>
  <si>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t xml:space="preserve">1cc_yaXe7PU</t>
  </si>
  <si>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</si>
  <si>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t xml:space="preserve">-1G8Yu8H3l8</t>
  </si>
  <si>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</si>
  <si>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t xml:space="preserve">T0jglGZ0E8w</t>
  </si>
  <si>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</si>
  <si>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t xml:space="preserve">hstNo5LhVmY</t>
  </si>
  <si>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</si>
  <si>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t xml:space="preserve">U0F0RET817M</t>
  </si>
  <si>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</si>
  <si>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t xml:space="preserve">qMyteEH8Vhc</t>
  </si>
  <si>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</si>
  <si>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t xml:space="preserve">aIFiUiSxKqU</t>
  </si>
  <si>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</si>
  <si>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t xml:space="preserve">ezzZm0mw1IM</t>
  </si>
  <si>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</si>
  <si>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t xml:space="preserve">QA5AfmA___Q</t>
  </si>
  <si>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</si>
  <si>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oOgvPuK0Ib0</t>
  </si>
  <si>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</si>
  <si>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t xml:space="preserve">Fc6nPbZVXME</t>
  </si>
  <si>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</si>
  <si>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t xml:space="preserve">r2UB_4Xr-1c</t>
  </si>
  <si>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</si>
  <si>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t xml:space="preserve">D1JgzKY4ta8</t>
  </si>
  <si>
    <r>
      <rPr>
        <sz val="10"/>
        <rFont val="Arial"/>
        <family val="0"/>
        <charset val="1"/>
      </rPr>
      <t xml:space="preserve">1</t>
    </r>
    <r>
      <rPr>
        <sz val="10"/>
        <rFont val="Noto Sans CJK SC"/>
        <family val="2"/>
      </rPr>
      <t xml:space="preserve">分科学 </t>
    </r>
    <r>
      <rPr>
        <sz val="10"/>
        <rFont val="Arial"/>
        <family val="0"/>
        <charset val="1"/>
      </rPr>
      <t xml:space="preserve">#101</t>
    </r>
    <r>
      <rPr>
        <sz val="10"/>
        <rFont val="Noto Sans CJK SC"/>
        <family val="2"/>
      </rPr>
      <t xml:space="preserve">：🧪なぜ</t>
    </r>
    <r>
      <rPr>
        <sz val="10"/>
        <rFont val="Arial"/>
        <family val="0"/>
        <charset val="1"/>
      </rPr>
      <t xml:space="preserve">24</t>
    </r>
    <r>
      <rPr>
        <sz val="10"/>
        <rFont val="Noto Sans CJK SC"/>
        <family val="2"/>
      </rPr>
      <t xml:space="preserve">時間テレビを</t>
    </r>
    <r>
      <rPr>
        <sz val="10"/>
        <rFont val="Arial"/>
        <family val="0"/>
        <charset val="1"/>
      </rPr>
      <t xml:space="preserve">2</t>
    </r>
    <r>
      <rPr>
        <sz val="10"/>
        <rFont val="Noto Sans CJK SC"/>
        <family val="2"/>
      </rPr>
      <t xml:space="preserve">時間見ると寝つきが変わる？あなたの夢に残る映像の正体【ショート】</t>
    </r>
  </si>
  <si>
    <t xml:space="preserve">55u1j3px2gc</t>
  </si>
  <si>
    <r>
      <rPr>
        <sz val="10"/>
        <rFont val="Arial"/>
        <family val="0"/>
        <charset val="1"/>
      </rPr>
      <t xml:space="preserve">1</t>
    </r>
    <r>
      <rPr>
        <sz val="10"/>
        <rFont val="Noto Sans CJK SC"/>
        <family val="2"/>
      </rPr>
      <t xml:space="preserve">分科学 </t>
    </r>
    <r>
      <rPr>
        <sz val="10"/>
        <rFont val="Arial"/>
        <family val="0"/>
        <charset val="1"/>
      </rPr>
      <t xml:space="preserve">#102</t>
    </r>
    <r>
      <rPr>
        <sz val="10"/>
        <rFont val="Noto Sans CJK SC"/>
        <family val="2"/>
      </rPr>
      <t xml:space="preserve">：🌍なぜ寝起きの口だけネバつくのか？あなたの唾液が眠る</t>
    </r>
    <r>
      <rPr>
        <sz val="10"/>
        <rFont val="Arial"/>
        <family val="0"/>
        <charset val="1"/>
      </rPr>
      <t xml:space="preserve">8</t>
    </r>
    <r>
      <rPr>
        <sz val="10"/>
        <rFont val="Noto Sans CJK SC"/>
        <family val="2"/>
      </rPr>
      <t xml:space="preserve">時間の正体【ショート】</t>
    </r>
  </si>
  <si>
    <t xml:space="preserve">TnpJ8MK1FpE</t>
  </si>
  <si>
    <r>
      <rPr>
        <sz val="10"/>
        <rFont val="Noto Sans CJK SC"/>
        <family val="2"/>
      </rPr>
      <t xml:space="preserve">なぜ座ると腰だけ痛い？圧力</t>
    </r>
    <r>
      <rPr>
        <sz val="10"/>
        <rFont val="Arial"/>
        <family val="0"/>
        <charset val="1"/>
      </rPr>
      <t xml:space="preserve">1.4</t>
    </r>
    <r>
      <rPr>
        <sz val="10"/>
        <rFont val="Noto Sans CJK SC"/>
        <family val="2"/>
      </rPr>
      <t xml:space="preserve">倍【ショート】</t>
    </r>
  </si>
  <si>
    <t xml:space="preserve">73-ivCaa030</t>
  </si>
  <si>
    <r>
      <rPr>
        <sz val="10"/>
        <rFont val="Noto Sans CJK SC"/>
        <family val="2"/>
      </rPr>
      <t xml:space="preserve">歩き方を意識した</t>
    </r>
    <r>
      <rPr>
        <sz val="10"/>
        <rFont val="Arial"/>
        <family val="0"/>
        <charset val="1"/>
      </rPr>
      <t xml:space="preserve">3</t>
    </r>
    <r>
      <rPr>
        <sz val="10"/>
        <rFont val="Noto Sans CJK SC"/>
        <family val="2"/>
      </rPr>
      <t xml:space="preserve">秒で迷う正体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</si>
  <si>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3r4JT5EmAjs</t>
  </si>
  <si>
    <r>
      <rPr>
        <sz val="10"/>
        <rFont val="Noto Sans CJK SC"/>
        <family val="2"/>
      </rPr>
      <t xml:space="preserve">黙読中の喉、なぜ声なしで</t>
    </r>
    <r>
      <rPr>
        <sz val="10"/>
        <rFont val="Arial"/>
        <family val="0"/>
        <charset val="1"/>
      </rPr>
      <t xml:space="preserve">1</t>
    </r>
    <r>
      <rPr>
        <sz val="10"/>
        <rFont val="Noto Sans CJK SC"/>
        <family val="2"/>
      </rPr>
      <t xml:space="preserve">秒だけ動く？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</si>
  <si>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6lcWup40vok</t>
  </si>
  <si>
    <r>
      <rPr>
        <sz val="10"/>
        <rFont val="Noto Sans CJK SC"/>
        <family val="2"/>
      </rPr>
      <t xml:space="preserve">泳いでいる脳が</t>
    </r>
    <r>
      <rPr>
        <sz val="10"/>
        <rFont val="Arial"/>
        <family val="0"/>
        <charset val="1"/>
      </rPr>
      <t xml:space="preserve">3</t>
    </r>
    <r>
      <rPr>
        <sz val="10"/>
        <rFont val="Noto Sans CJK SC"/>
        <family val="2"/>
      </rPr>
      <t xml:space="preserve">秒ごとに息継ぎを気にするワケ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</si>
  <si>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SzMbnxjh0hM</t>
  </si>
  <si>
    <r>
      <rPr>
        <sz val="10"/>
        <rFont val="Noto Sans CJK SC"/>
        <family val="2"/>
      </rPr>
      <t xml:space="preserve">あなたの耳が</t>
    </r>
    <r>
      <rPr>
        <sz val="10"/>
        <rFont val="Arial"/>
        <family val="0"/>
        <charset val="1"/>
      </rPr>
      <t xml:space="preserve">3</t>
    </r>
    <r>
      <rPr>
        <sz val="10"/>
        <rFont val="Noto Sans CJK SC"/>
        <family val="2"/>
      </rPr>
      <t xml:space="preserve">秒で抜ける正体は？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</si>
  <si>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WGMpYbnGXAU</t>
  </si>
  <si>
    <r>
      <rPr>
        <sz val="10"/>
        <rFont val="Noto Sans CJK SC"/>
        <family val="2"/>
      </rPr>
      <t xml:space="preserve">なぜ壁のシミが顔に見える？</t>
    </r>
    <r>
      <rPr>
        <sz val="10"/>
        <rFont val="Arial"/>
        <family val="0"/>
        <charset val="1"/>
      </rPr>
      <t xml:space="preserve">0.1</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</si>
  <si>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0s70fyHmkv4</t>
  </si>
  <si>
    <r>
      <rPr>
        <sz val="10"/>
        <rFont val="Noto Sans CJK SC"/>
        <family val="2"/>
      </rPr>
      <t xml:space="preserve">鏡の顔だけ違う？</t>
    </r>
    <r>
      <rPr>
        <sz val="10"/>
        <rFont val="Arial"/>
        <family val="0"/>
        <charset val="1"/>
      </rPr>
      <t xml:space="preserve">99%</t>
    </r>
    <r>
      <rPr>
        <sz val="10"/>
        <rFont val="Noto Sans CJK SC"/>
        <family val="2"/>
      </rPr>
      <t xml:space="preserve">が知らない左右差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</si>
  <si>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Y94yR_35IyA</t>
  </si>
  <si>
    <r>
      <rPr>
        <sz val="10"/>
        <rFont val="Noto Sans CJK SC"/>
        <family val="2"/>
      </rPr>
      <t xml:space="preserve">なぜあなたは階段で</t>
    </r>
    <r>
      <rPr>
        <sz val="10"/>
        <rFont val="Arial"/>
        <family val="0"/>
        <charset val="1"/>
      </rPr>
      <t xml:space="preserve">1</t>
    </r>
    <r>
      <rPr>
        <sz val="10"/>
        <rFont val="Noto Sans CJK SC"/>
        <family val="2"/>
      </rPr>
      <t xml:space="preserve">段だけ外すのか？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</si>
  <si>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x1X8G1eVNfE</t>
  </si>
  <si>
    <r>
      <rPr>
        <sz val="10"/>
        <rFont val="Noto Sans CJK SC"/>
        <family val="2"/>
      </rPr>
      <t xml:space="preserve">あなたの字が</t>
    </r>
    <r>
      <rPr>
        <sz val="10"/>
        <rFont val="Arial"/>
        <family val="0"/>
        <charset val="1"/>
      </rPr>
      <t xml:space="preserve">30</t>
    </r>
    <r>
      <rPr>
        <sz val="10"/>
        <rFont val="Noto Sans CJK SC"/>
        <family val="2"/>
      </rPr>
      <t xml:space="preserve">秒で別物に見える？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</si>
  <si>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QFUfc37jobI</t>
  </si>
  <si>
    <r>
      <rPr>
        <sz val="10"/>
        <rFont val="Noto Sans CJK SC"/>
        <family val="2"/>
      </rPr>
      <t xml:space="preserve">実は暗い部屋で音に敏感になるのは、耳が目の代わりをするから？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</si>
  <si>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_oXJSYtJ1S8</t>
  </si>
  <si>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</si>
  <si>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jZHXQpwS7nk</t>
  </si>
  <si>
    <r>
      <rPr>
        <sz val="10"/>
        <rFont val="Noto Sans CJK SC"/>
        <family val="2"/>
      </rPr>
      <t xml:space="preserve">走った後の鉄味、あなたの肺で何が？</t>
    </r>
    <r>
      <rPr>
        <sz val="10"/>
        <rFont val="Arial"/>
        <family val="0"/>
        <charset val="1"/>
      </rPr>
      <t xml:space="preserve">0.1%</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</si>
  <si>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nqi4BDM9u2E</t>
  </si>
  <si>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</si>
  <si>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x38K5v7lfPM</t>
  </si>
  <si>
    <r>
      <rPr>
        <sz val="10"/>
        <rFont val="Noto Sans CJK SC"/>
        <family val="2"/>
      </rPr>
      <t xml:space="preserve">疲れた日の甘い物がすぐ消えるのはなぜ？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</si>
  <si>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d30RfsNLERk</t>
  </si>
  <si>
    <r>
      <rPr>
        <sz val="10"/>
        <rFont val="Noto Sans CJK SC"/>
        <family val="2"/>
      </rPr>
      <t xml:space="preserve">耳を塞ぐと聞こえる</t>
    </r>
    <r>
      <rPr>
        <sz val="10"/>
        <rFont val="Arial"/>
        <family val="0"/>
        <charset val="1"/>
      </rPr>
      <t xml:space="preserve">20Hz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</si>
  <si>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ufu1X-uZWJk</t>
  </si>
  <si>
    <r>
      <rPr>
        <sz val="10"/>
        <rFont val="Noto Sans CJK SC"/>
        <family val="2"/>
      </rPr>
      <t xml:space="preserve">なぜ寒さで顎が先に震える？</t>
    </r>
    <r>
      <rPr>
        <sz val="10"/>
        <rFont val="Arial"/>
        <family val="0"/>
        <charset val="1"/>
      </rPr>
      <t xml:space="preserve">3</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</si>
  <si>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rwQA5cQvkKg</t>
  </si>
  <si>
    <t xml:space="preserve">2026-07-30</t>
  </si>
  <si>
    <r>
      <rPr>
        <sz val="10"/>
        <rFont val="Arial"/>
        <family val="0"/>
        <charset val="1"/>
      </rPr>
      <t xml:space="preserve">1</t>
    </r>
    <r>
      <rPr>
        <sz val="10"/>
        <rFont val="Noto Sans CJK SC"/>
        <family val="2"/>
      </rPr>
      <t xml:space="preserve">分ポケモン研究：レックウザの誕生に隠された秘密神話と科学が交差する瞬間</t>
    </r>
    <r>
      <rPr>
        <sz val="10"/>
        <rFont val="Arial"/>
        <family val="0"/>
        <charset val="1"/>
      </rPr>
      <t xml:space="preserve">#</t>
    </r>
    <r>
      <rPr>
        <sz val="10"/>
        <rFont val="Noto Sans CJK SC"/>
        <family val="2"/>
      </rPr>
      <t xml:space="preserve">レックウザの誕生に隠された秘密—神話と科学の交差点 </t>
    </r>
    <r>
      <rPr>
        <sz val="10"/>
        <rFont val="Arial"/>
        <family val="0"/>
        <charset val="1"/>
      </rPr>
      <t xml:space="preserve">#shorts #</t>
    </r>
    <r>
      <rPr>
        <sz val="10"/>
        <rFont val="Noto Sans CJK SC"/>
        <family val="2"/>
      </rPr>
      <t xml:space="preserve">ゆっくり解説</t>
    </r>
  </si>
  <si>
    <t xml:space="preserve">-ohtqUa_sIA</t>
  </si>
  <si>
    <t xml:space="preserve">2DDaE-dcul4</t>
  </si>
  <si>
    <r>
      <rPr>
        <sz val="10"/>
        <rFont val="Arial"/>
        <family val="0"/>
        <charset val="1"/>
      </rPr>
      <t xml:space="preserve">1</t>
    </r>
    <r>
      <rPr>
        <sz val="10"/>
        <rFont val="Noto Sans CJK SC"/>
        <family val="2"/>
      </rPr>
      <t xml:space="preserve">分ポケモン研究：ヤドンの尻尾に隠された秘密実は痛みを感じないって本当？</t>
    </r>
    <r>
      <rPr>
        <sz val="10"/>
        <rFont val="Arial"/>
        <family val="0"/>
        <charset val="1"/>
      </rPr>
      <t xml:space="preserve">#</t>
    </r>
    <r>
      <rPr>
        <sz val="10"/>
        <rFont val="Noto Sans CJK SC"/>
        <family val="2"/>
      </rPr>
      <t xml:space="preserve">なぜヤドンの尻尾は痛くないの？驚きの理由 </t>
    </r>
    <r>
      <rPr>
        <sz val="10"/>
        <rFont val="Arial"/>
        <family val="0"/>
        <charset val="1"/>
      </rPr>
      <t xml:space="preserve">#shorts #</t>
    </r>
    <r>
      <rPr>
        <sz val="10"/>
        <rFont val="Noto Sans CJK SC"/>
        <family val="2"/>
      </rPr>
      <t xml:space="preserve">ゆっくり解説</t>
    </r>
  </si>
  <si>
    <t xml:space="preserve">2PlnOkMVx7k</t>
  </si>
  <si>
    <t xml:space="preserve">エリートトレーナーの謎—なぜ彼らだけが特別なのか？【ショート】</t>
  </si>
  <si>
    <t xml:space="preserve">JlHCr4BO6wg</t>
  </si>
  <si>
    <r>
      <rPr>
        <sz val="10"/>
        <rFont val="Arial"/>
        <family val="0"/>
        <charset val="1"/>
      </rPr>
      <t xml:space="preserve">1</t>
    </r>
    <r>
      <rPr>
        <sz val="10"/>
        <rFont val="Noto Sans CJK SC"/>
        <family val="2"/>
      </rPr>
      <t xml:space="preserve">分ポケモン研究：図鑑のあの説明文、どうしてそんなに怖いのか？公式が書いた衝撃のテキストを考察！</t>
    </r>
    <r>
      <rPr>
        <sz val="10"/>
        <rFont val="Arial"/>
        <family val="0"/>
        <charset val="1"/>
      </rPr>
      <t xml:space="preserve">#shorts #</t>
    </r>
    <r>
      <rPr>
        <sz val="10"/>
        <rFont val="Noto Sans CJK SC"/>
        <family val="2"/>
      </rPr>
      <t xml:space="preserve">ゆっくり解説</t>
    </r>
  </si>
  <si>
    <t xml:space="preserve">7t9MkCMu1Uc</t>
  </si>
  <si>
    <t xml:space="preserve">なぜレッドは山頂に立ち続けるのか？彼の秘密に迫る！【ショート】</t>
  </si>
  <si>
    <t xml:space="preserve">Cf0Im2vL80s</t>
  </si>
  <si>
    <t xml:space="preserve">ポケモン図鑑に隠された怖すぎる説明文の真相とは？【ショート】</t>
  </si>
  <si>
    <t xml:space="preserve">EOlAL1utyiM</t>
  </si>
  <si>
    <t xml:space="preserve">なぜ御三家は炎・水・草だけ？『三すくみ』設計の裏にある本当の理由【ショート】</t>
  </si>
  <si>
    <t xml:space="preserve">9a1IdPyKES8</t>
  </si>
  <si>
    <r>
      <rPr>
        <sz val="10"/>
        <rFont val="Noto Sans CJK SC"/>
        <family val="2"/>
      </rPr>
      <t xml:space="preserve">なぜイーブイだけ</t>
    </r>
    <r>
      <rPr>
        <sz val="10"/>
        <rFont val="Arial"/>
        <family val="0"/>
        <charset val="1"/>
      </rPr>
      <t xml:space="preserve">8</t>
    </r>
    <r>
      <rPr>
        <sz val="10"/>
        <rFont val="Noto Sans CJK SC"/>
        <family val="2"/>
      </rPr>
      <t xml:space="preserve">種類も進化できるのか？遺伝子の暴走と分岐条件の正体がヤバすぎた【ショート】</t>
    </r>
  </si>
  <si>
    <t xml:space="preserve">oqX00JAEqgc</t>
  </si>
  <si>
    <t xml:space="preserve">なぜヤドンはシェルダーに噛まれると進化するのか？分岐進化の本当の理由がヤバすぎた【ショート】</t>
  </si>
  <si>
    <t xml:space="preserve">fnAnoXiN-N8</t>
  </si>
  <si>
    <t xml:space="preserve">ゲンガーの『元ネタ』、実はまだ誰も正確に言えていない理由【ショート】</t>
  </si>
  <si>
    <t xml:space="preserve">F2CHINBUcVE</t>
  </si>
  <si>
    <t xml:space="preserve">なぜ種族値だけで強さが変わるのか？衝撃の数字の正体とは【ショート】【ショート】</t>
  </si>
  <si>
    <t xml:space="preserve">leOuTzTwogI</t>
  </si>
  <si>
    <t xml:space="preserve">なぜ初代だけ謎のポケモンが出るのか？けつばんの正体【ショート】【ショート】</t>
  </si>
  <si>
    <t xml:space="preserve">N_3vfkqi-_k</t>
  </si>
  <si>
    <r>
      <rPr>
        <sz val="10"/>
        <rFont val="Noto Sans CJK SC"/>
        <family val="2"/>
      </rPr>
      <t xml:space="preserve">なぜコイキングは種族値</t>
    </r>
    <r>
      <rPr>
        <sz val="10"/>
        <rFont val="Arial"/>
        <family val="0"/>
        <charset val="1"/>
      </rPr>
      <t xml:space="preserve">200</t>
    </r>
    <r>
      <rPr>
        <sz val="10"/>
        <rFont val="Noto Sans CJK SC"/>
        <family val="2"/>
      </rPr>
      <t xml:space="preserve">なのか？進化前だけ弱すぎる本当の理由がヤバすぎた【ショート】</t>
    </r>
  </si>
  <si>
    <t xml:space="preserve">nkuEsmXgA14</t>
  </si>
  <si>
    <r>
      <rPr>
        <sz val="10"/>
        <rFont val="Arial"/>
        <family val="0"/>
        <charset val="1"/>
      </rPr>
      <t xml:space="preserve">1</t>
    </r>
    <r>
      <rPr>
        <sz val="10"/>
        <rFont val="Noto Sans CJK SC"/>
        <family val="2"/>
      </rPr>
      <t xml:space="preserve">分ポケモン研究：なぜピカチュウだけ？図鑑</t>
    </r>
    <r>
      <rPr>
        <sz val="10"/>
        <rFont val="Arial"/>
        <family val="0"/>
        <charset val="1"/>
      </rPr>
      <t xml:space="preserve">778</t>
    </r>
    <r>
      <rPr>
        <sz val="10"/>
        <rFont val="Noto Sans CJK SC"/>
        <family val="2"/>
      </rPr>
      <t xml:space="preserve">番の本音</t>
    </r>
    <r>
      <rPr>
        <sz val="10"/>
        <rFont val="Arial"/>
        <family val="0"/>
        <charset val="1"/>
      </rPr>
      <t xml:space="preserve">#</t>
    </r>
    <r>
      <rPr>
        <sz val="10"/>
        <rFont val="Noto Sans CJK SC"/>
        <family val="2"/>
      </rPr>
      <t xml:space="preserve">なぜ図鑑</t>
    </r>
    <r>
      <rPr>
        <sz val="10"/>
        <rFont val="Arial"/>
        <family val="0"/>
        <charset val="1"/>
      </rPr>
      <t xml:space="preserve">778</t>
    </r>
    <r>
      <rPr>
        <sz val="10"/>
        <rFont val="Noto Sans CJK SC"/>
        <family val="2"/>
      </rPr>
      <t xml:space="preserve">番はピカチュウだけ真似るのか？理由が意外すぎた【ショート】 </t>
    </r>
    <r>
      <rPr>
        <sz val="10"/>
        <rFont val="Arial"/>
        <family val="0"/>
        <charset val="1"/>
      </rPr>
      <t xml:space="preserve">#shorts #</t>
    </r>
    <r>
      <rPr>
        <sz val="10"/>
        <rFont val="Noto Sans CJK SC"/>
        <family val="2"/>
      </rPr>
      <t xml:space="preserve">ゆっくり解</t>
    </r>
  </si>
  <si>
    <t xml:space="preserve">MtjS8wbAzis</t>
  </si>
  <si>
    <r>
      <rPr>
        <sz val="10"/>
        <rFont val="Noto Sans CJK SC"/>
        <family val="2"/>
      </rPr>
      <t xml:space="preserve">なぜレックウザは空から降りないのか？図鑑</t>
    </r>
    <r>
      <rPr>
        <sz val="10"/>
        <rFont val="Arial"/>
        <family val="0"/>
        <charset val="1"/>
      </rPr>
      <t xml:space="preserve">384</t>
    </r>
    <r>
      <rPr>
        <sz val="10"/>
        <rFont val="Noto Sans CJK SC"/>
        <family val="2"/>
      </rPr>
      <t xml:space="preserve">番の誕生神話が衝撃すぎた【ショート】【ショート】</t>
    </r>
  </si>
  <si>
    <t xml:space="preserve">PX2jYA4UVg4</t>
  </si>
  <si>
    <t xml:space="preserve">なぜ同じドラゴンなのに勝敗が割れるのか？カイリューとボーマンダの隠された実戦性能の秘密【ショート】</t>
  </si>
  <si>
    <t xml:space="preserve">cyGY2dcau6M</t>
  </si>
  <si>
    <r>
      <rPr>
        <sz val="10"/>
        <rFont val="Noto Sans CJK SC"/>
        <family val="2"/>
      </rPr>
      <t xml:space="preserve">なぜメタグロスはサーフゴーに勝てない？持ち物</t>
    </r>
    <r>
      <rPr>
        <sz val="10"/>
        <rFont val="Arial"/>
        <family val="0"/>
        <charset val="1"/>
      </rPr>
      <t xml:space="preserve">1</t>
    </r>
    <r>
      <rPr>
        <sz val="10"/>
        <rFont val="Noto Sans CJK SC"/>
        <family val="2"/>
      </rPr>
      <t xml:space="preserve">つで逆転する本当の理由【ショート】</t>
    </r>
  </si>
  <si>
    <t xml:space="preserve">477d-1KRifc</t>
  </si>
  <si>
    <t xml:space="preserve">なぜパルキアは勝てないと言われる？ウルトラネクロズマとの数字差が意外すぎる【ショート】</t>
  </si>
  <si>
    <t xml:space="preserve">D28rh3UkGzo</t>
  </si>
  <si>
    <t xml:space="preserve">ルカリオとウルガモス、どっちが勝つ？相性有利がひっくり返る実戦条件【ショート】</t>
  </si>
  <si>
    <t xml:space="preserve">OfzvxiwA31E</t>
  </si>
  <si>
    <t xml:space="preserve">ミミッキュとロトム、どっちが勝つ？姿変化を実戦で比べた結果【ショート】</t>
  </si>
  <si>
    <t xml:space="preserve">lr8OrwkS5fY</t>
  </si>
  <si>
    <t xml:space="preserve">ホウオウとルギア、まともに戦わせたらどっちが勝つのか【ショート】</t>
  </si>
  <si>
    <t xml:space="preserve">BvCpMrCLrOA</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</si>
  <si>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</si>
  <si>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t xml:space="preserve">P_4DHMa-G1I</t>
  </si>
  <si>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</si>
  <si>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t xml:space="preserve">oKAAtVHrKHE</t>
  </si>
  <si>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</si>
  <si>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t xml:space="preserve">J5V0NAC4NWg</t>
  </si>
  <si>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</si>
  <si>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t xml:space="preserve">TxJJocksHB8</t>
  </si>
  <si>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</si>
  <si>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t xml:space="preserve">hQbf2JxjBQc</t>
  </si>
  <si>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</si>
  <si>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t xml:space="preserve">kPoDlIzgl90</t>
  </si>
  <si>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</si>
  <si>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t xml:space="preserve">_Utb9F77dIk</t>
  </si>
  <si>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</si>
  <si>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t xml:space="preserve">_AsmYsudKpg</t>
  </si>
  <si>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</si>
  <si>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t xml:space="preserve">l1RP8OJYEN8</t>
  </si>
  <si>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</si>
  <si>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t xml:space="preserve">7GsmQNdKD9E</t>
  </si>
  <si>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</si>
  <si>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P_Xoy67_Lm8</t>
  </si>
  <si>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</si>
  <si>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t xml:space="preserve">vyNsIci5fhU</t>
  </si>
  <si>
    <r>
      <rPr>
        <sz val="10"/>
        <rFont val="Arial"/>
        <family val="0"/>
        <charset val="1"/>
      </rPr>
      <t xml:space="preserve">1</t>
    </r>
    <r>
      <rPr>
        <sz val="10"/>
        <rFont val="Noto Sans CJK SC"/>
        <family val="2"/>
      </rPr>
      <t xml:space="preserve">分ポケモン研究 </t>
    </r>
    <r>
      <rPr>
        <sz val="10"/>
        <rFont val="Arial"/>
        <family val="0"/>
        <charset val="1"/>
      </rPr>
      <t xml:space="preserve">#18</t>
    </r>
    <r>
      <rPr>
        <sz val="10"/>
        <rFont val="Noto Sans CJK SC"/>
        <family val="2"/>
      </rPr>
      <t xml:space="preserve">：👀ポケモンタワーに隠された秘密、あなたが見落とす</t>
    </r>
    <r>
      <rPr>
        <sz val="10"/>
        <rFont val="Arial"/>
        <family val="0"/>
        <charset val="1"/>
      </rPr>
      <t xml:space="preserve">3</t>
    </r>
    <r>
      <rPr>
        <sz val="10"/>
        <rFont val="Noto Sans CJK SC"/>
        <family val="2"/>
      </rPr>
      <t xml:space="preserve">つの違和感は？👀【ショート】</t>
    </r>
  </si>
  <si>
    <t xml:space="preserve">Q4Iz8od8Ouo</t>
  </si>
  <si>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</si>
  <si>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t xml:space="preserve">qwBkO-ExIYM</t>
  </si>
  <si>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</si>
  <si>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t xml:space="preserve">iO7bSm6WTH4</t>
  </si>
  <si>
    <r>
      <rPr>
        <sz val="10"/>
        <rFont val="Arial"/>
        <family val="0"/>
        <charset val="1"/>
      </rPr>
      <t xml:space="preserve">1</t>
    </r>
    <r>
      <rPr>
        <sz val="10"/>
        <rFont val="Noto Sans CJK SC"/>
        <family val="2"/>
      </rPr>
      <t xml:space="preserve">分ポケモン研究 </t>
    </r>
    <r>
      <rPr>
        <sz val="10"/>
        <rFont val="Arial"/>
        <family val="0"/>
        <charset val="1"/>
      </rPr>
      <t xml:space="preserve">#22</t>
    </r>
    <r>
      <rPr>
        <sz val="10"/>
        <rFont val="Noto Sans CJK SC"/>
        <family val="2"/>
      </rPr>
      <t xml:space="preserve">：😨ラプラスに隠された秘密、図鑑の</t>
    </r>
    <r>
      <rPr>
        <sz val="10"/>
        <rFont val="Arial"/>
        <family val="0"/>
        <charset val="1"/>
      </rPr>
      <t xml:space="preserve">1</t>
    </r>
    <r>
      <rPr>
        <sz val="10"/>
        <rFont val="Noto Sans CJK SC"/>
        <family val="2"/>
      </rPr>
      <t xml:space="preserve">文で人間側がヤバい？【ショート】</t>
    </r>
  </si>
  <si>
    <t xml:space="preserve">0vsaWutTTBs</t>
  </si>
  <si>
    <r>
      <rPr>
        <sz val="10"/>
        <rFont val="Arial"/>
        <family val="0"/>
        <charset val="1"/>
      </rPr>
      <t xml:space="preserve">1</t>
    </r>
    <r>
      <rPr>
        <sz val="10"/>
        <rFont val="Noto Sans CJK SC"/>
        <family val="2"/>
      </rPr>
      <t xml:space="preserve">分ポケモン研究 </t>
    </r>
    <r>
      <rPr>
        <sz val="10"/>
        <rFont val="Arial"/>
        <family val="0"/>
        <charset val="1"/>
      </rPr>
      <t xml:space="preserve">#21</t>
    </r>
    <r>
      <rPr>
        <sz val="10"/>
        <rFont val="Noto Sans CJK SC"/>
        <family val="2"/>
      </rPr>
      <t xml:space="preserve">：👀カビゴンが道を塞ぐ理由に隠された</t>
    </r>
    <r>
      <rPr>
        <sz val="10"/>
        <rFont val="Arial"/>
        <family val="0"/>
        <charset val="1"/>
      </rPr>
      <t xml:space="preserve">1</t>
    </r>
    <r>
      <rPr>
        <sz val="10"/>
        <rFont val="Noto Sans CJK SC"/>
        <family val="2"/>
      </rPr>
      <t xml:space="preserve">日の秘密、あなたは気づいた？🔍【ショート】</t>
    </r>
  </si>
  <si>
    <t xml:space="preserve">BX221ErjU-E</t>
  </si>
  <si>
    <r>
      <rPr>
        <sz val="10"/>
        <rFont val="Noto Sans CJK SC"/>
        <family val="2"/>
      </rPr>
      <t xml:space="preserve">ピカチュウは</t>
    </r>
    <r>
      <rPr>
        <sz val="10"/>
        <rFont val="Arial"/>
        <family val="0"/>
        <charset val="1"/>
      </rPr>
      <t xml:space="preserve">10%</t>
    </r>
    <r>
      <rPr>
        <sz val="10"/>
        <rFont val="Noto Sans CJK SC"/>
        <family val="2"/>
      </rPr>
      <t xml:space="preserve">なのになぜ看板？【ショート】</t>
    </r>
  </si>
  <si>
    <t xml:space="preserve">EZ2F90bkVhg</t>
  </si>
  <si>
    <r>
      <rPr>
        <sz val="10"/>
        <rFont val="Noto Sans CJK SC"/>
        <family val="2"/>
      </rPr>
      <t xml:space="preserve">君が知らないシェイミ</t>
    </r>
    <r>
      <rPr>
        <sz val="10"/>
        <rFont val="Arial"/>
        <family val="0"/>
        <charset val="1"/>
      </rPr>
      <t xml:space="preserve">2</t>
    </r>
    <r>
      <rPr>
        <sz val="10"/>
        <rFont val="Noto Sans CJK SC"/>
        <family val="2"/>
      </rPr>
      <t xml:space="preserve">形態の正体</t>
    </r>
    <r>
      <rPr>
        <sz val="10"/>
        <rFont val="Arial"/>
        <family val="0"/>
        <charset val="1"/>
      </rPr>
      <t xml:space="preserve">127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</si>
  <si>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3MfL7PT1wvg</t>
  </si>
  <si>
    <r>
      <rPr>
        <sz val="10"/>
        <rFont val="Noto Sans CJK SC"/>
        <family val="2"/>
      </rPr>
      <t xml:space="preserve">御三家の相性が三すくみになったワケ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</si>
  <si>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FlhD3y4SXSU</t>
  </si>
  <si>
    <r>
      <rPr>
        <sz val="10"/>
        <rFont val="Noto Sans CJK SC"/>
        <family val="2"/>
      </rPr>
      <t xml:space="preserve">ポケモンセンターが治療費</t>
    </r>
    <r>
      <rPr>
        <sz val="10"/>
        <rFont val="Arial"/>
        <family val="0"/>
        <charset val="1"/>
      </rPr>
      <t xml:space="preserve">0</t>
    </r>
    <r>
      <rPr>
        <sz val="10"/>
        <rFont val="Noto Sans CJK SC"/>
        <family val="2"/>
      </rPr>
      <t xml:space="preserve">円で成り立つ理由がヤバい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</si>
  <si>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ogFHCAkeK5Y</t>
  </si>
  <si>
    <r>
      <rPr>
        <sz val="10"/>
        <rFont val="Noto Sans CJK SC"/>
        <family val="2"/>
      </rPr>
      <t xml:space="preserve">エースバーンのリベロ、</t>
    </r>
    <r>
      <rPr>
        <sz val="10"/>
        <rFont val="Arial"/>
        <family val="0"/>
        <charset val="1"/>
      </rPr>
      <t xml:space="preserve">1</t>
    </r>
    <r>
      <rPr>
        <sz val="10"/>
        <rFont val="Noto Sans CJK SC"/>
        <family val="2"/>
      </rPr>
      <t xml:space="preserve">試合でしか変われない</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</si>
  <si>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saslFdGKLOg</t>
  </si>
  <si>
    <r>
      <rPr>
        <sz val="10"/>
        <rFont val="Noto Sans CJK SC"/>
        <family val="2"/>
      </rPr>
      <t xml:space="preserve">初代図鑑にだけけつばんが現れた本当の理由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</si>
  <si>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LgOc44vD_RQ</t>
  </si>
  <si>
    <r>
      <rPr>
        <sz val="10"/>
        <rFont val="Noto Sans CJK SC"/>
        <family val="2"/>
      </rPr>
      <t xml:space="preserve">君のサンダースだけ</t>
    </r>
    <r>
      <rPr>
        <sz val="10"/>
        <rFont val="Arial"/>
        <family val="0"/>
        <charset val="1"/>
      </rPr>
      <t xml:space="preserve">3</t>
    </r>
    <r>
      <rPr>
        <sz val="10"/>
        <rFont val="Noto Sans CJK SC"/>
        <family val="2"/>
      </rPr>
      <t xml:space="preserve">個必要だった時代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</si>
  <si>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iqNuDBBlOZw</t>
  </si>
  <si>
    <r>
      <rPr>
        <sz val="10"/>
        <rFont val="Noto Sans CJK SC"/>
        <family val="2"/>
      </rPr>
      <t xml:space="preserve">ハピナス</t>
    </r>
    <r>
      <rPr>
        <sz val="10"/>
        <rFont val="Arial"/>
        <family val="0"/>
        <charset val="1"/>
      </rPr>
      <t xml:space="preserve">HP255</t>
    </r>
    <r>
      <rPr>
        <sz val="10"/>
        <rFont val="Noto Sans CJK SC"/>
        <family val="2"/>
      </rPr>
      <t xml:space="preserve">・特防なのに防御衝撃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</si>
  <si>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qA91aT9msiQ</t>
  </si>
  <si>
    <r>
      <rPr>
        <sz val="10"/>
        <rFont val="Arial"/>
        <family val="0"/>
        <charset val="1"/>
      </rPr>
      <t xml:space="preserve">3</t>
    </r>
    <r>
      <rPr>
        <sz val="10"/>
        <rFont val="Noto Sans CJK SC"/>
        <family val="2"/>
      </rPr>
      <t xml:space="preserve">秒でわかる？ポリゴンがテレビから消えた本当の理由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</si>
  <si>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M94EcywNsvc</t>
  </si>
  <si>
    <r>
      <rPr>
        <sz val="10"/>
        <rFont val="Noto Sans CJK SC"/>
        <family val="2"/>
      </rPr>
      <t xml:space="preserve">一口</t>
    </r>
    <r>
      <rPr>
        <sz val="10"/>
        <rFont val="Arial"/>
        <family val="0"/>
        <charset val="1"/>
      </rPr>
      <t xml:space="preserve">SCP</t>
    </r>
    <r>
      <rPr>
        <sz val="10"/>
        <rFont val="Noto Sans CJK SC"/>
        <family val="2"/>
      </rPr>
      <t xml:space="preserve">：人類の前に『別の文明』が存在した財団が隠し続ける、本当の歴史</t>
    </r>
    <r>
      <rPr>
        <sz val="10"/>
        <rFont val="Arial"/>
        <family val="0"/>
        <charset val="1"/>
      </rPr>
      <t xml:space="preserve">#SCP-1000</t>
    </r>
    <r>
      <rPr>
        <sz val="10"/>
        <rFont val="Noto Sans CJK SC"/>
        <family val="2"/>
      </rPr>
      <t xml:space="preserve">【人類が忘れさせられた理由】— なぜ財団は今も記憶を消し続けるのか </t>
    </r>
    <r>
      <rPr>
        <sz val="10"/>
        <rFont val="Arial"/>
        <family val="0"/>
        <charset val="1"/>
      </rPr>
      <t xml:space="preserve">#</t>
    </r>
  </si>
  <si>
    <t xml:space="preserve">W9syAC_5SAs</t>
  </si>
  <si>
    <r>
      <rPr>
        <sz val="10"/>
        <rFont val="Arial"/>
        <family val="0"/>
        <charset val="1"/>
      </rPr>
      <t xml:space="preserve">SCP-179</t>
    </r>
    <r>
      <rPr>
        <sz val="10"/>
        <rFont val="Noto Sans CJK SC"/>
        <family val="2"/>
      </rPr>
      <t xml:space="preserve">「すばる」が財団に警告を送り続けた理由—なぜ誰も止められなかったのか【ショート】</t>
    </r>
  </si>
  <si>
    <t xml:space="preserve">uqNMjK_tdSE</t>
  </si>
  <si>
    <r>
      <rPr>
        <sz val="10"/>
        <rFont val="Noto Sans CJK SC"/>
        <family val="2"/>
      </rPr>
      <t xml:space="preserve">一口</t>
    </r>
    <r>
      <rPr>
        <sz val="10"/>
        <rFont val="Arial"/>
        <family val="0"/>
        <charset val="1"/>
      </rPr>
      <t xml:space="preserve">SCP</t>
    </r>
    <r>
      <rPr>
        <sz val="10"/>
        <rFont val="Noto Sans CJK SC"/>
        <family val="2"/>
      </rPr>
      <t xml:space="preserve">：瞬きの、その一瞬で首が折れる</t>
    </r>
    <r>
      <rPr>
        <sz val="10"/>
        <rFont val="Arial"/>
        <family val="0"/>
        <charset val="1"/>
      </rPr>
      <t xml:space="preserve">#SCP-173</t>
    </r>
    <r>
      <rPr>
        <sz val="10"/>
        <rFont val="Noto Sans CJK SC"/>
        <family val="2"/>
      </rPr>
      <t xml:space="preserve">【それは、瞬きの間に】視線を外した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r>
      <rPr>
        <sz val="10"/>
        <rFont val="Noto Sans CJK SC"/>
        <family val="2"/>
      </rPr>
      <t xml:space="preserve">ゆっくり解説</t>
    </r>
  </si>
  <si>
    <t xml:space="preserve">BcXI_UeWV_E</t>
  </si>
  <si>
    <r>
      <rPr>
        <sz val="10"/>
        <rFont val="Noto Sans CJK SC"/>
        <family val="2"/>
      </rPr>
      <t xml:space="preserve">一口</t>
    </r>
    <r>
      <rPr>
        <sz val="10"/>
        <rFont val="Arial"/>
        <family val="0"/>
        <charset val="1"/>
      </rPr>
      <t xml:space="preserve">SCP</t>
    </r>
    <r>
      <rPr>
        <sz val="10"/>
        <rFont val="Noto Sans CJK SC"/>
        <family val="2"/>
      </rPr>
      <t xml:space="preserve">：財団のデータベースが、上書きされている</t>
    </r>
    <r>
      <rPr>
        <sz val="10"/>
        <rFont val="Arial"/>
        <family val="0"/>
        <charset val="1"/>
      </rPr>
      <t xml:space="preserve">SCP-3812</t>
    </r>
    <r>
      <rPr>
        <sz val="10"/>
        <rFont val="Noto Sans CJK SC"/>
        <family val="2"/>
      </rPr>
      <t xml:space="preserve">は『収容』という概念すら超えた</t>
    </r>
    <r>
      <rPr>
        <sz val="10"/>
        <rFont val="Arial"/>
        <family val="0"/>
        <charset val="1"/>
      </rPr>
      <t xml:space="preserve">#SCP-3812</t>
    </r>
    <r>
      <rPr>
        <sz val="10"/>
        <rFont val="Noto Sans CJK SC"/>
        <family val="2"/>
      </rPr>
      <t xml:space="preserve">【財団の記録が、消えていく】なぜ収容プロトコル</t>
    </r>
  </si>
  <si>
    <t xml:space="preserve">eI7SDKJQ7vM</t>
  </si>
  <si>
    <r>
      <rPr>
        <sz val="10"/>
        <rFont val="Arial"/>
        <family val="0"/>
        <charset val="1"/>
      </rPr>
      <t xml:space="preserve">SCP-4666</t>
    </r>
    <r>
      <rPr>
        <sz val="10"/>
        <rFont val="Noto Sans CJK SC"/>
        <family val="2"/>
      </rPr>
      <t xml:space="preserve">「ユールマン」— 冬至の夜、北緯</t>
    </r>
    <r>
      <rPr>
        <sz val="10"/>
        <rFont val="Arial"/>
        <family val="0"/>
        <charset val="1"/>
      </rPr>
      <t xml:space="preserve">55</t>
    </r>
    <r>
      <rPr>
        <sz val="10"/>
        <rFont val="Noto Sans CJK SC"/>
        <family val="2"/>
      </rPr>
      <t xml:space="preserve">度以北で子供だけが消える理由を財団は</t>
    </r>
    <r>
      <rPr>
        <sz val="10"/>
        <rFont val="Arial"/>
        <family val="0"/>
        <charset val="1"/>
      </rPr>
      <t xml:space="preserve">18</t>
    </r>
    <r>
      <rPr>
        <sz val="10"/>
        <rFont val="Noto Sans CJK SC"/>
        <family val="2"/>
      </rPr>
      <t xml:space="preserve">年間隠し続けた【ショート】</t>
    </r>
  </si>
  <si>
    <t xml:space="preserve">5buTzrSkvmM</t>
  </si>
  <si>
    <r>
      <rPr>
        <sz val="10"/>
        <rFont val="Noto Sans CJK SC"/>
        <family val="2"/>
      </rPr>
      <t xml:space="preserve">一口</t>
    </r>
    <r>
      <rPr>
        <sz val="10"/>
        <rFont val="Arial"/>
        <family val="0"/>
        <charset val="1"/>
      </rPr>
      <t xml:space="preserve">SCP</t>
    </r>
    <r>
      <rPr>
        <sz val="10"/>
        <rFont val="Noto Sans CJK SC"/>
        <family val="2"/>
      </rPr>
      <t xml:space="preserve">：目を離すな瞬きすら、許されない</t>
    </r>
    <r>
      <rPr>
        <sz val="10"/>
        <rFont val="Arial"/>
        <family val="0"/>
        <charset val="1"/>
      </rPr>
      <t xml:space="preserve">#SCP-173</t>
    </r>
    <r>
      <rPr>
        <sz val="10"/>
        <rFont val="Noto Sans CJK SC"/>
        <family val="2"/>
      </rPr>
      <t xml:space="preserve">【それは、瞬きの間に】目を離した瞬間に何かが起きている </t>
    </r>
    <r>
      <rPr>
        <sz val="10"/>
        <rFont val="Arial"/>
        <family val="0"/>
        <charset val="1"/>
      </rPr>
      <t xml:space="preserve">#shorts #</t>
    </r>
    <r>
      <rPr>
        <sz val="10"/>
        <rFont val="Noto Sans CJK SC"/>
        <family val="2"/>
      </rPr>
      <t xml:space="preserve">ゆっくり解説</t>
    </r>
  </si>
  <si>
    <t xml:space="preserve">A7V2kFjVoWA</t>
  </si>
  <si>
    <r>
      <rPr>
        <sz val="10"/>
        <rFont val="Noto Sans CJK SC"/>
        <family val="2"/>
      </rPr>
      <t xml:space="preserve">一口</t>
    </r>
    <r>
      <rPr>
        <sz val="10"/>
        <rFont val="Arial"/>
        <family val="0"/>
        <charset val="1"/>
      </rPr>
      <t xml:space="preserve">SCP</t>
    </r>
    <r>
      <rPr>
        <sz val="10"/>
        <rFont val="Noto Sans CJK SC"/>
        <family val="2"/>
      </rPr>
      <t xml:space="preserve">：目を離した瞬間、終わる</t>
    </r>
    <r>
      <rPr>
        <sz val="10"/>
        <rFont val="Arial"/>
        <family val="0"/>
        <charset val="1"/>
      </rPr>
      <t xml:space="preserve">SCP-173 ── </t>
    </r>
    <r>
      <rPr>
        <sz val="10"/>
        <rFont val="Noto Sans CJK SC"/>
        <family val="2"/>
      </rPr>
      <t xml:space="preserve">財団最古の封印</t>
    </r>
    <r>
      <rPr>
        <sz val="10"/>
        <rFont val="Arial"/>
        <family val="0"/>
        <charset val="1"/>
      </rPr>
      <t xml:space="preserve">#SCP-173</t>
    </r>
    <r>
      <rPr>
        <sz val="10"/>
        <rFont val="Noto Sans CJK SC"/>
        <family val="2"/>
      </rPr>
      <t xml:space="preserve">【それは、瞬きの間に】目を離した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</si>
  <si>
    <t xml:space="preserve">gEEvttJwDRc</t>
  </si>
  <si>
    <r>
      <rPr>
        <sz val="10"/>
        <rFont val="Arial"/>
        <family val="0"/>
        <charset val="1"/>
      </rPr>
      <t xml:space="preserve">SCP-1425</t>
    </r>
    <r>
      <rPr>
        <sz val="10"/>
        <rFont val="Noto Sans CJK SC"/>
        <family val="2"/>
      </rPr>
      <t xml:space="preserve">「星の歌」— この動画を最後まで見た人が、なぜか全員同じ夢を見る理由【ショート】</t>
    </r>
  </si>
  <si>
    <t xml:space="preserve">kEbDYETbtjE</t>
  </si>
  <si>
    <r>
      <rPr>
        <sz val="10"/>
        <rFont val="Noto Sans CJK SC"/>
        <family val="2"/>
      </rPr>
      <t xml:space="preserve">一口</t>
    </r>
    <r>
      <rPr>
        <sz val="10"/>
        <rFont val="Arial"/>
        <family val="0"/>
        <charset val="1"/>
      </rPr>
      <t xml:space="preserve">SCP</t>
    </r>
    <r>
      <rPr>
        <sz val="10"/>
        <rFont val="Noto Sans CJK SC"/>
        <family val="2"/>
      </rPr>
      <t xml:space="preserve">：視線を外した瞬間、終わり財団収容室・機密レベル：最高機密</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秒で、なぜ人は死ぬのか </t>
    </r>
    <r>
      <rPr>
        <sz val="10"/>
        <rFont val="Arial"/>
        <family val="0"/>
        <charset val="1"/>
      </rPr>
      <t xml:space="preserve">#shorts #</t>
    </r>
    <r>
      <rPr>
        <sz val="10"/>
        <rFont val="Noto Sans CJK SC"/>
        <family val="2"/>
      </rPr>
      <t xml:space="preserve">ゆっ</t>
    </r>
  </si>
  <si>
    <t xml:space="preserve">FFC_awNFZkY</t>
  </si>
  <si>
    <r>
      <rPr>
        <sz val="10"/>
        <rFont val="Arial"/>
        <family val="0"/>
        <charset val="1"/>
      </rPr>
      <t xml:space="preserve">SCP-835</t>
    </r>
    <r>
      <rPr>
        <sz val="10"/>
        <rFont val="Noto Sans CJK SC"/>
        <family val="2"/>
      </rPr>
      <t xml:space="preserve">「触手の穴」— 財団が</t>
    </r>
    <r>
      <rPr>
        <sz val="10"/>
        <rFont val="Arial"/>
        <family val="0"/>
        <charset val="1"/>
      </rPr>
      <t xml:space="preserve">13</t>
    </r>
    <r>
      <rPr>
        <sz val="10"/>
        <rFont val="Noto Sans CJK SC"/>
        <family val="2"/>
      </rPr>
      <t xml:space="preserve">名の失踪を隠蔽し続けた深海施設の実験記録、なぜ全ページが黒塗りなのか【ショート】</t>
    </r>
  </si>
  <si>
    <t xml:space="preserve">d4wyV0ZqTdg</t>
  </si>
  <si>
    <r>
      <rPr>
        <sz val="10"/>
        <rFont val="Noto Sans CJK SC"/>
        <family val="2"/>
      </rPr>
      <t xml:space="preserve">一口</t>
    </r>
    <r>
      <rPr>
        <sz val="10"/>
        <rFont val="Arial"/>
        <family val="0"/>
        <charset val="1"/>
      </rPr>
      <t xml:space="preserve">SCP</t>
    </r>
    <r>
      <rPr>
        <sz val="10"/>
        <rFont val="Noto Sans CJK SC"/>
        <family val="2"/>
      </rPr>
      <t xml:space="preserve">：視線を外した瞬間、動く財団収容室から流出した機密記録</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秒で、首が折れる </t>
    </r>
    <r>
      <rPr>
        <sz val="10"/>
        <rFont val="Arial"/>
        <family val="0"/>
        <charset val="1"/>
      </rPr>
      <t xml:space="preserve">#shorts #</t>
    </r>
    <r>
      <rPr>
        <sz val="10"/>
        <rFont val="Noto Sans CJK SC"/>
        <family val="2"/>
      </rPr>
      <t xml:space="preserve">ゆっくり解説</t>
    </r>
  </si>
  <si>
    <t xml:space="preserve">gdcF0lLPOm4</t>
  </si>
  <si>
    <r>
      <rPr>
        <sz val="10"/>
        <rFont val="Noto Sans CJK SC"/>
        <family val="2"/>
      </rPr>
      <t xml:space="preserve">一口</t>
    </r>
    <r>
      <rPr>
        <sz val="10"/>
        <rFont val="Arial"/>
        <family val="0"/>
        <charset val="1"/>
      </rPr>
      <t xml:space="preserve">SCP</t>
    </r>
    <r>
      <rPr>
        <sz val="10"/>
        <rFont val="Noto Sans CJK SC"/>
        <family val="2"/>
      </rPr>
      <t xml:space="preserve">：心臓を持って入れ——それが唯一の収容条件扉を開けた</t>
    </r>
    <r>
      <rPr>
        <sz val="10"/>
        <rFont val="Arial"/>
        <family val="0"/>
        <charset val="1"/>
      </rPr>
      <t xml:space="preserve">12</t>
    </r>
    <r>
      <rPr>
        <sz val="10"/>
        <rFont val="Noto Sans CJK SC"/>
        <family val="2"/>
      </rPr>
      <t xml:space="preserve">名、全員が消滅</t>
    </r>
    <r>
      <rPr>
        <sz val="10"/>
        <rFont val="Arial"/>
        <family val="0"/>
        <charset val="1"/>
      </rPr>
      <t xml:space="preserve">#SCP-1983</t>
    </r>
    <r>
      <rPr>
        <sz val="10"/>
        <rFont val="Noto Sans CJK SC"/>
        <family val="2"/>
      </rPr>
      <t xml:space="preserve">「ドアの向こうの闇」— 心臓を持たずに開けた扉の先で、財団員は</t>
    </r>
  </si>
  <si>
    <t xml:space="preserve">1n7bln2RXew</t>
  </si>
  <si>
    <r>
      <rPr>
        <sz val="10"/>
        <rFont val="Arial"/>
        <family val="0"/>
        <charset val="1"/>
      </rPr>
      <t xml:space="preserve">SCP-1983</t>
    </r>
    <r>
      <rPr>
        <sz val="10"/>
        <rFont val="Noto Sans CJK SC"/>
        <family val="2"/>
      </rPr>
      <t xml:space="preserve">「ドアの向こうの闇」— 財団が封印した扉を、なぜ研究員は心臓を持って開けなければならないのか【ショート】</t>
    </r>
  </si>
  <si>
    <t xml:space="preserve">3CSnQsX5X70</t>
  </si>
  <si>
    <r>
      <rPr>
        <sz val="10"/>
        <rFont val="Noto Sans CJK SC"/>
        <family val="2"/>
      </rPr>
      <t xml:space="preserve">一口</t>
    </r>
    <r>
      <rPr>
        <sz val="10"/>
        <rFont val="Arial"/>
        <family val="0"/>
        <charset val="1"/>
      </rPr>
      <t xml:space="preserve">SCP</t>
    </r>
    <r>
      <rPr>
        <sz val="10"/>
        <rFont val="Noto Sans CJK SC"/>
        <family val="2"/>
      </rPr>
      <t xml:space="preserve">：心臓を持って入室せよ財団が隠した扉の向こう側</t>
    </r>
    <r>
      <rPr>
        <sz val="10"/>
        <rFont val="Arial"/>
        <family val="0"/>
        <charset val="1"/>
      </rPr>
      <t xml:space="preserve">#SCP-1983</t>
    </r>
    <r>
      <rPr>
        <sz val="10"/>
        <rFont val="Noto Sans CJK SC"/>
        <family val="2"/>
      </rPr>
      <t xml:space="preserve">「ドアの向こうの闇」— 心臓を持って入れ、という収容プロトコルが実在した理由 </t>
    </r>
    <r>
      <rPr>
        <sz val="10"/>
        <rFont val="Arial"/>
        <family val="0"/>
        <charset val="1"/>
      </rPr>
      <t xml:space="preserve">#sho</t>
    </r>
  </si>
  <si>
    <t xml:space="preserve">5wZnyvEqwzg</t>
  </si>
  <si>
    <r>
      <rPr>
        <sz val="10"/>
        <rFont val="Arial"/>
        <family val="0"/>
        <charset val="1"/>
      </rPr>
      <t xml:space="preserve">SCP-4715</t>
    </r>
    <r>
      <rPr>
        <sz val="10"/>
        <rFont val="Noto Sans CJK SC"/>
        <family val="2"/>
      </rPr>
      <t xml:space="preserve">「戦争終結者」— 財団が第二次世界大戦を終わらせたという記録が、なぜ</t>
    </r>
    <r>
      <rPr>
        <sz val="10"/>
        <rFont val="Arial"/>
        <family val="0"/>
        <charset val="1"/>
      </rPr>
      <t xml:space="preserve">[DATA EXPUNGED]</t>
    </r>
    <r>
      <rPr>
        <sz val="10"/>
        <rFont val="Noto Sans CJK SC"/>
        <family val="2"/>
      </rPr>
      <t xml:space="preserve">されたのか【ショート】</t>
    </r>
  </si>
  <si>
    <t xml:space="preserve">cWSDqCQ643o</t>
  </si>
  <si>
    <r>
      <rPr>
        <sz val="10"/>
        <rFont val="Noto Sans CJK SC"/>
        <family val="2"/>
      </rPr>
      <t xml:space="preserve">一口</t>
    </r>
    <r>
      <rPr>
        <sz val="10"/>
        <rFont val="Arial"/>
        <family val="0"/>
        <charset val="1"/>
      </rPr>
      <t xml:space="preserve">SCP</t>
    </r>
    <r>
      <rPr>
        <sz val="10"/>
        <rFont val="Noto Sans CJK SC"/>
        <family val="2"/>
      </rPr>
      <t xml:space="preserve">：目を離した瞬間に動く財団収容記録：機密レベル最高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t>
    </r>
    <r>
      <rPr>
        <sz val="10"/>
        <rFont val="Arial"/>
        <family val="0"/>
        <charset val="1"/>
      </rPr>
      <t xml:space="preserve">14</t>
    </r>
    <r>
      <rPr>
        <sz val="10"/>
        <rFont val="Noto Sans CJK SC"/>
        <family val="2"/>
      </rPr>
      <t xml:space="preserve">人が消えた収容室の真実 </t>
    </r>
    <r>
      <rPr>
        <sz val="10"/>
        <rFont val="Arial"/>
        <family val="0"/>
        <charset val="1"/>
      </rPr>
      <t xml:space="preserve">#shorts #</t>
    </r>
    <r>
      <rPr>
        <sz val="10"/>
        <rFont val="Noto Sans CJK SC"/>
        <family val="2"/>
      </rPr>
      <t xml:space="preserve">ゆっ</t>
    </r>
  </si>
  <si>
    <t xml:space="preserve">A77l46R2-Os</t>
  </si>
  <si>
    <r>
      <rPr>
        <sz val="10"/>
        <rFont val="Noto Sans CJK SC"/>
        <family val="2"/>
      </rPr>
      <t xml:space="preserve">一口</t>
    </r>
    <r>
      <rPr>
        <sz val="10"/>
        <rFont val="Arial"/>
        <family val="0"/>
        <charset val="1"/>
      </rPr>
      <t xml:space="preserve">SCP</t>
    </r>
    <r>
      <rPr>
        <sz val="10"/>
        <rFont val="Noto Sans CJK SC"/>
        <family val="2"/>
      </rPr>
      <t xml:space="preserve">：目を離した瞬間、動く財団が隠す</t>
    </r>
    <r>
      <rPr>
        <sz val="10"/>
        <rFont val="Arial"/>
        <family val="0"/>
        <charset val="1"/>
      </rPr>
      <t xml:space="preserve">173</t>
    </r>
    <r>
      <rPr>
        <sz val="10"/>
        <rFont val="Noto Sans CJK SC"/>
        <family val="2"/>
      </rPr>
      <t xml:space="preserve">の真実</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</si>
  <si>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t xml:space="preserve">Od5xuRZ-hqk</t>
  </si>
  <si>
    <r>
      <rPr>
        <sz val="10"/>
        <rFont val="Arial"/>
        <family val="0"/>
        <charset val="1"/>
      </rPr>
      <t xml:space="preserve">SCP-1730</t>
    </r>
    <r>
      <rPr>
        <sz val="10"/>
        <rFont val="Noto Sans CJK SC"/>
        <family val="2"/>
      </rPr>
      <t xml:space="preserve">「存在しなかったサイト」— 財団施設が丸ごと消えた夜、最後の交信記録に何が残っていたのか【ショート】</t>
    </r>
  </si>
  <si>
    <t xml:space="preserve">3DoQjfbDP2A</t>
  </si>
  <si>
    <r>
      <rPr>
        <sz val="10"/>
        <rFont val="Arial"/>
        <family val="0"/>
        <charset val="1"/>
      </rPr>
      <t xml:space="preserve">SCP-4840</t>
    </r>
    <r>
      <rPr>
        <sz val="10"/>
        <rFont val="Noto Sans CJK SC"/>
        <family val="2"/>
      </rPr>
      <t xml:space="preserve">「バビロンの巨人」— 財団が古代遺跡ごと地下に埋めた本当の理由【ショート】</t>
    </r>
  </si>
  <si>
    <t xml:space="preserve">CcCyPC2afpw</t>
  </si>
  <si>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：目を離した瞬間、死ぬ財団収容室・機密映像より</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</si>
  <si>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t xml:space="preserve">J5By2jEF6vw</t>
  </si>
  <si>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</si>
  <si>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t xml:space="preserve">tgXARsMWfr0</t>
  </si>
  <si>
    <r>
      <rPr>
        <sz val="10"/>
        <rFont val="Noto Sans CJK SC"/>
        <family val="2"/>
      </rPr>
      <t xml:space="preserve">一口</t>
    </r>
    <r>
      <rPr>
        <sz val="10"/>
        <rFont val="Arial"/>
        <family val="0"/>
        <charset val="1"/>
      </rPr>
      <t xml:space="preserve">SCP</t>
    </r>
    <r>
      <rPr>
        <sz val="10"/>
        <rFont val="Noto Sans CJK SC"/>
        <family val="2"/>
      </rPr>
      <t xml:space="preserve">：見るのをやめた瞬間、それは動く生存者：ゼロ</t>
    </r>
    <r>
      <rPr>
        <sz val="10"/>
        <rFont val="Arial"/>
        <family val="0"/>
        <charset val="1"/>
      </rPr>
      <t xml:space="preserve">#SCP-173</t>
    </r>
    <r>
      <rPr>
        <sz val="10"/>
        <rFont val="Noto Sans CJK SC"/>
        <family val="2"/>
      </rPr>
      <t xml:space="preserve">「彫刻」——視線を外した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人が死んだ理由 </t>
    </r>
    <r>
      <rPr>
        <sz val="10"/>
        <rFont val="Arial"/>
        <family val="0"/>
        <charset val="1"/>
      </rPr>
      <t xml:space="preserve">#shorts #</t>
    </r>
    <r>
      <rPr>
        <sz val="10"/>
        <rFont val="Noto Sans CJK SC"/>
        <family val="2"/>
      </rPr>
      <t xml:space="preserve">ゆっくり解説</t>
    </r>
  </si>
  <si>
    <t xml:space="preserve">WVrvNautMmg</t>
  </si>
  <si>
    <r>
      <rPr>
        <sz val="10"/>
        <rFont val="Noto Sans CJK SC"/>
        <family val="2"/>
      </rPr>
      <t xml:space="preserve">一口</t>
    </r>
    <r>
      <rPr>
        <sz val="10"/>
        <rFont val="Arial"/>
        <family val="0"/>
        <charset val="1"/>
      </rPr>
      <t xml:space="preserve">SCP</t>
    </r>
    <r>
      <rPr>
        <sz val="10"/>
        <rFont val="Noto Sans CJK SC"/>
        <family val="2"/>
      </rPr>
      <t xml:space="preserve">：接触記録</t>
    </r>
    <r>
      <rPr>
        <sz val="10"/>
        <rFont val="Arial"/>
        <family val="0"/>
        <charset val="1"/>
      </rPr>
      <t xml:space="preserve">17</t>
    </r>
    <r>
      <rPr>
        <sz val="10"/>
        <rFont val="Noto Sans CJK SC"/>
        <family val="2"/>
      </rPr>
      <t xml:space="preserve">件、生存者ゼロそれでも財団は『安全』と判断した</t>
    </r>
    <r>
      <rPr>
        <sz val="10"/>
        <rFont val="Arial"/>
        <family val="0"/>
        <charset val="1"/>
      </rPr>
      <t xml:space="preserve">#SCP-173</t>
    </r>
    <r>
      <rPr>
        <sz val="10"/>
        <rFont val="Noto Sans CJK SC"/>
        <family val="2"/>
      </rPr>
      <t xml:space="preserve">「彫刻」——視線を切った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 </t>
    </r>
    <r>
      <rPr>
        <sz val="10"/>
        <rFont val="Arial"/>
        <family val="0"/>
        <charset val="1"/>
      </rPr>
      <t xml:space="preserve">#shorts #</t>
    </r>
    <r>
      <rPr>
        <sz val="10"/>
        <rFont val="Noto Sans CJK SC"/>
        <family val="2"/>
      </rPr>
      <t xml:space="preserve">ゆっ</t>
    </r>
  </si>
  <si>
    <t xml:space="preserve">eY4d48v_mtk</t>
  </si>
  <si>
    <r>
      <rPr>
        <sz val="10"/>
        <rFont val="Arial"/>
        <family val="0"/>
        <charset val="1"/>
      </rPr>
      <t xml:space="preserve">SCP-3003</t>
    </r>
    <r>
      <rPr>
        <sz val="10"/>
        <rFont val="Noto Sans CJK SC"/>
        <family val="2"/>
      </rPr>
      <t xml:space="preserve">「失われた電源」— 財団が封印した異常技術、収容室の外に出た記録が存在する【ショート】</t>
    </r>
  </si>
  <si>
    <t xml:space="preserve">kk1N0ilJiEk</t>
  </si>
  <si>
    <r>
      <rPr>
        <sz val="10"/>
        <rFont val="Noto Sans CJK SC"/>
        <family val="2"/>
      </rPr>
      <t xml:space="preserve">一口</t>
    </r>
    <r>
      <rPr>
        <sz val="10"/>
        <rFont val="Arial"/>
        <family val="0"/>
        <charset val="1"/>
      </rPr>
      <t xml:space="preserve">SCP</t>
    </r>
    <r>
      <rPr>
        <sz val="10"/>
        <rFont val="Noto Sans CJK SC"/>
        <family val="2"/>
      </rPr>
      <t xml:space="preserve">：財団が『受け取った』存在それは本当に贈り物だったのか</t>
    </r>
    <r>
      <rPr>
        <sz val="10"/>
        <rFont val="Arial"/>
        <family val="0"/>
        <charset val="1"/>
      </rPr>
      <t xml:space="preserve">#SCP-4002</t>
    </r>
    <r>
      <rPr>
        <sz val="10"/>
        <rFont val="Noto Sans CJK SC"/>
        <family val="2"/>
      </rPr>
      <t xml:space="preserve">「生の贈り物」——収容された異常存在が財団に渡したものの正体が、あまりにも </t>
    </r>
    <r>
      <rPr>
        <sz val="10"/>
        <rFont val="Arial"/>
        <family val="0"/>
        <charset val="1"/>
      </rPr>
      <t xml:space="preserve">#</t>
    </r>
  </si>
  <si>
    <t xml:space="preserve">CCE4hOHHPr4</t>
  </si>
  <si>
    <r>
      <rPr>
        <sz val="10"/>
        <rFont val="Noto Sans CJK SC"/>
        <family val="2"/>
      </rPr>
      <t xml:space="preserve">一口</t>
    </r>
    <r>
      <rPr>
        <sz val="10"/>
        <rFont val="Arial"/>
        <family val="0"/>
        <charset val="1"/>
      </rPr>
      <t xml:space="preserve">SCP</t>
    </r>
    <r>
      <rPr>
        <sz val="10"/>
        <rFont val="Noto Sans CJK SC"/>
        <family val="2"/>
      </rPr>
      <t xml:space="preserve">：担当者</t>
    </r>
    <r>
      <rPr>
        <sz val="10"/>
        <rFont val="Arial"/>
        <family val="0"/>
        <charset val="1"/>
      </rPr>
      <t xml:space="preserve">17</t>
    </r>
    <r>
      <rPr>
        <sz val="10"/>
        <rFont val="Noto Sans CJK SC"/>
        <family val="2"/>
      </rPr>
      <t xml:space="preserve">名、記録ごと消滅</t>
    </r>
    <r>
      <rPr>
        <sz val="10"/>
        <rFont val="Arial"/>
        <family val="0"/>
        <charset val="1"/>
      </rPr>
      <t xml:space="preserve">SCP-4002</t>
    </r>
    <r>
      <rPr>
        <sz val="10"/>
        <rFont val="Noto Sans CJK SC"/>
        <family val="2"/>
      </rPr>
      <t xml:space="preserve">の正体、財団も解明不能</t>
    </r>
    <r>
      <rPr>
        <sz val="10"/>
        <rFont val="Arial"/>
        <family val="0"/>
        <charset val="1"/>
      </rPr>
      <t xml:space="preserve">#SCP-4002</t>
    </r>
    <r>
      <rPr>
        <sz val="10"/>
        <rFont val="Noto Sans CJK SC"/>
        <family val="2"/>
      </rPr>
      <t xml:space="preserve">「生の贈り物」——収容した翌日、担当研究員</t>
    </r>
    <r>
      <rPr>
        <sz val="10"/>
        <rFont val="Arial"/>
        <family val="0"/>
        <charset val="1"/>
      </rPr>
      <t xml:space="preserve">17</t>
    </r>
    <r>
      <rPr>
        <sz val="10"/>
        <rFont val="Noto Sans CJK SC"/>
        <family val="2"/>
      </rPr>
      <t xml:space="preserve">名の記録が財団データ</t>
    </r>
  </si>
  <si>
    <t xml:space="preserve">b3eg4cg09C4</t>
  </si>
  <si>
    <r>
      <rPr>
        <sz val="10"/>
        <rFont val="Noto Sans CJK SC"/>
        <family val="2"/>
      </rPr>
      <t xml:space="preserve">財団が隠し続けた『消耗品』の正体——</t>
    </r>
    <r>
      <rPr>
        <sz val="10"/>
        <rFont val="Arial"/>
        <family val="0"/>
        <charset val="1"/>
      </rPr>
      <t xml:space="preserve">D</t>
    </r>
    <r>
      <rPr>
        <sz val="10"/>
        <rFont val="Noto Sans CJK SC"/>
        <family val="2"/>
      </rPr>
      <t xml:space="preserve">クラス職員は、なぜ毎月末に全員消える？【ショート】</t>
    </r>
  </si>
  <si>
    <t xml:space="preserve">kxo8AFU4L_E</t>
  </si>
  <si>
    <r>
      <rPr>
        <sz val="10"/>
        <rFont val="Noto Sans CJK SC"/>
        <family val="2"/>
      </rPr>
      <t xml:space="preserve">一口</t>
    </r>
    <r>
      <rPr>
        <sz val="10"/>
        <rFont val="Arial"/>
        <family val="0"/>
        <charset val="1"/>
      </rPr>
      <t xml:space="preserve">SCP</t>
    </r>
    <r>
      <rPr>
        <sz val="10"/>
        <rFont val="Noto Sans CJK SC"/>
        <family val="2"/>
      </rPr>
      <t xml:space="preserve">：収容成功の翌朝、担当研究員</t>
    </r>
    <r>
      <rPr>
        <sz val="10"/>
        <rFont val="Arial"/>
        <family val="0"/>
        <charset val="1"/>
      </rPr>
      <t xml:space="preserve">17</t>
    </r>
    <r>
      <rPr>
        <sz val="10"/>
        <rFont val="Noto Sans CJK SC"/>
        <family val="2"/>
      </rPr>
      <t xml:space="preserve">名が記録ごと消滅</t>
    </r>
    <r>
      <rPr>
        <sz val="10"/>
        <rFont val="Arial"/>
        <family val="0"/>
        <charset val="1"/>
      </rPr>
      <t xml:space="preserve">SCP-4002</t>
    </r>
    <r>
      <rPr>
        <sz val="10"/>
        <rFont val="Noto Sans CJK SC"/>
        <family val="2"/>
      </rPr>
      <t xml:space="preserve">「生の贈り物」——財団でも解明不能な異常</t>
    </r>
    <r>
      <rPr>
        <sz val="10"/>
        <rFont val="Arial"/>
        <family val="0"/>
        <charset val="1"/>
      </rPr>
      <t xml:space="preserve">#SCP-4002</t>
    </r>
    <r>
      <rPr>
        <sz val="10"/>
        <rFont val="Noto Sans CJK SC"/>
        <family val="2"/>
      </rPr>
      <t xml:space="preserve">「生の贈り物」——財団が収容</t>
    </r>
  </si>
  <si>
    <t xml:space="preserve">ligcRby7QgE</t>
  </si>
  <si>
    <r>
      <rPr>
        <sz val="10"/>
        <rFont val="Noto Sans CJK SC"/>
        <family val="2"/>
      </rPr>
      <t xml:space="preserve">一口</t>
    </r>
    <r>
      <rPr>
        <sz val="10"/>
        <rFont val="Arial"/>
        <family val="0"/>
        <charset val="1"/>
      </rPr>
      <t xml:space="preserve">SCP</t>
    </r>
    <r>
      <rPr>
        <sz val="10"/>
        <rFont val="Noto Sans CJK SC"/>
        <family val="2"/>
      </rPr>
      <t xml:space="preserve">：目を離したら…理解不能な恐怖が迫る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秒で命を奪う</t>
    </r>
    <r>
      <rPr>
        <sz val="10"/>
        <rFont val="Arial"/>
        <family val="0"/>
        <charset val="1"/>
      </rPr>
      <t xml:space="preserve">SCP-173</t>
    </r>
    <r>
      <rPr>
        <sz val="10"/>
        <rFont val="Noto Sans CJK SC"/>
        <family val="2"/>
      </rPr>
      <t xml:space="preserve">の恐怖、その背後に潜む真実 </t>
    </r>
    <r>
      <rPr>
        <sz val="10"/>
        <rFont val="Arial"/>
        <family val="0"/>
        <charset val="1"/>
      </rPr>
      <t xml:space="preserve">#shorts #</t>
    </r>
    <r>
      <rPr>
        <sz val="10"/>
        <rFont val="Noto Sans CJK SC"/>
        <family val="2"/>
      </rPr>
      <t xml:space="preserve">ゆっくり解説</t>
    </r>
  </si>
  <si>
    <t xml:space="preserve">-DwJfrGQ-z8</t>
  </si>
  <si>
    <r>
      <rPr>
        <sz val="10"/>
        <rFont val="Noto Sans CJK SC"/>
        <family val="2"/>
      </rPr>
      <t xml:space="preserve">充電切れの怪異</t>
    </r>
    <r>
      <rPr>
        <sz val="10"/>
        <rFont val="Arial"/>
        <family val="0"/>
        <charset val="1"/>
      </rPr>
      <t xml:space="preserve">: SCP-904</t>
    </r>
    <r>
      <rPr>
        <sz val="10"/>
        <rFont val="Noto Sans CJK SC"/>
        <family val="2"/>
      </rPr>
      <t xml:space="preserve">の謎とその恐るべき影響【ショート】</t>
    </r>
  </si>
  <si>
    <t xml:space="preserve">YNqa_vlXOj4</t>
  </si>
  <si>
    <r>
      <rPr>
        <sz val="10"/>
        <rFont val="Noto Sans CJK SC"/>
        <family val="2"/>
      </rPr>
      <t xml:space="preserve">一口</t>
    </r>
    <r>
      <rPr>
        <sz val="10"/>
        <rFont val="Arial"/>
        <family val="0"/>
        <charset val="1"/>
      </rPr>
      <t xml:space="preserve">SCP</t>
    </r>
    <r>
      <rPr>
        <sz val="10"/>
        <rFont val="Noto Sans CJK SC"/>
        <family val="2"/>
      </rPr>
      <t xml:space="preserve">：視線を外すと命が狙われる。</t>
    </r>
    <r>
      <rPr>
        <sz val="10"/>
        <rFont val="Arial"/>
        <family val="0"/>
        <charset val="1"/>
      </rPr>
      <t xml:space="preserve">SCP-173</t>
    </r>
    <r>
      <rPr>
        <sz val="10"/>
        <rFont val="Noto Sans CJK SC"/>
        <family val="2"/>
      </rPr>
      <t xml:space="preserve">、油断した瞬間が命取り。</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秒で命が奪われる恐怖。</t>
    </r>
    <r>
      <rPr>
        <sz val="10"/>
        <rFont val="Arial"/>
        <family val="0"/>
        <charset val="1"/>
      </rPr>
      <t xml:space="preserve">SCP-173</t>
    </r>
    <r>
      <rPr>
        <sz val="10"/>
        <rFont val="Noto Sans CJK SC"/>
        <family val="2"/>
      </rPr>
      <t xml:space="preserve">が収容室で起こす異常な現象 </t>
    </r>
    <r>
      <rPr>
        <sz val="10"/>
        <rFont val="Arial"/>
        <family val="0"/>
        <charset val="1"/>
      </rPr>
      <t xml:space="preserve">#</t>
    </r>
  </si>
  <si>
    <t xml:space="preserve">fIGfIzHM94s</t>
  </si>
  <si>
    <r>
      <rPr>
        <sz val="10"/>
        <rFont val="Noto Sans CJK SC"/>
        <family val="2"/>
      </rPr>
      <t xml:space="preserve">なぜ道はうごめく？</t>
    </r>
    <r>
      <rPr>
        <sz val="10"/>
        <rFont val="Arial"/>
        <family val="0"/>
        <charset val="1"/>
      </rPr>
      <t xml:space="preserve">SCP-609</t>
    </r>
    <r>
      <rPr>
        <sz val="10"/>
        <rFont val="Noto Sans CJK SC"/>
        <family val="2"/>
      </rPr>
      <t xml:space="preserve">の衝撃の真実【ショート】</t>
    </r>
  </si>
  <si>
    <t xml:space="preserve">AEH91vQDWiA</t>
  </si>
  <si>
    <r>
      <rPr>
        <sz val="10"/>
        <rFont val="Noto Sans CJK SC"/>
        <family val="2"/>
      </rPr>
      <t xml:space="preserve">一口</t>
    </r>
    <r>
      <rPr>
        <sz val="10"/>
        <rFont val="Arial"/>
        <family val="0"/>
        <charset val="1"/>
      </rPr>
      <t xml:space="preserve">SCP</t>
    </r>
    <r>
      <rPr>
        <sz val="10"/>
        <rFont val="Noto Sans CJK SC"/>
        <family val="2"/>
      </rPr>
      <t xml:space="preserve">：目を離した</t>
    </r>
    <r>
      <rPr>
        <sz val="10"/>
        <rFont val="Arial"/>
        <family val="0"/>
        <charset val="1"/>
      </rPr>
      <t xml:space="preserve">0.3</t>
    </r>
    <r>
      <rPr>
        <sz val="10"/>
        <rFont val="Noto Sans CJK SC"/>
        <family val="2"/>
      </rPr>
      <t xml:space="preserve">秒で殺される財団が隠し続けた『最初の異常存在』</t>
    </r>
    <r>
      <rPr>
        <sz val="10"/>
        <rFont val="Arial"/>
        <family val="0"/>
        <charset val="1"/>
      </rPr>
      <t xml:space="preserve">#</t>
    </r>
    <r>
      <rPr>
        <sz val="10"/>
        <rFont val="Noto Sans CJK SC"/>
        <family val="2"/>
      </rPr>
      <t xml:space="preserve">目を離した瞬間、首が折れる。</t>
    </r>
    <r>
      <rPr>
        <sz val="10"/>
        <rFont val="Arial"/>
        <family val="0"/>
        <charset val="1"/>
      </rPr>
      <t xml:space="preserve">SCP-173</t>
    </r>
    <r>
      <rPr>
        <sz val="10"/>
        <rFont val="Noto Sans CJK SC"/>
        <family val="2"/>
      </rPr>
      <t xml:space="preserve">が財団史上最初に収容された本当の理由 </t>
    </r>
    <r>
      <rPr>
        <sz val="10"/>
        <rFont val="Arial"/>
        <family val="0"/>
        <charset val="1"/>
      </rPr>
      <t xml:space="preserve">#s</t>
    </r>
  </si>
  <si>
    <t xml:space="preserve">sJLPk9MZKjo</t>
  </si>
  <si>
    <r>
      <rPr>
        <sz val="10"/>
        <rFont val="Noto Sans CJK SC"/>
        <family val="2"/>
      </rPr>
      <t xml:space="preserve">一口</t>
    </r>
    <r>
      <rPr>
        <sz val="10"/>
        <rFont val="Arial"/>
        <family val="0"/>
        <charset val="1"/>
      </rPr>
      <t xml:space="preserve">SCP</t>
    </r>
    <r>
      <rPr>
        <sz val="10"/>
        <rFont val="Noto Sans CJK SC"/>
        <family val="2"/>
      </rPr>
      <t xml:space="preserve">：目を離したら、死ぬ。財団が隠し続けた『最初の異常存在』</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秒で首が折れる。</t>
    </r>
    <r>
      <rPr>
        <sz val="10"/>
        <rFont val="Arial"/>
        <family val="0"/>
        <charset val="1"/>
      </rPr>
      <t xml:space="preserve">SCP-173</t>
    </r>
    <r>
      <rPr>
        <sz val="10"/>
        <rFont val="Noto Sans CJK SC"/>
        <family val="2"/>
      </rPr>
      <t xml:space="preserve">が財団史上最も古い収容違反を繰り返す本当の理由</t>
    </r>
  </si>
  <si>
    <t xml:space="preserve">OY4dU0e8DBw</t>
  </si>
  <si>
    <r>
      <rPr>
        <sz val="10"/>
        <rFont val="Noto Sans CJK SC"/>
        <family val="2"/>
      </rPr>
      <t xml:space="preserve">一口</t>
    </r>
    <r>
      <rPr>
        <sz val="10"/>
        <rFont val="Arial"/>
        <family val="0"/>
        <charset val="1"/>
      </rPr>
      <t xml:space="preserve">SCP</t>
    </r>
    <r>
      <rPr>
        <sz val="10"/>
        <rFont val="Noto Sans CJK SC"/>
        <family val="2"/>
      </rPr>
      <t xml:space="preserve">：目を離した瞬間、終わる財団最古の異常存在 </t>
    </r>
    <r>
      <rPr>
        <sz val="10"/>
        <rFont val="Arial"/>
        <family val="0"/>
        <charset val="1"/>
      </rPr>
      <t xml:space="preserve">SCP-173#</t>
    </r>
    <r>
      <rPr>
        <sz val="10"/>
        <rFont val="Noto Sans CJK SC"/>
        <family val="2"/>
      </rPr>
      <t xml:space="preserve">目を離した</t>
    </r>
    <r>
      <rPr>
        <sz val="10"/>
        <rFont val="Arial"/>
        <family val="0"/>
        <charset val="1"/>
      </rPr>
      <t xml:space="preserve">0.3</t>
    </r>
    <r>
      <rPr>
        <sz val="10"/>
        <rFont val="Noto Sans CJK SC"/>
        <family val="2"/>
      </rPr>
      <t xml:space="preserve">秒で首が折れる。</t>
    </r>
    <r>
      <rPr>
        <sz val="10"/>
        <rFont val="Arial"/>
        <family val="0"/>
        <charset val="1"/>
      </rPr>
      <t xml:space="preserve">SCP-173</t>
    </r>
    <r>
      <rPr>
        <sz val="10"/>
        <rFont val="Noto Sans CJK SC"/>
        <family val="2"/>
      </rPr>
      <t xml:space="preserve">【財団が最初の収容違反を隠し続ける本当の理由</t>
    </r>
  </si>
  <si>
    <t xml:space="preserve">UHMw_y-_hb4</t>
  </si>
  <si>
    <r>
      <rPr>
        <sz val="10"/>
        <rFont val="Arial"/>
        <family val="0"/>
        <charset val="1"/>
      </rPr>
      <t xml:space="preserve">SCP-078</t>
    </r>
    <r>
      <rPr>
        <sz val="10"/>
        <rFont val="Noto Sans CJK SC"/>
        <family val="2"/>
      </rPr>
      <t xml:space="preserve">が収容違反した夜、財団研究員たちは全員『同じ夢』を見た【ショート】</t>
    </r>
  </si>
  <si>
    <t xml:space="preserve">_cAp4CpmJGU</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</si>
  <si>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SCP-166</t>
    </r>
    <r>
      <rPr>
        <sz val="10"/>
        <rFont val="Noto Sans CJK SC"/>
        <family val="2"/>
      </rPr>
      <t xml:space="preserve">「若返りのリリス」— 財団が</t>
    </r>
    <r>
      <rPr>
        <sz val="10"/>
        <rFont val="Arial"/>
        <family val="0"/>
        <charset val="1"/>
      </rPr>
      <t xml:space="preserve">17</t>
    </r>
    <r>
      <rPr>
        <sz val="10"/>
        <rFont val="Noto Sans CJK SC"/>
        <family val="2"/>
      </rPr>
      <t xml:space="preserve">名の記憶を</t>
    </r>
    <r>
      <rPr>
        <sz val="10"/>
        <rFont val="Arial"/>
        <family val="0"/>
        <charset val="1"/>
      </rPr>
      <t xml:space="preserve">[REDACTED]</t>
    </r>
    <r>
      <rPr>
        <sz val="10"/>
        <rFont val="Noto Sans CJK SC"/>
        <family val="2"/>
      </rPr>
      <t xml:space="preserve">した本当の理由【ショート】</t>
    </r>
  </si>
  <si>
    <t xml:space="preserve">0epgak8cV8U</t>
  </si>
  <si>
    <r>
      <rPr>
        <sz val="10"/>
        <rFont val="Noto Sans CJK SC"/>
        <family val="2"/>
      </rPr>
      <t xml:space="preserve">一口</t>
    </r>
    <r>
      <rPr>
        <sz val="10"/>
        <rFont val="Arial"/>
        <family val="0"/>
        <charset val="1"/>
      </rPr>
      <t xml:space="preserve">SCP</t>
    </r>
    <r>
      <rPr>
        <sz val="10"/>
        <rFont val="Noto Sans CJK SC"/>
        <family val="2"/>
      </rPr>
      <t xml:space="preserve">：記憶を消す水の謎それを知れば、恐怖は形を変える</t>
    </r>
    <r>
      <rPr>
        <sz val="10"/>
        <rFont val="Arial"/>
        <family val="0"/>
        <charset val="1"/>
      </rPr>
      <t xml:space="preserve">#</t>
    </r>
    <r>
      <rPr>
        <sz val="10"/>
        <rFont val="Noto Sans CJK SC"/>
        <family val="2"/>
      </rPr>
      <t xml:space="preserve">記憶を奪う『忘却の水』の真実が隠された理由。 </t>
    </r>
    <r>
      <rPr>
        <sz val="10"/>
        <rFont val="Arial"/>
        <family val="0"/>
        <charset val="1"/>
      </rPr>
      <t xml:space="preserve">#shorts #</t>
    </r>
    <r>
      <rPr>
        <sz val="10"/>
        <rFont val="Noto Sans CJK SC"/>
        <family val="2"/>
      </rPr>
      <t xml:space="preserve">ゆっくり解説</t>
    </r>
  </si>
  <si>
    <t xml:space="preserve">Y8VfVE2hDJ8</t>
  </si>
  <si>
    <r>
      <rPr>
        <sz val="10"/>
        <rFont val="Noto Sans CJK SC"/>
        <family val="2"/>
      </rPr>
      <t xml:space="preserve">一口</t>
    </r>
    <r>
      <rPr>
        <sz val="10"/>
        <rFont val="Arial"/>
        <family val="0"/>
        <charset val="1"/>
      </rPr>
      <t xml:space="preserve">SCP</t>
    </r>
    <r>
      <rPr>
        <sz val="10"/>
        <rFont val="Noto Sans CJK SC"/>
        <family val="2"/>
      </rPr>
      <t xml:space="preserve">：飲んだ翌日、自分の名前を忘れる財団の収容が</t>
    </r>
    <r>
      <rPr>
        <sz val="10"/>
        <rFont val="Arial"/>
        <family val="0"/>
        <charset val="1"/>
      </rPr>
      <t xml:space="preserve">3</t>
    </r>
    <r>
      <rPr>
        <sz val="10"/>
        <rFont val="Noto Sans CJK SC"/>
        <family val="2"/>
      </rPr>
      <t xml:space="preserve">度破綻した理由</t>
    </r>
    <r>
      <rPr>
        <sz val="10"/>
        <rFont val="Arial"/>
        <family val="0"/>
        <charset val="1"/>
      </rPr>
      <t xml:space="preserve">#</t>
    </r>
    <r>
      <rPr>
        <sz val="10"/>
        <rFont val="Noto Sans CJK SC"/>
        <family val="2"/>
      </rPr>
      <t xml:space="preserve">その水を飲んだ研究員が、翌朝『自分の名前』を忘れていた。財団が隠し続ける</t>
    </r>
    <r>
      <rPr>
        <sz val="10"/>
        <rFont val="Arial"/>
        <family val="0"/>
        <charset val="1"/>
      </rPr>
      <t xml:space="preserve">SCP-2050</t>
    </r>
  </si>
  <si>
    <t xml:space="preserve">y_dK82xCRyQ</t>
  </si>
  <si>
    <r>
      <rPr>
        <sz val="10"/>
        <rFont val="Noto Sans CJK SC"/>
        <family val="2"/>
      </rPr>
      <t xml:space="preserve">一口</t>
    </r>
    <r>
      <rPr>
        <sz val="10"/>
        <rFont val="Arial"/>
        <family val="0"/>
        <charset val="1"/>
      </rPr>
      <t xml:space="preserve">SCP</t>
    </r>
    <r>
      <rPr>
        <sz val="10"/>
        <rFont val="Noto Sans CJK SC"/>
        <family val="2"/>
      </rPr>
      <t xml:space="preserve">：実験記録</t>
    </r>
    <r>
      <rPr>
        <sz val="10"/>
        <rFont val="Arial"/>
        <family val="0"/>
        <charset val="1"/>
      </rPr>
      <t xml:space="preserve">17</t>
    </r>
    <r>
      <rPr>
        <sz val="10"/>
        <rFont val="Noto Sans CJK SC"/>
        <family val="2"/>
      </rPr>
      <t xml:space="preserve">件すべて</t>
    </r>
    <r>
      <rPr>
        <sz val="10"/>
        <rFont val="Arial"/>
        <family val="0"/>
        <charset val="1"/>
      </rPr>
      <t xml:space="preserve">[DATA EXPUNGED]</t>
    </r>
    <r>
      <rPr>
        <sz val="10"/>
        <rFont val="Noto Sans CJK SC"/>
        <family val="2"/>
      </rPr>
      <t xml:space="preserve">された異常存在の、財団が隠し続ける本当の正体【ショート】</t>
    </r>
  </si>
  <si>
    <t xml:space="preserve">Pyun9DSxaUc</t>
  </si>
  <si>
    <r>
      <rPr>
        <sz val="10"/>
        <rFont val="Noto Sans CJK SC"/>
        <family val="2"/>
      </rPr>
      <t xml:space="preserve">一口</t>
    </r>
    <r>
      <rPr>
        <sz val="10"/>
        <rFont val="Arial"/>
        <family val="0"/>
        <charset val="1"/>
      </rPr>
      <t xml:space="preserve">SCP</t>
    </r>
    <r>
      <rPr>
        <sz val="10"/>
        <rFont val="Noto Sans CJK SC"/>
        <family val="2"/>
      </rPr>
      <t xml:space="preserve">：修復完了のたびに人が消える財団が隠し続けた『自動修復』の正体</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 修復が終わるたびに</t>
    </r>
    <r>
      <rPr>
        <sz val="10"/>
        <rFont val="Arial"/>
        <family val="0"/>
        <charset val="1"/>
      </rPr>
      <t xml:space="preserve">17</t>
    </r>
    <r>
      <rPr>
        <sz val="10"/>
        <rFont val="Noto Sans CJK SC"/>
        <family val="2"/>
      </rPr>
      <t xml:space="preserve">名が消え</t>
    </r>
  </si>
  <si>
    <t xml:space="preserve">Xknxhd1BdeA</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</si>
  <si>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「メカニカルリペアマン」が修理した</t>
    </r>
    <r>
      <rPr>
        <sz val="10"/>
        <rFont val="Arial"/>
        <family val="0"/>
        <charset val="1"/>
      </rPr>
      <t xml:space="preserve">17</t>
    </r>
    <r>
      <rPr>
        <sz val="10"/>
        <rFont val="Noto Sans CJK SC"/>
        <family val="2"/>
      </rPr>
      <t xml:space="preserve">名、その後の記録が</t>
    </r>
    <r>
      <rPr>
        <sz val="10"/>
        <rFont val="Arial"/>
        <family val="0"/>
        <charset val="1"/>
      </rPr>
      <t xml:space="preserve">[DATA EXPUNGED]</t>
    </r>
    <r>
      <rPr>
        <sz val="10"/>
        <rFont val="Noto Sans CJK SC"/>
        <family val="2"/>
      </rPr>
      <t xml:space="preserve">されている本当の理由【ショート】</t>
    </r>
  </si>
  <si>
    <t xml:space="preserve">yjyNHLUOWVE</t>
  </si>
  <si>
    <r>
      <rPr>
        <sz val="10"/>
        <rFont val="Noto Sans CJK SC"/>
        <family val="2"/>
      </rPr>
      <t xml:space="preserve">一口</t>
    </r>
    <r>
      <rPr>
        <sz val="10"/>
        <rFont val="Arial"/>
        <family val="0"/>
        <charset val="1"/>
      </rPr>
      <t xml:space="preserve">SCP</t>
    </r>
    <r>
      <rPr>
        <sz val="10"/>
        <rFont val="Noto Sans CJK SC"/>
        <family val="2"/>
      </rPr>
      <t xml:space="preserve">：修復完了まで平均</t>
    </r>
    <r>
      <rPr>
        <sz val="10"/>
        <rFont val="Arial"/>
        <family val="0"/>
        <charset val="1"/>
      </rPr>
      <t xml:space="preserve">72</t>
    </r>
    <r>
      <rPr>
        <sz val="10"/>
        <rFont val="Noto Sans CJK SC"/>
        <family val="2"/>
      </rPr>
      <t xml:space="preserve">時間——その間、人間は何をされる？財団収容施設で</t>
    </r>
    <r>
      <rPr>
        <sz val="10"/>
        <rFont val="Arial"/>
        <family val="0"/>
        <charset val="1"/>
      </rPr>
      <t xml:space="preserve">17</t>
    </r>
    <r>
      <rPr>
        <sz val="10"/>
        <rFont val="Noto Sans CJK SC"/>
        <family val="2"/>
      </rPr>
      <t xml:space="preserve">件の『自発的失踪』が記録された</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t>
    </r>
  </si>
  <si>
    <t xml:space="preserve">yzXq68XphWQ</t>
  </si>
  <si>
    <r>
      <rPr>
        <sz val="10"/>
        <rFont val="Noto Sans CJK SC"/>
        <family val="2"/>
      </rPr>
      <t xml:space="preserve">一口</t>
    </r>
    <r>
      <rPr>
        <sz val="10"/>
        <rFont val="Arial"/>
        <family val="0"/>
        <charset val="1"/>
      </rPr>
      <t xml:space="preserve">SCP</t>
    </r>
    <r>
      <rPr>
        <sz val="10"/>
        <rFont val="Noto Sans CJK SC"/>
        <family val="2"/>
      </rPr>
      <t xml:space="preserve">：視線を外すと即死の恐怖財団最古の収容違反を暴露</t>
    </r>
    <r>
      <rPr>
        <sz val="10"/>
        <rFont val="Arial"/>
        <family val="0"/>
        <charset val="1"/>
      </rPr>
      <t xml:space="preserve">#SCP-173</t>
    </r>
    <r>
      <rPr>
        <sz val="10"/>
        <rFont val="Noto Sans CJK SC"/>
        <family val="2"/>
      </rPr>
      <t xml:space="preserve">【目を離した</t>
    </r>
    <r>
      <rPr>
        <sz val="10"/>
        <rFont val="Arial"/>
        <family val="0"/>
        <charset val="1"/>
      </rPr>
      <t xml:space="preserve">0.3</t>
    </r>
    <r>
      <rPr>
        <sz val="10"/>
        <rFont val="Noto Sans CJK SC"/>
        <family val="2"/>
      </rPr>
      <t xml:space="preserve">秒で首が折れる理由】 </t>
    </r>
    <r>
      <rPr>
        <sz val="10"/>
        <rFont val="Arial"/>
        <family val="0"/>
        <charset val="1"/>
      </rPr>
      <t xml:space="preserve">#shorts #</t>
    </r>
    <r>
      <rPr>
        <sz val="10"/>
        <rFont val="Noto Sans CJK SC"/>
        <family val="2"/>
      </rPr>
      <t xml:space="preserve">ゆっくり解説</t>
    </r>
  </si>
  <si>
    <t xml:space="preserve">Vta3rEYkvt4</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</si>
  <si>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SCP-1242</t>
    </r>
    <r>
      <rPr>
        <sz val="10"/>
        <rFont val="Noto Sans CJK SC"/>
        <family val="2"/>
      </rPr>
      <t xml:space="preserve">「八つの目を持つ者」— 接触から</t>
    </r>
    <r>
      <rPr>
        <sz val="10"/>
        <rFont val="Arial"/>
        <family val="0"/>
        <charset val="1"/>
      </rPr>
      <t xml:space="preserve">72</t>
    </r>
    <r>
      <rPr>
        <sz val="10"/>
        <rFont val="Noto Sans CJK SC"/>
        <family val="2"/>
      </rPr>
      <t xml:space="preserve">時間後、</t>
    </r>
    <r>
      <rPr>
        <sz val="10"/>
        <rFont val="Arial"/>
        <family val="0"/>
        <charset val="1"/>
      </rPr>
      <t xml:space="preserve">23</t>
    </r>
    <r>
      <rPr>
        <sz val="10"/>
        <rFont val="Noto Sans CJK SC"/>
        <family val="2"/>
      </rPr>
      <t xml:space="preserve">名中</t>
    </r>
    <r>
      <rPr>
        <sz val="10"/>
        <rFont val="Arial"/>
        <family val="0"/>
        <charset val="1"/>
      </rPr>
      <t xml:space="preserve">19</t>
    </r>
    <r>
      <rPr>
        <sz val="10"/>
        <rFont val="Noto Sans CJK SC"/>
        <family val="2"/>
      </rPr>
      <t xml:space="preserve">名が自分の名前を答えられなくなった本当の理由【ショート】</t>
    </r>
  </si>
  <si>
    <t xml:space="preserve">g-HWT-5mWqU</t>
  </si>
  <si>
    <r>
      <rPr>
        <sz val="10"/>
        <rFont val="Noto Sans CJK SC"/>
        <family val="2"/>
      </rPr>
      <t xml:space="preserve">一口</t>
    </r>
    <r>
      <rPr>
        <sz val="10"/>
        <rFont val="Arial"/>
        <family val="0"/>
        <charset val="1"/>
      </rPr>
      <t xml:space="preserve">SCP</t>
    </r>
    <r>
      <rPr>
        <sz val="10"/>
        <rFont val="Noto Sans CJK SC"/>
        <family val="2"/>
      </rPr>
      <t xml:space="preserve">：目を離した瞬間、死が訪れる。視線を外すと動き出す古代の彫刻。</t>
    </r>
    <r>
      <rPr>
        <sz val="10"/>
        <rFont val="Arial"/>
        <family val="0"/>
        <charset val="1"/>
      </rPr>
      <t xml:space="preserve">#SCP-173</t>
    </r>
    <r>
      <rPr>
        <sz val="10"/>
        <rFont val="Noto Sans CJK SC"/>
        <family val="2"/>
      </rPr>
      <t xml:space="preserve">【視線を外すと襲いかかる彫刻】 </t>
    </r>
    <r>
      <rPr>
        <sz val="10"/>
        <rFont val="Arial"/>
        <family val="0"/>
        <charset val="1"/>
      </rPr>
      <t xml:space="preserve">#shorts #</t>
    </r>
    <r>
      <rPr>
        <sz val="10"/>
        <rFont val="Noto Sans CJK SC"/>
        <family val="2"/>
      </rPr>
      <t xml:space="preserve">ゆっくり解説</t>
    </r>
  </si>
  <si>
    <t xml:space="preserve">pW42X55Drgg</t>
  </si>
  <si>
    <r>
      <rPr>
        <sz val="10"/>
        <rFont val="Noto Sans CJK SC"/>
        <family val="2"/>
      </rPr>
      <t xml:space="preserve">一口</t>
    </r>
    <r>
      <rPr>
        <sz val="10"/>
        <rFont val="Arial"/>
        <family val="0"/>
        <charset val="1"/>
      </rPr>
      <t xml:space="preserve">SCP</t>
    </r>
    <r>
      <rPr>
        <sz val="10"/>
        <rFont val="Noto Sans CJK SC"/>
        <family val="2"/>
      </rPr>
      <t xml:space="preserve">：異常な図書館が消える理由とは？記憶を奪う書物が存在する？</t>
    </r>
    <r>
      <rPr>
        <sz val="10"/>
        <rFont val="Arial"/>
        <family val="0"/>
        <charset val="1"/>
      </rPr>
      <t xml:space="preserve">#SCP-1618</t>
    </r>
    <r>
      <rPr>
        <sz val="10"/>
        <rFont val="Noto Sans CJK SC"/>
        <family val="2"/>
      </rPr>
      <t xml:space="preserve">「消える図書館」の謎：財団が隠す異常な本の正体 </t>
    </r>
    <r>
      <rPr>
        <sz val="10"/>
        <rFont val="Arial"/>
        <family val="0"/>
        <charset val="1"/>
      </rPr>
      <t xml:space="preserve">#shorts #</t>
    </r>
    <r>
      <rPr>
        <sz val="10"/>
        <rFont val="Noto Sans CJK SC"/>
        <family val="2"/>
      </rPr>
      <t xml:space="preserve">ゆっくり</t>
    </r>
  </si>
  <si>
    <t xml:space="preserve">VQcN_3s9M5g</t>
  </si>
  <si>
    <r>
      <rPr>
        <sz val="10"/>
        <rFont val="Noto Sans CJK SC"/>
        <family val="2"/>
      </rPr>
      <t xml:space="preserve">施設ごと消えた記録が</t>
    </r>
    <r>
      <rPr>
        <sz val="10"/>
        <rFont val="Arial"/>
        <family val="0"/>
        <charset val="1"/>
      </rPr>
      <t xml:space="preserve">3</t>
    </r>
    <r>
      <rPr>
        <sz val="10"/>
        <rFont val="Noto Sans CJK SC"/>
        <family val="2"/>
      </rPr>
      <t xml:space="preserve">件だけある——</t>
    </r>
    <r>
      <rPr>
        <sz val="10"/>
        <rFont val="Arial"/>
        <family val="0"/>
        <charset val="1"/>
      </rPr>
      <t xml:space="preserve">SCP-1730</t>
    </r>
    <r>
      <rPr>
        <sz val="10"/>
        <rFont val="Noto Sans CJK SC"/>
        <family val="2"/>
      </rPr>
      <t xml:space="preserve">と残り</t>
    </r>
    <r>
      <rPr>
        <sz val="10"/>
        <rFont val="Arial"/>
        <family val="0"/>
        <charset val="1"/>
      </rPr>
      <t xml:space="preserve">2</t>
    </r>
    <r>
      <rPr>
        <sz val="10"/>
        <rFont val="Noto Sans CJK SC"/>
        <family val="2"/>
      </rPr>
      <t xml:space="preserve">件、崩壊の経緯がまったく違う理由を財団は隠している【ショート】</t>
    </r>
  </si>
  <si>
    <t xml:space="preserve">hcuAQasBSU8</t>
  </si>
  <si>
    <r>
      <rPr>
        <sz val="10"/>
        <rFont val="Noto Sans CJK SC"/>
        <family val="2"/>
      </rPr>
      <t xml:space="preserve">一口</t>
    </r>
    <r>
      <rPr>
        <sz val="10"/>
        <rFont val="Arial"/>
        <family val="0"/>
        <charset val="1"/>
      </rPr>
      <t xml:space="preserve">SCP</t>
    </r>
    <r>
      <rPr>
        <sz val="10"/>
        <rFont val="Noto Sans CJK SC"/>
        <family val="2"/>
      </rPr>
      <t xml:space="preserve">：入館者</t>
    </r>
    <r>
      <rPr>
        <sz val="10"/>
        <rFont val="Arial"/>
        <family val="0"/>
        <charset val="1"/>
      </rPr>
      <t xml:space="preserve">72</t>
    </r>
    <r>
      <rPr>
        <sz val="10"/>
        <rFont val="Noto Sans CJK SC"/>
        <family val="2"/>
      </rPr>
      <t xml:space="preserve">時間後に記録消滅財団</t>
    </r>
    <r>
      <rPr>
        <sz val="10"/>
        <rFont val="Arial"/>
        <family val="0"/>
        <charset val="1"/>
      </rPr>
      <t xml:space="preserve">Lv4</t>
    </r>
    <r>
      <rPr>
        <sz val="10"/>
        <rFont val="Noto Sans CJK SC"/>
        <family val="2"/>
      </rPr>
      <t xml:space="preserve">以上しか閲覧できない収容プロトコル</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SCP-1618</t>
    </r>
    <r>
      <rPr>
        <sz val="10"/>
        <rFont val="Noto Sans CJK SC"/>
        <family val="2"/>
      </rPr>
      <t xml:space="preserve">「消える図書館」— 入館した</t>
    </r>
    <r>
      <rPr>
        <sz val="10"/>
        <rFont val="Arial"/>
        <family val="0"/>
        <charset val="1"/>
      </rPr>
      <t xml:space="preserve">72</t>
    </r>
    <r>
      <rPr>
        <sz val="10"/>
        <rFont val="Noto Sans CJK SC"/>
        <family val="2"/>
      </rPr>
      <t xml:space="preserve">時間後、司書の記</t>
    </r>
  </si>
  <si>
    <t xml:space="preserve">iXfZRvsxiFY</t>
  </si>
  <si>
    <r>
      <rPr>
        <sz val="10"/>
        <rFont val="Noto Sans CJK SC"/>
        <family val="2"/>
      </rPr>
      <t xml:space="preserve">一口</t>
    </r>
    <r>
      <rPr>
        <sz val="10"/>
        <rFont val="Arial"/>
        <family val="0"/>
        <charset val="1"/>
      </rPr>
      <t xml:space="preserve">SCP</t>
    </r>
    <r>
      <rPr>
        <sz val="10"/>
        <rFont val="Noto Sans CJK SC"/>
        <family val="2"/>
      </rPr>
      <t xml:space="preserve">：施設ごと消えた——記録も、職員も、存在した痕跡さえも財団の収容プロトコルと『現実の隠蔽』は、なぜこんなにも同じ構造をしているのか</t>
    </r>
    <r>
      <rPr>
        <sz val="10"/>
        <rFont val="Arial"/>
        <family val="0"/>
        <charset val="1"/>
      </rPr>
      <t xml:space="preserve">#</t>
    </r>
    <r>
      <rPr>
        <sz val="10"/>
        <rFont val="Noto Sans CJK SC"/>
        <family val="2"/>
      </rPr>
      <t xml:space="preserve">財団が封印した『消</t>
    </r>
  </si>
  <si>
    <t xml:space="preserve">DHKDp3u176Q</t>
  </si>
  <si>
    <r>
      <rPr>
        <sz val="10"/>
        <rFont val="Noto Sans CJK SC"/>
        <family val="2"/>
      </rPr>
      <t xml:space="preserve">一口</t>
    </r>
    <r>
      <rPr>
        <sz val="10"/>
        <rFont val="Arial"/>
        <family val="0"/>
        <charset val="1"/>
      </rPr>
      <t xml:space="preserve">SCP</t>
    </r>
    <r>
      <rPr>
        <sz val="10"/>
        <rFont val="Noto Sans CJK SC"/>
        <family val="2"/>
      </rPr>
      <t xml:space="preserve">：財団が消した施設…あなたの隣にあるかもしれない</t>
    </r>
    <r>
      <rPr>
        <sz val="10"/>
        <rFont val="Arial"/>
        <family val="0"/>
        <charset val="1"/>
      </rPr>
      <t xml:space="preserve">#</t>
    </r>
    <r>
      <rPr>
        <sz val="10"/>
        <rFont val="Noto Sans CJK SC"/>
        <family val="2"/>
      </rPr>
      <t xml:space="preserve">消えた日本の財団施設…その真相に迫る </t>
    </r>
    <r>
      <rPr>
        <sz val="10"/>
        <rFont val="Arial"/>
        <family val="0"/>
        <charset val="1"/>
      </rPr>
      <t xml:space="preserve">#shorts #</t>
    </r>
    <r>
      <rPr>
        <sz val="10"/>
        <rFont val="Noto Sans CJK SC"/>
        <family val="2"/>
      </rPr>
      <t xml:space="preserve">ゆっくり解説</t>
    </r>
  </si>
  <si>
    <t xml:space="preserve">nswR7Tt6Rjo</t>
  </si>
  <si>
    <r>
      <rPr>
        <sz val="10"/>
        <rFont val="Noto Sans CJK SC"/>
        <family val="2"/>
      </rPr>
      <t xml:space="preserve">一口</t>
    </r>
    <r>
      <rPr>
        <sz val="10"/>
        <rFont val="Arial"/>
        <family val="0"/>
        <charset val="1"/>
      </rPr>
      <t xml:space="preserve">SCP</t>
    </r>
    <r>
      <rPr>
        <sz val="10"/>
        <rFont val="Noto Sans CJK SC"/>
        <family val="2"/>
      </rPr>
      <t xml:space="preserve">：視線を外すその瞬間</t>
    </r>
    <r>
      <rPr>
        <sz val="10"/>
        <rFont val="Arial"/>
        <family val="0"/>
        <charset val="1"/>
      </rPr>
      <t xml:space="preserve">SCP-173</t>
    </r>
    <r>
      <rPr>
        <sz val="10"/>
        <rFont val="Noto Sans CJK SC"/>
        <family val="2"/>
      </rPr>
      <t xml:space="preserve">が迫ってくる</t>
    </r>
    <r>
      <rPr>
        <sz val="10"/>
        <rFont val="Arial"/>
        <family val="0"/>
        <charset val="1"/>
      </rPr>
      <t xml:space="preserve">#</t>
    </r>
    <r>
      <rPr>
        <sz val="10"/>
        <rFont val="Noto Sans CJK SC"/>
        <family val="2"/>
      </rPr>
      <t xml:space="preserve">見てはいけない瞬間、</t>
    </r>
    <r>
      <rPr>
        <sz val="10"/>
        <rFont val="Arial"/>
        <family val="0"/>
        <charset val="1"/>
      </rPr>
      <t xml:space="preserve">SCP-173</t>
    </r>
    <r>
      <rPr>
        <sz val="10"/>
        <rFont val="Noto Sans CJK SC"/>
        <family val="2"/>
      </rPr>
      <t xml:space="preserve">の驚異 </t>
    </r>
    <r>
      <rPr>
        <sz val="10"/>
        <rFont val="Arial"/>
        <family val="0"/>
        <charset val="1"/>
      </rPr>
      <t xml:space="preserve">#shorts #</t>
    </r>
    <r>
      <rPr>
        <sz val="10"/>
        <rFont val="Noto Sans CJK SC"/>
        <family val="2"/>
      </rPr>
      <t xml:space="preserve">ゆっくり解説</t>
    </r>
  </si>
  <si>
    <t xml:space="preserve">VM1DZQ6PnrA</t>
  </si>
  <si>
    <r>
      <rPr>
        <sz val="10"/>
        <rFont val="Arial"/>
        <family val="0"/>
        <charset val="1"/>
      </rPr>
      <t xml:space="preserve">SCP-1337</t>
    </r>
    <r>
      <rPr>
        <sz val="10"/>
        <rFont val="Noto Sans CJK SC"/>
        <family val="2"/>
      </rPr>
      <t xml:space="preserve">に触れた</t>
    </r>
    <r>
      <rPr>
        <sz val="10"/>
        <rFont val="Arial"/>
        <family val="0"/>
        <charset val="1"/>
      </rPr>
      <t xml:space="preserve">17</t>
    </r>
    <r>
      <rPr>
        <sz val="10"/>
        <rFont val="Noto Sans CJK SC"/>
        <family val="2"/>
      </rPr>
      <t xml:space="preserve">名が全員同じ夢を見た——財団が隠し続けた「意識が宿る電球」の正体【ショート】</t>
    </r>
  </si>
  <si>
    <t xml:space="preserve">bm78AKLkgAc</t>
  </si>
  <si>
    <r>
      <rPr>
        <sz val="10"/>
        <rFont val="Noto Sans CJK SC"/>
        <family val="2"/>
      </rPr>
      <t xml:space="preserve">一口</t>
    </r>
    <r>
      <rPr>
        <sz val="10"/>
        <rFont val="Arial"/>
        <family val="0"/>
        <charset val="1"/>
      </rPr>
      <t xml:space="preserve">SCP</t>
    </r>
    <r>
      <rPr>
        <sz val="10"/>
        <rFont val="Noto Sans CJK SC"/>
        <family val="2"/>
      </rPr>
      <t xml:space="preserve">：目を離した瞬間、首を折られる財団が</t>
    </r>
    <r>
      <rPr>
        <sz val="10"/>
        <rFont val="Arial"/>
        <family val="0"/>
        <charset val="1"/>
      </rPr>
      <t xml:space="preserve">17</t>
    </r>
    <r>
      <rPr>
        <sz val="10"/>
        <rFont val="Noto Sans CJK SC"/>
        <family val="2"/>
      </rPr>
      <t xml:space="preserve">名の死亡を隠蔽した理由とは</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が財団最古の収容記録に残り続ける</t>
    </r>
  </si>
  <si>
    <t xml:space="preserve">hT1zAPZ-8Bk</t>
  </si>
  <si>
    <r>
      <rPr>
        <sz val="10"/>
        <rFont val="Noto Sans CJK SC"/>
        <family val="2"/>
      </rPr>
      <t xml:space="preserve">一口</t>
    </r>
    <r>
      <rPr>
        <sz val="10"/>
        <rFont val="Arial"/>
        <family val="0"/>
        <charset val="1"/>
      </rPr>
      <t xml:space="preserve">SCP</t>
    </r>
    <r>
      <rPr>
        <sz val="10"/>
        <rFont val="Noto Sans CJK SC"/>
        <family val="2"/>
      </rPr>
      <t xml:space="preserve">：財団が隠し続けた異常事件収容違反事件の裏側に潜む恐怖</t>
    </r>
    <r>
      <rPr>
        <sz val="10"/>
        <rFont val="Arial"/>
        <family val="0"/>
        <charset val="1"/>
      </rPr>
      <t xml:space="preserve">#</t>
    </r>
    <r>
      <rPr>
        <sz val="10"/>
        <rFont val="Noto Sans CJK SC"/>
        <family val="2"/>
      </rPr>
      <t xml:space="preserve">財団が隠し続けた</t>
    </r>
    <r>
      <rPr>
        <sz val="10"/>
        <rFont val="Arial"/>
        <family val="0"/>
        <charset val="1"/>
      </rPr>
      <t xml:space="preserve">SCP-XXX</t>
    </r>
    <r>
      <rPr>
        <sz val="10"/>
        <rFont val="Noto Sans CJK SC"/>
        <family val="2"/>
      </rPr>
      <t xml:space="preserve">の正体—収容違反事件の裏側 </t>
    </r>
    <r>
      <rPr>
        <sz val="10"/>
        <rFont val="Arial"/>
        <family val="0"/>
        <charset val="1"/>
      </rPr>
      <t xml:space="preserve">#shorts #</t>
    </r>
    <r>
      <rPr>
        <sz val="10"/>
        <rFont val="Noto Sans CJK SC"/>
        <family val="2"/>
      </rPr>
      <t xml:space="preserve">ゆっくり解説</t>
    </r>
  </si>
  <si>
    <t xml:space="preserve">LWpTO1WPQSw</t>
  </si>
  <si>
    <r>
      <rPr>
        <sz val="10"/>
        <rFont val="Noto Sans CJK SC"/>
        <family val="2"/>
      </rPr>
      <t xml:space="preserve">一口</t>
    </r>
    <r>
      <rPr>
        <sz val="10"/>
        <rFont val="Arial"/>
        <family val="0"/>
        <charset val="1"/>
      </rPr>
      <t xml:space="preserve">SCP</t>
    </r>
    <r>
      <rPr>
        <sz val="10"/>
        <rFont val="Noto Sans CJK SC"/>
        <family val="2"/>
      </rPr>
      <t xml:space="preserve">：この報告書…読んだら後悔するかもしれない財団データベースから、また一つ流出した</t>
    </r>
    <r>
      <rPr>
        <sz val="10"/>
        <rFont val="Arial"/>
        <family val="0"/>
        <charset val="1"/>
      </rPr>
      <t xml:space="preserve">#</t>
    </r>
    <r>
      <rPr>
        <sz val="10"/>
        <rFont val="Noto Sans CJK SC"/>
        <family val="2"/>
      </rPr>
      <t xml:space="preserve">財団が隠し続けた認識災害</t>
    </r>
    <r>
      <rPr>
        <sz val="10"/>
        <rFont val="Arial"/>
        <family val="0"/>
        <charset val="1"/>
      </rPr>
      <t xml:space="preserve">SCP</t>
    </r>
    <r>
      <rPr>
        <sz val="10"/>
        <rFont val="Noto Sans CJK SC"/>
        <family val="2"/>
      </rPr>
      <t xml:space="preserve">の本当の理由 </t>
    </r>
    <r>
      <rPr>
        <sz val="10"/>
        <rFont val="Arial"/>
        <family val="0"/>
        <charset val="1"/>
      </rPr>
      <t xml:space="preserve">#shorts #</t>
    </r>
    <r>
      <rPr>
        <sz val="10"/>
        <rFont val="Noto Sans CJK SC"/>
        <family val="2"/>
      </rPr>
      <t xml:space="preserve">ゆっく</t>
    </r>
  </si>
  <si>
    <t xml:space="preserve">nyb9HUdEIqI</t>
  </si>
  <si>
    <r>
      <rPr>
        <sz val="10"/>
        <rFont val="Noto Sans CJK SC"/>
        <family val="2"/>
      </rPr>
      <t xml:space="preserve">一口</t>
    </r>
    <r>
      <rPr>
        <sz val="10"/>
        <rFont val="Arial"/>
        <family val="0"/>
        <charset val="1"/>
      </rPr>
      <t xml:space="preserve">SCP</t>
    </r>
    <r>
      <rPr>
        <sz val="10"/>
        <rFont val="Noto Sans CJK SC"/>
        <family val="2"/>
      </rPr>
      <t xml:space="preserve">：孤独な瞬間にだけ現れる</t>
    </r>
    <r>
      <rPr>
        <sz val="10"/>
        <rFont val="Arial"/>
        <family val="0"/>
        <charset val="1"/>
      </rPr>
      <t xml:space="preserve">SCP</t>
    </r>
    <r>
      <rPr>
        <sz val="10"/>
        <rFont val="Noto Sans CJK SC"/>
        <family val="2"/>
      </rPr>
      <t xml:space="preserve">の正体</t>
    </r>
    <r>
      <rPr>
        <sz val="10"/>
        <rFont val="Arial"/>
        <family val="0"/>
        <charset val="1"/>
      </rPr>
      <t xml:space="preserve">#</t>
    </r>
    <r>
      <rPr>
        <sz val="10"/>
        <rFont val="Noto Sans CJK SC"/>
        <family val="2"/>
      </rPr>
      <t xml:space="preserve">孤独な瞬間にだけ現れる</t>
    </r>
    <r>
      <rPr>
        <sz val="10"/>
        <rFont val="Arial"/>
        <family val="0"/>
        <charset val="1"/>
      </rPr>
      <t xml:space="preserve">SCP</t>
    </r>
    <r>
      <rPr>
        <sz val="10"/>
        <rFont val="Noto Sans CJK SC"/>
        <family val="2"/>
      </rPr>
      <t xml:space="preserve">の本当の理由——財団が隠した切ない真実 </t>
    </r>
    <r>
      <rPr>
        <sz val="10"/>
        <rFont val="Arial"/>
        <family val="0"/>
        <charset val="1"/>
      </rPr>
      <t xml:space="preserve">#shorts #</t>
    </r>
    <r>
      <rPr>
        <sz val="10"/>
        <rFont val="Noto Sans CJK SC"/>
        <family val="2"/>
      </rPr>
      <t xml:space="preserve">ゆっくり解説</t>
    </r>
  </si>
  <si>
    <t xml:space="preserve">3y9lqAhLU0o</t>
  </si>
  <si>
    <r>
      <rPr>
        <sz val="10"/>
        <rFont val="Arial"/>
        <family val="0"/>
        <charset val="1"/>
      </rPr>
      <t xml:space="preserve">SCP-1733</t>
    </r>
    <r>
      <rPr>
        <sz val="10"/>
        <rFont val="Noto Sans CJK SC"/>
        <family val="2"/>
      </rPr>
      <t xml:space="preserve">：「開幕戦」——財団が隠した恐怖の</t>
    </r>
    <r>
      <rPr>
        <sz val="10"/>
        <rFont val="Arial"/>
        <family val="0"/>
        <charset val="1"/>
      </rPr>
      <t xml:space="preserve">DVD</t>
    </r>
    <r>
      <rPr>
        <sz val="10"/>
        <rFont val="Noto Sans CJK SC"/>
        <family val="2"/>
      </rPr>
      <t xml:space="preserve">【ショート】</t>
    </r>
  </si>
  <si>
    <t xml:space="preserve">D_6xjdMIyX8</t>
  </si>
  <si>
    <r>
      <rPr>
        <sz val="10"/>
        <rFont val="Noto Sans CJK SC"/>
        <family val="2"/>
      </rPr>
      <t xml:space="preserve">一口</t>
    </r>
    <r>
      <rPr>
        <sz val="10"/>
        <rFont val="Arial"/>
        <family val="0"/>
        <charset val="1"/>
      </rPr>
      <t xml:space="preserve">SCP</t>
    </r>
    <r>
      <rPr>
        <sz val="10"/>
        <rFont val="Noto Sans CJK SC"/>
        <family val="2"/>
      </rPr>
      <t xml:space="preserve">：あなたはまだその真相を知らない実は恐ろしい誤解があった</t>
    </r>
    <r>
      <rPr>
        <sz val="10"/>
        <rFont val="Arial"/>
        <family val="0"/>
        <charset val="1"/>
      </rPr>
      <t xml:space="preserve">#99%</t>
    </r>
    <r>
      <rPr>
        <sz val="10"/>
        <rFont val="Noto Sans CJK SC"/>
        <family val="2"/>
      </rPr>
      <t xml:space="preserve">の人が誤解する</t>
    </r>
    <r>
      <rPr>
        <sz val="10"/>
        <rFont val="Arial"/>
        <family val="0"/>
        <charset val="1"/>
      </rPr>
      <t xml:space="preserve">SCP-9999</t>
    </r>
    <r>
      <rPr>
        <sz val="10"/>
        <rFont val="Noto Sans CJK SC"/>
        <family val="2"/>
      </rPr>
      <t xml:space="preserve">の恐怖 — 財団が隠した真実 </t>
    </r>
    <r>
      <rPr>
        <sz val="10"/>
        <rFont val="Arial"/>
        <family val="0"/>
        <charset val="1"/>
      </rPr>
      <t xml:space="preserve">#shorts #</t>
    </r>
    <r>
      <rPr>
        <sz val="10"/>
        <rFont val="Noto Sans CJK SC"/>
        <family val="2"/>
      </rPr>
      <t xml:space="preserve">ゆっくり</t>
    </r>
  </si>
  <si>
    <t xml:space="preserve">x0A8YyTQ9QI</t>
  </si>
  <si>
    <r>
      <rPr>
        <sz val="10"/>
        <rFont val="Noto Sans CJK SC"/>
        <family val="2"/>
      </rPr>
      <t xml:space="preserve">目を離した</t>
    </r>
    <r>
      <rPr>
        <sz val="10"/>
        <rFont val="Arial"/>
        <family val="0"/>
        <charset val="1"/>
      </rPr>
      <t xml:space="preserve">0.3</t>
    </r>
    <r>
      <rPr>
        <sz val="10"/>
        <rFont val="Noto Sans CJK SC"/>
        <family val="2"/>
      </rPr>
      <t xml:space="preserve">秒で消えた——財団が記録ごと封印した</t>
    </r>
    <r>
      <rPr>
        <sz val="10"/>
        <rFont val="Arial"/>
        <family val="0"/>
        <charset val="1"/>
      </rPr>
      <t xml:space="preserve">SCP-099</t>
    </r>
    <r>
      <rPr>
        <sz val="10"/>
        <rFont val="Noto Sans CJK SC"/>
        <family val="2"/>
      </rPr>
      <t xml:space="preserve">「空間歪曲体」の正体【ショート】</t>
    </r>
  </si>
  <si>
    <t xml:space="preserve">PAdpTvQXUPw</t>
  </si>
  <si>
    <r>
      <rPr>
        <sz val="10"/>
        <rFont val="Noto Sans CJK SC"/>
        <family val="2"/>
      </rPr>
      <t xml:space="preserve">一口</t>
    </r>
    <r>
      <rPr>
        <sz val="10"/>
        <rFont val="Arial"/>
        <family val="0"/>
        <charset val="1"/>
      </rPr>
      <t xml:space="preserve">SCP</t>
    </r>
    <r>
      <rPr>
        <sz val="10"/>
        <rFont val="Noto Sans CJK SC"/>
        <family val="2"/>
      </rPr>
      <t xml:space="preserve">：財団が人類を『敵』と判断した日記録はすべて</t>
    </r>
    <r>
      <rPr>
        <sz val="10"/>
        <rFont val="Arial"/>
        <family val="0"/>
        <charset val="1"/>
      </rPr>
      <t xml:space="preserve">[DATA EXPUNGED]#</t>
    </r>
    <r>
      <rPr>
        <sz val="10"/>
        <rFont val="Noto Sans CJK SC"/>
        <family val="2"/>
      </rPr>
      <t xml:space="preserve">財団が記録ごと封印した</t>
    </r>
    <r>
      <rPr>
        <sz val="10"/>
        <rFont val="Arial"/>
        <family val="0"/>
        <charset val="1"/>
      </rPr>
      <t xml:space="preserve">SCP-5000——17</t>
    </r>
    <r>
      <rPr>
        <sz val="10"/>
        <rFont val="Noto Sans CJK SC"/>
        <family val="2"/>
      </rPr>
      <t xml:space="preserve">名の研究員が「なぜ？」と書き</t>
    </r>
  </si>
  <si>
    <t xml:space="preserve">ffq7erysXlc</t>
  </si>
  <si>
    <r>
      <rPr>
        <sz val="10"/>
        <rFont val="Noto Sans CJK SC"/>
        <family val="2"/>
      </rPr>
      <t xml:space="preserve">一口</t>
    </r>
    <r>
      <rPr>
        <sz val="10"/>
        <rFont val="Arial"/>
        <family val="0"/>
        <charset val="1"/>
      </rPr>
      <t xml:space="preserve">SCP</t>
    </r>
    <r>
      <rPr>
        <sz val="10"/>
        <rFont val="Noto Sans CJK SC"/>
        <family val="2"/>
      </rPr>
      <t xml:space="preserve">：財団が隠し続けた目を離した瞬間、襲われる</t>
    </r>
    <r>
      <rPr>
        <sz val="10"/>
        <rFont val="Arial"/>
        <family val="0"/>
        <charset val="1"/>
      </rPr>
      <t xml:space="preserve">#</t>
    </r>
    <r>
      <rPr>
        <sz val="10"/>
        <rFont val="Noto Sans CJK SC"/>
        <family val="2"/>
      </rPr>
      <t xml:space="preserve">目を離した瞬間、電流が襲う—財団が隠した『電子工作の悪夢』の正体 </t>
    </r>
    <r>
      <rPr>
        <sz val="10"/>
        <rFont val="Arial"/>
        <family val="0"/>
        <charset val="1"/>
      </rPr>
      <t xml:space="preserve">#shorts #</t>
    </r>
    <r>
      <rPr>
        <sz val="10"/>
        <rFont val="Noto Sans CJK SC"/>
        <family val="2"/>
      </rPr>
      <t xml:space="preserve">ゆっくり解説</t>
    </r>
  </si>
  <si>
    <t xml:space="preserve">sQirD_DQW5g</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</si>
  <si>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2019</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3</t>
    </r>
    <r>
      <rPr>
        <sz val="10"/>
        <rFont val="Noto Sans CJK SC"/>
        <family val="2"/>
      </rPr>
      <t xml:space="preserve">日深夜</t>
    </r>
    <r>
      <rPr>
        <sz val="10"/>
        <rFont val="Arial"/>
        <family val="0"/>
        <charset val="1"/>
      </rPr>
      <t xml:space="preserve">0</t>
    </r>
    <r>
      <rPr>
        <sz val="10"/>
        <rFont val="Noto Sans CJK SC"/>
        <family val="2"/>
      </rPr>
      <t xml:space="preserve">時、全サイトで同時に、人類殲滅プロトコルが起動した。</t>
    </r>
    <r>
      <rPr>
        <sz val="10"/>
        <rFont val="Arial"/>
        <family val="0"/>
        <charset val="1"/>
      </rPr>
      <t xml:space="preserve">#</t>
    </r>
    <r>
      <rPr>
        <sz val="10"/>
        <rFont val="Noto Sans CJK SC"/>
        <family val="2"/>
      </rPr>
      <t xml:space="preserve">財団が隠し続けた</t>
    </r>
    <r>
      <rPr>
        <sz val="10"/>
        <rFont val="Arial"/>
        <family val="0"/>
        <charset val="1"/>
      </rPr>
      <t xml:space="preserve">SCP-5000</t>
    </r>
    <r>
      <rPr>
        <sz val="10"/>
        <rFont val="Noto Sans CJK SC"/>
        <family val="2"/>
      </rPr>
      <t xml:space="preserve">の真実 —— 世界の終焉が始まる理由</t>
    </r>
  </si>
  <si>
    <t xml:space="preserve">brC0BoyOYUk</t>
  </si>
  <si>
    <r>
      <rPr>
        <sz val="10"/>
        <rFont val="Arial"/>
        <family val="0"/>
        <charset val="1"/>
      </rPr>
      <t xml:space="preserve">SCP-173</t>
    </r>
    <r>
      <rPr>
        <sz val="10"/>
        <rFont val="Noto Sans CJK SC"/>
        <family val="2"/>
      </rPr>
      <t xml:space="preserve">が「首だけ」を折る理由——財団が</t>
    </r>
    <r>
      <rPr>
        <sz val="10"/>
        <rFont val="Arial"/>
        <family val="0"/>
        <charset val="1"/>
      </rPr>
      <t xml:space="preserve">17</t>
    </r>
    <r>
      <rPr>
        <sz val="10"/>
        <rFont val="Noto Sans CJK SC"/>
        <family val="2"/>
      </rPr>
      <t xml:space="preserve">年間隠し続けた殺傷メカニズムの正体【ショート】</t>
    </r>
  </si>
  <si>
    <t xml:space="preserve">hxlVgtrTNdQ</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</si>
  <si>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年間、財団データベースから抹消されていた施設生存者</t>
    </r>
    <r>
      <rPr>
        <sz val="10"/>
        <rFont val="Arial"/>
        <family val="0"/>
        <charset val="1"/>
      </rPr>
      <t xml:space="preserve">0</t>
    </r>
    <r>
      <rPr>
        <sz val="10"/>
        <rFont val="Noto Sans CJK SC"/>
        <family val="2"/>
      </rPr>
      <t xml:space="preserve">名——記録だけが残った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SCP-1730</t>
    </r>
    <r>
      <rPr>
        <sz val="10"/>
        <rFont val="Noto Sans CJK SC"/>
        <family val="2"/>
      </rPr>
      <t xml:space="preserve">「消えたサイト</t>
    </r>
    <r>
      <rPr>
        <sz val="10"/>
        <rFont val="Arial"/>
        <family val="0"/>
        <charset val="1"/>
      </rPr>
      <t xml:space="preserve">-13</t>
    </r>
    <r>
      <rPr>
        <sz val="10"/>
        <rFont val="Noto Sans CJK SC"/>
        <family val="2"/>
      </rPr>
      <t xml:space="preserve">」で</t>
    </r>
  </si>
  <si>
    <t xml:space="preserve">my6tJCIrK1k</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</si>
  <si>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名が</t>
    </r>
    <r>
      <rPr>
        <sz val="10"/>
        <rFont val="Arial"/>
        <family val="0"/>
        <charset val="1"/>
      </rPr>
      <t xml:space="preserve">72</t>
    </r>
    <r>
      <rPr>
        <sz val="10"/>
        <rFont val="Noto Sans CJK SC"/>
        <family val="2"/>
      </rPr>
      <t xml:space="preserve">時間以内に消えた財団が封印した「建物の悪夢」の正体</t>
    </r>
    <r>
      <rPr>
        <sz val="10"/>
        <rFont val="Arial"/>
        <family val="0"/>
        <charset val="1"/>
      </rPr>
      <t xml:space="preserve">#SCP-015</t>
    </r>
    <r>
      <rPr>
        <sz val="10"/>
        <rFont val="Noto Sans CJK SC"/>
        <family val="2"/>
      </rPr>
      <t xml:space="preserve">に入った</t>
    </r>
    <r>
      <rPr>
        <sz val="10"/>
        <rFont val="Arial"/>
        <family val="0"/>
        <charset val="1"/>
      </rPr>
      <t xml:space="preserve">17</t>
    </r>
    <r>
      <rPr>
        <sz val="10"/>
        <rFont val="Noto Sans CJK SC"/>
        <family val="2"/>
      </rPr>
      <t xml:space="preserve">名の職員が</t>
    </r>
    <r>
      <rPr>
        <sz val="10"/>
        <rFont val="Arial"/>
        <family val="0"/>
        <charset val="1"/>
      </rPr>
      <t xml:space="preserve">72</t>
    </r>
    <r>
      <rPr>
        <sz val="10"/>
        <rFont val="Noto Sans CJK SC"/>
        <family val="2"/>
      </rPr>
      <t xml:space="preserve">時間以内に消えた——財団が封印し続ける「建物</t>
    </r>
  </si>
  <si>
    <t xml:space="preserve">98Y0brtGoJM</t>
  </si>
  <si>
    <r>
      <rPr>
        <sz val="10"/>
        <rFont val="Noto Sans CJK SC"/>
        <family val="2"/>
      </rPr>
      <t xml:space="preserve">財団が</t>
    </r>
    <r>
      <rPr>
        <sz val="10"/>
        <rFont val="Arial"/>
        <family val="0"/>
        <charset val="1"/>
      </rPr>
      <t xml:space="preserve">17</t>
    </r>
    <r>
      <rPr>
        <sz val="10"/>
        <rFont val="Noto Sans CJK SC"/>
        <family val="2"/>
      </rPr>
      <t xml:space="preserve">年間封印し続けた「</t>
    </r>
    <r>
      <rPr>
        <sz val="10"/>
        <rFont val="Arial"/>
        <family val="0"/>
        <charset val="1"/>
      </rPr>
      <t xml:space="preserve">SCP-XXXX</t>
    </r>
    <r>
      <rPr>
        <sz val="10"/>
        <rFont val="Noto Sans CJK SC"/>
        <family val="2"/>
      </rPr>
      <t xml:space="preserve">」——</t>
    </r>
    <r>
      <rPr>
        <sz val="10"/>
        <rFont val="Arial"/>
        <family val="0"/>
        <charset val="1"/>
      </rPr>
      <t xml:space="preserve">43</t>
    </r>
    <r>
      <rPr>
        <sz val="10"/>
        <rFont val="Noto Sans CJK SC"/>
        <family val="2"/>
      </rPr>
      <t xml:space="preserve">名が接触し、全員の記録が消えた本当の理由【ショート】</t>
    </r>
  </si>
  <si>
    <t xml:space="preserve">KA1oyXgvzYo</t>
  </si>
  <si>
    <r>
      <rPr>
        <sz val="10"/>
        <rFont val="Noto Sans CJK SC"/>
        <family val="2"/>
      </rPr>
      <t xml:space="preserve">一口</t>
    </r>
    <r>
      <rPr>
        <sz val="10"/>
        <rFont val="Arial"/>
        <family val="0"/>
        <charset val="1"/>
      </rPr>
      <t xml:space="preserve">SCP</t>
    </r>
    <r>
      <rPr>
        <sz val="10"/>
        <rFont val="Noto Sans CJK SC"/>
        <family val="2"/>
      </rPr>
      <t xml:space="preserve">：記録を読んだ者が消える</t>
    </r>
    <r>
      <rPr>
        <sz val="10"/>
        <rFont val="Arial"/>
        <family val="0"/>
        <charset val="1"/>
      </rPr>
      <t xml:space="preserve">43</t>
    </r>
    <r>
      <rPr>
        <sz val="10"/>
        <rFont val="Noto Sans CJK SC"/>
        <family val="2"/>
      </rPr>
      <t xml:space="preserve">年間、財団が隠し続けた装置の正体</t>
    </r>
    <r>
      <rPr>
        <sz val="10"/>
        <rFont val="Arial"/>
        <family val="0"/>
        <charset val="1"/>
      </rPr>
      <t xml:space="preserve">#</t>
    </r>
    <r>
      <rPr>
        <sz val="10"/>
        <rFont val="Noto Sans CJK SC"/>
        <family val="2"/>
      </rPr>
      <t xml:space="preserve">財団が</t>
    </r>
    <r>
      <rPr>
        <sz val="10"/>
        <rFont val="Arial"/>
        <family val="0"/>
        <charset val="1"/>
      </rPr>
      <t xml:space="preserve">43</t>
    </r>
    <r>
      <rPr>
        <sz val="10"/>
        <rFont val="Noto Sans CJK SC"/>
        <family val="2"/>
      </rPr>
      <t xml:space="preserve">年間封印し続けた「虚無の制御装置」——記録を読んだ</t>
    </r>
    <r>
      <rPr>
        <sz val="10"/>
        <rFont val="Arial"/>
        <family val="0"/>
        <charset val="1"/>
      </rPr>
      <t xml:space="preserve">17</t>
    </r>
    <r>
      <rPr>
        <sz val="10"/>
        <rFont val="Noto Sans CJK SC"/>
        <family val="2"/>
      </rPr>
      <t xml:space="preserve">名が翌日から消えた本当の</t>
    </r>
  </si>
  <si>
    <t xml:space="preserve">rvPLiSiIpHw</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</si>
  <si>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名 全員消滅内部記録【</t>
    </r>
    <r>
      <rPr>
        <sz val="10"/>
        <rFont val="Arial"/>
        <family val="0"/>
        <charset val="1"/>
      </rPr>
      <t xml:space="preserve">REDACTED</t>
    </r>
    <r>
      <rPr>
        <sz val="10"/>
        <rFont val="Noto Sans CJK SC"/>
        <family val="2"/>
      </rPr>
      <t xml:space="preserve">】</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名の死亡記録を</t>
    </r>
    <r>
      <rPr>
        <sz val="10"/>
        <rFont val="Arial"/>
        <family val="0"/>
        <charset val="1"/>
      </rPr>
      <t xml:space="preserve">4</t>
    </r>
    <r>
      <rPr>
        <sz val="10"/>
        <rFont val="Noto Sans CJK SC"/>
        <family val="2"/>
      </rPr>
      <t xml:space="preserve">行で隠蔽した——</t>
    </r>
    <r>
      <rPr>
        <sz val="10"/>
        <rFont val="Arial"/>
        <family val="0"/>
        <charset val="1"/>
      </rPr>
      <t xml:space="preserve">SCP-1730</t>
    </r>
    <r>
      <rPr>
        <sz val="10"/>
        <rFont val="Noto Sans CJK SC"/>
        <family val="2"/>
      </rPr>
      <t xml:space="preserve">「廃墟サイト</t>
    </r>
    <r>
      <rPr>
        <sz val="10"/>
        <rFont val="Arial"/>
        <family val="0"/>
        <charset val="1"/>
      </rPr>
      <t xml:space="preserve">-13</t>
    </r>
    <r>
      <rPr>
        <sz val="10"/>
        <rFont val="Noto Sans CJK SC"/>
        <family val="2"/>
      </rPr>
      <t xml:space="preserve">」に誰も近づけない本当の理</t>
    </r>
  </si>
  <si>
    <t xml:space="preserve">IkrNzeUvGUM</t>
  </si>
  <si>
    <r>
      <rPr>
        <sz val="10"/>
        <rFont val="Noto Sans CJK SC"/>
        <family val="2"/>
      </rPr>
      <t xml:space="preserve">一口</t>
    </r>
    <r>
      <rPr>
        <sz val="10"/>
        <rFont val="Arial"/>
        <family val="0"/>
        <charset val="1"/>
      </rPr>
      <t xml:space="preserve">SCP</t>
    </r>
    <r>
      <rPr>
        <sz val="10"/>
        <rFont val="Noto Sans CJK SC"/>
        <family val="2"/>
      </rPr>
      <t xml:space="preserve">：製造された恐怖</t>
    </r>
    <r>
      <rPr>
        <sz val="10"/>
        <rFont val="Arial"/>
        <family val="0"/>
        <charset val="1"/>
      </rPr>
      <t xml:space="preserve">17</t>
    </r>
    <r>
      <rPr>
        <sz val="10"/>
        <rFont val="Noto Sans CJK SC"/>
        <family val="2"/>
      </rPr>
      <t xml:space="preserve">年間【</t>
    </r>
    <r>
      <rPr>
        <sz val="10"/>
        <rFont val="Arial"/>
        <family val="0"/>
        <charset val="1"/>
      </rPr>
      <t xml:space="preserve">REDACTED</t>
    </r>
    <r>
      <rPr>
        <sz val="10"/>
        <rFont val="Noto Sans CJK SC"/>
        <family val="2"/>
      </rPr>
      <t xml:space="preserve">】</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年間隠し続けた「製造記録」——</t>
    </r>
    <r>
      <rPr>
        <sz val="10"/>
        <rFont val="Arial"/>
        <family val="0"/>
        <charset val="1"/>
      </rPr>
      <t xml:space="preserve">SCP-1030</t>
    </r>
    <r>
      <rPr>
        <sz val="10"/>
        <rFont val="Noto Sans CJK SC"/>
        <family val="2"/>
      </rPr>
      <t xml:space="preserve">、その収容の理由を誰も語らない本当の訳 </t>
    </r>
    <r>
      <rPr>
        <sz val="10"/>
        <rFont val="Arial"/>
        <family val="0"/>
        <charset val="1"/>
      </rPr>
      <t xml:space="preserve">#sho</t>
    </r>
  </si>
  <si>
    <t xml:space="preserve">RZWj_VviB2A</t>
  </si>
  <si>
    <r>
      <rPr>
        <sz val="10"/>
        <rFont val="Noto Sans CJK SC"/>
        <family val="2"/>
      </rPr>
      <t xml:space="preserve">財団が</t>
    </r>
    <r>
      <rPr>
        <sz val="10"/>
        <rFont val="Arial"/>
        <family val="0"/>
        <charset val="1"/>
      </rPr>
      <t xml:space="preserve">17</t>
    </r>
    <r>
      <rPr>
        <sz val="10"/>
        <rFont val="Noto Sans CJK SC"/>
        <family val="2"/>
      </rPr>
      <t xml:space="preserve">年間隠し続けた理由——</t>
    </r>
    <r>
      <rPr>
        <sz val="10"/>
        <rFont val="Arial"/>
        <family val="0"/>
        <charset val="1"/>
      </rPr>
      <t xml:space="preserve">SCP-1730</t>
    </r>
    <r>
      <rPr>
        <sz val="10"/>
        <rFont val="Noto Sans CJK SC"/>
        <family val="2"/>
      </rPr>
      <t xml:space="preserve">「消えた施設」で</t>
    </r>
    <r>
      <rPr>
        <sz val="10"/>
        <rFont val="Arial"/>
        <family val="0"/>
        <charset val="1"/>
      </rPr>
      <t xml:space="preserve">3</t>
    </r>
    <r>
      <rPr>
        <sz val="10"/>
        <rFont val="Noto Sans CJK SC"/>
        <family val="2"/>
      </rPr>
      <t xml:space="preserve">名が失踪した本当の正体【ショート】</t>
    </r>
  </si>
  <si>
    <t xml:space="preserve">S96CtNHwlYM</t>
  </si>
  <si>
    <r>
      <rPr>
        <sz val="10"/>
        <rFont val="Noto Sans CJK SC"/>
        <family val="2"/>
      </rPr>
      <t xml:space="preserve">一口</t>
    </r>
    <r>
      <rPr>
        <sz val="10"/>
        <rFont val="Arial"/>
        <family val="0"/>
        <charset val="1"/>
      </rPr>
      <t xml:space="preserve">SCP</t>
    </r>
    <r>
      <rPr>
        <sz val="10"/>
        <rFont val="Noto Sans CJK SC"/>
        <family val="2"/>
      </rPr>
      <t xml:space="preserve">：財団が隠し続けた「異常の起源」</t>
    </r>
    <r>
      <rPr>
        <sz val="10"/>
        <rFont val="Arial"/>
        <family val="0"/>
        <charset val="1"/>
      </rPr>
      <t xml:space="preserve">SCP-XXXX</t>
    </r>
    <r>
      <rPr>
        <sz val="10"/>
        <rFont val="Noto Sans CJK SC"/>
        <family val="2"/>
      </rPr>
      <t xml:space="preserve">【なぜ、異常は生まれるのか】</t>
    </r>
    <r>
      <rPr>
        <sz val="10"/>
        <rFont val="Arial"/>
        <family val="0"/>
        <charset val="1"/>
      </rPr>
      <t xml:space="preserve">#</t>
    </r>
    <r>
      <rPr>
        <sz val="10"/>
        <rFont val="Noto Sans CJK SC"/>
        <family val="2"/>
      </rPr>
      <t xml:space="preserve">財団が記録ごと封印した「異常誕生の法則」——なぜ存在してはならないものが</t>
    </r>
  </si>
  <si>
    <t xml:space="preserve">Z8YcL_NDIgM</t>
  </si>
  <si>
    <r>
      <rPr>
        <sz val="10"/>
        <rFont val="Noto Sans CJK SC"/>
        <family val="2"/>
      </rPr>
      <t xml:space="preserve">一口</t>
    </r>
    <r>
      <rPr>
        <sz val="10"/>
        <rFont val="Arial"/>
        <family val="0"/>
        <charset val="1"/>
      </rPr>
      <t xml:space="preserve">SCP</t>
    </r>
    <r>
      <rPr>
        <sz val="10"/>
        <rFont val="Noto Sans CJK SC"/>
        <family val="2"/>
      </rPr>
      <t xml:space="preserve">：停電</t>
    </r>
    <r>
      <rPr>
        <sz val="10"/>
        <rFont val="Arial"/>
        <family val="0"/>
        <charset val="1"/>
      </rPr>
      <t xml:space="preserve">0.3</t>
    </r>
    <r>
      <rPr>
        <sz val="10"/>
        <rFont val="Noto Sans CJK SC"/>
        <family val="2"/>
      </rPr>
      <t xml:space="preserve">秒で全滅教室に</t>
    </r>
    <r>
      <rPr>
        <sz val="10"/>
        <rFont val="Arial"/>
        <family val="0"/>
        <charset val="1"/>
      </rPr>
      <t xml:space="preserve">173</t>
    </r>
    <r>
      <rPr>
        <sz val="10"/>
        <rFont val="Noto Sans CJK SC"/>
        <family val="2"/>
      </rPr>
      <t xml:space="preserve">が紛れ込んだら？</t>
    </r>
    <r>
      <rPr>
        <sz val="10"/>
        <rFont val="Arial"/>
        <family val="0"/>
        <charset val="1"/>
      </rPr>
      <t xml:space="preserve">#SCP-173</t>
    </r>
    <r>
      <rPr>
        <sz val="10"/>
        <rFont val="Noto Sans CJK SC"/>
        <family val="2"/>
      </rPr>
      <t xml:space="preserve">が日本の学校に現れたら、教室で何人死ぬか——財団が封印した最悪のシミュレーション </t>
    </r>
    <r>
      <rPr>
        <sz val="10"/>
        <rFont val="Arial"/>
        <family val="0"/>
        <charset val="1"/>
      </rPr>
      <t xml:space="preserve">#s</t>
    </r>
  </si>
  <si>
    <t xml:space="preserve">wwTE8pNY1V4</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</si>
  <si>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LEVEL 4 </t>
    </r>
    <r>
      <rPr>
        <sz val="10"/>
        <rFont val="Noto Sans CJK SC"/>
        <family val="2"/>
      </rPr>
      <t xml:space="preserve">機密 </t>
    </r>
    <r>
      <rPr>
        <sz val="10"/>
        <rFont val="Arial"/>
        <family val="0"/>
        <charset val="1"/>
      </rPr>
      <t xml:space="preserve">/ </t>
    </r>
    <r>
      <rPr>
        <sz val="10"/>
        <rFont val="Noto Sans CJK SC"/>
        <family val="2"/>
      </rPr>
      <t xml:space="preserve">財団内部資料感染確認から</t>
    </r>
    <r>
      <rPr>
        <sz val="10"/>
        <rFont val="Arial"/>
        <family val="0"/>
        <charset val="1"/>
      </rPr>
      <t xml:space="preserve">96</t>
    </r>
    <r>
      <rPr>
        <sz val="10"/>
        <rFont val="Noto Sans CJK SC"/>
        <family val="2"/>
      </rPr>
      <t xml:space="preserve">時間で『人間』でなくなる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秒で内側から書き換わる——</t>
    </r>
    <r>
      <rPr>
        <sz val="10"/>
        <rFont val="Arial"/>
        <family val="0"/>
        <charset val="1"/>
      </rPr>
      <t xml:space="preserve">SCP-217</t>
    </r>
    <r>
      <rPr>
        <sz val="10"/>
        <rFont val="Noto Sans CJK SC"/>
        <family val="2"/>
      </rPr>
      <t xml:space="preserve">「時計仕掛け</t>
    </r>
  </si>
  <si>
    <t xml:space="preserve">DA1adG59k7M</t>
  </si>
  <si>
    <r>
      <rPr>
        <sz val="10"/>
        <rFont val="Noto Sans CJK SC"/>
        <family val="2"/>
      </rPr>
      <t xml:space="preserve">一口</t>
    </r>
    <r>
      <rPr>
        <sz val="10"/>
        <rFont val="Arial"/>
        <family val="0"/>
        <charset val="1"/>
      </rPr>
      <t xml:space="preserve">SCP</t>
    </r>
    <r>
      <rPr>
        <sz val="10"/>
        <rFont val="Noto Sans CJK SC"/>
        <family val="2"/>
      </rPr>
      <t xml:space="preserve">：瞬きの間に、</t>
    </r>
    <r>
      <rPr>
        <sz val="10"/>
        <rFont val="Arial"/>
        <family val="0"/>
        <charset val="1"/>
      </rPr>
      <t xml:space="preserve">17</t>
    </r>
    <r>
      <rPr>
        <sz val="10"/>
        <rFont val="Noto Sans CJK SC"/>
        <family val="2"/>
      </rPr>
      <t xml:space="preserve">人が死んだ</t>
    </r>
    <r>
      <rPr>
        <sz val="10"/>
        <rFont val="Arial"/>
        <family val="0"/>
        <charset val="1"/>
      </rPr>
      <t xml:space="preserve">LEVEL 4 </t>
    </r>
    <r>
      <rPr>
        <sz val="10"/>
        <rFont val="Noto Sans CJK SC"/>
        <family val="2"/>
      </rPr>
      <t xml:space="preserve">機密｜財団内部資料【閲覧注意】</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が財団の隠し続けた『本当</t>
    </r>
  </si>
  <si>
    <t xml:space="preserve">XFtnWA991WU</t>
  </si>
  <si>
    <r>
      <rPr>
        <sz val="10"/>
        <rFont val="Noto Sans CJK SC"/>
        <family val="2"/>
      </rPr>
      <t xml:space="preserve">目を離した</t>
    </r>
    <r>
      <rPr>
        <sz val="10"/>
        <rFont val="Arial"/>
        <family val="0"/>
        <charset val="1"/>
      </rPr>
      <t xml:space="preserve">3</t>
    </r>
    <r>
      <rPr>
        <sz val="10"/>
        <rFont val="Noto Sans CJK SC"/>
        <family val="2"/>
      </rPr>
      <t xml:space="preserve">秒で消えた——</t>
    </r>
    <r>
      <rPr>
        <sz val="10"/>
        <rFont val="Arial"/>
        <family val="0"/>
        <charset val="1"/>
      </rPr>
      <t xml:space="preserve">SCP-096</t>
    </r>
    <r>
      <rPr>
        <sz val="10"/>
        <rFont val="Noto Sans CJK SC"/>
        <family val="2"/>
      </rPr>
      <t xml:space="preserve">「シャイガイ」が改造された本当の理由を財団は語らない【ショート】</t>
    </r>
  </si>
  <si>
    <t xml:space="preserve">mykVJ1oToHs</t>
  </si>
  <si>
    <r>
      <rPr>
        <sz val="10"/>
        <rFont val="Noto Sans CJK SC"/>
        <family val="2"/>
      </rPr>
      <t xml:space="preserve">一口</t>
    </r>
    <r>
      <rPr>
        <sz val="10"/>
        <rFont val="Arial"/>
        <family val="0"/>
        <charset val="1"/>
      </rPr>
      <t xml:space="preserve">SCP</t>
    </r>
    <r>
      <rPr>
        <sz val="10"/>
        <rFont val="Noto Sans CJK SC"/>
        <family val="2"/>
      </rPr>
      <t xml:space="preserve">：この報告書…読んだら後悔するかもしれない人類そのものが異常存在であるという結論に</t>
    </r>
    <r>
      <rPr>
        <sz val="10"/>
        <rFont val="Arial"/>
        <family val="0"/>
        <charset val="1"/>
      </rPr>
      <t xml:space="preserve">#</t>
    </r>
    <r>
      <rPr>
        <sz val="10"/>
        <rFont val="Noto Sans CJK SC"/>
        <family val="2"/>
      </rPr>
      <t xml:space="preserve">財団が人類を殲滅し続けた真の理由——</t>
    </r>
    <r>
      <rPr>
        <sz val="10"/>
        <rFont val="Arial"/>
        <family val="0"/>
        <charset val="1"/>
      </rPr>
      <t xml:space="preserve">SCP-5000</t>
    </r>
    <r>
      <rPr>
        <sz val="10"/>
        <rFont val="Noto Sans CJK SC"/>
        <family val="2"/>
      </rPr>
      <t xml:space="preserve">内部資料の驚愕</t>
    </r>
  </si>
  <si>
    <t xml:space="preserve">9y030ReGjqc</t>
  </si>
  <si>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2</t>
    </r>
    <r>
      <rPr>
        <sz val="10"/>
        <rFont val="Noto Sans CJK SC"/>
        <family val="2"/>
      </rPr>
      <t xml:space="preserve">つの計画』——人類を殺したのは、守るためだったのか【ショート】</t>
    </r>
  </si>
  <si>
    <t xml:space="preserve">SMuvBP9JGyI</t>
  </si>
  <si>
    <r>
      <rPr>
        <sz val="10"/>
        <rFont val="Noto Sans CJK SC"/>
        <family val="2"/>
      </rPr>
      <t xml:space="preserve">一口</t>
    </r>
    <r>
      <rPr>
        <sz val="10"/>
        <rFont val="Arial"/>
        <family val="0"/>
        <charset val="1"/>
      </rPr>
      <t xml:space="preserve">SCP</t>
    </r>
    <r>
      <rPr>
        <sz val="10"/>
        <rFont val="Noto Sans CJK SC"/>
        <family val="2"/>
      </rPr>
      <t xml:space="preserve">：財団自身が『人類は異常存在』と結論した</t>
    </r>
    <r>
      <rPr>
        <sz val="10"/>
        <rFont val="Arial"/>
        <family val="0"/>
        <charset val="1"/>
      </rPr>
      <t xml:space="preserve">17</t>
    </r>
    <r>
      <rPr>
        <sz val="10"/>
        <rFont val="Noto Sans CJK SC"/>
        <family val="2"/>
      </rPr>
      <t xml:space="preserve">年間、この記録は</t>
    </r>
    <r>
      <rPr>
        <sz val="10"/>
        <rFont val="Arial"/>
        <family val="0"/>
        <charset val="1"/>
      </rPr>
      <t xml:space="preserve">[DATA EXPUNGED]</t>
    </r>
    <r>
      <rPr>
        <sz val="10"/>
        <rFont val="Noto Sans CJK SC"/>
        <family val="2"/>
      </rPr>
      <t xml:space="preserve">されていた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SCP-5000</t>
    </r>
    <r>
      <rPr>
        <sz val="10"/>
        <rFont val="Noto Sans CJK SC"/>
        <family val="2"/>
      </rPr>
      <t xml:space="preserve">が『人</t>
    </r>
  </si>
  <si>
    <t xml:space="preserve">z79CORO86s8</t>
  </si>
  <si>
    <r>
      <rPr>
        <sz val="10"/>
        <rFont val="Arial"/>
        <family val="0"/>
        <charset val="1"/>
      </rPr>
      <t xml:space="preserve">SCP-871</t>
    </r>
    <r>
      <rPr>
        <sz val="10"/>
        <rFont val="Noto Sans CJK SC"/>
        <family val="2"/>
      </rPr>
      <t xml:space="preserve">「自己複製するケーキ」を</t>
    </r>
    <r>
      <rPr>
        <sz val="10"/>
        <rFont val="Arial"/>
        <family val="0"/>
        <charset val="1"/>
      </rPr>
      <t xml:space="preserve">SCP-914</t>
    </r>
    <r>
      <rPr>
        <sz val="10"/>
        <rFont val="Noto Sans CJK SC"/>
        <family val="2"/>
      </rPr>
      <t xml:space="preserve">で魔改造したら——財団が封印した実験ログの結末【ショート】</t>
    </r>
  </si>
  <si>
    <t xml:space="preserve">6JhZeJWhE78</t>
  </si>
  <si>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17</t>
    </r>
    <r>
      <rPr>
        <sz val="10"/>
        <rFont val="Noto Sans CJK SC"/>
        <family val="2"/>
      </rPr>
      <t xml:space="preserve">時間／生存者</t>
    </r>
    <r>
      <rPr>
        <sz val="10"/>
        <rFont val="Arial"/>
        <family val="0"/>
        <charset val="1"/>
      </rPr>
      <t xml:space="preserve">0</t>
    </r>
    <r>
      <rPr>
        <sz val="10"/>
        <rFont val="Noto Sans CJK SC"/>
        <family val="2"/>
      </rPr>
      <t xml:space="preserve">名財団が封印した『悪夢のデバイス』の正体</t>
    </r>
    <r>
      <rPr>
        <sz val="10"/>
        <rFont val="Arial"/>
        <family val="0"/>
        <charset val="1"/>
      </rPr>
      <t xml:space="preserve">#</t>
    </r>
    <r>
      <rPr>
        <sz val="10"/>
        <rFont val="Noto Sans CJK SC"/>
        <family val="2"/>
      </rPr>
      <t xml:space="preserve">収容違反から</t>
    </r>
    <r>
      <rPr>
        <sz val="10"/>
        <rFont val="Arial"/>
        <family val="0"/>
        <charset val="1"/>
      </rPr>
      <t xml:space="preserve">17</t>
    </r>
    <r>
      <rPr>
        <sz val="10"/>
        <rFont val="Noto Sans CJK SC"/>
        <family val="2"/>
      </rPr>
      <t xml:space="preserve">時間——</t>
    </r>
    <r>
      <rPr>
        <sz val="10"/>
        <rFont val="Arial"/>
        <family val="0"/>
        <charset val="1"/>
      </rPr>
      <t xml:space="preserve">SCP-1346</t>
    </r>
    <r>
      <rPr>
        <sz val="10"/>
        <rFont val="Noto Sans CJK SC"/>
        <family val="2"/>
      </rPr>
      <t xml:space="preserve">「悪夢のデバイス」が財団施設で何をしたか</t>
    </r>
  </si>
  <si>
    <t xml:space="preserve">JUMJWwUUPcc</t>
  </si>
  <si>
    <r>
      <rPr>
        <sz val="10"/>
        <rFont val="Noto Sans CJK SC"/>
        <family val="2"/>
      </rPr>
      <t xml:space="preserve">一口</t>
    </r>
    <r>
      <rPr>
        <sz val="10"/>
        <rFont val="Arial"/>
        <family val="0"/>
        <charset val="1"/>
      </rPr>
      <t xml:space="preserve">SCP</t>
    </r>
    <r>
      <rPr>
        <sz val="10"/>
        <rFont val="Noto Sans CJK SC"/>
        <family val="2"/>
      </rPr>
      <t xml:space="preserve">：世界人口</t>
    </r>
    <r>
      <rPr>
        <sz val="10"/>
        <rFont val="Arial"/>
        <family val="0"/>
        <charset val="1"/>
      </rPr>
      <t xml:space="preserve">80</t>
    </r>
    <r>
      <rPr>
        <sz val="10"/>
        <rFont val="Noto Sans CJK SC"/>
        <family val="2"/>
      </rPr>
      <t xml:space="preserve">億人→</t>
    </r>
    <r>
      <rPr>
        <sz val="10"/>
        <rFont val="Arial"/>
        <family val="0"/>
        <charset val="1"/>
      </rPr>
      <t xml:space="preserve">7</t>
    </r>
    <r>
      <rPr>
        <sz val="10"/>
        <rFont val="Noto Sans CJK SC"/>
        <family val="2"/>
      </rPr>
      <t xml:space="preserve">億人 自動起動財団内部記録【閲覧権限</t>
    </r>
    <r>
      <rPr>
        <sz val="10"/>
        <rFont val="Arial"/>
        <family val="0"/>
        <charset val="1"/>
      </rPr>
      <t xml:space="preserve">O5</t>
    </r>
    <r>
      <rPr>
        <sz val="10"/>
        <rFont val="Noto Sans CJK SC"/>
        <family val="2"/>
      </rPr>
      <t xml:space="preserve">以上】</t>
    </r>
    <r>
      <rPr>
        <sz val="10"/>
        <rFont val="Arial"/>
        <family val="0"/>
        <charset val="1"/>
      </rPr>
      <t xml:space="preserve">#SCP-5000</t>
    </r>
    <r>
      <rPr>
        <sz val="10"/>
        <rFont val="Noto Sans CJK SC"/>
        <family val="2"/>
      </rPr>
      <t xml:space="preserve">が起動した</t>
    </r>
    <r>
      <rPr>
        <sz val="10"/>
        <rFont val="Arial"/>
        <family val="0"/>
        <charset val="1"/>
      </rPr>
      <t xml:space="preserve">48</t>
    </r>
    <r>
      <rPr>
        <sz val="10"/>
        <rFont val="Noto Sans CJK SC"/>
        <family val="2"/>
      </rPr>
      <t xml:space="preserve">時間——あなたの街で財団が隠した『人類抹消プロトコ</t>
    </r>
  </si>
  <si>
    <t xml:space="preserve">v1w1U2XHr7w</t>
  </si>
  <si>
    <r>
      <rPr>
        <sz val="10"/>
        <rFont val="Noto Sans CJK SC"/>
        <family val="2"/>
      </rPr>
      <t xml:space="preserve">一口</t>
    </r>
    <r>
      <rPr>
        <sz val="10"/>
        <rFont val="Arial"/>
        <family val="0"/>
        <charset val="1"/>
      </rPr>
      <t xml:space="preserve">SCP</t>
    </r>
    <r>
      <rPr>
        <sz val="10"/>
        <rFont val="Noto Sans CJK SC"/>
        <family val="2"/>
      </rPr>
      <t xml:space="preserve">：視線を外したら——もう遅い財団が封印した『</t>
    </r>
    <r>
      <rPr>
        <sz val="10"/>
        <rFont val="Arial"/>
        <family val="0"/>
        <charset val="1"/>
      </rPr>
      <t xml:space="preserve">0.3</t>
    </r>
    <r>
      <rPr>
        <sz val="10"/>
        <rFont val="Noto Sans CJK SC"/>
        <family val="2"/>
      </rPr>
      <t xml:space="preserve">秒の恐怖』</t>
    </r>
    <r>
      <rPr>
        <sz val="10"/>
        <rFont val="Arial"/>
        <family val="0"/>
        <charset val="1"/>
      </rPr>
      <t xml:space="preserve">#SCP-173——</t>
    </r>
    <r>
      <rPr>
        <sz val="10"/>
        <rFont val="Noto Sans CJK SC"/>
        <family val="2"/>
      </rPr>
      <t xml:space="preserve">視線を外した</t>
    </r>
    <r>
      <rPr>
        <sz val="10"/>
        <rFont val="Arial"/>
        <family val="0"/>
        <charset val="1"/>
      </rPr>
      <t xml:space="preserve">0.3</t>
    </r>
    <r>
      <rPr>
        <sz val="10"/>
        <rFont val="Noto Sans CJK SC"/>
        <family val="2"/>
      </rPr>
      <t xml:space="preserve">秒に、</t>
    </r>
    <r>
      <rPr>
        <sz val="10"/>
        <rFont val="Arial"/>
        <family val="0"/>
        <charset val="1"/>
      </rPr>
      <t xml:space="preserve">17</t>
    </r>
    <r>
      <rPr>
        <sz val="10"/>
        <rFont val="Noto Sans CJK SC"/>
        <family val="2"/>
      </rPr>
      <t xml:space="preserve">名が消えた本当の理由 </t>
    </r>
    <r>
      <rPr>
        <sz val="10"/>
        <rFont val="Arial"/>
        <family val="0"/>
        <charset val="1"/>
      </rPr>
      <t xml:space="preserve">#shorts #</t>
    </r>
    <r>
      <rPr>
        <sz val="10"/>
        <rFont val="Noto Sans CJK SC"/>
        <family val="2"/>
      </rPr>
      <t xml:space="preserve">ゆ</t>
    </r>
  </si>
  <si>
    <t xml:space="preserve">7Lm5uLHQqkA</t>
  </si>
  <si>
    <r>
      <rPr>
        <sz val="10"/>
        <rFont val="Noto Sans CJK SC"/>
        <family val="2"/>
      </rPr>
      <t xml:space="preserve">財団が</t>
    </r>
    <r>
      <rPr>
        <sz val="10"/>
        <rFont val="Arial"/>
        <family val="0"/>
        <charset val="1"/>
      </rPr>
      <t xml:space="preserve">17</t>
    </r>
    <r>
      <rPr>
        <sz val="10"/>
        <rFont val="Noto Sans CJK SC"/>
        <family val="2"/>
      </rPr>
      <t xml:space="preserve">年間封印した「選択の悪夢」——</t>
    </r>
    <r>
      <rPr>
        <sz val="10"/>
        <rFont val="Arial"/>
        <family val="0"/>
        <charset val="1"/>
      </rPr>
      <t xml:space="preserve">SCP-096</t>
    </r>
    <r>
      <rPr>
        <sz val="10"/>
        <rFont val="Noto Sans CJK SC"/>
        <family val="2"/>
      </rPr>
      <t xml:space="preserve">に触れた職員が最後に見たものの正体【ショート】</t>
    </r>
  </si>
  <si>
    <t xml:space="preserve">b8S7T_0FGQg</t>
  </si>
  <si>
    <r>
      <rPr>
        <sz val="10"/>
        <rFont val="Noto Sans CJK SC"/>
        <family val="2"/>
      </rPr>
      <t xml:space="preserve">一口</t>
    </r>
    <r>
      <rPr>
        <sz val="10"/>
        <rFont val="Arial"/>
        <family val="0"/>
        <charset val="1"/>
      </rPr>
      <t xml:space="preserve">SCP</t>
    </r>
    <r>
      <rPr>
        <sz val="10"/>
        <rFont val="Noto Sans CJK SC"/>
        <family val="2"/>
      </rPr>
      <t xml:space="preserve">：読んだだけで感染する——認識災害の正体財団が</t>
    </r>
    <r>
      <rPr>
        <sz val="10"/>
        <rFont val="Arial"/>
        <family val="0"/>
        <charset val="1"/>
      </rPr>
      <t xml:space="preserve">23</t>
    </r>
    <r>
      <rPr>
        <sz val="10"/>
        <rFont val="Noto Sans CJK SC"/>
        <family val="2"/>
      </rPr>
      <t xml:space="preserve">年間封印し続けた「知識の呪い」</t>
    </r>
    <r>
      <rPr>
        <sz val="10"/>
        <rFont val="Arial"/>
        <family val="0"/>
        <charset val="1"/>
      </rPr>
      <t xml:space="preserve">#</t>
    </r>
    <r>
      <rPr>
        <sz val="10"/>
        <rFont val="Noto Sans CJK SC"/>
        <family val="2"/>
      </rPr>
      <t xml:space="preserve">知った瞬間が終わりの始まり——</t>
    </r>
    <r>
      <rPr>
        <sz val="10"/>
        <rFont val="Arial"/>
        <family val="0"/>
        <charset val="1"/>
      </rPr>
      <t xml:space="preserve">SCP-1425</t>
    </r>
    <r>
      <rPr>
        <sz val="10"/>
        <rFont val="Noto Sans CJK SC"/>
        <family val="2"/>
      </rPr>
      <t xml:space="preserve">「星の兆候」が</t>
    </r>
    <r>
      <rPr>
        <sz val="10"/>
        <rFont val="Arial"/>
        <family val="0"/>
        <charset val="1"/>
      </rPr>
      <t xml:space="preserve">17</t>
    </r>
    <r>
      <rPr>
        <sz val="10"/>
        <rFont val="Noto Sans CJK SC"/>
        <family val="2"/>
      </rPr>
      <t xml:space="preserve">名の</t>
    </r>
  </si>
  <si>
    <t xml:space="preserve">x9FcmYTW2co</t>
  </si>
  <si>
    <t xml:space="preserve">2026-07-27</t>
  </si>
  <si>
    <r>
      <rPr>
        <sz val="10"/>
        <rFont val="Arial"/>
        <family val="0"/>
        <charset val="1"/>
      </rPr>
      <t xml:space="preserve">SCP-</t>
    </r>
    <r>
      <rPr>
        <sz val="10"/>
        <rFont val="Noto Sans CJK SC"/>
        <family val="2"/>
      </rPr>
      <t xml:space="preserve">財団が隠し続けた</t>
    </r>
    <r>
      <rPr>
        <sz val="10"/>
        <rFont val="Arial"/>
        <family val="0"/>
        <charset val="1"/>
      </rPr>
      <t xml:space="preserve">D</t>
    </r>
    <r>
      <rPr>
        <sz val="10"/>
        <rFont val="Noto Sans CJK SC"/>
        <family val="2"/>
      </rPr>
      <t xml:space="preserve">クラスの真実——欲望と恐怖の狭間で消耗される人々【ショート】</t>
    </r>
  </si>
  <si>
    <t xml:space="preserve">GKNPufeujw8</t>
  </si>
  <si>
    <t xml:space="preserve">収容違反の真実 — 人間が引き起こす異常の裏側【ショート】</t>
  </si>
  <si>
    <t xml:space="preserve">N8fmKUzqCtk</t>
  </si>
  <si>
    <r>
      <rPr>
        <sz val="10"/>
        <rFont val="Noto Sans CJK SC"/>
        <family val="2"/>
      </rPr>
      <t xml:space="preserve">全長『測定不能』の深海巨大生物</t>
    </r>
    <r>
      <rPr>
        <sz val="10"/>
        <rFont val="Arial"/>
        <family val="0"/>
        <charset val="1"/>
      </rPr>
      <t xml:space="preserve">SCP-3000──</t>
    </r>
    <r>
      <rPr>
        <sz val="10"/>
        <rFont val="Noto Sans CJK SC"/>
        <family val="2"/>
      </rPr>
      <t xml:space="preserve">記憶を溶かす怪物から搾り取られる物質</t>
    </r>
    <r>
      <rPr>
        <sz val="10"/>
        <rFont val="Arial"/>
        <family val="0"/>
        <charset val="1"/>
      </rPr>
      <t xml:space="preserve">Y-909</t>
    </r>
    <r>
      <rPr>
        <sz val="10"/>
        <rFont val="Noto Sans CJK SC"/>
        <family val="2"/>
      </rPr>
      <t xml:space="preserve">の正体</t>
    </r>
  </si>
  <si>
    <t xml:space="preserve">cqeRN0zPPPE</t>
  </si>
  <si>
    <t xml:space="preserve">実は、見えるはずなのに見えない脅威が存在する理由【ショート】</t>
  </si>
  <si>
    <t xml:space="preserve">Z5itpuEb3Ts</t>
  </si>
  <si>
    <r>
      <rPr>
        <sz val="10"/>
        <rFont val="Arial"/>
        <family val="0"/>
        <charset val="1"/>
      </rPr>
      <t xml:space="preserve">SCP-XXXX</t>
    </r>
    <r>
      <rPr>
        <sz val="10"/>
        <rFont val="Noto Sans CJK SC"/>
        <family val="2"/>
      </rPr>
      <t xml:space="preserve">「デジタル錯覚」— ゲームに潜む不気味な異常とは？【ショート】</t>
    </r>
  </si>
  <si>
    <t xml:space="preserve">kBxqZqtk45E</t>
  </si>
  <si>
    <r>
      <rPr>
        <sz val="10"/>
        <rFont val="Arial"/>
        <family val="0"/>
        <charset val="1"/>
      </rPr>
      <t xml:space="preserve">GOC</t>
    </r>
    <r>
      <rPr>
        <sz val="10"/>
        <rFont val="Noto Sans CJK SC"/>
        <family val="2"/>
      </rPr>
      <t xml:space="preserve">と蛇の手の真実 — 異常存在に対する戦略の謎【ショート】</t>
    </r>
  </si>
  <si>
    <t xml:space="preserve">k5fnEvGKu88</t>
  </si>
  <si>
    <r>
      <rPr>
        <sz val="10"/>
        <rFont val="Noto Sans CJK SC"/>
        <family val="2"/>
      </rPr>
      <t xml:space="preserve">なぜ財団は</t>
    </r>
    <r>
      <rPr>
        <sz val="10"/>
        <rFont val="Arial"/>
        <family val="0"/>
        <charset val="1"/>
      </rPr>
      <t xml:space="preserve">48</t>
    </r>
    <r>
      <rPr>
        <sz val="10"/>
        <rFont val="Noto Sans CJK SC"/>
        <family val="2"/>
      </rPr>
      <t xml:space="preserve">時間で限界を迎えるのか——</t>
    </r>
    <r>
      <rPr>
        <sz val="10"/>
        <rFont val="Arial"/>
        <family val="0"/>
        <charset val="1"/>
      </rPr>
      <t xml:space="preserve">SCP-2317</t>
    </r>
    <r>
      <rPr>
        <sz val="10"/>
        <rFont val="Noto Sans CJK SC"/>
        <family val="2"/>
      </rPr>
      <t xml:space="preserve">『地獄の門』、封印違反</t>
    </r>
    <r>
      <rPr>
        <sz val="10"/>
        <rFont val="Arial"/>
        <family val="0"/>
        <charset val="1"/>
      </rPr>
      <t xml:space="preserve">5</t>
    </r>
    <r>
      <rPr>
        <sz val="10"/>
        <rFont val="Noto Sans CJK SC"/>
        <family val="2"/>
      </rPr>
      <t xml:space="preserve">件の真実【ショート】</t>
    </r>
  </si>
  <si>
    <t xml:space="preserve">omvKlYEcN-4</t>
  </si>
  <si>
    <r>
      <rPr>
        <sz val="10"/>
        <rFont val="Noto Sans CJK SC"/>
        <family val="2"/>
      </rPr>
      <t xml:space="preserve">なぜ生存率</t>
    </r>
    <r>
      <rPr>
        <sz val="10"/>
        <rFont val="Arial"/>
        <family val="0"/>
        <charset val="1"/>
      </rPr>
      <t xml:space="preserve">5%</t>
    </r>
    <r>
      <rPr>
        <sz val="10"/>
        <rFont val="Noto Sans CJK SC"/>
        <family val="2"/>
      </rPr>
      <t xml:space="preserve">？『生ける死者』</t>
    </r>
    <r>
      <rPr>
        <sz val="10"/>
        <rFont val="Arial"/>
        <family val="0"/>
        <charset val="1"/>
      </rPr>
      <t xml:space="preserve">SCP-1440</t>
    </r>
    <r>
      <rPr>
        <sz val="10"/>
        <rFont val="Noto Sans CJK SC"/>
        <family val="2"/>
      </rPr>
      <t xml:space="preserve">が財団を</t>
    </r>
    <r>
      <rPr>
        <sz val="10"/>
        <rFont val="Arial"/>
        <family val="0"/>
        <charset val="1"/>
      </rPr>
      <t xml:space="preserve">12</t>
    </r>
    <r>
      <rPr>
        <sz val="10"/>
        <rFont val="Noto Sans CJK SC"/>
        <family val="2"/>
      </rPr>
      <t xml:space="preserve">回暴走させた本当の理由【ショート】</t>
    </r>
  </si>
  <si>
    <t xml:space="preserve">wmPIx3K3rSQ</t>
  </si>
  <si>
    <r>
      <rPr>
        <sz val="10"/>
        <rFont val="Noto Sans CJK SC"/>
        <family val="2"/>
      </rPr>
      <t xml:space="preserve">電子工作で</t>
    </r>
    <r>
      <rPr>
        <sz val="10"/>
        <rFont val="Arial"/>
        <family val="0"/>
        <charset val="1"/>
      </rPr>
      <t xml:space="preserve">7</t>
    </r>
    <r>
      <rPr>
        <sz val="10"/>
        <rFont val="Noto Sans CJK SC"/>
        <family val="2"/>
      </rPr>
      <t xml:space="preserve">人消えた…財団が封印した『悪夢の回路』だけ異常すぎる理由【ショート】</t>
    </r>
  </si>
  <si>
    <t xml:space="preserve">Qr-vmi_WOls</t>
  </si>
  <si>
    <r>
      <rPr>
        <sz val="10"/>
        <rFont val="Noto Sans CJK SC"/>
        <family val="2"/>
      </rPr>
      <t xml:space="preserve">一口</t>
    </r>
    <r>
      <rPr>
        <sz val="10"/>
        <rFont val="Arial"/>
        <family val="0"/>
        <charset val="1"/>
      </rPr>
      <t xml:space="preserve">SCP</t>
    </r>
    <r>
      <rPr>
        <sz val="10"/>
        <rFont val="Noto Sans CJK SC"/>
        <family val="2"/>
      </rPr>
      <t xml:space="preserve">：生存率わずか</t>
    </r>
    <r>
      <rPr>
        <sz val="10"/>
        <rFont val="Arial"/>
        <family val="0"/>
        <charset val="1"/>
      </rPr>
      <t xml:space="preserve">1%</t>
    </r>
    <r>
      <rPr>
        <sz val="10"/>
        <rFont val="Noto Sans CJK SC"/>
        <family val="2"/>
      </rPr>
      <t xml:space="preserve">収容違反</t>
    </r>
    <r>
      <rPr>
        <sz val="10"/>
        <rFont val="Arial"/>
        <family val="0"/>
        <charset val="1"/>
      </rPr>
      <t xml:space="preserve">8</t>
    </r>
    <r>
      <rPr>
        <sz val="10"/>
        <rFont val="Noto Sans CJK SC"/>
        <family val="2"/>
      </rPr>
      <t xml:space="preserve">件の記録</t>
    </r>
    <r>
      <rPr>
        <sz val="10"/>
        <rFont val="Arial"/>
        <family val="0"/>
        <charset val="1"/>
      </rPr>
      <t xml:space="preserve">#</t>
    </r>
    <r>
      <rPr>
        <sz val="10"/>
        <rFont val="Noto Sans CJK SC"/>
        <family val="2"/>
      </rPr>
      <t xml:space="preserve">収容違反</t>
    </r>
    <r>
      <rPr>
        <sz val="10"/>
        <rFont val="Arial"/>
        <family val="0"/>
        <charset val="1"/>
      </rPr>
      <t xml:space="preserve">8</t>
    </r>
    <r>
      <rPr>
        <sz val="10"/>
        <rFont val="Noto Sans CJK SC"/>
        <family val="2"/>
      </rPr>
      <t xml:space="preserve">回、生存率</t>
    </r>
    <r>
      <rPr>
        <sz val="10"/>
        <rFont val="Arial"/>
        <family val="0"/>
        <charset val="1"/>
      </rPr>
      <t xml:space="preserve">1%——</t>
    </r>
    <r>
      <rPr>
        <sz val="10"/>
        <rFont val="Noto Sans CJK SC"/>
        <family val="2"/>
      </rPr>
      <t xml:space="preserve">修理工場で財団が記録した『亡霊』の正体がヤバすぎる </t>
    </r>
    <r>
      <rPr>
        <sz val="10"/>
        <rFont val="Arial"/>
        <family val="0"/>
        <charset val="1"/>
      </rPr>
      <t xml:space="preserve">#shorts #</t>
    </r>
    <r>
      <rPr>
        <sz val="10"/>
        <rFont val="Noto Sans CJK SC"/>
        <family val="2"/>
      </rPr>
      <t xml:space="preserve">ゆっくり解説</t>
    </r>
  </si>
  <si>
    <t xml:space="preserve">hUndztV0RH0</t>
  </si>
  <si>
    <r>
      <rPr>
        <sz val="10"/>
        <rFont val="Noto Sans CJK SC"/>
        <family val="2"/>
      </rPr>
      <t xml:space="preserve">財団が</t>
    </r>
    <r>
      <rPr>
        <sz val="10"/>
        <rFont val="Arial"/>
        <family val="0"/>
        <charset val="1"/>
      </rPr>
      <t xml:space="preserve">11</t>
    </r>
    <r>
      <rPr>
        <sz val="10"/>
        <rFont val="Noto Sans CJK SC"/>
        <family val="2"/>
      </rPr>
      <t xml:space="preserve">回記録した『あの</t>
    </r>
    <r>
      <rPr>
        <sz val="10"/>
        <rFont val="Arial"/>
        <family val="0"/>
        <charset val="1"/>
      </rPr>
      <t xml:space="preserve">VHS</t>
    </r>
    <r>
      <rPr>
        <sz val="10"/>
        <rFont val="Noto Sans CJK SC"/>
        <family val="2"/>
      </rPr>
      <t xml:space="preserve">テープ』——再生するたびに内容が変わる映像と、見た職員の記憶が消えていく本当の理由【ショート】</t>
    </r>
  </si>
  <si>
    <t xml:space="preserve">qv9kwKUmDoc</t>
  </si>
  <si>
    <r>
      <rPr>
        <sz val="10"/>
        <rFont val="Noto Sans CJK SC"/>
        <family val="2"/>
      </rPr>
      <t xml:space="preserve">一口</t>
    </r>
    <r>
      <rPr>
        <sz val="10"/>
        <rFont val="Arial"/>
        <family val="0"/>
        <charset val="1"/>
      </rPr>
      <t xml:space="preserve">SCP</t>
    </r>
    <r>
      <rPr>
        <sz val="10"/>
        <rFont val="Noto Sans CJK SC"/>
        <family val="2"/>
      </rPr>
      <t xml:space="preserve">：収容違反から</t>
    </r>
    <r>
      <rPr>
        <sz val="10"/>
        <rFont val="Arial"/>
        <family val="0"/>
        <charset val="1"/>
      </rPr>
      <t xml:space="preserve">3</t>
    </r>
    <r>
      <rPr>
        <sz val="10"/>
        <rFont val="Noto Sans CJK SC"/>
        <family val="2"/>
      </rPr>
      <t xml:space="preserve">時間／生存者</t>
    </r>
    <r>
      <rPr>
        <sz val="10"/>
        <rFont val="Arial"/>
        <family val="0"/>
        <charset val="1"/>
      </rPr>
      <t xml:space="preserve">0</t>
    </r>
    <r>
      <rPr>
        <sz val="10"/>
        <rFont val="Noto Sans CJK SC"/>
        <family val="2"/>
      </rPr>
      <t xml:space="preserve">名財団が封印した『回路の悪夢』</t>
    </r>
    <r>
      <rPr>
        <sz val="10"/>
        <rFont val="Arial"/>
        <family val="0"/>
        <charset val="1"/>
      </rPr>
      <t xml:space="preserve">#</t>
    </r>
    <r>
      <rPr>
        <sz val="10"/>
        <rFont val="Noto Sans CJK SC"/>
        <family val="2"/>
      </rPr>
      <t xml:space="preserve">電子工作中に</t>
    </r>
    <r>
      <rPr>
        <sz val="10"/>
        <rFont val="Arial"/>
        <family val="0"/>
        <charset val="1"/>
      </rPr>
      <t xml:space="preserve">17</t>
    </r>
    <r>
      <rPr>
        <sz val="10"/>
        <rFont val="Noto Sans CJK SC"/>
        <family val="2"/>
      </rPr>
      <t xml:space="preserve">名が消えた——財団が「あの部品」を封印した本当の理由 </t>
    </r>
    <r>
      <rPr>
        <sz val="10"/>
        <rFont val="Arial"/>
        <family val="0"/>
        <charset val="1"/>
      </rPr>
      <t xml:space="preserve">#shorts #</t>
    </r>
  </si>
  <si>
    <t xml:space="preserve">zDwfmTUAyvg</t>
  </si>
  <si>
    <r>
      <rPr>
        <sz val="10"/>
        <rFont val="Noto Sans CJK SC"/>
        <family val="2"/>
      </rPr>
      <t xml:space="preserve">財団が</t>
    </r>
    <r>
      <rPr>
        <sz val="10"/>
        <rFont val="Arial"/>
        <family val="0"/>
        <charset val="1"/>
      </rPr>
      <t xml:space="preserve">23</t>
    </r>
    <r>
      <rPr>
        <sz val="10"/>
        <rFont val="Noto Sans CJK SC"/>
        <family val="2"/>
      </rPr>
      <t xml:space="preserve">年間隠し続けた、</t>
    </r>
    <r>
      <rPr>
        <sz val="10"/>
        <rFont val="Arial"/>
        <family val="0"/>
        <charset val="1"/>
      </rPr>
      <t xml:space="preserve">41</t>
    </r>
    <r>
      <rPr>
        <sz val="10"/>
        <rFont val="Noto Sans CJK SC"/>
        <family val="2"/>
      </rPr>
      <t xml:space="preserve">名が消えた「増え続ける部屋」の本当の理由【ショート】</t>
    </r>
  </si>
  <si>
    <t xml:space="preserve">A1ji1xqDOZM</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</si>
  <si>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99%</t>
    </r>
    <r>
      <rPr>
        <sz val="10"/>
        <rFont val="Noto Sans CJK SC"/>
        <family val="2"/>
      </rPr>
      <t xml:space="preserve">の人が知らない恐怖財団が</t>
    </r>
    <r>
      <rPr>
        <sz val="10"/>
        <rFont val="Arial"/>
        <family val="0"/>
        <charset val="1"/>
      </rPr>
      <t xml:space="preserve">23</t>
    </r>
    <r>
      <rPr>
        <sz val="10"/>
        <rFont val="Noto Sans CJK SC"/>
        <family val="2"/>
      </rPr>
      <t xml:space="preserve">年間隠し続けた</t>
    </r>
    <r>
      <rPr>
        <sz val="10"/>
        <rFont val="Arial"/>
        <family val="0"/>
        <charset val="1"/>
      </rPr>
      <t xml:space="preserve">#</t>
    </r>
    <r>
      <rPr>
        <sz val="10"/>
        <rFont val="Noto Sans CJK SC"/>
        <family val="2"/>
      </rPr>
      <t xml:space="preserve">財団が隠蔽した</t>
    </r>
    <r>
      <rPr>
        <sz val="10"/>
        <rFont val="Arial"/>
        <family val="0"/>
        <charset val="1"/>
      </rPr>
      <t xml:space="preserve">SCP-3125</t>
    </r>
    <r>
      <rPr>
        <sz val="10"/>
        <rFont val="Noto Sans CJK SC"/>
        <family val="2"/>
      </rPr>
      <t xml:space="preserve">の恐怖</t>
    </r>
    <r>
      <rPr>
        <sz val="10"/>
        <rFont val="Arial"/>
        <family val="0"/>
        <charset val="1"/>
      </rPr>
      <t xml:space="preserve">: </t>
    </r>
    <r>
      <rPr>
        <sz val="10"/>
        <rFont val="Noto Sans CJK SC"/>
        <family val="2"/>
      </rPr>
      <t xml:space="preserve">生存者</t>
    </r>
    <r>
      <rPr>
        <sz val="10"/>
        <rFont val="Arial"/>
        <family val="0"/>
        <charset val="1"/>
      </rPr>
      <t xml:space="preserve">0</t>
    </r>
    <r>
      <rPr>
        <sz val="10"/>
        <rFont val="Noto Sans CJK SC"/>
        <family val="2"/>
      </rPr>
      <t xml:space="preserve">名の理由 </t>
    </r>
    <r>
      <rPr>
        <sz val="10"/>
        <rFont val="Arial"/>
        <family val="0"/>
        <charset val="1"/>
      </rPr>
      <t xml:space="preserve">#shorts #</t>
    </r>
    <r>
      <rPr>
        <sz val="10"/>
        <rFont val="Noto Sans CJK SC"/>
        <family val="2"/>
      </rPr>
      <t xml:space="preserve">ゆっくり解説</t>
    </r>
  </si>
  <si>
    <t xml:space="preserve">MzCGEuygYEU</t>
  </si>
  <si>
    <r>
      <rPr>
        <sz val="10"/>
        <rFont val="Noto Sans CJK SC"/>
        <family val="2"/>
      </rPr>
      <t xml:space="preserve">財団が封印した感染者</t>
    </r>
    <r>
      <rPr>
        <sz val="10"/>
        <rFont val="Arial"/>
        <family val="0"/>
        <charset val="1"/>
      </rPr>
      <t xml:space="preserve">389</t>
    </r>
    <r>
      <rPr>
        <sz val="10"/>
        <rFont val="Noto Sans CJK SC"/>
        <family val="2"/>
      </rPr>
      <t xml:space="preserve">名の村、帰還者</t>
    </r>
    <r>
      <rPr>
        <sz val="10"/>
        <rFont val="Arial"/>
        <family val="0"/>
        <charset val="1"/>
      </rPr>
      <t xml:space="preserve">2</t>
    </r>
    <r>
      <rPr>
        <sz val="10"/>
        <rFont val="Noto Sans CJK SC"/>
        <family val="2"/>
      </rPr>
      <t xml:space="preserve">名だけが見た本当の理由【ショート】</t>
    </r>
  </si>
  <si>
    <t xml:space="preserve">HHJdH9nGgGc</t>
  </si>
  <si>
    <r>
      <rPr>
        <sz val="10"/>
        <rFont val="Noto Sans CJK SC"/>
        <family val="2"/>
      </rPr>
      <t xml:space="preserve">一口</t>
    </r>
    <r>
      <rPr>
        <sz val="10"/>
        <rFont val="Arial"/>
        <family val="0"/>
        <charset val="1"/>
      </rPr>
      <t xml:space="preserve">SCP</t>
    </r>
    <r>
      <rPr>
        <sz val="10"/>
        <rFont val="Noto Sans CJK SC"/>
        <family val="2"/>
      </rPr>
      <t xml:space="preserve">：財団が人類を殲滅する側に</t>
    </r>
    <r>
      <rPr>
        <sz val="10"/>
        <rFont val="Arial"/>
        <family val="0"/>
        <charset val="1"/>
      </rPr>
      <t xml:space="preserve">!?</t>
    </r>
    <r>
      <rPr>
        <sz val="10"/>
        <rFont val="Noto Sans CJK SC"/>
        <family val="2"/>
      </rPr>
      <t xml:space="preserve">隠された提言が今、暴かれる</t>
    </r>
    <r>
      <rPr>
        <sz val="10"/>
        <rFont val="Arial"/>
        <family val="0"/>
        <charset val="1"/>
      </rPr>
      <t xml:space="preserve">#</t>
    </r>
    <r>
      <rPr>
        <sz val="10"/>
        <rFont val="Noto Sans CJK SC"/>
        <family val="2"/>
      </rPr>
      <t xml:space="preserve">財団が隠した『人類殲滅提言』の真実とは </t>
    </r>
    <r>
      <rPr>
        <sz val="10"/>
        <rFont val="Arial"/>
        <family val="0"/>
        <charset val="1"/>
      </rPr>
      <t xml:space="preserve">#shorts #</t>
    </r>
    <r>
      <rPr>
        <sz val="10"/>
        <rFont val="Noto Sans CJK SC"/>
        <family val="2"/>
      </rPr>
      <t xml:space="preserve">ゆっくり解説</t>
    </r>
  </si>
  <si>
    <t xml:space="preserve">W6jGmiqPr-Q</t>
  </si>
  <si>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23</t>
    </r>
    <r>
      <rPr>
        <sz val="10"/>
        <rFont val="Noto Sans CJK SC"/>
        <family val="2"/>
      </rPr>
      <t xml:space="preserve">名消滅遺体も血痕も残っていない</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年間封印した「デジタルの監獄」— 収容違反で消えた研究員</t>
    </r>
    <r>
      <rPr>
        <sz val="10"/>
        <rFont val="Arial"/>
        <family val="0"/>
        <charset val="1"/>
      </rPr>
      <t xml:space="preserve">23</t>
    </r>
    <r>
      <rPr>
        <sz val="10"/>
        <rFont val="Noto Sans CJK SC"/>
        <family val="2"/>
      </rPr>
      <t xml:space="preserve">名の正体 </t>
    </r>
    <r>
      <rPr>
        <sz val="10"/>
        <rFont val="Arial"/>
        <family val="0"/>
        <charset val="1"/>
      </rPr>
      <t xml:space="preserve">#shorts #</t>
    </r>
    <r>
      <rPr>
        <sz val="10"/>
        <rFont val="Noto Sans CJK SC"/>
        <family val="2"/>
      </rPr>
      <t xml:space="preserve">ゆっ</t>
    </r>
  </si>
  <si>
    <t xml:space="preserve">KENeWZx3mIs</t>
  </si>
  <si>
    <r>
      <rPr>
        <sz val="10"/>
        <rFont val="Noto Sans CJK SC"/>
        <family val="2"/>
      </rPr>
      <t xml:space="preserve">一口</t>
    </r>
    <r>
      <rPr>
        <sz val="10"/>
        <rFont val="Arial"/>
        <family val="0"/>
        <charset val="1"/>
      </rPr>
      <t xml:space="preserve">SCP</t>
    </r>
    <r>
      <rPr>
        <sz val="10"/>
        <rFont val="Noto Sans CJK SC"/>
        <family val="2"/>
      </rPr>
      <t xml:space="preserve">：財団が</t>
    </r>
    <r>
      <rPr>
        <sz val="10"/>
        <rFont val="Arial"/>
        <family val="0"/>
        <charset val="1"/>
      </rPr>
      <t xml:space="preserve">23</t>
    </r>
    <r>
      <rPr>
        <sz val="10"/>
        <rFont val="Noto Sans CJK SC"/>
        <family val="2"/>
      </rPr>
      <t xml:space="preserve">年間隠し続けた見るだけで感染する謎感染者数</t>
    </r>
    <r>
      <rPr>
        <sz val="10"/>
        <rFont val="Arial"/>
        <family val="0"/>
        <charset val="1"/>
      </rPr>
      <t xml:space="preserve">317</t>
    </r>
    <r>
      <rPr>
        <sz val="10"/>
        <rFont val="Noto Sans CJK SC"/>
        <family val="2"/>
      </rPr>
      <t xml:space="preserve">名、生存率わずか</t>
    </r>
    <r>
      <rPr>
        <sz val="10"/>
        <rFont val="Arial"/>
        <family val="0"/>
        <charset val="1"/>
      </rPr>
      <t xml:space="preserve">3%#</t>
    </r>
    <r>
      <rPr>
        <sz val="10"/>
        <rFont val="Noto Sans CJK SC"/>
        <family val="2"/>
      </rPr>
      <t xml:space="preserve">財団が</t>
    </r>
    <r>
      <rPr>
        <sz val="10"/>
        <rFont val="Arial"/>
        <family val="0"/>
        <charset val="1"/>
      </rPr>
      <t xml:space="preserve">23</t>
    </r>
    <r>
      <rPr>
        <sz val="10"/>
        <rFont val="Noto Sans CJK SC"/>
        <family val="2"/>
      </rPr>
      <t xml:space="preserve">年間隠した感染 </t>
    </r>
    <r>
      <rPr>
        <sz val="10"/>
        <rFont val="Arial"/>
        <family val="0"/>
        <charset val="1"/>
      </rPr>
      <t xml:space="preserve">SCP-XXXX</t>
    </r>
    <r>
      <rPr>
        <sz val="10"/>
        <rFont val="Noto Sans CJK SC"/>
        <family val="2"/>
      </rPr>
      <t xml:space="preserve">の正体 </t>
    </r>
    <r>
      <rPr>
        <sz val="10"/>
        <rFont val="Arial"/>
        <family val="0"/>
        <charset val="1"/>
      </rPr>
      <t xml:space="preserve">#shorts #</t>
    </r>
  </si>
  <si>
    <t xml:space="preserve">jO0JCs-ybpc</t>
  </si>
  <si>
    <r>
      <rPr>
        <sz val="10"/>
        <rFont val="Noto Sans CJK SC"/>
        <family val="2"/>
      </rPr>
      <t xml:space="preserve">財団が</t>
    </r>
    <r>
      <rPr>
        <sz val="10"/>
        <rFont val="Arial"/>
        <family val="0"/>
        <charset val="1"/>
      </rPr>
      <t xml:space="preserve">31</t>
    </r>
    <r>
      <rPr>
        <sz val="10"/>
        <rFont val="Noto Sans CJK SC"/>
        <family val="2"/>
      </rPr>
      <t xml:space="preserve">回の接触実験で隠し続けた</t>
    </r>
    <r>
      <rPr>
        <sz val="10"/>
        <rFont val="Arial"/>
        <family val="0"/>
        <charset val="1"/>
      </rPr>
      <t xml:space="preserve">SCP-198</t>
    </r>
    <r>
      <rPr>
        <sz val="10"/>
        <rFont val="Noto Sans CJK SC"/>
        <family val="2"/>
      </rPr>
      <t xml:space="preserve">の正体——回収不能になった</t>
    </r>
    <r>
      <rPr>
        <sz val="10"/>
        <rFont val="Arial"/>
        <family val="0"/>
        <charset val="1"/>
      </rPr>
      <t xml:space="preserve">12</t>
    </r>
    <r>
      <rPr>
        <sz val="10"/>
        <rFont val="Noto Sans CJK SC"/>
        <family val="2"/>
      </rPr>
      <t xml:space="preserve">名は今どこにいるのか【ショート】</t>
    </r>
  </si>
  <si>
    <t xml:space="preserve">kvNMcTecce4</t>
  </si>
  <si>
    <r>
      <rPr>
        <sz val="10"/>
        <rFont val="Noto Sans CJK SC"/>
        <family val="2"/>
      </rPr>
      <t xml:space="preserve">一口</t>
    </r>
    <r>
      <rPr>
        <sz val="10"/>
        <rFont val="Arial"/>
        <family val="0"/>
        <charset val="1"/>
      </rPr>
      <t xml:space="preserve">SCP</t>
    </r>
    <r>
      <rPr>
        <sz val="10"/>
        <rFont val="Noto Sans CJK SC"/>
        <family val="2"/>
      </rPr>
      <t xml:space="preserve">：崇拝者が自然発生——収容できたのは『実体』ではなかった収容違反発生・職員接触者の生存率：記録抹消</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SCP-2662——</t>
    </r>
    <r>
      <rPr>
        <sz val="10"/>
        <rFont val="Noto Sans CJK SC"/>
        <family val="2"/>
      </rPr>
      <t xml:space="preserve">崇拝者</t>
    </r>
  </si>
  <si>
    <t xml:space="preserve">1wY9mNJ6r1s</t>
  </si>
  <si>
    <r>
      <rPr>
        <sz val="10"/>
        <rFont val="Noto Sans CJK SC"/>
        <family val="2"/>
      </rPr>
      <t xml:space="preserve">一口</t>
    </r>
    <r>
      <rPr>
        <sz val="10"/>
        <rFont val="Arial"/>
        <family val="0"/>
        <charset val="1"/>
      </rPr>
      <t xml:space="preserve">SCP</t>
    </r>
    <r>
      <rPr>
        <sz val="10"/>
        <rFont val="Noto Sans CJK SC"/>
        <family val="2"/>
      </rPr>
      <t xml:space="preserve">：閲覧実験</t>
    </r>
    <r>
      <rPr>
        <sz val="10"/>
        <rFont val="Arial"/>
        <family val="0"/>
        <charset val="1"/>
      </rPr>
      <t xml:space="preserve">6</t>
    </r>
    <r>
      <rPr>
        <sz val="10"/>
        <rFont val="Noto Sans CJK SC"/>
        <family val="2"/>
      </rPr>
      <t xml:space="preserve">件 </t>
    </r>
    <r>
      <rPr>
        <sz val="10"/>
        <rFont val="Arial"/>
        <family val="0"/>
        <charset val="1"/>
      </rPr>
      <t xml:space="preserve">/ </t>
    </r>
    <r>
      <rPr>
        <sz val="10"/>
        <rFont val="Noto Sans CJK SC"/>
        <family val="2"/>
      </rPr>
      <t xml:space="preserve">帰還者</t>
    </r>
    <r>
      <rPr>
        <sz val="10"/>
        <rFont val="Arial"/>
        <family val="0"/>
        <charset val="1"/>
      </rPr>
      <t xml:space="preserve">0</t>
    </r>
    <r>
      <rPr>
        <sz val="10"/>
        <rFont val="Noto Sans CJK SC"/>
        <family val="2"/>
      </rPr>
      <t xml:space="preserve">名【これが最後の通信記録だ】</t>
    </r>
    <r>
      <rPr>
        <sz val="10"/>
        <rFont val="Arial"/>
        <family val="0"/>
        <charset val="1"/>
      </rPr>
      <t xml:space="preserve">#</t>
    </r>
    <r>
      <rPr>
        <sz val="10"/>
        <rFont val="Noto Sans CJK SC"/>
        <family val="2"/>
      </rPr>
      <t xml:space="preserve">財団が</t>
    </r>
    <r>
      <rPr>
        <sz val="10"/>
        <rFont val="Arial"/>
        <family val="0"/>
        <charset val="1"/>
      </rPr>
      <t xml:space="preserve">6</t>
    </r>
    <r>
      <rPr>
        <sz val="10"/>
        <rFont val="Noto Sans CJK SC"/>
        <family val="2"/>
      </rPr>
      <t xml:space="preserve">年間封印した</t>
    </r>
    <r>
      <rPr>
        <sz val="10"/>
        <rFont val="Arial"/>
        <family val="0"/>
        <charset val="1"/>
      </rPr>
      <t xml:space="preserve">SCP-3007</t>
    </r>
    <r>
      <rPr>
        <sz val="10"/>
        <rFont val="Noto Sans CJK SC"/>
        <family val="2"/>
      </rPr>
      <t xml:space="preserve">「世界の終わりを描く絵」— 閲覧実験</t>
    </r>
    <r>
      <rPr>
        <sz val="10"/>
        <rFont val="Arial"/>
        <family val="0"/>
        <charset val="1"/>
      </rPr>
      <t xml:space="preserve">6</t>
    </r>
    <r>
      <rPr>
        <sz val="10"/>
        <rFont val="Noto Sans CJK SC"/>
        <family val="2"/>
      </rPr>
      <t xml:space="preserve">件、帰還できた職員</t>
    </r>
  </si>
  <si>
    <t xml:space="preserve">44Z6cjnCYR0</t>
  </si>
  <si>
    <r>
      <rPr>
        <sz val="10"/>
        <rFont val="Noto Sans CJK SC"/>
        <family val="2"/>
      </rPr>
      <t xml:space="preserve">財団が</t>
    </r>
    <r>
      <rPr>
        <sz val="10"/>
        <rFont val="Arial"/>
        <family val="0"/>
        <charset val="1"/>
      </rPr>
      <t xml:space="preserve">13</t>
    </r>
    <r>
      <rPr>
        <sz val="10"/>
        <rFont val="Noto Sans CJK SC"/>
        <family val="2"/>
      </rPr>
      <t xml:space="preserve">年間隠し続けた「</t>
    </r>
    <r>
      <rPr>
        <sz val="10"/>
        <rFont val="Arial"/>
        <family val="0"/>
        <charset val="1"/>
      </rPr>
      <t xml:space="preserve">13</t>
    </r>
    <r>
      <rPr>
        <sz val="10"/>
        <rFont val="Noto Sans CJK SC"/>
        <family val="2"/>
      </rPr>
      <t xml:space="preserve">名の改竄要求」</t>
    </r>
    <r>
      <rPr>
        <sz val="10"/>
        <rFont val="Arial"/>
        <family val="0"/>
        <charset val="1"/>
      </rPr>
      <t xml:space="preserve">SCP-2718</t>
    </r>
    <r>
      <rPr>
        <sz val="10"/>
        <rFont val="Noto Sans CJK SC"/>
        <family val="2"/>
      </rPr>
      <t xml:space="preserve">死後記録の真実【ショート】</t>
    </r>
  </si>
  <si>
    <t xml:space="preserve">WM5Z5qP9tfw</t>
  </si>
  <si>
    <r>
      <rPr>
        <sz val="10"/>
        <rFont val="Noto Sans CJK SC"/>
        <family val="2"/>
      </rPr>
      <t xml:space="preserve">一口</t>
    </r>
    <r>
      <rPr>
        <sz val="10"/>
        <rFont val="Arial"/>
        <family val="0"/>
        <charset val="1"/>
      </rPr>
      <t xml:space="preserve">SCP</t>
    </r>
    <r>
      <rPr>
        <sz val="10"/>
        <rFont val="Noto Sans CJK SC"/>
        <family val="2"/>
      </rPr>
      <t xml:space="preserve">：目撃者</t>
    </r>
    <r>
      <rPr>
        <sz val="10"/>
        <rFont val="Arial"/>
        <family val="0"/>
        <charset val="1"/>
      </rPr>
      <t xml:space="preserve">47</t>
    </r>
    <r>
      <rPr>
        <sz val="10"/>
        <rFont val="Noto Sans CJK SC"/>
        <family val="2"/>
      </rPr>
      <t xml:space="preserve">名／精神的生存率</t>
    </r>
    <r>
      <rPr>
        <sz val="10"/>
        <rFont val="Arial"/>
        <family val="0"/>
        <charset val="1"/>
      </rPr>
      <t xml:space="preserve">0%</t>
    </r>
    <r>
      <rPr>
        <sz val="10"/>
        <rFont val="Noto Sans CJK SC"/>
        <family val="2"/>
      </rPr>
      <t xml:space="preserve">財団が</t>
    </r>
    <r>
      <rPr>
        <sz val="10"/>
        <rFont val="Arial"/>
        <family val="0"/>
        <charset val="1"/>
      </rPr>
      <t xml:space="preserve">17</t>
    </r>
    <r>
      <rPr>
        <sz val="10"/>
        <rFont val="Noto Sans CJK SC"/>
        <family val="2"/>
      </rPr>
      <t xml:space="preserve">年間『視覚汚染』と呼んだ理由</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年間隠し続けた視覚汚染体——目撃者全員が廃人化、生存率</t>
    </r>
    <r>
      <rPr>
        <sz val="10"/>
        <rFont val="Arial"/>
        <family val="0"/>
        <charset val="1"/>
      </rPr>
      <t xml:space="preserve">0%</t>
    </r>
    <r>
      <rPr>
        <sz val="10"/>
        <rFont val="Noto Sans CJK SC"/>
        <family val="2"/>
      </rPr>
      <t xml:space="preserve">の本当の理</t>
    </r>
  </si>
  <si>
    <t xml:space="preserve">CzMZP2UEx9k</t>
  </si>
  <si>
    <r>
      <rPr>
        <sz val="10"/>
        <rFont val="Noto Sans CJK SC"/>
        <family val="2"/>
      </rPr>
      <t xml:space="preserve">財団が</t>
    </r>
    <r>
      <rPr>
        <sz val="10"/>
        <rFont val="Arial"/>
        <family val="0"/>
        <charset val="1"/>
      </rPr>
      <t xml:space="preserve">23</t>
    </r>
    <r>
      <rPr>
        <sz val="10"/>
        <rFont val="Noto Sans CJK SC"/>
        <family val="2"/>
      </rPr>
      <t xml:space="preserve">年間隠し続けた接近者</t>
    </r>
    <r>
      <rPr>
        <sz val="10"/>
        <rFont val="Arial"/>
        <family val="0"/>
        <charset val="1"/>
      </rPr>
      <t xml:space="preserve">19</t>
    </r>
    <r>
      <rPr>
        <sz val="10"/>
        <rFont val="Noto Sans CJK SC"/>
        <family val="2"/>
      </rPr>
      <t xml:space="preserve">名・生存率</t>
    </r>
    <r>
      <rPr>
        <sz val="10"/>
        <rFont val="Arial"/>
        <family val="0"/>
        <charset val="1"/>
      </rPr>
      <t xml:space="preserve">0%——</t>
    </r>
    <r>
      <rPr>
        <sz val="10"/>
        <rFont val="Noto Sans CJK SC"/>
        <family val="2"/>
      </rPr>
      <t xml:space="preserve">湖で名前を失った本当の理由【ショート】</t>
    </r>
  </si>
  <si>
    <t xml:space="preserve">uaLsWU89zdA</t>
  </si>
  <si>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</si>
  <si>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t xml:space="preserve">LEk72PzArL0</t>
  </si>
  <si>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</si>
  <si>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t xml:space="preserve">GStZ3HsuaYw</t>
  </si>
  <si>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</si>
  <si>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t xml:space="preserve">81rERf2QdEo</t>
  </si>
  <si>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</si>
  <si>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t xml:space="preserve">E2CZTqgA7bI</t>
  </si>
  <si>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</si>
  <si>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t xml:space="preserve">4xyWgg-t9Sg</t>
  </si>
  <si>
    <r>
      <rPr>
        <sz val="10"/>
        <rFont val="Arial"/>
        <family val="0"/>
        <charset val="1"/>
      </rPr>
      <t xml:space="preserve">SCP-055</t>
    </r>
    <r>
      <rPr>
        <sz val="10"/>
        <rFont val="Noto Sans CJK SC"/>
        <family val="2"/>
      </rPr>
      <t xml:space="preserve">の報告書に残った奇妙な空欄とは？【ショート】</t>
    </r>
  </si>
  <si>
    <t xml:space="preserve">1hl--IR90O8</t>
  </si>
  <si>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</si>
  <si>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t xml:space="preserve">ELVk9qVJ5gI</t>
  </si>
  <si>
    <r>
      <rPr>
        <sz val="10"/>
        <rFont val="Arial"/>
        <family val="0"/>
        <charset val="1"/>
      </rPr>
      <t xml:space="preserve">SCP-682</t>
    </r>
    <r>
      <rPr>
        <sz val="10"/>
        <rFont val="Noto Sans CJK SC"/>
        <family val="2"/>
      </rPr>
      <t xml:space="preserve">の酸槽、記録に残らない変化が起きた【ショート】</t>
    </r>
  </si>
  <si>
    <t xml:space="preserve">6mxqZgnfXds</t>
  </si>
  <si>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</si>
  <si>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t xml:space="preserve">l11t1gb0dFw</t>
  </si>
  <si>
    <r>
      <rPr>
        <sz val="10"/>
        <rFont val="Noto Sans CJK SC"/>
        <family val="2"/>
      </rPr>
      <t xml:space="preserve">一口</t>
    </r>
    <r>
      <rPr>
        <sz val="10"/>
        <rFont val="Arial"/>
        <family val="0"/>
        <charset val="1"/>
      </rPr>
      <t xml:space="preserve">SCP #91</t>
    </r>
    <r>
      <rPr>
        <sz val="10"/>
        <rFont val="Noto Sans CJK SC"/>
        <family val="2"/>
      </rPr>
      <t xml:space="preserve">：⚠️</t>
    </r>
    <r>
      <rPr>
        <sz val="10"/>
        <rFont val="Arial"/>
        <family val="0"/>
        <charset val="1"/>
      </rPr>
      <t xml:space="preserve">SCP-1523-JP</t>
    </r>
    <r>
      <rPr>
        <sz val="10"/>
        <rFont val="Noto Sans CJK SC"/>
        <family val="2"/>
      </rPr>
      <t xml:space="preserve">「かまいたち」— 被害記録</t>
    </r>
    <r>
      <rPr>
        <sz val="10"/>
        <rFont val="Arial"/>
        <family val="0"/>
        <charset val="1"/>
      </rPr>
      <t xml:space="preserve">17</t>
    </r>
    <r>
      <rPr>
        <sz val="10"/>
        <rFont val="Noto Sans CJK SC"/>
        <family val="2"/>
      </rPr>
      <t xml:space="preserve">件、傷だけ残った夜【ショート】</t>
    </r>
  </si>
  <si>
    <t xml:space="preserve">904LQcH_RtI</t>
  </si>
  <si>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</si>
  <si>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t xml:space="preserve">VYLCCUBcF0g</t>
  </si>
  <si>
    <r>
      <rPr>
        <sz val="10"/>
        <rFont val="Noto Sans CJK SC"/>
        <family val="2"/>
      </rPr>
      <t xml:space="preserve">一口</t>
    </r>
    <r>
      <rPr>
        <sz val="10"/>
        <rFont val="Arial"/>
        <family val="0"/>
        <charset val="1"/>
      </rPr>
      <t xml:space="preserve">SCP #93</t>
    </r>
    <r>
      <rPr>
        <sz val="10"/>
        <rFont val="Noto Sans CJK SC"/>
        <family val="2"/>
      </rPr>
      <t xml:space="preserve">：⚠️</t>
    </r>
    <r>
      <rPr>
        <sz val="10"/>
        <rFont val="Arial"/>
        <family val="0"/>
        <charset val="1"/>
      </rPr>
      <t xml:space="preserve">SCP-1689</t>
    </r>
    <r>
      <rPr>
        <sz val="10"/>
        <rFont val="Noto Sans CJK SC"/>
        <family val="2"/>
      </rPr>
      <t xml:space="preserve">「黒いジャガイモ」— 摂取実験</t>
    </r>
    <r>
      <rPr>
        <sz val="10"/>
        <rFont val="Arial"/>
        <family val="0"/>
        <charset val="1"/>
      </rPr>
      <t xml:space="preserve">8</t>
    </r>
    <r>
      <rPr>
        <sz val="10"/>
        <rFont val="Noto Sans CJK SC"/>
        <family val="2"/>
      </rPr>
      <t xml:space="preserve">件、帰還率</t>
    </r>
    <r>
      <rPr>
        <sz val="10"/>
        <rFont val="Arial"/>
        <family val="0"/>
        <charset val="1"/>
      </rPr>
      <t xml:space="preserve">0%</t>
    </r>
    <r>
      <rPr>
        <sz val="10"/>
        <rFont val="Noto Sans CJK SC"/>
        <family val="2"/>
      </rPr>
      <t xml:space="preserve">だった【ショート】</t>
    </r>
  </si>
  <si>
    <t xml:space="preserve">z-wDv6UOXt8</t>
  </si>
  <si>
    <r>
      <rPr>
        <sz val="10"/>
        <rFont val="Noto Sans CJK SC"/>
        <family val="2"/>
      </rPr>
      <t xml:space="preserve">実は完治後に</t>
    </r>
    <r>
      <rPr>
        <sz val="10"/>
        <rFont val="Arial"/>
        <family val="0"/>
        <charset val="1"/>
      </rPr>
      <t xml:space="preserve">4</t>
    </r>
    <r>
      <rPr>
        <sz val="10"/>
        <rFont val="Noto Sans CJK SC"/>
        <family val="2"/>
      </rPr>
      <t xml:space="preserve">人が戻れなかった本当の理由とは？【ショート】</t>
    </r>
  </si>
  <si>
    <t xml:space="preserve">35MYeA1QWXA</t>
  </si>
  <si>
    <r>
      <rPr>
        <sz val="10"/>
        <rFont val="Noto Sans CJK SC"/>
        <family val="2"/>
      </rPr>
      <t xml:space="preserve">一口</t>
    </r>
    <r>
      <rPr>
        <sz val="10"/>
        <rFont val="Arial"/>
        <family val="0"/>
        <charset val="1"/>
      </rPr>
      <t xml:space="preserve">SCP #94</t>
    </r>
    <r>
      <rPr>
        <sz val="10"/>
        <rFont val="Noto Sans CJK SC"/>
        <family val="2"/>
      </rPr>
      <t xml:space="preserve">：🔒</t>
    </r>
    <r>
      <rPr>
        <sz val="10"/>
        <rFont val="Arial"/>
        <family val="0"/>
        <charset val="1"/>
      </rPr>
      <t xml:space="preserve">SCP-2306</t>
    </r>
    <r>
      <rPr>
        <sz val="10"/>
        <rFont val="Noto Sans CJK SC"/>
        <family val="2"/>
      </rPr>
      <t xml:space="preserve">「実在しない部屋」— 図面に無い</t>
    </r>
    <r>
      <rPr>
        <sz val="10"/>
        <rFont val="Arial"/>
        <family val="0"/>
        <charset val="1"/>
      </rPr>
      <t xml:space="preserve">1</t>
    </r>
    <r>
      <rPr>
        <sz val="10"/>
        <rFont val="Noto Sans CJK SC"/>
        <family val="2"/>
      </rPr>
      <t xml:space="preserve">室、調査員</t>
    </r>
    <r>
      <rPr>
        <sz val="10"/>
        <rFont val="Arial"/>
        <family val="0"/>
        <charset val="1"/>
      </rPr>
      <t xml:space="preserve">4</t>
    </r>
    <r>
      <rPr>
        <sz val="10"/>
        <rFont val="Noto Sans CJK SC"/>
        <family val="2"/>
      </rPr>
      <t xml:space="preserve">名の記録だけが残った⚠️【ショート】</t>
    </r>
  </si>
  <si>
    <t xml:space="preserve">buQ6froWK3c</t>
  </si>
  <si>
    <r>
      <rPr>
        <sz val="10"/>
        <rFont val="Noto Sans CJK SC"/>
        <family val="2"/>
      </rPr>
      <t xml:space="preserve">一口</t>
    </r>
    <r>
      <rPr>
        <sz val="10"/>
        <rFont val="Arial"/>
        <family val="0"/>
        <charset val="1"/>
      </rPr>
      <t xml:space="preserve">SCP #97</t>
    </r>
    <r>
      <rPr>
        <sz val="10"/>
        <rFont val="Noto Sans CJK SC"/>
        <family val="2"/>
      </rPr>
      <t xml:space="preserve">：💀</t>
    </r>
    <r>
      <rPr>
        <sz val="10"/>
        <rFont val="Arial"/>
        <family val="0"/>
        <charset val="1"/>
      </rPr>
      <t xml:space="preserve">SCP-3002</t>
    </r>
    <r>
      <rPr>
        <sz val="10"/>
        <rFont val="Noto Sans CJK SC"/>
        <family val="2"/>
      </rPr>
      <t xml:space="preserve">「情報災害」あなたの記憶まで消す報告書の恐怖【ショート】</t>
    </r>
  </si>
  <si>
    <t xml:space="preserve">FOuFRo5IsAg</t>
  </si>
  <si>
    <r>
      <rPr>
        <sz val="10"/>
        <rFont val="Noto Sans CJK SC"/>
        <family val="2"/>
      </rPr>
      <t xml:space="preserve">一口</t>
    </r>
    <r>
      <rPr>
        <sz val="10"/>
        <rFont val="Arial"/>
        <family val="0"/>
        <charset val="1"/>
      </rPr>
      <t xml:space="preserve">SCP #96</t>
    </r>
    <r>
      <rPr>
        <sz val="10"/>
        <rFont val="Noto Sans CJK SC"/>
        <family val="2"/>
      </rPr>
      <t xml:space="preserve">：🫣</t>
    </r>
    <r>
      <rPr>
        <sz val="10"/>
        <rFont val="Arial"/>
        <family val="0"/>
        <charset val="1"/>
      </rPr>
      <t xml:space="preserve">SCP-507</t>
    </r>
    <r>
      <rPr>
        <sz val="10"/>
        <rFont val="Noto Sans CJK SC"/>
        <family val="2"/>
      </rPr>
      <t xml:space="preserve">「不本意な次元旅行者」あなたの部屋にも戻るかもしれない恐怖【ショート】</t>
    </r>
  </si>
  <si>
    <t xml:space="preserve">Ql5PmMXUDc0</t>
  </si>
  <si>
    <r>
      <rPr>
        <sz val="10"/>
        <rFont val="Noto Sans CJK SC"/>
        <family val="2"/>
      </rPr>
      <t xml:space="preserve">一口</t>
    </r>
    <r>
      <rPr>
        <sz val="10"/>
        <rFont val="Arial"/>
        <family val="0"/>
        <charset val="1"/>
      </rPr>
      <t xml:space="preserve">SCP #98</t>
    </r>
    <r>
      <rPr>
        <sz val="10"/>
        <rFont val="Noto Sans CJK SC"/>
        <family val="2"/>
      </rPr>
      <t xml:space="preserve">：🫣</t>
    </r>
    <r>
      <rPr>
        <sz val="10"/>
        <rFont val="Arial"/>
        <family val="0"/>
        <charset val="1"/>
      </rPr>
      <t xml:space="preserve">SCP-1048</t>
    </r>
    <r>
      <rPr>
        <sz val="10"/>
        <rFont val="Noto Sans CJK SC"/>
        <family val="2"/>
      </rPr>
      <t xml:space="preserve">「ビルダーベア」</t>
    </r>
    <r>
      <rPr>
        <sz val="10"/>
        <rFont val="Arial"/>
        <family val="0"/>
        <charset val="1"/>
      </rPr>
      <t xml:space="preserve">Safe</t>
    </r>
    <r>
      <rPr>
        <sz val="10"/>
        <rFont val="Noto Sans CJK SC"/>
        <family val="2"/>
      </rPr>
      <t xml:space="preserve">判定が招いた収容違反の恐怖😱【ショート】</t>
    </r>
  </si>
  <si>
    <t xml:space="preserve">R4udcExMPG8</t>
  </si>
  <si>
    <r>
      <rPr>
        <sz val="10"/>
        <rFont val="Noto Sans CJK SC"/>
        <family val="2"/>
      </rPr>
      <t xml:space="preserve">なぜ航路の先で記録が消えるのか？</t>
    </r>
    <r>
      <rPr>
        <sz val="10"/>
        <rFont val="Arial"/>
        <family val="0"/>
        <charset val="1"/>
      </rPr>
      <t xml:space="preserve">SCP-1783-JP</t>
    </r>
    <r>
      <rPr>
        <sz val="10"/>
        <rFont val="Noto Sans CJK SC"/>
        <family val="2"/>
      </rPr>
      <t xml:space="preserve">の本当の恐怖【ショート】</t>
    </r>
  </si>
  <si>
    <t xml:space="preserve">3HCnvM6A7sA</t>
  </si>
  <si>
    <r>
      <rPr>
        <sz val="10"/>
        <rFont val="Noto Sans CJK SC"/>
        <family val="2"/>
      </rPr>
      <t xml:space="preserve">太陽系の番人</t>
    </r>
    <r>
      <rPr>
        <sz val="10"/>
        <rFont val="Arial"/>
        <family val="0"/>
        <charset val="1"/>
      </rPr>
      <t xml:space="preserve">SCP-179</t>
    </r>
    <r>
      <rPr>
        <sz val="10"/>
        <rFont val="Noto Sans CJK SC"/>
        <family val="2"/>
      </rPr>
      <t xml:space="preserve">が沈黙を恐れる理由【ショート】</t>
    </r>
  </si>
  <si>
    <t xml:space="preserve">JX2Gt9bYDpc</t>
  </si>
  <si>
    <r>
      <rPr>
        <sz val="10"/>
        <rFont val="Noto Sans CJK SC"/>
        <family val="2"/>
      </rPr>
      <t xml:space="preserve">なぜ調査員は</t>
    </r>
    <r>
      <rPr>
        <sz val="10"/>
        <rFont val="Arial"/>
        <family val="0"/>
        <charset val="1"/>
      </rPr>
      <t xml:space="preserve">SCP-1283-JP</t>
    </r>
    <r>
      <rPr>
        <sz val="10"/>
        <rFont val="Noto Sans CJK SC"/>
        <family val="2"/>
      </rPr>
      <t xml:space="preserve">の踏切のむこうで消えたのか？【ショート】</t>
    </r>
  </si>
  <si>
    <t xml:space="preserve">ByXH8R1tXac</t>
  </si>
  <si>
    <r>
      <rPr>
        <sz val="10"/>
        <rFont val="Noto Sans CJK SC"/>
        <family val="2"/>
      </rPr>
      <t xml:space="preserve">一口</t>
    </r>
    <r>
      <rPr>
        <sz val="10"/>
        <rFont val="Arial"/>
        <family val="0"/>
        <charset val="1"/>
      </rPr>
      <t xml:space="preserve">SCP #101</t>
    </r>
    <r>
      <rPr>
        <sz val="10"/>
        <rFont val="Noto Sans CJK SC"/>
        <family val="2"/>
      </rPr>
      <t xml:space="preserve">：🫣</t>
    </r>
    <r>
      <rPr>
        <sz val="10"/>
        <rFont val="Arial"/>
        <family val="0"/>
        <charset val="1"/>
      </rPr>
      <t xml:space="preserve">SCP-</t>
    </r>
    <r>
      <rPr>
        <sz val="10"/>
        <rFont val="Noto Sans CJK SC"/>
        <family val="2"/>
      </rPr>
      <t xml:space="preserve">雷撃記録、あなたの部屋まで届く落雷恐怖【ショート】</t>
    </r>
  </si>
  <si>
    <t xml:space="preserve">lO0uv-7f-HA</t>
  </si>
  <si>
    <r>
      <rPr>
        <sz val="10"/>
        <rFont val="Noto Sans CJK SC"/>
        <family val="2"/>
      </rPr>
      <t xml:space="preserve">なぜ「死亡者</t>
    </r>
    <r>
      <rPr>
        <sz val="10"/>
        <rFont val="Arial"/>
        <family val="0"/>
        <charset val="1"/>
      </rPr>
      <t xml:space="preserve">0</t>
    </r>
    <r>
      <rPr>
        <sz val="10"/>
        <rFont val="Noto Sans CJK SC"/>
        <family val="2"/>
      </rPr>
      <t xml:space="preserve">人」の日々で人々が消えたのか【</t>
    </r>
    <r>
      <rPr>
        <sz val="10"/>
        <rFont val="Arial"/>
        <family val="0"/>
        <charset val="1"/>
      </rPr>
      <t xml:space="preserve">SCP-3519</t>
    </r>
    <r>
      <rPr>
        <sz val="10"/>
        <rFont val="Noto Sans CJK SC"/>
        <family val="2"/>
      </rPr>
      <t xml:space="preserve">】【ショート】</t>
    </r>
  </si>
  <si>
    <t xml:space="preserve">Zl6MO6frBWo</t>
  </si>
  <si>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SCP-006-JP</t>
    </r>
    <r>
      <rPr>
        <sz val="10"/>
        <rFont val="Noto Sans CJK SC"/>
        <family val="2"/>
      </rPr>
      <t xml:space="preserve">「あけろ」ドアの向こうの記録 </t>
    </r>
    <r>
      <rPr>
        <sz val="10"/>
        <rFont val="Arial"/>
        <family val="0"/>
        <charset val="1"/>
      </rPr>
      <t xml:space="preserve">#shorts #SCP #SCP</t>
    </r>
    <r>
      <rPr>
        <sz val="10"/>
        <rFont val="Noto Sans CJK SC"/>
        <family val="2"/>
      </rPr>
      <t xml:space="preserve">解説</t>
    </r>
  </si>
  <si>
    <t xml:space="preserve">eTMuSrunkIY</t>
  </si>
  <si>
    <r>
      <rPr>
        <sz val="10"/>
        <rFont val="Noto Sans CJK SC"/>
        <family val="2"/>
      </rPr>
      <t xml:space="preserve">一口</t>
    </r>
    <r>
      <rPr>
        <sz val="10"/>
        <rFont val="Arial"/>
        <family val="0"/>
        <charset val="1"/>
      </rPr>
      <t xml:space="preserve">SCP #106</t>
    </r>
    <r>
      <rPr>
        <sz val="10"/>
        <rFont val="Noto Sans CJK SC"/>
        <family val="2"/>
      </rPr>
      <t xml:space="preserve">：🫣</t>
    </r>
    <r>
      <rPr>
        <sz val="10"/>
        <rFont val="Arial"/>
        <family val="0"/>
        <charset val="1"/>
      </rPr>
      <t xml:space="preserve">MTF</t>
    </r>
    <r>
      <rPr>
        <sz val="10"/>
        <rFont val="Noto Sans CJK SC"/>
        <family val="2"/>
      </rPr>
      <t xml:space="preserve">アルファからオメガ、あなたの部屋にも来る財団極秘作戦の恐怖💀【ショート】</t>
    </r>
  </si>
  <si>
    <t xml:space="preserve">7d2mM8Eh5EE</t>
  </si>
  <si>
    <r>
      <rPr>
        <sz val="10"/>
        <rFont val="Noto Sans CJK SC"/>
        <family val="2"/>
      </rPr>
      <t xml:space="preserve">一口</t>
    </r>
    <r>
      <rPr>
        <sz val="10"/>
        <rFont val="Arial"/>
        <family val="0"/>
        <charset val="1"/>
      </rPr>
      <t xml:space="preserve">SCP #107</t>
    </r>
    <r>
      <rPr>
        <sz val="10"/>
        <rFont val="Noto Sans CJK SC"/>
        <family val="2"/>
      </rPr>
      <t xml:space="preserve">：🫣</t>
    </r>
    <r>
      <rPr>
        <sz val="10"/>
        <rFont val="Arial"/>
        <family val="0"/>
        <charset val="1"/>
      </rPr>
      <t xml:space="preserve">SCP-4885</t>
    </r>
    <r>
      <rPr>
        <sz val="10"/>
        <rFont val="Noto Sans CJK SC"/>
        <family val="2"/>
      </rPr>
      <t xml:space="preserve">「ジョン・ウィルクス・ブース」写真を見るあなたへ迫る恐怖【ショート】</t>
    </r>
  </si>
  <si>
    <t xml:space="preserve">IotrKVXCsR4</t>
  </si>
  <si>
    <r>
      <rPr>
        <sz val="10"/>
        <rFont val="Noto Sans CJK SC"/>
        <family val="2"/>
      </rPr>
      <t xml:space="preserve">一口</t>
    </r>
    <r>
      <rPr>
        <sz val="10"/>
        <rFont val="Arial"/>
        <family val="0"/>
        <charset val="1"/>
      </rPr>
      <t xml:space="preserve">SCP #105</t>
    </r>
    <r>
      <rPr>
        <sz val="10"/>
        <rFont val="Noto Sans CJK SC"/>
        <family val="2"/>
      </rPr>
      <t xml:space="preserve">：💀</t>
    </r>
    <r>
      <rPr>
        <sz val="10"/>
        <rFont val="Arial"/>
        <family val="0"/>
        <charset val="1"/>
      </rPr>
      <t xml:space="preserve">SCP-239</t>
    </r>
    <r>
      <rPr>
        <sz val="10"/>
        <rFont val="Noto Sans CJK SC"/>
        <family val="2"/>
      </rPr>
      <t xml:space="preserve">「魔女の子供」眠る</t>
    </r>
    <r>
      <rPr>
        <sz val="10"/>
        <rFont val="Arial"/>
        <family val="0"/>
        <charset val="1"/>
      </rPr>
      <t xml:space="preserve">8</t>
    </r>
    <r>
      <rPr>
        <sz val="10"/>
        <rFont val="Noto Sans CJK SC"/>
        <family val="2"/>
      </rPr>
      <t xml:space="preserve">歳を財団が恐れた収容記録😱【ショート】</t>
    </r>
  </si>
  <si>
    <t xml:space="preserve">ST5BLGdQlMY</t>
  </si>
  <si>
    <r>
      <rPr>
        <sz val="10"/>
        <rFont val="Noto Sans CJK SC"/>
        <family val="2"/>
      </rPr>
      <t xml:space="preserve">一口</t>
    </r>
    <r>
      <rPr>
        <sz val="10"/>
        <rFont val="Arial"/>
        <family val="0"/>
        <charset val="1"/>
      </rPr>
      <t xml:space="preserve">SCP #108</t>
    </r>
    <r>
      <rPr>
        <sz val="10"/>
        <rFont val="Noto Sans CJK SC"/>
        <family val="2"/>
      </rPr>
      <t xml:space="preserve">：🫣</t>
    </r>
    <r>
      <rPr>
        <sz val="10"/>
        <rFont val="Arial"/>
        <family val="0"/>
        <charset val="1"/>
      </rPr>
      <t xml:space="preserve">SCP-6670</t>
    </r>
    <r>
      <rPr>
        <sz val="10"/>
        <rFont val="Noto Sans CJK SC"/>
        <family val="2"/>
      </rPr>
      <t xml:space="preserve">「完全な破滅」人類全員を消す報告書の恐怖【ショート】</t>
    </r>
  </si>
  <si>
    <t xml:space="preserve">1OaRp7asftQ</t>
  </si>
  <si>
    <r>
      <rPr>
        <sz val="10"/>
        <rFont val="Noto Sans CJK SC"/>
        <family val="2"/>
      </rPr>
      <t xml:space="preserve">一口</t>
    </r>
    <r>
      <rPr>
        <sz val="10"/>
        <rFont val="Arial"/>
        <family val="0"/>
        <charset val="1"/>
      </rPr>
      <t xml:space="preserve">SCP #109</t>
    </r>
    <r>
      <rPr>
        <sz val="10"/>
        <rFont val="Noto Sans CJK SC"/>
        <family val="2"/>
      </rPr>
      <t xml:space="preserve">：🫣</t>
    </r>
    <r>
      <rPr>
        <sz val="10"/>
        <rFont val="Arial"/>
        <family val="0"/>
        <charset val="1"/>
      </rPr>
      <t xml:space="preserve">SCP-2480</t>
    </r>
    <r>
      <rPr>
        <sz val="10"/>
        <rFont val="Noto Sans CJK SC"/>
        <family val="2"/>
      </rPr>
      <t xml:space="preserve">「未完の儀式」記録</t>
    </r>
    <r>
      <rPr>
        <sz val="10"/>
        <rFont val="Arial"/>
        <family val="0"/>
        <charset val="1"/>
      </rPr>
      <t xml:space="preserve">9</t>
    </r>
    <r>
      <rPr>
        <sz val="10"/>
        <rFont val="Noto Sans CJK SC"/>
        <family val="2"/>
      </rPr>
      <t xml:space="preserve">名だけが残った収容不能の恐怖【ショート】</t>
    </r>
  </si>
  <si>
    <t xml:space="preserve">3gPeSzaBDeI</t>
  </si>
  <si>
    <r>
      <rPr>
        <sz val="10"/>
        <rFont val="Arial"/>
        <family val="0"/>
        <charset val="1"/>
      </rPr>
      <t xml:space="preserve">SCP-4335</t>
    </r>
    <r>
      <rPr>
        <sz val="10"/>
        <rFont val="Noto Sans CJK SC"/>
        <family val="2"/>
      </rPr>
      <t xml:space="preserve">を見た海域で、なぜ観測記録が途絶えたのか？【ショート】</t>
    </r>
  </si>
  <si>
    <t xml:space="preserve">SscOU-89NLI</t>
  </si>
  <si>
    <r>
      <rPr>
        <sz val="10"/>
        <rFont val="Noto Sans CJK SC"/>
        <family val="2"/>
      </rPr>
      <t xml:space="preserve">一口</t>
    </r>
    <r>
      <rPr>
        <sz val="10"/>
        <rFont val="Arial"/>
        <family val="0"/>
        <charset val="1"/>
      </rPr>
      <t xml:space="preserve">SCP #110</t>
    </r>
    <r>
      <rPr>
        <sz val="10"/>
        <rFont val="Noto Sans CJK SC"/>
        <family val="2"/>
      </rPr>
      <t xml:space="preserve">：🫣</t>
    </r>
    <r>
      <rPr>
        <sz val="10"/>
        <rFont val="Arial"/>
        <family val="0"/>
        <charset val="1"/>
      </rPr>
      <t xml:space="preserve">SCP-███</t>
    </r>
    <r>
      <rPr>
        <sz val="10"/>
        <rFont val="Noto Sans CJK SC"/>
        <family val="2"/>
      </rPr>
      <t xml:space="preserve">「投稿者の編集室」君の部屋にも現れる課金地獄の恐怖💀【ショート】</t>
    </r>
  </si>
  <si>
    <t xml:space="preserve">bTddGo1nAPg</t>
  </si>
  <si>
    <r>
      <rPr>
        <sz val="10"/>
        <rFont val="Noto Sans CJK SC"/>
        <family val="2"/>
      </rPr>
      <t xml:space="preserve">実は</t>
    </r>
    <r>
      <rPr>
        <sz val="10"/>
        <rFont val="Arial"/>
        <family val="0"/>
        <charset val="1"/>
      </rPr>
      <t xml:space="preserve">3</t>
    </r>
    <r>
      <rPr>
        <sz val="10"/>
        <rFont val="Noto Sans CJK SC"/>
        <family val="2"/>
      </rPr>
      <t xml:space="preserve">秒で全生命が死んだ地球、その本当の理由はなぜ？【ショート】</t>
    </r>
  </si>
  <si>
    <t xml:space="preserve">MbMmQA1_mK8</t>
  </si>
  <si>
    <r>
      <rPr>
        <sz val="10"/>
        <rFont val="Arial"/>
        <family val="0"/>
        <charset val="1"/>
      </rPr>
      <t xml:space="preserve">SCP-093</t>
    </r>
    <r>
      <rPr>
        <sz val="10"/>
        <rFont val="Noto Sans CJK SC"/>
        <family val="2"/>
      </rPr>
      <t xml:space="preserve">の</t>
    </r>
    <r>
      <rPr>
        <sz val="10"/>
        <rFont val="Arial"/>
        <family val="0"/>
        <charset val="1"/>
      </rPr>
      <t xml:space="preserve">6</t>
    </r>
    <r>
      <rPr>
        <sz val="10"/>
        <rFont val="Noto Sans CJK SC"/>
        <family val="2"/>
      </rPr>
      <t xml:space="preserve">色記録 なぜ戻れた？【ショート】</t>
    </r>
  </si>
  <si>
    <t xml:space="preserve">w0LerdlM54o</t>
  </si>
  <si>
    <t xml:space="preserve">2026-09-01</t>
  </si>
  <si>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</si>
  <si>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t xml:space="preserve">iAHGnvpHJwk</t>
  </si>
  <si>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</si>
  <si>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t xml:space="preserve">6DRTKVW8_ZA</t>
  </si>
  <si>
    <r>
      <rPr>
        <sz val="10"/>
        <rFont val="Arial"/>
        <family val="0"/>
        <charset val="1"/>
      </rPr>
      <t xml:space="preserve">SCP-███ </t>
    </r>
    <r>
      <rPr>
        <sz val="10"/>
        <rFont val="Noto Sans CJK SC"/>
        <family val="2"/>
      </rPr>
      <t xml:space="preserve">なぜ扉に</t>
    </r>
    <r>
      <rPr>
        <sz val="10"/>
        <rFont val="Arial"/>
        <family val="0"/>
        <charset val="1"/>
      </rPr>
      <t xml:space="preserve">3</t>
    </r>
    <r>
      <rPr>
        <sz val="10"/>
        <rFont val="Noto Sans CJK SC"/>
        <family val="2"/>
      </rPr>
      <t xml:space="preserve">枚目の札がある？ </t>
    </r>
    <r>
      <rPr>
        <sz val="10"/>
        <rFont val="Arial"/>
        <family val="0"/>
        <charset val="1"/>
      </rPr>
      <t xml:space="preserve">#shorts #SCP #SCP</t>
    </r>
    <r>
      <rPr>
        <sz val="10"/>
        <rFont val="Noto Sans CJK SC"/>
        <family val="2"/>
      </rPr>
      <t xml:space="preserve">解説</t>
    </r>
  </si>
  <si>
    <t xml:space="preserve">fTr9B_wO2B4</t>
  </si>
  <si>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</si>
  <si>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t xml:space="preserve">1_OFbz4Xqzk</t>
  </si>
  <si>
    <r>
      <rPr>
        <sz val="10"/>
        <rFont val="Arial"/>
        <family val="0"/>
        <charset val="1"/>
      </rPr>
      <t xml:space="preserve">SCP</t>
    </r>
    <r>
      <rPr>
        <sz val="10"/>
        <rFont val="Noto Sans CJK SC"/>
        <family val="2"/>
      </rPr>
      <t xml:space="preserve">記録係</t>
    </r>
    <r>
      <rPr>
        <sz val="10"/>
        <rFont val="Arial"/>
        <family val="0"/>
        <charset val="1"/>
      </rPr>
      <t xml:space="preserve">12</t>
    </r>
    <r>
      <rPr>
        <sz val="10"/>
        <rFont val="Noto Sans CJK SC"/>
        <family val="2"/>
      </rPr>
      <t xml:space="preserve">名が最後に揃って書いた</t>
    </r>
    <r>
      <rPr>
        <sz val="10"/>
        <rFont val="Arial"/>
        <family val="0"/>
        <charset val="1"/>
      </rPr>
      <t xml:space="preserve">42</t>
    </r>
    <r>
      <rPr>
        <sz val="10"/>
        <rFont val="Noto Sans CJK SC"/>
        <family val="2"/>
      </rPr>
      <t xml:space="preserve">字 </t>
    </r>
    <r>
      <rPr>
        <sz val="10"/>
        <rFont val="Arial"/>
        <family val="0"/>
        <charset val="1"/>
      </rPr>
      <t xml:space="preserve">#shorts #SCP #SCP</t>
    </r>
    <r>
      <rPr>
        <sz val="10"/>
        <rFont val="Noto Sans CJK SC"/>
        <family val="2"/>
      </rPr>
      <t xml:space="preserve">解説</t>
    </r>
  </si>
  <si>
    <t xml:space="preserve">rMCy64I45Zs</t>
  </si>
  <si>
    <r>
      <rPr>
        <sz val="10"/>
        <rFont val="Arial"/>
        <family val="0"/>
        <charset val="1"/>
      </rPr>
      <t xml:space="preserve">SCP-2006 </t>
    </r>
    <r>
      <rPr>
        <sz val="10"/>
        <rFont val="Noto Sans CJK SC"/>
        <family val="2"/>
      </rPr>
      <t xml:space="preserve">笑い声を聞いた</t>
    </r>
    <r>
      <rPr>
        <sz val="10"/>
        <rFont val="Arial"/>
        <family val="0"/>
        <charset val="1"/>
      </rPr>
      <t xml:space="preserve">12</t>
    </r>
    <r>
      <rPr>
        <sz val="10"/>
        <rFont val="Noto Sans CJK SC"/>
        <family val="2"/>
      </rPr>
      <t xml:space="preserve">名に起きた異変 </t>
    </r>
    <r>
      <rPr>
        <sz val="10"/>
        <rFont val="Arial"/>
        <family val="0"/>
        <charset val="1"/>
      </rPr>
      <t xml:space="preserve">#shorts #SCP #SCP</t>
    </r>
    <r>
      <rPr>
        <sz val="10"/>
        <rFont val="Noto Sans CJK SC"/>
        <family val="2"/>
      </rPr>
      <t xml:space="preserve">解説</t>
    </r>
  </si>
  <si>
    <t xml:space="preserve">CWcu5VQvj4M</t>
  </si>
  <si>
    <r>
      <rPr>
        <sz val="10"/>
        <rFont val="Arial"/>
        <family val="0"/>
        <charset val="1"/>
      </rPr>
      <t xml:space="preserve">SCP-███ </t>
    </r>
    <r>
      <rPr>
        <sz val="10"/>
        <rFont val="Noto Sans CJK SC"/>
        <family val="2"/>
      </rPr>
      <t xml:space="preserve">持ち出した報告書が</t>
    </r>
    <r>
      <rPr>
        <sz val="10"/>
        <rFont val="Arial"/>
        <family val="0"/>
        <charset val="1"/>
      </rPr>
      <t xml:space="preserve">3</t>
    </r>
    <r>
      <rPr>
        <sz val="10"/>
        <rFont val="Noto Sans CJK SC"/>
        <family val="2"/>
      </rPr>
      <t xml:space="preserve">日後に戻った </t>
    </r>
    <r>
      <rPr>
        <sz val="10"/>
        <rFont val="Arial"/>
        <family val="0"/>
        <charset val="1"/>
      </rPr>
      <t xml:space="preserve">#shorts #SCP #SCP</t>
    </r>
    <r>
      <rPr>
        <sz val="10"/>
        <rFont val="Noto Sans CJK SC"/>
        <family val="2"/>
      </rPr>
      <t xml:space="preserve">解説</t>
    </r>
  </si>
  <si>
    <t xml:space="preserve">IMp0r_bel70</t>
  </si>
  <si>
    <r>
      <rPr>
        <sz val="10"/>
        <rFont val="Arial"/>
        <family val="0"/>
        <charset val="1"/>
      </rPr>
      <t xml:space="preserve">SCP-096</t>
    </r>
    <r>
      <rPr>
        <sz val="10"/>
        <rFont val="Noto Sans CJK SC"/>
        <family val="2"/>
      </rPr>
      <t xml:space="preserve">の顔を見た者に起きた記録消失の真相 </t>
    </r>
    <r>
      <rPr>
        <sz val="10"/>
        <rFont val="Arial"/>
        <family val="0"/>
        <charset val="1"/>
      </rPr>
      <t xml:space="preserve">#shorts #SCP #SCP</t>
    </r>
    <r>
      <rPr>
        <sz val="10"/>
        <rFont val="Noto Sans CJK SC"/>
        <family val="2"/>
      </rPr>
      <t xml:space="preserve">解説</t>
    </r>
  </si>
  <si>
    <t xml:space="preserve">V-K0tSS2Gac</t>
  </si>
  <si>
    <r>
      <rPr>
        <sz val="10"/>
        <rFont val="Arial"/>
        <family val="0"/>
        <charset val="1"/>
      </rPr>
      <t xml:space="preserve">SCP-2140 </t>
    </r>
    <r>
      <rPr>
        <sz val="10"/>
        <rFont val="Noto Sans CJK SC"/>
        <family val="2"/>
      </rPr>
      <t xml:space="preserve">閲覧後、</t>
    </r>
    <r>
      <rPr>
        <sz val="10"/>
        <rFont val="Arial"/>
        <family val="0"/>
        <charset val="1"/>
      </rPr>
      <t xml:space="preserve">8</t>
    </r>
    <r>
      <rPr>
        <sz val="10"/>
        <rFont val="Noto Sans CJK SC"/>
        <family val="2"/>
      </rPr>
      <t xml:space="preserve">人の職員記録が別人に置換された </t>
    </r>
    <r>
      <rPr>
        <sz val="10"/>
        <rFont val="Arial"/>
        <family val="0"/>
        <charset val="1"/>
      </rPr>
      <t xml:space="preserve">#shorts #SCP #SCP</t>
    </r>
    <r>
      <rPr>
        <sz val="10"/>
        <rFont val="Noto Sans CJK SC"/>
        <family val="2"/>
      </rPr>
      <t xml:space="preserve">解説</t>
    </r>
  </si>
  <si>
    <t xml:space="preserve">xxDwOyp1794</t>
  </si>
  <si>
    <r>
      <rPr>
        <sz val="10"/>
        <rFont val="Noto Sans CJK SC"/>
        <family val="2"/>
      </rPr>
      <t xml:space="preserve">なぜ非常灯が消えた</t>
    </r>
    <r>
      <rPr>
        <sz val="10"/>
        <rFont val="Arial"/>
        <family val="0"/>
        <charset val="1"/>
      </rPr>
      <t xml:space="preserve">3</t>
    </r>
    <r>
      <rPr>
        <sz val="10"/>
        <rFont val="Noto Sans CJK SC"/>
        <family val="2"/>
      </rPr>
      <t xml:space="preserve">秒に</t>
    </r>
    <r>
      <rPr>
        <sz val="10"/>
        <rFont val="Arial"/>
        <family val="0"/>
        <charset val="1"/>
      </rPr>
      <t xml:space="preserve">5</t>
    </r>
    <r>
      <rPr>
        <sz val="10"/>
        <rFont val="Noto Sans CJK SC"/>
        <family val="2"/>
      </rPr>
      <t xml:space="preserve">人目の足音がしたのか </t>
    </r>
    <r>
      <rPr>
        <sz val="10"/>
        <rFont val="Arial"/>
        <family val="0"/>
        <charset val="1"/>
      </rPr>
      <t xml:space="preserve">#shorts #SCP #SCP</t>
    </r>
    <r>
      <rPr>
        <sz val="10"/>
        <rFont val="Noto Sans CJK SC"/>
        <family val="2"/>
      </rPr>
      <t xml:space="preserve">解説</t>
    </r>
  </si>
  <si>
    <t xml:space="preserve">EHfktx-8zCE</t>
  </si>
  <si>
    <r>
      <rPr>
        <sz val="10"/>
        <rFont val="Arial"/>
        <family val="0"/>
        <charset val="1"/>
      </rPr>
      <t xml:space="preserve">SCP-5800 </t>
    </r>
    <r>
      <rPr>
        <sz val="10"/>
        <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rve">解説</t>
    </r>
  </si>
  <si>
    <t xml:space="preserve">Tt3QQKz1fG4</t>
  </si>
  <si>
    <r>
      <rPr>
        <sz val="10"/>
        <rFont val="Noto Sans CJK SC"/>
        <family val="2"/>
      </rPr>
      <t xml:space="preserve">未来の時刻誰が映る </t>
    </r>
    <r>
      <rPr>
        <sz val="10"/>
        <rFont val="Arial"/>
        <family val="0"/>
        <charset val="1"/>
      </rPr>
      <t xml:space="preserve">#shorts #SCP #SCP</t>
    </r>
    <r>
      <rPr>
        <sz val="10"/>
        <rFont val="Noto Sans CJK SC"/>
        <family val="2"/>
      </rPr>
      <t xml:space="preserve">解説</t>
    </r>
  </si>
  <si>
    <t xml:space="preserve">ZhNxarzmdCU</t>
  </si>
  <si>
    <r>
      <rPr>
        <sz val="10"/>
        <rFont val="Arial"/>
        <family val="0"/>
        <charset val="1"/>
      </rPr>
      <t xml:space="preserve">SCP-7241 </t>
    </r>
    <r>
      <rPr>
        <sz val="10"/>
        <rFont val="Noto Sans CJK SC"/>
        <family val="2"/>
      </rPr>
      <t xml:space="preserve">収容違反記録から毎回消える頁 </t>
    </r>
    <r>
      <rPr>
        <sz val="10"/>
        <rFont val="Arial"/>
        <family val="0"/>
        <charset val="1"/>
      </rPr>
      <t xml:space="preserve">#shorts #SCP #SCP</t>
    </r>
    <r>
      <rPr>
        <sz val="10"/>
        <rFont val="Noto Sans CJK SC"/>
        <family val="2"/>
      </rPr>
      <t xml:space="preserve">解説</t>
    </r>
  </si>
  <si>
    <t xml:space="preserve">fg1_b-LnWS4</t>
  </si>
  <si>
    <r>
      <rPr>
        <sz val="10"/>
        <rFont val="Noto Sans CJK SC"/>
        <family val="2"/>
      </rPr>
      <t xml:space="preserve">なぜこの火山は</t>
    </r>
    <r>
      <rPr>
        <sz val="10"/>
        <rFont val="Arial"/>
        <family val="0"/>
        <charset val="1"/>
      </rPr>
      <t xml:space="preserve">72</t>
    </r>
    <r>
      <rPr>
        <sz val="10"/>
        <rFont val="Noto Sans CJK SC"/>
        <family val="2"/>
      </rPr>
      <t xml:space="preserve">時間沈黙し職員が消えるのか </t>
    </r>
    <r>
      <rPr>
        <sz val="10"/>
        <rFont val="Arial"/>
        <family val="0"/>
        <charset val="1"/>
      </rPr>
      <t xml:space="preserve">#shorts #SCP #SCP</t>
    </r>
    <r>
      <rPr>
        <sz val="10"/>
        <rFont val="Noto Sans CJK SC"/>
        <family val="2"/>
      </rPr>
      <t xml:space="preserve">解説</t>
    </r>
  </si>
  <si>
    <t xml:space="preserve">oTGsagiOx7s</t>
  </si>
  <si>
    <r>
      <rPr>
        <sz val="10"/>
        <rFont val="Arial"/>
        <family val="0"/>
        <charset val="1"/>
      </rPr>
      <t xml:space="preserve">RTX5090</t>
    </r>
    <r>
      <rPr>
        <sz val="10"/>
        <rFont val="Noto Sans CJK SC"/>
        <family val="2"/>
      </rPr>
      <t xml:space="preserve">はで部屋の外から名前を呼ぶのか </t>
    </r>
    <r>
      <rPr>
        <sz val="10"/>
        <rFont val="Arial"/>
        <family val="0"/>
        <charset val="1"/>
      </rPr>
      <t xml:space="preserve">#shorts #SCP #SCP</t>
    </r>
    <r>
      <rPr>
        <sz val="10"/>
        <rFont val="Noto Sans CJK SC"/>
        <family val="2"/>
      </rPr>
      <t xml:space="preserve">解説</t>
    </r>
  </si>
  <si>
    <t xml:space="preserve">wNcYodfdRmY</t>
  </si>
  <si>
    <r>
      <rPr>
        <sz val="10"/>
        <rFont val="Arial"/>
        <family val="0"/>
        <charset val="1"/>
      </rPr>
      <t xml:space="preserve">SCP</t>
    </r>
    <r>
      <rPr>
        <sz val="10"/>
        <rFont val="Noto Sans CJK SC"/>
        <family val="2"/>
      </rPr>
      <t xml:space="preserve">の最後の一行だけが隔離対象になった理由 </t>
    </r>
    <r>
      <rPr>
        <sz val="10"/>
        <rFont val="Arial"/>
        <family val="0"/>
        <charset val="1"/>
      </rPr>
      <t xml:space="preserve">#shorts #SCP #SCP</t>
    </r>
    <r>
      <rPr>
        <sz val="10"/>
        <rFont val="Noto Sans CJK SC"/>
        <family val="2"/>
      </rPr>
      <t xml:space="preserve">解説</t>
    </r>
  </si>
  <si>
    <t xml:space="preserve">5I_Hhc8VPCw</t>
  </si>
  <si>
    <r>
      <rPr>
        <sz val="10"/>
        <rFont val="Arial"/>
        <family val="0"/>
        <charset val="1"/>
      </rPr>
      <t xml:space="preserve">7</t>
    </r>
    <r>
      <rPr>
        <sz val="10"/>
        <rFont val="Noto Sans CJK SC"/>
        <family val="2"/>
      </rPr>
      <t xml:space="preserve">日間でずつ消えたエージェント名簿異常事件 </t>
    </r>
    <r>
      <rPr>
        <sz val="10"/>
        <rFont val="Arial"/>
        <family val="0"/>
        <charset val="1"/>
      </rPr>
      <t xml:space="preserve">#shorts #SCP #SCP</t>
    </r>
    <r>
      <rPr>
        <sz val="10"/>
        <rFont val="Noto Sans CJK SC"/>
        <family val="2"/>
      </rPr>
      <t xml:space="preserve">解説</t>
    </r>
  </si>
  <si>
    <t xml:space="preserve">kRcZ0GecFTY</t>
  </si>
  <si>
    <r>
      <rPr>
        <sz val="10"/>
        <rFont val="Arial"/>
        <family val="0"/>
        <charset val="1"/>
      </rPr>
      <t xml:space="preserve">SCP-3288 </t>
    </r>
    <r>
      <rPr>
        <sz val="10"/>
        <rFont val="Noto Sans CJK SC"/>
        <family val="2"/>
      </rPr>
      <t xml:space="preserve">大雨の真相 あなたの部屋も沈む </t>
    </r>
    <r>
      <rPr>
        <sz val="10"/>
        <rFont val="Arial"/>
        <family val="0"/>
        <charset val="1"/>
      </rPr>
      <t xml:space="preserve">#shorts #SCP #SCP</t>
    </r>
    <r>
      <rPr>
        <sz val="10"/>
        <rFont val="Noto Sans CJK SC"/>
        <family val="2"/>
      </rPr>
      <t xml:space="preserve">解説</t>
    </r>
  </si>
  <si>
    <t xml:space="preserve">z7SonE8o73Q</t>
  </si>
  <si>
    <t xml:space="preserve">2026-09-13</t>
  </si>
  <si>
    <r>
      <rPr>
        <sz val="10"/>
        <rFont val="Noto Sans CJK SC"/>
        <family val="2"/>
      </rPr>
      <t xml:space="preserve">なぜ職員</t>
    </r>
    <r>
      <rPr>
        <sz val="10"/>
        <rFont val="Arial"/>
        <family val="0"/>
        <charset val="1"/>
      </rPr>
      <t xml:space="preserve">12</t>
    </r>
    <r>
      <rPr>
        <sz val="10"/>
        <rFont val="Noto Sans CJK SC"/>
        <family val="2"/>
      </rPr>
      <t xml:space="preserve">名は眠れず消えたのか【</t>
    </r>
    <r>
      <rPr>
        <sz val="10"/>
        <rFont val="Arial"/>
        <family val="0"/>
        <charset val="1"/>
      </rPr>
      <t xml:space="preserve">SCP-XXXX</t>
    </r>
    <r>
      <rPr>
        <sz val="10"/>
        <rFont val="Noto Sans CJK SC"/>
        <family val="2"/>
      </rPr>
      <t xml:space="preserve">】 </t>
    </r>
    <r>
      <rPr>
        <sz val="10"/>
        <rFont val="Arial"/>
        <family val="0"/>
        <charset val="1"/>
      </rPr>
      <t xml:space="preserve">#shorts #SCP #SCP</t>
    </r>
    <r>
      <rPr>
        <sz val="10"/>
        <rFont val="Noto Sans CJK SC"/>
        <family val="2"/>
      </rPr>
      <t xml:space="preserve">解説</t>
    </r>
  </si>
  <si>
    <t xml:space="preserve">4mEG8GdDa40</t>
  </si>
  <si>
    <r>
      <rPr>
        <sz val="10"/>
        <rFont val="Arial"/>
        <family val="0"/>
        <charset val="1"/>
      </rPr>
      <t xml:space="preserve">1</t>
    </r>
    <r>
      <rPr>
        <sz val="10"/>
        <rFont val="Noto Sans CJK SC"/>
        <family val="2"/>
      </rPr>
      <t xml:space="preserve">分妖怪ファイル：なぜ妖怪ウォッチだけ？主人公の秘密</t>
    </r>
    <r>
      <rPr>
        <sz val="10"/>
        <rFont val="Arial"/>
        <family val="0"/>
        <charset val="1"/>
      </rPr>
      <t xml:space="preserve">#</t>
    </r>
    <r>
      <rPr>
        <sz val="10"/>
        <rFont val="Noto Sans CJK SC"/>
        <family val="2"/>
      </rPr>
      <t xml:space="preserve">妖怪ウォッチで主人公だけが妖怪を見られる理由 </t>
    </r>
    <r>
      <rPr>
        <sz val="10"/>
        <rFont val="Arial"/>
        <family val="0"/>
        <charset val="1"/>
      </rPr>
      <t xml:space="preserve">#shorts #</t>
    </r>
    <r>
      <rPr>
        <sz val="10"/>
        <rFont val="Noto Sans CJK SC"/>
        <family val="2"/>
      </rPr>
      <t xml:space="preserve">ゆっくり解説</t>
    </r>
  </si>
  <si>
    <t xml:space="preserve">63ov8l5tqBk</t>
  </si>
  <si>
    <t xml:space="preserve">K2N6Xp0LN9A</t>
  </si>
  <si>
    <t xml:space="preserve">妖怪ウォッチの『都市伝説』、本当のところはどうなの？【ショート】</t>
  </si>
  <si>
    <t xml:space="preserve">3ZBzfV-o6oM</t>
  </si>
  <si>
    <r>
      <rPr>
        <sz val="10"/>
        <rFont val="Noto Sans CJK SC"/>
        <family val="2"/>
      </rPr>
      <t xml:space="preserve">妖怪の名前がダジャレなのはナゼか</t>
    </r>
    <r>
      <rPr>
        <sz val="10"/>
        <rFont val="Arial"/>
        <family val="0"/>
        <charset val="1"/>
      </rPr>
      <t xml:space="preserve">? </t>
    </r>
    <r>
      <rPr>
        <sz val="10"/>
        <rFont val="Noto Sans CJK SC"/>
        <family val="2"/>
      </rPr>
      <t xml:space="preserve">名前の裏に隠された秘密【ショート】</t>
    </r>
  </si>
  <si>
    <t xml:space="preserve">QZiOHXKbOXI</t>
  </si>
  <si>
    <r>
      <rPr>
        <sz val="10"/>
        <rFont val="Arial"/>
        <family val="0"/>
        <charset val="1"/>
      </rPr>
      <t xml:space="preserve">1</t>
    </r>
    <r>
      <rPr>
        <sz val="10"/>
        <rFont val="Noto Sans CJK SC"/>
        <family val="2"/>
      </rPr>
      <t xml:space="preserve">分妖怪ファイル：妖怪の名前がダジャレなのはナゼか</t>
    </r>
    <r>
      <rPr>
        <sz val="10"/>
        <rFont val="Arial"/>
        <family val="0"/>
        <charset val="1"/>
      </rPr>
      <t xml:space="preserve">?</t>
    </r>
  </si>
  <si>
    <t xml:space="preserve">_dcwhzzjxvs</t>
  </si>
  <si>
    <t xml:space="preserve">なぜコマさんの秘密？神社の狛犬と田舎の意外なつながり【ショート】</t>
  </si>
  <si>
    <t xml:space="preserve">kHukScwckQ0</t>
  </si>
  <si>
    <t xml:space="preserve">なぜ武士と猫が混ざった？ブシニャンの『本当のルーツ』が怖すぎる理由【ショート】</t>
  </si>
  <si>
    <t xml:space="preserve">724R2jGp97Q</t>
  </si>
  <si>
    <t xml:space="preserve">ふぶき姫の可愛さはどこから？雪女伝承の“本当は怖い”正体とゲームの落差【ショート】</t>
  </si>
  <si>
    <t xml:space="preserve">kV2cD0Z9Oek</t>
  </si>
  <si>
    <t xml:space="preserve">なぜオロチはゲームで美化された？ヤマタノオロチ伝説の“本当は怖い”正体【ショート】</t>
  </si>
  <si>
    <t xml:space="preserve">G3KtohjxPI0</t>
  </si>
  <si>
    <t xml:space="preserve">妖怪ウォッチのエンマ大王、なぜか『本物』の閻魔と全然違う姿をしている【ショート】</t>
  </si>
  <si>
    <t xml:space="preserve">Rmx-FN9VhUE</t>
  </si>
  <si>
    <t xml:space="preserve">なぜロボニャンだけ未来から来た？隠された時系列の秘密【ショート】【ショート】</t>
  </si>
  <si>
    <t xml:space="preserve">OmP6pu1x1fc</t>
  </si>
  <si>
    <r>
      <rPr>
        <sz val="10"/>
        <rFont val="Noto Sans CJK SC"/>
        <family val="2"/>
      </rPr>
      <t xml:space="preserve">妖怪ウォッチのランク、なぜ</t>
    </r>
    <r>
      <rPr>
        <sz val="10"/>
        <rFont val="Arial"/>
        <family val="0"/>
        <charset val="1"/>
      </rPr>
      <t xml:space="preserve">S</t>
    </r>
    <r>
      <rPr>
        <sz val="10"/>
        <rFont val="Noto Sans CJK SC"/>
        <family val="2"/>
      </rPr>
      <t xml:space="preserve">が最強じゃない妖怪にも付くのか　隠された格付けの本当のところ【ショート】</t>
    </r>
  </si>
  <si>
    <t xml:space="preserve">kzR6F_147Ho</t>
  </si>
  <si>
    <t xml:space="preserve">一つ目小僧、なぜ江戸の文献では『会った者が帰らない』と書かれているのか【ショート】</t>
  </si>
  <si>
    <t xml:space="preserve">052IlnxRdwM</t>
  </si>
  <si>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t>
    </r>
  </si>
  <si>
    <t xml:space="preserve">WP03hoeoxCk</t>
  </si>
  <si>
    <t xml:space="preserve">なぜおでんじんだけ夜道に立つ？可愛い具に隠された秘密【ショート】【ショート】</t>
  </si>
  <si>
    <t xml:space="preserve">frxNzntmiF4</t>
  </si>
  <si>
    <t xml:space="preserve">なぜツチノコは家に入る？隠された秘密【ショート】</t>
  </si>
  <si>
    <t xml:space="preserve">8JLBD8J8RwU</t>
  </si>
  <si>
    <t xml:space="preserve">ねちがえる、なぜか夜だけ首を狙う？金縛りの奥にある古い怪異【ショート】</t>
  </si>
  <si>
    <t xml:space="preserve">GUeTTH-huzE</t>
  </si>
  <si>
    <t xml:space="preserve">河童はなぜか子どもだけを呼ぶ？水辺に残された「声」の本当の理由【ショート】</t>
  </si>
  <si>
    <t xml:space="preserve">ZqI9LA9O0Ko</t>
  </si>
  <si>
    <t xml:space="preserve">のっぺらぼうの正体が怖すぎる — 顔を奪う怪談はなぜ生まれたのか【ショート】</t>
  </si>
  <si>
    <t xml:space="preserve">mykin3cF95Y</t>
  </si>
  <si>
    <t xml:space="preserve">ふじのやまの元ネタが怖すぎる — 山に入った人が戻れなくなる禁忌【ショート】</t>
  </si>
  <si>
    <t xml:space="preserve">2DYLiwh42V8</t>
  </si>
  <si>
    <t xml:space="preserve">花子さんの正体 — なぜ学校のトイレで「三番目」なのか【ショート】</t>
  </si>
  <si>
    <t xml:space="preserve">HzC1vh3j1Qo</t>
  </si>
  <si>
    <t xml:space="preserve">鬼の元ネタが怖すぎる — 鬼門から来る者を家に入れてはいけない理由【ショート】</t>
  </si>
  <si>
    <t xml:space="preserve">PwguGFatdz4</t>
  </si>
  <si>
    <t xml:space="preserve">海坊主の正体が怖すぎる — 船を沈める巨大な影は何だったのか【ショート】</t>
  </si>
  <si>
    <t xml:space="preserve">l68CzSRJ6WU</t>
  </si>
  <si>
    <t xml:space="preserve">ぬらりひょんの正体が怖すぎる — なぜあなたの家に勝手に上がるのか【ショート】</t>
  </si>
  <si>
    <t xml:space="preserve">81DW_QyWZMs</t>
  </si>
  <si>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</si>
  <si>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t xml:space="preserve">eP-GMocrfHk</t>
  </si>
  <si>
    <r>
      <rPr>
        <sz val="10"/>
        <rFont val="Arial"/>
        <family val="0"/>
        <charset val="1"/>
      </rPr>
      <t xml:space="preserve">3</t>
    </r>
    <r>
      <rPr>
        <sz val="10"/>
        <rFont val="Noto Sans CJK SC"/>
        <family val="2"/>
      </rPr>
      <t xml:space="preserve">秒で消える？天狗と山伏、神隠しの本当の理由【ショート】</t>
    </r>
  </si>
  <si>
    <t xml:space="preserve">ajouUdcWYic</t>
  </si>
  <si>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</si>
  <si>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t xml:space="preserve">q2s-VS1PHQs</t>
  </si>
  <si>
    <r>
      <rPr>
        <sz val="10"/>
        <rFont val="Noto Sans CJK SC"/>
        <family val="2"/>
      </rPr>
      <t xml:space="preserve">なぜ猫又の尻尾は</t>
    </r>
    <r>
      <rPr>
        <sz val="10"/>
        <rFont val="Arial"/>
        <family val="0"/>
        <charset val="1"/>
      </rPr>
      <t xml:space="preserve">2</t>
    </r>
    <r>
      <rPr>
        <sz val="10"/>
        <rFont val="Noto Sans CJK SC"/>
        <family val="2"/>
      </rPr>
      <t xml:space="preserve">つ？実は老猫を恐れた江戸の記録が怖い【ショート】</t>
    </r>
  </si>
  <si>
    <t xml:space="preserve">417bhedobU8</t>
  </si>
  <si>
    <r>
      <rPr>
        <sz val="10"/>
        <rFont val="Arial"/>
        <family val="0"/>
        <charset val="1"/>
      </rPr>
      <t xml:space="preserve">1</t>
    </r>
    <r>
      <rPr>
        <sz val="10"/>
        <rFont val="Noto Sans CJK SC"/>
        <family val="2"/>
      </rPr>
      <t xml:space="preserve">分妖怪ファイル </t>
    </r>
    <r>
      <rPr>
        <sz val="10"/>
        <rFont val="Arial"/>
        <family val="0"/>
        <charset val="1"/>
      </rPr>
      <t xml:space="preserve">#11</t>
    </r>
    <r>
      <rPr>
        <sz val="10"/>
        <rFont val="Noto Sans CJK SC"/>
        <family val="2"/>
      </rPr>
      <t xml:space="preserve">：🔍ぬらりひょんに隠された</t>
    </r>
    <r>
      <rPr>
        <sz val="10"/>
        <rFont val="Arial"/>
        <family val="0"/>
        <charset val="1"/>
      </rPr>
      <t xml:space="preserve">3</t>
    </r>
    <r>
      <rPr>
        <sz val="10"/>
        <rFont val="Noto Sans CJK SC"/>
        <family val="2"/>
      </rPr>
      <t xml:space="preserve">つの秘密、あなたの知る総大将はいつ生まれた？【ショート】</t>
    </r>
  </si>
  <si>
    <t xml:space="preserve">ZMuU_kP5u1I</t>
  </si>
  <si>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</si>
  <si>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t xml:space="preserve">0P7LU1RGUX0</t>
  </si>
  <si>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</si>
  <si>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t xml:space="preserve">g9Gsc2EpYKA</t>
  </si>
  <si>
    <r>
      <rPr>
        <sz val="10"/>
        <rFont val="Arial"/>
        <family val="0"/>
        <charset val="1"/>
      </rPr>
      <t xml:space="preserve">1</t>
    </r>
    <r>
      <rPr>
        <sz val="10"/>
        <rFont val="Noto Sans CJK SC"/>
        <family val="2"/>
      </rPr>
      <t xml:space="preserve">分妖怪ファイル </t>
    </r>
    <r>
      <rPr>
        <sz val="10"/>
        <rFont val="Arial"/>
        <family val="0"/>
        <charset val="1"/>
      </rPr>
      <t xml:space="preserve">#14</t>
    </r>
    <r>
      <rPr>
        <sz val="10"/>
        <rFont val="Noto Sans CJK SC"/>
        <family val="2"/>
      </rPr>
      <t xml:space="preserve">：❓コマさんとコマじろうの秘密、</t>
    </r>
    <r>
      <rPr>
        <sz val="10"/>
        <rFont val="Arial"/>
        <family val="0"/>
        <charset val="1"/>
      </rPr>
      <t xml:space="preserve">2</t>
    </r>
    <r>
      <rPr>
        <sz val="10"/>
        <rFont val="Noto Sans CJK SC"/>
        <family val="2"/>
      </rPr>
      <t xml:space="preserve">体で狛犬になる本当の理由は？【ショート】</t>
    </r>
  </si>
  <si>
    <t xml:space="preserve">X3btZiYsJvg</t>
  </si>
  <si>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</si>
  <si>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t xml:space="preserve">T440Dim95LI</t>
  </si>
  <si>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</si>
  <si>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bT9_GYofA_w</t>
  </si>
  <si>
    <r>
      <rPr>
        <sz val="10"/>
        <rFont val="Arial"/>
        <family val="0"/>
        <charset val="1"/>
      </rPr>
      <t xml:space="preserve">1</t>
    </r>
    <r>
      <rPr>
        <sz val="10"/>
        <rFont val="Noto Sans CJK SC"/>
        <family val="2"/>
      </rPr>
      <t xml:space="preserve">分妖怪ファイル </t>
    </r>
    <r>
      <rPr>
        <sz val="10"/>
        <rFont val="Arial"/>
        <family val="0"/>
        <charset val="1"/>
      </rPr>
      <t xml:space="preserve">#17</t>
    </r>
    <r>
      <rPr>
        <sz val="10"/>
        <rFont val="Noto Sans CJK SC"/>
        <family val="2"/>
      </rPr>
      <t xml:space="preserve">：❓妖怪ウォッチの将門伝説に隠された秘密、あなたが知らない</t>
    </r>
    <r>
      <rPr>
        <sz val="10"/>
        <rFont val="Arial"/>
        <family val="0"/>
        <charset val="1"/>
      </rPr>
      <t xml:space="preserve">3</t>
    </r>
    <r>
      <rPr>
        <sz val="10"/>
        <rFont val="Noto Sans CJK SC"/>
        <family val="2"/>
      </rPr>
      <t xml:space="preserve">つの異変？🔍【ショート】</t>
    </r>
  </si>
  <si>
    <t xml:space="preserve">9Gd3zWmBVbU</t>
  </si>
  <si>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</si>
  <si>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t xml:space="preserve">HIfJYAlYauQ</t>
  </si>
  <si>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</si>
  <si>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t xml:space="preserve">h0UuAoN8XhI</t>
  </si>
  <si>
    <r>
      <rPr>
        <sz val="10"/>
        <rFont val="Arial"/>
        <family val="0"/>
        <charset val="1"/>
      </rPr>
      <t xml:space="preserve">1</t>
    </r>
    <r>
      <rPr>
        <sz val="10"/>
        <rFont val="Noto Sans CJK SC"/>
        <family val="2"/>
      </rPr>
      <t xml:space="preserve">分妖怪ファイル </t>
    </r>
    <r>
      <rPr>
        <sz val="10"/>
        <rFont val="Arial"/>
        <family val="0"/>
        <charset val="1"/>
      </rPr>
      <t xml:space="preserve">#20</t>
    </r>
    <r>
      <rPr>
        <sz val="10"/>
        <rFont val="Noto Sans CJK SC"/>
        <family val="2"/>
      </rPr>
      <t xml:space="preserve">：🔍スネイキーに隠された秘密、</t>
    </r>
    <r>
      <rPr>
        <sz val="10"/>
        <rFont val="Arial"/>
        <family val="0"/>
        <charset val="1"/>
      </rPr>
      <t xml:space="preserve">3</t>
    </r>
    <r>
      <rPr>
        <sz val="10"/>
        <rFont val="Noto Sans CJK SC"/>
        <family val="2"/>
      </rPr>
      <t xml:space="preserve">段階進化の元ネタは蛇神だった？👁️【ショート】</t>
    </r>
  </si>
  <si>
    <t xml:space="preserve">5xxZrCV4_gU</t>
  </si>
  <si>
    <r>
      <rPr>
        <sz val="10"/>
        <rFont val="Noto Sans CJK SC"/>
        <family val="2"/>
      </rPr>
      <t xml:space="preserve">ふぶき姫の約束を破るとどうなる？</t>
    </r>
    <r>
      <rPr>
        <sz val="10"/>
        <rFont val="Arial"/>
        <family val="0"/>
        <charset val="1"/>
      </rPr>
      <t xml:space="preserve">3</t>
    </r>
    <r>
      <rPr>
        <sz val="10"/>
        <rFont val="Noto Sans CJK SC"/>
        <family val="2"/>
      </rPr>
      <t xml:space="preserve">つの雪女記録【ショート】</t>
    </r>
  </si>
  <si>
    <t xml:space="preserve">KE2XD7qenwE</t>
  </si>
  <si>
    <r>
      <rPr>
        <sz val="10"/>
        <rFont val="Noto Sans CJK SC"/>
        <family val="2"/>
      </rPr>
      <t xml:space="preserve">小豆洗いの正体 </t>
    </r>
    <r>
      <rPr>
        <sz val="10"/>
        <rFont val="Arial"/>
        <family val="0"/>
        <charset val="1"/>
      </rPr>
      <t xml:space="preserve">127</t>
    </r>
    <r>
      <rPr>
        <sz val="10"/>
        <rFont val="Noto Sans CJK SC"/>
        <family val="2"/>
      </rPr>
      <t xml:space="preserve">年の川音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</si>
  <si>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L68x8MS1hZA</t>
  </si>
  <si>
    <r>
      <rPr>
        <sz val="10"/>
        <rFont val="Noto Sans CJK SC"/>
        <family val="2"/>
      </rPr>
      <t xml:space="preserve">雪夜に顔を隠す白粉婆…雪女とは違う恐ろしさ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</si>
  <si>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0F8nNs8IFFQ</t>
  </si>
  <si>
    <r>
      <rPr>
        <sz val="10"/>
        <rFont val="Noto Sans CJK SC"/>
        <family val="2"/>
      </rPr>
      <t xml:space="preserve">じんめん犬はなぜ笑い話になった？消えた恐怖の噂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</si>
  <si>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_0xgJRshAgQ</t>
  </si>
  <si>
    <r>
      <rPr>
        <sz val="10"/>
        <rFont val="Noto Sans CJK SC"/>
        <family val="2"/>
      </rPr>
      <t xml:space="preserve">犬神憑きはなぜ家系ごと記録されたのか 恒一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</si>
  <si>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jBrtIbNN5NM</t>
  </si>
  <si>
    <r>
      <rPr>
        <sz val="10"/>
        <rFont val="Noto Sans CJK SC"/>
        <family val="2"/>
      </rPr>
      <t xml:space="preserve">口裂け女の噂はなぜ全国へ？名前を呼べない本当の理由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</si>
  <si>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-bmLS2JL1Hk</t>
  </si>
  <si>
    <r>
      <rPr>
        <sz val="10"/>
        <rFont val="Noto Sans CJK SC"/>
        <family val="2"/>
      </rPr>
      <t xml:space="preserve">雪女が去り際に名を呼ぶ理由…約束を破った男の末路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</si>
  <si>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pHlNXnejDD0</t>
  </si>
  <si>
    <r>
      <rPr>
        <sz val="10"/>
        <rFont val="Noto Sans CJK SC"/>
        <family val="2"/>
      </rPr>
      <t xml:space="preserve">キュウビが日本へ渡った理由、知ってる？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</si>
  <si>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ry0qj0lkjtw</t>
  </si>
  <si>
    <r>
      <rPr>
        <sz val="10"/>
        <rFont val="Noto Sans CJK SC"/>
        <family val="2"/>
      </rPr>
      <t xml:space="preserve">百目なのに一つ目？江戸の絵に隠された不気味な変化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</si>
  <si>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dWapPuVaofE</t>
  </si>
  <si>
    <r>
      <rPr>
        <sz val="10"/>
        <rFont val="Noto Sans CJK SC"/>
        <family val="2"/>
      </rPr>
      <t xml:space="preserve">小豆洗い、姿を消して「音」だけ残った土地の記録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</si>
  <si>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fMa90W46uc0</t>
  </si>
  <si>
    <r>
      <rPr>
        <sz val="10"/>
        <rFont val="Noto Sans CJK SC"/>
        <family val="2"/>
      </rPr>
      <t xml:space="preserve">なぜ妖怪は山を下り里に現れるようになったのか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</si>
  <si>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voeN65a1Y3I</t>
  </si>
  <si>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</si>
  <si>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FMG_IQ8p5G0</t>
  </si>
  <si>
    <r>
      <rPr>
        <sz val="10"/>
        <rFont val="Noto Sans CJK SC"/>
        <family val="2"/>
      </rPr>
      <t xml:space="preserve">なぜ狐は人を化かす妖怪にされたのか？江戸の記録に残る事情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</si>
  <si>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ov3N55v73XE</t>
  </si>
  <si>
    <r>
      <rPr>
        <sz val="10"/>
        <rFont val="Noto Sans CJK SC"/>
        <family val="2"/>
      </rPr>
      <t xml:space="preserve">覚の元ネタが怖すぎる…心を先回りする山の怪物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</si>
  <si>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Cc8MA7iOFcA</t>
  </si>
  <si>
    <r>
      <rPr>
        <sz val="10"/>
        <rFont val="Noto Sans CJK SC"/>
        <family val="2"/>
      </rPr>
      <t xml:space="preserve">鬼の角が「目印」になった千年前の変化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</si>
  <si>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DQXVqkCN_K0</t>
  </si>
  <si>
    <r>
      <rPr>
        <sz val="10"/>
        <rFont val="Noto Sans CJK SC"/>
        <family val="2"/>
      </rPr>
      <t xml:space="preserve">ろくろ首の正体は飛頭蛮？首が飛ぶ怪異の出どころ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</si>
  <si>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oUohYkADVPs</t>
  </si>
  <si>
    <r>
      <rPr>
        <b val="true"/>
        <sz val="11"/>
        <color rgb="FFC00000"/>
        <rFont val="Noto Sans CJK SC"/>
        <family val="2"/>
      </rPr>
      <t xml:space="preserve">【参考】</t>
    </r>
    <r>
      <rPr>
        <b val="true"/>
        <sz val="11"/>
        <color rgb="FFC00000"/>
        <rFont val="Arial"/>
        <family val="0"/>
        <charset val="1"/>
      </rPr>
      <t xml:space="preserve">09-13 </t>
    </r>
    <r>
      <rPr>
        <b val="true"/>
        <sz val="11"/>
        <color rgb="FFC00000"/>
        <rFont val="Noto Sans CJK SC"/>
        <family val="2"/>
      </rPr>
      <t xml:space="preserve">以降に公開したが </t>
    </r>
    <r>
      <rPr>
        <b val="true"/>
        <sz val="11"/>
        <color rgb="FFC00000"/>
        <rFont val="Arial"/>
        <family val="0"/>
        <charset val="1"/>
      </rPr>
      <t xml:space="preserve">analytics </t>
    </r>
    <r>
      <rPr>
        <b val="true"/>
        <sz val="11"/>
        <color rgb="FFC00000"/>
        <rFont val="Noto Sans CJK SC"/>
        <family val="2"/>
      </rPr>
      <t xml:space="preserve">でまだ計測されていない動画</t>
    </r>
  </si>
  <si>
    <r>
      <rPr>
        <i val="true"/>
        <sz val="9"/>
        <color rgb="FF595959"/>
        <rFont val="Arial"/>
        <family val="0"/>
        <charset val="1"/>
      </rPr>
      <t xml:space="preserve">YouTube Analytics </t>
    </r>
    <r>
      <rPr>
        <i val="true"/>
        <sz val="9"/>
        <color rgb="FF595959"/>
        <rFont val="Noto Sans CJK SC"/>
        <family val="2"/>
      </rPr>
      <t xml:space="preserve">の反映は公開からおよそ </t>
    </r>
    <r>
      <rPr>
        <i val="true"/>
        <sz val="9"/>
        <color rgb="FF595959"/>
        <rFont val="Arial"/>
        <family val="0"/>
        <charset val="1"/>
      </rPr>
      <t xml:space="preserve">2 </t>
    </r>
    <r>
      <rPr>
        <i val="true"/>
        <sz val="9"/>
        <color rgb="FF595959"/>
        <rFont val="Noto Sans CJK SC"/>
        <family val="2"/>
      </rPr>
      <t xml:space="preserve">日遅れる（</t>
    </r>
    <r>
      <rPr>
        <i val="true"/>
        <sz val="9"/>
        <color rgb="FF595959"/>
        <rFont val="Arial"/>
        <family val="0"/>
        <charset val="1"/>
      </rPr>
      <t xml:space="preserve">09-13 </t>
    </r>
    <r>
      <rPr>
        <i val="true"/>
        <sz val="9"/>
        <color rgb="FF595959"/>
        <rFont val="Noto Sans CJK SC"/>
        <family val="2"/>
      </rPr>
      <t xml:space="preserve">公開の </t>
    </r>
    <r>
      <rPr>
        <i val="true"/>
        <sz val="9"/>
        <color rgb="FF595959"/>
        <rFont val="Arial"/>
        <family val="0"/>
        <charset val="1"/>
      </rPr>
      <t xml:space="preserve">scp-lab </t>
    </r>
    <r>
      <rPr>
        <i val="true"/>
        <sz val="9"/>
        <color rgb="FF595959"/>
        <rFont val="Noto Sans CJK SC"/>
        <family val="2"/>
      </rPr>
      <t xml:space="preserve">は </t>
    </r>
    <r>
      <rPr>
        <i val="true"/>
        <sz val="9"/>
        <color rgb="FF595959"/>
        <rFont val="Arial"/>
        <family val="0"/>
        <charset val="1"/>
      </rPr>
      <t xml:space="preserve">09-15 </t>
    </r>
    <r>
      <rPr>
        <i val="true"/>
        <sz val="9"/>
        <color rgb="FF595959"/>
        <rFont val="Noto Sans CJK SC"/>
        <family val="2"/>
      </rPr>
      <t xml:space="preserve">スナップショットで初めて </t>
    </r>
    <r>
      <rPr>
        <i val="true"/>
        <sz val="9"/>
        <color rgb="FF595959"/>
        <rFont val="Arial"/>
        <family val="0"/>
        <charset val="1"/>
      </rPr>
      <t xml:space="preserve">views&gt;0 </t>
    </r>
    <r>
      <rPr>
        <i val="true"/>
        <sz val="9"/>
        <color rgb="FF595959"/>
        <rFont val="Noto Sans CJK SC"/>
        <family val="2"/>
      </rPr>
      <t xml:space="preserve">になった）。下記は本日時点で評価に使えない。</t>
    </r>
  </si>
  <si>
    <r>
      <rPr>
        <sz val="10"/>
        <rFont val="Noto Sans CJK SC"/>
        <family val="2"/>
      </rPr>
      <t xml:space="preserve">ワークマンが一般客を呼んだ転機、売上</t>
    </r>
    <r>
      <rPr>
        <sz val="10"/>
        <rFont val="Arial"/>
        <family val="0"/>
        <charset val="1"/>
      </rPr>
      <t xml:space="preserve">1,283</t>
    </r>
    <r>
      <rPr>
        <sz val="10"/>
        <rFont val="Noto Sans CJK SC"/>
        <family val="2"/>
      </rPr>
      <t xml:space="preserve">億円の裏側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</si>
  <si>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NcHi0GOCZbI</t>
  </si>
  <si>
    <r>
      <rPr>
        <sz val="10"/>
        <rFont val="Noto Sans CJK SC"/>
        <family val="2"/>
      </rPr>
      <t xml:space="preserve">コメダ珈琲が</t>
    </r>
    <r>
      <rPr>
        <sz val="10"/>
        <rFont val="Arial"/>
        <family val="0"/>
        <charset val="1"/>
      </rPr>
      <t xml:space="preserve">FC</t>
    </r>
    <r>
      <rPr>
        <sz val="10"/>
        <rFont val="Noto Sans CJK SC"/>
        <family val="2"/>
      </rPr>
      <t xml:space="preserve">比率</t>
    </r>
    <r>
      <rPr>
        <sz val="10"/>
        <rFont val="Arial"/>
        <family val="0"/>
        <charset val="1"/>
      </rPr>
      <t xml:space="preserve">99%</t>
    </r>
    <r>
      <rPr>
        <sz val="10"/>
        <rFont val="Noto Sans CJK SC"/>
        <family val="2"/>
      </rPr>
      <t xml:space="preserve">にする本当の理由とは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</si>
  <si>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fnSd_UevV9Y</t>
  </si>
  <si>
    <r>
      <rPr>
        <sz val="10"/>
        <rFont val="Noto Sans CJK SC"/>
        <family val="2"/>
      </rPr>
      <t xml:space="preserve">スシローが回転をやめた店を増やす</t>
    </r>
    <r>
      <rPr>
        <sz val="10"/>
        <rFont val="Arial"/>
        <family val="0"/>
        <charset val="1"/>
      </rPr>
      <t xml:space="preserve">3</t>
    </r>
    <r>
      <rPr>
        <sz val="10"/>
        <rFont val="Noto Sans CJK SC"/>
        <family val="2"/>
      </rPr>
      <t xml:space="preserve">業態の狙い実態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</si>
  <si>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yduOYRCbeV0</t>
  </si>
  <si>
    <r>
      <rPr>
        <sz val="10"/>
        <rFont val="Noto Sans CJK SC"/>
        <family val="2"/>
      </rPr>
      <t xml:space="preserve">なぜあなたはくしゃみの</t>
    </r>
    <r>
      <rPr>
        <sz val="10"/>
        <rFont val="Arial"/>
        <family val="0"/>
        <charset val="1"/>
      </rPr>
      <t xml:space="preserve">3</t>
    </r>
    <r>
      <rPr>
        <sz val="10"/>
        <rFont val="Noto Sans CJK SC"/>
        <family val="2"/>
      </rPr>
      <t xml:space="preserve">秒前を予感するのか？本当の正体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</si>
  <si>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npZgeGUSuyU</t>
  </si>
  <si>
    <r>
      <rPr>
        <sz val="10"/>
        <rFont val="Noto Sans CJK SC"/>
        <family val="2"/>
      </rPr>
      <t xml:space="preserve">なぜ海で沖へ運ばれる？毎秒</t>
    </r>
    <r>
      <rPr>
        <sz val="10"/>
        <rFont val="Arial"/>
        <family val="0"/>
        <charset val="1"/>
      </rPr>
      <t xml:space="preserve">1m</t>
    </r>
    <r>
      <rPr>
        <sz val="10"/>
        <rFont val="Noto Sans CJK SC"/>
        <family val="2"/>
      </rPr>
      <t xml:space="preserve">の流れの正体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</si>
  <si>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vCgLfbgThF4</t>
  </si>
  <si>
    <r>
      <rPr>
        <sz val="10"/>
        <rFont val="Arial"/>
        <family val="0"/>
        <charset val="1"/>
      </rPr>
      <t xml:space="preserve">SCP-7777</t>
    </r>
    <r>
      <rPr>
        <sz val="10"/>
        <rFont val="Noto Sans CJK SC"/>
        <family val="2"/>
      </rPr>
      <t xml:space="preserve">が</t>
    </r>
    <r>
      <rPr>
        <sz val="10"/>
        <rFont val="Arial"/>
        <family val="0"/>
        <charset val="1"/>
      </rPr>
      <t xml:space="preserve">72</t>
    </r>
    <r>
      <rPr>
        <sz val="10"/>
        <rFont val="Noto Sans CJK SC"/>
        <family val="2"/>
      </rPr>
      <t xml:space="preserve">時間で窓へ接近する理由 </t>
    </r>
    <r>
      <rPr>
        <sz val="10"/>
        <rFont val="Arial"/>
        <family val="0"/>
        <charset val="1"/>
      </rPr>
      <t xml:space="preserve">#shorts #SCP #SCP</t>
    </r>
    <r>
      <rPr>
        <sz val="10"/>
        <rFont val="Noto Sans CJK SC"/>
        <family val="2"/>
      </rPr>
      <t xml:space="preserve">解説</t>
    </r>
  </si>
  <si>
    <t xml:space="preserve">ZVKUKGZ0sjs</t>
  </si>
  <si>
    <r>
      <rPr>
        <sz val="10"/>
        <rFont val="Noto Sans CJK SC"/>
        <family val="2"/>
      </rPr>
      <t xml:space="preserve">雷獣の爪痕が落雷木に残る…江戸で剥製まで売られた怪異の正体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</si>
  <si>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5It8viRoqko</t>
  </si>
  <si>
    <t xml:space="preserve">2026-09-14</t>
  </si>
  <si>
    <r>
      <rPr>
        <sz val="10"/>
        <rFont val="Noto Sans CJK SC"/>
        <family val="2"/>
      </rPr>
      <t xml:space="preserve">ニトリ</t>
    </r>
    <r>
      <rPr>
        <sz val="10"/>
        <rFont val="Arial"/>
        <family val="0"/>
        <charset val="1"/>
      </rPr>
      <t xml:space="preserve">864</t>
    </r>
    <r>
      <rPr>
        <sz val="10"/>
        <rFont val="Noto Sans CJK SC"/>
        <family val="2"/>
      </rPr>
      <t xml:space="preserve">万円の裏側、配置転換が生む働き方のリアル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</si>
  <si>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6rsFuGUVMpY</t>
  </si>
  <si>
    <r>
      <rPr>
        <sz val="10"/>
        <rFont val="Noto Sans CJK SC"/>
        <family val="2"/>
      </rPr>
      <t xml:space="preserve">任天堂の年収</t>
    </r>
    <r>
      <rPr>
        <sz val="10"/>
        <rFont val="Arial"/>
        <family val="0"/>
        <charset val="1"/>
      </rPr>
      <t xml:space="preserve">986</t>
    </r>
    <r>
      <rPr>
        <sz val="10"/>
        <rFont val="Noto Sans CJK SC"/>
        <family val="2"/>
      </rPr>
      <t xml:space="preserve">万円、実は職種で差が出る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</si>
  <si>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CUEt-Rv-cbw</t>
  </si>
  <si>
    <r>
      <rPr>
        <sz val="10"/>
        <rFont val="Arial"/>
        <family val="0"/>
        <charset val="1"/>
      </rPr>
      <t xml:space="preserve">USJ</t>
    </r>
    <r>
      <rPr>
        <sz val="10"/>
        <rFont val="Noto Sans CJK SC"/>
        <family val="2"/>
      </rPr>
      <t xml:space="preserve">の年収と福利厚生、その実態とは？人気の裏側を暴露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</si>
  <si>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MRVrclIIzEo</t>
  </si>
  <si>
    <r>
      <rPr>
        <sz val="10"/>
        <rFont val="Noto Sans CJK SC"/>
        <family val="2"/>
      </rPr>
      <t xml:space="preserve">味の素の給与</t>
    </r>
    <r>
      <rPr>
        <sz val="10"/>
        <rFont val="Arial"/>
        <family val="0"/>
        <charset val="1"/>
      </rPr>
      <t xml:space="preserve">1065</t>
    </r>
    <r>
      <rPr>
        <sz val="10"/>
        <rFont val="Noto Sans CJK SC"/>
        <family val="2"/>
      </rPr>
      <t xml:space="preserve">万円、手当だけではない本当の理由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</si>
  <si>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VynYTrRWhZ8</t>
  </si>
  <si>
    <r>
      <rPr>
        <sz val="10"/>
        <rFont val="Noto Sans CJK SC"/>
        <family val="2"/>
      </rPr>
      <t xml:space="preserve">なぜ立つと</t>
    </r>
    <r>
      <rPr>
        <sz val="10"/>
        <rFont val="Arial"/>
        <family val="0"/>
        <charset val="1"/>
      </rPr>
      <t xml:space="preserve">3</t>
    </r>
    <r>
      <rPr>
        <sz val="10"/>
        <rFont val="Noto Sans CJK SC"/>
        <family val="2"/>
      </rPr>
      <t xml:space="preserve">秒で暗くなるのか？血圧変動の正体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</si>
  <si>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1B1C08jWh1k</t>
  </si>
  <si>
    <r>
      <rPr>
        <sz val="10"/>
        <rFont val="Noto Sans CJK SC"/>
        <family val="2"/>
      </rPr>
      <t xml:space="preserve">なぜ</t>
    </r>
    <r>
      <rPr>
        <sz val="10"/>
        <rFont val="Arial"/>
        <family val="0"/>
        <charset val="1"/>
      </rPr>
      <t xml:space="preserve">USJ</t>
    </r>
    <r>
      <rPr>
        <sz val="10"/>
        <rFont val="Noto Sans CJK SC"/>
        <family val="2"/>
      </rPr>
      <t xml:space="preserve">で脳が</t>
    </r>
    <r>
      <rPr>
        <sz val="10"/>
        <rFont val="Arial"/>
        <family val="0"/>
        <charset val="1"/>
      </rPr>
      <t xml:space="preserve">3</t>
    </r>
    <r>
      <rPr>
        <sz val="10"/>
        <rFont val="Noto Sans CJK SC"/>
        <family val="2"/>
      </rPr>
      <t xml:space="preserve">時間も興奮するのか？実はその正体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</si>
  <si>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Zcmpmhp_57E</t>
  </si>
  <si>
    <r>
      <rPr>
        <sz val="10"/>
        <rFont val="Noto Sans CJK SC"/>
        <family val="2"/>
      </rPr>
      <t xml:space="preserve">なぜ朝は身長が</t>
    </r>
    <r>
      <rPr>
        <sz val="10"/>
        <rFont val="Arial"/>
        <family val="0"/>
        <charset val="1"/>
      </rPr>
      <t xml:space="preserve">2cm</t>
    </r>
    <r>
      <rPr>
        <sz val="10"/>
        <rFont val="Noto Sans CJK SC"/>
        <family val="2"/>
      </rPr>
      <t xml:space="preserve">高いのか？あなたの背中の正体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</si>
  <si>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u1_KTcGZUoY</t>
  </si>
  <si>
    <r>
      <rPr>
        <sz val="10"/>
        <rFont val="Noto Sans CJK SC"/>
        <family val="2"/>
      </rPr>
      <t xml:space="preserve">片足立ちが目を閉じた瞬間、</t>
    </r>
    <r>
      <rPr>
        <sz val="10"/>
        <rFont val="Arial"/>
        <family val="0"/>
        <charset val="1"/>
      </rPr>
      <t xml:space="preserve">3</t>
    </r>
    <r>
      <rPr>
        <sz val="10"/>
        <rFont val="Noto Sans CJK SC"/>
        <family val="2"/>
      </rPr>
      <t xml:space="preserve">倍ぐらつくワケの正体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</si>
  <si>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yLvSo2uoWLI</t>
  </si>
  <si>
    <r>
      <rPr>
        <sz val="10"/>
        <rFont val="Arial"/>
        <family val="0"/>
        <charset val="1"/>
      </rPr>
      <t xml:space="preserve">SCP-1440 </t>
    </r>
    <r>
      <rPr>
        <sz val="10"/>
        <rFont val="Noto Sans CJK SC"/>
        <family val="2"/>
      </rPr>
      <t xml:space="preserve">追跡班が</t>
    </r>
    <r>
      <rPr>
        <sz val="10"/>
        <rFont val="Arial"/>
        <family val="0"/>
        <charset val="1"/>
      </rPr>
      <t xml:space="preserve">7</t>
    </r>
    <r>
      <rPr>
        <sz val="10"/>
        <rFont val="Noto Sans CJK SC"/>
        <family val="2"/>
      </rPr>
      <t xml:space="preserve">日目に報告をやめた謎 </t>
    </r>
    <r>
      <rPr>
        <sz val="10"/>
        <rFont val="Arial"/>
        <family val="0"/>
        <charset val="1"/>
      </rPr>
      <t xml:space="preserve">#shorts #SCP #SCP</t>
    </r>
    <r>
      <rPr>
        <sz val="10"/>
        <rFont val="Noto Sans CJK SC"/>
        <family val="2"/>
      </rPr>
      <t xml:space="preserve">解説</t>
    </r>
  </si>
  <si>
    <t xml:space="preserve">3oHp1IWw_7Y</t>
  </si>
  <si>
    <r>
      <rPr>
        <sz val="10"/>
        <rFont val="Arial"/>
        <family val="0"/>
        <charset val="1"/>
      </rPr>
      <t xml:space="preserve">SCP-████</t>
    </r>
    <r>
      <rPr>
        <sz val="10"/>
        <rFont val="Noto Sans CJK SC"/>
        <family val="2"/>
      </rPr>
      <t xml:space="preserve">「閲覧禁止文書」読了</t>
    </r>
    <r>
      <rPr>
        <sz val="10"/>
        <rFont val="Arial"/>
        <family val="0"/>
        <charset val="1"/>
      </rPr>
      <t xml:space="preserve">23</t>
    </r>
    <r>
      <rPr>
        <sz val="10"/>
        <rFont val="Noto Sans CJK SC"/>
        <family val="2"/>
      </rPr>
      <t xml:space="preserve">名の実態 </t>
    </r>
    <r>
      <rPr>
        <sz val="10"/>
        <rFont val="Arial"/>
        <family val="0"/>
        <charset val="1"/>
      </rPr>
      <t xml:space="preserve">#shorts #SCP #SCP</t>
    </r>
    <r>
      <rPr>
        <sz val="10"/>
        <rFont val="Noto Sans CJK SC"/>
        <family val="2"/>
      </rPr>
      <t xml:space="preserve">解説</t>
    </r>
  </si>
  <si>
    <t xml:space="preserve">AYVdc5Xk7tA</t>
  </si>
  <si>
    <r>
      <rPr>
        <sz val="10"/>
        <rFont val="Arial"/>
        <family val="0"/>
        <charset val="1"/>
      </rPr>
      <t xml:space="preserve">SCP-3125</t>
    </r>
    <r>
      <rPr>
        <sz val="10"/>
        <rFont val="Noto Sans CJK SC"/>
        <family val="2"/>
      </rPr>
      <t xml:space="preserve">「認識の終点」全員消失の真相 </t>
    </r>
    <r>
      <rPr>
        <sz val="10"/>
        <rFont val="Arial"/>
        <family val="0"/>
        <charset val="1"/>
      </rPr>
      <t xml:space="preserve">#shorts #SCP #SCP</t>
    </r>
    <r>
      <rPr>
        <sz val="10"/>
        <rFont val="Noto Sans CJK SC"/>
        <family val="2"/>
      </rPr>
      <t xml:space="preserve">解説</t>
    </r>
  </si>
  <si>
    <t xml:space="preserve">Ar7U-QnU7lY</t>
  </si>
  <si>
    <r>
      <rPr>
        <sz val="10"/>
        <rFont val="Noto Sans CJK SC"/>
        <family val="2"/>
      </rPr>
      <t xml:space="preserve">なぜ堀大輔は</t>
    </r>
    <r>
      <rPr>
        <sz val="10"/>
        <rFont val="Arial"/>
        <family val="0"/>
        <charset val="1"/>
      </rPr>
      <t xml:space="preserve">72</t>
    </r>
    <r>
      <rPr>
        <sz val="10"/>
        <rFont val="Noto Sans CJK SC"/>
        <family val="2"/>
      </rPr>
      <t xml:space="preserve">時間眠らないのか？睡眠不足の恐怖 </t>
    </r>
    <r>
      <rPr>
        <sz val="10"/>
        <rFont val="Arial"/>
        <family val="0"/>
        <charset val="1"/>
      </rPr>
      <t xml:space="preserve">#shorts #SCP #SCP</t>
    </r>
    <r>
      <rPr>
        <sz val="10"/>
        <rFont val="Noto Sans CJK SC"/>
        <family val="2"/>
      </rPr>
      <t xml:space="preserve">解説</t>
    </r>
  </si>
  <si>
    <t xml:space="preserve">CQmP5TyRRE0</t>
  </si>
  <si>
    <r>
      <rPr>
        <sz val="10"/>
        <rFont val="Noto Sans CJK SC"/>
        <family val="2"/>
      </rPr>
      <t xml:space="preserve">見越し入道の正体はなぜ見上げると負けるのか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</si>
  <si>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OICIVgEbf2Q</t>
  </si>
  <si>
    <r>
      <rPr>
        <sz val="10"/>
        <rFont val="Noto Sans CJK SC"/>
        <family val="2"/>
      </rPr>
      <t xml:space="preserve">山彦の声が妖怪になった…江戸時代に描かれた不気味な伝承の正体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</si>
  <si>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_SUv9a6dJ04</t>
  </si>
  <si>
    <r>
      <rPr>
        <sz val="10"/>
        <rFont val="Noto Sans CJK SC"/>
        <family val="2"/>
      </rPr>
      <t xml:space="preserve">影女の元ネタが怖すぎる…誰もいない家に影が映る理由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</si>
  <si>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qGAyyaXeUH0</t>
  </si>
  <si>
    <r>
      <rPr>
        <sz val="10"/>
        <rFont val="Noto Sans CJK SC"/>
        <family val="2"/>
      </rPr>
      <t xml:space="preserve">河童が相撲を求める理由…本朝俗諺志に残る水難の警告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</si>
  <si>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rvGYgW4Lqag</t>
  </si>
  <si>
    <t xml:space="preserve">2026-09-15</t>
  </si>
  <si>
    <r>
      <rPr>
        <sz val="10"/>
        <rFont val="Noto Sans CJK SC"/>
        <family val="2"/>
      </rPr>
      <t xml:space="preserve">日本電産の年収</t>
    </r>
    <r>
      <rPr>
        <sz val="10"/>
        <rFont val="Arial"/>
        <family val="0"/>
        <charset val="1"/>
      </rPr>
      <t xml:space="preserve">817</t>
    </r>
    <r>
      <rPr>
        <sz val="10"/>
        <rFont val="Noto Sans CJK SC"/>
        <family val="2"/>
      </rPr>
      <t xml:space="preserve">万円、実は残業時間とのバランス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</si>
  <si>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2VyUaHMW1Hw</t>
  </si>
  <si>
    <r>
      <rPr>
        <sz val="10"/>
        <rFont val="Noto Sans CJK SC"/>
        <family val="2"/>
      </rPr>
      <t xml:space="preserve">リクルート年収</t>
    </r>
    <r>
      <rPr>
        <sz val="10"/>
        <rFont val="Arial"/>
        <family val="0"/>
        <charset val="1"/>
      </rPr>
      <t xml:space="preserve">1,138</t>
    </r>
    <r>
      <rPr>
        <sz val="10"/>
        <rFont val="Noto Sans CJK SC"/>
        <family val="2"/>
      </rPr>
      <t xml:space="preserve">万円、実は等級で差が出る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</si>
  <si>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Il7L3-G4tZs</t>
  </si>
  <si>
    <r>
      <rPr>
        <sz val="10"/>
        <rFont val="Noto Sans CJK SC"/>
        <family val="2"/>
      </rPr>
      <t xml:space="preserve">楽天トラベルの年収、最大</t>
    </r>
    <r>
      <rPr>
        <sz val="10"/>
        <rFont val="Arial"/>
        <family val="0"/>
        <charset val="1"/>
      </rPr>
      <t xml:space="preserve">70%</t>
    </r>
    <r>
      <rPr>
        <sz val="10"/>
        <rFont val="Noto Sans CJK SC"/>
        <family val="2"/>
      </rPr>
      <t xml:space="preserve">割引の裏側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</si>
  <si>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uPae8AgPgD4</t>
  </si>
  <si>
    <r>
      <rPr>
        <sz val="10"/>
        <rFont val="Noto Sans CJK SC"/>
        <family val="2"/>
      </rPr>
      <t xml:space="preserve">ニトリの粗利率</t>
    </r>
    <r>
      <rPr>
        <sz val="10"/>
        <rFont val="Arial"/>
        <family val="0"/>
        <charset val="1"/>
      </rPr>
      <t xml:space="preserve">55%</t>
    </r>
    <r>
      <rPr>
        <sz val="10"/>
        <rFont val="Noto Sans CJK SC"/>
        <family val="2"/>
      </rPr>
      <t xml:space="preserve">、実は物流まで握る実態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</si>
  <si>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x4yQZPnFVGM</t>
  </si>
  <si>
    <r>
      <rPr>
        <sz val="10"/>
        <rFont val="Noto Sans CJK SC"/>
        <family val="2"/>
      </rPr>
      <t xml:space="preserve">なぜ階段を下りる時だけ膝に体重の</t>
    </r>
    <r>
      <rPr>
        <sz val="10"/>
        <rFont val="Arial"/>
        <family val="0"/>
        <charset val="1"/>
      </rPr>
      <t xml:space="preserve">3</t>
    </r>
    <r>
      <rPr>
        <sz val="10"/>
        <rFont val="Noto Sans CJK SC"/>
        <family val="2"/>
      </rPr>
      <t xml:space="preserve">倍の力がかかるのか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</si>
  <si>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RAY771wbAnc</t>
  </si>
  <si>
    <r>
      <rPr>
        <sz val="10"/>
        <rFont val="Noto Sans CJK SC"/>
        <family val="2"/>
      </rPr>
      <t xml:space="preserve">なぜ味噌汁は冷めると</t>
    </r>
    <r>
      <rPr>
        <sz val="10"/>
        <rFont val="Arial"/>
        <family val="0"/>
        <charset val="1"/>
      </rPr>
      <t xml:space="preserve">2</t>
    </r>
    <r>
      <rPr>
        <sz val="10"/>
        <rFont val="Noto Sans CJK SC"/>
        <family val="2"/>
      </rPr>
      <t xml:space="preserve">倍しょっぱく感じるのか？実は舌の正体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</si>
  <si>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xJ107jzo63M</t>
  </si>
  <si>
    <r>
      <rPr>
        <sz val="10"/>
        <rFont val="Noto Sans CJK SC"/>
        <family val="2"/>
      </rPr>
      <t xml:space="preserve">なぜ</t>
    </r>
    <r>
      <rPr>
        <sz val="10"/>
        <rFont val="Arial"/>
        <family val="0"/>
        <charset val="1"/>
      </rPr>
      <t xml:space="preserve">SCP-610</t>
    </r>
    <r>
      <rPr>
        <sz val="10"/>
        <rFont val="Noto Sans CJK SC"/>
        <family val="2"/>
      </rPr>
      <t xml:space="preserve">の救援隊は全員感染したのか？ </t>
    </r>
    <r>
      <rPr>
        <sz val="10"/>
        <rFont val="Arial"/>
        <family val="0"/>
        <charset val="1"/>
      </rPr>
      <t xml:space="preserve">#shorts #SCP #SCP</t>
    </r>
    <r>
      <rPr>
        <sz val="10"/>
        <rFont val="Noto Sans CJK SC"/>
        <family val="2"/>
      </rPr>
      <t xml:space="preserve">解説</t>
    </r>
  </si>
  <si>
    <t xml:space="preserve">sy5Ok3Ht_KY</t>
  </si>
  <si>
    <r>
      <rPr>
        <sz val="10"/>
        <rFont val="Arial"/>
        <family val="0"/>
        <charset val="1"/>
      </rPr>
      <t xml:space="preserve">SCP-1471 </t>
    </r>
    <r>
      <rPr>
        <sz val="10"/>
        <rFont val="Noto Sans CJK SC"/>
        <family val="2"/>
      </rPr>
      <t xml:space="preserve">通知から後に起きる異変の真相 </t>
    </r>
    <r>
      <rPr>
        <sz val="10"/>
        <rFont val="Arial"/>
        <family val="0"/>
        <charset val="1"/>
      </rPr>
      <t xml:space="preserve">#shorts #SCP #SCP</t>
    </r>
    <r>
      <rPr>
        <sz val="10"/>
        <rFont val="Noto Sans CJK SC"/>
        <family val="2"/>
      </rPr>
      <t xml:space="preserve">解説</t>
    </r>
  </si>
  <si>
    <t xml:space="preserve">yWcovrMUMEI</t>
  </si>
  <si>
    <r>
      <rPr>
        <sz val="10"/>
        <rFont val="Noto Sans CJK SC"/>
        <family val="2"/>
      </rPr>
      <t xml:space="preserve">泥田坊が「田を返せ」と叫ぶ本当の理由が怖すぎる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</si>
  <si>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IWplQL_51ko</t>
  </si>
  <si>
    <r>
      <rPr>
        <sz val="10"/>
        <rFont val="Noto Sans CJK SC"/>
        <family val="2"/>
      </rPr>
      <t xml:space="preserve">なぜ江戸の髪切りの噂は一気に広がったのか？文化五年の記録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</si>
  <si>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P8nHIWKM9QA</t>
  </si>
  <si>
    <r>
      <rPr>
        <sz val="10"/>
        <rFont val="Noto Sans CJK SC"/>
        <family val="2"/>
      </rPr>
      <t xml:space="preserve">天井なめが座敷にだけ現れた理由と囲炉裏の煤の関係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</si>
  <si>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vRcT10h0_a4</t>
  </si>
  <si>
    <r>
      <rPr>
        <b val="true"/>
        <sz val="14"/>
        <color rgb="FF1F3864"/>
        <rFont val="Noto Sans CJK SC"/>
        <family val="2"/>
      </rPr>
      <t xml:space="preserve">改善アクション — </t>
    </r>
    <r>
      <rPr>
        <b val="true"/>
        <sz val="14"/>
        <color rgb="FF1F3864"/>
        <rFont val="Arial"/>
        <family val="0"/>
        <charset val="1"/>
      </rPr>
      <t xml:space="preserve">2026-09-16</t>
    </r>
  </si>
  <si>
    <t xml:space="preserve">実行者が「人」の項目は指揮者では動かせない。至上目標（チャンネル登録者数）への効き目が大きい順に並べてある。</t>
  </si>
  <si>
    <t xml:space="preserve">#</t>
  </si>
  <si>
    <t xml:space="preserve">アクション</t>
  </si>
  <si>
    <t xml:space="preserve">根拠（実データ）</t>
  </si>
  <si>
    <t xml:space="preserve">効き目</t>
  </si>
  <si>
    <t xml:space="preserve">実行者</t>
  </si>
  <si>
    <t xml:space="preserve">状態</t>
  </si>
  <si>
    <t xml:space="preserve">期日</t>
  </si>
  <si>
    <r>
      <rPr>
        <sz val="10"/>
        <rFont val="Arial"/>
        <family val="0"/>
        <charset val="1"/>
      </rPr>
      <t xml:space="preserve">Google OAuth </t>
    </r>
    <r>
      <rPr>
        <sz val="10"/>
        <rFont val="Noto Sans CJK SC"/>
        <family val="2"/>
      </rPr>
      <t xml:space="preserve">同意画面を「テスト」から「本番環境」へ公開する</t>
    </r>
  </si>
  <si>
    <r>
      <rPr>
        <sz val="9"/>
        <rFont val="Arial"/>
        <family val="0"/>
        <charset val="1"/>
      </rPr>
      <t xml:space="preserve">09-09</t>
    </r>
    <r>
      <rPr>
        <sz val="9"/>
        <rFont val="Noto Sans CJK SC"/>
        <family val="2"/>
      </rPr>
      <t xml:space="preserve">〜</t>
    </r>
    <r>
      <rPr>
        <sz val="9"/>
        <rFont val="Arial"/>
        <family val="0"/>
        <charset val="1"/>
      </rPr>
      <t xml:space="preserve">09-12 </t>
    </r>
    <r>
      <rPr>
        <sz val="9"/>
        <rFont val="Noto Sans CJK SC"/>
        <family val="2"/>
      </rPr>
      <t xml:space="preserve">に公開が </t>
    </r>
    <r>
      <rPr>
        <sz val="9"/>
        <rFont val="Arial"/>
        <family val="0"/>
        <charset val="1"/>
      </rPr>
      <t xml:space="preserve">33</t>
    </r>
    <r>
      <rPr>
        <sz val="9"/>
        <rFont val="Noto Sans CJK SC"/>
        <family val="2"/>
      </rPr>
      <t xml:space="preserve">本</t>
    </r>
    <r>
      <rPr>
        <sz val="9"/>
        <rFont val="Arial"/>
        <family val="0"/>
        <charset val="1"/>
      </rPr>
      <t xml:space="preserve">/</t>
    </r>
    <r>
      <rPr>
        <sz val="9"/>
        <rFont val="Noto Sans CJK SC"/>
        <family val="2"/>
      </rPr>
      <t xml:space="preserve">日 → </t>
    </r>
    <r>
      <rPr>
        <sz val="9"/>
        <rFont val="Arial"/>
        <family val="0"/>
        <charset val="1"/>
      </rPr>
      <t xml:space="preserve">0</t>
    </r>
    <r>
      <rPr>
        <sz val="9"/>
        <rFont val="Noto Sans CJK SC"/>
        <family val="2"/>
      </rPr>
      <t xml:space="preserve">〜</t>
    </r>
    <r>
      <rPr>
        <sz val="9"/>
        <rFont val="Arial"/>
        <family val="0"/>
        <charset val="1"/>
      </rPr>
      <t xml:space="preserve">2</t>
    </r>
    <r>
      <rPr>
        <sz val="9"/>
        <rFont val="Noto Sans CJK SC"/>
        <family val="2"/>
      </rPr>
      <t xml:space="preserve">本</t>
    </r>
    <r>
      <rPr>
        <sz val="9"/>
        <rFont val="Arial"/>
        <family val="0"/>
        <charset val="1"/>
      </rPr>
      <t xml:space="preserve">/</t>
    </r>
    <r>
      <rPr>
        <sz val="9"/>
        <rFont val="Noto Sans CJK SC"/>
        <family val="2"/>
      </rPr>
      <t xml:space="preserve">日 へ全停止。原因は全 </t>
    </r>
    <r>
      <rPr>
        <sz val="9"/>
        <rFont val="Arial"/>
        <family val="0"/>
        <charset val="1"/>
      </rPr>
      <t xml:space="preserve">ch </t>
    </r>
    <r>
      <rPr>
        <sz val="9"/>
        <rFont val="Noto Sans CJK SC"/>
        <family val="2"/>
      </rPr>
      <t xml:space="preserve">のリフレッシュトークン一斉失効。失効 </t>
    </r>
    <r>
      <rPr>
        <sz val="9"/>
        <rFont val="Arial"/>
        <family val="0"/>
        <charset val="1"/>
      </rPr>
      <t xml:space="preserve">6ch </t>
    </r>
    <r>
      <rPr>
        <sz val="9"/>
        <rFont val="Noto Sans CJK SC"/>
        <family val="2"/>
      </rPr>
      <t xml:space="preserve">の最終リフレッシュは </t>
    </r>
    <r>
      <rPr>
        <sz val="9"/>
        <rFont val="Arial"/>
        <family val="0"/>
        <charset val="1"/>
      </rPr>
      <t xml:space="preserve">7.5</t>
    </r>
    <r>
      <rPr>
        <sz val="9"/>
        <rFont val="Noto Sans CJK SC"/>
        <family val="2"/>
      </rPr>
      <t xml:space="preserve">〜</t>
    </r>
    <r>
      <rPr>
        <sz val="9"/>
        <rFont val="Arial"/>
        <family val="0"/>
        <charset val="1"/>
      </rPr>
      <t xml:space="preserve">9.5 </t>
    </r>
    <r>
      <rPr>
        <sz val="9"/>
        <rFont val="Noto Sans CJK SC"/>
        <family val="2"/>
      </rPr>
      <t xml:space="preserve">日前に固まっており、テスト公開時の </t>
    </r>
    <r>
      <rPr>
        <sz val="9"/>
        <rFont val="Arial"/>
        <family val="0"/>
        <charset val="1"/>
      </rPr>
      <t xml:space="preserve">7 </t>
    </r>
    <r>
      <rPr>
        <sz val="9"/>
        <rFont val="Noto Sans CJK SC"/>
        <family val="2"/>
      </rPr>
      <t xml:space="preserve">日寿命と一致する。</t>
    </r>
    <r>
      <rPr>
        <sz val="9"/>
        <rFont val="Arial"/>
        <family val="0"/>
        <charset val="1"/>
      </rPr>
      <t xml:space="preserve">09-13 </t>
    </r>
    <r>
      <rPr>
        <sz val="9"/>
        <rFont val="Noto Sans CJK SC"/>
        <family val="2"/>
      </rPr>
      <t xml:space="preserve">に再認可した </t>
    </r>
    <r>
      <rPr>
        <sz val="9"/>
        <rFont val="Arial"/>
        <family val="0"/>
        <charset val="1"/>
      </rPr>
      <t xml:space="preserve">6ch </t>
    </r>
    <r>
      <rPr>
        <sz val="9"/>
        <rFont val="Noto Sans CJK SC"/>
        <family val="2"/>
      </rPr>
      <t xml:space="preserve">も同じ寿命なら </t>
    </r>
    <r>
      <rPr>
        <sz val="9"/>
        <rFont val="Arial"/>
        <family val="0"/>
        <charset val="1"/>
      </rPr>
      <t xml:space="preserve">09-20 </t>
    </r>
    <r>
      <rPr>
        <sz val="9"/>
        <rFont val="Noto Sans CJK SC"/>
        <family val="2"/>
      </rPr>
      <t xml:space="preserve">前後に再失効する。</t>
    </r>
  </si>
  <si>
    <r>
      <rPr>
        <sz val="10"/>
        <rFont val="Noto Sans CJK SC"/>
        <family val="2"/>
      </rPr>
      <t xml:space="preserve">最大（停止</t>
    </r>
    <r>
      <rPr>
        <sz val="10"/>
        <rFont val="Arial"/>
        <family val="0"/>
        <charset val="1"/>
      </rPr>
      <t xml:space="preserve">1</t>
    </r>
    <r>
      <rPr>
        <sz val="10"/>
        <rFont val="Noto Sans CJK SC"/>
        <family val="2"/>
      </rPr>
      <t xml:space="preserve">回あたり約 </t>
    </r>
    <r>
      <rPr>
        <sz val="10"/>
        <rFont val="Arial"/>
        <family val="0"/>
        <charset val="1"/>
      </rPr>
      <t xml:space="preserve">100 </t>
    </r>
    <r>
      <rPr>
        <sz val="10"/>
        <rFont val="Noto Sans CJK SC"/>
        <family val="2"/>
      </rPr>
      <t xml:space="preserve">本 ≒ </t>
    </r>
    <r>
      <rPr>
        <sz val="10"/>
        <rFont val="Arial"/>
        <family val="0"/>
        <charset val="1"/>
      </rPr>
      <t xml:space="preserve">60 </t>
    </r>
    <r>
      <rPr>
        <sz val="10"/>
        <rFont val="Noto Sans CJK SC"/>
        <family val="2"/>
      </rPr>
      <t xml:space="preserve">人分の公開機会）</t>
    </r>
  </si>
  <si>
    <t xml:space="preserve">人</t>
  </si>
  <si>
    <t xml:space="preserve">未着手</t>
  </si>
  <si>
    <t xml:space="preserve">至急</t>
  </si>
  <si>
    <r>
      <rPr>
        <sz val="10"/>
        <rFont val="Noto Sans CJK SC"/>
        <family val="2"/>
      </rPr>
      <t xml:space="preserve">失効 </t>
    </r>
    <r>
      <rPr>
        <sz val="10"/>
        <rFont val="Arial"/>
        <family val="0"/>
        <charset val="1"/>
      </rPr>
      <t xml:space="preserve">6ch</t>
    </r>
    <r>
      <rPr>
        <sz val="10"/>
        <rFont val="Noto Sans CJK SC"/>
        <family val="2"/>
      </rPr>
      <t xml:space="preserve">（</t>
    </r>
    <r>
      <rPr>
        <sz val="10"/>
        <rFont val="Arial"/>
        <family val="0"/>
        <charset val="1"/>
      </rPr>
      <t xml:space="preserve">clip-lab / clip-kaneko / clip-fukada / akashic-librarian / fake-paper / clip-animal</t>
    </r>
    <r>
      <rPr>
        <sz val="10"/>
        <rFont val="Noto Sans CJK SC"/>
        <family val="2"/>
      </rPr>
      <t xml:space="preserve">）と </t>
    </r>
    <r>
      <rPr>
        <sz val="10"/>
        <rFont val="Arial"/>
        <family val="0"/>
        <charset val="1"/>
      </rPr>
      <t xml:space="preserve">pokemon-lab </t>
    </r>
    <r>
      <rPr>
        <sz val="10"/>
        <rFont val="Noto Sans CJK SC"/>
        <family val="2"/>
      </rPr>
      <t xml:space="preserve">を再認可する</t>
    </r>
  </si>
  <si>
    <r>
      <rPr>
        <sz val="9"/>
        <rFont val="Arial"/>
        <family val="0"/>
        <charset val="1"/>
      </rPr>
      <t xml:space="preserve">oauth_health_check.py: 6ch </t>
    </r>
    <r>
      <rPr>
        <sz val="9"/>
        <rFont val="Noto Sans CJK SC"/>
        <family val="2"/>
      </rPr>
      <t xml:space="preserve">が </t>
    </r>
    <r>
      <rPr>
        <sz val="9"/>
        <rFont val="Arial"/>
        <family val="0"/>
        <charset val="1"/>
      </rPr>
      <t xml:space="preserve">7.5</t>
    </r>
    <r>
      <rPr>
        <sz val="9"/>
        <rFont val="Noto Sans CJK SC"/>
        <family val="2"/>
      </rPr>
      <t xml:space="preserve">〜</t>
    </r>
    <r>
      <rPr>
        <sz val="9"/>
        <rFont val="Arial"/>
        <family val="0"/>
        <charset val="1"/>
      </rPr>
      <t xml:space="preserve">9.5 </t>
    </r>
    <r>
      <rPr>
        <sz val="9"/>
        <rFont val="Noto Sans CJK SC"/>
        <family val="2"/>
      </rPr>
      <t xml:space="preserve">日経過で失効、</t>
    </r>
    <r>
      <rPr>
        <sz val="9"/>
        <rFont val="Arial"/>
        <family val="0"/>
        <charset val="1"/>
      </rPr>
      <t xml:space="preserve">pokemon-lab </t>
    </r>
    <r>
      <rPr>
        <sz val="9"/>
        <rFont val="Noto Sans CJK SC"/>
        <family val="2"/>
      </rPr>
      <t xml:space="preserve">は </t>
    </r>
    <r>
      <rPr>
        <sz val="9"/>
        <rFont val="Arial"/>
        <family val="0"/>
        <charset val="1"/>
      </rPr>
      <t xml:space="preserve">6.1 </t>
    </r>
    <r>
      <rPr>
        <sz val="9"/>
        <rFont val="Noto Sans CJK SC"/>
        <family val="2"/>
      </rPr>
      <t xml:space="preserve">日で警告。この </t>
    </r>
    <r>
      <rPr>
        <sz val="9"/>
        <rFont val="Arial"/>
        <family val="0"/>
        <charset val="1"/>
      </rPr>
      <t xml:space="preserve">7ch </t>
    </r>
    <r>
      <rPr>
        <sz val="9"/>
        <rFont val="Noto Sans CJK SC"/>
        <family val="2"/>
      </rPr>
      <t xml:space="preserve">は </t>
    </r>
    <r>
      <rPr>
        <sz val="9"/>
        <rFont val="Arial"/>
        <family val="0"/>
        <charset val="1"/>
      </rPr>
      <t xml:space="preserve">09-10 </t>
    </r>
    <r>
      <rPr>
        <sz val="9"/>
        <rFont val="Noto Sans CJK SC"/>
        <family val="2"/>
      </rPr>
      <t xml:space="preserve">以降 </t>
    </r>
    <r>
      <rPr>
        <sz val="9"/>
        <rFont val="Arial"/>
        <family val="0"/>
        <charset val="1"/>
      </rPr>
      <t xml:space="preserve">1 </t>
    </r>
    <r>
      <rPr>
        <sz val="9"/>
        <rFont val="Noto Sans CJK SC"/>
        <family val="2"/>
      </rPr>
      <t xml:space="preserve">本も公開していない。</t>
    </r>
  </si>
  <si>
    <r>
      <rPr>
        <sz val="10"/>
        <rFont val="Noto Sans CJK SC"/>
        <family val="2"/>
      </rPr>
      <t xml:space="preserve">大（</t>
    </r>
    <r>
      <rPr>
        <sz val="10"/>
        <rFont val="Arial"/>
        <family val="0"/>
        <charset val="1"/>
      </rPr>
      <t xml:space="preserve">13ch </t>
    </r>
    <r>
      <rPr>
        <sz val="10"/>
        <rFont val="Noto Sans CJK SC"/>
        <family val="2"/>
      </rPr>
      <t xml:space="preserve">中 </t>
    </r>
    <r>
      <rPr>
        <sz val="10"/>
        <rFont val="Arial"/>
        <family val="0"/>
        <charset val="1"/>
      </rPr>
      <t xml:space="preserve">7ch </t>
    </r>
    <r>
      <rPr>
        <sz val="10"/>
        <rFont val="Noto Sans CJK SC"/>
        <family val="2"/>
      </rPr>
      <t xml:space="preserve">が停止中）</t>
    </r>
  </si>
  <si>
    <r>
      <rPr>
        <sz val="10"/>
        <rFont val="Noto Sans CJK SC"/>
        <family val="2"/>
      </rPr>
      <t xml:space="preserve">至急（</t>
    </r>
    <r>
      <rPr>
        <sz val="10"/>
        <rFont val="Arial"/>
        <family val="0"/>
        <charset val="1"/>
      </rPr>
      <t xml:space="preserve">#1 </t>
    </r>
    <r>
      <rPr>
        <sz val="10"/>
        <rFont val="Noto Sans CJK SC"/>
        <family val="2"/>
      </rPr>
      <t xml:space="preserve">の後）</t>
    </r>
  </si>
  <si>
    <r>
      <rPr>
        <sz val="10"/>
        <rFont val="Noto Sans CJK SC"/>
        <family val="2"/>
      </rPr>
      <t xml:space="preserve">サムネイル権限の </t>
    </r>
    <r>
      <rPr>
        <sz val="10"/>
        <rFont val="Arial"/>
        <family val="0"/>
        <charset val="1"/>
      </rPr>
      <t xml:space="preserve">403 </t>
    </r>
    <r>
      <rPr>
        <sz val="10"/>
        <rFont val="Noto Sans CJK SC"/>
        <family val="2"/>
      </rPr>
      <t xml:space="preserve">を解消する（</t>
    </r>
    <r>
      <rPr>
        <sz val="10"/>
        <rFont val="Arial"/>
        <family val="0"/>
        <charset val="1"/>
      </rPr>
      <t xml:space="preserve">YouTube </t>
    </r>
    <r>
      <rPr>
        <sz val="10"/>
        <rFont val="Noto Sans CJK SC"/>
        <family val="2"/>
      </rPr>
      <t xml:space="preserve">の電話番号確認）</t>
    </r>
  </si>
  <si>
    <r>
      <rPr>
        <sz val="9"/>
        <rFont val="Arial"/>
        <family val="0"/>
        <charset val="1"/>
      </rPr>
      <t xml:space="preserve">09-16 </t>
    </r>
    <r>
      <rPr>
        <sz val="9"/>
        <rFont val="Noto Sans CJK SC"/>
        <family val="2"/>
      </rPr>
      <t xml:space="preserve">の公開でも </t>
    </r>
    <r>
      <rPr>
        <sz val="9"/>
        <rFont val="Arial"/>
        <family val="0"/>
        <charset val="1"/>
      </rPr>
      <t xml:space="preserve">scp-lab / company-facts / yokai-watch </t>
    </r>
    <r>
      <rPr>
        <sz val="9"/>
        <rFont val="Noto Sans CJK SC"/>
        <family val="2"/>
      </rPr>
      <t xml:space="preserve">は全件 </t>
    </r>
    <r>
      <rPr>
        <sz val="9"/>
        <rFont val="Arial"/>
        <family val="0"/>
        <charset val="1"/>
      </rPr>
      <t xml:space="preserve">403</t>
    </r>
    <r>
      <rPr>
        <sz val="9"/>
        <rFont val="Noto Sans CJK SC"/>
        <family val="2"/>
      </rPr>
      <t xml:space="preserve">。成功しているのは </t>
    </r>
    <r>
      <rPr>
        <sz val="9"/>
        <rFont val="Arial"/>
        <family val="0"/>
        <charset val="1"/>
      </rPr>
      <t xml:space="preserve">daily-science </t>
    </r>
    <r>
      <rPr>
        <sz val="9"/>
        <rFont val="Noto Sans CJK SC"/>
        <family val="2"/>
      </rPr>
      <t xml:space="preserve">のみ。</t>
    </r>
    <r>
      <rPr>
        <sz val="9"/>
        <rFont val="Arial"/>
        <family val="0"/>
        <charset val="1"/>
      </rPr>
      <t xml:space="preserve">4 </t>
    </r>
    <r>
      <rPr>
        <sz val="9"/>
        <rFont val="Noto Sans CJK SC"/>
        <family val="2"/>
      </rPr>
      <t xml:space="preserve">日連続で未解決。</t>
    </r>
    <r>
      <rPr>
        <sz val="9"/>
        <rFont val="Arial"/>
        <family val="0"/>
        <charset val="1"/>
      </rPr>
      <t xml:space="preserve">pokemon-lab </t>
    </r>
    <r>
      <rPr>
        <sz val="9"/>
        <rFont val="Noto Sans CJK SC"/>
        <family val="2"/>
      </rPr>
      <t xml:space="preserve">は </t>
    </r>
    <r>
      <rPr>
        <sz val="9"/>
        <rFont val="Arial"/>
        <family val="0"/>
        <charset val="1"/>
      </rPr>
      <t xml:space="preserve">browse/suggested CTR 0.69% </t>
    </r>
    <r>
      <rPr>
        <sz val="9"/>
        <rFont val="Noto Sans CJK SC"/>
        <family val="2"/>
      </rPr>
      <t xml:space="preserve">で </t>
    </r>
    <r>
      <rPr>
        <sz val="9"/>
        <rFont val="Arial"/>
        <family val="0"/>
        <charset val="1"/>
      </rPr>
      <t xml:space="preserve">6ch </t>
    </r>
    <r>
      <rPr>
        <sz val="9"/>
        <rFont val="Noto Sans CJK SC"/>
        <family val="2"/>
      </rPr>
      <t xml:space="preserve">最低であり、サムネが当 </t>
    </r>
    <r>
      <rPr>
        <sz val="9"/>
        <rFont val="Arial"/>
        <family val="0"/>
        <charset val="1"/>
      </rPr>
      <t xml:space="preserve">ch </t>
    </r>
    <r>
      <rPr>
        <sz val="9"/>
        <rFont val="Noto Sans CJK SC"/>
        <family val="2"/>
      </rPr>
      <t xml:space="preserve">の最大のボトルネックと特定済み。</t>
    </r>
  </si>
  <si>
    <r>
      <rPr>
        <sz val="10"/>
        <rFont val="Noto Sans CJK SC"/>
        <family val="2"/>
      </rPr>
      <t xml:space="preserve">大（</t>
    </r>
    <r>
      <rPr>
        <sz val="10"/>
        <rFont val="Arial"/>
        <family val="0"/>
        <charset val="1"/>
      </rPr>
      <t xml:space="preserve">CTR </t>
    </r>
    <r>
      <rPr>
        <sz val="10"/>
        <rFont val="Noto Sans CJK SC"/>
        <family val="2"/>
      </rPr>
      <t xml:space="preserve">経由で全 </t>
    </r>
    <r>
      <rPr>
        <sz val="10"/>
        <rFont val="Arial"/>
        <family val="0"/>
        <charset val="1"/>
      </rPr>
      <t xml:space="preserve">ch </t>
    </r>
    <r>
      <rPr>
        <sz val="10"/>
        <rFont val="Noto Sans CJK SC"/>
        <family val="2"/>
      </rPr>
      <t xml:space="preserve">に効く）</t>
    </r>
  </si>
  <si>
    <r>
      <rPr>
        <sz val="10"/>
        <rFont val="Arial"/>
        <family val="0"/>
        <charset val="1"/>
      </rPr>
      <t xml:space="preserve">Anthropic API </t>
    </r>
    <r>
      <rPr>
        <sz val="10"/>
        <rFont val="Noto Sans CJK SC"/>
        <family val="2"/>
      </rPr>
      <t xml:space="preserve">キーを差し替える</t>
    </r>
  </si>
  <si>
    <r>
      <rPr>
        <sz val="9"/>
        <rFont val="Arial"/>
        <family val="0"/>
        <charset val="1"/>
      </rPr>
      <t xml:space="preserve">backend.log: claude_client call failed (thumbnail_brief) 401</t>
    </r>
    <r>
      <rPr>
        <sz val="9"/>
        <rFont val="Noto Sans CJK SC"/>
        <family val="2"/>
      </rPr>
      <t xml:space="preserve">。連動して </t>
    </r>
    <r>
      <rPr>
        <sz val="9"/>
        <rFont val="Arial"/>
        <family val="0"/>
        <charset val="1"/>
      </rPr>
      <t xml:space="preserve">series_engine </t>
    </r>
    <r>
      <rPr>
        <sz val="9"/>
        <rFont val="Noto Sans CJK SC"/>
        <family val="2"/>
      </rPr>
      <t xml:space="preserve">が全 </t>
    </r>
    <r>
      <rPr>
        <sz val="9"/>
        <rFont val="Arial"/>
        <family val="0"/>
        <charset val="1"/>
      </rPr>
      <t xml:space="preserve">ch </t>
    </r>
    <r>
      <rPr>
        <sz val="9"/>
        <rFont val="Noto Sans CJK SC"/>
        <family val="2"/>
      </rPr>
      <t xml:space="preserve">で「</t>
    </r>
    <r>
      <rPr>
        <sz val="9"/>
        <rFont val="Arial"/>
        <family val="0"/>
        <charset val="1"/>
      </rPr>
      <t xml:space="preserve">Claude </t>
    </r>
    <r>
      <rPr>
        <sz val="9"/>
        <rFont val="Noto Sans CJK SC"/>
        <family val="2"/>
      </rPr>
      <t xml:space="preserve">未応答のため続編候補を生成しません」。サムネ指示文と続編候補が両方止まっている。</t>
    </r>
  </si>
  <si>
    <t xml:space="preserve">中</t>
  </si>
  <si>
    <r>
      <rPr>
        <sz val="10"/>
        <rFont val="Arial"/>
        <family val="0"/>
        <charset val="1"/>
      </rPr>
      <t xml:space="preserve">2ch-matome </t>
    </r>
    <r>
      <rPr>
        <sz val="10"/>
        <rFont val="Noto Sans CJK SC"/>
        <family val="2"/>
      </rPr>
      <t xml:space="preserve">の </t>
    </r>
    <r>
      <rPr>
        <sz val="10"/>
        <rFont val="Arial"/>
        <family val="0"/>
        <charset val="1"/>
      </rPr>
      <t xml:space="preserve">autopilot </t>
    </r>
    <r>
      <rPr>
        <sz val="10"/>
        <rFont val="Noto Sans CJK SC"/>
        <family val="2"/>
      </rPr>
      <t xml:space="preserve">を再開した（本日実施）</t>
    </r>
  </si>
  <si>
    <r>
      <rPr>
        <sz val="9"/>
        <rFont val="Arial"/>
        <family val="0"/>
        <charset val="1"/>
      </rPr>
      <t xml:space="preserve">youtube_tokens.db </t>
    </r>
    <r>
      <rPr>
        <sz val="9"/>
        <rFont val="Noto Sans CJK SC"/>
        <family val="2"/>
      </rPr>
      <t xml:space="preserve">の最終リフレッシュ成功が </t>
    </r>
    <r>
      <rPr>
        <sz val="9"/>
        <rFont val="Arial"/>
        <family val="0"/>
        <charset val="1"/>
      </rPr>
      <t xml:space="preserve">09-15 22:30 </t>
    </r>
    <r>
      <rPr>
        <sz val="9"/>
        <rFont val="Noto Sans CJK SC"/>
        <family val="2"/>
      </rPr>
      <t xml:space="preserve">で当 </t>
    </r>
    <r>
      <rPr>
        <sz val="9"/>
        <rFont val="Arial"/>
        <family val="0"/>
        <charset val="1"/>
      </rPr>
      <t xml:space="preserve">ch </t>
    </r>
    <r>
      <rPr>
        <sz val="9"/>
        <rFont val="Noto Sans CJK SC"/>
        <family val="2"/>
      </rPr>
      <t xml:space="preserve">のトークンは生存。トークンが生きているのに </t>
    </r>
    <r>
      <rPr>
        <sz val="9"/>
        <rFont val="Arial"/>
        <family val="0"/>
        <charset val="1"/>
      </rPr>
      <t xml:space="preserve">autopilot=false </t>
    </r>
    <r>
      <rPr>
        <sz val="9"/>
        <rFont val="Noto Sans CJK SC"/>
        <family val="2"/>
      </rPr>
      <t xml:space="preserve">なのは当 </t>
    </r>
    <r>
      <rPr>
        <sz val="9"/>
        <rFont val="Arial"/>
        <family val="0"/>
        <charset val="1"/>
      </rPr>
      <t xml:space="preserve">ch </t>
    </r>
    <r>
      <rPr>
        <sz val="9"/>
        <rFont val="Noto Sans CJK SC"/>
        <family val="2"/>
      </rPr>
      <t xml:space="preserve">だけだった。</t>
    </r>
    <r>
      <rPr>
        <sz val="9"/>
        <rFont val="Arial"/>
        <family val="0"/>
        <charset val="1"/>
      </rPr>
      <t xml:space="preserve">1</t>
    </r>
    <r>
      <rPr>
        <sz val="9"/>
        <rFont val="Noto Sans CJK SC"/>
        <family val="2"/>
      </rPr>
      <t xml:space="preserve">日</t>
    </r>
    <r>
      <rPr>
        <sz val="9"/>
        <rFont val="Arial"/>
        <family val="0"/>
        <charset val="1"/>
      </rPr>
      <t xml:space="preserve">3</t>
    </r>
    <r>
      <rPr>
        <sz val="9"/>
        <rFont val="Noto Sans CJK SC"/>
        <family val="2"/>
      </rPr>
      <t xml:space="preserve">枠 </t>
    </r>
    <r>
      <rPr>
        <sz val="9"/>
        <rFont val="Arial"/>
        <family val="0"/>
        <charset val="1"/>
      </rPr>
      <t xml:space="preserve">= </t>
    </r>
    <r>
      <rPr>
        <sz val="9"/>
        <rFont val="Noto Sans CJK SC"/>
        <family val="2"/>
      </rPr>
      <t xml:space="preserve">約 </t>
    </r>
    <r>
      <rPr>
        <sz val="9"/>
        <rFont val="Arial"/>
        <family val="0"/>
        <charset val="1"/>
      </rPr>
      <t xml:space="preserve">+0.7 </t>
    </r>
    <r>
      <rPr>
        <sz val="9"/>
        <rFont val="Noto Sans CJK SC"/>
        <family val="2"/>
      </rPr>
      <t xml:space="preserve">登録</t>
    </r>
    <r>
      <rPr>
        <sz val="9"/>
        <rFont val="Arial"/>
        <family val="0"/>
        <charset val="1"/>
      </rPr>
      <t xml:space="preserve">/</t>
    </r>
    <r>
      <rPr>
        <sz val="9"/>
        <rFont val="Noto Sans CJK SC"/>
        <family val="2"/>
      </rPr>
      <t xml:space="preserve">日。</t>
    </r>
  </si>
  <si>
    <r>
      <rPr>
        <sz val="10"/>
        <rFont val="Noto Sans CJK SC"/>
        <family val="2"/>
      </rPr>
      <t xml:space="preserve">小（</t>
    </r>
    <r>
      <rPr>
        <sz val="10"/>
        <rFont val="Arial"/>
        <family val="0"/>
        <charset val="1"/>
      </rPr>
      <t xml:space="preserve">+0.7 </t>
    </r>
    <r>
      <rPr>
        <sz val="10"/>
        <rFont val="Noto Sans CJK SC"/>
        <family val="2"/>
      </rPr>
      <t xml:space="preserve">登録</t>
    </r>
    <r>
      <rPr>
        <sz val="10"/>
        <rFont val="Arial"/>
        <family val="0"/>
        <charset val="1"/>
      </rPr>
      <t xml:space="preserve">/</t>
    </r>
    <r>
      <rPr>
        <sz val="10"/>
        <rFont val="Noto Sans CJK SC"/>
        <family val="2"/>
      </rPr>
      <t xml:space="preserve">日）</t>
    </r>
  </si>
  <si>
    <t xml:space="preserve">指揮者</t>
  </si>
  <si>
    <t xml:space="preserve">適用済</t>
  </si>
  <si>
    <t xml:space="preserve">2026-09-16</t>
  </si>
  <si>
    <r>
      <rPr>
        <sz val="10"/>
        <rFont val="Noto Sans CJK SC"/>
        <family val="2"/>
      </rPr>
      <t xml:space="preserve">バックエンドを </t>
    </r>
    <r>
      <rPr>
        <sz val="10"/>
        <rFont val="Arial"/>
        <family val="0"/>
        <charset val="1"/>
      </rPr>
      <t xml:space="preserve">1 </t>
    </r>
    <r>
      <rPr>
        <sz val="10"/>
        <rFont val="Noto Sans CJK SC"/>
        <family val="2"/>
      </rPr>
      <t xml:space="preserve">回再起動する</t>
    </r>
  </si>
  <si>
    <r>
      <rPr>
        <sz val="9"/>
        <rFont val="Arial"/>
        <family val="0"/>
        <charset val="1"/>
      </rPr>
      <t xml:space="preserve">APScheduler </t>
    </r>
    <r>
      <rPr>
        <sz val="9"/>
        <rFont val="Noto Sans CJK SC"/>
        <family val="2"/>
      </rPr>
      <t xml:space="preserve">のジョブ登録は </t>
    </r>
    <r>
      <rPr>
        <sz val="9"/>
        <rFont val="Arial"/>
        <family val="0"/>
        <charset val="1"/>
      </rPr>
      <t xml:space="preserve">restore_all() </t>
    </r>
    <r>
      <rPr>
        <sz val="9"/>
        <rFont val="Noto Sans CJK SC"/>
        <family val="2"/>
      </rPr>
      <t xml:space="preserve">が起動時に </t>
    </r>
    <r>
      <rPr>
        <sz val="9"/>
        <rFont val="Arial"/>
        <family val="0"/>
        <charset val="1"/>
      </rPr>
      <t xml:space="preserve">data/channels/*.json </t>
    </r>
    <r>
      <rPr>
        <sz val="9"/>
        <rFont val="Noto Sans CJK SC"/>
        <family val="2"/>
      </rPr>
      <t xml:space="preserve">を読んで行う。</t>
    </r>
    <r>
      <rPr>
        <sz val="9"/>
        <rFont val="Arial"/>
        <family val="0"/>
        <charset val="1"/>
      </rPr>
      <t xml:space="preserve">#5 </t>
    </r>
    <r>
      <rPr>
        <sz val="9"/>
        <rFont val="Noto Sans CJK SC"/>
        <family val="2"/>
      </rPr>
      <t xml:space="preserve">の変更は再起動しないと反映されない。</t>
    </r>
  </si>
  <si>
    <r>
      <rPr>
        <sz val="10"/>
        <rFont val="Noto Sans CJK SC"/>
        <family val="2"/>
      </rPr>
      <t xml:space="preserve">小（</t>
    </r>
    <r>
      <rPr>
        <sz val="10"/>
        <rFont val="Arial"/>
        <family val="0"/>
        <charset val="1"/>
      </rPr>
      <t xml:space="preserve">#5 </t>
    </r>
    <r>
      <rPr>
        <sz val="10"/>
        <rFont val="Noto Sans CJK SC"/>
        <family val="2"/>
      </rPr>
      <t xml:space="preserve">の前提）</t>
    </r>
  </si>
  <si>
    <t xml:space="preserve">本日中</t>
  </si>
  <si>
    <r>
      <rPr>
        <sz val="10"/>
        <rFont val="Arial"/>
        <family val="0"/>
        <charset val="1"/>
      </rPr>
      <t xml:space="preserve">09-09</t>
    </r>
    <r>
      <rPr>
        <sz val="10"/>
        <rFont val="Noto Sans CJK SC"/>
        <family val="2"/>
      </rPr>
      <t xml:space="preserve">〜</t>
    </r>
    <r>
      <rPr>
        <sz val="10"/>
        <rFont val="Arial"/>
        <family val="0"/>
        <charset val="1"/>
      </rPr>
      <t xml:space="preserve">09-12 </t>
    </r>
    <r>
      <rPr>
        <sz val="10"/>
        <rFont val="Noto Sans CJK SC"/>
        <family val="2"/>
      </rPr>
      <t xml:space="preserve">の </t>
    </r>
    <r>
      <rPr>
        <sz val="10"/>
        <rFont val="Arial"/>
        <family val="0"/>
        <charset val="1"/>
      </rPr>
      <t xml:space="preserve">analytics </t>
    </r>
    <r>
      <rPr>
        <sz val="10"/>
        <rFont val="Noto Sans CJK SC"/>
        <family val="2"/>
      </rPr>
      <t xml:space="preserve">を遡って同期する</t>
    </r>
  </si>
  <si>
    <r>
      <rPr>
        <sz val="9"/>
        <rFont val="Arial"/>
        <family val="0"/>
        <charset val="1"/>
      </rPr>
      <t xml:space="preserve">video_metrics </t>
    </r>
    <r>
      <rPr>
        <sz val="9"/>
        <rFont val="Noto Sans CJK SC"/>
        <family val="2"/>
      </rPr>
      <t xml:space="preserve">の </t>
    </r>
    <r>
      <rPr>
        <sz val="9"/>
        <rFont val="Arial"/>
        <family val="0"/>
        <charset val="1"/>
      </rPr>
      <t xml:space="preserve">date </t>
    </r>
    <r>
      <rPr>
        <sz val="9"/>
        <rFont val="Noto Sans CJK SC"/>
        <family val="2"/>
      </rPr>
      <t xml:space="preserve">列に </t>
    </r>
    <r>
      <rPr>
        <sz val="9"/>
        <rFont val="Arial"/>
        <family val="0"/>
        <charset val="1"/>
      </rPr>
      <t xml:space="preserve">2026-09-09</t>
    </r>
    <r>
      <rPr>
        <sz val="9"/>
        <rFont val="Noto Sans CJK SC"/>
        <family val="2"/>
      </rPr>
      <t xml:space="preserve">〜</t>
    </r>
    <r>
      <rPr>
        <sz val="9"/>
        <rFont val="Arial"/>
        <family val="0"/>
        <charset val="1"/>
      </rPr>
      <t xml:space="preserve">09-12 </t>
    </r>
    <r>
      <rPr>
        <sz val="9"/>
        <rFont val="Noto Sans CJK SC"/>
        <family val="2"/>
      </rPr>
      <t xml:space="preserve">が </t>
    </r>
    <r>
      <rPr>
        <sz val="9"/>
        <rFont val="Arial"/>
        <family val="0"/>
        <charset val="1"/>
      </rPr>
      <t xml:space="preserve">1 </t>
    </r>
    <r>
      <rPr>
        <sz val="9"/>
        <rFont val="Noto Sans CJK SC"/>
        <family val="2"/>
      </rPr>
      <t xml:space="preserve">行も無い。当該期間に公開した動画は </t>
    </r>
    <r>
      <rPr>
        <sz val="9"/>
        <rFont val="Arial"/>
        <family val="0"/>
        <charset val="1"/>
      </rPr>
      <t xml:space="preserve">4 </t>
    </r>
    <r>
      <rPr>
        <sz val="9"/>
        <rFont val="Noto Sans CJK SC"/>
        <family val="2"/>
      </rPr>
      <t xml:space="preserve">本だけなので損失は小さいが、同期ジョブが止まっても気づけない構造が残っている。</t>
    </r>
  </si>
  <si>
    <t xml:space="preserve">小（監視の穴）</t>
  </si>
  <si>
    <t xml:space="preserve">任意</t>
  </si>
  <si>
    <r>
      <rPr>
        <sz val="10"/>
        <rFont val="Noto Sans CJK SC"/>
        <family val="2"/>
      </rPr>
      <t xml:space="preserve">型ルール・投稿枠の効果検証を </t>
    </r>
    <r>
      <rPr>
        <sz val="10"/>
        <rFont val="Arial"/>
        <family val="0"/>
        <charset val="1"/>
      </rPr>
      <t xml:space="preserve">09-17 → 09-23 </t>
    </r>
    <r>
      <rPr>
        <sz val="10"/>
        <rFont val="Noto Sans CJK SC"/>
        <family val="2"/>
      </rPr>
      <t xml:space="preserve">へ延期した（本日実施）</t>
    </r>
  </si>
  <si>
    <r>
      <rPr>
        <sz val="9"/>
        <rFont val="Noto Sans CJK SC"/>
        <family val="2"/>
      </rPr>
      <t xml:space="preserve">評価対象コホート </t>
    </r>
    <r>
      <rPr>
        <sz val="9"/>
        <rFont val="Arial"/>
        <family val="0"/>
        <charset val="1"/>
      </rPr>
      <t xml:space="preserve">09-10</t>
    </r>
    <r>
      <rPr>
        <sz val="9"/>
        <rFont val="Noto Sans CJK SC"/>
        <family val="2"/>
      </rPr>
      <t xml:space="preserve">〜</t>
    </r>
    <r>
      <rPr>
        <sz val="9"/>
        <rFont val="Arial"/>
        <family val="0"/>
        <charset val="1"/>
      </rPr>
      <t xml:space="preserve">09-15 </t>
    </r>
    <r>
      <rPr>
        <sz val="9"/>
        <rFont val="Noto Sans CJK SC"/>
        <family val="2"/>
      </rPr>
      <t xml:space="preserve">のうち </t>
    </r>
    <r>
      <rPr>
        <sz val="9"/>
        <rFont val="Arial"/>
        <family val="0"/>
        <charset val="1"/>
      </rPr>
      <t xml:space="preserve">views&gt;0 </t>
    </r>
    <r>
      <rPr>
        <sz val="9"/>
        <rFont val="Noto Sans CJK SC"/>
        <family val="2"/>
      </rPr>
      <t xml:space="preserve">は </t>
    </r>
    <r>
      <rPr>
        <sz val="9"/>
        <rFont val="Arial"/>
        <family val="0"/>
        <charset val="1"/>
      </rPr>
      <t xml:space="preserve">6ch </t>
    </r>
    <r>
      <rPr>
        <sz val="9"/>
        <rFont val="Noto Sans CJK SC"/>
        <family val="2"/>
      </rPr>
      <t xml:space="preserve">合計 </t>
    </r>
    <r>
      <rPr>
        <sz val="9"/>
        <rFont val="Arial"/>
        <family val="0"/>
        <charset val="1"/>
      </rPr>
      <t xml:space="preserve">1 </t>
    </r>
    <r>
      <rPr>
        <sz val="9"/>
        <rFont val="Noto Sans CJK SC"/>
        <family val="2"/>
      </rPr>
      <t xml:space="preserve">本のみ。</t>
    </r>
    <r>
      <rPr>
        <sz val="9"/>
        <rFont val="Arial"/>
        <family val="0"/>
        <charset val="1"/>
      </rPr>
      <t xml:space="preserve">09-09</t>
    </r>
    <r>
      <rPr>
        <sz val="9"/>
        <rFont val="Noto Sans CJK SC"/>
        <family val="2"/>
      </rPr>
      <t xml:space="preserve">〜</t>
    </r>
    <r>
      <rPr>
        <sz val="9"/>
        <rFont val="Arial"/>
        <family val="0"/>
        <charset val="1"/>
      </rPr>
      <t xml:space="preserve">09-12 </t>
    </r>
    <r>
      <rPr>
        <sz val="9"/>
        <rFont val="Noto Sans CJK SC"/>
        <family val="2"/>
      </rPr>
      <t xml:space="preserve">の公開停止に加え、</t>
    </r>
    <r>
      <rPr>
        <sz val="9"/>
        <rFont val="Arial"/>
        <family val="0"/>
        <charset val="1"/>
      </rPr>
      <t xml:space="preserve">views </t>
    </r>
    <r>
      <rPr>
        <sz val="9"/>
        <rFont val="Noto Sans CJK SC"/>
        <family val="2"/>
      </rPr>
      <t xml:space="preserve">は公開から約 </t>
    </r>
    <r>
      <rPr>
        <sz val="9"/>
        <rFont val="Arial"/>
        <family val="0"/>
        <charset val="1"/>
      </rPr>
      <t xml:space="preserve">2 </t>
    </r>
    <r>
      <rPr>
        <sz val="9"/>
        <rFont val="Noto Sans CJK SC"/>
        <family val="2"/>
      </rPr>
      <t xml:space="preserve">日遅れて入る。</t>
    </r>
    <r>
      <rPr>
        <sz val="9"/>
        <rFont val="Arial"/>
        <family val="0"/>
        <charset val="1"/>
      </rPr>
      <t xml:space="preserve">09-17 </t>
    </r>
    <r>
      <rPr>
        <sz val="9"/>
        <rFont val="Noto Sans CJK SC"/>
        <family val="2"/>
      </rPr>
      <t xml:space="preserve">では </t>
    </r>
    <r>
      <rPr>
        <sz val="9"/>
        <rFont val="Arial"/>
        <family val="0"/>
        <charset val="1"/>
      </rPr>
      <t xml:space="preserve">n </t>
    </r>
    <r>
      <rPr>
        <sz val="9"/>
        <rFont val="Noto Sans CJK SC"/>
        <family val="2"/>
      </rPr>
      <t xml:space="preserve">が揃わず評価できない。</t>
    </r>
  </si>
  <si>
    <t xml:space="preserve">—（判断の質を守る）</t>
  </si>
  <si>
    <r>
      <rPr>
        <sz val="10"/>
        <rFont val="Noto Sans CJK SC"/>
        <family val="2"/>
      </rPr>
      <t xml:space="preserve">維持率 </t>
    </r>
    <r>
      <rPr>
        <sz val="10"/>
        <rFont val="Arial"/>
        <family val="0"/>
        <charset val="1"/>
      </rPr>
      <t xml:space="preserve">70%</t>
    </r>
    <r>
      <rPr>
        <sz val="10"/>
        <rFont val="Noto Sans CJK SC"/>
        <family val="2"/>
      </rPr>
      <t xml:space="preserve">以上帯のペナルティを根拠にした施策をこれ以上積まない（本日実施）</t>
    </r>
  </si>
  <si>
    <r>
      <rPr>
        <sz val="9"/>
        <rFont val="Arial"/>
        <family val="0"/>
        <charset val="1"/>
      </rPr>
      <t xml:space="preserve">09-15 </t>
    </r>
    <r>
      <rPr>
        <sz val="9"/>
        <rFont val="Noto Sans CJK SC"/>
        <family val="2"/>
      </rPr>
      <t xml:space="preserve">の「</t>
    </r>
    <r>
      <rPr>
        <sz val="9"/>
        <rFont val="Arial"/>
        <family val="0"/>
        <charset val="1"/>
      </rPr>
      <t xml:space="preserve">70%</t>
    </r>
    <r>
      <rPr>
        <sz val="9"/>
        <rFont val="Noto Sans CJK SC"/>
        <family val="2"/>
      </rPr>
      <t xml:space="preserve">以上は登録</t>
    </r>
    <r>
      <rPr>
        <sz val="9"/>
        <rFont val="Arial"/>
        <family val="0"/>
        <charset val="1"/>
      </rPr>
      <t xml:space="preserve">/</t>
    </r>
    <r>
      <rPr>
        <sz val="9"/>
        <rFont val="Noto Sans CJK SC"/>
        <family val="2"/>
      </rPr>
      <t xml:space="preserve">千 </t>
    </r>
    <r>
      <rPr>
        <sz val="9"/>
        <rFont val="Arial"/>
        <family val="0"/>
        <charset val="1"/>
      </rPr>
      <t xml:space="preserve">0.294 </t>
    </r>
    <r>
      <rPr>
        <sz val="9"/>
        <rFont val="Noto Sans CJK SC"/>
        <family val="2"/>
      </rPr>
      <t xml:space="preserve">で最下位」は、同一条件の再集計で </t>
    </r>
    <r>
      <rPr>
        <sz val="9"/>
        <rFont val="Arial"/>
        <family val="0"/>
        <charset val="1"/>
      </rPr>
      <t xml:space="preserve">0.471 </t>
    </r>
    <r>
      <rPr>
        <sz val="9"/>
        <rFont val="Noto Sans CJK SC"/>
        <family val="2"/>
      </rPr>
      <t xml:space="preserve">となり再現しなかった。頂点が </t>
    </r>
    <r>
      <rPr>
        <sz val="9"/>
        <rFont val="Arial"/>
        <family val="0"/>
        <charset val="1"/>
      </rPr>
      <t xml:space="preserve">40-50% </t>
    </r>
    <r>
      <rPr>
        <sz val="9"/>
        <rFont val="Noto Sans CJK SC"/>
        <family val="2"/>
      </rPr>
      <t xml:space="preserve">帯であることのみ再現。</t>
    </r>
    <r>
      <rPr>
        <sz val="9"/>
        <rFont val="Arial"/>
        <family val="0"/>
        <charset val="1"/>
      </rPr>
      <t xml:space="preserve">retention_target_band(40-50) </t>
    </r>
    <r>
      <rPr>
        <sz val="9"/>
        <rFont val="Noto Sans CJK SC"/>
        <family val="2"/>
      </rPr>
      <t xml:space="preserve">は据え置き、単調な主張は取り下げた。</t>
    </r>
  </si>
  <si>
    <t xml:space="preserve">—（誤った施策の予防）</t>
  </si>
  <si>
    <t xml:space="preserve">改善リソースは引き続き高評価率に振る</t>
  </si>
  <si>
    <r>
      <rPr>
        <sz val="9"/>
        <rFont val="Arial"/>
        <family val="0"/>
        <charset val="1"/>
      </rPr>
      <t xml:space="preserve">200</t>
    </r>
    <r>
      <rPr>
        <sz val="9"/>
        <rFont val="Noto Sans CJK SC"/>
        <family val="2"/>
      </rPr>
      <t xml:space="preserve">再生以上の四分位で登録</t>
    </r>
    <r>
      <rPr>
        <sz val="9"/>
        <rFont val="Arial"/>
        <family val="0"/>
        <charset val="1"/>
      </rPr>
      <t xml:space="preserve">/</t>
    </r>
    <r>
      <rPr>
        <sz val="9"/>
        <rFont val="Noto Sans CJK SC"/>
        <family val="2"/>
      </rPr>
      <t xml:space="preserve">千再生が単調に増える（</t>
    </r>
    <r>
      <rPr>
        <sz val="9"/>
        <rFont val="Arial"/>
        <family val="0"/>
        <charset val="1"/>
      </rPr>
      <t xml:space="preserve">Q1 0.273 → Q2 0.431 → Q3 0.510 → Q4 0.945</t>
    </r>
    <r>
      <rPr>
        <sz val="9"/>
        <rFont val="Noto Sans CJK SC"/>
        <family val="2"/>
      </rPr>
      <t xml:space="preserve">・</t>
    </r>
    <r>
      <rPr>
        <sz val="9"/>
        <rFont val="Arial"/>
        <family val="0"/>
        <charset val="1"/>
      </rPr>
      <t xml:space="preserve">Q4/Q1 3.46</t>
    </r>
    <r>
      <rPr>
        <sz val="9"/>
        <rFont val="Noto Sans CJK SC"/>
        <family val="2"/>
      </rPr>
      <t xml:space="preserve">倍）。</t>
    </r>
    <r>
      <rPr>
        <sz val="9"/>
        <rFont val="Arial"/>
        <family val="0"/>
        <charset val="1"/>
      </rPr>
      <t xml:space="preserve">6 </t>
    </r>
    <r>
      <rPr>
        <sz val="9"/>
        <rFont val="Noto Sans CJK SC"/>
        <family val="2"/>
      </rPr>
      <t xml:space="preserve">回目の再現。コンフィグに記録した </t>
    </r>
    <r>
      <rPr>
        <sz val="9"/>
        <rFont val="Arial"/>
        <family val="0"/>
        <charset val="1"/>
      </rPr>
      <t xml:space="preserve">3.40</t>
    </r>
    <r>
      <rPr>
        <sz val="9"/>
        <rFont val="Noto Sans CJK SC"/>
        <family val="2"/>
      </rPr>
      <t xml:space="preserve">倍 は四分位の切り方が僅かに違うだけで同じ事実。維持率・再生数にはこの単調性が無い。</t>
    </r>
  </si>
  <si>
    <t xml:space="preserve">大（唯一の単調な説明変数）</t>
  </si>
  <si>
    <t xml:space="preserve">継続</t>
  </si>
  <si>
    <t xml:space="preserve">常時</t>
  </si>
  <si>
    <r>
      <rPr>
        <b val="true"/>
        <sz val="14"/>
        <color rgb="FF1F3864"/>
        <rFont val="Noto Sans CJK SC"/>
        <family val="2"/>
      </rPr>
      <t xml:space="preserve">公開本数の推移と </t>
    </r>
    <r>
      <rPr>
        <b val="true"/>
        <sz val="14"/>
        <color rgb="FF1F3864"/>
        <rFont val="Arial"/>
        <family val="0"/>
        <charset val="1"/>
      </rPr>
      <t xml:space="preserve">analytics </t>
    </r>
    <r>
      <rPr>
        <b val="true"/>
        <sz val="14"/>
        <color rgb="FF1F3864"/>
        <rFont val="Noto Sans CJK SC"/>
        <family val="2"/>
      </rPr>
      <t xml:space="preserve">同期の欠測</t>
    </r>
  </si>
  <si>
    <r>
      <rPr>
        <i val="true"/>
        <sz val="9"/>
        <color rgb="FF595959"/>
        <rFont val="Noto Sans CJK SC"/>
        <family val="2"/>
      </rPr>
      <t xml:space="preserve">出典</t>
    </r>
    <r>
      <rPr>
        <i val="true"/>
        <sz val="9"/>
        <color rgb="FF595959"/>
        <rFont val="Arial"/>
        <family val="0"/>
        <charset val="1"/>
      </rPr>
      <t xml:space="preserve">: data/video_publish.db</t>
    </r>
    <r>
      <rPr>
        <i val="true"/>
        <sz val="9"/>
        <color rgb="FF595959"/>
        <rFont val="Noto Sans CJK SC"/>
        <family val="2"/>
      </rPr>
      <t xml:space="preserve">（公開実績）と </t>
    </r>
    <r>
      <rPr>
        <i val="true"/>
        <sz val="9"/>
        <color rgb="FF595959"/>
        <rFont val="Arial"/>
        <family val="0"/>
        <charset val="1"/>
      </rPr>
      <t xml:space="preserve">data/analytics/analytics.db </t>
    </r>
    <r>
      <rPr>
        <i val="true"/>
        <sz val="9"/>
        <color rgb="FF595959"/>
        <rFont val="Noto Sans CJK SC"/>
        <family val="2"/>
      </rPr>
      <t xml:space="preserve">の </t>
    </r>
    <r>
      <rPr>
        <i val="true"/>
        <sz val="9"/>
        <color rgb="FF595959"/>
        <rFont val="Arial"/>
        <family val="0"/>
        <charset val="1"/>
      </rPr>
      <t xml:space="preserve">date </t>
    </r>
    <r>
      <rPr>
        <i val="true"/>
        <sz val="9"/>
        <color rgb="FF595959"/>
        <rFont val="Noto Sans CJK SC"/>
        <family val="2"/>
      </rPr>
      <t xml:space="preserve">列（同期実績）。</t>
    </r>
    <r>
      <rPr>
        <i val="true"/>
        <sz val="9"/>
        <color rgb="FF595959"/>
        <rFont val="Arial"/>
        <family val="0"/>
        <charset val="1"/>
      </rPr>
      <t xml:space="preserve">2026-09-09</t>
    </r>
    <r>
      <rPr>
        <i val="true"/>
        <sz val="9"/>
        <color rgb="FF595959"/>
        <rFont val="Noto Sans CJK SC"/>
        <family val="2"/>
      </rPr>
      <t xml:space="preserve">〜</t>
    </r>
    <r>
      <rPr>
        <i val="true"/>
        <sz val="9"/>
        <color rgb="FF595959"/>
        <rFont val="Arial"/>
        <family val="0"/>
        <charset val="1"/>
      </rPr>
      <t xml:space="preserve">09-12 </t>
    </r>
    <r>
      <rPr>
        <i val="true"/>
        <sz val="9"/>
        <color rgb="FF595959"/>
        <rFont val="Noto Sans CJK SC"/>
        <family val="2"/>
      </rPr>
      <t xml:space="preserve">は公開と同期が同時に止まっている。</t>
    </r>
  </si>
  <si>
    <t xml:space="preserve">日付</t>
  </si>
  <si>
    <t xml:space="preserve">公開本数</t>
  </si>
  <si>
    <r>
      <rPr>
        <b val="true"/>
        <sz val="10"/>
        <color rgb="FFFFFFFF"/>
        <rFont val="Arial"/>
        <family val="0"/>
        <charset val="1"/>
      </rPr>
      <t xml:space="preserve">analytics </t>
    </r>
    <r>
      <rPr>
        <b val="true"/>
        <sz val="10"/>
        <color rgb="FFFFFFFF"/>
        <rFont val="Noto Sans CJK SC"/>
        <family val="2"/>
      </rPr>
      <t xml:space="preserve">同期</t>
    </r>
  </si>
  <si>
    <r>
      <rPr>
        <b val="true"/>
        <sz val="10"/>
        <color rgb="FFFFFFFF"/>
        <rFont val="Noto Sans CJK SC"/>
        <family val="2"/>
      </rPr>
      <t xml:space="preserve">その他</t>
    </r>
    <r>
      <rPr>
        <b val="true"/>
        <sz val="10"/>
        <color rgb="FFFFFFFF"/>
        <rFont val="Arial"/>
        <family val="0"/>
        <charset val="1"/>
      </rPr>
      <t xml:space="preserve">ch</t>
    </r>
  </si>
  <si>
    <t xml:space="preserve">備考</t>
  </si>
  <si>
    <t xml:space="preserve">○</t>
  </si>
  <si>
    <t xml:space="preserve">×</t>
  </si>
  <si>
    <r>
      <rPr>
        <sz val="10"/>
        <rFont val="Arial"/>
        <family val="0"/>
        <charset val="1"/>
      </rPr>
      <t xml:space="preserve">29 </t>
    </r>
    <r>
      <rPr>
        <sz val="10"/>
        <rFont val="Noto Sans CJK SC"/>
        <family val="2"/>
      </rPr>
      <t xml:space="preserve">回発火して </t>
    </r>
    <r>
      <rPr>
        <sz val="10"/>
        <rFont val="Arial"/>
        <family val="0"/>
        <charset val="1"/>
      </rPr>
      <t xml:space="preserve">2 </t>
    </r>
    <r>
      <rPr>
        <sz val="10"/>
        <rFont val="Noto Sans CJK SC"/>
        <family val="2"/>
      </rPr>
      <t xml:space="preserve">本のみ公開。この日はトークン失効ログが </t>
    </r>
    <r>
      <rPr>
        <sz val="10"/>
        <rFont val="Arial"/>
        <family val="0"/>
        <charset val="1"/>
      </rPr>
      <t xml:space="preserve">0 </t>
    </r>
    <r>
      <rPr>
        <sz val="10"/>
        <rFont val="Noto Sans CJK SC"/>
        <family val="2"/>
      </rPr>
      <t xml:space="preserve">件で、原因は特定できていない（</t>
    </r>
    <r>
      <rPr>
        <sz val="10"/>
        <rFont val="Arial"/>
        <family val="0"/>
        <charset val="1"/>
      </rPr>
      <t xml:space="preserve">clip </t>
    </r>
    <r>
      <rPr>
        <sz val="10"/>
        <rFont val="Noto Sans CJK SC"/>
        <family val="2"/>
      </rPr>
      <t xml:space="preserve">系のエンジン失敗のみ確認）</t>
    </r>
  </si>
  <si>
    <t xml:space="preserve">2026-09-10</t>
  </si>
  <si>
    <r>
      <rPr>
        <sz val="10"/>
        <rFont val="Arial"/>
        <family val="0"/>
        <charset val="1"/>
      </rPr>
      <t xml:space="preserve">OAuth </t>
    </r>
    <r>
      <rPr>
        <sz val="10"/>
        <rFont val="Noto Sans CJK SC"/>
        <family val="2"/>
      </rPr>
      <t xml:space="preserve">失効で公開不能。</t>
    </r>
    <r>
      <rPr>
        <sz val="10"/>
        <rFont val="Arial"/>
        <family val="0"/>
        <charset val="1"/>
      </rPr>
      <t xml:space="preserve">autopilot </t>
    </r>
    <r>
      <rPr>
        <sz val="10"/>
        <rFont val="Noto Sans CJK SC"/>
        <family val="2"/>
      </rPr>
      <t xml:space="preserve">は </t>
    </r>
    <r>
      <rPr>
        <sz val="10"/>
        <rFont val="Arial"/>
        <family val="0"/>
        <charset val="1"/>
      </rPr>
      <t xml:space="preserve">31/31/28 </t>
    </r>
    <r>
      <rPr>
        <sz val="10"/>
        <rFont val="Noto Sans CJK SC"/>
        <family val="2"/>
      </rPr>
      <t xml:space="preserve">回発火しており生成は動いていた（失効スキップ </t>
    </r>
    <r>
      <rPr>
        <sz val="10"/>
        <rFont val="Arial"/>
        <family val="0"/>
        <charset val="1"/>
      </rPr>
      <t xml:space="preserve">39/24/21 </t>
    </r>
    <r>
      <rPr>
        <sz val="10"/>
        <rFont val="Noto Sans CJK SC"/>
        <family val="2"/>
      </rPr>
      <t xml:space="preserve">件）</t>
    </r>
  </si>
  <si>
    <t xml:space="preserve">2026-09-11</t>
  </si>
  <si>
    <t xml:space="preserve">2026-09-12</t>
  </si>
  <si>
    <r>
      <rPr>
        <sz val="10"/>
        <rFont val="Arial"/>
        <family val="0"/>
        <charset val="1"/>
      </rPr>
      <t xml:space="preserve">5ch </t>
    </r>
    <r>
      <rPr>
        <sz val="10"/>
        <rFont val="Noto Sans CJK SC"/>
        <family val="2"/>
      </rPr>
      <t xml:space="preserve">再認可で復帰（</t>
    </r>
    <r>
      <rPr>
        <sz val="10"/>
        <rFont val="Arial"/>
        <family val="0"/>
        <charset val="1"/>
      </rPr>
      <t xml:space="preserve">8ch </t>
    </r>
    <r>
      <rPr>
        <sz val="10"/>
        <rFont val="Noto Sans CJK SC"/>
        <family val="2"/>
      </rPr>
      <t xml:space="preserve">は失効のまま）</t>
    </r>
  </si>
  <si>
    <r>
      <rPr>
        <sz val="10"/>
        <rFont val="Noto Sans CJK SC"/>
        <family val="2"/>
      </rPr>
      <t xml:space="preserve">本日。</t>
    </r>
    <r>
      <rPr>
        <sz val="10"/>
        <rFont val="Arial"/>
        <family val="0"/>
        <charset val="1"/>
      </rPr>
      <t xml:space="preserve">07:30 </t>
    </r>
    <r>
      <rPr>
        <sz val="10"/>
        <rFont val="Noto Sans CJK SC"/>
        <family val="2"/>
      </rPr>
      <t xml:space="preserve">に </t>
    </r>
    <r>
      <rPr>
        <sz val="10"/>
        <rFont val="Arial"/>
        <family val="0"/>
        <charset val="1"/>
      </rPr>
      <t xml:space="preserve">daily-science </t>
    </r>
    <r>
      <rPr>
        <sz val="10"/>
        <rFont val="Noto Sans CJK SC"/>
        <family val="2"/>
      </rPr>
      <t xml:space="preserve">が公開済み（</t>
    </r>
    <r>
      <rPr>
        <sz val="10"/>
        <rFont val="Arial"/>
        <family val="0"/>
        <charset val="1"/>
      </rPr>
      <t xml:space="preserve">cTHPSuJr0nA</t>
    </r>
    <r>
      <rPr>
        <sz val="10"/>
        <rFont val="Noto Sans CJK SC"/>
        <family val="2"/>
      </rPr>
      <t xml:space="preserve">）。</t>
    </r>
    <r>
      <rPr>
        <sz val="10"/>
        <rFont val="Arial"/>
        <family val="0"/>
        <charset val="1"/>
      </rPr>
      <t xml:space="preserve">video_publish.db </t>
    </r>
    <r>
      <rPr>
        <sz val="10"/>
        <rFont val="Noto Sans CJK SC"/>
        <family val="2"/>
      </rPr>
      <t xml:space="preserve">は当日分を未記録のため </t>
    </r>
    <r>
      <rPr>
        <sz val="10"/>
        <rFont val="Arial"/>
        <family val="0"/>
        <charset val="1"/>
      </rPr>
      <t xml:space="preserve">backend.log </t>
    </r>
    <r>
      <rPr>
        <sz val="10"/>
        <rFont val="Noto Sans CJK SC"/>
        <family val="2"/>
      </rPr>
      <t xml:space="preserve">から補った。進行中の値。</t>
    </r>
  </si>
  <si>
    <t xml:space="preserve">停止によって失われた公開機会の見積り</t>
  </si>
  <si>
    <t xml:space="preserve">項目</t>
  </si>
  <si>
    <t xml:space="preserve">根拠</t>
  </si>
  <si>
    <r>
      <rPr>
        <sz val="10"/>
        <rFont val="Noto Sans CJK SC"/>
        <family val="2"/>
      </rPr>
      <t xml:space="preserve">停止前 </t>
    </r>
    <r>
      <rPr>
        <sz val="10"/>
        <rFont val="Arial"/>
        <family val="0"/>
        <charset val="1"/>
      </rPr>
      <t xml:space="preserve">4</t>
    </r>
    <r>
      <rPr>
        <sz val="10"/>
        <rFont val="Noto Sans CJK SC"/>
        <family val="2"/>
      </rPr>
      <t xml:space="preserve">日間（</t>
    </r>
    <r>
      <rPr>
        <sz val="10"/>
        <rFont val="Arial"/>
        <family val="0"/>
        <charset val="1"/>
      </rPr>
      <t xml:space="preserve">09-05</t>
    </r>
    <r>
      <rPr>
        <sz val="10"/>
        <rFont val="Noto Sans CJK SC"/>
        <family val="2"/>
      </rPr>
      <t xml:space="preserve">〜</t>
    </r>
    <r>
      <rPr>
        <sz val="10"/>
        <rFont val="Arial"/>
        <family val="0"/>
        <charset val="1"/>
      </rPr>
      <t xml:space="preserve">09-08</t>
    </r>
    <r>
      <rPr>
        <sz val="10"/>
        <rFont val="Noto Sans CJK SC"/>
        <family val="2"/>
      </rPr>
      <t xml:space="preserve">）の公開本数</t>
    </r>
  </si>
  <si>
    <r>
      <rPr>
        <sz val="9"/>
        <color rgb="FF595959"/>
        <rFont val="Arial"/>
        <family val="0"/>
        <charset val="1"/>
      </rPr>
      <t xml:space="preserve">09-05 33</t>
    </r>
    <r>
      <rPr>
        <sz val="9"/>
        <color rgb="FF595959"/>
        <rFont val="Noto Sans CJK SC"/>
        <family val="2"/>
      </rPr>
      <t xml:space="preserve">本 </t>
    </r>
    <r>
      <rPr>
        <sz val="9"/>
        <color rgb="FF595959"/>
        <rFont val="Arial"/>
        <family val="0"/>
        <charset val="1"/>
      </rPr>
      <t xml:space="preserve">/ 09-06 30</t>
    </r>
    <r>
      <rPr>
        <sz val="9"/>
        <color rgb="FF595959"/>
        <rFont val="Noto Sans CJK SC"/>
        <family val="2"/>
      </rPr>
      <t xml:space="preserve">本 </t>
    </r>
    <r>
      <rPr>
        <sz val="9"/>
        <color rgb="FF595959"/>
        <rFont val="Arial"/>
        <family val="0"/>
        <charset val="1"/>
      </rPr>
      <t xml:space="preserve">/ 09-07 27</t>
    </r>
    <r>
      <rPr>
        <sz val="9"/>
        <color rgb="FF595959"/>
        <rFont val="Noto Sans CJK SC"/>
        <family val="2"/>
      </rPr>
      <t xml:space="preserve">本 </t>
    </r>
    <r>
      <rPr>
        <sz val="9"/>
        <color rgb="FF595959"/>
        <rFont val="Arial"/>
        <family val="0"/>
        <charset val="1"/>
      </rPr>
      <t xml:space="preserve">/ 09-08 21</t>
    </r>
    <r>
      <rPr>
        <sz val="9"/>
        <color rgb="FF595959"/>
        <rFont val="Noto Sans CJK SC"/>
        <family val="2"/>
      </rPr>
      <t xml:space="preserve">本</t>
    </r>
  </si>
  <si>
    <r>
      <rPr>
        <sz val="10"/>
        <rFont val="Noto Sans CJK SC"/>
        <family val="2"/>
      </rPr>
      <t xml:space="preserve">停止前の </t>
    </r>
    <r>
      <rPr>
        <sz val="10"/>
        <rFont val="Arial"/>
        <family val="0"/>
        <charset val="1"/>
      </rPr>
      <t xml:space="preserve">1</t>
    </r>
    <r>
      <rPr>
        <sz val="10"/>
        <rFont val="Noto Sans CJK SC"/>
        <family val="2"/>
      </rPr>
      <t xml:space="preserve">日あたり公開本数</t>
    </r>
  </si>
  <si>
    <r>
      <rPr>
        <sz val="9"/>
        <color rgb="FF595959"/>
        <rFont val="Noto Sans CJK SC"/>
        <family val="2"/>
      </rPr>
      <t xml:space="preserve">上記 </t>
    </r>
    <r>
      <rPr>
        <sz val="9"/>
        <color rgb="FF595959"/>
        <rFont val="Arial"/>
        <family val="0"/>
        <charset val="1"/>
      </rPr>
      <t xml:space="preserve">÷ 4</t>
    </r>
    <r>
      <rPr>
        <sz val="9"/>
        <color rgb="FF595959"/>
        <rFont val="Noto Sans CJK SC"/>
        <family val="2"/>
      </rPr>
      <t xml:space="preserve">日</t>
    </r>
  </si>
  <si>
    <r>
      <rPr>
        <sz val="10"/>
        <rFont val="Noto Sans CJK SC"/>
        <family val="2"/>
      </rPr>
      <t xml:space="preserve">停止 </t>
    </r>
    <r>
      <rPr>
        <sz val="10"/>
        <rFont val="Arial"/>
        <family val="0"/>
        <charset val="1"/>
      </rPr>
      <t xml:space="preserve">4</t>
    </r>
    <r>
      <rPr>
        <sz val="10"/>
        <rFont val="Noto Sans CJK SC"/>
        <family val="2"/>
      </rPr>
      <t xml:space="preserve">日間（</t>
    </r>
    <r>
      <rPr>
        <sz val="10"/>
        <rFont val="Arial"/>
        <family val="0"/>
        <charset val="1"/>
      </rPr>
      <t xml:space="preserve">09-09</t>
    </r>
    <r>
      <rPr>
        <sz val="10"/>
        <rFont val="Noto Sans CJK SC"/>
        <family val="2"/>
      </rPr>
      <t xml:space="preserve">〜</t>
    </r>
    <r>
      <rPr>
        <sz val="10"/>
        <rFont val="Arial"/>
        <family val="0"/>
        <charset val="1"/>
      </rPr>
      <t xml:space="preserve">09-12</t>
    </r>
    <r>
      <rPr>
        <sz val="10"/>
        <rFont val="Noto Sans CJK SC"/>
        <family val="2"/>
      </rPr>
      <t xml:space="preserve">）の実績</t>
    </r>
  </si>
  <si>
    <t xml:space="preserve">09-09 2 / 09-10 2 / 09-11 0 / 09-12 0</t>
  </si>
  <si>
    <t xml:space="preserve">失われた公開本数</t>
  </si>
  <si>
    <t xml:space="preserve">停止前ペースとの差</t>
  </si>
  <si>
    <r>
      <rPr>
        <sz val="10"/>
        <rFont val="Noto Sans CJK SC"/>
        <family val="2"/>
      </rPr>
      <t xml:space="preserve">平均再生数（全期間・</t>
    </r>
    <r>
      <rPr>
        <sz val="10"/>
        <rFont val="Arial"/>
        <family val="0"/>
        <charset val="1"/>
      </rPr>
      <t xml:space="preserve">6ch</t>
    </r>
    <r>
      <rPr>
        <sz val="10"/>
        <rFont val="Noto Sans CJK SC"/>
        <family val="2"/>
      </rPr>
      <t xml:space="preserve">）</t>
    </r>
  </si>
  <si>
    <t xml:space="preserve">チャンネル別詳細の合計行</t>
  </si>
  <si>
    <r>
      <rPr>
        <sz val="10"/>
        <rFont val="Noto Sans CJK SC"/>
        <family val="2"/>
      </rPr>
      <t xml:space="preserve">登録</t>
    </r>
    <r>
      <rPr>
        <sz val="10"/>
        <rFont val="Arial"/>
        <family val="0"/>
        <charset val="1"/>
      </rPr>
      <t xml:space="preserve">/</t>
    </r>
    <r>
      <rPr>
        <sz val="10"/>
        <rFont val="Noto Sans CJK SC"/>
        <family val="2"/>
      </rPr>
      <t xml:space="preserve">千再生（直近</t>
    </r>
    <r>
      <rPr>
        <sz val="10"/>
        <rFont val="Arial"/>
        <family val="0"/>
        <charset val="1"/>
      </rPr>
      <t xml:space="preserve">14</t>
    </r>
    <r>
      <rPr>
        <sz val="10"/>
        <rFont val="Noto Sans CJK SC"/>
        <family val="2"/>
      </rPr>
      <t xml:space="preserve">日・</t>
    </r>
    <r>
      <rPr>
        <sz val="10"/>
        <rFont val="Arial"/>
        <family val="0"/>
        <charset val="1"/>
      </rPr>
      <t xml:space="preserve">6ch</t>
    </r>
    <r>
      <rPr>
        <sz val="10"/>
        <rFont val="Noto Sans CJK SC"/>
        <family val="2"/>
      </rPr>
      <t xml:space="preserve">）</t>
    </r>
  </si>
  <si>
    <t xml:space="preserve">失われた登録者の見積り（人）</t>
  </si>
  <si>
    <r>
      <rPr>
        <sz val="9"/>
        <color rgb="FF595959"/>
        <rFont val="Noto Sans CJK SC"/>
        <family val="2"/>
      </rPr>
      <t xml:space="preserve">失われた本数 </t>
    </r>
    <r>
      <rPr>
        <sz val="9"/>
        <color rgb="FF595959"/>
        <rFont val="Arial"/>
        <family val="0"/>
        <charset val="1"/>
      </rPr>
      <t xml:space="preserve">× </t>
    </r>
    <r>
      <rPr>
        <sz val="9"/>
        <color rgb="FF595959"/>
        <rFont val="Noto Sans CJK SC"/>
        <family val="2"/>
      </rPr>
      <t xml:space="preserve">平均再生 </t>
    </r>
    <r>
      <rPr>
        <sz val="9"/>
        <color rgb="FF595959"/>
        <rFont val="Arial"/>
        <family val="0"/>
        <charset val="1"/>
      </rPr>
      <t xml:space="preserve">× </t>
    </r>
    <r>
      <rPr>
        <sz val="9"/>
        <color rgb="FF595959"/>
        <rFont val="Noto Sans CJK SC"/>
        <family val="2"/>
      </rPr>
      <t xml:space="preserve">登録</t>
    </r>
    <r>
      <rPr>
        <sz val="9"/>
        <color rgb="FF595959"/>
        <rFont val="Arial"/>
        <family val="0"/>
        <charset val="1"/>
      </rPr>
      <t xml:space="preserve">/</t>
    </r>
    <r>
      <rPr>
        <sz val="9"/>
        <color rgb="FF595959"/>
        <rFont val="Noto Sans CJK SC"/>
        <family val="2"/>
      </rPr>
      <t xml:space="preserve">千 </t>
    </r>
    <r>
      <rPr>
        <sz val="9"/>
        <color rgb="FF595959"/>
        <rFont val="Arial"/>
        <family val="0"/>
        <charset val="1"/>
      </rPr>
      <t xml:space="preserve">÷ 1000</t>
    </r>
    <r>
      <rPr>
        <sz val="9"/>
        <color rgb="FF595959"/>
        <rFont val="Noto Sans CJK SC"/>
        <family val="2"/>
      </rPr>
      <t xml:space="preserve">。粗い外挿であり実測ではない</t>
    </r>
  </si>
  <si>
    <r>
      <rPr>
        <b val="true"/>
        <sz val="11"/>
        <color rgb="FF1F3864"/>
        <rFont val="Arial"/>
        <family val="0"/>
        <charset val="1"/>
      </rPr>
      <t xml:space="preserve">OAuth </t>
    </r>
    <r>
      <rPr>
        <b val="true"/>
        <sz val="11"/>
        <color rgb="FF1F3864"/>
        <rFont val="Noto Sans CJK SC"/>
        <family val="2"/>
      </rPr>
      <t xml:space="preserve">トークンの寿命（</t>
    </r>
    <r>
      <rPr>
        <b val="true"/>
        <sz val="11"/>
        <color rgb="FF1F3864"/>
        <rFont val="Arial"/>
        <family val="0"/>
        <charset val="1"/>
      </rPr>
      <t xml:space="preserve">scripts/oauth_health_check.py </t>
    </r>
    <r>
      <rPr>
        <b val="true"/>
        <sz val="11"/>
        <color rgb="FF1F3864"/>
        <rFont val="Noto Sans CJK SC"/>
        <family val="2"/>
      </rPr>
      <t xml:space="preserve">と同じ集計）</t>
    </r>
  </si>
  <si>
    <r>
      <rPr>
        <i val="true"/>
        <sz val="9"/>
        <color rgb="FF595959"/>
        <rFont val="Noto Sans CJK SC"/>
        <family val="2"/>
      </rPr>
      <t xml:space="preserve">同意画面が「テスト」公開ステータスのままだと、リフレッシュトークンは付与から </t>
    </r>
    <r>
      <rPr>
        <i val="true"/>
        <sz val="9"/>
        <color rgb="FF595959"/>
        <rFont val="Arial"/>
        <family val="0"/>
        <charset val="1"/>
      </rPr>
      <t xml:space="preserve">7 </t>
    </r>
    <r>
      <rPr>
        <i val="true"/>
        <sz val="9"/>
        <color rgb="FF595959"/>
        <rFont val="Noto Sans CJK SC"/>
        <family val="2"/>
      </rPr>
      <t xml:space="preserve">日で失効する。失効済み </t>
    </r>
    <r>
      <rPr>
        <i val="true"/>
        <sz val="9"/>
        <color rgb="FF595959"/>
        <rFont val="Arial"/>
        <family val="0"/>
        <charset val="1"/>
      </rPr>
      <t xml:space="preserve">6ch </t>
    </r>
    <r>
      <rPr>
        <i val="true"/>
        <sz val="9"/>
        <color rgb="FF595959"/>
        <rFont val="Noto Sans CJK SC"/>
        <family val="2"/>
      </rPr>
      <t xml:space="preserve">の最終リフレッシュは </t>
    </r>
    <r>
      <rPr>
        <i val="true"/>
        <sz val="9"/>
        <color rgb="FF595959"/>
        <rFont val="Arial"/>
        <family val="0"/>
        <charset val="1"/>
      </rPr>
      <t xml:space="preserve">7.5</t>
    </r>
    <r>
      <rPr>
        <i val="true"/>
        <sz val="9"/>
        <color rgb="FF595959"/>
        <rFont val="Noto Sans CJK SC"/>
        <family val="2"/>
      </rPr>
      <t xml:space="preserve">〜</t>
    </r>
    <r>
      <rPr>
        <i val="true"/>
        <sz val="9"/>
        <color rgb="FF595959"/>
        <rFont val="Arial"/>
        <family val="0"/>
        <charset val="1"/>
      </rPr>
      <t xml:space="preserve">9.5 </t>
    </r>
    <r>
      <rPr>
        <i val="true"/>
        <sz val="9"/>
        <color rgb="FF595959"/>
        <rFont val="Noto Sans CJK SC"/>
        <family val="2"/>
      </rPr>
      <t xml:space="preserve">日前に固まっており、この仮説と整合する。</t>
    </r>
  </si>
  <si>
    <t xml:space="preserve">channel_id</t>
  </si>
  <si>
    <t xml:space="preserve">チャンネル名</t>
  </si>
  <si>
    <t xml:space="preserve">最終リフレッシュ成功</t>
  </si>
  <si>
    <t xml:space="preserve">経過日</t>
  </si>
  <si>
    <t xml:space="preserve">リコとマコトのゆっくり日常科学</t>
  </si>
  <si>
    <t xml:space="preserve">2026-09-16 06:49</t>
  </si>
  <si>
    <t xml:space="preserve">正常</t>
  </si>
  <si>
    <t xml:space="preserve">ゆっくり妖怪ラボ</t>
  </si>
  <si>
    <t xml:space="preserve">2026-09-15 22:30</t>
  </si>
  <si>
    <t xml:space="preserve">socio-rx</t>
  </si>
  <si>
    <t xml:space="preserve">社会学の処方箋</t>
  </si>
  <si>
    <r>
      <rPr>
        <sz val="10"/>
        <rFont val="Noto Sans CJK SC"/>
        <family val="2"/>
      </rPr>
      <t xml:space="preserve">異常存在</t>
    </r>
    <r>
      <rPr>
        <sz val="10"/>
        <rFont val="Arial"/>
        <family val="0"/>
        <charset val="1"/>
      </rPr>
      <t xml:space="preserve">SCP</t>
    </r>
    <r>
      <rPr>
        <sz val="10"/>
        <rFont val="Noto Sans CJK SC"/>
        <family val="2"/>
      </rPr>
      <t xml:space="preserve">ゆっくり解説ラボ</t>
    </r>
  </si>
  <si>
    <t xml:space="preserve">企業のホンネ</t>
  </si>
  <si>
    <r>
      <rPr>
        <sz val="10"/>
        <rFont val="Noto Sans CJK SC"/>
        <family val="2"/>
      </rPr>
      <t xml:space="preserve">ゆっくり</t>
    </r>
    <r>
      <rPr>
        <sz val="10"/>
        <rFont val="Arial"/>
        <family val="0"/>
        <charset val="1"/>
      </rPr>
      <t xml:space="preserve">2ch</t>
    </r>
    <r>
      <rPr>
        <sz val="10"/>
        <rFont val="Noto Sans CJK SC"/>
        <family val="2"/>
      </rPr>
      <t xml:space="preserve">スレまとめ劇場</t>
    </r>
  </si>
  <si>
    <t xml:space="preserve">ゆっくりポケラボ</t>
  </si>
  <si>
    <t xml:space="preserve">2026-09-10 07:43</t>
  </si>
  <si>
    <t xml:space="preserve">まもなく失効</t>
  </si>
  <si>
    <t xml:space="preserve">clip-lab</t>
  </si>
  <si>
    <r>
      <rPr>
        <sz val="10"/>
        <rFont val="Noto Sans CJK SC"/>
        <family val="2"/>
      </rPr>
      <t xml:space="preserve">切り抜き</t>
    </r>
    <r>
      <rPr>
        <sz val="10"/>
        <rFont val="Arial"/>
        <family val="0"/>
        <charset val="1"/>
      </rPr>
      <t xml:space="preserve">Lab</t>
    </r>
  </si>
  <si>
    <t xml:space="preserve">2026-09-08 23:00</t>
  </si>
  <si>
    <t xml:space="preserve">失効（要再認可）</t>
  </si>
  <si>
    <t xml:space="preserve">clip-kaneko</t>
  </si>
  <si>
    <t xml:space="preserve">金子みゆ 切り抜きチャンネル</t>
  </si>
  <si>
    <t xml:space="preserve">clip-fukada</t>
  </si>
  <si>
    <t xml:space="preserve">深田えいみ 切り抜きチャンネル</t>
  </si>
  <si>
    <t xml:space="preserve">akashic-librarian</t>
  </si>
  <si>
    <t xml:space="preserve">アカシックの司書</t>
  </si>
  <si>
    <t xml:space="preserve">2026-09-07 13:47</t>
  </si>
  <si>
    <t xml:space="preserve">fake-paper</t>
  </si>
  <si>
    <t xml:space="preserve">虚構論文チャンネル</t>
  </si>
  <si>
    <t xml:space="preserve">2026-09-07 10:20</t>
  </si>
  <si>
    <t xml:space="preserve">clip-animal</t>
  </si>
  <si>
    <t xml:space="preserve">動物情報局</t>
  </si>
  <si>
    <t xml:space="preserve">2026-09-06 23:00</t>
  </si>
</sst>
</file>

<file path=xl/styles.xml><?xml version="1.0" encoding="utf-8"?>
<styleSheet xmlns="http://schemas.openxmlformats.org/spreadsheetml/2006/main">
  <numFmts count="6">
    <numFmt numFmtId="164" formatCode="General"/>
    <numFmt numFmtId="165" formatCode="#,##0"/>
    <numFmt numFmtId="166" formatCode="0.000"/>
    <numFmt numFmtId="167" formatCode="0.00\x"/>
    <numFmt numFmtId="168" formatCode="0.0"/>
    <numFmt numFmtId="169" formatCode="0"/>
  </numFmts>
  <fonts count="2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6"/>
      <color rgb="FF1F3864"/>
      <name val="Noto Sans CJK SC"/>
      <family val="2"/>
    </font>
    <font>
      <i val="true"/>
      <sz val="9"/>
      <color rgb="FF595959"/>
      <name val="Arial"/>
      <family val="0"/>
      <charset val="1"/>
    </font>
    <font>
      <i val="true"/>
      <sz val="9"/>
      <color rgb="FF595959"/>
      <name val="Noto Sans CJK SC"/>
      <family val="2"/>
    </font>
    <font>
      <b val="true"/>
      <sz val="12"/>
      <color rgb="FFC00000"/>
      <name val="Noto Sans CJK SC"/>
      <family val="2"/>
    </font>
    <font>
      <sz val="10"/>
      <name val="Arial"/>
      <family val="0"/>
      <charset val="1"/>
    </font>
    <font>
      <sz val="10"/>
      <name val="Noto Sans CJK SC"/>
      <family val="2"/>
    </font>
    <font>
      <b val="true"/>
      <sz val="12"/>
      <color rgb="FF1F3864"/>
      <name val="Noto Sans CJK SC"/>
      <family val="2"/>
    </font>
    <font>
      <b val="true"/>
      <sz val="10"/>
      <color rgb="FFFFFFFF"/>
      <name val="Noto Sans CJK SC"/>
      <family val="2"/>
    </font>
    <font>
      <b val="true"/>
      <sz val="10"/>
      <name val="Arial"/>
      <family val="0"/>
      <charset val="1"/>
    </font>
    <font>
      <sz val="9"/>
      <color rgb="FF595959"/>
      <name val="Noto Sans CJK SC"/>
      <family val="2"/>
    </font>
    <font>
      <sz val="9"/>
      <color rgb="FF595959"/>
      <name val="Arial"/>
      <family val="0"/>
      <charset val="1"/>
    </font>
    <font>
      <b val="true"/>
      <sz val="10"/>
      <name val="Noto Sans CJK SC"/>
      <family val="2"/>
    </font>
    <font>
      <b val="true"/>
      <sz val="14"/>
      <color rgb="FF1F3864"/>
      <name val="Noto Sans CJK SC"/>
      <family val="2"/>
    </font>
    <font>
      <b val="true"/>
      <sz val="14"/>
      <color rgb="FF1F3864"/>
      <name val="Arial"/>
      <family val="0"/>
      <charset val="1"/>
    </font>
    <font>
      <b val="true"/>
      <sz val="10"/>
      <color rgb="FFFFFFFF"/>
      <name val="Arial"/>
      <family val="0"/>
      <charset val="1"/>
    </font>
    <font>
      <b val="true"/>
      <sz val="11"/>
      <color rgb="FF1F3864"/>
      <name val="Noto Sans CJK SC"/>
      <family val="2"/>
    </font>
    <font>
      <b val="true"/>
      <sz val="11"/>
      <color rgb="FF1F3864"/>
      <name val="Arial"/>
      <family val="0"/>
      <charset val="1"/>
    </font>
    <font>
      <i val="true"/>
      <sz val="9"/>
      <color rgb="FFC00000"/>
      <name val="Arial"/>
      <family val="0"/>
      <charset val="1"/>
    </font>
    <font>
      <i val="true"/>
      <sz val="9"/>
      <color rgb="FFC00000"/>
      <name val="Noto Sans CJK SC"/>
      <family val="2"/>
    </font>
    <font>
      <sz val="10"/>
      <name val="Arial"/>
      <family val="2"/>
    </font>
    <font>
      <b val="true"/>
      <sz val="11"/>
      <color rgb="FFC00000"/>
      <name val="Noto Sans CJK SC"/>
      <family val="2"/>
    </font>
    <font>
      <b val="true"/>
      <sz val="11"/>
      <color rgb="FFC00000"/>
      <name val="Arial"/>
      <family val="0"/>
      <charset val="1"/>
    </font>
    <font>
      <sz val="9"/>
      <name val="Arial"/>
      <family val="0"/>
      <charset val="1"/>
    </font>
    <font>
      <sz val="9"/>
      <name val="Noto Sans CJK SC"/>
      <family val="2"/>
    </font>
  </fonts>
  <fills count="7">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9" fontId="9" fillId="0"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8" fontId="13" fillId="6"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3" min="3" style="0" width="26"/>
    <col collapsed="false" customWidth="true" hidden="false" outlineLevel="0" max="4" min="4" style="0" width="30"/>
    <col collapsed="false" customWidth="true" hidden="false" outlineLevel="0" max="5" min="5" style="0" width="14"/>
  </cols>
  <sheetData>
    <row r="1" customFormat="false" ht="23.85" hidden="false" customHeight="false" outlineLevel="0" collapsed="false">
      <c r="A1" s="1" t="s">
        <v>0</v>
      </c>
    </row>
    <row r="2" customFormat="false" ht="14.15" hidden="false" customHeight="false" outlineLevel="0" collapsed="false">
      <c r="A2" s="2" t="s">
        <v>1</v>
      </c>
      <c r="B2" s="2"/>
      <c r="C2" s="2"/>
      <c r="D2" s="2"/>
      <c r="E2" s="2"/>
    </row>
    <row r="4" customFormat="false" ht="15" hidden="false" customHeight="false" outlineLevel="0" collapsed="false">
      <c r="A4" s="3" t="s">
        <v>2</v>
      </c>
    </row>
    <row r="5" customFormat="false" ht="30" hidden="false" customHeight="true" outlineLevel="0" collapsed="false">
      <c r="A5" s="4" t="s">
        <v>3</v>
      </c>
      <c r="B5" s="4"/>
      <c r="C5" s="4"/>
      <c r="D5" s="4"/>
      <c r="E5" s="4"/>
    </row>
    <row r="6" customFormat="false" ht="30" hidden="false" customHeight="true" outlineLevel="0" collapsed="false">
      <c r="A6" s="4" t="s">
        <v>4</v>
      </c>
      <c r="B6" s="4"/>
      <c r="C6" s="4"/>
      <c r="D6" s="4"/>
      <c r="E6" s="4"/>
    </row>
    <row r="7" customFormat="false" ht="30" hidden="false" customHeight="true" outlineLevel="0" collapsed="false">
      <c r="A7" s="4" t="s">
        <v>5</v>
      </c>
      <c r="B7" s="4"/>
      <c r="C7" s="4"/>
      <c r="D7" s="4"/>
      <c r="E7" s="4"/>
    </row>
    <row r="8" customFormat="false" ht="30" hidden="false" customHeight="true" outlineLevel="0" collapsed="false">
      <c r="A8" s="4" t="s">
        <v>6</v>
      </c>
      <c r="B8" s="4"/>
      <c r="C8" s="4"/>
      <c r="D8" s="4"/>
      <c r="E8" s="4"/>
    </row>
    <row r="9" customFormat="false" ht="30" hidden="false" customHeight="true" outlineLevel="0" collapsed="false">
      <c r="A9" s="4" t="s">
        <v>7</v>
      </c>
      <c r="B9" s="4"/>
      <c r="C9" s="4"/>
      <c r="D9" s="4"/>
      <c r="E9" s="4"/>
    </row>
    <row r="10" customFormat="false" ht="30" hidden="false" customHeight="true" outlineLevel="0" collapsed="false">
      <c r="A10" s="4" t="s">
        <v>8</v>
      </c>
      <c r="B10" s="4"/>
      <c r="C10" s="4"/>
      <c r="D10" s="4"/>
      <c r="E10" s="4"/>
    </row>
    <row r="12" customFormat="false" ht="15" hidden="false" customHeight="false" outlineLevel="0" collapsed="false">
      <c r="A12" s="5" t="s">
        <v>9</v>
      </c>
    </row>
    <row r="13" customFormat="false" ht="30" hidden="false" customHeight="true" outlineLevel="0" collapsed="false">
      <c r="A13" s="6" t="s">
        <v>10</v>
      </c>
      <c r="B13" s="6" t="s">
        <v>11</v>
      </c>
      <c r="C13" s="6" t="s">
        <v>12</v>
      </c>
      <c r="D13" s="6" t="s">
        <v>13</v>
      </c>
    </row>
    <row r="14" customFormat="false" ht="15" hidden="false" customHeight="false" outlineLevel="0" collapsed="false">
      <c r="A14" s="7" t="s">
        <v>14</v>
      </c>
      <c r="B14" s="8" t="n">
        <f aca="false">チャンネル別詳細!B11</f>
        <v>513</v>
      </c>
      <c r="C14" s="9" t="s">
        <v>15</v>
      </c>
      <c r="D14" s="9"/>
    </row>
    <row r="15" customFormat="false" ht="15" hidden="false" customHeight="false" outlineLevel="0" collapsed="false">
      <c r="A15" s="7" t="s">
        <v>16</v>
      </c>
      <c r="B15" s="8" t="n">
        <f aca="false">チャンネル別詳細!C11</f>
        <v>481796</v>
      </c>
      <c r="C15" s="9" t="s">
        <v>17</v>
      </c>
      <c r="D15" s="9"/>
    </row>
    <row r="16" customFormat="false" ht="15" hidden="false" customHeight="false" outlineLevel="0" collapsed="false">
      <c r="A16" s="7" t="s">
        <v>18</v>
      </c>
      <c r="B16" s="8" t="n">
        <f aca="false">チャンネル別詳細!E11</f>
        <v>260</v>
      </c>
      <c r="C16" s="9" t="s">
        <v>17</v>
      </c>
      <c r="D16" s="9"/>
    </row>
    <row r="17" customFormat="false" ht="15" hidden="false" customHeight="false" outlineLevel="0" collapsed="false">
      <c r="A17" s="7" t="s">
        <v>19</v>
      </c>
      <c r="B17" s="10" t="n">
        <f aca="false">チャンネル別詳細!F11</f>
        <v>0.53964748565783</v>
      </c>
      <c r="C17" s="9" t="s">
        <v>17</v>
      </c>
      <c r="D17" s="9" t="s">
        <v>20</v>
      </c>
    </row>
    <row r="18" customFormat="false" ht="15" hidden="false" customHeight="false" outlineLevel="0" collapsed="false">
      <c r="A18" s="7" t="s">
        <v>21</v>
      </c>
      <c r="B18" s="10" t="n">
        <f aca="false">チャンネル別詳細!J11</f>
        <v>0.685161550345939</v>
      </c>
      <c r="C18" s="9" t="s">
        <v>17</v>
      </c>
      <c r="D18" s="9" t="s">
        <v>22</v>
      </c>
    </row>
    <row r="19" customFormat="false" ht="15" hidden="false" customHeight="false" outlineLevel="0" collapsed="false">
      <c r="A19" s="7" t="s">
        <v>23</v>
      </c>
      <c r="B19" s="11" t="n">
        <f aca="false">チャンネル別詳細!L11</f>
        <v>1.26964651657874</v>
      </c>
      <c r="C19" s="9" t="s">
        <v>17</v>
      </c>
      <c r="D19" s="12" t="s">
        <v>24</v>
      </c>
    </row>
    <row r="20" customFormat="false" ht="15" hidden="false" customHeight="false" outlineLevel="0" collapsed="false">
      <c r="A20" s="7" t="s">
        <v>25</v>
      </c>
      <c r="B20" s="10" t="n">
        <f aca="false">チャンネル別詳細!G11</f>
        <v>0.414075666879758</v>
      </c>
      <c r="C20" s="9" t="s">
        <v>17</v>
      </c>
      <c r="D20" s="9" t="s">
        <v>26</v>
      </c>
    </row>
    <row r="21" customFormat="false" ht="15" hidden="false" customHeight="false" outlineLevel="0" collapsed="false">
      <c r="A21" s="7" t="s">
        <v>27</v>
      </c>
      <c r="B21" s="13" t="str">
        <f aca="false">INDEX(チャンネル別詳細!A5:A10,MATCH(MAX(チャンネル別詳細!F5:F10),チャンネル別詳細!F5:F10,0))</f>
        <v>scp-lab</v>
      </c>
      <c r="C21" s="9" t="s">
        <v>28</v>
      </c>
      <c r="D21" s="9"/>
    </row>
    <row r="22" customFormat="false" ht="15" hidden="false" customHeight="false" outlineLevel="0" collapsed="false">
      <c r="A22" s="7" t="s">
        <v>29</v>
      </c>
      <c r="B22" s="13" t="str">
        <f aca="false">INDEX(チャンネル別詳細!A5:A10,MATCH(MIN(チャンネル別詳細!F5:F10),チャンネル別詳細!F5:F10,0))</f>
        <v>2ch-matome</v>
      </c>
      <c r="C22" s="9" t="s">
        <v>28</v>
      </c>
      <c r="D22" s="9"/>
    </row>
    <row r="23" customFormat="false" ht="15" hidden="false" customHeight="false" outlineLevel="0" collapsed="false">
      <c r="A23" s="14" t="s">
        <v>30</v>
      </c>
      <c r="B23" s="8" t="n">
        <f aca="false">COUNTA(動画別パフォーマンス!D524:D604)</f>
        <v>34</v>
      </c>
      <c r="C23" s="9" t="s">
        <v>31</v>
      </c>
      <c r="D23" s="9" t="s">
        <v>32</v>
      </c>
    </row>
    <row r="24" customFormat="false" ht="15" hidden="false" customHeight="false" outlineLevel="0" collapsed="false">
      <c r="A24" s="14" t="s">
        <v>33</v>
      </c>
      <c r="B24" s="8" t="n">
        <f aca="false">COUNTIF(トレンド!E:E,"失効（要再認可）")</f>
        <v>6</v>
      </c>
      <c r="C24" s="9" t="s">
        <v>34</v>
      </c>
      <c r="D24" s="9" t="s">
        <v>35</v>
      </c>
    </row>
    <row r="25" customFormat="false" ht="15" hidden="false" customHeight="false" outlineLevel="0" collapsed="false">
      <c r="A25" s="7" t="s">
        <v>36</v>
      </c>
      <c r="B25" s="8" t="n">
        <f aca="false">COUNTIF(改善アクション!F:F,"未着手")</f>
        <v>6</v>
      </c>
      <c r="C25" s="9" t="s">
        <v>37</v>
      </c>
      <c r="D25" s="9" t="s">
        <v>38</v>
      </c>
    </row>
    <row r="28" customFormat="false" ht="15" hidden="false" customHeight="false" outlineLevel="0" collapsed="false">
      <c r="A28" s="5" t="s">
        <v>39</v>
      </c>
    </row>
    <row r="29" customFormat="false" ht="30" hidden="false" customHeight="true" outlineLevel="0" collapsed="false">
      <c r="A29" s="6" t="s">
        <v>40</v>
      </c>
      <c r="B29" s="6" t="s">
        <v>41</v>
      </c>
    </row>
    <row r="30" customFormat="false" ht="30" hidden="false" customHeight="true" outlineLevel="0" collapsed="false">
      <c r="A30" s="15" t="s">
        <v>42</v>
      </c>
      <c r="B30" s="16" t="s">
        <v>43</v>
      </c>
    </row>
    <row r="31" customFormat="false" ht="30" hidden="false" customHeight="true" outlineLevel="0" collapsed="false">
      <c r="A31" s="15" t="s">
        <v>44</v>
      </c>
      <c r="B31" s="17" t="s">
        <v>45</v>
      </c>
    </row>
    <row r="32" customFormat="false" ht="30" hidden="false" customHeight="true" outlineLevel="0" collapsed="false">
      <c r="A32" s="15" t="s">
        <v>46</v>
      </c>
      <c r="B32" s="17" t="s">
        <v>45</v>
      </c>
    </row>
    <row r="33" customFormat="false" ht="30" hidden="false" customHeight="true" outlineLevel="0" collapsed="false">
      <c r="A33" s="15" t="s">
        <v>47</v>
      </c>
      <c r="B33" s="17" t="s">
        <v>48</v>
      </c>
    </row>
    <row r="34" customFormat="false" ht="30" hidden="false" customHeight="true" outlineLevel="0" collapsed="false">
      <c r="A34" s="15" t="s">
        <v>49</v>
      </c>
      <c r="B34" s="17" t="s">
        <v>45</v>
      </c>
    </row>
    <row r="35" customFormat="false" ht="30" hidden="false" customHeight="true" outlineLevel="0" collapsed="false">
      <c r="A35" s="15" t="s">
        <v>50</v>
      </c>
      <c r="B35" s="17" t="s">
        <v>51</v>
      </c>
    </row>
    <row r="36" customFormat="false" ht="30" hidden="false" customHeight="true" outlineLevel="0" collapsed="false">
      <c r="A36" s="18" t="s">
        <v>52</v>
      </c>
      <c r="B36" s="17" t="s">
        <v>53</v>
      </c>
    </row>
  </sheetData>
  <mergeCells count="7">
    <mergeCell ref="A2:E2"/>
    <mergeCell ref="A5:E5"/>
    <mergeCell ref="A6:E6"/>
    <mergeCell ref="A7:E7"/>
    <mergeCell ref="A8:E8"/>
    <mergeCell ref="A9:E9"/>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13"/>
    <col collapsed="false" customWidth="true" hidden="false" outlineLevel="0" max="4" min="4" style="0" width="11"/>
    <col collapsed="false" customWidth="true" hidden="false" outlineLevel="0" max="6" min="5" style="0" width="12"/>
    <col collapsed="false" customWidth="true" hidden="false" outlineLevel="0" max="7" min="7" style="0" width="13"/>
    <col collapsed="false" customWidth="true" hidden="false" outlineLevel="0" max="8" min="8" style="0" width="14"/>
    <col collapsed="false" customWidth="true" hidden="false" outlineLevel="0" max="9" min="9" style="0" width="13"/>
    <col collapsed="false" customWidth="true" hidden="false" outlineLevel="0" max="10" min="10" style="0" width="15"/>
    <col collapsed="false" customWidth="true" hidden="false" outlineLevel="0" max="11" min="11" style="0" width="17"/>
    <col collapsed="false" customWidth="true" hidden="false" outlineLevel="0" max="12" min="12" style="0" width="10"/>
  </cols>
  <sheetData>
    <row r="1" customFormat="false" ht="21.6" hidden="false" customHeight="false" outlineLevel="0" collapsed="false">
      <c r="A1" s="19" t="s">
        <v>54</v>
      </c>
    </row>
    <row r="2" customFormat="false" ht="14.15" hidden="false" customHeight="false" outlineLevel="0" collapsed="false">
      <c r="A2" s="20" t="s">
        <v>55</v>
      </c>
      <c r="B2" s="20"/>
      <c r="C2" s="20"/>
      <c r="D2" s="20"/>
      <c r="E2" s="20"/>
      <c r="F2" s="20"/>
      <c r="G2" s="20"/>
      <c r="H2" s="20"/>
      <c r="I2" s="20"/>
      <c r="J2" s="20"/>
      <c r="K2" s="20"/>
      <c r="L2" s="20"/>
    </row>
    <row r="4" customFormat="false" ht="30" hidden="false" customHeight="true" outlineLevel="0" collapsed="false">
      <c r="A4" s="6" t="s">
        <v>40</v>
      </c>
      <c r="B4" s="6" t="s">
        <v>56</v>
      </c>
      <c r="C4" s="6" t="s">
        <v>16</v>
      </c>
      <c r="D4" s="6" t="s">
        <v>57</v>
      </c>
      <c r="E4" s="6" t="s">
        <v>18</v>
      </c>
      <c r="F4" s="6" t="s">
        <v>58</v>
      </c>
      <c r="G4" s="6" t="s">
        <v>59</v>
      </c>
      <c r="H4" s="6" t="s">
        <v>60</v>
      </c>
      <c r="I4" s="6" t="s">
        <v>61</v>
      </c>
      <c r="J4" s="6" t="s">
        <v>62</v>
      </c>
      <c r="K4" s="6" t="s">
        <v>63</v>
      </c>
      <c r="L4" s="6" t="s">
        <v>64</v>
      </c>
    </row>
    <row r="5" customFormat="false" ht="15" hidden="false" customHeight="false" outlineLevel="0" collapsed="false">
      <c r="A5" s="15" t="s">
        <v>46</v>
      </c>
      <c r="B5" s="21" t="n">
        <f aca="false">COUNTIFS(動画別パフォーマンス!$A$5:$A$517,A5)</f>
        <v>160</v>
      </c>
      <c r="C5" s="21" t="n">
        <f aca="false">SUMIFS(動画別パフォーマンス!$E$5:$E$517,動画別パフォーマンス!$A$5:$A$517,A5)</f>
        <v>126981</v>
      </c>
      <c r="D5" s="21" t="n">
        <f aca="false">IFERROR(C5/B5,0)</f>
        <v>793.63125</v>
      </c>
      <c r="E5" s="21" t="n">
        <f aca="false">SUMIFS(動画別パフォーマンス!$L$5:$L$517,動画別パフォーマンス!$A$5:$A$517,A5)</f>
        <v>110</v>
      </c>
      <c r="F5" s="22" t="n">
        <f aca="false">IFERROR(E5/C5*1000,0)</f>
        <v>0.866271331931549</v>
      </c>
      <c r="G5" s="22" t="n">
        <f aca="false">IFERROR(SUMIFS(動画別パフォーマンス!$J$5:$J$517,動画別パフォーマンス!$A$5:$A$517,A5)/C5*100,0)</f>
        <v>0.452823650782401</v>
      </c>
      <c r="H5" s="23" t="n">
        <f aca="false">IFERROR(SUMPRODUCT((動画別パフォーマンス!$A$5:$A$517=A5)*動画別パフォーマンス!$H$5:$H$517*動画別パフォーマンス!$E$5:$E$517)/C5,0)</f>
        <v>53.2637152014868</v>
      </c>
      <c r="I5" s="21" t="n">
        <f aca="false">COUNTIFS(動画別パフォーマンス!$A$5:$A$517,A5,動画別パフォーマンス!$P$5:$P$517,"&gt;=20260902")</f>
        <v>18</v>
      </c>
      <c r="J5" s="22" t="n">
        <f aca="false">IFERROR(SUMIFS(動画別パフォーマンス!$L$5:$L$517,動画別パフォーマンス!$A$5:$A$517,A5,動画別パフォーマンス!$P$5:$P$517,"&gt;=20260902")/SUMIFS(動画別パフォーマンス!$E$5:$E$517,動画別パフォーマンス!$A$5:$A$517,A5,動画別パフォーマンス!$P$5:$P$517,"&gt;=20260902")*1000,0)</f>
        <v>0.935857749622058</v>
      </c>
      <c r="K5" s="22" t="n">
        <f aca="false">IFERROR(SUMIFS(動画別パフォーマンス!$J$5:$J$517,動画別パフォーマンス!$A$5:$A$517,A5,動画別パフォーマンス!$P$5:$P$517,"&gt;=20260902")/SUMIFS(動画別パフォーマンス!$E$5:$E$517,動画別パフォーマンス!$A$5:$A$517,A5,動画別パフォーマンス!$P$5:$P$517,"&gt;=20260902")*100,0)</f>
        <v>0.496724497876323</v>
      </c>
      <c r="L5" s="24" t="n">
        <f aca="false">IFERROR(J5/F5,0)</f>
        <v>1.08032866277053</v>
      </c>
    </row>
    <row r="6" customFormat="false" ht="15" hidden="false" customHeight="false" outlineLevel="0" collapsed="false">
      <c r="A6" s="15" t="s">
        <v>49</v>
      </c>
      <c r="B6" s="21" t="n">
        <f aca="false">COUNTIFS(動画別パフォーマンス!$A$5:$A$517,A6)</f>
        <v>43</v>
      </c>
      <c r="C6" s="21" t="n">
        <f aca="false">SUMIFS(動画別パフォーマンス!$E$5:$E$517,動画別パフォーマンス!$A$5:$A$517,A6)</f>
        <v>55542</v>
      </c>
      <c r="D6" s="21" t="n">
        <f aca="false">IFERROR(C6/B6,0)</f>
        <v>1291.67441860465</v>
      </c>
      <c r="E6" s="21" t="n">
        <f aca="false">SUMIFS(動画別パフォーマンス!$L$5:$L$517,動画別パフォーマンス!$A$5:$A$517,A6)</f>
        <v>36</v>
      </c>
      <c r="F6" s="22" t="n">
        <f aca="false">IFERROR(E6/C6*1000,0)</f>
        <v>0.648158150588744</v>
      </c>
      <c r="G6" s="22" t="n">
        <f aca="false">IFERROR(SUMIFS(動画別パフォーマンス!$J$5:$J$517,動画別パフォーマンス!$A$5:$A$517,A6)/C6*100,0)</f>
        <v>0.345684346980663</v>
      </c>
      <c r="H6" s="23" t="n">
        <f aca="false">IFERROR(SUMPRODUCT((動画別パフォーマンス!$A$5:$A$517=A6)*動画別パフォーマンス!$H$5:$H$517*動画別パフォーマンス!$E$5:$E$517)/C6,0)</f>
        <v>61.3423245471895</v>
      </c>
      <c r="I6" s="21" t="n">
        <f aca="false">COUNTIFS(動画別パフォーマンス!$A$5:$A$517,A6,動画別パフォーマンス!$P$5:$P$517,"&gt;=20260902")</f>
        <v>16</v>
      </c>
      <c r="J6" s="22" t="n">
        <f aca="false">IFERROR(SUMIFS(動画別パフォーマンス!$L$5:$L$517,動画別パフォーマンス!$A$5:$A$517,A6,動画別パフォーマンス!$P$5:$P$517,"&gt;=20260902")/SUMIFS(動画別パフォーマンス!$E$5:$E$517,動画別パフォーマンス!$A$5:$A$517,A6,動画別パフォーマンス!$P$5:$P$517,"&gt;=20260902")*1000,0)</f>
        <v>0.412031314379893</v>
      </c>
      <c r="K6" s="22" t="n">
        <f aca="false">IFERROR(SUMIFS(動画別パフォーマンス!$J$5:$J$517,動画別パフォーマンス!$A$5:$A$517,A6,動画別パフォーマンス!$P$5:$P$517,"&gt;=20260902")/SUMIFS(動画別パフォーマンス!$E$5:$E$517,動画別パフォーマンス!$A$5:$A$517,A6,動画別パフォーマンス!$P$5:$P$517,"&gt;=20260902")*100,0)</f>
        <v>0.241332626993937</v>
      </c>
      <c r="L6" s="24" t="n">
        <f aca="false">IFERROR(J6/F6,0)</f>
        <v>0.635695646202445</v>
      </c>
    </row>
    <row r="7" customFormat="false" ht="15" hidden="false" customHeight="false" outlineLevel="0" collapsed="false">
      <c r="A7" s="15" t="s">
        <v>50</v>
      </c>
      <c r="B7" s="21" t="n">
        <f aca="false">COUNTIFS(動画別パフォーマンス!$A$5:$A$517,A7)</f>
        <v>54</v>
      </c>
      <c r="C7" s="21" t="n">
        <f aca="false">SUMIFS(動画別パフォーマンス!$E$5:$E$517,動画別パフォーマンス!$A$5:$A$517,A7)</f>
        <v>55400</v>
      </c>
      <c r="D7" s="21" t="n">
        <f aca="false">IFERROR(C7/B7,0)</f>
        <v>1025.92592592593</v>
      </c>
      <c r="E7" s="21" t="n">
        <f aca="false">SUMIFS(動画別パフォーマンス!$L$5:$L$517,動画別パフォーマンス!$A$5:$A$517,A7)</f>
        <v>29</v>
      </c>
      <c r="F7" s="22" t="n">
        <f aca="false">IFERROR(E7/C7*1000,0)</f>
        <v>0.523465703971119</v>
      </c>
      <c r="G7" s="22" t="n">
        <f aca="false">IFERROR(SUMIFS(動画別パフォーマンス!$J$5:$J$517,動画別パフォーマンス!$A$5:$A$517,A7)/C7*100,0)</f>
        <v>0.458483754512635</v>
      </c>
      <c r="H7" s="23" t="n">
        <f aca="false">IFERROR(SUMPRODUCT((動画別パフォーマンス!$A$5:$A$517=A7)*動画別パフォーマンス!$H$5:$H$517*動画別パフォーマンス!$E$5:$E$517)/C7,0)</f>
        <v>62.6457846570397</v>
      </c>
      <c r="I7" s="21" t="n">
        <f aca="false">COUNTIFS(動画別パフォーマンス!$A$5:$A$517,A7,動画別パフォーマンス!$P$5:$P$517,"&gt;=20260902")</f>
        <v>15</v>
      </c>
      <c r="J7" s="22" t="n">
        <f aca="false">IFERROR(SUMIFS(動画別パフォーマンス!$L$5:$L$517,動画別パフォーマンス!$A$5:$A$517,A7,動画別パフォーマンス!$P$5:$P$517,"&gt;=20260902")/SUMIFS(動画別パフォーマンス!$E$5:$E$517,動画別パフォーマンス!$A$5:$A$517,A7,動画別パフォーマンス!$P$5:$P$517,"&gt;=20260902")*1000,0)</f>
        <v>1.30696174958613</v>
      </c>
      <c r="K7" s="22" t="n">
        <f aca="false">IFERROR(SUMIFS(動画別パフォーマンス!$J$5:$J$517,動画別パフォーマンス!$A$5:$A$517,A7,動画別パフォーマンス!$P$5:$P$517,"&gt;=20260902")/SUMIFS(動画別パフォーマンス!$E$5:$E$517,動画別パフォーマンス!$A$5:$A$517,A7,動画別パフォーマンス!$P$5:$P$517,"&gt;=20260902")*100,0)</f>
        <v>0.827742441404548</v>
      </c>
      <c r="L7" s="24" t="n">
        <f aca="false">IFERROR(J7/F7,0)</f>
        <v>2.49674761817488</v>
      </c>
    </row>
    <row r="8" customFormat="false" ht="15" hidden="false" customHeight="false" outlineLevel="0" collapsed="false">
      <c r="A8" s="15" t="s">
        <v>44</v>
      </c>
      <c r="B8" s="21" t="n">
        <f aca="false">COUNTIFS(動画別パフォーマンス!$A$5:$A$517,A8)</f>
        <v>157</v>
      </c>
      <c r="C8" s="21" t="n">
        <f aca="false">SUMIFS(動画別パフォーマンス!$E$5:$E$517,動画別パフォーマンス!$A$5:$A$517,A8)</f>
        <v>140587</v>
      </c>
      <c r="D8" s="21" t="n">
        <f aca="false">IFERROR(C8/B8,0)</f>
        <v>895.458598726115</v>
      </c>
      <c r="E8" s="21" t="n">
        <f aca="false">SUMIFS(動画別パフォーマンス!$L$5:$L$517,動画別パフォーマンス!$A$5:$A$517,A8)</f>
        <v>57</v>
      </c>
      <c r="F8" s="22" t="n">
        <f aca="false">IFERROR(E8/C8*1000,0)</f>
        <v>0.405442893012867</v>
      </c>
      <c r="G8" s="22" t="n">
        <f aca="false">IFERROR(SUMIFS(動画別パフォーマンス!$J$5:$J$517,動画別パフォーマンス!$A$5:$A$517,A8)/C8*100,0)</f>
        <v>0.507159267926622</v>
      </c>
      <c r="H8" s="23" t="n">
        <f aca="false">IFERROR(SUMPRODUCT((動画別パフォーマンス!$A$5:$A$517=A8)*動画別パフォーマンス!$H$5:$H$517*動画別パフォーマンス!$E$5:$E$517)/C8,0)</f>
        <v>83.6418406396039</v>
      </c>
      <c r="I8" s="21" t="n">
        <f aca="false">COUNTIFS(動画別パフォーマンス!$A$5:$A$517,A8,動画別パフォーマンス!$P$5:$P$517,"&gt;=20260902")</f>
        <v>15</v>
      </c>
      <c r="J8" s="22" t="n">
        <f aca="false">IFERROR(SUMIFS(動画別パフォーマンス!$L$5:$L$517,動画別パフォーマンス!$A$5:$A$517,A8,動画別パフォーマンス!$P$5:$P$517,"&gt;=20260902")/SUMIFS(動画別パフォーマンス!$E$5:$E$517,動画別パフォーマンス!$A$5:$A$517,A8,動画別パフォーマンス!$P$5:$P$517,"&gt;=20260902")*1000,0)</f>
        <v>0.681152510047</v>
      </c>
      <c r="K8" s="22" t="n">
        <f aca="false">IFERROR(SUMIFS(動画別パフォーマンス!$J$5:$J$517,動画別パフォーマンス!$A$5:$A$517,A8,動画別パフォーマンス!$P$5:$P$517,"&gt;=20260902")/SUMIFS(動画別パフォーマンス!$E$5:$E$517,動画別パフォーマンス!$A$5:$A$517,A8,動画別パフォーマンス!$P$5:$P$517,"&gt;=20260902")*100,0)</f>
        <v>0.912744363462979</v>
      </c>
      <c r="L8" s="24" t="n">
        <f aca="false">IFERROR(J8/F8,0)</f>
        <v>1.6800208408768</v>
      </c>
    </row>
    <row r="9" customFormat="false" ht="15" hidden="false" customHeight="false" outlineLevel="0" collapsed="false">
      <c r="A9" s="15" t="s">
        <v>47</v>
      </c>
      <c r="B9" s="21" t="n">
        <f aca="false">COUNTIFS(動画別パフォーマンス!$A$5:$A$517,A9)</f>
        <v>48</v>
      </c>
      <c r="C9" s="21" t="n">
        <f aca="false">SUMIFS(動画別パフォーマンス!$E$5:$E$517,動画別パフォーマンス!$A$5:$A$517,A9)</f>
        <v>55667</v>
      </c>
      <c r="D9" s="21" t="n">
        <f aca="false">IFERROR(C9/B9,0)</f>
        <v>1159.72916666667</v>
      </c>
      <c r="E9" s="21" t="n">
        <f aca="false">SUMIFS(動画別パフォーマンス!$L$5:$L$517,動画別パフォーマンス!$A$5:$A$517,A9)</f>
        <v>19</v>
      </c>
      <c r="F9" s="22" t="n">
        <f aca="false">IFERROR(E9/C9*1000,0)</f>
        <v>0.341315321465141</v>
      </c>
      <c r="G9" s="22" t="n">
        <f aca="false">IFERROR(SUMIFS(動画別パフォーマンス!$J$5:$J$517,動画別パフォーマンス!$A$5:$A$517,A9)/C9*100,0)</f>
        <v>0.28562703217346</v>
      </c>
      <c r="H9" s="23" t="n">
        <f aca="false">IFERROR(SUMPRODUCT((動画別パフォーマンス!$A$5:$A$517=A9)*動画別パフォーマンス!$H$5:$H$517*動画別パフォーマンス!$E$5:$E$517)/C9,0)</f>
        <v>62.2273503152676</v>
      </c>
      <c r="I9" s="21" t="n">
        <f aca="false">COUNTIFS(動画別パフォーマンス!$A$5:$A$517,A9,動画別パフォーマンス!$P$5:$P$517,"&gt;=20260902")</f>
        <v>8</v>
      </c>
      <c r="J9" s="22" t="n">
        <f aca="false">IFERROR(SUMIFS(動画別パフォーマンス!$L$5:$L$517,動画別パフォーマンス!$A$5:$A$517,A9,動画別パフォーマンス!$P$5:$P$517,"&gt;=20260902")/SUMIFS(動画別パフォーマンス!$E$5:$E$517,動画別パフォーマンス!$A$5:$A$517,A9,動画別パフォーマンス!$P$5:$P$517,"&gt;=20260902")*1000,0)</f>
        <v>0.541907514450867</v>
      </c>
      <c r="K9" s="22" t="n">
        <f aca="false">IFERROR(SUMIFS(動画別パフォーマンス!$J$5:$J$517,動画別パフォーマンス!$A$5:$A$517,A9,動画別パフォーマンス!$P$5:$P$517,"&gt;=20260902")/SUMIFS(動画別パフォーマンス!$E$5:$E$517,動画別パフォーマンス!$A$5:$A$517,A9,動画別パフォーマンス!$P$5:$P$517,"&gt;=20260902")*100,0)</f>
        <v>0.180635838150289</v>
      </c>
      <c r="L9" s="24" t="n">
        <f aca="false">IFERROR(J9/F9,0)</f>
        <v>1.58770345299665</v>
      </c>
    </row>
    <row r="10" customFormat="false" ht="15" hidden="false" customHeight="false" outlineLevel="0" collapsed="false">
      <c r="A10" s="15" t="s">
        <v>42</v>
      </c>
      <c r="B10" s="21" t="n">
        <f aca="false">COUNTIFS(動画別パフォーマンス!$A$5:$A$517,A10)</f>
        <v>51</v>
      </c>
      <c r="C10" s="21" t="n">
        <f aca="false">SUMIFS(動画別パフォーマンス!$E$5:$E$517,動画別パフォーマンス!$A$5:$A$517,A10)</f>
        <v>47619</v>
      </c>
      <c r="D10" s="21" t="n">
        <f aca="false">IFERROR(C10/B10,0)</f>
        <v>933.705882352941</v>
      </c>
      <c r="E10" s="21" t="n">
        <f aca="false">SUMIFS(動画別パフォーマンス!$L$5:$L$517,動画別パフォーマンス!$A$5:$A$517,A10)</f>
        <v>9</v>
      </c>
      <c r="F10" s="22" t="n">
        <f aca="false">IFERROR(E10/C10*1000,0)</f>
        <v>0.189000189000189</v>
      </c>
      <c r="G10" s="22" t="n">
        <f aca="false">IFERROR(SUMIFS(動画別パフォーマンス!$J$5:$J$517,動画別パフォーマンス!$A$5:$A$517,A10)/C10*100,0)</f>
        <v>0.214200214200214</v>
      </c>
      <c r="H10" s="23" t="n">
        <f aca="false">IFERROR(SUMPRODUCT((動画別パフォーマンス!$A$5:$A$517=A10)*動画別パフォーマンス!$H$5:$H$517*動画別パフォーマンス!$E$5:$E$517)/C10,0)</f>
        <v>50.1539721539722</v>
      </c>
      <c r="I10" s="21" t="n">
        <f aca="false">COUNTIFS(動画別パフォーマンス!$A$5:$A$517,A10,動画別パフォーマンス!$P$5:$P$517,"&gt;=20260902")</f>
        <v>16</v>
      </c>
      <c r="J10" s="22" t="n">
        <f aca="false">IFERROR(SUMIFS(動画別パフォーマンス!$L$5:$L$517,動画別パフォーマンス!$A$5:$A$517,A10,動画別パフォーマンス!$P$5:$P$517,"&gt;=20260902")/SUMIFS(動画別パフォーマンス!$E$5:$E$517,動画別パフォーマンス!$A$5:$A$517,A10,動画別パフォーマンス!$P$5:$P$517,"&gt;=20260902")*1000,0)</f>
        <v>0.252929769833909</v>
      </c>
      <c r="K10" s="22" t="n">
        <f aca="false">IFERROR(SUMIFS(動画別パフォーマンス!$J$5:$J$517,動画別パフォーマンス!$A$5:$A$517,A10,動画別パフォーマンス!$P$5:$P$517,"&gt;=20260902")/SUMIFS(動画別パフォーマンス!$E$5:$E$517,動画別パフォーマンス!$A$5:$A$517,A10,動画別パフォーマンス!$P$5:$P$517,"&gt;=20260902")*100,0)</f>
        <v>0.101171907933564</v>
      </c>
      <c r="L10" s="24" t="n">
        <f aca="false">IFERROR(J10/F10,0)</f>
        <v>1.33825141219122</v>
      </c>
    </row>
    <row r="11" customFormat="false" ht="15" hidden="false" customHeight="false" outlineLevel="0" collapsed="false">
      <c r="A11" s="25" t="s">
        <v>65</v>
      </c>
      <c r="B11" s="26" t="n">
        <f aca="false">SUM(B5:B10)</f>
        <v>513</v>
      </c>
      <c r="C11" s="26" t="n">
        <f aca="false">SUM(C5:C10)</f>
        <v>481796</v>
      </c>
      <c r="D11" s="26" t="n">
        <f aca="false">IFERROR(C11/B11,0)</f>
        <v>939.173489278752</v>
      </c>
      <c r="E11" s="26" t="n">
        <f aca="false">SUM(E5:E10)</f>
        <v>260</v>
      </c>
      <c r="F11" s="27" t="n">
        <f aca="false">IFERROR(E11/C11*1000,0)</f>
        <v>0.53964748565783</v>
      </c>
      <c r="G11" s="27" t="n">
        <f aca="false">IFERROR(SUM(動画別パフォーマンス!$J$5:$J$517)/C11*100,0)</f>
        <v>0.414075666879758</v>
      </c>
      <c r="H11" s="28" t="n">
        <f aca="false">IFERROR(SUMPRODUCT(動画別パフォーマンス!$H$5:$H$517,動画別パフォーマンス!$E$5:$E$517)/C11,0)</f>
        <v>64.8664144990826</v>
      </c>
      <c r="I11" s="26" t="n">
        <f aca="false">SUM(I5:I10)</f>
        <v>88</v>
      </c>
      <c r="J11" s="27" t="n">
        <f aca="false">IFERROR(SUMIFS(動画別パフォーマンス!$L$5:$L$517,動画別パフォーマンス!$P$5:$P$517,"&gt;=20260902")/SUMIFS(動画別パフォーマンス!$E$5:$E$517,動画別パフォーマンス!$P$5:$P$517,"&gt;=20260902")*1000,0)</f>
        <v>0.685161550345939</v>
      </c>
      <c r="K11" s="27" t="n">
        <f aca="false">IFERROR(SUMIFS(動画別パフォーマンス!$J$5:$J$517,動画別パフォーマンス!$P$5:$P$517,"&gt;=20260902")/SUMIFS(動画別パフォーマンス!$E$5:$E$517,動画別パフォーマンス!$P$5:$P$517,"&gt;=20260902")*100,0)</f>
        <v>0.484986901323302</v>
      </c>
      <c r="L11" s="29" t="n">
        <f aca="false">IFERROR(J11/F11,0)</f>
        <v>1.26964651657874</v>
      </c>
    </row>
    <row r="14" customFormat="false" ht="17.15" hidden="false" customHeight="false" outlineLevel="0" collapsed="false">
      <c r="A14" s="30" t="s">
        <v>66</v>
      </c>
    </row>
    <row r="15" customFormat="false" ht="15" hidden="false" customHeight="false" outlineLevel="0" collapsed="false">
      <c r="A15" s="31" t="s">
        <v>67</v>
      </c>
    </row>
    <row r="17" customFormat="false" ht="30" hidden="false" customHeight="true" outlineLevel="0" collapsed="false">
      <c r="A17" s="6" t="s">
        <v>68</v>
      </c>
      <c r="B17" s="6" t="s">
        <v>56</v>
      </c>
      <c r="C17" s="6" t="s">
        <v>69</v>
      </c>
      <c r="D17" s="6" t="s">
        <v>70</v>
      </c>
      <c r="E17" s="6" t="s">
        <v>58</v>
      </c>
      <c r="F17" s="6" t="s">
        <v>59</v>
      </c>
    </row>
    <row r="18" customFormat="false" ht="15" hidden="false" customHeight="false" outlineLevel="0" collapsed="false">
      <c r="A18" s="32" t="s">
        <v>71</v>
      </c>
      <c r="B18" s="21" t="n">
        <f aca="false">COUNTIFS(動画別パフォーマンス!$O$5:$O$517,A18,動画別パフォーマンス!$E$5:$E$517,"&gt;=200",動画別パフォーマンス!$P$5:$P$517,"&gt;=20260801")</f>
        <v>26</v>
      </c>
      <c r="C18" s="21" t="n">
        <f aca="false">SUMIFS(動画別パフォーマンス!$E$5:$E$517,動画別パフォーマンス!$O$5:$O$517,A18,動画別パフォーマンス!$E$5:$E$517,"&gt;=200",動画別パフォーマンス!$P$5:$P$517,"&gt;=20260801")</f>
        <v>23383</v>
      </c>
      <c r="D18" s="21" t="n">
        <f aca="false">SUMIFS(動画別パフォーマンス!$L$5:$L$517,動画別パフォーマンス!$O$5:$O$517,A18,動画別パフォーマンス!$E$5:$E$517,"&gt;=200",動画別パフォーマンス!$P$5:$P$517,"&gt;=20260801")</f>
        <v>6</v>
      </c>
      <c r="E18" s="22" t="n">
        <f aca="false">IFERROR(D18/C18*1000,0)</f>
        <v>0.256596672796476</v>
      </c>
      <c r="F18" s="22" t="n">
        <f aca="false">IFERROR(SUMIFS(動画別パフォーマンス!$J$5:$J$517,動画別パフォーマンス!$O$5:$O$517,A18,動画別パフォーマンス!$E$5:$E$517,"&gt;=200",動画別パフォーマンス!$P$5:$P$517,"&gt;=20260801")/C18*100,0)</f>
        <v>0.329299063422144</v>
      </c>
    </row>
    <row r="19" customFormat="false" ht="15" hidden="false" customHeight="false" outlineLevel="0" collapsed="false">
      <c r="A19" s="32" t="s">
        <v>72</v>
      </c>
      <c r="B19" s="21" t="n">
        <f aca="false">COUNTIFS(動画別パフォーマンス!$O$5:$O$517,A19,動画別パフォーマンス!$E$5:$E$517,"&gt;=200",動画別パフォーマンス!$P$5:$P$517,"&gt;=20260801")</f>
        <v>67</v>
      </c>
      <c r="C19" s="21" t="n">
        <f aca="false">SUMIFS(動画別パフォーマンス!$E$5:$E$517,動画別パフォーマンス!$O$5:$O$517,A19,動画別パフォーマンス!$E$5:$E$517,"&gt;=200",動画別パフォーマンス!$P$5:$P$517,"&gt;=20260801")</f>
        <v>58229</v>
      </c>
      <c r="D19" s="21" t="n">
        <f aca="false">SUMIFS(動画別パフォーマンス!$L$5:$L$517,動画別パフォーマンス!$O$5:$O$517,A19,動画別パフォーマンス!$E$5:$E$517,"&gt;=200",動画別パフォーマンス!$P$5:$P$517,"&gt;=20260801")</f>
        <v>30</v>
      </c>
      <c r="E19" s="22" t="n">
        <f aca="false">IFERROR(D19/C19*1000,0)</f>
        <v>0.51520719916193</v>
      </c>
      <c r="F19" s="22" t="n">
        <f aca="false">IFERROR(SUMIFS(動画別パフォーマンス!$J$5:$J$517,動画別パフォーマンス!$O$5:$O$517,A19,動画別パフォーマンス!$E$5:$E$517,"&gt;=200",動画別パフォーマンス!$P$5:$P$517,"&gt;=20260801")/C19*100,0)</f>
        <v>0.377818612718748</v>
      </c>
    </row>
    <row r="20" customFormat="false" ht="15" hidden="false" customHeight="false" outlineLevel="0" collapsed="false">
      <c r="A20" s="33" t="s">
        <v>73</v>
      </c>
      <c r="B20" s="21" t="n">
        <f aca="false">COUNTIFS(動画別パフォーマンス!$O$5:$O$517,A20,動画別パフォーマンス!$E$5:$E$517,"&gt;=200",動画別パフォーマンス!$P$5:$P$517,"&gt;=20260801")</f>
        <v>68</v>
      </c>
      <c r="C20" s="21" t="n">
        <f aca="false">SUMIFS(動画別パフォーマンス!$E$5:$E$517,動画別パフォーマンス!$O$5:$O$517,A20,動画別パフォーマンス!$E$5:$E$517,"&gt;=200",動画別パフォーマンス!$P$5:$P$517,"&gt;=20260801")</f>
        <v>64826</v>
      </c>
      <c r="D20" s="21" t="n">
        <f aca="false">SUMIFS(動画別パフォーマンス!$L$5:$L$517,動画別パフォーマンス!$O$5:$O$517,A20,動画別パフォーマンス!$E$5:$E$517,"&gt;=200",動画別パフォーマンス!$P$5:$P$517,"&gt;=20260801")</f>
        <v>44</v>
      </c>
      <c r="E20" s="34" t="n">
        <f aca="false">IFERROR(D20/C20*1000,0)</f>
        <v>0.678740011723691</v>
      </c>
      <c r="F20" s="22" t="n">
        <f aca="false">IFERROR(SUMIFS(動画別パフォーマンス!$J$5:$J$517,動画別パフォーマンス!$O$5:$O$517,A20,動画別パフォーマンス!$E$5:$E$517,"&gt;=200",動画別パフォーマンス!$P$5:$P$517,"&gt;=20260801")/C20*100,0)</f>
        <v>0.482830962885262</v>
      </c>
    </row>
    <row r="21" customFormat="false" ht="15" hidden="false" customHeight="false" outlineLevel="0" collapsed="false">
      <c r="A21" s="32" t="s">
        <v>74</v>
      </c>
      <c r="B21" s="21" t="n">
        <f aca="false">COUNTIFS(動画別パフォーマンス!$O$5:$O$517,A21,動画別パフォーマンス!$E$5:$E$517,"&gt;=200",動画別パフォーマンス!$P$5:$P$517,"&gt;=20260801")</f>
        <v>56</v>
      </c>
      <c r="C21" s="21" t="n">
        <f aca="false">SUMIFS(動画別パフォーマンス!$E$5:$E$517,動画別パフォーマンス!$O$5:$O$517,A21,動画別パフォーマンス!$E$5:$E$517,"&gt;=200",動画別パフォーマンス!$P$5:$P$517,"&gt;=20260801")</f>
        <v>65956</v>
      </c>
      <c r="D21" s="21" t="n">
        <f aca="false">SUMIFS(動画別パフォーマンス!$L$5:$L$517,動画別パフォーマンス!$O$5:$O$517,A21,動画別パフォーマンス!$E$5:$E$517,"&gt;=200",動画別パフォーマンス!$P$5:$P$517,"&gt;=20260801")</f>
        <v>34</v>
      </c>
      <c r="E21" s="22" t="n">
        <f aca="false">IFERROR(D21/C21*1000,0)</f>
        <v>0.515495178603918</v>
      </c>
      <c r="F21" s="22" t="n">
        <f aca="false">IFERROR(SUMIFS(動画別パフォーマンス!$J$5:$J$517,動画別パフォーマンス!$O$5:$O$517,A21,動画別パフォーマンス!$E$5:$E$517,"&gt;=200",動画別パフォーマンス!$P$5:$P$517,"&gt;=20260801")/C21*100,0)</f>
        <v>0.3684274364728</v>
      </c>
    </row>
    <row r="22" customFormat="false" ht="15" hidden="false" customHeight="false" outlineLevel="0" collapsed="false">
      <c r="A22" s="32" t="s">
        <v>75</v>
      </c>
      <c r="B22" s="21" t="n">
        <f aca="false">COUNTIFS(動画別パフォーマンス!$O$5:$O$517,A22,動画別パフォーマンス!$E$5:$E$517,"&gt;=200",動画別パフォーマンス!$P$5:$P$517,"&gt;=20260801")</f>
        <v>33</v>
      </c>
      <c r="C22" s="21" t="n">
        <f aca="false">SUMIFS(動画別パフォーマンス!$E$5:$E$517,動画別パフォーマンス!$O$5:$O$517,A22,動画別パフォーマンス!$E$5:$E$517,"&gt;=200",動画別パフォーマンス!$P$5:$P$517,"&gt;=20260801")</f>
        <v>40015</v>
      </c>
      <c r="D22" s="21" t="n">
        <f aca="false">SUMIFS(動画別パフォーマンス!$L$5:$L$517,動画別パフォーマンス!$O$5:$O$517,A22,動画別パフォーマンス!$E$5:$E$517,"&gt;=200",動画別パフォーマンス!$P$5:$P$517,"&gt;=20260801")</f>
        <v>17</v>
      </c>
      <c r="E22" s="22" t="n">
        <f aca="false">IFERROR(D22/C22*1000,0)</f>
        <v>0.424840684743221</v>
      </c>
      <c r="F22" s="22" t="n">
        <f aca="false">IFERROR(SUMIFS(動画別パフォーマンス!$J$5:$J$517,動画別パフォーマンス!$O$5:$O$517,A22,動画別パフォーマンス!$E$5:$E$517,"&gt;=200",動画別パフォーマンス!$P$5:$P$517,"&gt;=20260801")/C22*100,0)</f>
        <v>0.3498687992003</v>
      </c>
    </row>
    <row r="23" customFormat="false" ht="15" hidden="false" customHeight="false" outlineLevel="0" collapsed="false">
      <c r="A23" s="32" t="s">
        <v>76</v>
      </c>
      <c r="B23" s="21" t="n">
        <f aca="false">COUNTIFS(動画別パフォーマンス!$O$5:$O$517,A23,動画別パフォーマンス!$E$5:$E$517,"&gt;=200",動画別パフォーマンス!$P$5:$P$517,"&gt;=20260801")</f>
        <v>48</v>
      </c>
      <c r="C23" s="21" t="n">
        <f aca="false">SUMIFS(動画別パフォーマンス!$E$5:$E$517,動画別パフォーマンス!$O$5:$O$517,A23,動画別パフォーマンス!$E$5:$E$517,"&gt;=200",動画別パフォーマンス!$P$5:$P$517,"&gt;=20260801")</f>
        <v>61530</v>
      </c>
      <c r="D23" s="21" t="n">
        <f aca="false">SUMIFS(動画別パフォーマンス!$L$5:$L$517,動画別パフォーマンス!$O$5:$O$517,A23,動画別パフォーマンス!$E$5:$E$517,"&gt;=200",動画別パフォーマンス!$P$5:$P$517,"&gt;=20260801")</f>
        <v>29</v>
      </c>
      <c r="E23" s="22" t="n">
        <f aca="false">IFERROR(D23/C23*1000,0)</f>
        <v>0.471314805785796</v>
      </c>
      <c r="F23" s="22" t="n">
        <f aca="false">IFERROR(SUMIFS(動画別パフォーマンス!$J$5:$J$517,動画別パフォーマンス!$O$5:$O$517,A23,動画別パフォーマンス!$E$5:$E$517,"&gt;=200",動画別パフォーマンス!$P$5:$P$517,"&gt;=20260801")/C23*100,0)</f>
        <v>0.386803185437998</v>
      </c>
    </row>
    <row r="26" customFormat="false" ht="17.15" hidden="false" customHeight="false" outlineLevel="0" collapsed="false">
      <c r="A26" s="30" t="s">
        <v>77</v>
      </c>
    </row>
    <row r="27" customFormat="false" ht="15" hidden="false" customHeight="false" outlineLevel="0" collapsed="false">
      <c r="A27" s="35" t="s">
        <v>78</v>
      </c>
    </row>
    <row r="29" customFormat="false" ht="30" hidden="false" customHeight="true" outlineLevel="0" collapsed="false">
      <c r="A29" s="6" t="s">
        <v>79</v>
      </c>
      <c r="B29" s="6" t="s">
        <v>80</v>
      </c>
      <c r="C29" s="6" t="s">
        <v>56</v>
      </c>
      <c r="D29" s="6" t="s">
        <v>69</v>
      </c>
      <c r="E29" s="6" t="s">
        <v>70</v>
      </c>
      <c r="F29" s="6" t="s">
        <v>58</v>
      </c>
    </row>
    <row r="30" customFormat="false" ht="26.85" hidden="false" customHeight="false" outlineLevel="0" collapsed="false">
      <c r="A30" s="32" t="s">
        <v>81</v>
      </c>
      <c r="B30" s="32" t="s">
        <v>82</v>
      </c>
      <c r="C30" s="21" t="n">
        <f aca="false">COUNTIFS(動画別パフォーマンス!$N$5:$N$517,"&gt;=0.0",動画別パフォーマンス!$N$5:$N$517,"&lt;0.2086",動画別パフォーマンス!$E$5:$E$517,"&gt;=200")</f>
        <v>119</v>
      </c>
      <c r="D30" s="21" t="n">
        <f aca="false">SUMIFS(動画別パフォーマンス!$E$5:$E$517,動画別パフォーマンス!$N$5:$N$517,"&gt;=0.0",動画別パフォーマンス!$N$5:$N$517,"&lt;0.2086",動画別パフォーマンス!$E$5:$E$517,"&gt;=200")</f>
        <v>109860</v>
      </c>
      <c r="E30" s="21" t="n">
        <f aca="false">SUMIFS(動画別パフォーマンス!$L$5:$L$517,動画別パフォーマンス!$N$5:$N$517,"&gt;=0.0",動画別パフォーマンス!$N$5:$N$517,"&lt;0.2086",動画別パフォーマンス!$E$5:$E$517,"&gt;=200")</f>
        <v>30</v>
      </c>
      <c r="F30" s="22" t="n">
        <f aca="false">IFERROR(E30/D30*1000,0)</f>
        <v>0.273074822501365</v>
      </c>
    </row>
    <row r="31" customFormat="false" ht="26.85" hidden="false" customHeight="false" outlineLevel="0" collapsed="false">
      <c r="A31" s="32" t="s">
        <v>83</v>
      </c>
      <c r="B31" s="32" t="s">
        <v>84</v>
      </c>
      <c r="C31" s="21" t="n">
        <f aca="false">COUNTIFS(動画別パフォーマンス!$N$5:$N$517,"&gt;=0.2086",動画別パフォーマンス!$N$5:$N$517,"&lt;0.366",動画別パフォーマンス!$E$5:$E$517,"&gt;=200")</f>
        <v>117</v>
      </c>
      <c r="D31" s="21" t="n">
        <f aca="false">SUMIFS(動画別パフォーマンス!$E$5:$E$517,動画別パフォーマンス!$N$5:$N$517,"&gt;=0.2086",動画別パフォーマンス!$N$5:$N$517,"&lt;0.366",動画別パフォーマンス!$E$5:$E$517,"&gt;=200")</f>
        <v>130017</v>
      </c>
      <c r="E31" s="21" t="n">
        <f aca="false">SUMIFS(動画別パフォーマンス!$L$5:$L$517,動画別パフォーマンス!$N$5:$N$517,"&gt;=0.2086",動画別パフォーマンス!$N$5:$N$517,"&lt;0.366",動画別パフォーマンス!$E$5:$E$517,"&gt;=200")</f>
        <v>56</v>
      </c>
      <c r="F31" s="22" t="n">
        <f aca="false">IFERROR(E31/D31*1000,0)</f>
        <v>0.43071290677373</v>
      </c>
    </row>
    <row r="32" customFormat="false" ht="26.85" hidden="false" customHeight="false" outlineLevel="0" collapsed="false">
      <c r="A32" s="32" t="s">
        <v>85</v>
      </c>
      <c r="B32" s="32" t="s">
        <v>86</v>
      </c>
      <c r="C32" s="21" t="n">
        <f aca="false">COUNTIFS(動画別パフォーマンス!$N$5:$N$517,"&gt;=0.366",動画別パフォーマンス!$N$5:$N$517,"&lt;0.572",動画別パフォーマンス!$E$5:$E$517,"&gt;=200")</f>
        <v>119</v>
      </c>
      <c r="D32" s="21" t="n">
        <f aca="false">SUMIFS(動画別パフォーマンス!$E$5:$E$517,動画別パフォーマンス!$N$5:$N$517,"&gt;=0.366",動画別パフォーマンス!$N$5:$N$517,"&lt;0.572",動画別パフォーマンス!$E$5:$E$517,"&gt;=200")</f>
        <v>125415</v>
      </c>
      <c r="E32" s="21" t="n">
        <f aca="false">SUMIFS(動画別パフォーマンス!$L$5:$L$517,動画別パフォーマンス!$N$5:$N$517,"&gt;=0.366",動画別パフォーマンス!$N$5:$N$517,"&lt;0.572",動画別パフォーマンス!$E$5:$E$517,"&gt;=200")</f>
        <v>64</v>
      </c>
      <c r="F32" s="22" t="n">
        <f aca="false">IFERROR(E32/D32*1000,0)</f>
        <v>0.510305784794482</v>
      </c>
    </row>
    <row r="33" customFormat="false" ht="26.85" hidden="false" customHeight="false" outlineLevel="0" collapsed="false">
      <c r="A33" s="32" t="s">
        <v>87</v>
      </c>
      <c r="B33" s="32" t="s">
        <v>88</v>
      </c>
      <c r="C33" s="21" t="n">
        <f aca="false">COUNTIFS(動画別パフォーマンス!$N$5:$N$517,"&gt;=0.572",動画別パフォーマンス!$N$5:$N$517,"&lt;=100.0",動画別パフォーマンス!$E$5:$E$517,"&gt;=200")</f>
        <v>119</v>
      </c>
      <c r="D33" s="21" t="n">
        <f aca="false">SUMIFS(動画別パフォーマンス!$E$5:$E$517,動画別パフォーマンス!$N$5:$N$517,"&gt;=0.572",動画別パフォーマンス!$N$5:$N$517,"&lt;=100.0",動画別パフォーマンス!$E$5:$E$517,"&gt;=200")</f>
        <v>113248</v>
      </c>
      <c r="E33" s="21" t="n">
        <f aca="false">SUMIFS(動画別パフォーマンス!$L$5:$L$517,動画別パフォーマンス!$N$5:$N$517,"&gt;=0.572",動画別パフォーマンス!$N$5:$N$517,"&lt;=100.0",動画別パフォーマンス!$E$5:$E$517,"&gt;=200")</f>
        <v>107</v>
      </c>
      <c r="F33" s="34" t="n">
        <f aca="false">IFERROR(E33/D33*1000,0)</f>
        <v>0.944829047753603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46"/>
    <col collapsed="false" customWidth="true" hidden="false" outlineLevel="0" max="4" min="4" style="0" width="13"/>
    <col collapsed="false" customWidth="true" hidden="false" outlineLevel="0" max="5" min="5" style="0" width="10"/>
    <col collapsed="false" customWidth="true" hidden="false" outlineLevel="0" max="6" min="6" style="0" width="15"/>
    <col collapsed="false" customWidth="true" hidden="false" outlineLevel="0" max="7" min="7" style="0" width="9"/>
    <col collapsed="false" customWidth="true" hidden="false" outlineLevel="0" max="8" min="8" style="0" width="10"/>
    <col collapsed="false" customWidth="true" hidden="false" outlineLevel="0" max="9" min="9" style="0" width="11"/>
    <col collapsed="false" customWidth="true" hidden="false" outlineLevel="0" max="10" min="10" style="0" width="8"/>
    <col collapsed="false" customWidth="true" hidden="false" outlineLevel="0" max="11" min="11" style="0" width="9"/>
    <col collapsed="false" customWidth="true" hidden="false" outlineLevel="0" max="12" min="12" style="0" width="8"/>
    <col collapsed="false" customWidth="true" hidden="false" outlineLevel="0" max="13" min="13" style="0" width="11"/>
    <col collapsed="false" customWidth="true" hidden="false" outlineLevel="0" max="15" min="14" style="0" width="12"/>
    <col collapsed="false" customWidth="true" hidden="false" outlineLevel="0" max="16" min="16" style="0" width="11"/>
  </cols>
  <sheetData>
    <row r="1" customFormat="false" ht="21.6" hidden="false" customHeight="false" outlineLevel="0" collapsed="false">
      <c r="A1" s="19" t="s">
        <v>89</v>
      </c>
    </row>
    <row r="2" customFormat="false" ht="15" hidden="false" customHeight="false" outlineLevel="0" collapsed="false">
      <c r="A2" s="20" t="s">
        <v>90</v>
      </c>
      <c r="B2" s="20"/>
      <c r="C2" s="20"/>
      <c r="D2" s="20"/>
      <c r="E2" s="20"/>
      <c r="F2" s="20"/>
      <c r="G2" s="20"/>
      <c r="H2" s="20"/>
      <c r="I2" s="20"/>
      <c r="J2" s="20"/>
      <c r="K2" s="20"/>
      <c r="L2" s="20"/>
      <c r="M2" s="20"/>
      <c r="N2" s="20"/>
      <c r="O2" s="20"/>
    </row>
    <row r="4" customFormat="false" ht="30" hidden="false" customHeight="true" outlineLevel="0" collapsed="false">
      <c r="A4" s="6" t="s">
        <v>40</v>
      </c>
      <c r="B4" s="6" t="s">
        <v>91</v>
      </c>
      <c r="C4" s="6" t="s">
        <v>92</v>
      </c>
      <c r="D4" s="6" t="s">
        <v>93</v>
      </c>
      <c r="E4" s="6" t="s">
        <v>69</v>
      </c>
      <c r="F4" s="6" t="s">
        <v>94</v>
      </c>
      <c r="G4" s="36" t="s">
        <v>95</v>
      </c>
      <c r="H4" s="6" t="s">
        <v>96</v>
      </c>
      <c r="I4" s="6" t="s">
        <v>97</v>
      </c>
      <c r="J4" s="6" t="s">
        <v>98</v>
      </c>
      <c r="K4" s="6" t="s">
        <v>99</v>
      </c>
      <c r="L4" s="6" t="s">
        <v>70</v>
      </c>
      <c r="M4" s="6" t="s">
        <v>58</v>
      </c>
      <c r="N4" s="6" t="s">
        <v>59</v>
      </c>
      <c r="O4" s="6" t="s">
        <v>68</v>
      </c>
      <c r="P4" s="6" t="s">
        <v>100</v>
      </c>
    </row>
    <row r="5" customFormat="false" ht="23.85" hidden="false" customHeight="false" outlineLevel="0" collapsed="false">
      <c r="A5" s="14" t="s">
        <v>42</v>
      </c>
      <c r="B5" s="32" t="s">
        <v>101</v>
      </c>
      <c r="C5" s="14" t="s">
        <v>102</v>
      </c>
      <c r="D5" s="32" t="s">
        <v>103</v>
      </c>
      <c r="E5" s="21" t="n">
        <v>1364</v>
      </c>
      <c r="F5" s="21" t="n">
        <v>50</v>
      </c>
      <c r="G5" s="22" t="n">
        <v>0.114</v>
      </c>
      <c r="H5" s="22" t="n">
        <v>48.36</v>
      </c>
      <c r="I5" s="23" t="n">
        <v>12</v>
      </c>
      <c r="J5" s="21" t="n">
        <v>3</v>
      </c>
      <c r="K5" s="21" t="n">
        <v>0</v>
      </c>
      <c r="L5" s="21" t="n">
        <v>0</v>
      </c>
      <c r="M5" s="22" t="n">
        <f aca="false">IFERROR(L5/E5*1000,0)</f>
        <v>0</v>
      </c>
      <c r="N5" s="22" t="n">
        <f aca="false">IFERROR(J5/E5*100,0)</f>
        <v>0.219941348973607</v>
      </c>
      <c r="O5" s="32" t="str">
        <f aca="false">IF(H5&lt;30,"00-30",IF(H5&lt;40,"30-40",IF(H5&lt;50,"40-50",IF(H5&lt;60,"50-60",IF(H5&lt;70,"60-70","70+")))))</f>
        <v>40-50</v>
      </c>
      <c r="P5" s="37" t="n">
        <f aca="false">IFERROR(VALUE(SUBSTITUTE(B5,"-","")),0)</f>
        <v>20260809</v>
      </c>
    </row>
    <row r="6" customFormat="false" ht="15" hidden="false" customHeight="false" outlineLevel="0" collapsed="false">
      <c r="A6" s="14" t="s">
        <v>42</v>
      </c>
      <c r="B6" s="32" t="s">
        <v>104</v>
      </c>
      <c r="C6" s="7" t="s">
        <v>105</v>
      </c>
      <c r="D6" s="32" t="s">
        <v>106</v>
      </c>
      <c r="E6" s="21" t="n">
        <v>1086</v>
      </c>
      <c r="F6" s="21" t="n">
        <v>36</v>
      </c>
      <c r="G6" s="22" t="n">
        <v>0.036</v>
      </c>
      <c r="H6" s="22" t="n">
        <v>125.51</v>
      </c>
      <c r="I6" s="23" t="n">
        <v>28</v>
      </c>
      <c r="J6" s="21" t="n">
        <v>1</v>
      </c>
      <c r="K6" s="21" t="n">
        <v>0</v>
      </c>
      <c r="L6" s="21" t="n">
        <v>0</v>
      </c>
      <c r="M6" s="22" t="n">
        <f aca="false">IFERROR(L6/E6*1000,0)</f>
        <v>0</v>
      </c>
      <c r="N6" s="22" t="n">
        <f aca="false">IFERROR(J6/E6*100,0)</f>
        <v>0.0920810313075507</v>
      </c>
      <c r="O6" s="32" t="str">
        <f aca="false">IF(H6&lt;30,"00-30",IF(H6&lt;40,"30-40",IF(H6&lt;50,"40-50",IF(H6&lt;60,"50-60",IF(H6&lt;70,"60-70","70+")))))</f>
        <v>70+</v>
      </c>
      <c r="P6" s="37" t="n">
        <f aca="false">IFERROR(VALUE(SUBSTITUTE(B6,"-","")),0)</f>
        <v>20260813</v>
      </c>
    </row>
    <row r="7" customFormat="false" ht="23.85" hidden="false" customHeight="false" outlineLevel="0" collapsed="false">
      <c r="A7" s="14" t="s">
        <v>42</v>
      </c>
      <c r="B7" s="32" t="s">
        <v>104</v>
      </c>
      <c r="C7" s="7" t="s">
        <v>107</v>
      </c>
      <c r="D7" s="32" t="s">
        <v>108</v>
      </c>
      <c r="E7" s="21" t="n">
        <v>1439</v>
      </c>
      <c r="F7" s="21" t="n">
        <v>58</v>
      </c>
      <c r="G7" s="22" t="n">
        <v>0.043</v>
      </c>
      <c r="H7" s="22" t="n">
        <v>66.69</v>
      </c>
      <c r="I7" s="23" t="n">
        <v>14</v>
      </c>
      <c r="J7" s="21" t="n">
        <v>3</v>
      </c>
      <c r="K7" s="21" t="n">
        <v>0</v>
      </c>
      <c r="L7" s="21" t="n">
        <v>0</v>
      </c>
      <c r="M7" s="22" t="n">
        <f aca="false">IFERROR(L7/E7*1000,0)</f>
        <v>0</v>
      </c>
      <c r="N7" s="22" t="n">
        <f aca="false">IFERROR(J7/E7*100,0)</f>
        <v>0.208478109798471</v>
      </c>
      <c r="O7" s="32" t="str">
        <f aca="false">IF(H7&lt;30,"00-30",IF(H7&lt;40,"30-40",IF(H7&lt;50,"40-50",IF(H7&lt;60,"50-60",IF(H7&lt;70,"60-70","70+")))))</f>
        <v>60-70</v>
      </c>
      <c r="P7" s="37" t="n">
        <f aca="false">IFERROR(VALUE(SUBSTITUTE(B7,"-","")),0)</f>
        <v>20260813</v>
      </c>
    </row>
    <row r="8" customFormat="false" ht="23.85" hidden="false" customHeight="false" outlineLevel="0" collapsed="false">
      <c r="A8" s="14" t="s">
        <v>42</v>
      </c>
      <c r="B8" s="32" t="s">
        <v>109</v>
      </c>
      <c r="C8" s="7" t="s">
        <v>110</v>
      </c>
      <c r="D8" s="32" t="s">
        <v>111</v>
      </c>
      <c r="E8" s="21" t="n">
        <v>1319</v>
      </c>
      <c r="F8" s="21" t="n">
        <v>81</v>
      </c>
      <c r="G8" s="22" t="n">
        <v>0.037</v>
      </c>
      <c r="H8" s="22" t="n">
        <v>61.41</v>
      </c>
      <c r="I8" s="23" t="n">
        <v>14</v>
      </c>
      <c r="J8" s="21" t="n">
        <v>4</v>
      </c>
      <c r="K8" s="21" t="n">
        <v>0</v>
      </c>
      <c r="L8" s="21" t="n">
        <v>2</v>
      </c>
      <c r="M8" s="22" t="n">
        <f aca="false">IFERROR(L8/E8*1000,0)</f>
        <v>1.51630022744503</v>
      </c>
      <c r="N8" s="22" t="n">
        <f aca="false">IFERROR(J8/E8*100,0)</f>
        <v>0.303260045489007</v>
      </c>
      <c r="O8" s="32" t="str">
        <f aca="false">IF(H8&lt;30,"00-30",IF(H8&lt;40,"30-40",IF(H8&lt;50,"40-50",IF(H8&lt;60,"50-60",IF(H8&lt;70,"60-70","70+")))))</f>
        <v>60-70</v>
      </c>
      <c r="P8" s="37" t="n">
        <f aca="false">IFERROR(VALUE(SUBSTITUTE(B8,"-","")),0)</f>
        <v>20260814</v>
      </c>
    </row>
    <row r="9" customFormat="false" ht="15" hidden="false" customHeight="false" outlineLevel="0" collapsed="false">
      <c r="A9" s="14" t="s">
        <v>42</v>
      </c>
      <c r="B9" s="32" t="s">
        <v>109</v>
      </c>
      <c r="C9" s="7" t="s">
        <v>112</v>
      </c>
      <c r="D9" s="32" t="s">
        <v>113</v>
      </c>
      <c r="E9" s="21" t="n">
        <v>1368</v>
      </c>
      <c r="F9" s="21" t="n">
        <v>33</v>
      </c>
      <c r="G9" s="22" t="n">
        <v>0</v>
      </c>
      <c r="H9" s="22" t="n">
        <v>49.89</v>
      </c>
      <c r="I9" s="23" t="n">
        <v>11</v>
      </c>
      <c r="J9" s="21" t="n">
        <v>3</v>
      </c>
      <c r="K9" s="21" t="n">
        <v>0</v>
      </c>
      <c r="L9" s="21" t="n">
        <v>1</v>
      </c>
      <c r="M9" s="22" t="n">
        <f aca="false">IFERROR(L9/E9*1000,0)</f>
        <v>0.730994152046784</v>
      </c>
      <c r="N9" s="22" t="n">
        <f aca="false">IFERROR(J9/E9*100,0)</f>
        <v>0.219298245614035</v>
      </c>
      <c r="O9" s="32" t="str">
        <f aca="false">IF(H9&lt;30,"00-30",IF(H9&lt;40,"30-40",IF(H9&lt;50,"40-50",IF(H9&lt;60,"50-60",IF(H9&lt;70,"60-70","70+")))))</f>
        <v>40-50</v>
      </c>
      <c r="P9" s="37" t="n">
        <f aca="false">IFERROR(VALUE(SUBSTITUTE(B9,"-","")),0)</f>
        <v>20260814</v>
      </c>
    </row>
    <row r="10" customFormat="false" ht="15" hidden="false" customHeight="false" outlineLevel="0" collapsed="false">
      <c r="A10" s="14" t="s">
        <v>42</v>
      </c>
      <c r="B10" s="32" t="s">
        <v>114</v>
      </c>
      <c r="C10" s="7" t="s">
        <v>115</v>
      </c>
      <c r="D10" s="32" t="s">
        <v>116</v>
      </c>
      <c r="E10" s="21" t="n">
        <v>1656</v>
      </c>
      <c r="F10" s="21" t="n">
        <v>35</v>
      </c>
      <c r="G10" s="22" t="n">
        <v>0.111</v>
      </c>
      <c r="H10" s="22" t="n">
        <v>64.42</v>
      </c>
      <c r="I10" s="23" t="n">
        <v>15</v>
      </c>
      <c r="J10" s="21" t="n">
        <v>4</v>
      </c>
      <c r="K10" s="21" t="n">
        <v>2</v>
      </c>
      <c r="L10" s="21" t="n">
        <v>0</v>
      </c>
      <c r="M10" s="22" t="n">
        <f aca="false">IFERROR(L10/E10*1000,0)</f>
        <v>0</v>
      </c>
      <c r="N10" s="22" t="n">
        <f aca="false">IFERROR(J10/E10*100,0)</f>
        <v>0.241545893719807</v>
      </c>
      <c r="O10" s="32" t="str">
        <f aca="false">IF(H10&lt;30,"00-30",IF(H10&lt;40,"30-40",IF(H10&lt;50,"40-50",IF(H10&lt;60,"50-60",IF(H10&lt;70,"60-70","70+")))))</f>
        <v>60-70</v>
      </c>
      <c r="P10" s="37" t="n">
        <f aca="false">IFERROR(VALUE(SUBSTITUTE(B10,"-","")),0)</f>
        <v>20260815</v>
      </c>
    </row>
    <row r="11" customFormat="false" ht="23.85" hidden="false" customHeight="false" outlineLevel="0" collapsed="false">
      <c r="A11" s="14" t="s">
        <v>42</v>
      </c>
      <c r="B11" s="32" t="s">
        <v>114</v>
      </c>
      <c r="C11" s="7" t="s">
        <v>117</v>
      </c>
      <c r="D11" s="32" t="s">
        <v>118</v>
      </c>
      <c r="E11" s="21" t="n">
        <v>1191</v>
      </c>
      <c r="F11" s="21" t="n">
        <v>25</v>
      </c>
      <c r="G11" s="22" t="n">
        <v>0</v>
      </c>
      <c r="H11" s="22" t="n">
        <v>51.28</v>
      </c>
      <c r="I11" s="23" t="n">
        <v>11</v>
      </c>
      <c r="J11" s="21" t="n">
        <v>0</v>
      </c>
      <c r="K11" s="21" t="n">
        <v>0</v>
      </c>
      <c r="L11" s="21" t="n">
        <v>0</v>
      </c>
      <c r="M11" s="22" t="n">
        <f aca="false">IFERROR(L11/E11*1000,0)</f>
        <v>0</v>
      </c>
      <c r="N11" s="22" t="n">
        <f aca="false">IFERROR(J11/E11*100,0)</f>
        <v>0</v>
      </c>
      <c r="O11" s="32" t="str">
        <f aca="false">IF(H11&lt;30,"00-30",IF(H11&lt;40,"30-40",IF(H11&lt;50,"40-50",IF(H11&lt;60,"50-60",IF(H11&lt;70,"60-70","70+")))))</f>
        <v>50-60</v>
      </c>
      <c r="P11" s="37" t="n">
        <f aca="false">IFERROR(VALUE(SUBSTITUTE(B11,"-","")),0)</f>
        <v>20260815</v>
      </c>
    </row>
    <row r="12" customFormat="false" ht="15" hidden="false" customHeight="false" outlineLevel="0" collapsed="false">
      <c r="A12" s="14" t="s">
        <v>42</v>
      </c>
      <c r="B12" s="32" t="s">
        <v>119</v>
      </c>
      <c r="C12" s="7" t="s">
        <v>120</v>
      </c>
      <c r="D12" s="32" t="s">
        <v>121</v>
      </c>
      <c r="E12" s="21" t="n">
        <v>1355</v>
      </c>
      <c r="F12" s="21" t="n">
        <v>31</v>
      </c>
      <c r="G12" s="22" t="n">
        <v>0</v>
      </c>
      <c r="H12" s="22" t="n">
        <v>72.17</v>
      </c>
      <c r="I12" s="23" t="n">
        <v>16</v>
      </c>
      <c r="J12" s="21" t="n">
        <v>1</v>
      </c>
      <c r="K12" s="21" t="n">
        <v>1</v>
      </c>
      <c r="L12" s="21" t="n">
        <v>0</v>
      </c>
      <c r="M12" s="22" t="n">
        <f aca="false">IFERROR(L12/E12*1000,0)</f>
        <v>0</v>
      </c>
      <c r="N12" s="22" t="n">
        <f aca="false">IFERROR(J12/E12*100,0)</f>
        <v>0.0738007380073801</v>
      </c>
      <c r="O12" s="32" t="str">
        <f aca="false">IF(H12&lt;30,"00-30",IF(H12&lt;40,"30-40",IF(H12&lt;50,"40-50",IF(H12&lt;60,"50-60",IF(H12&lt;70,"60-70","70+")))))</f>
        <v>70+</v>
      </c>
      <c r="P12" s="37" t="n">
        <f aca="false">IFERROR(VALUE(SUBSTITUTE(B12,"-","")),0)</f>
        <v>20260816</v>
      </c>
    </row>
    <row r="13" customFormat="false" ht="15" hidden="false" customHeight="false" outlineLevel="0" collapsed="false">
      <c r="A13" s="14" t="s">
        <v>42</v>
      </c>
      <c r="B13" s="32" t="s">
        <v>122</v>
      </c>
      <c r="C13" s="7" t="s">
        <v>123</v>
      </c>
      <c r="D13" s="32" t="s">
        <v>124</v>
      </c>
      <c r="E13" s="21" t="n">
        <v>1355</v>
      </c>
      <c r="F13" s="21" t="n">
        <v>35</v>
      </c>
      <c r="G13" s="22" t="n">
        <v>0</v>
      </c>
      <c r="H13" s="22" t="n">
        <v>57.22</v>
      </c>
      <c r="I13" s="23" t="n">
        <v>16</v>
      </c>
      <c r="J13" s="21" t="n">
        <v>4</v>
      </c>
      <c r="K13" s="21" t="n">
        <v>0</v>
      </c>
      <c r="L13" s="21" t="n">
        <v>0</v>
      </c>
      <c r="M13" s="22" t="n">
        <f aca="false">IFERROR(L13/E13*1000,0)</f>
        <v>0</v>
      </c>
      <c r="N13" s="22" t="n">
        <f aca="false">IFERROR(J13/E13*100,0)</f>
        <v>0.29520295202952</v>
      </c>
      <c r="O13" s="32" t="str">
        <f aca="false">IF(H13&lt;30,"00-30",IF(H13&lt;40,"30-40",IF(H13&lt;50,"40-50",IF(H13&lt;60,"50-60",IF(H13&lt;70,"60-70","70+")))))</f>
        <v>50-60</v>
      </c>
      <c r="P13" s="37" t="n">
        <f aca="false">IFERROR(VALUE(SUBSTITUTE(B13,"-","")),0)</f>
        <v>20260817</v>
      </c>
    </row>
    <row r="14" customFormat="false" ht="15" hidden="false" customHeight="false" outlineLevel="0" collapsed="false">
      <c r="A14" s="14" t="s">
        <v>42</v>
      </c>
      <c r="B14" s="32" t="s">
        <v>122</v>
      </c>
      <c r="C14" s="7" t="s">
        <v>125</v>
      </c>
      <c r="D14" s="32" t="s">
        <v>126</v>
      </c>
      <c r="E14" s="21" t="n">
        <v>1162</v>
      </c>
      <c r="F14" s="21" t="n">
        <v>30</v>
      </c>
      <c r="G14" s="22" t="n">
        <v>0</v>
      </c>
      <c r="H14" s="22" t="n">
        <v>109.6</v>
      </c>
      <c r="I14" s="23" t="n">
        <v>28</v>
      </c>
      <c r="J14" s="21" t="n">
        <v>3</v>
      </c>
      <c r="K14" s="21" t="n">
        <v>0</v>
      </c>
      <c r="L14" s="21" t="n">
        <v>0</v>
      </c>
      <c r="M14" s="22" t="n">
        <f aca="false">IFERROR(L14/E14*1000,0)</f>
        <v>0</v>
      </c>
      <c r="N14" s="22" t="n">
        <f aca="false">IFERROR(J14/E14*100,0)</f>
        <v>0.258175559380379</v>
      </c>
      <c r="O14" s="32" t="str">
        <f aca="false">IF(H14&lt;30,"00-30",IF(H14&lt;40,"30-40",IF(H14&lt;50,"40-50",IF(H14&lt;60,"50-60",IF(H14&lt;70,"60-70","70+")))))</f>
        <v>70+</v>
      </c>
      <c r="P14" s="37" t="n">
        <f aca="false">IFERROR(VALUE(SUBSTITUTE(B14,"-","")),0)</f>
        <v>20260817</v>
      </c>
    </row>
    <row r="15" customFormat="false" ht="15" hidden="false" customHeight="false" outlineLevel="0" collapsed="false">
      <c r="A15" s="14" t="s">
        <v>42</v>
      </c>
      <c r="B15" s="32" t="s">
        <v>122</v>
      </c>
      <c r="C15" s="7" t="s">
        <v>127</v>
      </c>
      <c r="D15" s="32" t="s">
        <v>128</v>
      </c>
      <c r="E15" s="21" t="n">
        <v>2</v>
      </c>
      <c r="F15" s="21" t="n">
        <v>24</v>
      </c>
      <c r="G15" s="22" t="n">
        <v>0</v>
      </c>
      <c r="H15" s="22" t="n">
        <v>33.83</v>
      </c>
      <c r="I15" s="23" t="n">
        <v>7</v>
      </c>
      <c r="J15" s="21" t="n">
        <v>0</v>
      </c>
      <c r="K15" s="21" t="n">
        <v>0</v>
      </c>
      <c r="L15" s="21" t="n">
        <v>0</v>
      </c>
      <c r="M15" s="22" t="n">
        <f aca="false">IFERROR(L15/E15*1000,0)</f>
        <v>0</v>
      </c>
      <c r="N15" s="22" t="n">
        <f aca="false">IFERROR(J15/E15*100,0)</f>
        <v>0</v>
      </c>
      <c r="O15" s="32" t="str">
        <f aca="false">IF(H15&lt;30,"00-30",IF(H15&lt;40,"30-40",IF(H15&lt;50,"40-50",IF(H15&lt;60,"50-60",IF(H15&lt;70,"60-70","70+")))))</f>
        <v>30-40</v>
      </c>
      <c r="P15" s="37" t="n">
        <f aca="false">IFERROR(VALUE(SUBSTITUTE(B15,"-","")),0)</f>
        <v>20260817</v>
      </c>
    </row>
    <row r="16" customFormat="false" ht="15" hidden="false" customHeight="false" outlineLevel="0" collapsed="false">
      <c r="A16" s="14" t="s">
        <v>42</v>
      </c>
      <c r="B16" s="32" t="s">
        <v>122</v>
      </c>
      <c r="C16" s="7" t="s">
        <v>129</v>
      </c>
      <c r="D16" s="32" t="s">
        <v>130</v>
      </c>
      <c r="E16" s="21" t="n">
        <v>1</v>
      </c>
      <c r="F16" s="21" t="n">
        <v>33</v>
      </c>
      <c r="G16" s="22" t="n">
        <v>0</v>
      </c>
      <c r="H16" s="22" t="n">
        <v>80.8</v>
      </c>
      <c r="I16" s="23" t="n">
        <v>20</v>
      </c>
      <c r="J16" s="21" t="n">
        <v>0</v>
      </c>
      <c r="K16" s="21" t="n">
        <v>0</v>
      </c>
      <c r="L16" s="21" t="n">
        <v>0</v>
      </c>
      <c r="M16" s="22" t="n">
        <f aca="false">IFERROR(L16/E16*1000,0)</f>
        <v>0</v>
      </c>
      <c r="N16" s="22" t="n">
        <f aca="false">IFERROR(J16/E16*100,0)</f>
        <v>0</v>
      </c>
      <c r="O16" s="32" t="str">
        <f aca="false">IF(H16&lt;30,"00-30",IF(H16&lt;40,"30-40",IF(H16&lt;50,"40-50",IF(H16&lt;60,"50-60",IF(H16&lt;70,"60-70","70+")))))</f>
        <v>70+</v>
      </c>
      <c r="P16" s="37" t="n">
        <f aca="false">IFERROR(VALUE(SUBSTITUTE(B16,"-","")),0)</f>
        <v>20260817</v>
      </c>
    </row>
    <row r="17" customFormat="false" ht="15" hidden="false" customHeight="false" outlineLevel="0" collapsed="false">
      <c r="A17" s="14" t="s">
        <v>42</v>
      </c>
      <c r="B17" s="32" t="s">
        <v>122</v>
      </c>
      <c r="C17" s="7" t="s">
        <v>131</v>
      </c>
      <c r="D17" s="32" t="s">
        <v>132</v>
      </c>
      <c r="E17" s="21" t="n">
        <v>1236</v>
      </c>
      <c r="F17" s="21" t="n">
        <v>23</v>
      </c>
      <c r="G17" s="22" t="n">
        <v>0</v>
      </c>
      <c r="H17" s="22" t="n">
        <v>81.48</v>
      </c>
      <c r="I17" s="23" t="n">
        <v>21</v>
      </c>
      <c r="J17" s="21" t="n">
        <v>6</v>
      </c>
      <c r="K17" s="21" t="n">
        <v>0</v>
      </c>
      <c r="L17" s="21" t="n">
        <v>0</v>
      </c>
      <c r="M17" s="22" t="n">
        <f aca="false">IFERROR(L17/E17*1000,0)</f>
        <v>0</v>
      </c>
      <c r="N17" s="22" t="n">
        <f aca="false">IFERROR(J17/E17*100,0)</f>
        <v>0.485436893203883</v>
      </c>
      <c r="O17" s="32" t="str">
        <f aca="false">IF(H17&lt;30,"00-30",IF(H17&lt;40,"30-40",IF(H17&lt;50,"40-50",IF(H17&lt;60,"50-60",IF(H17&lt;70,"60-70","70+")))))</f>
        <v>70+</v>
      </c>
      <c r="P17" s="37" t="n">
        <f aca="false">IFERROR(VALUE(SUBSTITUTE(B17,"-","")),0)</f>
        <v>20260817</v>
      </c>
    </row>
    <row r="18" customFormat="false" ht="15" hidden="false" customHeight="false" outlineLevel="0" collapsed="false">
      <c r="A18" s="14" t="s">
        <v>42</v>
      </c>
      <c r="B18" s="32" t="s">
        <v>133</v>
      </c>
      <c r="C18" s="7" t="s">
        <v>134</v>
      </c>
      <c r="D18" s="32" t="s">
        <v>135</v>
      </c>
      <c r="E18" s="21" t="n">
        <v>703</v>
      </c>
      <c r="F18" s="21" t="n">
        <v>33</v>
      </c>
      <c r="G18" s="22" t="n">
        <v>0.056</v>
      </c>
      <c r="H18" s="22" t="n">
        <v>56.07</v>
      </c>
      <c r="I18" s="23" t="n">
        <v>13</v>
      </c>
      <c r="J18" s="21" t="n">
        <v>1</v>
      </c>
      <c r="K18" s="21" t="n">
        <v>0</v>
      </c>
      <c r="L18" s="21" t="n">
        <v>0</v>
      </c>
      <c r="M18" s="22" t="n">
        <f aca="false">IFERROR(L18/E18*1000,0)</f>
        <v>0</v>
      </c>
      <c r="N18" s="22" t="n">
        <f aca="false">IFERROR(J18/E18*100,0)</f>
        <v>0.142247510668563</v>
      </c>
      <c r="O18" s="32" t="str">
        <f aca="false">IF(H18&lt;30,"00-30",IF(H18&lt;40,"30-40",IF(H18&lt;50,"40-50",IF(H18&lt;60,"50-60",IF(H18&lt;70,"60-70","70+")))))</f>
        <v>50-60</v>
      </c>
      <c r="P18" s="37" t="n">
        <f aca="false">IFERROR(VALUE(SUBSTITUTE(B18,"-","")),0)</f>
        <v>20260818</v>
      </c>
    </row>
    <row r="19" customFormat="false" ht="15" hidden="false" customHeight="false" outlineLevel="0" collapsed="false">
      <c r="A19" s="14" t="s">
        <v>42</v>
      </c>
      <c r="B19" s="32" t="s">
        <v>133</v>
      </c>
      <c r="C19" s="7" t="s">
        <v>136</v>
      </c>
      <c r="D19" s="32" t="s">
        <v>137</v>
      </c>
      <c r="E19" s="21" t="n">
        <v>1144</v>
      </c>
      <c r="F19" s="21" t="n">
        <v>22</v>
      </c>
      <c r="G19" s="22" t="n">
        <v>0</v>
      </c>
      <c r="H19" s="22" t="n">
        <v>51.43</v>
      </c>
      <c r="I19" s="23" t="n">
        <v>11</v>
      </c>
      <c r="J19" s="21" t="n">
        <v>2</v>
      </c>
      <c r="K19" s="21" t="n">
        <v>0</v>
      </c>
      <c r="L19" s="21" t="n">
        <v>0</v>
      </c>
      <c r="M19" s="22" t="n">
        <f aca="false">IFERROR(L19/E19*1000,0)</f>
        <v>0</v>
      </c>
      <c r="N19" s="22" t="n">
        <f aca="false">IFERROR(J19/E19*100,0)</f>
        <v>0.174825174825175</v>
      </c>
      <c r="O19" s="32" t="str">
        <f aca="false">IF(H19&lt;30,"00-30",IF(H19&lt;40,"30-40",IF(H19&lt;50,"40-50",IF(H19&lt;60,"50-60",IF(H19&lt;70,"60-70","70+")))))</f>
        <v>50-60</v>
      </c>
      <c r="P19" s="37" t="n">
        <f aca="false">IFERROR(VALUE(SUBSTITUTE(B19,"-","")),0)</f>
        <v>20260818</v>
      </c>
    </row>
    <row r="20" customFormat="false" ht="23.85" hidden="false" customHeight="false" outlineLevel="0" collapsed="false">
      <c r="A20" s="14" t="s">
        <v>42</v>
      </c>
      <c r="B20" s="32" t="s">
        <v>138</v>
      </c>
      <c r="C20" s="14" t="s">
        <v>139</v>
      </c>
      <c r="D20" s="32" t="s">
        <v>140</v>
      </c>
      <c r="E20" s="21" t="n">
        <v>1815</v>
      </c>
      <c r="F20" s="21" t="n">
        <v>35</v>
      </c>
      <c r="G20" s="22" t="n">
        <v>0.343</v>
      </c>
      <c r="H20" s="22" t="n">
        <v>42.19</v>
      </c>
      <c r="I20" s="23" t="n">
        <v>13</v>
      </c>
      <c r="J20" s="21" t="n">
        <v>4</v>
      </c>
      <c r="K20" s="21" t="n">
        <v>1</v>
      </c>
      <c r="L20" s="21" t="n">
        <v>0</v>
      </c>
      <c r="M20" s="22" t="n">
        <f aca="false">IFERROR(L20/E20*1000,0)</f>
        <v>0</v>
      </c>
      <c r="N20" s="22" t="n">
        <f aca="false">IFERROR(J20/E20*100,0)</f>
        <v>0.220385674931129</v>
      </c>
      <c r="O20" s="32" t="str">
        <f aca="false">IF(H20&lt;30,"00-30",IF(H20&lt;40,"30-40",IF(H20&lt;50,"40-50",IF(H20&lt;60,"50-60",IF(H20&lt;70,"60-70","70+")))))</f>
        <v>40-50</v>
      </c>
      <c r="P20" s="37" t="n">
        <f aca="false">IFERROR(VALUE(SUBSTITUTE(B20,"-","")),0)</f>
        <v>20260819</v>
      </c>
    </row>
    <row r="21" customFormat="false" ht="15" hidden="false" customHeight="false" outlineLevel="0" collapsed="false">
      <c r="A21" s="14" t="s">
        <v>42</v>
      </c>
      <c r="B21" s="32" t="s">
        <v>138</v>
      </c>
      <c r="C21" s="7" t="s">
        <v>141</v>
      </c>
      <c r="D21" s="32" t="s">
        <v>142</v>
      </c>
      <c r="E21" s="21" t="n">
        <v>249</v>
      </c>
      <c r="F21" s="21" t="n">
        <v>139</v>
      </c>
      <c r="G21" s="22" t="n">
        <v>0</v>
      </c>
      <c r="H21" s="22" t="n">
        <v>34.93</v>
      </c>
      <c r="I21" s="23" t="n">
        <v>11</v>
      </c>
      <c r="J21" s="21" t="n">
        <v>0</v>
      </c>
      <c r="K21" s="21" t="n">
        <v>0</v>
      </c>
      <c r="L21" s="21" t="n">
        <v>0</v>
      </c>
      <c r="M21" s="22" t="n">
        <f aca="false">IFERROR(L21/E21*1000,0)</f>
        <v>0</v>
      </c>
      <c r="N21" s="22" t="n">
        <f aca="false">IFERROR(J21/E21*100,0)</f>
        <v>0</v>
      </c>
      <c r="O21" s="32" t="str">
        <f aca="false">IF(H21&lt;30,"00-30",IF(H21&lt;40,"30-40",IF(H21&lt;50,"40-50",IF(H21&lt;60,"50-60",IF(H21&lt;70,"60-70","70+")))))</f>
        <v>30-40</v>
      </c>
      <c r="P21" s="37" t="n">
        <f aca="false">IFERROR(VALUE(SUBSTITUTE(B21,"-","")),0)</f>
        <v>20260819</v>
      </c>
    </row>
    <row r="22" customFormat="false" ht="15" hidden="false" customHeight="false" outlineLevel="0" collapsed="false">
      <c r="A22" s="14" t="s">
        <v>42</v>
      </c>
      <c r="B22" s="32" t="s">
        <v>143</v>
      </c>
      <c r="C22" s="7" t="s">
        <v>144</v>
      </c>
      <c r="D22" s="32" t="s">
        <v>145</v>
      </c>
      <c r="E22" s="21" t="n">
        <v>589</v>
      </c>
      <c r="F22" s="21" t="n">
        <v>57</v>
      </c>
      <c r="G22" s="22" t="n">
        <v>0.053</v>
      </c>
      <c r="H22" s="22" t="n">
        <v>24.7</v>
      </c>
      <c r="I22" s="23" t="n">
        <v>12</v>
      </c>
      <c r="J22" s="21" t="n">
        <v>1</v>
      </c>
      <c r="K22" s="21" t="n">
        <v>0</v>
      </c>
      <c r="L22" s="21" t="n">
        <v>0</v>
      </c>
      <c r="M22" s="22" t="n">
        <f aca="false">IFERROR(L22/E22*1000,0)</f>
        <v>0</v>
      </c>
      <c r="N22" s="22" t="n">
        <f aca="false">IFERROR(J22/E22*100,0)</f>
        <v>0.169779286926995</v>
      </c>
      <c r="O22" s="32" t="str">
        <f aca="false">IF(H22&lt;30,"00-30",IF(H22&lt;40,"30-40",IF(H22&lt;50,"40-50",IF(H22&lt;60,"50-60",IF(H22&lt;70,"60-70","70+")))))</f>
        <v>00-30</v>
      </c>
      <c r="P22" s="37" t="n">
        <f aca="false">IFERROR(VALUE(SUBSTITUTE(B22,"-","")),0)</f>
        <v>20260820</v>
      </c>
    </row>
    <row r="23" customFormat="false" ht="15" hidden="false" customHeight="false" outlineLevel="0" collapsed="false">
      <c r="A23" s="14" t="s">
        <v>42</v>
      </c>
      <c r="B23" s="32" t="s">
        <v>143</v>
      </c>
      <c r="C23" s="7" t="s">
        <v>146</v>
      </c>
      <c r="D23" s="32" t="s">
        <v>147</v>
      </c>
      <c r="E23" s="21" t="n">
        <v>820</v>
      </c>
      <c r="F23" s="21" t="n">
        <v>27</v>
      </c>
      <c r="G23" s="22" t="n">
        <v>0</v>
      </c>
      <c r="H23" s="22" t="n">
        <v>32.06</v>
      </c>
      <c r="I23" s="23" t="n">
        <v>14</v>
      </c>
      <c r="J23" s="21" t="n">
        <v>1</v>
      </c>
      <c r="K23" s="21" t="n">
        <v>0</v>
      </c>
      <c r="L23" s="21" t="n">
        <v>1</v>
      </c>
      <c r="M23" s="22" t="n">
        <f aca="false">IFERROR(L23/E23*1000,0)</f>
        <v>1.21951219512195</v>
      </c>
      <c r="N23" s="22" t="n">
        <f aca="false">IFERROR(J23/E23*100,0)</f>
        <v>0.121951219512195</v>
      </c>
      <c r="O23" s="32" t="str">
        <f aca="false">IF(H23&lt;30,"00-30",IF(H23&lt;40,"30-40",IF(H23&lt;50,"40-50",IF(H23&lt;60,"50-60",IF(H23&lt;70,"60-70","70+")))))</f>
        <v>30-40</v>
      </c>
      <c r="P23" s="37" t="n">
        <f aca="false">IFERROR(VALUE(SUBSTITUTE(B23,"-","")),0)</f>
        <v>20260820</v>
      </c>
    </row>
    <row r="24" customFormat="false" ht="15" hidden="false" customHeight="false" outlineLevel="0" collapsed="false">
      <c r="A24" s="14" t="s">
        <v>42</v>
      </c>
      <c r="B24" s="32" t="s">
        <v>148</v>
      </c>
      <c r="C24" s="7" t="s">
        <v>149</v>
      </c>
      <c r="D24" s="32" t="s">
        <v>150</v>
      </c>
      <c r="E24" s="21" t="n">
        <v>951</v>
      </c>
      <c r="F24" s="21" t="n">
        <v>32</v>
      </c>
      <c r="G24" s="22" t="n">
        <v>0</v>
      </c>
      <c r="H24" s="22" t="n">
        <v>36.55</v>
      </c>
      <c r="I24" s="23" t="n">
        <v>15</v>
      </c>
      <c r="J24" s="21" t="n">
        <v>3</v>
      </c>
      <c r="K24" s="21" t="n">
        <v>0</v>
      </c>
      <c r="L24" s="21" t="n">
        <v>0</v>
      </c>
      <c r="M24" s="22" t="n">
        <f aca="false">IFERROR(L24/E24*1000,0)</f>
        <v>0</v>
      </c>
      <c r="N24" s="22" t="n">
        <f aca="false">IFERROR(J24/E24*100,0)</f>
        <v>0.315457413249211</v>
      </c>
      <c r="O24" s="32" t="str">
        <f aca="false">IF(H24&lt;30,"00-30",IF(H24&lt;40,"30-40",IF(H24&lt;50,"40-50",IF(H24&lt;60,"50-60",IF(H24&lt;70,"60-70","70+")))))</f>
        <v>30-40</v>
      </c>
      <c r="P24" s="37" t="n">
        <f aca="false">IFERROR(VALUE(SUBSTITUTE(B24,"-","")),0)</f>
        <v>20260821</v>
      </c>
    </row>
    <row r="25" customFormat="false" ht="23.85" hidden="false" customHeight="false" outlineLevel="0" collapsed="false">
      <c r="A25" s="14" t="s">
        <v>42</v>
      </c>
      <c r="B25" s="32" t="s">
        <v>148</v>
      </c>
      <c r="C25" s="14" t="s">
        <v>151</v>
      </c>
      <c r="D25" s="32" t="s">
        <v>152</v>
      </c>
      <c r="E25" s="21" t="n">
        <v>997</v>
      </c>
      <c r="F25" s="21" t="n">
        <v>26</v>
      </c>
      <c r="G25" s="22" t="n">
        <v>0</v>
      </c>
      <c r="H25" s="22" t="n">
        <v>32.63</v>
      </c>
      <c r="I25" s="23" t="n">
        <v>13</v>
      </c>
      <c r="J25" s="21" t="n">
        <v>5</v>
      </c>
      <c r="K25" s="21" t="n">
        <v>0</v>
      </c>
      <c r="L25" s="21" t="n">
        <v>0</v>
      </c>
      <c r="M25" s="22" t="n">
        <f aca="false">IFERROR(L25/E25*1000,0)</f>
        <v>0</v>
      </c>
      <c r="N25" s="22" t="n">
        <f aca="false">IFERROR(J25/E25*100,0)</f>
        <v>0.501504513540622</v>
      </c>
      <c r="O25" s="32" t="str">
        <f aca="false">IF(H25&lt;30,"00-30",IF(H25&lt;40,"30-40",IF(H25&lt;50,"40-50",IF(H25&lt;60,"50-60",IF(H25&lt;70,"60-70","70+")))))</f>
        <v>30-40</v>
      </c>
      <c r="P25" s="37" t="n">
        <f aca="false">IFERROR(VALUE(SUBSTITUTE(B25,"-","")),0)</f>
        <v>20260821</v>
      </c>
    </row>
    <row r="26" customFormat="false" ht="15" hidden="false" customHeight="false" outlineLevel="0" collapsed="false">
      <c r="A26" s="14" t="s">
        <v>42</v>
      </c>
      <c r="B26" s="32" t="s">
        <v>148</v>
      </c>
      <c r="C26" s="7" t="s">
        <v>153</v>
      </c>
      <c r="D26" s="32" t="s">
        <v>154</v>
      </c>
      <c r="E26" s="21" t="n">
        <v>968</v>
      </c>
      <c r="F26" s="21" t="n">
        <v>54</v>
      </c>
      <c r="G26" s="22" t="n">
        <v>0</v>
      </c>
      <c r="H26" s="22" t="n">
        <v>30.26</v>
      </c>
      <c r="I26" s="23" t="n">
        <v>16</v>
      </c>
      <c r="J26" s="21" t="n">
        <v>5</v>
      </c>
      <c r="K26" s="21" t="n">
        <v>0</v>
      </c>
      <c r="L26" s="21" t="n">
        <v>0</v>
      </c>
      <c r="M26" s="22" t="n">
        <f aca="false">IFERROR(L26/E26*1000,0)</f>
        <v>0</v>
      </c>
      <c r="N26" s="22" t="n">
        <f aca="false">IFERROR(J26/E26*100,0)</f>
        <v>0.516528925619835</v>
      </c>
      <c r="O26" s="32" t="str">
        <f aca="false">IF(H26&lt;30,"00-30",IF(H26&lt;40,"30-40",IF(H26&lt;50,"40-50",IF(H26&lt;60,"50-60",IF(H26&lt;70,"60-70","70+")))))</f>
        <v>30-40</v>
      </c>
      <c r="P26" s="37" t="n">
        <f aca="false">IFERROR(VALUE(SUBSTITUTE(B26,"-","")),0)</f>
        <v>20260821</v>
      </c>
    </row>
    <row r="27" customFormat="false" ht="15" hidden="false" customHeight="false" outlineLevel="0" collapsed="false">
      <c r="A27" s="14" t="s">
        <v>42</v>
      </c>
      <c r="B27" s="32" t="s">
        <v>155</v>
      </c>
      <c r="C27" s="7" t="s">
        <v>156</v>
      </c>
      <c r="D27" s="32" t="s">
        <v>157</v>
      </c>
      <c r="E27" s="21" t="n">
        <v>1088</v>
      </c>
      <c r="F27" s="21" t="n">
        <v>259</v>
      </c>
      <c r="G27" s="22" t="n">
        <v>0.01</v>
      </c>
      <c r="H27" s="22" t="n">
        <v>28.87</v>
      </c>
      <c r="I27" s="23" t="n">
        <v>14</v>
      </c>
      <c r="J27" s="21" t="n">
        <v>1</v>
      </c>
      <c r="K27" s="21" t="n">
        <v>0</v>
      </c>
      <c r="L27" s="21" t="n">
        <v>0</v>
      </c>
      <c r="M27" s="22" t="n">
        <f aca="false">IFERROR(L27/E27*1000,0)</f>
        <v>0</v>
      </c>
      <c r="N27" s="22" t="n">
        <f aca="false">IFERROR(J27/E27*100,0)</f>
        <v>0.0919117647058824</v>
      </c>
      <c r="O27" s="32" t="str">
        <f aca="false">IF(H27&lt;30,"00-30",IF(H27&lt;40,"30-40",IF(H27&lt;50,"40-50",IF(H27&lt;60,"50-60",IF(H27&lt;70,"60-70","70+")))))</f>
        <v>00-30</v>
      </c>
      <c r="P27" s="37" t="n">
        <f aca="false">IFERROR(VALUE(SUBSTITUTE(B27,"-","")),0)</f>
        <v>20260822</v>
      </c>
    </row>
    <row r="28" customFormat="false" ht="15" hidden="false" customHeight="false" outlineLevel="0" collapsed="false">
      <c r="A28" s="14" t="s">
        <v>42</v>
      </c>
      <c r="B28" s="32" t="s">
        <v>158</v>
      </c>
      <c r="C28" s="7" t="s">
        <v>159</v>
      </c>
      <c r="D28" s="32" t="s">
        <v>160</v>
      </c>
      <c r="E28" s="21" t="n">
        <v>1092</v>
      </c>
      <c r="F28" s="21" t="n">
        <v>48</v>
      </c>
      <c r="G28" s="22" t="n">
        <v>0</v>
      </c>
      <c r="H28" s="22" t="n">
        <v>23.21</v>
      </c>
      <c r="I28" s="23" t="n">
        <v>12</v>
      </c>
      <c r="J28" s="21" t="n">
        <v>0</v>
      </c>
      <c r="K28" s="21" t="n">
        <v>0</v>
      </c>
      <c r="L28" s="21" t="n">
        <v>0</v>
      </c>
      <c r="M28" s="22" t="n">
        <f aca="false">IFERROR(L28/E28*1000,0)</f>
        <v>0</v>
      </c>
      <c r="N28" s="22" t="n">
        <f aca="false">IFERROR(J28/E28*100,0)</f>
        <v>0</v>
      </c>
      <c r="O28" s="32" t="str">
        <f aca="false">IF(H28&lt;30,"00-30",IF(H28&lt;40,"30-40",IF(H28&lt;50,"40-50",IF(H28&lt;60,"50-60",IF(H28&lt;70,"60-70","70+")))))</f>
        <v>00-30</v>
      </c>
      <c r="P28" s="37" t="n">
        <f aca="false">IFERROR(VALUE(SUBSTITUTE(B28,"-","")),0)</f>
        <v>20260823</v>
      </c>
    </row>
    <row r="29" customFormat="false" ht="15" hidden="false" customHeight="false" outlineLevel="0" collapsed="false">
      <c r="A29" s="14" t="s">
        <v>42</v>
      </c>
      <c r="B29" s="32" t="s">
        <v>161</v>
      </c>
      <c r="C29" s="7" t="s">
        <v>162</v>
      </c>
      <c r="D29" s="32" t="s">
        <v>163</v>
      </c>
      <c r="E29" s="21" t="n">
        <v>1161</v>
      </c>
      <c r="F29" s="21" t="n">
        <v>62</v>
      </c>
      <c r="G29" s="22" t="n">
        <v>0</v>
      </c>
      <c r="H29" s="22" t="n">
        <v>26.63</v>
      </c>
      <c r="I29" s="23" t="n">
        <v>11</v>
      </c>
      <c r="J29" s="21" t="n">
        <v>7</v>
      </c>
      <c r="K29" s="21" t="n">
        <v>0</v>
      </c>
      <c r="L29" s="21" t="n">
        <v>0</v>
      </c>
      <c r="M29" s="22" t="n">
        <f aca="false">IFERROR(L29/E29*1000,0)</f>
        <v>0</v>
      </c>
      <c r="N29" s="22" t="n">
        <f aca="false">IFERROR(J29/E29*100,0)</f>
        <v>0.602928509905254</v>
      </c>
      <c r="O29" s="32" t="str">
        <f aca="false">IF(H29&lt;30,"00-30",IF(H29&lt;40,"30-40",IF(H29&lt;50,"40-50",IF(H29&lt;60,"50-60",IF(H29&lt;70,"60-70","70+")))))</f>
        <v>00-30</v>
      </c>
      <c r="P29" s="37" t="n">
        <f aca="false">IFERROR(VALUE(SUBSTITUTE(B29,"-","")),0)</f>
        <v>20260824</v>
      </c>
    </row>
    <row r="30" customFormat="false" ht="15" hidden="false" customHeight="false" outlineLevel="0" collapsed="false">
      <c r="A30" s="14" t="s">
        <v>42</v>
      </c>
      <c r="B30" s="32" t="s">
        <v>164</v>
      </c>
      <c r="C30" s="7" t="s">
        <v>165</v>
      </c>
      <c r="D30" s="32" t="s">
        <v>166</v>
      </c>
      <c r="E30" s="21" t="n">
        <v>866</v>
      </c>
      <c r="F30" s="21" t="n">
        <v>26</v>
      </c>
      <c r="G30" s="22" t="n">
        <v>0</v>
      </c>
      <c r="H30" s="22" t="n">
        <v>39.21</v>
      </c>
      <c r="I30" s="23" t="n">
        <v>12</v>
      </c>
      <c r="J30" s="21" t="n">
        <v>2</v>
      </c>
      <c r="K30" s="21" t="n">
        <v>0</v>
      </c>
      <c r="L30" s="21" t="n">
        <v>0</v>
      </c>
      <c r="M30" s="22" t="n">
        <f aca="false">IFERROR(L30/E30*1000,0)</f>
        <v>0</v>
      </c>
      <c r="N30" s="22" t="n">
        <f aca="false">IFERROR(J30/E30*100,0)</f>
        <v>0.23094688221709</v>
      </c>
      <c r="O30" s="32" t="str">
        <f aca="false">IF(H30&lt;30,"00-30",IF(H30&lt;40,"30-40",IF(H30&lt;50,"40-50",IF(H30&lt;60,"50-60",IF(H30&lt;70,"60-70","70+")))))</f>
        <v>30-40</v>
      </c>
      <c r="P30" s="37" t="n">
        <f aca="false">IFERROR(VALUE(SUBSTITUTE(B30,"-","")),0)</f>
        <v>20260825</v>
      </c>
    </row>
    <row r="31" customFormat="false" ht="15" hidden="false" customHeight="false" outlineLevel="0" collapsed="false">
      <c r="A31" s="14" t="s">
        <v>42</v>
      </c>
      <c r="B31" s="32" t="s">
        <v>167</v>
      </c>
      <c r="C31" s="7" t="s">
        <v>168</v>
      </c>
      <c r="D31" s="32" t="s">
        <v>169</v>
      </c>
      <c r="E31" s="21" t="n">
        <v>963</v>
      </c>
      <c r="F31" s="21" t="n">
        <v>76</v>
      </c>
      <c r="G31" s="22" t="n">
        <v>0.02</v>
      </c>
      <c r="H31" s="22" t="n">
        <v>34.65</v>
      </c>
      <c r="I31" s="23" t="n">
        <v>13</v>
      </c>
      <c r="J31" s="21" t="n">
        <v>5</v>
      </c>
      <c r="K31" s="21" t="n">
        <v>0</v>
      </c>
      <c r="L31" s="21" t="n">
        <v>0</v>
      </c>
      <c r="M31" s="22" t="n">
        <f aca="false">IFERROR(L31/E31*1000,0)</f>
        <v>0</v>
      </c>
      <c r="N31" s="22" t="n">
        <f aca="false">IFERROR(J31/E31*100,0)</f>
        <v>0.519210799584631</v>
      </c>
      <c r="O31" s="32" t="str">
        <f aca="false">IF(H31&lt;30,"00-30",IF(H31&lt;40,"30-40",IF(H31&lt;50,"40-50",IF(H31&lt;60,"50-60",IF(H31&lt;70,"60-70","70+")))))</f>
        <v>30-40</v>
      </c>
      <c r="P31" s="37" t="n">
        <f aca="false">IFERROR(VALUE(SUBSTITUTE(B31,"-","")),0)</f>
        <v>20260826</v>
      </c>
    </row>
    <row r="32" customFormat="false" ht="15" hidden="false" customHeight="false" outlineLevel="0" collapsed="false">
      <c r="A32" s="14" t="s">
        <v>42</v>
      </c>
      <c r="B32" s="32" t="s">
        <v>170</v>
      </c>
      <c r="C32" s="7" t="s">
        <v>171</v>
      </c>
      <c r="D32" s="32" t="s">
        <v>172</v>
      </c>
      <c r="E32" s="21" t="n">
        <v>958</v>
      </c>
      <c r="F32" s="21" t="n">
        <v>62</v>
      </c>
      <c r="G32" s="22" t="n">
        <v>0</v>
      </c>
      <c r="H32" s="22" t="n">
        <v>146.13</v>
      </c>
      <c r="I32" s="23" t="n">
        <v>54</v>
      </c>
      <c r="J32" s="21" t="n">
        <v>3</v>
      </c>
      <c r="K32" s="21" t="n">
        <v>0</v>
      </c>
      <c r="L32" s="21" t="n">
        <v>0</v>
      </c>
      <c r="M32" s="22" t="n">
        <f aca="false">IFERROR(L32/E32*1000,0)</f>
        <v>0</v>
      </c>
      <c r="N32" s="22" t="n">
        <f aca="false">IFERROR(J32/E32*100,0)</f>
        <v>0.313152400835073</v>
      </c>
      <c r="O32" s="32" t="str">
        <f aca="false">IF(H32&lt;30,"00-30",IF(H32&lt;40,"30-40",IF(H32&lt;50,"40-50",IF(H32&lt;60,"50-60",IF(H32&lt;70,"60-70","70+")))))</f>
        <v>70+</v>
      </c>
      <c r="P32" s="37" t="n">
        <f aca="false">IFERROR(VALUE(SUBSTITUTE(B32,"-","")),0)</f>
        <v>20260827</v>
      </c>
    </row>
    <row r="33" customFormat="false" ht="15" hidden="false" customHeight="false" outlineLevel="0" collapsed="false">
      <c r="A33" s="14" t="s">
        <v>42</v>
      </c>
      <c r="B33" s="32" t="s">
        <v>170</v>
      </c>
      <c r="C33" s="7" t="s">
        <v>173</v>
      </c>
      <c r="D33" s="32" t="s">
        <v>174</v>
      </c>
      <c r="E33" s="21" t="n">
        <v>841</v>
      </c>
      <c r="F33" s="21" t="n">
        <v>117</v>
      </c>
      <c r="G33" s="22" t="n">
        <v>0.009</v>
      </c>
      <c r="H33" s="22" t="n">
        <v>50.72</v>
      </c>
      <c r="I33" s="23" t="n">
        <v>13</v>
      </c>
      <c r="J33" s="21" t="n">
        <v>1</v>
      </c>
      <c r="K33" s="21" t="n">
        <v>0</v>
      </c>
      <c r="L33" s="21" t="n">
        <v>0</v>
      </c>
      <c r="M33" s="22" t="n">
        <f aca="false">IFERROR(L33/E33*1000,0)</f>
        <v>0</v>
      </c>
      <c r="N33" s="22" t="n">
        <f aca="false">IFERROR(J33/E33*100,0)</f>
        <v>0.118906064209275</v>
      </c>
      <c r="O33" s="32" t="str">
        <f aca="false">IF(H33&lt;30,"00-30",IF(H33&lt;40,"30-40",IF(H33&lt;50,"40-50",IF(H33&lt;60,"50-60",IF(H33&lt;70,"60-70","70+")))))</f>
        <v>50-60</v>
      </c>
      <c r="P33" s="37" t="n">
        <f aca="false">IFERROR(VALUE(SUBSTITUTE(B33,"-","")),0)</f>
        <v>20260827</v>
      </c>
    </row>
    <row r="34" customFormat="false" ht="15" hidden="false" customHeight="false" outlineLevel="0" collapsed="false">
      <c r="A34" s="14" t="s">
        <v>42</v>
      </c>
      <c r="B34" s="32" t="s">
        <v>175</v>
      </c>
      <c r="C34" s="7" t="s">
        <v>176</v>
      </c>
      <c r="D34" s="32" t="s">
        <v>177</v>
      </c>
      <c r="E34" s="21" t="n">
        <v>928</v>
      </c>
      <c r="F34" s="21" t="n">
        <v>53</v>
      </c>
      <c r="G34" s="22" t="n">
        <v>0</v>
      </c>
      <c r="H34" s="22" t="n">
        <v>30.7</v>
      </c>
      <c r="I34" s="23" t="n">
        <v>10</v>
      </c>
      <c r="J34" s="21" t="n">
        <v>4</v>
      </c>
      <c r="K34" s="21" t="n">
        <v>0</v>
      </c>
      <c r="L34" s="21" t="n">
        <v>0</v>
      </c>
      <c r="M34" s="22" t="n">
        <f aca="false">IFERROR(L34/E34*1000,0)</f>
        <v>0</v>
      </c>
      <c r="N34" s="22" t="n">
        <f aca="false">IFERROR(J34/E34*100,0)</f>
        <v>0.431034482758621</v>
      </c>
      <c r="O34" s="32" t="str">
        <f aca="false">IF(H34&lt;30,"00-30",IF(H34&lt;40,"30-40",IF(H34&lt;50,"40-50",IF(H34&lt;60,"50-60",IF(H34&lt;70,"60-70","70+")))))</f>
        <v>30-40</v>
      </c>
      <c r="P34" s="37" t="n">
        <f aca="false">IFERROR(VALUE(SUBSTITUTE(B34,"-","")),0)</f>
        <v>20260828</v>
      </c>
    </row>
    <row r="35" customFormat="false" ht="15" hidden="false" customHeight="false" outlineLevel="0" collapsed="false">
      <c r="A35" s="14" t="s">
        <v>42</v>
      </c>
      <c r="B35" s="32" t="s">
        <v>175</v>
      </c>
      <c r="C35" s="7" t="s">
        <v>178</v>
      </c>
      <c r="D35" s="32" t="s">
        <v>179</v>
      </c>
      <c r="E35" s="21" t="n">
        <v>882</v>
      </c>
      <c r="F35" s="21" t="n">
        <v>36</v>
      </c>
      <c r="G35" s="22" t="n">
        <v>0</v>
      </c>
      <c r="H35" s="22" t="n">
        <v>35.78</v>
      </c>
      <c r="I35" s="23" t="n">
        <v>13</v>
      </c>
      <c r="J35" s="21" t="n">
        <v>1</v>
      </c>
      <c r="K35" s="21" t="n">
        <v>0</v>
      </c>
      <c r="L35" s="21" t="n">
        <v>0</v>
      </c>
      <c r="M35" s="22" t="n">
        <f aca="false">IFERROR(L35/E35*1000,0)</f>
        <v>0</v>
      </c>
      <c r="N35" s="22" t="n">
        <f aca="false">IFERROR(J35/E35*100,0)</f>
        <v>0.113378684807256</v>
      </c>
      <c r="O35" s="32" t="str">
        <f aca="false">IF(H35&lt;30,"00-30",IF(H35&lt;40,"30-40",IF(H35&lt;50,"40-50",IF(H35&lt;60,"50-60",IF(H35&lt;70,"60-70","70+")))))</f>
        <v>30-40</v>
      </c>
      <c r="P35" s="37" t="n">
        <f aca="false">IFERROR(VALUE(SUBSTITUTE(B35,"-","")),0)</f>
        <v>20260828</v>
      </c>
    </row>
    <row r="36" customFormat="false" ht="15" hidden="false" customHeight="false" outlineLevel="0" collapsed="false">
      <c r="A36" s="14" t="s">
        <v>42</v>
      </c>
      <c r="B36" s="32" t="s">
        <v>180</v>
      </c>
      <c r="C36" s="7" t="s">
        <v>181</v>
      </c>
      <c r="D36" s="32" t="s">
        <v>182</v>
      </c>
      <c r="E36" s="21" t="n">
        <v>1203</v>
      </c>
      <c r="F36" s="21" t="n">
        <v>67</v>
      </c>
      <c r="G36" s="22" t="n">
        <v>0.045</v>
      </c>
      <c r="H36" s="22" t="n">
        <v>61.68</v>
      </c>
      <c r="I36" s="23" t="n">
        <v>24</v>
      </c>
      <c r="J36" s="21" t="n">
        <v>4</v>
      </c>
      <c r="K36" s="21" t="n">
        <v>2</v>
      </c>
      <c r="L36" s="21" t="n">
        <v>1</v>
      </c>
      <c r="M36" s="22" t="n">
        <f aca="false">IFERROR(L36/E36*1000,0)</f>
        <v>0.831255195344971</v>
      </c>
      <c r="N36" s="22" t="n">
        <f aca="false">IFERROR(J36/E36*100,0)</f>
        <v>0.332502078137988</v>
      </c>
      <c r="O36" s="32" t="str">
        <f aca="false">IF(H36&lt;30,"00-30",IF(H36&lt;40,"30-40",IF(H36&lt;50,"40-50",IF(H36&lt;60,"50-60",IF(H36&lt;70,"60-70","70+")))))</f>
        <v>60-70</v>
      </c>
      <c r="P36" s="37" t="n">
        <f aca="false">IFERROR(VALUE(SUBSTITUTE(B36,"-","")),0)</f>
        <v>20260829</v>
      </c>
    </row>
    <row r="37" customFormat="false" ht="15" hidden="false" customHeight="false" outlineLevel="0" collapsed="false">
      <c r="A37" s="14" t="s">
        <v>42</v>
      </c>
      <c r="B37" s="32" t="s">
        <v>183</v>
      </c>
      <c r="C37" s="7" t="s">
        <v>184</v>
      </c>
      <c r="D37" s="32" t="s">
        <v>185</v>
      </c>
      <c r="E37" s="21" t="n">
        <v>1039</v>
      </c>
      <c r="F37" s="21" t="n">
        <v>63</v>
      </c>
      <c r="G37" s="22" t="n">
        <v>0</v>
      </c>
      <c r="H37" s="22" t="n">
        <v>32.45</v>
      </c>
      <c r="I37" s="23" t="n">
        <v>12</v>
      </c>
      <c r="J37" s="21" t="n">
        <v>3</v>
      </c>
      <c r="K37" s="21" t="n">
        <v>0</v>
      </c>
      <c r="L37" s="21" t="n">
        <v>1</v>
      </c>
      <c r="M37" s="22" t="n">
        <f aca="false">IFERROR(L37/E37*1000,0)</f>
        <v>0.962463907603465</v>
      </c>
      <c r="N37" s="22" t="n">
        <f aca="false">IFERROR(J37/E37*100,0)</f>
        <v>0.288739172281039</v>
      </c>
      <c r="O37" s="32" t="str">
        <f aca="false">IF(H37&lt;30,"00-30",IF(H37&lt;40,"30-40",IF(H37&lt;50,"40-50",IF(H37&lt;60,"50-60",IF(H37&lt;70,"60-70","70+")))))</f>
        <v>30-40</v>
      </c>
      <c r="P37" s="37" t="n">
        <f aca="false">IFERROR(VALUE(SUBSTITUTE(B37,"-","")),0)</f>
        <v>20260830</v>
      </c>
    </row>
    <row r="38" customFormat="false" ht="15" hidden="false" customHeight="false" outlineLevel="0" collapsed="false">
      <c r="A38" s="14" t="s">
        <v>42</v>
      </c>
      <c r="B38" s="32" t="s">
        <v>183</v>
      </c>
      <c r="C38" s="7" t="s">
        <v>186</v>
      </c>
      <c r="D38" s="32" t="s">
        <v>187</v>
      </c>
      <c r="E38" s="21" t="n">
        <v>909</v>
      </c>
      <c r="F38" s="21" t="n">
        <v>36</v>
      </c>
      <c r="G38" s="22" t="n">
        <v>0</v>
      </c>
      <c r="H38" s="22" t="n">
        <v>27.18</v>
      </c>
      <c r="I38" s="23" t="n">
        <v>11</v>
      </c>
      <c r="J38" s="21" t="n">
        <v>2</v>
      </c>
      <c r="K38" s="21" t="n">
        <v>0</v>
      </c>
      <c r="L38" s="21" t="n">
        <v>0</v>
      </c>
      <c r="M38" s="22" t="n">
        <f aca="false">IFERROR(L38/E38*1000,0)</f>
        <v>0</v>
      </c>
      <c r="N38" s="22" t="n">
        <f aca="false">IFERROR(J38/E38*100,0)</f>
        <v>0.22002200220022</v>
      </c>
      <c r="O38" s="32" t="str">
        <f aca="false">IF(H38&lt;30,"00-30",IF(H38&lt;40,"30-40",IF(H38&lt;50,"40-50",IF(H38&lt;60,"50-60",IF(H38&lt;70,"60-70","70+")))))</f>
        <v>00-30</v>
      </c>
      <c r="P38" s="37" t="n">
        <f aca="false">IFERROR(VALUE(SUBSTITUTE(B38,"-","")),0)</f>
        <v>20260830</v>
      </c>
    </row>
    <row r="39" customFormat="false" ht="15" hidden="false" customHeight="false" outlineLevel="0" collapsed="false">
      <c r="A39" s="14" t="s">
        <v>42</v>
      </c>
      <c r="B39" s="32" t="s">
        <v>188</v>
      </c>
      <c r="C39" s="7" t="s">
        <v>189</v>
      </c>
      <c r="D39" s="32" t="s">
        <v>190</v>
      </c>
      <c r="E39" s="21" t="n">
        <v>1058</v>
      </c>
      <c r="F39" s="21" t="n">
        <v>38</v>
      </c>
      <c r="G39" s="22" t="n">
        <v>0.034</v>
      </c>
      <c r="H39" s="22" t="n">
        <v>33.09</v>
      </c>
      <c r="I39" s="23" t="n">
        <v>10</v>
      </c>
      <c r="J39" s="21" t="n">
        <v>3</v>
      </c>
      <c r="K39" s="21" t="n">
        <v>0</v>
      </c>
      <c r="L39" s="21" t="n">
        <v>0</v>
      </c>
      <c r="M39" s="22" t="n">
        <f aca="false">IFERROR(L39/E39*1000,0)</f>
        <v>0</v>
      </c>
      <c r="N39" s="22" t="n">
        <f aca="false">IFERROR(J39/E39*100,0)</f>
        <v>0.283553875236295</v>
      </c>
      <c r="O39" s="32" t="str">
        <f aca="false">IF(H39&lt;30,"00-30",IF(H39&lt;40,"30-40",IF(H39&lt;50,"40-50",IF(H39&lt;60,"50-60",IF(H39&lt;70,"60-70","70+")))))</f>
        <v>30-40</v>
      </c>
      <c r="P39" s="37" t="n">
        <f aca="false">IFERROR(VALUE(SUBSTITUTE(B39,"-","")),0)</f>
        <v>20260831</v>
      </c>
    </row>
    <row r="40" customFormat="false" ht="23.85" hidden="false" customHeight="false" outlineLevel="0" collapsed="false">
      <c r="A40" s="14" t="s">
        <v>42</v>
      </c>
      <c r="B40" s="32" t="s">
        <v>191</v>
      </c>
      <c r="C40" s="7" t="s">
        <v>192</v>
      </c>
      <c r="D40" s="32" t="s">
        <v>193</v>
      </c>
      <c r="E40" s="21" t="n">
        <v>914</v>
      </c>
      <c r="F40" s="21" t="n">
        <v>20</v>
      </c>
      <c r="G40" s="22" t="n">
        <v>0</v>
      </c>
      <c r="H40" s="22" t="n">
        <v>38.56</v>
      </c>
      <c r="I40" s="23" t="n">
        <v>11</v>
      </c>
      <c r="J40" s="21" t="n">
        <v>1</v>
      </c>
      <c r="K40" s="21" t="n">
        <v>0</v>
      </c>
      <c r="L40" s="21" t="n">
        <v>2</v>
      </c>
      <c r="M40" s="22" t="n">
        <f aca="false">IFERROR(L40/E40*1000,0)</f>
        <v>2.18818380743982</v>
      </c>
      <c r="N40" s="22" t="n">
        <f aca="false">IFERROR(J40/E40*100,0)</f>
        <v>0.109409190371991</v>
      </c>
      <c r="O40" s="32" t="str">
        <f aca="false">IF(H40&lt;30,"00-30",IF(H40&lt;40,"30-40",IF(H40&lt;50,"40-50",IF(H40&lt;60,"50-60",IF(H40&lt;70,"60-70","70+")))))</f>
        <v>30-40</v>
      </c>
      <c r="P40" s="37" t="n">
        <f aca="false">IFERROR(VALUE(SUBSTITUTE(B40,"-","")),0)</f>
        <v>20260903</v>
      </c>
    </row>
    <row r="41" customFormat="false" ht="23.85" hidden="false" customHeight="false" outlineLevel="0" collapsed="false">
      <c r="A41" s="14" t="s">
        <v>42</v>
      </c>
      <c r="B41" s="32" t="s">
        <v>194</v>
      </c>
      <c r="C41" s="7" t="s">
        <v>195</v>
      </c>
      <c r="D41" s="32" t="s">
        <v>196</v>
      </c>
      <c r="E41" s="21" t="n">
        <v>826</v>
      </c>
      <c r="F41" s="21" t="n">
        <v>23</v>
      </c>
      <c r="G41" s="22" t="n">
        <v>0</v>
      </c>
      <c r="H41" s="22" t="n">
        <v>42.44</v>
      </c>
      <c r="I41" s="23" t="n">
        <v>13</v>
      </c>
      <c r="J41" s="21" t="n">
        <v>1</v>
      </c>
      <c r="K41" s="21" t="n">
        <v>0</v>
      </c>
      <c r="L41" s="21" t="n">
        <v>0</v>
      </c>
      <c r="M41" s="22" t="n">
        <f aca="false">IFERROR(L41/E41*1000,0)</f>
        <v>0</v>
      </c>
      <c r="N41" s="22" t="n">
        <f aca="false">IFERROR(J41/E41*100,0)</f>
        <v>0.121065375302663</v>
      </c>
      <c r="O41" s="32" t="str">
        <f aca="false">IF(H41&lt;30,"00-30",IF(H41&lt;40,"30-40",IF(H41&lt;50,"40-50",IF(H41&lt;60,"50-60",IF(H41&lt;70,"60-70","70+")))))</f>
        <v>40-50</v>
      </c>
      <c r="P41" s="37" t="n">
        <f aca="false">IFERROR(VALUE(SUBSTITUTE(B41,"-","")),0)</f>
        <v>20260904</v>
      </c>
    </row>
    <row r="42" customFormat="false" ht="15" hidden="false" customHeight="false" outlineLevel="0" collapsed="false">
      <c r="A42" s="14" t="s">
        <v>42</v>
      </c>
      <c r="B42" s="32" t="s">
        <v>194</v>
      </c>
      <c r="C42" s="7" t="s">
        <v>197</v>
      </c>
      <c r="D42" s="32" t="s">
        <v>198</v>
      </c>
      <c r="E42" s="21" t="n">
        <v>948</v>
      </c>
      <c r="F42" s="21" t="n">
        <v>21</v>
      </c>
      <c r="G42" s="22" t="n">
        <v>0</v>
      </c>
      <c r="H42" s="22" t="n">
        <v>32.18</v>
      </c>
      <c r="I42" s="23" t="n">
        <v>10</v>
      </c>
      <c r="J42" s="21" t="n">
        <v>2</v>
      </c>
      <c r="K42" s="21" t="n">
        <v>0</v>
      </c>
      <c r="L42" s="21" t="n">
        <v>0</v>
      </c>
      <c r="M42" s="22" t="n">
        <f aca="false">IFERROR(L42/E42*1000,0)</f>
        <v>0</v>
      </c>
      <c r="N42" s="22" t="n">
        <f aca="false">IFERROR(J42/E42*100,0)</f>
        <v>0.210970464135021</v>
      </c>
      <c r="O42" s="32" t="str">
        <f aca="false">IF(H42&lt;30,"00-30",IF(H42&lt;40,"30-40",IF(H42&lt;50,"40-50",IF(H42&lt;60,"50-60",IF(H42&lt;70,"60-70","70+")))))</f>
        <v>30-40</v>
      </c>
      <c r="P42" s="37" t="n">
        <f aca="false">IFERROR(VALUE(SUBSTITUTE(B42,"-","")),0)</f>
        <v>20260904</v>
      </c>
    </row>
    <row r="43" customFormat="false" ht="15" hidden="false" customHeight="false" outlineLevel="0" collapsed="false">
      <c r="A43" s="14" t="s">
        <v>42</v>
      </c>
      <c r="B43" s="32" t="s">
        <v>194</v>
      </c>
      <c r="C43" s="7" t="s">
        <v>199</v>
      </c>
      <c r="D43" s="32" t="s">
        <v>200</v>
      </c>
      <c r="E43" s="21" t="n">
        <v>276</v>
      </c>
      <c r="F43" s="21" t="n">
        <v>9</v>
      </c>
      <c r="G43" s="22" t="n">
        <v>0</v>
      </c>
      <c r="H43" s="22" t="n">
        <v>32.31</v>
      </c>
      <c r="I43" s="23" t="n">
        <v>10</v>
      </c>
      <c r="J43" s="21" t="n">
        <v>0</v>
      </c>
      <c r="K43" s="21" t="n">
        <v>0</v>
      </c>
      <c r="L43" s="21" t="n">
        <v>0</v>
      </c>
      <c r="M43" s="22" t="n">
        <f aca="false">IFERROR(L43/E43*1000,0)</f>
        <v>0</v>
      </c>
      <c r="N43" s="22" t="n">
        <f aca="false">IFERROR(J43/E43*100,0)</f>
        <v>0</v>
      </c>
      <c r="O43" s="32" t="str">
        <f aca="false">IF(H43&lt;30,"00-30",IF(H43&lt;40,"30-40",IF(H43&lt;50,"40-50",IF(H43&lt;60,"50-60",IF(H43&lt;70,"60-70","70+")))))</f>
        <v>30-40</v>
      </c>
      <c r="P43" s="37" t="n">
        <f aca="false">IFERROR(VALUE(SUBSTITUTE(B43,"-","")),0)</f>
        <v>20260904</v>
      </c>
    </row>
    <row r="44" customFormat="false" ht="15" hidden="false" customHeight="false" outlineLevel="0" collapsed="false">
      <c r="A44" s="14" t="s">
        <v>42</v>
      </c>
      <c r="B44" s="32" t="s">
        <v>201</v>
      </c>
      <c r="C44" s="14" t="s">
        <v>202</v>
      </c>
      <c r="D44" s="32" t="s">
        <v>203</v>
      </c>
      <c r="E44" s="21" t="n">
        <v>1134</v>
      </c>
      <c r="F44" s="21" t="n">
        <v>17</v>
      </c>
      <c r="G44" s="22" t="n">
        <v>0</v>
      </c>
      <c r="H44" s="22" t="n">
        <v>49.25</v>
      </c>
      <c r="I44" s="23" t="n">
        <v>15</v>
      </c>
      <c r="J44" s="21" t="n">
        <v>2</v>
      </c>
      <c r="K44" s="21" t="n">
        <v>1</v>
      </c>
      <c r="L44" s="21" t="n">
        <v>0</v>
      </c>
      <c r="M44" s="22" t="n">
        <f aca="false">IFERROR(L44/E44*1000,0)</f>
        <v>0</v>
      </c>
      <c r="N44" s="22" t="n">
        <f aca="false">IFERROR(J44/E44*100,0)</f>
        <v>0.17636684303351</v>
      </c>
      <c r="O44" s="32" t="str">
        <f aca="false">IF(H44&lt;30,"00-30",IF(H44&lt;40,"30-40",IF(H44&lt;50,"40-50",IF(H44&lt;60,"50-60",IF(H44&lt;70,"60-70","70+")))))</f>
        <v>40-50</v>
      </c>
      <c r="P44" s="37" t="n">
        <f aca="false">IFERROR(VALUE(SUBSTITUTE(B44,"-","")),0)</f>
        <v>20260905</v>
      </c>
    </row>
    <row r="45" customFormat="false" ht="15" hidden="false" customHeight="false" outlineLevel="0" collapsed="false">
      <c r="A45" s="14" t="s">
        <v>42</v>
      </c>
      <c r="B45" s="32" t="s">
        <v>201</v>
      </c>
      <c r="C45" s="7" t="s">
        <v>204</v>
      </c>
      <c r="D45" s="32" t="s">
        <v>205</v>
      </c>
      <c r="E45" s="21" t="n">
        <v>1018</v>
      </c>
      <c r="F45" s="21" t="n">
        <v>9</v>
      </c>
      <c r="G45" s="22" t="n">
        <v>0</v>
      </c>
      <c r="H45" s="22" t="n">
        <v>36.14</v>
      </c>
      <c r="I45" s="23" t="n">
        <v>11</v>
      </c>
      <c r="J45" s="21" t="n">
        <v>0</v>
      </c>
      <c r="K45" s="21" t="n">
        <v>0</v>
      </c>
      <c r="L45" s="21" t="n">
        <v>0</v>
      </c>
      <c r="M45" s="22" t="n">
        <f aca="false">IFERROR(L45/E45*1000,0)</f>
        <v>0</v>
      </c>
      <c r="N45" s="22" t="n">
        <f aca="false">IFERROR(J45/E45*100,0)</f>
        <v>0</v>
      </c>
      <c r="O45" s="32" t="str">
        <f aca="false">IF(H45&lt;30,"00-30",IF(H45&lt;40,"30-40",IF(H45&lt;50,"40-50",IF(H45&lt;60,"50-60",IF(H45&lt;70,"60-70","70+")))))</f>
        <v>30-40</v>
      </c>
      <c r="P45" s="37" t="n">
        <f aca="false">IFERROR(VALUE(SUBSTITUTE(B45,"-","")),0)</f>
        <v>20260905</v>
      </c>
    </row>
    <row r="46" customFormat="false" ht="15" hidden="false" customHeight="false" outlineLevel="0" collapsed="false">
      <c r="A46" s="14" t="s">
        <v>42</v>
      </c>
      <c r="B46" s="32" t="s">
        <v>201</v>
      </c>
      <c r="C46" s="7" t="s">
        <v>206</v>
      </c>
      <c r="D46" s="32" t="s">
        <v>207</v>
      </c>
      <c r="E46" s="21" t="n">
        <v>191</v>
      </c>
      <c r="F46" s="21" t="n">
        <v>17</v>
      </c>
      <c r="G46" s="22" t="n">
        <v>0</v>
      </c>
      <c r="H46" s="22" t="n">
        <v>28.39</v>
      </c>
      <c r="I46" s="23" t="n">
        <v>8</v>
      </c>
      <c r="J46" s="21" t="n">
        <v>0</v>
      </c>
      <c r="K46" s="21" t="n">
        <v>0</v>
      </c>
      <c r="L46" s="21" t="n">
        <v>0</v>
      </c>
      <c r="M46" s="22" t="n">
        <f aca="false">IFERROR(L46/E46*1000,0)</f>
        <v>0</v>
      </c>
      <c r="N46" s="22" t="n">
        <f aca="false">IFERROR(J46/E46*100,0)</f>
        <v>0</v>
      </c>
      <c r="O46" s="32" t="str">
        <f aca="false">IF(H46&lt;30,"00-30",IF(H46&lt;40,"30-40",IF(H46&lt;50,"40-50",IF(H46&lt;60,"50-60",IF(H46&lt;70,"60-70","70+")))))</f>
        <v>00-30</v>
      </c>
      <c r="P46" s="37" t="n">
        <f aca="false">IFERROR(VALUE(SUBSTITUTE(B46,"-","")),0)</f>
        <v>20260905</v>
      </c>
    </row>
    <row r="47" customFormat="false" ht="15" hidden="false" customHeight="false" outlineLevel="0" collapsed="false">
      <c r="A47" s="14" t="s">
        <v>42</v>
      </c>
      <c r="B47" s="32" t="s">
        <v>208</v>
      </c>
      <c r="C47" s="14" t="s">
        <v>209</v>
      </c>
      <c r="D47" s="32" t="s">
        <v>210</v>
      </c>
      <c r="E47" s="21" t="n">
        <v>1037</v>
      </c>
      <c r="F47" s="21" t="n">
        <v>22</v>
      </c>
      <c r="G47" s="22" t="n">
        <v>0</v>
      </c>
      <c r="H47" s="22" t="n">
        <v>42.67</v>
      </c>
      <c r="I47" s="23" t="n">
        <v>14</v>
      </c>
      <c r="J47" s="21" t="n">
        <v>0</v>
      </c>
      <c r="K47" s="21" t="n">
        <v>0</v>
      </c>
      <c r="L47" s="21" t="n">
        <v>0</v>
      </c>
      <c r="M47" s="22" t="n">
        <f aca="false">IFERROR(L47/E47*1000,0)</f>
        <v>0</v>
      </c>
      <c r="N47" s="22" t="n">
        <f aca="false">IFERROR(J47/E47*100,0)</f>
        <v>0</v>
      </c>
      <c r="O47" s="32" t="str">
        <f aca="false">IF(H47&lt;30,"00-30",IF(H47&lt;40,"30-40",IF(H47&lt;50,"40-50",IF(H47&lt;60,"50-60",IF(H47&lt;70,"60-70","70+")))))</f>
        <v>40-50</v>
      </c>
      <c r="P47" s="37" t="n">
        <f aca="false">IFERROR(VALUE(SUBSTITUTE(B47,"-","")),0)</f>
        <v>20260906</v>
      </c>
    </row>
    <row r="48" customFormat="false" ht="15" hidden="false" customHeight="false" outlineLevel="0" collapsed="false">
      <c r="A48" s="14" t="s">
        <v>42</v>
      </c>
      <c r="B48" s="32" t="s">
        <v>208</v>
      </c>
      <c r="C48" s="7" t="s">
        <v>211</v>
      </c>
      <c r="D48" s="32" t="s">
        <v>212</v>
      </c>
      <c r="E48" s="21" t="n">
        <v>873</v>
      </c>
      <c r="F48" s="21" t="n">
        <v>6</v>
      </c>
      <c r="G48" s="22" t="n">
        <v>0.333</v>
      </c>
      <c r="H48" s="22" t="n">
        <v>36.63</v>
      </c>
      <c r="I48" s="23" t="n">
        <v>11</v>
      </c>
      <c r="J48" s="21" t="n">
        <v>1</v>
      </c>
      <c r="K48" s="21" t="n">
        <v>0</v>
      </c>
      <c r="L48" s="21" t="n">
        <v>1</v>
      </c>
      <c r="M48" s="22" t="n">
        <f aca="false">IFERROR(L48/E48*1000,0)</f>
        <v>1.1454753722795</v>
      </c>
      <c r="N48" s="22" t="n">
        <f aca="false">IFERROR(J48/E48*100,0)</f>
        <v>0.11454753722795</v>
      </c>
      <c r="O48" s="32" t="str">
        <f aca="false">IF(H48&lt;30,"00-30",IF(H48&lt;40,"30-40",IF(H48&lt;50,"40-50",IF(H48&lt;60,"50-60",IF(H48&lt;70,"60-70","70+")))))</f>
        <v>30-40</v>
      </c>
      <c r="P48" s="37" t="n">
        <f aca="false">IFERROR(VALUE(SUBSTITUTE(B48,"-","")),0)</f>
        <v>20260906</v>
      </c>
    </row>
    <row r="49" customFormat="false" ht="23.85" hidden="false" customHeight="false" outlineLevel="0" collapsed="false">
      <c r="A49" s="14" t="s">
        <v>42</v>
      </c>
      <c r="B49" s="32" t="s">
        <v>208</v>
      </c>
      <c r="C49" s="7" t="s">
        <v>213</v>
      </c>
      <c r="D49" s="32" t="s">
        <v>214</v>
      </c>
      <c r="E49" s="21" t="n">
        <v>285</v>
      </c>
      <c r="F49" s="21" t="n">
        <v>6</v>
      </c>
      <c r="G49" s="22" t="n">
        <v>0</v>
      </c>
      <c r="H49" s="22" t="n">
        <v>38.68</v>
      </c>
      <c r="I49" s="23" t="n">
        <v>13</v>
      </c>
      <c r="J49" s="21" t="n">
        <v>0</v>
      </c>
      <c r="K49" s="21" t="n">
        <v>0</v>
      </c>
      <c r="L49" s="21" t="n">
        <v>0</v>
      </c>
      <c r="M49" s="22" t="n">
        <f aca="false">IFERROR(L49/E49*1000,0)</f>
        <v>0</v>
      </c>
      <c r="N49" s="22" t="n">
        <f aca="false">IFERROR(J49/E49*100,0)</f>
        <v>0</v>
      </c>
      <c r="O49" s="32" t="str">
        <f aca="false">IF(H49&lt;30,"00-30",IF(H49&lt;40,"30-40",IF(H49&lt;50,"40-50",IF(H49&lt;60,"50-60",IF(H49&lt;70,"60-70","70+")))))</f>
        <v>30-40</v>
      </c>
      <c r="P49" s="37" t="n">
        <f aca="false">IFERROR(VALUE(SUBSTITUTE(B49,"-","")),0)</f>
        <v>20260906</v>
      </c>
    </row>
    <row r="50" customFormat="false" ht="23.85" hidden="false" customHeight="false" outlineLevel="0" collapsed="false">
      <c r="A50" s="14" t="s">
        <v>42</v>
      </c>
      <c r="B50" s="32" t="s">
        <v>215</v>
      </c>
      <c r="C50" s="7" t="s">
        <v>216</v>
      </c>
      <c r="D50" s="32" t="s">
        <v>217</v>
      </c>
      <c r="E50" s="21" t="n">
        <v>665</v>
      </c>
      <c r="F50" s="21" t="n">
        <v>37</v>
      </c>
      <c r="G50" s="22" t="n">
        <v>0</v>
      </c>
      <c r="H50" s="22" t="n">
        <v>40.83</v>
      </c>
      <c r="I50" s="23" t="n">
        <v>13</v>
      </c>
      <c r="J50" s="21" t="n">
        <v>0</v>
      </c>
      <c r="K50" s="21" t="n">
        <v>0</v>
      </c>
      <c r="L50" s="21" t="n">
        <v>0</v>
      </c>
      <c r="M50" s="22" t="n">
        <f aca="false">IFERROR(L50/E50*1000,0)</f>
        <v>0</v>
      </c>
      <c r="N50" s="22" t="n">
        <f aca="false">IFERROR(J50/E50*100,0)</f>
        <v>0</v>
      </c>
      <c r="O50" s="32" t="str">
        <f aca="false">IF(H50&lt;30,"00-30",IF(H50&lt;40,"30-40",IF(H50&lt;50,"40-50",IF(H50&lt;60,"50-60",IF(H50&lt;70,"60-70","70+")))))</f>
        <v>40-50</v>
      </c>
      <c r="P50" s="37" t="n">
        <f aca="false">IFERROR(VALUE(SUBSTITUTE(B50,"-","")),0)</f>
        <v>20260907</v>
      </c>
    </row>
    <row r="51" customFormat="false" ht="15" hidden="false" customHeight="false" outlineLevel="0" collapsed="false">
      <c r="A51" s="14" t="s">
        <v>42</v>
      </c>
      <c r="B51" s="32" t="s">
        <v>215</v>
      </c>
      <c r="C51" s="7" t="s">
        <v>218</v>
      </c>
      <c r="D51" s="32" t="s">
        <v>219</v>
      </c>
      <c r="E51" s="21" t="n">
        <v>999</v>
      </c>
      <c r="F51" s="21" t="n">
        <v>71</v>
      </c>
      <c r="G51" s="22" t="n">
        <v>0</v>
      </c>
      <c r="H51" s="22" t="n">
        <v>30.94</v>
      </c>
      <c r="I51" s="23" t="n">
        <v>10</v>
      </c>
      <c r="J51" s="21" t="n">
        <v>1</v>
      </c>
      <c r="K51" s="21" t="n">
        <v>0</v>
      </c>
      <c r="L51" s="21" t="n">
        <v>0</v>
      </c>
      <c r="M51" s="22" t="n">
        <f aca="false">IFERROR(L51/E51*1000,0)</f>
        <v>0</v>
      </c>
      <c r="N51" s="22" t="n">
        <f aca="false">IFERROR(J51/E51*100,0)</f>
        <v>0.1001001001001</v>
      </c>
      <c r="O51" s="32" t="str">
        <f aca="false">IF(H51&lt;30,"00-30",IF(H51&lt;40,"30-40",IF(H51&lt;50,"40-50",IF(H51&lt;60,"50-60",IF(H51&lt;70,"60-70","70+")))))</f>
        <v>30-40</v>
      </c>
      <c r="P51" s="37" t="n">
        <f aca="false">IFERROR(VALUE(SUBSTITUTE(B51,"-","")),0)</f>
        <v>20260907</v>
      </c>
    </row>
    <row r="52" customFormat="false" ht="15" hidden="false" customHeight="false" outlineLevel="0" collapsed="false">
      <c r="A52" s="14" t="s">
        <v>42</v>
      </c>
      <c r="B52" s="32" t="s">
        <v>215</v>
      </c>
      <c r="C52" s="7" t="s">
        <v>220</v>
      </c>
      <c r="D52" s="32" t="s">
        <v>221</v>
      </c>
      <c r="E52" s="21" t="n">
        <v>264</v>
      </c>
      <c r="F52" s="21" t="n">
        <v>16</v>
      </c>
      <c r="G52" s="22" t="n">
        <v>0</v>
      </c>
      <c r="H52" s="22" t="n">
        <v>43.61</v>
      </c>
      <c r="I52" s="23" t="n">
        <v>16</v>
      </c>
      <c r="J52" s="21" t="n">
        <v>1</v>
      </c>
      <c r="K52" s="21" t="n">
        <v>0</v>
      </c>
      <c r="L52" s="21" t="n">
        <v>0</v>
      </c>
      <c r="M52" s="22" t="n">
        <f aca="false">IFERROR(L52/E52*1000,0)</f>
        <v>0</v>
      </c>
      <c r="N52" s="22" t="n">
        <f aca="false">IFERROR(J52/E52*100,0)</f>
        <v>0.378787878787879</v>
      </c>
      <c r="O52" s="32" t="str">
        <f aca="false">IF(H52&lt;30,"00-30",IF(H52&lt;40,"30-40",IF(H52&lt;50,"40-50",IF(H52&lt;60,"50-60",IF(H52&lt;70,"60-70","70+")))))</f>
        <v>40-50</v>
      </c>
      <c r="P52" s="37" t="n">
        <f aca="false">IFERROR(VALUE(SUBSTITUTE(B52,"-","")),0)</f>
        <v>20260907</v>
      </c>
    </row>
    <row r="53" customFormat="false" ht="15" hidden="false" customHeight="false" outlineLevel="0" collapsed="false">
      <c r="A53" s="14" t="s">
        <v>42</v>
      </c>
      <c r="B53" s="32" t="s">
        <v>222</v>
      </c>
      <c r="C53" s="7" t="s">
        <v>223</v>
      </c>
      <c r="D53" s="32" t="s">
        <v>224</v>
      </c>
      <c r="E53" s="21" t="n">
        <v>683</v>
      </c>
      <c r="F53" s="21" t="n">
        <v>6</v>
      </c>
      <c r="G53" s="22" t="n">
        <v>0</v>
      </c>
      <c r="H53" s="22" t="n">
        <v>35.83</v>
      </c>
      <c r="I53" s="23" t="n">
        <v>12</v>
      </c>
      <c r="J53" s="21" t="n">
        <v>1</v>
      </c>
      <c r="K53" s="21" t="n">
        <v>1</v>
      </c>
      <c r="L53" s="21" t="n">
        <v>0</v>
      </c>
      <c r="M53" s="22" t="n">
        <f aca="false">IFERROR(L53/E53*1000,0)</f>
        <v>0</v>
      </c>
      <c r="N53" s="22" t="n">
        <f aca="false">IFERROR(J53/E53*100,0)</f>
        <v>0.146412884333821</v>
      </c>
      <c r="O53" s="32" t="str">
        <f aca="false">IF(H53&lt;30,"00-30",IF(H53&lt;40,"30-40",IF(H53&lt;50,"40-50",IF(H53&lt;60,"50-60",IF(H53&lt;70,"60-70","70+")))))</f>
        <v>30-40</v>
      </c>
      <c r="P53" s="37" t="n">
        <f aca="false">IFERROR(VALUE(SUBSTITUTE(B53,"-","")),0)</f>
        <v>20260908</v>
      </c>
    </row>
    <row r="54" customFormat="false" ht="23.85" hidden="false" customHeight="false" outlineLevel="0" collapsed="false">
      <c r="A54" s="14" t="s">
        <v>42</v>
      </c>
      <c r="B54" s="32" t="s">
        <v>222</v>
      </c>
      <c r="C54" s="14" t="s">
        <v>225</v>
      </c>
      <c r="D54" s="32" t="s">
        <v>226</v>
      </c>
      <c r="E54" s="21" t="n">
        <v>794</v>
      </c>
      <c r="F54" s="21" t="n">
        <v>22</v>
      </c>
      <c r="G54" s="22" t="n">
        <v>0</v>
      </c>
      <c r="H54" s="22" t="n">
        <v>35.09</v>
      </c>
      <c r="I54" s="23" t="n">
        <v>11</v>
      </c>
      <c r="J54" s="21" t="n">
        <v>1</v>
      </c>
      <c r="K54" s="21" t="n">
        <v>0</v>
      </c>
      <c r="L54" s="21" t="n">
        <v>0</v>
      </c>
      <c r="M54" s="22" t="n">
        <f aca="false">IFERROR(L54/E54*1000,0)</f>
        <v>0</v>
      </c>
      <c r="N54" s="22" t="n">
        <f aca="false">IFERROR(J54/E54*100,0)</f>
        <v>0.125944584382872</v>
      </c>
      <c r="O54" s="32" t="str">
        <f aca="false">IF(H54&lt;30,"00-30",IF(H54&lt;40,"30-40",IF(H54&lt;50,"40-50",IF(H54&lt;60,"50-60",IF(H54&lt;70,"60-70","70+")))))</f>
        <v>30-40</v>
      </c>
      <c r="P54" s="37" t="n">
        <f aca="false">IFERROR(VALUE(SUBSTITUTE(B54,"-","")),0)</f>
        <v>20260908</v>
      </c>
    </row>
    <row r="55" customFormat="false" ht="15" hidden="false" customHeight="false" outlineLevel="0" collapsed="false">
      <c r="A55" s="14" t="s">
        <v>42</v>
      </c>
      <c r="B55" s="32" t="s">
        <v>227</v>
      </c>
      <c r="C55" s="7" t="s">
        <v>228</v>
      </c>
      <c r="D55" s="32" t="s">
        <v>229</v>
      </c>
      <c r="E55" s="21" t="n">
        <v>954</v>
      </c>
      <c r="F55" s="21" t="n">
        <v>7</v>
      </c>
      <c r="G55" s="22" t="n">
        <v>0</v>
      </c>
      <c r="H55" s="22" t="n">
        <v>69.49</v>
      </c>
      <c r="I55" s="23" t="n">
        <v>20</v>
      </c>
      <c r="J55" s="21" t="n">
        <v>1</v>
      </c>
      <c r="K55" s="21" t="n">
        <v>0</v>
      </c>
      <c r="L55" s="21" t="n">
        <v>0</v>
      </c>
      <c r="M55" s="22" t="n">
        <f aca="false">IFERROR(L55/E55*1000,0)</f>
        <v>0</v>
      </c>
      <c r="N55" s="22" t="n">
        <f aca="false">IFERROR(J55/E55*100,0)</f>
        <v>0.10482180293501</v>
      </c>
      <c r="O55" s="32" t="str">
        <f aca="false">IF(H55&lt;30,"00-30",IF(H55&lt;40,"30-40",IF(H55&lt;50,"40-50",IF(H55&lt;60,"50-60",IF(H55&lt;70,"60-70","70+")))))</f>
        <v>60-70</v>
      </c>
      <c r="P55" s="37" t="n">
        <f aca="false">IFERROR(VALUE(SUBSTITUTE(B55,"-","")),0)</f>
        <v>20260909</v>
      </c>
    </row>
    <row r="56" customFormat="false" ht="15" hidden="false" customHeight="false" outlineLevel="0" collapsed="false">
      <c r="A56" s="14" t="s">
        <v>49</v>
      </c>
      <c r="B56" s="32" t="s">
        <v>230</v>
      </c>
      <c r="C56" s="7" t="s">
        <v>231</v>
      </c>
      <c r="D56" s="32" t="s">
        <v>232</v>
      </c>
      <c r="E56" s="21" t="n">
        <v>1069</v>
      </c>
      <c r="F56" s="21" t="n">
        <v>110</v>
      </c>
      <c r="G56" s="22" t="n">
        <v>0.037</v>
      </c>
      <c r="H56" s="22" t="n">
        <v>65.68</v>
      </c>
      <c r="I56" s="23" t="n">
        <v>53</v>
      </c>
      <c r="J56" s="21" t="n">
        <v>10</v>
      </c>
      <c r="K56" s="21" t="n">
        <v>1</v>
      </c>
      <c r="L56" s="21" t="n">
        <v>0</v>
      </c>
      <c r="M56" s="22" t="n">
        <f aca="false">IFERROR(L56/E56*1000,0)</f>
        <v>0</v>
      </c>
      <c r="N56" s="22" t="n">
        <f aca="false">IFERROR(J56/E56*100,0)</f>
        <v>0.935453695042095</v>
      </c>
      <c r="O56" s="32" t="str">
        <f aca="false">IF(H56&lt;30,"00-30",IF(H56&lt;40,"30-40",IF(H56&lt;50,"40-50",IF(H56&lt;60,"50-60",IF(H56&lt;70,"60-70","70+")))))</f>
        <v>60-70</v>
      </c>
      <c r="P56" s="37" t="n">
        <f aca="false">IFERROR(VALUE(SUBSTITUTE(B56,"-","")),0)</f>
        <v>20260808</v>
      </c>
    </row>
    <row r="57" customFormat="false" ht="15" hidden="false" customHeight="false" outlineLevel="0" collapsed="false">
      <c r="A57" s="14" t="s">
        <v>49</v>
      </c>
      <c r="B57" s="32" t="s">
        <v>101</v>
      </c>
      <c r="C57" s="7" t="s">
        <v>233</v>
      </c>
      <c r="D57" s="32" t="s">
        <v>234</v>
      </c>
      <c r="E57" s="21" t="n">
        <v>1682</v>
      </c>
      <c r="F57" s="21" t="n">
        <v>300</v>
      </c>
      <c r="G57" s="22" t="n">
        <v>0.04</v>
      </c>
      <c r="H57" s="22" t="n">
        <v>61.12</v>
      </c>
      <c r="I57" s="23" t="n">
        <v>59</v>
      </c>
      <c r="J57" s="21" t="n">
        <v>10</v>
      </c>
      <c r="K57" s="21" t="n">
        <v>1</v>
      </c>
      <c r="L57" s="21" t="n">
        <v>1</v>
      </c>
      <c r="M57" s="22" t="n">
        <f aca="false">IFERROR(L57/E57*1000,0)</f>
        <v>0.594530321046373</v>
      </c>
      <c r="N57" s="22" t="n">
        <f aca="false">IFERROR(J57/E57*100,0)</f>
        <v>0.594530321046373</v>
      </c>
      <c r="O57" s="32" t="str">
        <f aca="false">IF(H57&lt;30,"00-30",IF(H57&lt;40,"30-40",IF(H57&lt;50,"40-50",IF(H57&lt;60,"50-60",IF(H57&lt;70,"60-70","70+")))))</f>
        <v>60-70</v>
      </c>
      <c r="P57" s="37" t="n">
        <f aca="false">IFERROR(VALUE(SUBSTITUTE(B57,"-","")),0)</f>
        <v>20260809</v>
      </c>
    </row>
    <row r="58" customFormat="false" ht="15" hidden="false" customHeight="false" outlineLevel="0" collapsed="false">
      <c r="A58" s="14" t="s">
        <v>49</v>
      </c>
      <c r="B58" s="32" t="s">
        <v>235</v>
      </c>
      <c r="C58" s="7" t="s">
        <v>236</v>
      </c>
      <c r="D58" s="32" t="s">
        <v>237</v>
      </c>
      <c r="E58" s="21" t="n">
        <v>1058</v>
      </c>
      <c r="F58" s="21" t="n">
        <v>68</v>
      </c>
      <c r="G58" s="22" t="n">
        <v>0.056</v>
      </c>
      <c r="H58" s="22" t="n">
        <v>51.22</v>
      </c>
      <c r="I58" s="23" t="n">
        <v>40</v>
      </c>
      <c r="J58" s="21" t="n">
        <v>3</v>
      </c>
      <c r="K58" s="21" t="n">
        <v>0</v>
      </c>
      <c r="L58" s="21" t="n">
        <v>2</v>
      </c>
      <c r="M58" s="22" t="n">
        <f aca="false">IFERROR(L58/E58*1000,0)</f>
        <v>1.89035916824197</v>
      </c>
      <c r="N58" s="22" t="n">
        <f aca="false">IFERROR(J58/E58*100,0)</f>
        <v>0.283553875236295</v>
      </c>
      <c r="O58" s="32" t="str">
        <f aca="false">IF(H58&lt;30,"00-30",IF(H58&lt;40,"30-40",IF(H58&lt;50,"40-50",IF(H58&lt;60,"50-60",IF(H58&lt;70,"60-70","70+")))))</f>
        <v>50-60</v>
      </c>
      <c r="P58" s="37" t="n">
        <f aca="false">IFERROR(VALUE(SUBSTITUTE(B58,"-","")),0)</f>
        <v>20260812</v>
      </c>
    </row>
    <row r="59" customFormat="false" ht="15" hidden="false" customHeight="false" outlineLevel="0" collapsed="false">
      <c r="A59" s="14" t="s">
        <v>49</v>
      </c>
      <c r="B59" s="32" t="s">
        <v>104</v>
      </c>
      <c r="C59" s="7" t="s">
        <v>238</v>
      </c>
      <c r="D59" s="32" t="s">
        <v>239</v>
      </c>
      <c r="E59" s="21" t="n">
        <v>955</v>
      </c>
      <c r="F59" s="21" t="n">
        <v>99</v>
      </c>
      <c r="G59" s="22" t="n">
        <v>0.029</v>
      </c>
      <c r="H59" s="22" t="n">
        <v>38.85</v>
      </c>
      <c r="I59" s="23" t="n">
        <v>33</v>
      </c>
      <c r="J59" s="21" t="n">
        <v>9</v>
      </c>
      <c r="K59" s="21" t="n">
        <v>0</v>
      </c>
      <c r="L59" s="21" t="n">
        <v>1</v>
      </c>
      <c r="M59" s="22" t="n">
        <f aca="false">IFERROR(L59/E59*1000,0)</f>
        <v>1.04712041884817</v>
      </c>
      <c r="N59" s="22" t="n">
        <f aca="false">IFERROR(J59/E59*100,0)</f>
        <v>0.942408376963351</v>
      </c>
      <c r="O59" s="32" t="str">
        <f aca="false">IF(H59&lt;30,"00-30",IF(H59&lt;40,"30-40",IF(H59&lt;50,"40-50",IF(H59&lt;60,"50-60",IF(H59&lt;70,"60-70","70+")))))</f>
        <v>30-40</v>
      </c>
      <c r="P59" s="37" t="n">
        <f aca="false">IFERROR(VALUE(SUBSTITUTE(B59,"-","")),0)</f>
        <v>20260813</v>
      </c>
    </row>
    <row r="60" customFormat="false" ht="15" hidden="false" customHeight="false" outlineLevel="0" collapsed="false">
      <c r="A60" s="14" t="s">
        <v>49</v>
      </c>
      <c r="B60" s="32" t="s">
        <v>109</v>
      </c>
      <c r="C60" s="7" t="s">
        <v>240</v>
      </c>
      <c r="D60" s="32" t="s">
        <v>241</v>
      </c>
      <c r="E60" s="21" t="n">
        <v>1126</v>
      </c>
      <c r="F60" s="21" t="n">
        <v>105</v>
      </c>
      <c r="G60" s="22" t="n">
        <v>0.08</v>
      </c>
      <c r="H60" s="22" t="n">
        <v>44.56</v>
      </c>
      <c r="I60" s="23" t="n">
        <v>35</v>
      </c>
      <c r="J60" s="21" t="n">
        <v>10</v>
      </c>
      <c r="K60" s="21" t="n">
        <v>0</v>
      </c>
      <c r="L60" s="21" t="n">
        <v>2</v>
      </c>
      <c r="M60" s="22" t="n">
        <f aca="false">IFERROR(L60/E60*1000,0)</f>
        <v>1.77619893428064</v>
      </c>
      <c r="N60" s="22" t="n">
        <f aca="false">IFERROR(J60/E60*100,0)</f>
        <v>0.88809946714032</v>
      </c>
      <c r="O60" s="32" t="str">
        <f aca="false">IF(H60&lt;30,"00-30",IF(H60&lt;40,"30-40",IF(H60&lt;50,"40-50",IF(H60&lt;60,"50-60",IF(H60&lt;70,"60-70","70+")))))</f>
        <v>40-50</v>
      </c>
      <c r="P60" s="37" t="n">
        <f aca="false">IFERROR(VALUE(SUBSTITUTE(B60,"-","")),0)</f>
        <v>20260814</v>
      </c>
    </row>
    <row r="61" customFormat="false" ht="15" hidden="false" customHeight="false" outlineLevel="0" collapsed="false">
      <c r="A61" s="14" t="s">
        <v>49</v>
      </c>
      <c r="B61" s="32" t="s">
        <v>114</v>
      </c>
      <c r="C61" s="7" t="s">
        <v>242</v>
      </c>
      <c r="D61" s="32" t="s">
        <v>243</v>
      </c>
      <c r="E61" s="21" t="n">
        <v>982</v>
      </c>
      <c r="F61" s="21" t="n">
        <v>130</v>
      </c>
      <c r="G61" s="22" t="n">
        <v>0.074</v>
      </c>
      <c r="H61" s="22" t="n">
        <v>47.17</v>
      </c>
      <c r="I61" s="23" t="n">
        <v>41</v>
      </c>
      <c r="J61" s="21" t="n">
        <v>0</v>
      </c>
      <c r="K61" s="21" t="n">
        <v>0</v>
      </c>
      <c r="L61" s="21" t="n">
        <v>0</v>
      </c>
      <c r="M61" s="22" t="n">
        <f aca="false">IFERROR(L61/E61*1000,0)</f>
        <v>0</v>
      </c>
      <c r="N61" s="22" t="n">
        <f aca="false">IFERROR(J61/E61*100,0)</f>
        <v>0</v>
      </c>
      <c r="O61" s="32" t="str">
        <f aca="false">IF(H61&lt;30,"00-30",IF(H61&lt;40,"30-40",IF(H61&lt;50,"40-50",IF(H61&lt;60,"50-60",IF(H61&lt;70,"60-70","70+")))))</f>
        <v>40-50</v>
      </c>
      <c r="P61" s="37" t="n">
        <f aca="false">IFERROR(VALUE(SUBSTITUTE(B61,"-","")),0)</f>
        <v>20260815</v>
      </c>
    </row>
    <row r="62" customFormat="false" ht="15" hidden="false" customHeight="false" outlineLevel="0" collapsed="false">
      <c r="A62" s="14" t="s">
        <v>49</v>
      </c>
      <c r="B62" s="32" t="s">
        <v>122</v>
      </c>
      <c r="C62" s="7" t="s">
        <v>244</v>
      </c>
      <c r="D62" s="32" t="s">
        <v>245</v>
      </c>
      <c r="E62" s="21" t="n">
        <v>1027</v>
      </c>
      <c r="F62" s="21" t="n">
        <v>212</v>
      </c>
      <c r="G62" s="22" t="n">
        <v>0.025</v>
      </c>
      <c r="H62" s="22" t="n">
        <v>39.02</v>
      </c>
      <c r="I62" s="23" t="n">
        <v>29</v>
      </c>
      <c r="J62" s="21" t="n">
        <v>2</v>
      </c>
      <c r="K62" s="21" t="n">
        <v>0</v>
      </c>
      <c r="L62" s="21" t="n">
        <v>0</v>
      </c>
      <c r="M62" s="22" t="n">
        <f aca="false">IFERROR(L62/E62*1000,0)</f>
        <v>0</v>
      </c>
      <c r="N62" s="22" t="n">
        <f aca="false">IFERROR(J62/E62*100,0)</f>
        <v>0.194741966893866</v>
      </c>
      <c r="O62" s="32" t="str">
        <f aca="false">IF(H62&lt;30,"00-30",IF(H62&lt;40,"30-40",IF(H62&lt;50,"40-50",IF(H62&lt;60,"50-60",IF(H62&lt;70,"60-70","70+")))))</f>
        <v>30-40</v>
      </c>
      <c r="P62" s="37" t="n">
        <f aca="false">IFERROR(VALUE(SUBSTITUTE(B62,"-","")),0)</f>
        <v>20260817</v>
      </c>
    </row>
    <row r="63" customFormat="false" ht="15" hidden="false" customHeight="false" outlineLevel="0" collapsed="false">
      <c r="A63" s="14" t="s">
        <v>49</v>
      </c>
      <c r="B63" s="32" t="s">
        <v>122</v>
      </c>
      <c r="C63" s="7" t="s">
        <v>246</v>
      </c>
      <c r="D63" s="32" t="s">
        <v>247</v>
      </c>
      <c r="E63" s="21" t="n">
        <v>1203</v>
      </c>
      <c r="F63" s="21" t="n">
        <v>159</v>
      </c>
      <c r="G63" s="22" t="n">
        <v>0.013</v>
      </c>
      <c r="H63" s="22" t="n">
        <v>42.25</v>
      </c>
      <c r="I63" s="23" t="n">
        <v>36</v>
      </c>
      <c r="J63" s="21" t="n">
        <v>2</v>
      </c>
      <c r="K63" s="21" t="n">
        <v>0</v>
      </c>
      <c r="L63" s="21" t="n">
        <v>1</v>
      </c>
      <c r="M63" s="22" t="n">
        <f aca="false">IFERROR(L63/E63*1000,0)</f>
        <v>0.831255195344971</v>
      </c>
      <c r="N63" s="22" t="n">
        <f aca="false">IFERROR(J63/E63*100,0)</f>
        <v>0.166251039068994</v>
      </c>
      <c r="O63" s="32" t="str">
        <f aca="false">IF(H63&lt;30,"00-30",IF(H63&lt;40,"30-40",IF(H63&lt;50,"40-50",IF(H63&lt;60,"50-60",IF(H63&lt;70,"60-70","70+")))))</f>
        <v>40-50</v>
      </c>
      <c r="P63" s="37" t="n">
        <f aca="false">IFERROR(VALUE(SUBSTITUTE(B63,"-","")),0)</f>
        <v>20260817</v>
      </c>
    </row>
    <row r="64" customFormat="false" ht="15" hidden="false" customHeight="false" outlineLevel="0" collapsed="false">
      <c r="A64" s="14" t="s">
        <v>49</v>
      </c>
      <c r="B64" s="32" t="s">
        <v>133</v>
      </c>
      <c r="C64" s="7" t="s">
        <v>248</v>
      </c>
      <c r="D64" s="32" t="s">
        <v>249</v>
      </c>
      <c r="E64" s="21" t="n">
        <v>43</v>
      </c>
      <c r="F64" s="21" t="n">
        <v>448</v>
      </c>
      <c r="G64" s="22" t="n">
        <v>0.046</v>
      </c>
      <c r="H64" s="22" t="n">
        <v>38.28</v>
      </c>
      <c r="I64" s="23" t="n">
        <v>29</v>
      </c>
      <c r="J64" s="21" t="n">
        <v>0</v>
      </c>
      <c r="K64" s="21" t="n">
        <v>0</v>
      </c>
      <c r="L64" s="21" t="n">
        <v>0</v>
      </c>
      <c r="M64" s="22" t="n">
        <f aca="false">IFERROR(L64/E64*1000,0)</f>
        <v>0</v>
      </c>
      <c r="N64" s="22" t="n">
        <f aca="false">IFERROR(J64/E64*100,0)</f>
        <v>0</v>
      </c>
      <c r="O64" s="32" t="str">
        <f aca="false">IF(H64&lt;30,"00-30",IF(H64&lt;40,"30-40",IF(H64&lt;50,"40-50",IF(H64&lt;60,"50-60",IF(H64&lt;70,"60-70","70+")))))</f>
        <v>30-40</v>
      </c>
      <c r="P64" s="37" t="n">
        <f aca="false">IFERROR(VALUE(SUBSTITUTE(B64,"-","")),0)</f>
        <v>20260818</v>
      </c>
    </row>
    <row r="65" customFormat="false" ht="15" hidden="false" customHeight="false" outlineLevel="0" collapsed="false">
      <c r="A65" s="14" t="s">
        <v>49</v>
      </c>
      <c r="B65" s="32" t="s">
        <v>138</v>
      </c>
      <c r="C65" s="14" t="s">
        <v>250</v>
      </c>
      <c r="D65" s="32" t="s">
        <v>251</v>
      </c>
      <c r="E65" s="21" t="n">
        <v>11</v>
      </c>
      <c r="F65" s="21" t="n">
        <v>41</v>
      </c>
      <c r="G65" s="22" t="n">
        <v>0.056</v>
      </c>
      <c r="H65" s="22" t="n">
        <v>61.41</v>
      </c>
      <c r="I65" s="23" t="n">
        <v>28</v>
      </c>
      <c r="J65" s="21" t="n">
        <v>0</v>
      </c>
      <c r="K65" s="21" t="n">
        <v>0</v>
      </c>
      <c r="L65" s="21" t="n">
        <v>0</v>
      </c>
      <c r="M65" s="22" t="n">
        <f aca="false">IFERROR(L65/E65*1000,0)</f>
        <v>0</v>
      </c>
      <c r="N65" s="22" t="n">
        <f aca="false">IFERROR(J65/E65*100,0)</f>
        <v>0</v>
      </c>
      <c r="O65" s="32" t="str">
        <f aca="false">IF(H65&lt;30,"00-30",IF(H65&lt;40,"30-40",IF(H65&lt;50,"40-50",IF(H65&lt;60,"50-60",IF(H65&lt;70,"60-70","70+")))))</f>
        <v>60-70</v>
      </c>
      <c r="P65" s="37" t="n">
        <f aca="false">IFERROR(VALUE(SUBSTITUTE(B65,"-","")),0)</f>
        <v>20260819</v>
      </c>
    </row>
    <row r="66" customFormat="false" ht="15" hidden="false" customHeight="false" outlineLevel="0" collapsed="false">
      <c r="A66" s="14" t="s">
        <v>49</v>
      </c>
      <c r="B66" s="32" t="s">
        <v>143</v>
      </c>
      <c r="C66" s="7" t="s">
        <v>252</v>
      </c>
      <c r="D66" s="32" t="s">
        <v>253</v>
      </c>
      <c r="E66" s="21" t="n">
        <v>5207</v>
      </c>
      <c r="F66" s="21" t="n">
        <v>242</v>
      </c>
      <c r="G66" s="22" t="n">
        <v>0.013</v>
      </c>
      <c r="H66" s="22" t="n">
        <v>50.1</v>
      </c>
      <c r="I66" s="23" t="n">
        <v>31</v>
      </c>
      <c r="J66" s="21" t="n">
        <v>10</v>
      </c>
      <c r="K66" s="21" t="n">
        <v>0</v>
      </c>
      <c r="L66" s="21" t="n">
        <v>4</v>
      </c>
      <c r="M66" s="22" t="n">
        <f aca="false">IFERROR(L66/E66*1000,0)</f>
        <v>0.768196658344536</v>
      </c>
      <c r="N66" s="22" t="n">
        <f aca="false">IFERROR(J66/E66*100,0)</f>
        <v>0.192049164586134</v>
      </c>
      <c r="O66" s="32" t="str">
        <f aca="false">IF(H66&lt;30,"00-30",IF(H66&lt;40,"30-40",IF(H66&lt;50,"40-50",IF(H66&lt;60,"50-60",IF(H66&lt;70,"60-70","70+")))))</f>
        <v>50-60</v>
      </c>
      <c r="P66" s="37" t="n">
        <f aca="false">IFERROR(VALUE(SUBSTITUTE(B66,"-","")),0)</f>
        <v>20260820</v>
      </c>
    </row>
    <row r="67" customFormat="false" ht="15" hidden="false" customHeight="false" outlineLevel="0" collapsed="false">
      <c r="A67" s="14" t="s">
        <v>49</v>
      </c>
      <c r="B67" s="32" t="s">
        <v>148</v>
      </c>
      <c r="C67" s="7" t="s">
        <v>254</v>
      </c>
      <c r="D67" s="32" t="s">
        <v>255</v>
      </c>
      <c r="E67" s="21" t="n">
        <v>1277</v>
      </c>
      <c r="F67" s="21" t="n">
        <v>130</v>
      </c>
      <c r="G67" s="22" t="n">
        <v>0.028</v>
      </c>
      <c r="H67" s="22" t="n">
        <v>78.82</v>
      </c>
      <c r="I67" s="23" t="n">
        <v>47</v>
      </c>
      <c r="J67" s="21" t="n">
        <v>6</v>
      </c>
      <c r="K67" s="21" t="n">
        <v>1</v>
      </c>
      <c r="L67" s="21" t="n">
        <v>0</v>
      </c>
      <c r="M67" s="22" t="n">
        <f aca="false">IFERROR(L67/E67*1000,0)</f>
        <v>0</v>
      </c>
      <c r="N67" s="22" t="n">
        <f aca="false">IFERROR(J67/E67*100,0)</f>
        <v>0.469851213782302</v>
      </c>
      <c r="O67" s="32" t="str">
        <f aca="false">IF(H67&lt;30,"00-30",IF(H67&lt;40,"30-40",IF(H67&lt;50,"40-50",IF(H67&lt;60,"50-60",IF(H67&lt;70,"60-70","70+")))))</f>
        <v>70+</v>
      </c>
      <c r="P67" s="37" t="n">
        <f aca="false">IFERROR(VALUE(SUBSTITUTE(B67,"-","")),0)</f>
        <v>20260821</v>
      </c>
    </row>
    <row r="68" customFormat="false" ht="15" hidden="false" customHeight="false" outlineLevel="0" collapsed="false">
      <c r="A68" s="14" t="s">
        <v>49</v>
      </c>
      <c r="B68" s="32" t="s">
        <v>148</v>
      </c>
      <c r="C68" s="7" t="s">
        <v>256</v>
      </c>
      <c r="D68" s="32" t="s">
        <v>257</v>
      </c>
      <c r="E68" s="21" t="n">
        <v>56</v>
      </c>
      <c r="F68" s="21" t="n">
        <v>327</v>
      </c>
      <c r="G68" s="22" t="n">
        <v>0.051</v>
      </c>
      <c r="H68" s="22" t="n">
        <v>54.93</v>
      </c>
      <c r="I68" s="23" t="n">
        <v>36</v>
      </c>
      <c r="J68" s="21" t="n">
        <v>0</v>
      </c>
      <c r="K68" s="21" t="n">
        <v>0</v>
      </c>
      <c r="L68" s="21" t="n">
        <v>0</v>
      </c>
      <c r="M68" s="22" t="n">
        <f aca="false">IFERROR(L68/E68*1000,0)</f>
        <v>0</v>
      </c>
      <c r="N68" s="22" t="n">
        <f aca="false">IFERROR(J68/E68*100,0)</f>
        <v>0</v>
      </c>
      <c r="O68" s="32" t="str">
        <f aca="false">IF(H68&lt;30,"00-30",IF(H68&lt;40,"30-40",IF(H68&lt;50,"40-50",IF(H68&lt;60,"50-60",IF(H68&lt;70,"60-70","70+")))))</f>
        <v>50-60</v>
      </c>
      <c r="P68" s="37" t="n">
        <f aca="false">IFERROR(VALUE(SUBSTITUTE(B68,"-","")),0)</f>
        <v>20260821</v>
      </c>
    </row>
    <row r="69" customFormat="false" ht="15" hidden="false" customHeight="false" outlineLevel="0" collapsed="false">
      <c r="A69" s="14" t="s">
        <v>49</v>
      </c>
      <c r="B69" s="32" t="s">
        <v>155</v>
      </c>
      <c r="C69" s="14" t="s">
        <v>258</v>
      </c>
      <c r="D69" s="32" t="s">
        <v>259</v>
      </c>
      <c r="E69" s="21" t="n">
        <v>1398</v>
      </c>
      <c r="F69" s="21" t="n">
        <v>1014</v>
      </c>
      <c r="G69" s="22" t="n">
        <v>0.019</v>
      </c>
      <c r="H69" s="22" t="n">
        <v>47.97</v>
      </c>
      <c r="I69" s="23" t="n">
        <v>26</v>
      </c>
      <c r="J69" s="21" t="n">
        <v>9</v>
      </c>
      <c r="K69" s="21" t="n">
        <v>0</v>
      </c>
      <c r="L69" s="21" t="n">
        <v>0</v>
      </c>
      <c r="M69" s="22" t="n">
        <f aca="false">IFERROR(L69/E69*1000,0)</f>
        <v>0</v>
      </c>
      <c r="N69" s="22" t="n">
        <f aca="false">IFERROR(J69/E69*100,0)</f>
        <v>0.643776824034335</v>
      </c>
      <c r="O69" s="32" t="str">
        <f aca="false">IF(H69&lt;30,"00-30",IF(H69&lt;40,"30-40",IF(H69&lt;50,"40-50",IF(H69&lt;60,"50-60",IF(H69&lt;70,"60-70","70+")))))</f>
        <v>40-50</v>
      </c>
      <c r="P69" s="37" t="n">
        <f aca="false">IFERROR(VALUE(SUBSTITUTE(B69,"-","")),0)</f>
        <v>20260822</v>
      </c>
    </row>
    <row r="70" customFormat="false" ht="15" hidden="false" customHeight="false" outlineLevel="0" collapsed="false">
      <c r="A70" s="14" t="s">
        <v>49</v>
      </c>
      <c r="B70" s="32" t="s">
        <v>158</v>
      </c>
      <c r="C70" s="7" t="s">
        <v>260</v>
      </c>
      <c r="D70" s="32" t="s">
        <v>261</v>
      </c>
      <c r="E70" s="21" t="n">
        <v>1331</v>
      </c>
      <c r="F70" s="21" t="n">
        <v>153</v>
      </c>
      <c r="G70" s="22" t="n">
        <v>0.036</v>
      </c>
      <c r="H70" s="22" t="n">
        <v>53.66</v>
      </c>
      <c r="I70" s="23" t="n">
        <v>30</v>
      </c>
      <c r="J70" s="21" t="n">
        <v>4</v>
      </c>
      <c r="K70" s="21" t="n">
        <v>0</v>
      </c>
      <c r="L70" s="21" t="n">
        <v>1</v>
      </c>
      <c r="M70" s="22" t="n">
        <f aca="false">IFERROR(L70/E70*1000,0)</f>
        <v>0.751314800901578</v>
      </c>
      <c r="N70" s="22" t="n">
        <f aca="false">IFERROR(J70/E70*100,0)</f>
        <v>0.300525920360631</v>
      </c>
      <c r="O70" s="32" t="str">
        <f aca="false">IF(H70&lt;30,"00-30",IF(H70&lt;40,"30-40",IF(H70&lt;50,"40-50",IF(H70&lt;60,"50-60",IF(H70&lt;70,"60-70","70+")))))</f>
        <v>50-60</v>
      </c>
      <c r="P70" s="37" t="n">
        <f aca="false">IFERROR(VALUE(SUBSTITUTE(B70,"-","")),0)</f>
        <v>20260823</v>
      </c>
    </row>
    <row r="71" customFormat="false" ht="15" hidden="false" customHeight="false" outlineLevel="0" collapsed="false">
      <c r="A71" s="14" t="s">
        <v>49</v>
      </c>
      <c r="B71" s="32" t="s">
        <v>161</v>
      </c>
      <c r="C71" s="7" t="s">
        <v>262</v>
      </c>
      <c r="D71" s="32" t="s">
        <v>263</v>
      </c>
      <c r="E71" s="21" t="n">
        <v>1942</v>
      </c>
      <c r="F71" s="21" t="n">
        <v>157</v>
      </c>
      <c r="G71" s="22" t="n">
        <v>0.009</v>
      </c>
      <c r="H71" s="22" t="n">
        <v>68.48</v>
      </c>
      <c r="I71" s="23" t="n">
        <v>44</v>
      </c>
      <c r="J71" s="21" t="n">
        <v>2</v>
      </c>
      <c r="K71" s="21" t="n">
        <v>0</v>
      </c>
      <c r="L71" s="21" t="n">
        <v>0</v>
      </c>
      <c r="M71" s="22" t="n">
        <f aca="false">IFERROR(L71/E71*1000,0)</f>
        <v>0</v>
      </c>
      <c r="N71" s="22" t="n">
        <f aca="false">IFERROR(J71/E71*100,0)</f>
        <v>0.102986611740474</v>
      </c>
      <c r="O71" s="32" t="str">
        <f aca="false">IF(H71&lt;30,"00-30",IF(H71&lt;40,"30-40",IF(H71&lt;50,"40-50",IF(H71&lt;60,"50-60",IF(H71&lt;70,"60-70","70+")))))</f>
        <v>60-70</v>
      </c>
      <c r="P71" s="37" t="n">
        <f aca="false">IFERROR(VALUE(SUBSTITUTE(B71,"-","")),0)</f>
        <v>20260824</v>
      </c>
    </row>
    <row r="72" customFormat="false" ht="23.85" hidden="false" customHeight="false" outlineLevel="0" collapsed="false">
      <c r="A72" s="14" t="s">
        <v>49</v>
      </c>
      <c r="B72" s="32" t="s">
        <v>164</v>
      </c>
      <c r="C72" s="7" t="s">
        <v>264</v>
      </c>
      <c r="D72" s="32" t="s">
        <v>265</v>
      </c>
      <c r="E72" s="21" t="n">
        <v>1674</v>
      </c>
      <c r="F72" s="21" t="n">
        <v>111</v>
      </c>
      <c r="G72" s="22" t="n">
        <v>0.021</v>
      </c>
      <c r="H72" s="22" t="n">
        <v>58.74</v>
      </c>
      <c r="I72" s="23" t="n">
        <v>31</v>
      </c>
      <c r="J72" s="21" t="n">
        <v>3</v>
      </c>
      <c r="K72" s="21" t="n">
        <v>0</v>
      </c>
      <c r="L72" s="21" t="n">
        <v>1</v>
      </c>
      <c r="M72" s="22" t="n">
        <f aca="false">IFERROR(L72/E72*1000,0)</f>
        <v>0.597371565113501</v>
      </c>
      <c r="N72" s="22" t="n">
        <f aca="false">IFERROR(J72/E72*100,0)</f>
        <v>0.17921146953405</v>
      </c>
      <c r="O72" s="32" t="str">
        <f aca="false">IF(H72&lt;30,"00-30",IF(H72&lt;40,"30-40",IF(H72&lt;50,"40-50",IF(H72&lt;60,"50-60",IF(H72&lt;70,"60-70","70+")))))</f>
        <v>50-60</v>
      </c>
      <c r="P72" s="37" t="n">
        <f aca="false">IFERROR(VALUE(SUBSTITUTE(B72,"-","")),0)</f>
        <v>20260825</v>
      </c>
    </row>
    <row r="73" customFormat="false" ht="15" hidden="false" customHeight="false" outlineLevel="0" collapsed="false">
      <c r="A73" s="14" t="s">
        <v>49</v>
      </c>
      <c r="B73" s="32" t="s">
        <v>167</v>
      </c>
      <c r="C73" s="7" t="s">
        <v>266</v>
      </c>
      <c r="D73" s="32" t="s">
        <v>267</v>
      </c>
      <c r="E73" s="21" t="n">
        <v>3606</v>
      </c>
      <c r="F73" s="21" t="n">
        <v>305</v>
      </c>
      <c r="G73" s="22" t="n">
        <v>0.031</v>
      </c>
      <c r="H73" s="22" t="n">
        <v>79.2</v>
      </c>
      <c r="I73" s="23" t="n">
        <v>41</v>
      </c>
      <c r="J73" s="21" t="n">
        <v>8</v>
      </c>
      <c r="K73" s="21" t="n">
        <v>0</v>
      </c>
      <c r="L73" s="21" t="n">
        <v>6</v>
      </c>
      <c r="M73" s="22" t="n">
        <f aca="false">IFERROR(L73/E73*1000,0)</f>
        <v>1.66389351081531</v>
      </c>
      <c r="N73" s="22" t="n">
        <f aca="false">IFERROR(J73/E73*100,0)</f>
        <v>0.221852468108708</v>
      </c>
      <c r="O73" s="32" t="str">
        <f aca="false">IF(H73&lt;30,"00-30",IF(H73&lt;40,"30-40",IF(H73&lt;50,"40-50",IF(H73&lt;60,"50-60",IF(H73&lt;70,"60-70","70+")))))</f>
        <v>70+</v>
      </c>
      <c r="P73" s="37" t="n">
        <f aca="false">IFERROR(VALUE(SUBSTITUTE(B73,"-","")),0)</f>
        <v>20260826</v>
      </c>
    </row>
    <row r="74" customFormat="false" ht="15" hidden="false" customHeight="false" outlineLevel="0" collapsed="false">
      <c r="A74" s="14" t="s">
        <v>49</v>
      </c>
      <c r="B74" s="32" t="s">
        <v>170</v>
      </c>
      <c r="C74" s="7" t="s">
        <v>268</v>
      </c>
      <c r="D74" s="32" t="s">
        <v>269</v>
      </c>
      <c r="E74" s="21" t="n">
        <v>2247</v>
      </c>
      <c r="F74" s="21" t="n">
        <v>327</v>
      </c>
      <c r="G74" s="22" t="n">
        <v>0.027</v>
      </c>
      <c r="H74" s="22" t="n">
        <v>90.13</v>
      </c>
      <c r="I74" s="23" t="n">
        <v>44</v>
      </c>
      <c r="J74" s="21" t="n">
        <v>23</v>
      </c>
      <c r="K74" s="21" t="n">
        <v>0</v>
      </c>
      <c r="L74" s="21" t="n">
        <v>3</v>
      </c>
      <c r="M74" s="22" t="n">
        <f aca="false">IFERROR(L74/E74*1000,0)</f>
        <v>1.3351134846462</v>
      </c>
      <c r="N74" s="22" t="n">
        <f aca="false">IFERROR(J74/E74*100,0)</f>
        <v>1.02358700489542</v>
      </c>
      <c r="O74" s="32" t="str">
        <f aca="false">IF(H74&lt;30,"00-30",IF(H74&lt;40,"30-40",IF(H74&lt;50,"40-50",IF(H74&lt;60,"50-60",IF(H74&lt;70,"60-70","70+")))))</f>
        <v>70+</v>
      </c>
      <c r="P74" s="37" t="n">
        <f aca="false">IFERROR(VALUE(SUBSTITUTE(B74,"-","")),0)</f>
        <v>20260827</v>
      </c>
    </row>
    <row r="75" customFormat="false" ht="15" hidden="false" customHeight="false" outlineLevel="0" collapsed="false">
      <c r="A75" s="14" t="s">
        <v>49</v>
      </c>
      <c r="B75" s="32" t="s">
        <v>170</v>
      </c>
      <c r="C75" s="7" t="s">
        <v>270</v>
      </c>
      <c r="D75" s="32" t="s">
        <v>271</v>
      </c>
      <c r="E75" s="21" t="n">
        <v>1992</v>
      </c>
      <c r="F75" s="21" t="n">
        <v>385</v>
      </c>
      <c r="G75" s="22" t="n">
        <v>0.053</v>
      </c>
      <c r="H75" s="22" t="n">
        <v>73.82</v>
      </c>
      <c r="I75" s="23" t="n">
        <v>30</v>
      </c>
      <c r="J75" s="21" t="n">
        <v>16</v>
      </c>
      <c r="K75" s="21" t="n">
        <v>0</v>
      </c>
      <c r="L75" s="21" t="n">
        <v>2</v>
      </c>
      <c r="M75" s="22" t="n">
        <f aca="false">IFERROR(L75/E75*1000,0)</f>
        <v>1.00401606425703</v>
      </c>
      <c r="N75" s="22" t="n">
        <f aca="false">IFERROR(J75/E75*100,0)</f>
        <v>0.803212851405622</v>
      </c>
      <c r="O75" s="32" t="str">
        <f aca="false">IF(H75&lt;30,"00-30",IF(H75&lt;40,"30-40",IF(H75&lt;50,"40-50",IF(H75&lt;60,"50-60",IF(H75&lt;70,"60-70","70+")))))</f>
        <v>70+</v>
      </c>
      <c r="P75" s="37" t="n">
        <f aca="false">IFERROR(VALUE(SUBSTITUTE(B75,"-","")),0)</f>
        <v>20260827</v>
      </c>
    </row>
    <row r="76" customFormat="false" ht="15" hidden="false" customHeight="false" outlineLevel="0" collapsed="false">
      <c r="A76" s="14" t="s">
        <v>49</v>
      </c>
      <c r="B76" s="32" t="s">
        <v>175</v>
      </c>
      <c r="C76" s="7" t="s">
        <v>272</v>
      </c>
      <c r="D76" s="32" t="s">
        <v>273</v>
      </c>
      <c r="E76" s="21" t="n">
        <v>1487</v>
      </c>
      <c r="F76" s="21" t="n">
        <v>154</v>
      </c>
      <c r="G76" s="22" t="n">
        <v>0.077</v>
      </c>
      <c r="H76" s="22" t="n">
        <v>59.4</v>
      </c>
      <c r="I76" s="23" t="n">
        <v>30</v>
      </c>
      <c r="J76" s="21" t="n">
        <v>2</v>
      </c>
      <c r="K76" s="21" t="n">
        <v>0</v>
      </c>
      <c r="L76" s="21" t="n">
        <v>1</v>
      </c>
      <c r="M76" s="22" t="n">
        <f aca="false">IFERROR(L76/E76*1000,0)</f>
        <v>0.672494956287828</v>
      </c>
      <c r="N76" s="22" t="n">
        <f aca="false">IFERROR(J76/E76*100,0)</f>
        <v>0.134498991257566</v>
      </c>
      <c r="O76" s="32" t="str">
        <f aca="false">IF(H76&lt;30,"00-30",IF(H76&lt;40,"30-40",IF(H76&lt;50,"40-50",IF(H76&lt;60,"50-60",IF(H76&lt;70,"60-70","70+")))))</f>
        <v>50-60</v>
      </c>
      <c r="P76" s="37" t="n">
        <f aca="false">IFERROR(VALUE(SUBSTITUTE(B76,"-","")),0)</f>
        <v>20260828</v>
      </c>
    </row>
    <row r="77" customFormat="false" ht="15" hidden="false" customHeight="false" outlineLevel="0" collapsed="false">
      <c r="A77" s="14" t="s">
        <v>49</v>
      </c>
      <c r="B77" s="32" t="s">
        <v>175</v>
      </c>
      <c r="C77" s="7" t="s">
        <v>274</v>
      </c>
      <c r="D77" s="32" t="s">
        <v>275</v>
      </c>
      <c r="E77" s="21" t="n">
        <v>1336</v>
      </c>
      <c r="F77" s="21" t="n">
        <v>123</v>
      </c>
      <c r="G77" s="22" t="n">
        <v>0</v>
      </c>
      <c r="H77" s="22" t="n">
        <v>58.02</v>
      </c>
      <c r="I77" s="23" t="n">
        <v>29</v>
      </c>
      <c r="J77" s="21" t="n">
        <v>5</v>
      </c>
      <c r="K77" s="21" t="n">
        <v>0</v>
      </c>
      <c r="L77" s="21" t="n">
        <v>1</v>
      </c>
      <c r="M77" s="22" t="n">
        <f aca="false">IFERROR(L77/E77*1000,0)</f>
        <v>0.748502994011976</v>
      </c>
      <c r="N77" s="22" t="n">
        <f aca="false">IFERROR(J77/E77*100,0)</f>
        <v>0.374251497005988</v>
      </c>
      <c r="O77" s="32" t="str">
        <f aca="false">IF(H77&lt;30,"00-30",IF(H77&lt;40,"30-40",IF(H77&lt;50,"40-50",IF(H77&lt;60,"50-60",IF(H77&lt;70,"60-70","70+")))))</f>
        <v>50-60</v>
      </c>
      <c r="P77" s="37" t="n">
        <f aca="false">IFERROR(VALUE(SUBSTITUTE(B77,"-","")),0)</f>
        <v>20260828</v>
      </c>
    </row>
    <row r="78" customFormat="false" ht="15" hidden="false" customHeight="false" outlineLevel="0" collapsed="false">
      <c r="A78" s="14" t="s">
        <v>49</v>
      </c>
      <c r="B78" s="32" t="s">
        <v>175</v>
      </c>
      <c r="C78" s="14" t="s">
        <v>276</v>
      </c>
      <c r="D78" s="32" t="s">
        <v>277</v>
      </c>
      <c r="E78" s="21" t="n">
        <v>1352</v>
      </c>
      <c r="F78" s="21" t="n">
        <v>78</v>
      </c>
      <c r="G78" s="22" t="n">
        <v>0.04</v>
      </c>
      <c r="H78" s="22" t="n">
        <v>81.48</v>
      </c>
      <c r="I78" s="23" t="n">
        <v>39</v>
      </c>
      <c r="J78" s="21" t="n">
        <v>4</v>
      </c>
      <c r="K78" s="21" t="n">
        <v>0</v>
      </c>
      <c r="L78" s="21" t="n">
        <v>1</v>
      </c>
      <c r="M78" s="22" t="n">
        <f aca="false">IFERROR(L78/E78*1000,0)</f>
        <v>0.739644970414201</v>
      </c>
      <c r="N78" s="22" t="n">
        <f aca="false">IFERROR(J78/E78*100,0)</f>
        <v>0.295857988165681</v>
      </c>
      <c r="O78" s="32" t="str">
        <f aca="false">IF(H78&lt;30,"00-30",IF(H78&lt;40,"30-40",IF(H78&lt;50,"40-50",IF(H78&lt;60,"50-60",IF(H78&lt;70,"60-70","70+")))))</f>
        <v>70+</v>
      </c>
      <c r="P78" s="37" t="n">
        <f aca="false">IFERROR(VALUE(SUBSTITUTE(B78,"-","")),0)</f>
        <v>20260828</v>
      </c>
    </row>
    <row r="79" customFormat="false" ht="15" hidden="false" customHeight="false" outlineLevel="0" collapsed="false">
      <c r="A79" s="14" t="s">
        <v>49</v>
      </c>
      <c r="B79" s="32" t="s">
        <v>180</v>
      </c>
      <c r="C79" s="14" t="s">
        <v>278</v>
      </c>
      <c r="D79" s="32" t="s">
        <v>279</v>
      </c>
      <c r="E79" s="21" t="n">
        <v>1349</v>
      </c>
      <c r="F79" s="21" t="n">
        <v>80</v>
      </c>
      <c r="G79" s="22" t="n">
        <v>0</v>
      </c>
      <c r="H79" s="22" t="n">
        <v>98.15</v>
      </c>
      <c r="I79" s="23" t="n">
        <v>54</v>
      </c>
      <c r="J79" s="21" t="n">
        <v>5</v>
      </c>
      <c r="K79" s="21" t="n">
        <v>0</v>
      </c>
      <c r="L79" s="21" t="n">
        <v>0</v>
      </c>
      <c r="M79" s="22" t="n">
        <f aca="false">IFERROR(L79/E79*1000,0)</f>
        <v>0</v>
      </c>
      <c r="N79" s="22" t="n">
        <f aca="false">IFERROR(J79/E79*100,0)</f>
        <v>0.370644922164566</v>
      </c>
      <c r="O79" s="32" t="str">
        <f aca="false">IF(H79&lt;30,"00-30",IF(H79&lt;40,"30-40",IF(H79&lt;50,"40-50",IF(H79&lt;60,"50-60",IF(H79&lt;70,"60-70","70+")))))</f>
        <v>70+</v>
      </c>
      <c r="P79" s="37" t="n">
        <f aca="false">IFERROR(VALUE(SUBSTITUTE(B79,"-","")),0)</f>
        <v>20260829</v>
      </c>
    </row>
    <row r="80" customFormat="false" ht="15" hidden="false" customHeight="false" outlineLevel="0" collapsed="false">
      <c r="A80" s="14" t="s">
        <v>49</v>
      </c>
      <c r="B80" s="32" t="s">
        <v>183</v>
      </c>
      <c r="C80" s="7" t="s">
        <v>280</v>
      </c>
      <c r="D80" s="32" t="s">
        <v>281</v>
      </c>
      <c r="E80" s="21" t="n">
        <v>1107</v>
      </c>
      <c r="F80" s="21" t="n">
        <v>84</v>
      </c>
      <c r="G80" s="22" t="n">
        <v>0.02</v>
      </c>
      <c r="H80" s="22" t="n">
        <v>50.57</v>
      </c>
      <c r="I80" s="23" t="n">
        <v>26</v>
      </c>
      <c r="J80" s="21" t="n">
        <v>3</v>
      </c>
      <c r="K80" s="21" t="n">
        <v>0</v>
      </c>
      <c r="L80" s="21" t="n">
        <v>0</v>
      </c>
      <c r="M80" s="22" t="n">
        <f aca="false">IFERROR(L80/E80*1000,0)</f>
        <v>0</v>
      </c>
      <c r="N80" s="22" t="n">
        <f aca="false">IFERROR(J80/E80*100,0)</f>
        <v>0.2710027100271</v>
      </c>
      <c r="O80" s="32" t="str">
        <f aca="false">IF(H80&lt;30,"00-30",IF(H80&lt;40,"30-40",IF(H80&lt;50,"40-50",IF(H80&lt;60,"50-60",IF(H80&lt;70,"60-70","70+")))))</f>
        <v>50-60</v>
      </c>
      <c r="P80" s="37" t="n">
        <f aca="false">IFERROR(VALUE(SUBSTITUTE(B80,"-","")),0)</f>
        <v>20260830</v>
      </c>
    </row>
    <row r="81" customFormat="false" ht="15" hidden="false" customHeight="false" outlineLevel="0" collapsed="false">
      <c r="A81" s="14" t="s">
        <v>49</v>
      </c>
      <c r="B81" s="32" t="s">
        <v>183</v>
      </c>
      <c r="C81" s="7" t="s">
        <v>282</v>
      </c>
      <c r="D81" s="32" t="s">
        <v>283</v>
      </c>
      <c r="E81" s="21" t="n">
        <v>1026</v>
      </c>
      <c r="F81" s="21" t="n">
        <v>74</v>
      </c>
      <c r="G81" s="22" t="n">
        <v>0.044</v>
      </c>
      <c r="H81" s="22" t="n">
        <v>36.32</v>
      </c>
      <c r="I81" s="23" t="n">
        <v>20</v>
      </c>
      <c r="J81" s="21" t="n">
        <v>1</v>
      </c>
      <c r="K81" s="21" t="n">
        <v>1</v>
      </c>
      <c r="L81" s="21" t="n">
        <v>0</v>
      </c>
      <c r="M81" s="22" t="n">
        <f aca="false">IFERROR(L81/E81*1000,0)</f>
        <v>0</v>
      </c>
      <c r="N81" s="22" t="n">
        <f aca="false">IFERROR(J81/E81*100,0)</f>
        <v>0.0974658869395711</v>
      </c>
      <c r="O81" s="32" t="str">
        <f aca="false">IF(H81&lt;30,"00-30",IF(H81&lt;40,"30-40",IF(H81&lt;50,"40-50",IF(H81&lt;60,"50-60",IF(H81&lt;70,"60-70","70+")))))</f>
        <v>30-40</v>
      </c>
      <c r="P81" s="37" t="n">
        <f aca="false">IFERROR(VALUE(SUBSTITUTE(B81,"-","")),0)</f>
        <v>20260830</v>
      </c>
    </row>
    <row r="82" customFormat="false" ht="15" hidden="false" customHeight="false" outlineLevel="0" collapsed="false">
      <c r="A82" s="14" t="s">
        <v>49</v>
      </c>
      <c r="B82" s="32" t="s">
        <v>188</v>
      </c>
      <c r="C82" s="14" t="s">
        <v>284</v>
      </c>
      <c r="D82" s="32" t="s">
        <v>285</v>
      </c>
      <c r="E82" s="21" t="n">
        <v>1010</v>
      </c>
      <c r="F82" s="21" t="n">
        <v>30</v>
      </c>
      <c r="G82" s="22" t="n">
        <v>0</v>
      </c>
      <c r="H82" s="22" t="n">
        <v>46.83</v>
      </c>
      <c r="I82" s="23" t="n">
        <v>17</v>
      </c>
      <c r="J82" s="21" t="n">
        <v>4</v>
      </c>
      <c r="K82" s="21" t="n">
        <v>0</v>
      </c>
      <c r="L82" s="21" t="n">
        <v>2</v>
      </c>
      <c r="M82" s="22" t="n">
        <f aca="false">IFERROR(L82/E82*1000,0)</f>
        <v>1.98019801980198</v>
      </c>
      <c r="N82" s="22" t="n">
        <f aca="false">IFERROR(J82/E82*100,0)</f>
        <v>0.396039603960396</v>
      </c>
      <c r="O82" s="32" t="str">
        <f aca="false">IF(H82&lt;30,"00-30",IF(H82&lt;40,"30-40",IF(H82&lt;50,"40-50",IF(H82&lt;60,"50-60",IF(H82&lt;70,"60-70","70+")))))</f>
        <v>40-50</v>
      </c>
      <c r="P82" s="37" t="n">
        <f aca="false">IFERROR(VALUE(SUBSTITUTE(B82,"-","")),0)</f>
        <v>20260831</v>
      </c>
    </row>
    <row r="83" customFormat="false" ht="15" hidden="false" customHeight="false" outlineLevel="0" collapsed="false">
      <c r="A83" s="14" t="s">
        <v>49</v>
      </c>
      <c r="B83" s="32" t="s">
        <v>191</v>
      </c>
      <c r="C83" s="7" t="s">
        <v>286</v>
      </c>
      <c r="D83" s="32" t="s">
        <v>287</v>
      </c>
      <c r="E83" s="21" t="n">
        <v>1789</v>
      </c>
      <c r="F83" s="21" t="n">
        <v>285</v>
      </c>
      <c r="G83" s="22" t="n">
        <v>0.025</v>
      </c>
      <c r="H83" s="22" t="n">
        <v>73.85</v>
      </c>
      <c r="I83" s="23" t="n">
        <v>30</v>
      </c>
      <c r="J83" s="21" t="n">
        <v>7</v>
      </c>
      <c r="K83" s="21" t="n">
        <v>1</v>
      </c>
      <c r="L83" s="21" t="n">
        <v>1</v>
      </c>
      <c r="M83" s="22" t="n">
        <f aca="false">IFERROR(L83/E83*1000,0)</f>
        <v>0.558971492453885</v>
      </c>
      <c r="N83" s="22" t="n">
        <f aca="false">IFERROR(J83/E83*100,0)</f>
        <v>0.391280044717719</v>
      </c>
      <c r="O83" s="32" t="str">
        <f aca="false">IF(H83&lt;30,"00-30",IF(H83&lt;40,"30-40",IF(H83&lt;50,"40-50",IF(H83&lt;60,"50-60",IF(H83&lt;70,"60-70","70+")))))</f>
        <v>70+</v>
      </c>
      <c r="P83" s="37" t="n">
        <f aca="false">IFERROR(VALUE(SUBSTITUTE(B83,"-","")),0)</f>
        <v>20260903</v>
      </c>
    </row>
    <row r="84" customFormat="false" ht="15" hidden="false" customHeight="false" outlineLevel="0" collapsed="false">
      <c r="A84" s="14" t="s">
        <v>49</v>
      </c>
      <c r="B84" s="32" t="s">
        <v>194</v>
      </c>
      <c r="C84" s="7" t="s">
        <v>288</v>
      </c>
      <c r="D84" s="32" t="s">
        <v>289</v>
      </c>
      <c r="E84" s="21" t="n">
        <v>1266</v>
      </c>
      <c r="F84" s="21" t="n">
        <v>298</v>
      </c>
      <c r="G84" s="22" t="n">
        <v>0.027</v>
      </c>
      <c r="H84" s="22" t="n">
        <v>89</v>
      </c>
      <c r="I84" s="23" t="n">
        <v>37</v>
      </c>
      <c r="J84" s="21" t="n">
        <v>5</v>
      </c>
      <c r="K84" s="21" t="n">
        <v>1</v>
      </c>
      <c r="L84" s="21" t="n">
        <v>0</v>
      </c>
      <c r="M84" s="22" t="n">
        <f aca="false">IFERROR(L84/E84*1000,0)</f>
        <v>0</v>
      </c>
      <c r="N84" s="22" t="n">
        <f aca="false">IFERROR(J84/E84*100,0)</f>
        <v>0.394944707740916</v>
      </c>
      <c r="O84" s="32" t="str">
        <f aca="false">IF(H84&lt;30,"00-30",IF(H84&lt;40,"30-40",IF(H84&lt;50,"40-50",IF(H84&lt;60,"50-60",IF(H84&lt;70,"60-70","70+")))))</f>
        <v>70+</v>
      </c>
      <c r="P84" s="37" t="n">
        <f aca="false">IFERROR(VALUE(SUBSTITUTE(B84,"-","")),0)</f>
        <v>20260904</v>
      </c>
    </row>
    <row r="85" customFormat="false" ht="15" hidden="false" customHeight="false" outlineLevel="0" collapsed="false">
      <c r="A85" s="14" t="s">
        <v>49</v>
      </c>
      <c r="B85" s="32" t="s">
        <v>194</v>
      </c>
      <c r="C85" s="7" t="s">
        <v>290</v>
      </c>
      <c r="D85" s="32" t="s">
        <v>291</v>
      </c>
      <c r="E85" s="21" t="n">
        <v>1007</v>
      </c>
      <c r="F85" s="21" t="n">
        <v>126</v>
      </c>
      <c r="G85" s="22" t="n">
        <v>0.009</v>
      </c>
      <c r="H85" s="22" t="n">
        <v>44.32</v>
      </c>
      <c r="I85" s="23" t="n">
        <v>18</v>
      </c>
      <c r="J85" s="21" t="n">
        <v>1</v>
      </c>
      <c r="K85" s="21" t="n">
        <v>0</v>
      </c>
      <c r="L85" s="21" t="n">
        <v>0</v>
      </c>
      <c r="M85" s="22" t="n">
        <f aca="false">IFERROR(L85/E85*1000,0)</f>
        <v>0</v>
      </c>
      <c r="N85" s="22" t="n">
        <f aca="false">IFERROR(J85/E85*100,0)</f>
        <v>0.099304865938431</v>
      </c>
      <c r="O85" s="32" t="str">
        <f aca="false">IF(H85&lt;30,"00-30",IF(H85&lt;40,"30-40",IF(H85&lt;50,"40-50",IF(H85&lt;60,"50-60",IF(H85&lt;70,"60-70","70+")))))</f>
        <v>40-50</v>
      </c>
      <c r="P85" s="37" t="n">
        <f aca="false">IFERROR(VALUE(SUBSTITUTE(B85,"-","")),0)</f>
        <v>20260904</v>
      </c>
    </row>
    <row r="86" customFormat="false" ht="15" hidden="false" customHeight="false" outlineLevel="0" collapsed="false">
      <c r="A86" s="14" t="s">
        <v>49</v>
      </c>
      <c r="B86" s="32" t="s">
        <v>194</v>
      </c>
      <c r="C86" s="7" t="s">
        <v>292</v>
      </c>
      <c r="D86" s="32" t="s">
        <v>293</v>
      </c>
      <c r="E86" s="21" t="n">
        <v>1055</v>
      </c>
      <c r="F86" s="21" t="n">
        <v>153</v>
      </c>
      <c r="G86" s="22" t="n">
        <v>0.04</v>
      </c>
      <c r="H86" s="22" t="n">
        <v>66.13</v>
      </c>
      <c r="I86" s="23" t="n">
        <v>27</v>
      </c>
      <c r="J86" s="21" t="n">
        <v>0</v>
      </c>
      <c r="K86" s="21" t="n">
        <v>0</v>
      </c>
      <c r="L86" s="21" t="n">
        <v>0</v>
      </c>
      <c r="M86" s="22" t="n">
        <f aca="false">IFERROR(L86/E86*1000,0)</f>
        <v>0</v>
      </c>
      <c r="N86" s="22" t="n">
        <f aca="false">IFERROR(J86/E86*100,0)</f>
        <v>0</v>
      </c>
      <c r="O86" s="32" t="str">
        <f aca="false">IF(H86&lt;30,"00-30",IF(H86&lt;40,"30-40",IF(H86&lt;50,"40-50",IF(H86&lt;60,"50-60",IF(H86&lt;70,"60-70","70+")))))</f>
        <v>60-70</v>
      </c>
      <c r="P86" s="37" t="n">
        <f aca="false">IFERROR(VALUE(SUBSTITUTE(B86,"-","")),0)</f>
        <v>20260904</v>
      </c>
    </row>
    <row r="87" customFormat="false" ht="23.85" hidden="false" customHeight="false" outlineLevel="0" collapsed="false">
      <c r="A87" s="14" t="s">
        <v>49</v>
      </c>
      <c r="B87" s="32" t="s">
        <v>201</v>
      </c>
      <c r="C87" s="7" t="s">
        <v>294</v>
      </c>
      <c r="D87" s="32" t="s">
        <v>295</v>
      </c>
      <c r="E87" s="21" t="n">
        <v>995</v>
      </c>
      <c r="F87" s="21" t="n">
        <v>282</v>
      </c>
      <c r="G87" s="22" t="n">
        <v>0.008</v>
      </c>
      <c r="H87" s="22" t="n">
        <v>59.87</v>
      </c>
      <c r="I87" s="23" t="n">
        <v>26</v>
      </c>
      <c r="J87" s="21" t="n">
        <v>3</v>
      </c>
      <c r="K87" s="21" t="n">
        <v>0</v>
      </c>
      <c r="L87" s="21" t="n">
        <v>1</v>
      </c>
      <c r="M87" s="22" t="n">
        <f aca="false">IFERROR(L87/E87*1000,0)</f>
        <v>1.00502512562814</v>
      </c>
      <c r="N87" s="22" t="n">
        <f aca="false">IFERROR(J87/E87*100,0)</f>
        <v>0.301507537688442</v>
      </c>
      <c r="O87" s="32" t="str">
        <f aca="false">IF(H87&lt;30,"00-30",IF(H87&lt;40,"30-40",IF(H87&lt;50,"40-50",IF(H87&lt;60,"50-60",IF(H87&lt;70,"60-70","70+")))))</f>
        <v>50-60</v>
      </c>
      <c r="P87" s="37" t="n">
        <f aca="false">IFERROR(VALUE(SUBSTITUTE(B87,"-","")),0)</f>
        <v>20260905</v>
      </c>
    </row>
    <row r="88" customFormat="false" ht="15" hidden="false" customHeight="false" outlineLevel="0" collapsed="false">
      <c r="A88" s="14" t="s">
        <v>49</v>
      </c>
      <c r="B88" s="32" t="s">
        <v>201</v>
      </c>
      <c r="C88" s="7" t="s">
        <v>296</v>
      </c>
      <c r="D88" s="32" t="s">
        <v>297</v>
      </c>
      <c r="E88" s="21" t="n">
        <v>988</v>
      </c>
      <c r="F88" s="21" t="n">
        <v>311</v>
      </c>
      <c r="G88" s="22" t="n">
        <v>0.04</v>
      </c>
      <c r="H88" s="22" t="n">
        <v>39.74</v>
      </c>
      <c r="I88" s="23" t="n">
        <v>17</v>
      </c>
      <c r="J88" s="21" t="n">
        <v>1</v>
      </c>
      <c r="K88" s="21" t="n">
        <v>0</v>
      </c>
      <c r="L88" s="21" t="n">
        <v>1</v>
      </c>
      <c r="M88" s="22" t="n">
        <f aca="false">IFERROR(L88/E88*1000,0)</f>
        <v>1.01214574898785</v>
      </c>
      <c r="N88" s="22" t="n">
        <f aca="false">IFERROR(J88/E88*100,0)</f>
        <v>0.101214574898785</v>
      </c>
      <c r="O88" s="32" t="str">
        <f aca="false">IF(H88&lt;30,"00-30",IF(H88&lt;40,"30-40",IF(H88&lt;50,"40-50",IF(H88&lt;60,"50-60",IF(H88&lt;70,"60-70","70+")))))</f>
        <v>30-40</v>
      </c>
      <c r="P88" s="37" t="n">
        <f aca="false">IFERROR(VALUE(SUBSTITUTE(B88,"-","")),0)</f>
        <v>20260905</v>
      </c>
    </row>
    <row r="89" customFormat="false" ht="23.85" hidden="false" customHeight="false" outlineLevel="0" collapsed="false">
      <c r="A89" s="14" t="s">
        <v>49</v>
      </c>
      <c r="B89" s="32" t="s">
        <v>201</v>
      </c>
      <c r="C89" s="7" t="s">
        <v>298</v>
      </c>
      <c r="D89" s="32" t="s">
        <v>299</v>
      </c>
      <c r="E89" s="21" t="n">
        <v>282</v>
      </c>
      <c r="F89" s="21" t="n">
        <v>384</v>
      </c>
      <c r="G89" s="22" t="n">
        <v>0.066</v>
      </c>
      <c r="H89" s="22" t="n">
        <v>38.09</v>
      </c>
      <c r="I89" s="23" t="n">
        <v>16</v>
      </c>
      <c r="J89" s="21" t="n">
        <v>0</v>
      </c>
      <c r="K89" s="21" t="n">
        <v>0</v>
      </c>
      <c r="L89" s="21" t="n">
        <v>0</v>
      </c>
      <c r="M89" s="22" t="n">
        <f aca="false">IFERROR(L89/E89*1000,0)</f>
        <v>0</v>
      </c>
      <c r="N89" s="22" t="n">
        <f aca="false">IFERROR(J89/E89*100,0)</f>
        <v>0</v>
      </c>
      <c r="O89" s="32" t="str">
        <f aca="false">IF(H89&lt;30,"00-30",IF(H89&lt;40,"30-40",IF(H89&lt;50,"40-50",IF(H89&lt;60,"50-60",IF(H89&lt;70,"60-70","70+")))))</f>
        <v>30-40</v>
      </c>
      <c r="P89" s="37" t="n">
        <f aca="false">IFERROR(VALUE(SUBSTITUTE(B89,"-","")),0)</f>
        <v>20260905</v>
      </c>
    </row>
    <row r="90" customFormat="false" ht="15" hidden="false" customHeight="false" outlineLevel="0" collapsed="false">
      <c r="A90" s="14" t="s">
        <v>49</v>
      </c>
      <c r="B90" s="32" t="s">
        <v>208</v>
      </c>
      <c r="C90" s="7" t="s">
        <v>300</v>
      </c>
      <c r="D90" s="32" t="s">
        <v>301</v>
      </c>
      <c r="E90" s="21" t="n">
        <v>1161</v>
      </c>
      <c r="F90" s="21" t="n">
        <v>596</v>
      </c>
      <c r="G90" s="22" t="n">
        <v>0.015</v>
      </c>
      <c r="H90" s="22" t="n">
        <v>54.48</v>
      </c>
      <c r="I90" s="23" t="n">
        <v>22</v>
      </c>
      <c r="J90" s="21" t="n">
        <v>5</v>
      </c>
      <c r="K90" s="21" t="n">
        <v>1</v>
      </c>
      <c r="L90" s="21" t="n">
        <v>1</v>
      </c>
      <c r="M90" s="22" t="n">
        <f aca="false">IFERROR(L90/E90*1000,0)</f>
        <v>0.861326442721792</v>
      </c>
      <c r="N90" s="22" t="n">
        <f aca="false">IFERROR(J90/E90*100,0)</f>
        <v>0.430663221360896</v>
      </c>
      <c r="O90" s="32" t="str">
        <f aca="false">IF(H90&lt;30,"00-30",IF(H90&lt;40,"30-40",IF(H90&lt;50,"40-50",IF(H90&lt;60,"50-60",IF(H90&lt;70,"60-70","70+")))))</f>
        <v>50-60</v>
      </c>
      <c r="P90" s="37" t="n">
        <f aca="false">IFERROR(VALUE(SUBSTITUTE(B90,"-","")),0)</f>
        <v>20260906</v>
      </c>
    </row>
    <row r="91" customFormat="false" ht="15" hidden="false" customHeight="false" outlineLevel="0" collapsed="false">
      <c r="A91" s="14" t="s">
        <v>49</v>
      </c>
      <c r="B91" s="32" t="s">
        <v>208</v>
      </c>
      <c r="C91" s="14" t="s">
        <v>302</v>
      </c>
      <c r="D91" s="32" t="s">
        <v>303</v>
      </c>
      <c r="E91" s="21" t="n">
        <v>975</v>
      </c>
      <c r="F91" s="21" t="n">
        <v>103</v>
      </c>
      <c r="G91" s="22" t="n">
        <v>0.029</v>
      </c>
      <c r="H91" s="22" t="n">
        <v>73.48</v>
      </c>
      <c r="I91" s="23" t="n">
        <v>29</v>
      </c>
      <c r="J91" s="21" t="n">
        <v>1</v>
      </c>
      <c r="K91" s="21" t="n">
        <v>0</v>
      </c>
      <c r="L91" s="21" t="n">
        <v>0</v>
      </c>
      <c r="M91" s="22" t="n">
        <f aca="false">IFERROR(L91/E91*1000,0)</f>
        <v>0</v>
      </c>
      <c r="N91" s="22" t="n">
        <f aca="false">IFERROR(J91/E91*100,0)</f>
        <v>0.102564102564103</v>
      </c>
      <c r="O91" s="32" t="str">
        <f aca="false">IF(H91&lt;30,"00-30",IF(H91&lt;40,"30-40",IF(H91&lt;50,"40-50",IF(H91&lt;60,"50-60",IF(H91&lt;70,"60-70","70+")))))</f>
        <v>70+</v>
      </c>
      <c r="P91" s="37" t="n">
        <f aca="false">IFERROR(VALUE(SUBSTITUTE(B91,"-","")),0)</f>
        <v>20260906</v>
      </c>
    </row>
    <row r="92" customFormat="false" ht="15" hidden="false" customHeight="false" outlineLevel="0" collapsed="false">
      <c r="A92" s="14" t="s">
        <v>49</v>
      </c>
      <c r="B92" s="32" t="s">
        <v>208</v>
      </c>
      <c r="C92" s="7" t="s">
        <v>304</v>
      </c>
      <c r="D92" s="32" t="s">
        <v>305</v>
      </c>
      <c r="E92" s="21" t="n">
        <v>1078</v>
      </c>
      <c r="F92" s="21" t="n">
        <v>323</v>
      </c>
      <c r="G92" s="22" t="n">
        <v>0.042</v>
      </c>
      <c r="H92" s="22" t="n">
        <v>63.79</v>
      </c>
      <c r="I92" s="23" t="n">
        <v>26</v>
      </c>
      <c r="J92" s="21" t="n">
        <v>2</v>
      </c>
      <c r="K92" s="21" t="n">
        <v>0</v>
      </c>
      <c r="L92" s="21" t="n">
        <v>0</v>
      </c>
      <c r="M92" s="22" t="n">
        <f aca="false">IFERROR(L92/E92*1000,0)</f>
        <v>0</v>
      </c>
      <c r="N92" s="22" t="n">
        <f aca="false">IFERROR(J92/E92*100,0)</f>
        <v>0.185528756957328</v>
      </c>
      <c r="O92" s="32" t="str">
        <f aca="false">IF(H92&lt;30,"00-30",IF(H92&lt;40,"30-40",IF(H92&lt;50,"40-50",IF(H92&lt;60,"50-60",IF(H92&lt;70,"60-70","70+")))))</f>
        <v>60-70</v>
      </c>
      <c r="P92" s="37" t="n">
        <f aca="false">IFERROR(VALUE(SUBSTITUTE(B92,"-","")),0)</f>
        <v>20260906</v>
      </c>
    </row>
    <row r="93" customFormat="false" ht="15" hidden="false" customHeight="false" outlineLevel="0" collapsed="false">
      <c r="A93" s="14" t="s">
        <v>49</v>
      </c>
      <c r="B93" s="32" t="s">
        <v>215</v>
      </c>
      <c r="C93" s="7" t="s">
        <v>306</v>
      </c>
      <c r="D93" s="32" t="s">
        <v>307</v>
      </c>
      <c r="E93" s="21" t="n">
        <v>1052</v>
      </c>
      <c r="F93" s="21" t="n">
        <v>75</v>
      </c>
      <c r="G93" s="22" t="n">
        <v>0.053</v>
      </c>
      <c r="H93" s="22" t="n">
        <v>56.54</v>
      </c>
      <c r="I93" s="23" t="n">
        <v>24</v>
      </c>
      <c r="J93" s="21" t="n">
        <v>4</v>
      </c>
      <c r="K93" s="21" t="n">
        <v>0</v>
      </c>
      <c r="L93" s="21" t="n">
        <v>0</v>
      </c>
      <c r="M93" s="22" t="n">
        <f aca="false">IFERROR(L93/E93*1000,0)</f>
        <v>0</v>
      </c>
      <c r="N93" s="22" t="n">
        <f aca="false">IFERROR(J93/E93*100,0)</f>
        <v>0.380228136882129</v>
      </c>
      <c r="O93" s="32" t="str">
        <f aca="false">IF(H93&lt;30,"00-30",IF(H93&lt;40,"30-40",IF(H93&lt;50,"40-50",IF(H93&lt;60,"50-60",IF(H93&lt;70,"60-70","70+")))))</f>
        <v>50-60</v>
      </c>
      <c r="P93" s="37" t="n">
        <f aca="false">IFERROR(VALUE(SUBSTITUTE(B93,"-","")),0)</f>
        <v>20260907</v>
      </c>
    </row>
    <row r="94" customFormat="false" ht="15" hidden="false" customHeight="false" outlineLevel="0" collapsed="false">
      <c r="A94" s="14" t="s">
        <v>49</v>
      </c>
      <c r="B94" s="32" t="s">
        <v>215</v>
      </c>
      <c r="C94" s="7" t="s">
        <v>308</v>
      </c>
      <c r="D94" s="32" t="s">
        <v>309</v>
      </c>
      <c r="E94" s="21" t="n">
        <v>1010</v>
      </c>
      <c r="F94" s="21" t="n">
        <v>48</v>
      </c>
      <c r="G94" s="22" t="n">
        <v>0.03</v>
      </c>
      <c r="H94" s="22" t="n">
        <v>52.69</v>
      </c>
      <c r="I94" s="23" t="n">
        <v>22</v>
      </c>
      <c r="J94" s="21" t="n">
        <v>3</v>
      </c>
      <c r="K94" s="21" t="n">
        <v>0</v>
      </c>
      <c r="L94" s="21" t="n">
        <v>0</v>
      </c>
      <c r="M94" s="22" t="n">
        <f aca="false">IFERROR(L94/E94*1000,0)</f>
        <v>0</v>
      </c>
      <c r="N94" s="22" t="n">
        <f aca="false">IFERROR(J94/E94*100,0)</f>
        <v>0.297029702970297</v>
      </c>
      <c r="O94" s="32" t="str">
        <f aca="false">IF(H94&lt;30,"00-30",IF(H94&lt;40,"30-40",IF(H94&lt;50,"40-50",IF(H94&lt;60,"50-60",IF(H94&lt;70,"60-70","70+")))))</f>
        <v>50-60</v>
      </c>
      <c r="P94" s="37" t="n">
        <f aca="false">IFERROR(VALUE(SUBSTITUTE(B94,"-","")),0)</f>
        <v>20260907</v>
      </c>
    </row>
    <row r="95" customFormat="false" ht="15" hidden="false" customHeight="false" outlineLevel="0" collapsed="false">
      <c r="A95" s="14" t="s">
        <v>49</v>
      </c>
      <c r="B95" s="32" t="s">
        <v>215</v>
      </c>
      <c r="C95" s="7" t="s">
        <v>310</v>
      </c>
      <c r="D95" s="32" t="s">
        <v>311</v>
      </c>
      <c r="E95" s="21" t="n">
        <v>1050</v>
      </c>
      <c r="F95" s="21" t="n">
        <v>444</v>
      </c>
      <c r="G95" s="22" t="n">
        <v>0.03</v>
      </c>
      <c r="H95" s="22" t="n">
        <v>45.99</v>
      </c>
      <c r="I95" s="23" t="n">
        <v>19</v>
      </c>
      <c r="J95" s="21" t="n">
        <v>1</v>
      </c>
      <c r="K95" s="21" t="n">
        <v>1</v>
      </c>
      <c r="L95" s="21" t="n">
        <v>0</v>
      </c>
      <c r="M95" s="22" t="n">
        <f aca="false">IFERROR(L95/E95*1000,0)</f>
        <v>0</v>
      </c>
      <c r="N95" s="22" t="n">
        <f aca="false">IFERROR(J95/E95*100,0)</f>
        <v>0.0952380952380952</v>
      </c>
      <c r="O95" s="32" t="str">
        <f aca="false">IF(H95&lt;30,"00-30",IF(H95&lt;40,"30-40",IF(H95&lt;50,"40-50",IF(H95&lt;60,"50-60",IF(H95&lt;70,"60-70","70+")))))</f>
        <v>40-50</v>
      </c>
      <c r="P95" s="37" t="n">
        <f aca="false">IFERROR(VALUE(SUBSTITUTE(B95,"-","")),0)</f>
        <v>20260907</v>
      </c>
    </row>
    <row r="96" customFormat="false" ht="15" hidden="false" customHeight="false" outlineLevel="0" collapsed="false">
      <c r="A96" s="14" t="s">
        <v>49</v>
      </c>
      <c r="B96" s="32" t="s">
        <v>222</v>
      </c>
      <c r="C96" s="7" t="s">
        <v>312</v>
      </c>
      <c r="D96" s="32" t="s">
        <v>313</v>
      </c>
      <c r="E96" s="21" t="n">
        <v>1092</v>
      </c>
      <c r="F96" s="21" t="n">
        <v>184</v>
      </c>
      <c r="G96" s="22" t="n">
        <v>0.035</v>
      </c>
      <c r="H96" s="22" t="n">
        <v>45.12</v>
      </c>
      <c r="I96" s="23" t="n">
        <v>18</v>
      </c>
      <c r="J96" s="21" t="n">
        <v>4</v>
      </c>
      <c r="K96" s="21" t="n">
        <v>0</v>
      </c>
      <c r="L96" s="21" t="n">
        <v>0</v>
      </c>
      <c r="M96" s="22" t="n">
        <f aca="false">IFERROR(L96/E96*1000,0)</f>
        <v>0</v>
      </c>
      <c r="N96" s="22" t="n">
        <f aca="false">IFERROR(J96/E96*100,0)</f>
        <v>0.366300366300366</v>
      </c>
      <c r="O96" s="32" t="str">
        <f aca="false">IF(H96&lt;30,"00-30",IF(H96&lt;40,"30-40",IF(H96&lt;50,"40-50",IF(H96&lt;60,"50-60",IF(H96&lt;70,"60-70","70+")))))</f>
        <v>40-50</v>
      </c>
      <c r="P96" s="37" t="n">
        <f aca="false">IFERROR(VALUE(SUBSTITUTE(B96,"-","")),0)</f>
        <v>20260908</v>
      </c>
    </row>
    <row r="97" customFormat="false" ht="15" hidden="false" customHeight="false" outlineLevel="0" collapsed="false">
      <c r="A97" s="14" t="s">
        <v>49</v>
      </c>
      <c r="B97" s="32" t="s">
        <v>222</v>
      </c>
      <c r="C97" s="14" t="s">
        <v>314</v>
      </c>
      <c r="D97" s="32" t="s">
        <v>315</v>
      </c>
      <c r="E97" s="21" t="n">
        <v>1003</v>
      </c>
      <c r="F97" s="21" t="n">
        <v>281</v>
      </c>
      <c r="G97" s="22" t="n">
        <v>0.019</v>
      </c>
      <c r="H97" s="22" t="n">
        <v>45.02</v>
      </c>
      <c r="I97" s="23" t="n">
        <v>18</v>
      </c>
      <c r="J97" s="21" t="n">
        <v>3</v>
      </c>
      <c r="K97" s="21" t="n">
        <v>0</v>
      </c>
      <c r="L97" s="21" t="n">
        <v>1</v>
      </c>
      <c r="M97" s="22" t="n">
        <f aca="false">IFERROR(L97/E97*1000,0)</f>
        <v>0.997008973080758</v>
      </c>
      <c r="N97" s="22" t="n">
        <f aca="false">IFERROR(J97/E97*100,0)</f>
        <v>0.299102691924227</v>
      </c>
      <c r="O97" s="32" t="str">
        <f aca="false">IF(H97&lt;30,"00-30",IF(H97&lt;40,"30-40",IF(H97&lt;50,"40-50",IF(H97&lt;60,"50-60",IF(H97&lt;70,"60-70","70+")))))</f>
        <v>40-50</v>
      </c>
      <c r="P97" s="37" t="n">
        <f aca="false">IFERROR(VALUE(SUBSTITUTE(B97,"-","")),0)</f>
        <v>20260908</v>
      </c>
    </row>
    <row r="98" customFormat="false" ht="23.85" hidden="false" customHeight="false" outlineLevel="0" collapsed="false">
      <c r="A98" s="14" t="s">
        <v>49</v>
      </c>
      <c r="B98" s="32" t="s">
        <v>227</v>
      </c>
      <c r="C98" s="14" t="s">
        <v>316</v>
      </c>
      <c r="D98" s="32" t="s">
        <v>317</v>
      </c>
      <c r="E98" s="21" t="n">
        <v>1186</v>
      </c>
      <c r="F98" s="21" t="n">
        <v>145</v>
      </c>
      <c r="G98" s="22" t="n">
        <v>0</v>
      </c>
      <c r="H98" s="22" t="n">
        <v>89.96</v>
      </c>
      <c r="I98" s="23" t="n">
        <v>38</v>
      </c>
      <c r="J98" s="21" t="n">
        <v>1</v>
      </c>
      <c r="K98" s="21" t="n">
        <v>0</v>
      </c>
      <c r="L98" s="21" t="n">
        <v>2</v>
      </c>
      <c r="M98" s="22" t="n">
        <f aca="false">IFERROR(L98/E98*1000,0)</f>
        <v>1.68634064080944</v>
      </c>
      <c r="N98" s="22" t="n">
        <f aca="false">IFERROR(J98/E98*100,0)</f>
        <v>0.0843170320404722</v>
      </c>
      <c r="O98" s="32" t="str">
        <f aca="false">IF(H98&lt;30,"00-30",IF(H98&lt;40,"30-40",IF(H98&lt;50,"40-50",IF(H98&lt;60,"50-60",IF(H98&lt;70,"60-70","70+")))))</f>
        <v>70+</v>
      </c>
      <c r="P98" s="37" t="n">
        <f aca="false">IFERROR(VALUE(SUBSTITUTE(B98,"-","")),0)</f>
        <v>20260909</v>
      </c>
    </row>
    <row r="99" customFormat="false" ht="15" hidden="false" customHeight="false" outlineLevel="0" collapsed="false">
      <c r="A99" s="14" t="s">
        <v>44</v>
      </c>
      <c r="B99" s="32" t="s">
        <v>318</v>
      </c>
      <c r="C99" s="7" t="s">
        <v>319</v>
      </c>
      <c r="D99" s="32" t="s">
        <v>320</v>
      </c>
      <c r="E99" s="21" t="n">
        <v>1</v>
      </c>
      <c r="F99" s="21" t="n">
        <v>0</v>
      </c>
      <c r="G99" s="22" t="n">
        <v>0</v>
      </c>
      <c r="H99" s="22" t="n">
        <v>66.72</v>
      </c>
      <c r="I99" s="23" t="n">
        <v>417</v>
      </c>
      <c r="J99" s="21" t="n">
        <v>1</v>
      </c>
      <c r="K99" s="21" t="n">
        <v>0</v>
      </c>
      <c r="L99" s="21" t="n">
        <v>0</v>
      </c>
      <c r="M99" s="22" t="n">
        <f aca="false">IFERROR(L99/E99*1000,0)</f>
        <v>0</v>
      </c>
      <c r="N99" s="22" t="n">
        <f aca="false">IFERROR(J99/E99*100,0)</f>
        <v>100</v>
      </c>
      <c r="O99" s="32" t="str">
        <f aca="false">IF(H99&lt;30,"00-30",IF(H99&lt;40,"30-40",IF(H99&lt;50,"40-50",IF(H99&lt;60,"50-60",IF(H99&lt;70,"60-70","70+")))))</f>
        <v>60-70</v>
      </c>
      <c r="P99" s="37" t="n">
        <f aca="false">IFERROR(VALUE(SUBSTITUTE(B99,"-","")),0)</f>
        <v>20260527</v>
      </c>
    </row>
    <row r="100" customFormat="false" ht="15" hidden="false" customHeight="false" outlineLevel="0" collapsed="false">
      <c r="A100" s="14" t="s">
        <v>44</v>
      </c>
      <c r="B100" s="32" t="s">
        <v>321</v>
      </c>
      <c r="C100" s="7" t="s">
        <v>322</v>
      </c>
      <c r="D100" s="32" t="s">
        <v>323</v>
      </c>
      <c r="E100" s="21" t="n">
        <v>2</v>
      </c>
      <c r="F100" s="21" t="n">
        <v>0</v>
      </c>
      <c r="G100" s="22" t="n">
        <v>0</v>
      </c>
      <c r="H100" s="22" t="n">
        <v>2.12</v>
      </c>
      <c r="I100" s="23" t="n">
        <v>12</v>
      </c>
      <c r="J100" s="21" t="n">
        <v>0</v>
      </c>
      <c r="K100" s="21" t="n">
        <v>0</v>
      </c>
      <c r="L100" s="21" t="n">
        <v>0</v>
      </c>
      <c r="M100" s="22" t="n">
        <f aca="false">IFERROR(L100/E100*1000,0)</f>
        <v>0</v>
      </c>
      <c r="N100" s="22" t="n">
        <f aca="false">IFERROR(J100/E100*100,0)</f>
        <v>0</v>
      </c>
      <c r="O100" s="32" t="str">
        <f aca="false">IF(H100&lt;30,"00-30",IF(H100&lt;40,"30-40",IF(H100&lt;50,"40-50",IF(H100&lt;60,"50-60",IF(H100&lt;70,"60-70","70+")))))</f>
        <v>00-30</v>
      </c>
      <c r="P100" s="37" t="n">
        <f aca="false">IFERROR(VALUE(SUBSTITUTE(B100,"-","")),0)</f>
        <v>20260601</v>
      </c>
    </row>
    <row r="101" customFormat="false" ht="15" hidden="false" customHeight="false" outlineLevel="0" collapsed="false">
      <c r="A101" s="14" t="s">
        <v>44</v>
      </c>
      <c r="B101" s="32" t="s">
        <v>324</v>
      </c>
      <c r="C101" s="7" t="s">
        <v>325</v>
      </c>
      <c r="D101" s="32" t="s">
        <v>326</v>
      </c>
      <c r="E101" s="21" t="n">
        <v>1</v>
      </c>
      <c r="F101" s="21" t="n">
        <v>0</v>
      </c>
      <c r="G101" s="22" t="n">
        <v>0</v>
      </c>
      <c r="H101" s="22" t="n">
        <v>71.87</v>
      </c>
      <c r="I101" s="23" t="n">
        <v>526</v>
      </c>
      <c r="J101" s="21" t="n">
        <v>1</v>
      </c>
      <c r="K101" s="21" t="n">
        <v>0</v>
      </c>
      <c r="L101" s="21" t="n">
        <v>0</v>
      </c>
      <c r="M101" s="22" t="n">
        <f aca="false">IFERROR(L101/E101*1000,0)</f>
        <v>0</v>
      </c>
      <c r="N101" s="22" t="n">
        <f aca="false">IFERROR(J101/E101*100,0)</f>
        <v>100</v>
      </c>
      <c r="O101" s="32" t="str">
        <f aca="false">IF(H101&lt;30,"00-30",IF(H101&lt;40,"30-40",IF(H101&lt;50,"40-50",IF(H101&lt;60,"50-60",IF(H101&lt;70,"60-70","70+")))))</f>
        <v>70+</v>
      </c>
      <c r="P101" s="37" t="n">
        <f aca="false">IFERROR(VALUE(SUBSTITUTE(B101,"-","")),0)</f>
        <v>20260604</v>
      </c>
    </row>
    <row r="102" customFormat="false" ht="15" hidden="false" customHeight="false" outlineLevel="0" collapsed="false">
      <c r="A102" s="14" t="s">
        <v>44</v>
      </c>
      <c r="B102" s="32" t="s">
        <v>327</v>
      </c>
      <c r="C102" s="7" t="s">
        <v>328</v>
      </c>
      <c r="D102" s="32" t="s">
        <v>329</v>
      </c>
      <c r="E102" s="21" t="n">
        <v>785</v>
      </c>
      <c r="F102" s="21" t="n">
        <v>0</v>
      </c>
      <c r="G102" s="22" t="n">
        <v>0</v>
      </c>
      <c r="H102" s="22" t="n">
        <v>41.74</v>
      </c>
      <c r="I102" s="23" t="n">
        <v>14</v>
      </c>
      <c r="J102" s="21" t="n">
        <v>2</v>
      </c>
      <c r="K102" s="21" t="n">
        <v>1</v>
      </c>
      <c r="L102" s="21" t="n">
        <v>0</v>
      </c>
      <c r="M102" s="22" t="n">
        <f aca="false">IFERROR(L102/E102*1000,0)</f>
        <v>0</v>
      </c>
      <c r="N102" s="22" t="n">
        <f aca="false">IFERROR(J102/E102*100,0)</f>
        <v>0.254777070063694</v>
      </c>
      <c r="O102" s="32" t="str">
        <f aca="false">IF(H102&lt;30,"00-30",IF(H102&lt;40,"30-40",IF(H102&lt;50,"40-50",IF(H102&lt;60,"50-60",IF(H102&lt;70,"60-70","70+")))))</f>
        <v>40-50</v>
      </c>
      <c r="P102" s="37" t="n">
        <f aca="false">IFERROR(VALUE(SUBSTITUTE(B102,"-","")),0)</f>
        <v>20260625</v>
      </c>
    </row>
    <row r="103" customFormat="false" ht="15" hidden="false" customHeight="false" outlineLevel="0" collapsed="false">
      <c r="A103" s="14" t="s">
        <v>44</v>
      </c>
      <c r="B103" s="32" t="s">
        <v>327</v>
      </c>
      <c r="C103" s="7" t="s">
        <v>330</v>
      </c>
      <c r="D103" s="32" t="s">
        <v>331</v>
      </c>
      <c r="E103" s="21" t="n">
        <v>878</v>
      </c>
      <c r="F103" s="21" t="n">
        <v>0</v>
      </c>
      <c r="G103" s="22" t="n">
        <v>0</v>
      </c>
      <c r="H103" s="22" t="n">
        <v>71.39</v>
      </c>
      <c r="I103" s="23" t="n">
        <v>23</v>
      </c>
      <c r="J103" s="21" t="n">
        <v>1</v>
      </c>
      <c r="K103" s="21" t="n">
        <v>0</v>
      </c>
      <c r="L103" s="21" t="n">
        <v>0</v>
      </c>
      <c r="M103" s="22" t="n">
        <f aca="false">IFERROR(L103/E103*1000,0)</f>
        <v>0</v>
      </c>
      <c r="N103" s="22" t="n">
        <f aca="false">IFERROR(J103/E103*100,0)</f>
        <v>0.113895216400911</v>
      </c>
      <c r="O103" s="32" t="str">
        <f aca="false">IF(H103&lt;30,"00-30",IF(H103&lt;40,"30-40",IF(H103&lt;50,"40-50",IF(H103&lt;60,"50-60",IF(H103&lt;70,"60-70","70+")))))</f>
        <v>70+</v>
      </c>
      <c r="P103" s="37" t="n">
        <f aca="false">IFERROR(VALUE(SUBSTITUTE(B103,"-","")),0)</f>
        <v>20260625</v>
      </c>
    </row>
    <row r="104" customFormat="false" ht="15" hidden="false" customHeight="false" outlineLevel="0" collapsed="false">
      <c r="A104" s="14" t="s">
        <v>44</v>
      </c>
      <c r="B104" s="32" t="s">
        <v>332</v>
      </c>
      <c r="C104" s="7" t="s">
        <v>333</v>
      </c>
      <c r="D104" s="32" t="s">
        <v>334</v>
      </c>
      <c r="E104" s="21" t="n">
        <v>959</v>
      </c>
      <c r="F104" s="21" t="n">
        <v>0</v>
      </c>
      <c r="G104" s="22" t="n">
        <v>0</v>
      </c>
      <c r="H104" s="22" t="n">
        <v>49.04</v>
      </c>
      <c r="I104" s="23" t="n">
        <v>16</v>
      </c>
      <c r="J104" s="21" t="n">
        <v>5</v>
      </c>
      <c r="K104" s="21" t="n">
        <v>0</v>
      </c>
      <c r="L104" s="21" t="n">
        <v>1</v>
      </c>
      <c r="M104" s="22" t="n">
        <f aca="false">IFERROR(L104/E104*1000,0)</f>
        <v>1.04275286757039</v>
      </c>
      <c r="N104" s="22" t="n">
        <f aca="false">IFERROR(J104/E104*100,0)</f>
        <v>0.521376433785193</v>
      </c>
      <c r="O104" s="32" t="str">
        <f aca="false">IF(H104&lt;30,"00-30",IF(H104&lt;40,"30-40",IF(H104&lt;50,"40-50",IF(H104&lt;60,"50-60",IF(H104&lt;70,"60-70","70+")))))</f>
        <v>40-50</v>
      </c>
      <c r="P104" s="37" t="n">
        <f aca="false">IFERROR(VALUE(SUBSTITUTE(B104,"-","")),0)</f>
        <v>20260626</v>
      </c>
    </row>
    <row r="105" customFormat="false" ht="15" hidden="false" customHeight="false" outlineLevel="0" collapsed="false">
      <c r="A105" s="14" t="s">
        <v>44</v>
      </c>
      <c r="B105" s="32" t="s">
        <v>332</v>
      </c>
      <c r="C105" s="7" t="s">
        <v>335</v>
      </c>
      <c r="D105" s="32" t="s">
        <v>336</v>
      </c>
      <c r="E105" s="21" t="n">
        <v>193</v>
      </c>
      <c r="F105" s="21" t="n">
        <v>0</v>
      </c>
      <c r="G105" s="22" t="n">
        <v>0</v>
      </c>
      <c r="H105" s="22" t="n">
        <v>40.4</v>
      </c>
      <c r="I105" s="23" t="n">
        <v>15</v>
      </c>
      <c r="J105" s="21" t="n">
        <v>1</v>
      </c>
      <c r="K105" s="21" t="n">
        <v>0</v>
      </c>
      <c r="L105" s="21" t="n">
        <v>0</v>
      </c>
      <c r="M105" s="22" t="n">
        <f aca="false">IFERROR(L105/E105*1000,0)</f>
        <v>0</v>
      </c>
      <c r="N105" s="22" t="n">
        <f aca="false">IFERROR(J105/E105*100,0)</f>
        <v>0.518134715025907</v>
      </c>
      <c r="O105" s="32" t="str">
        <f aca="false">IF(H105&lt;30,"00-30",IF(H105&lt;40,"30-40",IF(H105&lt;50,"40-50",IF(H105&lt;60,"50-60",IF(H105&lt;70,"60-70","70+")))))</f>
        <v>40-50</v>
      </c>
      <c r="P105" s="37" t="n">
        <f aca="false">IFERROR(VALUE(SUBSTITUTE(B105,"-","")),0)</f>
        <v>20260626</v>
      </c>
    </row>
    <row r="106" customFormat="false" ht="15" hidden="false" customHeight="false" outlineLevel="0" collapsed="false">
      <c r="A106" s="14" t="s">
        <v>44</v>
      </c>
      <c r="B106" s="32" t="s">
        <v>332</v>
      </c>
      <c r="C106" s="7" t="s">
        <v>337</v>
      </c>
      <c r="D106" s="32" t="s">
        <v>338</v>
      </c>
      <c r="E106" s="21" t="n">
        <v>193</v>
      </c>
      <c r="F106" s="21" t="n">
        <v>0</v>
      </c>
      <c r="G106" s="22" t="n">
        <v>0</v>
      </c>
      <c r="H106" s="22" t="n">
        <v>37</v>
      </c>
      <c r="I106" s="23" t="n">
        <v>13</v>
      </c>
      <c r="J106" s="21" t="n">
        <v>1</v>
      </c>
      <c r="K106" s="21" t="n">
        <v>0</v>
      </c>
      <c r="L106" s="21" t="n">
        <v>0</v>
      </c>
      <c r="M106" s="22" t="n">
        <f aca="false">IFERROR(L106/E106*1000,0)</f>
        <v>0</v>
      </c>
      <c r="N106" s="22" t="n">
        <f aca="false">IFERROR(J106/E106*100,0)</f>
        <v>0.518134715025907</v>
      </c>
      <c r="O106" s="32" t="str">
        <f aca="false">IF(H106&lt;30,"00-30",IF(H106&lt;40,"30-40",IF(H106&lt;50,"40-50",IF(H106&lt;60,"50-60",IF(H106&lt;70,"60-70","70+")))))</f>
        <v>30-40</v>
      </c>
      <c r="P106" s="37" t="n">
        <f aca="false">IFERROR(VALUE(SUBSTITUTE(B106,"-","")),0)</f>
        <v>20260626</v>
      </c>
    </row>
    <row r="107" customFormat="false" ht="23.85" hidden="false" customHeight="false" outlineLevel="0" collapsed="false">
      <c r="A107" s="14" t="s">
        <v>44</v>
      </c>
      <c r="B107" s="32" t="s">
        <v>339</v>
      </c>
      <c r="C107" s="7" t="s">
        <v>340</v>
      </c>
      <c r="D107" s="32" t="s">
        <v>341</v>
      </c>
      <c r="E107" s="21" t="n">
        <v>1284</v>
      </c>
      <c r="F107" s="21" t="n">
        <v>0</v>
      </c>
      <c r="G107" s="22" t="n">
        <v>0</v>
      </c>
      <c r="H107" s="22" t="n">
        <v>44.44</v>
      </c>
      <c r="I107" s="23" t="n">
        <v>15</v>
      </c>
      <c r="J107" s="21" t="n">
        <v>7</v>
      </c>
      <c r="K107" s="21" t="n">
        <v>0</v>
      </c>
      <c r="L107" s="21" t="n">
        <v>0</v>
      </c>
      <c r="M107" s="22" t="n">
        <f aca="false">IFERROR(L107/E107*1000,0)</f>
        <v>0</v>
      </c>
      <c r="N107" s="22" t="n">
        <f aca="false">IFERROR(J107/E107*100,0)</f>
        <v>0.545171339563863</v>
      </c>
      <c r="O107" s="32" t="str">
        <f aca="false">IF(H107&lt;30,"00-30",IF(H107&lt;40,"30-40",IF(H107&lt;50,"40-50",IF(H107&lt;60,"50-60",IF(H107&lt;70,"60-70","70+")))))</f>
        <v>40-50</v>
      </c>
      <c r="P107" s="37" t="n">
        <f aca="false">IFERROR(VALUE(SUBSTITUTE(B107,"-","")),0)</f>
        <v>20260627</v>
      </c>
    </row>
    <row r="108" customFormat="false" ht="15" hidden="false" customHeight="false" outlineLevel="0" collapsed="false">
      <c r="A108" s="14" t="s">
        <v>44</v>
      </c>
      <c r="B108" s="32" t="s">
        <v>339</v>
      </c>
      <c r="C108" s="7" t="s">
        <v>342</v>
      </c>
      <c r="D108" s="32" t="s">
        <v>343</v>
      </c>
      <c r="E108" s="21" t="n">
        <v>1271</v>
      </c>
      <c r="F108" s="21" t="n">
        <v>0</v>
      </c>
      <c r="G108" s="22" t="n">
        <v>0</v>
      </c>
      <c r="H108" s="22" t="n">
        <v>46.83</v>
      </c>
      <c r="I108" s="23" t="n">
        <v>16</v>
      </c>
      <c r="J108" s="21" t="n">
        <v>3</v>
      </c>
      <c r="K108" s="21" t="n">
        <v>0</v>
      </c>
      <c r="L108" s="21" t="n">
        <v>0</v>
      </c>
      <c r="M108" s="22" t="n">
        <f aca="false">IFERROR(L108/E108*1000,0)</f>
        <v>0</v>
      </c>
      <c r="N108" s="22" t="n">
        <f aca="false">IFERROR(J108/E108*100,0)</f>
        <v>0.2360346184107</v>
      </c>
      <c r="O108" s="32" t="str">
        <f aca="false">IF(H108&lt;30,"00-30",IF(H108&lt;40,"30-40",IF(H108&lt;50,"40-50",IF(H108&lt;60,"50-60",IF(H108&lt;70,"60-70","70+")))))</f>
        <v>40-50</v>
      </c>
      <c r="P108" s="37" t="n">
        <f aca="false">IFERROR(VALUE(SUBSTITUTE(B108,"-","")),0)</f>
        <v>20260627</v>
      </c>
    </row>
    <row r="109" customFormat="false" ht="15" hidden="false" customHeight="false" outlineLevel="0" collapsed="false">
      <c r="A109" s="14" t="s">
        <v>44</v>
      </c>
      <c r="B109" s="32" t="s">
        <v>339</v>
      </c>
      <c r="C109" s="7" t="s">
        <v>344</v>
      </c>
      <c r="D109" s="32" t="s">
        <v>345</v>
      </c>
      <c r="E109" s="21" t="n">
        <v>787</v>
      </c>
      <c r="F109" s="21" t="n">
        <v>0</v>
      </c>
      <c r="G109" s="22" t="n">
        <v>0</v>
      </c>
      <c r="H109" s="22" t="n">
        <v>48.43</v>
      </c>
      <c r="I109" s="23" t="n">
        <v>18</v>
      </c>
      <c r="J109" s="21" t="n">
        <v>6</v>
      </c>
      <c r="K109" s="21" t="n">
        <v>0</v>
      </c>
      <c r="L109" s="21" t="n">
        <v>0</v>
      </c>
      <c r="M109" s="22" t="n">
        <f aca="false">IFERROR(L109/E109*1000,0)</f>
        <v>0</v>
      </c>
      <c r="N109" s="22" t="n">
        <f aca="false">IFERROR(J109/E109*100,0)</f>
        <v>0.762388818297332</v>
      </c>
      <c r="O109" s="32" t="str">
        <f aca="false">IF(H109&lt;30,"00-30",IF(H109&lt;40,"30-40",IF(H109&lt;50,"40-50",IF(H109&lt;60,"50-60",IF(H109&lt;70,"60-70","70+")))))</f>
        <v>40-50</v>
      </c>
      <c r="P109" s="37" t="n">
        <f aca="false">IFERROR(VALUE(SUBSTITUTE(B109,"-","")),0)</f>
        <v>20260627</v>
      </c>
    </row>
    <row r="110" customFormat="false" ht="23.85" hidden="false" customHeight="false" outlineLevel="0" collapsed="false">
      <c r="A110" s="14" t="s">
        <v>44</v>
      </c>
      <c r="B110" s="32" t="s">
        <v>339</v>
      </c>
      <c r="C110" s="7" t="s">
        <v>346</v>
      </c>
      <c r="D110" s="32" t="s">
        <v>347</v>
      </c>
      <c r="E110" s="21" t="n">
        <v>1276</v>
      </c>
      <c r="F110" s="21" t="n">
        <v>0</v>
      </c>
      <c r="G110" s="22" t="n">
        <v>0</v>
      </c>
      <c r="H110" s="22" t="n">
        <v>38.72</v>
      </c>
      <c r="I110" s="23" t="n">
        <v>13</v>
      </c>
      <c r="J110" s="21" t="n">
        <v>3</v>
      </c>
      <c r="K110" s="21" t="n">
        <v>0</v>
      </c>
      <c r="L110" s="21" t="n">
        <v>0</v>
      </c>
      <c r="M110" s="22" t="n">
        <f aca="false">IFERROR(L110/E110*1000,0)</f>
        <v>0</v>
      </c>
      <c r="N110" s="22" t="n">
        <f aca="false">IFERROR(J110/E110*100,0)</f>
        <v>0.235109717868339</v>
      </c>
      <c r="O110" s="32" t="str">
        <f aca="false">IF(H110&lt;30,"00-30",IF(H110&lt;40,"30-40",IF(H110&lt;50,"40-50",IF(H110&lt;60,"50-60",IF(H110&lt;70,"60-70","70+")))))</f>
        <v>30-40</v>
      </c>
      <c r="P110" s="37" t="n">
        <f aca="false">IFERROR(VALUE(SUBSTITUTE(B110,"-","")),0)</f>
        <v>20260627</v>
      </c>
    </row>
    <row r="111" customFormat="false" ht="15" hidden="false" customHeight="false" outlineLevel="0" collapsed="false">
      <c r="A111" s="14" t="s">
        <v>44</v>
      </c>
      <c r="B111" s="32" t="s">
        <v>348</v>
      </c>
      <c r="C111" s="7" t="s">
        <v>349</v>
      </c>
      <c r="D111" s="32" t="s">
        <v>350</v>
      </c>
      <c r="E111" s="21" t="n">
        <v>882</v>
      </c>
      <c r="F111" s="21" t="n">
        <v>0</v>
      </c>
      <c r="G111" s="22" t="n">
        <v>0</v>
      </c>
      <c r="H111" s="22" t="n">
        <v>51.33</v>
      </c>
      <c r="I111" s="23" t="n">
        <v>20</v>
      </c>
      <c r="J111" s="21" t="n">
        <v>4</v>
      </c>
      <c r="K111" s="21" t="n">
        <v>1</v>
      </c>
      <c r="L111" s="21" t="n">
        <v>0</v>
      </c>
      <c r="M111" s="22" t="n">
        <f aca="false">IFERROR(L111/E111*1000,0)</f>
        <v>0</v>
      </c>
      <c r="N111" s="22" t="n">
        <f aca="false">IFERROR(J111/E111*100,0)</f>
        <v>0.453514739229025</v>
      </c>
      <c r="O111" s="32" t="str">
        <f aca="false">IF(H111&lt;30,"00-30",IF(H111&lt;40,"30-40",IF(H111&lt;50,"40-50",IF(H111&lt;60,"50-60",IF(H111&lt;70,"60-70","70+")))))</f>
        <v>50-60</v>
      </c>
      <c r="P111" s="37" t="n">
        <f aca="false">IFERROR(VALUE(SUBSTITUTE(B111,"-","")),0)</f>
        <v>20260628</v>
      </c>
    </row>
    <row r="112" customFormat="false" ht="15" hidden="false" customHeight="false" outlineLevel="0" collapsed="false">
      <c r="A112" s="14" t="s">
        <v>44</v>
      </c>
      <c r="B112" s="32" t="s">
        <v>348</v>
      </c>
      <c r="C112" s="7" t="s">
        <v>351</v>
      </c>
      <c r="D112" s="32" t="s">
        <v>352</v>
      </c>
      <c r="E112" s="21" t="n">
        <v>972</v>
      </c>
      <c r="F112" s="21" t="n">
        <v>0</v>
      </c>
      <c r="G112" s="22" t="n">
        <v>0</v>
      </c>
      <c r="H112" s="22" t="n">
        <v>51.55</v>
      </c>
      <c r="I112" s="23" t="n">
        <v>16</v>
      </c>
      <c r="J112" s="21" t="n">
        <v>5</v>
      </c>
      <c r="K112" s="21" t="n">
        <v>0</v>
      </c>
      <c r="L112" s="21" t="n">
        <v>1</v>
      </c>
      <c r="M112" s="22" t="n">
        <f aca="false">IFERROR(L112/E112*1000,0)</f>
        <v>1.02880658436214</v>
      </c>
      <c r="N112" s="22" t="n">
        <f aca="false">IFERROR(J112/E112*100,0)</f>
        <v>0.51440329218107</v>
      </c>
      <c r="O112" s="32" t="str">
        <f aca="false">IF(H112&lt;30,"00-30",IF(H112&lt;40,"30-40",IF(H112&lt;50,"40-50",IF(H112&lt;60,"50-60",IF(H112&lt;70,"60-70","70+")))))</f>
        <v>50-60</v>
      </c>
      <c r="P112" s="37" t="n">
        <f aca="false">IFERROR(VALUE(SUBSTITUTE(B112,"-","")),0)</f>
        <v>20260628</v>
      </c>
    </row>
    <row r="113" customFormat="false" ht="15" hidden="false" customHeight="false" outlineLevel="0" collapsed="false">
      <c r="A113" s="14" t="s">
        <v>44</v>
      </c>
      <c r="B113" s="32" t="s">
        <v>348</v>
      </c>
      <c r="C113" s="7" t="s">
        <v>353</v>
      </c>
      <c r="D113" s="32" t="s">
        <v>354</v>
      </c>
      <c r="E113" s="21" t="n">
        <v>940</v>
      </c>
      <c r="F113" s="21" t="n">
        <v>0</v>
      </c>
      <c r="G113" s="22" t="n">
        <v>0</v>
      </c>
      <c r="H113" s="22" t="n">
        <v>32.96</v>
      </c>
      <c r="I113" s="23" t="n">
        <v>11</v>
      </c>
      <c r="J113" s="21" t="n">
        <v>4</v>
      </c>
      <c r="K113" s="21" t="n">
        <v>0</v>
      </c>
      <c r="L113" s="21" t="n">
        <v>0</v>
      </c>
      <c r="M113" s="22" t="n">
        <f aca="false">IFERROR(L113/E113*1000,0)</f>
        <v>0</v>
      </c>
      <c r="N113" s="22" t="n">
        <f aca="false">IFERROR(J113/E113*100,0)</f>
        <v>0.425531914893617</v>
      </c>
      <c r="O113" s="32" t="str">
        <f aca="false">IF(H113&lt;30,"00-30",IF(H113&lt;40,"30-40",IF(H113&lt;50,"40-50",IF(H113&lt;60,"50-60",IF(H113&lt;70,"60-70","70+")))))</f>
        <v>30-40</v>
      </c>
      <c r="P113" s="37" t="n">
        <f aca="false">IFERROR(VALUE(SUBSTITUTE(B113,"-","")),0)</f>
        <v>20260628</v>
      </c>
    </row>
    <row r="114" customFormat="false" ht="15" hidden="false" customHeight="false" outlineLevel="0" collapsed="false">
      <c r="A114" s="14" t="s">
        <v>44</v>
      </c>
      <c r="B114" s="32" t="s">
        <v>348</v>
      </c>
      <c r="C114" s="7" t="s">
        <v>355</v>
      </c>
      <c r="D114" s="32" t="s">
        <v>356</v>
      </c>
      <c r="E114" s="21" t="n">
        <v>998</v>
      </c>
      <c r="F114" s="21" t="n">
        <v>0</v>
      </c>
      <c r="G114" s="22" t="n">
        <v>0</v>
      </c>
      <c r="H114" s="22" t="n">
        <v>44.22</v>
      </c>
      <c r="I114" s="23" t="n">
        <v>15</v>
      </c>
      <c r="J114" s="21" t="n">
        <v>4</v>
      </c>
      <c r="K114" s="21" t="n">
        <v>0</v>
      </c>
      <c r="L114" s="21" t="n">
        <v>1</v>
      </c>
      <c r="M114" s="22" t="n">
        <f aca="false">IFERROR(L114/E114*1000,0)</f>
        <v>1.00200400801603</v>
      </c>
      <c r="N114" s="22" t="n">
        <f aca="false">IFERROR(J114/E114*100,0)</f>
        <v>0.400801603206413</v>
      </c>
      <c r="O114" s="32" t="str">
        <f aca="false">IF(H114&lt;30,"00-30",IF(H114&lt;40,"30-40",IF(H114&lt;50,"40-50",IF(H114&lt;60,"50-60",IF(H114&lt;70,"60-70","70+")))))</f>
        <v>40-50</v>
      </c>
      <c r="P114" s="37" t="n">
        <f aca="false">IFERROR(VALUE(SUBSTITUTE(B114,"-","")),0)</f>
        <v>20260628</v>
      </c>
    </row>
    <row r="115" customFormat="false" ht="15" hidden="false" customHeight="false" outlineLevel="0" collapsed="false">
      <c r="A115" s="14" t="s">
        <v>44</v>
      </c>
      <c r="B115" s="32" t="s">
        <v>357</v>
      </c>
      <c r="C115" s="7" t="s">
        <v>358</v>
      </c>
      <c r="D115" s="32" t="s">
        <v>359</v>
      </c>
      <c r="E115" s="21" t="n">
        <v>1151</v>
      </c>
      <c r="F115" s="21" t="n">
        <v>0</v>
      </c>
      <c r="G115" s="22" t="n">
        <v>0</v>
      </c>
      <c r="H115" s="22" t="n">
        <v>53.58</v>
      </c>
      <c r="I115" s="23" t="n">
        <v>15</v>
      </c>
      <c r="J115" s="21" t="n">
        <v>5</v>
      </c>
      <c r="K115" s="21" t="n">
        <v>0</v>
      </c>
      <c r="L115" s="21" t="n">
        <v>0</v>
      </c>
      <c r="M115" s="22" t="n">
        <f aca="false">IFERROR(L115/E115*1000,0)</f>
        <v>0</v>
      </c>
      <c r="N115" s="22" t="n">
        <f aca="false">IFERROR(J115/E115*100,0)</f>
        <v>0.434404865334492</v>
      </c>
      <c r="O115" s="32" t="str">
        <f aca="false">IF(H115&lt;30,"00-30",IF(H115&lt;40,"30-40",IF(H115&lt;50,"40-50",IF(H115&lt;60,"50-60",IF(H115&lt;70,"60-70","70+")))))</f>
        <v>50-60</v>
      </c>
      <c r="P115" s="37" t="n">
        <f aca="false">IFERROR(VALUE(SUBSTITUTE(B115,"-","")),0)</f>
        <v>20260629</v>
      </c>
    </row>
    <row r="116" customFormat="false" ht="23.85" hidden="false" customHeight="false" outlineLevel="0" collapsed="false">
      <c r="A116" s="14" t="s">
        <v>44</v>
      </c>
      <c r="B116" s="32" t="s">
        <v>357</v>
      </c>
      <c r="C116" s="7" t="s">
        <v>360</v>
      </c>
      <c r="D116" s="32" t="s">
        <v>361</v>
      </c>
      <c r="E116" s="21" t="n">
        <v>805</v>
      </c>
      <c r="F116" s="21" t="n">
        <v>0</v>
      </c>
      <c r="G116" s="22" t="n">
        <v>0</v>
      </c>
      <c r="H116" s="22" t="n">
        <v>46.75</v>
      </c>
      <c r="I116" s="23" t="n">
        <v>14</v>
      </c>
      <c r="J116" s="21" t="n">
        <v>8</v>
      </c>
      <c r="K116" s="21" t="n">
        <v>0</v>
      </c>
      <c r="L116" s="21" t="n">
        <v>0</v>
      </c>
      <c r="M116" s="22" t="n">
        <f aca="false">IFERROR(L116/E116*1000,0)</f>
        <v>0</v>
      </c>
      <c r="N116" s="22" t="n">
        <f aca="false">IFERROR(J116/E116*100,0)</f>
        <v>0.993788819875776</v>
      </c>
      <c r="O116" s="32" t="str">
        <f aca="false">IF(H116&lt;30,"00-30",IF(H116&lt;40,"30-40",IF(H116&lt;50,"40-50",IF(H116&lt;60,"50-60",IF(H116&lt;70,"60-70","70+")))))</f>
        <v>40-50</v>
      </c>
      <c r="P116" s="37" t="n">
        <f aca="false">IFERROR(VALUE(SUBSTITUTE(B116,"-","")),0)</f>
        <v>20260629</v>
      </c>
    </row>
    <row r="117" customFormat="false" ht="15" hidden="false" customHeight="false" outlineLevel="0" collapsed="false">
      <c r="A117" s="14" t="s">
        <v>44</v>
      </c>
      <c r="B117" s="32" t="s">
        <v>357</v>
      </c>
      <c r="C117" s="7" t="s">
        <v>362</v>
      </c>
      <c r="D117" s="32" t="s">
        <v>363</v>
      </c>
      <c r="E117" s="21" t="n">
        <v>970</v>
      </c>
      <c r="F117" s="21" t="n">
        <v>0</v>
      </c>
      <c r="G117" s="22" t="n">
        <v>0</v>
      </c>
      <c r="H117" s="22" t="n">
        <v>84.25</v>
      </c>
      <c r="I117" s="23" t="n">
        <v>23</v>
      </c>
      <c r="J117" s="21" t="n">
        <v>2</v>
      </c>
      <c r="K117" s="21" t="n">
        <v>0</v>
      </c>
      <c r="L117" s="21" t="n">
        <v>0</v>
      </c>
      <c r="M117" s="22" t="n">
        <f aca="false">IFERROR(L117/E117*1000,0)</f>
        <v>0</v>
      </c>
      <c r="N117" s="22" t="n">
        <f aca="false">IFERROR(J117/E117*100,0)</f>
        <v>0.206185567010309</v>
      </c>
      <c r="O117" s="32" t="str">
        <f aca="false">IF(H117&lt;30,"00-30",IF(H117&lt;40,"30-40",IF(H117&lt;50,"40-50",IF(H117&lt;60,"50-60",IF(H117&lt;70,"60-70","70+")))))</f>
        <v>70+</v>
      </c>
      <c r="P117" s="37" t="n">
        <f aca="false">IFERROR(VALUE(SUBSTITUTE(B117,"-","")),0)</f>
        <v>20260629</v>
      </c>
    </row>
    <row r="118" customFormat="false" ht="15" hidden="false" customHeight="false" outlineLevel="0" collapsed="false">
      <c r="A118" s="14" t="s">
        <v>44</v>
      </c>
      <c r="B118" s="32" t="s">
        <v>357</v>
      </c>
      <c r="C118" s="7" t="s">
        <v>364</v>
      </c>
      <c r="D118" s="32" t="s">
        <v>365</v>
      </c>
      <c r="E118" s="21" t="n">
        <v>1260</v>
      </c>
      <c r="F118" s="21" t="n">
        <v>0</v>
      </c>
      <c r="G118" s="22" t="n">
        <v>0</v>
      </c>
      <c r="H118" s="22" t="n">
        <v>106.21</v>
      </c>
      <c r="I118" s="23" t="n">
        <v>39</v>
      </c>
      <c r="J118" s="21" t="n">
        <v>3</v>
      </c>
      <c r="K118" s="21" t="n">
        <v>0</v>
      </c>
      <c r="L118" s="21" t="n">
        <v>0</v>
      </c>
      <c r="M118" s="22" t="n">
        <f aca="false">IFERROR(L118/E118*1000,0)</f>
        <v>0</v>
      </c>
      <c r="N118" s="22" t="n">
        <f aca="false">IFERROR(J118/E118*100,0)</f>
        <v>0.238095238095238</v>
      </c>
      <c r="O118" s="32" t="str">
        <f aca="false">IF(H118&lt;30,"00-30",IF(H118&lt;40,"30-40",IF(H118&lt;50,"40-50",IF(H118&lt;60,"50-60",IF(H118&lt;70,"60-70","70+")))))</f>
        <v>70+</v>
      </c>
      <c r="P118" s="37" t="n">
        <f aca="false">IFERROR(VALUE(SUBSTITUTE(B118,"-","")),0)</f>
        <v>20260629</v>
      </c>
    </row>
    <row r="119" customFormat="false" ht="15" hidden="false" customHeight="false" outlineLevel="0" collapsed="false">
      <c r="A119" s="14" t="s">
        <v>44</v>
      </c>
      <c r="B119" s="32" t="s">
        <v>366</v>
      </c>
      <c r="C119" s="7" t="s">
        <v>367</v>
      </c>
      <c r="D119" s="32" t="s">
        <v>368</v>
      </c>
      <c r="E119" s="21" t="n">
        <v>627</v>
      </c>
      <c r="F119" s="21" t="n">
        <v>0</v>
      </c>
      <c r="G119" s="22" t="n">
        <v>0</v>
      </c>
      <c r="H119" s="22" t="n">
        <v>52.89</v>
      </c>
      <c r="I119" s="23" t="n">
        <v>18</v>
      </c>
      <c r="J119" s="21" t="n">
        <v>4</v>
      </c>
      <c r="K119" s="21" t="n">
        <v>0</v>
      </c>
      <c r="L119" s="21" t="n">
        <v>0</v>
      </c>
      <c r="M119" s="22" t="n">
        <f aca="false">IFERROR(L119/E119*1000,0)</f>
        <v>0</v>
      </c>
      <c r="N119" s="22" t="n">
        <f aca="false">IFERROR(J119/E119*100,0)</f>
        <v>0.637958532695375</v>
      </c>
      <c r="O119" s="32" t="str">
        <f aca="false">IF(H119&lt;30,"00-30",IF(H119&lt;40,"30-40",IF(H119&lt;50,"40-50",IF(H119&lt;60,"50-60",IF(H119&lt;70,"60-70","70+")))))</f>
        <v>50-60</v>
      </c>
      <c r="P119" s="37" t="n">
        <f aca="false">IFERROR(VALUE(SUBSTITUTE(B119,"-","")),0)</f>
        <v>20260630</v>
      </c>
    </row>
    <row r="120" customFormat="false" ht="15" hidden="false" customHeight="false" outlineLevel="0" collapsed="false">
      <c r="A120" s="14" t="s">
        <v>44</v>
      </c>
      <c r="B120" s="32" t="s">
        <v>366</v>
      </c>
      <c r="C120" s="7" t="s">
        <v>369</v>
      </c>
      <c r="D120" s="32" t="s">
        <v>370</v>
      </c>
      <c r="E120" s="21" t="n">
        <v>999</v>
      </c>
      <c r="F120" s="21" t="n">
        <v>0</v>
      </c>
      <c r="G120" s="22" t="n">
        <v>0</v>
      </c>
      <c r="H120" s="22" t="n">
        <v>56.65</v>
      </c>
      <c r="I120" s="23" t="n">
        <v>16</v>
      </c>
      <c r="J120" s="21" t="n">
        <v>5</v>
      </c>
      <c r="K120" s="21" t="n">
        <v>0</v>
      </c>
      <c r="L120" s="21" t="n">
        <v>1</v>
      </c>
      <c r="M120" s="22" t="n">
        <f aca="false">IFERROR(L120/E120*1000,0)</f>
        <v>1.001001001001</v>
      </c>
      <c r="N120" s="22" t="n">
        <f aca="false">IFERROR(J120/E120*100,0)</f>
        <v>0.500500500500501</v>
      </c>
      <c r="O120" s="32" t="str">
        <f aca="false">IF(H120&lt;30,"00-30",IF(H120&lt;40,"30-40",IF(H120&lt;50,"40-50",IF(H120&lt;60,"50-60",IF(H120&lt;70,"60-70","70+")))))</f>
        <v>50-60</v>
      </c>
      <c r="P120" s="37" t="n">
        <f aca="false">IFERROR(VALUE(SUBSTITUTE(B120,"-","")),0)</f>
        <v>20260630</v>
      </c>
    </row>
    <row r="121" customFormat="false" ht="15" hidden="false" customHeight="false" outlineLevel="0" collapsed="false">
      <c r="A121" s="14" t="s">
        <v>44</v>
      </c>
      <c r="B121" s="32" t="s">
        <v>371</v>
      </c>
      <c r="C121" s="7" t="s">
        <v>372</v>
      </c>
      <c r="D121" s="32" t="s">
        <v>373</v>
      </c>
      <c r="E121" s="21" t="n">
        <v>994</v>
      </c>
      <c r="F121" s="21" t="n">
        <v>0</v>
      </c>
      <c r="G121" s="22" t="n">
        <v>0</v>
      </c>
      <c r="H121" s="22" t="n">
        <v>57.16</v>
      </c>
      <c r="I121" s="23" t="n">
        <v>20</v>
      </c>
      <c r="J121" s="21" t="n">
        <v>5</v>
      </c>
      <c r="K121" s="21" t="n">
        <v>0</v>
      </c>
      <c r="L121" s="21" t="n">
        <v>0</v>
      </c>
      <c r="M121" s="22" t="n">
        <f aca="false">IFERROR(L121/E121*1000,0)</f>
        <v>0</v>
      </c>
      <c r="N121" s="22" t="n">
        <f aca="false">IFERROR(J121/E121*100,0)</f>
        <v>0.503018108651911</v>
      </c>
      <c r="O121" s="32" t="str">
        <f aca="false">IF(H121&lt;30,"00-30",IF(H121&lt;40,"30-40",IF(H121&lt;50,"40-50",IF(H121&lt;60,"50-60",IF(H121&lt;70,"60-70","70+")))))</f>
        <v>50-60</v>
      </c>
      <c r="P121" s="37" t="n">
        <f aca="false">IFERROR(VALUE(SUBSTITUTE(B121,"-","")),0)</f>
        <v>20260701</v>
      </c>
    </row>
    <row r="122" customFormat="false" ht="23.85" hidden="false" customHeight="false" outlineLevel="0" collapsed="false">
      <c r="A122" s="14" t="s">
        <v>44</v>
      </c>
      <c r="B122" s="32" t="s">
        <v>371</v>
      </c>
      <c r="C122" s="7" t="s">
        <v>374</v>
      </c>
      <c r="D122" s="32" t="s">
        <v>375</v>
      </c>
      <c r="E122" s="21" t="n">
        <v>1090</v>
      </c>
      <c r="F122" s="21" t="n">
        <v>0</v>
      </c>
      <c r="G122" s="22" t="n">
        <v>0</v>
      </c>
      <c r="H122" s="22" t="n">
        <v>35.45</v>
      </c>
      <c r="I122" s="23" t="n">
        <v>12</v>
      </c>
      <c r="J122" s="21" t="n">
        <v>3</v>
      </c>
      <c r="K122" s="21" t="n">
        <v>0</v>
      </c>
      <c r="L122" s="21" t="n">
        <v>0</v>
      </c>
      <c r="M122" s="22" t="n">
        <f aca="false">IFERROR(L122/E122*1000,0)</f>
        <v>0</v>
      </c>
      <c r="N122" s="22" t="n">
        <f aca="false">IFERROR(J122/E122*100,0)</f>
        <v>0.275229357798165</v>
      </c>
      <c r="O122" s="32" t="str">
        <f aca="false">IF(H122&lt;30,"00-30",IF(H122&lt;40,"30-40",IF(H122&lt;50,"40-50",IF(H122&lt;60,"50-60",IF(H122&lt;70,"60-70","70+")))))</f>
        <v>30-40</v>
      </c>
      <c r="P122" s="37" t="n">
        <f aca="false">IFERROR(VALUE(SUBSTITUTE(B122,"-","")),0)</f>
        <v>20260701</v>
      </c>
    </row>
    <row r="123" customFormat="false" ht="15" hidden="false" customHeight="false" outlineLevel="0" collapsed="false">
      <c r="A123" s="14" t="s">
        <v>44</v>
      </c>
      <c r="B123" s="32" t="s">
        <v>371</v>
      </c>
      <c r="C123" s="7" t="s">
        <v>376</v>
      </c>
      <c r="D123" s="32" t="s">
        <v>377</v>
      </c>
      <c r="E123" s="21" t="n">
        <v>844</v>
      </c>
      <c r="F123" s="21" t="n">
        <v>0</v>
      </c>
      <c r="G123" s="22" t="n">
        <v>0</v>
      </c>
      <c r="H123" s="22" t="n">
        <v>59.03</v>
      </c>
      <c r="I123" s="23" t="n">
        <v>20</v>
      </c>
      <c r="J123" s="21" t="n">
        <v>2</v>
      </c>
      <c r="K123" s="21" t="n">
        <v>0</v>
      </c>
      <c r="L123" s="21" t="n">
        <v>0</v>
      </c>
      <c r="M123" s="22" t="n">
        <f aca="false">IFERROR(L123/E123*1000,0)</f>
        <v>0</v>
      </c>
      <c r="N123" s="22" t="n">
        <f aca="false">IFERROR(J123/E123*100,0)</f>
        <v>0.23696682464455</v>
      </c>
      <c r="O123" s="32" t="str">
        <f aca="false">IF(H123&lt;30,"00-30",IF(H123&lt;40,"30-40",IF(H123&lt;50,"40-50",IF(H123&lt;60,"50-60",IF(H123&lt;70,"60-70","70+")))))</f>
        <v>50-60</v>
      </c>
      <c r="P123" s="37" t="n">
        <f aca="false">IFERROR(VALUE(SUBSTITUTE(B123,"-","")),0)</f>
        <v>20260701</v>
      </c>
    </row>
    <row r="124" customFormat="false" ht="15" hidden="false" customHeight="false" outlineLevel="0" collapsed="false">
      <c r="A124" s="14" t="s">
        <v>44</v>
      </c>
      <c r="B124" s="32" t="s">
        <v>371</v>
      </c>
      <c r="C124" s="7" t="s">
        <v>378</v>
      </c>
      <c r="D124" s="32" t="s">
        <v>379</v>
      </c>
      <c r="E124" s="21" t="n">
        <v>1119</v>
      </c>
      <c r="F124" s="21" t="n">
        <v>0</v>
      </c>
      <c r="G124" s="22" t="n">
        <v>0</v>
      </c>
      <c r="H124" s="22" t="n">
        <v>44.11</v>
      </c>
      <c r="I124" s="23" t="n">
        <v>14</v>
      </c>
      <c r="J124" s="21" t="n">
        <v>5</v>
      </c>
      <c r="K124" s="21" t="n">
        <v>0</v>
      </c>
      <c r="L124" s="21" t="n">
        <v>1</v>
      </c>
      <c r="M124" s="22" t="n">
        <f aca="false">IFERROR(L124/E124*1000,0)</f>
        <v>0.893655049151028</v>
      </c>
      <c r="N124" s="22" t="n">
        <f aca="false">IFERROR(J124/E124*100,0)</f>
        <v>0.446827524575514</v>
      </c>
      <c r="O124" s="32" t="str">
        <f aca="false">IF(H124&lt;30,"00-30",IF(H124&lt;40,"30-40",IF(H124&lt;50,"40-50",IF(H124&lt;60,"50-60",IF(H124&lt;70,"60-70","70+")))))</f>
        <v>40-50</v>
      </c>
      <c r="P124" s="37" t="n">
        <f aca="false">IFERROR(VALUE(SUBSTITUTE(B124,"-","")),0)</f>
        <v>20260701</v>
      </c>
    </row>
    <row r="125" customFormat="false" ht="15" hidden="false" customHeight="false" outlineLevel="0" collapsed="false">
      <c r="A125" s="14" t="s">
        <v>44</v>
      </c>
      <c r="B125" s="32" t="s">
        <v>380</v>
      </c>
      <c r="C125" s="7" t="s">
        <v>381</v>
      </c>
      <c r="D125" s="32" t="s">
        <v>382</v>
      </c>
      <c r="E125" s="21" t="n">
        <v>1105</v>
      </c>
      <c r="F125" s="21" t="n">
        <v>0</v>
      </c>
      <c r="G125" s="22" t="n">
        <v>0</v>
      </c>
      <c r="H125" s="22" t="n">
        <v>45.53</v>
      </c>
      <c r="I125" s="23" t="n">
        <v>15</v>
      </c>
      <c r="J125" s="21" t="n">
        <v>4</v>
      </c>
      <c r="K125" s="21" t="n">
        <v>0</v>
      </c>
      <c r="L125" s="21" t="n">
        <v>0</v>
      </c>
      <c r="M125" s="22" t="n">
        <f aca="false">IFERROR(L125/E125*1000,0)</f>
        <v>0</v>
      </c>
      <c r="N125" s="22" t="n">
        <f aca="false">IFERROR(J125/E125*100,0)</f>
        <v>0.361990950226244</v>
      </c>
      <c r="O125" s="32" t="str">
        <f aca="false">IF(H125&lt;30,"00-30",IF(H125&lt;40,"30-40",IF(H125&lt;50,"40-50",IF(H125&lt;60,"50-60",IF(H125&lt;70,"60-70","70+")))))</f>
        <v>40-50</v>
      </c>
      <c r="P125" s="37" t="n">
        <f aca="false">IFERROR(VALUE(SUBSTITUTE(B125,"-","")),0)</f>
        <v>20260702</v>
      </c>
    </row>
    <row r="126" customFormat="false" ht="15" hidden="false" customHeight="false" outlineLevel="0" collapsed="false">
      <c r="A126" s="14" t="s">
        <v>44</v>
      </c>
      <c r="B126" s="32" t="s">
        <v>380</v>
      </c>
      <c r="C126" s="7" t="s">
        <v>383</v>
      </c>
      <c r="D126" s="32" t="s">
        <v>384</v>
      </c>
      <c r="E126" s="21" t="n">
        <v>309</v>
      </c>
      <c r="F126" s="21" t="n">
        <v>0</v>
      </c>
      <c r="G126" s="22" t="n">
        <v>0</v>
      </c>
      <c r="H126" s="22" t="n">
        <v>44.08</v>
      </c>
      <c r="I126" s="23" t="n">
        <v>12</v>
      </c>
      <c r="J126" s="21" t="n">
        <v>3</v>
      </c>
      <c r="K126" s="21" t="n">
        <v>0</v>
      </c>
      <c r="L126" s="21" t="n">
        <v>1</v>
      </c>
      <c r="M126" s="22" t="n">
        <f aca="false">IFERROR(L126/E126*1000,0)</f>
        <v>3.23624595469256</v>
      </c>
      <c r="N126" s="22" t="n">
        <f aca="false">IFERROR(J126/E126*100,0)</f>
        <v>0.970873786407767</v>
      </c>
      <c r="O126" s="32" t="str">
        <f aca="false">IF(H126&lt;30,"00-30",IF(H126&lt;40,"30-40",IF(H126&lt;50,"40-50",IF(H126&lt;60,"50-60",IF(H126&lt;70,"60-70","70+")))))</f>
        <v>40-50</v>
      </c>
      <c r="P126" s="37" t="n">
        <f aca="false">IFERROR(VALUE(SUBSTITUTE(B126,"-","")),0)</f>
        <v>20260702</v>
      </c>
    </row>
    <row r="127" customFormat="false" ht="15" hidden="false" customHeight="false" outlineLevel="0" collapsed="false">
      <c r="A127" s="14" t="s">
        <v>44</v>
      </c>
      <c r="B127" s="32" t="s">
        <v>380</v>
      </c>
      <c r="C127" s="7" t="s">
        <v>385</v>
      </c>
      <c r="D127" s="32" t="s">
        <v>386</v>
      </c>
      <c r="E127" s="21" t="n">
        <v>1164</v>
      </c>
      <c r="F127" s="21" t="n">
        <v>0</v>
      </c>
      <c r="G127" s="22" t="n">
        <v>0</v>
      </c>
      <c r="H127" s="22" t="n">
        <v>79.67</v>
      </c>
      <c r="I127" s="23" t="n">
        <v>31</v>
      </c>
      <c r="J127" s="21" t="n">
        <v>5</v>
      </c>
      <c r="K127" s="21" t="n">
        <v>0</v>
      </c>
      <c r="L127" s="21" t="n">
        <v>2</v>
      </c>
      <c r="M127" s="22" t="n">
        <f aca="false">IFERROR(L127/E127*1000,0)</f>
        <v>1.71821305841924</v>
      </c>
      <c r="N127" s="22" t="n">
        <f aca="false">IFERROR(J127/E127*100,0)</f>
        <v>0.429553264604811</v>
      </c>
      <c r="O127" s="32" t="str">
        <f aca="false">IF(H127&lt;30,"00-30",IF(H127&lt;40,"30-40",IF(H127&lt;50,"40-50",IF(H127&lt;60,"50-60",IF(H127&lt;70,"60-70","70+")))))</f>
        <v>70+</v>
      </c>
      <c r="P127" s="37" t="n">
        <f aca="false">IFERROR(VALUE(SUBSTITUTE(B127,"-","")),0)</f>
        <v>20260702</v>
      </c>
    </row>
    <row r="128" customFormat="false" ht="15" hidden="false" customHeight="false" outlineLevel="0" collapsed="false">
      <c r="A128" s="14" t="s">
        <v>44</v>
      </c>
      <c r="B128" s="32" t="s">
        <v>387</v>
      </c>
      <c r="C128" s="7" t="s">
        <v>388</v>
      </c>
      <c r="D128" s="32" t="s">
        <v>389</v>
      </c>
      <c r="E128" s="21" t="n">
        <v>1112</v>
      </c>
      <c r="F128" s="21" t="n">
        <v>0</v>
      </c>
      <c r="G128" s="22" t="n">
        <v>0</v>
      </c>
      <c r="H128" s="22" t="n">
        <v>46.85</v>
      </c>
      <c r="I128" s="23" t="n">
        <v>16</v>
      </c>
      <c r="J128" s="21" t="n">
        <v>9</v>
      </c>
      <c r="K128" s="21" t="n">
        <v>1</v>
      </c>
      <c r="L128" s="21" t="n">
        <v>0</v>
      </c>
      <c r="M128" s="22" t="n">
        <f aca="false">IFERROR(L128/E128*1000,0)</f>
        <v>0</v>
      </c>
      <c r="N128" s="22" t="n">
        <f aca="false">IFERROR(J128/E128*100,0)</f>
        <v>0.809352517985612</v>
      </c>
      <c r="O128" s="32" t="str">
        <f aca="false">IF(H128&lt;30,"00-30",IF(H128&lt;40,"30-40",IF(H128&lt;50,"40-50",IF(H128&lt;60,"50-60",IF(H128&lt;70,"60-70","70+")))))</f>
        <v>40-50</v>
      </c>
      <c r="P128" s="37" t="n">
        <f aca="false">IFERROR(VALUE(SUBSTITUTE(B128,"-","")),0)</f>
        <v>20260703</v>
      </c>
    </row>
    <row r="129" customFormat="false" ht="15" hidden="false" customHeight="false" outlineLevel="0" collapsed="false">
      <c r="A129" s="14" t="s">
        <v>44</v>
      </c>
      <c r="B129" s="32" t="s">
        <v>387</v>
      </c>
      <c r="C129" s="7" t="s">
        <v>390</v>
      </c>
      <c r="D129" s="32" t="s">
        <v>391</v>
      </c>
      <c r="E129" s="21" t="n">
        <v>1103</v>
      </c>
      <c r="F129" s="21" t="n">
        <v>0</v>
      </c>
      <c r="G129" s="22" t="n">
        <v>0</v>
      </c>
      <c r="H129" s="22" t="n">
        <v>44.99</v>
      </c>
      <c r="I129" s="23" t="n">
        <v>17</v>
      </c>
      <c r="J129" s="21" t="n">
        <v>7</v>
      </c>
      <c r="K129" s="21" t="n">
        <v>0</v>
      </c>
      <c r="L129" s="21" t="n">
        <v>0</v>
      </c>
      <c r="M129" s="22" t="n">
        <f aca="false">IFERROR(L129/E129*1000,0)</f>
        <v>0</v>
      </c>
      <c r="N129" s="22" t="n">
        <f aca="false">IFERROR(J129/E129*100,0)</f>
        <v>0.634632819582956</v>
      </c>
      <c r="O129" s="32" t="str">
        <f aca="false">IF(H129&lt;30,"00-30",IF(H129&lt;40,"30-40",IF(H129&lt;50,"40-50",IF(H129&lt;60,"50-60",IF(H129&lt;70,"60-70","70+")))))</f>
        <v>40-50</v>
      </c>
      <c r="P129" s="37" t="n">
        <f aca="false">IFERROR(VALUE(SUBSTITUTE(B129,"-","")),0)</f>
        <v>20260703</v>
      </c>
    </row>
    <row r="130" customFormat="false" ht="15" hidden="false" customHeight="false" outlineLevel="0" collapsed="false">
      <c r="A130" s="14" t="s">
        <v>44</v>
      </c>
      <c r="B130" s="32" t="s">
        <v>387</v>
      </c>
      <c r="C130" s="7" t="s">
        <v>392</v>
      </c>
      <c r="D130" s="32" t="s">
        <v>393</v>
      </c>
      <c r="E130" s="21" t="n">
        <v>1090</v>
      </c>
      <c r="F130" s="21" t="n">
        <v>0</v>
      </c>
      <c r="G130" s="22" t="n">
        <v>0</v>
      </c>
      <c r="H130" s="22" t="n">
        <v>53.67</v>
      </c>
      <c r="I130" s="23" t="n">
        <v>17</v>
      </c>
      <c r="J130" s="21" t="n">
        <v>7</v>
      </c>
      <c r="K130" s="21" t="n">
        <v>0</v>
      </c>
      <c r="L130" s="21" t="n">
        <v>0</v>
      </c>
      <c r="M130" s="22" t="n">
        <f aca="false">IFERROR(L130/E130*1000,0)</f>
        <v>0</v>
      </c>
      <c r="N130" s="22" t="n">
        <f aca="false">IFERROR(J130/E130*100,0)</f>
        <v>0.642201834862385</v>
      </c>
      <c r="O130" s="32" t="str">
        <f aca="false">IF(H130&lt;30,"00-30",IF(H130&lt;40,"30-40",IF(H130&lt;50,"40-50",IF(H130&lt;60,"50-60",IF(H130&lt;70,"60-70","70+")))))</f>
        <v>50-60</v>
      </c>
      <c r="P130" s="37" t="n">
        <f aca="false">IFERROR(VALUE(SUBSTITUTE(B130,"-","")),0)</f>
        <v>20260703</v>
      </c>
    </row>
    <row r="131" customFormat="false" ht="15" hidden="false" customHeight="false" outlineLevel="0" collapsed="false">
      <c r="A131" s="14" t="s">
        <v>44</v>
      </c>
      <c r="B131" s="32" t="s">
        <v>387</v>
      </c>
      <c r="C131" s="7" t="s">
        <v>394</v>
      </c>
      <c r="D131" s="32" t="s">
        <v>395</v>
      </c>
      <c r="E131" s="21" t="n">
        <v>1243</v>
      </c>
      <c r="F131" s="21" t="n">
        <v>0</v>
      </c>
      <c r="G131" s="22" t="n">
        <v>0</v>
      </c>
      <c r="H131" s="22" t="n">
        <v>46.43</v>
      </c>
      <c r="I131" s="23" t="n">
        <v>19</v>
      </c>
      <c r="J131" s="21" t="n">
        <v>2</v>
      </c>
      <c r="K131" s="21" t="n">
        <v>0</v>
      </c>
      <c r="L131" s="21" t="n">
        <v>0</v>
      </c>
      <c r="M131" s="22" t="n">
        <f aca="false">IFERROR(L131/E131*1000,0)</f>
        <v>0</v>
      </c>
      <c r="N131" s="22" t="n">
        <f aca="false">IFERROR(J131/E131*100,0)</f>
        <v>0.160901045856798</v>
      </c>
      <c r="O131" s="32" t="str">
        <f aca="false">IF(H131&lt;30,"00-30",IF(H131&lt;40,"30-40",IF(H131&lt;50,"40-50",IF(H131&lt;60,"50-60",IF(H131&lt;70,"60-70","70+")))))</f>
        <v>40-50</v>
      </c>
      <c r="P131" s="37" t="n">
        <f aca="false">IFERROR(VALUE(SUBSTITUTE(B131,"-","")),0)</f>
        <v>20260703</v>
      </c>
    </row>
    <row r="132" customFormat="false" ht="15" hidden="false" customHeight="false" outlineLevel="0" collapsed="false">
      <c r="A132" s="14" t="s">
        <v>44</v>
      </c>
      <c r="B132" s="32" t="s">
        <v>396</v>
      </c>
      <c r="C132" s="7" t="s">
        <v>397</v>
      </c>
      <c r="D132" s="32" t="s">
        <v>398</v>
      </c>
      <c r="E132" s="21" t="n">
        <v>1056</v>
      </c>
      <c r="F132" s="21" t="n">
        <v>0</v>
      </c>
      <c r="G132" s="22" t="n">
        <v>0</v>
      </c>
      <c r="H132" s="22" t="n">
        <v>55.67</v>
      </c>
      <c r="I132" s="23" t="n">
        <v>17</v>
      </c>
      <c r="J132" s="21" t="n">
        <v>2</v>
      </c>
      <c r="K132" s="21" t="n">
        <v>1</v>
      </c>
      <c r="L132" s="21" t="n">
        <v>0</v>
      </c>
      <c r="M132" s="22" t="n">
        <f aca="false">IFERROR(L132/E132*1000,0)</f>
        <v>0</v>
      </c>
      <c r="N132" s="22" t="n">
        <f aca="false">IFERROR(J132/E132*100,0)</f>
        <v>0.189393939393939</v>
      </c>
      <c r="O132" s="32" t="str">
        <f aca="false">IF(H132&lt;30,"00-30",IF(H132&lt;40,"30-40",IF(H132&lt;50,"40-50",IF(H132&lt;60,"50-60",IF(H132&lt;70,"60-70","70+")))))</f>
        <v>50-60</v>
      </c>
      <c r="P132" s="37" t="n">
        <f aca="false">IFERROR(VALUE(SUBSTITUTE(B132,"-","")),0)</f>
        <v>20260705</v>
      </c>
    </row>
    <row r="133" customFormat="false" ht="15" hidden="false" customHeight="false" outlineLevel="0" collapsed="false">
      <c r="A133" s="14" t="s">
        <v>44</v>
      </c>
      <c r="B133" s="32" t="s">
        <v>396</v>
      </c>
      <c r="C133" s="7" t="s">
        <v>399</v>
      </c>
      <c r="D133" s="32" t="s">
        <v>400</v>
      </c>
      <c r="E133" s="21" t="n">
        <v>1453</v>
      </c>
      <c r="F133" s="21" t="n">
        <v>0</v>
      </c>
      <c r="G133" s="22" t="n">
        <v>0</v>
      </c>
      <c r="H133" s="22" t="n">
        <v>69.11</v>
      </c>
      <c r="I133" s="23" t="n">
        <v>17</v>
      </c>
      <c r="J133" s="21" t="n">
        <v>1</v>
      </c>
      <c r="K133" s="21" t="n">
        <v>0</v>
      </c>
      <c r="L133" s="21" t="n">
        <v>0</v>
      </c>
      <c r="M133" s="22" t="n">
        <f aca="false">IFERROR(L133/E133*1000,0)</f>
        <v>0</v>
      </c>
      <c r="N133" s="22" t="n">
        <f aca="false">IFERROR(J133/E133*100,0)</f>
        <v>0.0688231245698555</v>
      </c>
      <c r="O133" s="32" t="str">
        <f aca="false">IF(H133&lt;30,"00-30",IF(H133&lt;40,"30-40",IF(H133&lt;50,"40-50",IF(H133&lt;60,"50-60",IF(H133&lt;70,"60-70","70+")))))</f>
        <v>60-70</v>
      </c>
      <c r="P133" s="37" t="n">
        <f aca="false">IFERROR(VALUE(SUBSTITUTE(B133,"-","")),0)</f>
        <v>20260705</v>
      </c>
    </row>
    <row r="134" customFormat="false" ht="15" hidden="false" customHeight="false" outlineLevel="0" collapsed="false">
      <c r="A134" s="14" t="s">
        <v>44</v>
      </c>
      <c r="B134" s="32" t="s">
        <v>396</v>
      </c>
      <c r="C134" s="7" t="s">
        <v>401</v>
      </c>
      <c r="D134" s="32" t="s">
        <v>402</v>
      </c>
      <c r="E134" s="21" t="n">
        <v>1193</v>
      </c>
      <c r="F134" s="21" t="n">
        <v>0</v>
      </c>
      <c r="G134" s="22" t="n">
        <v>0</v>
      </c>
      <c r="H134" s="22" t="n">
        <v>51.51</v>
      </c>
      <c r="I134" s="23" t="n">
        <v>14</v>
      </c>
      <c r="J134" s="21" t="n">
        <v>2</v>
      </c>
      <c r="K134" s="21" t="n">
        <v>0</v>
      </c>
      <c r="L134" s="21" t="n">
        <v>1</v>
      </c>
      <c r="M134" s="22" t="n">
        <f aca="false">IFERROR(L134/E134*1000,0)</f>
        <v>0.838222967309304</v>
      </c>
      <c r="N134" s="22" t="n">
        <f aca="false">IFERROR(J134/E134*100,0)</f>
        <v>0.167644593461861</v>
      </c>
      <c r="O134" s="32" t="str">
        <f aca="false">IF(H134&lt;30,"00-30",IF(H134&lt;40,"30-40",IF(H134&lt;50,"40-50",IF(H134&lt;60,"50-60",IF(H134&lt;70,"60-70","70+")))))</f>
        <v>50-60</v>
      </c>
      <c r="P134" s="37" t="n">
        <f aca="false">IFERROR(VALUE(SUBSTITUTE(B134,"-","")),0)</f>
        <v>20260705</v>
      </c>
    </row>
    <row r="135" customFormat="false" ht="23.85" hidden="false" customHeight="false" outlineLevel="0" collapsed="false">
      <c r="A135" s="14" t="s">
        <v>44</v>
      </c>
      <c r="B135" s="32" t="s">
        <v>403</v>
      </c>
      <c r="C135" s="7" t="s">
        <v>404</v>
      </c>
      <c r="D135" s="32" t="s">
        <v>405</v>
      </c>
      <c r="E135" s="21" t="n">
        <v>284</v>
      </c>
      <c r="F135" s="21" t="n">
        <v>0</v>
      </c>
      <c r="G135" s="22" t="n">
        <v>0</v>
      </c>
      <c r="H135" s="22" t="n">
        <v>49.35</v>
      </c>
      <c r="I135" s="23" t="n">
        <v>12</v>
      </c>
      <c r="J135" s="21" t="n">
        <v>2</v>
      </c>
      <c r="K135" s="21" t="n">
        <v>0</v>
      </c>
      <c r="L135" s="21" t="n">
        <v>0</v>
      </c>
      <c r="M135" s="22" t="n">
        <f aca="false">IFERROR(L135/E135*1000,0)</f>
        <v>0</v>
      </c>
      <c r="N135" s="22" t="n">
        <f aca="false">IFERROR(J135/E135*100,0)</f>
        <v>0.704225352112676</v>
      </c>
      <c r="O135" s="32" t="str">
        <f aca="false">IF(H135&lt;30,"00-30",IF(H135&lt;40,"30-40",IF(H135&lt;50,"40-50",IF(H135&lt;60,"50-60",IF(H135&lt;70,"60-70","70+")))))</f>
        <v>40-50</v>
      </c>
      <c r="P135" s="37" t="n">
        <f aca="false">IFERROR(VALUE(SUBSTITUTE(B135,"-","")),0)</f>
        <v>20260706</v>
      </c>
    </row>
    <row r="136" customFormat="false" ht="15" hidden="false" customHeight="false" outlineLevel="0" collapsed="false">
      <c r="A136" s="14" t="s">
        <v>44</v>
      </c>
      <c r="B136" s="32" t="s">
        <v>403</v>
      </c>
      <c r="C136" s="7" t="s">
        <v>406</v>
      </c>
      <c r="D136" s="32" t="s">
        <v>407</v>
      </c>
      <c r="E136" s="21" t="n">
        <v>1187</v>
      </c>
      <c r="F136" s="21" t="n">
        <v>0</v>
      </c>
      <c r="G136" s="22" t="n">
        <v>0</v>
      </c>
      <c r="H136" s="22" t="n">
        <v>195.37</v>
      </c>
      <c r="I136" s="23" t="n">
        <v>48</v>
      </c>
      <c r="J136" s="21" t="n">
        <v>3</v>
      </c>
      <c r="K136" s="21" t="n">
        <v>0</v>
      </c>
      <c r="L136" s="21" t="n">
        <v>0</v>
      </c>
      <c r="M136" s="22" t="n">
        <f aca="false">IFERROR(L136/E136*1000,0)</f>
        <v>0</v>
      </c>
      <c r="N136" s="22" t="n">
        <f aca="false">IFERROR(J136/E136*100,0)</f>
        <v>0.25273799494524</v>
      </c>
      <c r="O136" s="32" t="str">
        <f aca="false">IF(H136&lt;30,"00-30",IF(H136&lt;40,"30-40",IF(H136&lt;50,"40-50",IF(H136&lt;60,"50-60",IF(H136&lt;70,"60-70","70+")))))</f>
        <v>70+</v>
      </c>
      <c r="P136" s="37" t="n">
        <f aca="false">IFERROR(VALUE(SUBSTITUTE(B136,"-","")),0)</f>
        <v>20260706</v>
      </c>
    </row>
    <row r="137" customFormat="false" ht="15" hidden="false" customHeight="false" outlineLevel="0" collapsed="false">
      <c r="A137" s="14" t="s">
        <v>44</v>
      </c>
      <c r="B137" s="32" t="s">
        <v>408</v>
      </c>
      <c r="C137" s="7" t="s">
        <v>409</v>
      </c>
      <c r="D137" s="32" t="s">
        <v>410</v>
      </c>
      <c r="E137" s="21" t="n">
        <v>1231</v>
      </c>
      <c r="F137" s="21" t="n">
        <v>0</v>
      </c>
      <c r="G137" s="22" t="n">
        <v>0</v>
      </c>
      <c r="H137" s="22" t="n">
        <v>51.44</v>
      </c>
      <c r="I137" s="23" t="n">
        <v>17</v>
      </c>
      <c r="J137" s="21" t="n">
        <v>5</v>
      </c>
      <c r="K137" s="21" t="n">
        <v>0</v>
      </c>
      <c r="L137" s="21" t="n">
        <v>0</v>
      </c>
      <c r="M137" s="22" t="n">
        <f aca="false">IFERROR(L137/E137*1000,0)</f>
        <v>0</v>
      </c>
      <c r="N137" s="22" t="n">
        <f aca="false">IFERROR(J137/E137*100,0)</f>
        <v>0.406173842404549</v>
      </c>
      <c r="O137" s="32" t="str">
        <f aca="false">IF(H137&lt;30,"00-30",IF(H137&lt;40,"30-40",IF(H137&lt;50,"40-50",IF(H137&lt;60,"50-60",IF(H137&lt;70,"60-70","70+")))))</f>
        <v>50-60</v>
      </c>
      <c r="P137" s="37" t="n">
        <f aca="false">IFERROR(VALUE(SUBSTITUTE(B137,"-","")),0)</f>
        <v>20260707</v>
      </c>
    </row>
    <row r="138" customFormat="false" ht="23.85" hidden="false" customHeight="false" outlineLevel="0" collapsed="false">
      <c r="A138" s="14" t="s">
        <v>44</v>
      </c>
      <c r="B138" s="32" t="s">
        <v>408</v>
      </c>
      <c r="C138" s="7" t="s">
        <v>411</v>
      </c>
      <c r="D138" s="32" t="s">
        <v>412</v>
      </c>
      <c r="E138" s="21" t="n">
        <v>1264</v>
      </c>
      <c r="F138" s="21" t="n">
        <v>0</v>
      </c>
      <c r="G138" s="22" t="n">
        <v>0</v>
      </c>
      <c r="H138" s="22" t="n">
        <v>59.09</v>
      </c>
      <c r="I138" s="23" t="n">
        <v>14</v>
      </c>
      <c r="J138" s="21" t="n">
        <v>5</v>
      </c>
      <c r="K138" s="21" t="n">
        <v>0</v>
      </c>
      <c r="L138" s="21" t="n">
        <v>0</v>
      </c>
      <c r="M138" s="22" t="n">
        <f aca="false">IFERROR(L138/E138*1000,0)</f>
        <v>0</v>
      </c>
      <c r="N138" s="22" t="n">
        <f aca="false">IFERROR(J138/E138*100,0)</f>
        <v>0.395569620253165</v>
      </c>
      <c r="O138" s="32" t="str">
        <f aca="false">IF(H138&lt;30,"00-30",IF(H138&lt;40,"30-40",IF(H138&lt;50,"40-50",IF(H138&lt;60,"50-60",IF(H138&lt;70,"60-70","70+")))))</f>
        <v>50-60</v>
      </c>
      <c r="P138" s="37" t="n">
        <f aca="false">IFERROR(VALUE(SUBSTITUTE(B138,"-","")),0)</f>
        <v>20260707</v>
      </c>
    </row>
    <row r="139" customFormat="false" ht="15" hidden="false" customHeight="false" outlineLevel="0" collapsed="false">
      <c r="A139" s="14" t="s">
        <v>44</v>
      </c>
      <c r="B139" s="32" t="s">
        <v>408</v>
      </c>
      <c r="C139" s="7" t="s">
        <v>413</v>
      </c>
      <c r="D139" s="32" t="s">
        <v>414</v>
      </c>
      <c r="E139" s="21" t="n">
        <v>1344</v>
      </c>
      <c r="F139" s="21" t="n">
        <v>0</v>
      </c>
      <c r="G139" s="22" t="n">
        <v>0</v>
      </c>
      <c r="H139" s="22" t="n">
        <v>49.98</v>
      </c>
      <c r="I139" s="23" t="n">
        <v>18</v>
      </c>
      <c r="J139" s="21" t="n">
        <v>5</v>
      </c>
      <c r="K139" s="21" t="n">
        <v>0</v>
      </c>
      <c r="L139" s="21" t="n">
        <v>0</v>
      </c>
      <c r="M139" s="22" t="n">
        <f aca="false">IFERROR(L139/E139*1000,0)</f>
        <v>0</v>
      </c>
      <c r="N139" s="22" t="n">
        <f aca="false">IFERROR(J139/E139*100,0)</f>
        <v>0.37202380952381</v>
      </c>
      <c r="O139" s="32" t="str">
        <f aca="false">IF(H139&lt;30,"00-30",IF(H139&lt;40,"30-40",IF(H139&lt;50,"40-50",IF(H139&lt;60,"50-60",IF(H139&lt;70,"60-70","70+")))))</f>
        <v>40-50</v>
      </c>
      <c r="P139" s="37" t="n">
        <f aca="false">IFERROR(VALUE(SUBSTITUTE(B139,"-","")),0)</f>
        <v>20260707</v>
      </c>
    </row>
    <row r="140" customFormat="false" ht="15" hidden="false" customHeight="false" outlineLevel="0" collapsed="false">
      <c r="A140" s="14" t="s">
        <v>44</v>
      </c>
      <c r="B140" s="32" t="s">
        <v>415</v>
      </c>
      <c r="C140" s="7" t="s">
        <v>416</v>
      </c>
      <c r="D140" s="32" t="s">
        <v>417</v>
      </c>
      <c r="E140" s="21" t="n">
        <v>275</v>
      </c>
      <c r="F140" s="21" t="n">
        <v>0</v>
      </c>
      <c r="G140" s="22" t="n">
        <v>0</v>
      </c>
      <c r="H140" s="22" t="n">
        <v>47.16</v>
      </c>
      <c r="I140" s="23" t="n">
        <v>14</v>
      </c>
      <c r="J140" s="21" t="n">
        <v>0</v>
      </c>
      <c r="K140" s="21" t="n">
        <v>0</v>
      </c>
      <c r="L140" s="21" t="n">
        <v>0</v>
      </c>
      <c r="M140" s="22" t="n">
        <f aca="false">IFERROR(L140/E140*1000,0)</f>
        <v>0</v>
      </c>
      <c r="N140" s="22" t="n">
        <f aca="false">IFERROR(J140/E140*100,0)</f>
        <v>0</v>
      </c>
      <c r="O140" s="32" t="str">
        <f aca="false">IF(H140&lt;30,"00-30",IF(H140&lt;40,"30-40",IF(H140&lt;50,"40-50",IF(H140&lt;60,"50-60",IF(H140&lt;70,"60-70","70+")))))</f>
        <v>40-50</v>
      </c>
      <c r="P140" s="37" t="n">
        <f aca="false">IFERROR(VALUE(SUBSTITUTE(B140,"-","")),0)</f>
        <v>20260708</v>
      </c>
    </row>
    <row r="141" customFormat="false" ht="15" hidden="false" customHeight="false" outlineLevel="0" collapsed="false">
      <c r="A141" s="14" t="s">
        <v>44</v>
      </c>
      <c r="B141" s="32" t="s">
        <v>415</v>
      </c>
      <c r="C141" s="7" t="s">
        <v>418</v>
      </c>
      <c r="D141" s="32" t="s">
        <v>419</v>
      </c>
      <c r="E141" s="21" t="n">
        <v>985</v>
      </c>
      <c r="F141" s="21" t="n">
        <v>0</v>
      </c>
      <c r="G141" s="22" t="n">
        <v>0</v>
      </c>
      <c r="H141" s="22" t="n">
        <v>70.36</v>
      </c>
      <c r="I141" s="23" t="n">
        <v>24</v>
      </c>
      <c r="J141" s="21" t="n">
        <v>6</v>
      </c>
      <c r="K141" s="21" t="n">
        <v>0</v>
      </c>
      <c r="L141" s="21" t="n">
        <v>0</v>
      </c>
      <c r="M141" s="22" t="n">
        <f aca="false">IFERROR(L141/E141*1000,0)</f>
        <v>0</v>
      </c>
      <c r="N141" s="22" t="n">
        <f aca="false">IFERROR(J141/E141*100,0)</f>
        <v>0.609137055837563</v>
      </c>
      <c r="O141" s="32" t="str">
        <f aca="false">IF(H141&lt;30,"00-30",IF(H141&lt;40,"30-40",IF(H141&lt;50,"40-50",IF(H141&lt;60,"50-60",IF(H141&lt;70,"60-70","70+")))))</f>
        <v>70+</v>
      </c>
      <c r="P141" s="37" t="n">
        <f aca="false">IFERROR(VALUE(SUBSTITUTE(B141,"-","")),0)</f>
        <v>20260708</v>
      </c>
    </row>
    <row r="142" customFormat="false" ht="15" hidden="false" customHeight="false" outlineLevel="0" collapsed="false">
      <c r="A142" s="14" t="s">
        <v>44</v>
      </c>
      <c r="B142" s="32" t="s">
        <v>415</v>
      </c>
      <c r="C142" s="7" t="s">
        <v>420</v>
      </c>
      <c r="D142" s="32" t="s">
        <v>421</v>
      </c>
      <c r="E142" s="21" t="n">
        <v>1144</v>
      </c>
      <c r="F142" s="21" t="n">
        <v>0</v>
      </c>
      <c r="G142" s="22" t="n">
        <v>0</v>
      </c>
      <c r="H142" s="22" t="n">
        <v>39.67</v>
      </c>
      <c r="I142" s="23" t="n">
        <v>15</v>
      </c>
      <c r="J142" s="21" t="n">
        <v>3</v>
      </c>
      <c r="K142" s="21" t="n">
        <v>0</v>
      </c>
      <c r="L142" s="21" t="n">
        <v>0</v>
      </c>
      <c r="M142" s="22" t="n">
        <f aca="false">IFERROR(L142/E142*1000,0)</f>
        <v>0</v>
      </c>
      <c r="N142" s="22" t="n">
        <f aca="false">IFERROR(J142/E142*100,0)</f>
        <v>0.262237762237762</v>
      </c>
      <c r="O142" s="32" t="str">
        <f aca="false">IF(H142&lt;30,"00-30",IF(H142&lt;40,"30-40",IF(H142&lt;50,"40-50",IF(H142&lt;60,"50-60",IF(H142&lt;70,"60-70","70+")))))</f>
        <v>30-40</v>
      </c>
      <c r="P142" s="37" t="n">
        <f aca="false">IFERROR(VALUE(SUBSTITUTE(B142,"-","")),0)</f>
        <v>20260708</v>
      </c>
    </row>
    <row r="143" customFormat="false" ht="15" hidden="false" customHeight="false" outlineLevel="0" collapsed="false">
      <c r="A143" s="14" t="s">
        <v>44</v>
      </c>
      <c r="B143" s="32" t="s">
        <v>422</v>
      </c>
      <c r="C143" s="7" t="s">
        <v>423</v>
      </c>
      <c r="D143" s="32" t="s">
        <v>424</v>
      </c>
      <c r="E143" s="21" t="n">
        <v>957</v>
      </c>
      <c r="F143" s="21" t="n">
        <v>0</v>
      </c>
      <c r="G143" s="22" t="n">
        <v>0</v>
      </c>
      <c r="H143" s="22" t="n">
        <v>38.36</v>
      </c>
      <c r="I143" s="23" t="n">
        <v>10</v>
      </c>
      <c r="J143" s="21" t="n">
        <v>6</v>
      </c>
      <c r="K143" s="21" t="n">
        <v>0</v>
      </c>
      <c r="L143" s="21" t="n">
        <v>0</v>
      </c>
      <c r="M143" s="22" t="n">
        <f aca="false">IFERROR(L143/E143*1000,0)</f>
        <v>0</v>
      </c>
      <c r="N143" s="22" t="n">
        <f aca="false">IFERROR(J143/E143*100,0)</f>
        <v>0.626959247648903</v>
      </c>
      <c r="O143" s="32" t="str">
        <f aca="false">IF(H143&lt;30,"00-30",IF(H143&lt;40,"30-40",IF(H143&lt;50,"40-50",IF(H143&lt;60,"50-60",IF(H143&lt;70,"60-70","70+")))))</f>
        <v>30-40</v>
      </c>
      <c r="P143" s="37" t="n">
        <f aca="false">IFERROR(VALUE(SUBSTITUTE(B143,"-","")),0)</f>
        <v>20260709</v>
      </c>
    </row>
    <row r="144" customFormat="false" ht="15" hidden="false" customHeight="false" outlineLevel="0" collapsed="false">
      <c r="A144" s="14" t="s">
        <v>44</v>
      </c>
      <c r="B144" s="32" t="s">
        <v>422</v>
      </c>
      <c r="C144" s="7" t="s">
        <v>425</v>
      </c>
      <c r="D144" s="32" t="s">
        <v>426</v>
      </c>
      <c r="E144" s="21" t="n">
        <v>952</v>
      </c>
      <c r="F144" s="21" t="n">
        <v>0</v>
      </c>
      <c r="G144" s="22" t="n">
        <v>0</v>
      </c>
      <c r="H144" s="22" t="n">
        <v>51.09</v>
      </c>
      <c r="I144" s="23" t="n">
        <v>11</v>
      </c>
      <c r="J144" s="21" t="n">
        <v>1</v>
      </c>
      <c r="K144" s="21" t="n">
        <v>0</v>
      </c>
      <c r="L144" s="21" t="n">
        <v>0</v>
      </c>
      <c r="M144" s="22" t="n">
        <f aca="false">IFERROR(L144/E144*1000,0)</f>
        <v>0</v>
      </c>
      <c r="N144" s="22" t="n">
        <f aca="false">IFERROR(J144/E144*100,0)</f>
        <v>0.105042016806723</v>
      </c>
      <c r="O144" s="32" t="str">
        <f aca="false">IF(H144&lt;30,"00-30",IF(H144&lt;40,"30-40",IF(H144&lt;50,"40-50",IF(H144&lt;60,"50-60",IF(H144&lt;70,"60-70","70+")))))</f>
        <v>50-60</v>
      </c>
      <c r="P144" s="37" t="n">
        <f aca="false">IFERROR(VALUE(SUBSTITUTE(B144,"-","")),0)</f>
        <v>20260709</v>
      </c>
    </row>
    <row r="145" customFormat="false" ht="15" hidden="false" customHeight="false" outlineLevel="0" collapsed="false">
      <c r="A145" s="14" t="s">
        <v>44</v>
      </c>
      <c r="B145" s="32" t="s">
        <v>422</v>
      </c>
      <c r="C145" s="7" t="s">
        <v>427</v>
      </c>
      <c r="D145" s="32" t="s">
        <v>428</v>
      </c>
      <c r="E145" s="21" t="n">
        <v>1251</v>
      </c>
      <c r="F145" s="21" t="n">
        <v>0</v>
      </c>
      <c r="G145" s="22" t="n">
        <v>0</v>
      </c>
      <c r="H145" s="22" t="n">
        <v>56.73</v>
      </c>
      <c r="I145" s="23" t="n">
        <v>20</v>
      </c>
      <c r="J145" s="21" t="n">
        <v>9</v>
      </c>
      <c r="K145" s="21" t="n">
        <v>1</v>
      </c>
      <c r="L145" s="21" t="n">
        <v>1</v>
      </c>
      <c r="M145" s="22" t="n">
        <f aca="false">IFERROR(L145/E145*1000,0)</f>
        <v>0.799360511590727</v>
      </c>
      <c r="N145" s="22" t="n">
        <f aca="false">IFERROR(J145/E145*100,0)</f>
        <v>0.719424460431655</v>
      </c>
      <c r="O145" s="32" t="str">
        <f aca="false">IF(H145&lt;30,"00-30",IF(H145&lt;40,"30-40",IF(H145&lt;50,"40-50",IF(H145&lt;60,"50-60",IF(H145&lt;70,"60-70","70+")))))</f>
        <v>50-60</v>
      </c>
      <c r="P145" s="37" t="n">
        <f aca="false">IFERROR(VALUE(SUBSTITUTE(B145,"-","")),0)</f>
        <v>20260709</v>
      </c>
    </row>
    <row r="146" customFormat="false" ht="15" hidden="false" customHeight="false" outlineLevel="0" collapsed="false">
      <c r="A146" s="14" t="s">
        <v>44</v>
      </c>
      <c r="B146" s="32" t="s">
        <v>422</v>
      </c>
      <c r="C146" s="7" t="s">
        <v>429</v>
      </c>
      <c r="D146" s="32" t="s">
        <v>430</v>
      </c>
      <c r="E146" s="21" t="n">
        <v>1082</v>
      </c>
      <c r="F146" s="21" t="n">
        <v>0</v>
      </c>
      <c r="G146" s="22" t="n">
        <v>0</v>
      </c>
      <c r="H146" s="22" t="n">
        <v>65.62</v>
      </c>
      <c r="I146" s="23" t="n">
        <v>24</v>
      </c>
      <c r="J146" s="21" t="n">
        <v>12</v>
      </c>
      <c r="K146" s="21" t="n">
        <v>0</v>
      </c>
      <c r="L146" s="21" t="n">
        <v>0</v>
      </c>
      <c r="M146" s="22" t="n">
        <f aca="false">IFERROR(L146/E146*1000,0)</f>
        <v>0</v>
      </c>
      <c r="N146" s="22" t="n">
        <f aca="false">IFERROR(J146/E146*100,0)</f>
        <v>1.1090573012939</v>
      </c>
      <c r="O146" s="32" t="str">
        <f aca="false">IF(H146&lt;30,"00-30",IF(H146&lt;40,"30-40",IF(H146&lt;50,"40-50",IF(H146&lt;60,"50-60",IF(H146&lt;70,"60-70","70+")))))</f>
        <v>60-70</v>
      </c>
      <c r="P146" s="37" t="n">
        <f aca="false">IFERROR(VALUE(SUBSTITUTE(B146,"-","")),0)</f>
        <v>20260709</v>
      </c>
    </row>
    <row r="147" customFormat="false" ht="15" hidden="false" customHeight="false" outlineLevel="0" collapsed="false">
      <c r="A147" s="14" t="s">
        <v>44</v>
      </c>
      <c r="B147" s="32" t="s">
        <v>431</v>
      </c>
      <c r="C147" s="7" t="s">
        <v>432</v>
      </c>
      <c r="D147" s="32" t="s">
        <v>433</v>
      </c>
      <c r="E147" s="21" t="n">
        <v>1043</v>
      </c>
      <c r="F147" s="21" t="n">
        <v>0</v>
      </c>
      <c r="G147" s="22" t="n">
        <v>0</v>
      </c>
      <c r="H147" s="22" t="n">
        <v>56.91</v>
      </c>
      <c r="I147" s="23" t="n">
        <v>13</v>
      </c>
      <c r="J147" s="21" t="n">
        <v>4</v>
      </c>
      <c r="K147" s="21" t="n">
        <v>0</v>
      </c>
      <c r="L147" s="21" t="n">
        <v>0</v>
      </c>
      <c r="M147" s="22" t="n">
        <f aca="false">IFERROR(L147/E147*1000,0)</f>
        <v>0</v>
      </c>
      <c r="N147" s="22" t="n">
        <f aca="false">IFERROR(J147/E147*100,0)</f>
        <v>0.383509108341323</v>
      </c>
      <c r="O147" s="32" t="str">
        <f aca="false">IF(H147&lt;30,"00-30",IF(H147&lt;40,"30-40",IF(H147&lt;50,"40-50",IF(H147&lt;60,"50-60",IF(H147&lt;70,"60-70","70+")))))</f>
        <v>50-60</v>
      </c>
      <c r="P147" s="37" t="n">
        <f aca="false">IFERROR(VALUE(SUBSTITUTE(B147,"-","")),0)</f>
        <v>20260710</v>
      </c>
    </row>
    <row r="148" customFormat="false" ht="15" hidden="false" customHeight="false" outlineLevel="0" collapsed="false">
      <c r="A148" s="14" t="s">
        <v>44</v>
      </c>
      <c r="B148" s="32" t="s">
        <v>431</v>
      </c>
      <c r="C148" s="7" t="s">
        <v>434</v>
      </c>
      <c r="D148" s="32" t="s">
        <v>435</v>
      </c>
      <c r="E148" s="21" t="n">
        <v>1519</v>
      </c>
      <c r="F148" s="21" t="n">
        <v>0</v>
      </c>
      <c r="G148" s="22" t="n">
        <v>0</v>
      </c>
      <c r="H148" s="22" t="n">
        <v>98.89</v>
      </c>
      <c r="I148" s="23" t="n">
        <v>21</v>
      </c>
      <c r="J148" s="21" t="n">
        <v>7</v>
      </c>
      <c r="K148" s="21" t="n">
        <v>0</v>
      </c>
      <c r="L148" s="21" t="n">
        <v>1</v>
      </c>
      <c r="M148" s="22" t="n">
        <f aca="false">IFERROR(L148/E148*1000,0)</f>
        <v>0.658327847267939</v>
      </c>
      <c r="N148" s="22" t="n">
        <f aca="false">IFERROR(J148/E148*100,0)</f>
        <v>0.460829493087558</v>
      </c>
      <c r="O148" s="32" t="str">
        <f aca="false">IF(H148&lt;30,"00-30",IF(H148&lt;40,"30-40",IF(H148&lt;50,"40-50",IF(H148&lt;60,"50-60",IF(H148&lt;70,"60-70","70+")))))</f>
        <v>70+</v>
      </c>
      <c r="P148" s="37" t="n">
        <f aca="false">IFERROR(VALUE(SUBSTITUTE(B148,"-","")),0)</f>
        <v>20260710</v>
      </c>
    </row>
    <row r="149" customFormat="false" ht="15" hidden="false" customHeight="false" outlineLevel="0" collapsed="false">
      <c r="A149" s="14" t="s">
        <v>44</v>
      </c>
      <c r="B149" s="32" t="s">
        <v>431</v>
      </c>
      <c r="C149" s="7" t="s">
        <v>436</v>
      </c>
      <c r="D149" s="32" t="s">
        <v>437</v>
      </c>
      <c r="E149" s="21" t="n">
        <v>899</v>
      </c>
      <c r="F149" s="21" t="n">
        <v>0</v>
      </c>
      <c r="G149" s="22" t="n">
        <v>0</v>
      </c>
      <c r="H149" s="22" t="n">
        <v>58.22</v>
      </c>
      <c r="I149" s="23" t="n">
        <v>12</v>
      </c>
      <c r="J149" s="21" t="n">
        <v>11</v>
      </c>
      <c r="K149" s="21" t="n">
        <v>0</v>
      </c>
      <c r="L149" s="21" t="n">
        <v>1</v>
      </c>
      <c r="M149" s="22" t="n">
        <f aca="false">IFERROR(L149/E149*1000,0)</f>
        <v>1.11234705228031</v>
      </c>
      <c r="N149" s="22" t="n">
        <f aca="false">IFERROR(J149/E149*100,0)</f>
        <v>1.22358175750834</v>
      </c>
      <c r="O149" s="32" t="str">
        <f aca="false">IF(H149&lt;30,"00-30",IF(H149&lt;40,"30-40",IF(H149&lt;50,"40-50",IF(H149&lt;60,"50-60",IF(H149&lt;70,"60-70","70+")))))</f>
        <v>50-60</v>
      </c>
      <c r="P149" s="37" t="n">
        <f aca="false">IFERROR(VALUE(SUBSTITUTE(B149,"-","")),0)</f>
        <v>20260710</v>
      </c>
    </row>
    <row r="150" customFormat="false" ht="15" hidden="false" customHeight="false" outlineLevel="0" collapsed="false">
      <c r="A150" s="14" t="s">
        <v>44</v>
      </c>
      <c r="B150" s="32" t="s">
        <v>438</v>
      </c>
      <c r="C150" s="7" t="s">
        <v>439</v>
      </c>
      <c r="D150" s="32" t="s">
        <v>440</v>
      </c>
      <c r="E150" s="21" t="n">
        <v>1168</v>
      </c>
      <c r="F150" s="21" t="n">
        <v>0</v>
      </c>
      <c r="G150" s="22" t="n">
        <v>0</v>
      </c>
      <c r="H150" s="22" t="n">
        <v>63.02</v>
      </c>
      <c r="I150" s="23" t="n">
        <v>14</v>
      </c>
      <c r="J150" s="21" t="n">
        <v>2</v>
      </c>
      <c r="K150" s="21" t="n">
        <v>0</v>
      </c>
      <c r="L150" s="21" t="n">
        <v>0</v>
      </c>
      <c r="M150" s="22" t="n">
        <f aca="false">IFERROR(L150/E150*1000,0)</f>
        <v>0</v>
      </c>
      <c r="N150" s="22" t="n">
        <f aca="false">IFERROR(J150/E150*100,0)</f>
        <v>0.171232876712329</v>
      </c>
      <c r="O150" s="32" t="str">
        <f aca="false">IF(H150&lt;30,"00-30",IF(H150&lt;40,"30-40",IF(H150&lt;50,"40-50",IF(H150&lt;60,"50-60",IF(H150&lt;70,"60-70","70+")))))</f>
        <v>60-70</v>
      </c>
      <c r="P150" s="37" t="n">
        <f aca="false">IFERROR(VALUE(SUBSTITUTE(B150,"-","")),0)</f>
        <v>20260711</v>
      </c>
    </row>
    <row r="151" customFormat="false" ht="15" hidden="false" customHeight="false" outlineLevel="0" collapsed="false">
      <c r="A151" s="14" t="s">
        <v>44</v>
      </c>
      <c r="B151" s="32" t="s">
        <v>438</v>
      </c>
      <c r="C151" s="7" t="s">
        <v>441</v>
      </c>
      <c r="D151" s="32" t="s">
        <v>442</v>
      </c>
      <c r="E151" s="21" t="n">
        <v>1139</v>
      </c>
      <c r="F151" s="21" t="n">
        <v>0</v>
      </c>
      <c r="G151" s="22" t="n">
        <v>0</v>
      </c>
      <c r="H151" s="22" t="n">
        <v>42.54</v>
      </c>
      <c r="I151" s="23" t="n">
        <v>14</v>
      </c>
      <c r="J151" s="21" t="n">
        <v>9</v>
      </c>
      <c r="K151" s="21" t="n">
        <v>1</v>
      </c>
      <c r="L151" s="21" t="n">
        <v>0</v>
      </c>
      <c r="M151" s="22" t="n">
        <f aca="false">IFERROR(L151/E151*1000,0)</f>
        <v>0</v>
      </c>
      <c r="N151" s="22" t="n">
        <f aca="false">IFERROR(J151/E151*100,0)</f>
        <v>0.790166812993854</v>
      </c>
      <c r="O151" s="32" t="str">
        <f aca="false">IF(H151&lt;30,"00-30",IF(H151&lt;40,"30-40",IF(H151&lt;50,"40-50",IF(H151&lt;60,"50-60",IF(H151&lt;70,"60-70","70+")))))</f>
        <v>40-50</v>
      </c>
      <c r="P151" s="37" t="n">
        <f aca="false">IFERROR(VALUE(SUBSTITUTE(B151,"-","")),0)</f>
        <v>20260711</v>
      </c>
    </row>
    <row r="152" customFormat="false" ht="15" hidden="false" customHeight="false" outlineLevel="0" collapsed="false">
      <c r="A152" s="14" t="s">
        <v>44</v>
      </c>
      <c r="B152" s="32" t="s">
        <v>438</v>
      </c>
      <c r="C152" s="7" t="s">
        <v>443</v>
      </c>
      <c r="D152" s="32" t="s">
        <v>444</v>
      </c>
      <c r="E152" s="21" t="n">
        <v>1083</v>
      </c>
      <c r="F152" s="21" t="n">
        <v>0</v>
      </c>
      <c r="G152" s="22" t="n">
        <v>0</v>
      </c>
      <c r="H152" s="22" t="n">
        <v>74.8</v>
      </c>
      <c r="I152" s="23" t="n">
        <v>37</v>
      </c>
      <c r="J152" s="21" t="n">
        <v>3</v>
      </c>
      <c r="K152" s="21" t="n">
        <v>1</v>
      </c>
      <c r="L152" s="21" t="n">
        <v>0</v>
      </c>
      <c r="M152" s="22" t="n">
        <f aca="false">IFERROR(L152/E152*1000,0)</f>
        <v>0</v>
      </c>
      <c r="N152" s="22" t="n">
        <f aca="false">IFERROR(J152/E152*100,0)</f>
        <v>0.277008310249308</v>
      </c>
      <c r="O152" s="32" t="str">
        <f aca="false">IF(H152&lt;30,"00-30",IF(H152&lt;40,"30-40",IF(H152&lt;50,"40-50",IF(H152&lt;60,"50-60",IF(H152&lt;70,"60-70","70+")))))</f>
        <v>70+</v>
      </c>
      <c r="P152" s="37" t="n">
        <f aca="false">IFERROR(VALUE(SUBSTITUTE(B152,"-","")),0)</f>
        <v>20260711</v>
      </c>
    </row>
    <row r="153" customFormat="false" ht="15" hidden="false" customHeight="false" outlineLevel="0" collapsed="false">
      <c r="A153" s="14" t="s">
        <v>44</v>
      </c>
      <c r="B153" s="32" t="s">
        <v>445</v>
      </c>
      <c r="C153" s="7" t="s">
        <v>446</v>
      </c>
      <c r="D153" s="32" t="s">
        <v>447</v>
      </c>
      <c r="E153" s="21" t="n">
        <v>1062</v>
      </c>
      <c r="F153" s="21" t="n">
        <v>0</v>
      </c>
      <c r="G153" s="22" t="n">
        <v>0</v>
      </c>
      <c r="H153" s="22" t="n">
        <v>64.69</v>
      </c>
      <c r="I153" s="23" t="n">
        <v>13</v>
      </c>
      <c r="J153" s="21" t="n">
        <v>7</v>
      </c>
      <c r="K153" s="21" t="n">
        <v>0</v>
      </c>
      <c r="L153" s="21" t="n">
        <v>1</v>
      </c>
      <c r="M153" s="22" t="n">
        <f aca="false">IFERROR(L153/E153*1000,0)</f>
        <v>0.941619585687382</v>
      </c>
      <c r="N153" s="22" t="n">
        <f aca="false">IFERROR(J153/E153*100,0)</f>
        <v>0.659133709981168</v>
      </c>
      <c r="O153" s="32" t="str">
        <f aca="false">IF(H153&lt;30,"00-30",IF(H153&lt;40,"30-40",IF(H153&lt;50,"40-50",IF(H153&lt;60,"50-60",IF(H153&lt;70,"60-70","70+")))))</f>
        <v>60-70</v>
      </c>
      <c r="P153" s="37" t="n">
        <f aca="false">IFERROR(VALUE(SUBSTITUTE(B153,"-","")),0)</f>
        <v>20260712</v>
      </c>
    </row>
    <row r="154" customFormat="false" ht="15" hidden="false" customHeight="false" outlineLevel="0" collapsed="false">
      <c r="A154" s="14" t="s">
        <v>44</v>
      </c>
      <c r="B154" s="32" t="s">
        <v>445</v>
      </c>
      <c r="C154" s="7" t="s">
        <v>448</v>
      </c>
      <c r="D154" s="32" t="s">
        <v>449</v>
      </c>
      <c r="E154" s="21" t="n">
        <v>998</v>
      </c>
      <c r="F154" s="21" t="n">
        <v>0</v>
      </c>
      <c r="G154" s="22" t="n">
        <v>0</v>
      </c>
      <c r="H154" s="22" t="n">
        <v>42.96</v>
      </c>
      <c r="I154" s="23" t="n">
        <v>15</v>
      </c>
      <c r="J154" s="21" t="n">
        <v>8</v>
      </c>
      <c r="K154" s="21" t="n">
        <v>0</v>
      </c>
      <c r="L154" s="21" t="n">
        <v>1</v>
      </c>
      <c r="M154" s="22" t="n">
        <f aca="false">IFERROR(L154/E154*1000,0)</f>
        <v>1.00200400801603</v>
      </c>
      <c r="N154" s="22" t="n">
        <f aca="false">IFERROR(J154/E154*100,0)</f>
        <v>0.801603206412826</v>
      </c>
      <c r="O154" s="32" t="str">
        <f aca="false">IF(H154&lt;30,"00-30",IF(H154&lt;40,"30-40",IF(H154&lt;50,"40-50",IF(H154&lt;60,"50-60",IF(H154&lt;70,"60-70","70+")))))</f>
        <v>40-50</v>
      </c>
      <c r="P154" s="37" t="n">
        <f aca="false">IFERROR(VALUE(SUBSTITUTE(B154,"-","")),0)</f>
        <v>20260712</v>
      </c>
    </row>
    <row r="155" customFormat="false" ht="15" hidden="false" customHeight="false" outlineLevel="0" collapsed="false">
      <c r="A155" s="14" t="s">
        <v>44</v>
      </c>
      <c r="B155" s="32" t="s">
        <v>450</v>
      </c>
      <c r="C155" s="7" t="s">
        <v>451</v>
      </c>
      <c r="D155" s="32" t="s">
        <v>452</v>
      </c>
      <c r="E155" s="21" t="n">
        <v>1033</v>
      </c>
      <c r="F155" s="21" t="n">
        <v>0</v>
      </c>
      <c r="G155" s="22" t="n">
        <v>0</v>
      </c>
      <c r="H155" s="22" t="n">
        <v>67.9</v>
      </c>
      <c r="I155" s="23" t="n">
        <v>13</v>
      </c>
      <c r="J155" s="21" t="n">
        <v>4</v>
      </c>
      <c r="K155" s="21" t="n">
        <v>0</v>
      </c>
      <c r="L155" s="21" t="n">
        <v>1</v>
      </c>
      <c r="M155" s="22" t="n">
        <f aca="false">IFERROR(L155/E155*1000,0)</f>
        <v>0.968054211035818</v>
      </c>
      <c r="N155" s="22" t="n">
        <f aca="false">IFERROR(J155/E155*100,0)</f>
        <v>0.387221684414327</v>
      </c>
      <c r="O155" s="32" t="str">
        <f aca="false">IF(H155&lt;30,"00-30",IF(H155&lt;40,"30-40",IF(H155&lt;50,"40-50",IF(H155&lt;60,"50-60",IF(H155&lt;70,"60-70","70+")))))</f>
        <v>60-70</v>
      </c>
      <c r="P155" s="37" t="n">
        <f aca="false">IFERROR(VALUE(SUBSTITUTE(B155,"-","")),0)</f>
        <v>20260713</v>
      </c>
    </row>
    <row r="156" customFormat="false" ht="15" hidden="false" customHeight="false" outlineLevel="0" collapsed="false">
      <c r="A156" s="14" t="s">
        <v>44</v>
      </c>
      <c r="B156" s="32" t="s">
        <v>450</v>
      </c>
      <c r="C156" s="7" t="s">
        <v>453</v>
      </c>
      <c r="D156" s="32" t="s">
        <v>454</v>
      </c>
      <c r="E156" s="21" t="n">
        <v>1194</v>
      </c>
      <c r="F156" s="21" t="n">
        <v>0</v>
      </c>
      <c r="G156" s="22" t="n">
        <v>0</v>
      </c>
      <c r="H156" s="22" t="n">
        <v>37.81</v>
      </c>
      <c r="I156" s="23" t="n">
        <v>13</v>
      </c>
      <c r="J156" s="21" t="n">
        <v>7</v>
      </c>
      <c r="K156" s="21" t="n">
        <v>0</v>
      </c>
      <c r="L156" s="21" t="n">
        <v>1</v>
      </c>
      <c r="M156" s="22" t="n">
        <f aca="false">IFERROR(L156/E156*1000,0)</f>
        <v>0.837520938023451</v>
      </c>
      <c r="N156" s="22" t="n">
        <f aca="false">IFERROR(J156/E156*100,0)</f>
        <v>0.586264656616415</v>
      </c>
      <c r="O156" s="32" t="str">
        <f aca="false">IF(H156&lt;30,"00-30",IF(H156&lt;40,"30-40",IF(H156&lt;50,"40-50",IF(H156&lt;60,"50-60",IF(H156&lt;70,"60-70","70+")))))</f>
        <v>30-40</v>
      </c>
      <c r="P156" s="37" t="n">
        <f aca="false">IFERROR(VALUE(SUBSTITUTE(B156,"-","")),0)</f>
        <v>20260713</v>
      </c>
    </row>
    <row r="157" customFormat="false" ht="15" hidden="false" customHeight="false" outlineLevel="0" collapsed="false">
      <c r="A157" s="14" t="s">
        <v>44</v>
      </c>
      <c r="B157" s="32" t="s">
        <v>450</v>
      </c>
      <c r="C157" s="7" t="s">
        <v>455</v>
      </c>
      <c r="D157" s="32" t="s">
        <v>456</v>
      </c>
      <c r="E157" s="21" t="n">
        <v>178</v>
      </c>
      <c r="F157" s="21" t="n">
        <v>0</v>
      </c>
      <c r="G157" s="22" t="n">
        <v>0</v>
      </c>
      <c r="H157" s="22" t="n">
        <v>50.25</v>
      </c>
      <c r="I157" s="23" t="n">
        <v>12</v>
      </c>
      <c r="J157" s="21" t="n">
        <v>2</v>
      </c>
      <c r="K157" s="21" t="n">
        <v>0</v>
      </c>
      <c r="L157" s="21" t="n">
        <v>0</v>
      </c>
      <c r="M157" s="22" t="n">
        <f aca="false">IFERROR(L157/E157*1000,0)</f>
        <v>0</v>
      </c>
      <c r="N157" s="22" t="n">
        <f aca="false">IFERROR(J157/E157*100,0)</f>
        <v>1.12359550561798</v>
      </c>
      <c r="O157" s="32" t="str">
        <f aca="false">IF(H157&lt;30,"00-30",IF(H157&lt;40,"30-40",IF(H157&lt;50,"40-50",IF(H157&lt;60,"50-60",IF(H157&lt;70,"60-70","70+")))))</f>
        <v>50-60</v>
      </c>
      <c r="P157" s="37" t="n">
        <f aca="false">IFERROR(VALUE(SUBSTITUTE(B157,"-","")),0)</f>
        <v>20260713</v>
      </c>
    </row>
    <row r="158" customFormat="false" ht="23.85" hidden="false" customHeight="false" outlineLevel="0" collapsed="false">
      <c r="A158" s="14" t="s">
        <v>44</v>
      </c>
      <c r="B158" s="32" t="s">
        <v>457</v>
      </c>
      <c r="C158" s="7" t="s">
        <v>458</v>
      </c>
      <c r="D158" s="32" t="s">
        <v>459</v>
      </c>
      <c r="E158" s="21" t="n">
        <v>574</v>
      </c>
      <c r="F158" s="21" t="n">
        <v>0</v>
      </c>
      <c r="G158" s="22" t="n">
        <v>0</v>
      </c>
      <c r="H158" s="22" t="n">
        <v>120.89</v>
      </c>
      <c r="I158" s="23" t="n">
        <v>47</v>
      </c>
      <c r="J158" s="21" t="n">
        <v>8</v>
      </c>
      <c r="K158" s="21" t="n">
        <v>0</v>
      </c>
      <c r="L158" s="21" t="n">
        <v>1</v>
      </c>
      <c r="M158" s="22" t="n">
        <f aca="false">IFERROR(L158/E158*1000,0)</f>
        <v>1.74216027874564</v>
      </c>
      <c r="N158" s="22" t="n">
        <f aca="false">IFERROR(J158/E158*100,0)</f>
        <v>1.39372822299652</v>
      </c>
      <c r="O158" s="32" t="str">
        <f aca="false">IF(H158&lt;30,"00-30",IF(H158&lt;40,"30-40",IF(H158&lt;50,"40-50",IF(H158&lt;60,"50-60",IF(H158&lt;70,"60-70","70+")))))</f>
        <v>70+</v>
      </c>
      <c r="P158" s="37" t="n">
        <f aca="false">IFERROR(VALUE(SUBSTITUTE(B158,"-","")),0)</f>
        <v>20260714</v>
      </c>
    </row>
    <row r="159" customFormat="false" ht="15" hidden="false" customHeight="false" outlineLevel="0" collapsed="false">
      <c r="A159" s="14" t="s">
        <v>44</v>
      </c>
      <c r="B159" s="32" t="s">
        <v>457</v>
      </c>
      <c r="C159" s="7" t="s">
        <v>460</v>
      </c>
      <c r="D159" s="32" t="s">
        <v>461</v>
      </c>
      <c r="E159" s="21" t="n">
        <v>200</v>
      </c>
      <c r="F159" s="21" t="n">
        <v>0</v>
      </c>
      <c r="G159" s="22" t="n">
        <v>0</v>
      </c>
      <c r="H159" s="22" t="n">
        <v>27.12</v>
      </c>
      <c r="I159" s="23" t="n">
        <v>11</v>
      </c>
      <c r="J159" s="21" t="n">
        <v>0</v>
      </c>
      <c r="K159" s="21" t="n">
        <v>0</v>
      </c>
      <c r="L159" s="21" t="n">
        <v>0</v>
      </c>
      <c r="M159" s="22" t="n">
        <f aca="false">IFERROR(L159/E159*1000,0)</f>
        <v>0</v>
      </c>
      <c r="N159" s="22" t="n">
        <f aca="false">IFERROR(J159/E159*100,0)</f>
        <v>0</v>
      </c>
      <c r="O159" s="32" t="str">
        <f aca="false">IF(H159&lt;30,"00-30",IF(H159&lt;40,"30-40",IF(H159&lt;50,"40-50",IF(H159&lt;60,"50-60",IF(H159&lt;70,"60-70","70+")))))</f>
        <v>00-30</v>
      </c>
      <c r="P159" s="37" t="n">
        <f aca="false">IFERROR(VALUE(SUBSTITUTE(B159,"-","")),0)</f>
        <v>20260714</v>
      </c>
    </row>
    <row r="160" customFormat="false" ht="15" hidden="false" customHeight="false" outlineLevel="0" collapsed="false">
      <c r="A160" s="14" t="s">
        <v>44</v>
      </c>
      <c r="B160" s="32" t="s">
        <v>462</v>
      </c>
      <c r="C160" s="7" t="s">
        <v>463</v>
      </c>
      <c r="D160" s="32" t="s">
        <v>464</v>
      </c>
      <c r="E160" s="21" t="n">
        <v>583</v>
      </c>
      <c r="F160" s="21" t="n">
        <v>0</v>
      </c>
      <c r="G160" s="22" t="n">
        <v>0</v>
      </c>
      <c r="H160" s="22" t="n">
        <v>41.13</v>
      </c>
      <c r="I160" s="23" t="n">
        <v>14</v>
      </c>
      <c r="J160" s="21" t="n">
        <v>4</v>
      </c>
      <c r="K160" s="21" t="n">
        <v>0</v>
      </c>
      <c r="L160" s="21" t="n">
        <v>0</v>
      </c>
      <c r="M160" s="22" t="n">
        <f aca="false">IFERROR(L160/E160*1000,0)</f>
        <v>0</v>
      </c>
      <c r="N160" s="22" t="n">
        <f aca="false">IFERROR(J160/E160*100,0)</f>
        <v>0.686106346483705</v>
      </c>
      <c r="O160" s="32" t="str">
        <f aca="false">IF(H160&lt;30,"00-30",IF(H160&lt;40,"30-40",IF(H160&lt;50,"40-50",IF(H160&lt;60,"50-60",IF(H160&lt;70,"60-70","70+")))))</f>
        <v>40-50</v>
      </c>
      <c r="P160" s="37" t="n">
        <f aca="false">IFERROR(VALUE(SUBSTITUTE(B160,"-","")),0)</f>
        <v>20260715</v>
      </c>
    </row>
    <row r="161" customFormat="false" ht="15" hidden="false" customHeight="false" outlineLevel="0" collapsed="false">
      <c r="A161" s="14" t="s">
        <v>44</v>
      </c>
      <c r="B161" s="32" t="s">
        <v>462</v>
      </c>
      <c r="C161" s="7" t="s">
        <v>465</v>
      </c>
      <c r="D161" s="32" t="s">
        <v>466</v>
      </c>
      <c r="E161" s="21" t="n">
        <v>933</v>
      </c>
      <c r="F161" s="21" t="n">
        <v>0</v>
      </c>
      <c r="G161" s="22" t="n">
        <v>0</v>
      </c>
      <c r="H161" s="22" t="n">
        <v>50.22</v>
      </c>
      <c r="I161" s="23" t="n">
        <v>17</v>
      </c>
      <c r="J161" s="21" t="n">
        <v>9</v>
      </c>
      <c r="K161" s="21" t="n">
        <v>0</v>
      </c>
      <c r="L161" s="21" t="n">
        <v>2</v>
      </c>
      <c r="M161" s="22" t="n">
        <f aca="false">IFERROR(L161/E161*1000,0)</f>
        <v>2.14362272240086</v>
      </c>
      <c r="N161" s="22" t="n">
        <f aca="false">IFERROR(J161/E161*100,0)</f>
        <v>0.964630225080386</v>
      </c>
      <c r="O161" s="32" t="str">
        <f aca="false">IF(H161&lt;30,"00-30",IF(H161&lt;40,"30-40",IF(H161&lt;50,"40-50",IF(H161&lt;60,"50-60",IF(H161&lt;70,"60-70","70+")))))</f>
        <v>50-60</v>
      </c>
      <c r="P161" s="37" t="n">
        <f aca="false">IFERROR(VALUE(SUBSTITUTE(B161,"-","")),0)</f>
        <v>20260715</v>
      </c>
    </row>
    <row r="162" customFormat="false" ht="15" hidden="false" customHeight="false" outlineLevel="0" collapsed="false">
      <c r="A162" s="14" t="s">
        <v>44</v>
      </c>
      <c r="B162" s="32" t="s">
        <v>462</v>
      </c>
      <c r="C162" s="7" t="s">
        <v>467</v>
      </c>
      <c r="D162" s="32" t="s">
        <v>468</v>
      </c>
      <c r="E162" s="21" t="n">
        <v>291</v>
      </c>
      <c r="F162" s="21" t="n">
        <v>0</v>
      </c>
      <c r="G162" s="22" t="n">
        <v>0</v>
      </c>
      <c r="H162" s="22" t="n">
        <v>56.54</v>
      </c>
      <c r="I162" s="23" t="n">
        <v>13</v>
      </c>
      <c r="J162" s="21" t="n">
        <v>1</v>
      </c>
      <c r="K162" s="21" t="n">
        <v>1</v>
      </c>
      <c r="L162" s="21" t="n">
        <v>1</v>
      </c>
      <c r="M162" s="22" t="n">
        <f aca="false">IFERROR(L162/E162*1000,0)</f>
        <v>3.43642611683849</v>
      </c>
      <c r="N162" s="22" t="n">
        <f aca="false">IFERROR(J162/E162*100,0)</f>
        <v>0.343642611683849</v>
      </c>
      <c r="O162" s="32" t="str">
        <f aca="false">IF(H162&lt;30,"00-30",IF(H162&lt;40,"30-40",IF(H162&lt;50,"40-50",IF(H162&lt;60,"50-60",IF(H162&lt;70,"60-70","70+")))))</f>
        <v>50-60</v>
      </c>
      <c r="P162" s="37" t="n">
        <f aca="false">IFERROR(VALUE(SUBSTITUTE(B162,"-","")),0)</f>
        <v>20260715</v>
      </c>
    </row>
    <row r="163" customFormat="false" ht="15" hidden="false" customHeight="false" outlineLevel="0" collapsed="false">
      <c r="A163" s="14" t="s">
        <v>44</v>
      </c>
      <c r="B163" s="32" t="s">
        <v>469</v>
      </c>
      <c r="C163" s="7" t="s">
        <v>470</v>
      </c>
      <c r="D163" s="32" t="s">
        <v>471</v>
      </c>
      <c r="E163" s="21" t="n">
        <v>391</v>
      </c>
      <c r="F163" s="21" t="n">
        <v>0</v>
      </c>
      <c r="G163" s="22" t="n">
        <v>0</v>
      </c>
      <c r="H163" s="22" t="n">
        <v>50.84</v>
      </c>
      <c r="I163" s="23" t="n">
        <v>16</v>
      </c>
      <c r="J163" s="21" t="n">
        <v>1</v>
      </c>
      <c r="K163" s="21" t="n">
        <v>0</v>
      </c>
      <c r="L163" s="21" t="n">
        <v>0</v>
      </c>
      <c r="M163" s="22" t="n">
        <f aca="false">IFERROR(L163/E163*1000,0)</f>
        <v>0</v>
      </c>
      <c r="N163" s="22" t="n">
        <f aca="false">IFERROR(J163/E163*100,0)</f>
        <v>0.255754475703325</v>
      </c>
      <c r="O163" s="32" t="str">
        <f aca="false">IF(H163&lt;30,"00-30",IF(H163&lt;40,"30-40",IF(H163&lt;50,"40-50",IF(H163&lt;60,"50-60",IF(H163&lt;70,"60-70","70+")))))</f>
        <v>50-60</v>
      </c>
      <c r="P163" s="37" t="n">
        <f aca="false">IFERROR(VALUE(SUBSTITUTE(B163,"-","")),0)</f>
        <v>20260716</v>
      </c>
    </row>
    <row r="164" customFormat="false" ht="15" hidden="false" customHeight="false" outlineLevel="0" collapsed="false">
      <c r="A164" s="14" t="s">
        <v>44</v>
      </c>
      <c r="B164" s="32" t="s">
        <v>469</v>
      </c>
      <c r="C164" s="7" t="s">
        <v>472</v>
      </c>
      <c r="D164" s="32" t="s">
        <v>473</v>
      </c>
      <c r="E164" s="21" t="n">
        <v>960</v>
      </c>
      <c r="F164" s="21" t="n">
        <v>0</v>
      </c>
      <c r="G164" s="22" t="n">
        <v>0</v>
      </c>
      <c r="H164" s="22" t="n">
        <v>32.67</v>
      </c>
      <c r="I164" s="23" t="n">
        <v>9</v>
      </c>
      <c r="J164" s="21" t="n">
        <v>4</v>
      </c>
      <c r="K164" s="21" t="n">
        <v>0</v>
      </c>
      <c r="L164" s="21" t="n">
        <v>0</v>
      </c>
      <c r="M164" s="22" t="n">
        <f aca="false">IFERROR(L164/E164*1000,0)</f>
        <v>0</v>
      </c>
      <c r="N164" s="22" t="n">
        <f aca="false">IFERROR(J164/E164*100,0)</f>
        <v>0.416666666666667</v>
      </c>
      <c r="O164" s="32" t="str">
        <f aca="false">IF(H164&lt;30,"00-30",IF(H164&lt;40,"30-40",IF(H164&lt;50,"40-50",IF(H164&lt;60,"50-60",IF(H164&lt;70,"60-70","70+")))))</f>
        <v>30-40</v>
      </c>
      <c r="P164" s="37" t="n">
        <f aca="false">IFERROR(VALUE(SUBSTITUTE(B164,"-","")),0)</f>
        <v>20260716</v>
      </c>
    </row>
    <row r="165" customFormat="false" ht="15" hidden="false" customHeight="false" outlineLevel="0" collapsed="false">
      <c r="A165" s="14" t="s">
        <v>44</v>
      </c>
      <c r="B165" s="32" t="s">
        <v>469</v>
      </c>
      <c r="C165" s="7" t="s">
        <v>474</v>
      </c>
      <c r="D165" s="32" t="s">
        <v>475</v>
      </c>
      <c r="E165" s="21" t="n">
        <v>1234</v>
      </c>
      <c r="F165" s="21" t="n">
        <v>0</v>
      </c>
      <c r="G165" s="22" t="n">
        <v>0</v>
      </c>
      <c r="H165" s="22" t="n">
        <v>65.22</v>
      </c>
      <c r="I165" s="23" t="n">
        <v>14</v>
      </c>
      <c r="J165" s="21" t="n">
        <v>4</v>
      </c>
      <c r="K165" s="21" t="n">
        <v>0</v>
      </c>
      <c r="L165" s="21" t="n">
        <v>0</v>
      </c>
      <c r="M165" s="22" t="n">
        <f aca="false">IFERROR(L165/E165*1000,0)</f>
        <v>0</v>
      </c>
      <c r="N165" s="22" t="n">
        <f aca="false">IFERROR(J165/E165*100,0)</f>
        <v>0.324149108589951</v>
      </c>
      <c r="O165" s="32" t="str">
        <f aca="false">IF(H165&lt;30,"00-30",IF(H165&lt;40,"30-40",IF(H165&lt;50,"40-50",IF(H165&lt;60,"50-60",IF(H165&lt;70,"60-70","70+")))))</f>
        <v>60-70</v>
      </c>
      <c r="P165" s="37" t="n">
        <f aca="false">IFERROR(VALUE(SUBSTITUTE(B165,"-","")),0)</f>
        <v>20260716</v>
      </c>
    </row>
    <row r="166" customFormat="false" ht="15" hidden="false" customHeight="false" outlineLevel="0" collapsed="false">
      <c r="A166" s="14" t="s">
        <v>44</v>
      </c>
      <c r="B166" s="32" t="s">
        <v>476</v>
      </c>
      <c r="C166" s="7" t="s">
        <v>477</v>
      </c>
      <c r="D166" s="32" t="s">
        <v>478</v>
      </c>
      <c r="E166" s="21" t="n">
        <v>980</v>
      </c>
      <c r="F166" s="21" t="n">
        <v>0</v>
      </c>
      <c r="G166" s="22" t="n">
        <v>0</v>
      </c>
      <c r="H166" s="22" t="n">
        <v>56.83</v>
      </c>
      <c r="I166" s="23" t="n">
        <v>21</v>
      </c>
      <c r="J166" s="21" t="n">
        <v>14</v>
      </c>
      <c r="K166" s="21" t="n">
        <v>0</v>
      </c>
      <c r="L166" s="21" t="n">
        <v>0</v>
      </c>
      <c r="M166" s="22" t="n">
        <f aca="false">IFERROR(L166/E166*1000,0)</f>
        <v>0</v>
      </c>
      <c r="N166" s="22" t="n">
        <f aca="false">IFERROR(J166/E166*100,0)</f>
        <v>1.42857142857143</v>
      </c>
      <c r="O166" s="32" t="str">
        <f aca="false">IF(H166&lt;30,"00-30",IF(H166&lt;40,"30-40",IF(H166&lt;50,"40-50",IF(H166&lt;60,"50-60",IF(H166&lt;70,"60-70","70+")))))</f>
        <v>50-60</v>
      </c>
      <c r="P166" s="37" t="n">
        <f aca="false">IFERROR(VALUE(SUBSTITUTE(B166,"-","")),0)</f>
        <v>20260717</v>
      </c>
    </row>
    <row r="167" customFormat="false" ht="15" hidden="false" customHeight="false" outlineLevel="0" collapsed="false">
      <c r="A167" s="14" t="s">
        <v>44</v>
      </c>
      <c r="B167" s="32" t="s">
        <v>476</v>
      </c>
      <c r="C167" s="7" t="s">
        <v>479</v>
      </c>
      <c r="D167" s="32" t="s">
        <v>480</v>
      </c>
      <c r="E167" s="21" t="n">
        <v>564</v>
      </c>
      <c r="F167" s="21" t="n">
        <v>0</v>
      </c>
      <c r="G167" s="22" t="n">
        <v>0</v>
      </c>
      <c r="H167" s="22" t="n">
        <v>40.94</v>
      </c>
      <c r="I167" s="23" t="n">
        <v>16</v>
      </c>
      <c r="J167" s="21" t="n">
        <v>4</v>
      </c>
      <c r="K167" s="21" t="n">
        <v>0</v>
      </c>
      <c r="L167" s="21" t="n">
        <v>0</v>
      </c>
      <c r="M167" s="22" t="n">
        <f aca="false">IFERROR(L167/E167*1000,0)</f>
        <v>0</v>
      </c>
      <c r="N167" s="22" t="n">
        <f aca="false">IFERROR(J167/E167*100,0)</f>
        <v>0.709219858156028</v>
      </c>
      <c r="O167" s="32" t="str">
        <f aca="false">IF(H167&lt;30,"00-30",IF(H167&lt;40,"30-40",IF(H167&lt;50,"40-50",IF(H167&lt;60,"50-60",IF(H167&lt;70,"60-70","70+")))))</f>
        <v>40-50</v>
      </c>
      <c r="P167" s="37" t="n">
        <f aca="false">IFERROR(VALUE(SUBSTITUTE(B167,"-","")),0)</f>
        <v>20260717</v>
      </c>
    </row>
    <row r="168" customFormat="false" ht="15" hidden="false" customHeight="false" outlineLevel="0" collapsed="false">
      <c r="A168" s="14" t="s">
        <v>44</v>
      </c>
      <c r="B168" s="32" t="s">
        <v>476</v>
      </c>
      <c r="C168" s="7" t="s">
        <v>481</v>
      </c>
      <c r="D168" s="32" t="s">
        <v>482</v>
      </c>
      <c r="E168" s="21" t="n">
        <v>1304</v>
      </c>
      <c r="F168" s="21" t="n">
        <v>0</v>
      </c>
      <c r="G168" s="22" t="n">
        <v>0</v>
      </c>
      <c r="H168" s="22" t="n">
        <v>48.64</v>
      </c>
      <c r="I168" s="23" t="n">
        <v>16</v>
      </c>
      <c r="J168" s="21" t="n">
        <v>6</v>
      </c>
      <c r="K168" s="21" t="n">
        <v>0</v>
      </c>
      <c r="L168" s="21" t="n">
        <v>0</v>
      </c>
      <c r="M168" s="22" t="n">
        <f aca="false">IFERROR(L168/E168*1000,0)</f>
        <v>0</v>
      </c>
      <c r="N168" s="22" t="n">
        <f aca="false">IFERROR(J168/E168*100,0)</f>
        <v>0.460122699386503</v>
      </c>
      <c r="O168" s="32" t="str">
        <f aca="false">IF(H168&lt;30,"00-30",IF(H168&lt;40,"30-40",IF(H168&lt;50,"40-50",IF(H168&lt;60,"50-60",IF(H168&lt;70,"60-70","70+")))))</f>
        <v>40-50</v>
      </c>
      <c r="P168" s="37" t="n">
        <f aca="false">IFERROR(VALUE(SUBSTITUTE(B168,"-","")),0)</f>
        <v>20260717</v>
      </c>
    </row>
    <row r="169" customFormat="false" ht="15" hidden="false" customHeight="false" outlineLevel="0" collapsed="false">
      <c r="A169" s="14" t="s">
        <v>44</v>
      </c>
      <c r="B169" s="32" t="s">
        <v>483</v>
      </c>
      <c r="C169" s="14" t="s">
        <v>484</v>
      </c>
      <c r="D169" s="32" t="s">
        <v>485</v>
      </c>
      <c r="E169" s="21" t="n">
        <v>816</v>
      </c>
      <c r="F169" s="21" t="n">
        <v>0</v>
      </c>
      <c r="G169" s="22" t="n">
        <v>0</v>
      </c>
      <c r="H169" s="22" t="n">
        <v>103.35</v>
      </c>
      <c r="I169" s="23" t="n">
        <v>31</v>
      </c>
      <c r="J169" s="21" t="n">
        <v>5</v>
      </c>
      <c r="K169" s="21" t="n">
        <v>0</v>
      </c>
      <c r="L169" s="21" t="n">
        <v>0</v>
      </c>
      <c r="M169" s="22" t="n">
        <f aca="false">IFERROR(L169/E169*1000,0)</f>
        <v>0</v>
      </c>
      <c r="N169" s="22" t="n">
        <f aca="false">IFERROR(J169/E169*100,0)</f>
        <v>0.612745098039216</v>
      </c>
      <c r="O169" s="32" t="str">
        <f aca="false">IF(H169&lt;30,"00-30",IF(H169&lt;40,"30-40",IF(H169&lt;50,"40-50",IF(H169&lt;60,"50-60",IF(H169&lt;70,"60-70","70+")))))</f>
        <v>70+</v>
      </c>
      <c r="P169" s="37" t="n">
        <f aca="false">IFERROR(VALUE(SUBSTITUTE(B169,"-","")),0)</f>
        <v>20260718</v>
      </c>
    </row>
    <row r="170" customFormat="false" ht="15" hidden="false" customHeight="false" outlineLevel="0" collapsed="false">
      <c r="A170" s="14" t="s">
        <v>44</v>
      </c>
      <c r="B170" s="32" t="s">
        <v>483</v>
      </c>
      <c r="C170" s="14" t="s">
        <v>486</v>
      </c>
      <c r="D170" s="32" t="s">
        <v>487</v>
      </c>
      <c r="E170" s="21" t="n">
        <v>855</v>
      </c>
      <c r="F170" s="21" t="n">
        <v>0</v>
      </c>
      <c r="G170" s="22" t="n">
        <v>0</v>
      </c>
      <c r="H170" s="22" t="n">
        <v>39.13</v>
      </c>
      <c r="I170" s="23" t="n">
        <v>16</v>
      </c>
      <c r="J170" s="21" t="n">
        <v>3</v>
      </c>
      <c r="K170" s="21" t="n">
        <v>1</v>
      </c>
      <c r="L170" s="21" t="n">
        <v>0</v>
      </c>
      <c r="M170" s="22" t="n">
        <f aca="false">IFERROR(L170/E170*1000,0)</f>
        <v>0</v>
      </c>
      <c r="N170" s="22" t="n">
        <f aca="false">IFERROR(J170/E170*100,0)</f>
        <v>0.350877192982456</v>
      </c>
      <c r="O170" s="32" t="str">
        <f aca="false">IF(H170&lt;30,"00-30",IF(H170&lt;40,"30-40",IF(H170&lt;50,"40-50",IF(H170&lt;60,"50-60",IF(H170&lt;70,"60-70","70+")))))</f>
        <v>30-40</v>
      </c>
      <c r="P170" s="37" t="n">
        <f aca="false">IFERROR(VALUE(SUBSTITUTE(B170,"-","")),0)</f>
        <v>20260718</v>
      </c>
    </row>
    <row r="171" customFormat="false" ht="15" hidden="false" customHeight="false" outlineLevel="0" collapsed="false">
      <c r="A171" s="14" t="s">
        <v>44</v>
      </c>
      <c r="B171" s="32" t="s">
        <v>483</v>
      </c>
      <c r="C171" s="7" t="s">
        <v>488</v>
      </c>
      <c r="D171" s="32" t="s">
        <v>489</v>
      </c>
      <c r="E171" s="21" t="n">
        <v>305</v>
      </c>
      <c r="F171" s="21" t="n">
        <v>0</v>
      </c>
      <c r="G171" s="22" t="n">
        <v>0</v>
      </c>
      <c r="H171" s="22" t="n">
        <v>33.64</v>
      </c>
      <c r="I171" s="23" t="n">
        <v>11</v>
      </c>
      <c r="J171" s="21" t="n">
        <v>0</v>
      </c>
      <c r="K171" s="21" t="n">
        <v>0</v>
      </c>
      <c r="L171" s="21" t="n">
        <v>0</v>
      </c>
      <c r="M171" s="22" t="n">
        <f aca="false">IFERROR(L171/E171*1000,0)</f>
        <v>0</v>
      </c>
      <c r="N171" s="22" t="n">
        <f aca="false">IFERROR(J171/E171*100,0)</f>
        <v>0</v>
      </c>
      <c r="O171" s="32" t="str">
        <f aca="false">IF(H171&lt;30,"00-30",IF(H171&lt;40,"30-40",IF(H171&lt;50,"40-50",IF(H171&lt;60,"50-60",IF(H171&lt;70,"60-70","70+")))))</f>
        <v>30-40</v>
      </c>
      <c r="P171" s="37" t="n">
        <f aca="false">IFERROR(VALUE(SUBSTITUTE(B171,"-","")),0)</f>
        <v>20260718</v>
      </c>
    </row>
    <row r="172" customFormat="false" ht="23.85" hidden="false" customHeight="false" outlineLevel="0" collapsed="false">
      <c r="A172" s="14" t="s">
        <v>44</v>
      </c>
      <c r="B172" s="32" t="s">
        <v>490</v>
      </c>
      <c r="C172" s="7" t="s">
        <v>491</v>
      </c>
      <c r="D172" s="32" t="s">
        <v>492</v>
      </c>
      <c r="E172" s="21" t="n">
        <v>1105</v>
      </c>
      <c r="F172" s="21" t="n">
        <v>0</v>
      </c>
      <c r="G172" s="22" t="n">
        <v>0</v>
      </c>
      <c r="H172" s="22" t="n">
        <v>56.49</v>
      </c>
      <c r="I172" s="23" t="n">
        <v>18</v>
      </c>
      <c r="J172" s="21" t="n">
        <v>4</v>
      </c>
      <c r="K172" s="21" t="n">
        <v>0</v>
      </c>
      <c r="L172" s="21" t="n">
        <v>1</v>
      </c>
      <c r="M172" s="22" t="n">
        <f aca="false">IFERROR(L172/E172*1000,0)</f>
        <v>0.904977375565611</v>
      </c>
      <c r="N172" s="22" t="n">
        <f aca="false">IFERROR(J172/E172*100,0)</f>
        <v>0.361990950226244</v>
      </c>
      <c r="O172" s="32" t="str">
        <f aca="false">IF(H172&lt;30,"00-30",IF(H172&lt;40,"30-40",IF(H172&lt;50,"40-50",IF(H172&lt;60,"50-60",IF(H172&lt;70,"60-70","70+")))))</f>
        <v>50-60</v>
      </c>
      <c r="P172" s="37" t="n">
        <f aca="false">IFERROR(VALUE(SUBSTITUTE(B172,"-","")),0)</f>
        <v>20260719</v>
      </c>
    </row>
    <row r="173" customFormat="false" ht="15" hidden="false" customHeight="false" outlineLevel="0" collapsed="false">
      <c r="A173" s="14" t="s">
        <v>44</v>
      </c>
      <c r="B173" s="32" t="s">
        <v>490</v>
      </c>
      <c r="C173" s="7" t="s">
        <v>493</v>
      </c>
      <c r="D173" s="32" t="s">
        <v>494</v>
      </c>
      <c r="E173" s="21" t="n">
        <v>1373</v>
      </c>
      <c r="F173" s="21" t="n">
        <v>0</v>
      </c>
      <c r="G173" s="22" t="n">
        <v>0</v>
      </c>
      <c r="H173" s="22" t="n">
        <v>53.76</v>
      </c>
      <c r="I173" s="23" t="n">
        <v>11</v>
      </c>
      <c r="J173" s="21" t="n">
        <v>4</v>
      </c>
      <c r="K173" s="21" t="n">
        <v>0</v>
      </c>
      <c r="L173" s="21" t="n">
        <v>0</v>
      </c>
      <c r="M173" s="22" t="n">
        <f aca="false">IFERROR(L173/E173*1000,0)</f>
        <v>0</v>
      </c>
      <c r="N173" s="22" t="n">
        <f aca="false">IFERROR(J173/E173*100,0)</f>
        <v>0.291332847778587</v>
      </c>
      <c r="O173" s="32" t="str">
        <f aca="false">IF(H173&lt;30,"00-30",IF(H173&lt;40,"30-40",IF(H173&lt;50,"40-50",IF(H173&lt;60,"50-60",IF(H173&lt;70,"60-70","70+")))))</f>
        <v>50-60</v>
      </c>
      <c r="P173" s="37" t="n">
        <f aca="false">IFERROR(VALUE(SUBSTITUTE(B173,"-","")),0)</f>
        <v>20260719</v>
      </c>
    </row>
    <row r="174" customFormat="false" ht="15" hidden="false" customHeight="false" outlineLevel="0" collapsed="false">
      <c r="A174" s="14" t="s">
        <v>44</v>
      </c>
      <c r="B174" s="32" t="s">
        <v>490</v>
      </c>
      <c r="C174" s="7" t="s">
        <v>495</v>
      </c>
      <c r="D174" s="32" t="s">
        <v>496</v>
      </c>
      <c r="E174" s="21" t="n">
        <v>1117</v>
      </c>
      <c r="F174" s="21" t="n">
        <v>0</v>
      </c>
      <c r="G174" s="22" t="n">
        <v>0</v>
      </c>
      <c r="H174" s="22" t="n">
        <v>58.12</v>
      </c>
      <c r="I174" s="23" t="n">
        <v>19</v>
      </c>
      <c r="J174" s="21" t="n">
        <v>3</v>
      </c>
      <c r="K174" s="21" t="n">
        <v>0</v>
      </c>
      <c r="L174" s="21" t="n">
        <v>0</v>
      </c>
      <c r="M174" s="22" t="n">
        <f aca="false">IFERROR(L174/E174*1000,0)</f>
        <v>0</v>
      </c>
      <c r="N174" s="22" t="n">
        <f aca="false">IFERROR(J174/E174*100,0)</f>
        <v>0.26857654431513</v>
      </c>
      <c r="O174" s="32" t="str">
        <f aca="false">IF(H174&lt;30,"00-30",IF(H174&lt;40,"30-40",IF(H174&lt;50,"40-50",IF(H174&lt;60,"50-60",IF(H174&lt;70,"60-70","70+")))))</f>
        <v>50-60</v>
      </c>
      <c r="P174" s="37" t="n">
        <f aca="false">IFERROR(VALUE(SUBSTITUTE(B174,"-","")),0)</f>
        <v>20260719</v>
      </c>
    </row>
    <row r="175" customFormat="false" ht="15" hidden="false" customHeight="false" outlineLevel="0" collapsed="false">
      <c r="A175" s="14" t="s">
        <v>44</v>
      </c>
      <c r="B175" s="32" t="s">
        <v>490</v>
      </c>
      <c r="C175" s="7" t="s">
        <v>497</v>
      </c>
      <c r="D175" s="32" t="s">
        <v>498</v>
      </c>
      <c r="E175" s="21" t="n">
        <v>774</v>
      </c>
      <c r="F175" s="21" t="n">
        <v>0</v>
      </c>
      <c r="G175" s="22" t="n">
        <v>0</v>
      </c>
      <c r="H175" s="22" t="n">
        <v>36.16</v>
      </c>
      <c r="I175" s="23" t="n">
        <v>11</v>
      </c>
      <c r="J175" s="21" t="n">
        <v>5</v>
      </c>
      <c r="K175" s="21" t="n">
        <v>0</v>
      </c>
      <c r="L175" s="21" t="n">
        <v>0</v>
      </c>
      <c r="M175" s="22" t="n">
        <f aca="false">IFERROR(L175/E175*1000,0)</f>
        <v>0</v>
      </c>
      <c r="N175" s="22" t="n">
        <f aca="false">IFERROR(J175/E175*100,0)</f>
        <v>0.645994832041344</v>
      </c>
      <c r="O175" s="32" t="str">
        <f aca="false">IF(H175&lt;30,"00-30",IF(H175&lt;40,"30-40",IF(H175&lt;50,"40-50",IF(H175&lt;60,"50-60",IF(H175&lt;70,"60-70","70+")))))</f>
        <v>30-40</v>
      </c>
      <c r="P175" s="37" t="n">
        <f aca="false">IFERROR(VALUE(SUBSTITUTE(B175,"-","")),0)</f>
        <v>20260719</v>
      </c>
    </row>
    <row r="176" customFormat="false" ht="15" hidden="false" customHeight="false" outlineLevel="0" collapsed="false">
      <c r="A176" s="14" t="s">
        <v>44</v>
      </c>
      <c r="B176" s="32" t="s">
        <v>499</v>
      </c>
      <c r="C176" s="7" t="s">
        <v>500</v>
      </c>
      <c r="D176" s="32" t="s">
        <v>501</v>
      </c>
      <c r="E176" s="21" t="n">
        <v>934</v>
      </c>
      <c r="F176" s="21" t="n">
        <v>0</v>
      </c>
      <c r="G176" s="22" t="n">
        <v>0</v>
      </c>
      <c r="H176" s="22" t="n">
        <v>72.09</v>
      </c>
      <c r="I176" s="23" t="n">
        <v>17</v>
      </c>
      <c r="J176" s="21" t="n">
        <v>8</v>
      </c>
      <c r="K176" s="21" t="n">
        <v>0</v>
      </c>
      <c r="L176" s="21" t="n">
        <v>0</v>
      </c>
      <c r="M176" s="22" t="n">
        <f aca="false">IFERROR(L176/E176*1000,0)</f>
        <v>0</v>
      </c>
      <c r="N176" s="22" t="n">
        <f aca="false">IFERROR(J176/E176*100,0)</f>
        <v>0.856531049250535</v>
      </c>
      <c r="O176" s="32" t="str">
        <f aca="false">IF(H176&lt;30,"00-30",IF(H176&lt;40,"30-40",IF(H176&lt;50,"40-50",IF(H176&lt;60,"50-60",IF(H176&lt;70,"60-70","70+")))))</f>
        <v>70+</v>
      </c>
      <c r="P176" s="37" t="n">
        <f aca="false">IFERROR(VALUE(SUBSTITUTE(B176,"-","")),0)</f>
        <v>20260720</v>
      </c>
    </row>
    <row r="177" customFormat="false" ht="15" hidden="false" customHeight="false" outlineLevel="0" collapsed="false">
      <c r="A177" s="14" t="s">
        <v>44</v>
      </c>
      <c r="B177" s="32" t="s">
        <v>499</v>
      </c>
      <c r="C177" s="7" t="s">
        <v>502</v>
      </c>
      <c r="D177" s="32" t="s">
        <v>503</v>
      </c>
      <c r="E177" s="21" t="n">
        <v>953</v>
      </c>
      <c r="F177" s="21" t="n">
        <v>0</v>
      </c>
      <c r="G177" s="22" t="n">
        <v>0</v>
      </c>
      <c r="H177" s="22" t="n">
        <v>59.16</v>
      </c>
      <c r="I177" s="23" t="n">
        <v>13</v>
      </c>
      <c r="J177" s="21" t="n">
        <v>8</v>
      </c>
      <c r="K177" s="21" t="n">
        <v>0</v>
      </c>
      <c r="L177" s="21" t="n">
        <v>1</v>
      </c>
      <c r="M177" s="22" t="n">
        <f aca="false">IFERROR(L177/E177*1000,0)</f>
        <v>1.04931794333683</v>
      </c>
      <c r="N177" s="22" t="n">
        <f aca="false">IFERROR(J177/E177*100,0)</f>
        <v>0.839454354669465</v>
      </c>
      <c r="O177" s="32" t="str">
        <f aca="false">IF(H177&lt;30,"00-30",IF(H177&lt;40,"30-40",IF(H177&lt;50,"40-50",IF(H177&lt;60,"50-60",IF(H177&lt;70,"60-70","70+")))))</f>
        <v>50-60</v>
      </c>
      <c r="P177" s="37" t="n">
        <f aca="false">IFERROR(VALUE(SUBSTITUTE(B177,"-","")),0)</f>
        <v>20260720</v>
      </c>
    </row>
    <row r="178" customFormat="false" ht="15" hidden="false" customHeight="false" outlineLevel="0" collapsed="false">
      <c r="A178" s="14" t="s">
        <v>44</v>
      </c>
      <c r="B178" s="32" t="s">
        <v>504</v>
      </c>
      <c r="C178" s="7" t="s">
        <v>505</v>
      </c>
      <c r="D178" s="32" t="s">
        <v>506</v>
      </c>
      <c r="E178" s="21" t="n">
        <v>879</v>
      </c>
      <c r="F178" s="21" t="n">
        <v>318</v>
      </c>
      <c r="G178" s="22" t="n">
        <v>0.006</v>
      </c>
      <c r="H178" s="22" t="n">
        <v>41.5</v>
      </c>
      <c r="I178" s="23" t="n">
        <v>14</v>
      </c>
      <c r="J178" s="21" t="n">
        <v>3</v>
      </c>
      <c r="K178" s="21" t="n">
        <v>0</v>
      </c>
      <c r="L178" s="21" t="n">
        <v>0</v>
      </c>
      <c r="M178" s="22" t="n">
        <f aca="false">IFERROR(L178/E178*1000,0)</f>
        <v>0</v>
      </c>
      <c r="N178" s="22" t="n">
        <f aca="false">IFERROR(J178/E178*100,0)</f>
        <v>0.341296928327645</v>
      </c>
      <c r="O178" s="32" t="str">
        <f aca="false">IF(H178&lt;30,"00-30",IF(H178&lt;40,"30-40",IF(H178&lt;50,"40-50",IF(H178&lt;60,"50-60",IF(H178&lt;70,"60-70","70+")))))</f>
        <v>40-50</v>
      </c>
      <c r="P178" s="37" t="n">
        <f aca="false">IFERROR(VALUE(SUBSTITUTE(B178,"-","")),0)</f>
        <v>20260723</v>
      </c>
    </row>
    <row r="179" customFormat="false" ht="15" hidden="false" customHeight="false" outlineLevel="0" collapsed="false">
      <c r="A179" s="14" t="s">
        <v>44</v>
      </c>
      <c r="B179" s="32" t="s">
        <v>504</v>
      </c>
      <c r="C179" s="14" t="s">
        <v>507</v>
      </c>
      <c r="D179" s="32" t="s">
        <v>508</v>
      </c>
      <c r="E179" s="21" t="n">
        <v>1018</v>
      </c>
      <c r="F179" s="21" t="n">
        <v>57</v>
      </c>
      <c r="G179" s="22" t="n">
        <v>0</v>
      </c>
      <c r="H179" s="22" t="n">
        <v>51.2</v>
      </c>
      <c r="I179" s="23" t="n">
        <v>12</v>
      </c>
      <c r="J179" s="21" t="n">
        <v>6</v>
      </c>
      <c r="K179" s="21" t="n">
        <v>0</v>
      </c>
      <c r="L179" s="21" t="n">
        <v>0</v>
      </c>
      <c r="M179" s="22" t="n">
        <f aca="false">IFERROR(L179/E179*1000,0)</f>
        <v>0</v>
      </c>
      <c r="N179" s="22" t="n">
        <f aca="false">IFERROR(J179/E179*100,0)</f>
        <v>0.589390962671906</v>
      </c>
      <c r="O179" s="32" t="str">
        <f aca="false">IF(H179&lt;30,"00-30",IF(H179&lt;40,"30-40",IF(H179&lt;50,"40-50",IF(H179&lt;60,"50-60",IF(H179&lt;70,"60-70","70+")))))</f>
        <v>50-60</v>
      </c>
      <c r="P179" s="37" t="n">
        <f aca="false">IFERROR(VALUE(SUBSTITUTE(B179,"-","")),0)</f>
        <v>20260723</v>
      </c>
    </row>
    <row r="180" customFormat="false" ht="15" hidden="false" customHeight="false" outlineLevel="0" collapsed="false">
      <c r="A180" s="14" t="s">
        <v>44</v>
      </c>
      <c r="B180" s="32" t="s">
        <v>504</v>
      </c>
      <c r="C180" s="7" t="s">
        <v>509</v>
      </c>
      <c r="D180" s="32" t="s">
        <v>510</v>
      </c>
      <c r="E180" s="21" t="n">
        <v>1167</v>
      </c>
      <c r="F180" s="21" t="n">
        <v>0</v>
      </c>
      <c r="G180" s="22" t="n">
        <v>0</v>
      </c>
      <c r="H180" s="22" t="n">
        <v>45.36</v>
      </c>
      <c r="I180" s="23" t="n">
        <v>12</v>
      </c>
      <c r="J180" s="21" t="n">
        <v>5</v>
      </c>
      <c r="K180" s="21" t="n">
        <v>0</v>
      </c>
      <c r="L180" s="21" t="n">
        <v>0</v>
      </c>
      <c r="M180" s="22" t="n">
        <f aca="false">IFERROR(L180/E180*1000,0)</f>
        <v>0</v>
      </c>
      <c r="N180" s="22" t="n">
        <f aca="false">IFERROR(J180/E180*100,0)</f>
        <v>0.428449014567267</v>
      </c>
      <c r="O180" s="32" t="str">
        <f aca="false">IF(H180&lt;30,"00-30",IF(H180&lt;40,"30-40",IF(H180&lt;50,"40-50",IF(H180&lt;60,"50-60",IF(H180&lt;70,"60-70","70+")))))</f>
        <v>40-50</v>
      </c>
      <c r="P180" s="37" t="n">
        <f aca="false">IFERROR(VALUE(SUBSTITUTE(B180,"-","")),0)</f>
        <v>20260723</v>
      </c>
    </row>
    <row r="181" customFormat="false" ht="15" hidden="false" customHeight="false" outlineLevel="0" collapsed="false">
      <c r="A181" s="14" t="s">
        <v>44</v>
      </c>
      <c r="B181" s="32" t="s">
        <v>511</v>
      </c>
      <c r="C181" s="7" t="s">
        <v>512</v>
      </c>
      <c r="D181" s="32" t="s">
        <v>513</v>
      </c>
      <c r="E181" s="21" t="n">
        <v>1138</v>
      </c>
      <c r="F181" s="21" t="n">
        <v>36</v>
      </c>
      <c r="G181" s="22" t="n">
        <v>0</v>
      </c>
      <c r="H181" s="22" t="n">
        <v>57.08</v>
      </c>
      <c r="I181" s="23" t="n">
        <v>11</v>
      </c>
      <c r="J181" s="21" t="n">
        <v>5</v>
      </c>
      <c r="K181" s="21" t="n">
        <v>0</v>
      </c>
      <c r="L181" s="21" t="n">
        <v>0</v>
      </c>
      <c r="M181" s="22" t="n">
        <f aca="false">IFERROR(L181/E181*1000,0)</f>
        <v>0</v>
      </c>
      <c r="N181" s="22" t="n">
        <f aca="false">IFERROR(J181/E181*100,0)</f>
        <v>0.439367311072056</v>
      </c>
      <c r="O181" s="32" t="str">
        <f aca="false">IF(H181&lt;30,"00-30",IF(H181&lt;40,"30-40",IF(H181&lt;50,"40-50",IF(H181&lt;60,"50-60",IF(H181&lt;70,"60-70","70+")))))</f>
        <v>50-60</v>
      </c>
      <c r="P181" s="37" t="n">
        <f aca="false">IFERROR(VALUE(SUBSTITUTE(B181,"-","")),0)</f>
        <v>20260724</v>
      </c>
    </row>
    <row r="182" customFormat="false" ht="23.85" hidden="false" customHeight="false" outlineLevel="0" collapsed="false">
      <c r="A182" s="14" t="s">
        <v>44</v>
      </c>
      <c r="B182" s="32" t="s">
        <v>511</v>
      </c>
      <c r="C182" s="7" t="s">
        <v>514</v>
      </c>
      <c r="D182" s="32" t="s">
        <v>515</v>
      </c>
      <c r="E182" s="21" t="n">
        <v>861</v>
      </c>
      <c r="F182" s="21" t="n">
        <v>75</v>
      </c>
      <c r="G182" s="22" t="n">
        <v>0</v>
      </c>
      <c r="H182" s="22" t="n">
        <v>119.23</v>
      </c>
      <c r="I182" s="23" t="n">
        <v>38</v>
      </c>
      <c r="J182" s="21" t="n">
        <v>2</v>
      </c>
      <c r="K182" s="21" t="n">
        <v>0</v>
      </c>
      <c r="L182" s="21" t="n">
        <v>1</v>
      </c>
      <c r="M182" s="22" t="n">
        <f aca="false">IFERROR(L182/E182*1000,0)</f>
        <v>1.16144018583043</v>
      </c>
      <c r="N182" s="22" t="n">
        <f aca="false">IFERROR(J182/E182*100,0)</f>
        <v>0.232288037166086</v>
      </c>
      <c r="O182" s="32" t="str">
        <f aca="false">IF(H182&lt;30,"00-30",IF(H182&lt;40,"30-40",IF(H182&lt;50,"40-50",IF(H182&lt;60,"50-60",IF(H182&lt;70,"60-70","70+")))))</f>
        <v>70+</v>
      </c>
      <c r="P182" s="37" t="n">
        <f aca="false">IFERROR(VALUE(SUBSTITUTE(B182,"-","")),0)</f>
        <v>20260724</v>
      </c>
    </row>
    <row r="183" customFormat="false" ht="15" hidden="false" customHeight="false" outlineLevel="0" collapsed="false">
      <c r="A183" s="14" t="s">
        <v>44</v>
      </c>
      <c r="B183" s="32" t="s">
        <v>511</v>
      </c>
      <c r="C183" s="7" t="s">
        <v>516</v>
      </c>
      <c r="D183" s="32" t="s">
        <v>517</v>
      </c>
      <c r="E183" s="21" t="n">
        <v>333</v>
      </c>
      <c r="F183" s="21" t="n">
        <v>38</v>
      </c>
      <c r="G183" s="22" t="n">
        <v>0</v>
      </c>
      <c r="H183" s="22" t="n">
        <v>84.29</v>
      </c>
      <c r="I183" s="23" t="n">
        <v>29</v>
      </c>
      <c r="J183" s="21" t="n">
        <v>1</v>
      </c>
      <c r="K183" s="21" t="n">
        <v>0</v>
      </c>
      <c r="L183" s="21" t="n">
        <v>0</v>
      </c>
      <c r="M183" s="22" t="n">
        <f aca="false">IFERROR(L183/E183*1000,0)</f>
        <v>0</v>
      </c>
      <c r="N183" s="22" t="n">
        <f aca="false">IFERROR(J183/E183*100,0)</f>
        <v>0.3003003003003</v>
      </c>
      <c r="O183" s="32" t="str">
        <f aca="false">IF(H183&lt;30,"00-30",IF(H183&lt;40,"30-40",IF(H183&lt;50,"40-50",IF(H183&lt;60,"50-60",IF(H183&lt;70,"60-70","70+")))))</f>
        <v>70+</v>
      </c>
      <c r="P183" s="37" t="n">
        <f aca="false">IFERROR(VALUE(SUBSTITUTE(B183,"-","")),0)</f>
        <v>20260724</v>
      </c>
    </row>
    <row r="184" customFormat="false" ht="15" hidden="false" customHeight="false" outlineLevel="0" collapsed="false">
      <c r="A184" s="14" t="s">
        <v>44</v>
      </c>
      <c r="B184" s="32" t="s">
        <v>518</v>
      </c>
      <c r="C184" s="7" t="s">
        <v>519</v>
      </c>
      <c r="D184" s="32" t="s">
        <v>520</v>
      </c>
      <c r="E184" s="21" t="n">
        <v>748</v>
      </c>
      <c r="F184" s="21" t="n">
        <v>124</v>
      </c>
      <c r="G184" s="22" t="n">
        <v>0.016</v>
      </c>
      <c r="H184" s="22" t="n">
        <v>61.45</v>
      </c>
      <c r="I184" s="23" t="n">
        <v>25</v>
      </c>
      <c r="J184" s="21" t="n">
        <v>2</v>
      </c>
      <c r="K184" s="21" t="n">
        <v>0</v>
      </c>
      <c r="L184" s="21" t="n">
        <v>0</v>
      </c>
      <c r="M184" s="22" t="n">
        <f aca="false">IFERROR(L184/E184*1000,0)</f>
        <v>0</v>
      </c>
      <c r="N184" s="22" t="n">
        <f aca="false">IFERROR(J184/E184*100,0)</f>
        <v>0.267379679144385</v>
      </c>
      <c r="O184" s="32" t="str">
        <f aca="false">IF(H184&lt;30,"00-30",IF(H184&lt;40,"30-40",IF(H184&lt;50,"40-50",IF(H184&lt;60,"50-60",IF(H184&lt;70,"60-70","70+")))))</f>
        <v>60-70</v>
      </c>
      <c r="P184" s="37" t="n">
        <f aca="false">IFERROR(VALUE(SUBSTITUTE(B184,"-","")),0)</f>
        <v>20260725</v>
      </c>
    </row>
    <row r="185" customFormat="false" ht="15" hidden="false" customHeight="false" outlineLevel="0" collapsed="false">
      <c r="A185" s="14" t="s">
        <v>44</v>
      </c>
      <c r="B185" s="32" t="s">
        <v>518</v>
      </c>
      <c r="C185" s="7" t="s">
        <v>521</v>
      </c>
      <c r="D185" s="32" t="s">
        <v>522</v>
      </c>
      <c r="E185" s="21" t="n">
        <v>779</v>
      </c>
      <c r="F185" s="21" t="n">
        <v>183</v>
      </c>
      <c r="G185" s="22" t="n">
        <v>0.007</v>
      </c>
      <c r="H185" s="22" t="n">
        <v>54.61</v>
      </c>
      <c r="I185" s="23" t="n">
        <v>16</v>
      </c>
      <c r="J185" s="21" t="n">
        <v>2</v>
      </c>
      <c r="K185" s="21" t="n">
        <v>0</v>
      </c>
      <c r="L185" s="21" t="n">
        <v>0</v>
      </c>
      <c r="M185" s="22" t="n">
        <f aca="false">IFERROR(L185/E185*1000,0)</f>
        <v>0</v>
      </c>
      <c r="N185" s="22" t="n">
        <f aca="false">IFERROR(J185/E185*100,0)</f>
        <v>0.256739409499358</v>
      </c>
      <c r="O185" s="32" t="str">
        <f aca="false">IF(H185&lt;30,"00-30",IF(H185&lt;40,"30-40",IF(H185&lt;50,"40-50",IF(H185&lt;60,"50-60",IF(H185&lt;70,"60-70","70+")))))</f>
        <v>50-60</v>
      </c>
      <c r="P185" s="37" t="n">
        <f aca="false">IFERROR(VALUE(SUBSTITUTE(B185,"-","")),0)</f>
        <v>20260725</v>
      </c>
    </row>
    <row r="186" customFormat="false" ht="15" hidden="false" customHeight="false" outlineLevel="0" collapsed="false">
      <c r="A186" s="14" t="s">
        <v>44</v>
      </c>
      <c r="B186" s="32" t="s">
        <v>518</v>
      </c>
      <c r="C186" s="7" t="s">
        <v>523</v>
      </c>
      <c r="D186" s="32" t="s">
        <v>524</v>
      </c>
      <c r="E186" s="21" t="n">
        <v>974</v>
      </c>
      <c r="F186" s="21" t="n">
        <v>92</v>
      </c>
      <c r="G186" s="22" t="n">
        <v>0.051</v>
      </c>
      <c r="H186" s="22" t="n">
        <v>766.7</v>
      </c>
      <c r="I186" s="23" t="n">
        <v>161</v>
      </c>
      <c r="J186" s="21" t="n">
        <v>4</v>
      </c>
      <c r="K186" s="21" t="n">
        <v>0</v>
      </c>
      <c r="L186" s="21" t="n">
        <v>0</v>
      </c>
      <c r="M186" s="22" t="n">
        <f aca="false">IFERROR(L186/E186*1000,0)</f>
        <v>0</v>
      </c>
      <c r="N186" s="22" t="n">
        <f aca="false">IFERROR(J186/E186*100,0)</f>
        <v>0.410677618069815</v>
      </c>
      <c r="O186" s="32" t="str">
        <f aca="false">IF(H186&lt;30,"00-30",IF(H186&lt;40,"30-40",IF(H186&lt;50,"40-50",IF(H186&lt;60,"50-60",IF(H186&lt;70,"60-70","70+")))))</f>
        <v>70+</v>
      </c>
      <c r="P186" s="37" t="n">
        <f aca="false">IFERROR(VALUE(SUBSTITUTE(B186,"-","")),0)</f>
        <v>20260725</v>
      </c>
    </row>
    <row r="187" customFormat="false" ht="23.85" hidden="false" customHeight="false" outlineLevel="0" collapsed="false">
      <c r="A187" s="14" t="s">
        <v>44</v>
      </c>
      <c r="B187" s="32" t="s">
        <v>525</v>
      </c>
      <c r="C187" s="7" t="s">
        <v>526</v>
      </c>
      <c r="D187" s="32" t="s">
        <v>527</v>
      </c>
      <c r="E187" s="21" t="n">
        <v>904</v>
      </c>
      <c r="F187" s="21" t="n">
        <v>297</v>
      </c>
      <c r="G187" s="22" t="n">
        <v>0.06</v>
      </c>
      <c r="H187" s="22" t="n">
        <v>3230.87</v>
      </c>
      <c r="I187" s="23" t="n">
        <v>1227</v>
      </c>
      <c r="J187" s="21" t="n">
        <v>5</v>
      </c>
      <c r="K187" s="21" t="n">
        <v>0</v>
      </c>
      <c r="L187" s="21" t="n">
        <v>0</v>
      </c>
      <c r="M187" s="22" t="n">
        <f aca="false">IFERROR(L187/E187*1000,0)</f>
        <v>0</v>
      </c>
      <c r="N187" s="22" t="n">
        <f aca="false">IFERROR(J187/E187*100,0)</f>
        <v>0.553097345132743</v>
      </c>
      <c r="O187" s="32" t="str">
        <f aca="false">IF(H187&lt;30,"00-30",IF(H187&lt;40,"30-40",IF(H187&lt;50,"40-50",IF(H187&lt;60,"50-60",IF(H187&lt;70,"60-70","70+")))))</f>
        <v>70+</v>
      </c>
      <c r="P187" s="37" t="n">
        <f aca="false">IFERROR(VALUE(SUBSTITUTE(B187,"-","")),0)</f>
        <v>20260726</v>
      </c>
    </row>
    <row r="188" customFormat="false" ht="15" hidden="false" customHeight="false" outlineLevel="0" collapsed="false">
      <c r="A188" s="14" t="s">
        <v>44</v>
      </c>
      <c r="B188" s="32" t="s">
        <v>525</v>
      </c>
      <c r="C188" s="7" t="s">
        <v>528</v>
      </c>
      <c r="D188" s="32" t="s">
        <v>529</v>
      </c>
      <c r="E188" s="21" t="n">
        <v>813</v>
      </c>
      <c r="F188" s="21" t="n">
        <v>174</v>
      </c>
      <c r="G188" s="22" t="n">
        <v>0.011</v>
      </c>
      <c r="H188" s="22" t="n">
        <v>57.06</v>
      </c>
      <c r="I188" s="23" t="n">
        <v>18</v>
      </c>
      <c r="J188" s="21" t="n">
        <v>4</v>
      </c>
      <c r="K188" s="21" t="n">
        <v>0</v>
      </c>
      <c r="L188" s="21" t="n">
        <v>1</v>
      </c>
      <c r="M188" s="22" t="n">
        <f aca="false">IFERROR(L188/E188*1000,0)</f>
        <v>1.230012300123</v>
      </c>
      <c r="N188" s="22" t="n">
        <f aca="false">IFERROR(J188/E188*100,0)</f>
        <v>0.492004920049201</v>
      </c>
      <c r="O188" s="32" t="str">
        <f aca="false">IF(H188&lt;30,"00-30",IF(H188&lt;40,"30-40",IF(H188&lt;50,"40-50",IF(H188&lt;60,"50-60",IF(H188&lt;70,"60-70","70+")))))</f>
        <v>50-60</v>
      </c>
      <c r="P188" s="37" t="n">
        <f aca="false">IFERROR(VALUE(SUBSTITUTE(B188,"-","")),0)</f>
        <v>20260726</v>
      </c>
    </row>
    <row r="189" customFormat="false" ht="23.85" hidden="false" customHeight="false" outlineLevel="0" collapsed="false">
      <c r="A189" s="14" t="s">
        <v>44</v>
      </c>
      <c r="B189" s="32" t="s">
        <v>525</v>
      </c>
      <c r="C189" s="7" t="s">
        <v>530</v>
      </c>
      <c r="D189" s="32" t="s">
        <v>531</v>
      </c>
      <c r="E189" s="21" t="n">
        <v>213</v>
      </c>
      <c r="F189" s="21" t="n">
        <v>45</v>
      </c>
      <c r="G189" s="22" t="n">
        <v>0</v>
      </c>
      <c r="H189" s="22" t="n">
        <v>60.5</v>
      </c>
      <c r="I189" s="23" t="n">
        <v>12</v>
      </c>
      <c r="J189" s="21" t="n">
        <v>0</v>
      </c>
      <c r="K189" s="21" t="n">
        <v>0</v>
      </c>
      <c r="L189" s="21" t="n">
        <v>0</v>
      </c>
      <c r="M189" s="22" t="n">
        <f aca="false">IFERROR(L189/E189*1000,0)</f>
        <v>0</v>
      </c>
      <c r="N189" s="22" t="n">
        <f aca="false">IFERROR(J189/E189*100,0)</f>
        <v>0</v>
      </c>
      <c r="O189" s="32" t="str">
        <f aca="false">IF(H189&lt;30,"00-30",IF(H189&lt;40,"30-40",IF(H189&lt;50,"40-50",IF(H189&lt;60,"50-60",IF(H189&lt;70,"60-70","70+")))))</f>
        <v>60-70</v>
      </c>
      <c r="P189" s="37" t="n">
        <f aca="false">IFERROR(VALUE(SUBSTITUTE(B189,"-","")),0)</f>
        <v>20260726</v>
      </c>
    </row>
    <row r="190" customFormat="false" ht="15" hidden="false" customHeight="false" outlineLevel="0" collapsed="false">
      <c r="A190" s="14" t="s">
        <v>44</v>
      </c>
      <c r="B190" s="32" t="s">
        <v>532</v>
      </c>
      <c r="C190" s="7" t="s">
        <v>533</v>
      </c>
      <c r="D190" s="32" t="s">
        <v>534</v>
      </c>
      <c r="E190" s="21" t="n">
        <v>1169</v>
      </c>
      <c r="F190" s="21" t="n">
        <v>42</v>
      </c>
      <c r="G190" s="22" t="n">
        <v>0.024</v>
      </c>
      <c r="H190" s="22" t="n">
        <v>59.29</v>
      </c>
      <c r="I190" s="23" t="n">
        <v>12</v>
      </c>
      <c r="J190" s="21" t="n">
        <v>5</v>
      </c>
      <c r="K190" s="21" t="n">
        <v>0</v>
      </c>
      <c r="L190" s="21" t="n">
        <v>0</v>
      </c>
      <c r="M190" s="22" t="n">
        <f aca="false">IFERROR(L190/E190*1000,0)</f>
        <v>0</v>
      </c>
      <c r="N190" s="22" t="n">
        <f aca="false">IFERROR(J190/E190*100,0)</f>
        <v>0.427715996578272</v>
      </c>
      <c r="O190" s="32" t="str">
        <f aca="false">IF(H190&lt;30,"00-30",IF(H190&lt;40,"30-40",IF(H190&lt;50,"40-50",IF(H190&lt;60,"50-60",IF(H190&lt;70,"60-70","70+")))))</f>
        <v>50-60</v>
      </c>
      <c r="P190" s="37" t="n">
        <f aca="false">IFERROR(VALUE(SUBSTITUTE(B190,"-","")),0)</f>
        <v>20260728</v>
      </c>
    </row>
    <row r="191" customFormat="false" ht="15" hidden="false" customHeight="false" outlineLevel="0" collapsed="false">
      <c r="A191" s="14" t="s">
        <v>44</v>
      </c>
      <c r="B191" s="32" t="s">
        <v>535</v>
      </c>
      <c r="C191" s="7" t="s">
        <v>536</v>
      </c>
      <c r="D191" s="32" t="s">
        <v>537</v>
      </c>
      <c r="E191" s="21" t="n">
        <v>893</v>
      </c>
      <c r="F191" s="21" t="n">
        <v>85</v>
      </c>
      <c r="G191" s="22" t="n">
        <v>0</v>
      </c>
      <c r="H191" s="22" t="n">
        <v>54.2</v>
      </c>
      <c r="I191" s="23" t="n">
        <v>16</v>
      </c>
      <c r="J191" s="21" t="n">
        <v>1</v>
      </c>
      <c r="K191" s="21" t="n">
        <v>1</v>
      </c>
      <c r="L191" s="21" t="n">
        <v>0</v>
      </c>
      <c r="M191" s="22" t="n">
        <f aca="false">IFERROR(L191/E191*1000,0)</f>
        <v>0</v>
      </c>
      <c r="N191" s="22" t="n">
        <f aca="false">IFERROR(J191/E191*100,0)</f>
        <v>0.111982082866741</v>
      </c>
      <c r="O191" s="32" t="str">
        <f aca="false">IF(H191&lt;30,"00-30",IF(H191&lt;40,"30-40",IF(H191&lt;50,"40-50",IF(H191&lt;60,"50-60",IF(H191&lt;70,"60-70","70+")))))</f>
        <v>50-60</v>
      </c>
      <c r="P191" s="37" t="n">
        <f aca="false">IFERROR(VALUE(SUBSTITUTE(B191,"-","")),0)</f>
        <v>20260729</v>
      </c>
    </row>
    <row r="192" customFormat="false" ht="15" hidden="false" customHeight="false" outlineLevel="0" collapsed="false">
      <c r="A192" s="14" t="s">
        <v>44</v>
      </c>
      <c r="B192" s="32" t="s">
        <v>538</v>
      </c>
      <c r="C192" s="7" t="s">
        <v>539</v>
      </c>
      <c r="D192" s="32" t="s">
        <v>540</v>
      </c>
      <c r="E192" s="21" t="n">
        <v>902</v>
      </c>
      <c r="F192" s="21" t="n">
        <v>30</v>
      </c>
      <c r="G192" s="22" t="n">
        <v>0.04</v>
      </c>
      <c r="H192" s="22" t="n">
        <v>65.49</v>
      </c>
      <c r="I192" s="23" t="n">
        <v>19</v>
      </c>
      <c r="J192" s="21" t="n">
        <v>0</v>
      </c>
      <c r="K192" s="21" t="n">
        <v>0</v>
      </c>
      <c r="L192" s="21" t="n">
        <v>1</v>
      </c>
      <c r="M192" s="22" t="n">
        <f aca="false">IFERROR(L192/E192*1000,0)</f>
        <v>1.10864745011086</v>
      </c>
      <c r="N192" s="22" t="n">
        <f aca="false">IFERROR(J192/E192*100,0)</f>
        <v>0</v>
      </c>
      <c r="O192" s="32" t="str">
        <f aca="false">IF(H192&lt;30,"00-30",IF(H192&lt;40,"30-40",IF(H192&lt;50,"40-50",IF(H192&lt;60,"50-60",IF(H192&lt;70,"60-70","70+")))))</f>
        <v>60-70</v>
      </c>
      <c r="P192" s="37" t="n">
        <f aca="false">IFERROR(VALUE(SUBSTITUTE(B192,"-","")),0)</f>
        <v>20260731</v>
      </c>
    </row>
    <row r="193" customFormat="false" ht="15" hidden="false" customHeight="false" outlineLevel="0" collapsed="false">
      <c r="A193" s="14" t="s">
        <v>44</v>
      </c>
      <c r="B193" s="32" t="s">
        <v>541</v>
      </c>
      <c r="C193" s="7" t="s">
        <v>542</v>
      </c>
      <c r="D193" s="32" t="s">
        <v>543</v>
      </c>
      <c r="E193" s="21" t="n">
        <v>1254</v>
      </c>
      <c r="F193" s="21" t="n">
        <v>28</v>
      </c>
      <c r="G193" s="22" t="n">
        <v>0</v>
      </c>
      <c r="H193" s="22" t="n">
        <v>54.78</v>
      </c>
      <c r="I193" s="23" t="n">
        <v>11</v>
      </c>
      <c r="J193" s="21" t="n">
        <v>3</v>
      </c>
      <c r="K193" s="21" t="n">
        <v>1</v>
      </c>
      <c r="L193" s="21" t="n">
        <v>0</v>
      </c>
      <c r="M193" s="22" t="n">
        <f aca="false">IFERROR(L193/E193*1000,0)</f>
        <v>0</v>
      </c>
      <c r="N193" s="22" t="n">
        <f aca="false">IFERROR(J193/E193*100,0)</f>
        <v>0.239234449760766</v>
      </c>
      <c r="O193" s="32" t="str">
        <f aca="false">IF(H193&lt;30,"00-30",IF(H193&lt;40,"30-40",IF(H193&lt;50,"40-50",IF(H193&lt;60,"50-60",IF(H193&lt;70,"60-70","70+")))))</f>
        <v>50-60</v>
      </c>
      <c r="P193" s="37" t="n">
        <f aca="false">IFERROR(VALUE(SUBSTITUTE(B193,"-","")),0)</f>
        <v>20260801</v>
      </c>
    </row>
    <row r="194" customFormat="false" ht="15" hidden="false" customHeight="false" outlineLevel="0" collapsed="false">
      <c r="A194" s="14" t="s">
        <v>44</v>
      </c>
      <c r="B194" s="32" t="s">
        <v>541</v>
      </c>
      <c r="C194" s="7" t="s">
        <v>544</v>
      </c>
      <c r="D194" s="32" t="s">
        <v>545</v>
      </c>
      <c r="E194" s="21" t="n">
        <v>208</v>
      </c>
      <c r="F194" s="21" t="n">
        <v>72</v>
      </c>
      <c r="G194" s="22" t="n">
        <v>0</v>
      </c>
      <c r="H194" s="22" t="n">
        <v>56.92</v>
      </c>
      <c r="I194" s="23" t="n">
        <v>11</v>
      </c>
      <c r="J194" s="21" t="n">
        <v>0</v>
      </c>
      <c r="K194" s="21" t="n">
        <v>0</v>
      </c>
      <c r="L194" s="21" t="n">
        <v>0</v>
      </c>
      <c r="M194" s="22" t="n">
        <f aca="false">IFERROR(L194/E194*1000,0)</f>
        <v>0</v>
      </c>
      <c r="N194" s="22" t="n">
        <f aca="false">IFERROR(J194/E194*100,0)</f>
        <v>0</v>
      </c>
      <c r="O194" s="32" t="str">
        <f aca="false">IF(H194&lt;30,"00-30",IF(H194&lt;40,"30-40",IF(H194&lt;50,"40-50",IF(H194&lt;60,"50-60",IF(H194&lt;70,"60-70","70+")))))</f>
        <v>50-60</v>
      </c>
      <c r="P194" s="37" t="n">
        <f aca="false">IFERROR(VALUE(SUBSTITUTE(B194,"-","")),0)</f>
        <v>20260801</v>
      </c>
    </row>
    <row r="195" customFormat="false" ht="15" hidden="false" customHeight="false" outlineLevel="0" collapsed="false">
      <c r="A195" s="14" t="s">
        <v>44</v>
      </c>
      <c r="B195" s="32" t="s">
        <v>541</v>
      </c>
      <c r="C195" s="7" t="s">
        <v>546</v>
      </c>
      <c r="D195" s="32" t="s">
        <v>547</v>
      </c>
      <c r="E195" s="21" t="n">
        <v>366</v>
      </c>
      <c r="F195" s="21" t="n">
        <v>27</v>
      </c>
      <c r="G195" s="22" t="n">
        <v>0</v>
      </c>
      <c r="H195" s="22" t="n">
        <v>65.48</v>
      </c>
      <c r="I195" s="23" t="n">
        <v>15</v>
      </c>
      <c r="J195" s="21" t="n">
        <v>4</v>
      </c>
      <c r="K195" s="21" t="n">
        <v>0</v>
      </c>
      <c r="L195" s="21" t="n">
        <v>0</v>
      </c>
      <c r="M195" s="22" t="n">
        <f aca="false">IFERROR(L195/E195*1000,0)</f>
        <v>0</v>
      </c>
      <c r="N195" s="22" t="n">
        <f aca="false">IFERROR(J195/E195*100,0)</f>
        <v>1.09289617486339</v>
      </c>
      <c r="O195" s="32" t="str">
        <f aca="false">IF(H195&lt;30,"00-30",IF(H195&lt;40,"30-40",IF(H195&lt;50,"40-50",IF(H195&lt;60,"50-60",IF(H195&lt;70,"60-70","70+")))))</f>
        <v>60-70</v>
      </c>
      <c r="P195" s="37" t="n">
        <f aca="false">IFERROR(VALUE(SUBSTITUTE(B195,"-","")),0)</f>
        <v>20260801</v>
      </c>
    </row>
    <row r="196" customFormat="false" ht="15" hidden="false" customHeight="false" outlineLevel="0" collapsed="false">
      <c r="A196" s="14" t="s">
        <v>44</v>
      </c>
      <c r="B196" s="32" t="s">
        <v>548</v>
      </c>
      <c r="C196" s="7" t="s">
        <v>549</v>
      </c>
      <c r="D196" s="32" t="s">
        <v>550</v>
      </c>
      <c r="E196" s="21" t="n">
        <v>207</v>
      </c>
      <c r="F196" s="21" t="n">
        <v>22</v>
      </c>
      <c r="G196" s="22" t="n">
        <v>0</v>
      </c>
      <c r="H196" s="22" t="n">
        <v>69.47</v>
      </c>
      <c r="I196" s="23" t="n">
        <v>21</v>
      </c>
      <c r="J196" s="21" t="n">
        <v>0</v>
      </c>
      <c r="K196" s="21" t="n">
        <v>0</v>
      </c>
      <c r="L196" s="21" t="n">
        <v>0</v>
      </c>
      <c r="M196" s="22" t="n">
        <f aca="false">IFERROR(L196/E196*1000,0)</f>
        <v>0</v>
      </c>
      <c r="N196" s="22" t="n">
        <f aca="false">IFERROR(J196/E196*100,0)</f>
        <v>0</v>
      </c>
      <c r="O196" s="32" t="str">
        <f aca="false">IF(H196&lt;30,"00-30",IF(H196&lt;40,"30-40",IF(H196&lt;50,"40-50",IF(H196&lt;60,"50-60",IF(H196&lt;70,"60-70","70+")))))</f>
        <v>60-70</v>
      </c>
      <c r="P196" s="37" t="n">
        <f aca="false">IFERROR(VALUE(SUBSTITUTE(B196,"-","")),0)</f>
        <v>20260802</v>
      </c>
    </row>
    <row r="197" customFormat="false" ht="15" hidden="false" customHeight="false" outlineLevel="0" collapsed="false">
      <c r="A197" s="14" t="s">
        <v>44</v>
      </c>
      <c r="B197" s="32" t="s">
        <v>548</v>
      </c>
      <c r="C197" s="7" t="s">
        <v>551</v>
      </c>
      <c r="D197" s="32" t="s">
        <v>552</v>
      </c>
      <c r="E197" s="21" t="n">
        <v>1040</v>
      </c>
      <c r="F197" s="21" t="n">
        <v>33</v>
      </c>
      <c r="G197" s="22" t="n">
        <v>0.067</v>
      </c>
      <c r="H197" s="22" t="n">
        <v>43.09</v>
      </c>
      <c r="I197" s="23" t="n">
        <v>12</v>
      </c>
      <c r="J197" s="21" t="n">
        <v>6</v>
      </c>
      <c r="K197" s="21" t="n">
        <v>0</v>
      </c>
      <c r="L197" s="21" t="n">
        <v>0</v>
      </c>
      <c r="M197" s="22" t="n">
        <f aca="false">IFERROR(L197/E197*1000,0)</f>
        <v>0</v>
      </c>
      <c r="N197" s="22" t="n">
        <f aca="false">IFERROR(J197/E197*100,0)</f>
        <v>0.576923076923077</v>
      </c>
      <c r="O197" s="32" t="str">
        <f aca="false">IF(H197&lt;30,"00-30",IF(H197&lt;40,"30-40",IF(H197&lt;50,"40-50",IF(H197&lt;60,"50-60",IF(H197&lt;70,"60-70","70+")))))</f>
        <v>40-50</v>
      </c>
      <c r="P197" s="37" t="n">
        <f aca="false">IFERROR(VALUE(SUBSTITUTE(B197,"-","")),0)</f>
        <v>20260802</v>
      </c>
    </row>
    <row r="198" customFormat="false" ht="15" hidden="false" customHeight="false" outlineLevel="0" collapsed="false">
      <c r="A198" s="14" t="s">
        <v>44</v>
      </c>
      <c r="B198" s="32" t="s">
        <v>553</v>
      </c>
      <c r="C198" s="7" t="s">
        <v>554</v>
      </c>
      <c r="D198" s="32" t="s">
        <v>555</v>
      </c>
      <c r="E198" s="21" t="n">
        <v>1279</v>
      </c>
      <c r="F198" s="21" t="n">
        <v>56</v>
      </c>
      <c r="G198" s="22" t="n">
        <v>0</v>
      </c>
      <c r="H198" s="22" t="n">
        <v>40.59</v>
      </c>
      <c r="I198" s="23" t="n">
        <v>12</v>
      </c>
      <c r="J198" s="21" t="n">
        <v>2</v>
      </c>
      <c r="K198" s="21" t="n">
        <v>0</v>
      </c>
      <c r="L198" s="21" t="n">
        <v>0</v>
      </c>
      <c r="M198" s="22" t="n">
        <f aca="false">IFERROR(L198/E198*1000,0)</f>
        <v>0</v>
      </c>
      <c r="N198" s="22" t="n">
        <f aca="false">IFERROR(J198/E198*100,0)</f>
        <v>0.156372165754496</v>
      </c>
      <c r="O198" s="32" t="str">
        <f aca="false">IF(H198&lt;30,"00-30",IF(H198&lt;40,"30-40",IF(H198&lt;50,"40-50",IF(H198&lt;60,"50-60",IF(H198&lt;70,"60-70","70+")))))</f>
        <v>40-50</v>
      </c>
      <c r="P198" s="37" t="n">
        <f aca="false">IFERROR(VALUE(SUBSTITUTE(B198,"-","")),0)</f>
        <v>20260803</v>
      </c>
    </row>
    <row r="199" customFormat="false" ht="15" hidden="false" customHeight="false" outlineLevel="0" collapsed="false">
      <c r="A199" s="14" t="s">
        <v>44</v>
      </c>
      <c r="B199" s="32" t="s">
        <v>556</v>
      </c>
      <c r="C199" s="7" t="s">
        <v>557</v>
      </c>
      <c r="D199" s="32" t="s">
        <v>558</v>
      </c>
      <c r="E199" s="21" t="n">
        <v>1081</v>
      </c>
      <c r="F199" s="21" t="n">
        <v>20</v>
      </c>
      <c r="G199" s="22" t="n">
        <v>0</v>
      </c>
      <c r="H199" s="22" t="n">
        <v>55.96</v>
      </c>
      <c r="I199" s="23" t="n">
        <v>17</v>
      </c>
      <c r="J199" s="21" t="n">
        <v>2</v>
      </c>
      <c r="K199" s="21" t="n">
        <v>0</v>
      </c>
      <c r="L199" s="21" t="n">
        <v>0</v>
      </c>
      <c r="M199" s="22" t="n">
        <f aca="false">IFERROR(L199/E199*1000,0)</f>
        <v>0</v>
      </c>
      <c r="N199" s="22" t="n">
        <f aca="false">IFERROR(J199/E199*100,0)</f>
        <v>0.185013876040703</v>
      </c>
      <c r="O199" s="32" t="str">
        <f aca="false">IF(H199&lt;30,"00-30",IF(H199&lt;40,"30-40",IF(H199&lt;50,"40-50",IF(H199&lt;60,"50-60",IF(H199&lt;70,"60-70","70+")))))</f>
        <v>50-60</v>
      </c>
      <c r="P199" s="37" t="n">
        <f aca="false">IFERROR(VALUE(SUBSTITUTE(B199,"-","")),0)</f>
        <v>20260804</v>
      </c>
    </row>
    <row r="200" customFormat="false" ht="15" hidden="false" customHeight="false" outlineLevel="0" collapsed="false">
      <c r="A200" s="14" t="s">
        <v>44</v>
      </c>
      <c r="B200" s="32" t="s">
        <v>556</v>
      </c>
      <c r="C200" s="7" t="s">
        <v>559</v>
      </c>
      <c r="D200" s="32" t="s">
        <v>560</v>
      </c>
      <c r="E200" s="21" t="n">
        <v>855</v>
      </c>
      <c r="F200" s="21" t="n">
        <v>112</v>
      </c>
      <c r="G200" s="22" t="n">
        <v>0</v>
      </c>
      <c r="H200" s="22" t="n">
        <v>51.84</v>
      </c>
      <c r="I200" s="23" t="n">
        <v>18</v>
      </c>
      <c r="J200" s="21" t="n">
        <v>4</v>
      </c>
      <c r="K200" s="21" t="n">
        <v>1</v>
      </c>
      <c r="L200" s="21" t="n">
        <v>1</v>
      </c>
      <c r="M200" s="22" t="n">
        <f aca="false">IFERROR(L200/E200*1000,0)</f>
        <v>1.16959064327485</v>
      </c>
      <c r="N200" s="22" t="n">
        <f aca="false">IFERROR(J200/E200*100,0)</f>
        <v>0.467836257309942</v>
      </c>
      <c r="O200" s="32" t="str">
        <f aca="false">IF(H200&lt;30,"00-30",IF(H200&lt;40,"30-40",IF(H200&lt;50,"40-50",IF(H200&lt;60,"50-60",IF(H200&lt;70,"60-70","70+")))))</f>
        <v>50-60</v>
      </c>
      <c r="P200" s="37" t="n">
        <f aca="false">IFERROR(VALUE(SUBSTITUTE(B200,"-","")),0)</f>
        <v>20260804</v>
      </c>
    </row>
    <row r="201" customFormat="false" ht="15" hidden="false" customHeight="false" outlineLevel="0" collapsed="false">
      <c r="A201" s="14" t="s">
        <v>44</v>
      </c>
      <c r="B201" s="32" t="s">
        <v>556</v>
      </c>
      <c r="C201" s="7" t="s">
        <v>561</v>
      </c>
      <c r="D201" s="32" t="s">
        <v>562</v>
      </c>
      <c r="E201" s="21" t="n">
        <v>840</v>
      </c>
      <c r="F201" s="21" t="n">
        <v>42</v>
      </c>
      <c r="G201" s="22" t="n">
        <v>0.069</v>
      </c>
      <c r="H201" s="22" t="n">
        <v>36.89</v>
      </c>
      <c r="I201" s="23" t="n">
        <v>9</v>
      </c>
      <c r="J201" s="21" t="n">
        <v>1</v>
      </c>
      <c r="K201" s="21" t="n">
        <v>0</v>
      </c>
      <c r="L201" s="21" t="n">
        <v>2</v>
      </c>
      <c r="M201" s="22" t="n">
        <f aca="false">IFERROR(L201/E201*1000,0)</f>
        <v>2.38095238095238</v>
      </c>
      <c r="N201" s="22" t="n">
        <f aca="false">IFERROR(J201/E201*100,0)</f>
        <v>0.119047619047619</v>
      </c>
      <c r="O201" s="32" t="str">
        <f aca="false">IF(H201&lt;30,"00-30",IF(H201&lt;40,"30-40",IF(H201&lt;50,"40-50",IF(H201&lt;60,"50-60",IF(H201&lt;70,"60-70","70+")))))</f>
        <v>30-40</v>
      </c>
      <c r="P201" s="37" t="n">
        <f aca="false">IFERROR(VALUE(SUBSTITUTE(B201,"-","")),0)</f>
        <v>20260804</v>
      </c>
    </row>
    <row r="202" customFormat="false" ht="15" hidden="false" customHeight="false" outlineLevel="0" collapsed="false">
      <c r="A202" s="14" t="s">
        <v>44</v>
      </c>
      <c r="B202" s="32" t="s">
        <v>563</v>
      </c>
      <c r="C202" s="7" t="s">
        <v>564</v>
      </c>
      <c r="D202" s="32" t="s">
        <v>565</v>
      </c>
      <c r="E202" s="21" t="n">
        <v>1122</v>
      </c>
      <c r="F202" s="21" t="n">
        <v>26</v>
      </c>
      <c r="G202" s="22" t="n">
        <v>0.056</v>
      </c>
      <c r="H202" s="22" t="n">
        <v>106.8</v>
      </c>
      <c r="I202" s="23" t="n">
        <v>26</v>
      </c>
      <c r="J202" s="21" t="n">
        <v>4</v>
      </c>
      <c r="K202" s="21" t="n">
        <v>0</v>
      </c>
      <c r="L202" s="21" t="n">
        <v>0</v>
      </c>
      <c r="M202" s="22" t="n">
        <f aca="false">IFERROR(L202/E202*1000,0)</f>
        <v>0</v>
      </c>
      <c r="N202" s="22" t="n">
        <f aca="false">IFERROR(J202/E202*100,0)</f>
        <v>0.35650623885918</v>
      </c>
      <c r="O202" s="32" t="str">
        <f aca="false">IF(H202&lt;30,"00-30",IF(H202&lt;40,"30-40",IF(H202&lt;50,"40-50",IF(H202&lt;60,"50-60",IF(H202&lt;70,"60-70","70+")))))</f>
        <v>70+</v>
      </c>
      <c r="P202" s="37" t="n">
        <f aca="false">IFERROR(VALUE(SUBSTITUTE(B202,"-","")),0)</f>
        <v>20260805</v>
      </c>
    </row>
    <row r="203" customFormat="false" ht="15" hidden="false" customHeight="false" outlineLevel="0" collapsed="false">
      <c r="A203" s="14" t="s">
        <v>44</v>
      </c>
      <c r="B203" s="32" t="s">
        <v>563</v>
      </c>
      <c r="C203" s="7" t="s">
        <v>566</v>
      </c>
      <c r="D203" s="32" t="s">
        <v>567</v>
      </c>
      <c r="E203" s="21" t="n">
        <v>979</v>
      </c>
      <c r="F203" s="21" t="n">
        <v>31</v>
      </c>
      <c r="G203" s="22" t="n">
        <v>0</v>
      </c>
      <c r="H203" s="22" t="n">
        <v>85.36</v>
      </c>
      <c r="I203" s="23" t="n">
        <v>23</v>
      </c>
      <c r="J203" s="21" t="n">
        <v>8</v>
      </c>
      <c r="K203" s="21" t="n">
        <v>0</v>
      </c>
      <c r="L203" s="21" t="n">
        <v>1</v>
      </c>
      <c r="M203" s="22" t="n">
        <f aca="false">IFERROR(L203/E203*1000,0)</f>
        <v>1.02145045965271</v>
      </c>
      <c r="N203" s="22" t="n">
        <f aca="false">IFERROR(J203/E203*100,0)</f>
        <v>0.817160367722166</v>
      </c>
      <c r="O203" s="32" t="str">
        <f aca="false">IF(H203&lt;30,"00-30",IF(H203&lt;40,"30-40",IF(H203&lt;50,"40-50",IF(H203&lt;60,"50-60",IF(H203&lt;70,"60-70","70+")))))</f>
        <v>70+</v>
      </c>
      <c r="P203" s="37" t="n">
        <f aca="false">IFERROR(VALUE(SUBSTITUTE(B203,"-","")),0)</f>
        <v>20260805</v>
      </c>
    </row>
    <row r="204" customFormat="false" ht="15" hidden="false" customHeight="false" outlineLevel="0" collapsed="false">
      <c r="A204" s="14" t="s">
        <v>44</v>
      </c>
      <c r="B204" s="32" t="s">
        <v>563</v>
      </c>
      <c r="C204" s="7" t="s">
        <v>568</v>
      </c>
      <c r="D204" s="32" t="s">
        <v>569</v>
      </c>
      <c r="E204" s="21" t="n">
        <v>1200</v>
      </c>
      <c r="F204" s="21" t="n">
        <v>51</v>
      </c>
      <c r="G204" s="22" t="n">
        <v>0</v>
      </c>
      <c r="H204" s="22" t="n">
        <v>63.11</v>
      </c>
      <c r="I204" s="23" t="n">
        <v>13</v>
      </c>
      <c r="J204" s="21" t="n">
        <v>2</v>
      </c>
      <c r="K204" s="21" t="n">
        <v>0</v>
      </c>
      <c r="L204" s="21" t="n">
        <v>0</v>
      </c>
      <c r="M204" s="22" t="n">
        <f aca="false">IFERROR(L204/E204*1000,0)</f>
        <v>0</v>
      </c>
      <c r="N204" s="22" t="n">
        <f aca="false">IFERROR(J204/E204*100,0)</f>
        <v>0.166666666666667</v>
      </c>
      <c r="O204" s="32" t="str">
        <f aca="false">IF(H204&lt;30,"00-30",IF(H204&lt;40,"30-40",IF(H204&lt;50,"40-50",IF(H204&lt;60,"50-60",IF(H204&lt;70,"60-70","70+")))))</f>
        <v>60-70</v>
      </c>
      <c r="P204" s="37" t="n">
        <f aca="false">IFERROR(VALUE(SUBSTITUTE(B204,"-","")),0)</f>
        <v>20260805</v>
      </c>
    </row>
    <row r="205" customFormat="false" ht="15" hidden="false" customHeight="false" outlineLevel="0" collapsed="false">
      <c r="A205" s="14" t="s">
        <v>44</v>
      </c>
      <c r="B205" s="32" t="s">
        <v>570</v>
      </c>
      <c r="C205" s="7" t="s">
        <v>571</v>
      </c>
      <c r="D205" s="32" t="s">
        <v>572</v>
      </c>
      <c r="E205" s="21" t="n">
        <v>1240</v>
      </c>
      <c r="F205" s="21" t="n">
        <v>81</v>
      </c>
      <c r="G205" s="22" t="n">
        <v>0</v>
      </c>
      <c r="H205" s="22" t="n">
        <v>60.33</v>
      </c>
      <c r="I205" s="23" t="n">
        <v>14</v>
      </c>
      <c r="J205" s="21" t="n">
        <v>1</v>
      </c>
      <c r="K205" s="21" t="n">
        <v>0</v>
      </c>
      <c r="L205" s="21" t="n">
        <v>0</v>
      </c>
      <c r="M205" s="22" t="n">
        <f aca="false">IFERROR(L205/E205*1000,0)</f>
        <v>0</v>
      </c>
      <c r="N205" s="22" t="n">
        <f aca="false">IFERROR(J205/E205*100,0)</f>
        <v>0.0806451612903226</v>
      </c>
      <c r="O205" s="32" t="str">
        <f aca="false">IF(H205&lt;30,"00-30",IF(H205&lt;40,"30-40",IF(H205&lt;50,"40-50",IF(H205&lt;60,"50-60",IF(H205&lt;70,"60-70","70+")))))</f>
        <v>60-70</v>
      </c>
      <c r="P205" s="37" t="n">
        <f aca="false">IFERROR(VALUE(SUBSTITUTE(B205,"-","")),0)</f>
        <v>20260806</v>
      </c>
    </row>
    <row r="206" customFormat="false" ht="15" hidden="false" customHeight="false" outlineLevel="0" collapsed="false">
      <c r="A206" s="14" t="s">
        <v>44</v>
      </c>
      <c r="B206" s="32" t="s">
        <v>570</v>
      </c>
      <c r="C206" s="7" t="s">
        <v>573</v>
      </c>
      <c r="D206" s="32" t="s">
        <v>574</v>
      </c>
      <c r="E206" s="21" t="n">
        <v>1021</v>
      </c>
      <c r="F206" s="21" t="n">
        <v>25</v>
      </c>
      <c r="G206" s="22" t="n">
        <v>0</v>
      </c>
      <c r="H206" s="22" t="n">
        <v>61.28</v>
      </c>
      <c r="I206" s="23" t="n">
        <v>21</v>
      </c>
      <c r="J206" s="21" t="n">
        <v>3</v>
      </c>
      <c r="K206" s="21" t="n">
        <v>0</v>
      </c>
      <c r="L206" s="21" t="n">
        <v>0</v>
      </c>
      <c r="M206" s="22" t="n">
        <f aca="false">IFERROR(L206/E206*1000,0)</f>
        <v>0</v>
      </c>
      <c r="N206" s="22" t="n">
        <f aca="false">IFERROR(J206/E206*100,0)</f>
        <v>0.29382957884427</v>
      </c>
      <c r="O206" s="32" t="str">
        <f aca="false">IF(H206&lt;30,"00-30",IF(H206&lt;40,"30-40",IF(H206&lt;50,"40-50",IF(H206&lt;60,"50-60",IF(H206&lt;70,"60-70","70+")))))</f>
        <v>60-70</v>
      </c>
      <c r="P206" s="37" t="n">
        <f aca="false">IFERROR(VALUE(SUBSTITUTE(B206,"-","")),0)</f>
        <v>20260806</v>
      </c>
    </row>
    <row r="207" customFormat="false" ht="15" hidden="false" customHeight="false" outlineLevel="0" collapsed="false">
      <c r="A207" s="14" t="s">
        <v>44</v>
      </c>
      <c r="B207" s="32" t="s">
        <v>570</v>
      </c>
      <c r="C207" s="7" t="s">
        <v>575</v>
      </c>
      <c r="D207" s="32" t="s">
        <v>576</v>
      </c>
      <c r="E207" s="21" t="n">
        <v>1159</v>
      </c>
      <c r="F207" s="21" t="n">
        <v>14</v>
      </c>
      <c r="G207" s="22" t="n">
        <v>0.083</v>
      </c>
      <c r="H207" s="22" t="n">
        <v>62.33</v>
      </c>
      <c r="I207" s="23" t="n">
        <v>16</v>
      </c>
      <c r="J207" s="21" t="n">
        <v>5</v>
      </c>
      <c r="K207" s="21" t="n">
        <v>0</v>
      </c>
      <c r="L207" s="21" t="n">
        <v>1</v>
      </c>
      <c r="M207" s="22" t="n">
        <f aca="false">IFERROR(L207/E207*1000,0)</f>
        <v>0.862812769628991</v>
      </c>
      <c r="N207" s="22" t="n">
        <f aca="false">IFERROR(J207/E207*100,0)</f>
        <v>0.431406384814495</v>
      </c>
      <c r="O207" s="32" t="str">
        <f aca="false">IF(H207&lt;30,"00-30",IF(H207&lt;40,"30-40",IF(H207&lt;50,"40-50",IF(H207&lt;60,"50-60",IF(H207&lt;70,"60-70","70+")))))</f>
        <v>60-70</v>
      </c>
      <c r="P207" s="37" t="n">
        <f aca="false">IFERROR(VALUE(SUBSTITUTE(B207,"-","")),0)</f>
        <v>20260806</v>
      </c>
    </row>
    <row r="208" customFormat="false" ht="15" hidden="false" customHeight="false" outlineLevel="0" collapsed="false">
      <c r="A208" s="14" t="s">
        <v>44</v>
      </c>
      <c r="B208" s="32" t="s">
        <v>230</v>
      </c>
      <c r="C208" s="7" t="s">
        <v>577</v>
      </c>
      <c r="D208" s="32" t="s">
        <v>578</v>
      </c>
      <c r="E208" s="21" t="n">
        <v>293</v>
      </c>
      <c r="F208" s="21" t="n">
        <v>14</v>
      </c>
      <c r="G208" s="22" t="n">
        <v>0</v>
      </c>
      <c r="H208" s="22" t="n">
        <v>587.66</v>
      </c>
      <c r="I208" s="23" t="n">
        <v>117</v>
      </c>
      <c r="J208" s="21" t="n">
        <v>0</v>
      </c>
      <c r="K208" s="21" t="n">
        <v>0</v>
      </c>
      <c r="L208" s="21" t="n">
        <v>0</v>
      </c>
      <c r="M208" s="22" t="n">
        <f aca="false">IFERROR(L208/E208*1000,0)</f>
        <v>0</v>
      </c>
      <c r="N208" s="22" t="n">
        <f aca="false">IFERROR(J208/E208*100,0)</f>
        <v>0</v>
      </c>
      <c r="O208" s="32" t="str">
        <f aca="false">IF(H208&lt;30,"00-30",IF(H208&lt;40,"30-40",IF(H208&lt;50,"40-50",IF(H208&lt;60,"50-60",IF(H208&lt;70,"60-70","70+")))))</f>
        <v>70+</v>
      </c>
      <c r="P208" s="37" t="n">
        <f aca="false">IFERROR(VALUE(SUBSTITUTE(B208,"-","")),0)</f>
        <v>20260808</v>
      </c>
    </row>
    <row r="209" customFormat="false" ht="15" hidden="false" customHeight="false" outlineLevel="0" collapsed="false">
      <c r="A209" s="14" t="s">
        <v>44</v>
      </c>
      <c r="B209" s="32" t="s">
        <v>230</v>
      </c>
      <c r="C209" s="7" t="s">
        <v>579</v>
      </c>
      <c r="D209" s="32" t="s">
        <v>580</v>
      </c>
      <c r="E209" s="21" t="n">
        <v>897</v>
      </c>
      <c r="F209" s="21" t="n">
        <v>21</v>
      </c>
      <c r="G209" s="22" t="n">
        <v>0.1</v>
      </c>
      <c r="H209" s="22" t="n">
        <v>77.38</v>
      </c>
      <c r="I209" s="23" t="n">
        <v>20</v>
      </c>
      <c r="J209" s="21" t="n">
        <v>2</v>
      </c>
      <c r="K209" s="21" t="n">
        <v>0</v>
      </c>
      <c r="L209" s="21" t="n">
        <v>3</v>
      </c>
      <c r="M209" s="22" t="n">
        <f aca="false">IFERROR(L209/E209*1000,0)</f>
        <v>3.34448160535117</v>
      </c>
      <c r="N209" s="22" t="n">
        <f aca="false">IFERROR(J209/E209*100,0)</f>
        <v>0.222965440356745</v>
      </c>
      <c r="O209" s="32" t="str">
        <f aca="false">IF(H209&lt;30,"00-30",IF(H209&lt;40,"30-40",IF(H209&lt;50,"40-50",IF(H209&lt;60,"50-60",IF(H209&lt;70,"60-70","70+")))))</f>
        <v>70+</v>
      </c>
      <c r="P209" s="37" t="n">
        <f aca="false">IFERROR(VALUE(SUBSTITUTE(B209,"-","")),0)</f>
        <v>20260808</v>
      </c>
    </row>
    <row r="210" customFormat="false" ht="15" hidden="false" customHeight="false" outlineLevel="0" collapsed="false">
      <c r="A210" s="14" t="s">
        <v>44</v>
      </c>
      <c r="B210" s="32" t="s">
        <v>101</v>
      </c>
      <c r="C210" s="7" t="s">
        <v>581</v>
      </c>
      <c r="D210" s="32" t="s">
        <v>582</v>
      </c>
      <c r="E210" s="21" t="n">
        <v>941</v>
      </c>
      <c r="F210" s="21" t="n">
        <v>49</v>
      </c>
      <c r="G210" s="22" t="n">
        <v>0.062</v>
      </c>
      <c r="H210" s="22" t="n">
        <v>45.87</v>
      </c>
      <c r="I210" s="23" t="n">
        <v>20</v>
      </c>
      <c r="J210" s="21" t="n">
        <v>4</v>
      </c>
      <c r="K210" s="21" t="n">
        <v>0</v>
      </c>
      <c r="L210" s="21" t="n">
        <v>1</v>
      </c>
      <c r="M210" s="22" t="n">
        <f aca="false">IFERROR(L210/E210*1000,0)</f>
        <v>1.06269925611052</v>
      </c>
      <c r="N210" s="22" t="n">
        <f aca="false">IFERROR(J210/E210*100,0)</f>
        <v>0.425079702444208</v>
      </c>
      <c r="O210" s="32" t="str">
        <f aca="false">IF(H210&lt;30,"00-30",IF(H210&lt;40,"30-40",IF(H210&lt;50,"40-50",IF(H210&lt;60,"50-60",IF(H210&lt;70,"60-70","70+")))))</f>
        <v>40-50</v>
      </c>
      <c r="P210" s="37" t="n">
        <f aca="false">IFERROR(VALUE(SUBSTITUTE(B210,"-","")),0)</f>
        <v>20260809</v>
      </c>
    </row>
    <row r="211" customFormat="false" ht="15" hidden="false" customHeight="false" outlineLevel="0" collapsed="false">
      <c r="A211" s="14" t="s">
        <v>44</v>
      </c>
      <c r="B211" s="32" t="s">
        <v>101</v>
      </c>
      <c r="C211" s="7" t="s">
        <v>583</v>
      </c>
      <c r="D211" s="32" t="s">
        <v>584</v>
      </c>
      <c r="E211" s="21" t="n">
        <v>1049</v>
      </c>
      <c r="F211" s="21" t="n">
        <v>20</v>
      </c>
      <c r="G211" s="22" t="n">
        <v>0</v>
      </c>
      <c r="H211" s="22" t="n">
        <v>46.99</v>
      </c>
      <c r="I211" s="23" t="n">
        <v>13</v>
      </c>
      <c r="J211" s="21" t="n">
        <v>6</v>
      </c>
      <c r="K211" s="21" t="n">
        <v>0</v>
      </c>
      <c r="L211" s="21" t="n">
        <v>0</v>
      </c>
      <c r="M211" s="22" t="n">
        <f aca="false">IFERROR(L211/E211*1000,0)</f>
        <v>0</v>
      </c>
      <c r="N211" s="22" t="n">
        <f aca="false">IFERROR(J211/E211*100,0)</f>
        <v>0.571973307912297</v>
      </c>
      <c r="O211" s="32" t="str">
        <f aca="false">IF(H211&lt;30,"00-30",IF(H211&lt;40,"30-40",IF(H211&lt;50,"40-50",IF(H211&lt;60,"50-60",IF(H211&lt;70,"60-70","70+")))))</f>
        <v>40-50</v>
      </c>
      <c r="P211" s="37" t="n">
        <f aca="false">IFERROR(VALUE(SUBSTITUTE(B211,"-","")),0)</f>
        <v>20260809</v>
      </c>
    </row>
    <row r="212" customFormat="false" ht="15" hidden="false" customHeight="false" outlineLevel="0" collapsed="false">
      <c r="A212" s="14" t="s">
        <v>44</v>
      </c>
      <c r="B212" s="32" t="s">
        <v>101</v>
      </c>
      <c r="C212" s="14" t="s">
        <v>585</v>
      </c>
      <c r="D212" s="32" t="s">
        <v>586</v>
      </c>
      <c r="E212" s="21" t="n">
        <v>984</v>
      </c>
      <c r="F212" s="21" t="n">
        <v>52</v>
      </c>
      <c r="G212" s="22" t="n">
        <v>0.029</v>
      </c>
      <c r="H212" s="22" t="n">
        <v>83.86</v>
      </c>
      <c r="I212" s="23" t="n">
        <v>31</v>
      </c>
      <c r="J212" s="21" t="n">
        <v>3</v>
      </c>
      <c r="K212" s="21" t="n">
        <v>0</v>
      </c>
      <c r="L212" s="21" t="n">
        <v>0</v>
      </c>
      <c r="M212" s="22" t="n">
        <f aca="false">IFERROR(L212/E212*1000,0)</f>
        <v>0</v>
      </c>
      <c r="N212" s="22" t="n">
        <f aca="false">IFERROR(J212/E212*100,0)</f>
        <v>0.304878048780488</v>
      </c>
      <c r="O212" s="32" t="str">
        <f aca="false">IF(H212&lt;30,"00-30",IF(H212&lt;40,"30-40",IF(H212&lt;50,"40-50",IF(H212&lt;60,"50-60",IF(H212&lt;70,"60-70","70+")))))</f>
        <v>70+</v>
      </c>
      <c r="P212" s="37" t="n">
        <f aca="false">IFERROR(VALUE(SUBSTITUTE(B212,"-","")),0)</f>
        <v>20260809</v>
      </c>
    </row>
    <row r="213" customFormat="false" ht="15" hidden="false" customHeight="false" outlineLevel="0" collapsed="false">
      <c r="A213" s="14" t="s">
        <v>44</v>
      </c>
      <c r="B213" s="32" t="s">
        <v>587</v>
      </c>
      <c r="C213" s="7" t="s">
        <v>588</v>
      </c>
      <c r="D213" s="32" t="s">
        <v>589</v>
      </c>
      <c r="E213" s="21" t="n">
        <v>805</v>
      </c>
      <c r="F213" s="21" t="n">
        <v>66</v>
      </c>
      <c r="G213" s="22" t="n">
        <v>0.043</v>
      </c>
      <c r="H213" s="22" t="n">
        <v>47.07</v>
      </c>
      <c r="I213" s="23" t="n">
        <v>15</v>
      </c>
      <c r="J213" s="21" t="n">
        <v>1</v>
      </c>
      <c r="K213" s="21" t="n">
        <v>1</v>
      </c>
      <c r="L213" s="21" t="n">
        <v>0</v>
      </c>
      <c r="M213" s="22" t="n">
        <f aca="false">IFERROR(L213/E213*1000,0)</f>
        <v>0</v>
      </c>
      <c r="N213" s="22" t="n">
        <f aca="false">IFERROR(J213/E213*100,0)</f>
        <v>0.124223602484472</v>
      </c>
      <c r="O213" s="32" t="str">
        <f aca="false">IF(H213&lt;30,"00-30",IF(H213&lt;40,"30-40",IF(H213&lt;50,"40-50",IF(H213&lt;60,"50-60",IF(H213&lt;70,"60-70","70+")))))</f>
        <v>40-50</v>
      </c>
      <c r="P213" s="37" t="n">
        <f aca="false">IFERROR(VALUE(SUBSTITUTE(B213,"-","")),0)</f>
        <v>20260810</v>
      </c>
    </row>
    <row r="214" customFormat="false" ht="15" hidden="false" customHeight="false" outlineLevel="0" collapsed="false">
      <c r="A214" s="14" t="s">
        <v>44</v>
      </c>
      <c r="B214" s="32" t="s">
        <v>587</v>
      </c>
      <c r="C214" s="7" t="s">
        <v>590</v>
      </c>
      <c r="D214" s="32" t="s">
        <v>591</v>
      </c>
      <c r="E214" s="21" t="n">
        <v>1038</v>
      </c>
      <c r="F214" s="21" t="n">
        <v>108</v>
      </c>
      <c r="G214" s="22" t="n">
        <v>0.04</v>
      </c>
      <c r="H214" s="22" t="n">
        <v>52.32</v>
      </c>
      <c r="I214" s="23" t="n">
        <v>19</v>
      </c>
      <c r="J214" s="21" t="n">
        <v>5</v>
      </c>
      <c r="K214" s="21" t="n">
        <v>0</v>
      </c>
      <c r="L214" s="21" t="n">
        <v>0</v>
      </c>
      <c r="M214" s="22" t="n">
        <f aca="false">IFERROR(L214/E214*1000,0)</f>
        <v>0</v>
      </c>
      <c r="N214" s="22" t="n">
        <f aca="false">IFERROR(J214/E214*100,0)</f>
        <v>0.481695568400771</v>
      </c>
      <c r="O214" s="32" t="str">
        <f aca="false">IF(H214&lt;30,"00-30",IF(H214&lt;40,"30-40",IF(H214&lt;50,"40-50",IF(H214&lt;60,"50-60",IF(H214&lt;70,"60-70","70+")))))</f>
        <v>50-60</v>
      </c>
      <c r="P214" s="37" t="n">
        <f aca="false">IFERROR(VALUE(SUBSTITUTE(B214,"-","")),0)</f>
        <v>20260810</v>
      </c>
    </row>
    <row r="215" customFormat="false" ht="15" hidden="false" customHeight="false" outlineLevel="0" collapsed="false">
      <c r="A215" s="14" t="s">
        <v>44</v>
      </c>
      <c r="B215" s="32" t="s">
        <v>587</v>
      </c>
      <c r="C215" s="7" t="s">
        <v>592</v>
      </c>
      <c r="D215" s="32" t="s">
        <v>593</v>
      </c>
      <c r="E215" s="21" t="n">
        <v>779</v>
      </c>
      <c r="F215" s="21" t="n">
        <v>55</v>
      </c>
      <c r="G215" s="22" t="n">
        <v>0.059</v>
      </c>
      <c r="H215" s="22" t="n">
        <v>81.34</v>
      </c>
      <c r="I215" s="23" t="n">
        <v>22</v>
      </c>
      <c r="J215" s="21" t="n">
        <v>4</v>
      </c>
      <c r="K215" s="21" t="n">
        <v>0</v>
      </c>
      <c r="L215" s="21" t="n">
        <v>0</v>
      </c>
      <c r="M215" s="22" t="n">
        <f aca="false">IFERROR(L215/E215*1000,0)</f>
        <v>0</v>
      </c>
      <c r="N215" s="22" t="n">
        <f aca="false">IFERROR(J215/E215*100,0)</f>
        <v>0.513478818998716</v>
      </c>
      <c r="O215" s="32" t="str">
        <f aca="false">IF(H215&lt;30,"00-30",IF(H215&lt;40,"30-40",IF(H215&lt;50,"40-50",IF(H215&lt;60,"50-60",IF(H215&lt;70,"60-70","70+")))))</f>
        <v>70+</v>
      </c>
      <c r="P215" s="37" t="n">
        <f aca="false">IFERROR(VALUE(SUBSTITUTE(B215,"-","")),0)</f>
        <v>20260810</v>
      </c>
    </row>
    <row r="216" customFormat="false" ht="15" hidden="false" customHeight="false" outlineLevel="0" collapsed="false">
      <c r="A216" s="14" t="s">
        <v>44</v>
      </c>
      <c r="B216" s="32" t="s">
        <v>594</v>
      </c>
      <c r="C216" s="7" t="s">
        <v>595</v>
      </c>
      <c r="D216" s="32" t="s">
        <v>596</v>
      </c>
      <c r="E216" s="21" t="n">
        <v>862</v>
      </c>
      <c r="F216" s="21" t="n">
        <v>25</v>
      </c>
      <c r="G216" s="22" t="n">
        <v>0</v>
      </c>
      <c r="H216" s="22" t="n">
        <v>48.49</v>
      </c>
      <c r="I216" s="23" t="n">
        <v>14</v>
      </c>
      <c r="J216" s="21" t="n">
        <v>4</v>
      </c>
      <c r="K216" s="21" t="n">
        <v>0</v>
      </c>
      <c r="L216" s="21" t="n">
        <v>0</v>
      </c>
      <c r="M216" s="22" t="n">
        <f aca="false">IFERROR(L216/E216*1000,0)</f>
        <v>0</v>
      </c>
      <c r="N216" s="22" t="n">
        <f aca="false">IFERROR(J216/E216*100,0)</f>
        <v>0.464037122969838</v>
      </c>
      <c r="O216" s="32" t="str">
        <f aca="false">IF(H216&lt;30,"00-30",IF(H216&lt;40,"30-40",IF(H216&lt;50,"40-50",IF(H216&lt;60,"50-60",IF(H216&lt;70,"60-70","70+")))))</f>
        <v>40-50</v>
      </c>
      <c r="P216" s="37" t="n">
        <f aca="false">IFERROR(VALUE(SUBSTITUTE(B216,"-","")),0)</f>
        <v>20260811</v>
      </c>
    </row>
    <row r="217" customFormat="false" ht="15" hidden="false" customHeight="false" outlineLevel="0" collapsed="false">
      <c r="A217" s="14" t="s">
        <v>44</v>
      </c>
      <c r="B217" s="32" t="s">
        <v>235</v>
      </c>
      <c r="C217" s="7" t="s">
        <v>597</v>
      </c>
      <c r="D217" s="32" t="s">
        <v>598</v>
      </c>
      <c r="E217" s="21" t="n">
        <v>1065</v>
      </c>
      <c r="F217" s="21" t="n">
        <v>21</v>
      </c>
      <c r="G217" s="22" t="n">
        <v>0</v>
      </c>
      <c r="H217" s="22" t="n">
        <v>55.87</v>
      </c>
      <c r="I217" s="23" t="n">
        <v>15</v>
      </c>
      <c r="J217" s="21" t="n">
        <v>4</v>
      </c>
      <c r="K217" s="21" t="n">
        <v>0</v>
      </c>
      <c r="L217" s="21" t="n">
        <v>1</v>
      </c>
      <c r="M217" s="22" t="n">
        <f aca="false">IFERROR(L217/E217*1000,0)</f>
        <v>0.938967136150235</v>
      </c>
      <c r="N217" s="22" t="n">
        <f aca="false">IFERROR(J217/E217*100,0)</f>
        <v>0.375586854460094</v>
      </c>
      <c r="O217" s="32" t="str">
        <f aca="false">IF(H217&lt;30,"00-30",IF(H217&lt;40,"30-40",IF(H217&lt;50,"40-50",IF(H217&lt;60,"50-60",IF(H217&lt;70,"60-70","70+")))))</f>
        <v>50-60</v>
      </c>
      <c r="P217" s="37" t="n">
        <f aca="false">IFERROR(VALUE(SUBSTITUTE(B217,"-","")),0)</f>
        <v>20260812</v>
      </c>
    </row>
    <row r="218" customFormat="false" ht="15" hidden="false" customHeight="false" outlineLevel="0" collapsed="false">
      <c r="A218" s="14" t="s">
        <v>44</v>
      </c>
      <c r="B218" s="32" t="s">
        <v>104</v>
      </c>
      <c r="C218" s="7" t="s">
        <v>599</v>
      </c>
      <c r="D218" s="32" t="s">
        <v>600</v>
      </c>
      <c r="E218" s="21" t="n">
        <v>756</v>
      </c>
      <c r="F218" s="21" t="n">
        <v>28</v>
      </c>
      <c r="G218" s="22" t="n">
        <v>0.056</v>
      </c>
      <c r="H218" s="22" t="n">
        <v>102.08</v>
      </c>
      <c r="I218" s="23" t="n">
        <v>32</v>
      </c>
      <c r="J218" s="21" t="n">
        <v>2</v>
      </c>
      <c r="K218" s="21" t="n">
        <v>0</v>
      </c>
      <c r="L218" s="21" t="n">
        <v>0</v>
      </c>
      <c r="M218" s="22" t="n">
        <f aca="false">IFERROR(L218/E218*1000,0)</f>
        <v>0</v>
      </c>
      <c r="N218" s="22" t="n">
        <f aca="false">IFERROR(J218/E218*100,0)</f>
        <v>0.264550264550265</v>
      </c>
      <c r="O218" s="32" t="str">
        <f aca="false">IF(H218&lt;30,"00-30",IF(H218&lt;40,"30-40",IF(H218&lt;50,"40-50",IF(H218&lt;60,"50-60",IF(H218&lt;70,"60-70","70+")))))</f>
        <v>70+</v>
      </c>
      <c r="P218" s="37" t="n">
        <f aca="false">IFERROR(VALUE(SUBSTITUTE(B218,"-","")),0)</f>
        <v>20260813</v>
      </c>
    </row>
    <row r="219" customFormat="false" ht="15" hidden="false" customHeight="false" outlineLevel="0" collapsed="false">
      <c r="A219" s="14" t="s">
        <v>44</v>
      </c>
      <c r="B219" s="32" t="s">
        <v>109</v>
      </c>
      <c r="C219" s="7" t="s">
        <v>601</v>
      </c>
      <c r="D219" s="32" t="s">
        <v>602</v>
      </c>
      <c r="E219" s="21" t="n">
        <v>1105</v>
      </c>
      <c r="F219" s="21" t="n">
        <v>52</v>
      </c>
      <c r="G219" s="22" t="n">
        <v>0.027</v>
      </c>
      <c r="H219" s="22" t="n">
        <v>57.45</v>
      </c>
      <c r="I219" s="23" t="n">
        <v>15</v>
      </c>
      <c r="J219" s="21" t="n">
        <v>3</v>
      </c>
      <c r="K219" s="21" t="n">
        <v>0</v>
      </c>
      <c r="L219" s="21" t="n">
        <v>0</v>
      </c>
      <c r="M219" s="22" t="n">
        <f aca="false">IFERROR(L219/E219*1000,0)</f>
        <v>0</v>
      </c>
      <c r="N219" s="22" t="n">
        <f aca="false">IFERROR(J219/E219*100,0)</f>
        <v>0.271493212669683</v>
      </c>
      <c r="O219" s="32" t="str">
        <f aca="false">IF(H219&lt;30,"00-30",IF(H219&lt;40,"30-40",IF(H219&lt;50,"40-50",IF(H219&lt;60,"50-60",IF(H219&lt;70,"60-70","70+")))))</f>
        <v>50-60</v>
      </c>
      <c r="P219" s="37" t="n">
        <f aca="false">IFERROR(VALUE(SUBSTITUTE(B219,"-","")),0)</f>
        <v>20260814</v>
      </c>
    </row>
    <row r="220" customFormat="false" ht="23.85" hidden="false" customHeight="false" outlineLevel="0" collapsed="false">
      <c r="A220" s="14" t="s">
        <v>44</v>
      </c>
      <c r="B220" s="32" t="s">
        <v>114</v>
      </c>
      <c r="C220" s="7" t="s">
        <v>603</v>
      </c>
      <c r="D220" s="32" t="s">
        <v>604</v>
      </c>
      <c r="E220" s="21" t="n">
        <v>216</v>
      </c>
      <c r="F220" s="21" t="n">
        <v>15</v>
      </c>
      <c r="G220" s="22" t="n">
        <v>0</v>
      </c>
      <c r="H220" s="22" t="n">
        <v>55.99</v>
      </c>
      <c r="I220" s="23" t="n">
        <v>13</v>
      </c>
      <c r="J220" s="21" t="n">
        <v>0</v>
      </c>
      <c r="K220" s="21" t="n">
        <v>0</v>
      </c>
      <c r="L220" s="21" t="n">
        <v>0</v>
      </c>
      <c r="M220" s="22" t="n">
        <f aca="false">IFERROR(L220/E220*1000,0)</f>
        <v>0</v>
      </c>
      <c r="N220" s="22" t="n">
        <f aca="false">IFERROR(J220/E220*100,0)</f>
        <v>0</v>
      </c>
      <c r="O220" s="32" t="str">
        <f aca="false">IF(H220&lt;30,"00-30",IF(H220&lt;40,"30-40",IF(H220&lt;50,"40-50",IF(H220&lt;60,"50-60",IF(H220&lt;70,"60-70","70+")))))</f>
        <v>50-60</v>
      </c>
      <c r="P220" s="37" t="n">
        <f aca="false">IFERROR(VALUE(SUBSTITUTE(B220,"-","")),0)</f>
        <v>20260815</v>
      </c>
    </row>
    <row r="221" customFormat="false" ht="15" hidden="false" customHeight="false" outlineLevel="0" collapsed="false">
      <c r="A221" s="14" t="s">
        <v>44</v>
      </c>
      <c r="B221" s="32" t="s">
        <v>122</v>
      </c>
      <c r="C221" s="7" t="s">
        <v>605</v>
      </c>
      <c r="D221" s="32" t="s">
        <v>606</v>
      </c>
      <c r="E221" s="21" t="n">
        <v>374</v>
      </c>
      <c r="F221" s="21" t="n">
        <v>23</v>
      </c>
      <c r="G221" s="22" t="n">
        <v>0</v>
      </c>
      <c r="H221" s="22" t="n">
        <v>53.66</v>
      </c>
      <c r="I221" s="23" t="n">
        <v>15</v>
      </c>
      <c r="J221" s="21" t="n">
        <v>2</v>
      </c>
      <c r="K221" s="21" t="n">
        <v>0</v>
      </c>
      <c r="L221" s="21" t="n">
        <v>0</v>
      </c>
      <c r="M221" s="22" t="n">
        <f aca="false">IFERROR(L221/E221*1000,0)</f>
        <v>0</v>
      </c>
      <c r="N221" s="22" t="n">
        <f aca="false">IFERROR(J221/E221*100,0)</f>
        <v>0.53475935828877</v>
      </c>
      <c r="O221" s="32" t="str">
        <f aca="false">IF(H221&lt;30,"00-30",IF(H221&lt;40,"30-40",IF(H221&lt;50,"40-50",IF(H221&lt;60,"50-60",IF(H221&lt;70,"60-70","70+")))))</f>
        <v>50-60</v>
      </c>
      <c r="P221" s="37" t="n">
        <f aca="false">IFERROR(VALUE(SUBSTITUTE(B221,"-","")),0)</f>
        <v>20260817</v>
      </c>
    </row>
    <row r="222" customFormat="false" ht="15" hidden="false" customHeight="false" outlineLevel="0" collapsed="false">
      <c r="A222" s="14" t="s">
        <v>44</v>
      </c>
      <c r="B222" s="32" t="s">
        <v>122</v>
      </c>
      <c r="C222" s="7" t="s">
        <v>607</v>
      </c>
      <c r="D222" s="32" t="s">
        <v>608</v>
      </c>
      <c r="E222" s="21" t="n">
        <v>631</v>
      </c>
      <c r="F222" s="21" t="n">
        <v>32</v>
      </c>
      <c r="G222" s="22" t="n">
        <v>0</v>
      </c>
      <c r="H222" s="22" t="n">
        <v>43.45</v>
      </c>
      <c r="I222" s="23" t="n">
        <v>12</v>
      </c>
      <c r="J222" s="21" t="n">
        <v>1</v>
      </c>
      <c r="K222" s="21" t="n">
        <v>0</v>
      </c>
      <c r="L222" s="21" t="n">
        <v>0</v>
      </c>
      <c r="M222" s="22" t="n">
        <f aca="false">IFERROR(L222/E222*1000,0)</f>
        <v>0</v>
      </c>
      <c r="N222" s="22" t="n">
        <f aca="false">IFERROR(J222/E222*100,0)</f>
        <v>0.158478605388273</v>
      </c>
      <c r="O222" s="32" t="str">
        <f aca="false">IF(H222&lt;30,"00-30",IF(H222&lt;40,"30-40",IF(H222&lt;50,"40-50",IF(H222&lt;60,"50-60",IF(H222&lt;70,"60-70","70+")))))</f>
        <v>40-50</v>
      </c>
      <c r="P222" s="37" t="n">
        <f aca="false">IFERROR(VALUE(SUBSTITUTE(B222,"-","")),0)</f>
        <v>20260817</v>
      </c>
    </row>
    <row r="223" customFormat="false" ht="15" hidden="false" customHeight="false" outlineLevel="0" collapsed="false">
      <c r="A223" s="14" t="s">
        <v>44</v>
      </c>
      <c r="B223" s="32" t="s">
        <v>133</v>
      </c>
      <c r="C223" s="7" t="s">
        <v>609</v>
      </c>
      <c r="D223" s="32" t="s">
        <v>610</v>
      </c>
      <c r="E223" s="21" t="n">
        <v>1071</v>
      </c>
      <c r="F223" s="21" t="n">
        <v>34</v>
      </c>
      <c r="G223" s="22" t="n">
        <v>0.048</v>
      </c>
      <c r="H223" s="22" t="n">
        <v>53.16</v>
      </c>
      <c r="I223" s="23" t="n">
        <v>16</v>
      </c>
      <c r="J223" s="21" t="n">
        <v>3</v>
      </c>
      <c r="K223" s="21" t="n">
        <v>0</v>
      </c>
      <c r="L223" s="21" t="n">
        <v>1</v>
      </c>
      <c r="M223" s="22" t="n">
        <f aca="false">IFERROR(L223/E223*1000,0)</f>
        <v>0.933706816059757</v>
      </c>
      <c r="N223" s="22" t="n">
        <f aca="false">IFERROR(J223/E223*100,0)</f>
        <v>0.280112044817927</v>
      </c>
      <c r="O223" s="32" t="str">
        <f aca="false">IF(H223&lt;30,"00-30",IF(H223&lt;40,"30-40",IF(H223&lt;50,"40-50",IF(H223&lt;60,"50-60",IF(H223&lt;70,"60-70","70+")))))</f>
        <v>50-60</v>
      </c>
      <c r="P223" s="37" t="n">
        <f aca="false">IFERROR(VALUE(SUBSTITUTE(B223,"-","")),0)</f>
        <v>20260818</v>
      </c>
    </row>
    <row r="224" customFormat="false" ht="23.85" hidden="false" customHeight="false" outlineLevel="0" collapsed="false">
      <c r="A224" s="14" t="s">
        <v>44</v>
      </c>
      <c r="B224" s="32" t="s">
        <v>138</v>
      </c>
      <c r="C224" s="7" t="s">
        <v>611</v>
      </c>
      <c r="D224" s="32" t="s">
        <v>612</v>
      </c>
      <c r="E224" s="21" t="n">
        <v>1039</v>
      </c>
      <c r="F224" s="21" t="n">
        <v>38</v>
      </c>
      <c r="G224" s="22" t="n">
        <v>0</v>
      </c>
      <c r="H224" s="22" t="n">
        <v>29.84</v>
      </c>
      <c r="I224" s="23" t="n">
        <v>11</v>
      </c>
      <c r="J224" s="21" t="n">
        <v>3</v>
      </c>
      <c r="K224" s="21" t="n">
        <v>0</v>
      </c>
      <c r="L224" s="21" t="n">
        <v>0</v>
      </c>
      <c r="M224" s="22" t="n">
        <f aca="false">IFERROR(L224/E224*1000,0)</f>
        <v>0</v>
      </c>
      <c r="N224" s="22" t="n">
        <f aca="false">IFERROR(J224/E224*100,0)</f>
        <v>0.288739172281039</v>
      </c>
      <c r="O224" s="32" t="str">
        <f aca="false">IF(H224&lt;30,"00-30",IF(H224&lt;40,"30-40",IF(H224&lt;50,"40-50",IF(H224&lt;60,"50-60",IF(H224&lt;70,"60-70","70+")))))</f>
        <v>00-30</v>
      </c>
      <c r="P224" s="37" t="n">
        <f aca="false">IFERROR(VALUE(SUBSTITUTE(B224,"-","")),0)</f>
        <v>20260819</v>
      </c>
    </row>
    <row r="225" customFormat="false" ht="15" hidden="false" customHeight="false" outlineLevel="0" collapsed="false">
      <c r="A225" s="14" t="s">
        <v>44</v>
      </c>
      <c r="B225" s="32" t="s">
        <v>143</v>
      </c>
      <c r="C225" s="14" t="s">
        <v>613</v>
      </c>
      <c r="D225" s="32" t="s">
        <v>614</v>
      </c>
      <c r="E225" s="21" t="n">
        <v>1009</v>
      </c>
      <c r="F225" s="21" t="n">
        <v>84</v>
      </c>
      <c r="G225" s="22" t="n">
        <v>0.021</v>
      </c>
      <c r="H225" s="22" t="n">
        <v>35.49</v>
      </c>
      <c r="I225" s="23" t="n">
        <v>17</v>
      </c>
      <c r="J225" s="21" t="n">
        <v>8</v>
      </c>
      <c r="K225" s="21" t="n">
        <v>0</v>
      </c>
      <c r="L225" s="21" t="n">
        <v>1</v>
      </c>
      <c r="M225" s="22" t="n">
        <f aca="false">IFERROR(L225/E225*1000,0)</f>
        <v>0.991080277502478</v>
      </c>
      <c r="N225" s="22" t="n">
        <f aca="false">IFERROR(J225/E225*100,0)</f>
        <v>0.792864222001982</v>
      </c>
      <c r="O225" s="32" t="str">
        <f aca="false">IF(H225&lt;30,"00-30",IF(H225&lt;40,"30-40",IF(H225&lt;50,"40-50",IF(H225&lt;60,"50-60",IF(H225&lt;70,"60-70","70+")))))</f>
        <v>30-40</v>
      </c>
      <c r="P225" s="37" t="n">
        <f aca="false">IFERROR(VALUE(SUBSTITUTE(B225,"-","")),0)</f>
        <v>20260820</v>
      </c>
    </row>
    <row r="226" customFormat="false" ht="15" hidden="false" customHeight="false" outlineLevel="0" collapsed="false">
      <c r="A226" s="14" t="s">
        <v>44</v>
      </c>
      <c r="B226" s="32" t="s">
        <v>148</v>
      </c>
      <c r="C226" s="14" t="s">
        <v>615</v>
      </c>
      <c r="D226" s="32" t="s">
        <v>616</v>
      </c>
      <c r="E226" s="21" t="n">
        <v>981</v>
      </c>
      <c r="F226" s="21" t="n">
        <v>32</v>
      </c>
      <c r="G226" s="22" t="n">
        <v>0</v>
      </c>
      <c r="H226" s="22" t="n">
        <v>30.26</v>
      </c>
      <c r="I226" s="23" t="n">
        <v>17</v>
      </c>
      <c r="J226" s="21" t="n">
        <v>7</v>
      </c>
      <c r="K226" s="21" t="n">
        <v>0</v>
      </c>
      <c r="L226" s="21" t="n">
        <v>0</v>
      </c>
      <c r="M226" s="22" t="n">
        <f aca="false">IFERROR(L226/E226*1000,0)</f>
        <v>0</v>
      </c>
      <c r="N226" s="22" t="n">
        <f aca="false">IFERROR(J226/E226*100,0)</f>
        <v>0.713557594291539</v>
      </c>
      <c r="O226" s="32" t="str">
        <f aca="false">IF(H226&lt;30,"00-30",IF(H226&lt;40,"30-40",IF(H226&lt;50,"40-50",IF(H226&lt;60,"50-60",IF(H226&lt;70,"60-70","70+")))))</f>
        <v>30-40</v>
      </c>
      <c r="P226" s="37" t="n">
        <f aca="false">IFERROR(VALUE(SUBSTITUTE(B226,"-","")),0)</f>
        <v>20260821</v>
      </c>
    </row>
    <row r="227" customFormat="false" ht="15" hidden="false" customHeight="false" outlineLevel="0" collapsed="false">
      <c r="A227" s="14" t="s">
        <v>44</v>
      </c>
      <c r="B227" s="32" t="s">
        <v>148</v>
      </c>
      <c r="C227" s="14" t="s">
        <v>617</v>
      </c>
      <c r="D227" s="32" t="s">
        <v>618</v>
      </c>
      <c r="E227" s="21" t="n">
        <v>482</v>
      </c>
      <c r="F227" s="21" t="n">
        <v>58</v>
      </c>
      <c r="G227" s="22" t="n">
        <v>0.018</v>
      </c>
      <c r="H227" s="22" t="n">
        <v>30.08</v>
      </c>
      <c r="I227" s="23" t="n">
        <v>16</v>
      </c>
      <c r="J227" s="21" t="n">
        <v>1</v>
      </c>
      <c r="K227" s="21" t="n">
        <v>0</v>
      </c>
      <c r="L227" s="21" t="n">
        <v>0</v>
      </c>
      <c r="M227" s="22" t="n">
        <f aca="false">IFERROR(L227/E227*1000,0)</f>
        <v>0</v>
      </c>
      <c r="N227" s="22" t="n">
        <f aca="false">IFERROR(J227/E227*100,0)</f>
        <v>0.20746887966805</v>
      </c>
      <c r="O227" s="32" t="str">
        <f aca="false">IF(H227&lt;30,"00-30",IF(H227&lt;40,"30-40",IF(H227&lt;50,"40-50",IF(H227&lt;60,"50-60",IF(H227&lt;70,"60-70","70+")))))</f>
        <v>30-40</v>
      </c>
      <c r="P227" s="37" t="n">
        <f aca="false">IFERROR(VALUE(SUBSTITUTE(B227,"-","")),0)</f>
        <v>20260821</v>
      </c>
    </row>
    <row r="228" customFormat="false" ht="15" hidden="false" customHeight="false" outlineLevel="0" collapsed="false">
      <c r="A228" s="14" t="s">
        <v>44</v>
      </c>
      <c r="B228" s="32" t="s">
        <v>155</v>
      </c>
      <c r="C228" s="14" t="s">
        <v>619</v>
      </c>
      <c r="D228" s="32" t="s">
        <v>620</v>
      </c>
      <c r="E228" s="21" t="n">
        <v>1042</v>
      </c>
      <c r="F228" s="21" t="n">
        <v>38</v>
      </c>
      <c r="G228" s="22" t="n">
        <v>0</v>
      </c>
      <c r="H228" s="22" t="n">
        <v>25.57</v>
      </c>
      <c r="I228" s="23" t="n">
        <v>14</v>
      </c>
      <c r="J228" s="21" t="n">
        <v>6</v>
      </c>
      <c r="K228" s="21" t="n">
        <v>0</v>
      </c>
      <c r="L228" s="21" t="n">
        <v>0</v>
      </c>
      <c r="M228" s="22" t="n">
        <f aca="false">IFERROR(L228/E228*1000,0)</f>
        <v>0</v>
      </c>
      <c r="N228" s="22" t="n">
        <f aca="false">IFERROR(J228/E228*100,0)</f>
        <v>0.575815738963532</v>
      </c>
      <c r="O228" s="32" t="str">
        <f aca="false">IF(H228&lt;30,"00-30",IF(H228&lt;40,"30-40",IF(H228&lt;50,"40-50",IF(H228&lt;60,"50-60",IF(H228&lt;70,"60-70","70+")))))</f>
        <v>00-30</v>
      </c>
      <c r="P228" s="37" t="n">
        <f aca="false">IFERROR(VALUE(SUBSTITUTE(B228,"-","")),0)</f>
        <v>20260822</v>
      </c>
    </row>
    <row r="229" customFormat="false" ht="23.85" hidden="false" customHeight="false" outlineLevel="0" collapsed="false">
      <c r="A229" s="14" t="s">
        <v>44</v>
      </c>
      <c r="B229" s="32" t="s">
        <v>158</v>
      </c>
      <c r="C229" s="14" t="s">
        <v>621</v>
      </c>
      <c r="D229" s="32" t="s">
        <v>622</v>
      </c>
      <c r="E229" s="21" t="n">
        <v>1087</v>
      </c>
      <c r="F229" s="21" t="n">
        <v>30</v>
      </c>
      <c r="G229" s="22" t="n">
        <v>0.059</v>
      </c>
      <c r="H229" s="22" t="n">
        <v>35.22</v>
      </c>
      <c r="I229" s="23" t="n">
        <v>17</v>
      </c>
      <c r="J229" s="21" t="n">
        <v>10</v>
      </c>
      <c r="K229" s="21" t="n">
        <v>0</v>
      </c>
      <c r="L229" s="21" t="n">
        <v>1</v>
      </c>
      <c r="M229" s="22" t="n">
        <f aca="false">IFERROR(L229/E229*1000,0)</f>
        <v>0.919963201471941</v>
      </c>
      <c r="N229" s="22" t="n">
        <f aca="false">IFERROR(J229/E229*100,0)</f>
        <v>0.919963201471941</v>
      </c>
      <c r="O229" s="32" t="str">
        <f aca="false">IF(H229&lt;30,"00-30",IF(H229&lt;40,"30-40",IF(H229&lt;50,"40-50",IF(H229&lt;60,"50-60",IF(H229&lt;70,"60-70","70+")))))</f>
        <v>30-40</v>
      </c>
      <c r="P229" s="37" t="n">
        <f aca="false">IFERROR(VALUE(SUBSTITUTE(B229,"-","")),0)</f>
        <v>20260823</v>
      </c>
    </row>
    <row r="230" customFormat="false" ht="15" hidden="false" customHeight="false" outlineLevel="0" collapsed="false">
      <c r="A230" s="14" t="s">
        <v>44</v>
      </c>
      <c r="B230" s="32" t="s">
        <v>161</v>
      </c>
      <c r="C230" s="14" t="s">
        <v>623</v>
      </c>
      <c r="D230" s="32" t="s">
        <v>624</v>
      </c>
      <c r="E230" s="21" t="n">
        <v>822</v>
      </c>
      <c r="F230" s="21" t="n">
        <v>84</v>
      </c>
      <c r="G230" s="22" t="n">
        <v>0.023</v>
      </c>
      <c r="H230" s="22" t="n">
        <v>33</v>
      </c>
      <c r="I230" s="23" t="n">
        <v>14</v>
      </c>
      <c r="J230" s="21" t="n">
        <v>6</v>
      </c>
      <c r="K230" s="21" t="n">
        <v>0</v>
      </c>
      <c r="L230" s="21" t="n">
        <v>1</v>
      </c>
      <c r="M230" s="22" t="n">
        <f aca="false">IFERROR(L230/E230*1000,0)</f>
        <v>1.21654501216545</v>
      </c>
      <c r="N230" s="22" t="n">
        <f aca="false">IFERROR(J230/E230*100,0)</f>
        <v>0.72992700729927</v>
      </c>
      <c r="O230" s="32" t="str">
        <f aca="false">IF(H230&lt;30,"00-30",IF(H230&lt;40,"30-40",IF(H230&lt;50,"40-50",IF(H230&lt;60,"50-60",IF(H230&lt;70,"60-70","70+")))))</f>
        <v>30-40</v>
      </c>
      <c r="P230" s="37" t="n">
        <f aca="false">IFERROR(VALUE(SUBSTITUTE(B230,"-","")),0)</f>
        <v>20260824</v>
      </c>
    </row>
    <row r="231" customFormat="false" ht="15" hidden="false" customHeight="false" outlineLevel="0" collapsed="false">
      <c r="A231" s="14" t="s">
        <v>44</v>
      </c>
      <c r="B231" s="32" t="s">
        <v>164</v>
      </c>
      <c r="C231" s="14" t="s">
        <v>625</v>
      </c>
      <c r="D231" s="32" t="s">
        <v>626</v>
      </c>
      <c r="E231" s="21" t="n">
        <v>878</v>
      </c>
      <c r="F231" s="21" t="n">
        <v>36</v>
      </c>
      <c r="G231" s="22" t="n">
        <v>0.111</v>
      </c>
      <c r="H231" s="22" t="n">
        <v>31.7</v>
      </c>
      <c r="I231" s="23" t="n">
        <v>15</v>
      </c>
      <c r="J231" s="21" t="n">
        <v>7</v>
      </c>
      <c r="K231" s="21" t="n">
        <v>0</v>
      </c>
      <c r="L231" s="21" t="n">
        <v>1</v>
      </c>
      <c r="M231" s="22" t="n">
        <f aca="false">IFERROR(L231/E231*1000,0)</f>
        <v>1.13895216400911</v>
      </c>
      <c r="N231" s="22" t="n">
        <f aca="false">IFERROR(J231/E231*100,0)</f>
        <v>0.797266514806378</v>
      </c>
      <c r="O231" s="32" t="str">
        <f aca="false">IF(H231&lt;30,"00-30",IF(H231&lt;40,"30-40",IF(H231&lt;50,"40-50",IF(H231&lt;60,"50-60",IF(H231&lt;70,"60-70","70+")))))</f>
        <v>30-40</v>
      </c>
      <c r="P231" s="37" t="n">
        <f aca="false">IFERROR(VALUE(SUBSTITUTE(B231,"-","")),0)</f>
        <v>20260825</v>
      </c>
    </row>
    <row r="232" customFormat="false" ht="15" hidden="false" customHeight="false" outlineLevel="0" collapsed="false">
      <c r="A232" s="14" t="s">
        <v>44</v>
      </c>
      <c r="B232" s="32" t="s">
        <v>167</v>
      </c>
      <c r="C232" s="14" t="s">
        <v>627</v>
      </c>
      <c r="D232" s="32" t="s">
        <v>628</v>
      </c>
      <c r="E232" s="21" t="n">
        <v>944</v>
      </c>
      <c r="F232" s="21" t="n">
        <v>20</v>
      </c>
      <c r="G232" s="22" t="n">
        <v>0</v>
      </c>
      <c r="H232" s="22" t="n">
        <v>41.71</v>
      </c>
      <c r="I232" s="23" t="n">
        <v>16</v>
      </c>
      <c r="J232" s="21" t="n">
        <v>7</v>
      </c>
      <c r="K232" s="21" t="n">
        <v>0</v>
      </c>
      <c r="L232" s="21" t="n">
        <v>0</v>
      </c>
      <c r="M232" s="22" t="n">
        <f aca="false">IFERROR(L232/E232*1000,0)</f>
        <v>0</v>
      </c>
      <c r="N232" s="22" t="n">
        <f aca="false">IFERROR(J232/E232*100,0)</f>
        <v>0.741525423728814</v>
      </c>
      <c r="O232" s="32" t="str">
        <f aca="false">IF(H232&lt;30,"00-30",IF(H232&lt;40,"30-40",IF(H232&lt;50,"40-50",IF(H232&lt;60,"50-60",IF(H232&lt;70,"60-70","70+")))))</f>
        <v>40-50</v>
      </c>
      <c r="P232" s="37" t="n">
        <f aca="false">IFERROR(VALUE(SUBSTITUTE(B232,"-","")),0)</f>
        <v>20260826</v>
      </c>
    </row>
    <row r="233" customFormat="false" ht="15" hidden="false" customHeight="false" outlineLevel="0" collapsed="false">
      <c r="A233" s="14" t="s">
        <v>44</v>
      </c>
      <c r="B233" s="32" t="s">
        <v>170</v>
      </c>
      <c r="C233" s="14" t="s">
        <v>629</v>
      </c>
      <c r="D233" s="32" t="s">
        <v>630</v>
      </c>
      <c r="E233" s="21" t="n">
        <v>849</v>
      </c>
      <c r="F233" s="21" t="n">
        <v>129</v>
      </c>
      <c r="G233" s="22" t="n">
        <v>0.014</v>
      </c>
      <c r="H233" s="22" t="n">
        <v>59.73</v>
      </c>
      <c r="I233" s="23" t="n">
        <v>23</v>
      </c>
      <c r="J233" s="21" t="n">
        <v>7</v>
      </c>
      <c r="K233" s="21" t="n">
        <v>0</v>
      </c>
      <c r="L233" s="21" t="n">
        <v>1</v>
      </c>
      <c r="M233" s="22" t="n">
        <f aca="false">IFERROR(L233/E233*1000,0)</f>
        <v>1.17785630153121</v>
      </c>
      <c r="N233" s="22" t="n">
        <f aca="false">IFERROR(J233/E233*100,0)</f>
        <v>0.824499411071849</v>
      </c>
      <c r="O233" s="32" t="str">
        <f aca="false">IF(H233&lt;30,"00-30",IF(H233&lt;40,"30-40",IF(H233&lt;50,"40-50",IF(H233&lt;60,"50-60",IF(H233&lt;70,"60-70","70+")))))</f>
        <v>50-60</v>
      </c>
      <c r="P233" s="37" t="n">
        <f aca="false">IFERROR(VALUE(SUBSTITUTE(B233,"-","")),0)</f>
        <v>20260827</v>
      </c>
    </row>
    <row r="234" customFormat="false" ht="15" hidden="false" customHeight="false" outlineLevel="0" collapsed="false">
      <c r="A234" s="14" t="s">
        <v>44</v>
      </c>
      <c r="B234" s="32" t="s">
        <v>170</v>
      </c>
      <c r="C234" s="14" t="s">
        <v>631</v>
      </c>
      <c r="D234" s="32" t="s">
        <v>632</v>
      </c>
      <c r="E234" s="21" t="n">
        <v>901</v>
      </c>
      <c r="F234" s="21" t="n">
        <v>68</v>
      </c>
      <c r="G234" s="22" t="n">
        <v>0.02</v>
      </c>
      <c r="H234" s="22" t="n">
        <v>53.4</v>
      </c>
      <c r="I234" s="23" t="n">
        <v>15</v>
      </c>
      <c r="J234" s="21" t="n">
        <v>6</v>
      </c>
      <c r="K234" s="21" t="n">
        <v>0</v>
      </c>
      <c r="L234" s="21" t="n">
        <v>1</v>
      </c>
      <c r="M234" s="22" t="n">
        <f aca="false">IFERROR(L234/E234*1000,0)</f>
        <v>1.10987791342952</v>
      </c>
      <c r="N234" s="22" t="n">
        <f aca="false">IFERROR(J234/E234*100,0)</f>
        <v>0.665926748057714</v>
      </c>
      <c r="O234" s="32" t="str">
        <f aca="false">IF(H234&lt;30,"00-30",IF(H234&lt;40,"30-40",IF(H234&lt;50,"40-50",IF(H234&lt;60,"50-60",IF(H234&lt;70,"60-70","70+")))))</f>
        <v>50-60</v>
      </c>
      <c r="P234" s="37" t="n">
        <f aca="false">IFERROR(VALUE(SUBSTITUTE(B234,"-","")),0)</f>
        <v>20260827</v>
      </c>
    </row>
    <row r="235" customFormat="false" ht="15" hidden="false" customHeight="false" outlineLevel="0" collapsed="false">
      <c r="A235" s="14" t="s">
        <v>44</v>
      </c>
      <c r="B235" s="32" t="s">
        <v>175</v>
      </c>
      <c r="C235" s="14" t="s">
        <v>633</v>
      </c>
      <c r="D235" s="32" t="s">
        <v>634</v>
      </c>
      <c r="E235" s="21" t="n">
        <v>1115</v>
      </c>
      <c r="F235" s="21" t="n">
        <v>40</v>
      </c>
      <c r="G235" s="22" t="n">
        <v>0</v>
      </c>
      <c r="H235" s="22" t="n">
        <v>32.47</v>
      </c>
      <c r="I235" s="23" t="n">
        <v>13</v>
      </c>
      <c r="J235" s="21" t="n">
        <v>2</v>
      </c>
      <c r="K235" s="21" t="n">
        <v>1</v>
      </c>
      <c r="L235" s="21" t="n">
        <v>0</v>
      </c>
      <c r="M235" s="22" t="n">
        <f aca="false">IFERROR(L235/E235*1000,0)</f>
        <v>0</v>
      </c>
      <c r="N235" s="22" t="n">
        <f aca="false">IFERROR(J235/E235*100,0)</f>
        <v>0.179372197309417</v>
      </c>
      <c r="O235" s="32" t="str">
        <f aca="false">IF(H235&lt;30,"00-30",IF(H235&lt;40,"30-40",IF(H235&lt;50,"40-50",IF(H235&lt;60,"50-60",IF(H235&lt;70,"60-70","70+")))))</f>
        <v>30-40</v>
      </c>
      <c r="P235" s="37" t="n">
        <f aca="false">IFERROR(VALUE(SUBSTITUTE(B235,"-","")),0)</f>
        <v>20260828</v>
      </c>
    </row>
    <row r="236" customFormat="false" ht="15" hidden="false" customHeight="false" outlineLevel="0" collapsed="false">
      <c r="A236" s="14" t="s">
        <v>44</v>
      </c>
      <c r="B236" s="32" t="s">
        <v>175</v>
      </c>
      <c r="C236" s="14" t="s">
        <v>635</v>
      </c>
      <c r="D236" s="32" t="s">
        <v>636</v>
      </c>
      <c r="E236" s="21" t="n">
        <v>825</v>
      </c>
      <c r="F236" s="21" t="n">
        <v>77</v>
      </c>
      <c r="G236" s="22" t="n">
        <v>0.04</v>
      </c>
      <c r="H236" s="22" t="n">
        <v>30.08</v>
      </c>
      <c r="I236" s="23" t="n">
        <v>12</v>
      </c>
      <c r="J236" s="21" t="n">
        <v>5</v>
      </c>
      <c r="K236" s="21" t="n">
        <v>0</v>
      </c>
      <c r="L236" s="21" t="n">
        <v>2</v>
      </c>
      <c r="M236" s="22" t="n">
        <f aca="false">IFERROR(L236/E236*1000,0)</f>
        <v>2.42424242424242</v>
      </c>
      <c r="N236" s="22" t="n">
        <f aca="false">IFERROR(J236/E236*100,0)</f>
        <v>0.606060606060606</v>
      </c>
      <c r="O236" s="32" t="str">
        <f aca="false">IF(H236&lt;30,"00-30",IF(H236&lt;40,"30-40",IF(H236&lt;50,"40-50",IF(H236&lt;60,"50-60",IF(H236&lt;70,"60-70","70+")))))</f>
        <v>30-40</v>
      </c>
      <c r="P236" s="37" t="n">
        <f aca="false">IFERROR(VALUE(SUBSTITUTE(B236,"-","")),0)</f>
        <v>20260828</v>
      </c>
    </row>
    <row r="237" customFormat="false" ht="15" hidden="false" customHeight="false" outlineLevel="0" collapsed="false">
      <c r="A237" s="14" t="s">
        <v>44</v>
      </c>
      <c r="B237" s="32" t="s">
        <v>180</v>
      </c>
      <c r="C237" s="14" t="s">
        <v>637</v>
      </c>
      <c r="D237" s="32" t="s">
        <v>638</v>
      </c>
      <c r="E237" s="21" t="n">
        <v>1074</v>
      </c>
      <c r="F237" s="21" t="n">
        <v>81</v>
      </c>
      <c r="G237" s="22" t="n">
        <v>0.25</v>
      </c>
      <c r="H237" s="22" t="n">
        <v>98.94</v>
      </c>
      <c r="I237" s="23" t="n">
        <v>40</v>
      </c>
      <c r="J237" s="21" t="n">
        <v>5</v>
      </c>
      <c r="K237" s="21" t="n">
        <v>0</v>
      </c>
      <c r="L237" s="21" t="n">
        <v>0</v>
      </c>
      <c r="M237" s="22" t="n">
        <f aca="false">IFERROR(L237/E237*1000,0)</f>
        <v>0</v>
      </c>
      <c r="N237" s="22" t="n">
        <f aca="false">IFERROR(J237/E237*100,0)</f>
        <v>0.465549348230913</v>
      </c>
      <c r="O237" s="32" t="str">
        <f aca="false">IF(H237&lt;30,"00-30",IF(H237&lt;40,"30-40",IF(H237&lt;50,"40-50",IF(H237&lt;60,"50-60",IF(H237&lt;70,"60-70","70+")))))</f>
        <v>70+</v>
      </c>
      <c r="P237" s="37" t="n">
        <f aca="false">IFERROR(VALUE(SUBSTITUTE(B237,"-","")),0)</f>
        <v>20260829</v>
      </c>
    </row>
    <row r="238" customFormat="false" ht="15" hidden="false" customHeight="false" outlineLevel="0" collapsed="false">
      <c r="A238" s="14" t="s">
        <v>44</v>
      </c>
      <c r="B238" s="32" t="s">
        <v>183</v>
      </c>
      <c r="C238" s="14" t="s">
        <v>639</v>
      </c>
      <c r="D238" s="32" t="s">
        <v>640</v>
      </c>
      <c r="E238" s="21" t="n">
        <v>12</v>
      </c>
      <c r="F238" s="21" t="n">
        <v>99</v>
      </c>
      <c r="G238" s="22" t="n">
        <v>0.014</v>
      </c>
      <c r="H238" s="22" t="n">
        <v>28.43</v>
      </c>
      <c r="I238" s="23" t="n">
        <v>11</v>
      </c>
      <c r="J238" s="21" t="n">
        <v>2</v>
      </c>
      <c r="K238" s="21" t="n">
        <v>0</v>
      </c>
      <c r="L238" s="21" t="n">
        <v>0</v>
      </c>
      <c r="M238" s="22" t="n">
        <f aca="false">IFERROR(L238/E238*1000,0)</f>
        <v>0</v>
      </c>
      <c r="N238" s="22" t="n">
        <f aca="false">IFERROR(J238/E238*100,0)</f>
        <v>16.6666666666667</v>
      </c>
      <c r="O238" s="32" t="str">
        <f aca="false">IF(H238&lt;30,"00-30",IF(H238&lt;40,"30-40",IF(H238&lt;50,"40-50",IF(H238&lt;60,"50-60",IF(H238&lt;70,"60-70","70+")))))</f>
        <v>00-30</v>
      </c>
      <c r="P238" s="37" t="n">
        <f aca="false">IFERROR(VALUE(SUBSTITUTE(B238,"-","")),0)</f>
        <v>20260830</v>
      </c>
    </row>
    <row r="239" customFormat="false" ht="15" hidden="false" customHeight="false" outlineLevel="0" collapsed="false">
      <c r="A239" s="14" t="s">
        <v>44</v>
      </c>
      <c r="B239" s="32" t="s">
        <v>183</v>
      </c>
      <c r="C239" s="14" t="s">
        <v>641</v>
      </c>
      <c r="D239" s="32" t="s">
        <v>642</v>
      </c>
      <c r="E239" s="21" t="n">
        <v>847</v>
      </c>
      <c r="F239" s="21" t="n">
        <v>66</v>
      </c>
      <c r="G239" s="22" t="n">
        <v>0</v>
      </c>
      <c r="H239" s="22" t="n">
        <v>35.84</v>
      </c>
      <c r="I239" s="23" t="n">
        <v>16</v>
      </c>
      <c r="J239" s="21" t="n">
        <v>6</v>
      </c>
      <c r="K239" s="21" t="n">
        <v>0</v>
      </c>
      <c r="L239" s="21" t="n">
        <v>0</v>
      </c>
      <c r="M239" s="22" t="n">
        <f aca="false">IFERROR(L239/E239*1000,0)</f>
        <v>0</v>
      </c>
      <c r="N239" s="22" t="n">
        <f aca="false">IFERROR(J239/E239*100,0)</f>
        <v>0.708382526564345</v>
      </c>
      <c r="O239" s="32" t="str">
        <f aca="false">IF(H239&lt;30,"00-30",IF(H239&lt;40,"30-40",IF(H239&lt;50,"40-50",IF(H239&lt;60,"50-60",IF(H239&lt;70,"60-70","70+")))))</f>
        <v>30-40</v>
      </c>
      <c r="P239" s="37" t="n">
        <f aca="false">IFERROR(VALUE(SUBSTITUTE(B239,"-","")),0)</f>
        <v>20260830</v>
      </c>
    </row>
    <row r="240" customFormat="false" ht="15" hidden="false" customHeight="false" outlineLevel="0" collapsed="false">
      <c r="A240" s="14" t="s">
        <v>44</v>
      </c>
      <c r="B240" s="32" t="s">
        <v>188</v>
      </c>
      <c r="C240" s="7" t="s">
        <v>643</v>
      </c>
      <c r="D240" s="32" t="s">
        <v>644</v>
      </c>
      <c r="E240" s="21" t="n">
        <v>864</v>
      </c>
      <c r="F240" s="21" t="n">
        <v>144</v>
      </c>
      <c r="G240" s="22" t="n">
        <v>0</v>
      </c>
      <c r="H240" s="22" t="n">
        <v>43.99</v>
      </c>
      <c r="I240" s="23" t="n">
        <v>11</v>
      </c>
      <c r="J240" s="21" t="n">
        <v>9</v>
      </c>
      <c r="K240" s="21" t="n">
        <v>0</v>
      </c>
      <c r="L240" s="21" t="n">
        <v>3</v>
      </c>
      <c r="M240" s="22" t="n">
        <f aca="false">IFERROR(L240/E240*1000,0)</f>
        <v>3.47222222222222</v>
      </c>
      <c r="N240" s="22" t="n">
        <f aca="false">IFERROR(J240/E240*100,0)</f>
        <v>1.04166666666667</v>
      </c>
      <c r="O240" s="32" t="str">
        <f aca="false">IF(H240&lt;30,"00-30",IF(H240&lt;40,"30-40",IF(H240&lt;50,"40-50",IF(H240&lt;60,"50-60",IF(H240&lt;70,"60-70","70+")))))</f>
        <v>40-50</v>
      </c>
      <c r="P240" s="37" t="n">
        <f aca="false">IFERROR(VALUE(SUBSTITUTE(B240,"-","")),0)</f>
        <v>20260831</v>
      </c>
    </row>
    <row r="241" customFormat="false" ht="15" hidden="false" customHeight="false" outlineLevel="0" collapsed="false">
      <c r="A241" s="14" t="s">
        <v>44</v>
      </c>
      <c r="B241" s="32" t="s">
        <v>191</v>
      </c>
      <c r="C241" s="7" t="s">
        <v>645</v>
      </c>
      <c r="D241" s="32" t="s">
        <v>646</v>
      </c>
      <c r="E241" s="21" t="n">
        <v>891</v>
      </c>
      <c r="F241" s="21" t="n">
        <v>98</v>
      </c>
      <c r="G241" s="22" t="n">
        <v>0</v>
      </c>
      <c r="H241" s="22" t="n">
        <v>40.55</v>
      </c>
      <c r="I241" s="23" t="n">
        <v>12</v>
      </c>
      <c r="J241" s="21" t="n">
        <v>10</v>
      </c>
      <c r="K241" s="21" t="n">
        <v>0</v>
      </c>
      <c r="L241" s="21" t="n">
        <v>1</v>
      </c>
      <c r="M241" s="22" t="n">
        <f aca="false">IFERROR(L241/E241*1000,0)</f>
        <v>1.12233445566779</v>
      </c>
      <c r="N241" s="22" t="n">
        <f aca="false">IFERROR(J241/E241*100,0)</f>
        <v>1.12233445566779</v>
      </c>
      <c r="O241" s="32" t="str">
        <f aca="false">IF(H241&lt;30,"00-30",IF(H241&lt;40,"30-40",IF(H241&lt;50,"40-50",IF(H241&lt;60,"50-60",IF(H241&lt;70,"60-70","70+")))))</f>
        <v>40-50</v>
      </c>
      <c r="P241" s="37" t="n">
        <f aca="false">IFERROR(VALUE(SUBSTITUTE(B241,"-","")),0)</f>
        <v>20260903</v>
      </c>
    </row>
    <row r="242" customFormat="false" ht="15" hidden="false" customHeight="false" outlineLevel="0" collapsed="false">
      <c r="A242" s="14" t="s">
        <v>44</v>
      </c>
      <c r="B242" s="32" t="s">
        <v>194</v>
      </c>
      <c r="C242" s="7" t="s">
        <v>647</v>
      </c>
      <c r="D242" s="32" t="s">
        <v>648</v>
      </c>
      <c r="E242" s="21" t="n">
        <v>708</v>
      </c>
      <c r="F242" s="21" t="n">
        <v>26</v>
      </c>
      <c r="G242" s="22" t="n">
        <v>1</v>
      </c>
      <c r="H242" s="22" t="n">
        <v>95.88</v>
      </c>
      <c r="I242" s="23" t="n">
        <v>31</v>
      </c>
      <c r="J242" s="21" t="n">
        <v>3</v>
      </c>
      <c r="K242" s="21" t="n">
        <v>0</v>
      </c>
      <c r="L242" s="21" t="n">
        <v>0</v>
      </c>
      <c r="M242" s="22" t="n">
        <f aca="false">IFERROR(L242/E242*1000,0)</f>
        <v>0</v>
      </c>
      <c r="N242" s="22" t="n">
        <f aca="false">IFERROR(J242/E242*100,0)</f>
        <v>0.423728813559322</v>
      </c>
      <c r="O242" s="32" t="str">
        <f aca="false">IF(H242&lt;30,"00-30",IF(H242&lt;40,"30-40",IF(H242&lt;50,"40-50",IF(H242&lt;60,"50-60",IF(H242&lt;70,"60-70","70+")))))</f>
        <v>70+</v>
      </c>
      <c r="P242" s="37" t="n">
        <f aca="false">IFERROR(VALUE(SUBSTITUTE(B242,"-","")),0)</f>
        <v>20260904</v>
      </c>
    </row>
    <row r="243" customFormat="false" ht="15" hidden="false" customHeight="false" outlineLevel="0" collapsed="false">
      <c r="A243" s="14" t="s">
        <v>44</v>
      </c>
      <c r="B243" s="32" t="s">
        <v>194</v>
      </c>
      <c r="C243" s="7" t="s">
        <v>649</v>
      </c>
      <c r="D243" s="32" t="s">
        <v>650</v>
      </c>
      <c r="E243" s="21" t="n">
        <v>879</v>
      </c>
      <c r="F243" s="21" t="n">
        <v>54</v>
      </c>
      <c r="G243" s="22" t="n">
        <v>0</v>
      </c>
      <c r="H243" s="22" t="n">
        <v>58.75</v>
      </c>
      <c r="I243" s="23" t="n">
        <v>18</v>
      </c>
      <c r="J243" s="21" t="n">
        <v>5</v>
      </c>
      <c r="K243" s="21" t="n">
        <v>0</v>
      </c>
      <c r="L243" s="21" t="n">
        <v>0</v>
      </c>
      <c r="M243" s="22" t="n">
        <f aca="false">IFERROR(L243/E243*1000,0)</f>
        <v>0</v>
      </c>
      <c r="N243" s="22" t="n">
        <f aca="false">IFERROR(J243/E243*100,0)</f>
        <v>0.568828213879408</v>
      </c>
      <c r="O243" s="32" t="str">
        <f aca="false">IF(H243&lt;30,"00-30",IF(H243&lt;40,"30-40",IF(H243&lt;50,"40-50",IF(H243&lt;60,"50-60",IF(H243&lt;70,"60-70","70+")))))</f>
        <v>50-60</v>
      </c>
      <c r="P243" s="37" t="n">
        <f aca="false">IFERROR(VALUE(SUBSTITUTE(B243,"-","")),0)</f>
        <v>20260904</v>
      </c>
    </row>
    <row r="244" customFormat="false" ht="23.85" hidden="false" customHeight="false" outlineLevel="0" collapsed="false">
      <c r="A244" s="14" t="s">
        <v>44</v>
      </c>
      <c r="B244" s="32" t="s">
        <v>194</v>
      </c>
      <c r="C244" s="7" t="s">
        <v>651</v>
      </c>
      <c r="D244" s="32" t="s">
        <v>652</v>
      </c>
      <c r="E244" s="21" t="n">
        <v>1073</v>
      </c>
      <c r="F244" s="21" t="n">
        <v>104</v>
      </c>
      <c r="G244" s="22" t="n">
        <v>0</v>
      </c>
      <c r="H244" s="22" t="n">
        <v>37.52</v>
      </c>
      <c r="I244" s="23" t="n">
        <v>12</v>
      </c>
      <c r="J244" s="21" t="n">
        <v>8</v>
      </c>
      <c r="K244" s="21" t="n">
        <v>0</v>
      </c>
      <c r="L244" s="21" t="n">
        <v>0</v>
      </c>
      <c r="M244" s="22" t="n">
        <f aca="false">IFERROR(L244/E244*1000,0)</f>
        <v>0</v>
      </c>
      <c r="N244" s="22" t="n">
        <f aca="false">IFERROR(J244/E244*100,0)</f>
        <v>0.745573159366263</v>
      </c>
      <c r="O244" s="32" t="str">
        <f aca="false">IF(H244&lt;30,"00-30",IF(H244&lt;40,"30-40",IF(H244&lt;50,"40-50",IF(H244&lt;60,"50-60",IF(H244&lt;70,"60-70","70+")))))</f>
        <v>30-40</v>
      </c>
      <c r="P244" s="37" t="n">
        <f aca="false">IFERROR(VALUE(SUBSTITUTE(B244,"-","")),0)</f>
        <v>20260904</v>
      </c>
    </row>
    <row r="245" customFormat="false" ht="15" hidden="false" customHeight="false" outlineLevel="0" collapsed="false">
      <c r="A245" s="14" t="s">
        <v>44</v>
      </c>
      <c r="B245" s="32" t="s">
        <v>201</v>
      </c>
      <c r="C245" s="7" t="s">
        <v>653</v>
      </c>
      <c r="D245" s="32" t="s">
        <v>654</v>
      </c>
      <c r="E245" s="21" t="n">
        <v>1009</v>
      </c>
      <c r="F245" s="21" t="n">
        <v>61</v>
      </c>
      <c r="G245" s="22" t="n">
        <v>0</v>
      </c>
      <c r="H245" s="22" t="n">
        <v>42.2</v>
      </c>
      <c r="I245" s="23" t="n">
        <v>14</v>
      </c>
      <c r="J245" s="21" t="n">
        <v>13</v>
      </c>
      <c r="K245" s="21" t="n">
        <v>0</v>
      </c>
      <c r="L245" s="21" t="n">
        <v>1</v>
      </c>
      <c r="M245" s="22" t="n">
        <f aca="false">IFERROR(L245/E245*1000,0)</f>
        <v>0.991080277502478</v>
      </c>
      <c r="N245" s="22" t="n">
        <f aca="false">IFERROR(J245/E245*100,0)</f>
        <v>1.28840436075322</v>
      </c>
      <c r="O245" s="32" t="str">
        <f aca="false">IF(H245&lt;30,"00-30",IF(H245&lt;40,"30-40",IF(H245&lt;50,"40-50",IF(H245&lt;60,"50-60",IF(H245&lt;70,"60-70","70+")))))</f>
        <v>40-50</v>
      </c>
      <c r="P245" s="37" t="n">
        <f aca="false">IFERROR(VALUE(SUBSTITUTE(B245,"-","")),0)</f>
        <v>20260905</v>
      </c>
    </row>
    <row r="246" customFormat="false" ht="15" hidden="false" customHeight="false" outlineLevel="0" collapsed="false">
      <c r="A246" s="14" t="s">
        <v>44</v>
      </c>
      <c r="B246" s="32" t="s">
        <v>201</v>
      </c>
      <c r="C246" s="7" t="s">
        <v>655</v>
      </c>
      <c r="D246" s="32" t="s">
        <v>656</v>
      </c>
      <c r="E246" s="21" t="n">
        <v>1009</v>
      </c>
      <c r="F246" s="21" t="n">
        <v>29</v>
      </c>
      <c r="G246" s="22" t="n">
        <v>0</v>
      </c>
      <c r="H246" s="22" t="n">
        <v>91.79</v>
      </c>
      <c r="I246" s="23" t="n">
        <v>32</v>
      </c>
      <c r="J246" s="21" t="n">
        <v>4</v>
      </c>
      <c r="K246" s="21" t="n">
        <v>0</v>
      </c>
      <c r="L246" s="21" t="n">
        <v>0</v>
      </c>
      <c r="M246" s="22" t="n">
        <f aca="false">IFERROR(L246/E246*1000,0)</f>
        <v>0</v>
      </c>
      <c r="N246" s="22" t="n">
        <f aca="false">IFERROR(J246/E246*100,0)</f>
        <v>0.396432111000991</v>
      </c>
      <c r="O246" s="32" t="str">
        <f aca="false">IF(H246&lt;30,"00-30",IF(H246&lt;40,"30-40",IF(H246&lt;50,"40-50",IF(H246&lt;60,"50-60",IF(H246&lt;70,"60-70","70+")))))</f>
        <v>70+</v>
      </c>
      <c r="P246" s="37" t="n">
        <f aca="false">IFERROR(VALUE(SUBSTITUTE(B246,"-","")),0)</f>
        <v>20260905</v>
      </c>
    </row>
    <row r="247" customFormat="false" ht="15" hidden="false" customHeight="false" outlineLevel="0" collapsed="false">
      <c r="A247" s="14" t="s">
        <v>44</v>
      </c>
      <c r="B247" s="32" t="s">
        <v>201</v>
      </c>
      <c r="C247" s="7" t="s">
        <v>657</v>
      </c>
      <c r="D247" s="32" t="s">
        <v>658</v>
      </c>
      <c r="E247" s="21" t="n">
        <v>1132</v>
      </c>
      <c r="F247" s="21" t="n">
        <v>36</v>
      </c>
      <c r="G247" s="22" t="n">
        <v>0</v>
      </c>
      <c r="H247" s="22" t="n">
        <v>121.02</v>
      </c>
      <c r="I247" s="23" t="n">
        <v>43</v>
      </c>
      <c r="J247" s="21" t="n">
        <v>5</v>
      </c>
      <c r="K247" s="21" t="n">
        <v>0</v>
      </c>
      <c r="L247" s="21" t="n">
        <v>0</v>
      </c>
      <c r="M247" s="22" t="n">
        <f aca="false">IFERROR(L247/E247*1000,0)</f>
        <v>0</v>
      </c>
      <c r="N247" s="22" t="n">
        <f aca="false">IFERROR(J247/E247*100,0)</f>
        <v>0.441696113074205</v>
      </c>
      <c r="O247" s="32" t="str">
        <f aca="false">IF(H247&lt;30,"00-30",IF(H247&lt;40,"30-40",IF(H247&lt;50,"40-50",IF(H247&lt;60,"50-60",IF(H247&lt;70,"60-70","70+")))))</f>
        <v>70+</v>
      </c>
      <c r="P247" s="37" t="n">
        <f aca="false">IFERROR(VALUE(SUBSTITUTE(B247,"-","")),0)</f>
        <v>20260905</v>
      </c>
    </row>
    <row r="248" customFormat="false" ht="15" hidden="false" customHeight="false" outlineLevel="0" collapsed="false">
      <c r="A248" s="14" t="s">
        <v>44</v>
      </c>
      <c r="B248" s="32" t="s">
        <v>208</v>
      </c>
      <c r="C248" s="7" t="s">
        <v>659</v>
      </c>
      <c r="D248" s="32" t="s">
        <v>660</v>
      </c>
      <c r="E248" s="21" t="n">
        <v>910</v>
      </c>
      <c r="F248" s="21" t="n">
        <v>54</v>
      </c>
      <c r="G248" s="22" t="n">
        <v>0</v>
      </c>
      <c r="H248" s="22" t="n">
        <v>110.62</v>
      </c>
      <c r="I248" s="23" t="n">
        <v>37</v>
      </c>
      <c r="J248" s="21" t="n">
        <v>7</v>
      </c>
      <c r="K248" s="21" t="n">
        <v>1</v>
      </c>
      <c r="L248" s="21" t="n">
        <v>0</v>
      </c>
      <c r="M248" s="22" t="n">
        <f aca="false">IFERROR(L248/E248*1000,0)</f>
        <v>0</v>
      </c>
      <c r="N248" s="22" t="n">
        <f aca="false">IFERROR(J248/E248*100,0)</f>
        <v>0.769230769230769</v>
      </c>
      <c r="O248" s="32" t="str">
        <f aca="false">IF(H248&lt;30,"00-30",IF(H248&lt;40,"30-40",IF(H248&lt;50,"40-50",IF(H248&lt;60,"50-60",IF(H248&lt;70,"60-70","70+")))))</f>
        <v>70+</v>
      </c>
      <c r="P248" s="37" t="n">
        <f aca="false">IFERROR(VALUE(SUBSTITUTE(B248,"-","")),0)</f>
        <v>20260906</v>
      </c>
    </row>
    <row r="249" customFormat="false" ht="15" hidden="false" customHeight="false" outlineLevel="0" collapsed="false">
      <c r="A249" s="14" t="s">
        <v>44</v>
      </c>
      <c r="B249" s="32" t="s">
        <v>208</v>
      </c>
      <c r="C249" s="7" t="s">
        <v>661</v>
      </c>
      <c r="D249" s="32" t="s">
        <v>662</v>
      </c>
      <c r="E249" s="21" t="n">
        <v>927</v>
      </c>
      <c r="F249" s="21" t="n">
        <v>49</v>
      </c>
      <c r="G249" s="22" t="n">
        <v>0</v>
      </c>
      <c r="H249" s="22" t="n">
        <v>51.54</v>
      </c>
      <c r="I249" s="23" t="n">
        <v>18</v>
      </c>
      <c r="J249" s="21" t="n">
        <v>5</v>
      </c>
      <c r="K249" s="21" t="n">
        <v>0</v>
      </c>
      <c r="L249" s="21" t="n">
        <v>1</v>
      </c>
      <c r="M249" s="22" t="n">
        <f aca="false">IFERROR(L249/E249*1000,0)</f>
        <v>1.07874865156419</v>
      </c>
      <c r="N249" s="22" t="n">
        <f aca="false">IFERROR(J249/E249*100,0)</f>
        <v>0.539374325782093</v>
      </c>
      <c r="O249" s="32" t="str">
        <f aca="false">IF(H249&lt;30,"00-30",IF(H249&lt;40,"30-40",IF(H249&lt;50,"40-50",IF(H249&lt;60,"50-60",IF(H249&lt;70,"60-70","70+")))))</f>
        <v>50-60</v>
      </c>
      <c r="P249" s="37" t="n">
        <f aca="false">IFERROR(VALUE(SUBSTITUTE(B249,"-","")),0)</f>
        <v>20260906</v>
      </c>
    </row>
    <row r="250" customFormat="false" ht="15" hidden="false" customHeight="false" outlineLevel="0" collapsed="false">
      <c r="A250" s="14" t="s">
        <v>44</v>
      </c>
      <c r="B250" s="32" t="s">
        <v>215</v>
      </c>
      <c r="C250" s="7" t="s">
        <v>663</v>
      </c>
      <c r="D250" s="32" t="s">
        <v>664</v>
      </c>
      <c r="E250" s="21" t="n">
        <v>951</v>
      </c>
      <c r="F250" s="21" t="n">
        <v>93</v>
      </c>
      <c r="G250" s="22" t="n">
        <v>0.011</v>
      </c>
      <c r="H250" s="22" t="n">
        <v>42.66</v>
      </c>
      <c r="I250" s="23" t="n">
        <v>14</v>
      </c>
      <c r="J250" s="21" t="n">
        <v>12</v>
      </c>
      <c r="K250" s="21" t="n">
        <v>0</v>
      </c>
      <c r="L250" s="21" t="n">
        <v>2</v>
      </c>
      <c r="M250" s="22" t="n">
        <f aca="false">IFERROR(L250/E250*1000,0)</f>
        <v>2.10304942166141</v>
      </c>
      <c r="N250" s="22" t="n">
        <f aca="false">IFERROR(J250/E250*100,0)</f>
        <v>1.26182965299685</v>
      </c>
      <c r="O250" s="32" t="str">
        <f aca="false">IF(H250&lt;30,"00-30",IF(H250&lt;40,"30-40",IF(H250&lt;50,"40-50",IF(H250&lt;60,"50-60",IF(H250&lt;70,"60-70","70+")))))</f>
        <v>40-50</v>
      </c>
      <c r="P250" s="37" t="n">
        <f aca="false">IFERROR(VALUE(SUBSTITUTE(B250,"-","")),0)</f>
        <v>20260907</v>
      </c>
    </row>
    <row r="251" customFormat="false" ht="15" hidden="false" customHeight="false" outlineLevel="0" collapsed="false">
      <c r="A251" s="14" t="s">
        <v>44</v>
      </c>
      <c r="B251" s="32" t="s">
        <v>215</v>
      </c>
      <c r="C251" s="7" t="s">
        <v>665</v>
      </c>
      <c r="D251" s="32" t="s">
        <v>666</v>
      </c>
      <c r="E251" s="21" t="n">
        <v>1116</v>
      </c>
      <c r="F251" s="21" t="n">
        <v>38</v>
      </c>
      <c r="G251" s="22" t="n">
        <v>0</v>
      </c>
      <c r="H251" s="22" t="n">
        <v>46.54</v>
      </c>
      <c r="I251" s="23" t="n">
        <v>16</v>
      </c>
      <c r="J251" s="21" t="n">
        <v>10</v>
      </c>
      <c r="K251" s="21" t="n">
        <v>0</v>
      </c>
      <c r="L251" s="21" t="n">
        <v>0</v>
      </c>
      <c r="M251" s="22" t="n">
        <f aca="false">IFERROR(L251/E251*1000,0)</f>
        <v>0</v>
      </c>
      <c r="N251" s="22" t="n">
        <f aca="false">IFERROR(J251/E251*100,0)</f>
        <v>0.896057347670251</v>
      </c>
      <c r="O251" s="32" t="str">
        <f aca="false">IF(H251&lt;30,"00-30",IF(H251&lt;40,"30-40",IF(H251&lt;50,"40-50",IF(H251&lt;60,"50-60",IF(H251&lt;70,"60-70","70+")))))</f>
        <v>40-50</v>
      </c>
      <c r="P251" s="37" t="n">
        <f aca="false">IFERROR(VALUE(SUBSTITUTE(B251,"-","")),0)</f>
        <v>20260907</v>
      </c>
    </row>
    <row r="252" customFormat="false" ht="15" hidden="false" customHeight="false" outlineLevel="0" collapsed="false">
      <c r="A252" s="14" t="s">
        <v>44</v>
      </c>
      <c r="B252" s="32" t="s">
        <v>215</v>
      </c>
      <c r="C252" s="7" t="s">
        <v>667</v>
      </c>
      <c r="D252" s="32" t="s">
        <v>668</v>
      </c>
      <c r="E252" s="21" t="n">
        <v>975</v>
      </c>
      <c r="F252" s="21" t="n">
        <v>47</v>
      </c>
      <c r="G252" s="22" t="n">
        <v>0</v>
      </c>
      <c r="H252" s="22" t="n">
        <v>40.26</v>
      </c>
      <c r="I252" s="23" t="n">
        <v>13</v>
      </c>
      <c r="J252" s="21" t="n">
        <v>10</v>
      </c>
      <c r="K252" s="21" t="n">
        <v>0</v>
      </c>
      <c r="L252" s="21" t="n">
        <v>0</v>
      </c>
      <c r="M252" s="22" t="n">
        <f aca="false">IFERROR(L252/E252*1000,0)</f>
        <v>0</v>
      </c>
      <c r="N252" s="22" t="n">
        <f aca="false">IFERROR(J252/E252*100,0)</f>
        <v>1.02564102564103</v>
      </c>
      <c r="O252" s="32" t="str">
        <f aca="false">IF(H252&lt;30,"00-30",IF(H252&lt;40,"30-40",IF(H252&lt;50,"40-50",IF(H252&lt;60,"50-60",IF(H252&lt;70,"60-70","70+")))))</f>
        <v>40-50</v>
      </c>
      <c r="P252" s="37" t="n">
        <f aca="false">IFERROR(VALUE(SUBSTITUTE(B252,"-","")),0)</f>
        <v>20260907</v>
      </c>
    </row>
    <row r="253" customFormat="false" ht="15" hidden="false" customHeight="false" outlineLevel="0" collapsed="false">
      <c r="A253" s="14" t="s">
        <v>44</v>
      </c>
      <c r="B253" s="32" t="s">
        <v>222</v>
      </c>
      <c r="C253" s="7" t="s">
        <v>669</v>
      </c>
      <c r="D253" s="32" t="s">
        <v>670</v>
      </c>
      <c r="E253" s="21" t="n">
        <v>912</v>
      </c>
      <c r="F253" s="21" t="n">
        <v>23</v>
      </c>
      <c r="G253" s="22" t="n">
        <v>0</v>
      </c>
      <c r="H253" s="22" t="n">
        <v>69.56</v>
      </c>
      <c r="I253" s="23" t="n">
        <v>22</v>
      </c>
      <c r="J253" s="21" t="n">
        <v>12</v>
      </c>
      <c r="K253" s="21" t="n">
        <v>0</v>
      </c>
      <c r="L253" s="21" t="n">
        <v>3</v>
      </c>
      <c r="M253" s="22" t="n">
        <f aca="false">IFERROR(L253/E253*1000,0)</f>
        <v>3.28947368421053</v>
      </c>
      <c r="N253" s="22" t="n">
        <f aca="false">IFERROR(J253/E253*100,0)</f>
        <v>1.31578947368421</v>
      </c>
      <c r="O253" s="32" t="str">
        <f aca="false">IF(H253&lt;30,"00-30",IF(H253&lt;40,"30-40",IF(H253&lt;50,"40-50",IF(H253&lt;60,"50-60",IF(H253&lt;70,"60-70","70+")))))</f>
        <v>60-70</v>
      </c>
      <c r="P253" s="37" t="n">
        <f aca="false">IFERROR(VALUE(SUBSTITUTE(B253,"-","")),0)</f>
        <v>20260908</v>
      </c>
    </row>
    <row r="254" customFormat="false" ht="15" hidden="false" customHeight="false" outlineLevel="0" collapsed="false">
      <c r="A254" s="14" t="s">
        <v>44</v>
      </c>
      <c r="B254" s="32" t="s">
        <v>222</v>
      </c>
      <c r="C254" s="7" t="s">
        <v>671</v>
      </c>
      <c r="D254" s="32" t="s">
        <v>672</v>
      </c>
      <c r="E254" s="21" t="n">
        <v>1051</v>
      </c>
      <c r="F254" s="21" t="n">
        <v>114</v>
      </c>
      <c r="G254" s="22" t="n">
        <v>0.019</v>
      </c>
      <c r="H254" s="22" t="n">
        <v>45.99</v>
      </c>
      <c r="I254" s="23" t="n">
        <v>15</v>
      </c>
      <c r="J254" s="21" t="n">
        <v>15</v>
      </c>
      <c r="K254" s="21" t="n">
        <v>0</v>
      </c>
      <c r="L254" s="21" t="n">
        <v>0</v>
      </c>
      <c r="M254" s="22" t="n">
        <f aca="false">IFERROR(L254/E254*1000,0)</f>
        <v>0</v>
      </c>
      <c r="N254" s="22" t="n">
        <f aca="false">IFERROR(J254/E254*100,0)</f>
        <v>1.42721217887726</v>
      </c>
      <c r="O254" s="32" t="str">
        <f aca="false">IF(H254&lt;30,"00-30",IF(H254&lt;40,"30-40",IF(H254&lt;50,"40-50",IF(H254&lt;60,"50-60",IF(H254&lt;70,"60-70","70+")))))</f>
        <v>40-50</v>
      </c>
      <c r="P254" s="37" t="n">
        <f aca="false">IFERROR(VALUE(SUBSTITUTE(B254,"-","")),0)</f>
        <v>20260908</v>
      </c>
    </row>
    <row r="255" customFormat="false" ht="15" hidden="false" customHeight="false" outlineLevel="0" collapsed="false">
      <c r="A255" s="14" t="s">
        <v>44</v>
      </c>
      <c r="B255" s="32" t="s">
        <v>227</v>
      </c>
      <c r="C255" s="7" t="s">
        <v>673</v>
      </c>
      <c r="D255" s="32" t="s">
        <v>674</v>
      </c>
      <c r="E255" s="21" t="n">
        <v>1138</v>
      </c>
      <c r="F255" s="21" t="n">
        <v>23</v>
      </c>
      <c r="G255" s="22" t="n">
        <v>0</v>
      </c>
      <c r="H255" s="22" t="n">
        <v>38.08</v>
      </c>
      <c r="I255" s="23" t="n">
        <v>11</v>
      </c>
      <c r="J255" s="21" t="n">
        <v>15</v>
      </c>
      <c r="K255" s="21" t="n">
        <v>0</v>
      </c>
      <c r="L255" s="21" t="n">
        <v>2</v>
      </c>
      <c r="M255" s="22" t="n">
        <f aca="false">IFERROR(L255/E255*1000,0)</f>
        <v>1.75746924428823</v>
      </c>
      <c r="N255" s="22" t="n">
        <f aca="false">IFERROR(J255/E255*100,0)</f>
        <v>1.31810193321617</v>
      </c>
      <c r="O255" s="32" t="str">
        <f aca="false">IF(H255&lt;30,"00-30",IF(H255&lt;40,"30-40",IF(H255&lt;50,"40-50",IF(H255&lt;60,"50-60",IF(H255&lt;70,"60-70","70+")))))</f>
        <v>30-40</v>
      </c>
      <c r="P255" s="37" t="n">
        <f aca="false">IFERROR(VALUE(SUBSTITUTE(B255,"-","")),0)</f>
        <v>20260909</v>
      </c>
    </row>
    <row r="256" customFormat="false" ht="15" hidden="false" customHeight="false" outlineLevel="0" collapsed="false">
      <c r="A256" s="14" t="s">
        <v>47</v>
      </c>
      <c r="B256" s="32" t="s">
        <v>675</v>
      </c>
      <c r="C256" s="14" t="s">
        <v>676</v>
      </c>
      <c r="D256" s="32" t="s">
        <v>677</v>
      </c>
      <c r="E256" s="21" t="n">
        <v>206</v>
      </c>
      <c r="F256" s="21" t="n">
        <v>0</v>
      </c>
      <c r="G256" s="22" t="n">
        <v>0</v>
      </c>
      <c r="H256" s="22" t="n">
        <v>49.56</v>
      </c>
      <c r="I256" s="23" t="n">
        <v>11</v>
      </c>
      <c r="J256" s="21" t="n">
        <v>0</v>
      </c>
      <c r="K256" s="21" t="n">
        <v>0</v>
      </c>
      <c r="L256" s="21" t="n">
        <v>0</v>
      </c>
      <c r="M256" s="22" t="n">
        <f aca="false">IFERROR(L256/E256*1000,0)</f>
        <v>0</v>
      </c>
      <c r="N256" s="22" t="n">
        <f aca="false">IFERROR(J256/E256*100,0)</f>
        <v>0</v>
      </c>
      <c r="O256" s="32" t="str">
        <f aca="false">IF(H256&lt;30,"00-30",IF(H256&lt;40,"30-40",IF(H256&lt;50,"40-50",IF(H256&lt;60,"50-60",IF(H256&lt;70,"60-70","70+")))))</f>
        <v>40-50</v>
      </c>
      <c r="P256" s="37" t="n">
        <f aca="false">IFERROR(VALUE(SUBSTITUTE(B256,"-","")),0)</f>
        <v>20260730</v>
      </c>
    </row>
    <row r="257" customFormat="false" ht="15" hidden="false" customHeight="false" outlineLevel="0" collapsed="false">
      <c r="A257" s="14" t="s">
        <v>47</v>
      </c>
      <c r="B257" s="32" t="s">
        <v>675</v>
      </c>
      <c r="C257" s="14" t="s">
        <v>676</v>
      </c>
      <c r="D257" s="32" t="s">
        <v>678</v>
      </c>
      <c r="E257" s="21" t="n">
        <v>2392</v>
      </c>
      <c r="F257" s="21" t="n">
        <v>72</v>
      </c>
      <c r="G257" s="22" t="n">
        <v>0.154</v>
      </c>
      <c r="H257" s="22" t="n">
        <v>111.97</v>
      </c>
      <c r="I257" s="23" t="n">
        <v>26</v>
      </c>
      <c r="J257" s="21" t="n">
        <v>7</v>
      </c>
      <c r="K257" s="21" t="n">
        <v>0</v>
      </c>
      <c r="L257" s="21" t="n">
        <v>1</v>
      </c>
      <c r="M257" s="22" t="n">
        <f aca="false">IFERROR(L257/E257*1000,0)</f>
        <v>0.418060200668896</v>
      </c>
      <c r="N257" s="22" t="n">
        <f aca="false">IFERROR(J257/E257*100,0)</f>
        <v>0.292642140468227</v>
      </c>
      <c r="O257" s="32" t="str">
        <f aca="false">IF(H257&lt;30,"00-30",IF(H257&lt;40,"30-40",IF(H257&lt;50,"40-50",IF(H257&lt;60,"50-60",IF(H257&lt;70,"60-70","70+")))))</f>
        <v>70+</v>
      </c>
      <c r="P257" s="37" t="n">
        <f aca="false">IFERROR(VALUE(SUBSTITUTE(B257,"-","")),0)</f>
        <v>20260730</v>
      </c>
    </row>
    <row r="258" customFormat="false" ht="15" hidden="false" customHeight="false" outlineLevel="0" collapsed="false">
      <c r="A258" s="14" t="s">
        <v>47</v>
      </c>
      <c r="B258" s="32" t="s">
        <v>538</v>
      </c>
      <c r="C258" s="14" t="s">
        <v>679</v>
      </c>
      <c r="D258" s="32" t="s">
        <v>680</v>
      </c>
      <c r="E258" s="21" t="n">
        <v>1567</v>
      </c>
      <c r="F258" s="21" t="n">
        <v>116</v>
      </c>
      <c r="G258" s="22" t="n">
        <v>0</v>
      </c>
      <c r="H258" s="22" t="n">
        <v>81.91</v>
      </c>
      <c r="I258" s="23" t="n">
        <v>16</v>
      </c>
      <c r="J258" s="21" t="n">
        <v>10</v>
      </c>
      <c r="K258" s="21" t="n">
        <v>0</v>
      </c>
      <c r="L258" s="21" t="n">
        <v>3</v>
      </c>
      <c r="M258" s="22" t="n">
        <f aca="false">IFERROR(L258/E258*1000,0)</f>
        <v>1.914486279515</v>
      </c>
      <c r="N258" s="22" t="n">
        <f aca="false">IFERROR(J258/E258*100,0)</f>
        <v>0.638162093171666</v>
      </c>
      <c r="O258" s="32" t="str">
        <f aca="false">IF(H258&lt;30,"00-30",IF(H258&lt;40,"30-40",IF(H258&lt;50,"40-50",IF(H258&lt;60,"50-60",IF(H258&lt;70,"60-70","70+")))))</f>
        <v>70+</v>
      </c>
      <c r="P258" s="37" t="n">
        <f aca="false">IFERROR(VALUE(SUBSTITUTE(B258,"-","")),0)</f>
        <v>20260731</v>
      </c>
    </row>
    <row r="259" customFormat="false" ht="15" hidden="false" customHeight="false" outlineLevel="0" collapsed="false">
      <c r="A259" s="14" t="s">
        <v>47</v>
      </c>
      <c r="B259" s="32" t="s">
        <v>538</v>
      </c>
      <c r="C259" s="7" t="s">
        <v>681</v>
      </c>
      <c r="D259" s="32" t="s">
        <v>682</v>
      </c>
      <c r="E259" s="21" t="n">
        <v>2063</v>
      </c>
      <c r="F259" s="21" t="n">
        <v>200</v>
      </c>
      <c r="G259" s="22" t="n">
        <v>0.016</v>
      </c>
      <c r="H259" s="22" t="n">
        <v>69.48</v>
      </c>
      <c r="I259" s="23" t="n">
        <v>17</v>
      </c>
      <c r="J259" s="21" t="n">
        <v>5</v>
      </c>
      <c r="K259" s="21" t="n">
        <v>0</v>
      </c>
      <c r="L259" s="21" t="n">
        <v>0</v>
      </c>
      <c r="M259" s="22" t="n">
        <f aca="false">IFERROR(L259/E259*1000,0)</f>
        <v>0</v>
      </c>
      <c r="N259" s="22" t="n">
        <f aca="false">IFERROR(J259/E259*100,0)</f>
        <v>0.242365487154629</v>
      </c>
      <c r="O259" s="32" t="str">
        <f aca="false">IF(H259&lt;30,"00-30",IF(H259&lt;40,"30-40",IF(H259&lt;50,"40-50",IF(H259&lt;60,"50-60",IF(H259&lt;70,"60-70","70+")))))</f>
        <v>60-70</v>
      </c>
      <c r="P259" s="37" t="n">
        <f aca="false">IFERROR(VALUE(SUBSTITUTE(B259,"-","")),0)</f>
        <v>20260731</v>
      </c>
    </row>
    <row r="260" customFormat="false" ht="15" hidden="false" customHeight="false" outlineLevel="0" collapsed="false">
      <c r="A260" s="14" t="s">
        <v>47</v>
      </c>
      <c r="B260" s="32" t="s">
        <v>541</v>
      </c>
      <c r="C260" s="14" t="s">
        <v>683</v>
      </c>
      <c r="D260" s="32" t="s">
        <v>684</v>
      </c>
      <c r="E260" s="21" t="n">
        <v>48</v>
      </c>
      <c r="F260" s="21" t="n">
        <v>61</v>
      </c>
      <c r="G260" s="22" t="n">
        <v>0</v>
      </c>
      <c r="H260" s="22" t="n">
        <v>69.66</v>
      </c>
      <c r="I260" s="23" t="n">
        <v>12</v>
      </c>
      <c r="J260" s="21" t="n">
        <v>0</v>
      </c>
      <c r="K260" s="21" t="n">
        <v>0</v>
      </c>
      <c r="L260" s="21" t="n">
        <v>0</v>
      </c>
      <c r="M260" s="22" t="n">
        <f aca="false">IFERROR(L260/E260*1000,0)</f>
        <v>0</v>
      </c>
      <c r="N260" s="22" t="n">
        <f aca="false">IFERROR(J260/E260*100,0)</f>
        <v>0</v>
      </c>
      <c r="O260" s="32" t="str">
        <f aca="false">IF(H260&lt;30,"00-30",IF(H260&lt;40,"30-40",IF(H260&lt;50,"40-50",IF(H260&lt;60,"50-60",IF(H260&lt;70,"60-70","70+")))))</f>
        <v>60-70</v>
      </c>
      <c r="P260" s="37" t="n">
        <f aca="false">IFERROR(VALUE(SUBSTITUTE(B260,"-","")),0)</f>
        <v>20260801</v>
      </c>
    </row>
    <row r="261" customFormat="false" ht="15" hidden="false" customHeight="false" outlineLevel="0" collapsed="false">
      <c r="A261" s="14" t="s">
        <v>47</v>
      </c>
      <c r="B261" s="32" t="s">
        <v>541</v>
      </c>
      <c r="C261" s="7" t="s">
        <v>685</v>
      </c>
      <c r="D261" s="32" t="s">
        <v>686</v>
      </c>
      <c r="E261" s="21" t="n">
        <v>1792</v>
      </c>
      <c r="F261" s="21" t="n">
        <v>80</v>
      </c>
      <c r="G261" s="22" t="n">
        <v>0</v>
      </c>
      <c r="H261" s="22" t="n">
        <v>80.22</v>
      </c>
      <c r="I261" s="23" t="n">
        <v>16</v>
      </c>
      <c r="J261" s="21" t="n">
        <v>4</v>
      </c>
      <c r="K261" s="21" t="n">
        <v>0</v>
      </c>
      <c r="L261" s="21" t="n">
        <v>2</v>
      </c>
      <c r="M261" s="22" t="n">
        <f aca="false">IFERROR(L261/E261*1000,0)</f>
        <v>1.11607142857143</v>
      </c>
      <c r="N261" s="22" t="n">
        <f aca="false">IFERROR(J261/E261*100,0)</f>
        <v>0.223214285714286</v>
      </c>
      <c r="O261" s="32" t="str">
        <f aca="false">IF(H261&lt;30,"00-30",IF(H261&lt;40,"30-40",IF(H261&lt;50,"40-50",IF(H261&lt;60,"50-60",IF(H261&lt;70,"60-70","70+")))))</f>
        <v>70+</v>
      </c>
      <c r="P261" s="37" t="n">
        <f aca="false">IFERROR(VALUE(SUBSTITUTE(B261,"-","")),0)</f>
        <v>20260801</v>
      </c>
    </row>
    <row r="262" customFormat="false" ht="15" hidden="false" customHeight="false" outlineLevel="0" collapsed="false">
      <c r="A262" s="14" t="s">
        <v>47</v>
      </c>
      <c r="B262" s="32" t="s">
        <v>541</v>
      </c>
      <c r="C262" s="7" t="s">
        <v>687</v>
      </c>
      <c r="D262" s="32" t="s">
        <v>688</v>
      </c>
      <c r="E262" s="21" t="n">
        <v>1956</v>
      </c>
      <c r="F262" s="21" t="n">
        <v>87</v>
      </c>
      <c r="G262" s="22" t="n">
        <v>0.024</v>
      </c>
      <c r="H262" s="22" t="n">
        <v>90.23</v>
      </c>
      <c r="I262" s="23" t="n">
        <v>16</v>
      </c>
      <c r="J262" s="21" t="n">
        <v>10</v>
      </c>
      <c r="K262" s="21" t="n">
        <v>0</v>
      </c>
      <c r="L262" s="21" t="n">
        <v>0</v>
      </c>
      <c r="M262" s="22" t="n">
        <f aca="false">IFERROR(L262/E262*1000,0)</f>
        <v>0</v>
      </c>
      <c r="N262" s="22" t="n">
        <f aca="false">IFERROR(J262/E262*100,0)</f>
        <v>0.511247443762781</v>
      </c>
      <c r="O262" s="32" t="str">
        <f aca="false">IF(H262&lt;30,"00-30",IF(H262&lt;40,"30-40",IF(H262&lt;50,"40-50",IF(H262&lt;60,"50-60",IF(H262&lt;70,"60-70","70+")))))</f>
        <v>70+</v>
      </c>
      <c r="P262" s="37" t="n">
        <f aca="false">IFERROR(VALUE(SUBSTITUTE(B262,"-","")),0)</f>
        <v>20260801</v>
      </c>
    </row>
    <row r="263" customFormat="false" ht="15" hidden="false" customHeight="false" outlineLevel="0" collapsed="false">
      <c r="A263" s="14" t="s">
        <v>47</v>
      </c>
      <c r="B263" s="32" t="s">
        <v>548</v>
      </c>
      <c r="C263" s="7" t="s">
        <v>689</v>
      </c>
      <c r="D263" s="32" t="s">
        <v>690</v>
      </c>
      <c r="E263" s="21" t="n">
        <v>1475</v>
      </c>
      <c r="F263" s="21" t="n">
        <v>78</v>
      </c>
      <c r="G263" s="22" t="n">
        <v>0.034</v>
      </c>
      <c r="H263" s="22" t="n">
        <v>69.2</v>
      </c>
      <c r="I263" s="23" t="n">
        <v>23</v>
      </c>
      <c r="J263" s="21" t="n">
        <v>3</v>
      </c>
      <c r="K263" s="21" t="n">
        <v>0</v>
      </c>
      <c r="L263" s="21" t="n">
        <v>0</v>
      </c>
      <c r="M263" s="22" t="n">
        <f aca="false">IFERROR(L263/E263*1000,0)</f>
        <v>0</v>
      </c>
      <c r="N263" s="22" t="n">
        <f aca="false">IFERROR(J263/E263*100,0)</f>
        <v>0.203389830508475</v>
      </c>
      <c r="O263" s="32" t="str">
        <f aca="false">IF(H263&lt;30,"00-30",IF(H263&lt;40,"30-40",IF(H263&lt;50,"40-50",IF(H263&lt;60,"50-60",IF(H263&lt;70,"60-70","70+")))))</f>
        <v>60-70</v>
      </c>
      <c r="P263" s="37" t="n">
        <f aca="false">IFERROR(VALUE(SUBSTITUTE(B263,"-","")),0)</f>
        <v>20260802</v>
      </c>
    </row>
    <row r="264" customFormat="false" ht="15" hidden="false" customHeight="false" outlineLevel="0" collapsed="false">
      <c r="A264" s="14" t="s">
        <v>47</v>
      </c>
      <c r="B264" s="32" t="s">
        <v>548</v>
      </c>
      <c r="C264" s="7" t="s">
        <v>691</v>
      </c>
      <c r="D264" s="32" t="s">
        <v>692</v>
      </c>
      <c r="E264" s="21" t="n">
        <v>1360</v>
      </c>
      <c r="F264" s="21" t="n">
        <v>88</v>
      </c>
      <c r="G264" s="22" t="n">
        <v>0</v>
      </c>
      <c r="H264" s="22" t="n">
        <v>157.21</v>
      </c>
      <c r="I264" s="23" t="n">
        <v>58</v>
      </c>
      <c r="J264" s="21" t="n">
        <v>4</v>
      </c>
      <c r="K264" s="21" t="n">
        <v>0</v>
      </c>
      <c r="L264" s="21" t="n">
        <v>0</v>
      </c>
      <c r="M264" s="22" t="n">
        <f aca="false">IFERROR(L264/E264*1000,0)</f>
        <v>0</v>
      </c>
      <c r="N264" s="22" t="n">
        <f aca="false">IFERROR(J264/E264*100,0)</f>
        <v>0.294117647058824</v>
      </c>
      <c r="O264" s="32" t="str">
        <f aca="false">IF(H264&lt;30,"00-30",IF(H264&lt;40,"30-40",IF(H264&lt;50,"40-50",IF(H264&lt;60,"50-60",IF(H264&lt;70,"60-70","70+")))))</f>
        <v>70+</v>
      </c>
      <c r="P264" s="37" t="n">
        <f aca="false">IFERROR(VALUE(SUBSTITUTE(B264,"-","")),0)</f>
        <v>20260802</v>
      </c>
    </row>
    <row r="265" customFormat="false" ht="15" hidden="false" customHeight="false" outlineLevel="0" collapsed="false">
      <c r="A265" s="14" t="s">
        <v>47</v>
      </c>
      <c r="B265" s="32" t="s">
        <v>553</v>
      </c>
      <c r="C265" s="7" t="s">
        <v>693</v>
      </c>
      <c r="D265" s="32" t="s">
        <v>694</v>
      </c>
      <c r="E265" s="21" t="n">
        <v>1614</v>
      </c>
      <c r="F265" s="21" t="n">
        <v>157</v>
      </c>
      <c r="G265" s="22" t="n">
        <v>0.008</v>
      </c>
      <c r="H265" s="22" t="n">
        <v>67.62</v>
      </c>
      <c r="I265" s="23" t="n">
        <v>25</v>
      </c>
      <c r="J265" s="21" t="n">
        <v>11</v>
      </c>
      <c r="K265" s="21" t="n">
        <v>0</v>
      </c>
      <c r="L265" s="21" t="n">
        <v>0</v>
      </c>
      <c r="M265" s="22" t="n">
        <f aca="false">IFERROR(L265/E265*1000,0)</f>
        <v>0</v>
      </c>
      <c r="N265" s="22" t="n">
        <f aca="false">IFERROR(J265/E265*100,0)</f>
        <v>0.681536555142503</v>
      </c>
      <c r="O265" s="32" t="str">
        <f aca="false">IF(H265&lt;30,"00-30",IF(H265&lt;40,"30-40",IF(H265&lt;50,"40-50",IF(H265&lt;60,"50-60",IF(H265&lt;70,"60-70","70+")))))</f>
        <v>60-70</v>
      </c>
      <c r="P265" s="37" t="n">
        <f aca="false">IFERROR(VALUE(SUBSTITUTE(B265,"-","")),0)</f>
        <v>20260803</v>
      </c>
    </row>
    <row r="266" customFormat="false" ht="15" hidden="false" customHeight="false" outlineLevel="0" collapsed="false">
      <c r="A266" s="14" t="s">
        <v>47</v>
      </c>
      <c r="B266" s="32" t="s">
        <v>556</v>
      </c>
      <c r="C266" s="7" t="s">
        <v>695</v>
      </c>
      <c r="D266" s="32" t="s">
        <v>696</v>
      </c>
      <c r="E266" s="21" t="n">
        <v>1730</v>
      </c>
      <c r="F266" s="21" t="n">
        <v>100</v>
      </c>
      <c r="G266" s="22" t="n">
        <v>0.014</v>
      </c>
      <c r="H266" s="22" t="n">
        <v>103.33</v>
      </c>
      <c r="I266" s="23" t="n">
        <v>34</v>
      </c>
      <c r="J266" s="21" t="n">
        <v>8</v>
      </c>
      <c r="K266" s="21" t="n">
        <v>1</v>
      </c>
      <c r="L266" s="21" t="n">
        <v>0</v>
      </c>
      <c r="M266" s="22" t="n">
        <f aca="false">IFERROR(L266/E266*1000,0)</f>
        <v>0</v>
      </c>
      <c r="N266" s="22" t="n">
        <f aca="false">IFERROR(J266/E266*100,0)</f>
        <v>0.46242774566474</v>
      </c>
      <c r="O266" s="32" t="str">
        <f aca="false">IF(H266&lt;30,"00-30",IF(H266&lt;40,"30-40",IF(H266&lt;50,"40-50",IF(H266&lt;60,"50-60",IF(H266&lt;70,"60-70","70+")))))</f>
        <v>70+</v>
      </c>
      <c r="P266" s="37" t="n">
        <f aca="false">IFERROR(VALUE(SUBSTITUTE(B266,"-","")),0)</f>
        <v>20260804</v>
      </c>
    </row>
    <row r="267" customFormat="false" ht="15" hidden="false" customHeight="false" outlineLevel="0" collapsed="false">
      <c r="A267" s="14" t="s">
        <v>47</v>
      </c>
      <c r="B267" s="32" t="s">
        <v>563</v>
      </c>
      <c r="C267" s="7" t="s">
        <v>697</v>
      </c>
      <c r="D267" s="32" t="s">
        <v>698</v>
      </c>
      <c r="E267" s="21" t="n">
        <v>1701</v>
      </c>
      <c r="F267" s="21" t="n">
        <v>49</v>
      </c>
      <c r="G267" s="22" t="n">
        <v>0</v>
      </c>
      <c r="H267" s="22" t="n">
        <v>90.67</v>
      </c>
      <c r="I267" s="23" t="n">
        <v>27</v>
      </c>
      <c r="J267" s="21" t="n">
        <v>4</v>
      </c>
      <c r="K267" s="21" t="n">
        <v>0</v>
      </c>
      <c r="L267" s="21" t="n">
        <v>2</v>
      </c>
      <c r="M267" s="22" t="n">
        <f aca="false">IFERROR(L267/E267*1000,0)</f>
        <v>1.17577895355673</v>
      </c>
      <c r="N267" s="22" t="n">
        <f aca="false">IFERROR(J267/E267*100,0)</f>
        <v>0.235155790711346</v>
      </c>
      <c r="O267" s="32" t="str">
        <f aca="false">IF(H267&lt;30,"00-30",IF(H267&lt;40,"30-40",IF(H267&lt;50,"40-50",IF(H267&lt;60,"50-60",IF(H267&lt;70,"60-70","70+")))))</f>
        <v>70+</v>
      </c>
      <c r="P267" s="37" t="n">
        <f aca="false">IFERROR(VALUE(SUBSTITUTE(B267,"-","")),0)</f>
        <v>20260805</v>
      </c>
    </row>
    <row r="268" customFormat="false" ht="15" hidden="false" customHeight="false" outlineLevel="0" collapsed="false">
      <c r="A268" s="14" t="s">
        <v>47</v>
      </c>
      <c r="B268" s="32" t="s">
        <v>570</v>
      </c>
      <c r="C268" s="7" t="s">
        <v>699</v>
      </c>
      <c r="D268" s="32" t="s">
        <v>700</v>
      </c>
      <c r="E268" s="21" t="n">
        <v>1608</v>
      </c>
      <c r="F268" s="21" t="n">
        <v>187</v>
      </c>
      <c r="G268" s="22" t="n">
        <v>0.019</v>
      </c>
      <c r="H268" s="22" t="n">
        <v>64.46</v>
      </c>
      <c r="I268" s="23" t="n">
        <v>18</v>
      </c>
      <c r="J268" s="21" t="n">
        <v>4</v>
      </c>
      <c r="K268" s="21" t="n">
        <v>1</v>
      </c>
      <c r="L268" s="21" t="n">
        <v>0</v>
      </c>
      <c r="M268" s="22" t="n">
        <f aca="false">IFERROR(L268/E268*1000,0)</f>
        <v>0</v>
      </c>
      <c r="N268" s="22" t="n">
        <f aca="false">IFERROR(J268/E268*100,0)</f>
        <v>0.248756218905473</v>
      </c>
      <c r="O268" s="32" t="str">
        <f aca="false">IF(H268&lt;30,"00-30",IF(H268&lt;40,"30-40",IF(H268&lt;50,"40-50",IF(H268&lt;60,"50-60",IF(H268&lt;70,"60-70","70+")))))</f>
        <v>60-70</v>
      </c>
      <c r="P268" s="37" t="n">
        <f aca="false">IFERROR(VALUE(SUBSTITUTE(B268,"-","")),0)</f>
        <v>20260806</v>
      </c>
    </row>
    <row r="269" customFormat="false" ht="15" hidden="false" customHeight="false" outlineLevel="0" collapsed="false">
      <c r="A269" s="14" t="s">
        <v>47</v>
      </c>
      <c r="B269" s="32" t="s">
        <v>230</v>
      </c>
      <c r="C269" s="7" t="s">
        <v>701</v>
      </c>
      <c r="D269" s="32" t="s">
        <v>702</v>
      </c>
      <c r="E269" s="21" t="n">
        <v>1134</v>
      </c>
      <c r="F269" s="21" t="n">
        <v>90</v>
      </c>
      <c r="G269" s="22" t="n">
        <v>0.028</v>
      </c>
      <c r="H269" s="22" t="n">
        <v>92.4</v>
      </c>
      <c r="I269" s="23" t="n">
        <v>24</v>
      </c>
      <c r="J269" s="21" t="n">
        <v>7</v>
      </c>
      <c r="K269" s="21" t="n">
        <v>0</v>
      </c>
      <c r="L269" s="21" t="n">
        <v>0</v>
      </c>
      <c r="M269" s="22" t="n">
        <f aca="false">IFERROR(L269/E269*1000,0)</f>
        <v>0</v>
      </c>
      <c r="N269" s="22" t="n">
        <f aca="false">IFERROR(J269/E269*100,0)</f>
        <v>0.617283950617284</v>
      </c>
      <c r="O269" s="32" t="str">
        <f aca="false">IF(H269&lt;30,"00-30",IF(H269&lt;40,"30-40",IF(H269&lt;50,"40-50",IF(H269&lt;60,"50-60",IF(H269&lt;70,"60-70","70+")))))</f>
        <v>70+</v>
      </c>
      <c r="P269" s="37" t="n">
        <f aca="false">IFERROR(VALUE(SUBSTITUTE(B269,"-","")),0)</f>
        <v>20260808</v>
      </c>
    </row>
    <row r="270" customFormat="false" ht="15" hidden="false" customHeight="false" outlineLevel="0" collapsed="false">
      <c r="A270" s="14" t="s">
        <v>47</v>
      </c>
      <c r="B270" s="32" t="s">
        <v>101</v>
      </c>
      <c r="C270" s="14" t="s">
        <v>703</v>
      </c>
      <c r="D270" s="32" t="s">
        <v>704</v>
      </c>
      <c r="E270" s="21" t="n">
        <v>1093</v>
      </c>
      <c r="F270" s="21" t="n">
        <v>72</v>
      </c>
      <c r="G270" s="22" t="n">
        <v>0</v>
      </c>
      <c r="H270" s="22" t="n">
        <v>67.02</v>
      </c>
      <c r="I270" s="23" t="n">
        <v>18</v>
      </c>
      <c r="J270" s="21" t="n">
        <v>4</v>
      </c>
      <c r="K270" s="21" t="n">
        <v>0</v>
      </c>
      <c r="L270" s="21" t="n">
        <v>1</v>
      </c>
      <c r="M270" s="22" t="n">
        <f aca="false">IFERROR(L270/E270*1000,0)</f>
        <v>0.914913083257091</v>
      </c>
      <c r="N270" s="22" t="n">
        <f aca="false">IFERROR(J270/E270*100,0)</f>
        <v>0.365965233302836</v>
      </c>
      <c r="O270" s="32" t="str">
        <f aca="false">IF(H270&lt;30,"00-30",IF(H270&lt;40,"30-40",IF(H270&lt;50,"40-50",IF(H270&lt;60,"50-60",IF(H270&lt;70,"60-70","70+")))))</f>
        <v>60-70</v>
      </c>
      <c r="P270" s="37" t="n">
        <f aca="false">IFERROR(VALUE(SUBSTITUTE(B270,"-","")),0)</f>
        <v>20260809</v>
      </c>
    </row>
    <row r="271" customFormat="false" ht="15" hidden="false" customHeight="false" outlineLevel="0" collapsed="false">
      <c r="A271" s="14" t="s">
        <v>47</v>
      </c>
      <c r="B271" s="32" t="s">
        <v>101</v>
      </c>
      <c r="C271" s="7" t="s">
        <v>705</v>
      </c>
      <c r="D271" s="32" t="s">
        <v>706</v>
      </c>
      <c r="E271" s="21" t="n">
        <v>1446</v>
      </c>
      <c r="F271" s="21" t="n">
        <v>52</v>
      </c>
      <c r="G271" s="22" t="n">
        <v>0.025</v>
      </c>
      <c r="H271" s="22" t="n">
        <v>53.74</v>
      </c>
      <c r="I271" s="23" t="n">
        <v>15</v>
      </c>
      <c r="J271" s="21" t="n">
        <v>7</v>
      </c>
      <c r="K271" s="21" t="n">
        <v>0</v>
      </c>
      <c r="L271" s="21" t="n">
        <v>1</v>
      </c>
      <c r="M271" s="22" t="n">
        <f aca="false">IFERROR(L271/E271*1000,0)</f>
        <v>0.691562932226833</v>
      </c>
      <c r="N271" s="22" t="n">
        <f aca="false">IFERROR(J271/E271*100,0)</f>
        <v>0.484094052558783</v>
      </c>
      <c r="O271" s="32" t="str">
        <f aca="false">IF(H271&lt;30,"00-30",IF(H271&lt;40,"30-40",IF(H271&lt;50,"40-50",IF(H271&lt;60,"50-60",IF(H271&lt;70,"60-70","70+")))))</f>
        <v>50-60</v>
      </c>
      <c r="P271" s="37" t="n">
        <f aca="false">IFERROR(VALUE(SUBSTITUTE(B271,"-","")),0)</f>
        <v>20260809</v>
      </c>
    </row>
    <row r="272" customFormat="false" ht="15" hidden="false" customHeight="false" outlineLevel="0" collapsed="false">
      <c r="A272" s="14" t="s">
        <v>47</v>
      </c>
      <c r="B272" s="32" t="s">
        <v>587</v>
      </c>
      <c r="C272" s="7" t="s">
        <v>707</v>
      </c>
      <c r="D272" s="32" t="s">
        <v>708</v>
      </c>
      <c r="E272" s="21" t="n">
        <v>1289</v>
      </c>
      <c r="F272" s="21" t="n">
        <v>128</v>
      </c>
      <c r="G272" s="22" t="n">
        <v>0.009</v>
      </c>
      <c r="H272" s="22" t="n">
        <v>53.21</v>
      </c>
      <c r="I272" s="23" t="n">
        <v>17</v>
      </c>
      <c r="J272" s="21" t="n">
        <v>4</v>
      </c>
      <c r="K272" s="21" t="n">
        <v>0</v>
      </c>
      <c r="L272" s="21" t="n">
        <v>0</v>
      </c>
      <c r="M272" s="22" t="n">
        <f aca="false">IFERROR(L272/E272*1000,0)</f>
        <v>0</v>
      </c>
      <c r="N272" s="22" t="n">
        <f aca="false">IFERROR(J272/E272*100,0)</f>
        <v>0.310318076027929</v>
      </c>
      <c r="O272" s="32" t="str">
        <f aca="false">IF(H272&lt;30,"00-30",IF(H272&lt;40,"30-40",IF(H272&lt;50,"40-50",IF(H272&lt;60,"50-60",IF(H272&lt;70,"60-70","70+")))))</f>
        <v>50-60</v>
      </c>
      <c r="P272" s="37" t="n">
        <f aca="false">IFERROR(VALUE(SUBSTITUTE(B272,"-","")),0)</f>
        <v>20260810</v>
      </c>
    </row>
    <row r="273" customFormat="false" ht="15" hidden="false" customHeight="false" outlineLevel="0" collapsed="false">
      <c r="A273" s="14" t="s">
        <v>47</v>
      </c>
      <c r="B273" s="32" t="s">
        <v>594</v>
      </c>
      <c r="C273" s="7" t="s">
        <v>709</v>
      </c>
      <c r="D273" s="32" t="s">
        <v>710</v>
      </c>
      <c r="E273" s="21" t="n">
        <v>1679</v>
      </c>
      <c r="F273" s="21" t="n">
        <v>208</v>
      </c>
      <c r="G273" s="22" t="n">
        <v>0.023</v>
      </c>
      <c r="H273" s="22" t="n">
        <v>57.11</v>
      </c>
      <c r="I273" s="23" t="n">
        <v>15</v>
      </c>
      <c r="J273" s="21" t="n">
        <v>0</v>
      </c>
      <c r="K273" s="21" t="n">
        <v>0</v>
      </c>
      <c r="L273" s="21" t="n">
        <v>0</v>
      </c>
      <c r="M273" s="22" t="n">
        <f aca="false">IFERROR(L273/E273*1000,0)</f>
        <v>0</v>
      </c>
      <c r="N273" s="22" t="n">
        <f aca="false">IFERROR(J273/E273*100,0)</f>
        <v>0</v>
      </c>
      <c r="O273" s="32" t="str">
        <f aca="false">IF(H273&lt;30,"00-30",IF(H273&lt;40,"30-40",IF(H273&lt;50,"40-50",IF(H273&lt;60,"50-60",IF(H273&lt;70,"60-70","70+")))))</f>
        <v>50-60</v>
      </c>
      <c r="P273" s="37" t="n">
        <f aca="false">IFERROR(VALUE(SUBSTITUTE(B273,"-","")),0)</f>
        <v>20260811</v>
      </c>
    </row>
    <row r="274" customFormat="false" ht="15" hidden="false" customHeight="false" outlineLevel="0" collapsed="false">
      <c r="A274" s="14" t="s">
        <v>47</v>
      </c>
      <c r="B274" s="32" t="s">
        <v>235</v>
      </c>
      <c r="C274" s="7" t="s">
        <v>711</v>
      </c>
      <c r="D274" s="32" t="s">
        <v>712</v>
      </c>
      <c r="E274" s="21" t="n">
        <v>1790</v>
      </c>
      <c r="F274" s="21" t="n">
        <v>174</v>
      </c>
      <c r="G274" s="22" t="n">
        <v>0.025</v>
      </c>
      <c r="H274" s="22" t="n">
        <v>55.22</v>
      </c>
      <c r="I274" s="23" t="n">
        <v>16</v>
      </c>
      <c r="J274" s="21" t="n">
        <v>7</v>
      </c>
      <c r="K274" s="21" t="n">
        <v>0</v>
      </c>
      <c r="L274" s="21" t="n">
        <v>0</v>
      </c>
      <c r="M274" s="22" t="n">
        <f aca="false">IFERROR(L274/E274*1000,0)</f>
        <v>0</v>
      </c>
      <c r="N274" s="22" t="n">
        <f aca="false">IFERROR(J274/E274*100,0)</f>
        <v>0.391061452513967</v>
      </c>
      <c r="O274" s="32" t="str">
        <f aca="false">IF(H274&lt;30,"00-30",IF(H274&lt;40,"30-40",IF(H274&lt;50,"40-50",IF(H274&lt;60,"50-60",IF(H274&lt;70,"60-70","70+")))))</f>
        <v>50-60</v>
      </c>
      <c r="P274" s="37" t="n">
        <f aca="false">IFERROR(VALUE(SUBSTITUTE(B274,"-","")),0)</f>
        <v>20260812</v>
      </c>
    </row>
    <row r="275" customFormat="false" ht="15" hidden="false" customHeight="false" outlineLevel="0" collapsed="false">
      <c r="A275" s="14" t="s">
        <v>47</v>
      </c>
      <c r="B275" s="32" t="s">
        <v>104</v>
      </c>
      <c r="C275" s="7" t="s">
        <v>713</v>
      </c>
      <c r="D275" s="32" t="s">
        <v>714</v>
      </c>
      <c r="E275" s="21" t="n">
        <v>1339</v>
      </c>
      <c r="F275" s="21" t="n">
        <v>196</v>
      </c>
      <c r="G275" s="22" t="n">
        <v>0.029</v>
      </c>
      <c r="H275" s="22" t="n">
        <v>49.01</v>
      </c>
      <c r="I275" s="23" t="n">
        <v>14</v>
      </c>
      <c r="J275" s="21" t="n">
        <v>4</v>
      </c>
      <c r="K275" s="21" t="n">
        <v>1</v>
      </c>
      <c r="L275" s="21" t="n">
        <v>1</v>
      </c>
      <c r="M275" s="22" t="n">
        <f aca="false">IFERROR(L275/E275*1000,0)</f>
        <v>0.746825989544436</v>
      </c>
      <c r="N275" s="22" t="n">
        <f aca="false">IFERROR(J275/E275*100,0)</f>
        <v>0.298730395817775</v>
      </c>
      <c r="O275" s="32" t="str">
        <f aca="false">IF(H275&lt;30,"00-30",IF(H275&lt;40,"30-40",IF(H275&lt;50,"40-50",IF(H275&lt;60,"50-60",IF(H275&lt;70,"60-70","70+")))))</f>
        <v>40-50</v>
      </c>
      <c r="P275" s="37" t="n">
        <f aca="false">IFERROR(VALUE(SUBSTITUTE(B275,"-","")),0)</f>
        <v>20260813</v>
      </c>
    </row>
    <row r="276" customFormat="false" ht="15" hidden="false" customHeight="false" outlineLevel="0" collapsed="false">
      <c r="A276" s="14" t="s">
        <v>47</v>
      </c>
      <c r="B276" s="32" t="s">
        <v>109</v>
      </c>
      <c r="C276" s="7" t="s">
        <v>715</v>
      </c>
      <c r="D276" s="32" t="s">
        <v>716</v>
      </c>
      <c r="E276" s="21" t="n">
        <v>1567</v>
      </c>
      <c r="F276" s="21" t="n">
        <v>62</v>
      </c>
      <c r="G276" s="22" t="n">
        <v>0.029</v>
      </c>
      <c r="H276" s="22" t="n">
        <v>54.62</v>
      </c>
      <c r="I276" s="23" t="n">
        <v>17</v>
      </c>
      <c r="J276" s="21" t="n">
        <v>3</v>
      </c>
      <c r="K276" s="21" t="n">
        <v>0</v>
      </c>
      <c r="L276" s="21" t="n">
        <v>1</v>
      </c>
      <c r="M276" s="22" t="n">
        <f aca="false">IFERROR(L276/E276*1000,0)</f>
        <v>0.638162093171666</v>
      </c>
      <c r="N276" s="22" t="n">
        <f aca="false">IFERROR(J276/E276*100,0)</f>
        <v>0.1914486279515</v>
      </c>
      <c r="O276" s="32" t="str">
        <f aca="false">IF(H276&lt;30,"00-30",IF(H276&lt;40,"30-40",IF(H276&lt;50,"40-50",IF(H276&lt;60,"50-60",IF(H276&lt;70,"60-70","70+")))))</f>
        <v>50-60</v>
      </c>
      <c r="P276" s="37" t="n">
        <f aca="false">IFERROR(VALUE(SUBSTITUTE(B276,"-","")),0)</f>
        <v>20260814</v>
      </c>
    </row>
    <row r="277" customFormat="false" ht="15" hidden="false" customHeight="false" outlineLevel="0" collapsed="false">
      <c r="A277" s="14" t="s">
        <v>47</v>
      </c>
      <c r="B277" s="32" t="s">
        <v>114</v>
      </c>
      <c r="C277" s="7" t="s">
        <v>717</v>
      </c>
      <c r="D277" s="32" t="s">
        <v>718</v>
      </c>
      <c r="E277" s="21" t="n">
        <v>1557</v>
      </c>
      <c r="F277" s="21" t="n">
        <v>95</v>
      </c>
      <c r="G277" s="22" t="n">
        <v>0.012</v>
      </c>
      <c r="H277" s="22" t="n">
        <v>65.52</v>
      </c>
      <c r="I277" s="23" t="n">
        <v>20</v>
      </c>
      <c r="J277" s="21" t="n">
        <v>2</v>
      </c>
      <c r="K277" s="21" t="n">
        <v>1</v>
      </c>
      <c r="L277" s="21" t="n">
        <v>0</v>
      </c>
      <c r="M277" s="22" t="n">
        <f aca="false">IFERROR(L277/E277*1000,0)</f>
        <v>0</v>
      </c>
      <c r="N277" s="22" t="n">
        <f aca="false">IFERROR(J277/E277*100,0)</f>
        <v>0.128452151573539</v>
      </c>
      <c r="O277" s="32" t="str">
        <f aca="false">IF(H277&lt;30,"00-30",IF(H277&lt;40,"30-40",IF(H277&lt;50,"40-50",IF(H277&lt;60,"50-60",IF(H277&lt;70,"60-70","70+")))))</f>
        <v>60-70</v>
      </c>
      <c r="P277" s="37" t="n">
        <f aca="false">IFERROR(VALUE(SUBSTITUTE(B277,"-","")),0)</f>
        <v>20260815</v>
      </c>
    </row>
    <row r="278" customFormat="false" ht="15" hidden="false" customHeight="false" outlineLevel="0" collapsed="false">
      <c r="A278" s="14" t="s">
        <v>47</v>
      </c>
      <c r="B278" s="32" t="s">
        <v>122</v>
      </c>
      <c r="C278" s="7" t="s">
        <v>719</v>
      </c>
      <c r="D278" s="32" t="s">
        <v>720</v>
      </c>
      <c r="E278" s="21" t="n">
        <v>1971</v>
      </c>
      <c r="F278" s="21" t="n">
        <v>159</v>
      </c>
      <c r="G278" s="22" t="n">
        <v>0.038</v>
      </c>
      <c r="H278" s="22" t="n">
        <v>69.67</v>
      </c>
      <c r="I278" s="23" t="n">
        <v>19</v>
      </c>
      <c r="J278" s="21" t="n">
        <v>5</v>
      </c>
      <c r="K278" s="21" t="n">
        <v>0</v>
      </c>
      <c r="L278" s="21" t="n">
        <v>0</v>
      </c>
      <c r="M278" s="22" t="n">
        <f aca="false">IFERROR(L278/E278*1000,0)</f>
        <v>0</v>
      </c>
      <c r="N278" s="22" t="n">
        <f aca="false">IFERROR(J278/E278*100,0)</f>
        <v>0.253678335870117</v>
      </c>
      <c r="O278" s="32" t="str">
        <f aca="false">IF(H278&lt;30,"00-30",IF(H278&lt;40,"30-40",IF(H278&lt;50,"40-50",IF(H278&lt;60,"50-60",IF(H278&lt;70,"60-70","70+")))))</f>
        <v>60-70</v>
      </c>
      <c r="P278" s="37" t="n">
        <f aca="false">IFERROR(VALUE(SUBSTITUTE(B278,"-","")),0)</f>
        <v>20260817</v>
      </c>
    </row>
    <row r="279" customFormat="false" ht="15" hidden="false" customHeight="false" outlineLevel="0" collapsed="false">
      <c r="A279" s="14" t="s">
        <v>47</v>
      </c>
      <c r="B279" s="32" t="s">
        <v>133</v>
      </c>
      <c r="C279" s="7" t="s">
        <v>721</v>
      </c>
      <c r="D279" s="32" t="s">
        <v>722</v>
      </c>
      <c r="E279" s="21" t="n">
        <v>1637</v>
      </c>
      <c r="F279" s="21" t="n">
        <v>123</v>
      </c>
      <c r="G279" s="22" t="n">
        <v>0.011</v>
      </c>
      <c r="H279" s="22" t="n">
        <v>70.93</v>
      </c>
      <c r="I279" s="23" t="n">
        <v>19</v>
      </c>
      <c r="J279" s="21" t="n">
        <v>5</v>
      </c>
      <c r="K279" s="21" t="n">
        <v>0</v>
      </c>
      <c r="L279" s="21" t="n">
        <v>0</v>
      </c>
      <c r="M279" s="22" t="n">
        <f aca="false">IFERROR(L279/E279*1000,0)</f>
        <v>0</v>
      </c>
      <c r="N279" s="22" t="n">
        <f aca="false">IFERROR(J279/E279*100,0)</f>
        <v>0.30543677458766</v>
      </c>
      <c r="O279" s="32" t="str">
        <f aca="false">IF(H279&lt;30,"00-30",IF(H279&lt;40,"30-40",IF(H279&lt;50,"40-50",IF(H279&lt;60,"50-60",IF(H279&lt;70,"60-70","70+")))))</f>
        <v>70+</v>
      </c>
      <c r="P279" s="37" t="n">
        <f aca="false">IFERROR(VALUE(SUBSTITUTE(B279,"-","")),0)</f>
        <v>20260818</v>
      </c>
    </row>
    <row r="280" customFormat="false" ht="23.85" hidden="false" customHeight="false" outlineLevel="0" collapsed="false">
      <c r="A280" s="14" t="s">
        <v>47</v>
      </c>
      <c r="B280" s="32" t="s">
        <v>138</v>
      </c>
      <c r="C280" s="7" t="s">
        <v>723</v>
      </c>
      <c r="D280" s="32" t="s">
        <v>724</v>
      </c>
      <c r="E280" s="21" t="n">
        <v>1308</v>
      </c>
      <c r="F280" s="21" t="n">
        <v>90</v>
      </c>
      <c r="G280" s="22" t="n">
        <v>0</v>
      </c>
      <c r="H280" s="22" t="n">
        <v>39.17</v>
      </c>
      <c r="I280" s="23" t="n">
        <v>19</v>
      </c>
      <c r="J280" s="21" t="n">
        <v>1</v>
      </c>
      <c r="K280" s="21" t="n">
        <v>2</v>
      </c>
      <c r="L280" s="21" t="n">
        <v>0</v>
      </c>
      <c r="M280" s="22" t="n">
        <f aca="false">IFERROR(L280/E280*1000,0)</f>
        <v>0</v>
      </c>
      <c r="N280" s="22" t="n">
        <f aca="false">IFERROR(J280/E280*100,0)</f>
        <v>0.0764525993883792</v>
      </c>
      <c r="O280" s="32" t="str">
        <f aca="false">IF(H280&lt;30,"00-30",IF(H280&lt;40,"30-40",IF(H280&lt;50,"40-50",IF(H280&lt;60,"50-60",IF(H280&lt;70,"60-70","70+")))))</f>
        <v>30-40</v>
      </c>
      <c r="P280" s="37" t="n">
        <f aca="false">IFERROR(VALUE(SUBSTITUTE(B280,"-","")),0)</f>
        <v>20260819</v>
      </c>
    </row>
    <row r="281" customFormat="false" ht="15" hidden="false" customHeight="false" outlineLevel="0" collapsed="false">
      <c r="A281" s="14" t="s">
        <v>47</v>
      </c>
      <c r="B281" s="32" t="s">
        <v>143</v>
      </c>
      <c r="C281" s="14" t="s">
        <v>725</v>
      </c>
      <c r="D281" s="32" t="s">
        <v>726</v>
      </c>
      <c r="E281" s="21" t="n">
        <v>1075</v>
      </c>
      <c r="F281" s="21" t="n">
        <v>45</v>
      </c>
      <c r="G281" s="22" t="n">
        <v>0</v>
      </c>
      <c r="H281" s="22" t="n">
        <v>27.54</v>
      </c>
      <c r="I281" s="23" t="n">
        <v>19</v>
      </c>
      <c r="J281" s="21" t="n">
        <v>1</v>
      </c>
      <c r="K281" s="21" t="n">
        <v>1</v>
      </c>
      <c r="L281" s="21" t="n">
        <v>0</v>
      </c>
      <c r="M281" s="22" t="n">
        <f aca="false">IFERROR(L281/E281*1000,0)</f>
        <v>0</v>
      </c>
      <c r="N281" s="22" t="n">
        <f aca="false">IFERROR(J281/E281*100,0)</f>
        <v>0.0930232558139535</v>
      </c>
      <c r="O281" s="32" t="str">
        <f aca="false">IF(H281&lt;30,"00-30",IF(H281&lt;40,"30-40",IF(H281&lt;50,"40-50",IF(H281&lt;60,"50-60",IF(H281&lt;70,"60-70","70+")))))</f>
        <v>00-30</v>
      </c>
      <c r="P281" s="37" t="n">
        <f aca="false">IFERROR(VALUE(SUBSTITUTE(B281,"-","")),0)</f>
        <v>20260820</v>
      </c>
    </row>
    <row r="282" customFormat="false" ht="15" hidden="false" customHeight="false" outlineLevel="0" collapsed="false">
      <c r="A282" s="14" t="s">
        <v>47</v>
      </c>
      <c r="B282" s="32" t="s">
        <v>148</v>
      </c>
      <c r="C282" s="14" t="s">
        <v>727</v>
      </c>
      <c r="D282" s="32" t="s">
        <v>728</v>
      </c>
      <c r="E282" s="21" t="n">
        <v>1051</v>
      </c>
      <c r="F282" s="21" t="n">
        <v>111</v>
      </c>
      <c r="G282" s="22" t="n">
        <v>0.109</v>
      </c>
      <c r="H282" s="22" t="n">
        <v>26.7</v>
      </c>
      <c r="I282" s="23" t="n">
        <v>17</v>
      </c>
      <c r="J282" s="21" t="n">
        <v>4</v>
      </c>
      <c r="K282" s="21" t="n">
        <v>0</v>
      </c>
      <c r="L282" s="21" t="n">
        <v>2</v>
      </c>
      <c r="M282" s="22" t="n">
        <f aca="false">IFERROR(L282/E282*1000,0)</f>
        <v>1.90294957183635</v>
      </c>
      <c r="N282" s="22" t="n">
        <f aca="false">IFERROR(J282/E282*100,0)</f>
        <v>0.380589914367269</v>
      </c>
      <c r="O282" s="32" t="str">
        <f aca="false">IF(H282&lt;30,"00-30",IF(H282&lt;40,"30-40",IF(H282&lt;50,"40-50",IF(H282&lt;60,"50-60",IF(H282&lt;70,"60-70","70+")))))</f>
        <v>00-30</v>
      </c>
      <c r="P282" s="37" t="n">
        <f aca="false">IFERROR(VALUE(SUBSTITUTE(B282,"-","")),0)</f>
        <v>20260821</v>
      </c>
    </row>
    <row r="283" customFormat="false" ht="15" hidden="false" customHeight="false" outlineLevel="0" collapsed="false">
      <c r="A283" s="14" t="s">
        <v>47</v>
      </c>
      <c r="B283" s="32" t="s">
        <v>148</v>
      </c>
      <c r="C283" s="14" t="s">
        <v>729</v>
      </c>
      <c r="D283" s="32" t="s">
        <v>730</v>
      </c>
      <c r="E283" s="21" t="n">
        <v>1017</v>
      </c>
      <c r="F283" s="21" t="n">
        <v>35</v>
      </c>
      <c r="G283" s="22" t="n">
        <v>0</v>
      </c>
      <c r="H283" s="22" t="n">
        <v>23.47</v>
      </c>
      <c r="I283" s="23" t="n">
        <v>14</v>
      </c>
      <c r="J283" s="21" t="n">
        <v>3</v>
      </c>
      <c r="K283" s="21" t="n">
        <v>0</v>
      </c>
      <c r="L283" s="21" t="n">
        <v>0</v>
      </c>
      <c r="M283" s="22" t="n">
        <f aca="false">IFERROR(L283/E283*1000,0)</f>
        <v>0</v>
      </c>
      <c r="N283" s="22" t="n">
        <f aca="false">IFERROR(J283/E283*100,0)</f>
        <v>0.294985250737463</v>
      </c>
      <c r="O283" s="32" t="str">
        <f aca="false">IF(H283&lt;30,"00-30",IF(H283&lt;40,"30-40",IF(H283&lt;50,"40-50",IF(H283&lt;60,"50-60",IF(H283&lt;70,"60-70","70+")))))</f>
        <v>00-30</v>
      </c>
      <c r="P283" s="37" t="n">
        <f aca="false">IFERROR(VALUE(SUBSTITUTE(B283,"-","")),0)</f>
        <v>20260821</v>
      </c>
    </row>
    <row r="284" customFormat="false" ht="15" hidden="false" customHeight="false" outlineLevel="0" collapsed="false">
      <c r="A284" s="14" t="s">
        <v>47</v>
      </c>
      <c r="B284" s="32" t="s">
        <v>155</v>
      </c>
      <c r="C284" s="14" t="s">
        <v>731</v>
      </c>
      <c r="D284" s="32" t="s">
        <v>732</v>
      </c>
      <c r="E284" s="21" t="n">
        <v>712</v>
      </c>
      <c r="F284" s="21" t="n">
        <v>95</v>
      </c>
      <c r="G284" s="22" t="n">
        <v>0.024</v>
      </c>
      <c r="H284" s="22" t="n">
        <v>25.67</v>
      </c>
      <c r="I284" s="23" t="n">
        <v>17</v>
      </c>
      <c r="J284" s="21" t="n">
        <v>0</v>
      </c>
      <c r="K284" s="21" t="n">
        <v>0</v>
      </c>
      <c r="L284" s="21" t="n">
        <v>0</v>
      </c>
      <c r="M284" s="22" t="n">
        <f aca="false">IFERROR(L284/E284*1000,0)</f>
        <v>0</v>
      </c>
      <c r="N284" s="22" t="n">
        <f aca="false">IFERROR(J284/E284*100,0)</f>
        <v>0</v>
      </c>
      <c r="O284" s="32" t="str">
        <f aca="false">IF(H284&lt;30,"00-30",IF(H284&lt;40,"30-40",IF(H284&lt;50,"40-50",IF(H284&lt;60,"50-60",IF(H284&lt;70,"60-70","70+")))))</f>
        <v>00-30</v>
      </c>
      <c r="P284" s="37" t="n">
        <f aca="false">IFERROR(VALUE(SUBSTITUTE(B284,"-","")),0)</f>
        <v>20260822</v>
      </c>
    </row>
    <row r="285" customFormat="false" ht="15" hidden="false" customHeight="false" outlineLevel="0" collapsed="false">
      <c r="A285" s="14" t="s">
        <v>47</v>
      </c>
      <c r="B285" s="32" t="s">
        <v>161</v>
      </c>
      <c r="C285" s="14" t="s">
        <v>733</v>
      </c>
      <c r="D285" s="32" t="s">
        <v>734</v>
      </c>
      <c r="E285" s="21" t="n">
        <v>1006</v>
      </c>
      <c r="F285" s="21" t="n">
        <v>60</v>
      </c>
      <c r="G285" s="22" t="n">
        <v>0</v>
      </c>
      <c r="H285" s="22" t="n">
        <v>25.94</v>
      </c>
      <c r="I285" s="23" t="n">
        <v>19</v>
      </c>
      <c r="J285" s="21" t="n">
        <v>1</v>
      </c>
      <c r="K285" s="21" t="n">
        <v>0</v>
      </c>
      <c r="L285" s="21" t="n">
        <v>1</v>
      </c>
      <c r="M285" s="22" t="n">
        <f aca="false">IFERROR(L285/E285*1000,0)</f>
        <v>0.99403578528827</v>
      </c>
      <c r="N285" s="22" t="n">
        <f aca="false">IFERROR(J285/E285*100,0)</f>
        <v>0.099403578528827</v>
      </c>
      <c r="O285" s="32" t="str">
        <f aca="false">IF(H285&lt;30,"00-30",IF(H285&lt;40,"30-40",IF(H285&lt;50,"40-50",IF(H285&lt;60,"50-60",IF(H285&lt;70,"60-70","70+")))))</f>
        <v>00-30</v>
      </c>
      <c r="P285" s="37" t="n">
        <f aca="false">IFERROR(VALUE(SUBSTITUTE(B285,"-","")),0)</f>
        <v>20260824</v>
      </c>
    </row>
    <row r="286" customFormat="false" ht="15" hidden="false" customHeight="false" outlineLevel="0" collapsed="false">
      <c r="A286" s="14" t="s">
        <v>47</v>
      </c>
      <c r="B286" s="32" t="s">
        <v>164</v>
      </c>
      <c r="C286" s="14" t="s">
        <v>735</v>
      </c>
      <c r="D286" s="32" t="s">
        <v>736</v>
      </c>
      <c r="E286" s="21" t="n">
        <v>853</v>
      </c>
      <c r="F286" s="21" t="n">
        <v>116</v>
      </c>
      <c r="G286" s="22" t="n">
        <v>0.01</v>
      </c>
      <c r="H286" s="22" t="n">
        <v>35.88</v>
      </c>
      <c r="I286" s="23" t="n">
        <v>18</v>
      </c>
      <c r="J286" s="21" t="n">
        <v>3</v>
      </c>
      <c r="K286" s="21" t="n">
        <v>0</v>
      </c>
      <c r="L286" s="21" t="n">
        <v>0</v>
      </c>
      <c r="M286" s="22" t="n">
        <f aca="false">IFERROR(L286/E286*1000,0)</f>
        <v>0</v>
      </c>
      <c r="N286" s="22" t="n">
        <f aca="false">IFERROR(J286/E286*100,0)</f>
        <v>0.351699882766706</v>
      </c>
      <c r="O286" s="32" t="str">
        <f aca="false">IF(H286&lt;30,"00-30",IF(H286&lt;40,"30-40",IF(H286&lt;50,"40-50",IF(H286&lt;60,"50-60",IF(H286&lt;70,"60-70","70+")))))</f>
        <v>30-40</v>
      </c>
      <c r="P286" s="37" t="n">
        <f aca="false">IFERROR(VALUE(SUBSTITUTE(B286,"-","")),0)</f>
        <v>20260825</v>
      </c>
    </row>
    <row r="287" customFormat="false" ht="23.85" hidden="false" customHeight="false" outlineLevel="0" collapsed="false">
      <c r="A287" s="14" t="s">
        <v>47</v>
      </c>
      <c r="B287" s="32" t="s">
        <v>167</v>
      </c>
      <c r="C287" s="14" t="s">
        <v>737</v>
      </c>
      <c r="D287" s="32" t="s">
        <v>738</v>
      </c>
      <c r="E287" s="21" t="n">
        <v>921</v>
      </c>
      <c r="F287" s="21" t="n">
        <v>40</v>
      </c>
      <c r="G287" s="22" t="n">
        <v>0</v>
      </c>
      <c r="H287" s="22" t="n">
        <v>25</v>
      </c>
      <c r="I287" s="23" t="n">
        <v>14</v>
      </c>
      <c r="J287" s="21" t="n">
        <v>1</v>
      </c>
      <c r="K287" s="21" t="n">
        <v>0</v>
      </c>
      <c r="L287" s="21" t="n">
        <v>0</v>
      </c>
      <c r="M287" s="22" t="n">
        <f aca="false">IFERROR(L287/E287*1000,0)</f>
        <v>0</v>
      </c>
      <c r="N287" s="22" t="n">
        <f aca="false">IFERROR(J287/E287*100,0)</f>
        <v>0.1085776330076</v>
      </c>
      <c r="O287" s="32" t="str">
        <f aca="false">IF(H287&lt;30,"00-30",IF(H287&lt;40,"30-40",IF(H287&lt;50,"40-50",IF(H287&lt;60,"50-60",IF(H287&lt;70,"60-70","70+")))))</f>
        <v>00-30</v>
      </c>
      <c r="P287" s="37" t="n">
        <f aca="false">IFERROR(VALUE(SUBSTITUTE(B287,"-","")),0)</f>
        <v>20260826</v>
      </c>
    </row>
    <row r="288" customFormat="false" ht="15" hidden="false" customHeight="false" outlineLevel="0" collapsed="false">
      <c r="A288" s="14" t="s">
        <v>47</v>
      </c>
      <c r="B288" s="32" t="s">
        <v>170</v>
      </c>
      <c r="C288" s="14" t="s">
        <v>739</v>
      </c>
      <c r="D288" s="32" t="s">
        <v>740</v>
      </c>
      <c r="E288" s="21" t="n">
        <v>953</v>
      </c>
      <c r="F288" s="21" t="n">
        <v>171</v>
      </c>
      <c r="G288" s="22" t="n">
        <v>0.057</v>
      </c>
      <c r="H288" s="22" t="n">
        <v>37.03</v>
      </c>
      <c r="I288" s="23" t="n">
        <v>13</v>
      </c>
      <c r="J288" s="21" t="n">
        <v>2</v>
      </c>
      <c r="K288" s="21" t="n">
        <v>0</v>
      </c>
      <c r="L288" s="21" t="n">
        <v>1</v>
      </c>
      <c r="M288" s="22" t="n">
        <f aca="false">IFERROR(L288/E288*1000,0)</f>
        <v>1.04931794333683</v>
      </c>
      <c r="N288" s="22" t="n">
        <f aca="false">IFERROR(J288/E288*100,0)</f>
        <v>0.209863588667366</v>
      </c>
      <c r="O288" s="32" t="str">
        <f aca="false">IF(H288&lt;30,"00-30",IF(H288&lt;40,"30-40",IF(H288&lt;50,"40-50",IF(H288&lt;60,"50-60",IF(H288&lt;70,"60-70","70+")))))</f>
        <v>30-40</v>
      </c>
      <c r="P288" s="37" t="n">
        <f aca="false">IFERROR(VALUE(SUBSTITUTE(B288,"-","")),0)</f>
        <v>20260827</v>
      </c>
    </row>
    <row r="289" customFormat="false" ht="15" hidden="false" customHeight="false" outlineLevel="0" collapsed="false">
      <c r="A289" s="14" t="s">
        <v>47</v>
      </c>
      <c r="B289" s="32" t="s">
        <v>170</v>
      </c>
      <c r="C289" s="14" t="s">
        <v>741</v>
      </c>
      <c r="D289" s="32" t="s">
        <v>742</v>
      </c>
      <c r="E289" s="21" t="n">
        <v>866</v>
      </c>
      <c r="F289" s="21" t="n">
        <v>69</v>
      </c>
      <c r="G289" s="22" t="n">
        <v>0</v>
      </c>
      <c r="H289" s="22" t="n">
        <v>41.86</v>
      </c>
      <c r="I289" s="23" t="n">
        <v>16</v>
      </c>
      <c r="J289" s="21" t="n">
        <v>3</v>
      </c>
      <c r="K289" s="21" t="n">
        <v>1</v>
      </c>
      <c r="L289" s="21" t="n">
        <v>0</v>
      </c>
      <c r="M289" s="22" t="n">
        <f aca="false">IFERROR(L289/E289*1000,0)</f>
        <v>0</v>
      </c>
      <c r="N289" s="22" t="n">
        <f aca="false">IFERROR(J289/E289*100,0)</f>
        <v>0.346420323325635</v>
      </c>
      <c r="O289" s="32" t="str">
        <f aca="false">IF(H289&lt;30,"00-30",IF(H289&lt;40,"30-40",IF(H289&lt;50,"40-50",IF(H289&lt;60,"50-60",IF(H289&lt;70,"60-70","70+")))))</f>
        <v>40-50</v>
      </c>
      <c r="P289" s="37" t="n">
        <f aca="false">IFERROR(VALUE(SUBSTITUTE(B289,"-","")),0)</f>
        <v>20260827</v>
      </c>
    </row>
    <row r="290" customFormat="false" ht="15" hidden="false" customHeight="false" outlineLevel="0" collapsed="false">
      <c r="A290" s="14" t="s">
        <v>47</v>
      </c>
      <c r="B290" s="32" t="s">
        <v>175</v>
      </c>
      <c r="C290" s="14" t="s">
        <v>743</v>
      </c>
      <c r="D290" s="32" t="s">
        <v>744</v>
      </c>
      <c r="E290" s="21" t="n">
        <v>165</v>
      </c>
      <c r="F290" s="21" t="n">
        <v>37</v>
      </c>
      <c r="G290" s="22" t="n">
        <v>0</v>
      </c>
      <c r="H290" s="22" t="n">
        <v>21.62</v>
      </c>
      <c r="I290" s="23" t="n">
        <v>9</v>
      </c>
      <c r="J290" s="21" t="n">
        <v>0</v>
      </c>
      <c r="K290" s="21" t="n">
        <v>0</v>
      </c>
      <c r="L290" s="21" t="n">
        <v>0</v>
      </c>
      <c r="M290" s="22" t="n">
        <f aca="false">IFERROR(L290/E290*1000,0)</f>
        <v>0</v>
      </c>
      <c r="N290" s="22" t="n">
        <f aca="false">IFERROR(J290/E290*100,0)</f>
        <v>0</v>
      </c>
      <c r="O290" s="32" t="str">
        <f aca="false">IF(H290&lt;30,"00-30",IF(H290&lt;40,"30-40",IF(H290&lt;50,"40-50",IF(H290&lt;60,"50-60",IF(H290&lt;70,"60-70","70+")))))</f>
        <v>00-30</v>
      </c>
      <c r="P290" s="37" t="n">
        <f aca="false">IFERROR(VALUE(SUBSTITUTE(B290,"-","")),0)</f>
        <v>20260828</v>
      </c>
    </row>
    <row r="291" customFormat="false" ht="15" hidden="false" customHeight="false" outlineLevel="0" collapsed="false">
      <c r="A291" s="14" t="s">
        <v>47</v>
      </c>
      <c r="B291" s="32" t="s">
        <v>175</v>
      </c>
      <c r="C291" s="14" t="s">
        <v>745</v>
      </c>
      <c r="D291" s="32" t="s">
        <v>746</v>
      </c>
      <c r="E291" s="21" t="n">
        <v>934</v>
      </c>
      <c r="F291" s="21" t="n">
        <v>45</v>
      </c>
      <c r="G291" s="22" t="n">
        <v>0</v>
      </c>
      <c r="H291" s="22" t="n">
        <v>39.39</v>
      </c>
      <c r="I291" s="23" t="n">
        <v>18</v>
      </c>
      <c r="J291" s="21" t="n">
        <v>3</v>
      </c>
      <c r="K291" s="21" t="n">
        <v>0</v>
      </c>
      <c r="L291" s="21" t="n">
        <v>0</v>
      </c>
      <c r="M291" s="22" t="n">
        <f aca="false">IFERROR(L291/E291*1000,0)</f>
        <v>0</v>
      </c>
      <c r="N291" s="22" t="n">
        <f aca="false">IFERROR(J291/E291*100,0)</f>
        <v>0.321199143468951</v>
      </c>
      <c r="O291" s="32" t="str">
        <f aca="false">IF(H291&lt;30,"00-30",IF(H291&lt;40,"30-40",IF(H291&lt;50,"40-50",IF(H291&lt;60,"50-60",IF(H291&lt;70,"60-70","70+")))))</f>
        <v>30-40</v>
      </c>
      <c r="P291" s="37" t="n">
        <f aca="false">IFERROR(VALUE(SUBSTITUTE(B291,"-","")),0)</f>
        <v>20260828</v>
      </c>
    </row>
    <row r="292" customFormat="false" ht="23.85" hidden="false" customHeight="false" outlineLevel="0" collapsed="false">
      <c r="A292" s="14" t="s">
        <v>47</v>
      </c>
      <c r="B292" s="32" t="s">
        <v>180</v>
      </c>
      <c r="C292" s="14" t="s">
        <v>747</v>
      </c>
      <c r="D292" s="32" t="s">
        <v>748</v>
      </c>
      <c r="E292" s="21" t="n">
        <v>1046</v>
      </c>
      <c r="F292" s="21" t="n">
        <v>57</v>
      </c>
      <c r="G292" s="22" t="n">
        <v>0.025</v>
      </c>
      <c r="H292" s="22" t="n">
        <v>39.28</v>
      </c>
      <c r="I292" s="23" t="n">
        <v>18</v>
      </c>
      <c r="J292" s="21" t="n">
        <v>3</v>
      </c>
      <c r="K292" s="21" t="n">
        <v>0</v>
      </c>
      <c r="L292" s="21" t="n">
        <v>0</v>
      </c>
      <c r="M292" s="22" t="n">
        <f aca="false">IFERROR(L292/E292*1000,0)</f>
        <v>0</v>
      </c>
      <c r="N292" s="22" t="n">
        <f aca="false">IFERROR(J292/E292*100,0)</f>
        <v>0.286806883365201</v>
      </c>
      <c r="O292" s="32" t="str">
        <f aca="false">IF(H292&lt;30,"00-30",IF(H292&lt;40,"30-40",IF(H292&lt;50,"40-50",IF(H292&lt;60,"50-60",IF(H292&lt;70,"60-70","70+")))))</f>
        <v>30-40</v>
      </c>
      <c r="P292" s="37" t="n">
        <f aca="false">IFERROR(VALUE(SUBSTITUTE(B292,"-","")),0)</f>
        <v>20260829</v>
      </c>
    </row>
    <row r="293" customFormat="false" ht="15" hidden="false" customHeight="false" outlineLevel="0" collapsed="false">
      <c r="A293" s="14" t="s">
        <v>47</v>
      </c>
      <c r="B293" s="32" t="s">
        <v>183</v>
      </c>
      <c r="C293" s="14" t="s">
        <v>749</v>
      </c>
      <c r="D293" s="32" t="s">
        <v>750</v>
      </c>
      <c r="E293" s="21" t="n">
        <v>322</v>
      </c>
      <c r="F293" s="21" t="n">
        <v>61</v>
      </c>
      <c r="G293" s="22" t="n">
        <v>0.025</v>
      </c>
      <c r="H293" s="22" t="n">
        <v>31.45</v>
      </c>
      <c r="I293" s="23" t="n">
        <v>15</v>
      </c>
      <c r="J293" s="21" t="n">
        <v>0</v>
      </c>
      <c r="K293" s="21" t="n">
        <v>0</v>
      </c>
      <c r="L293" s="21" t="n">
        <v>0</v>
      </c>
      <c r="M293" s="22" t="n">
        <f aca="false">IFERROR(L293/E293*1000,0)</f>
        <v>0</v>
      </c>
      <c r="N293" s="22" t="n">
        <f aca="false">IFERROR(J293/E293*100,0)</f>
        <v>0</v>
      </c>
      <c r="O293" s="32" t="str">
        <f aca="false">IF(H293&lt;30,"00-30",IF(H293&lt;40,"30-40",IF(H293&lt;50,"40-50",IF(H293&lt;60,"50-60",IF(H293&lt;70,"60-70","70+")))))</f>
        <v>30-40</v>
      </c>
      <c r="P293" s="37" t="n">
        <f aca="false">IFERROR(VALUE(SUBSTITUTE(B293,"-","")),0)</f>
        <v>20260830</v>
      </c>
    </row>
    <row r="294" customFormat="false" ht="15" hidden="false" customHeight="false" outlineLevel="0" collapsed="false">
      <c r="A294" s="14" t="s">
        <v>47</v>
      </c>
      <c r="B294" s="32" t="s">
        <v>183</v>
      </c>
      <c r="C294" s="14" t="s">
        <v>751</v>
      </c>
      <c r="D294" s="32" t="s">
        <v>752</v>
      </c>
      <c r="E294" s="21" t="n">
        <v>1004</v>
      </c>
      <c r="F294" s="21" t="n">
        <v>59</v>
      </c>
      <c r="G294" s="22" t="n">
        <v>0.029</v>
      </c>
      <c r="H294" s="22" t="n">
        <v>41.03</v>
      </c>
      <c r="I294" s="23" t="n">
        <v>20</v>
      </c>
      <c r="J294" s="21" t="n">
        <v>2</v>
      </c>
      <c r="K294" s="21" t="n">
        <v>0</v>
      </c>
      <c r="L294" s="21" t="n">
        <v>0</v>
      </c>
      <c r="M294" s="22" t="n">
        <f aca="false">IFERROR(L294/E294*1000,0)</f>
        <v>0</v>
      </c>
      <c r="N294" s="22" t="n">
        <f aca="false">IFERROR(J294/E294*100,0)</f>
        <v>0.199203187250996</v>
      </c>
      <c r="O294" s="32" t="str">
        <f aca="false">IF(H294&lt;30,"00-30",IF(H294&lt;40,"30-40",IF(H294&lt;50,"40-50",IF(H294&lt;60,"50-60",IF(H294&lt;70,"60-70","70+")))))</f>
        <v>40-50</v>
      </c>
      <c r="P294" s="37" t="n">
        <f aca="false">IFERROR(VALUE(SUBSTITUTE(B294,"-","")),0)</f>
        <v>20260830</v>
      </c>
    </row>
    <row r="295" customFormat="false" ht="15" hidden="false" customHeight="false" outlineLevel="0" collapsed="false">
      <c r="A295" s="14" t="s">
        <v>47</v>
      </c>
      <c r="B295" s="32" t="s">
        <v>188</v>
      </c>
      <c r="C295" s="7" t="s">
        <v>753</v>
      </c>
      <c r="D295" s="32" t="s">
        <v>754</v>
      </c>
      <c r="E295" s="21" t="n">
        <v>884</v>
      </c>
      <c r="F295" s="21" t="n">
        <v>70</v>
      </c>
      <c r="G295" s="22" t="n">
        <v>0</v>
      </c>
      <c r="H295" s="22" t="n">
        <v>46.12</v>
      </c>
      <c r="I295" s="23" t="n">
        <v>15</v>
      </c>
      <c r="J295" s="21" t="n">
        <v>4</v>
      </c>
      <c r="K295" s="21" t="n">
        <v>0</v>
      </c>
      <c r="L295" s="21" t="n">
        <v>0</v>
      </c>
      <c r="M295" s="22" t="n">
        <f aca="false">IFERROR(L295/E295*1000,0)</f>
        <v>0</v>
      </c>
      <c r="N295" s="22" t="n">
        <f aca="false">IFERROR(J295/E295*100,0)</f>
        <v>0.452488687782806</v>
      </c>
      <c r="O295" s="32" t="str">
        <f aca="false">IF(H295&lt;30,"00-30",IF(H295&lt;40,"30-40",IF(H295&lt;50,"40-50",IF(H295&lt;60,"50-60",IF(H295&lt;70,"60-70","70+")))))</f>
        <v>40-50</v>
      </c>
      <c r="P295" s="37" t="n">
        <f aca="false">IFERROR(VALUE(SUBSTITUTE(B295,"-","")),0)</f>
        <v>20260831</v>
      </c>
    </row>
    <row r="296" customFormat="false" ht="15" hidden="false" customHeight="false" outlineLevel="0" collapsed="false">
      <c r="A296" s="14" t="s">
        <v>47</v>
      </c>
      <c r="B296" s="32" t="s">
        <v>191</v>
      </c>
      <c r="C296" s="7" t="s">
        <v>755</v>
      </c>
      <c r="D296" s="32" t="s">
        <v>756</v>
      </c>
      <c r="E296" s="21" t="n">
        <v>861</v>
      </c>
      <c r="F296" s="21" t="n">
        <v>104</v>
      </c>
      <c r="G296" s="22" t="n">
        <v>0.026</v>
      </c>
      <c r="H296" s="22" t="n">
        <v>34.03</v>
      </c>
      <c r="I296" s="23" t="n">
        <v>14</v>
      </c>
      <c r="J296" s="21" t="n">
        <v>3</v>
      </c>
      <c r="K296" s="21" t="n">
        <v>0</v>
      </c>
      <c r="L296" s="21" t="n">
        <v>1</v>
      </c>
      <c r="M296" s="22" t="n">
        <f aca="false">IFERROR(L296/E296*1000,0)</f>
        <v>1.16144018583043</v>
      </c>
      <c r="N296" s="22" t="n">
        <f aca="false">IFERROR(J296/E296*100,0)</f>
        <v>0.348432055749129</v>
      </c>
      <c r="O296" s="32" t="str">
        <f aca="false">IF(H296&lt;30,"00-30",IF(H296&lt;40,"30-40",IF(H296&lt;50,"40-50",IF(H296&lt;60,"50-60",IF(H296&lt;70,"60-70","70+")))))</f>
        <v>30-40</v>
      </c>
      <c r="P296" s="37" t="n">
        <f aca="false">IFERROR(VALUE(SUBSTITUTE(B296,"-","")),0)</f>
        <v>20260903</v>
      </c>
    </row>
    <row r="297" customFormat="false" ht="15" hidden="false" customHeight="false" outlineLevel="0" collapsed="false">
      <c r="A297" s="14" t="s">
        <v>47</v>
      </c>
      <c r="B297" s="32" t="s">
        <v>194</v>
      </c>
      <c r="C297" s="7" t="s">
        <v>757</v>
      </c>
      <c r="D297" s="32" t="s">
        <v>758</v>
      </c>
      <c r="E297" s="21" t="n">
        <v>189</v>
      </c>
      <c r="F297" s="21" t="n">
        <v>18</v>
      </c>
      <c r="G297" s="22" t="n">
        <v>0</v>
      </c>
      <c r="H297" s="22" t="n">
        <v>39.22</v>
      </c>
      <c r="I297" s="23" t="n">
        <v>16</v>
      </c>
      <c r="J297" s="21" t="n">
        <v>0</v>
      </c>
      <c r="K297" s="21" t="n">
        <v>0</v>
      </c>
      <c r="L297" s="21" t="n">
        <v>0</v>
      </c>
      <c r="M297" s="22" t="n">
        <f aca="false">IFERROR(L297/E297*1000,0)</f>
        <v>0</v>
      </c>
      <c r="N297" s="22" t="n">
        <f aca="false">IFERROR(J297/E297*100,0)</f>
        <v>0</v>
      </c>
      <c r="O297" s="32" t="str">
        <f aca="false">IF(H297&lt;30,"00-30",IF(H297&lt;40,"30-40",IF(H297&lt;50,"40-50",IF(H297&lt;60,"50-60",IF(H297&lt;70,"60-70","70+")))))</f>
        <v>30-40</v>
      </c>
      <c r="P297" s="37" t="n">
        <f aca="false">IFERROR(VALUE(SUBSTITUTE(B297,"-","")),0)</f>
        <v>20260904</v>
      </c>
    </row>
    <row r="298" customFormat="false" ht="15" hidden="false" customHeight="false" outlineLevel="0" collapsed="false">
      <c r="A298" s="14" t="s">
        <v>47</v>
      </c>
      <c r="B298" s="32" t="s">
        <v>194</v>
      </c>
      <c r="C298" s="7" t="s">
        <v>759</v>
      </c>
      <c r="D298" s="32" t="s">
        <v>760</v>
      </c>
      <c r="E298" s="21" t="n">
        <v>247</v>
      </c>
      <c r="F298" s="21" t="n">
        <v>42</v>
      </c>
      <c r="G298" s="22" t="n">
        <v>0</v>
      </c>
      <c r="H298" s="22" t="n">
        <v>46.65</v>
      </c>
      <c r="I298" s="23" t="n">
        <v>21</v>
      </c>
      <c r="J298" s="21" t="n">
        <v>0</v>
      </c>
      <c r="K298" s="21" t="n">
        <v>0</v>
      </c>
      <c r="L298" s="21" t="n">
        <v>0</v>
      </c>
      <c r="M298" s="22" t="n">
        <f aca="false">IFERROR(L298/E298*1000,0)</f>
        <v>0</v>
      </c>
      <c r="N298" s="22" t="n">
        <f aca="false">IFERROR(J298/E298*100,0)</f>
        <v>0</v>
      </c>
      <c r="O298" s="32" t="str">
        <f aca="false">IF(H298&lt;30,"00-30",IF(H298&lt;40,"30-40",IF(H298&lt;50,"40-50",IF(H298&lt;60,"50-60",IF(H298&lt;70,"60-70","70+")))))</f>
        <v>40-50</v>
      </c>
      <c r="P298" s="37" t="n">
        <f aca="false">IFERROR(VALUE(SUBSTITUTE(B298,"-","")),0)</f>
        <v>20260904</v>
      </c>
    </row>
    <row r="299" customFormat="false" ht="15" hidden="false" customHeight="false" outlineLevel="0" collapsed="false">
      <c r="A299" s="14" t="s">
        <v>47</v>
      </c>
      <c r="B299" s="32" t="s">
        <v>194</v>
      </c>
      <c r="C299" s="7" t="s">
        <v>761</v>
      </c>
      <c r="D299" s="32" t="s">
        <v>762</v>
      </c>
      <c r="E299" s="21" t="n">
        <v>996</v>
      </c>
      <c r="F299" s="21" t="n">
        <v>52</v>
      </c>
      <c r="G299" s="22" t="n">
        <v>0.036</v>
      </c>
      <c r="H299" s="22" t="n">
        <v>31.23</v>
      </c>
      <c r="I299" s="23" t="n">
        <v>11</v>
      </c>
      <c r="J299" s="21" t="n">
        <v>2</v>
      </c>
      <c r="K299" s="21" t="n">
        <v>0</v>
      </c>
      <c r="L299" s="21" t="n">
        <v>0</v>
      </c>
      <c r="M299" s="22" t="n">
        <f aca="false">IFERROR(L299/E299*1000,0)</f>
        <v>0</v>
      </c>
      <c r="N299" s="22" t="n">
        <f aca="false">IFERROR(J299/E299*100,0)</f>
        <v>0.200803212851406</v>
      </c>
      <c r="O299" s="32" t="str">
        <f aca="false">IF(H299&lt;30,"00-30",IF(H299&lt;40,"30-40",IF(H299&lt;50,"40-50",IF(H299&lt;60,"50-60",IF(H299&lt;70,"60-70","70+")))))</f>
        <v>30-40</v>
      </c>
      <c r="P299" s="37" t="n">
        <f aca="false">IFERROR(VALUE(SUBSTITUTE(B299,"-","")),0)</f>
        <v>20260904</v>
      </c>
    </row>
    <row r="300" customFormat="false" ht="15" hidden="false" customHeight="false" outlineLevel="0" collapsed="false">
      <c r="A300" s="14" t="s">
        <v>47</v>
      </c>
      <c r="B300" s="32" t="s">
        <v>201</v>
      </c>
      <c r="C300" s="7" t="s">
        <v>763</v>
      </c>
      <c r="D300" s="32" t="s">
        <v>764</v>
      </c>
      <c r="E300" s="21" t="n">
        <v>1020</v>
      </c>
      <c r="F300" s="21" t="n">
        <v>184</v>
      </c>
      <c r="G300" s="22" t="n">
        <v>0</v>
      </c>
      <c r="H300" s="22" t="n">
        <v>44.32</v>
      </c>
      <c r="I300" s="23" t="n">
        <v>17</v>
      </c>
      <c r="J300" s="21" t="n">
        <v>1</v>
      </c>
      <c r="K300" s="21" t="n">
        <v>0</v>
      </c>
      <c r="L300" s="21" t="n">
        <v>1</v>
      </c>
      <c r="M300" s="22" t="n">
        <f aca="false">IFERROR(L300/E300*1000,0)</f>
        <v>0.980392156862745</v>
      </c>
      <c r="N300" s="22" t="n">
        <f aca="false">IFERROR(J300/E300*100,0)</f>
        <v>0.0980392156862745</v>
      </c>
      <c r="O300" s="32" t="str">
        <f aca="false">IF(H300&lt;30,"00-30",IF(H300&lt;40,"30-40",IF(H300&lt;50,"40-50",IF(H300&lt;60,"50-60",IF(H300&lt;70,"60-70","70+")))))</f>
        <v>40-50</v>
      </c>
      <c r="P300" s="37" t="n">
        <f aca="false">IFERROR(VALUE(SUBSTITUTE(B300,"-","")),0)</f>
        <v>20260905</v>
      </c>
    </row>
    <row r="301" customFormat="false" ht="15" hidden="false" customHeight="false" outlineLevel="0" collapsed="false">
      <c r="A301" s="14" t="s">
        <v>47</v>
      </c>
      <c r="B301" s="32" t="s">
        <v>201</v>
      </c>
      <c r="C301" s="7" t="s">
        <v>765</v>
      </c>
      <c r="D301" s="32" t="s">
        <v>766</v>
      </c>
      <c r="E301" s="21" t="n">
        <v>935</v>
      </c>
      <c r="F301" s="21" t="n">
        <v>26</v>
      </c>
      <c r="G301" s="22" t="n">
        <v>0</v>
      </c>
      <c r="H301" s="22" t="n">
        <v>55.9</v>
      </c>
      <c r="I301" s="23" t="n">
        <v>24</v>
      </c>
      <c r="J301" s="21" t="n">
        <v>0</v>
      </c>
      <c r="K301" s="21" t="n">
        <v>0</v>
      </c>
      <c r="L301" s="21" t="n">
        <v>0</v>
      </c>
      <c r="M301" s="22" t="n">
        <f aca="false">IFERROR(L301/E301*1000,0)</f>
        <v>0</v>
      </c>
      <c r="N301" s="22" t="n">
        <f aca="false">IFERROR(J301/E301*100,0)</f>
        <v>0</v>
      </c>
      <c r="O301" s="32" t="str">
        <f aca="false">IF(H301&lt;30,"00-30",IF(H301&lt;40,"30-40",IF(H301&lt;50,"40-50",IF(H301&lt;60,"50-60",IF(H301&lt;70,"60-70","70+")))))</f>
        <v>50-60</v>
      </c>
      <c r="P301" s="37" t="n">
        <f aca="false">IFERROR(VALUE(SUBSTITUTE(B301,"-","")),0)</f>
        <v>20260905</v>
      </c>
    </row>
    <row r="302" customFormat="false" ht="15" hidden="false" customHeight="false" outlineLevel="0" collapsed="false">
      <c r="A302" s="14" t="s">
        <v>47</v>
      </c>
      <c r="B302" s="32" t="s">
        <v>201</v>
      </c>
      <c r="C302" s="7" t="s">
        <v>767</v>
      </c>
      <c r="D302" s="32" t="s">
        <v>768</v>
      </c>
      <c r="E302" s="21" t="n">
        <v>942</v>
      </c>
      <c r="F302" s="21" t="n">
        <v>87</v>
      </c>
      <c r="G302" s="22" t="n">
        <v>0.018</v>
      </c>
      <c r="H302" s="22" t="n">
        <v>43.38</v>
      </c>
      <c r="I302" s="23" t="n">
        <v>16</v>
      </c>
      <c r="J302" s="21" t="n">
        <v>2</v>
      </c>
      <c r="K302" s="21" t="n">
        <v>0</v>
      </c>
      <c r="L302" s="21" t="n">
        <v>1</v>
      </c>
      <c r="M302" s="22" t="n">
        <f aca="false">IFERROR(L302/E302*1000,0)</f>
        <v>1.06157112526539</v>
      </c>
      <c r="N302" s="22" t="n">
        <f aca="false">IFERROR(J302/E302*100,0)</f>
        <v>0.212314225053079</v>
      </c>
      <c r="O302" s="32" t="str">
        <f aca="false">IF(H302&lt;30,"00-30",IF(H302&lt;40,"30-40",IF(H302&lt;50,"40-50",IF(H302&lt;60,"50-60",IF(H302&lt;70,"60-70","70+")))))</f>
        <v>40-50</v>
      </c>
      <c r="P302" s="37" t="n">
        <f aca="false">IFERROR(VALUE(SUBSTITUTE(B302,"-","")),0)</f>
        <v>20260905</v>
      </c>
    </row>
    <row r="303" customFormat="false" ht="15" hidden="false" customHeight="false" outlineLevel="0" collapsed="false">
      <c r="A303" s="14" t="s">
        <v>47</v>
      </c>
      <c r="B303" s="32" t="s">
        <v>208</v>
      </c>
      <c r="C303" s="14" t="s">
        <v>769</v>
      </c>
      <c r="D303" s="32" t="s">
        <v>770</v>
      </c>
      <c r="E303" s="21" t="n">
        <v>346</v>
      </c>
      <c r="F303" s="21" t="n">
        <v>57</v>
      </c>
      <c r="G303" s="22" t="n">
        <v>0.2</v>
      </c>
      <c r="H303" s="22" t="n">
        <v>28.28</v>
      </c>
      <c r="I303" s="23" t="n">
        <v>12</v>
      </c>
      <c r="J303" s="21" t="n">
        <v>2</v>
      </c>
      <c r="K303" s="21" t="n">
        <v>0</v>
      </c>
      <c r="L303" s="21" t="n">
        <v>0</v>
      </c>
      <c r="M303" s="22" t="n">
        <f aca="false">IFERROR(L303/E303*1000,0)</f>
        <v>0</v>
      </c>
      <c r="N303" s="22" t="n">
        <f aca="false">IFERROR(J303/E303*100,0)</f>
        <v>0.578034682080925</v>
      </c>
      <c r="O303" s="32" t="str">
        <f aca="false">IF(H303&lt;30,"00-30",IF(H303&lt;40,"30-40",IF(H303&lt;50,"40-50",IF(H303&lt;60,"50-60",IF(H303&lt;70,"60-70","70+")))))</f>
        <v>00-30</v>
      </c>
      <c r="P303" s="37" t="n">
        <f aca="false">IFERROR(VALUE(SUBSTITUTE(B303,"-","")),0)</f>
        <v>20260906</v>
      </c>
    </row>
    <row r="304" customFormat="false" ht="15" hidden="false" customHeight="false" outlineLevel="0" collapsed="false">
      <c r="A304" s="14" t="s">
        <v>46</v>
      </c>
      <c r="B304" s="32" t="s">
        <v>327</v>
      </c>
      <c r="C304" s="7" t="s">
        <v>771</v>
      </c>
      <c r="D304" s="32" t="s">
        <v>772</v>
      </c>
      <c r="E304" s="21" t="n">
        <v>1226</v>
      </c>
      <c r="F304" s="21" t="n">
        <v>0</v>
      </c>
      <c r="G304" s="22" t="n">
        <v>0</v>
      </c>
      <c r="H304" s="22" t="n">
        <v>52.08</v>
      </c>
      <c r="I304" s="23" t="n">
        <v>14</v>
      </c>
      <c r="J304" s="21" t="n">
        <v>8</v>
      </c>
      <c r="K304" s="21" t="n">
        <v>0</v>
      </c>
      <c r="L304" s="21" t="n">
        <v>0</v>
      </c>
      <c r="M304" s="22" t="n">
        <f aca="false">IFERROR(L304/E304*1000,0)</f>
        <v>0</v>
      </c>
      <c r="N304" s="22" t="n">
        <f aca="false">IFERROR(J304/E304*100,0)</f>
        <v>0.65252854812398</v>
      </c>
      <c r="O304" s="32" t="str">
        <f aca="false">IF(H304&lt;30,"00-30",IF(H304&lt;40,"30-40",IF(H304&lt;50,"40-50",IF(H304&lt;60,"50-60",IF(H304&lt;70,"60-70","70+")))))</f>
        <v>50-60</v>
      </c>
      <c r="P304" s="37" t="n">
        <f aca="false">IFERROR(VALUE(SUBSTITUTE(B304,"-","")),0)</f>
        <v>20260625</v>
      </c>
    </row>
    <row r="305" customFormat="false" ht="15" hidden="false" customHeight="false" outlineLevel="0" collapsed="false">
      <c r="A305" s="14" t="s">
        <v>46</v>
      </c>
      <c r="B305" s="32" t="s">
        <v>327</v>
      </c>
      <c r="C305" s="14" t="s">
        <v>773</v>
      </c>
      <c r="D305" s="32" t="s">
        <v>774</v>
      </c>
      <c r="E305" s="21" t="n">
        <v>1113</v>
      </c>
      <c r="F305" s="21" t="n">
        <v>0</v>
      </c>
      <c r="G305" s="22" t="n">
        <v>0</v>
      </c>
      <c r="H305" s="22" t="n">
        <v>43.32</v>
      </c>
      <c r="I305" s="23" t="n">
        <v>17</v>
      </c>
      <c r="J305" s="21" t="n">
        <v>1</v>
      </c>
      <c r="K305" s="21" t="n">
        <v>0</v>
      </c>
      <c r="L305" s="21" t="n">
        <v>0</v>
      </c>
      <c r="M305" s="22" t="n">
        <f aca="false">IFERROR(L305/E305*1000,0)</f>
        <v>0</v>
      </c>
      <c r="N305" s="22" t="n">
        <f aca="false">IFERROR(J305/E305*100,0)</f>
        <v>0.0898472596585804</v>
      </c>
      <c r="O305" s="32" t="str">
        <f aca="false">IF(H305&lt;30,"00-30",IF(H305&lt;40,"30-40",IF(H305&lt;50,"40-50",IF(H305&lt;60,"50-60",IF(H305&lt;70,"60-70","70+")))))</f>
        <v>40-50</v>
      </c>
      <c r="P305" s="37" t="n">
        <f aca="false">IFERROR(VALUE(SUBSTITUTE(B305,"-","")),0)</f>
        <v>20260625</v>
      </c>
    </row>
    <row r="306" customFormat="false" ht="15" hidden="false" customHeight="false" outlineLevel="0" collapsed="false">
      <c r="A306" s="14" t="s">
        <v>46</v>
      </c>
      <c r="B306" s="32" t="s">
        <v>332</v>
      </c>
      <c r="C306" s="7" t="s">
        <v>775</v>
      </c>
      <c r="D306" s="32" t="s">
        <v>776</v>
      </c>
      <c r="E306" s="21" t="n">
        <v>428</v>
      </c>
      <c r="F306" s="21" t="n">
        <v>0</v>
      </c>
      <c r="G306" s="22" t="n">
        <v>0</v>
      </c>
      <c r="H306" s="22" t="n">
        <v>59.23</v>
      </c>
      <c r="I306" s="23" t="n">
        <v>18</v>
      </c>
      <c r="J306" s="21" t="n">
        <v>2</v>
      </c>
      <c r="K306" s="21" t="n">
        <v>0</v>
      </c>
      <c r="L306" s="21" t="n">
        <v>0</v>
      </c>
      <c r="M306" s="22" t="n">
        <f aca="false">IFERROR(L306/E306*1000,0)</f>
        <v>0</v>
      </c>
      <c r="N306" s="22" t="n">
        <f aca="false">IFERROR(J306/E306*100,0)</f>
        <v>0.467289719626168</v>
      </c>
      <c r="O306" s="32" t="str">
        <f aca="false">IF(H306&lt;30,"00-30",IF(H306&lt;40,"30-40",IF(H306&lt;50,"40-50",IF(H306&lt;60,"50-60",IF(H306&lt;70,"60-70","70+")))))</f>
        <v>50-60</v>
      </c>
      <c r="P306" s="37" t="n">
        <f aca="false">IFERROR(VALUE(SUBSTITUTE(B306,"-","")),0)</f>
        <v>20260626</v>
      </c>
    </row>
    <row r="307" customFormat="false" ht="15" hidden="false" customHeight="false" outlineLevel="0" collapsed="false">
      <c r="A307" s="14" t="s">
        <v>46</v>
      </c>
      <c r="B307" s="32" t="s">
        <v>332</v>
      </c>
      <c r="C307" s="7" t="s">
        <v>777</v>
      </c>
      <c r="D307" s="32" t="s">
        <v>778</v>
      </c>
      <c r="E307" s="21" t="n">
        <v>278</v>
      </c>
      <c r="F307" s="21" t="n">
        <v>0</v>
      </c>
      <c r="G307" s="22" t="n">
        <v>0</v>
      </c>
      <c r="H307" s="22" t="n">
        <v>44.86</v>
      </c>
      <c r="I307" s="23" t="n">
        <v>16</v>
      </c>
      <c r="J307" s="21" t="n">
        <v>0</v>
      </c>
      <c r="K307" s="21" t="n">
        <v>0</v>
      </c>
      <c r="L307" s="21" t="n">
        <v>0</v>
      </c>
      <c r="M307" s="22" t="n">
        <f aca="false">IFERROR(L307/E307*1000,0)</f>
        <v>0</v>
      </c>
      <c r="N307" s="22" t="n">
        <f aca="false">IFERROR(J307/E307*100,0)</f>
        <v>0</v>
      </c>
      <c r="O307" s="32" t="str">
        <f aca="false">IF(H307&lt;30,"00-30",IF(H307&lt;40,"30-40",IF(H307&lt;50,"40-50",IF(H307&lt;60,"50-60",IF(H307&lt;70,"60-70","70+")))))</f>
        <v>40-50</v>
      </c>
      <c r="P307" s="37" t="n">
        <f aca="false">IFERROR(VALUE(SUBSTITUTE(B307,"-","")),0)</f>
        <v>20260626</v>
      </c>
    </row>
    <row r="308" customFormat="false" ht="15" hidden="false" customHeight="false" outlineLevel="0" collapsed="false">
      <c r="A308" s="14" t="s">
        <v>46</v>
      </c>
      <c r="B308" s="32" t="s">
        <v>339</v>
      </c>
      <c r="C308" s="14" t="s">
        <v>779</v>
      </c>
      <c r="D308" s="32" t="s">
        <v>780</v>
      </c>
      <c r="E308" s="21" t="n">
        <v>25</v>
      </c>
      <c r="F308" s="21" t="n">
        <v>0</v>
      </c>
      <c r="G308" s="22" t="n">
        <v>0</v>
      </c>
      <c r="H308" s="22" t="n">
        <v>45.57</v>
      </c>
      <c r="I308" s="23" t="n">
        <v>15</v>
      </c>
      <c r="J308" s="21" t="n">
        <v>1</v>
      </c>
      <c r="K308" s="21" t="n">
        <v>0</v>
      </c>
      <c r="L308" s="21" t="n">
        <v>0</v>
      </c>
      <c r="M308" s="22" t="n">
        <f aca="false">IFERROR(L308/E308*1000,0)</f>
        <v>0</v>
      </c>
      <c r="N308" s="22" t="n">
        <f aca="false">IFERROR(J308/E308*100,0)</f>
        <v>4</v>
      </c>
      <c r="O308" s="32" t="str">
        <f aca="false">IF(H308&lt;30,"00-30",IF(H308&lt;40,"30-40",IF(H308&lt;50,"40-50",IF(H308&lt;60,"50-60",IF(H308&lt;70,"60-70","70+")))))</f>
        <v>40-50</v>
      </c>
      <c r="P308" s="37" t="n">
        <f aca="false">IFERROR(VALUE(SUBSTITUTE(B308,"-","")),0)</f>
        <v>20260627</v>
      </c>
    </row>
    <row r="309" customFormat="false" ht="15" hidden="false" customHeight="false" outlineLevel="0" collapsed="false">
      <c r="A309" s="14" t="s">
        <v>46</v>
      </c>
      <c r="B309" s="32" t="s">
        <v>339</v>
      </c>
      <c r="C309" s="7" t="s">
        <v>781</v>
      </c>
      <c r="D309" s="32" t="s">
        <v>782</v>
      </c>
      <c r="E309" s="21" t="n">
        <v>325</v>
      </c>
      <c r="F309" s="21" t="n">
        <v>0</v>
      </c>
      <c r="G309" s="22" t="n">
        <v>0</v>
      </c>
      <c r="H309" s="22" t="n">
        <v>67.92</v>
      </c>
      <c r="I309" s="23" t="n">
        <v>21</v>
      </c>
      <c r="J309" s="21" t="n">
        <v>1</v>
      </c>
      <c r="K309" s="21" t="n">
        <v>0</v>
      </c>
      <c r="L309" s="21" t="n">
        <v>0</v>
      </c>
      <c r="M309" s="22" t="n">
        <f aca="false">IFERROR(L309/E309*1000,0)</f>
        <v>0</v>
      </c>
      <c r="N309" s="22" t="n">
        <f aca="false">IFERROR(J309/E309*100,0)</f>
        <v>0.307692307692308</v>
      </c>
      <c r="O309" s="32" t="str">
        <f aca="false">IF(H309&lt;30,"00-30",IF(H309&lt;40,"30-40",IF(H309&lt;50,"40-50",IF(H309&lt;60,"50-60",IF(H309&lt;70,"60-70","70+")))))</f>
        <v>60-70</v>
      </c>
      <c r="P309" s="37" t="n">
        <f aca="false">IFERROR(VALUE(SUBSTITUTE(B309,"-","")),0)</f>
        <v>20260627</v>
      </c>
    </row>
    <row r="310" customFormat="false" ht="15" hidden="false" customHeight="false" outlineLevel="0" collapsed="false">
      <c r="A310" s="14" t="s">
        <v>46</v>
      </c>
      <c r="B310" s="32" t="s">
        <v>339</v>
      </c>
      <c r="C310" s="7" t="s">
        <v>783</v>
      </c>
      <c r="D310" s="32" t="s">
        <v>784</v>
      </c>
      <c r="E310" s="21" t="n">
        <v>833</v>
      </c>
      <c r="F310" s="21" t="n">
        <v>0</v>
      </c>
      <c r="G310" s="22" t="n">
        <v>0</v>
      </c>
      <c r="H310" s="22" t="n">
        <v>58.57</v>
      </c>
      <c r="I310" s="23" t="n">
        <v>16</v>
      </c>
      <c r="J310" s="21" t="n">
        <v>6</v>
      </c>
      <c r="K310" s="21" t="n">
        <v>0</v>
      </c>
      <c r="L310" s="21" t="n">
        <v>1</v>
      </c>
      <c r="M310" s="22" t="n">
        <f aca="false">IFERROR(L310/E310*1000,0)</f>
        <v>1.20048019207683</v>
      </c>
      <c r="N310" s="22" t="n">
        <f aca="false">IFERROR(J310/E310*100,0)</f>
        <v>0.720288115246099</v>
      </c>
      <c r="O310" s="32" t="str">
        <f aca="false">IF(H310&lt;30,"00-30",IF(H310&lt;40,"30-40",IF(H310&lt;50,"40-50",IF(H310&lt;60,"50-60",IF(H310&lt;70,"60-70","70+")))))</f>
        <v>50-60</v>
      </c>
      <c r="P310" s="37" t="n">
        <f aca="false">IFERROR(VALUE(SUBSTITUTE(B310,"-","")),0)</f>
        <v>20260627</v>
      </c>
    </row>
    <row r="311" customFormat="false" ht="15" hidden="false" customHeight="false" outlineLevel="0" collapsed="false">
      <c r="A311" s="14" t="s">
        <v>46</v>
      </c>
      <c r="B311" s="32" t="s">
        <v>339</v>
      </c>
      <c r="C311" s="14" t="s">
        <v>785</v>
      </c>
      <c r="D311" s="32" t="s">
        <v>786</v>
      </c>
      <c r="E311" s="21" t="n">
        <v>997</v>
      </c>
      <c r="F311" s="21" t="n">
        <v>0</v>
      </c>
      <c r="G311" s="22" t="n">
        <v>0</v>
      </c>
      <c r="H311" s="22" t="n">
        <v>46.36</v>
      </c>
      <c r="I311" s="23" t="n">
        <v>18</v>
      </c>
      <c r="J311" s="21" t="n">
        <v>5</v>
      </c>
      <c r="K311" s="21" t="n">
        <v>0</v>
      </c>
      <c r="L311" s="21" t="n">
        <v>0</v>
      </c>
      <c r="M311" s="22" t="n">
        <f aca="false">IFERROR(L311/E311*1000,0)</f>
        <v>0</v>
      </c>
      <c r="N311" s="22" t="n">
        <f aca="false">IFERROR(J311/E311*100,0)</f>
        <v>0.501504513540622</v>
      </c>
      <c r="O311" s="32" t="str">
        <f aca="false">IF(H311&lt;30,"00-30",IF(H311&lt;40,"30-40",IF(H311&lt;50,"40-50",IF(H311&lt;60,"50-60",IF(H311&lt;70,"60-70","70+")))))</f>
        <v>40-50</v>
      </c>
      <c r="P311" s="37" t="n">
        <f aca="false">IFERROR(VALUE(SUBSTITUTE(B311,"-","")),0)</f>
        <v>20260627</v>
      </c>
    </row>
    <row r="312" customFormat="false" ht="15" hidden="false" customHeight="false" outlineLevel="0" collapsed="false">
      <c r="A312" s="14" t="s">
        <v>46</v>
      </c>
      <c r="B312" s="32" t="s">
        <v>348</v>
      </c>
      <c r="C312" s="7" t="s">
        <v>787</v>
      </c>
      <c r="D312" s="32" t="s">
        <v>788</v>
      </c>
      <c r="E312" s="21" t="n">
        <v>1286</v>
      </c>
      <c r="F312" s="21" t="n">
        <v>0</v>
      </c>
      <c r="G312" s="22" t="n">
        <v>0</v>
      </c>
      <c r="H312" s="22" t="n">
        <v>52.51</v>
      </c>
      <c r="I312" s="23" t="n">
        <v>17</v>
      </c>
      <c r="J312" s="21" t="n">
        <v>7</v>
      </c>
      <c r="K312" s="21" t="n">
        <v>0</v>
      </c>
      <c r="L312" s="21" t="n">
        <v>0</v>
      </c>
      <c r="M312" s="22" t="n">
        <f aca="false">IFERROR(L312/E312*1000,0)</f>
        <v>0</v>
      </c>
      <c r="N312" s="22" t="n">
        <f aca="false">IFERROR(J312/E312*100,0)</f>
        <v>0.544323483670296</v>
      </c>
      <c r="O312" s="32" t="str">
        <f aca="false">IF(H312&lt;30,"00-30",IF(H312&lt;40,"30-40",IF(H312&lt;50,"40-50",IF(H312&lt;60,"50-60",IF(H312&lt;70,"60-70","70+")))))</f>
        <v>50-60</v>
      </c>
      <c r="P312" s="37" t="n">
        <f aca="false">IFERROR(VALUE(SUBSTITUTE(B312,"-","")),0)</f>
        <v>20260628</v>
      </c>
    </row>
    <row r="313" customFormat="false" ht="15" hidden="false" customHeight="false" outlineLevel="0" collapsed="false">
      <c r="A313" s="14" t="s">
        <v>46</v>
      </c>
      <c r="B313" s="32" t="s">
        <v>348</v>
      </c>
      <c r="C313" s="14" t="s">
        <v>789</v>
      </c>
      <c r="D313" s="32" t="s">
        <v>790</v>
      </c>
      <c r="E313" s="21" t="n">
        <v>1053</v>
      </c>
      <c r="F313" s="21" t="n">
        <v>0</v>
      </c>
      <c r="G313" s="22" t="n">
        <v>0</v>
      </c>
      <c r="H313" s="22" t="n">
        <v>45.5</v>
      </c>
      <c r="I313" s="23" t="n">
        <v>15</v>
      </c>
      <c r="J313" s="21" t="n">
        <v>5</v>
      </c>
      <c r="K313" s="21" t="n">
        <v>0</v>
      </c>
      <c r="L313" s="21" t="n">
        <v>1</v>
      </c>
      <c r="M313" s="22" t="n">
        <f aca="false">IFERROR(L313/E313*1000,0)</f>
        <v>0.949667616334283</v>
      </c>
      <c r="N313" s="22" t="n">
        <f aca="false">IFERROR(J313/E313*100,0)</f>
        <v>0.474833808167142</v>
      </c>
      <c r="O313" s="32" t="str">
        <f aca="false">IF(H313&lt;30,"00-30",IF(H313&lt;40,"30-40",IF(H313&lt;50,"40-50",IF(H313&lt;60,"50-60",IF(H313&lt;70,"60-70","70+")))))</f>
        <v>40-50</v>
      </c>
      <c r="P313" s="37" t="n">
        <f aca="false">IFERROR(VALUE(SUBSTITUTE(B313,"-","")),0)</f>
        <v>20260628</v>
      </c>
    </row>
    <row r="314" customFormat="false" ht="15" hidden="false" customHeight="false" outlineLevel="0" collapsed="false">
      <c r="A314" s="14" t="s">
        <v>46</v>
      </c>
      <c r="B314" s="32" t="s">
        <v>348</v>
      </c>
      <c r="C314" s="7" t="s">
        <v>791</v>
      </c>
      <c r="D314" s="32" t="s">
        <v>792</v>
      </c>
      <c r="E314" s="21" t="n">
        <v>1126</v>
      </c>
      <c r="F314" s="21" t="n">
        <v>0</v>
      </c>
      <c r="G314" s="22" t="n">
        <v>0</v>
      </c>
      <c r="H314" s="22" t="n">
        <v>43.6</v>
      </c>
      <c r="I314" s="23" t="n">
        <v>16</v>
      </c>
      <c r="J314" s="21" t="n">
        <v>3</v>
      </c>
      <c r="K314" s="21" t="n">
        <v>0</v>
      </c>
      <c r="L314" s="21" t="n">
        <v>1</v>
      </c>
      <c r="M314" s="22" t="n">
        <f aca="false">IFERROR(L314/E314*1000,0)</f>
        <v>0.88809946714032</v>
      </c>
      <c r="N314" s="22" t="n">
        <f aca="false">IFERROR(J314/E314*100,0)</f>
        <v>0.266429840142096</v>
      </c>
      <c r="O314" s="32" t="str">
        <f aca="false">IF(H314&lt;30,"00-30",IF(H314&lt;40,"30-40",IF(H314&lt;50,"40-50",IF(H314&lt;60,"50-60",IF(H314&lt;70,"60-70","70+")))))</f>
        <v>40-50</v>
      </c>
      <c r="P314" s="37" t="n">
        <f aca="false">IFERROR(VALUE(SUBSTITUTE(B314,"-","")),0)</f>
        <v>20260628</v>
      </c>
    </row>
    <row r="315" customFormat="false" ht="15" hidden="false" customHeight="false" outlineLevel="0" collapsed="false">
      <c r="A315" s="14" t="s">
        <v>46</v>
      </c>
      <c r="B315" s="32" t="s">
        <v>357</v>
      </c>
      <c r="C315" s="7" t="s">
        <v>793</v>
      </c>
      <c r="D315" s="32" t="s">
        <v>794</v>
      </c>
      <c r="E315" s="21" t="n">
        <v>1121</v>
      </c>
      <c r="F315" s="21" t="n">
        <v>0</v>
      </c>
      <c r="G315" s="22" t="n">
        <v>0</v>
      </c>
      <c r="H315" s="22" t="n">
        <v>43.56</v>
      </c>
      <c r="I315" s="23" t="n">
        <v>15</v>
      </c>
      <c r="J315" s="21" t="n">
        <v>3</v>
      </c>
      <c r="K315" s="21" t="n">
        <v>0</v>
      </c>
      <c r="L315" s="21" t="n">
        <v>0</v>
      </c>
      <c r="M315" s="22" t="n">
        <f aca="false">IFERROR(L315/E315*1000,0)</f>
        <v>0</v>
      </c>
      <c r="N315" s="22" t="n">
        <f aca="false">IFERROR(J315/E315*100,0)</f>
        <v>0.267618198037467</v>
      </c>
      <c r="O315" s="32" t="str">
        <f aca="false">IF(H315&lt;30,"00-30",IF(H315&lt;40,"30-40",IF(H315&lt;50,"40-50",IF(H315&lt;60,"50-60",IF(H315&lt;70,"60-70","70+")))))</f>
        <v>40-50</v>
      </c>
      <c r="P315" s="37" t="n">
        <f aca="false">IFERROR(VALUE(SUBSTITUTE(B315,"-","")),0)</f>
        <v>20260629</v>
      </c>
    </row>
    <row r="316" customFormat="false" ht="15" hidden="false" customHeight="false" outlineLevel="0" collapsed="false">
      <c r="A316" s="14" t="s">
        <v>46</v>
      </c>
      <c r="B316" s="32" t="s">
        <v>357</v>
      </c>
      <c r="C316" s="14" t="s">
        <v>795</v>
      </c>
      <c r="D316" s="32" t="s">
        <v>796</v>
      </c>
      <c r="E316" s="21" t="n">
        <v>1066</v>
      </c>
      <c r="F316" s="21" t="n">
        <v>0</v>
      </c>
      <c r="G316" s="22" t="n">
        <v>0</v>
      </c>
      <c r="H316" s="22" t="n">
        <v>50.19</v>
      </c>
      <c r="I316" s="23" t="n">
        <v>16</v>
      </c>
      <c r="J316" s="21" t="n">
        <v>6</v>
      </c>
      <c r="K316" s="21" t="n">
        <v>0</v>
      </c>
      <c r="L316" s="21" t="n">
        <v>1</v>
      </c>
      <c r="M316" s="22" t="n">
        <f aca="false">IFERROR(L316/E316*1000,0)</f>
        <v>0.938086303939963</v>
      </c>
      <c r="N316" s="22" t="n">
        <f aca="false">IFERROR(J316/E316*100,0)</f>
        <v>0.562851782363978</v>
      </c>
      <c r="O316" s="32" t="str">
        <f aca="false">IF(H316&lt;30,"00-30",IF(H316&lt;40,"30-40",IF(H316&lt;50,"40-50",IF(H316&lt;60,"50-60",IF(H316&lt;70,"60-70","70+")))))</f>
        <v>50-60</v>
      </c>
      <c r="P316" s="37" t="n">
        <f aca="false">IFERROR(VALUE(SUBSTITUTE(B316,"-","")),0)</f>
        <v>20260629</v>
      </c>
    </row>
    <row r="317" customFormat="false" ht="15" hidden="false" customHeight="false" outlineLevel="0" collapsed="false">
      <c r="A317" s="14" t="s">
        <v>46</v>
      </c>
      <c r="B317" s="32" t="s">
        <v>357</v>
      </c>
      <c r="C317" s="7" t="s">
        <v>797</v>
      </c>
      <c r="D317" s="32" t="s">
        <v>798</v>
      </c>
      <c r="E317" s="21" t="n">
        <v>1205</v>
      </c>
      <c r="F317" s="21" t="n">
        <v>0</v>
      </c>
      <c r="G317" s="22" t="n">
        <v>0</v>
      </c>
      <c r="H317" s="22" t="n">
        <v>46.64</v>
      </c>
      <c r="I317" s="23" t="n">
        <v>17</v>
      </c>
      <c r="J317" s="21" t="n">
        <v>6</v>
      </c>
      <c r="K317" s="21" t="n">
        <v>0</v>
      </c>
      <c r="L317" s="21" t="n">
        <v>1</v>
      </c>
      <c r="M317" s="22" t="n">
        <f aca="false">IFERROR(L317/E317*1000,0)</f>
        <v>0.829875518672199</v>
      </c>
      <c r="N317" s="22" t="n">
        <f aca="false">IFERROR(J317/E317*100,0)</f>
        <v>0.497925311203319</v>
      </c>
      <c r="O317" s="32" t="str">
        <f aca="false">IF(H317&lt;30,"00-30",IF(H317&lt;40,"30-40",IF(H317&lt;50,"40-50",IF(H317&lt;60,"50-60",IF(H317&lt;70,"60-70","70+")))))</f>
        <v>40-50</v>
      </c>
      <c r="P317" s="37" t="n">
        <f aca="false">IFERROR(VALUE(SUBSTITUTE(B317,"-","")),0)</f>
        <v>20260629</v>
      </c>
    </row>
    <row r="318" customFormat="false" ht="23.85" hidden="false" customHeight="false" outlineLevel="0" collapsed="false">
      <c r="A318" s="14" t="s">
        <v>46</v>
      </c>
      <c r="B318" s="32" t="s">
        <v>357</v>
      </c>
      <c r="C318" s="14" t="s">
        <v>799</v>
      </c>
      <c r="D318" s="32" t="s">
        <v>800</v>
      </c>
      <c r="E318" s="21" t="n">
        <v>24</v>
      </c>
      <c r="F318" s="21" t="n">
        <v>0</v>
      </c>
      <c r="G318" s="22" t="n">
        <v>0</v>
      </c>
      <c r="H318" s="22" t="n">
        <v>49.7</v>
      </c>
      <c r="I318" s="23" t="n">
        <v>19</v>
      </c>
      <c r="J318" s="21" t="n">
        <v>0</v>
      </c>
      <c r="K318" s="21" t="n">
        <v>0</v>
      </c>
      <c r="L318" s="21" t="n">
        <v>0</v>
      </c>
      <c r="M318" s="22" t="n">
        <f aca="false">IFERROR(L318/E318*1000,0)</f>
        <v>0</v>
      </c>
      <c r="N318" s="22" t="n">
        <f aca="false">IFERROR(J318/E318*100,0)</f>
        <v>0</v>
      </c>
      <c r="O318" s="32" t="str">
        <f aca="false">IF(H318&lt;30,"00-30",IF(H318&lt;40,"30-40",IF(H318&lt;50,"40-50",IF(H318&lt;60,"50-60",IF(H318&lt;70,"60-70","70+")))))</f>
        <v>40-50</v>
      </c>
      <c r="P318" s="37" t="n">
        <f aca="false">IFERROR(VALUE(SUBSTITUTE(B318,"-","")),0)</f>
        <v>20260629</v>
      </c>
    </row>
    <row r="319" customFormat="false" ht="15" hidden="false" customHeight="false" outlineLevel="0" collapsed="false">
      <c r="A319" s="14" t="s">
        <v>46</v>
      </c>
      <c r="B319" s="32" t="s">
        <v>366</v>
      </c>
      <c r="C319" s="7" t="s">
        <v>801</v>
      </c>
      <c r="D319" s="32" t="s">
        <v>802</v>
      </c>
      <c r="E319" s="21" t="n">
        <v>269</v>
      </c>
      <c r="F319" s="21" t="n">
        <v>0</v>
      </c>
      <c r="G319" s="22" t="n">
        <v>0</v>
      </c>
      <c r="H319" s="22" t="n">
        <v>45.95</v>
      </c>
      <c r="I319" s="23" t="n">
        <v>14</v>
      </c>
      <c r="J319" s="21" t="n">
        <v>0</v>
      </c>
      <c r="K319" s="21" t="n">
        <v>0</v>
      </c>
      <c r="L319" s="21" t="n">
        <v>0</v>
      </c>
      <c r="M319" s="22" t="n">
        <f aca="false">IFERROR(L319/E319*1000,0)</f>
        <v>0</v>
      </c>
      <c r="N319" s="22" t="n">
        <f aca="false">IFERROR(J319/E319*100,0)</f>
        <v>0</v>
      </c>
      <c r="O319" s="32" t="str">
        <f aca="false">IF(H319&lt;30,"00-30",IF(H319&lt;40,"30-40",IF(H319&lt;50,"40-50",IF(H319&lt;60,"50-60",IF(H319&lt;70,"60-70","70+")))))</f>
        <v>40-50</v>
      </c>
      <c r="P319" s="37" t="n">
        <f aca="false">IFERROR(VALUE(SUBSTITUTE(B319,"-","")),0)</f>
        <v>20260630</v>
      </c>
    </row>
    <row r="320" customFormat="false" ht="15" hidden="false" customHeight="false" outlineLevel="0" collapsed="false">
      <c r="A320" s="14" t="s">
        <v>46</v>
      </c>
      <c r="B320" s="32" t="s">
        <v>366</v>
      </c>
      <c r="C320" s="7" t="s">
        <v>803</v>
      </c>
      <c r="D320" s="32" t="s">
        <v>804</v>
      </c>
      <c r="E320" s="21" t="n">
        <v>1133</v>
      </c>
      <c r="F320" s="21" t="n">
        <v>0</v>
      </c>
      <c r="G320" s="22" t="n">
        <v>0</v>
      </c>
      <c r="H320" s="22" t="n">
        <v>45.13</v>
      </c>
      <c r="I320" s="23" t="n">
        <v>17</v>
      </c>
      <c r="J320" s="21" t="n">
        <v>6</v>
      </c>
      <c r="K320" s="21" t="n">
        <v>0</v>
      </c>
      <c r="L320" s="21" t="n">
        <v>3</v>
      </c>
      <c r="M320" s="22" t="n">
        <f aca="false">IFERROR(L320/E320*1000,0)</f>
        <v>2.64783759929391</v>
      </c>
      <c r="N320" s="22" t="n">
        <f aca="false">IFERROR(J320/E320*100,0)</f>
        <v>0.529567519858782</v>
      </c>
      <c r="O320" s="32" t="str">
        <f aca="false">IF(H320&lt;30,"00-30",IF(H320&lt;40,"30-40",IF(H320&lt;50,"40-50",IF(H320&lt;60,"50-60",IF(H320&lt;70,"60-70","70+")))))</f>
        <v>40-50</v>
      </c>
      <c r="P320" s="37" t="n">
        <f aca="false">IFERROR(VALUE(SUBSTITUTE(B320,"-","")),0)</f>
        <v>20260630</v>
      </c>
    </row>
    <row r="321" customFormat="false" ht="15" hidden="false" customHeight="false" outlineLevel="0" collapsed="false">
      <c r="A321" s="14" t="s">
        <v>46</v>
      </c>
      <c r="B321" s="32" t="s">
        <v>371</v>
      </c>
      <c r="C321" s="14" t="s">
        <v>805</v>
      </c>
      <c r="D321" s="32" t="s">
        <v>806</v>
      </c>
      <c r="E321" s="21" t="n">
        <v>1326</v>
      </c>
      <c r="F321" s="21" t="n">
        <v>0</v>
      </c>
      <c r="G321" s="22" t="n">
        <v>0</v>
      </c>
      <c r="H321" s="22" t="n">
        <v>71.23</v>
      </c>
      <c r="I321" s="23" t="n">
        <v>22</v>
      </c>
      <c r="J321" s="21" t="n">
        <v>1</v>
      </c>
      <c r="K321" s="21" t="n">
        <v>1</v>
      </c>
      <c r="L321" s="21" t="n">
        <v>1</v>
      </c>
      <c r="M321" s="22" t="n">
        <f aca="false">IFERROR(L321/E321*1000,0)</f>
        <v>0.754147812971342</v>
      </c>
      <c r="N321" s="22" t="n">
        <f aca="false">IFERROR(J321/E321*100,0)</f>
        <v>0.0754147812971343</v>
      </c>
      <c r="O321" s="32" t="str">
        <f aca="false">IF(H321&lt;30,"00-30",IF(H321&lt;40,"30-40",IF(H321&lt;50,"40-50",IF(H321&lt;60,"50-60",IF(H321&lt;70,"60-70","70+")))))</f>
        <v>70+</v>
      </c>
      <c r="P321" s="37" t="n">
        <f aca="false">IFERROR(VALUE(SUBSTITUTE(B321,"-","")),0)</f>
        <v>20260701</v>
      </c>
    </row>
    <row r="322" customFormat="false" ht="15" hidden="false" customHeight="false" outlineLevel="0" collapsed="false">
      <c r="A322" s="14" t="s">
        <v>46</v>
      </c>
      <c r="B322" s="32" t="s">
        <v>371</v>
      </c>
      <c r="C322" s="14" t="s">
        <v>807</v>
      </c>
      <c r="D322" s="32" t="s">
        <v>808</v>
      </c>
      <c r="E322" s="21" t="n">
        <v>41</v>
      </c>
      <c r="F322" s="21" t="n">
        <v>0</v>
      </c>
      <c r="G322" s="22" t="n">
        <v>0</v>
      </c>
      <c r="H322" s="22" t="n">
        <v>52.34</v>
      </c>
      <c r="I322" s="23" t="n">
        <v>19</v>
      </c>
      <c r="J322" s="21" t="n">
        <v>2</v>
      </c>
      <c r="K322" s="21" t="n">
        <v>0</v>
      </c>
      <c r="L322" s="21" t="n">
        <v>1</v>
      </c>
      <c r="M322" s="22" t="n">
        <f aca="false">IFERROR(L322/E322*1000,0)</f>
        <v>24.390243902439</v>
      </c>
      <c r="N322" s="22" t="n">
        <f aca="false">IFERROR(J322/E322*100,0)</f>
        <v>4.87804878048781</v>
      </c>
      <c r="O322" s="32" t="str">
        <f aca="false">IF(H322&lt;30,"00-30",IF(H322&lt;40,"30-40",IF(H322&lt;50,"40-50",IF(H322&lt;60,"50-60",IF(H322&lt;70,"60-70","70+")))))</f>
        <v>50-60</v>
      </c>
      <c r="P322" s="37" t="n">
        <f aca="false">IFERROR(VALUE(SUBSTITUTE(B322,"-","")),0)</f>
        <v>20260701</v>
      </c>
    </row>
    <row r="323" customFormat="false" ht="15" hidden="false" customHeight="false" outlineLevel="0" collapsed="false">
      <c r="A323" s="14" t="s">
        <v>46</v>
      </c>
      <c r="B323" s="32" t="s">
        <v>371</v>
      </c>
      <c r="C323" s="7" t="s">
        <v>809</v>
      </c>
      <c r="D323" s="32" t="s">
        <v>810</v>
      </c>
      <c r="E323" s="21" t="n">
        <v>294</v>
      </c>
      <c r="F323" s="21" t="n">
        <v>0</v>
      </c>
      <c r="G323" s="22" t="n">
        <v>0</v>
      </c>
      <c r="H323" s="22" t="n">
        <v>84.8</v>
      </c>
      <c r="I323" s="23" t="n">
        <v>23</v>
      </c>
      <c r="J323" s="21" t="n">
        <v>1</v>
      </c>
      <c r="K323" s="21" t="n">
        <v>0</v>
      </c>
      <c r="L323" s="21" t="n">
        <v>0</v>
      </c>
      <c r="M323" s="22" t="n">
        <f aca="false">IFERROR(L323/E323*1000,0)</f>
        <v>0</v>
      </c>
      <c r="N323" s="22" t="n">
        <f aca="false">IFERROR(J323/E323*100,0)</f>
        <v>0.340136054421769</v>
      </c>
      <c r="O323" s="32" t="str">
        <f aca="false">IF(H323&lt;30,"00-30",IF(H323&lt;40,"30-40",IF(H323&lt;50,"40-50",IF(H323&lt;60,"50-60",IF(H323&lt;70,"60-70","70+")))))</f>
        <v>70+</v>
      </c>
      <c r="P323" s="37" t="n">
        <f aca="false">IFERROR(VALUE(SUBSTITUTE(B323,"-","")),0)</f>
        <v>20260701</v>
      </c>
    </row>
    <row r="324" customFormat="false" ht="15" hidden="false" customHeight="false" outlineLevel="0" collapsed="false">
      <c r="A324" s="14" t="s">
        <v>46</v>
      </c>
      <c r="B324" s="32" t="s">
        <v>371</v>
      </c>
      <c r="C324" s="7" t="s">
        <v>811</v>
      </c>
      <c r="D324" s="32" t="s">
        <v>812</v>
      </c>
      <c r="E324" s="21" t="n">
        <v>982</v>
      </c>
      <c r="F324" s="21" t="n">
        <v>0</v>
      </c>
      <c r="G324" s="22" t="n">
        <v>0</v>
      </c>
      <c r="H324" s="22" t="n">
        <v>43.61</v>
      </c>
      <c r="I324" s="23" t="n">
        <v>15</v>
      </c>
      <c r="J324" s="21" t="n">
        <v>1</v>
      </c>
      <c r="K324" s="21" t="n">
        <v>0</v>
      </c>
      <c r="L324" s="21" t="n">
        <v>1</v>
      </c>
      <c r="M324" s="22" t="n">
        <f aca="false">IFERROR(L324/E324*1000,0)</f>
        <v>1.0183299389002</v>
      </c>
      <c r="N324" s="22" t="n">
        <f aca="false">IFERROR(J324/E324*100,0)</f>
        <v>0.10183299389002</v>
      </c>
      <c r="O324" s="32" t="str">
        <f aca="false">IF(H324&lt;30,"00-30",IF(H324&lt;40,"30-40",IF(H324&lt;50,"40-50",IF(H324&lt;60,"50-60",IF(H324&lt;70,"60-70","70+")))))</f>
        <v>40-50</v>
      </c>
      <c r="P324" s="37" t="n">
        <f aca="false">IFERROR(VALUE(SUBSTITUTE(B324,"-","")),0)</f>
        <v>20260701</v>
      </c>
    </row>
    <row r="325" customFormat="false" ht="15" hidden="false" customHeight="false" outlineLevel="0" collapsed="false">
      <c r="A325" s="14" t="s">
        <v>46</v>
      </c>
      <c r="B325" s="32" t="s">
        <v>380</v>
      </c>
      <c r="C325" s="7" t="s">
        <v>813</v>
      </c>
      <c r="D325" s="32" t="s">
        <v>814</v>
      </c>
      <c r="E325" s="21" t="n">
        <v>1165</v>
      </c>
      <c r="F325" s="21" t="n">
        <v>0</v>
      </c>
      <c r="G325" s="22" t="n">
        <v>0</v>
      </c>
      <c r="H325" s="22" t="n">
        <v>51.45</v>
      </c>
      <c r="I325" s="23" t="n">
        <v>16</v>
      </c>
      <c r="J325" s="21" t="n">
        <v>10</v>
      </c>
      <c r="K325" s="21" t="n">
        <v>1</v>
      </c>
      <c r="L325" s="21" t="n">
        <v>3</v>
      </c>
      <c r="M325" s="22" t="n">
        <f aca="false">IFERROR(L325/E325*1000,0)</f>
        <v>2.57510729613734</v>
      </c>
      <c r="N325" s="22" t="n">
        <f aca="false">IFERROR(J325/E325*100,0)</f>
        <v>0.858369098712446</v>
      </c>
      <c r="O325" s="32" t="str">
        <f aca="false">IF(H325&lt;30,"00-30",IF(H325&lt;40,"30-40",IF(H325&lt;50,"40-50",IF(H325&lt;60,"50-60",IF(H325&lt;70,"60-70","70+")))))</f>
        <v>50-60</v>
      </c>
      <c r="P325" s="37" t="n">
        <f aca="false">IFERROR(VALUE(SUBSTITUTE(B325,"-","")),0)</f>
        <v>20260702</v>
      </c>
    </row>
    <row r="326" customFormat="false" ht="15" hidden="false" customHeight="false" outlineLevel="0" collapsed="false">
      <c r="A326" s="14" t="s">
        <v>46</v>
      </c>
      <c r="B326" s="32" t="s">
        <v>380</v>
      </c>
      <c r="C326" s="7" t="s">
        <v>815</v>
      </c>
      <c r="D326" s="32" t="s">
        <v>816</v>
      </c>
      <c r="E326" s="21" t="n">
        <v>1197</v>
      </c>
      <c r="F326" s="21" t="n">
        <v>0</v>
      </c>
      <c r="G326" s="22" t="n">
        <v>0</v>
      </c>
      <c r="H326" s="22" t="n">
        <v>47.81</v>
      </c>
      <c r="I326" s="23" t="n">
        <v>16</v>
      </c>
      <c r="J326" s="21" t="n">
        <v>6</v>
      </c>
      <c r="K326" s="21" t="n">
        <v>1</v>
      </c>
      <c r="L326" s="21" t="n">
        <v>1</v>
      </c>
      <c r="M326" s="22" t="n">
        <f aca="false">IFERROR(L326/E326*1000,0)</f>
        <v>0.835421888053467</v>
      </c>
      <c r="N326" s="22" t="n">
        <f aca="false">IFERROR(J326/E326*100,0)</f>
        <v>0.50125313283208</v>
      </c>
      <c r="O326" s="32" t="str">
        <f aca="false">IF(H326&lt;30,"00-30",IF(H326&lt;40,"30-40",IF(H326&lt;50,"40-50",IF(H326&lt;60,"50-60",IF(H326&lt;70,"60-70","70+")))))</f>
        <v>40-50</v>
      </c>
      <c r="P326" s="37" t="n">
        <f aca="false">IFERROR(VALUE(SUBSTITUTE(B326,"-","")),0)</f>
        <v>20260702</v>
      </c>
    </row>
    <row r="327" customFormat="false" ht="15" hidden="false" customHeight="false" outlineLevel="0" collapsed="false">
      <c r="A327" s="14" t="s">
        <v>46</v>
      </c>
      <c r="B327" s="32" t="s">
        <v>380</v>
      </c>
      <c r="C327" s="14" t="s">
        <v>817</v>
      </c>
      <c r="D327" s="32" t="s">
        <v>818</v>
      </c>
      <c r="E327" s="21" t="n">
        <v>969</v>
      </c>
      <c r="F327" s="21" t="n">
        <v>0</v>
      </c>
      <c r="G327" s="22" t="n">
        <v>0</v>
      </c>
      <c r="H327" s="22" t="n">
        <v>61.83</v>
      </c>
      <c r="I327" s="23" t="n">
        <v>19</v>
      </c>
      <c r="J327" s="21" t="n">
        <v>4</v>
      </c>
      <c r="K327" s="21" t="n">
        <v>0</v>
      </c>
      <c r="L327" s="21" t="n">
        <v>0</v>
      </c>
      <c r="M327" s="22" t="n">
        <f aca="false">IFERROR(L327/E327*1000,0)</f>
        <v>0</v>
      </c>
      <c r="N327" s="22" t="n">
        <f aca="false">IFERROR(J327/E327*100,0)</f>
        <v>0.412796697626419</v>
      </c>
      <c r="O327" s="32" t="str">
        <f aca="false">IF(H327&lt;30,"00-30",IF(H327&lt;40,"30-40",IF(H327&lt;50,"40-50",IF(H327&lt;60,"50-60",IF(H327&lt;70,"60-70","70+")))))</f>
        <v>60-70</v>
      </c>
      <c r="P327" s="37" t="n">
        <f aca="false">IFERROR(VALUE(SUBSTITUTE(B327,"-","")),0)</f>
        <v>20260702</v>
      </c>
    </row>
    <row r="328" customFormat="false" ht="23.85" hidden="false" customHeight="false" outlineLevel="0" collapsed="false">
      <c r="A328" s="14" t="s">
        <v>46</v>
      </c>
      <c r="B328" s="32" t="s">
        <v>387</v>
      </c>
      <c r="C328" s="7" t="s">
        <v>819</v>
      </c>
      <c r="D328" s="32" t="s">
        <v>820</v>
      </c>
      <c r="E328" s="21" t="n">
        <v>263</v>
      </c>
      <c r="F328" s="21" t="n">
        <v>0</v>
      </c>
      <c r="G328" s="22" t="n">
        <v>0</v>
      </c>
      <c r="H328" s="22" t="n">
        <v>47.04</v>
      </c>
      <c r="I328" s="23" t="n">
        <v>18</v>
      </c>
      <c r="J328" s="21" t="n">
        <v>0</v>
      </c>
      <c r="K328" s="21" t="n">
        <v>2</v>
      </c>
      <c r="L328" s="21" t="n">
        <v>0</v>
      </c>
      <c r="M328" s="22" t="n">
        <f aca="false">IFERROR(L328/E328*1000,0)</f>
        <v>0</v>
      </c>
      <c r="N328" s="22" t="n">
        <f aca="false">IFERROR(J328/E328*100,0)</f>
        <v>0</v>
      </c>
      <c r="O328" s="32" t="str">
        <f aca="false">IF(H328&lt;30,"00-30",IF(H328&lt;40,"30-40",IF(H328&lt;50,"40-50",IF(H328&lt;60,"50-60",IF(H328&lt;70,"60-70","70+")))))</f>
        <v>40-50</v>
      </c>
      <c r="P328" s="37" t="n">
        <f aca="false">IFERROR(VALUE(SUBSTITUTE(B328,"-","")),0)</f>
        <v>20260703</v>
      </c>
    </row>
    <row r="329" customFormat="false" ht="15" hidden="false" customHeight="false" outlineLevel="0" collapsed="false">
      <c r="A329" s="14" t="s">
        <v>46</v>
      </c>
      <c r="B329" s="32" t="s">
        <v>387</v>
      </c>
      <c r="C329" s="7" t="s">
        <v>821</v>
      </c>
      <c r="D329" s="32" t="s">
        <v>822</v>
      </c>
      <c r="E329" s="21" t="n">
        <v>1207</v>
      </c>
      <c r="F329" s="21" t="n">
        <v>0</v>
      </c>
      <c r="G329" s="22" t="n">
        <v>0</v>
      </c>
      <c r="H329" s="22" t="n">
        <v>59.87</v>
      </c>
      <c r="I329" s="23" t="n">
        <v>23</v>
      </c>
      <c r="J329" s="21" t="n">
        <v>6</v>
      </c>
      <c r="K329" s="21" t="n">
        <v>0</v>
      </c>
      <c r="L329" s="21" t="n">
        <v>0</v>
      </c>
      <c r="M329" s="22" t="n">
        <f aca="false">IFERROR(L329/E329*1000,0)</f>
        <v>0</v>
      </c>
      <c r="N329" s="22" t="n">
        <f aca="false">IFERROR(J329/E329*100,0)</f>
        <v>0.497100248550124</v>
      </c>
      <c r="O329" s="32" t="str">
        <f aca="false">IF(H329&lt;30,"00-30",IF(H329&lt;40,"30-40",IF(H329&lt;50,"40-50",IF(H329&lt;60,"50-60",IF(H329&lt;70,"60-70","70+")))))</f>
        <v>50-60</v>
      </c>
      <c r="P329" s="37" t="n">
        <f aca="false">IFERROR(VALUE(SUBSTITUTE(B329,"-","")),0)</f>
        <v>20260703</v>
      </c>
    </row>
    <row r="330" customFormat="false" ht="15" hidden="false" customHeight="false" outlineLevel="0" collapsed="false">
      <c r="A330" s="14" t="s">
        <v>46</v>
      </c>
      <c r="B330" s="32" t="s">
        <v>387</v>
      </c>
      <c r="C330" s="7" t="s">
        <v>823</v>
      </c>
      <c r="D330" s="32" t="s">
        <v>824</v>
      </c>
      <c r="E330" s="21" t="n">
        <v>36</v>
      </c>
      <c r="F330" s="21" t="n">
        <v>0</v>
      </c>
      <c r="G330" s="22" t="n">
        <v>0</v>
      </c>
      <c r="H330" s="22" t="n">
        <v>72.84</v>
      </c>
      <c r="I330" s="23" t="n">
        <v>22</v>
      </c>
      <c r="J330" s="21" t="n">
        <v>0</v>
      </c>
      <c r="K330" s="21" t="n">
        <v>0</v>
      </c>
      <c r="L330" s="21" t="n">
        <v>0</v>
      </c>
      <c r="M330" s="22" t="n">
        <f aca="false">IFERROR(L330/E330*1000,0)</f>
        <v>0</v>
      </c>
      <c r="N330" s="22" t="n">
        <f aca="false">IFERROR(J330/E330*100,0)</f>
        <v>0</v>
      </c>
      <c r="O330" s="32" t="str">
        <f aca="false">IF(H330&lt;30,"00-30",IF(H330&lt;40,"30-40",IF(H330&lt;50,"40-50",IF(H330&lt;60,"50-60",IF(H330&lt;70,"60-70","70+")))))</f>
        <v>70+</v>
      </c>
      <c r="P330" s="37" t="n">
        <f aca="false">IFERROR(VALUE(SUBSTITUTE(B330,"-","")),0)</f>
        <v>20260703</v>
      </c>
    </row>
    <row r="331" customFormat="false" ht="15" hidden="false" customHeight="false" outlineLevel="0" collapsed="false">
      <c r="A331" s="14" t="s">
        <v>46</v>
      </c>
      <c r="B331" s="32" t="s">
        <v>387</v>
      </c>
      <c r="C331" s="7" t="s">
        <v>825</v>
      </c>
      <c r="D331" s="32" t="s">
        <v>826</v>
      </c>
      <c r="E331" s="21" t="n">
        <v>472</v>
      </c>
      <c r="F331" s="21" t="n">
        <v>0</v>
      </c>
      <c r="G331" s="22" t="n">
        <v>0</v>
      </c>
      <c r="H331" s="22" t="n">
        <v>36.5</v>
      </c>
      <c r="I331" s="23" t="n">
        <v>14</v>
      </c>
      <c r="J331" s="21" t="n">
        <v>1</v>
      </c>
      <c r="K331" s="21" t="n">
        <v>0</v>
      </c>
      <c r="L331" s="21" t="n">
        <v>0</v>
      </c>
      <c r="M331" s="22" t="n">
        <f aca="false">IFERROR(L331/E331*1000,0)</f>
        <v>0</v>
      </c>
      <c r="N331" s="22" t="n">
        <f aca="false">IFERROR(J331/E331*100,0)</f>
        <v>0.211864406779661</v>
      </c>
      <c r="O331" s="32" t="str">
        <f aca="false">IF(H331&lt;30,"00-30",IF(H331&lt;40,"30-40",IF(H331&lt;50,"40-50",IF(H331&lt;60,"50-60",IF(H331&lt;70,"60-70","70+")))))</f>
        <v>30-40</v>
      </c>
      <c r="P331" s="37" t="n">
        <f aca="false">IFERROR(VALUE(SUBSTITUTE(B331,"-","")),0)</f>
        <v>20260703</v>
      </c>
    </row>
    <row r="332" customFormat="false" ht="15" hidden="false" customHeight="false" outlineLevel="0" collapsed="false">
      <c r="A332" s="14" t="s">
        <v>46</v>
      </c>
      <c r="B332" s="32" t="s">
        <v>396</v>
      </c>
      <c r="C332" s="7" t="s">
        <v>827</v>
      </c>
      <c r="D332" s="32" t="s">
        <v>828</v>
      </c>
      <c r="E332" s="21" t="n">
        <v>429</v>
      </c>
      <c r="F332" s="21" t="n">
        <v>0</v>
      </c>
      <c r="G332" s="22" t="n">
        <v>0</v>
      </c>
      <c r="H332" s="22" t="n">
        <v>54.77</v>
      </c>
      <c r="I332" s="23" t="n">
        <v>12</v>
      </c>
      <c r="J332" s="21" t="n">
        <v>0</v>
      </c>
      <c r="K332" s="21" t="n">
        <v>0</v>
      </c>
      <c r="L332" s="21" t="n">
        <v>0</v>
      </c>
      <c r="M332" s="22" t="n">
        <f aca="false">IFERROR(L332/E332*1000,0)</f>
        <v>0</v>
      </c>
      <c r="N332" s="22" t="n">
        <f aca="false">IFERROR(J332/E332*100,0)</f>
        <v>0</v>
      </c>
      <c r="O332" s="32" t="str">
        <f aca="false">IF(H332&lt;30,"00-30",IF(H332&lt;40,"30-40",IF(H332&lt;50,"40-50",IF(H332&lt;60,"50-60",IF(H332&lt;70,"60-70","70+")))))</f>
        <v>50-60</v>
      </c>
      <c r="P332" s="37" t="n">
        <f aca="false">IFERROR(VALUE(SUBSTITUTE(B332,"-","")),0)</f>
        <v>20260705</v>
      </c>
    </row>
    <row r="333" customFormat="false" ht="15" hidden="false" customHeight="false" outlineLevel="0" collapsed="false">
      <c r="A333" s="14" t="s">
        <v>46</v>
      </c>
      <c r="B333" s="32" t="s">
        <v>396</v>
      </c>
      <c r="C333" s="7" t="s">
        <v>829</v>
      </c>
      <c r="D333" s="32" t="s">
        <v>830</v>
      </c>
      <c r="E333" s="21" t="n">
        <v>1023</v>
      </c>
      <c r="F333" s="21" t="n">
        <v>0</v>
      </c>
      <c r="G333" s="22" t="n">
        <v>0</v>
      </c>
      <c r="H333" s="22" t="n">
        <v>47.01</v>
      </c>
      <c r="I333" s="23" t="n">
        <v>11</v>
      </c>
      <c r="J333" s="21" t="n">
        <v>6</v>
      </c>
      <c r="K333" s="21" t="n">
        <v>0</v>
      </c>
      <c r="L333" s="21" t="n">
        <v>3</v>
      </c>
      <c r="M333" s="22" t="n">
        <f aca="false">IFERROR(L333/E333*1000,0)</f>
        <v>2.93255131964809</v>
      </c>
      <c r="N333" s="22" t="n">
        <f aca="false">IFERROR(J333/E333*100,0)</f>
        <v>0.586510263929619</v>
      </c>
      <c r="O333" s="32" t="str">
        <f aca="false">IF(H333&lt;30,"00-30",IF(H333&lt;40,"30-40",IF(H333&lt;50,"40-50",IF(H333&lt;60,"50-60",IF(H333&lt;70,"60-70","70+")))))</f>
        <v>40-50</v>
      </c>
      <c r="P333" s="37" t="n">
        <f aca="false">IFERROR(VALUE(SUBSTITUTE(B333,"-","")),0)</f>
        <v>20260705</v>
      </c>
    </row>
    <row r="334" customFormat="false" ht="15" hidden="false" customHeight="false" outlineLevel="0" collapsed="false">
      <c r="A334" s="14" t="s">
        <v>46</v>
      </c>
      <c r="B334" s="32" t="s">
        <v>396</v>
      </c>
      <c r="C334" s="7" t="s">
        <v>831</v>
      </c>
      <c r="D334" s="32" t="s">
        <v>832</v>
      </c>
      <c r="E334" s="21" t="n">
        <v>959</v>
      </c>
      <c r="F334" s="21" t="n">
        <v>0</v>
      </c>
      <c r="G334" s="22" t="n">
        <v>0</v>
      </c>
      <c r="H334" s="22" t="n">
        <v>51.56</v>
      </c>
      <c r="I334" s="23" t="n">
        <v>13</v>
      </c>
      <c r="J334" s="21" t="n">
        <v>2</v>
      </c>
      <c r="K334" s="21" t="n">
        <v>0</v>
      </c>
      <c r="L334" s="21" t="n">
        <v>0</v>
      </c>
      <c r="M334" s="22" t="n">
        <f aca="false">IFERROR(L334/E334*1000,0)</f>
        <v>0</v>
      </c>
      <c r="N334" s="22" t="n">
        <f aca="false">IFERROR(J334/E334*100,0)</f>
        <v>0.208550573514077</v>
      </c>
      <c r="O334" s="32" t="str">
        <f aca="false">IF(H334&lt;30,"00-30",IF(H334&lt;40,"30-40",IF(H334&lt;50,"40-50",IF(H334&lt;60,"50-60",IF(H334&lt;70,"60-70","70+")))))</f>
        <v>50-60</v>
      </c>
      <c r="P334" s="37" t="n">
        <f aca="false">IFERROR(VALUE(SUBSTITUTE(B334,"-","")),0)</f>
        <v>20260705</v>
      </c>
    </row>
    <row r="335" customFormat="false" ht="23.85" hidden="false" customHeight="false" outlineLevel="0" collapsed="false">
      <c r="A335" s="14" t="s">
        <v>46</v>
      </c>
      <c r="B335" s="32" t="s">
        <v>403</v>
      </c>
      <c r="C335" s="7" t="s">
        <v>833</v>
      </c>
      <c r="D335" s="32" t="s">
        <v>834</v>
      </c>
      <c r="E335" s="21" t="n">
        <v>167</v>
      </c>
      <c r="F335" s="21" t="n">
        <v>0</v>
      </c>
      <c r="G335" s="22" t="n">
        <v>0</v>
      </c>
      <c r="H335" s="22" t="n">
        <v>56.61</v>
      </c>
      <c r="I335" s="23" t="n">
        <v>11</v>
      </c>
      <c r="J335" s="21" t="n">
        <v>0</v>
      </c>
      <c r="K335" s="21" t="n">
        <v>0</v>
      </c>
      <c r="L335" s="21" t="n">
        <v>0</v>
      </c>
      <c r="M335" s="22" t="n">
        <f aca="false">IFERROR(L335/E335*1000,0)</f>
        <v>0</v>
      </c>
      <c r="N335" s="22" t="n">
        <f aca="false">IFERROR(J335/E335*100,0)</f>
        <v>0</v>
      </c>
      <c r="O335" s="32" t="str">
        <f aca="false">IF(H335&lt;30,"00-30",IF(H335&lt;40,"30-40",IF(H335&lt;50,"40-50",IF(H335&lt;60,"50-60",IF(H335&lt;70,"60-70","70+")))))</f>
        <v>50-60</v>
      </c>
      <c r="P335" s="37" t="n">
        <f aca="false">IFERROR(VALUE(SUBSTITUTE(B335,"-","")),0)</f>
        <v>20260706</v>
      </c>
    </row>
    <row r="336" customFormat="false" ht="15" hidden="false" customHeight="false" outlineLevel="0" collapsed="false">
      <c r="A336" s="14" t="s">
        <v>46</v>
      </c>
      <c r="B336" s="32" t="s">
        <v>403</v>
      </c>
      <c r="C336" s="7" t="s">
        <v>835</v>
      </c>
      <c r="D336" s="32" t="s">
        <v>836</v>
      </c>
      <c r="E336" s="21" t="n">
        <v>449</v>
      </c>
      <c r="F336" s="21" t="n">
        <v>0</v>
      </c>
      <c r="G336" s="22" t="n">
        <v>0</v>
      </c>
      <c r="H336" s="22" t="n">
        <v>62.02</v>
      </c>
      <c r="I336" s="23" t="n">
        <v>22</v>
      </c>
      <c r="J336" s="21" t="n">
        <v>2</v>
      </c>
      <c r="K336" s="21" t="n">
        <v>0</v>
      </c>
      <c r="L336" s="21" t="n">
        <v>0</v>
      </c>
      <c r="M336" s="22" t="n">
        <f aca="false">IFERROR(L336/E336*1000,0)</f>
        <v>0</v>
      </c>
      <c r="N336" s="22" t="n">
        <f aca="false">IFERROR(J336/E336*100,0)</f>
        <v>0.44543429844098</v>
      </c>
      <c r="O336" s="32" t="str">
        <f aca="false">IF(H336&lt;30,"00-30",IF(H336&lt;40,"30-40",IF(H336&lt;50,"40-50",IF(H336&lt;60,"50-60",IF(H336&lt;70,"60-70","70+")))))</f>
        <v>60-70</v>
      </c>
      <c r="P336" s="37" t="n">
        <f aca="false">IFERROR(VALUE(SUBSTITUTE(B336,"-","")),0)</f>
        <v>20260706</v>
      </c>
    </row>
    <row r="337" customFormat="false" ht="23.85" hidden="false" customHeight="false" outlineLevel="0" collapsed="false">
      <c r="A337" s="14" t="s">
        <v>46</v>
      </c>
      <c r="B337" s="32" t="s">
        <v>408</v>
      </c>
      <c r="C337" s="7" t="s">
        <v>837</v>
      </c>
      <c r="D337" s="32" t="s">
        <v>838</v>
      </c>
      <c r="E337" s="21" t="n">
        <v>1144</v>
      </c>
      <c r="F337" s="21" t="n">
        <v>0</v>
      </c>
      <c r="G337" s="22" t="n">
        <v>0</v>
      </c>
      <c r="H337" s="22" t="n">
        <v>46.15</v>
      </c>
      <c r="I337" s="23" t="n">
        <v>18</v>
      </c>
      <c r="J337" s="21" t="n">
        <v>13</v>
      </c>
      <c r="K337" s="21" t="n">
        <v>0</v>
      </c>
      <c r="L337" s="21" t="n">
        <v>3</v>
      </c>
      <c r="M337" s="22" t="n">
        <f aca="false">IFERROR(L337/E337*1000,0)</f>
        <v>2.62237762237762</v>
      </c>
      <c r="N337" s="22" t="n">
        <f aca="false">IFERROR(J337/E337*100,0)</f>
        <v>1.13636363636364</v>
      </c>
      <c r="O337" s="32" t="str">
        <f aca="false">IF(H337&lt;30,"00-30",IF(H337&lt;40,"30-40",IF(H337&lt;50,"40-50",IF(H337&lt;60,"50-60",IF(H337&lt;70,"60-70","70+")))))</f>
        <v>40-50</v>
      </c>
      <c r="P337" s="37" t="n">
        <f aca="false">IFERROR(VALUE(SUBSTITUTE(B337,"-","")),0)</f>
        <v>20260707</v>
      </c>
    </row>
    <row r="338" customFormat="false" ht="15" hidden="false" customHeight="false" outlineLevel="0" collapsed="false">
      <c r="A338" s="14" t="s">
        <v>46</v>
      </c>
      <c r="B338" s="32" t="s">
        <v>408</v>
      </c>
      <c r="C338" s="7" t="s">
        <v>839</v>
      </c>
      <c r="D338" s="32" t="s">
        <v>840</v>
      </c>
      <c r="E338" s="21" t="n">
        <v>16</v>
      </c>
      <c r="F338" s="21" t="n">
        <v>0</v>
      </c>
      <c r="G338" s="22" t="n">
        <v>0</v>
      </c>
      <c r="H338" s="22" t="n">
        <v>63.61</v>
      </c>
      <c r="I338" s="23" t="n">
        <v>23</v>
      </c>
      <c r="J338" s="21" t="n">
        <v>0</v>
      </c>
      <c r="K338" s="21" t="n">
        <v>0</v>
      </c>
      <c r="L338" s="21" t="n">
        <v>0</v>
      </c>
      <c r="M338" s="22" t="n">
        <f aca="false">IFERROR(L338/E338*1000,0)</f>
        <v>0</v>
      </c>
      <c r="N338" s="22" t="n">
        <f aca="false">IFERROR(J338/E338*100,0)</f>
        <v>0</v>
      </c>
      <c r="O338" s="32" t="str">
        <f aca="false">IF(H338&lt;30,"00-30",IF(H338&lt;40,"30-40",IF(H338&lt;50,"40-50",IF(H338&lt;60,"50-60",IF(H338&lt;70,"60-70","70+")))))</f>
        <v>60-70</v>
      </c>
      <c r="P338" s="37" t="n">
        <f aca="false">IFERROR(VALUE(SUBSTITUTE(B338,"-","")),0)</f>
        <v>20260707</v>
      </c>
    </row>
    <row r="339" customFormat="false" ht="23.85" hidden="false" customHeight="false" outlineLevel="0" collapsed="false">
      <c r="A339" s="14" t="s">
        <v>46</v>
      </c>
      <c r="B339" s="32" t="s">
        <v>408</v>
      </c>
      <c r="C339" s="14" t="s">
        <v>841</v>
      </c>
      <c r="D339" s="32" t="s">
        <v>842</v>
      </c>
      <c r="E339" s="21" t="n">
        <v>1000</v>
      </c>
      <c r="F339" s="21" t="n">
        <v>0</v>
      </c>
      <c r="G339" s="22" t="n">
        <v>0</v>
      </c>
      <c r="H339" s="22" t="n">
        <v>39.91</v>
      </c>
      <c r="I339" s="23" t="n">
        <v>11</v>
      </c>
      <c r="J339" s="21" t="n">
        <v>6</v>
      </c>
      <c r="K339" s="21" t="n">
        <v>0</v>
      </c>
      <c r="L339" s="21" t="n">
        <v>1</v>
      </c>
      <c r="M339" s="22" t="n">
        <f aca="false">IFERROR(L339/E339*1000,0)</f>
        <v>1</v>
      </c>
      <c r="N339" s="22" t="n">
        <f aca="false">IFERROR(J339/E339*100,0)</f>
        <v>0.6</v>
      </c>
      <c r="O339" s="32" t="str">
        <f aca="false">IF(H339&lt;30,"00-30",IF(H339&lt;40,"30-40",IF(H339&lt;50,"40-50",IF(H339&lt;60,"50-60",IF(H339&lt;70,"60-70","70+")))))</f>
        <v>30-40</v>
      </c>
      <c r="P339" s="37" t="n">
        <f aca="false">IFERROR(VALUE(SUBSTITUTE(B339,"-","")),0)</f>
        <v>20260707</v>
      </c>
    </row>
    <row r="340" customFormat="false" ht="15" hidden="false" customHeight="false" outlineLevel="0" collapsed="false">
      <c r="A340" s="14" t="s">
        <v>46</v>
      </c>
      <c r="B340" s="32" t="s">
        <v>415</v>
      </c>
      <c r="C340" s="7" t="s">
        <v>843</v>
      </c>
      <c r="D340" s="32" t="s">
        <v>844</v>
      </c>
      <c r="E340" s="21" t="n">
        <v>1098</v>
      </c>
      <c r="F340" s="21" t="n">
        <v>0</v>
      </c>
      <c r="G340" s="22" t="n">
        <v>0</v>
      </c>
      <c r="H340" s="22" t="n">
        <v>44.5</v>
      </c>
      <c r="I340" s="23" t="n">
        <v>14</v>
      </c>
      <c r="J340" s="21" t="n">
        <v>5</v>
      </c>
      <c r="K340" s="21" t="n">
        <v>0</v>
      </c>
      <c r="L340" s="21" t="n">
        <v>0</v>
      </c>
      <c r="M340" s="22" t="n">
        <f aca="false">IFERROR(L340/E340*1000,0)</f>
        <v>0</v>
      </c>
      <c r="N340" s="22" t="n">
        <f aca="false">IFERROR(J340/E340*100,0)</f>
        <v>0.455373406193078</v>
      </c>
      <c r="O340" s="32" t="str">
        <f aca="false">IF(H340&lt;30,"00-30",IF(H340&lt;40,"30-40",IF(H340&lt;50,"40-50",IF(H340&lt;60,"50-60",IF(H340&lt;70,"60-70","70+")))))</f>
        <v>40-50</v>
      </c>
      <c r="P340" s="37" t="n">
        <f aca="false">IFERROR(VALUE(SUBSTITUTE(B340,"-","")),0)</f>
        <v>20260708</v>
      </c>
    </row>
    <row r="341" customFormat="false" ht="15" hidden="false" customHeight="false" outlineLevel="0" collapsed="false">
      <c r="A341" s="14" t="s">
        <v>46</v>
      </c>
      <c r="B341" s="32" t="s">
        <v>415</v>
      </c>
      <c r="C341" s="7" t="s">
        <v>845</v>
      </c>
      <c r="D341" s="32" t="s">
        <v>846</v>
      </c>
      <c r="E341" s="21" t="n">
        <v>1182</v>
      </c>
      <c r="F341" s="21" t="n">
        <v>0</v>
      </c>
      <c r="G341" s="22" t="n">
        <v>0</v>
      </c>
      <c r="H341" s="22" t="n">
        <v>43.78</v>
      </c>
      <c r="I341" s="23" t="n">
        <v>14</v>
      </c>
      <c r="J341" s="21" t="n">
        <v>5</v>
      </c>
      <c r="K341" s="21" t="n">
        <v>0</v>
      </c>
      <c r="L341" s="21" t="n">
        <v>1</v>
      </c>
      <c r="M341" s="22" t="n">
        <f aca="false">IFERROR(L341/E341*1000,0)</f>
        <v>0.846023688663283</v>
      </c>
      <c r="N341" s="22" t="n">
        <f aca="false">IFERROR(J341/E341*100,0)</f>
        <v>0.423011844331641</v>
      </c>
      <c r="O341" s="32" t="str">
        <f aca="false">IF(H341&lt;30,"00-30",IF(H341&lt;40,"30-40",IF(H341&lt;50,"40-50",IF(H341&lt;60,"50-60",IF(H341&lt;70,"60-70","70+")))))</f>
        <v>40-50</v>
      </c>
      <c r="P341" s="37" t="n">
        <f aca="false">IFERROR(VALUE(SUBSTITUTE(B341,"-","")),0)</f>
        <v>20260708</v>
      </c>
    </row>
    <row r="342" customFormat="false" ht="15" hidden="false" customHeight="false" outlineLevel="0" collapsed="false">
      <c r="A342" s="14" t="s">
        <v>46</v>
      </c>
      <c r="B342" s="32" t="s">
        <v>415</v>
      </c>
      <c r="C342" s="7" t="s">
        <v>847</v>
      </c>
      <c r="D342" s="32" t="s">
        <v>848</v>
      </c>
      <c r="E342" s="21" t="n">
        <v>962</v>
      </c>
      <c r="F342" s="21" t="n">
        <v>0</v>
      </c>
      <c r="G342" s="22" t="n">
        <v>0</v>
      </c>
      <c r="H342" s="22" t="n">
        <v>45.3</v>
      </c>
      <c r="I342" s="23" t="n">
        <v>16</v>
      </c>
      <c r="J342" s="21" t="n">
        <v>6</v>
      </c>
      <c r="K342" s="21" t="n">
        <v>0</v>
      </c>
      <c r="L342" s="21" t="n">
        <v>0</v>
      </c>
      <c r="M342" s="22" t="n">
        <f aca="false">IFERROR(L342/E342*1000,0)</f>
        <v>0</v>
      </c>
      <c r="N342" s="22" t="n">
        <f aca="false">IFERROR(J342/E342*100,0)</f>
        <v>0.623700623700624</v>
      </c>
      <c r="O342" s="32" t="str">
        <f aca="false">IF(H342&lt;30,"00-30",IF(H342&lt;40,"30-40",IF(H342&lt;50,"40-50",IF(H342&lt;60,"50-60",IF(H342&lt;70,"60-70","70+")))))</f>
        <v>40-50</v>
      </c>
      <c r="P342" s="37" t="n">
        <f aca="false">IFERROR(VALUE(SUBSTITUTE(B342,"-","")),0)</f>
        <v>20260708</v>
      </c>
    </row>
    <row r="343" customFormat="false" ht="15" hidden="false" customHeight="false" outlineLevel="0" collapsed="false">
      <c r="A343" s="14" t="s">
        <v>46</v>
      </c>
      <c r="B343" s="32" t="s">
        <v>422</v>
      </c>
      <c r="C343" s="7" t="s">
        <v>849</v>
      </c>
      <c r="D343" s="32" t="s">
        <v>850</v>
      </c>
      <c r="E343" s="21" t="n">
        <v>39</v>
      </c>
      <c r="F343" s="21" t="n">
        <v>0</v>
      </c>
      <c r="G343" s="22" t="n">
        <v>0</v>
      </c>
      <c r="H343" s="22" t="n">
        <v>55.7</v>
      </c>
      <c r="I343" s="23" t="n">
        <v>20</v>
      </c>
      <c r="J343" s="21" t="n">
        <v>0</v>
      </c>
      <c r="K343" s="21" t="n">
        <v>0</v>
      </c>
      <c r="L343" s="21" t="n">
        <v>0</v>
      </c>
      <c r="M343" s="22" t="n">
        <f aca="false">IFERROR(L343/E343*1000,0)</f>
        <v>0</v>
      </c>
      <c r="N343" s="22" t="n">
        <f aca="false">IFERROR(J343/E343*100,0)</f>
        <v>0</v>
      </c>
      <c r="O343" s="32" t="str">
        <f aca="false">IF(H343&lt;30,"00-30",IF(H343&lt;40,"30-40",IF(H343&lt;50,"40-50",IF(H343&lt;60,"50-60",IF(H343&lt;70,"60-70","70+")))))</f>
        <v>50-60</v>
      </c>
      <c r="P343" s="37" t="n">
        <f aca="false">IFERROR(VALUE(SUBSTITUTE(B343,"-","")),0)</f>
        <v>20260709</v>
      </c>
    </row>
    <row r="344" customFormat="false" ht="15" hidden="false" customHeight="false" outlineLevel="0" collapsed="false">
      <c r="A344" s="14" t="s">
        <v>46</v>
      </c>
      <c r="B344" s="32" t="s">
        <v>422</v>
      </c>
      <c r="C344" s="7" t="s">
        <v>851</v>
      </c>
      <c r="D344" s="32" t="s">
        <v>852</v>
      </c>
      <c r="E344" s="21" t="n">
        <v>1016</v>
      </c>
      <c r="F344" s="21" t="n">
        <v>0</v>
      </c>
      <c r="G344" s="22" t="n">
        <v>0</v>
      </c>
      <c r="H344" s="22" t="n">
        <v>40.98</v>
      </c>
      <c r="I344" s="23" t="n">
        <v>11</v>
      </c>
      <c r="J344" s="21" t="n">
        <v>0</v>
      </c>
      <c r="K344" s="21" t="n">
        <v>0</v>
      </c>
      <c r="L344" s="21" t="n">
        <v>0</v>
      </c>
      <c r="M344" s="22" t="n">
        <f aca="false">IFERROR(L344/E344*1000,0)</f>
        <v>0</v>
      </c>
      <c r="N344" s="22" t="n">
        <f aca="false">IFERROR(J344/E344*100,0)</f>
        <v>0</v>
      </c>
      <c r="O344" s="32" t="str">
        <f aca="false">IF(H344&lt;30,"00-30",IF(H344&lt;40,"30-40",IF(H344&lt;50,"40-50",IF(H344&lt;60,"50-60",IF(H344&lt;70,"60-70","70+")))))</f>
        <v>40-50</v>
      </c>
      <c r="P344" s="37" t="n">
        <f aca="false">IFERROR(VALUE(SUBSTITUTE(B344,"-","")),0)</f>
        <v>20260709</v>
      </c>
    </row>
    <row r="345" customFormat="false" ht="23.85" hidden="false" customHeight="false" outlineLevel="0" collapsed="false">
      <c r="A345" s="14" t="s">
        <v>46</v>
      </c>
      <c r="B345" s="32" t="s">
        <v>422</v>
      </c>
      <c r="C345" s="7" t="s">
        <v>853</v>
      </c>
      <c r="D345" s="32" t="s">
        <v>854</v>
      </c>
      <c r="E345" s="21" t="n">
        <v>905</v>
      </c>
      <c r="F345" s="21" t="n">
        <v>0</v>
      </c>
      <c r="G345" s="22" t="n">
        <v>0</v>
      </c>
      <c r="H345" s="22" t="n">
        <v>42.1</v>
      </c>
      <c r="I345" s="23" t="n">
        <v>15</v>
      </c>
      <c r="J345" s="21" t="n">
        <v>7</v>
      </c>
      <c r="K345" s="21" t="n">
        <v>0</v>
      </c>
      <c r="L345" s="21" t="n">
        <v>1</v>
      </c>
      <c r="M345" s="22" t="n">
        <f aca="false">IFERROR(L345/E345*1000,0)</f>
        <v>1.10497237569061</v>
      </c>
      <c r="N345" s="22" t="n">
        <f aca="false">IFERROR(J345/E345*100,0)</f>
        <v>0.773480662983425</v>
      </c>
      <c r="O345" s="32" t="str">
        <f aca="false">IF(H345&lt;30,"00-30",IF(H345&lt;40,"30-40",IF(H345&lt;50,"40-50",IF(H345&lt;60,"50-60",IF(H345&lt;70,"60-70","70+")))))</f>
        <v>40-50</v>
      </c>
      <c r="P345" s="37" t="n">
        <f aca="false">IFERROR(VALUE(SUBSTITUTE(B345,"-","")),0)</f>
        <v>20260709</v>
      </c>
    </row>
    <row r="346" customFormat="false" ht="15" hidden="false" customHeight="false" outlineLevel="0" collapsed="false">
      <c r="A346" s="14" t="s">
        <v>46</v>
      </c>
      <c r="B346" s="32" t="s">
        <v>422</v>
      </c>
      <c r="C346" s="7" t="s">
        <v>855</v>
      </c>
      <c r="D346" s="32" t="s">
        <v>856</v>
      </c>
      <c r="E346" s="21" t="n">
        <v>1084</v>
      </c>
      <c r="F346" s="21" t="n">
        <v>0</v>
      </c>
      <c r="G346" s="22" t="n">
        <v>0</v>
      </c>
      <c r="H346" s="22" t="n">
        <v>42.59</v>
      </c>
      <c r="I346" s="23" t="n">
        <v>11</v>
      </c>
      <c r="J346" s="21" t="n">
        <v>0</v>
      </c>
      <c r="K346" s="21" t="n">
        <v>0</v>
      </c>
      <c r="L346" s="21" t="n">
        <v>0</v>
      </c>
      <c r="M346" s="22" t="n">
        <f aca="false">IFERROR(L346/E346*1000,0)</f>
        <v>0</v>
      </c>
      <c r="N346" s="22" t="n">
        <f aca="false">IFERROR(J346/E346*100,0)</f>
        <v>0</v>
      </c>
      <c r="O346" s="32" t="str">
        <f aca="false">IF(H346&lt;30,"00-30",IF(H346&lt;40,"30-40",IF(H346&lt;50,"40-50",IF(H346&lt;60,"50-60",IF(H346&lt;70,"60-70","70+")))))</f>
        <v>40-50</v>
      </c>
      <c r="P346" s="37" t="n">
        <f aca="false">IFERROR(VALUE(SUBSTITUTE(B346,"-","")),0)</f>
        <v>20260709</v>
      </c>
    </row>
    <row r="347" customFormat="false" ht="15" hidden="false" customHeight="false" outlineLevel="0" collapsed="false">
      <c r="A347" s="14" t="s">
        <v>46</v>
      </c>
      <c r="B347" s="32" t="s">
        <v>431</v>
      </c>
      <c r="C347" s="7" t="s">
        <v>857</v>
      </c>
      <c r="D347" s="32" t="s">
        <v>858</v>
      </c>
      <c r="E347" s="21" t="n">
        <v>1308</v>
      </c>
      <c r="F347" s="21" t="n">
        <v>0</v>
      </c>
      <c r="G347" s="22" t="n">
        <v>0</v>
      </c>
      <c r="H347" s="22" t="n">
        <v>62.49</v>
      </c>
      <c r="I347" s="23" t="n">
        <v>14</v>
      </c>
      <c r="J347" s="21" t="n">
        <v>8</v>
      </c>
      <c r="K347" s="21" t="n">
        <v>1</v>
      </c>
      <c r="L347" s="21" t="n">
        <v>3</v>
      </c>
      <c r="M347" s="22" t="n">
        <f aca="false">IFERROR(L347/E347*1000,0)</f>
        <v>2.29357798165138</v>
      </c>
      <c r="N347" s="22" t="n">
        <f aca="false">IFERROR(J347/E347*100,0)</f>
        <v>0.611620795107034</v>
      </c>
      <c r="O347" s="32" t="str">
        <f aca="false">IF(H347&lt;30,"00-30",IF(H347&lt;40,"30-40",IF(H347&lt;50,"40-50",IF(H347&lt;60,"50-60",IF(H347&lt;70,"60-70","70+")))))</f>
        <v>60-70</v>
      </c>
      <c r="P347" s="37" t="n">
        <f aca="false">IFERROR(VALUE(SUBSTITUTE(B347,"-","")),0)</f>
        <v>20260710</v>
      </c>
    </row>
    <row r="348" customFormat="false" ht="23.85" hidden="false" customHeight="false" outlineLevel="0" collapsed="false">
      <c r="A348" s="14" t="s">
        <v>46</v>
      </c>
      <c r="B348" s="32" t="s">
        <v>431</v>
      </c>
      <c r="C348" s="7" t="s">
        <v>859</v>
      </c>
      <c r="D348" s="32" t="s">
        <v>860</v>
      </c>
      <c r="E348" s="21" t="n">
        <v>1010</v>
      </c>
      <c r="F348" s="21" t="n">
        <v>0</v>
      </c>
      <c r="G348" s="22" t="n">
        <v>0</v>
      </c>
      <c r="H348" s="22" t="n">
        <v>39.1</v>
      </c>
      <c r="I348" s="23" t="n">
        <v>15</v>
      </c>
      <c r="J348" s="21" t="n">
        <v>6</v>
      </c>
      <c r="K348" s="21" t="n">
        <v>0</v>
      </c>
      <c r="L348" s="21" t="n">
        <v>0</v>
      </c>
      <c r="M348" s="22" t="n">
        <f aca="false">IFERROR(L348/E348*1000,0)</f>
        <v>0</v>
      </c>
      <c r="N348" s="22" t="n">
        <f aca="false">IFERROR(J348/E348*100,0)</f>
        <v>0.594059405940594</v>
      </c>
      <c r="O348" s="32" t="str">
        <f aca="false">IF(H348&lt;30,"00-30",IF(H348&lt;40,"30-40",IF(H348&lt;50,"40-50",IF(H348&lt;60,"50-60",IF(H348&lt;70,"60-70","70+")))))</f>
        <v>30-40</v>
      </c>
      <c r="P348" s="37" t="n">
        <f aca="false">IFERROR(VALUE(SUBSTITUTE(B348,"-","")),0)</f>
        <v>20260710</v>
      </c>
    </row>
    <row r="349" customFormat="false" ht="15" hidden="false" customHeight="false" outlineLevel="0" collapsed="false">
      <c r="A349" s="14" t="s">
        <v>46</v>
      </c>
      <c r="B349" s="32" t="s">
        <v>431</v>
      </c>
      <c r="C349" s="7" t="s">
        <v>861</v>
      </c>
      <c r="D349" s="32" t="s">
        <v>862</v>
      </c>
      <c r="E349" s="21" t="n">
        <v>1256</v>
      </c>
      <c r="F349" s="21" t="n">
        <v>0</v>
      </c>
      <c r="G349" s="22" t="n">
        <v>0</v>
      </c>
      <c r="H349" s="22" t="n">
        <v>61.66</v>
      </c>
      <c r="I349" s="23" t="n">
        <v>15</v>
      </c>
      <c r="J349" s="21" t="n">
        <v>6</v>
      </c>
      <c r="K349" s="21" t="n">
        <v>0</v>
      </c>
      <c r="L349" s="21" t="n">
        <v>2</v>
      </c>
      <c r="M349" s="22" t="n">
        <f aca="false">IFERROR(L349/E349*1000,0)</f>
        <v>1.59235668789809</v>
      </c>
      <c r="N349" s="22" t="n">
        <f aca="false">IFERROR(J349/E349*100,0)</f>
        <v>0.477707006369427</v>
      </c>
      <c r="O349" s="32" t="str">
        <f aca="false">IF(H349&lt;30,"00-30",IF(H349&lt;40,"30-40",IF(H349&lt;50,"40-50",IF(H349&lt;60,"50-60",IF(H349&lt;70,"60-70","70+")))))</f>
        <v>60-70</v>
      </c>
      <c r="P349" s="37" t="n">
        <f aca="false">IFERROR(VALUE(SUBSTITUTE(B349,"-","")),0)</f>
        <v>20260710</v>
      </c>
    </row>
    <row r="350" customFormat="false" ht="15" hidden="false" customHeight="false" outlineLevel="0" collapsed="false">
      <c r="A350" s="14" t="s">
        <v>46</v>
      </c>
      <c r="B350" s="32" t="s">
        <v>438</v>
      </c>
      <c r="C350" s="7" t="s">
        <v>863</v>
      </c>
      <c r="D350" s="32" t="s">
        <v>864</v>
      </c>
      <c r="E350" s="21" t="n">
        <v>506</v>
      </c>
      <c r="F350" s="21" t="n">
        <v>0</v>
      </c>
      <c r="G350" s="22" t="n">
        <v>0</v>
      </c>
      <c r="H350" s="22" t="n">
        <v>51.01</v>
      </c>
      <c r="I350" s="23" t="n">
        <v>11</v>
      </c>
      <c r="J350" s="21" t="n">
        <v>2</v>
      </c>
      <c r="K350" s="21" t="n">
        <v>0</v>
      </c>
      <c r="L350" s="21" t="n">
        <v>0</v>
      </c>
      <c r="M350" s="22" t="n">
        <f aca="false">IFERROR(L350/E350*1000,0)</f>
        <v>0</v>
      </c>
      <c r="N350" s="22" t="n">
        <f aca="false">IFERROR(J350/E350*100,0)</f>
        <v>0.395256916996047</v>
      </c>
      <c r="O350" s="32" t="str">
        <f aca="false">IF(H350&lt;30,"00-30",IF(H350&lt;40,"30-40",IF(H350&lt;50,"40-50",IF(H350&lt;60,"50-60",IF(H350&lt;70,"60-70","70+")))))</f>
        <v>50-60</v>
      </c>
      <c r="P350" s="37" t="n">
        <f aca="false">IFERROR(VALUE(SUBSTITUTE(B350,"-","")),0)</f>
        <v>20260711</v>
      </c>
    </row>
    <row r="351" customFormat="false" ht="15" hidden="false" customHeight="false" outlineLevel="0" collapsed="false">
      <c r="A351" s="14" t="s">
        <v>46</v>
      </c>
      <c r="B351" s="32" t="s">
        <v>438</v>
      </c>
      <c r="C351" s="7" t="s">
        <v>865</v>
      </c>
      <c r="D351" s="32" t="s">
        <v>866</v>
      </c>
      <c r="E351" s="21" t="n">
        <v>1003</v>
      </c>
      <c r="F351" s="21" t="n">
        <v>0</v>
      </c>
      <c r="G351" s="22" t="n">
        <v>0</v>
      </c>
      <c r="H351" s="22" t="n">
        <v>51.53</v>
      </c>
      <c r="I351" s="23" t="n">
        <v>17</v>
      </c>
      <c r="J351" s="21" t="n">
        <v>6</v>
      </c>
      <c r="K351" s="21" t="n">
        <v>0</v>
      </c>
      <c r="L351" s="21" t="n">
        <v>0</v>
      </c>
      <c r="M351" s="22" t="n">
        <f aca="false">IFERROR(L351/E351*1000,0)</f>
        <v>0</v>
      </c>
      <c r="N351" s="22" t="n">
        <f aca="false">IFERROR(J351/E351*100,0)</f>
        <v>0.598205383848455</v>
      </c>
      <c r="O351" s="32" t="str">
        <f aca="false">IF(H351&lt;30,"00-30",IF(H351&lt;40,"30-40",IF(H351&lt;50,"40-50",IF(H351&lt;60,"50-60",IF(H351&lt;70,"60-70","70+")))))</f>
        <v>50-60</v>
      </c>
      <c r="P351" s="37" t="n">
        <f aca="false">IFERROR(VALUE(SUBSTITUTE(B351,"-","")),0)</f>
        <v>20260711</v>
      </c>
    </row>
    <row r="352" customFormat="false" ht="15" hidden="false" customHeight="false" outlineLevel="0" collapsed="false">
      <c r="A352" s="14" t="s">
        <v>46</v>
      </c>
      <c r="B352" s="32" t="s">
        <v>438</v>
      </c>
      <c r="C352" s="7" t="s">
        <v>867</v>
      </c>
      <c r="D352" s="32" t="s">
        <v>868</v>
      </c>
      <c r="E352" s="21" t="n">
        <v>932</v>
      </c>
      <c r="F352" s="21" t="n">
        <v>0</v>
      </c>
      <c r="G352" s="22" t="n">
        <v>0</v>
      </c>
      <c r="H352" s="22" t="n">
        <v>39.75</v>
      </c>
      <c r="I352" s="23" t="n">
        <v>14</v>
      </c>
      <c r="J352" s="21" t="n">
        <v>3</v>
      </c>
      <c r="K352" s="21" t="n">
        <v>0</v>
      </c>
      <c r="L352" s="21" t="n">
        <v>1</v>
      </c>
      <c r="M352" s="22" t="n">
        <f aca="false">IFERROR(L352/E352*1000,0)</f>
        <v>1.07296137339056</v>
      </c>
      <c r="N352" s="22" t="n">
        <f aca="false">IFERROR(J352/E352*100,0)</f>
        <v>0.321888412017167</v>
      </c>
      <c r="O352" s="32" t="str">
        <f aca="false">IF(H352&lt;30,"00-30",IF(H352&lt;40,"30-40",IF(H352&lt;50,"40-50",IF(H352&lt;60,"50-60",IF(H352&lt;70,"60-70","70+")))))</f>
        <v>30-40</v>
      </c>
      <c r="P352" s="37" t="n">
        <f aca="false">IFERROR(VALUE(SUBSTITUTE(B352,"-","")),0)</f>
        <v>20260711</v>
      </c>
    </row>
    <row r="353" customFormat="false" ht="23.85" hidden="false" customHeight="false" outlineLevel="0" collapsed="false">
      <c r="A353" s="14" t="s">
        <v>46</v>
      </c>
      <c r="B353" s="32" t="s">
        <v>445</v>
      </c>
      <c r="C353" s="7" t="s">
        <v>869</v>
      </c>
      <c r="D353" s="32" t="s">
        <v>870</v>
      </c>
      <c r="E353" s="21" t="n">
        <v>319</v>
      </c>
      <c r="F353" s="21" t="n">
        <v>0</v>
      </c>
      <c r="G353" s="22" t="n">
        <v>0</v>
      </c>
      <c r="H353" s="22" t="n">
        <v>46.42</v>
      </c>
      <c r="I353" s="23" t="n">
        <v>18</v>
      </c>
      <c r="J353" s="21" t="n">
        <v>0</v>
      </c>
      <c r="K353" s="21" t="n">
        <v>0</v>
      </c>
      <c r="L353" s="21" t="n">
        <v>0</v>
      </c>
      <c r="M353" s="22" t="n">
        <f aca="false">IFERROR(L353/E353*1000,0)</f>
        <v>0</v>
      </c>
      <c r="N353" s="22" t="n">
        <f aca="false">IFERROR(J353/E353*100,0)</f>
        <v>0</v>
      </c>
      <c r="O353" s="32" t="str">
        <f aca="false">IF(H353&lt;30,"00-30",IF(H353&lt;40,"30-40",IF(H353&lt;50,"40-50",IF(H353&lt;60,"50-60",IF(H353&lt;70,"60-70","70+")))))</f>
        <v>40-50</v>
      </c>
      <c r="P353" s="37" t="n">
        <f aca="false">IFERROR(VALUE(SUBSTITUTE(B353,"-","")),0)</f>
        <v>20260712</v>
      </c>
    </row>
    <row r="354" customFormat="false" ht="15" hidden="false" customHeight="false" outlineLevel="0" collapsed="false">
      <c r="A354" s="14" t="s">
        <v>46</v>
      </c>
      <c r="B354" s="32" t="s">
        <v>445</v>
      </c>
      <c r="C354" s="7" t="s">
        <v>871</v>
      </c>
      <c r="D354" s="32" t="s">
        <v>872</v>
      </c>
      <c r="E354" s="21" t="n">
        <v>449</v>
      </c>
      <c r="F354" s="21" t="n">
        <v>0</v>
      </c>
      <c r="G354" s="22" t="n">
        <v>0</v>
      </c>
      <c r="H354" s="22" t="n">
        <v>68.51</v>
      </c>
      <c r="I354" s="23" t="n">
        <v>17</v>
      </c>
      <c r="J354" s="21" t="n">
        <v>3</v>
      </c>
      <c r="K354" s="21" t="n">
        <v>0</v>
      </c>
      <c r="L354" s="21" t="n">
        <v>0</v>
      </c>
      <c r="M354" s="22" t="n">
        <f aca="false">IFERROR(L354/E354*1000,0)</f>
        <v>0</v>
      </c>
      <c r="N354" s="22" t="n">
        <f aca="false">IFERROR(J354/E354*100,0)</f>
        <v>0.66815144766147</v>
      </c>
      <c r="O354" s="32" t="str">
        <f aca="false">IF(H354&lt;30,"00-30",IF(H354&lt;40,"30-40",IF(H354&lt;50,"40-50",IF(H354&lt;60,"50-60",IF(H354&lt;70,"60-70","70+")))))</f>
        <v>60-70</v>
      </c>
      <c r="P354" s="37" t="n">
        <f aca="false">IFERROR(VALUE(SUBSTITUTE(B354,"-","")),0)</f>
        <v>20260712</v>
      </c>
    </row>
    <row r="355" customFormat="false" ht="23.85" hidden="false" customHeight="false" outlineLevel="0" collapsed="false">
      <c r="A355" s="14" t="s">
        <v>46</v>
      </c>
      <c r="B355" s="32" t="s">
        <v>450</v>
      </c>
      <c r="C355" s="7" t="s">
        <v>873</v>
      </c>
      <c r="D355" s="32" t="s">
        <v>874</v>
      </c>
      <c r="E355" s="21" t="n">
        <v>248</v>
      </c>
      <c r="F355" s="21" t="n">
        <v>0</v>
      </c>
      <c r="G355" s="22" t="n">
        <v>0</v>
      </c>
      <c r="H355" s="22" t="n">
        <v>52.14</v>
      </c>
      <c r="I355" s="23" t="n">
        <v>12</v>
      </c>
      <c r="J355" s="21" t="n">
        <v>1</v>
      </c>
      <c r="K355" s="21" t="n">
        <v>0</v>
      </c>
      <c r="L355" s="21" t="n">
        <v>0</v>
      </c>
      <c r="M355" s="22" t="n">
        <f aca="false">IFERROR(L355/E355*1000,0)</f>
        <v>0</v>
      </c>
      <c r="N355" s="22" t="n">
        <f aca="false">IFERROR(J355/E355*100,0)</f>
        <v>0.403225806451613</v>
      </c>
      <c r="O355" s="32" t="str">
        <f aca="false">IF(H355&lt;30,"00-30",IF(H355&lt;40,"30-40",IF(H355&lt;50,"40-50",IF(H355&lt;60,"50-60",IF(H355&lt;70,"60-70","70+")))))</f>
        <v>50-60</v>
      </c>
      <c r="P355" s="37" t="n">
        <f aca="false">IFERROR(VALUE(SUBSTITUTE(B355,"-","")),0)</f>
        <v>20260713</v>
      </c>
    </row>
    <row r="356" customFormat="false" ht="15" hidden="false" customHeight="false" outlineLevel="0" collapsed="false">
      <c r="A356" s="14" t="s">
        <v>46</v>
      </c>
      <c r="B356" s="32" t="s">
        <v>450</v>
      </c>
      <c r="C356" s="14" t="s">
        <v>875</v>
      </c>
      <c r="D356" s="32" t="s">
        <v>876</v>
      </c>
      <c r="E356" s="21" t="n">
        <v>1008</v>
      </c>
      <c r="F356" s="21" t="n">
        <v>0</v>
      </c>
      <c r="G356" s="22" t="n">
        <v>0</v>
      </c>
      <c r="H356" s="22" t="n">
        <v>73.38</v>
      </c>
      <c r="I356" s="23" t="n">
        <v>29</v>
      </c>
      <c r="J356" s="21" t="n">
        <v>8</v>
      </c>
      <c r="K356" s="21" t="n">
        <v>0</v>
      </c>
      <c r="L356" s="21" t="n">
        <v>1</v>
      </c>
      <c r="M356" s="22" t="n">
        <f aca="false">IFERROR(L356/E356*1000,0)</f>
        <v>0.992063492063492</v>
      </c>
      <c r="N356" s="22" t="n">
        <f aca="false">IFERROR(J356/E356*100,0)</f>
        <v>0.793650793650794</v>
      </c>
      <c r="O356" s="32" t="str">
        <f aca="false">IF(H356&lt;30,"00-30",IF(H356&lt;40,"30-40",IF(H356&lt;50,"40-50",IF(H356&lt;60,"50-60",IF(H356&lt;70,"60-70","70+")))))</f>
        <v>70+</v>
      </c>
      <c r="P356" s="37" t="n">
        <f aca="false">IFERROR(VALUE(SUBSTITUTE(B356,"-","")),0)</f>
        <v>20260713</v>
      </c>
    </row>
    <row r="357" customFormat="false" ht="15" hidden="false" customHeight="false" outlineLevel="0" collapsed="false">
      <c r="A357" s="14" t="s">
        <v>46</v>
      </c>
      <c r="B357" s="32" t="s">
        <v>450</v>
      </c>
      <c r="C357" s="7" t="s">
        <v>877</v>
      </c>
      <c r="D357" s="32" t="s">
        <v>878</v>
      </c>
      <c r="E357" s="21" t="n">
        <v>1043</v>
      </c>
      <c r="F357" s="21" t="n">
        <v>0</v>
      </c>
      <c r="G357" s="22" t="n">
        <v>0</v>
      </c>
      <c r="H357" s="22" t="n">
        <v>43.24</v>
      </c>
      <c r="I357" s="23" t="n">
        <v>20</v>
      </c>
      <c r="J357" s="21" t="n">
        <v>6</v>
      </c>
      <c r="K357" s="21" t="n">
        <v>0</v>
      </c>
      <c r="L357" s="21" t="n">
        <v>1</v>
      </c>
      <c r="M357" s="22" t="n">
        <f aca="false">IFERROR(L357/E357*1000,0)</f>
        <v>0.958772770853308</v>
      </c>
      <c r="N357" s="22" t="n">
        <f aca="false">IFERROR(J357/E357*100,0)</f>
        <v>0.575263662511985</v>
      </c>
      <c r="O357" s="32" t="str">
        <f aca="false">IF(H357&lt;30,"00-30",IF(H357&lt;40,"30-40",IF(H357&lt;50,"40-50",IF(H357&lt;60,"50-60",IF(H357&lt;70,"60-70","70+")))))</f>
        <v>40-50</v>
      </c>
      <c r="P357" s="37" t="n">
        <f aca="false">IFERROR(VALUE(SUBSTITUTE(B357,"-","")),0)</f>
        <v>20260713</v>
      </c>
    </row>
    <row r="358" customFormat="false" ht="23.85" hidden="false" customHeight="false" outlineLevel="0" collapsed="false">
      <c r="A358" s="14" t="s">
        <v>46</v>
      </c>
      <c r="B358" s="32" t="s">
        <v>457</v>
      </c>
      <c r="C358" s="7" t="s">
        <v>879</v>
      </c>
      <c r="D358" s="32" t="s">
        <v>880</v>
      </c>
      <c r="E358" s="21" t="n">
        <v>352</v>
      </c>
      <c r="F358" s="21" t="n">
        <v>0</v>
      </c>
      <c r="G358" s="22" t="n">
        <v>0</v>
      </c>
      <c r="H358" s="22" t="n">
        <v>51.55</v>
      </c>
      <c r="I358" s="23" t="n">
        <v>18</v>
      </c>
      <c r="J358" s="21" t="n">
        <v>4</v>
      </c>
      <c r="K358" s="21" t="n">
        <v>0</v>
      </c>
      <c r="L358" s="21" t="n">
        <v>1</v>
      </c>
      <c r="M358" s="22" t="n">
        <f aca="false">IFERROR(L358/E358*1000,0)</f>
        <v>2.84090909090909</v>
      </c>
      <c r="N358" s="22" t="n">
        <f aca="false">IFERROR(J358/E358*100,0)</f>
        <v>1.13636363636364</v>
      </c>
      <c r="O358" s="32" t="str">
        <f aca="false">IF(H358&lt;30,"00-30",IF(H358&lt;40,"30-40",IF(H358&lt;50,"40-50",IF(H358&lt;60,"50-60",IF(H358&lt;70,"60-70","70+")))))</f>
        <v>50-60</v>
      </c>
      <c r="P358" s="37" t="n">
        <f aca="false">IFERROR(VALUE(SUBSTITUTE(B358,"-","")),0)</f>
        <v>20260714</v>
      </c>
    </row>
    <row r="359" customFormat="false" ht="15" hidden="false" customHeight="false" outlineLevel="0" collapsed="false">
      <c r="A359" s="14" t="s">
        <v>46</v>
      </c>
      <c r="B359" s="32" t="s">
        <v>457</v>
      </c>
      <c r="C359" s="7" t="s">
        <v>881</v>
      </c>
      <c r="D359" s="32" t="s">
        <v>882</v>
      </c>
      <c r="E359" s="21" t="n">
        <v>47</v>
      </c>
      <c r="F359" s="21" t="n">
        <v>0</v>
      </c>
      <c r="G359" s="22" t="n">
        <v>0</v>
      </c>
      <c r="H359" s="22" t="n">
        <v>89.37</v>
      </c>
      <c r="I359" s="23" t="n">
        <v>17</v>
      </c>
      <c r="J359" s="21" t="n">
        <v>0</v>
      </c>
      <c r="K359" s="21" t="n">
        <v>0</v>
      </c>
      <c r="L359" s="21" t="n">
        <v>0</v>
      </c>
      <c r="M359" s="22" t="n">
        <f aca="false">IFERROR(L359/E359*1000,0)</f>
        <v>0</v>
      </c>
      <c r="N359" s="22" t="n">
        <f aca="false">IFERROR(J359/E359*100,0)</f>
        <v>0</v>
      </c>
      <c r="O359" s="32" t="str">
        <f aca="false">IF(H359&lt;30,"00-30",IF(H359&lt;40,"30-40",IF(H359&lt;50,"40-50",IF(H359&lt;60,"50-60",IF(H359&lt;70,"60-70","70+")))))</f>
        <v>70+</v>
      </c>
      <c r="P359" s="37" t="n">
        <f aca="false">IFERROR(VALUE(SUBSTITUTE(B359,"-","")),0)</f>
        <v>20260714</v>
      </c>
    </row>
    <row r="360" customFormat="false" ht="15" hidden="false" customHeight="false" outlineLevel="0" collapsed="false">
      <c r="A360" s="14" t="s">
        <v>46</v>
      </c>
      <c r="B360" s="32" t="s">
        <v>462</v>
      </c>
      <c r="C360" s="7" t="s">
        <v>883</v>
      </c>
      <c r="D360" s="32" t="s">
        <v>884</v>
      </c>
      <c r="E360" s="21" t="n">
        <v>411</v>
      </c>
      <c r="F360" s="21" t="n">
        <v>0</v>
      </c>
      <c r="G360" s="22" t="n">
        <v>0</v>
      </c>
      <c r="H360" s="22" t="n">
        <v>43.62</v>
      </c>
      <c r="I360" s="23" t="n">
        <v>10</v>
      </c>
      <c r="J360" s="21" t="n">
        <v>1</v>
      </c>
      <c r="K360" s="21" t="n">
        <v>0</v>
      </c>
      <c r="L360" s="21" t="n">
        <v>0</v>
      </c>
      <c r="M360" s="22" t="n">
        <f aca="false">IFERROR(L360/E360*1000,0)</f>
        <v>0</v>
      </c>
      <c r="N360" s="22" t="n">
        <f aca="false">IFERROR(J360/E360*100,0)</f>
        <v>0.24330900243309</v>
      </c>
      <c r="O360" s="32" t="str">
        <f aca="false">IF(H360&lt;30,"00-30",IF(H360&lt;40,"30-40",IF(H360&lt;50,"40-50",IF(H360&lt;60,"50-60",IF(H360&lt;70,"60-70","70+")))))</f>
        <v>40-50</v>
      </c>
      <c r="P360" s="37" t="n">
        <f aca="false">IFERROR(VALUE(SUBSTITUTE(B360,"-","")),0)</f>
        <v>20260715</v>
      </c>
    </row>
    <row r="361" customFormat="false" ht="15" hidden="false" customHeight="false" outlineLevel="0" collapsed="false">
      <c r="A361" s="14" t="s">
        <v>46</v>
      </c>
      <c r="B361" s="32" t="s">
        <v>462</v>
      </c>
      <c r="C361" s="14" t="s">
        <v>885</v>
      </c>
      <c r="D361" s="32" t="s">
        <v>886</v>
      </c>
      <c r="E361" s="21" t="n">
        <v>1139</v>
      </c>
      <c r="F361" s="21" t="n">
        <v>0</v>
      </c>
      <c r="G361" s="22" t="n">
        <v>0</v>
      </c>
      <c r="H361" s="22" t="n">
        <v>53.68</v>
      </c>
      <c r="I361" s="23" t="n">
        <v>12</v>
      </c>
      <c r="J361" s="21" t="n">
        <v>8</v>
      </c>
      <c r="K361" s="21" t="n">
        <v>0</v>
      </c>
      <c r="L361" s="21" t="n">
        <v>0</v>
      </c>
      <c r="M361" s="22" t="n">
        <f aca="false">IFERROR(L361/E361*1000,0)</f>
        <v>0</v>
      </c>
      <c r="N361" s="22" t="n">
        <f aca="false">IFERROR(J361/E361*100,0)</f>
        <v>0.702370500438982</v>
      </c>
      <c r="O361" s="32" t="str">
        <f aca="false">IF(H361&lt;30,"00-30",IF(H361&lt;40,"30-40",IF(H361&lt;50,"40-50",IF(H361&lt;60,"50-60",IF(H361&lt;70,"60-70","70+")))))</f>
        <v>50-60</v>
      </c>
      <c r="P361" s="37" t="n">
        <f aca="false">IFERROR(VALUE(SUBSTITUTE(B361,"-","")),0)</f>
        <v>20260715</v>
      </c>
    </row>
    <row r="362" customFormat="false" ht="15" hidden="false" customHeight="false" outlineLevel="0" collapsed="false">
      <c r="A362" s="14" t="s">
        <v>46</v>
      </c>
      <c r="B362" s="32" t="s">
        <v>462</v>
      </c>
      <c r="C362" s="7" t="s">
        <v>887</v>
      </c>
      <c r="D362" s="32" t="s">
        <v>888</v>
      </c>
      <c r="E362" s="21" t="n">
        <v>340</v>
      </c>
      <c r="F362" s="21" t="n">
        <v>0</v>
      </c>
      <c r="G362" s="22" t="n">
        <v>0</v>
      </c>
      <c r="H362" s="22" t="n">
        <v>61.65</v>
      </c>
      <c r="I362" s="23" t="n">
        <v>13</v>
      </c>
      <c r="J362" s="21" t="n">
        <v>2</v>
      </c>
      <c r="K362" s="21" t="n">
        <v>0</v>
      </c>
      <c r="L362" s="21" t="n">
        <v>0</v>
      </c>
      <c r="M362" s="22" t="n">
        <f aca="false">IFERROR(L362/E362*1000,0)</f>
        <v>0</v>
      </c>
      <c r="N362" s="22" t="n">
        <f aca="false">IFERROR(J362/E362*100,0)</f>
        <v>0.588235294117647</v>
      </c>
      <c r="O362" s="32" t="str">
        <f aca="false">IF(H362&lt;30,"00-30",IF(H362&lt;40,"30-40",IF(H362&lt;50,"40-50",IF(H362&lt;60,"50-60",IF(H362&lt;70,"60-70","70+")))))</f>
        <v>60-70</v>
      </c>
      <c r="P362" s="37" t="n">
        <f aca="false">IFERROR(VALUE(SUBSTITUTE(B362,"-","")),0)</f>
        <v>20260715</v>
      </c>
    </row>
    <row r="363" customFormat="false" ht="23.85" hidden="false" customHeight="false" outlineLevel="0" collapsed="false">
      <c r="A363" s="14" t="s">
        <v>46</v>
      </c>
      <c r="B363" s="32" t="s">
        <v>469</v>
      </c>
      <c r="C363" s="7" t="s">
        <v>889</v>
      </c>
      <c r="D363" s="32" t="s">
        <v>890</v>
      </c>
      <c r="E363" s="21" t="n">
        <v>1109</v>
      </c>
      <c r="F363" s="21" t="n">
        <v>0</v>
      </c>
      <c r="G363" s="22" t="n">
        <v>0</v>
      </c>
      <c r="H363" s="22" t="n">
        <v>52.37</v>
      </c>
      <c r="I363" s="23" t="n">
        <v>17</v>
      </c>
      <c r="J363" s="21" t="n">
        <v>4</v>
      </c>
      <c r="K363" s="21" t="n">
        <v>0</v>
      </c>
      <c r="L363" s="21" t="n">
        <v>0</v>
      </c>
      <c r="M363" s="22" t="n">
        <f aca="false">IFERROR(L363/E363*1000,0)</f>
        <v>0</v>
      </c>
      <c r="N363" s="22" t="n">
        <f aca="false">IFERROR(J363/E363*100,0)</f>
        <v>0.36068530207394</v>
      </c>
      <c r="O363" s="32" t="str">
        <f aca="false">IF(H363&lt;30,"00-30",IF(H363&lt;40,"30-40",IF(H363&lt;50,"40-50",IF(H363&lt;60,"50-60",IF(H363&lt;70,"60-70","70+")))))</f>
        <v>50-60</v>
      </c>
      <c r="P363" s="37" t="n">
        <f aca="false">IFERROR(VALUE(SUBSTITUTE(B363,"-","")),0)</f>
        <v>20260716</v>
      </c>
    </row>
    <row r="364" customFormat="false" ht="15" hidden="false" customHeight="false" outlineLevel="0" collapsed="false">
      <c r="A364" s="14" t="s">
        <v>46</v>
      </c>
      <c r="B364" s="32" t="s">
        <v>469</v>
      </c>
      <c r="C364" s="7" t="s">
        <v>891</v>
      </c>
      <c r="D364" s="32" t="s">
        <v>892</v>
      </c>
      <c r="E364" s="21" t="n">
        <v>1067</v>
      </c>
      <c r="F364" s="21" t="n">
        <v>0</v>
      </c>
      <c r="G364" s="22" t="n">
        <v>0</v>
      </c>
      <c r="H364" s="22" t="n">
        <v>49.69</v>
      </c>
      <c r="I364" s="23" t="n">
        <v>14</v>
      </c>
      <c r="J364" s="21" t="n">
        <v>7</v>
      </c>
      <c r="K364" s="21" t="n">
        <v>0</v>
      </c>
      <c r="L364" s="21" t="n">
        <v>2</v>
      </c>
      <c r="M364" s="22" t="n">
        <f aca="false">IFERROR(L364/E364*1000,0)</f>
        <v>1.87441424554827</v>
      </c>
      <c r="N364" s="22" t="n">
        <f aca="false">IFERROR(J364/E364*100,0)</f>
        <v>0.656044985941893</v>
      </c>
      <c r="O364" s="32" t="str">
        <f aca="false">IF(H364&lt;30,"00-30",IF(H364&lt;40,"30-40",IF(H364&lt;50,"40-50",IF(H364&lt;60,"50-60",IF(H364&lt;70,"60-70","70+")))))</f>
        <v>40-50</v>
      </c>
      <c r="P364" s="37" t="n">
        <f aca="false">IFERROR(VALUE(SUBSTITUTE(B364,"-","")),0)</f>
        <v>20260716</v>
      </c>
    </row>
    <row r="365" customFormat="false" ht="15" hidden="false" customHeight="false" outlineLevel="0" collapsed="false">
      <c r="A365" s="14" t="s">
        <v>46</v>
      </c>
      <c r="B365" s="32" t="s">
        <v>469</v>
      </c>
      <c r="C365" s="7" t="s">
        <v>893</v>
      </c>
      <c r="D365" s="32" t="s">
        <v>894</v>
      </c>
      <c r="E365" s="21" t="n">
        <v>775</v>
      </c>
      <c r="F365" s="21" t="n">
        <v>0</v>
      </c>
      <c r="G365" s="22" t="n">
        <v>0</v>
      </c>
      <c r="H365" s="22" t="n">
        <v>54.24</v>
      </c>
      <c r="I365" s="23" t="n">
        <v>16</v>
      </c>
      <c r="J365" s="21" t="n">
        <v>2</v>
      </c>
      <c r="K365" s="21" t="n">
        <v>0</v>
      </c>
      <c r="L365" s="21" t="n">
        <v>0</v>
      </c>
      <c r="M365" s="22" t="n">
        <f aca="false">IFERROR(L365/E365*1000,0)</f>
        <v>0</v>
      </c>
      <c r="N365" s="22" t="n">
        <f aca="false">IFERROR(J365/E365*100,0)</f>
        <v>0.258064516129032</v>
      </c>
      <c r="O365" s="32" t="str">
        <f aca="false">IF(H365&lt;30,"00-30",IF(H365&lt;40,"30-40",IF(H365&lt;50,"40-50",IF(H365&lt;60,"50-60",IF(H365&lt;70,"60-70","70+")))))</f>
        <v>50-60</v>
      </c>
      <c r="P365" s="37" t="n">
        <f aca="false">IFERROR(VALUE(SUBSTITUTE(B365,"-","")),0)</f>
        <v>20260716</v>
      </c>
    </row>
    <row r="366" customFormat="false" ht="15" hidden="false" customHeight="false" outlineLevel="0" collapsed="false">
      <c r="A366" s="14" t="s">
        <v>46</v>
      </c>
      <c r="B366" s="32" t="s">
        <v>476</v>
      </c>
      <c r="C366" s="7" t="s">
        <v>895</v>
      </c>
      <c r="D366" s="32" t="s">
        <v>896</v>
      </c>
      <c r="E366" s="21" t="n">
        <v>1414</v>
      </c>
      <c r="F366" s="21" t="n">
        <v>0</v>
      </c>
      <c r="G366" s="22" t="n">
        <v>0</v>
      </c>
      <c r="H366" s="22" t="n">
        <v>68.05</v>
      </c>
      <c r="I366" s="23" t="n">
        <v>17</v>
      </c>
      <c r="J366" s="21" t="n">
        <v>7</v>
      </c>
      <c r="K366" s="21" t="n">
        <v>1</v>
      </c>
      <c r="L366" s="21" t="n">
        <v>2</v>
      </c>
      <c r="M366" s="22" t="n">
        <f aca="false">IFERROR(L366/E366*1000,0)</f>
        <v>1.41442715700141</v>
      </c>
      <c r="N366" s="22" t="n">
        <f aca="false">IFERROR(J366/E366*100,0)</f>
        <v>0.495049504950495</v>
      </c>
      <c r="O366" s="32" t="str">
        <f aca="false">IF(H366&lt;30,"00-30",IF(H366&lt;40,"30-40",IF(H366&lt;50,"40-50",IF(H366&lt;60,"50-60",IF(H366&lt;70,"60-70","70+")))))</f>
        <v>60-70</v>
      </c>
      <c r="P366" s="37" t="n">
        <f aca="false">IFERROR(VALUE(SUBSTITUTE(B366,"-","")),0)</f>
        <v>20260717</v>
      </c>
    </row>
    <row r="367" customFormat="false" ht="15" hidden="false" customHeight="false" outlineLevel="0" collapsed="false">
      <c r="A367" s="14" t="s">
        <v>46</v>
      </c>
      <c r="B367" s="32" t="s">
        <v>476</v>
      </c>
      <c r="C367" s="14" t="s">
        <v>897</v>
      </c>
      <c r="D367" s="32" t="s">
        <v>898</v>
      </c>
      <c r="E367" s="21" t="n">
        <v>1000</v>
      </c>
      <c r="F367" s="21" t="n">
        <v>0</v>
      </c>
      <c r="G367" s="22" t="n">
        <v>0</v>
      </c>
      <c r="H367" s="22" t="n">
        <v>48.82</v>
      </c>
      <c r="I367" s="23" t="n">
        <v>15</v>
      </c>
      <c r="J367" s="21" t="n">
        <v>4</v>
      </c>
      <c r="K367" s="21" t="n">
        <v>1</v>
      </c>
      <c r="L367" s="21" t="n">
        <v>2</v>
      </c>
      <c r="M367" s="22" t="n">
        <f aca="false">IFERROR(L367/E367*1000,0)</f>
        <v>2</v>
      </c>
      <c r="N367" s="22" t="n">
        <f aca="false">IFERROR(J367/E367*100,0)</f>
        <v>0.4</v>
      </c>
      <c r="O367" s="32" t="str">
        <f aca="false">IF(H367&lt;30,"00-30",IF(H367&lt;40,"30-40",IF(H367&lt;50,"40-50",IF(H367&lt;60,"50-60",IF(H367&lt;70,"60-70","70+")))))</f>
        <v>40-50</v>
      </c>
      <c r="P367" s="37" t="n">
        <f aca="false">IFERROR(VALUE(SUBSTITUTE(B367,"-","")),0)</f>
        <v>20260717</v>
      </c>
    </row>
    <row r="368" customFormat="false" ht="15" hidden="false" customHeight="false" outlineLevel="0" collapsed="false">
      <c r="A368" s="14" t="s">
        <v>46</v>
      </c>
      <c r="B368" s="32" t="s">
        <v>476</v>
      </c>
      <c r="C368" s="7" t="s">
        <v>899</v>
      </c>
      <c r="D368" s="32" t="s">
        <v>900</v>
      </c>
      <c r="E368" s="21" t="n">
        <v>1056</v>
      </c>
      <c r="F368" s="21" t="n">
        <v>0</v>
      </c>
      <c r="G368" s="22" t="n">
        <v>0</v>
      </c>
      <c r="H368" s="22" t="n">
        <v>54.07</v>
      </c>
      <c r="I368" s="23" t="n">
        <v>19</v>
      </c>
      <c r="J368" s="21" t="n">
        <v>10</v>
      </c>
      <c r="K368" s="21" t="n">
        <v>0</v>
      </c>
      <c r="L368" s="21" t="n">
        <v>1</v>
      </c>
      <c r="M368" s="22" t="n">
        <f aca="false">IFERROR(L368/E368*1000,0)</f>
        <v>0.946969696969697</v>
      </c>
      <c r="N368" s="22" t="n">
        <f aca="false">IFERROR(J368/E368*100,0)</f>
        <v>0.946969696969697</v>
      </c>
      <c r="O368" s="32" t="str">
        <f aca="false">IF(H368&lt;30,"00-30",IF(H368&lt;40,"30-40",IF(H368&lt;50,"40-50",IF(H368&lt;60,"50-60",IF(H368&lt;70,"60-70","70+")))))</f>
        <v>50-60</v>
      </c>
      <c r="P368" s="37" t="n">
        <f aca="false">IFERROR(VALUE(SUBSTITUTE(B368,"-","")),0)</f>
        <v>20260717</v>
      </c>
    </row>
    <row r="369" customFormat="false" ht="15" hidden="false" customHeight="false" outlineLevel="0" collapsed="false">
      <c r="A369" s="14" t="s">
        <v>46</v>
      </c>
      <c r="B369" s="32" t="s">
        <v>483</v>
      </c>
      <c r="C369" s="7" t="s">
        <v>901</v>
      </c>
      <c r="D369" s="32" t="s">
        <v>902</v>
      </c>
      <c r="E369" s="21" t="n">
        <v>854</v>
      </c>
      <c r="F369" s="21" t="n">
        <v>0</v>
      </c>
      <c r="G369" s="22" t="n">
        <v>0</v>
      </c>
      <c r="H369" s="22" t="n">
        <v>36.92</v>
      </c>
      <c r="I369" s="23" t="n">
        <v>13</v>
      </c>
      <c r="J369" s="21" t="n">
        <v>4</v>
      </c>
      <c r="K369" s="21" t="n">
        <v>0</v>
      </c>
      <c r="L369" s="21" t="n">
        <v>0</v>
      </c>
      <c r="M369" s="22" t="n">
        <f aca="false">IFERROR(L369/E369*1000,0)</f>
        <v>0</v>
      </c>
      <c r="N369" s="22" t="n">
        <f aca="false">IFERROR(J369/E369*100,0)</f>
        <v>0.468384074941452</v>
      </c>
      <c r="O369" s="32" t="str">
        <f aca="false">IF(H369&lt;30,"00-30",IF(H369&lt;40,"30-40",IF(H369&lt;50,"40-50",IF(H369&lt;60,"50-60",IF(H369&lt;70,"60-70","70+")))))</f>
        <v>30-40</v>
      </c>
      <c r="P369" s="37" t="n">
        <f aca="false">IFERROR(VALUE(SUBSTITUTE(B369,"-","")),0)</f>
        <v>20260718</v>
      </c>
    </row>
    <row r="370" customFormat="false" ht="15" hidden="false" customHeight="false" outlineLevel="0" collapsed="false">
      <c r="A370" s="14" t="s">
        <v>46</v>
      </c>
      <c r="B370" s="32" t="s">
        <v>483</v>
      </c>
      <c r="C370" s="7" t="s">
        <v>903</v>
      </c>
      <c r="D370" s="32" t="s">
        <v>904</v>
      </c>
      <c r="E370" s="21" t="n">
        <v>931</v>
      </c>
      <c r="F370" s="21" t="n">
        <v>0</v>
      </c>
      <c r="G370" s="22" t="n">
        <v>0</v>
      </c>
      <c r="H370" s="22" t="n">
        <v>39.9</v>
      </c>
      <c r="I370" s="23" t="n">
        <v>14</v>
      </c>
      <c r="J370" s="21" t="n">
        <v>3</v>
      </c>
      <c r="K370" s="21" t="n">
        <v>0</v>
      </c>
      <c r="L370" s="21" t="n">
        <v>1</v>
      </c>
      <c r="M370" s="22" t="n">
        <f aca="false">IFERROR(L370/E370*1000,0)</f>
        <v>1.07411385606874</v>
      </c>
      <c r="N370" s="22" t="n">
        <f aca="false">IFERROR(J370/E370*100,0)</f>
        <v>0.322234156820623</v>
      </c>
      <c r="O370" s="32" t="str">
        <f aca="false">IF(H370&lt;30,"00-30",IF(H370&lt;40,"30-40",IF(H370&lt;50,"40-50",IF(H370&lt;60,"50-60",IF(H370&lt;70,"60-70","70+")))))</f>
        <v>30-40</v>
      </c>
      <c r="P370" s="37" t="n">
        <f aca="false">IFERROR(VALUE(SUBSTITUTE(B370,"-","")),0)</f>
        <v>20260718</v>
      </c>
    </row>
    <row r="371" customFormat="false" ht="15" hidden="false" customHeight="false" outlineLevel="0" collapsed="false">
      <c r="A371" s="14" t="s">
        <v>46</v>
      </c>
      <c r="B371" s="32" t="s">
        <v>483</v>
      </c>
      <c r="C371" s="7" t="s">
        <v>905</v>
      </c>
      <c r="D371" s="32" t="s">
        <v>906</v>
      </c>
      <c r="E371" s="21" t="n">
        <v>936</v>
      </c>
      <c r="F371" s="21" t="n">
        <v>0</v>
      </c>
      <c r="G371" s="22" t="n">
        <v>0</v>
      </c>
      <c r="H371" s="22" t="n">
        <v>42.51</v>
      </c>
      <c r="I371" s="23" t="n">
        <v>16</v>
      </c>
      <c r="J371" s="21" t="n">
        <v>5</v>
      </c>
      <c r="K371" s="21" t="n">
        <v>1</v>
      </c>
      <c r="L371" s="21" t="n">
        <v>0</v>
      </c>
      <c r="M371" s="22" t="n">
        <f aca="false">IFERROR(L371/E371*1000,0)</f>
        <v>0</v>
      </c>
      <c r="N371" s="22" t="n">
        <f aca="false">IFERROR(J371/E371*100,0)</f>
        <v>0.534188034188034</v>
      </c>
      <c r="O371" s="32" t="str">
        <f aca="false">IF(H371&lt;30,"00-30",IF(H371&lt;40,"30-40",IF(H371&lt;50,"40-50",IF(H371&lt;60,"50-60",IF(H371&lt;70,"60-70","70+")))))</f>
        <v>40-50</v>
      </c>
      <c r="P371" s="37" t="n">
        <f aca="false">IFERROR(VALUE(SUBSTITUTE(B371,"-","")),0)</f>
        <v>20260718</v>
      </c>
    </row>
    <row r="372" customFormat="false" ht="15" hidden="false" customHeight="false" outlineLevel="0" collapsed="false">
      <c r="A372" s="14" t="s">
        <v>46</v>
      </c>
      <c r="B372" s="32" t="s">
        <v>490</v>
      </c>
      <c r="C372" s="7" t="s">
        <v>907</v>
      </c>
      <c r="D372" s="32" t="s">
        <v>908</v>
      </c>
      <c r="E372" s="21" t="n">
        <v>834</v>
      </c>
      <c r="F372" s="21" t="n">
        <v>0</v>
      </c>
      <c r="G372" s="22" t="n">
        <v>0</v>
      </c>
      <c r="H372" s="22" t="n">
        <v>52.71</v>
      </c>
      <c r="I372" s="23" t="n">
        <v>18</v>
      </c>
      <c r="J372" s="21" t="n">
        <v>1</v>
      </c>
      <c r="K372" s="21" t="n">
        <v>1</v>
      </c>
      <c r="L372" s="21" t="n">
        <v>0</v>
      </c>
      <c r="M372" s="22" t="n">
        <f aca="false">IFERROR(L372/E372*1000,0)</f>
        <v>0</v>
      </c>
      <c r="N372" s="22" t="n">
        <f aca="false">IFERROR(J372/E372*100,0)</f>
        <v>0.119904076738609</v>
      </c>
      <c r="O372" s="32" t="str">
        <f aca="false">IF(H372&lt;30,"00-30",IF(H372&lt;40,"30-40",IF(H372&lt;50,"40-50",IF(H372&lt;60,"50-60",IF(H372&lt;70,"60-70","70+")))))</f>
        <v>50-60</v>
      </c>
      <c r="P372" s="37" t="n">
        <f aca="false">IFERROR(VALUE(SUBSTITUTE(B372,"-","")),0)</f>
        <v>20260719</v>
      </c>
    </row>
    <row r="373" customFormat="false" ht="15" hidden="false" customHeight="false" outlineLevel="0" collapsed="false">
      <c r="A373" s="14" t="s">
        <v>46</v>
      </c>
      <c r="B373" s="32" t="s">
        <v>490</v>
      </c>
      <c r="C373" s="7" t="s">
        <v>909</v>
      </c>
      <c r="D373" s="32" t="s">
        <v>910</v>
      </c>
      <c r="E373" s="21" t="n">
        <v>902</v>
      </c>
      <c r="F373" s="21" t="n">
        <v>0</v>
      </c>
      <c r="G373" s="22" t="n">
        <v>0</v>
      </c>
      <c r="H373" s="22" t="n">
        <v>54.98</v>
      </c>
      <c r="I373" s="23" t="n">
        <v>19</v>
      </c>
      <c r="J373" s="21" t="n">
        <v>2</v>
      </c>
      <c r="K373" s="21" t="n">
        <v>0</v>
      </c>
      <c r="L373" s="21" t="n">
        <v>2</v>
      </c>
      <c r="M373" s="22" t="n">
        <f aca="false">IFERROR(L373/E373*1000,0)</f>
        <v>2.21729490022173</v>
      </c>
      <c r="N373" s="22" t="n">
        <f aca="false">IFERROR(J373/E373*100,0)</f>
        <v>0.221729490022173</v>
      </c>
      <c r="O373" s="32" t="str">
        <f aca="false">IF(H373&lt;30,"00-30",IF(H373&lt;40,"30-40",IF(H373&lt;50,"40-50",IF(H373&lt;60,"50-60",IF(H373&lt;70,"60-70","70+")))))</f>
        <v>50-60</v>
      </c>
      <c r="P373" s="37" t="n">
        <f aca="false">IFERROR(VALUE(SUBSTITUTE(B373,"-","")),0)</f>
        <v>20260719</v>
      </c>
    </row>
    <row r="374" customFormat="false" ht="15" hidden="false" customHeight="false" outlineLevel="0" collapsed="false">
      <c r="A374" s="14" t="s">
        <v>46</v>
      </c>
      <c r="B374" s="32" t="s">
        <v>490</v>
      </c>
      <c r="C374" s="7" t="s">
        <v>911</v>
      </c>
      <c r="D374" s="32" t="s">
        <v>912</v>
      </c>
      <c r="E374" s="21" t="n">
        <v>713</v>
      </c>
      <c r="F374" s="21" t="n">
        <v>0</v>
      </c>
      <c r="G374" s="22" t="n">
        <v>0</v>
      </c>
      <c r="H374" s="22" t="n">
        <v>60.99</v>
      </c>
      <c r="I374" s="23" t="n">
        <v>18</v>
      </c>
      <c r="J374" s="21" t="n">
        <v>9</v>
      </c>
      <c r="K374" s="21" t="n">
        <v>1</v>
      </c>
      <c r="L374" s="21" t="n">
        <v>3</v>
      </c>
      <c r="M374" s="22" t="n">
        <f aca="false">IFERROR(L374/E374*1000,0)</f>
        <v>4.20757363253857</v>
      </c>
      <c r="N374" s="22" t="n">
        <f aca="false">IFERROR(J374/E374*100,0)</f>
        <v>1.26227208976157</v>
      </c>
      <c r="O374" s="32" t="str">
        <f aca="false">IF(H374&lt;30,"00-30",IF(H374&lt;40,"30-40",IF(H374&lt;50,"40-50",IF(H374&lt;60,"50-60",IF(H374&lt;70,"60-70","70+")))))</f>
        <v>60-70</v>
      </c>
      <c r="P374" s="37" t="n">
        <f aca="false">IFERROR(VALUE(SUBSTITUTE(B374,"-","")),0)</f>
        <v>20260719</v>
      </c>
    </row>
    <row r="375" customFormat="false" ht="15" hidden="false" customHeight="false" outlineLevel="0" collapsed="false">
      <c r="A375" s="14" t="s">
        <v>46</v>
      </c>
      <c r="B375" s="32" t="s">
        <v>499</v>
      </c>
      <c r="C375" s="7" t="s">
        <v>913</v>
      </c>
      <c r="D375" s="32" t="s">
        <v>914</v>
      </c>
      <c r="E375" s="21" t="n">
        <v>1161</v>
      </c>
      <c r="F375" s="21" t="n">
        <v>0</v>
      </c>
      <c r="G375" s="22" t="n">
        <v>0</v>
      </c>
      <c r="H375" s="22" t="n">
        <v>79.26</v>
      </c>
      <c r="I375" s="23" t="n">
        <v>28</v>
      </c>
      <c r="J375" s="21" t="n">
        <v>3</v>
      </c>
      <c r="K375" s="21" t="n">
        <v>0</v>
      </c>
      <c r="L375" s="21" t="n">
        <v>0</v>
      </c>
      <c r="M375" s="22" t="n">
        <f aca="false">IFERROR(L375/E375*1000,0)</f>
        <v>0</v>
      </c>
      <c r="N375" s="22" t="n">
        <f aca="false">IFERROR(J375/E375*100,0)</f>
        <v>0.258397932816538</v>
      </c>
      <c r="O375" s="32" t="str">
        <f aca="false">IF(H375&lt;30,"00-30",IF(H375&lt;40,"30-40",IF(H375&lt;50,"40-50",IF(H375&lt;60,"50-60",IF(H375&lt;70,"60-70","70+")))))</f>
        <v>70+</v>
      </c>
      <c r="P375" s="37" t="n">
        <f aca="false">IFERROR(VALUE(SUBSTITUTE(B375,"-","")),0)</f>
        <v>20260720</v>
      </c>
    </row>
    <row r="376" customFormat="false" ht="23.85" hidden="false" customHeight="false" outlineLevel="0" collapsed="false">
      <c r="A376" s="14" t="s">
        <v>46</v>
      </c>
      <c r="B376" s="32" t="s">
        <v>499</v>
      </c>
      <c r="C376" s="7" t="s">
        <v>915</v>
      </c>
      <c r="D376" s="32" t="s">
        <v>916</v>
      </c>
      <c r="E376" s="21" t="n">
        <v>824</v>
      </c>
      <c r="F376" s="21" t="n">
        <v>0</v>
      </c>
      <c r="G376" s="22" t="n">
        <v>0</v>
      </c>
      <c r="H376" s="22" t="n">
        <v>57.87</v>
      </c>
      <c r="I376" s="23" t="n">
        <v>23</v>
      </c>
      <c r="J376" s="21" t="n">
        <v>6</v>
      </c>
      <c r="K376" s="21" t="n">
        <v>0</v>
      </c>
      <c r="L376" s="21" t="n">
        <v>3</v>
      </c>
      <c r="M376" s="22" t="n">
        <f aca="false">IFERROR(L376/E376*1000,0)</f>
        <v>3.64077669902913</v>
      </c>
      <c r="N376" s="22" t="n">
        <f aca="false">IFERROR(J376/E376*100,0)</f>
        <v>0.728155339805825</v>
      </c>
      <c r="O376" s="32" t="str">
        <f aca="false">IF(H376&lt;30,"00-30",IF(H376&lt;40,"30-40",IF(H376&lt;50,"40-50",IF(H376&lt;60,"50-60",IF(H376&lt;70,"60-70","70+")))))</f>
        <v>50-60</v>
      </c>
      <c r="P376" s="37" t="n">
        <f aca="false">IFERROR(VALUE(SUBSTITUTE(B376,"-","")),0)</f>
        <v>20260720</v>
      </c>
    </row>
    <row r="377" customFormat="false" ht="15" hidden="false" customHeight="false" outlineLevel="0" collapsed="false">
      <c r="A377" s="14" t="s">
        <v>46</v>
      </c>
      <c r="B377" s="32" t="s">
        <v>504</v>
      </c>
      <c r="C377" s="7" t="s">
        <v>917</v>
      </c>
      <c r="D377" s="32" t="s">
        <v>918</v>
      </c>
      <c r="E377" s="21" t="n">
        <v>826</v>
      </c>
      <c r="F377" s="21" t="n">
        <v>773</v>
      </c>
      <c r="G377" s="22" t="n">
        <v>0.005</v>
      </c>
      <c r="H377" s="22" t="n">
        <v>35.43</v>
      </c>
      <c r="I377" s="23" t="n">
        <v>15</v>
      </c>
      <c r="J377" s="21" t="n">
        <v>3</v>
      </c>
      <c r="K377" s="21" t="n">
        <v>0</v>
      </c>
      <c r="L377" s="21" t="n">
        <v>1</v>
      </c>
      <c r="M377" s="22" t="n">
        <f aca="false">IFERROR(L377/E377*1000,0)</f>
        <v>1.21065375302663</v>
      </c>
      <c r="N377" s="22" t="n">
        <f aca="false">IFERROR(J377/E377*100,0)</f>
        <v>0.36319612590799</v>
      </c>
      <c r="O377" s="32" t="str">
        <f aca="false">IF(H377&lt;30,"00-30",IF(H377&lt;40,"30-40",IF(H377&lt;50,"40-50",IF(H377&lt;60,"50-60",IF(H377&lt;70,"60-70","70+")))))</f>
        <v>30-40</v>
      </c>
      <c r="P377" s="37" t="n">
        <f aca="false">IFERROR(VALUE(SUBSTITUTE(B377,"-","")),0)</f>
        <v>20260723</v>
      </c>
    </row>
    <row r="378" customFormat="false" ht="23.85" hidden="false" customHeight="false" outlineLevel="0" collapsed="false">
      <c r="A378" s="14" t="s">
        <v>46</v>
      </c>
      <c r="B378" s="32" t="s">
        <v>504</v>
      </c>
      <c r="C378" s="7" t="s">
        <v>919</v>
      </c>
      <c r="D378" s="32" t="s">
        <v>920</v>
      </c>
      <c r="E378" s="21" t="n">
        <v>915</v>
      </c>
      <c r="F378" s="21" t="n">
        <v>595</v>
      </c>
      <c r="G378" s="22" t="n">
        <v>0.005</v>
      </c>
      <c r="H378" s="22" t="n">
        <v>53.89</v>
      </c>
      <c r="I378" s="23" t="n">
        <v>19</v>
      </c>
      <c r="J378" s="21" t="n">
        <v>1</v>
      </c>
      <c r="K378" s="21" t="n">
        <v>0</v>
      </c>
      <c r="L378" s="21" t="n">
        <v>0</v>
      </c>
      <c r="M378" s="22" t="n">
        <f aca="false">IFERROR(L378/E378*1000,0)</f>
        <v>0</v>
      </c>
      <c r="N378" s="22" t="n">
        <f aca="false">IFERROR(J378/E378*100,0)</f>
        <v>0.109289617486339</v>
      </c>
      <c r="O378" s="32" t="str">
        <f aca="false">IF(H378&lt;30,"00-30",IF(H378&lt;40,"30-40",IF(H378&lt;50,"40-50",IF(H378&lt;60,"50-60",IF(H378&lt;70,"60-70","70+")))))</f>
        <v>50-60</v>
      </c>
      <c r="P378" s="37" t="n">
        <f aca="false">IFERROR(VALUE(SUBSTITUTE(B378,"-","")),0)</f>
        <v>20260723</v>
      </c>
    </row>
    <row r="379" customFormat="false" ht="15" hidden="false" customHeight="false" outlineLevel="0" collapsed="false">
      <c r="A379" s="14" t="s">
        <v>46</v>
      </c>
      <c r="B379" s="32" t="s">
        <v>504</v>
      </c>
      <c r="C379" s="7" t="s">
        <v>921</v>
      </c>
      <c r="D379" s="32" t="s">
        <v>922</v>
      </c>
      <c r="E379" s="21" t="n">
        <v>822</v>
      </c>
      <c r="F379" s="21" t="n">
        <v>789</v>
      </c>
      <c r="G379" s="22" t="n">
        <v>0.014</v>
      </c>
      <c r="H379" s="22" t="n">
        <v>84.88</v>
      </c>
      <c r="I379" s="23" t="n">
        <v>33</v>
      </c>
      <c r="J379" s="21" t="n">
        <v>4</v>
      </c>
      <c r="K379" s="21" t="n">
        <v>0</v>
      </c>
      <c r="L379" s="21" t="n">
        <v>3</v>
      </c>
      <c r="M379" s="22" t="n">
        <f aca="false">IFERROR(L379/E379*1000,0)</f>
        <v>3.64963503649635</v>
      </c>
      <c r="N379" s="22" t="n">
        <f aca="false">IFERROR(J379/E379*100,0)</f>
        <v>0.48661800486618</v>
      </c>
      <c r="O379" s="32" t="str">
        <f aca="false">IF(H379&lt;30,"00-30",IF(H379&lt;40,"30-40",IF(H379&lt;50,"40-50",IF(H379&lt;60,"50-60",IF(H379&lt;70,"60-70","70+")))))</f>
        <v>70+</v>
      </c>
      <c r="P379" s="37" t="n">
        <f aca="false">IFERROR(VALUE(SUBSTITUTE(B379,"-","")),0)</f>
        <v>20260723</v>
      </c>
    </row>
    <row r="380" customFormat="false" ht="15" hidden="false" customHeight="false" outlineLevel="0" collapsed="false">
      <c r="A380" s="14" t="s">
        <v>46</v>
      </c>
      <c r="B380" s="32" t="s">
        <v>511</v>
      </c>
      <c r="C380" s="7" t="s">
        <v>923</v>
      </c>
      <c r="D380" s="32" t="s">
        <v>924</v>
      </c>
      <c r="E380" s="21" t="n">
        <v>828</v>
      </c>
      <c r="F380" s="21" t="n">
        <v>774</v>
      </c>
      <c r="G380" s="22" t="n">
        <v>0.008</v>
      </c>
      <c r="H380" s="22" t="n">
        <v>67.84</v>
      </c>
      <c r="I380" s="23" t="n">
        <v>18</v>
      </c>
      <c r="J380" s="21" t="n">
        <v>4</v>
      </c>
      <c r="K380" s="21" t="n">
        <v>0</v>
      </c>
      <c r="L380" s="21" t="n">
        <v>2</v>
      </c>
      <c r="M380" s="22" t="n">
        <f aca="false">IFERROR(L380/E380*1000,0)</f>
        <v>2.41545893719807</v>
      </c>
      <c r="N380" s="22" t="n">
        <f aca="false">IFERROR(J380/E380*100,0)</f>
        <v>0.483091787439614</v>
      </c>
      <c r="O380" s="32" t="str">
        <f aca="false">IF(H380&lt;30,"00-30",IF(H380&lt;40,"30-40",IF(H380&lt;50,"40-50",IF(H380&lt;60,"50-60",IF(H380&lt;70,"60-70","70+")))))</f>
        <v>60-70</v>
      </c>
      <c r="P380" s="37" t="n">
        <f aca="false">IFERROR(VALUE(SUBSTITUTE(B380,"-","")),0)</f>
        <v>20260724</v>
      </c>
    </row>
    <row r="381" customFormat="false" ht="15" hidden="false" customHeight="false" outlineLevel="0" collapsed="false">
      <c r="A381" s="14" t="s">
        <v>46</v>
      </c>
      <c r="B381" s="32" t="s">
        <v>511</v>
      </c>
      <c r="C381" s="7" t="s">
        <v>925</v>
      </c>
      <c r="D381" s="32" t="s">
        <v>926</v>
      </c>
      <c r="E381" s="21" t="n">
        <v>835</v>
      </c>
      <c r="F381" s="21" t="n">
        <v>251</v>
      </c>
      <c r="G381" s="22" t="n">
        <v>0.004</v>
      </c>
      <c r="H381" s="22" t="n">
        <v>59.61</v>
      </c>
      <c r="I381" s="23" t="n">
        <v>19</v>
      </c>
      <c r="J381" s="21" t="n">
        <v>6</v>
      </c>
      <c r="K381" s="21" t="n">
        <v>0</v>
      </c>
      <c r="L381" s="21" t="n">
        <v>2</v>
      </c>
      <c r="M381" s="22" t="n">
        <f aca="false">IFERROR(L381/E381*1000,0)</f>
        <v>2.39520958083832</v>
      </c>
      <c r="N381" s="22" t="n">
        <f aca="false">IFERROR(J381/E381*100,0)</f>
        <v>0.718562874251497</v>
      </c>
      <c r="O381" s="32" t="str">
        <f aca="false">IF(H381&lt;30,"00-30",IF(H381&lt;40,"30-40",IF(H381&lt;50,"40-50",IF(H381&lt;60,"50-60",IF(H381&lt;70,"60-70","70+")))))</f>
        <v>50-60</v>
      </c>
      <c r="P381" s="37" t="n">
        <f aca="false">IFERROR(VALUE(SUBSTITUTE(B381,"-","")),0)</f>
        <v>20260724</v>
      </c>
    </row>
    <row r="382" customFormat="false" ht="15" hidden="false" customHeight="false" outlineLevel="0" collapsed="false">
      <c r="A382" s="14" t="s">
        <v>46</v>
      </c>
      <c r="B382" s="32" t="s">
        <v>511</v>
      </c>
      <c r="C382" s="7" t="s">
        <v>927</v>
      </c>
      <c r="D382" s="32" t="s">
        <v>928</v>
      </c>
      <c r="E382" s="21" t="n">
        <v>1003</v>
      </c>
      <c r="F382" s="21" t="n">
        <v>957</v>
      </c>
      <c r="G382" s="22" t="n">
        <v>0.011</v>
      </c>
      <c r="H382" s="22" t="n">
        <v>51.34</v>
      </c>
      <c r="I382" s="23" t="n">
        <v>17</v>
      </c>
      <c r="J382" s="21" t="n">
        <v>7</v>
      </c>
      <c r="K382" s="21" t="n">
        <v>0</v>
      </c>
      <c r="L382" s="21" t="n">
        <v>0</v>
      </c>
      <c r="M382" s="22" t="n">
        <f aca="false">IFERROR(L382/E382*1000,0)</f>
        <v>0</v>
      </c>
      <c r="N382" s="22" t="n">
        <f aca="false">IFERROR(J382/E382*100,0)</f>
        <v>0.69790628115653</v>
      </c>
      <c r="O382" s="32" t="str">
        <f aca="false">IF(H382&lt;30,"00-30",IF(H382&lt;40,"30-40",IF(H382&lt;50,"40-50",IF(H382&lt;60,"50-60",IF(H382&lt;70,"60-70","70+")))))</f>
        <v>50-60</v>
      </c>
      <c r="P382" s="37" t="n">
        <f aca="false">IFERROR(VALUE(SUBSTITUTE(B382,"-","")),0)</f>
        <v>20260724</v>
      </c>
    </row>
    <row r="383" customFormat="false" ht="15" hidden="false" customHeight="false" outlineLevel="0" collapsed="false">
      <c r="A383" s="14" t="s">
        <v>46</v>
      </c>
      <c r="B383" s="32" t="s">
        <v>518</v>
      </c>
      <c r="C383" s="14" t="s">
        <v>929</v>
      </c>
      <c r="D383" s="32" t="s">
        <v>930</v>
      </c>
      <c r="E383" s="21" t="n">
        <v>492</v>
      </c>
      <c r="F383" s="21" t="n">
        <v>1135</v>
      </c>
      <c r="G383" s="22" t="n">
        <v>0.011</v>
      </c>
      <c r="H383" s="22" t="n">
        <v>40.71</v>
      </c>
      <c r="I383" s="23" t="n">
        <v>13</v>
      </c>
      <c r="J383" s="21" t="n">
        <v>2</v>
      </c>
      <c r="K383" s="21" t="n">
        <v>0</v>
      </c>
      <c r="L383" s="21" t="n">
        <v>0</v>
      </c>
      <c r="M383" s="22" t="n">
        <f aca="false">IFERROR(L383/E383*1000,0)</f>
        <v>0</v>
      </c>
      <c r="N383" s="22" t="n">
        <f aca="false">IFERROR(J383/E383*100,0)</f>
        <v>0.40650406504065</v>
      </c>
      <c r="O383" s="32" t="str">
        <f aca="false">IF(H383&lt;30,"00-30",IF(H383&lt;40,"30-40",IF(H383&lt;50,"40-50",IF(H383&lt;60,"50-60",IF(H383&lt;70,"60-70","70+")))))</f>
        <v>40-50</v>
      </c>
      <c r="P383" s="37" t="n">
        <f aca="false">IFERROR(VALUE(SUBSTITUTE(B383,"-","")),0)</f>
        <v>20260725</v>
      </c>
    </row>
    <row r="384" customFormat="false" ht="23.85" hidden="false" customHeight="false" outlineLevel="0" collapsed="false">
      <c r="A384" s="14" t="s">
        <v>46</v>
      </c>
      <c r="B384" s="32" t="s">
        <v>518</v>
      </c>
      <c r="C384" s="7" t="s">
        <v>931</v>
      </c>
      <c r="D384" s="32" t="s">
        <v>932</v>
      </c>
      <c r="E384" s="21" t="n">
        <v>1035</v>
      </c>
      <c r="F384" s="21" t="n">
        <v>1477</v>
      </c>
      <c r="G384" s="22" t="n">
        <v>0.013</v>
      </c>
      <c r="H384" s="22" t="n">
        <v>73.8</v>
      </c>
      <c r="I384" s="23" t="n">
        <v>26</v>
      </c>
      <c r="J384" s="21" t="n">
        <v>3</v>
      </c>
      <c r="K384" s="21" t="n">
        <v>0</v>
      </c>
      <c r="L384" s="21" t="n">
        <v>0</v>
      </c>
      <c r="M384" s="22" t="n">
        <f aca="false">IFERROR(L384/E384*1000,0)</f>
        <v>0</v>
      </c>
      <c r="N384" s="22" t="n">
        <f aca="false">IFERROR(J384/E384*100,0)</f>
        <v>0.289855072463768</v>
      </c>
      <c r="O384" s="32" t="str">
        <f aca="false">IF(H384&lt;30,"00-30",IF(H384&lt;40,"30-40",IF(H384&lt;50,"40-50",IF(H384&lt;60,"50-60",IF(H384&lt;70,"60-70","70+")))))</f>
        <v>70+</v>
      </c>
      <c r="P384" s="37" t="n">
        <f aca="false">IFERROR(VALUE(SUBSTITUTE(B384,"-","")),0)</f>
        <v>20260725</v>
      </c>
    </row>
    <row r="385" customFormat="false" ht="15" hidden="false" customHeight="false" outlineLevel="0" collapsed="false">
      <c r="A385" s="14" t="s">
        <v>46</v>
      </c>
      <c r="B385" s="32" t="s">
        <v>518</v>
      </c>
      <c r="C385" s="7" t="s">
        <v>933</v>
      </c>
      <c r="D385" s="32" t="s">
        <v>934</v>
      </c>
      <c r="E385" s="21" t="n">
        <v>1083</v>
      </c>
      <c r="F385" s="21" t="n">
        <v>1741</v>
      </c>
      <c r="G385" s="22" t="n">
        <v>0.015</v>
      </c>
      <c r="H385" s="22" t="n">
        <v>46.89</v>
      </c>
      <c r="I385" s="23" t="n">
        <v>16</v>
      </c>
      <c r="J385" s="21" t="n">
        <v>5</v>
      </c>
      <c r="K385" s="21" t="n">
        <v>1</v>
      </c>
      <c r="L385" s="21" t="n">
        <v>0</v>
      </c>
      <c r="M385" s="22" t="n">
        <f aca="false">IFERROR(L385/E385*1000,0)</f>
        <v>0</v>
      </c>
      <c r="N385" s="22" t="n">
        <f aca="false">IFERROR(J385/E385*100,0)</f>
        <v>0.461680517082179</v>
      </c>
      <c r="O385" s="32" t="str">
        <f aca="false">IF(H385&lt;30,"00-30",IF(H385&lt;40,"30-40",IF(H385&lt;50,"40-50",IF(H385&lt;60,"50-60",IF(H385&lt;70,"60-70","70+")))))</f>
        <v>40-50</v>
      </c>
      <c r="P385" s="37" t="n">
        <f aca="false">IFERROR(VALUE(SUBSTITUTE(B385,"-","")),0)</f>
        <v>20260725</v>
      </c>
    </row>
    <row r="386" customFormat="false" ht="15" hidden="false" customHeight="false" outlineLevel="0" collapsed="false">
      <c r="A386" s="14" t="s">
        <v>46</v>
      </c>
      <c r="B386" s="32" t="s">
        <v>525</v>
      </c>
      <c r="C386" s="7" t="s">
        <v>935</v>
      </c>
      <c r="D386" s="32" t="s">
        <v>936</v>
      </c>
      <c r="E386" s="21" t="n">
        <v>1007</v>
      </c>
      <c r="F386" s="21" t="n">
        <v>1290</v>
      </c>
      <c r="G386" s="22" t="n">
        <v>0.007</v>
      </c>
      <c r="H386" s="22" t="n">
        <v>50.16</v>
      </c>
      <c r="I386" s="23" t="n">
        <v>18</v>
      </c>
      <c r="J386" s="21" t="n">
        <v>2</v>
      </c>
      <c r="K386" s="21" t="n">
        <v>0</v>
      </c>
      <c r="L386" s="21" t="n">
        <v>0</v>
      </c>
      <c r="M386" s="22" t="n">
        <f aca="false">IFERROR(L386/E386*1000,0)</f>
        <v>0</v>
      </c>
      <c r="N386" s="22" t="n">
        <f aca="false">IFERROR(J386/E386*100,0)</f>
        <v>0.198609731876862</v>
      </c>
      <c r="O386" s="32" t="str">
        <f aca="false">IF(H386&lt;30,"00-30",IF(H386&lt;40,"30-40",IF(H386&lt;50,"40-50",IF(H386&lt;60,"50-60",IF(H386&lt;70,"60-70","70+")))))</f>
        <v>50-60</v>
      </c>
      <c r="P386" s="37" t="n">
        <f aca="false">IFERROR(VALUE(SUBSTITUTE(B386,"-","")),0)</f>
        <v>20260726</v>
      </c>
    </row>
    <row r="387" customFormat="false" ht="15" hidden="false" customHeight="false" outlineLevel="0" collapsed="false">
      <c r="A387" s="14" t="s">
        <v>46</v>
      </c>
      <c r="B387" s="32" t="s">
        <v>525</v>
      </c>
      <c r="C387" s="7" t="s">
        <v>937</v>
      </c>
      <c r="D387" s="32" t="s">
        <v>938</v>
      </c>
      <c r="E387" s="21" t="n">
        <v>849</v>
      </c>
      <c r="F387" s="21" t="n">
        <v>1225</v>
      </c>
      <c r="G387" s="22" t="n">
        <v>0.014</v>
      </c>
      <c r="H387" s="22" t="n">
        <v>64.56</v>
      </c>
      <c r="I387" s="23" t="n">
        <v>23</v>
      </c>
      <c r="J387" s="21" t="n">
        <v>4</v>
      </c>
      <c r="K387" s="21" t="n">
        <v>0</v>
      </c>
      <c r="L387" s="21" t="n">
        <v>1</v>
      </c>
      <c r="M387" s="22" t="n">
        <f aca="false">IFERROR(L387/E387*1000,0)</f>
        <v>1.17785630153121</v>
      </c>
      <c r="N387" s="22" t="n">
        <f aca="false">IFERROR(J387/E387*100,0)</f>
        <v>0.471142520612485</v>
      </c>
      <c r="O387" s="32" t="str">
        <f aca="false">IF(H387&lt;30,"00-30",IF(H387&lt;40,"30-40",IF(H387&lt;50,"40-50",IF(H387&lt;60,"50-60",IF(H387&lt;70,"60-70","70+")))))</f>
        <v>60-70</v>
      </c>
      <c r="P387" s="37" t="n">
        <f aca="false">IFERROR(VALUE(SUBSTITUTE(B387,"-","")),0)</f>
        <v>20260726</v>
      </c>
    </row>
    <row r="388" customFormat="false" ht="15" hidden="false" customHeight="false" outlineLevel="0" collapsed="false">
      <c r="A388" s="14" t="s">
        <v>46</v>
      </c>
      <c r="B388" s="32" t="s">
        <v>525</v>
      </c>
      <c r="C388" s="7" t="s">
        <v>939</v>
      </c>
      <c r="D388" s="32" t="s">
        <v>940</v>
      </c>
      <c r="E388" s="21" t="n">
        <v>948</v>
      </c>
      <c r="F388" s="21" t="n">
        <v>956</v>
      </c>
      <c r="G388" s="22" t="n">
        <v>0.01</v>
      </c>
      <c r="H388" s="22" t="n">
        <v>49.15</v>
      </c>
      <c r="I388" s="23" t="n">
        <v>20</v>
      </c>
      <c r="J388" s="21" t="n">
        <v>1</v>
      </c>
      <c r="K388" s="21" t="n">
        <v>1</v>
      </c>
      <c r="L388" s="21" t="n">
        <v>1</v>
      </c>
      <c r="M388" s="22" t="n">
        <f aca="false">IFERROR(L388/E388*1000,0)</f>
        <v>1.05485232067511</v>
      </c>
      <c r="N388" s="22" t="n">
        <f aca="false">IFERROR(J388/E388*100,0)</f>
        <v>0.105485232067511</v>
      </c>
      <c r="O388" s="32" t="str">
        <f aca="false">IF(H388&lt;30,"00-30",IF(H388&lt;40,"30-40",IF(H388&lt;50,"40-50",IF(H388&lt;60,"50-60",IF(H388&lt;70,"60-70","70+")))))</f>
        <v>40-50</v>
      </c>
      <c r="P388" s="37" t="n">
        <f aca="false">IFERROR(VALUE(SUBSTITUTE(B388,"-","")),0)</f>
        <v>20260726</v>
      </c>
    </row>
    <row r="389" customFormat="false" ht="15" hidden="false" customHeight="false" outlineLevel="0" collapsed="false">
      <c r="A389" s="14" t="s">
        <v>46</v>
      </c>
      <c r="B389" s="32" t="s">
        <v>941</v>
      </c>
      <c r="C389" s="14" t="s">
        <v>942</v>
      </c>
      <c r="D389" s="32" t="s">
        <v>943</v>
      </c>
      <c r="E389" s="21" t="n">
        <v>327</v>
      </c>
      <c r="F389" s="21" t="n">
        <v>338</v>
      </c>
      <c r="G389" s="22" t="n">
        <v>0.016</v>
      </c>
      <c r="H389" s="22" t="n">
        <v>101.29</v>
      </c>
      <c r="I389" s="23" t="n">
        <v>19</v>
      </c>
      <c r="J389" s="21" t="n">
        <v>0</v>
      </c>
      <c r="K389" s="21" t="n">
        <v>0</v>
      </c>
      <c r="L389" s="21" t="n">
        <v>1</v>
      </c>
      <c r="M389" s="22" t="n">
        <f aca="false">IFERROR(L389/E389*1000,0)</f>
        <v>3.05810397553517</v>
      </c>
      <c r="N389" s="22" t="n">
        <f aca="false">IFERROR(J389/E389*100,0)</f>
        <v>0</v>
      </c>
      <c r="O389" s="32" t="str">
        <f aca="false">IF(H389&lt;30,"00-30",IF(H389&lt;40,"30-40",IF(H389&lt;50,"40-50",IF(H389&lt;60,"50-60",IF(H389&lt;70,"60-70","70+")))))</f>
        <v>70+</v>
      </c>
      <c r="P389" s="37" t="n">
        <f aca="false">IFERROR(VALUE(SUBSTITUTE(B389,"-","")),0)</f>
        <v>20260727</v>
      </c>
    </row>
    <row r="390" customFormat="false" ht="15" hidden="false" customHeight="false" outlineLevel="0" collapsed="false">
      <c r="A390" s="14" t="s">
        <v>46</v>
      </c>
      <c r="B390" s="32" t="s">
        <v>532</v>
      </c>
      <c r="C390" s="7" t="s">
        <v>944</v>
      </c>
      <c r="D390" s="32" t="s">
        <v>945</v>
      </c>
      <c r="E390" s="21" t="n">
        <v>1056</v>
      </c>
      <c r="F390" s="21" t="n">
        <v>237</v>
      </c>
      <c r="G390" s="22" t="n">
        <v>0.016</v>
      </c>
      <c r="H390" s="22" t="n">
        <v>379.67</v>
      </c>
      <c r="I390" s="23" t="n">
        <v>79</v>
      </c>
      <c r="J390" s="21" t="n">
        <v>10</v>
      </c>
      <c r="K390" s="21" t="n">
        <v>0</v>
      </c>
      <c r="L390" s="21" t="n">
        <v>3</v>
      </c>
      <c r="M390" s="22" t="n">
        <f aca="false">IFERROR(L390/E390*1000,0)</f>
        <v>2.84090909090909</v>
      </c>
      <c r="N390" s="22" t="n">
        <f aca="false">IFERROR(J390/E390*100,0)</f>
        <v>0.946969696969697</v>
      </c>
      <c r="O390" s="32" t="str">
        <f aca="false">IF(H390&lt;30,"00-30",IF(H390&lt;40,"30-40",IF(H390&lt;50,"40-50",IF(H390&lt;60,"50-60",IF(H390&lt;70,"60-70","70+")))))</f>
        <v>70+</v>
      </c>
      <c r="P390" s="37" t="n">
        <f aca="false">IFERROR(VALUE(SUBSTITUTE(B390,"-","")),0)</f>
        <v>20260728</v>
      </c>
    </row>
    <row r="391" customFormat="false" ht="15" hidden="false" customHeight="false" outlineLevel="0" collapsed="false">
      <c r="A391" s="14" t="s">
        <v>46</v>
      </c>
      <c r="B391" s="32" t="s">
        <v>532</v>
      </c>
      <c r="C391" s="7" t="s">
        <v>946</v>
      </c>
      <c r="D391" s="32" t="s">
        <v>947</v>
      </c>
      <c r="E391" s="21" t="n">
        <v>39</v>
      </c>
      <c r="F391" s="21" t="n">
        <v>1262</v>
      </c>
      <c r="G391" s="22" t="n">
        <v>0.021</v>
      </c>
      <c r="H391" s="22" t="n">
        <v>16.43</v>
      </c>
      <c r="I391" s="23" t="n">
        <v>141</v>
      </c>
      <c r="J391" s="21" t="n">
        <v>3</v>
      </c>
      <c r="K391" s="21" t="n">
        <v>0</v>
      </c>
      <c r="L391" s="21" t="n">
        <v>0</v>
      </c>
      <c r="M391" s="22" t="n">
        <f aca="false">IFERROR(L391/E391*1000,0)</f>
        <v>0</v>
      </c>
      <c r="N391" s="22" t="n">
        <f aca="false">IFERROR(J391/E391*100,0)</f>
        <v>7.69230769230769</v>
      </c>
      <c r="O391" s="32" t="str">
        <f aca="false">IF(H391&lt;30,"00-30",IF(H391&lt;40,"30-40",IF(H391&lt;50,"40-50",IF(H391&lt;60,"50-60",IF(H391&lt;70,"60-70","70+")))))</f>
        <v>00-30</v>
      </c>
      <c r="P391" s="37" t="n">
        <f aca="false">IFERROR(VALUE(SUBSTITUTE(B391,"-","")),0)</f>
        <v>20260728</v>
      </c>
    </row>
    <row r="392" customFormat="false" ht="15" hidden="false" customHeight="false" outlineLevel="0" collapsed="false">
      <c r="A392" s="14" t="s">
        <v>46</v>
      </c>
      <c r="B392" s="32" t="s">
        <v>535</v>
      </c>
      <c r="C392" s="7" t="s">
        <v>948</v>
      </c>
      <c r="D392" s="32" t="s">
        <v>949</v>
      </c>
      <c r="E392" s="21" t="n">
        <v>1122</v>
      </c>
      <c r="F392" s="21" t="n">
        <v>240</v>
      </c>
      <c r="G392" s="22" t="n">
        <v>0</v>
      </c>
      <c r="H392" s="22" t="n">
        <v>143.2</v>
      </c>
      <c r="I392" s="23" t="n">
        <v>42</v>
      </c>
      <c r="J392" s="21" t="n">
        <v>3</v>
      </c>
      <c r="K392" s="21" t="n">
        <v>0</v>
      </c>
      <c r="L392" s="21" t="n">
        <v>2</v>
      </c>
      <c r="M392" s="22" t="n">
        <f aca="false">IFERROR(L392/E392*1000,0)</f>
        <v>1.7825311942959</v>
      </c>
      <c r="N392" s="22" t="n">
        <f aca="false">IFERROR(J392/E392*100,0)</f>
        <v>0.267379679144385</v>
      </c>
      <c r="O392" s="32" t="str">
        <f aca="false">IF(H392&lt;30,"00-30",IF(H392&lt;40,"30-40",IF(H392&lt;50,"40-50",IF(H392&lt;60,"50-60",IF(H392&lt;70,"60-70","70+")))))</f>
        <v>70+</v>
      </c>
      <c r="P392" s="37" t="n">
        <f aca="false">IFERROR(VALUE(SUBSTITUTE(B392,"-","")),0)</f>
        <v>20260729</v>
      </c>
    </row>
    <row r="393" customFormat="false" ht="15" hidden="false" customHeight="false" outlineLevel="0" collapsed="false">
      <c r="A393" s="14" t="s">
        <v>46</v>
      </c>
      <c r="B393" s="32" t="s">
        <v>538</v>
      </c>
      <c r="C393" s="14" t="s">
        <v>950</v>
      </c>
      <c r="D393" s="32" t="s">
        <v>951</v>
      </c>
      <c r="E393" s="21" t="n">
        <v>1260</v>
      </c>
      <c r="F393" s="21" t="n">
        <v>266</v>
      </c>
      <c r="G393" s="22" t="n">
        <v>0.008</v>
      </c>
      <c r="H393" s="22" t="n">
        <v>37.39</v>
      </c>
      <c r="I393" s="23" t="n">
        <v>10</v>
      </c>
      <c r="J393" s="21" t="n">
        <v>4</v>
      </c>
      <c r="K393" s="21" t="n">
        <v>0</v>
      </c>
      <c r="L393" s="21" t="n">
        <v>2</v>
      </c>
      <c r="M393" s="22" t="n">
        <f aca="false">IFERROR(L393/E393*1000,0)</f>
        <v>1.58730158730159</v>
      </c>
      <c r="N393" s="22" t="n">
        <f aca="false">IFERROR(J393/E393*100,0)</f>
        <v>0.317460317460317</v>
      </c>
      <c r="O393" s="32" t="str">
        <f aca="false">IF(H393&lt;30,"00-30",IF(H393&lt;40,"30-40",IF(H393&lt;50,"40-50",IF(H393&lt;60,"50-60",IF(H393&lt;70,"60-70","70+")))))</f>
        <v>30-40</v>
      </c>
      <c r="P393" s="37" t="n">
        <f aca="false">IFERROR(VALUE(SUBSTITUTE(B393,"-","")),0)</f>
        <v>20260731</v>
      </c>
    </row>
    <row r="394" customFormat="false" ht="15" hidden="false" customHeight="false" outlineLevel="0" collapsed="false">
      <c r="A394" s="14" t="s">
        <v>46</v>
      </c>
      <c r="B394" s="32" t="s">
        <v>541</v>
      </c>
      <c r="C394" s="14" t="s">
        <v>952</v>
      </c>
      <c r="D394" s="32" t="s">
        <v>953</v>
      </c>
      <c r="E394" s="21" t="n">
        <v>313</v>
      </c>
      <c r="F394" s="21" t="n">
        <v>192</v>
      </c>
      <c r="G394" s="22" t="n">
        <v>0.017</v>
      </c>
      <c r="H394" s="22" t="n">
        <v>37.22</v>
      </c>
      <c r="I394" s="23" t="n">
        <v>10</v>
      </c>
      <c r="J394" s="21" t="n">
        <v>1</v>
      </c>
      <c r="K394" s="21" t="n">
        <v>0</v>
      </c>
      <c r="L394" s="21" t="n">
        <v>0</v>
      </c>
      <c r="M394" s="22" t="n">
        <f aca="false">IFERROR(L394/E394*1000,0)</f>
        <v>0</v>
      </c>
      <c r="N394" s="22" t="n">
        <f aca="false">IFERROR(J394/E394*100,0)</f>
        <v>0.319488817891374</v>
      </c>
      <c r="O394" s="32" t="str">
        <f aca="false">IF(H394&lt;30,"00-30",IF(H394&lt;40,"30-40",IF(H394&lt;50,"40-50",IF(H394&lt;60,"50-60",IF(H394&lt;70,"60-70","70+")))))</f>
        <v>30-40</v>
      </c>
      <c r="P394" s="37" t="n">
        <f aca="false">IFERROR(VALUE(SUBSTITUTE(B394,"-","")),0)</f>
        <v>20260801</v>
      </c>
    </row>
    <row r="395" customFormat="false" ht="15" hidden="false" customHeight="false" outlineLevel="0" collapsed="false">
      <c r="A395" s="14" t="s">
        <v>46</v>
      </c>
      <c r="B395" s="32" t="s">
        <v>548</v>
      </c>
      <c r="C395" s="7" t="s">
        <v>954</v>
      </c>
      <c r="D395" s="32" t="s">
        <v>955</v>
      </c>
      <c r="E395" s="21" t="n">
        <v>953</v>
      </c>
      <c r="F395" s="21" t="n">
        <v>532</v>
      </c>
      <c r="G395" s="22" t="n">
        <v>0.013</v>
      </c>
      <c r="H395" s="22" t="n">
        <v>38.86</v>
      </c>
      <c r="I395" s="23" t="n">
        <v>12</v>
      </c>
      <c r="J395" s="21" t="n">
        <v>2</v>
      </c>
      <c r="K395" s="21" t="n">
        <v>0</v>
      </c>
      <c r="L395" s="21" t="n">
        <v>1</v>
      </c>
      <c r="M395" s="22" t="n">
        <f aca="false">IFERROR(L395/E395*1000,0)</f>
        <v>1.04931794333683</v>
      </c>
      <c r="N395" s="22" t="n">
        <f aca="false">IFERROR(J395/E395*100,0)</f>
        <v>0.209863588667366</v>
      </c>
      <c r="O395" s="32" t="str">
        <f aca="false">IF(H395&lt;30,"00-30",IF(H395&lt;40,"30-40",IF(H395&lt;50,"40-50",IF(H395&lt;60,"50-60",IF(H395&lt;70,"60-70","70+")))))</f>
        <v>30-40</v>
      </c>
      <c r="P395" s="37" t="n">
        <f aca="false">IFERROR(VALUE(SUBSTITUTE(B395,"-","")),0)</f>
        <v>20260802</v>
      </c>
    </row>
    <row r="396" customFormat="false" ht="15" hidden="false" customHeight="false" outlineLevel="0" collapsed="false">
      <c r="A396" s="14" t="s">
        <v>46</v>
      </c>
      <c r="B396" s="32" t="s">
        <v>548</v>
      </c>
      <c r="C396" s="7" t="s">
        <v>956</v>
      </c>
      <c r="D396" s="32" t="s">
        <v>957</v>
      </c>
      <c r="E396" s="21" t="n">
        <v>1063</v>
      </c>
      <c r="F396" s="21" t="n">
        <v>1088</v>
      </c>
      <c r="G396" s="22" t="n">
        <v>0.012</v>
      </c>
      <c r="H396" s="22" t="n">
        <v>55.31</v>
      </c>
      <c r="I396" s="23" t="n">
        <v>18</v>
      </c>
      <c r="J396" s="21" t="n">
        <v>5</v>
      </c>
      <c r="K396" s="21" t="n">
        <v>0</v>
      </c>
      <c r="L396" s="21" t="n">
        <v>2</v>
      </c>
      <c r="M396" s="22" t="n">
        <f aca="false">IFERROR(L396/E396*1000,0)</f>
        <v>1.88146754468485</v>
      </c>
      <c r="N396" s="22" t="n">
        <f aca="false">IFERROR(J396/E396*100,0)</f>
        <v>0.470366886171214</v>
      </c>
      <c r="O396" s="32" t="str">
        <f aca="false">IF(H396&lt;30,"00-30",IF(H396&lt;40,"30-40",IF(H396&lt;50,"40-50",IF(H396&lt;60,"50-60",IF(H396&lt;70,"60-70","70+")))))</f>
        <v>50-60</v>
      </c>
      <c r="P396" s="37" t="n">
        <f aca="false">IFERROR(VALUE(SUBSTITUTE(B396,"-","")),0)</f>
        <v>20260802</v>
      </c>
    </row>
    <row r="397" customFormat="false" ht="15" hidden="false" customHeight="false" outlineLevel="0" collapsed="false">
      <c r="A397" s="14" t="s">
        <v>46</v>
      </c>
      <c r="B397" s="32" t="s">
        <v>553</v>
      </c>
      <c r="C397" s="7" t="s">
        <v>958</v>
      </c>
      <c r="D397" s="32" t="s">
        <v>959</v>
      </c>
      <c r="E397" s="21" t="n">
        <v>727</v>
      </c>
      <c r="F397" s="21" t="n">
        <v>197</v>
      </c>
      <c r="G397" s="22" t="n">
        <v>0.011</v>
      </c>
      <c r="H397" s="22" t="n">
        <v>32.81</v>
      </c>
      <c r="I397" s="23" t="n">
        <v>10</v>
      </c>
      <c r="J397" s="21" t="n">
        <v>4</v>
      </c>
      <c r="K397" s="21" t="n">
        <v>0</v>
      </c>
      <c r="L397" s="21" t="n">
        <v>0</v>
      </c>
      <c r="M397" s="22" t="n">
        <f aca="false">IFERROR(L397/E397*1000,0)</f>
        <v>0</v>
      </c>
      <c r="N397" s="22" t="n">
        <f aca="false">IFERROR(J397/E397*100,0)</f>
        <v>0.550206327372765</v>
      </c>
      <c r="O397" s="32" t="str">
        <f aca="false">IF(H397&lt;30,"00-30",IF(H397&lt;40,"30-40",IF(H397&lt;50,"40-50",IF(H397&lt;60,"50-60",IF(H397&lt;70,"60-70","70+")))))</f>
        <v>30-40</v>
      </c>
      <c r="P397" s="37" t="n">
        <f aca="false">IFERROR(VALUE(SUBSTITUTE(B397,"-","")),0)</f>
        <v>20260803</v>
      </c>
    </row>
    <row r="398" customFormat="false" ht="15" hidden="false" customHeight="false" outlineLevel="0" collapsed="false">
      <c r="A398" s="14" t="s">
        <v>46</v>
      </c>
      <c r="B398" s="32" t="s">
        <v>556</v>
      </c>
      <c r="C398" s="7" t="s">
        <v>960</v>
      </c>
      <c r="D398" s="32" t="s">
        <v>961</v>
      </c>
      <c r="E398" s="21" t="n">
        <v>1021</v>
      </c>
      <c r="F398" s="21" t="n">
        <v>358</v>
      </c>
      <c r="G398" s="22" t="n">
        <v>0.023</v>
      </c>
      <c r="H398" s="22" t="n">
        <v>42.81</v>
      </c>
      <c r="I398" s="23" t="n">
        <v>15</v>
      </c>
      <c r="J398" s="21" t="n">
        <v>10</v>
      </c>
      <c r="K398" s="21" t="n">
        <v>0</v>
      </c>
      <c r="L398" s="21" t="n">
        <v>2</v>
      </c>
      <c r="M398" s="22" t="n">
        <f aca="false">IFERROR(L398/E398*1000,0)</f>
        <v>1.9588638589618</v>
      </c>
      <c r="N398" s="22" t="n">
        <f aca="false">IFERROR(J398/E398*100,0)</f>
        <v>0.979431929480901</v>
      </c>
      <c r="O398" s="32" t="str">
        <f aca="false">IF(H398&lt;30,"00-30",IF(H398&lt;40,"30-40",IF(H398&lt;50,"40-50",IF(H398&lt;60,"50-60",IF(H398&lt;70,"60-70","70+")))))</f>
        <v>40-50</v>
      </c>
      <c r="P398" s="37" t="n">
        <f aca="false">IFERROR(VALUE(SUBSTITUTE(B398,"-","")),0)</f>
        <v>20260804</v>
      </c>
    </row>
    <row r="399" customFormat="false" ht="15" hidden="false" customHeight="false" outlineLevel="0" collapsed="false">
      <c r="A399" s="14" t="s">
        <v>46</v>
      </c>
      <c r="B399" s="32" t="s">
        <v>556</v>
      </c>
      <c r="C399" s="7" t="s">
        <v>962</v>
      </c>
      <c r="D399" s="32" t="s">
        <v>963</v>
      </c>
      <c r="E399" s="21" t="n">
        <v>916</v>
      </c>
      <c r="F399" s="21" t="n">
        <v>118</v>
      </c>
      <c r="G399" s="22" t="n">
        <v>0.03</v>
      </c>
      <c r="H399" s="22" t="n">
        <v>53.77</v>
      </c>
      <c r="I399" s="23" t="n">
        <v>21</v>
      </c>
      <c r="J399" s="21" t="n">
        <v>2</v>
      </c>
      <c r="K399" s="21" t="n">
        <v>2</v>
      </c>
      <c r="L399" s="21" t="n">
        <v>1</v>
      </c>
      <c r="M399" s="22" t="n">
        <f aca="false">IFERROR(L399/E399*1000,0)</f>
        <v>1.09170305676856</v>
      </c>
      <c r="N399" s="22" t="n">
        <f aca="false">IFERROR(J399/E399*100,0)</f>
        <v>0.218340611353712</v>
      </c>
      <c r="O399" s="32" t="str">
        <f aca="false">IF(H399&lt;30,"00-30",IF(H399&lt;40,"30-40",IF(H399&lt;50,"40-50",IF(H399&lt;60,"50-60",IF(H399&lt;70,"60-70","70+")))))</f>
        <v>50-60</v>
      </c>
      <c r="P399" s="37" t="n">
        <f aca="false">IFERROR(VALUE(SUBSTITUTE(B399,"-","")),0)</f>
        <v>20260804</v>
      </c>
    </row>
    <row r="400" customFormat="false" ht="15" hidden="false" customHeight="false" outlineLevel="0" collapsed="false">
      <c r="A400" s="14" t="s">
        <v>46</v>
      </c>
      <c r="B400" s="32" t="s">
        <v>556</v>
      </c>
      <c r="C400" s="7" t="s">
        <v>964</v>
      </c>
      <c r="D400" s="32" t="s">
        <v>965</v>
      </c>
      <c r="E400" s="21" t="n">
        <v>734</v>
      </c>
      <c r="F400" s="21" t="n">
        <v>869</v>
      </c>
      <c r="G400" s="22" t="n">
        <v>0.009</v>
      </c>
      <c r="H400" s="22" t="n">
        <v>42.05</v>
      </c>
      <c r="I400" s="23" t="n">
        <v>15</v>
      </c>
      <c r="J400" s="21" t="n">
        <v>9</v>
      </c>
      <c r="K400" s="21" t="n">
        <v>0</v>
      </c>
      <c r="L400" s="21" t="n">
        <v>0</v>
      </c>
      <c r="M400" s="22" t="n">
        <f aca="false">IFERROR(L400/E400*1000,0)</f>
        <v>0</v>
      </c>
      <c r="N400" s="22" t="n">
        <f aca="false">IFERROR(J400/E400*100,0)</f>
        <v>1.22615803814714</v>
      </c>
      <c r="O400" s="32" t="str">
        <f aca="false">IF(H400&lt;30,"00-30",IF(H400&lt;40,"30-40",IF(H400&lt;50,"40-50",IF(H400&lt;60,"50-60",IF(H400&lt;70,"60-70","70+")))))</f>
        <v>40-50</v>
      </c>
      <c r="P400" s="37" t="n">
        <f aca="false">IFERROR(VALUE(SUBSTITUTE(B400,"-","")),0)</f>
        <v>20260804</v>
      </c>
    </row>
    <row r="401" customFormat="false" ht="15" hidden="false" customHeight="false" outlineLevel="0" collapsed="false">
      <c r="A401" s="14" t="s">
        <v>46</v>
      </c>
      <c r="B401" s="32" t="s">
        <v>563</v>
      </c>
      <c r="C401" s="7" t="s">
        <v>966</v>
      </c>
      <c r="D401" s="32" t="s">
        <v>967</v>
      </c>
      <c r="E401" s="21" t="n">
        <v>752</v>
      </c>
      <c r="F401" s="21" t="n">
        <v>142</v>
      </c>
      <c r="G401" s="22" t="n">
        <v>0.035</v>
      </c>
      <c r="H401" s="22" t="n">
        <v>49.46</v>
      </c>
      <c r="I401" s="23" t="n">
        <v>13</v>
      </c>
      <c r="J401" s="21" t="n">
        <v>3</v>
      </c>
      <c r="K401" s="21" t="n">
        <v>0</v>
      </c>
      <c r="L401" s="21" t="n">
        <v>0</v>
      </c>
      <c r="M401" s="22" t="n">
        <f aca="false">IFERROR(L401/E401*1000,0)</f>
        <v>0</v>
      </c>
      <c r="N401" s="22" t="n">
        <f aca="false">IFERROR(J401/E401*100,0)</f>
        <v>0.398936170212766</v>
      </c>
      <c r="O401" s="32" t="str">
        <f aca="false">IF(H401&lt;30,"00-30",IF(H401&lt;40,"30-40",IF(H401&lt;50,"40-50",IF(H401&lt;60,"50-60",IF(H401&lt;70,"60-70","70+")))))</f>
        <v>40-50</v>
      </c>
      <c r="P401" s="37" t="n">
        <f aca="false">IFERROR(VALUE(SUBSTITUTE(B401,"-","")),0)</f>
        <v>20260805</v>
      </c>
    </row>
    <row r="402" customFormat="false" ht="23.85" hidden="false" customHeight="false" outlineLevel="0" collapsed="false">
      <c r="A402" s="14" t="s">
        <v>46</v>
      </c>
      <c r="B402" s="32" t="s">
        <v>563</v>
      </c>
      <c r="C402" s="7" t="s">
        <v>968</v>
      </c>
      <c r="D402" s="32" t="s">
        <v>969</v>
      </c>
      <c r="E402" s="21" t="n">
        <v>1185</v>
      </c>
      <c r="F402" s="21" t="n">
        <v>1162</v>
      </c>
      <c r="G402" s="22" t="n">
        <v>0.022</v>
      </c>
      <c r="H402" s="22" t="n">
        <v>61.87</v>
      </c>
      <c r="I402" s="23" t="n">
        <v>17</v>
      </c>
      <c r="J402" s="21" t="n">
        <v>8</v>
      </c>
      <c r="K402" s="21" t="n">
        <v>0</v>
      </c>
      <c r="L402" s="21" t="n">
        <v>3</v>
      </c>
      <c r="M402" s="22" t="n">
        <f aca="false">IFERROR(L402/E402*1000,0)</f>
        <v>2.53164556962025</v>
      </c>
      <c r="N402" s="22" t="n">
        <f aca="false">IFERROR(J402/E402*100,0)</f>
        <v>0.675105485232068</v>
      </c>
      <c r="O402" s="32" t="str">
        <f aca="false">IF(H402&lt;30,"00-30",IF(H402&lt;40,"30-40",IF(H402&lt;50,"40-50",IF(H402&lt;60,"50-60",IF(H402&lt;70,"60-70","70+")))))</f>
        <v>60-70</v>
      </c>
      <c r="P402" s="37" t="n">
        <f aca="false">IFERROR(VALUE(SUBSTITUTE(B402,"-","")),0)</f>
        <v>20260805</v>
      </c>
    </row>
    <row r="403" customFormat="false" ht="23.85" hidden="false" customHeight="false" outlineLevel="0" collapsed="false">
      <c r="A403" s="14" t="s">
        <v>46</v>
      </c>
      <c r="B403" s="32" t="s">
        <v>570</v>
      </c>
      <c r="C403" s="7" t="s">
        <v>970</v>
      </c>
      <c r="D403" s="32" t="s">
        <v>971</v>
      </c>
      <c r="E403" s="21" t="n">
        <v>803</v>
      </c>
      <c r="F403" s="21" t="n">
        <v>263</v>
      </c>
      <c r="G403" s="22" t="n">
        <v>0</v>
      </c>
      <c r="H403" s="22" t="n">
        <v>69.83</v>
      </c>
      <c r="I403" s="23" t="n">
        <v>20</v>
      </c>
      <c r="J403" s="21" t="n">
        <v>1</v>
      </c>
      <c r="K403" s="21" t="n">
        <v>0</v>
      </c>
      <c r="L403" s="21" t="n">
        <v>0</v>
      </c>
      <c r="M403" s="22" t="n">
        <f aca="false">IFERROR(L403/E403*1000,0)</f>
        <v>0</v>
      </c>
      <c r="N403" s="22" t="n">
        <f aca="false">IFERROR(J403/E403*100,0)</f>
        <v>0.12453300124533</v>
      </c>
      <c r="O403" s="32" t="str">
        <f aca="false">IF(H403&lt;30,"00-30",IF(H403&lt;40,"30-40",IF(H403&lt;50,"40-50",IF(H403&lt;60,"50-60",IF(H403&lt;70,"60-70","70+")))))</f>
        <v>60-70</v>
      </c>
      <c r="P403" s="37" t="n">
        <f aca="false">IFERROR(VALUE(SUBSTITUTE(B403,"-","")),0)</f>
        <v>20260806</v>
      </c>
    </row>
    <row r="404" customFormat="false" ht="15" hidden="false" customHeight="false" outlineLevel="0" collapsed="false">
      <c r="A404" s="14" t="s">
        <v>46</v>
      </c>
      <c r="B404" s="32" t="s">
        <v>570</v>
      </c>
      <c r="C404" s="7" t="s">
        <v>972</v>
      </c>
      <c r="D404" s="32" t="s">
        <v>973</v>
      </c>
      <c r="E404" s="21" t="n">
        <v>478</v>
      </c>
      <c r="F404" s="21" t="n">
        <v>1359</v>
      </c>
      <c r="G404" s="22" t="n">
        <v>0.011</v>
      </c>
      <c r="H404" s="22" t="n">
        <v>62.53</v>
      </c>
      <c r="I404" s="23" t="n">
        <v>16</v>
      </c>
      <c r="J404" s="21" t="n">
        <v>1</v>
      </c>
      <c r="K404" s="21" t="n">
        <v>0</v>
      </c>
      <c r="L404" s="21" t="n">
        <v>0</v>
      </c>
      <c r="M404" s="22" t="n">
        <f aca="false">IFERROR(L404/E404*1000,0)</f>
        <v>0</v>
      </c>
      <c r="N404" s="22" t="n">
        <f aca="false">IFERROR(J404/E404*100,0)</f>
        <v>0.209205020920502</v>
      </c>
      <c r="O404" s="32" t="str">
        <f aca="false">IF(H404&lt;30,"00-30",IF(H404&lt;40,"30-40",IF(H404&lt;50,"40-50",IF(H404&lt;60,"50-60",IF(H404&lt;70,"60-70","70+")))))</f>
        <v>60-70</v>
      </c>
      <c r="P404" s="37" t="n">
        <f aca="false">IFERROR(VALUE(SUBSTITUTE(B404,"-","")),0)</f>
        <v>20260806</v>
      </c>
    </row>
    <row r="405" customFormat="false" ht="15" hidden="false" customHeight="false" outlineLevel="0" collapsed="false">
      <c r="A405" s="14" t="s">
        <v>46</v>
      </c>
      <c r="B405" s="32" t="s">
        <v>230</v>
      </c>
      <c r="C405" s="7" t="s">
        <v>974</v>
      </c>
      <c r="D405" s="32" t="s">
        <v>975</v>
      </c>
      <c r="E405" s="21" t="n">
        <v>807</v>
      </c>
      <c r="F405" s="21" t="n">
        <v>447</v>
      </c>
      <c r="G405" s="22" t="n">
        <v>0.011</v>
      </c>
      <c r="H405" s="22" t="n">
        <v>75.08</v>
      </c>
      <c r="I405" s="23" t="n">
        <v>27</v>
      </c>
      <c r="J405" s="21" t="n">
        <v>1</v>
      </c>
      <c r="K405" s="21" t="n">
        <v>0</v>
      </c>
      <c r="L405" s="21" t="n">
        <v>0</v>
      </c>
      <c r="M405" s="22" t="n">
        <f aca="false">IFERROR(L405/E405*1000,0)</f>
        <v>0</v>
      </c>
      <c r="N405" s="22" t="n">
        <f aca="false">IFERROR(J405/E405*100,0)</f>
        <v>0.123915737298637</v>
      </c>
      <c r="O405" s="32" t="str">
        <f aca="false">IF(H405&lt;30,"00-30",IF(H405&lt;40,"30-40",IF(H405&lt;50,"40-50",IF(H405&lt;60,"50-60",IF(H405&lt;70,"60-70","70+")))))</f>
        <v>70+</v>
      </c>
      <c r="P405" s="37" t="n">
        <f aca="false">IFERROR(VALUE(SUBSTITUTE(B405,"-","")),0)</f>
        <v>20260808</v>
      </c>
    </row>
    <row r="406" customFormat="false" ht="15" hidden="false" customHeight="false" outlineLevel="0" collapsed="false">
      <c r="A406" s="14" t="s">
        <v>46</v>
      </c>
      <c r="B406" s="32" t="s">
        <v>230</v>
      </c>
      <c r="C406" s="7" t="s">
        <v>976</v>
      </c>
      <c r="D406" s="32" t="s">
        <v>977</v>
      </c>
      <c r="E406" s="21" t="n">
        <v>881</v>
      </c>
      <c r="F406" s="21" t="n">
        <v>932</v>
      </c>
      <c r="G406" s="22" t="n">
        <v>0.01</v>
      </c>
      <c r="H406" s="22" t="n">
        <v>55.48</v>
      </c>
      <c r="I406" s="23" t="n">
        <v>11</v>
      </c>
      <c r="J406" s="21" t="n">
        <v>6</v>
      </c>
      <c r="K406" s="21" t="n">
        <v>0</v>
      </c>
      <c r="L406" s="21" t="n">
        <v>1</v>
      </c>
      <c r="M406" s="22" t="n">
        <f aca="false">IFERROR(L406/E406*1000,0)</f>
        <v>1.13507377979569</v>
      </c>
      <c r="N406" s="22" t="n">
        <f aca="false">IFERROR(J406/E406*100,0)</f>
        <v>0.681044267877412</v>
      </c>
      <c r="O406" s="32" t="str">
        <f aca="false">IF(H406&lt;30,"00-30",IF(H406&lt;40,"30-40",IF(H406&lt;50,"40-50",IF(H406&lt;60,"50-60",IF(H406&lt;70,"60-70","70+")))))</f>
        <v>50-60</v>
      </c>
      <c r="P406" s="37" t="n">
        <f aca="false">IFERROR(VALUE(SUBSTITUTE(B406,"-","")),0)</f>
        <v>20260808</v>
      </c>
    </row>
    <row r="407" customFormat="false" ht="15" hidden="false" customHeight="false" outlineLevel="0" collapsed="false">
      <c r="A407" s="14" t="s">
        <v>46</v>
      </c>
      <c r="B407" s="32" t="s">
        <v>230</v>
      </c>
      <c r="C407" s="7" t="s">
        <v>978</v>
      </c>
      <c r="D407" s="32" t="s">
        <v>979</v>
      </c>
      <c r="E407" s="21" t="n">
        <v>843</v>
      </c>
      <c r="F407" s="21" t="n">
        <v>384</v>
      </c>
      <c r="G407" s="22" t="n">
        <v>0.009</v>
      </c>
      <c r="H407" s="22" t="n">
        <v>72.66</v>
      </c>
      <c r="I407" s="23" t="n">
        <v>25</v>
      </c>
      <c r="J407" s="21" t="n">
        <v>3</v>
      </c>
      <c r="K407" s="21" t="n">
        <v>0</v>
      </c>
      <c r="L407" s="21" t="n">
        <v>0</v>
      </c>
      <c r="M407" s="22" t="n">
        <f aca="false">IFERROR(L407/E407*1000,0)</f>
        <v>0</v>
      </c>
      <c r="N407" s="22" t="n">
        <f aca="false">IFERROR(J407/E407*100,0)</f>
        <v>0.355871886120996</v>
      </c>
      <c r="O407" s="32" t="str">
        <f aca="false">IF(H407&lt;30,"00-30",IF(H407&lt;40,"30-40",IF(H407&lt;50,"40-50",IF(H407&lt;60,"50-60",IF(H407&lt;70,"60-70","70+")))))</f>
        <v>70+</v>
      </c>
      <c r="P407" s="37" t="n">
        <f aca="false">IFERROR(VALUE(SUBSTITUTE(B407,"-","")),0)</f>
        <v>20260808</v>
      </c>
    </row>
    <row r="408" customFormat="false" ht="15" hidden="false" customHeight="false" outlineLevel="0" collapsed="false">
      <c r="A408" s="14" t="s">
        <v>46</v>
      </c>
      <c r="B408" s="32" t="s">
        <v>101</v>
      </c>
      <c r="C408" s="7" t="s">
        <v>980</v>
      </c>
      <c r="D408" s="32" t="s">
        <v>981</v>
      </c>
      <c r="E408" s="21" t="n">
        <v>1221</v>
      </c>
      <c r="F408" s="21" t="n">
        <v>938</v>
      </c>
      <c r="G408" s="22" t="n">
        <v>0.012</v>
      </c>
      <c r="H408" s="22" t="n">
        <v>46.84</v>
      </c>
      <c r="I408" s="23" t="n">
        <v>17</v>
      </c>
      <c r="J408" s="21" t="n">
        <v>2</v>
      </c>
      <c r="K408" s="21" t="n">
        <v>0</v>
      </c>
      <c r="L408" s="21" t="n">
        <v>0</v>
      </c>
      <c r="M408" s="22" t="n">
        <f aca="false">IFERROR(L408/E408*1000,0)</f>
        <v>0</v>
      </c>
      <c r="N408" s="22" t="n">
        <f aca="false">IFERROR(J408/E408*100,0)</f>
        <v>0.163800163800164</v>
      </c>
      <c r="O408" s="32" t="str">
        <f aca="false">IF(H408&lt;30,"00-30",IF(H408&lt;40,"30-40",IF(H408&lt;50,"40-50",IF(H408&lt;60,"50-60",IF(H408&lt;70,"60-70","70+")))))</f>
        <v>40-50</v>
      </c>
      <c r="P408" s="37" t="n">
        <f aca="false">IFERROR(VALUE(SUBSTITUTE(B408,"-","")),0)</f>
        <v>20260809</v>
      </c>
    </row>
    <row r="409" customFormat="false" ht="15" hidden="false" customHeight="false" outlineLevel="0" collapsed="false">
      <c r="A409" s="14" t="s">
        <v>46</v>
      </c>
      <c r="B409" s="32" t="s">
        <v>101</v>
      </c>
      <c r="C409" s="7" t="s">
        <v>982</v>
      </c>
      <c r="D409" s="32" t="s">
        <v>983</v>
      </c>
      <c r="E409" s="21" t="n">
        <v>817</v>
      </c>
      <c r="F409" s="21" t="n">
        <v>754</v>
      </c>
      <c r="G409" s="22" t="n">
        <v>0.016</v>
      </c>
      <c r="H409" s="22" t="n">
        <v>50.68</v>
      </c>
      <c r="I409" s="23" t="n">
        <v>18</v>
      </c>
      <c r="J409" s="21" t="n">
        <v>4</v>
      </c>
      <c r="K409" s="21" t="n">
        <v>0</v>
      </c>
      <c r="L409" s="21" t="n">
        <v>0</v>
      </c>
      <c r="M409" s="22" t="n">
        <f aca="false">IFERROR(L409/E409*1000,0)</f>
        <v>0</v>
      </c>
      <c r="N409" s="22" t="n">
        <f aca="false">IFERROR(J409/E409*100,0)</f>
        <v>0.489596083231334</v>
      </c>
      <c r="O409" s="32" t="str">
        <f aca="false">IF(H409&lt;30,"00-30",IF(H409&lt;40,"30-40",IF(H409&lt;50,"40-50",IF(H409&lt;60,"50-60",IF(H409&lt;70,"60-70","70+")))))</f>
        <v>50-60</v>
      </c>
      <c r="P409" s="37" t="n">
        <f aca="false">IFERROR(VALUE(SUBSTITUTE(B409,"-","")),0)</f>
        <v>20260809</v>
      </c>
    </row>
    <row r="410" customFormat="false" ht="15" hidden="false" customHeight="false" outlineLevel="0" collapsed="false">
      <c r="A410" s="14" t="s">
        <v>46</v>
      </c>
      <c r="B410" s="32" t="s">
        <v>101</v>
      </c>
      <c r="C410" s="7" t="s">
        <v>984</v>
      </c>
      <c r="D410" s="32" t="s">
        <v>985</v>
      </c>
      <c r="E410" s="21" t="n">
        <v>718</v>
      </c>
      <c r="F410" s="21" t="n">
        <v>842</v>
      </c>
      <c r="G410" s="22" t="n">
        <v>0.006</v>
      </c>
      <c r="H410" s="22" t="n">
        <v>119.1</v>
      </c>
      <c r="I410" s="23" t="n">
        <v>41</v>
      </c>
      <c r="J410" s="21" t="n">
        <v>4</v>
      </c>
      <c r="K410" s="21" t="n">
        <v>0</v>
      </c>
      <c r="L410" s="21" t="n">
        <v>1</v>
      </c>
      <c r="M410" s="22" t="n">
        <f aca="false">IFERROR(L410/E410*1000,0)</f>
        <v>1.39275766016713</v>
      </c>
      <c r="N410" s="22" t="n">
        <f aca="false">IFERROR(J410/E410*100,0)</f>
        <v>0.557103064066852</v>
      </c>
      <c r="O410" s="32" t="str">
        <f aca="false">IF(H410&lt;30,"00-30",IF(H410&lt;40,"30-40",IF(H410&lt;50,"40-50",IF(H410&lt;60,"50-60",IF(H410&lt;70,"60-70","70+")))))</f>
        <v>70+</v>
      </c>
      <c r="P410" s="37" t="n">
        <f aca="false">IFERROR(VALUE(SUBSTITUTE(B410,"-","")),0)</f>
        <v>20260809</v>
      </c>
    </row>
    <row r="411" customFormat="false" ht="15" hidden="false" customHeight="false" outlineLevel="0" collapsed="false">
      <c r="A411" s="14" t="s">
        <v>46</v>
      </c>
      <c r="B411" s="32" t="s">
        <v>587</v>
      </c>
      <c r="C411" s="7" t="s">
        <v>986</v>
      </c>
      <c r="D411" s="32" t="s">
        <v>987</v>
      </c>
      <c r="E411" s="21" t="n">
        <v>77</v>
      </c>
      <c r="F411" s="21" t="n">
        <v>846</v>
      </c>
      <c r="G411" s="22" t="n">
        <v>0.019</v>
      </c>
      <c r="H411" s="22" t="n">
        <v>61.48</v>
      </c>
      <c r="I411" s="23" t="n">
        <v>22</v>
      </c>
      <c r="J411" s="21" t="n">
        <v>0</v>
      </c>
      <c r="K411" s="21" t="n">
        <v>0</v>
      </c>
      <c r="L411" s="21" t="n">
        <v>0</v>
      </c>
      <c r="M411" s="22" t="n">
        <f aca="false">IFERROR(L411/E411*1000,0)</f>
        <v>0</v>
      </c>
      <c r="N411" s="22" t="n">
        <f aca="false">IFERROR(J411/E411*100,0)</f>
        <v>0</v>
      </c>
      <c r="O411" s="32" t="str">
        <f aca="false">IF(H411&lt;30,"00-30",IF(H411&lt;40,"30-40",IF(H411&lt;50,"40-50",IF(H411&lt;60,"50-60",IF(H411&lt;70,"60-70","70+")))))</f>
        <v>60-70</v>
      </c>
      <c r="P411" s="37" t="n">
        <f aca="false">IFERROR(VALUE(SUBSTITUTE(B411,"-","")),0)</f>
        <v>20260810</v>
      </c>
    </row>
    <row r="412" customFormat="false" ht="15" hidden="false" customHeight="false" outlineLevel="0" collapsed="false">
      <c r="A412" s="14" t="s">
        <v>46</v>
      </c>
      <c r="B412" s="32" t="s">
        <v>587</v>
      </c>
      <c r="C412" s="7" t="s">
        <v>988</v>
      </c>
      <c r="D412" s="32" t="s">
        <v>989</v>
      </c>
      <c r="E412" s="21" t="n">
        <v>781</v>
      </c>
      <c r="F412" s="21" t="n">
        <v>420</v>
      </c>
      <c r="G412" s="22" t="n">
        <v>0.014</v>
      </c>
      <c r="H412" s="22" t="n">
        <v>53.74</v>
      </c>
      <c r="I412" s="23" t="n">
        <v>18</v>
      </c>
      <c r="J412" s="21" t="n">
        <v>3</v>
      </c>
      <c r="K412" s="21" t="n">
        <v>0</v>
      </c>
      <c r="L412" s="21" t="n">
        <v>0</v>
      </c>
      <c r="M412" s="22" t="n">
        <f aca="false">IFERROR(L412/E412*1000,0)</f>
        <v>0</v>
      </c>
      <c r="N412" s="22" t="n">
        <f aca="false">IFERROR(J412/E412*100,0)</f>
        <v>0.384122919334187</v>
      </c>
      <c r="O412" s="32" t="str">
        <f aca="false">IF(H412&lt;30,"00-30",IF(H412&lt;40,"30-40",IF(H412&lt;50,"40-50",IF(H412&lt;60,"50-60",IF(H412&lt;70,"60-70","70+")))))</f>
        <v>50-60</v>
      </c>
      <c r="P412" s="37" t="n">
        <f aca="false">IFERROR(VALUE(SUBSTITUTE(B412,"-","")),0)</f>
        <v>20260810</v>
      </c>
    </row>
    <row r="413" customFormat="false" ht="15" hidden="false" customHeight="false" outlineLevel="0" collapsed="false">
      <c r="A413" s="14" t="s">
        <v>46</v>
      </c>
      <c r="B413" s="32" t="s">
        <v>594</v>
      </c>
      <c r="C413" s="14" t="s">
        <v>990</v>
      </c>
      <c r="D413" s="32" t="s">
        <v>991</v>
      </c>
      <c r="E413" s="21" t="n">
        <v>1064</v>
      </c>
      <c r="F413" s="21" t="n">
        <v>1064</v>
      </c>
      <c r="G413" s="22" t="n">
        <v>0.02</v>
      </c>
      <c r="H413" s="22" t="n">
        <v>46.03</v>
      </c>
      <c r="I413" s="23" t="n">
        <v>13</v>
      </c>
      <c r="J413" s="21" t="n">
        <v>5</v>
      </c>
      <c r="K413" s="21" t="n">
        <v>1</v>
      </c>
      <c r="L413" s="21" t="n">
        <v>2</v>
      </c>
      <c r="M413" s="22" t="n">
        <f aca="false">IFERROR(L413/E413*1000,0)</f>
        <v>1.8796992481203</v>
      </c>
      <c r="N413" s="22" t="n">
        <f aca="false">IFERROR(J413/E413*100,0)</f>
        <v>0.469924812030075</v>
      </c>
      <c r="O413" s="32" t="str">
        <f aca="false">IF(H413&lt;30,"00-30",IF(H413&lt;40,"30-40",IF(H413&lt;50,"40-50",IF(H413&lt;60,"50-60",IF(H413&lt;70,"60-70","70+")))))</f>
        <v>40-50</v>
      </c>
      <c r="P413" s="37" t="n">
        <f aca="false">IFERROR(VALUE(SUBSTITUTE(B413,"-","")),0)</f>
        <v>20260811</v>
      </c>
    </row>
    <row r="414" customFormat="false" ht="15" hidden="false" customHeight="false" outlineLevel="0" collapsed="false">
      <c r="A414" s="14" t="s">
        <v>46</v>
      </c>
      <c r="B414" s="32" t="s">
        <v>235</v>
      </c>
      <c r="C414" s="14" t="s">
        <v>992</v>
      </c>
      <c r="D414" s="32" t="s">
        <v>993</v>
      </c>
      <c r="E414" s="21" t="n">
        <v>797</v>
      </c>
      <c r="F414" s="21" t="n">
        <v>529</v>
      </c>
      <c r="G414" s="22" t="n">
        <v>0.008</v>
      </c>
      <c r="H414" s="22" t="n">
        <v>47.24</v>
      </c>
      <c r="I414" s="23" t="n">
        <v>14</v>
      </c>
      <c r="J414" s="21" t="n">
        <v>2</v>
      </c>
      <c r="K414" s="21" t="n">
        <v>0</v>
      </c>
      <c r="L414" s="21" t="n">
        <v>1</v>
      </c>
      <c r="M414" s="22" t="n">
        <f aca="false">IFERROR(L414/E414*1000,0)</f>
        <v>1.25470514429109</v>
      </c>
      <c r="N414" s="22" t="n">
        <f aca="false">IFERROR(J414/E414*100,0)</f>
        <v>0.250941028858218</v>
      </c>
      <c r="O414" s="32" t="str">
        <f aca="false">IF(H414&lt;30,"00-30",IF(H414&lt;40,"30-40",IF(H414&lt;50,"40-50",IF(H414&lt;60,"50-60",IF(H414&lt;70,"60-70","70+")))))</f>
        <v>40-50</v>
      </c>
      <c r="P414" s="37" t="n">
        <f aca="false">IFERROR(VALUE(SUBSTITUTE(B414,"-","")),0)</f>
        <v>20260812</v>
      </c>
    </row>
    <row r="415" customFormat="false" ht="15" hidden="false" customHeight="false" outlineLevel="0" collapsed="false">
      <c r="A415" s="14" t="s">
        <v>46</v>
      </c>
      <c r="B415" s="32" t="s">
        <v>104</v>
      </c>
      <c r="C415" s="14" t="s">
        <v>994</v>
      </c>
      <c r="D415" s="32" t="s">
        <v>995</v>
      </c>
      <c r="E415" s="21" t="n">
        <v>1075</v>
      </c>
      <c r="F415" s="21" t="n">
        <v>455</v>
      </c>
      <c r="G415" s="22" t="n">
        <v>0.028</v>
      </c>
      <c r="H415" s="22" t="n">
        <v>86.76</v>
      </c>
      <c r="I415" s="23" t="n">
        <v>26</v>
      </c>
      <c r="J415" s="21" t="n">
        <v>0</v>
      </c>
      <c r="K415" s="21" t="n">
        <v>0</v>
      </c>
      <c r="L415" s="21" t="n">
        <v>0</v>
      </c>
      <c r="M415" s="22" t="n">
        <f aca="false">IFERROR(L415/E415*1000,0)</f>
        <v>0</v>
      </c>
      <c r="N415" s="22" t="n">
        <f aca="false">IFERROR(J415/E415*100,0)</f>
        <v>0</v>
      </c>
      <c r="O415" s="32" t="str">
        <f aca="false">IF(H415&lt;30,"00-30",IF(H415&lt;40,"30-40",IF(H415&lt;50,"40-50",IF(H415&lt;60,"50-60",IF(H415&lt;70,"60-70","70+")))))</f>
        <v>70+</v>
      </c>
      <c r="P415" s="37" t="n">
        <f aca="false">IFERROR(VALUE(SUBSTITUTE(B415,"-","")),0)</f>
        <v>20260813</v>
      </c>
    </row>
    <row r="416" customFormat="false" ht="15" hidden="false" customHeight="false" outlineLevel="0" collapsed="false">
      <c r="A416" s="14" t="s">
        <v>46</v>
      </c>
      <c r="B416" s="32" t="s">
        <v>109</v>
      </c>
      <c r="C416" s="14" t="s">
        <v>996</v>
      </c>
      <c r="D416" s="32" t="s">
        <v>997</v>
      </c>
      <c r="E416" s="21" t="n">
        <v>969</v>
      </c>
      <c r="F416" s="21" t="n">
        <v>734</v>
      </c>
      <c r="G416" s="22" t="n">
        <v>0.016</v>
      </c>
      <c r="H416" s="22" t="n">
        <v>59.72</v>
      </c>
      <c r="I416" s="23" t="n">
        <v>19</v>
      </c>
      <c r="J416" s="21" t="n">
        <v>3</v>
      </c>
      <c r="K416" s="21" t="n">
        <v>0</v>
      </c>
      <c r="L416" s="21" t="n">
        <v>0</v>
      </c>
      <c r="M416" s="22" t="n">
        <f aca="false">IFERROR(L416/E416*1000,0)</f>
        <v>0</v>
      </c>
      <c r="N416" s="22" t="n">
        <f aca="false">IFERROR(J416/E416*100,0)</f>
        <v>0.309597523219814</v>
      </c>
      <c r="O416" s="32" t="str">
        <f aca="false">IF(H416&lt;30,"00-30",IF(H416&lt;40,"30-40",IF(H416&lt;50,"40-50",IF(H416&lt;60,"50-60",IF(H416&lt;70,"60-70","70+")))))</f>
        <v>50-60</v>
      </c>
      <c r="P416" s="37" t="n">
        <f aca="false">IFERROR(VALUE(SUBSTITUTE(B416,"-","")),0)</f>
        <v>20260814</v>
      </c>
    </row>
    <row r="417" customFormat="false" ht="15" hidden="false" customHeight="false" outlineLevel="0" collapsed="false">
      <c r="A417" s="14" t="s">
        <v>46</v>
      </c>
      <c r="B417" s="32" t="s">
        <v>114</v>
      </c>
      <c r="C417" s="14" t="s">
        <v>998</v>
      </c>
      <c r="D417" s="32" t="s">
        <v>999</v>
      </c>
      <c r="E417" s="21" t="n">
        <v>1139</v>
      </c>
      <c r="F417" s="21" t="n">
        <v>576</v>
      </c>
      <c r="G417" s="22" t="n">
        <v>0.01</v>
      </c>
      <c r="H417" s="22" t="n">
        <v>53.27</v>
      </c>
      <c r="I417" s="23" t="n">
        <v>14</v>
      </c>
      <c r="J417" s="21" t="n">
        <v>3</v>
      </c>
      <c r="K417" s="21" t="n">
        <v>0</v>
      </c>
      <c r="L417" s="21" t="n">
        <v>0</v>
      </c>
      <c r="M417" s="22" t="n">
        <f aca="false">IFERROR(L417/E417*1000,0)</f>
        <v>0</v>
      </c>
      <c r="N417" s="22" t="n">
        <f aca="false">IFERROR(J417/E417*100,0)</f>
        <v>0.263388937664618</v>
      </c>
      <c r="O417" s="32" t="str">
        <f aca="false">IF(H417&lt;30,"00-30",IF(H417&lt;40,"30-40",IF(H417&lt;50,"40-50",IF(H417&lt;60,"50-60",IF(H417&lt;70,"60-70","70+")))))</f>
        <v>50-60</v>
      </c>
      <c r="P417" s="37" t="n">
        <f aca="false">IFERROR(VALUE(SUBSTITUTE(B417,"-","")),0)</f>
        <v>20260815</v>
      </c>
    </row>
    <row r="418" customFormat="false" ht="15" hidden="false" customHeight="false" outlineLevel="0" collapsed="false">
      <c r="A418" s="14" t="s">
        <v>46</v>
      </c>
      <c r="B418" s="32" t="s">
        <v>122</v>
      </c>
      <c r="C418" s="14" t="s">
        <v>1000</v>
      </c>
      <c r="D418" s="32" t="s">
        <v>1001</v>
      </c>
      <c r="E418" s="21" t="n">
        <v>926</v>
      </c>
      <c r="F418" s="21" t="n">
        <v>339</v>
      </c>
      <c r="G418" s="22" t="n">
        <v>0.023</v>
      </c>
      <c r="H418" s="22" t="n">
        <v>51.41</v>
      </c>
      <c r="I418" s="23" t="n">
        <v>15</v>
      </c>
      <c r="J418" s="21" t="n">
        <v>5</v>
      </c>
      <c r="K418" s="21" t="n">
        <v>0</v>
      </c>
      <c r="L418" s="21" t="n">
        <v>0</v>
      </c>
      <c r="M418" s="22" t="n">
        <f aca="false">IFERROR(L418/E418*1000,0)</f>
        <v>0</v>
      </c>
      <c r="N418" s="22" t="n">
        <f aca="false">IFERROR(J418/E418*100,0)</f>
        <v>0.539956803455724</v>
      </c>
      <c r="O418" s="32" t="str">
        <f aca="false">IF(H418&lt;30,"00-30",IF(H418&lt;40,"30-40",IF(H418&lt;50,"40-50",IF(H418&lt;60,"50-60",IF(H418&lt;70,"60-70","70+")))))</f>
        <v>50-60</v>
      </c>
      <c r="P418" s="37" t="n">
        <f aca="false">IFERROR(VALUE(SUBSTITUTE(B418,"-","")),0)</f>
        <v>20260817</v>
      </c>
    </row>
    <row r="419" customFormat="false" ht="15" hidden="false" customHeight="false" outlineLevel="0" collapsed="false">
      <c r="A419" s="14" t="s">
        <v>46</v>
      </c>
      <c r="B419" s="32" t="s">
        <v>122</v>
      </c>
      <c r="C419" s="14" t="s">
        <v>1002</v>
      </c>
      <c r="D419" s="32" t="s">
        <v>1003</v>
      </c>
      <c r="E419" s="21" t="n">
        <v>882</v>
      </c>
      <c r="F419" s="21" t="n">
        <v>618</v>
      </c>
      <c r="G419" s="22" t="n">
        <v>0.011</v>
      </c>
      <c r="H419" s="22" t="n">
        <v>51.96</v>
      </c>
      <c r="I419" s="23" t="n">
        <v>15</v>
      </c>
      <c r="J419" s="21" t="n">
        <v>9</v>
      </c>
      <c r="K419" s="21" t="n">
        <v>0</v>
      </c>
      <c r="L419" s="21" t="n">
        <v>0</v>
      </c>
      <c r="M419" s="22" t="n">
        <f aca="false">IFERROR(L419/E419*1000,0)</f>
        <v>0</v>
      </c>
      <c r="N419" s="22" t="n">
        <f aca="false">IFERROR(J419/E419*100,0)</f>
        <v>1.02040816326531</v>
      </c>
      <c r="O419" s="32" t="str">
        <f aca="false">IF(H419&lt;30,"00-30",IF(H419&lt;40,"30-40",IF(H419&lt;50,"40-50",IF(H419&lt;60,"50-60",IF(H419&lt;70,"60-70","70+")))))</f>
        <v>50-60</v>
      </c>
      <c r="P419" s="37" t="n">
        <f aca="false">IFERROR(VALUE(SUBSTITUTE(B419,"-","")),0)</f>
        <v>20260817</v>
      </c>
    </row>
    <row r="420" customFormat="false" ht="15" hidden="false" customHeight="false" outlineLevel="0" collapsed="false">
      <c r="A420" s="14" t="s">
        <v>46</v>
      </c>
      <c r="B420" s="32" t="s">
        <v>133</v>
      </c>
      <c r="C420" s="14" t="s">
        <v>1004</v>
      </c>
      <c r="D420" s="32" t="s">
        <v>1005</v>
      </c>
      <c r="E420" s="21" t="n">
        <v>914</v>
      </c>
      <c r="F420" s="21" t="n">
        <v>940</v>
      </c>
      <c r="G420" s="22" t="n">
        <v>0.021</v>
      </c>
      <c r="H420" s="22" t="n">
        <v>49.45</v>
      </c>
      <c r="I420" s="23" t="n">
        <v>17</v>
      </c>
      <c r="J420" s="21" t="n">
        <v>6</v>
      </c>
      <c r="K420" s="21" t="n">
        <v>0</v>
      </c>
      <c r="L420" s="21" t="n">
        <v>1</v>
      </c>
      <c r="M420" s="22" t="n">
        <f aca="false">IFERROR(L420/E420*1000,0)</f>
        <v>1.09409190371991</v>
      </c>
      <c r="N420" s="22" t="n">
        <f aca="false">IFERROR(J420/E420*100,0)</f>
        <v>0.656455142231948</v>
      </c>
      <c r="O420" s="32" t="str">
        <f aca="false">IF(H420&lt;30,"00-30",IF(H420&lt;40,"30-40",IF(H420&lt;50,"40-50",IF(H420&lt;60,"50-60",IF(H420&lt;70,"60-70","70+")))))</f>
        <v>40-50</v>
      </c>
      <c r="P420" s="37" t="n">
        <f aca="false">IFERROR(VALUE(SUBSTITUTE(B420,"-","")),0)</f>
        <v>20260818</v>
      </c>
    </row>
    <row r="421" customFormat="false" ht="15" hidden="false" customHeight="false" outlineLevel="0" collapsed="false">
      <c r="A421" s="14" t="s">
        <v>46</v>
      </c>
      <c r="B421" s="32" t="s">
        <v>138</v>
      </c>
      <c r="C421" s="7" t="s">
        <v>1006</v>
      </c>
      <c r="D421" s="32" t="s">
        <v>1007</v>
      </c>
      <c r="E421" s="21" t="n">
        <v>645</v>
      </c>
      <c r="F421" s="21" t="n">
        <v>125</v>
      </c>
      <c r="G421" s="22" t="n">
        <v>0.019</v>
      </c>
      <c r="H421" s="22" t="n">
        <v>50.1</v>
      </c>
      <c r="I421" s="23" t="n">
        <v>20</v>
      </c>
      <c r="J421" s="21" t="n">
        <v>4</v>
      </c>
      <c r="K421" s="21" t="n">
        <v>0</v>
      </c>
      <c r="L421" s="21" t="n">
        <v>1</v>
      </c>
      <c r="M421" s="22" t="n">
        <f aca="false">IFERROR(L421/E421*1000,0)</f>
        <v>1.55038759689923</v>
      </c>
      <c r="N421" s="22" t="n">
        <f aca="false">IFERROR(J421/E421*100,0)</f>
        <v>0.62015503875969</v>
      </c>
      <c r="O421" s="32" t="str">
        <f aca="false">IF(H421&lt;30,"00-30",IF(H421&lt;40,"30-40",IF(H421&lt;50,"40-50",IF(H421&lt;60,"50-60",IF(H421&lt;70,"60-70","70+")))))</f>
        <v>50-60</v>
      </c>
      <c r="P421" s="37" t="n">
        <f aca="false">IFERROR(VALUE(SUBSTITUTE(B421,"-","")),0)</f>
        <v>20260819</v>
      </c>
    </row>
    <row r="422" customFormat="false" ht="15" hidden="false" customHeight="false" outlineLevel="0" collapsed="false">
      <c r="A422" s="14" t="s">
        <v>46</v>
      </c>
      <c r="B422" s="32" t="s">
        <v>143</v>
      </c>
      <c r="C422" s="7" t="s">
        <v>1008</v>
      </c>
      <c r="D422" s="32" t="s">
        <v>1009</v>
      </c>
      <c r="E422" s="21" t="n">
        <v>76</v>
      </c>
      <c r="F422" s="21" t="n">
        <v>396</v>
      </c>
      <c r="G422" s="22" t="n">
        <v>0.038</v>
      </c>
      <c r="H422" s="22" t="n">
        <v>22.3</v>
      </c>
      <c r="I422" s="23" t="n">
        <v>12</v>
      </c>
      <c r="J422" s="21" t="n">
        <v>0</v>
      </c>
      <c r="K422" s="21" t="n">
        <v>0</v>
      </c>
      <c r="L422" s="21" t="n">
        <v>0</v>
      </c>
      <c r="M422" s="22" t="n">
        <f aca="false">IFERROR(L422/E422*1000,0)</f>
        <v>0</v>
      </c>
      <c r="N422" s="22" t="n">
        <f aca="false">IFERROR(J422/E422*100,0)</f>
        <v>0</v>
      </c>
      <c r="O422" s="32" t="str">
        <f aca="false">IF(H422&lt;30,"00-30",IF(H422&lt;40,"30-40",IF(H422&lt;50,"40-50",IF(H422&lt;60,"50-60",IF(H422&lt;70,"60-70","70+")))))</f>
        <v>00-30</v>
      </c>
      <c r="P422" s="37" t="n">
        <f aca="false">IFERROR(VALUE(SUBSTITUTE(B422,"-","")),0)</f>
        <v>20260820</v>
      </c>
    </row>
    <row r="423" customFormat="false" ht="23.85" hidden="false" customHeight="false" outlineLevel="0" collapsed="false">
      <c r="A423" s="14" t="s">
        <v>46</v>
      </c>
      <c r="B423" s="32" t="s">
        <v>148</v>
      </c>
      <c r="C423" s="7" t="s">
        <v>1010</v>
      </c>
      <c r="D423" s="32" t="s">
        <v>1011</v>
      </c>
      <c r="E423" s="21" t="n">
        <v>962</v>
      </c>
      <c r="F423" s="21" t="n">
        <v>1119</v>
      </c>
      <c r="G423" s="22" t="n">
        <v>0.007</v>
      </c>
      <c r="H423" s="22" t="n">
        <v>27.41</v>
      </c>
      <c r="I423" s="23" t="n">
        <v>16</v>
      </c>
      <c r="J423" s="21" t="n">
        <v>5</v>
      </c>
      <c r="K423" s="21" t="n">
        <v>0</v>
      </c>
      <c r="L423" s="21" t="n">
        <v>0</v>
      </c>
      <c r="M423" s="22" t="n">
        <f aca="false">IFERROR(L423/E423*1000,0)</f>
        <v>0</v>
      </c>
      <c r="N423" s="22" t="n">
        <f aca="false">IFERROR(J423/E423*100,0)</f>
        <v>0.51975051975052</v>
      </c>
      <c r="O423" s="32" t="str">
        <f aca="false">IF(H423&lt;30,"00-30",IF(H423&lt;40,"30-40",IF(H423&lt;50,"40-50",IF(H423&lt;60,"50-60",IF(H423&lt;70,"60-70","70+")))))</f>
        <v>00-30</v>
      </c>
      <c r="P423" s="37" t="n">
        <f aca="false">IFERROR(VALUE(SUBSTITUTE(B423,"-","")),0)</f>
        <v>20260821</v>
      </c>
    </row>
    <row r="424" customFormat="false" ht="15" hidden="false" customHeight="false" outlineLevel="0" collapsed="false">
      <c r="A424" s="14" t="s">
        <v>46</v>
      </c>
      <c r="B424" s="32" t="s">
        <v>148</v>
      </c>
      <c r="C424" s="7" t="s">
        <v>1012</v>
      </c>
      <c r="D424" s="32" t="s">
        <v>1013</v>
      </c>
      <c r="E424" s="21" t="n">
        <v>63</v>
      </c>
      <c r="F424" s="21" t="n">
        <v>268</v>
      </c>
      <c r="G424" s="22" t="n">
        <v>0.018</v>
      </c>
      <c r="H424" s="22" t="n">
        <v>26.4</v>
      </c>
      <c r="I424" s="23" t="n">
        <v>14</v>
      </c>
      <c r="J424" s="21" t="n">
        <v>0</v>
      </c>
      <c r="K424" s="21" t="n">
        <v>0</v>
      </c>
      <c r="L424" s="21" t="n">
        <v>0</v>
      </c>
      <c r="M424" s="22" t="n">
        <f aca="false">IFERROR(L424/E424*1000,0)</f>
        <v>0</v>
      </c>
      <c r="N424" s="22" t="n">
        <f aca="false">IFERROR(J424/E424*100,0)</f>
        <v>0</v>
      </c>
      <c r="O424" s="32" t="str">
        <f aca="false">IF(H424&lt;30,"00-30",IF(H424&lt;40,"30-40",IF(H424&lt;50,"40-50",IF(H424&lt;60,"50-60",IF(H424&lt;70,"60-70","70+")))))</f>
        <v>00-30</v>
      </c>
      <c r="P424" s="37" t="n">
        <f aca="false">IFERROR(VALUE(SUBSTITUTE(B424,"-","")),0)</f>
        <v>20260821</v>
      </c>
    </row>
    <row r="425" customFormat="false" ht="23.85" hidden="false" customHeight="false" outlineLevel="0" collapsed="false">
      <c r="A425" s="14" t="s">
        <v>46</v>
      </c>
      <c r="B425" s="32" t="s">
        <v>155</v>
      </c>
      <c r="C425" s="7" t="s">
        <v>1014</v>
      </c>
      <c r="D425" s="32" t="s">
        <v>1015</v>
      </c>
      <c r="E425" s="21" t="n">
        <v>178</v>
      </c>
      <c r="F425" s="21" t="n">
        <v>62</v>
      </c>
      <c r="G425" s="22" t="n">
        <v>0.067</v>
      </c>
      <c r="H425" s="22" t="n">
        <v>25.84</v>
      </c>
      <c r="I425" s="23" t="n">
        <v>14</v>
      </c>
      <c r="J425" s="21" t="n">
        <v>0</v>
      </c>
      <c r="K425" s="21" t="n">
        <v>0</v>
      </c>
      <c r="L425" s="21" t="n">
        <v>1</v>
      </c>
      <c r="M425" s="22" t="n">
        <f aca="false">IFERROR(L425/E425*1000,0)</f>
        <v>5.61797752808989</v>
      </c>
      <c r="N425" s="22" t="n">
        <f aca="false">IFERROR(J425/E425*100,0)</f>
        <v>0</v>
      </c>
      <c r="O425" s="32" t="str">
        <f aca="false">IF(H425&lt;30,"00-30",IF(H425&lt;40,"30-40",IF(H425&lt;50,"40-50",IF(H425&lt;60,"50-60",IF(H425&lt;70,"60-70","70+")))))</f>
        <v>00-30</v>
      </c>
      <c r="P425" s="37" t="n">
        <f aca="false">IFERROR(VALUE(SUBSTITUTE(B425,"-","")),0)</f>
        <v>20260822</v>
      </c>
    </row>
    <row r="426" customFormat="false" ht="15" hidden="false" customHeight="false" outlineLevel="0" collapsed="false">
      <c r="A426" s="14" t="s">
        <v>46</v>
      </c>
      <c r="B426" s="32" t="s">
        <v>155</v>
      </c>
      <c r="C426" s="7" t="s">
        <v>1016</v>
      </c>
      <c r="D426" s="32" t="s">
        <v>1017</v>
      </c>
      <c r="E426" s="21" t="n">
        <v>397</v>
      </c>
      <c r="F426" s="21" t="n">
        <v>884</v>
      </c>
      <c r="G426" s="22" t="n">
        <v>0.047</v>
      </c>
      <c r="H426" s="22" t="n">
        <v>26.83</v>
      </c>
      <c r="I426" s="23" t="n">
        <v>14</v>
      </c>
      <c r="J426" s="21" t="n">
        <v>3</v>
      </c>
      <c r="K426" s="21" t="n">
        <v>0</v>
      </c>
      <c r="L426" s="21" t="n">
        <v>0</v>
      </c>
      <c r="M426" s="22" t="n">
        <f aca="false">IFERROR(L426/E426*1000,0)</f>
        <v>0</v>
      </c>
      <c r="N426" s="22" t="n">
        <f aca="false">IFERROR(J426/E426*100,0)</f>
        <v>0.755667506297229</v>
      </c>
      <c r="O426" s="32" t="str">
        <f aca="false">IF(H426&lt;30,"00-30",IF(H426&lt;40,"30-40",IF(H426&lt;50,"40-50",IF(H426&lt;60,"50-60",IF(H426&lt;70,"60-70","70+")))))</f>
        <v>00-30</v>
      </c>
      <c r="P426" s="37" t="n">
        <f aca="false">IFERROR(VALUE(SUBSTITUTE(B426,"-","")),0)</f>
        <v>20260822</v>
      </c>
    </row>
    <row r="427" customFormat="false" ht="15" hidden="false" customHeight="false" outlineLevel="0" collapsed="false">
      <c r="A427" s="14" t="s">
        <v>46</v>
      </c>
      <c r="B427" s="32" t="s">
        <v>158</v>
      </c>
      <c r="C427" s="7" t="s">
        <v>1018</v>
      </c>
      <c r="D427" s="32" t="s">
        <v>1019</v>
      </c>
      <c r="E427" s="21" t="n">
        <v>80</v>
      </c>
      <c r="F427" s="21" t="n">
        <v>345</v>
      </c>
      <c r="G427" s="22" t="n">
        <v>0.006</v>
      </c>
      <c r="H427" s="22" t="n">
        <v>20.37</v>
      </c>
      <c r="I427" s="23" t="n">
        <v>11</v>
      </c>
      <c r="J427" s="21" t="n">
        <v>0</v>
      </c>
      <c r="K427" s="21" t="n">
        <v>0</v>
      </c>
      <c r="L427" s="21" t="n">
        <v>0</v>
      </c>
      <c r="M427" s="22" t="n">
        <f aca="false">IFERROR(L427/E427*1000,0)</f>
        <v>0</v>
      </c>
      <c r="N427" s="22" t="n">
        <f aca="false">IFERROR(J427/E427*100,0)</f>
        <v>0</v>
      </c>
      <c r="O427" s="32" t="str">
        <f aca="false">IF(H427&lt;30,"00-30",IF(H427&lt;40,"30-40",IF(H427&lt;50,"40-50",IF(H427&lt;60,"50-60",IF(H427&lt;70,"60-70","70+")))))</f>
        <v>00-30</v>
      </c>
      <c r="P427" s="37" t="n">
        <f aca="false">IFERROR(VALUE(SUBSTITUTE(B427,"-","")),0)</f>
        <v>20260823</v>
      </c>
    </row>
    <row r="428" customFormat="false" ht="23.85" hidden="false" customHeight="false" outlineLevel="0" collapsed="false">
      <c r="A428" s="14" t="s">
        <v>46</v>
      </c>
      <c r="B428" s="32" t="s">
        <v>158</v>
      </c>
      <c r="C428" s="7" t="s">
        <v>1020</v>
      </c>
      <c r="D428" s="32" t="s">
        <v>1021</v>
      </c>
      <c r="E428" s="21" t="n">
        <v>1038</v>
      </c>
      <c r="F428" s="21" t="n">
        <v>270</v>
      </c>
      <c r="G428" s="22" t="n">
        <v>0.043</v>
      </c>
      <c r="H428" s="22" t="n">
        <v>23.84</v>
      </c>
      <c r="I428" s="23" t="n">
        <v>12</v>
      </c>
      <c r="J428" s="21" t="n">
        <v>3</v>
      </c>
      <c r="K428" s="21" t="n">
        <v>0</v>
      </c>
      <c r="L428" s="21" t="n">
        <v>1</v>
      </c>
      <c r="M428" s="22" t="n">
        <f aca="false">IFERROR(L428/E428*1000,0)</f>
        <v>0.963391136801541</v>
      </c>
      <c r="N428" s="22" t="n">
        <f aca="false">IFERROR(J428/E428*100,0)</f>
        <v>0.289017341040462</v>
      </c>
      <c r="O428" s="32" t="str">
        <f aca="false">IF(H428&lt;30,"00-30",IF(H428&lt;40,"30-40",IF(H428&lt;50,"40-50",IF(H428&lt;60,"50-60",IF(H428&lt;70,"60-70","70+")))))</f>
        <v>00-30</v>
      </c>
      <c r="P428" s="37" t="n">
        <f aca="false">IFERROR(VALUE(SUBSTITUTE(B428,"-","")),0)</f>
        <v>20260823</v>
      </c>
    </row>
    <row r="429" customFormat="false" ht="15" hidden="false" customHeight="false" outlineLevel="0" collapsed="false">
      <c r="A429" s="14" t="s">
        <v>46</v>
      </c>
      <c r="B429" s="32" t="s">
        <v>161</v>
      </c>
      <c r="C429" s="7" t="s">
        <v>1022</v>
      </c>
      <c r="D429" s="32" t="s">
        <v>1023</v>
      </c>
      <c r="E429" s="21" t="n">
        <v>1014</v>
      </c>
      <c r="F429" s="21" t="n">
        <v>507</v>
      </c>
      <c r="G429" s="22" t="n">
        <v>0.011</v>
      </c>
      <c r="H429" s="22" t="n">
        <v>25.19</v>
      </c>
      <c r="I429" s="23" t="n">
        <v>12</v>
      </c>
      <c r="J429" s="21" t="n">
        <v>3</v>
      </c>
      <c r="K429" s="21" t="n">
        <v>0</v>
      </c>
      <c r="L429" s="21" t="n">
        <v>0</v>
      </c>
      <c r="M429" s="22" t="n">
        <f aca="false">IFERROR(L429/E429*1000,0)</f>
        <v>0</v>
      </c>
      <c r="N429" s="22" t="n">
        <f aca="false">IFERROR(J429/E429*100,0)</f>
        <v>0.295857988165681</v>
      </c>
      <c r="O429" s="32" t="str">
        <f aca="false">IF(H429&lt;30,"00-30",IF(H429&lt;40,"30-40",IF(H429&lt;50,"40-50",IF(H429&lt;60,"50-60",IF(H429&lt;70,"60-70","70+")))))</f>
        <v>00-30</v>
      </c>
      <c r="P429" s="37" t="n">
        <f aca="false">IFERROR(VALUE(SUBSTITUTE(B429,"-","")),0)</f>
        <v>20260824</v>
      </c>
    </row>
    <row r="430" customFormat="false" ht="15" hidden="false" customHeight="false" outlineLevel="0" collapsed="false">
      <c r="A430" s="14" t="s">
        <v>46</v>
      </c>
      <c r="B430" s="32" t="s">
        <v>164</v>
      </c>
      <c r="C430" s="7" t="s">
        <v>1024</v>
      </c>
      <c r="D430" s="32" t="s">
        <v>1025</v>
      </c>
      <c r="E430" s="21" t="n">
        <v>945</v>
      </c>
      <c r="F430" s="21" t="n">
        <v>118</v>
      </c>
      <c r="G430" s="22" t="n">
        <v>0.039</v>
      </c>
      <c r="H430" s="22" t="n">
        <v>32.84</v>
      </c>
      <c r="I430" s="23" t="n">
        <v>13</v>
      </c>
      <c r="J430" s="21" t="n">
        <v>0</v>
      </c>
      <c r="K430" s="21" t="n">
        <v>0</v>
      </c>
      <c r="L430" s="21" t="n">
        <v>0</v>
      </c>
      <c r="M430" s="22" t="n">
        <f aca="false">IFERROR(L430/E430*1000,0)</f>
        <v>0</v>
      </c>
      <c r="N430" s="22" t="n">
        <f aca="false">IFERROR(J430/E430*100,0)</f>
        <v>0</v>
      </c>
      <c r="O430" s="32" t="str">
        <f aca="false">IF(H430&lt;30,"00-30",IF(H430&lt;40,"30-40",IF(H430&lt;50,"40-50",IF(H430&lt;60,"50-60",IF(H430&lt;70,"60-70","70+")))))</f>
        <v>30-40</v>
      </c>
      <c r="P430" s="37" t="n">
        <f aca="false">IFERROR(VALUE(SUBSTITUTE(B430,"-","")),0)</f>
        <v>20260825</v>
      </c>
    </row>
    <row r="431" customFormat="false" ht="15" hidden="false" customHeight="false" outlineLevel="0" collapsed="false">
      <c r="A431" s="14" t="s">
        <v>46</v>
      </c>
      <c r="B431" s="32" t="s">
        <v>164</v>
      </c>
      <c r="C431" s="7" t="s">
        <v>1026</v>
      </c>
      <c r="D431" s="32" t="s">
        <v>1027</v>
      </c>
      <c r="E431" s="21" t="n">
        <v>269</v>
      </c>
      <c r="F431" s="21" t="n">
        <v>409</v>
      </c>
      <c r="G431" s="22" t="n">
        <v>0.034</v>
      </c>
      <c r="H431" s="22" t="n">
        <v>60.92</v>
      </c>
      <c r="I431" s="23" t="n">
        <v>21</v>
      </c>
      <c r="J431" s="21" t="n">
        <v>0</v>
      </c>
      <c r="K431" s="21" t="n">
        <v>0</v>
      </c>
      <c r="L431" s="21" t="n">
        <v>0</v>
      </c>
      <c r="M431" s="22" t="n">
        <f aca="false">IFERROR(L431/E431*1000,0)</f>
        <v>0</v>
      </c>
      <c r="N431" s="22" t="n">
        <f aca="false">IFERROR(J431/E431*100,0)</f>
        <v>0</v>
      </c>
      <c r="O431" s="32" t="str">
        <f aca="false">IF(H431&lt;30,"00-30",IF(H431&lt;40,"30-40",IF(H431&lt;50,"40-50",IF(H431&lt;60,"50-60",IF(H431&lt;70,"60-70","70+")))))</f>
        <v>60-70</v>
      </c>
      <c r="P431" s="37" t="n">
        <f aca="false">IFERROR(VALUE(SUBSTITUTE(B431,"-","")),0)</f>
        <v>20260825</v>
      </c>
    </row>
    <row r="432" customFormat="false" ht="15" hidden="false" customHeight="false" outlineLevel="0" collapsed="false">
      <c r="A432" s="14" t="s">
        <v>46</v>
      </c>
      <c r="B432" s="32" t="s">
        <v>167</v>
      </c>
      <c r="C432" s="7" t="s">
        <v>1028</v>
      </c>
      <c r="D432" s="32" t="s">
        <v>1029</v>
      </c>
      <c r="E432" s="21" t="n">
        <v>997</v>
      </c>
      <c r="F432" s="21" t="n">
        <v>694</v>
      </c>
      <c r="G432" s="22" t="n">
        <v>0.034</v>
      </c>
      <c r="H432" s="22" t="n">
        <v>33.76</v>
      </c>
      <c r="I432" s="23" t="n">
        <v>14</v>
      </c>
      <c r="J432" s="21" t="n">
        <v>6</v>
      </c>
      <c r="K432" s="21" t="n">
        <v>0</v>
      </c>
      <c r="L432" s="21" t="n">
        <v>3</v>
      </c>
      <c r="M432" s="22" t="n">
        <f aca="false">IFERROR(L432/E432*1000,0)</f>
        <v>3.00902708124373</v>
      </c>
      <c r="N432" s="22" t="n">
        <f aca="false">IFERROR(J432/E432*100,0)</f>
        <v>0.601805416248746</v>
      </c>
      <c r="O432" s="32" t="str">
        <f aca="false">IF(H432&lt;30,"00-30",IF(H432&lt;40,"30-40",IF(H432&lt;50,"40-50",IF(H432&lt;60,"50-60",IF(H432&lt;70,"60-70","70+")))))</f>
        <v>30-40</v>
      </c>
      <c r="P432" s="37" t="n">
        <f aca="false">IFERROR(VALUE(SUBSTITUTE(B432,"-","")),0)</f>
        <v>20260826</v>
      </c>
    </row>
    <row r="433" customFormat="false" ht="15" hidden="false" customHeight="false" outlineLevel="0" collapsed="false">
      <c r="A433" s="14" t="s">
        <v>46</v>
      </c>
      <c r="B433" s="32" t="s">
        <v>167</v>
      </c>
      <c r="C433" s="7" t="s">
        <v>1030</v>
      </c>
      <c r="D433" s="32" t="s">
        <v>1031</v>
      </c>
      <c r="E433" s="21" t="n">
        <v>1003</v>
      </c>
      <c r="F433" s="21" t="n">
        <v>76</v>
      </c>
      <c r="G433" s="22" t="n">
        <v>0</v>
      </c>
      <c r="H433" s="22" t="n">
        <v>24.9</v>
      </c>
      <c r="I433" s="23" t="n">
        <v>11</v>
      </c>
      <c r="J433" s="21" t="n">
        <v>7</v>
      </c>
      <c r="K433" s="21" t="n">
        <v>0</v>
      </c>
      <c r="L433" s="21" t="n">
        <v>0</v>
      </c>
      <c r="M433" s="22" t="n">
        <f aca="false">IFERROR(L433/E433*1000,0)</f>
        <v>0</v>
      </c>
      <c r="N433" s="22" t="n">
        <f aca="false">IFERROR(J433/E433*100,0)</f>
        <v>0.69790628115653</v>
      </c>
      <c r="O433" s="32" t="str">
        <f aca="false">IF(H433&lt;30,"00-30",IF(H433&lt;40,"30-40",IF(H433&lt;50,"40-50",IF(H433&lt;60,"50-60",IF(H433&lt;70,"60-70","70+")))))</f>
        <v>00-30</v>
      </c>
      <c r="P433" s="37" t="n">
        <f aca="false">IFERROR(VALUE(SUBSTITUTE(B433,"-","")),0)</f>
        <v>20260826</v>
      </c>
    </row>
    <row r="434" customFormat="false" ht="15" hidden="false" customHeight="false" outlineLevel="0" collapsed="false">
      <c r="A434" s="14" t="s">
        <v>46</v>
      </c>
      <c r="B434" s="32" t="s">
        <v>170</v>
      </c>
      <c r="C434" s="7" t="s">
        <v>1032</v>
      </c>
      <c r="D434" s="32" t="s">
        <v>1033</v>
      </c>
      <c r="E434" s="21" t="n">
        <v>955</v>
      </c>
      <c r="F434" s="21" t="n">
        <v>1132</v>
      </c>
      <c r="G434" s="22" t="n">
        <v>0.013</v>
      </c>
      <c r="H434" s="22" t="n">
        <v>29.58</v>
      </c>
      <c r="I434" s="23" t="n">
        <v>13</v>
      </c>
      <c r="J434" s="21" t="n">
        <v>4</v>
      </c>
      <c r="K434" s="21" t="n">
        <v>0</v>
      </c>
      <c r="L434" s="21" t="n">
        <v>1</v>
      </c>
      <c r="M434" s="22" t="n">
        <f aca="false">IFERROR(L434/E434*1000,0)</f>
        <v>1.04712041884817</v>
      </c>
      <c r="N434" s="22" t="n">
        <f aca="false">IFERROR(J434/E434*100,0)</f>
        <v>0.418848167539267</v>
      </c>
      <c r="O434" s="32" t="str">
        <f aca="false">IF(H434&lt;30,"00-30",IF(H434&lt;40,"30-40",IF(H434&lt;50,"40-50",IF(H434&lt;60,"50-60",IF(H434&lt;70,"60-70","70+")))))</f>
        <v>00-30</v>
      </c>
      <c r="P434" s="37" t="n">
        <f aca="false">IFERROR(VALUE(SUBSTITUTE(B434,"-","")),0)</f>
        <v>20260827</v>
      </c>
    </row>
    <row r="435" customFormat="false" ht="15" hidden="false" customHeight="false" outlineLevel="0" collapsed="false">
      <c r="A435" s="14" t="s">
        <v>46</v>
      </c>
      <c r="B435" s="32" t="s">
        <v>170</v>
      </c>
      <c r="C435" s="7" t="s">
        <v>1034</v>
      </c>
      <c r="D435" s="32" t="s">
        <v>1035</v>
      </c>
      <c r="E435" s="21" t="n">
        <v>989</v>
      </c>
      <c r="F435" s="21" t="n">
        <v>600</v>
      </c>
      <c r="G435" s="22" t="n">
        <v>0.049</v>
      </c>
      <c r="H435" s="22" t="n">
        <v>67.82</v>
      </c>
      <c r="I435" s="23" t="n">
        <v>18</v>
      </c>
      <c r="J435" s="21" t="n">
        <v>5</v>
      </c>
      <c r="K435" s="21" t="n">
        <v>0</v>
      </c>
      <c r="L435" s="21" t="n">
        <v>1</v>
      </c>
      <c r="M435" s="22" t="n">
        <f aca="false">IFERROR(L435/E435*1000,0)</f>
        <v>1.01112234580384</v>
      </c>
      <c r="N435" s="22" t="n">
        <f aca="false">IFERROR(J435/E435*100,0)</f>
        <v>0.505561172901921</v>
      </c>
      <c r="O435" s="32" t="str">
        <f aca="false">IF(H435&lt;30,"00-30",IF(H435&lt;40,"30-40",IF(H435&lt;50,"40-50",IF(H435&lt;60,"50-60",IF(H435&lt;70,"60-70","70+")))))</f>
        <v>60-70</v>
      </c>
      <c r="P435" s="37" t="n">
        <f aca="false">IFERROR(VALUE(SUBSTITUTE(B435,"-","")),0)</f>
        <v>20260827</v>
      </c>
    </row>
    <row r="436" customFormat="false" ht="23.85" hidden="false" customHeight="false" outlineLevel="0" collapsed="false">
      <c r="A436" s="14" t="s">
        <v>46</v>
      </c>
      <c r="B436" s="32" t="s">
        <v>175</v>
      </c>
      <c r="C436" s="7" t="s">
        <v>1036</v>
      </c>
      <c r="D436" s="32" t="s">
        <v>1037</v>
      </c>
      <c r="E436" s="21" t="n">
        <v>955</v>
      </c>
      <c r="F436" s="21" t="n">
        <v>1179</v>
      </c>
      <c r="G436" s="22" t="n">
        <v>0.014</v>
      </c>
      <c r="H436" s="22" t="n">
        <v>27.43</v>
      </c>
      <c r="I436" s="23" t="n">
        <v>10</v>
      </c>
      <c r="J436" s="21" t="n">
        <v>4</v>
      </c>
      <c r="K436" s="21" t="n">
        <v>0</v>
      </c>
      <c r="L436" s="21" t="n">
        <v>0</v>
      </c>
      <c r="M436" s="22" t="n">
        <f aca="false">IFERROR(L436/E436*1000,0)</f>
        <v>0</v>
      </c>
      <c r="N436" s="22" t="n">
        <f aca="false">IFERROR(J436/E436*100,0)</f>
        <v>0.418848167539267</v>
      </c>
      <c r="O436" s="32" t="str">
        <f aca="false">IF(H436&lt;30,"00-30",IF(H436&lt;40,"30-40",IF(H436&lt;50,"40-50",IF(H436&lt;60,"50-60",IF(H436&lt;70,"60-70","70+")))))</f>
        <v>00-30</v>
      </c>
      <c r="P436" s="37" t="n">
        <f aca="false">IFERROR(VALUE(SUBSTITUTE(B436,"-","")),0)</f>
        <v>20260828</v>
      </c>
    </row>
    <row r="437" customFormat="false" ht="15" hidden="false" customHeight="false" outlineLevel="0" collapsed="false">
      <c r="A437" s="14" t="s">
        <v>46</v>
      </c>
      <c r="B437" s="32" t="s">
        <v>175</v>
      </c>
      <c r="C437" s="7" t="s">
        <v>1038</v>
      </c>
      <c r="D437" s="32" t="s">
        <v>1039</v>
      </c>
      <c r="E437" s="21" t="n">
        <v>118</v>
      </c>
      <c r="F437" s="21" t="n">
        <v>631</v>
      </c>
      <c r="G437" s="22" t="n">
        <v>0.013</v>
      </c>
      <c r="H437" s="22" t="n">
        <v>25.52</v>
      </c>
      <c r="I437" s="23" t="n">
        <v>14</v>
      </c>
      <c r="J437" s="21" t="n">
        <v>0</v>
      </c>
      <c r="K437" s="21" t="n">
        <v>0</v>
      </c>
      <c r="L437" s="21" t="n">
        <v>0</v>
      </c>
      <c r="M437" s="22" t="n">
        <f aca="false">IFERROR(L437/E437*1000,0)</f>
        <v>0</v>
      </c>
      <c r="N437" s="22" t="n">
        <f aca="false">IFERROR(J437/E437*100,0)</f>
        <v>0</v>
      </c>
      <c r="O437" s="32" t="str">
        <f aca="false">IF(H437&lt;30,"00-30",IF(H437&lt;40,"30-40",IF(H437&lt;50,"40-50",IF(H437&lt;60,"50-60",IF(H437&lt;70,"60-70","70+")))))</f>
        <v>00-30</v>
      </c>
      <c r="P437" s="37" t="n">
        <f aca="false">IFERROR(VALUE(SUBSTITUTE(B437,"-","")),0)</f>
        <v>20260828</v>
      </c>
    </row>
    <row r="438" customFormat="false" ht="15" hidden="false" customHeight="false" outlineLevel="0" collapsed="false">
      <c r="A438" s="14" t="s">
        <v>46</v>
      </c>
      <c r="B438" s="32" t="s">
        <v>175</v>
      </c>
      <c r="C438" s="7" t="s">
        <v>1040</v>
      </c>
      <c r="D438" s="32" t="s">
        <v>1041</v>
      </c>
      <c r="E438" s="21" t="n">
        <v>1051</v>
      </c>
      <c r="F438" s="21" t="n">
        <v>187</v>
      </c>
      <c r="G438" s="22" t="n">
        <v>0.048</v>
      </c>
      <c r="H438" s="22" t="n">
        <v>31.95</v>
      </c>
      <c r="I438" s="23" t="n">
        <v>14</v>
      </c>
      <c r="J438" s="21" t="n">
        <v>3</v>
      </c>
      <c r="K438" s="21" t="n">
        <v>0</v>
      </c>
      <c r="L438" s="21" t="n">
        <v>1</v>
      </c>
      <c r="M438" s="22" t="n">
        <f aca="false">IFERROR(L438/E438*1000,0)</f>
        <v>0.951474785918173</v>
      </c>
      <c r="N438" s="22" t="n">
        <f aca="false">IFERROR(J438/E438*100,0)</f>
        <v>0.285442435775452</v>
      </c>
      <c r="O438" s="32" t="str">
        <f aca="false">IF(H438&lt;30,"00-30",IF(H438&lt;40,"30-40",IF(H438&lt;50,"40-50",IF(H438&lt;60,"50-60",IF(H438&lt;70,"60-70","70+")))))</f>
        <v>30-40</v>
      </c>
      <c r="P438" s="37" t="n">
        <f aca="false">IFERROR(VALUE(SUBSTITUTE(B438,"-","")),0)</f>
        <v>20260828</v>
      </c>
    </row>
    <row r="439" customFormat="false" ht="15" hidden="false" customHeight="false" outlineLevel="0" collapsed="false">
      <c r="A439" s="14" t="s">
        <v>46</v>
      </c>
      <c r="B439" s="32" t="s">
        <v>180</v>
      </c>
      <c r="C439" s="7" t="s">
        <v>1042</v>
      </c>
      <c r="D439" s="32" t="s">
        <v>1043</v>
      </c>
      <c r="E439" s="21" t="n">
        <v>1061</v>
      </c>
      <c r="F439" s="21" t="n">
        <v>2244</v>
      </c>
      <c r="G439" s="22" t="n">
        <v>0.021</v>
      </c>
      <c r="H439" s="22" t="n">
        <v>23.66</v>
      </c>
      <c r="I439" s="23" t="n">
        <v>12</v>
      </c>
      <c r="J439" s="21" t="n">
        <v>2</v>
      </c>
      <c r="K439" s="21" t="n">
        <v>0</v>
      </c>
      <c r="L439" s="21" t="n">
        <v>1</v>
      </c>
      <c r="M439" s="22" t="n">
        <f aca="false">IFERROR(L439/E439*1000,0)</f>
        <v>0.942507068803016</v>
      </c>
      <c r="N439" s="22" t="n">
        <f aca="false">IFERROR(J439/E439*100,0)</f>
        <v>0.188501413760603</v>
      </c>
      <c r="O439" s="32" t="str">
        <f aca="false">IF(H439&lt;30,"00-30",IF(H439&lt;40,"30-40",IF(H439&lt;50,"40-50",IF(H439&lt;60,"50-60",IF(H439&lt;70,"60-70","70+")))))</f>
        <v>00-30</v>
      </c>
      <c r="P439" s="37" t="n">
        <f aca="false">IFERROR(VALUE(SUBSTITUTE(B439,"-","")),0)</f>
        <v>20260829</v>
      </c>
    </row>
    <row r="440" customFormat="false" ht="15" hidden="false" customHeight="false" outlineLevel="0" collapsed="false">
      <c r="A440" s="14" t="s">
        <v>46</v>
      </c>
      <c r="B440" s="32" t="s">
        <v>180</v>
      </c>
      <c r="C440" s="7" t="s">
        <v>1044</v>
      </c>
      <c r="D440" s="32" t="s">
        <v>1045</v>
      </c>
      <c r="E440" s="21" t="n">
        <v>718</v>
      </c>
      <c r="F440" s="21" t="n">
        <v>146</v>
      </c>
      <c r="G440" s="22" t="n">
        <v>0</v>
      </c>
      <c r="H440" s="22" t="n">
        <v>39.06</v>
      </c>
      <c r="I440" s="23" t="n">
        <v>15</v>
      </c>
      <c r="J440" s="21" t="n">
        <v>0</v>
      </c>
      <c r="K440" s="21" t="n">
        <v>0</v>
      </c>
      <c r="L440" s="21" t="n">
        <v>0</v>
      </c>
      <c r="M440" s="22" t="n">
        <f aca="false">IFERROR(L440/E440*1000,0)</f>
        <v>0</v>
      </c>
      <c r="N440" s="22" t="n">
        <f aca="false">IFERROR(J440/E440*100,0)</f>
        <v>0</v>
      </c>
      <c r="O440" s="32" t="str">
        <f aca="false">IF(H440&lt;30,"00-30",IF(H440&lt;40,"30-40",IF(H440&lt;50,"40-50",IF(H440&lt;60,"50-60",IF(H440&lt;70,"60-70","70+")))))</f>
        <v>30-40</v>
      </c>
      <c r="P440" s="37" t="n">
        <f aca="false">IFERROR(VALUE(SUBSTITUTE(B440,"-","")),0)</f>
        <v>20260829</v>
      </c>
    </row>
    <row r="441" customFormat="false" ht="15" hidden="false" customHeight="false" outlineLevel="0" collapsed="false">
      <c r="A441" s="14" t="s">
        <v>46</v>
      </c>
      <c r="B441" s="32" t="s">
        <v>183</v>
      </c>
      <c r="C441" s="14" t="s">
        <v>1046</v>
      </c>
      <c r="D441" s="32" t="s">
        <v>1047</v>
      </c>
      <c r="E441" s="21" t="n">
        <v>961</v>
      </c>
      <c r="F441" s="21" t="n">
        <v>318</v>
      </c>
      <c r="G441" s="22" t="n">
        <v>0.01</v>
      </c>
      <c r="H441" s="22" t="n">
        <v>59.99</v>
      </c>
      <c r="I441" s="23" t="n">
        <v>23</v>
      </c>
      <c r="J441" s="21" t="n">
        <v>1</v>
      </c>
      <c r="K441" s="21" t="n">
        <v>0</v>
      </c>
      <c r="L441" s="21" t="n">
        <v>2</v>
      </c>
      <c r="M441" s="22" t="n">
        <f aca="false">IFERROR(L441/E441*1000,0)</f>
        <v>2.08116545265349</v>
      </c>
      <c r="N441" s="22" t="n">
        <f aca="false">IFERROR(J441/E441*100,0)</f>
        <v>0.104058272632674</v>
      </c>
      <c r="O441" s="32" t="str">
        <f aca="false">IF(H441&lt;30,"00-30",IF(H441&lt;40,"30-40",IF(H441&lt;50,"40-50",IF(H441&lt;60,"50-60",IF(H441&lt;70,"60-70","70+")))))</f>
        <v>50-60</v>
      </c>
      <c r="P441" s="37" t="n">
        <f aca="false">IFERROR(VALUE(SUBSTITUTE(B441,"-","")),0)</f>
        <v>20260830</v>
      </c>
    </row>
    <row r="442" customFormat="false" ht="15" hidden="false" customHeight="false" outlineLevel="0" collapsed="false">
      <c r="A442" s="14" t="s">
        <v>46</v>
      </c>
      <c r="B442" s="32" t="s">
        <v>183</v>
      </c>
      <c r="C442" s="7" t="s">
        <v>1048</v>
      </c>
      <c r="D442" s="32" t="s">
        <v>1049</v>
      </c>
      <c r="E442" s="21" t="n">
        <v>992</v>
      </c>
      <c r="F442" s="21" t="n">
        <v>99</v>
      </c>
      <c r="G442" s="22" t="n">
        <v>0.028</v>
      </c>
      <c r="H442" s="22" t="n">
        <v>28.27</v>
      </c>
      <c r="I442" s="23" t="n">
        <v>13</v>
      </c>
      <c r="J442" s="21" t="n">
        <v>8</v>
      </c>
      <c r="K442" s="21" t="n">
        <v>0</v>
      </c>
      <c r="L442" s="21" t="n">
        <v>0</v>
      </c>
      <c r="M442" s="22" t="n">
        <f aca="false">IFERROR(L442/E442*1000,0)</f>
        <v>0</v>
      </c>
      <c r="N442" s="22" t="n">
        <f aca="false">IFERROR(J442/E442*100,0)</f>
        <v>0.806451612903226</v>
      </c>
      <c r="O442" s="32" t="str">
        <f aca="false">IF(H442&lt;30,"00-30",IF(H442&lt;40,"30-40",IF(H442&lt;50,"40-50",IF(H442&lt;60,"50-60",IF(H442&lt;70,"60-70","70+")))))</f>
        <v>00-30</v>
      </c>
      <c r="P442" s="37" t="n">
        <f aca="false">IFERROR(VALUE(SUBSTITUTE(B442,"-","")),0)</f>
        <v>20260830</v>
      </c>
    </row>
    <row r="443" customFormat="false" ht="23.85" hidden="false" customHeight="false" outlineLevel="0" collapsed="false">
      <c r="A443" s="14" t="s">
        <v>46</v>
      </c>
      <c r="B443" s="32" t="s">
        <v>188</v>
      </c>
      <c r="C443" s="7" t="s">
        <v>1050</v>
      </c>
      <c r="D443" s="32" t="s">
        <v>1051</v>
      </c>
      <c r="E443" s="21" t="n">
        <v>623</v>
      </c>
      <c r="F443" s="21" t="n">
        <v>81</v>
      </c>
      <c r="G443" s="22" t="n">
        <v>0</v>
      </c>
      <c r="H443" s="22" t="n">
        <v>49.1</v>
      </c>
      <c r="I443" s="23" t="n">
        <v>13</v>
      </c>
      <c r="J443" s="21" t="n">
        <v>1</v>
      </c>
      <c r="K443" s="21" t="n">
        <v>0</v>
      </c>
      <c r="L443" s="21" t="n">
        <v>0</v>
      </c>
      <c r="M443" s="22" t="n">
        <f aca="false">IFERROR(L443/E443*1000,0)</f>
        <v>0</v>
      </c>
      <c r="N443" s="22" t="n">
        <f aca="false">IFERROR(J443/E443*100,0)</f>
        <v>0.160513643659711</v>
      </c>
      <c r="O443" s="32" t="str">
        <f aca="false">IF(H443&lt;30,"00-30",IF(H443&lt;40,"30-40",IF(H443&lt;50,"40-50",IF(H443&lt;60,"50-60",IF(H443&lt;70,"60-70","70+")))))</f>
        <v>40-50</v>
      </c>
      <c r="P443" s="37" t="n">
        <f aca="false">IFERROR(VALUE(SUBSTITUTE(B443,"-","")),0)</f>
        <v>20260831</v>
      </c>
    </row>
    <row r="444" customFormat="false" ht="15" hidden="false" customHeight="false" outlineLevel="0" collapsed="false">
      <c r="A444" s="14" t="s">
        <v>46</v>
      </c>
      <c r="B444" s="32" t="s">
        <v>188</v>
      </c>
      <c r="C444" s="14" t="s">
        <v>1052</v>
      </c>
      <c r="D444" s="32" t="s">
        <v>1053</v>
      </c>
      <c r="E444" s="21" t="n">
        <v>866</v>
      </c>
      <c r="F444" s="21" t="n">
        <v>225</v>
      </c>
      <c r="G444" s="22" t="n">
        <v>0.027</v>
      </c>
      <c r="H444" s="22" t="n">
        <v>35.29</v>
      </c>
      <c r="I444" s="23" t="n">
        <v>10</v>
      </c>
      <c r="J444" s="21" t="n">
        <v>7</v>
      </c>
      <c r="K444" s="21" t="n">
        <v>0</v>
      </c>
      <c r="L444" s="21" t="n">
        <v>1</v>
      </c>
      <c r="M444" s="22" t="n">
        <f aca="false">IFERROR(L444/E444*1000,0)</f>
        <v>1.15473441108545</v>
      </c>
      <c r="N444" s="22" t="n">
        <f aca="false">IFERROR(J444/E444*100,0)</f>
        <v>0.808314087759815</v>
      </c>
      <c r="O444" s="32" t="str">
        <f aca="false">IF(H444&lt;30,"00-30",IF(H444&lt;40,"30-40",IF(H444&lt;50,"40-50",IF(H444&lt;60,"50-60",IF(H444&lt;70,"60-70","70+")))))</f>
        <v>30-40</v>
      </c>
      <c r="P444" s="37" t="n">
        <f aca="false">IFERROR(VALUE(SUBSTITUTE(B444,"-","")),0)</f>
        <v>20260831</v>
      </c>
    </row>
    <row r="445" customFormat="false" ht="15" hidden="false" customHeight="false" outlineLevel="0" collapsed="false">
      <c r="A445" s="14" t="s">
        <v>46</v>
      </c>
      <c r="B445" s="32" t="s">
        <v>1054</v>
      </c>
      <c r="C445" s="14" t="s">
        <v>1055</v>
      </c>
      <c r="D445" s="32" t="s">
        <v>1056</v>
      </c>
      <c r="E445" s="21" t="n">
        <v>951</v>
      </c>
      <c r="F445" s="21" t="n">
        <v>182</v>
      </c>
      <c r="G445" s="22" t="n">
        <v>0.032</v>
      </c>
      <c r="H445" s="22" t="n">
        <v>38.51</v>
      </c>
      <c r="I445" s="23" t="n">
        <v>10</v>
      </c>
      <c r="J445" s="21" t="n">
        <v>1</v>
      </c>
      <c r="K445" s="21" t="n">
        <v>0</v>
      </c>
      <c r="L445" s="21" t="n">
        <v>2</v>
      </c>
      <c r="M445" s="22" t="n">
        <f aca="false">IFERROR(L445/E445*1000,0)</f>
        <v>2.10304942166141</v>
      </c>
      <c r="N445" s="22" t="n">
        <f aca="false">IFERROR(J445/E445*100,0)</f>
        <v>0.10515247108307</v>
      </c>
      <c r="O445" s="32" t="str">
        <f aca="false">IF(H445&lt;30,"00-30",IF(H445&lt;40,"30-40",IF(H445&lt;50,"40-50",IF(H445&lt;60,"50-60",IF(H445&lt;70,"60-70","70+")))))</f>
        <v>30-40</v>
      </c>
      <c r="P445" s="37" t="n">
        <f aca="false">IFERROR(VALUE(SUBSTITUTE(B445,"-","")),0)</f>
        <v>20260901</v>
      </c>
    </row>
    <row r="446" customFormat="false" ht="23.85" hidden="false" customHeight="false" outlineLevel="0" collapsed="false">
      <c r="A446" s="14" t="s">
        <v>46</v>
      </c>
      <c r="B446" s="32" t="s">
        <v>191</v>
      </c>
      <c r="C446" s="14" t="s">
        <v>1057</v>
      </c>
      <c r="D446" s="32" t="s">
        <v>1058</v>
      </c>
      <c r="E446" s="21" t="n">
        <v>1035</v>
      </c>
      <c r="F446" s="21" t="n">
        <v>777</v>
      </c>
      <c r="G446" s="22" t="n">
        <v>0.007</v>
      </c>
      <c r="H446" s="22" t="n">
        <v>44.43</v>
      </c>
      <c r="I446" s="23" t="n">
        <v>11</v>
      </c>
      <c r="J446" s="21" t="n">
        <v>7</v>
      </c>
      <c r="K446" s="21" t="n">
        <v>0</v>
      </c>
      <c r="L446" s="21" t="n">
        <v>1</v>
      </c>
      <c r="M446" s="22" t="n">
        <f aca="false">IFERROR(L446/E446*1000,0)</f>
        <v>0.966183574879227</v>
      </c>
      <c r="N446" s="22" t="n">
        <f aca="false">IFERROR(J446/E446*100,0)</f>
        <v>0.676328502415459</v>
      </c>
      <c r="O446" s="32" t="str">
        <f aca="false">IF(H446&lt;30,"00-30",IF(H446&lt;40,"30-40",IF(H446&lt;50,"40-50",IF(H446&lt;60,"50-60",IF(H446&lt;70,"60-70","70+")))))</f>
        <v>40-50</v>
      </c>
      <c r="P446" s="37" t="n">
        <f aca="false">IFERROR(VALUE(SUBSTITUTE(B446,"-","")),0)</f>
        <v>20260903</v>
      </c>
    </row>
    <row r="447" customFormat="false" ht="15" hidden="false" customHeight="false" outlineLevel="0" collapsed="false">
      <c r="A447" s="14" t="s">
        <v>46</v>
      </c>
      <c r="B447" s="32" t="s">
        <v>191</v>
      </c>
      <c r="C447" s="14" t="s">
        <v>1059</v>
      </c>
      <c r="D447" s="32" t="s">
        <v>1060</v>
      </c>
      <c r="E447" s="21" t="n">
        <v>910</v>
      </c>
      <c r="F447" s="21" t="n">
        <v>471</v>
      </c>
      <c r="G447" s="22" t="n">
        <v>0.004</v>
      </c>
      <c r="H447" s="22" t="n">
        <v>37.01</v>
      </c>
      <c r="I447" s="23" t="n">
        <v>11</v>
      </c>
      <c r="J447" s="21" t="n">
        <v>6</v>
      </c>
      <c r="K447" s="21" t="n">
        <v>0</v>
      </c>
      <c r="L447" s="21" t="n">
        <v>1</v>
      </c>
      <c r="M447" s="22" t="n">
        <f aca="false">IFERROR(L447/E447*1000,0)</f>
        <v>1.0989010989011</v>
      </c>
      <c r="N447" s="22" t="n">
        <f aca="false">IFERROR(J447/E447*100,0)</f>
        <v>0.659340659340659</v>
      </c>
      <c r="O447" s="32" t="str">
        <f aca="false">IF(H447&lt;30,"00-30",IF(H447&lt;40,"30-40",IF(H447&lt;50,"40-50",IF(H447&lt;60,"50-60",IF(H447&lt;70,"60-70","70+")))))</f>
        <v>30-40</v>
      </c>
      <c r="P447" s="37" t="n">
        <f aca="false">IFERROR(VALUE(SUBSTITUTE(B447,"-","")),0)</f>
        <v>20260903</v>
      </c>
    </row>
    <row r="448" customFormat="false" ht="15" hidden="false" customHeight="false" outlineLevel="0" collapsed="false">
      <c r="A448" s="14" t="s">
        <v>46</v>
      </c>
      <c r="B448" s="32" t="s">
        <v>194</v>
      </c>
      <c r="C448" s="14" t="s">
        <v>1061</v>
      </c>
      <c r="D448" s="32" t="s">
        <v>1062</v>
      </c>
      <c r="E448" s="21" t="n">
        <v>1093</v>
      </c>
      <c r="F448" s="21" t="n">
        <v>435</v>
      </c>
      <c r="G448" s="22" t="n">
        <v>0.011</v>
      </c>
      <c r="H448" s="22" t="n">
        <v>40.27</v>
      </c>
      <c r="I448" s="23" t="n">
        <v>12</v>
      </c>
      <c r="J448" s="21" t="n">
        <v>6</v>
      </c>
      <c r="K448" s="21" t="n">
        <v>0</v>
      </c>
      <c r="L448" s="21" t="n">
        <v>2</v>
      </c>
      <c r="M448" s="22" t="n">
        <f aca="false">IFERROR(L448/E448*1000,0)</f>
        <v>1.82982616651418</v>
      </c>
      <c r="N448" s="22" t="n">
        <f aca="false">IFERROR(J448/E448*100,0)</f>
        <v>0.548947849954254</v>
      </c>
      <c r="O448" s="32" t="str">
        <f aca="false">IF(H448&lt;30,"00-30",IF(H448&lt;40,"30-40",IF(H448&lt;50,"40-50",IF(H448&lt;60,"50-60",IF(H448&lt;70,"60-70","70+")))))</f>
        <v>40-50</v>
      </c>
      <c r="P448" s="37" t="n">
        <f aca="false">IFERROR(VALUE(SUBSTITUTE(B448,"-","")),0)</f>
        <v>20260904</v>
      </c>
    </row>
    <row r="449" customFormat="false" ht="15" hidden="false" customHeight="false" outlineLevel="0" collapsed="false">
      <c r="A449" s="14" t="s">
        <v>46</v>
      </c>
      <c r="B449" s="32" t="s">
        <v>194</v>
      </c>
      <c r="C449" s="14" t="s">
        <v>1063</v>
      </c>
      <c r="D449" s="32" t="s">
        <v>1064</v>
      </c>
      <c r="E449" s="21" t="n">
        <v>263</v>
      </c>
      <c r="F449" s="21" t="n">
        <v>86</v>
      </c>
      <c r="G449" s="22" t="n">
        <v>0</v>
      </c>
      <c r="H449" s="22" t="n">
        <v>43.21</v>
      </c>
      <c r="I449" s="23" t="n">
        <v>14</v>
      </c>
      <c r="J449" s="21" t="n">
        <v>0</v>
      </c>
      <c r="K449" s="21" t="n">
        <v>0</v>
      </c>
      <c r="L449" s="21" t="n">
        <v>0</v>
      </c>
      <c r="M449" s="22" t="n">
        <f aca="false">IFERROR(L449/E449*1000,0)</f>
        <v>0</v>
      </c>
      <c r="N449" s="22" t="n">
        <f aca="false">IFERROR(J449/E449*100,0)</f>
        <v>0</v>
      </c>
      <c r="O449" s="32" t="str">
        <f aca="false">IF(H449&lt;30,"00-30",IF(H449&lt;40,"30-40",IF(H449&lt;50,"40-50",IF(H449&lt;60,"50-60",IF(H449&lt;70,"60-70","70+")))))</f>
        <v>40-50</v>
      </c>
      <c r="P449" s="37" t="n">
        <f aca="false">IFERROR(VALUE(SUBSTITUTE(B449,"-","")),0)</f>
        <v>20260904</v>
      </c>
    </row>
    <row r="450" customFormat="false" ht="15" hidden="false" customHeight="false" outlineLevel="0" collapsed="false">
      <c r="A450" s="14" t="s">
        <v>46</v>
      </c>
      <c r="B450" s="32" t="s">
        <v>201</v>
      </c>
      <c r="C450" s="14" t="s">
        <v>1065</v>
      </c>
      <c r="D450" s="32" t="s">
        <v>1066</v>
      </c>
      <c r="E450" s="21" t="n">
        <v>918</v>
      </c>
      <c r="F450" s="21" t="n">
        <v>583</v>
      </c>
      <c r="G450" s="22" t="n">
        <v>0.01</v>
      </c>
      <c r="H450" s="22" t="n">
        <v>39.45</v>
      </c>
      <c r="I450" s="23" t="n">
        <v>13</v>
      </c>
      <c r="J450" s="21" t="n">
        <v>5</v>
      </c>
      <c r="K450" s="21" t="n">
        <v>0</v>
      </c>
      <c r="L450" s="21" t="n">
        <v>0</v>
      </c>
      <c r="M450" s="22" t="n">
        <f aca="false">IFERROR(L450/E450*1000,0)</f>
        <v>0</v>
      </c>
      <c r="N450" s="22" t="n">
        <f aca="false">IFERROR(J450/E450*100,0)</f>
        <v>0.544662309368192</v>
      </c>
      <c r="O450" s="32" t="str">
        <f aca="false">IF(H450&lt;30,"00-30",IF(H450&lt;40,"30-40",IF(H450&lt;50,"40-50",IF(H450&lt;60,"50-60",IF(H450&lt;70,"60-70","70+")))))</f>
        <v>30-40</v>
      </c>
      <c r="P450" s="37" t="n">
        <f aca="false">IFERROR(VALUE(SUBSTITUTE(B450,"-","")),0)</f>
        <v>20260905</v>
      </c>
    </row>
    <row r="451" customFormat="false" ht="15" hidden="false" customHeight="false" outlineLevel="0" collapsed="false">
      <c r="A451" s="14" t="s">
        <v>46</v>
      </c>
      <c r="B451" s="32" t="s">
        <v>201</v>
      </c>
      <c r="C451" s="14" t="s">
        <v>1067</v>
      </c>
      <c r="D451" s="32" t="s">
        <v>1068</v>
      </c>
      <c r="E451" s="21" t="n">
        <v>283</v>
      </c>
      <c r="F451" s="21" t="n">
        <v>149</v>
      </c>
      <c r="G451" s="22" t="n">
        <v>0</v>
      </c>
      <c r="H451" s="22" t="n">
        <v>40.14</v>
      </c>
      <c r="I451" s="23" t="n">
        <v>13</v>
      </c>
      <c r="J451" s="21" t="n">
        <v>3</v>
      </c>
      <c r="K451" s="21" t="n">
        <v>0</v>
      </c>
      <c r="L451" s="21" t="n">
        <v>0</v>
      </c>
      <c r="M451" s="22" t="n">
        <f aca="false">IFERROR(L451/E451*1000,0)</f>
        <v>0</v>
      </c>
      <c r="N451" s="22" t="n">
        <f aca="false">IFERROR(J451/E451*100,0)</f>
        <v>1.06007067137809</v>
      </c>
      <c r="O451" s="32" t="str">
        <f aca="false">IF(H451&lt;30,"00-30",IF(H451&lt;40,"30-40",IF(H451&lt;50,"40-50",IF(H451&lt;60,"50-60",IF(H451&lt;70,"60-70","70+")))))</f>
        <v>40-50</v>
      </c>
      <c r="P451" s="37" t="n">
        <f aca="false">IFERROR(VALUE(SUBSTITUTE(B451,"-","")),0)</f>
        <v>20260905</v>
      </c>
    </row>
    <row r="452" customFormat="false" ht="15" hidden="false" customHeight="false" outlineLevel="0" collapsed="false">
      <c r="A452" s="14" t="s">
        <v>46</v>
      </c>
      <c r="B452" s="32" t="s">
        <v>201</v>
      </c>
      <c r="C452" s="14" t="s">
        <v>1069</v>
      </c>
      <c r="D452" s="32" t="s">
        <v>1070</v>
      </c>
      <c r="E452" s="21" t="n">
        <v>932</v>
      </c>
      <c r="F452" s="21" t="n">
        <v>394</v>
      </c>
      <c r="G452" s="22" t="n">
        <v>0.031</v>
      </c>
      <c r="H452" s="22" t="n">
        <v>40.04</v>
      </c>
      <c r="I452" s="23" t="n">
        <v>13</v>
      </c>
      <c r="J452" s="21" t="n">
        <v>8</v>
      </c>
      <c r="K452" s="21" t="n">
        <v>0</v>
      </c>
      <c r="L452" s="21" t="n">
        <v>2</v>
      </c>
      <c r="M452" s="22" t="n">
        <f aca="false">IFERROR(L452/E452*1000,0)</f>
        <v>2.14592274678112</v>
      </c>
      <c r="N452" s="22" t="n">
        <f aca="false">IFERROR(J452/E452*100,0)</f>
        <v>0.858369098712446</v>
      </c>
      <c r="O452" s="32" t="str">
        <f aca="false">IF(H452&lt;30,"00-30",IF(H452&lt;40,"30-40",IF(H452&lt;50,"40-50",IF(H452&lt;60,"50-60",IF(H452&lt;70,"60-70","70+")))))</f>
        <v>40-50</v>
      </c>
      <c r="P452" s="37" t="n">
        <f aca="false">IFERROR(VALUE(SUBSTITUTE(B452,"-","")),0)</f>
        <v>20260905</v>
      </c>
    </row>
    <row r="453" customFormat="false" ht="15" hidden="false" customHeight="false" outlineLevel="0" collapsed="false">
      <c r="A453" s="14" t="s">
        <v>46</v>
      </c>
      <c r="B453" s="32" t="s">
        <v>201</v>
      </c>
      <c r="C453" s="14" t="s">
        <v>1071</v>
      </c>
      <c r="D453" s="32" t="s">
        <v>1072</v>
      </c>
      <c r="E453" s="21" t="n">
        <v>1008</v>
      </c>
      <c r="F453" s="21" t="n">
        <v>167</v>
      </c>
      <c r="G453" s="22" t="n">
        <v>0.043</v>
      </c>
      <c r="H453" s="22" t="n">
        <v>31.77</v>
      </c>
      <c r="I453" s="23" t="n">
        <v>11</v>
      </c>
      <c r="J453" s="21" t="n">
        <v>3</v>
      </c>
      <c r="K453" s="21" t="n">
        <v>0</v>
      </c>
      <c r="L453" s="21" t="n">
        <v>1</v>
      </c>
      <c r="M453" s="22" t="n">
        <f aca="false">IFERROR(L453/E453*1000,0)</f>
        <v>0.992063492063492</v>
      </c>
      <c r="N453" s="22" t="n">
        <f aca="false">IFERROR(J453/E453*100,0)</f>
        <v>0.297619047619048</v>
      </c>
      <c r="O453" s="32" t="str">
        <f aca="false">IF(H453&lt;30,"00-30",IF(H453&lt;40,"30-40",IF(H453&lt;50,"40-50",IF(H453&lt;60,"50-60",IF(H453&lt;70,"60-70","70+")))))</f>
        <v>30-40</v>
      </c>
      <c r="P453" s="37" t="n">
        <f aca="false">IFERROR(VALUE(SUBSTITUTE(B453,"-","")),0)</f>
        <v>20260905</v>
      </c>
    </row>
    <row r="454" customFormat="false" ht="15" hidden="false" customHeight="false" outlineLevel="0" collapsed="false">
      <c r="A454" s="14" t="s">
        <v>46</v>
      </c>
      <c r="B454" s="32" t="s">
        <v>208</v>
      </c>
      <c r="C454" s="7" t="s">
        <v>1073</v>
      </c>
      <c r="D454" s="32" t="s">
        <v>1074</v>
      </c>
      <c r="E454" s="21" t="n">
        <v>908</v>
      </c>
      <c r="F454" s="21" t="n">
        <v>147</v>
      </c>
      <c r="G454" s="22" t="n">
        <v>0.05</v>
      </c>
      <c r="H454" s="22" t="n">
        <v>42.11</v>
      </c>
      <c r="I454" s="23" t="n">
        <v>13</v>
      </c>
      <c r="J454" s="21" t="n">
        <v>3</v>
      </c>
      <c r="K454" s="21" t="n">
        <v>0</v>
      </c>
      <c r="L454" s="21" t="n">
        <v>0</v>
      </c>
      <c r="M454" s="22" t="n">
        <f aca="false">IFERROR(L454/E454*1000,0)</f>
        <v>0</v>
      </c>
      <c r="N454" s="22" t="n">
        <f aca="false">IFERROR(J454/E454*100,0)</f>
        <v>0.330396475770925</v>
      </c>
      <c r="O454" s="32" t="str">
        <f aca="false">IF(H454&lt;30,"00-30",IF(H454&lt;40,"30-40",IF(H454&lt;50,"40-50",IF(H454&lt;60,"50-60",IF(H454&lt;70,"60-70","70+")))))</f>
        <v>40-50</v>
      </c>
      <c r="P454" s="37" t="n">
        <f aca="false">IFERROR(VALUE(SUBSTITUTE(B454,"-","")),0)</f>
        <v>20260906</v>
      </c>
    </row>
    <row r="455" customFormat="false" ht="15" hidden="false" customHeight="false" outlineLevel="0" collapsed="false">
      <c r="A455" s="14" t="s">
        <v>46</v>
      </c>
      <c r="B455" s="32" t="s">
        <v>208</v>
      </c>
      <c r="C455" s="14" t="s">
        <v>1075</v>
      </c>
      <c r="D455" s="32" t="s">
        <v>1076</v>
      </c>
      <c r="E455" s="21" t="n">
        <v>1055</v>
      </c>
      <c r="F455" s="21" t="n">
        <v>985</v>
      </c>
      <c r="G455" s="22" t="n">
        <v>0.006</v>
      </c>
      <c r="H455" s="22" t="n">
        <v>43.39</v>
      </c>
      <c r="I455" s="23" t="n">
        <v>11</v>
      </c>
      <c r="J455" s="21" t="n">
        <v>3</v>
      </c>
      <c r="K455" s="21" t="n">
        <v>0</v>
      </c>
      <c r="L455" s="21" t="n">
        <v>2</v>
      </c>
      <c r="M455" s="22" t="n">
        <f aca="false">IFERROR(L455/E455*1000,0)</f>
        <v>1.8957345971564</v>
      </c>
      <c r="N455" s="22" t="n">
        <f aca="false">IFERROR(J455/E455*100,0)</f>
        <v>0.28436018957346</v>
      </c>
      <c r="O455" s="32" t="str">
        <f aca="false">IF(H455&lt;30,"00-30",IF(H455&lt;40,"30-40",IF(H455&lt;50,"40-50",IF(H455&lt;60,"50-60",IF(H455&lt;70,"60-70","70+")))))</f>
        <v>40-50</v>
      </c>
      <c r="P455" s="37" t="n">
        <f aca="false">IFERROR(VALUE(SUBSTITUTE(B455,"-","")),0)</f>
        <v>20260906</v>
      </c>
    </row>
    <row r="456" customFormat="false" ht="15" hidden="false" customHeight="false" outlineLevel="0" collapsed="false">
      <c r="A456" s="14" t="s">
        <v>46</v>
      </c>
      <c r="B456" s="32" t="s">
        <v>208</v>
      </c>
      <c r="C456" s="7" t="s">
        <v>1077</v>
      </c>
      <c r="D456" s="32" t="s">
        <v>1078</v>
      </c>
      <c r="E456" s="21" t="n">
        <v>1037</v>
      </c>
      <c r="F456" s="21" t="n">
        <v>338</v>
      </c>
      <c r="G456" s="22" t="n">
        <v>0.013</v>
      </c>
      <c r="H456" s="22" t="n">
        <v>42.69</v>
      </c>
      <c r="I456" s="23" t="n">
        <v>11</v>
      </c>
      <c r="J456" s="21" t="n">
        <v>5</v>
      </c>
      <c r="K456" s="21" t="n">
        <v>0</v>
      </c>
      <c r="L456" s="21" t="n">
        <v>0</v>
      </c>
      <c r="M456" s="22" t="n">
        <f aca="false">IFERROR(L456/E456*1000,0)</f>
        <v>0</v>
      </c>
      <c r="N456" s="22" t="n">
        <f aca="false">IFERROR(J456/E456*100,0)</f>
        <v>0.482160077145612</v>
      </c>
      <c r="O456" s="32" t="str">
        <f aca="false">IF(H456&lt;30,"00-30",IF(H456&lt;40,"30-40",IF(H456&lt;50,"40-50",IF(H456&lt;60,"50-60",IF(H456&lt;70,"60-70","70+")))))</f>
        <v>40-50</v>
      </c>
      <c r="P456" s="37" t="n">
        <f aca="false">IFERROR(VALUE(SUBSTITUTE(B456,"-","")),0)</f>
        <v>20260906</v>
      </c>
    </row>
    <row r="457" customFormat="false" ht="15" hidden="false" customHeight="false" outlineLevel="0" collapsed="false">
      <c r="A457" s="14" t="s">
        <v>46</v>
      </c>
      <c r="B457" s="32" t="s">
        <v>215</v>
      </c>
      <c r="C457" s="14" t="s">
        <v>1079</v>
      </c>
      <c r="D457" s="32" t="s">
        <v>1080</v>
      </c>
      <c r="E457" s="21" t="n">
        <v>182</v>
      </c>
      <c r="F457" s="21" t="n">
        <v>216</v>
      </c>
      <c r="G457" s="22" t="n">
        <v>0.01</v>
      </c>
      <c r="H457" s="22" t="n">
        <v>32.34</v>
      </c>
      <c r="I457" s="23" t="n">
        <v>10</v>
      </c>
      <c r="J457" s="21" t="n">
        <v>1</v>
      </c>
      <c r="K457" s="21" t="n">
        <v>0</v>
      </c>
      <c r="L457" s="21" t="n">
        <v>1</v>
      </c>
      <c r="M457" s="22" t="n">
        <f aca="false">IFERROR(L457/E457*1000,0)</f>
        <v>5.49450549450549</v>
      </c>
      <c r="N457" s="22" t="n">
        <f aca="false">IFERROR(J457/E457*100,0)</f>
        <v>0.54945054945055</v>
      </c>
      <c r="O457" s="32" t="str">
        <f aca="false">IF(H457&lt;30,"00-30",IF(H457&lt;40,"30-40",IF(H457&lt;50,"40-50",IF(H457&lt;60,"50-60",IF(H457&lt;70,"60-70","70+")))))</f>
        <v>30-40</v>
      </c>
      <c r="P457" s="37" t="n">
        <f aca="false">IFERROR(VALUE(SUBSTITUTE(B457,"-","")),0)</f>
        <v>20260907</v>
      </c>
    </row>
    <row r="458" customFormat="false" ht="15" hidden="false" customHeight="false" outlineLevel="0" collapsed="false">
      <c r="A458" s="14" t="s">
        <v>46</v>
      </c>
      <c r="B458" s="32" t="s">
        <v>215</v>
      </c>
      <c r="C458" s="7" t="s">
        <v>1081</v>
      </c>
      <c r="D458" s="32" t="s">
        <v>1082</v>
      </c>
      <c r="E458" s="21" t="n">
        <v>900</v>
      </c>
      <c r="F458" s="21" t="n">
        <v>79</v>
      </c>
      <c r="G458" s="22" t="n">
        <v>0</v>
      </c>
      <c r="H458" s="22" t="n">
        <v>48.55</v>
      </c>
      <c r="I458" s="23" t="n">
        <v>15</v>
      </c>
      <c r="J458" s="21" t="n">
        <v>4</v>
      </c>
      <c r="K458" s="21" t="n">
        <v>0</v>
      </c>
      <c r="L458" s="21" t="n">
        <v>1</v>
      </c>
      <c r="M458" s="22" t="n">
        <f aca="false">IFERROR(L458/E458*1000,0)</f>
        <v>1.11111111111111</v>
      </c>
      <c r="N458" s="22" t="n">
        <f aca="false">IFERROR(J458/E458*100,0)</f>
        <v>0.444444444444444</v>
      </c>
      <c r="O458" s="32" t="str">
        <f aca="false">IF(H458&lt;30,"00-30",IF(H458&lt;40,"30-40",IF(H458&lt;50,"40-50",IF(H458&lt;60,"50-60",IF(H458&lt;70,"60-70","70+")))))</f>
        <v>40-50</v>
      </c>
      <c r="P458" s="37" t="n">
        <f aca="false">IFERROR(VALUE(SUBSTITUTE(B458,"-","")),0)</f>
        <v>20260907</v>
      </c>
    </row>
    <row r="459" customFormat="false" ht="15" hidden="false" customHeight="false" outlineLevel="0" collapsed="false">
      <c r="A459" s="14" t="s">
        <v>46</v>
      </c>
      <c r="B459" s="32" t="s">
        <v>215</v>
      </c>
      <c r="C459" s="14" t="s">
        <v>1083</v>
      </c>
      <c r="D459" s="32" t="s">
        <v>1084</v>
      </c>
      <c r="E459" s="21" t="n">
        <v>902</v>
      </c>
      <c r="F459" s="21" t="n">
        <v>127</v>
      </c>
      <c r="G459" s="22" t="n">
        <v>0.061</v>
      </c>
      <c r="H459" s="22" t="n">
        <v>43.82</v>
      </c>
      <c r="I459" s="23" t="n">
        <v>13</v>
      </c>
      <c r="J459" s="21" t="n">
        <v>2</v>
      </c>
      <c r="K459" s="21" t="n">
        <v>0</v>
      </c>
      <c r="L459" s="21" t="n">
        <v>0</v>
      </c>
      <c r="M459" s="22" t="n">
        <f aca="false">IFERROR(L459/E459*1000,0)</f>
        <v>0</v>
      </c>
      <c r="N459" s="22" t="n">
        <f aca="false">IFERROR(J459/E459*100,0)</f>
        <v>0.221729490022173</v>
      </c>
      <c r="O459" s="32" t="str">
        <f aca="false">IF(H459&lt;30,"00-30",IF(H459&lt;40,"30-40",IF(H459&lt;50,"40-50",IF(H459&lt;60,"50-60",IF(H459&lt;70,"60-70","70+")))))</f>
        <v>40-50</v>
      </c>
      <c r="P459" s="37" t="n">
        <f aca="false">IFERROR(VALUE(SUBSTITUTE(B459,"-","")),0)</f>
        <v>20260907</v>
      </c>
    </row>
    <row r="460" customFormat="false" ht="15" hidden="false" customHeight="false" outlineLevel="0" collapsed="false">
      <c r="A460" s="14" t="s">
        <v>46</v>
      </c>
      <c r="B460" s="32" t="s">
        <v>222</v>
      </c>
      <c r="C460" s="14" t="s">
        <v>1085</v>
      </c>
      <c r="D460" s="32" t="s">
        <v>1086</v>
      </c>
      <c r="E460" s="21" t="n">
        <v>914</v>
      </c>
      <c r="F460" s="21" t="n">
        <v>517</v>
      </c>
      <c r="G460" s="22" t="n">
        <v>0.006</v>
      </c>
      <c r="H460" s="22" t="n">
        <v>45.89</v>
      </c>
      <c r="I460" s="23" t="n">
        <v>13</v>
      </c>
      <c r="J460" s="21" t="n">
        <v>4</v>
      </c>
      <c r="K460" s="21" t="n">
        <v>0</v>
      </c>
      <c r="L460" s="21" t="n">
        <v>2</v>
      </c>
      <c r="M460" s="22" t="n">
        <f aca="false">IFERROR(L460/E460*1000,0)</f>
        <v>2.18818380743982</v>
      </c>
      <c r="N460" s="22" t="n">
        <f aca="false">IFERROR(J460/E460*100,0)</f>
        <v>0.437636761487965</v>
      </c>
      <c r="O460" s="32" t="str">
        <f aca="false">IF(H460&lt;30,"00-30",IF(H460&lt;40,"30-40",IF(H460&lt;50,"40-50",IF(H460&lt;60,"50-60",IF(H460&lt;70,"60-70","70+")))))</f>
        <v>40-50</v>
      </c>
      <c r="P460" s="37" t="n">
        <f aca="false">IFERROR(VALUE(SUBSTITUTE(B460,"-","")),0)</f>
        <v>20260908</v>
      </c>
    </row>
    <row r="461" customFormat="false" ht="15" hidden="false" customHeight="false" outlineLevel="0" collapsed="false">
      <c r="A461" s="14" t="s">
        <v>46</v>
      </c>
      <c r="B461" s="32" t="s">
        <v>222</v>
      </c>
      <c r="C461" s="14" t="s">
        <v>1087</v>
      </c>
      <c r="D461" s="32" t="s">
        <v>1088</v>
      </c>
      <c r="E461" s="21" t="n">
        <v>140</v>
      </c>
      <c r="F461" s="21" t="n">
        <v>757</v>
      </c>
      <c r="G461" s="22" t="n">
        <v>0.007</v>
      </c>
      <c r="H461" s="22" t="n">
        <v>40.74</v>
      </c>
      <c r="I461" s="23" t="n">
        <v>12</v>
      </c>
      <c r="J461" s="21" t="n">
        <v>0</v>
      </c>
      <c r="K461" s="21" t="n">
        <v>0</v>
      </c>
      <c r="L461" s="21" t="n">
        <v>0</v>
      </c>
      <c r="M461" s="22" t="n">
        <f aca="false">IFERROR(L461/E461*1000,0)</f>
        <v>0</v>
      </c>
      <c r="N461" s="22" t="n">
        <f aca="false">IFERROR(J461/E461*100,0)</f>
        <v>0</v>
      </c>
      <c r="O461" s="32" t="str">
        <f aca="false">IF(H461&lt;30,"00-30",IF(H461&lt;40,"30-40",IF(H461&lt;50,"40-50",IF(H461&lt;60,"50-60",IF(H461&lt;70,"60-70","70+")))))</f>
        <v>40-50</v>
      </c>
      <c r="P461" s="37" t="n">
        <f aca="false">IFERROR(VALUE(SUBSTITUTE(B461,"-","")),0)</f>
        <v>20260908</v>
      </c>
    </row>
    <row r="462" customFormat="false" ht="15" hidden="false" customHeight="false" outlineLevel="0" collapsed="false">
      <c r="A462" s="14" t="s">
        <v>46</v>
      </c>
      <c r="B462" s="32" t="s">
        <v>222</v>
      </c>
      <c r="C462" s="14" t="s">
        <v>1089</v>
      </c>
      <c r="D462" s="32" t="s">
        <v>1090</v>
      </c>
      <c r="E462" s="21" t="n">
        <v>381</v>
      </c>
      <c r="F462" s="21" t="n">
        <v>258</v>
      </c>
      <c r="G462" s="22" t="n">
        <v>0.008</v>
      </c>
      <c r="H462" s="22" t="n">
        <v>154.54</v>
      </c>
      <c r="I462" s="23" t="n">
        <v>47</v>
      </c>
      <c r="J462" s="21" t="n">
        <v>4</v>
      </c>
      <c r="K462" s="21" t="n">
        <v>0</v>
      </c>
      <c r="L462" s="21" t="n">
        <v>0</v>
      </c>
      <c r="M462" s="22" t="n">
        <f aca="false">IFERROR(L462/E462*1000,0)</f>
        <v>0</v>
      </c>
      <c r="N462" s="22" t="n">
        <f aca="false">IFERROR(J462/E462*100,0)</f>
        <v>1.0498687664042</v>
      </c>
      <c r="O462" s="32" t="str">
        <f aca="false">IF(H462&lt;30,"00-30",IF(H462&lt;40,"30-40",IF(H462&lt;50,"40-50",IF(H462&lt;60,"50-60",IF(H462&lt;70,"60-70","70+")))))</f>
        <v>70+</v>
      </c>
      <c r="P462" s="37" t="n">
        <f aca="false">IFERROR(VALUE(SUBSTITUTE(B462,"-","")),0)</f>
        <v>20260908</v>
      </c>
    </row>
    <row r="463" customFormat="false" ht="23.85" hidden="false" customHeight="false" outlineLevel="0" collapsed="false">
      <c r="A463" s="14" t="s">
        <v>46</v>
      </c>
      <c r="B463" s="32" t="s">
        <v>1091</v>
      </c>
      <c r="C463" s="7" t="s">
        <v>1092</v>
      </c>
      <c r="D463" s="32" t="s">
        <v>1093</v>
      </c>
      <c r="E463" s="21" t="n">
        <v>1030</v>
      </c>
      <c r="F463" s="21" t="n">
        <v>654</v>
      </c>
      <c r="G463" s="22" t="n">
        <v>0.048</v>
      </c>
      <c r="H463" s="22" t="n">
        <v>39.09</v>
      </c>
      <c r="I463" s="23" t="n">
        <v>12</v>
      </c>
      <c r="J463" s="21" t="n">
        <v>5</v>
      </c>
      <c r="K463" s="21" t="n">
        <v>0</v>
      </c>
      <c r="L463" s="21" t="n">
        <v>0</v>
      </c>
      <c r="M463" s="22" t="n">
        <f aca="false">IFERROR(L463/E463*1000,0)</f>
        <v>0</v>
      </c>
      <c r="N463" s="22" t="n">
        <f aca="false">IFERROR(J463/E463*100,0)</f>
        <v>0.485436893203883</v>
      </c>
      <c r="O463" s="32" t="str">
        <f aca="false">IF(H463&lt;30,"00-30",IF(H463&lt;40,"30-40",IF(H463&lt;50,"40-50",IF(H463&lt;60,"50-60",IF(H463&lt;70,"60-70","70+")))))</f>
        <v>30-40</v>
      </c>
      <c r="P463" s="37" t="n">
        <f aca="false">IFERROR(VALUE(SUBSTITUTE(B463,"-","")),0)</f>
        <v>20260913</v>
      </c>
    </row>
    <row r="464" customFormat="false" ht="15" hidden="false" customHeight="false" outlineLevel="0" collapsed="false">
      <c r="A464" s="14" t="s">
        <v>50</v>
      </c>
      <c r="B464" s="32" t="s">
        <v>675</v>
      </c>
      <c r="C464" s="14" t="s">
        <v>1094</v>
      </c>
      <c r="D464" s="32" t="s">
        <v>1095</v>
      </c>
      <c r="E464" s="21" t="n">
        <v>229</v>
      </c>
      <c r="F464" s="21" t="n">
        <v>10</v>
      </c>
      <c r="G464" s="22" t="n">
        <v>0</v>
      </c>
      <c r="H464" s="22" t="n">
        <v>56.17</v>
      </c>
      <c r="I464" s="23" t="n">
        <v>13</v>
      </c>
      <c r="J464" s="21" t="n">
        <v>1</v>
      </c>
      <c r="K464" s="21" t="n">
        <v>0</v>
      </c>
      <c r="L464" s="21" t="n">
        <v>0</v>
      </c>
      <c r="M464" s="22" t="n">
        <f aca="false">IFERROR(L464/E464*1000,0)</f>
        <v>0</v>
      </c>
      <c r="N464" s="22" t="n">
        <f aca="false">IFERROR(J464/E464*100,0)</f>
        <v>0.436681222707424</v>
      </c>
      <c r="O464" s="32" t="str">
        <f aca="false">IF(H464&lt;30,"00-30",IF(H464&lt;40,"30-40",IF(H464&lt;50,"40-50",IF(H464&lt;60,"50-60",IF(H464&lt;70,"60-70","70+")))))</f>
        <v>50-60</v>
      </c>
      <c r="P464" s="37" t="n">
        <f aca="false">IFERROR(VALUE(SUBSTITUTE(B464,"-","")),0)</f>
        <v>20260730</v>
      </c>
    </row>
    <row r="465" customFormat="false" ht="15" hidden="false" customHeight="false" outlineLevel="0" collapsed="false">
      <c r="A465" s="14" t="s">
        <v>50</v>
      </c>
      <c r="B465" s="32" t="s">
        <v>675</v>
      </c>
      <c r="C465" s="14" t="s">
        <v>1094</v>
      </c>
      <c r="D465" s="32" t="s">
        <v>1096</v>
      </c>
      <c r="E465" s="21" t="n">
        <v>1174</v>
      </c>
      <c r="F465" s="21" t="n">
        <v>262</v>
      </c>
      <c r="G465" s="22" t="n">
        <v>0.077</v>
      </c>
      <c r="H465" s="22" t="n">
        <v>100.63</v>
      </c>
      <c r="I465" s="23" t="n">
        <v>24</v>
      </c>
      <c r="J465" s="21" t="n">
        <v>3</v>
      </c>
      <c r="K465" s="21" t="n">
        <v>0</v>
      </c>
      <c r="L465" s="21" t="n">
        <v>0</v>
      </c>
      <c r="M465" s="22" t="n">
        <f aca="false">IFERROR(L465/E465*1000,0)</f>
        <v>0</v>
      </c>
      <c r="N465" s="22" t="n">
        <f aca="false">IFERROR(J465/E465*100,0)</f>
        <v>0.255536626916525</v>
      </c>
      <c r="O465" s="32" t="str">
        <f aca="false">IF(H465&lt;30,"00-30",IF(H465&lt;40,"30-40",IF(H465&lt;50,"40-50",IF(H465&lt;60,"50-60",IF(H465&lt;70,"60-70","70+")))))</f>
        <v>70+</v>
      </c>
      <c r="P465" s="37" t="n">
        <f aca="false">IFERROR(VALUE(SUBSTITUTE(B465,"-","")),0)</f>
        <v>20260730</v>
      </c>
    </row>
    <row r="466" customFormat="false" ht="15" hidden="false" customHeight="false" outlineLevel="0" collapsed="false">
      <c r="A466" s="14" t="s">
        <v>50</v>
      </c>
      <c r="B466" s="32" t="s">
        <v>538</v>
      </c>
      <c r="C466" s="7" t="s">
        <v>1097</v>
      </c>
      <c r="D466" s="32" t="s">
        <v>1098</v>
      </c>
      <c r="E466" s="21" t="n">
        <v>1227</v>
      </c>
      <c r="F466" s="21" t="n">
        <v>280</v>
      </c>
      <c r="G466" s="22" t="n">
        <v>0.008</v>
      </c>
      <c r="H466" s="22" t="n">
        <v>106.82</v>
      </c>
      <c r="I466" s="23" t="n">
        <v>24</v>
      </c>
      <c r="J466" s="21" t="n">
        <v>5</v>
      </c>
      <c r="K466" s="21" t="n">
        <v>0</v>
      </c>
      <c r="L466" s="21" t="n">
        <v>2</v>
      </c>
      <c r="M466" s="22" t="n">
        <f aca="false">IFERROR(L466/E466*1000,0)</f>
        <v>1.62999185004075</v>
      </c>
      <c r="N466" s="22" t="n">
        <f aca="false">IFERROR(J466/E466*100,0)</f>
        <v>0.407497962510187</v>
      </c>
      <c r="O466" s="32" t="str">
        <f aca="false">IF(H466&lt;30,"00-30",IF(H466&lt;40,"30-40",IF(H466&lt;50,"40-50",IF(H466&lt;60,"50-60",IF(H466&lt;70,"60-70","70+")))))</f>
        <v>70+</v>
      </c>
      <c r="P466" s="37" t="n">
        <f aca="false">IFERROR(VALUE(SUBSTITUTE(B466,"-","")),0)</f>
        <v>20260731</v>
      </c>
    </row>
    <row r="467" customFormat="false" ht="15" hidden="false" customHeight="false" outlineLevel="0" collapsed="false">
      <c r="A467" s="14" t="s">
        <v>50</v>
      </c>
      <c r="B467" s="32" t="s">
        <v>541</v>
      </c>
      <c r="C467" s="7" t="s">
        <v>1099</v>
      </c>
      <c r="D467" s="32" t="s">
        <v>1100</v>
      </c>
      <c r="E467" s="21" t="n">
        <v>1408</v>
      </c>
      <c r="F467" s="21" t="n">
        <v>180</v>
      </c>
      <c r="G467" s="22" t="n">
        <v>0.07</v>
      </c>
      <c r="H467" s="22" t="n">
        <v>95.92</v>
      </c>
      <c r="I467" s="23" t="n">
        <v>25</v>
      </c>
      <c r="J467" s="21" t="n">
        <v>5</v>
      </c>
      <c r="K467" s="21" t="n">
        <v>0</v>
      </c>
      <c r="L467" s="21" t="n">
        <v>1</v>
      </c>
      <c r="M467" s="22" t="n">
        <f aca="false">IFERROR(L467/E467*1000,0)</f>
        <v>0.710227272727273</v>
      </c>
      <c r="N467" s="22" t="n">
        <f aca="false">IFERROR(J467/E467*100,0)</f>
        <v>0.355113636363636</v>
      </c>
      <c r="O467" s="32" t="str">
        <f aca="false">IF(H467&lt;30,"00-30",IF(H467&lt;40,"30-40",IF(H467&lt;50,"40-50",IF(H467&lt;60,"50-60",IF(H467&lt;70,"60-70","70+")))))</f>
        <v>70+</v>
      </c>
      <c r="P467" s="37" t="n">
        <f aca="false">IFERROR(VALUE(SUBSTITUTE(B467,"-","")),0)</f>
        <v>20260801</v>
      </c>
    </row>
    <row r="468" customFormat="false" ht="15" hidden="false" customHeight="false" outlineLevel="0" collapsed="false">
      <c r="A468" s="14" t="s">
        <v>50</v>
      </c>
      <c r="B468" s="32" t="s">
        <v>541</v>
      </c>
      <c r="C468" s="14" t="s">
        <v>1101</v>
      </c>
      <c r="D468" s="32" t="s">
        <v>1102</v>
      </c>
      <c r="E468" s="21" t="n">
        <v>10</v>
      </c>
      <c r="F468" s="21" t="n">
        <v>129</v>
      </c>
      <c r="G468" s="22" t="n">
        <v>0.011</v>
      </c>
      <c r="H468" s="22" t="n">
        <v>72.06</v>
      </c>
      <c r="I468" s="23" t="n">
        <v>19</v>
      </c>
      <c r="J468" s="21" t="n">
        <v>0</v>
      </c>
      <c r="K468" s="21" t="n">
        <v>0</v>
      </c>
      <c r="L468" s="21" t="n">
        <v>0</v>
      </c>
      <c r="M468" s="22" t="n">
        <f aca="false">IFERROR(L468/E468*1000,0)</f>
        <v>0</v>
      </c>
      <c r="N468" s="22" t="n">
        <f aca="false">IFERROR(J468/E468*100,0)</f>
        <v>0</v>
      </c>
      <c r="O468" s="32" t="str">
        <f aca="false">IF(H468&lt;30,"00-30",IF(H468&lt;40,"30-40",IF(H468&lt;50,"40-50",IF(H468&lt;60,"50-60",IF(H468&lt;70,"60-70","70+")))))</f>
        <v>70+</v>
      </c>
      <c r="P468" s="37" t="n">
        <f aca="false">IFERROR(VALUE(SUBSTITUTE(B468,"-","")),0)</f>
        <v>20260801</v>
      </c>
    </row>
    <row r="469" customFormat="false" ht="15" hidden="false" customHeight="false" outlineLevel="0" collapsed="false">
      <c r="A469" s="14" t="s">
        <v>50</v>
      </c>
      <c r="B469" s="32" t="s">
        <v>541</v>
      </c>
      <c r="C469" s="7" t="s">
        <v>1103</v>
      </c>
      <c r="D469" s="32" t="s">
        <v>1104</v>
      </c>
      <c r="E469" s="21" t="n">
        <v>1171</v>
      </c>
      <c r="F469" s="21" t="n">
        <v>184</v>
      </c>
      <c r="G469" s="22" t="n">
        <v>0.02</v>
      </c>
      <c r="H469" s="22" t="n">
        <v>151.19</v>
      </c>
      <c r="I469" s="23" t="n">
        <v>40</v>
      </c>
      <c r="J469" s="21" t="n">
        <v>5</v>
      </c>
      <c r="K469" s="21" t="n">
        <v>0</v>
      </c>
      <c r="L469" s="21" t="n">
        <v>1</v>
      </c>
      <c r="M469" s="22" t="n">
        <f aca="false">IFERROR(L469/E469*1000,0)</f>
        <v>0.85397096498719</v>
      </c>
      <c r="N469" s="22" t="n">
        <f aca="false">IFERROR(J469/E469*100,0)</f>
        <v>0.426985482493595</v>
      </c>
      <c r="O469" s="32" t="str">
        <f aca="false">IF(H469&lt;30,"00-30",IF(H469&lt;40,"30-40",IF(H469&lt;50,"40-50",IF(H469&lt;60,"50-60",IF(H469&lt;70,"60-70","70+")))))</f>
        <v>70+</v>
      </c>
      <c r="P469" s="37" t="n">
        <f aca="false">IFERROR(VALUE(SUBSTITUTE(B469,"-","")),0)</f>
        <v>20260801</v>
      </c>
    </row>
    <row r="470" customFormat="false" ht="15" hidden="false" customHeight="false" outlineLevel="0" collapsed="false">
      <c r="A470" s="14" t="s">
        <v>50</v>
      </c>
      <c r="B470" s="32" t="s">
        <v>548</v>
      </c>
      <c r="C470" s="7" t="s">
        <v>1105</v>
      </c>
      <c r="D470" s="32" t="s">
        <v>1106</v>
      </c>
      <c r="E470" s="21" t="n">
        <v>1277</v>
      </c>
      <c r="F470" s="21" t="n">
        <v>178</v>
      </c>
      <c r="G470" s="22" t="n">
        <v>0.033</v>
      </c>
      <c r="H470" s="22" t="n">
        <v>68.29</v>
      </c>
      <c r="I470" s="23" t="n">
        <v>16</v>
      </c>
      <c r="J470" s="21" t="n">
        <v>4</v>
      </c>
      <c r="K470" s="21" t="n">
        <v>1</v>
      </c>
      <c r="L470" s="21" t="n">
        <v>0</v>
      </c>
      <c r="M470" s="22" t="n">
        <f aca="false">IFERROR(L470/E470*1000,0)</f>
        <v>0</v>
      </c>
      <c r="N470" s="22" t="n">
        <f aca="false">IFERROR(J470/E470*100,0)</f>
        <v>0.313234142521535</v>
      </c>
      <c r="O470" s="32" t="str">
        <f aca="false">IF(H470&lt;30,"00-30",IF(H470&lt;40,"30-40",IF(H470&lt;50,"40-50",IF(H470&lt;60,"50-60",IF(H470&lt;70,"60-70","70+")))))</f>
        <v>60-70</v>
      </c>
      <c r="P470" s="37" t="n">
        <f aca="false">IFERROR(VALUE(SUBSTITUTE(B470,"-","")),0)</f>
        <v>20260802</v>
      </c>
    </row>
    <row r="471" customFormat="false" ht="15" hidden="false" customHeight="false" outlineLevel="0" collapsed="false">
      <c r="A471" s="14" t="s">
        <v>50</v>
      </c>
      <c r="B471" s="32" t="s">
        <v>548</v>
      </c>
      <c r="C471" s="7" t="s">
        <v>1107</v>
      </c>
      <c r="D471" s="32" t="s">
        <v>1108</v>
      </c>
      <c r="E471" s="21" t="n">
        <v>1685</v>
      </c>
      <c r="F471" s="21" t="n">
        <v>386</v>
      </c>
      <c r="G471" s="22" t="n">
        <v>0.02</v>
      </c>
      <c r="H471" s="22" t="n">
        <v>62.7</v>
      </c>
      <c r="I471" s="23" t="n">
        <v>19</v>
      </c>
      <c r="J471" s="21" t="n">
        <v>4</v>
      </c>
      <c r="K471" s="21" t="n">
        <v>0</v>
      </c>
      <c r="L471" s="21" t="n">
        <v>0</v>
      </c>
      <c r="M471" s="22" t="n">
        <f aca="false">IFERROR(L471/E471*1000,0)</f>
        <v>0</v>
      </c>
      <c r="N471" s="22" t="n">
        <f aca="false">IFERROR(J471/E471*100,0)</f>
        <v>0.237388724035608</v>
      </c>
      <c r="O471" s="32" t="str">
        <f aca="false">IF(H471&lt;30,"00-30",IF(H471&lt;40,"30-40",IF(H471&lt;50,"40-50",IF(H471&lt;60,"50-60",IF(H471&lt;70,"60-70","70+")))))</f>
        <v>60-70</v>
      </c>
      <c r="P471" s="37" t="n">
        <f aca="false">IFERROR(VALUE(SUBSTITUTE(B471,"-","")),0)</f>
        <v>20260802</v>
      </c>
    </row>
    <row r="472" customFormat="false" ht="15" hidden="false" customHeight="false" outlineLevel="0" collapsed="false">
      <c r="A472" s="14" t="s">
        <v>50</v>
      </c>
      <c r="B472" s="32" t="s">
        <v>553</v>
      </c>
      <c r="C472" s="7" t="s">
        <v>1109</v>
      </c>
      <c r="D472" s="32" t="s">
        <v>1110</v>
      </c>
      <c r="E472" s="21" t="n">
        <v>1366</v>
      </c>
      <c r="F472" s="21" t="n">
        <v>380</v>
      </c>
      <c r="G472" s="22" t="n">
        <v>0.013</v>
      </c>
      <c r="H472" s="22" t="n">
        <v>116.38</v>
      </c>
      <c r="I472" s="23" t="n">
        <v>29</v>
      </c>
      <c r="J472" s="21" t="n">
        <v>5</v>
      </c>
      <c r="K472" s="21" t="n">
        <v>0</v>
      </c>
      <c r="L472" s="21" t="n">
        <v>2</v>
      </c>
      <c r="M472" s="22" t="n">
        <f aca="false">IFERROR(L472/E472*1000,0)</f>
        <v>1.46412884333821</v>
      </c>
      <c r="N472" s="22" t="n">
        <f aca="false">IFERROR(J472/E472*100,0)</f>
        <v>0.366032210834553</v>
      </c>
      <c r="O472" s="32" t="str">
        <f aca="false">IF(H472&lt;30,"00-30",IF(H472&lt;40,"30-40",IF(H472&lt;50,"40-50",IF(H472&lt;60,"50-60",IF(H472&lt;70,"60-70","70+")))))</f>
        <v>70+</v>
      </c>
      <c r="P472" s="37" t="n">
        <f aca="false">IFERROR(VALUE(SUBSTITUTE(B472,"-","")),0)</f>
        <v>20260803</v>
      </c>
    </row>
    <row r="473" customFormat="false" ht="15" hidden="false" customHeight="false" outlineLevel="0" collapsed="false">
      <c r="A473" s="14" t="s">
        <v>50</v>
      </c>
      <c r="B473" s="32" t="s">
        <v>556</v>
      </c>
      <c r="C473" s="7" t="s">
        <v>1111</v>
      </c>
      <c r="D473" s="32" t="s">
        <v>1112</v>
      </c>
      <c r="E473" s="21" t="n">
        <v>1483</v>
      </c>
      <c r="F473" s="21" t="n">
        <v>896</v>
      </c>
      <c r="G473" s="22" t="n">
        <v>0.021</v>
      </c>
      <c r="H473" s="22" t="n">
        <v>65.7</v>
      </c>
      <c r="I473" s="23" t="n">
        <v>19</v>
      </c>
      <c r="J473" s="21" t="n">
        <v>5</v>
      </c>
      <c r="K473" s="21" t="n">
        <v>0</v>
      </c>
      <c r="L473" s="21" t="n">
        <v>0</v>
      </c>
      <c r="M473" s="22" t="n">
        <f aca="false">IFERROR(L473/E473*1000,0)</f>
        <v>0</v>
      </c>
      <c r="N473" s="22" t="n">
        <f aca="false">IFERROR(J473/E473*100,0)</f>
        <v>0.337154416722859</v>
      </c>
      <c r="O473" s="32" t="str">
        <f aca="false">IF(H473&lt;30,"00-30",IF(H473&lt;40,"30-40",IF(H473&lt;50,"40-50",IF(H473&lt;60,"50-60",IF(H473&lt;70,"60-70","70+")))))</f>
        <v>60-70</v>
      </c>
      <c r="P473" s="37" t="n">
        <f aca="false">IFERROR(VALUE(SUBSTITUTE(B473,"-","")),0)</f>
        <v>20260804</v>
      </c>
    </row>
    <row r="474" customFormat="false" ht="15" hidden="false" customHeight="false" outlineLevel="0" collapsed="false">
      <c r="A474" s="14" t="s">
        <v>50</v>
      </c>
      <c r="B474" s="32" t="s">
        <v>563</v>
      </c>
      <c r="C474" s="7" t="s">
        <v>1113</v>
      </c>
      <c r="D474" s="32" t="s">
        <v>1114</v>
      </c>
      <c r="E474" s="21" t="n">
        <v>1492</v>
      </c>
      <c r="F474" s="21" t="n">
        <v>163</v>
      </c>
      <c r="G474" s="22" t="n">
        <v>0.031</v>
      </c>
      <c r="H474" s="22" t="n">
        <v>53.51</v>
      </c>
      <c r="I474" s="23" t="n">
        <v>17</v>
      </c>
      <c r="J474" s="21" t="n">
        <v>10</v>
      </c>
      <c r="K474" s="21" t="n">
        <v>0</v>
      </c>
      <c r="L474" s="21" t="n">
        <v>0</v>
      </c>
      <c r="M474" s="22" t="n">
        <f aca="false">IFERROR(L474/E474*1000,0)</f>
        <v>0</v>
      </c>
      <c r="N474" s="22" t="n">
        <f aca="false">IFERROR(J474/E474*100,0)</f>
        <v>0.670241286863271</v>
      </c>
      <c r="O474" s="32" t="str">
        <f aca="false">IF(H474&lt;30,"00-30",IF(H474&lt;40,"30-40",IF(H474&lt;50,"40-50",IF(H474&lt;60,"50-60",IF(H474&lt;70,"60-70","70+")))))</f>
        <v>50-60</v>
      </c>
      <c r="P474" s="37" t="n">
        <f aca="false">IFERROR(VALUE(SUBSTITUTE(B474,"-","")),0)</f>
        <v>20260805</v>
      </c>
    </row>
    <row r="475" customFormat="false" ht="15" hidden="false" customHeight="false" outlineLevel="0" collapsed="false">
      <c r="A475" s="14" t="s">
        <v>50</v>
      </c>
      <c r="B475" s="32" t="s">
        <v>570</v>
      </c>
      <c r="C475" s="7" t="s">
        <v>1115</v>
      </c>
      <c r="D475" s="32" t="s">
        <v>1116</v>
      </c>
      <c r="E475" s="21" t="n">
        <v>1845</v>
      </c>
      <c r="F475" s="21" t="n">
        <v>854</v>
      </c>
      <c r="G475" s="22" t="n">
        <v>0.025</v>
      </c>
      <c r="H475" s="22" t="n">
        <v>61.76</v>
      </c>
      <c r="I475" s="23" t="n">
        <v>20</v>
      </c>
      <c r="J475" s="21" t="n">
        <v>6</v>
      </c>
      <c r="K475" s="21" t="n">
        <v>1</v>
      </c>
      <c r="L475" s="21" t="n">
        <v>2</v>
      </c>
      <c r="M475" s="22" t="n">
        <f aca="false">IFERROR(L475/E475*1000,0)</f>
        <v>1.0840108401084</v>
      </c>
      <c r="N475" s="22" t="n">
        <f aca="false">IFERROR(J475/E475*100,0)</f>
        <v>0.32520325203252</v>
      </c>
      <c r="O475" s="32" t="str">
        <f aca="false">IF(H475&lt;30,"00-30",IF(H475&lt;40,"30-40",IF(H475&lt;50,"40-50",IF(H475&lt;60,"50-60",IF(H475&lt;70,"60-70","70+")))))</f>
        <v>60-70</v>
      </c>
      <c r="P475" s="37" t="n">
        <f aca="false">IFERROR(VALUE(SUBSTITUTE(B475,"-","")),0)</f>
        <v>20260806</v>
      </c>
    </row>
    <row r="476" customFormat="false" ht="15" hidden="false" customHeight="false" outlineLevel="0" collapsed="false">
      <c r="A476" s="14" t="s">
        <v>50</v>
      </c>
      <c r="B476" s="32" t="s">
        <v>230</v>
      </c>
      <c r="C476" s="7" t="s">
        <v>1117</v>
      </c>
      <c r="D476" s="32" t="s">
        <v>1118</v>
      </c>
      <c r="E476" s="21" t="n">
        <v>1897</v>
      </c>
      <c r="F476" s="21" t="n">
        <v>143</v>
      </c>
      <c r="G476" s="22" t="n">
        <v>0</v>
      </c>
      <c r="H476" s="22" t="n">
        <v>50.27</v>
      </c>
      <c r="I476" s="23" t="n">
        <v>17</v>
      </c>
      <c r="J476" s="21" t="n">
        <v>5</v>
      </c>
      <c r="K476" s="21" t="n">
        <v>0</v>
      </c>
      <c r="L476" s="21" t="n">
        <v>0</v>
      </c>
      <c r="M476" s="22" t="n">
        <f aca="false">IFERROR(L476/E476*1000,0)</f>
        <v>0</v>
      </c>
      <c r="N476" s="22" t="n">
        <f aca="false">IFERROR(J476/E476*100,0)</f>
        <v>0.263574064312072</v>
      </c>
      <c r="O476" s="32" t="str">
        <f aca="false">IF(H476&lt;30,"00-30",IF(H476&lt;40,"30-40",IF(H476&lt;50,"40-50",IF(H476&lt;60,"50-60",IF(H476&lt;70,"60-70","70+")))))</f>
        <v>50-60</v>
      </c>
      <c r="P476" s="37" t="n">
        <f aca="false">IFERROR(VALUE(SUBSTITUTE(B476,"-","")),0)</f>
        <v>20260808</v>
      </c>
    </row>
    <row r="477" customFormat="false" ht="15" hidden="false" customHeight="false" outlineLevel="0" collapsed="false">
      <c r="A477" s="14" t="s">
        <v>50</v>
      </c>
      <c r="B477" s="32" t="s">
        <v>101</v>
      </c>
      <c r="C477" s="14" t="s">
        <v>1119</v>
      </c>
      <c r="D477" s="32" t="s">
        <v>1120</v>
      </c>
      <c r="E477" s="21" t="n">
        <v>1683</v>
      </c>
      <c r="F477" s="21" t="n">
        <v>379</v>
      </c>
      <c r="G477" s="22" t="n">
        <v>0.032</v>
      </c>
      <c r="H477" s="22" t="n">
        <v>77.08</v>
      </c>
      <c r="I477" s="23" t="n">
        <v>26</v>
      </c>
      <c r="J477" s="21" t="n">
        <v>4</v>
      </c>
      <c r="K477" s="21" t="n">
        <v>0</v>
      </c>
      <c r="L477" s="21" t="n">
        <v>0</v>
      </c>
      <c r="M477" s="22" t="n">
        <f aca="false">IFERROR(L477/E477*1000,0)</f>
        <v>0</v>
      </c>
      <c r="N477" s="22" t="n">
        <f aca="false">IFERROR(J477/E477*100,0)</f>
        <v>0.23767082590612</v>
      </c>
      <c r="O477" s="32" t="str">
        <f aca="false">IF(H477&lt;30,"00-30",IF(H477&lt;40,"30-40",IF(H477&lt;50,"40-50",IF(H477&lt;60,"50-60",IF(H477&lt;70,"60-70","70+")))))</f>
        <v>70+</v>
      </c>
      <c r="P477" s="37" t="n">
        <f aca="false">IFERROR(VALUE(SUBSTITUTE(B477,"-","")),0)</f>
        <v>20260809</v>
      </c>
    </row>
    <row r="478" customFormat="false" ht="15" hidden="false" customHeight="false" outlineLevel="0" collapsed="false">
      <c r="A478" s="14" t="s">
        <v>50</v>
      </c>
      <c r="B478" s="32" t="s">
        <v>101</v>
      </c>
      <c r="C478" s="7" t="s">
        <v>1121</v>
      </c>
      <c r="D478" s="32" t="s">
        <v>1122</v>
      </c>
      <c r="E478" s="21" t="n">
        <v>1309</v>
      </c>
      <c r="F478" s="21" t="n">
        <v>158</v>
      </c>
      <c r="G478" s="22" t="n">
        <v>0.045</v>
      </c>
      <c r="H478" s="22" t="n">
        <v>80.64</v>
      </c>
      <c r="I478" s="23" t="n">
        <v>22</v>
      </c>
      <c r="J478" s="21" t="n">
        <v>4</v>
      </c>
      <c r="K478" s="21" t="n">
        <v>0</v>
      </c>
      <c r="L478" s="21" t="n">
        <v>0</v>
      </c>
      <c r="M478" s="22" t="n">
        <f aca="false">IFERROR(L478/E478*1000,0)</f>
        <v>0</v>
      </c>
      <c r="N478" s="22" t="n">
        <f aca="false">IFERROR(J478/E478*100,0)</f>
        <v>0.305576776165011</v>
      </c>
      <c r="O478" s="32" t="str">
        <f aca="false">IF(H478&lt;30,"00-30",IF(H478&lt;40,"30-40",IF(H478&lt;50,"40-50",IF(H478&lt;60,"50-60",IF(H478&lt;70,"60-70","70+")))))</f>
        <v>70+</v>
      </c>
      <c r="P478" s="37" t="n">
        <f aca="false">IFERROR(VALUE(SUBSTITUTE(B478,"-","")),0)</f>
        <v>20260809</v>
      </c>
    </row>
    <row r="479" customFormat="false" ht="15" hidden="false" customHeight="false" outlineLevel="0" collapsed="false">
      <c r="A479" s="14" t="s">
        <v>50</v>
      </c>
      <c r="B479" s="32" t="s">
        <v>587</v>
      </c>
      <c r="C479" s="7" t="s">
        <v>1123</v>
      </c>
      <c r="D479" s="32" t="s">
        <v>1124</v>
      </c>
      <c r="E479" s="21" t="n">
        <v>1918</v>
      </c>
      <c r="F479" s="21" t="n">
        <v>132</v>
      </c>
      <c r="G479" s="22" t="n">
        <v>0.009</v>
      </c>
      <c r="H479" s="22" t="n">
        <v>54.48</v>
      </c>
      <c r="I479" s="23" t="n">
        <v>17</v>
      </c>
      <c r="J479" s="21" t="n">
        <v>8</v>
      </c>
      <c r="K479" s="21" t="n">
        <v>0</v>
      </c>
      <c r="L479" s="21" t="n">
        <v>0</v>
      </c>
      <c r="M479" s="22" t="n">
        <f aca="false">IFERROR(L479/E479*1000,0)</f>
        <v>0</v>
      </c>
      <c r="N479" s="22" t="n">
        <f aca="false">IFERROR(J479/E479*100,0)</f>
        <v>0.417101147028154</v>
      </c>
      <c r="O479" s="32" t="str">
        <f aca="false">IF(H479&lt;30,"00-30",IF(H479&lt;40,"30-40",IF(H479&lt;50,"40-50",IF(H479&lt;60,"50-60",IF(H479&lt;70,"60-70","70+")))))</f>
        <v>50-60</v>
      </c>
      <c r="P479" s="37" t="n">
        <f aca="false">IFERROR(VALUE(SUBSTITUTE(B479,"-","")),0)</f>
        <v>20260810</v>
      </c>
    </row>
    <row r="480" customFormat="false" ht="15" hidden="false" customHeight="false" outlineLevel="0" collapsed="false">
      <c r="A480" s="14" t="s">
        <v>50</v>
      </c>
      <c r="B480" s="32" t="s">
        <v>594</v>
      </c>
      <c r="C480" s="7" t="s">
        <v>1125</v>
      </c>
      <c r="D480" s="32" t="s">
        <v>1126</v>
      </c>
      <c r="E480" s="21" t="n">
        <v>1710</v>
      </c>
      <c r="F480" s="21" t="n">
        <v>202</v>
      </c>
      <c r="G480" s="22" t="n">
        <v>0.012</v>
      </c>
      <c r="H480" s="22" t="n">
        <v>49.58</v>
      </c>
      <c r="I480" s="23" t="n">
        <v>13</v>
      </c>
      <c r="J480" s="21" t="n">
        <v>7</v>
      </c>
      <c r="K480" s="21" t="n">
        <v>0</v>
      </c>
      <c r="L480" s="21" t="n">
        <v>0</v>
      </c>
      <c r="M480" s="22" t="n">
        <f aca="false">IFERROR(L480/E480*1000,0)</f>
        <v>0</v>
      </c>
      <c r="N480" s="22" t="n">
        <f aca="false">IFERROR(J480/E480*100,0)</f>
        <v>0.409356725146199</v>
      </c>
      <c r="O480" s="32" t="str">
        <f aca="false">IF(H480&lt;30,"00-30",IF(H480&lt;40,"30-40",IF(H480&lt;50,"40-50",IF(H480&lt;60,"50-60",IF(H480&lt;70,"60-70","70+")))))</f>
        <v>40-50</v>
      </c>
      <c r="P480" s="37" t="n">
        <f aca="false">IFERROR(VALUE(SUBSTITUTE(B480,"-","")),0)</f>
        <v>20260811</v>
      </c>
    </row>
    <row r="481" customFormat="false" ht="15" hidden="false" customHeight="false" outlineLevel="0" collapsed="false">
      <c r="A481" s="14" t="s">
        <v>50</v>
      </c>
      <c r="B481" s="32" t="s">
        <v>235</v>
      </c>
      <c r="C481" s="7" t="s">
        <v>1127</v>
      </c>
      <c r="D481" s="32" t="s">
        <v>1128</v>
      </c>
      <c r="E481" s="21" t="n">
        <v>1693</v>
      </c>
      <c r="F481" s="21" t="n">
        <v>205</v>
      </c>
      <c r="G481" s="22" t="n">
        <v>0.017</v>
      </c>
      <c r="H481" s="22" t="n">
        <v>57</v>
      </c>
      <c r="I481" s="23" t="n">
        <v>14</v>
      </c>
      <c r="J481" s="21" t="n">
        <v>4</v>
      </c>
      <c r="K481" s="21" t="n">
        <v>0</v>
      </c>
      <c r="L481" s="21" t="n">
        <v>0</v>
      </c>
      <c r="M481" s="22" t="n">
        <f aca="false">IFERROR(L481/E481*1000,0)</f>
        <v>0</v>
      </c>
      <c r="N481" s="22" t="n">
        <f aca="false">IFERROR(J481/E481*100,0)</f>
        <v>0.236266981689309</v>
      </c>
      <c r="O481" s="32" t="str">
        <f aca="false">IF(H481&lt;30,"00-30",IF(H481&lt;40,"30-40",IF(H481&lt;50,"40-50",IF(H481&lt;60,"50-60",IF(H481&lt;70,"60-70","70+")))))</f>
        <v>50-60</v>
      </c>
      <c r="P481" s="37" t="n">
        <f aca="false">IFERROR(VALUE(SUBSTITUTE(B481,"-","")),0)</f>
        <v>20260812</v>
      </c>
    </row>
    <row r="482" customFormat="false" ht="15" hidden="false" customHeight="false" outlineLevel="0" collapsed="false">
      <c r="A482" s="14" t="s">
        <v>50</v>
      </c>
      <c r="B482" s="32" t="s">
        <v>104</v>
      </c>
      <c r="C482" s="7" t="s">
        <v>1129</v>
      </c>
      <c r="D482" s="32" t="s">
        <v>1130</v>
      </c>
      <c r="E482" s="21" t="n">
        <v>2256</v>
      </c>
      <c r="F482" s="21" t="n">
        <v>298</v>
      </c>
      <c r="G482" s="22" t="n">
        <v>0.019</v>
      </c>
      <c r="H482" s="22" t="n">
        <v>86.66</v>
      </c>
      <c r="I482" s="23" t="n">
        <v>26</v>
      </c>
      <c r="J482" s="21" t="n">
        <v>11</v>
      </c>
      <c r="K482" s="21" t="n">
        <v>0</v>
      </c>
      <c r="L482" s="21" t="n">
        <v>0</v>
      </c>
      <c r="M482" s="22" t="n">
        <f aca="false">IFERROR(L482/E482*1000,0)</f>
        <v>0</v>
      </c>
      <c r="N482" s="22" t="n">
        <f aca="false">IFERROR(J482/E482*100,0)</f>
        <v>0.48758865248227</v>
      </c>
      <c r="O482" s="32" t="str">
        <f aca="false">IF(H482&lt;30,"00-30",IF(H482&lt;40,"30-40",IF(H482&lt;50,"40-50",IF(H482&lt;60,"50-60",IF(H482&lt;70,"60-70","70+")))))</f>
        <v>70+</v>
      </c>
      <c r="P482" s="37" t="n">
        <f aca="false">IFERROR(VALUE(SUBSTITUTE(B482,"-","")),0)</f>
        <v>20260813</v>
      </c>
    </row>
    <row r="483" customFormat="false" ht="15" hidden="false" customHeight="false" outlineLevel="0" collapsed="false">
      <c r="A483" s="14" t="s">
        <v>50</v>
      </c>
      <c r="B483" s="32" t="s">
        <v>109</v>
      </c>
      <c r="C483" s="7" t="s">
        <v>1131</v>
      </c>
      <c r="D483" s="32" t="s">
        <v>1132</v>
      </c>
      <c r="E483" s="21" t="n">
        <v>1957</v>
      </c>
      <c r="F483" s="21" t="n">
        <v>138</v>
      </c>
      <c r="G483" s="22" t="n">
        <v>0.025</v>
      </c>
      <c r="H483" s="22" t="n">
        <v>76.99</v>
      </c>
      <c r="I483" s="23" t="n">
        <v>25</v>
      </c>
      <c r="J483" s="21" t="n">
        <v>2</v>
      </c>
      <c r="K483" s="21" t="n">
        <v>0</v>
      </c>
      <c r="L483" s="21" t="n">
        <v>0</v>
      </c>
      <c r="M483" s="22" t="n">
        <f aca="false">IFERROR(L483/E483*1000,0)</f>
        <v>0</v>
      </c>
      <c r="N483" s="22" t="n">
        <f aca="false">IFERROR(J483/E483*100,0)</f>
        <v>0.102197240674502</v>
      </c>
      <c r="O483" s="32" t="str">
        <f aca="false">IF(H483&lt;30,"00-30",IF(H483&lt;40,"30-40",IF(H483&lt;50,"40-50",IF(H483&lt;60,"50-60",IF(H483&lt;70,"60-70","70+")))))</f>
        <v>70+</v>
      </c>
      <c r="P483" s="37" t="n">
        <f aca="false">IFERROR(VALUE(SUBSTITUTE(B483,"-","")),0)</f>
        <v>20260814</v>
      </c>
    </row>
    <row r="484" customFormat="false" ht="15" hidden="false" customHeight="false" outlineLevel="0" collapsed="false">
      <c r="A484" s="14" t="s">
        <v>50</v>
      </c>
      <c r="B484" s="32" t="s">
        <v>114</v>
      </c>
      <c r="C484" s="7" t="s">
        <v>1133</v>
      </c>
      <c r="D484" s="32" t="s">
        <v>1134</v>
      </c>
      <c r="E484" s="21" t="n">
        <v>1181</v>
      </c>
      <c r="F484" s="21" t="n">
        <v>275</v>
      </c>
      <c r="G484" s="22" t="n">
        <v>0.005</v>
      </c>
      <c r="H484" s="22" t="n">
        <v>65.05</v>
      </c>
      <c r="I484" s="23" t="n">
        <v>16</v>
      </c>
      <c r="J484" s="21" t="n">
        <v>10</v>
      </c>
      <c r="K484" s="21" t="n">
        <v>0</v>
      </c>
      <c r="L484" s="21" t="n">
        <v>2</v>
      </c>
      <c r="M484" s="22" t="n">
        <f aca="false">IFERROR(L484/E484*1000,0)</f>
        <v>1.69348010160881</v>
      </c>
      <c r="N484" s="22" t="n">
        <f aca="false">IFERROR(J484/E484*100,0)</f>
        <v>0.846740050804403</v>
      </c>
      <c r="O484" s="32" t="str">
        <f aca="false">IF(H484&lt;30,"00-30",IF(H484&lt;40,"30-40",IF(H484&lt;50,"40-50",IF(H484&lt;60,"50-60",IF(H484&lt;70,"60-70","70+")))))</f>
        <v>60-70</v>
      </c>
      <c r="P484" s="37" t="n">
        <f aca="false">IFERROR(VALUE(SUBSTITUTE(B484,"-","")),0)</f>
        <v>20260815</v>
      </c>
    </row>
    <row r="485" customFormat="false" ht="15" hidden="false" customHeight="false" outlineLevel="0" collapsed="false">
      <c r="A485" s="14" t="s">
        <v>50</v>
      </c>
      <c r="B485" s="32" t="s">
        <v>122</v>
      </c>
      <c r="C485" s="7" t="s">
        <v>1135</v>
      </c>
      <c r="D485" s="32" t="s">
        <v>1136</v>
      </c>
      <c r="E485" s="21" t="n">
        <v>2347</v>
      </c>
      <c r="F485" s="21" t="n">
        <v>79</v>
      </c>
      <c r="G485" s="22" t="n">
        <v>0.014</v>
      </c>
      <c r="H485" s="22" t="n">
        <v>34.31</v>
      </c>
      <c r="I485" s="23" t="n">
        <v>10</v>
      </c>
      <c r="J485" s="21" t="n">
        <v>3</v>
      </c>
      <c r="K485" s="21" t="n">
        <v>0</v>
      </c>
      <c r="L485" s="21" t="n">
        <v>0</v>
      </c>
      <c r="M485" s="22" t="n">
        <f aca="false">IFERROR(L485/E485*1000,0)</f>
        <v>0</v>
      </c>
      <c r="N485" s="22" t="n">
        <f aca="false">IFERROR(J485/E485*100,0)</f>
        <v>0.127822752449936</v>
      </c>
      <c r="O485" s="32" t="str">
        <f aca="false">IF(H485&lt;30,"00-30",IF(H485&lt;40,"30-40",IF(H485&lt;50,"40-50",IF(H485&lt;60,"50-60",IF(H485&lt;70,"60-70","70+")))))</f>
        <v>30-40</v>
      </c>
      <c r="P485" s="37" t="n">
        <f aca="false">IFERROR(VALUE(SUBSTITUTE(B485,"-","")),0)</f>
        <v>20260817</v>
      </c>
    </row>
    <row r="486" customFormat="false" ht="15" hidden="false" customHeight="false" outlineLevel="0" collapsed="false">
      <c r="A486" s="14" t="s">
        <v>50</v>
      </c>
      <c r="B486" s="32" t="s">
        <v>133</v>
      </c>
      <c r="C486" s="7" t="s">
        <v>1137</v>
      </c>
      <c r="D486" s="32" t="s">
        <v>1138</v>
      </c>
      <c r="E486" s="21" t="n">
        <v>1911</v>
      </c>
      <c r="F486" s="21" t="n">
        <v>93</v>
      </c>
      <c r="G486" s="22" t="n">
        <v>0.033</v>
      </c>
      <c r="H486" s="22" t="n">
        <v>57.62</v>
      </c>
      <c r="I486" s="23" t="n">
        <v>19</v>
      </c>
      <c r="J486" s="21" t="n">
        <v>7</v>
      </c>
      <c r="K486" s="21" t="n">
        <v>0</v>
      </c>
      <c r="L486" s="21" t="n">
        <v>1</v>
      </c>
      <c r="M486" s="22" t="n">
        <f aca="false">IFERROR(L486/E486*1000,0)</f>
        <v>0.523286237571952</v>
      </c>
      <c r="N486" s="22" t="n">
        <f aca="false">IFERROR(J486/E486*100,0)</f>
        <v>0.366300366300366</v>
      </c>
      <c r="O486" s="32" t="str">
        <f aca="false">IF(H486&lt;30,"00-30",IF(H486&lt;40,"30-40",IF(H486&lt;50,"40-50",IF(H486&lt;60,"50-60",IF(H486&lt;70,"60-70","70+")))))</f>
        <v>50-60</v>
      </c>
      <c r="P486" s="37" t="n">
        <f aca="false">IFERROR(VALUE(SUBSTITUTE(B486,"-","")),0)</f>
        <v>20260818</v>
      </c>
    </row>
    <row r="487" customFormat="false" ht="23.85" hidden="false" customHeight="false" outlineLevel="0" collapsed="false">
      <c r="A487" s="14" t="s">
        <v>50</v>
      </c>
      <c r="B487" s="32" t="s">
        <v>138</v>
      </c>
      <c r="C487" s="7" t="s">
        <v>1139</v>
      </c>
      <c r="D487" s="32" t="s">
        <v>1140</v>
      </c>
      <c r="E487" s="21" t="n">
        <v>1114</v>
      </c>
      <c r="F487" s="21" t="n">
        <v>248</v>
      </c>
      <c r="G487" s="22" t="n">
        <v>0.021</v>
      </c>
      <c r="H487" s="22" t="n">
        <v>42.85</v>
      </c>
      <c r="I487" s="23" t="n">
        <v>19</v>
      </c>
      <c r="J487" s="21" t="n">
        <v>6</v>
      </c>
      <c r="K487" s="21" t="n">
        <v>0</v>
      </c>
      <c r="L487" s="21" t="n">
        <v>1</v>
      </c>
      <c r="M487" s="22" t="n">
        <f aca="false">IFERROR(L487/E487*1000,0)</f>
        <v>0.897666068222621</v>
      </c>
      <c r="N487" s="22" t="n">
        <f aca="false">IFERROR(J487/E487*100,0)</f>
        <v>0.538599640933573</v>
      </c>
      <c r="O487" s="32" t="str">
        <f aca="false">IF(H487&lt;30,"00-30",IF(H487&lt;40,"30-40",IF(H487&lt;50,"40-50",IF(H487&lt;60,"50-60",IF(H487&lt;70,"60-70","70+")))))</f>
        <v>40-50</v>
      </c>
      <c r="P487" s="37" t="n">
        <f aca="false">IFERROR(VALUE(SUBSTITUTE(B487,"-","")),0)</f>
        <v>20260819</v>
      </c>
    </row>
    <row r="488" customFormat="false" ht="15" hidden="false" customHeight="false" outlineLevel="0" collapsed="false">
      <c r="A488" s="14" t="s">
        <v>50</v>
      </c>
      <c r="B488" s="32" t="s">
        <v>143</v>
      </c>
      <c r="C488" s="14" t="s">
        <v>1141</v>
      </c>
      <c r="D488" s="32" t="s">
        <v>1142</v>
      </c>
      <c r="E488" s="21" t="n">
        <v>371</v>
      </c>
      <c r="F488" s="21" t="n">
        <v>134</v>
      </c>
      <c r="G488" s="22" t="n">
        <v>0.042</v>
      </c>
      <c r="H488" s="22" t="n">
        <v>39.52</v>
      </c>
      <c r="I488" s="23" t="n">
        <v>24</v>
      </c>
      <c r="J488" s="21" t="n">
        <v>4</v>
      </c>
      <c r="K488" s="21" t="n">
        <v>0</v>
      </c>
      <c r="L488" s="21" t="n">
        <v>0</v>
      </c>
      <c r="M488" s="22" t="n">
        <f aca="false">IFERROR(L488/E488*1000,0)</f>
        <v>0</v>
      </c>
      <c r="N488" s="22" t="n">
        <f aca="false">IFERROR(J488/E488*100,0)</f>
        <v>1.07816711590297</v>
      </c>
      <c r="O488" s="32" t="str">
        <f aca="false">IF(H488&lt;30,"00-30",IF(H488&lt;40,"30-40",IF(H488&lt;50,"40-50",IF(H488&lt;60,"50-60",IF(H488&lt;70,"60-70","70+")))))</f>
        <v>30-40</v>
      </c>
      <c r="P488" s="37" t="n">
        <f aca="false">IFERROR(VALUE(SUBSTITUTE(B488,"-","")),0)</f>
        <v>20260820</v>
      </c>
    </row>
    <row r="489" customFormat="false" ht="15" hidden="false" customHeight="false" outlineLevel="0" collapsed="false">
      <c r="A489" s="14" t="s">
        <v>50</v>
      </c>
      <c r="B489" s="32" t="s">
        <v>148</v>
      </c>
      <c r="C489" s="14" t="s">
        <v>1143</v>
      </c>
      <c r="D489" s="32" t="s">
        <v>1144</v>
      </c>
      <c r="E489" s="21" t="n">
        <v>637</v>
      </c>
      <c r="F489" s="21" t="n">
        <v>55</v>
      </c>
      <c r="G489" s="22" t="n">
        <v>0</v>
      </c>
      <c r="H489" s="22" t="n">
        <v>29.83</v>
      </c>
      <c r="I489" s="23" t="n">
        <v>16</v>
      </c>
      <c r="J489" s="21" t="n">
        <v>2</v>
      </c>
      <c r="K489" s="21" t="n">
        <v>0</v>
      </c>
      <c r="L489" s="21" t="n">
        <v>0</v>
      </c>
      <c r="M489" s="22" t="n">
        <f aca="false">IFERROR(L489/E489*1000,0)</f>
        <v>0</v>
      </c>
      <c r="N489" s="22" t="n">
        <f aca="false">IFERROR(J489/E489*100,0)</f>
        <v>0.313971742543171</v>
      </c>
      <c r="O489" s="32" t="str">
        <f aca="false">IF(H489&lt;30,"00-30",IF(H489&lt;40,"30-40",IF(H489&lt;50,"40-50",IF(H489&lt;60,"50-60",IF(H489&lt;70,"60-70","70+")))))</f>
        <v>00-30</v>
      </c>
      <c r="P489" s="37" t="n">
        <f aca="false">IFERROR(VALUE(SUBSTITUTE(B489,"-","")),0)</f>
        <v>20260821</v>
      </c>
    </row>
    <row r="490" customFormat="false" ht="15" hidden="false" customHeight="false" outlineLevel="0" collapsed="false">
      <c r="A490" s="14" t="s">
        <v>50</v>
      </c>
      <c r="B490" s="32" t="s">
        <v>148</v>
      </c>
      <c r="C490" s="7" t="s">
        <v>1145</v>
      </c>
      <c r="D490" s="32" t="s">
        <v>1146</v>
      </c>
      <c r="E490" s="21" t="n">
        <v>261</v>
      </c>
      <c r="F490" s="21" t="n">
        <v>195</v>
      </c>
      <c r="G490" s="22" t="n">
        <v>0.016</v>
      </c>
      <c r="H490" s="22" t="n">
        <v>24.28</v>
      </c>
      <c r="I490" s="23" t="n">
        <v>13</v>
      </c>
      <c r="J490" s="21" t="n">
        <v>0</v>
      </c>
      <c r="K490" s="21" t="n">
        <v>0</v>
      </c>
      <c r="L490" s="21" t="n">
        <v>0</v>
      </c>
      <c r="M490" s="22" t="n">
        <f aca="false">IFERROR(L490/E490*1000,0)</f>
        <v>0</v>
      </c>
      <c r="N490" s="22" t="n">
        <f aca="false">IFERROR(J490/E490*100,0)</f>
        <v>0</v>
      </c>
      <c r="O490" s="32" t="str">
        <f aca="false">IF(H490&lt;30,"00-30",IF(H490&lt;40,"30-40",IF(H490&lt;50,"40-50",IF(H490&lt;60,"50-60",IF(H490&lt;70,"60-70","70+")))))</f>
        <v>00-30</v>
      </c>
      <c r="P490" s="37" t="n">
        <f aca="false">IFERROR(VALUE(SUBSTITUTE(B490,"-","")),0)</f>
        <v>20260821</v>
      </c>
    </row>
    <row r="491" customFormat="false" ht="15" hidden="false" customHeight="false" outlineLevel="0" collapsed="false">
      <c r="A491" s="14" t="s">
        <v>50</v>
      </c>
      <c r="B491" s="32" t="s">
        <v>155</v>
      </c>
      <c r="C491" s="7" t="s">
        <v>1147</v>
      </c>
      <c r="D491" s="32" t="s">
        <v>1148</v>
      </c>
      <c r="E491" s="21" t="n">
        <v>363</v>
      </c>
      <c r="F491" s="21" t="n">
        <v>119</v>
      </c>
      <c r="G491" s="22" t="n">
        <v>0</v>
      </c>
      <c r="H491" s="22" t="n">
        <v>34.51</v>
      </c>
      <c r="I491" s="23" t="n">
        <v>20</v>
      </c>
      <c r="J491" s="21" t="n">
        <v>3</v>
      </c>
      <c r="K491" s="21" t="n">
        <v>0</v>
      </c>
      <c r="L491" s="21" t="n">
        <v>0</v>
      </c>
      <c r="M491" s="22" t="n">
        <f aca="false">IFERROR(L491/E491*1000,0)</f>
        <v>0</v>
      </c>
      <c r="N491" s="22" t="n">
        <f aca="false">IFERROR(J491/E491*100,0)</f>
        <v>0.826446280991736</v>
      </c>
      <c r="O491" s="32" t="str">
        <f aca="false">IF(H491&lt;30,"00-30",IF(H491&lt;40,"30-40",IF(H491&lt;50,"40-50",IF(H491&lt;60,"50-60",IF(H491&lt;70,"60-70","70+")))))</f>
        <v>30-40</v>
      </c>
      <c r="P491" s="37" t="n">
        <f aca="false">IFERROR(VALUE(SUBSTITUTE(B491,"-","")),0)</f>
        <v>20260822</v>
      </c>
    </row>
    <row r="492" customFormat="false" ht="15" hidden="false" customHeight="false" outlineLevel="0" collapsed="false">
      <c r="A492" s="14" t="s">
        <v>50</v>
      </c>
      <c r="B492" s="32" t="s">
        <v>158</v>
      </c>
      <c r="C492" s="14" t="s">
        <v>1149</v>
      </c>
      <c r="D492" s="32" t="s">
        <v>1150</v>
      </c>
      <c r="E492" s="21" t="n">
        <v>139</v>
      </c>
      <c r="F492" s="21" t="n">
        <v>147</v>
      </c>
      <c r="G492" s="22" t="n">
        <v>0.083</v>
      </c>
      <c r="H492" s="22" t="n">
        <v>16.89</v>
      </c>
      <c r="I492" s="23" t="n">
        <v>11</v>
      </c>
      <c r="J492" s="21" t="n">
        <v>0</v>
      </c>
      <c r="K492" s="21" t="n">
        <v>0</v>
      </c>
      <c r="L492" s="21" t="n">
        <v>0</v>
      </c>
      <c r="M492" s="22" t="n">
        <f aca="false">IFERROR(L492/E492*1000,0)</f>
        <v>0</v>
      </c>
      <c r="N492" s="22" t="n">
        <f aca="false">IFERROR(J492/E492*100,0)</f>
        <v>0</v>
      </c>
      <c r="O492" s="32" t="str">
        <f aca="false">IF(H492&lt;30,"00-30",IF(H492&lt;40,"30-40",IF(H492&lt;50,"40-50",IF(H492&lt;60,"50-60",IF(H492&lt;70,"60-70","70+")))))</f>
        <v>00-30</v>
      </c>
      <c r="P492" s="37" t="n">
        <f aca="false">IFERROR(VALUE(SUBSTITUTE(B492,"-","")),0)</f>
        <v>20260823</v>
      </c>
    </row>
    <row r="493" customFormat="false" ht="23.85" hidden="false" customHeight="false" outlineLevel="0" collapsed="false">
      <c r="A493" s="14" t="s">
        <v>50</v>
      </c>
      <c r="B493" s="32" t="s">
        <v>164</v>
      </c>
      <c r="C493" s="14" t="s">
        <v>1151</v>
      </c>
      <c r="D493" s="32" t="s">
        <v>1152</v>
      </c>
      <c r="E493" s="21" t="n">
        <v>664</v>
      </c>
      <c r="F493" s="21" t="n">
        <v>211</v>
      </c>
      <c r="G493" s="22" t="n">
        <v>0.022</v>
      </c>
      <c r="H493" s="22" t="n">
        <v>54.97</v>
      </c>
      <c r="I493" s="23" t="n">
        <v>24</v>
      </c>
      <c r="J493" s="21" t="n">
        <v>0</v>
      </c>
      <c r="K493" s="21" t="n">
        <v>0</v>
      </c>
      <c r="L493" s="21" t="n">
        <v>0</v>
      </c>
      <c r="M493" s="22" t="n">
        <f aca="false">IFERROR(L493/E493*1000,0)</f>
        <v>0</v>
      </c>
      <c r="N493" s="22" t="n">
        <f aca="false">IFERROR(J493/E493*100,0)</f>
        <v>0</v>
      </c>
      <c r="O493" s="32" t="str">
        <f aca="false">IF(H493&lt;30,"00-30",IF(H493&lt;40,"30-40",IF(H493&lt;50,"40-50",IF(H493&lt;60,"50-60",IF(H493&lt;70,"60-70","70+")))))</f>
        <v>50-60</v>
      </c>
      <c r="P493" s="37" t="n">
        <f aca="false">IFERROR(VALUE(SUBSTITUTE(B493,"-","")),0)</f>
        <v>20260825</v>
      </c>
    </row>
    <row r="494" customFormat="false" ht="15" hidden="false" customHeight="false" outlineLevel="0" collapsed="false">
      <c r="A494" s="14" t="s">
        <v>50</v>
      </c>
      <c r="B494" s="32" t="s">
        <v>164</v>
      </c>
      <c r="C494" s="14" t="s">
        <v>1153</v>
      </c>
      <c r="D494" s="32" t="s">
        <v>1154</v>
      </c>
      <c r="E494" s="21" t="n">
        <v>1060</v>
      </c>
      <c r="F494" s="21" t="n">
        <v>90</v>
      </c>
      <c r="G494" s="22" t="n">
        <v>0.333</v>
      </c>
      <c r="H494" s="22" t="n">
        <v>28.57</v>
      </c>
      <c r="I494" s="23" t="n">
        <v>16</v>
      </c>
      <c r="J494" s="21" t="n">
        <v>4</v>
      </c>
      <c r="K494" s="21" t="n">
        <v>0</v>
      </c>
      <c r="L494" s="21" t="n">
        <v>0</v>
      </c>
      <c r="M494" s="22" t="n">
        <f aca="false">IFERROR(L494/E494*1000,0)</f>
        <v>0</v>
      </c>
      <c r="N494" s="22" t="n">
        <f aca="false">IFERROR(J494/E494*100,0)</f>
        <v>0.377358490566038</v>
      </c>
      <c r="O494" s="32" t="str">
        <f aca="false">IF(H494&lt;30,"00-30",IF(H494&lt;40,"30-40",IF(H494&lt;50,"40-50",IF(H494&lt;60,"50-60",IF(H494&lt;70,"60-70","70+")))))</f>
        <v>00-30</v>
      </c>
      <c r="P494" s="37" t="n">
        <f aca="false">IFERROR(VALUE(SUBSTITUTE(B494,"-","")),0)</f>
        <v>20260825</v>
      </c>
    </row>
    <row r="495" customFormat="false" ht="15" hidden="false" customHeight="false" outlineLevel="0" collapsed="false">
      <c r="A495" s="14" t="s">
        <v>50</v>
      </c>
      <c r="B495" s="32" t="s">
        <v>167</v>
      </c>
      <c r="C495" s="14" t="s">
        <v>1155</v>
      </c>
      <c r="D495" s="32" t="s">
        <v>1156</v>
      </c>
      <c r="E495" s="21" t="n">
        <v>126</v>
      </c>
      <c r="F495" s="21" t="n">
        <v>64</v>
      </c>
      <c r="G495" s="22" t="n">
        <v>0.182</v>
      </c>
      <c r="H495" s="22" t="n">
        <v>21.28</v>
      </c>
      <c r="I495" s="23" t="n">
        <v>11</v>
      </c>
      <c r="J495" s="21" t="n">
        <v>0</v>
      </c>
      <c r="K495" s="21" t="n">
        <v>0</v>
      </c>
      <c r="L495" s="21" t="n">
        <v>0</v>
      </c>
      <c r="M495" s="22" t="n">
        <f aca="false">IFERROR(L495/E495*1000,0)</f>
        <v>0</v>
      </c>
      <c r="N495" s="22" t="n">
        <f aca="false">IFERROR(J495/E495*100,0)</f>
        <v>0</v>
      </c>
      <c r="O495" s="32" t="str">
        <f aca="false">IF(H495&lt;30,"00-30",IF(H495&lt;40,"30-40",IF(H495&lt;50,"40-50",IF(H495&lt;60,"50-60",IF(H495&lt;70,"60-70","70+")))))</f>
        <v>00-30</v>
      </c>
      <c r="P495" s="37" t="n">
        <f aca="false">IFERROR(VALUE(SUBSTITUTE(B495,"-","")),0)</f>
        <v>20260826</v>
      </c>
    </row>
    <row r="496" customFormat="false" ht="15" hidden="false" customHeight="false" outlineLevel="0" collapsed="false">
      <c r="A496" s="14" t="s">
        <v>50</v>
      </c>
      <c r="B496" s="32" t="s">
        <v>170</v>
      </c>
      <c r="C496" s="14" t="s">
        <v>1157</v>
      </c>
      <c r="D496" s="32" t="s">
        <v>1158</v>
      </c>
      <c r="E496" s="21" t="n">
        <v>514</v>
      </c>
      <c r="F496" s="21" t="n">
        <v>224</v>
      </c>
      <c r="G496" s="22" t="n">
        <v>0.021</v>
      </c>
      <c r="H496" s="22" t="n">
        <v>32.63</v>
      </c>
      <c r="I496" s="23" t="n">
        <v>14</v>
      </c>
      <c r="J496" s="21" t="n">
        <v>2</v>
      </c>
      <c r="K496" s="21" t="n">
        <v>0</v>
      </c>
      <c r="L496" s="21" t="n">
        <v>0</v>
      </c>
      <c r="M496" s="22" t="n">
        <f aca="false">IFERROR(L496/E496*1000,0)</f>
        <v>0</v>
      </c>
      <c r="N496" s="22" t="n">
        <f aca="false">IFERROR(J496/E496*100,0)</f>
        <v>0.389105058365759</v>
      </c>
      <c r="O496" s="32" t="str">
        <f aca="false">IF(H496&lt;30,"00-30",IF(H496&lt;40,"30-40",IF(H496&lt;50,"40-50",IF(H496&lt;60,"50-60",IF(H496&lt;70,"60-70","70+")))))</f>
        <v>30-40</v>
      </c>
      <c r="P496" s="37" t="n">
        <f aca="false">IFERROR(VALUE(SUBSTITUTE(B496,"-","")),0)</f>
        <v>20260827</v>
      </c>
    </row>
    <row r="497" customFormat="false" ht="15" hidden="false" customHeight="false" outlineLevel="0" collapsed="false">
      <c r="A497" s="14" t="s">
        <v>50</v>
      </c>
      <c r="B497" s="32" t="s">
        <v>170</v>
      </c>
      <c r="C497" s="14" t="s">
        <v>1159</v>
      </c>
      <c r="D497" s="32" t="s">
        <v>1160</v>
      </c>
      <c r="E497" s="21" t="n">
        <v>900</v>
      </c>
      <c r="F497" s="21" t="n">
        <v>160</v>
      </c>
      <c r="G497" s="22" t="n">
        <v>0.007</v>
      </c>
      <c r="H497" s="22" t="n">
        <v>80.73</v>
      </c>
      <c r="I497" s="23" t="n">
        <v>24</v>
      </c>
      <c r="J497" s="21" t="n">
        <v>5</v>
      </c>
      <c r="K497" s="21" t="n">
        <v>0</v>
      </c>
      <c r="L497" s="21" t="n">
        <v>1</v>
      </c>
      <c r="M497" s="22" t="n">
        <f aca="false">IFERROR(L497/E497*1000,0)</f>
        <v>1.11111111111111</v>
      </c>
      <c r="N497" s="22" t="n">
        <f aca="false">IFERROR(J497/E497*100,0)</f>
        <v>0.555555555555556</v>
      </c>
      <c r="O497" s="32" t="str">
        <f aca="false">IF(H497&lt;30,"00-30",IF(H497&lt;40,"30-40",IF(H497&lt;50,"40-50",IF(H497&lt;60,"50-60",IF(H497&lt;70,"60-70","70+")))))</f>
        <v>70+</v>
      </c>
      <c r="P497" s="37" t="n">
        <f aca="false">IFERROR(VALUE(SUBSTITUTE(B497,"-","")),0)</f>
        <v>20260827</v>
      </c>
    </row>
    <row r="498" customFormat="false" ht="23.85" hidden="false" customHeight="false" outlineLevel="0" collapsed="false">
      <c r="A498" s="14" t="s">
        <v>50</v>
      </c>
      <c r="B498" s="32" t="s">
        <v>175</v>
      </c>
      <c r="C498" s="14" t="s">
        <v>1161</v>
      </c>
      <c r="D498" s="32" t="s">
        <v>1162</v>
      </c>
      <c r="E498" s="21" t="n">
        <v>155</v>
      </c>
      <c r="F498" s="21" t="n">
        <v>81</v>
      </c>
      <c r="G498" s="22" t="n">
        <v>0.015</v>
      </c>
      <c r="H498" s="22" t="n">
        <v>49.63</v>
      </c>
      <c r="I498" s="23" t="n">
        <v>24</v>
      </c>
      <c r="J498" s="21" t="n">
        <v>0</v>
      </c>
      <c r="K498" s="21" t="n">
        <v>0</v>
      </c>
      <c r="L498" s="21" t="n">
        <v>0</v>
      </c>
      <c r="M498" s="22" t="n">
        <f aca="false">IFERROR(L498/E498*1000,0)</f>
        <v>0</v>
      </c>
      <c r="N498" s="22" t="n">
        <f aca="false">IFERROR(J498/E498*100,0)</f>
        <v>0</v>
      </c>
      <c r="O498" s="32" t="str">
        <f aca="false">IF(H498&lt;30,"00-30",IF(H498&lt;40,"30-40",IF(H498&lt;50,"40-50",IF(H498&lt;60,"50-60",IF(H498&lt;70,"60-70","70+")))))</f>
        <v>40-50</v>
      </c>
      <c r="P498" s="37" t="n">
        <f aca="false">IFERROR(VALUE(SUBSTITUTE(B498,"-","")),0)</f>
        <v>20260828</v>
      </c>
    </row>
    <row r="499" customFormat="false" ht="15" hidden="false" customHeight="false" outlineLevel="0" collapsed="false">
      <c r="A499" s="14" t="s">
        <v>50</v>
      </c>
      <c r="B499" s="32" t="s">
        <v>175</v>
      </c>
      <c r="C499" s="14" t="s">
        <v>1163</v>
      </c>
      <c r="D499" s="32" t="s">
        <v>1164</v>
      </c>
      <c r="E499" s="21" t="n">
        <v>1047</v>
      </c>
      <c r="F499" s="21" t="n">
        <v>509</v>
      </c>
      <c r="G499" s="22" t="n">
        <v>0.007</v>
      </c>
      <c r="H499" s="22" t="n">
        <v>33.06</v>
      </c>
      <c r="I499" s="23" t="n">
        <v>14</v>
      </c>
      <c r="J499" s="21" t="n">
        <v>4</v>
      </c>
      <c r="K499" s="21" t="n">
        <v>0</v>
      </c>
      <c r="L499" s="21" t="n">
        <v>0</v>
      </c>
      <c r="M499" s="22" t="n">
        <f aca="false">IFERROR(L499/E499*1000,0)</f>
        <v>0</v>
      </c>
      <c r="N499" s="22" t="n">
        <f aca="false">IFERROR(J499/E499*100,0)</f>
        <v>0.382043935052531</v>
      </c>
      <c r="O499" s="32" t="str">
        <f aca="false">IF(H499&lt;30,"00-30",IF(H499&lt;40,"30-40",IF(H499&lt;50,"40-50",IF(H499&lt;60,"50-60",IF(H499&lt;70,"60-70","70+")))))</f>
        <v>30-40</v>
      </c>
      <c r="P499" s="37" t="n">
        <f aca="false">IFERROR(VALUE(SUBSTITUTE(B499,"-","")),0)</f>
        <v>20260828</v>
      </c>
    </row>
    <row r="500" customFormat="false" ht="15" hidden="false" customHeight="false" outlineLevel="0" collapsed="false">
      <c r="A500" s="14" t="s">
        <v>50</v>
      </c>
      <c r="B500" s="32" t="s">
        <v>180</v>
      </c>
      <c r="C500" s="14" t="s">
        <v>1165</v>
      </c>
      <c r="D500" s="32" t="s">
        <v>1166</v>
      </c>
      <c r="E500" s="21" t="n">
        <v>1016</v>
      </c>
      <c r="F500" s="21" t="n">
        <v>76</v>
      </c>
      <c r="G500" s="22" t="n">
        <v>0.021</v>
      </c>
      <c r="H500" s="22" t="n">
        <v>38.17</v>
      </c>
      <c r="I500" s="23" t="n">
        <v>12</v>
      </c>
      <c r="J500" s="21" t="n">
        <v>6</v>
      </c>
      <c r="K500" s="21" t="n">
        <v>0</v>
      </c>
      <c r="L500" s="21" t="n">
        <v>0</v>
      </c>
      <c r="M500" s="22" t="n">
        <f aca="false">IFERROR(L500/E500*1000,0)</f>
        <v>0</v>
      </c>
      <c r="N500" s="22" t="n">
        <f aca="false">IFERROR(J500/E500*100,0)</f>
        <v>0.590551181102362</v>
      </c>
      <c r="O500" s="32" t="str">
        <f aca="false">IF(H500&lt;30,"00-30",IF(H500&lt;40,"30-40",IF(H500&lt;50,"40-50",IF(H500&lt;60,"50-60",IF(H500&lt;70,"60-70","70+")))))</f>
        <v>30-40</v>
      </c>
      <c r="P500" s="37" t="n">
        <f aca="false">IFERROR(VALUE(SUBSTITUTE(B500,"-","")),0)</f>
        <v>20260829</v>
      </c>
    </row>
    <row r="501" customFormat="false" ht="15" hidden="false" customHeight="false" outlineLevel="0" collapsed="false">
      <c r="A501" s="14" t="s">
        <v>50</v>
      </c>
      <c r="B501" s="32" t="s">
        <v>183</v>
      </c>
      <c r="C501" s="14" t="s">
        <v>1167</v>
      </c>
      <c r="D501" s="32" t="s">
        <v>1168</v>
      </c>
      <c r="E501" s="21" t="n">
        <v>315</v>
      </c>
      <c r="F501" s="21" t="n">
        <v>48</v>
      </c>
      <c r="G501" s="22" t="n">
        <v>0</v>
      </c>
      <c r="H501" s="22" t="n">
        <v>49.58</v>
      </c>
      <c r="I501" s="23" t="n">
        <v>23</v>
      </c>
      <c r="J501" s="21" t="n">
        <v>1</v>
      </c>
      <c r="K501" s="21" t="n">
        <v>0</v>
      </c>
      <c r="L501" s="21" t="n">
        <v>1</v>
      </c>
      <c r="M501" s="22" t="n">
        <f aca="false">IFERROR(L501/E501*1000,0)</f>
        <v>3.17460317460317</v>
      </c>
      <c r="N501" s="22" t="n">
        <f aca="false">IFERROR(J501/E501*100,0)</f>
        <v>0.317460317460317</v>
      </c>
      <c r="O501" s="32" t="str">
        <f aca="false">IF(H501&lt;30,"00-30",IF(H501&lt;40,"30-40",IF(H501&lt;50,"40-50",IF(H501&lt;60,"50-60",IF(H501&lt;70,"60-70","70+")))))</f>
        <v>40-50</v>
      </c>
      <c r="P501" s="37" t="n">
        <f aca="false">IFERROR(VALUE(SUBSTITUTE(B501,"-","")),0)</f>
        <v>20260830</v>
      </c>
    </row>
    <row r="502" customFormat="false" ht="15" hidden="false" customHeight="false" outlineLevel="0" collapsed="false">
      <c r="A502" s="14" t="s">
        <v>50</v>
      </c>
      <c r="B502" s="32" t="s">
        <v>188</v>
      </c>
      <c r="C502" s="7" t="s">
        <v>1169</v>
      </c>
      <c r="D502" s="32" t="s">
        <v>1170</v>
      </c>
      <c r="E502" s="21" t="n">
        <v>1012</v>
      </c>
      <c r="F502" s="21" t="n">
        <v>393</v>
      </c>
      <c r="G502" s="22" t="n">
        <v>0.036</v>
      </c>
      <c r="H502" s="22" t="n">
        <v>33.2</v>
      </c>
      <c r="I502" s="23" t="n">
        <v>10</v>
      </c>
      <c r="J502" s="21" t="n">
        <v>4</v>
      </c>
      <c r="K502" s="21" t="n">
        <v>0</v>
      </c>
      <c r="L502" s="21" t="n">
        <v>0</v>
      </c>
      <c r="M502" s="22" t="n">
        <f aca="false">IFERROR(L502/E502*1000,0)</f>
        <v>0</v>
      </c>
      <c r="N502" s="22" t="n">
        <f aca="false">IFERROR(J502/E502*100,0)</f>
        <v>0.395256916996047</v>
      </c>
      <c r="O502" s="32" t="str">
        <f aca="false">IF(H502&lt;30,"00-30",IF(H502&lt;40,"30-40",IF(H502&lt;50,"40-50",IF(H502&lt;60,"50-60",IF(H502&lt;70,"60-70","70+")))))</f>
        <v>30-40</v>
      </c>
      <c r="P502" s="37" t="n">
        <f aca="false">IFERROR(VALUE(SUBSTITUTE(B502,"-","")),0)</f>
        <v>20260831</v>
      </c>
    </row>
    <row r="503" customFormat="false" ht="15" hidden="false" customHeight="false" outlineLevel="0" collapsed="false">
      <c r="A503" s="14" t="s">
        <v>50</v>
      </c>
      <c r="B503" s="32" t="s">
        <v>191</v>
      </c>
      <c r="C503" s="7" t="s">
        <v>1171</v>
      </c>
      <c r="D503" s="32" t="s">
        <v>1172</v>
      </c>
      <c r="E503" s="21" t="n">
        <v>201</v>
      </c>
      <c r="F503" s="21" t="n">
        <v>64</v>
      </c>
      <c r="G503" s="22" t="n">
        <v>0.02</v>
      </c>
      <c r="H503" s="22" t="n">
        <v>47.03</v>
      </c>
      <c r="I503" s="23" t="n">
        <v>16</v>
      </c>
      <c r="J503" s="21" t="n">
        <v>0</v>
      </c>
      <c r="K503" s="21" t="n">
        <v>0</v>
      </c>
      <c r="L503" s="21" t="n">
        <v>0</v>
      </c>
      <c r="M503" s="22" t="n">
        <f aca="false">IFERROR(L503/E503*1000,0)</f>
        <v>0</v>
      </c>
      <c r="N503" s="22" t="n">
        <f aca="false">IFERROR(J503/E503*100,0)</f>
        <v>0</v>
      </c>
      <c r="O503" s="32" t="str">
        <f aca="false">IF(H503&lt;30,"00-30",IF(H503&lt;40,"30-40",IF(H503&lt;50,"40-50",IF(H503&lt;60,"50-60",IF(H503&lt;70,"60-70","70+")))))</f>
        <v>40-50</v>
      </c>
      <c r="P503" s="37" t="n">
        <f aca="false">IFERROR(VALUE(SUBSTITUTE(B503,"-","")),0)</f>
        <v>20260903</v>
      </c>
    </row>
    <row r="504" customFormat="false" ht="15" hidden="false" customHeight="false" outlineLevel="0" collapsed="false">
      <c r="A504" s="14" t="s">
        <v>50</v>
      </c>
      <c r="B504" s="32" t="s">
        <v>194</v>
      </c>
      <c r="C504" s="7" t="s">
        <v>1173</v>
      </c>
      <c r="D504" s="32" t="s">
        <v>1174</v>
      </c>
      <c r="E504" s="21" t="n">
        <v>190</v>
      </c>
      <c r="F504" s="21" t="n">
        <v>196</v>
      </c>
      <c r="G504" s="22" t="n">
        <v>0.017</v>
      </c>
      <c r="H504" s="22" t="n">
        <v>31.66</v>
      </c>
      <c r="I504" s="23" t="n">
        <v>10</v>
      </c>
      <c r="J504" s="21" t="n">
        <v>0</v>
      </c>
      <c r="K504" s="21" t="n">
        <v>0</v>
      </c>
      <c r="L504" s="21" t="n">
        <v>0</v>
      </c>
      <c r="M504" s="22" t="n">
        <f aca="false">IFERROR(L504/E504*1000,0)</f>
        <v>0</v>
      </c>
      <c r="N504" s="22" t="n">
        <f aca="false">IFERROR(J504/E504*100,0)</f>
        <v>0</v>
      </c>
      <c r="O504" s="32" t="str">
        <f aca="false">IF(H504&lt;30,"00-30",IF(H504&lt;40,"30-40",IF(H504&lt;50,"40-50",IF(H504&lt;60,"50-60",IF(H504&lt;70,"60-70","70+")))))</f>
        <v>30-40</v>
      </c>
      <c r="P504" s="37" t="n">
        <f aca="false">IFERROR(VALUE(SUBSTITUTE(B504,"-","")),0)</f>
        <v>20260904</v>
      </c>
    </row>
    <row r="505" customFormat="false" ht="15" hidden="false" customHeight="false" outlineLevel="0" collapsed="false">
      <c r="A505" s="14" t="s">
        <v>50</v>
      </c>
      <c r="B505" s="32" t="s">
        <v>194</v>
      </c>
      <c r="C505" s="7" t="s">
        <v>1175</v>
      </c>
      <c r="D505" s="32" t="s">
        <v>1176</v>
      </c>
      <c r="E505" s="21" t="n">
        <v>969</v>
      </c>
      <c r="F505" s="21" t="n">
        <v>130</v>
      </c>
      <c r="G505" s="22" t="n">
        <v>0</v>
      </c>
      <c r="H505" s="22" t="n">
        <v>52.4</v>
      </c>
      <c r="I505" s="23" t="n">
        <v>17</v>
      </c>
      <c r="J505" s="21" t="n">
        <v>14</v>
      </c>
      <c r="K505" s="21" t="n">
        <v>0</v>
      </c>
      <c r="L505" s="21" t="n">
        <v>2</v>
      </c>
      <c r="M505" s="22" t="n">
        <f aca="false">IFERROR(L505/E505*1000,0)</f>
        <v>2.06398348813209</v>
      </c>
      <c r="N505" s="22" t="n">
        <f aca="false">IFERROR(J505/E505*100,0)</f>
        <v>1.44478844169247</v>
      </c>
      <c r="O505" s="32" t="str">
        <f aca="false">IF(H505&lt;30,"00-30",IF(H505&lt;40,"30-40",IF(H505&lt;50,"40-50",IF(H505&lt;60,"50-60",IF(H505&lt;70,"60-70","70+")))))</f>
        <v>50-60</v>
      </c>
      <c r="P505" s="37" t="n">
        <f aca="false">IFERROR(VALUE(SUBSTITUTE(B505,"-","")),0)</f>
        <v>20260904</v>
      </c>
    </row>
    <row r="506" customFormat="false" ht="15" hidden="false" customHeight="false" outlineLevel="0" collapsed="false">
      <c r="A506" s="14" t="s">
        <v>50</v>
      </c>
      <c r="B506" s="32" t="s">
        <v>194</v>
      </c>
      <c r="C506" s="7" t="s">
        <v>1177</v>
      </c>
      <c r="D506" s="32" t="s">
        <v>1178</v>
      </c>
      <c r="E506" s="21" t="n">
        <v>993</v>
      </c>
      <c r="F506" s="21" t="n">
        <v>128</v>
      </c>
      <c r="G506" s="22" t="n">
        <v>0</v>
      </c>
      <c r="H506" s="22" t="n">
        <v>42.54</v>
      </c>
      <c r="I506" s="23" t="n">
        <v>14</v>
      </c>
      <c r="J506" s="21" t="n">
        <v>11</v>
      </c>
      <c r="K506" s="21" t="n">
        <v>0</v>
      </c>
      <c r="L506" s="21" t="n">
        <v>3</v>
      </c>
      <c r="M506" s="22" t="n">
        <f aca="false">IFERROR(L506/E506*1000,0)</f>
        <v>3.02114803625378</v>
      </c>
      <c r="N506" s="22" t="n">
        <f aca="false">IFERROR(J506/E506*100,0)</f>
        <v>1.10775427995972</v>
      </c>
      <c r="O506" s="32" t="str">
        <f aca="false">IF(H506&lt;30,"00-30",IF(H506&lt;40,"30-40",IF(H506&lt;50,"40-50",IF(H506&lt;60,"50-60",IF(H506&lt;70,"60-70","70+")))))</f>
        <v>40-50</v>
      </c>
      <c r="P506" s="37" t="n">
        <f aca="false">IFERROR(VALUE(SUBSTITUTE(B506,"-","")),0)</f>
        <v>20260904</v>
      </c>
    </row>
    <row r="507" customFormat="false" ht="15" hidden="false" customHeight="false" outlineLevel="0" collapsed="false">
      <c r="A507" s="14" t="s">
        <v>50</v>
      </c>
      <c r="B507" s="32" t="s">
        <v>201</v>
      </c>
      <c r="C507" s="7" t="s">
        <v>1179</v>
      </c>
      <c r="D507" s="32" t="s">
        <v>1180</v>
      </c>
      <c r="E507" s="21" t="n">
        <v>1078</v>
      </c>
      <c r="F507" s="21" t="n">
        <v>299</v>
      </c>
      <c r="G507" s="22" t="n">
        <v>0.04</v>
      </c>
      <c r="H507" s="22" t="n">
        <v>56.75</v>
      </c>
      <c r="I507" s="23" t="n">
        <v>18</v>
      </c>
      <c r="J507" s="21" t="n">
        <v>14</v>
      </c>
      <c r="K507" s="21" t="n">
        <v>0</v>
      </c>
      <c r="L507" s="21" t="n">
        <v>1</v>
      </c>
      <c r="M507" s="22" t="n">
        <f aca="false">IFERROR(L507/E507*1000,0)</f>
        <v>0.927643784786642</v>
      </c>
      <c r="N507" s="22" t="n">
        <f aca="false">IFERROR(J507/E507*100,0)</f>
        <v>1.2987012987013</v>
      </c>
      <c r="O507" s="32" t="str">
        <f aca="false">IF(H507&lt;30,"00-30",IF(H507&lt;40,"30-40",IF(H507&lt;50,"40-50",IF(H507&lt;60,"50-60",IF(H507&lt;70,"60-70","70+")))))</f>
        <v>50-60</v>
      </c>
      <c r="P507" s="37" t="n">
        <f aca="false">IFERROR(VALUE(SUBSTITUTE(B507,"-","")),0)</f>
        <v>20260905</v>
      </c>
    </row>
    <row r="508" customFormat="false" ht="15" hidden="false" customHeight="false" outlineLevel="0" collapsed="false">
      <c r="A508" s="14" t="s">
        <v>50</v>
      </c>
      <c r="B508" s="32" t="s">
        <v>201</v>
      </c>
      <c r="C508" s="7" t="s">
        <v>1181</v>
      </c>
      <c r="D508" s="32" t="s">
        <v>1182</v>
      </c>
      <c r="E508" s="21" t="n">
        <v>1015</v>
      </c>
      <c r="F508" s="21" t="n">
        <v>130</v>
      </c>
      <c r="G508" s="22" t="n">
        <v>0.045</v>
      </c>
      <c r="H508" s="22" t="n">
        <v>44.64</v>
      </c>
      <c r="I508" s="23" t="n">
        <v>15</v>
      </c>
      <c r="J508" s="21" t="n">
        <v>3</v>
      </c>
      <c r="K508" s="21" t="n">
        <v>0</v>
      </c>
      <c r="L508" s="21" t="n">
        <v>0</v>
      </c>
      <c r="M508" s="22" t="n">
        <f aca="false">IFERROR(L508/E508*1000,0)</f>
        <v>0</v>
      </c>
      <c r="N508" s="22" t="n">
        <f aca="false">IFERROR(J508/E508*100,0)</f>
        <v>0.295566502463054</v>
      </c>
      <c r="O508" s="32" t="str">
        <f aca="false">IF(H508&lt;30,"00-30",IF(H508&lt;40,"30-40",IF(H508&lt;50,"40-50",IF(H508&lt;60,"50-60",IF(H508&lt;70,"60-70","70+")))))</f>
        <v>40-50</v>
      </c>
      <c r="P508" s="37" t="n">
        <f aca="false">IFERROR(VALUE(SUBSTITUTE(B508,"-","")),0)</f>
        <v>20260905</v>
      </c>
    </row>
    <row r="509" customFormat="false" ht="15" hidden="false" customHeight="false" outlineLevel="0" collapsed="false">
      <c r="A509" s="14" t="s">
        <v>50</v>
      </c>
      <c r="B509" s="32" t="s">
        <v>201</v>
      </c>
      <c r="C509" s="7" t="s">
        <v>1183</v>
      </c>
      <c r="D509" s="32" t="s">
        <v>1184</v>
      </c>
      <c r="E509" s="21" t="n">
        <v>1021</v>
      </c>
      <c r="F509" s="21" t="n">
        <v>175</v>
      </c>
      <c r="G509" s="22" t="n">
        <v>0.036</v>
      </c>
      <c r="H509" s="22" t="n">
        <v>46.15</v>
      </c>
      <c r="I509" s="23" t="n">
        <v>13</v>
      </c>
      <c r="J509" s="21" t="n">
        <v>6</v>
      </c>
      <c r="K509" s="21" t="n">
        <v>0</v>
      </c>
      <c r="L509" s="21" t="n">
        <v>2</v>
      </c>
      <c r="M509" s="22" t="n">
        <f aca="false">IFERROR(L509/E509*1000,0)</f>
        <v>1.9588638589618</v>
      </c>
      <c r="N509" s="22" t="n">
        <f aca="false">IFERROR(J509/E509*100,0)</f>
        <v>0.587659157688541</v>
      </c>
      <c r="O509" s="32" t="str">
        <f aca="false">IF(H509&lt;30,"00-30",IF(H509&lt;40,"30-40",IF(H509&lt;50,"40-50",IF(H509&lt;60,"50-60",IF(H509&lt;70,"60-70","70+")))))</f>
        <v>40-50</v>
      </c>
      <c r="P509" s="37" t="n">
        <f aca="false">IFERROR(VALUE(SUBSTITUTE(B509,"-","")),0)</f>
        <v>20260905</v>
      </c>
    </row>
    <row r="510" customFormat="false" ht="15" hidden="false" customHeight="false" outlineLevel="0" collapsed="false">
      <c r="A510" s="14" t="s">
        <v>50</v>
      </c>
      <c r="B510" s="32" t="s">
        <v>208</v>
      </c>
      <c r="C510" s="7" t="s">
        <v>1185</v>
      </c>
      <c r="D510" s="32" t="s">
        <v>1186</v>
      </c>
      <c r="E510" s="21" t="n">
        <v>867</v>
      </c>
      <c r="F510" s="21" t="n">
        <v>89</v>
      </c>
      <c r="G510" s="22" t="n">
        <v>0</v>
      </c>
      <c r="H510" s="22" t="n">
        <v>153.83</v>
      </c>
      <c r="I510" s="23" t="n">
        <v>44</v>
      </c>
      <c r="J510" s="21" t="n">
        <v>6</v>
      </c>
      <c r="K510" s="21" t="n">
        <v>0</v>
      </c>
      <c r="L510" s="21" t="n">
        <v>0</v>
      </c>
      <c r="M510" s="22" t="n">
        <f aca="false">IFERROR(L510/E510*1000,0)</f>
        <v>0</v>
      </c>
      <c r="N510" s="22" t="n">
        <f aca="false">IFERROR(J510/E510*100,0)</f>
        <v>0.69204152249135</v>
      </c>
      <c r="O510" s="32" t="str">
        <f aca="false">IF(H510&lt;30,"00-30",IF(H510&lt;40,"30-40",IF(H510&lt;50,"40-50",IF(H510&lt;60,"50-60",IF(H510&lt;70,"60-70","70+")))))</f>
        <v>70+</v>
      </c>
      <c r="P510" s="37" t="n">
        <f aca="false">IFERROR(VALUE(SUBSTITUTE(B510,"-","")),0)</f>
        <v>20260906</v>
      </c>
    </row>
    <row r="511" customFormat="false" ht="15" hidden="false" customHeight="false" outlineLevel="0" collapsed="false">
      <c r="A511" s="14" t="s">
        <v>50</v>
      </c>
      <c r="B511" s="32" t="s">
        <v>208</v>
      </c>
      <c r="C511" s="7" t="s">
        <v>1187</v>
      </c>
      <c r="D511" s="32" t="s">
        <v>1188</v>
      </c>
      <c r="E511" s="21" t="n">
        <v>1004</v>
      </c>
      <c r="F511" s="21" t="n">
        <v>99</v>
      </c>
      <c r="G511" s="22" t="n">
        <v>0</v>
      </c>
      <c r="H511" s="22" t="n">
        <v>45.05</v>
      </c>
      <c r="I511" s="23" t="n">
        <v>15</v>
      </c>
      <c r="J511" s="21" t="n">
        <v>7</v>
      </c>
      <c r="K511" s="21" t="n">
        <v>0</v>
      </c>
      <c r="L511" s="21" t="n">
        <v>1</v>
      </c>
      <c r="M511" s="22" t="n">
        <f aca="false">IFERROR(L511/E511*1000,0)</f>
        <v>0.99601593625498</v>
      </c>
      <c r="N511" s="22" t="n">
        <f aca="false">IFERROR(J511/E511*100,0)</f>
        <v>0.697211155378486</v>
      </c>
      <c r="O511" s="32" t="str">
        <f aca="false">IF(H511&lt;30,"00-30",IF(H511&lt;40,"30-40",IF(H511&lt;50,"40-50",IF(H511&lt;60,"50-60",IF(H511&lt;70,"60-70","70+")))))</f>
        <v>40-50</v>
      </c>
      <c r="P511" s="37" t="n">
        <f aca="false">IFERROR(VALUE(SUBSTITUTE(B511,"-","")),0)</f>
        <v>20260906</v>
      </c>
    </row>
    <row r="512" customFormat="false" ht="15" hidden="false" customHeight="false" outlineLevel="0" collapsed="false">
      <c r="A512" s="14" t="s">
        <v>50</v>
      </c>
      <c r="B512" s="32" t="s">
        <v>208</v>
      </c>
      <c r="C512" s="7" t="s">
        <v>1189</v>
      </c>
      <c r="D512" s="32" t="s">
        <v>1190</v>
      </c>
      <c r="E512" s="21" t="n">
        <v>2</v>
      </c>
      <c r="F512" s="21" t="n">
        <v>47</v>
      </c>
      <c r="G512" s="22" t="n">
        <v>0</v>
      </c>
      <c r="H512" s="22" t="n">
        <v>20.47</v>
      </c>
      <c r="I512" s="23" t="n">
        <v>6</v>
      </c>
      <c r="J512" s="21" t="n">
        <v>0</v>
      </c>
      <c r="K512" s="21" t="n">
        <v>0</v>
      </c>
      <c r="L512" s="21" t="n">
        <v>0</v>
      </c>
      <c r="M512" s="22" t="n">
        <f aca="false">IFERROR(L512/E512*1000,0)</f>
        <v>0</v>
      </c>
      <c r="N512" s="22" t="n">
        <f aca="false">IFERROR(J512/E512*100,0)</f>
        <v>0</v>
      </c>
      <c r="O512" s="32" t="str">
        <f aca="false">IF(H512&lt;30,"00-30",IF(H512&lt;40,"30-40",IF(H512&lt;50,"40-50",IF(H512&lt;60,"50-60",IF(H512&lt;70,"60-70","70+")))))</f>
        <v>00-30</v>
      </c>
      <c r="P512" s="37" t="n">
        <f aca="false">IFERROR(VALUE(SUBSTITUTE(B512,"-","")),0)</f>
        <v>20260906</v>
      </c>
    </row>
    <row r="513" customFormat="false" ht="15" hidden="false" customHeight="false" outlineLevel="0" collapsed="false">
      <c r="A513" s="14" t="s">
        <v>50</v>
      </c>
      <c r="B513" s="32" t="s">
        <v>215</v>
      </c>
      <c r="C513" s="7" t="s">
        <v>1191</v>
      </c>
      <c r="D513" s="32" t="s">
        <v>1192</v>
      </c>
      <c r="E513" s="21" t="n">
        <v>1173</v>
      </c>
      <c r="F513" s="21" t="n">
        <v>111</v>
      </c>
      <c r="G513" s="22" t="n">
        <v>0</v>
      </c>
      <c r="H513" s="22" t="n">
        <v>51.57</v>
      </c>
      <c r="I513" s="23" t="n">
        <v>16</v>
      </c>
      <c r="J513" s="21" t="n">
        <v>13</v>
      </c>
      <c r="K513" s="21" t="n">
        <v>0</v>
      </c>
      <c r="L513" s="21" t="n">
        <v>3</v>
      </c>
      <c r="M513" s="22" t="n">
        <f aca="false">IFERROR(L513/E513*1000,0)</f>
        <v>2.55754475703325</v>
      </c>
      <c r="N513" s="22" t="n">
        <f aca="false">IFERROR(J513/E513*100,0)</f>
        <v>1.10826939471441</v>
      </c>
      <c r="O513" s="32" t="str">
        <f aca="false">IF(H513&lt;30,"00-30",IF(H513&lt;40,"30-40",IF(H513&lt;50,"40-50",IF(H513&lt;60,"50-60",IF(H513&lt;70,"60-70","70+")))))</f>
        <v>50-60</v>
      </c>
      <c r="P513" s="37" t="n">
        <f aca="false">IFERROR(VALUE(SUBSTITUTE(B513,"-","")),0)</f>
        <v>20260907</v>
      </c>
    </row>
    <row r="514" customFormat="false" ht="15" hidden="false" customHeight="false" outlineLevel="0" collapsed="false">
      <c r="A514" s="14" t="s">
        <v>50</v>
      </c>
      <c r="B514" s="32" t="s">
        <v>215</v>
      </c>
      <c r="C514" s="7" t="s">
        <v>1193</v>
      </c>
      <c r="D514" s="32" t="s">
        <v>1194</v>
      </c>
      <c r="E514" s="21" t="n">
        <v>851</v>
      </c>
      <c r="F514" s="21" t="n">
        <v>94</v>
      </c>
      <c r="G514" s="22" t="n">
        <v>0.04</v>
      </c>
      <c r="H514" s="22" t="n">
        <v>48.98</v>
      </c>
      <c r="I514" s="23" t="n">
        <v>16</v>
      </c>
      <c r="J514" s="21" t="n">
        <v>9</v>
      </c>
      <c r="K514" s="21" t="n">
        <v>0</v>
      </c>
      <c r="L514" s="21" t="n">
        <v>1</v>
      </c>
      <c r="M514" s="22" t="n">
        <f aca="false">IFERROR(L514/E514*1000,0)</f>
        <v>1.17508813160987</v>
      </c>
      <c r="N514" s="22" t="n">
        <f aca="false">IFERROR(J514/E514*100,0)</f>
        <v>1.05757931844888</v>
      </c>
      <c r="O514" s="32" t="str">
        <f aca="false">IF(H514&lt;30,"00-30",IF(H514&lt;40,"30-40",IF(H514&lt;50,"40-50",IF(H514&lt;60,"50-60",IF(H514&lt;70,"60-70","70+")))))</f>
        <v>40-50</v>
      </c>
      <c r="P514" s="37" t="n">
        <f aca="false">IFERROR(VALUE(SUBSTITUTE(B514,"-","")),0)</f>
        <v>20260907</v>
      </c>
    </row>
    <row r="515" customFormat="false" ht="15" hidden="false" customHeight="false" outlineLevel="0" collapsed="false">
      <c r="A515" s="14" t="s">
        <v>50</v>
      </c>
      <c r="B515" s="32" t="s">
        <v>222</v>
      </c>
      <c r="C515" s="7" t="s">
        <v>1195</v>
      </c>
      <c r="D515" s="32" t="s">
        <v>1196</v>
      </c>
      <c r="E515" s="21" t="n">
        <v>783</v>
      </c>
      <c r="F515" s="21" t="n">
        <v>255</v>
      </c>
      <c r="G515" s="22" t="n">
        <v>0.026</v>
      </c>
      <c r="H515" s="22" t="n">
        <v>38.36</v>
      </c>
      <c r="I515" s="23" t="n">
        <v>11</v>
      </c>
      <c r="J515" s="21" t="n">
        <v>6</v>
      </c>
      <c r="K515" s="21" t="n">
        <v>0</v>
      </c>
      <c r="L515" s="21" t="n">
        <v>1</v>
      </c>
      <c r="M515" s="22" t="n">
        <f aca="false">IFERROR(L515/E515*1000,0)</f>
        <v>1.27713920817369</v>
      </c>
      <c r="N515" s="22" t="n">
        <f aca="false">IFERROR(J515/E515*100,0)</f>
        <v>0.766283524904215</v>
      </c>
      <c r="O515" s="32" t="str">
        <f aca="false">IF(H515&lt;30,"00-30",IF(H515&lt;40,"30-40",IF(H515&lt;50,"40-50",IF(H515&lt;60,"50-60",IF(H515&lt;70,"60-70","70+")))))</f>
        <v>30-40</v>
      </c>
      <c r="P515" s="37" t="n">
        <f aca="false">IFERROR(VALUE(SUBSTITUTE(B515,"-","")),0)</f>
        <v>20260908</v>
      </c>
    </row>
    <row r="516" customFormat="false" ht="23.85" hidden="false" customHeight="false" outlineLevel="0" collapsed="false">
      <c r="A516" s="14" t="s">
        <v>50</v>
      </c>
      <c r="B516" s="32" t="s">
        <v>222</v>
      </c>
      <c r="C516" s="7" t="s">
        <v>1197</v>
      </c>
      <c r="D516" s="32" t="s">
        <v>1198</v>
      </c>
      <c r="E516" s="21" t="n">
        <v>230</v>
      </c>
      <c r="F516" s="21" t="n">
        <v>180</v>
      </c>
      <c r="G516" s="22" t="n">
        <v>0.006</v>
      </c>
      <c r="H516" s="22" t="n">
        <v>38.85</v>
      </c>
      <c r="I516" s="23" t="n">
        <v>13</v>
      </c>
      <c r="J516" s="21" t="n">
        <v>0</v>
      </c>
      <c r="K516" s="21" t="n">
        <v>0</v>
      </c>
      <c r="L516" s="21" t="n">
        <v>0</v>
      </c>
      <c r="M516" s="22" t="n">
        <f aca="false">IFERROR(L516/E516*1000,0)</f>
        <v>0</v>
      </c>
      <c r="N516" s="22" t="n">
        <f aca="false">IFERROR(J516/E516*100,0)</f>
        <v>0</v>
      </c>
      <c r="O516" s="32" t="str">
        <f aca="false">IF(H516&lt;30,"00-30",IF(H516&lt;40,"30-40",IF(H516&lt;50,"40-50",IF(H516&lt;60,"50-60",IF(H516&lt;70,"60-70","70+")))))</f>
        <v>30-40</v>
      </c>
      <c r="P516" s="37" t="n">
        <f aca="false">IFERROR(VALUE(SUBSTITUTE(B516,"-","")),0)</f>
        <v>20260908</v>
      </c>
    </row>
    <row r="517" customFormat="false" ht="15" hidden="false" customHeight="false" outlineLevel="0" collapsed="false">
      <c r="A517" s="14" t="s">
        <v>50</v>
      </c>
      <c r="B517" s="32" t="s">
        <v>222</v>
      </c>
      <c r="C517" s="7" t="s">
        <v>1199</v>
      </c>
      <c r="D517" s="32" t="s">
        <v>1200</v>
      </c>
      <c r="E517" s="21" t="n">
        <v>1100</v>
      </c>
      <c r="F517" s="21" t="n">
        <v>491</v>
      </c>
      <c r="G517" s="22" t="n">
        <v>0.022</v>
      </c>
      <c r="H517" s="22" t="n">
        <v>44.45</v>
      </c>
      <c r="I517" s="23" t="n">
        <v>15</v>
      </c>
      <c r="J517" s="21" t="n">
        <v>6</v>
      </c>
      <c r="K517" s="21" t="n">
        <v>1</v>
      </c>
      <c r="L517" s="21" t="n">
        <v>1</v>
      </c>
      <c r="M517" s="22" t="n">
        <f aca="false">IFERROR(L517/E517*1000,0)</f>
        <v>0.909090909090909</v>
      </c>
      <c r="N517" s="22" t="n">
        <f aca="false">IFERROR(J517/E517*100,0)</f>
        <v>0.545454545454546</v>
      </c>
      <c r="O517" s="32" t="str">
        <f aca="false">IF(H517&lt;30,"00-30",IF(H517&lt;40,"30-40",IF(H517&lt;50,"40-50",IF(H517&lt;60,"50-60",IF(H517&lt;70,"60-70","70+")))))</f>
        <v>40-50</v>
      </c>
      <c r="P517" s="37" t="n">
        <f aca="false">IFERROR(VALUE(SUBSTITUTE(B517,"-","")),0)</f>
        <v>20260908</v>
      </c>
    </row>
    <row r="520" customFormat="false" ht="17.15" hidden="false" customHeight="false" outlineLevel="0" collapsed="false">
      <c r="A520" s="38" t="s">
        <v>1201</v>
      </c>
    </row>
    <row r="521" customFormat="false" ht="15" hidden="false" customHeight="false" outlineLevel="0" collapsed="false">
      <c r="A521" s="35" t="s">
        <v>1202</v>
      </c>
    </row>
    <row r="523" customFormat="false" ht="30" hidden="false" customHeight="true" outlineLevel="0" collapsed="false">
      <c r="A523" s="6" t="s">
        <v>40</v>
      </c>
      <c r="B523" s="6" t="s">
        <v>91</v>
      </c>
      <c r="C523" s="6" t="s">
        <v>92</v>
      </c>
      <c r="D523" s="6" t="s">
        <v>93</v>
      </c>
    </row>
    <row r="524" customFormat="false" ht="15" hidden="false" customHeight="false" outlineLevel="0" collapsed="false">
      <c r="A524" s="14" t="s">
        <v>49</v>
      </c>
      <c r="B524" s="32" t="s">
        <v>1091</v>
      </c>
      <c r="C524" s="7" t="s">
        <v>1203</v>
      </c>
      <c r="D524" s="32" t="s">
        <v>1204</v>
      </c>
    </row>
    <row r="525" customFormat="false" ht="15" hidden="false" customHeight="false" outlineLevel="0" collapsed="false">
      <c r="A525" s="14" t="s">
        <v>49</v>
      </c>
      <c r="B525" s="32" t="s">
        <v>1091</v>
      </c>
      <c r="C525" s="7" t="s">
        <v>1205</v>
      </c>
      <c r="D525" s="32" t="s">
        <v>1206</v>
      </c>
    </row>
    <row r="526" customFormat="false" ht="15" hidden="false" customHeight="false" outlineLevel="0" collapsed="false">
      <c r="A526" s="14" t="s">
        <v>49</v>
      </c>
      <c r="B526" s="32" t="s">
        <v>1091</v>
      </c>
      <c r="C526" s="7" t="s">
        <v>1207</v>
      </c>
      <c r="D526" s="32" t="s">
        <v>1208</v>
      </c>
    </row>
    <row r="527" customFormat="false" ht="15" hidden="false" customHeight="false" outlineLevel="0" collapsed="false">
      <c r="A527" s="14" t="s">
        <v>44</v>
      </c>
      <c r="B527" s="32" t="s">
        <v>1091</v>
      </c>
      <c r="C527" s="7" t="s">
        <v>1209</v>
      </c>
      <c r="D527" s="32" t="s">
        <v>1210</v>
      </c>
    </row>
    <row r="528" customFormat="false" ht="15" hidden="false" customHeight="false" outlineLevel="0" collapsed="false">
      <c r="A528" s="14" t="s">
        <v>44</v>
      </c>
      <c r="B528" s="32" t="s">
        <v>1091</v>
      </c>
      <c r="C528" s="7" t="s">
        <v>1211</v>
      </c>
      <c r="D528" s="32" t="s">
        <v>1212</v>
      </c>
    </row>
    <row r="529" customFormat="false" ht="15" hidden="false" customHeight="false" outlineLevel="0" collapsed="false">
      <c r="A529" s="14" t="s">
        <v>46</v>
      </c>
      <c r="B529" s="32" t="s">
        <v>1091</v>
      </c>
      <c r="C529" s="14" t="s">
        <v>1213</v>
      </c>
      <c r="D529" s="32" t="s">
        <v>1214</v>
      </c>
    </row>
    <row r="530" customFormat="false" ht="15" hidden="false" customHeight="false" outlineLevel="0" collapsed="false">
      <c r="A530" s="14" t="s">
        <v>50</v>
      </c>
      <c r="B530" s="32" t="s">
        <v>1091</v>
      </c>
      <c r="C530" s="7" t="s">
        <v>1215</v>
      </c>
      <c r="D530" s="32" t="s">
        <v>1216</v>
      </c>
    </row>
    <row r="531" customFormat="false" ht="15" hidden="false" customHeight="false" outlineLevel="0" collapsed="false">
      <c r="A531" s="14" t="s">
        <v>49</v>
      </c>
      <c r="B531" s="32" t="s">
        <v>1217</v>
      </c>
      <c r="C531" s="7" t="s">
        <v>1218</v>
      </c>
      <c r="D531" s="32" t="s">
        <v>1219</v>
      </c>
    </row>
    <row r="532" customFormat="false" ht="15" hidden="false" customHeight="false" outlineLevel="0" collapsed="false">
      <c r="A532" s="14" t="s">
        <v>49</v>
      </c>
      <c r="B532" s="32" t="s">
        <v>1217</v>
      </c>
      <c r="C532" s="7" t="s">
        <v>1220</v>
      </c>
      <c r="D532" s="32" t="s">
        <v>1221</v>
      </c>
    </row>
    <row r="533" customFormat="false" ht="15" hidden="false" customHeight="false" outlineLevel="0" collapsed="false">
      <c r="A533" s="14" t="s">
        <v>49</v>
      </c>
      <c r="B533" s="32" t="s">
        <v>1217</v>
      </c>
      <c r="C533" s="14" t="s">
        <v>1222</v>
      </c>
      <c r="D533" s="32" t="s">
        <v>1223</v>
      </c>
    </row>
    <row r="534" customFormat="false" ht="15" hidden="false" customHeight="false" outlineLevel="0" collapsed="false">
      <c r="A534" s="14" t="s">
        <v>49</v>
      </c>
      <c r="B534" s="32" t="s">
        <v>1217</v>
      </c>
      <c r="C534" s="7" t="s">
        <v>1224</v>
      </c>
      <c r="D534" s="32" t="s">
        <v>1225</v>
      </c>
    </row>
    <row r="535" customFormat="false" ht="15" hidden="false" customHeight="false" outlineLevel="0" collapsed="false">
      <c r="A535" s="14" t="s">
        <v>44</v>
      </c>
      <c r="B535" s="32" t="s">
        <v>1217</v>
      </c>
      <c r="C535" s="7" t="s">
        <v>1226</v>
      </c>
      <c r="D535" s="32" t="s">
        <v>1227</v>
      </c>
    </row>
    <row r="536" customFormat="false" ht="15" hidden="false" customHeight="false" outlineLevel="0" collapsed="false">
      <c r="A536" s="14" t="s">
        <v>44</v>
      </c>
      <c r="B536" s="32" t="s">
        <v>1217</v>
      </c>
      <c r="C536" s="7" t="s">
        <v>1228</v>
      </c>
      <c r="D536" s="32" t="s">
        <v>1229</v>
      </c>
    </row>
    <row r="537" customFormat="false" ht="15" hidden="false" customHeight="false" outlineLevel="0" collapsed="false">
      <c r="A537" s="14" t="s">
        <v>44</v>
      </c>
      <c r="B537" s="32" t="s">
        <v>1217</v>
      </c>
      <c r="C537" s="7" t="s">
        <v>1230</v>
      </c>
      <c r="D537" s="32" t="s">
        <v>1231</v>
      </c>
    </row>
    <row r="538" customFormat="false" ht="15" hidden="false" customHeight="false" outlineLevel="0" collapsed="false">
      <c r="A538" s="14" t="s">
        <v>44</v>
      </c>
      <c r="B538" s="32" t="s">
        <v>1217</v>
      </c>
      <c r="C538" s="7" t="s">
        <v>1232</v>
      </c>
      <c r="D538" s="32" t="s">
        <v>1233</v>
      </c>
    </row>
    <row r="539" customFormat="false" ht="15" hidden="false" customHeight="false" outlineLevel="0" collapsed="false">
      <c r="A539" s="14" t="s">
        <v>46</v>
      </c>
      <c r="B539" s="32" t="s">
        <v>1217</v>
      </c>
      <c r="C539" s="14" t="s">
        <v>1234</v>
      </c>
      <c r="D539" s="32" t="s">
        <v>1235</v>
      </c>
    </row>
    <row r="540" customFormat="false" ht="15" hidden="false" customHeight="false" outlineLevel="0" collapsed="false">
      <c r="A540" s="14" t="s">
        <v>46</v>
      </c>
      <c r="B540" s="32" t="s">
        <v>1217</v>
      </c>
      <c r="C540" s="14" t="s">
        <v>1236</v>
      </c>
      <c r="D540" s="32" t="s">
        <v>1237</v>
      </c>
    </row>
    <row r="541" customFormat="false" ht="15" hidden="false" customHeight="false" outlineLevel="0" collapsed="false">
      <c r="A541" s="14" t="s">
        <v>46</v>
      </c>
      <c r="B541" s="32" t="s">
        <v>1217</v>
      </c>
      <c r="C541" s="14" t="s">
        <v>1238</v>
      </c>
      <c r="D541" s="32" t="s">
        <v>1239</v>
      </c>
    </row>
    <row r="542" customFormat="false" ht="23.85" hidden="false" customHeight="false" outlineLevel="0" collapsed="false">
      <c r="A542" s="14" t="s">
        <v>46</v>
      </c>
      <c r="B542" s="32" t="s">
        <v>1217</v>
      </c>
      <c r="C542" s="7" t="s">
        <v>1240</v>
      </c>
      <c r="D542" s="32" t="s">
        <v>1241</v>
      </c>
    </row>
    <row r="543" customFormat="false" ht="15" hidden="false" customHeight="false" outlineLevel="0" collapsed="false">
      <c r="A543" s="14" t="s">
        <v>50</v>
      </c>
      <c r="B543" s="32" t="s">
        <v>1217</v>
      </c>
      <c r="C543" s="7" t="s">
        <v>1242</v>
      </c>
      <c r="D543" s="32" t="s">
        <v>1243</v>
      </c>
    </row>
    <row r="544" customFormat="false" ht="15" hidden="false" customHeight="false" outlineLevel="0" collapsed="false">
      <c r="A544" s="14" t="s">
        <v>50</v>
      </c>
      <c r="B544" s="32" t="s">
        <v>1217</v>
      </c>
      <c r="C544" s="7" t="s">
        <v>1244</v>
      </c>
      <c r="D544" s="32" t="s">
        <v>1245</v>
      </c>
    </row>
    <row r="545" customFormat="false" ht="15" hidden="false" customHeight="false" outlineLevel="0" collapsed="false">
      <c r="A545" s="14" t="s">
        <v>50</v>
      </c>
      <c r="B545" s="32" t="s">
        <v>1217</v>
      </c>
      <c r="C545" s="7" t="s">
        <v>1246</v>
      </c>
      <c r="D545" s="32" t="s">
        <v>1247</v>
      </c>
    </row>
    <row r="546" customFormat="false" ht="15" hidden="false" customHeight="false" outlineLevel="0" collapsed="false">
      <c r="A546" s="14" t="s">
        <v>50</v>
      </c>
      <c r="B546" s="32" t="s">
        <v>1217</v>
      </c>
      <c r="C546" s="7" t="s">
        <v>1248</v>
      </c>
      <c r="D546" s="32" t="s">
        <v>1249</v>
      </c>
    </row>
    <row r="547" customFormat="false" ht="23.85" hidden="false" customHeight="false" outlineLevel="0" collapsed="false">
      <c r="A547" s="14" t="s">
        <v>49</v>
      </c>
      <c r="B547" s="32" t="s">
        <v>1250</v>
      </c>
      <c r="C547" s="7" t="s">
        <v>1251</v>
      </c>
      <c r="D547" s="32" t="s">
        <v>1252</v>
      </c>
    </row>
    <row r="548" customFormat="false" ht="15" hidden="false" customHeight="false" outlineLevel="0" collapsed="false">
      <c r="A548" s="14" t="s">
        <v>49</v>
      </c>
      <c r="B548" s="32" t="s">
        <v>1250</v>
      </c>
      <c r="C548" s="7" t="s">
        <v>1253</v>
      </c>
      <c r="D548" s="32" t="s">
        <v>1254</v>
      </c>
    </row>
    <row r="549" customFormat="false" ht="15" hidden="false" customHeight="false" outlineLevel="0" collapsed="false">
      <c r="A549" s="14" t="s">
        <v>49</v>
      </c>
      <c r="B549" s="32" t="s">
        <v>1250</v>
      </c>
      <c r="C549" s="7" t="s">
        <v>1255</v>
      </c>
      <c r="D549" s="32" t="s">
        <v>1256</v>
      </c>
    </row>
    <row r="550" customFormat="false" ht="23.85" hidden="false" customHeight="false" outlineLevel="0" collapsed="false">
      <c r="A550" s="14" t="s">
        <v>49</v>
      </c>
      <c r="B550" s="32" t="s">
        <v>1250</v>
      </c>
      <c r="C550" s="7" t="s">
        <v>1257</v>
      </c>
      <c r="D550" s="32" t="s">
        <v>1258</v>
      </c>
    </row>
    <row r="551" customFormat="false" ht="15" hidden="false" customHeight="false" outlineLevel="0" collapsed="false">
      <c r="A551" s="14" t="s">
        <v>44</v>
      </c>
      <c r="B551" s="32" t="s">
        <v>1250</v>
      </c>
      <c r="C551" s="7" t="s">
        <v>1259</v>
      </c>
      <c r="D551" s="32" t="s">
        <v>1260</v>
      </c>
    </row>
    <row r="552" customFormat="false" ht="15" hidden="false" customHeight="false" outlineLevel="0" collapsed="false">
      <c r="A552" s="14" t="s">
        <v>44</v>
      </c>
      <c r="B552" s="32" t="s">
        <v>1250</v>
      </c>
      <c r="C552" s="7" t="s">
        <v>1261</v>
      </c>
      <c r="D552" s="32" t="s">
        <v>1262</v>
      </c>
    </row>
    <row r="553" customFormat="false" ht="15" hidden="false" customHeight="false" outlineLevel="0" collapsed="false">
      <c r="A553" s="14" t="s">
        <v>46</v>
      </c>
      <c r="B553" s="32" t="s">
        <v>1250</v>
      </c>
      <c r="C553" s="7" t="s">
        <v>1263</v>
      </c>
      <c r="D553" s="32" t="s">
        <v>1264</v>
      </c>
    </row>
    <row r="554" customFormat="false" ht="15" hidden="false" customHeight="false" outlineLevel="0" collapsed="false">
      <c r="A554" s="14" t="s">
        <v>46</v>
      </c>
      <c r="B554" s="32" t="s">
        <v>1250</v>
      </c>
      <c r="C554" s="14" t="s">
        <v>1265</v>
      </c>
      <c r="D554" s="32" t="s">
        <v>1266</v>
      </c>
    </row>
    <row r="555" customFormat="false" ht="15" hidden="false" customHeight="false" outlineLevel="0" collapsed="false">
      <c r="A555" s="14" t="s">
        <v>50</v>
      </c>
      <c r="B555" s="32" t="s">
        <v>1250</v>
      </c>
      <c r="C555" s="7" t="s">
        <v>1267</v>
      </c>
      <c r="D555" s="32" t="s">
        <v>1268</v>
      </c>
    </row>
    <row r="556" customFormat="false" ht="23.85" hidden="false" customHeight="false" outlineLevel="0" collapsed="false">
      <c r="A556" s="14" t="s">
        <v>50</v>
      </c>
      <c r="B556" s="32" t="s">
        <v>1250</v>
      </c>
      <c r="C556" s="7" t="s">
        <v>1269</v>
      </c>
      <c r="D556" s="32" t="s">
        <v>1270</v>
      </c>
    </row>
    <row r="557" customFormat="false" ht="15" hidden="false" customHeight="false" outlineLevel="0" collapsed="false">
      <c r="A557" s="14" t="s">
        <v>50</v>
      </c>
      <c r="B557" s="32" t="s">
        <v>1250</v>
      </c>
      <c r="C557" s="7" t="s">
        <v>1271</v>
      </c>
      <c r="D557" s="32" t="s">
        <v>1272</v>
      </c>
    </row>
  </sheetData>
  <autoFilter ref="A4:P517"/>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62"/>
    <col collapsed="false" customWidth="true" hidden="false" outlineLevel="0" max="4" min="4" style="0" width="24"/>
    <col collapsed="false" customWidth="true" hidden="false" outlineLevel="0" max="5" min="5" style="0" width="10"/>
    <col collapsed="false" customWidth="true" hidden="false" outlineLevel="0" max="6" min="6" style="0" width="11"/>
    <col collapsed="false" customWidth="true" hidden="false" outlineLevel="0" max="7" min="7" style="0" width="16"/>
  </cols>
  <sheetData>
    <row r="1" customFormat="false" ht="21.6" hidden="false" customHeight="false" outlineLevel="0" collapsed="false">
      <c r="A1" s="19" t="s">
        <v>1273</v>
      </c>
    </row>
    <row r="2" customFormat="false" ht="15" hidden="false" customHeight="false" outlineLevel="0" collapsed="false">
      <c r="A2" s="20" t="s">
        <v>1274</v>
      </c>
      <c r="B2" s="20"/>
      <c r="C2" s="20"/>
      <c r="D2" s="20"/>
      <c r="E2" s="20"/>
      <c r="F2" s="20"/>
      <c r="G2" s="20"/>
    </row>
    <row r="4" customFormat="false" ht="30" hidden="false" customHeight="true" outlineLevel="0" collapsed="false">
      <c r="A4" s="36" t="s">
        <v>1275</v>
      </c>
      <c r="B4" s="6" t="s">
        <v>1276</v>
      </c>
      <c r="C4" s="6" t="s">
        <v>1277</v>
      </c>
      <c r="D4" s="6" t="s">
        <v>1278</v>
      </c>
      <c r="E4" s="6" t="s">
        <v>1279</v>
      </c>
      <c r="F4" s="6" t="s">
        <v>1280</v>
      </c>
      <c r="G4" s="6" t="s">
        <v>1281</v>
      </c>
    </row>
    <row r="5" customFormat="false" ht="61.5" hidden="false" customHeight="true" outlineLevel="0" collapsed="false">
      <c r="A5" s="13" t="n">
        <v>1</v>
      </c>
      <c r="B5" s="14" t="s">
        <v>1282</v>
      </c>
      <c r="C5" s="39" t="s">
        <v>1283</v>
      </c>
      <c r="D5" s="40" t="s">
        <v>1284</v>
      </c>
      <c r="E5" s="41" t="s">
        <v>1285</v>
      </c>
      <c r="F5" s="42" t="s">
        <v>1286</v>
      </c>
      <c r="G5" s="40" t="s">
        <v>1287</v>
      </c>
    </row>
    <row r="6" customFormat="false" ht="61.5" hidden="false" customHeight="true" outlineLevel="0" collapsed="false">
      <c r="A6" s="13" t="n">
        <v>2</v>
      </c>
      <c r="B6" s="7" t="s">
        <v>1288</v>
      </c>
      <c r="C6" s="39" t="s">
        <v>1289</v>
      </c>
      <c r="D6" s="40" t="s">
        <v>1290</v>
      </c>
      <c r="E6" s="41" t="s">
        <v>1285</v>
      </c>
      <c r="F6" s="42" t="s">
        <v>1286</v>
      </c>
      <c r="G6" s="40" t="s">
        <v>1291</v>
      </c>
    </row>
    <row r="7" customFormat="false" ht="61.5" hidden="false" customHeight="true" outlineLevel="0" collapsed="false">
      <c r="A7" s="13" t="n">
        <v>3</v>
      </c>
      <c r="B7" s="7" t="s">
        <v>1292</v>
      </c>
      <c r="C7" s="39" t="s">
        <v>1293</v>
      </c>
      <c r="D7" s="40" t="s">
        <v>1294</v>
      </c>
      <c r="E7" s="41" t="s">
        <v>1285</v>
      </c>
      <c r="F7" s="42" t="s">
        <v>1286</v>
      </c>
      <c r="G7" s="40" t="s">
        <v>1287</v>
      </c>
    </row>
    <row r="8" customFormat="false" ht="61.5" hidden="false" customHeight="true" outlineLevel="0" collapsed="false">
      <c r="A8" s="13" t="n">
        <v>4</v>
      </c>
      <c r="B8" s="14" t="s">
        <v>1295</v>
      </c>
      <c r="C8" s="39" t="s">
        <v>1296</v>
      </c>
      <c r="D8" s="40" t="s">
        <v>1297</v>
      </c>
      <c r="E8" s="41" t="s">
        <v>1285</v>
      </c>
      <c r="F8" s="42" t="s">
        <v>1286</v>
      </c>
      <c r="G8" s="40" t="s">
        <v>1287</v>
      </c>
    </row>
    <row r="9" customFormat="false" ht="61.5" hidden="false" customHeight="true" outlineLevel="0" collapsed="false">
      <c r="A9" s="13" t="n">
        <v>5</v>
      </c>
      <c r="B9" s="14" t="s">
        <v>1298</v>
      </c>
      <c r="C9" s="39" t="s">
        <v>1299</v>
      </c>
      <c r="D9" s="40" t="s">
        <v>1300</v>
      </c>
      <c r="E9" s="41" t="s">
        <v>1301</v>
      </c>
      <c r="F9" s="43" t="s">
        <v>1302</v>
      </c>
      <c r="G9" s="32" t="s">
        <v>1303</v>
      </c>
    </row>
    <row r="10" customFormat="false" ht="61.5" hidden="false" customHeight="true" outlineLevel="0" collapsed="false">
      <c r="A10" s="13" t="n">
        <v>6</v>
      </c>
      <c r="B10" s="7" t="s">
        <v>1304</v>
      </c>
      <c r="C10" s="39" t="s">
        <v>1305</v>
      </c>
      <c r="D10" s="40" t="s">
        <v>1306</v>
      </c>
      <c r="E10" s="41" t="s">
        <v>1285</v>
      </c>
      <c r="F10" s="40" t="s">
        <v>1286</v>
      </c>
      <c r="G10" s="40" t="s">
        <v>1307</v>
      </c>
    </row>
    <row r="11" customFormat="false" ht="61.5" hidden="false" customHeight="true" outlineLevel="0" collapsed="false">
      <c r="A11" s="13" t="n">
        <v>7</v>
      </c>
      <c r="B11" s="14" t="s">
        <v>1308</v>
      </c>
      <c r="C11" s="39" t="s">
        <v>1309</v>
      </c>
      <c r="D11" s="40" t="s">
        <v>1310</v>
      </c>
      <c r="E11" s="41" t="s">
        <v>1285</v>
      </c>
      <c r="F11" s="40" t="s">
        <v>1286</v>
      </c>
      <c r="G11" s="40" t="s">
        <v>1311</v>
      </c>
    </row>
    <row r="12" customFormat="false" ht="61.5" hidden="false" customHeight="true" outlineLevel="0" collapsed="false">
      <c r="A12" s="13" t="n">
        <v>8</v>
      </c>
      <c r="B12" s="7" t="s">
        <v>1312</v>
      </c>
      <c r="C12" s="44" t="s">
        <v>1313</v>
      </c>
      <c r="D12" s="40" t="s">
        <v>1314</v>
      </c>
      <c r="E12" s="41" t="s">
        <v>1301</v>
      </c>
      <c r="F12" s="43" t="s">
        <v>1302</v>
      </c>
      <c r="G12" s="32" t="s">
        <v>1303</v>
      </c>
    </row>
    <row r="13" customFormat="false" ht="61.5" hidden="false" customHeight="true" outlineLevel="0" collapsed="false">
      <c r="A13" s="13" t="n">
        <v>9</v>
      </c>
      <c r="B13" s="7" t="s">
        <v>1315</v>
      </c>
      <c r="C13" s="39" t="s">
        <v>1316</v>
      </c>
      <c r="D13" s="40" t="s">
        <v>1317</v>
      </c>
      <c r="E13" s="41" t="s">
        <v>1301</v>
      </c>
      <c r="F13" s="43" t="s">
        <v>1302</v>
      </c>
      <c r="G13" s="32" t="s">
        <v>1303</v>
      </c>
    </row>
    <row r="14" customFormat="false" ht="61.5" hidden="false" customHeight="true" outlineLevel="0" collapsed="false">
      <c r="A14" s="13" t="n">
        <v>10</v>
      </c>
      <c r="B14" s="7" t="s">
        <v>1318</v>
      </c>
      <c r="C14" s="39" t="s">
        <v>1319</v>
      </c>
      <c r="D14" s="40" t="s">
        <v>1320</v>
      </c>
      <c r="E14" s="41" t="s">
        <v>1301</v>
      </c>
      <c r="F14" s="40" t="s">
        <v>1321</v>
      </c>
      <c r="G14" s="40" t="s">
        <v>1322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22"/>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15"/>
    <col collapsed="false" customWidth="true" hidden="false" outlineLevel="0" max="9" min="8" style="0" width="13"/>
    <col collapsed="false" customWidth="true" hidden="false" outlineLevel="0" max="10" min="10" style="0" width="11"/>
    <col collapsed="false" customWidth="true" hidden="false" outlineLevel="0" max="11" min="11" style="0" width="40"/>
  </cols>
  <sheetData>
    <row r="1" customFormat="false" ht="21.6" hidden="false" customHeight="false" outlineLevel="0" collapsed="false">
      <c r="A1" s="19" t="s">
        <v>1323</v>
      </c>
    </row>
    <row r="2" customFormat="false" ht="15" hidden="false" customHeight="false" outlineLevel="0" collapsed="false">
      <c r="A2" s="20" t="s">
        <v>1324</v>
      </c>
      <c r="B2" s="20"/>
      <c r="C2" s="20"/>
      <c r="D2" s="20"/>
      <c r="E2" s="20"/>
      <c r="F2" s="20"/>
      <c r="G2" s="20"/>
      <c r="H2" s="20"/>
    </row>
    <row r="4" customFormat="false" ht="30" hidden="false" customHeight="true" outlineLevel="0" collapsed="false">
      <c r="A4" s="6" t="s">
        <v>1325</v>
      </c>
      <c r="B4" s="6" t="s">
        <v>1326</v>
      </c>
      <c r="C4" s="36" t="s">
        <v>1327</v>
      </c>
      <c r="D4" s="36" t="s">
        <v>44</v>
      </c>
      <c r="E4" s="36" t="s">
        <v>46</v>
      </c>
      <c r="F4" s="36" t="s">
        <v>50</v>
      </c>
      <c r="G4" s="36" t="s">
        <v>49</v>
      </c>
      <c r="H4" s="36" t="s">
        <v>42</v>
      </c>
      <c r="I4" s="36" t="s">
        <v>47</v>
      </c>
      <c r="J4" s="6" t="s">
        <v>1328</v>
      </c>
      <c r="K4" s="6" t="s">
        <v>1329</v>
      </c>
    </row>
    <row r="5" customFormat="false" ht="15" hidden="false" customHeight="false" outlineLevel="0" collapsed="false">
      <c r="A5" s="32" t="s">
        <v>191</v>
      </c>
      <c r="B5" s="45" t="n">
        <v>12</v>
      </c>
      <c r="C5" s="32" t="s">
        <v>1330</v>
      </c>
      <c r="D5" s="21" t="n">
        <v>1</v>
      </c>
      <c r="E5" s="21" t="n">
        <v>2</v>
      </c>
      <c r="F5" s="21" t="n">
        <v>1</v>
      </c>
      <c r="G5" s="21" t="n">
        <v>1</v>
      </c>
      <c r="H5" s="21" t="n">
        <v>1</v>
      </c>
      <c r="I5" s="21" t="n">
        <v>1</v>
      </c>
      <c r="J5" s="21" t="n">
        <f aca="false">IFERROR(B5-SUM(D5:I5),0)</f>
        <v>5</v>
      </c>
      <c r="K5" s="14"/>
    </row>
    <row r="6" customFormat="false" ht="15" hidden="false" customHeight="false" outlineLevel="0" collapsed="false">
      <c r="A6" s="32" t="s">
        <v>194</v>
      </c>
      <c r="B6" s="21" t="n">
        <v>25</v>
      </c>
      <c r="C6" s="32" t="s">
        <v>1330</v>
      </c>
      <c r="D6" s="21" t="n">
        <v>3</v>
      </c>
      <c r="E6" s="21" t="n">
        <v>2</v>
      </c>
      <c r="F6" s="21" t="n">
        <v>3</v>
      </c>
      <c r="G6" s="21" t="n">
        <v>3</v>
      </c>
      <c r="H6" s="21" t="n">
        <v>3</v>
      </c>
      <c r="I6" s="21" t="n">
        <v>3</v>
      </c>
      <c r="J6" s="21" t="n">
        <f aca="false">IFERROR(B6-SUM(D6:I6),0)</f>
        <v>8</v>
      </c>
      <c r="K6" s="14"/>
    </row>
    <row r="7" customFormat="false" ht="15" hidden="false" customHeight="false" outlineLevel="0" collapsed="false">
      <c r="A7" s="32" t="s">
        <v>201</v>
      </c>
      <c r="B7" s="21" t="n">
        <v>33</v>
      </c>
      <c r="C7" s="32" t="s">
        <v>1330</v>
      </c>
      <c r="D7" s="21" t="n">
        <v>3</v>
      </c>
      <c r="E7" s="21" t="n">
        <v>4</v>
      </c>
      <c r="F7" s="21" t="n">
        <v>3</v>
      </c>
      <c r="G7" s="21" t="n">
        <v>3</v>
      </c>
      <c r="H7" s="21" t="n">
        <v>3</v>
      </c>
      <c r="I7" s="21" t="n">
        <v>3</v>
      </c>
      <c r="J7" s="21" t="n">
        <f aca="false">IFERROR(B7-SUM(D7:I7),0)</f>
        <v>14</v>
      </c>
      <c r="K7" s="14"/>
    </row>
    <row r="8" customFormat="false" ht="15" hidden="false" customHeight="false" outlineLevel="0" collapsed="false">
      <c r="A8" s="32" t="s">
        <v>208</v>
      </c>
      <c r="B8" s="21" t="n">
        <v>30</v>
      </c>
      <c r="C8" s="32" t="s">
        <v>1330</v>
      </c>
      <c r="D8" s="21" t="n">
        <v>3</v>
      </c>
      <c r="E8" s="21" t="n">
        <v>3</v>
      </c>
      <c r="F8" s="21" t="n">
        <v>3</v>
      </c>
      <c r="G8" s="21" t="n">
        <v>3</v>
      </c>
      <c r="H8" s="21" t="n">
        <v>3</v>
      </c>
      <c r="I8" s="21" t="n">
        <v>3</v>
      </c>
      <c r="J8" s="21" t="n">
        <f aca="false">IFERROR(B8-SUM(D8:I8),0)</f>
        <v>12</v>
      </c>
      <c r="K8" s="14"/>
    </row>
    <row r="9" customFormat="false" ht="15" hidden="false" customHeight="false" outlineLevel="0" collapsed="false">
      <c r="A9" s="32" t="s">
        <v>215</v>
      </c>
      <c r="B9" s="21" t="n">
        <v>27</v>
      </c>
      <c r="C9" s="32" t="s">
        <v>1330</v>
      </c>
      <c r="D9" s="21" t="n">
        <v>3</v>
      </c>
      <c r="E9" s="21" t="n">
        <v>3</v>
      </c>
      <c r="F9" s="21" t="n">
        <v>2</v>
      </c>
      <c r="G9" s="21" t="n">
        <v>3</v>
      </c>
      <c r="H9" s="21" t="n">
        <v>3</v>
      </c>
      <c r="I9" s="21" t="n">
        <v>4</v>
      </c>
      <c r="J9" s="21" t="n">
        <f aca="false">IFERROR(B9-SUM(D9:I9),0)</f>
        <v>9</v>
      </c>
      <c r="K9" s="14"/>
    </row>
    <row r="10" customFormat="false" ht="15" hidden="false" customHeight="false" outlineLevel="0" collapsed="false">
      <c r="A10" s="32" t="s">
        <v>222</v>
      </c>
      <c r="B10" s="21" t="n">
        <v>21</v>
      </c>
      <c r="C10" s="32" t="s">
        <v>1330</v>
      </c>
      <c r="D10" s="21" t="n">
        <v>2</v>
      </c>
      <c r="E10" s="21" t="n">
        <v>3</v>
      </c>
      <c r="F10" s="21" t="n">
        <v>3</v>
      </c>
      <c r="G10" s="21" t="n">
        <v>2</v>
      </c>
      <c r="H10" s="21" t="n">
        <v>2</v>
      </c>
      <c r="I10" s="21" t="n">
        <v>2</v>
      </c>
      <c r="J10" s="21" t="n">
        <f aca="false">IFERROR(B10-SUM(D10:I10),0)</f>
        <v>7</v>
      </c>
      <c r="K10" s="14"/>
    </row>
    <row r="11" customFormat="false" ht="15" hidden="false" customHeight="false" outlineLevel="0" collapsed="false">
      <c r="A11" s="32" t="s">
        <v>227</v>
      </c>
      <c r="B11" s="46" t="n">
        <v>2</v>
      </c>
      <c r="C11" s="47" t="s">
        <v>1331</v>
      </c>
      <c r="D11" s="21" t="n">
        <v>1</v>
      </c>
      <c r="E11" s="21" t="n">
        <v>0</v>
      </c>
      <c r="F11" s="21" t="n">
        <v>0</v>
      </c>
      <c r="G11" s="21" t="n">
        <v>1</v>
      </c>
      <c r="H11" s="21" t="n">
        <v>0</v>
      </c>
      <c r="I11" s="21" t="n">
        <v>0</v>
      </c>
      <c r="J11" s="21" t="n">
        <f aca="false">IFERROR(B11-SUM(D11:I11),0)</f>
        <v>0</v>
      </c>
      <c r="K11" s="14" t="s">
        <v>1332</v>
      </c>
    </row>
    <row r="12" customFormat="false" ht="15" hidden="false" customHeight="false" outlineLevel="0" collapsed="false">
      <c r="A12" s="32" t="s">
        <v>1333</v>
      </c>
      <c r="B12" s="46" t="n">
        <v>2</v>
      </c>
      <c r="C12" s="47" t="s">
        <v>1331</v>
      </c>
      <c r="D12" s="21" t="n">
        <v>0</v>
      </c>
      <c r="E12" s="21" t="n">
        <v>0</v>
      </c>
      <c r="F12" s="21" t="n">
        <v>0</v>
      </c>
      <c r="G12" s="21" t="n">
        <v>0</v>
      </c>
      <c r="H12" s="21" t="n">
        <v>1</v>
      </c>
      <c r="I12" s="21" t="n">
        <v>1</v>
      </c>
      <c r="J12" s="21" t="n">
        <f aca="false">IFERROR(B12-SUM(D12:I12),0)</f>
        <v>0</v>
      </c>
      <c r="K12" s="14" t="s">
        <v>1334</v>
      </c>
    </row>
    <row r="13" customFormat="false" ht="15" hidden="false" customHeight="false" outlineLevel="0" collapsed="false">
      <c r="A13" s="32" t="s">
        <v>1335</v>
      </c>
      <c r="B13" s="46" t="n">
        <v>0</v>
      </c>
      <c r="C13" s="47" t="s">
        <v>1331</v>
      </c>
      <c r="D13" s="21" t="n">
        <v>0</v>
      </c>
      <c r="E13" s="21" t="n">
        <v>0</v>
      </c>
      <c r="F13" s="21" t="n">
        <v>0</v>
      </c>
      <c r="G13" s="21" t="n">
        <v>0</v>
      </c>
      <c r="H13" s="21" t="n">
        <v>0</v>
      </c>
      <c r="I13" s="21" t="n">
        <v>0</v>
      </c>
      <c r="J13" s="21" t="n">
        <f aca="false">IFERROR(B13-SUM(D13:I13),0)</f>
        <v>0</v>
      </c>
      <c r="K13" s="14" t="s">
        <v>1334</v>
      </c>
    </row>
    <row r="14" customFormat="false" ht="15" hidden="false" customHeight="false" outlineLevel="0" collapsed="false">
      <c r="A14" s="32" t="s">
        <v>1336</v>
      </c>
      <c r="B14" s="46" t="n">
        <v>0</v>
      </c>
      <c r="C14" s="47" t="s">
        <v>1331</v>
      </c>
      <c r="D14" s="21" t="n">
        <v>0</v>
      </c>
      <c r="E14" s="21" t="n">
        <v>0</v>
      </c>
      <c r="F14" s="21" t="n">
        <v>0</v>
      </c>
      <c r="G14" s="21" t="n">
        <v>0</v>
      </c>
      <c r="H14" s="21" t="n">
        <v>0</v>
      </c>
      <c r="I14" s="21" t="n">
        <v>0</v>
      </c>
      <c r="J14" s="21" t="n">
        <f aca="false">IFERROR(B14-SUM(D14:I14),0)</f>
        <v>0</v>
      </c>
      <c r="K14" s="14" t="s">
        <v>1334</v>
      </c>
    </row>
    <row r="15" customFormat="false" ht="15" hidden="false" customHeight="false" outlineLevel="0" collapsed="false">
      <c r="A15" s="32" t="s">
        <v>1091</v>
      </c>
      <c r="B15" s="45" t="n">
        <v>9</v>
      </c>
      <c r="C15" s="32" t="s">
        <v>1330</v>
      </c>
      <c r="D15" s="21" t="n">
        <v>2</v>
      </c>
      <c r="E15" s="21" t="n">
        <v>2</v>
      </c>
      <c r="F15" s="21" t="n">
        <v>1</v>
      </c>
      <c r="G15" s="21" t="n">
        <v>3</v>
      </c>
      <c r="H15" s="21" t="n">
        <v>0</v>
      </c>
      <c r="I15" s="21" t="n">
        <v>0</v>
      </c>
      <c r="J15" s="21" t="n">
        <f aca="false">IFERROR(B15-SUM(D15:I15),0)</f>
        <v>1</v>
      </c>
      <c r="K15" s="14" t="s">
        <v>1337</v>
      </c>
    </row>
    <row r="16" customFormat="false" ht="15" hidden="false" customHeight="false" outlineLevel="0" collapsed="false">
      <c r="A16" s="32" t="s">
        <v>1217</v>
      </c>
      <c r="B16" s="21" t="n">
        <v>17</v>
      </c>
      <c r="C16" s="32" t="s">
        <v>1330</v>
      </c>
      <c r="D16" s="21" t="n">
        <v>4</v>
      </c>
      <c r="E16" s="21" t="n">
        <v>4</v>
      </c>
      <c r="F16" s="21" t="n">
        <v>4</v>
      </c>
      <c r="G16" s="21" t="n">
        <v>4</v>
      </c>
      <c r="H16" s="21" t="n">
        <v>0</v>
      </c>
      <c r="I16" s="21" t="n">
        <v>0</v>
      </c>
      <c r="J16" s="21" t="n">
        <f aca="false">IFERROR(B16-SUM(D16:I16),0)</f>
        <v>1</v>
      </c>
      <c r="K16" s="14" t="s">
        <v>1337</v>
      </c>
    </row>
    <row r="17" customFormat="false" ht="15" hidden="false" customHeight="false" outlineLevel="0" collapsed="false">
      <c r="A17" s="32" t="s">
        <v>1250</v>
      </c>
      <c r="B17" s="45" t="n">
        <v>12</v>
      </c>
      <c r="C17" s="32" t="s">
        <v>1330</v>
      </c>
      <c r="D17" s="21" t="n">
        <v>2</v>
      </c>
      <c r="E17" s="21" t="n">
        <v>2</v>
      </c>
      <c r="F17" s="21" t="n">
        <v>3</v>
      </c>
      <c r="G17" s="21" t="n">
        <v>4</v>
      </c>
      <c r="H17" s="21" t="n">
        <v>0</v>
      </c>
      <c r="I17" s="21" t="n">
        <v>0</v>
      </c>
      <c r="J17" s="21" t="n">
        <f aca="false">IFERROR(B17-SUM(D17:I17),0)</f>
        <v>1</v>
      </c>
      <c r="K17" s="14" t="s">
        <v>1337</v>
      </c>
    </row>
    <row r="18" customFormat="false" ht="15" hidden="false" customHeight="false" outlineLevel="0" collapsed="false">
      <c r="A18" s="32" t="s">
        <v>1303</v>
      </c>
      <c r="B18" s="46" t="n">
        <v>1</v>
      </c>
      <c r="C18" s="47" t="s">
        <v>1331</v>
      </c>
      <c r="D18" s="21" t="n">
        <v>1</v>
      </c>
      <c r="E18" s="21" t="n">
        <v>0</v>
      </c>
      <c r="F18" s="21" t="n">
        <v>0</v>
      </c>
      <c r="G18" s="21" t="n">
        <v>0</v>
      </c>
      <c r="H18" s="21" t="n">
        <v>0</v>
      </c>
      <c r="I18" s="21" t="n">
        <v>0</v>
      </c>
      <c r="J18" s="21" t="n">
        <f aca="false">IFERROR(B18-SUM(D18:I18),0)</f>
        <v>0</v>
      </c>
      <c r="K18" s="7" t="s">
        <v>1338</v>
      </c>
    </row>
    <row r="19" customFormat="false" ht="15" hidden="false" customHeight="false" outlineLevel="0" collapsed="false">
      <c r="A19" s="25" t="s">
        <v>65</v>
      </c>
      <c r="B19" s="26" t="n">
        <f aca="false">SUM(B5:B18)</f>
        <v>191</v>
      </c>
      <c r="C19" s="48"/>
      <c r="D19" s="26" t="n">
        <f aca="false">SUM(D5:D18)</f>
        <v>25</v>
      </c>
      <c r="E19" s="26" t="n">
        <f aca="false">SUM(E5:E18)</f>
        <v>25</v>
      </c>
      <c r="F19" s="26" t="n">
        <f aca="false">SUM(F5:F18)</f>
        <v>23</v>
      </c>
      <c r="G19" s="26" t="n">
        <f aca="false">SUM(G5:G18)</f>
        <v>27</v>
      </c>
      <c r="H19" s="26" t="n">
        <f aca="false">SUM(H5:H18)</f>
        <v>16</v>
      </c>
      <c r="I19" s="26" t="n">
        <f aca="false">SUM(I5:I18)</f>
        <v>17</v>
      </c>
      <c r="J19" s="26" t="n">
        <f aca="false">SUM(J5:J18)</f>
        <v>58</v>
      </c>
      <c r="K19" s="48"/>
    </row>
    <row r="21" customFormat="false" ht="15" hidden="false" customHeight="false" outlineLevel="0" collapsed="false">
      <c r="A21" s="38" t="s">
        <v>1339</v>
      </c>
    </row>
    <row r="23" customFormat="false" ht="30" hidden="false" customHeight="true" outlineLevel="0" collapsed="false">
      <c r="A23" s="6" t="s">
        <v>1340</v>
      </c>
      <c r="B23" s="6" t="s">
        <v>11</v>
      </c>
      <c r="C23" s="6" t="s">
        <v>1341</v>
      </c>
    </row>
    <row r="24" customFormat="false" ht="15" hidden="false" customHeight="false" outlineLevel="0" collapsed="false">
      <c r="A24" s="7" t="s">
        <v>1342</v>
      </c>
      <c r="B24" s="49" t="n">
        <f aca="false">SUM(B7:B10)</f>
        <v>111</v>
      </c>
      <c r="C24" s="12" t="s">
        <v>1343</v>
      </c>
    </row>
    <row r="25" customFormat="false" ht="15" hidden="false" customHeight="false" outlineLevel="0" collapsed="false">
      <c r="A25" s="7" t="s">
        <v>1344</v>
      </c>
      <c r="B25" s="50" t="n">
        <f aca="false">B24/4</f>
        <v>27.75</v>
      </c>
      <c r="C25" s="9" t="s">
        <v>1345</v>
      </c>
    </row>
    <row r="26" customFormat="false" ht="15" hidden="false" customHeight="false" outlineLevel="0" collapsed="false">
      <c r="A26" s="7" t="s">
        <v>1346</v>
      </c>
      <c r="B26" s="49" t="n">
        <f aca="false">SUM(B11:B14)</f>
        <v>4</v>
      </c>
      <c r="C26" s="12" t="s">
        <v>1347</v>
      </c>
    </row>
    <row r="27" customFormat="false" ht="15" hidden="false" customHeight="false" outlineLevel="0" collapsed="false">
      <c r="A27" s="7" t="s">
        <v>1348</v>
      </c>
      <c r="B27" s="50" t="n">
        <f aca="false">MAX(0,B25*4-B26)</f>
        <v>107</v>
      </c>
      <c r="C27" s="9" t="s">
        <v>1349</v>
      </c>
    </row>
    <row r="28" customFormat="false" ht="15" hidden="false" customHeight="false" outlineLevel="0" collapsed="false">
      <c r="A28" s="7" t="s">
        <v>1350</v>
      </c>
      <c r="B28" s="49" t="n">
        <f aca="false">IFERROR(チャンネル別詳細!D11,0)</f>
        <v>939.173489278752</v>
      </c>
      <c r="C28" s="9" t="s">
        <v>1351</v>
      </c>
    </row>
    <row r="29" customFormat="false" ht="15" hidden="false" customHeight="false" outlineLevel="0" collapsed="false">
      <c r="A29" s="7" t="s">
        <v>1352</v>
      </c>
      <c r="B29" s="51" t="n">
        <f aca="false">IFERROR(チャンネル別詳細!J11,0)</f>
        <v>0.685161550345939</v>
      </c>
      <c r="C29" s="9" t="s">
        <v>1351</v>
      </c>
    </row>
    <row r="30" customFormat="false" ht="15" hidden="false" customHeight="false" outlineLevel="0" collapsed="false">
      <c r="A30" s="7" t="s">
        <v>1353</v>
      </c>
      <c r="B30" s="52" t="n">
        <f aca="false">B27*B28*B29/1000</f>
        <v>68.8529553435098</v>
      </c>
      <c r="C30" s="9" t="s">
        <v>1354</v>
      </c>
    </row>
    <row r="33" customFormat="false" ht="17.15" hidden="false" customHeight="false" outlineLevel="0" collapsed="false">
      <c r="A33" s="53" t="s">
        <v>1355</v>
      </c>
    </row>
    <row r="34" customFormat="false" ht="15" hidden="false" customHeight="false" outlineLevel="0" collapsed="false">
      <c r="A34" s="54" t="s">
        <v>1356</v>
      </c>
    </row>
    <row r="36" customFormat="false" ht="30" hidden="false" customHeight="true" outlineLevel="0" collapsed="false">
      <c r="A36" s="36" t="s">
        <v>1357</v>
      </c>
      <c r="B36" s="6" t="s">
        <v>1358</v>
      </c>
      <c r="C36" s="6" t="s">
        <v>1359</v>
      </c>
      <c r="D36" s="6" t="s">
        <v>1360</v>
      </c>
      <c r="E36" s="6" t="s">
        <v>1280</v>
      </c>
    </row>
    <row r="37" customFormat="false" ht="15" hidden="false" customHeight="false" outlineLevel="0" collapsed="false">
      <c r="A37" s="14" t="s">
        <v>44</v>
      </c>
      <c r="B37" s="7" t="s">
        <v>1361</v>
      </c>
      <c r="C37" s="32" t="s">
        <v>1362</v>
      </c>
      <c r="D37" s="55" t="n">
        <v>0.1</v>
      </c>
      <c r="E37" s="43" t="s">
        <v>1363</v>
      </c>
    </row>
    <row r="38" customFormat="false" ht="15" hidden="false" customHeight="false" outlineLevel="0" collapsed="false">
      <c r="A38" s="14" t="s">
        <v>50</v>
      </c>
      <c r="B38" s="7" t="s">
        <v>1364</v>
      </c>
      <c r="C38" s="32" t="s">
        <v>1365</v>
      </c>
      <c r="D38" s="55" t="n">
        <v>0.5</v>
      </c>
      <c r="E38" s="43" t="s">
        <v>1363</v>
      </c>
    </row>
    <row r="39" customFormat="false" ht="15" hidden="false" customHeight="false" outlineLevel="0" collapsed="false">
      <c r="A39" s="14" t="s">
        <v>1366</v>
      </c>
      <c r="B39" s="7" t="s">
        <v>1367</v>
      </c>
      <c r="C39" s="32" t="s">
        <v>1365</v>
      </c>
      <c r="D39" s="55" t="n">
        <v>0.5</v>
      </c>
      <c r="E39" s="43" t="s">
        <v>1363</v>
      </c>
    </row>
    <row r="40" customFormat="false" ht="15" hidden="false" customHeight="false" outlineLevel="0" collapsed="false">
      <c r="A40" s="14" t="s">
        <v>46</v>
      </c>
      <c r="B40" s="7" t="s">
        <v>1368</v>
      </c>
      <c r="C40" s="32" t="s">
        <v>1365</v>
      </c>
      <c r="D40" s="55" t="n">
        <v>0.5</v>
      </c>
      <c r="E40" s="43" t="s">
        <v>1363</v>
      </c>
    </row>
    <row r="41" customFormat="false" ht="15" hidden="false" customHeight="false" outlineLevel="0" collapsed="false">
      <c r="A41" s="14" t="s">
        <v>49</v>
      </c>
      <c r="B41" s="7" t="s">
        <v>1369</v>
      </c>
      <c r="C41" s="32" t="s">
        <v>1365</v>
      </c>
      <c r="D41" s="55" t="n">
        <v>0.5</v>
      </c>
      <c r="E41" s="43" t="s">
        <v>1363</v>
      </c>
    </row>
    <row r="42" customFormat="false" ht="15" hidden="false" customHeight="false" outlineLevel="0" collapsed="false">
      <c r="A42" s="14" t="s">
        <v>42</v>
      </c>
      <c r="B42" s="7" t="s">
        <v>1370</v>
      </c>
      <c r="C42" s="32" t="s">
        <v>1365</v>
      </c>
      <c r="D42" s="55" t="n">
        <v>0.5</v>
      </c>
      <c r="E42" s="43" t="s">
        <v>1363</v>
      </c>
    </row>
    <row r="43" customFormat="false" ht="15" hidden="false" customHeight="false" outlineLevel="0" collapsed="false">
      <c r="A43" s="14" t="s">
        <v>47</v>
      </c>
      <c r="B43" s="7" t="s">
        <v>1371</v>
      </c>
      <c r="C43" s="32" t="s">
        <v>1372</v>
      </c>
      <c r="D43" s="55" t="n">
        <v>6.1</v>
      </c>
      <c r="E43" s="56" t="s">
        <v>1373</v>
      </c>
    </row>
    <row r="44" customFormat="false" ht="15" hidden="false" customHeight="false" outlineLevel="0" collapsed="false">
      <c r="A44" s="14" t="s">
        <v>1374</v>
      </c>
      <c r="B44" s="7" t="s">
        <v>1375</v>
      </c>
      <c r="C44" s="32" t="s">
        <v>1376</v>
      </c>
      <c r="D44" s="55" t="n">
        <v>7.5</v>
      </c>
      <c r="E44" s="42" t="s">
        <v>1377</v>
      </c>
    </row>
    <row r="45" customFormat="false" ht="15" hidden="false" customHeight="false" outlineLevel="0" collapsed="false">
      <c r="A45" s="14" t="s">
        <v>1378</v>
      </c>
      <c r="B45" s="7" t="s">
        <v>1379</v>
      </c>
      <c r="C45" s="32" t="s">
        <v>1376</v>
      </c>
      <c r="D45" s="55" t="n">
        <v>7.5</v>
      </c>
      <c r="E45" s="42" t="s">
        <v>1377</v>
      </c>
    </row>
    <row r="46" customFormat="false" ht="15" hidden="false" customHeight="false" outlineLevel="0" collapsed="false">
      <c r="A46" s="14" t="s">
        <v>1380</v>
      </c>
      <c r="B46" s="7" t="s">
        <v>1381</v>
      </c>
      <c r="C46" s="32" t="s">
        <v>1376</v>
      </c>
      <c r="D46" s="55" t="n">
        <v>7.5</v>
      </c>
      <c r="E46" s="42" t="s">
        <v>1377</v>
      </c>
    </row>
    <row r="47" customFormat="false" ht="15" hidden="false" customHeight="false" outlineLevel="0" collapsed="false">
      <c r="A47" s="14" t="s">
        <v>1382</v>
      </c>
      <c r="B47" s="7" t="s">
        <v>1383</v>
      </c>
      <c r="C47" s="32" t="s">
        <v>1384</v>
      </c>
      <c r="D47" s="55" t="n">
        <v>8.9</v>
      </c>
      <c r="E47" s="42" t="s">
        <v>1377</v>
      </c>
    </row>
    <row r="48" customFormat="false" ht="15" hidden="false" customHeight="false" outlineLevel="0" collapsed="false">
      <c r="A48" s="14" t="s">
        <v>1385</v>
      </c>
      <c r="B48" s="7" t="s">
        <v>1386</v>
      </c>
      <c r="C48" s="32" t="s">
        <v>1387</v>
      </c>
      <c r="D48" s="55" t="n">
        <v>9</v>
      </c>
      <c r="E48" s="42" t="s">
        <v>1377</v>
      </c>
    </row>
    <row r="49" customFormat="false" ht="15" hidden="false" customHeight="false" outlineLevel="0" collapsed="false">
      <c r="A49" s="14" t="s">
        <v>1388</v>
      </c>
      <c r="B49" s="7" t="s">
        <v>1389</v>
      </c>
      <c r="C49" s="32" t="s">
        <v>1390</v>
      </c>
      <c r="D49" s="55" t="n">
        <v>9.5</v>
      </c>
      <c r="E49" s="42" t="s">
        <v>1377</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2026-09-16T01:20:25Z</dcterms:created>
  <dc:creator>openpyxl</dc:creator>
  <dc:description/>
  <dc:language>en-US</dc:language>
  <cp:lastModifiedBy/>
  <dcterms:modified xsi:type="dcterms:W3CDTF">2026-09-16T01:20:25Z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