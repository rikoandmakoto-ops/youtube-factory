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サマリ" sheetId="1" state="visible" r:id="rId1"/>
    <sheet xmlns:r="http://schemas.openxmlformats.org/officeDocument/2006/relationships" name="チャンネル別詳細" sheetId="2" state="visible" r:id="rId2"/>
    <sheet xmlns:r="http://schemas.openxmlformats.org/officeDocument/2006/relationships" name="直近動画一覧" sheetId="3" state="visible" r:id="rId3"/>
    <sheet xmlns:r="http://schemas.openxmlformats.org/officeDocument/2006/relationships" name="改善提案" sheetId="4" state="visible" r:id="rId4"/>
    <sheet xmlns:r="http://schemas.openxmlformats.org/officeDocument/2006/relationships" name="前回比較" sheetId="5" state="visible" r:id="rId5"/>
  </sheets>
  <definedNames/>
  <calcPr calcId="124519" fullCalcOnLoad="1"/>
</workbook>
</file>

<file path=xl/styles.xml><?xml version="1.0" encoding="utf-8"?>
<styleSheet xmlns="http://schemas.openxmlformats.org/spreadsheetml/2006/main">
  <numFmts count="4">
    <numFmt numFmtId="164" formatCode="0.000"/>
    <numFmt numFmtId="165" formatCode="0.0%"/>
    <numFmt numFmtId="166" formatCode="0.0&quot;倍&quot;"/>
    <numFmt numFmtId="167" formatCode="0.0"/>
  </numFmts>
  <fonts count="7">
    <font>
      <name val="Calibri"/>
      <family val="2"/>
      <color theme="1"/>
      <sz val="11"/>
      <scheme val="minor"/>
    </font>
    <font>
      <name val="Arial"/>
      <b val="1"/>
      <color rgb="001F3864"/>
      <sz val="14"/>
    </font>
    <font>
      <name val="Arial"/>
      <i val="1"/>
      <color rgb="00808080"/>
      <sz val="9"/>
    </font>
    <font>
      <name val="Arial"/>
      <b val="1"/>
      <sz val="10"/>
    </font>
    <font>
      <name val="Arial"/>
      <b val="1"/>
      <color rgb="00FFFFFF"/>
      <sz val="10"/>
    </font>
    <font>
      <name val="Arial"/>
      <sz val="10"/>
    </font>
    <font>
      <name val="Arial"/>
      <b val="1"/>
      <color rgb="00C00000"/>
      <sz val="10"/>
    </font>
  </fonts>
  <fills count="6">
    <fill>
      <patternFill/>
    </fill>
    <fill>
      <patternFill patternType="gray125"/>
    </fill>
    <fill>
      <patternFill patternType="solid">
        <fgColor rgb="001F3864"/>
      </patternFill>
    </fill>
    <fill>
      <patternFill patternType="solid">
        <fgColor rgb="00F8CBAD"/>
      </patternFill>
    </fill>
    <fill>
      <patternFill patternType="solid">
        <fgColor rgb="00FCE4D6"/>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horizontal="center" vertical="center" wrapText="1"/>
    </xf>
    <xf numFmtId="0" fontId="5" fillId="0" borderId="1" pivotButton="0" quotePrefix="0" xfId="0"/>
    <xf numFmtId="3" fontId="5" fillId="0" borderId="1" pivotButton="0" quotePrefix="0" xfId="0"/>
    <xf numFmtId="164" fontId="5" fillId="0" borderId="1" pivotButton="0" quotePrefix="0" xfId="0"/>
    <xf numFmtId="10" fontId="5" fillId="0" borderId="1" pivotButton="0" quotePrefix="0" xfId="0"/>
    <xf numFmtId="165" fontId="5" fillId="0" borderId="1" pivotButton="0" quotePrefix="0" xfId="0"/>
    <xf numFmtId="0" fontId="5" fillId="3" borderId="1" pivotButton="0" quotePrefix="0" xfId="0"/>
    <xf numFmtId="3" fontId="5" fillId="3" borderId="1" pivotButton="0" quotePrefix="0" xfId="0"/>
    <xf numFmtId="164" fontId="5" fillId="3" borderId="1" pivotButton="0" quotePrefix="0" xfId="0"/>
    <xf numFmtId="10" fontId="5" fillId="3" borderId="1" pivotButton="0" quotePrefix="0" xfId="0"/>
    <xf numFmtId="165" fontId="5" fillId="3" borderId="1" pivotButton="0" quotePrefix="0" xfId="0"/>
    <xf numFmtId="0" fontId="3" fillId="0" borderId="1" pivotButton="0" quotePrefix="0" xfId="0"/>
    <xf numFmtId="3" fontId="3" fillId="0" borderId="1" pivotButton="0" quotePrefix="0" xfId="0"/>
    <xf numFmtId="164" fontId="3" fillId="0" borderId="1" pivotButton="0" quotePrefix="0" xfId="0"/>
    <xf numFmtId="166" fontId="3" fillId="0" borderId="1" pivotButton="0" quotePrefix="0" xfId="0"/>
    <xf numFmtId="0" fontId="3" fillId="3" borderId="1" pivotButton="0" quotePrefix="0" xfId="0"/>
    <xf numFmtId="0" fontId="5" fillId="0" borderId="1" applyAlignment="1" pivotButton="0" quotePrefix="0" xfId="0">
      <alignment vertical="top" wrapText="1"/>
    </xf>
    <xf numFmtId="0" fontId="3" fillId="4" borderId="1" pivotButton="0" quotePrefix="0" xfId="0"/>
    <xf numFmtId="0" fontId="6" fillId="0" borderId="0" applyAlignment="1" pivotButton="0" quotePrefix="0" xfId="0">
      <alignment vertical="top" wrapText="1"/>
    </xf>
    <xf numFmtId="0" fontId="2" fillId="0" borderId="0" pivotButton="0" quotePrefix="0" xfId="0"/>
    <xf numFmtId="0" fontId="5" fillId="4" borderId="1" pivotButton="0" quotePrefix="0" xfId="0"/>
    <xf numFmtId="165" fontId="3" fillId="0" borderId="1" pivotButton="0" quotePrefix="0" xfId="0"/>
    <xf numFmtId="0" fontId="5" fillId="0" borderId="1" applyAlignment="1" pivotButton="0" quotePrefix="0" xfId="0">
      <alignment vertical="top"/>
    </xf>
    <xf numFmtId="3" fontId="5" fillId="0" borderId="1" applyAlignment="1" pivotButton="0" quotePrefix="0" xfId="0">
      <alignment vertical="top"/>
    </xf>
    <xf numFmtId="164" fontId="5" fillId="0" borderId="1" applyAlignment="1" pivotButton="0" quotePrefix="0" xfId="0">
      <alignment vertical="top"/>
    </xf>
    <xf numFmtId="10" fontId="5" fillId="0" borderId="1" applyAlignment="1" pivotButton="0" quotePrefix="0" xfId="0">
      <alignment vertical="top"/>
    </xf>
    <xf numFmtId="0" fontId="5" fillId="4" borderId="1" applyAlignment="1" pivotButton="0" quotePrefix="0" xfId="0">
      <alignment vertical="top"/>
    </xf>
    <xf numFmtId="0" fontId="5" fillId="3" borderId="1" applyAlignment="1" pivotButton="0" quotePrefix="0" xfId="0">
      <alignment vertical="top"/>
    </xf>
    <xf numFmtId="0" fontId="5" fillId="5" borderId="1" applyAlignment="1" pivotButton="0" quotePrefix="0" xfId="0">
      <alignment vertical="top"/>
    </xf>
    <xf numFmtId="0" fontId="5" fillId="0" borderId="0" pivotButton="0" quotePrefix="0" xfId="0"/>
    <xf numFmtId="167" fontId="3" fillId="0" borderId="1" pivotButton="0" quotePrefix="0" xfId="0"/>
    <xf numFmtId="0" fontId="5" fillId="3" borderId="1" applyAlignment="1" pivotButton="0" quotePrefix="0" xfId="0">
      <alignment vertical="top" wrapText="1"/>
    </xf>
    <xf numFmtId="0" fontId="5" fillId="5" borderId="1" applyAlignment="1" pivotButton="0" quotePrefix="0" xfId="0">
      <alignment vertical="top" wrapText="1"/>
    </xf>
    <xf numFmtId="0" fontId="5" fillId="4" borderId="1" applyAlignment="1" pivotButton="0" quotePrefix="0" xfId="0">
      <alignment vertical="top" wrapText="1"/>
    </xf>
    <xf numFmtId="0" fontId="5" fillId="5" borderId="1" pivotButton="0" quotePrefix="0" xfId="0"/>
    <xf numFmtId="165" fontId="5"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指揮者</author>
  </authors>
  <commentList>
    <comment ref="E24" authorId="0" shapeId="0">
      <text>
        <t>集計窓は 30日（2026-08-10〜09-08）。同じデータでもスナップショット当日行だけで集計すると倍率が大きく変わるため、倍率を引用するときは必ず窓を併記すること。</t>
      </text>
    </comment>
  </commentList>
</comments>
</file>

<file path=xl/comments/comment2.xml><?xml version="1.0" encoding="utf-8"?>
<comments xmlns="http://schemas.openxmlformats.org/spreadsheetml/2006/main">
  <authors>
    <author>指揮者</author>
  </authors>
  <commentList>
    <comment ref="E25" authorId="0" shapeId="0">
      <text>
        <t>company-facts の絵文字除去12件のみによる改善。長さ・数字の違反は repair が日本語を壊すため機械修復せず、LLM 再生成に回している。</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I36"/>
  <sheetViews>
    <sheetView workbookViewId="0">
      <pane ySplit="5" topLeftCell="A6" activePane="bottomLeft" state="frozen"/>
      <selection pane="bottomLeft" activeCell="A1" sqref="A1"/>
    </sheetView>
  </sheetViews>
  <sheetFormatPr baseColWidth="8" defaultRowHeight="15"/>
  <cols>
    <col width="26" customWidth="1" min="1" max="1"/>
    <col width="14" customWidth="1" min="2" max="2"/>
    <col width="96" customWidth="1" min="3" max="3"/>
    <col width="9" customWidth="1" min="4" max="4"/>
    <col width="13" customWidth="1" min="5" max="5"/>
    <col width="13" customWidth="1" min="6" max="6"/>
    <col width="10" customWidth="1" min="7" max="7"/>
    <col width="11" customWidth="1" min="8" max="8"/>
    <col width="13" customWidth="1" min="9" max="9"/>
  </cols>
  <sheetData>
    <row r="1">
      <c r="A1" s="1" t="inlineStr">
        <is>
          <t>YouTube Factory 指揮者レポート 2026-09-12（土）</t>
        </is>
      </c>
    </row>
    <row r="2" ht="46" customHeight="1">
      <c r="A2" s="2" t="inlineStr">
        <is>
          <t>⚠ 本レポートの実績値は analytics.db の最終スナップショット 2026-09-08 のもの。09-09 以降は video_metrics が0行で、5日連続で新規実績が無い。原因は YouTube OAuth の全13ch失効（後述）。ブラウザからの直接収集は無人実行ではサイト承認が下りず不成立（17夜連続）。</t>
        </is>
      </c>
    </row>
    <row r="4">
      <c r="A4" s="3" t="inlineStr">
        <is>
          <t>■ 全体（直近30日 2026-08-10〜09-08）</t>
        </is>
      </c>
    </row>
    <row r="5" ht="30" customHeight="1">
      <c r="A5" s="4" t="inlineStr">
        <is>
          <t>チャンネル</t>
        </is>
      </c>
      <c r="B5" s="4" t="inlineStr">
        <is>
          <t>系統</t>
        </is>
      </c>
      <c r="C5" s="4" t="inlineStr">
        <is>
          <t>動画本数</t>
        </is>
      </c>
      <c r="D5" s="4" t="inlineStr">
        <is>
          <t>再生</t>
        </is>
      </c>
      <c r="E5" s="4" t="inlineStr">
        <is>
          <t>登録</t>
        </is>
      </c>
      <c r="F5" s="4" t="inlineStr">
        <is>
          <t>登録/千再生</t>
        </is>
      </c>
      <c r="G5" s="4" t="inlineStr">
        <is>
          <t>いいね率</t>
        </is>
      </c>
      <c r="H5" s="4" t="inlineStr">
        <is>
          <t>平均再生</t>
        </is>
      </c>
      <c r="I5" s="4" t="inlineStr">
        <is>
          <t>キュー適合率</t>
        </is>
      </c>
    </row>
    <row r="6">
      <c r="A6" s="5" t="inlineStr">
        <is>
          <t>ゆっくり異常存在SCPラボ</t>
        </is>
      </c>
      <c r="B6" s="5" t="inlineStr">
        <is>
          <t>ゆっくり</t>
        </is>
      </c>
      <c r="C6" s="5" t="n">
        <v>100</v>
      </c>
      <c r="D6" s="6" t="n">
        <v>807704</v>
      </c>
      <c r="E6" s="5" t="n">
        <v>687</v>
      </c>
      <c r="F6" s="7">
        <f>IF(D6=0,0,E6/D6*1000)</f>
        <v>0.8505591157156581</v>
      </c>
      <c r="G6" s="8">
        <f>IF(D6=0,0,3446/D6)</f>
        <v>0.004266414429048265</v>
      </c>
      <c r="H6" s="6">
        <f>IF(C6=0,0,D6/C6)</f>
        <v>8077.04</v>
      </c>
      <c r="I6" s="9" t="n">
        <v>0.043</v>
      </c>
    </row>
    <row r="7">
      <c r="A7" s="5" t="inlineStr">
        <is>
          <t>リコとマコトのゆっくり日常科学</t>
        </is>
      </c>
      <c r="B7" s="5" t="inlineStr">
        <is>
          <t>ゆっくり</t>
        </is>
      </c>
      <c r="C7" s="5" t="n">
        <v>90</v>
      </c>
      <c r="D7" s="6" t="n">
        <v>884152</v>
      </c>
      <c r="E7" s="5" t="n">
        <v>374</v>
      </c>
      <c r="F7" s="7">
        <f>IF(D7=0,0,E7/D7*1000)</f>
        <v>0.42300418932491246</v>
      </c>
      <c r="G7" s="8">
        <f>IF(D7=0,0,3541/D7)</f>
        <v>0.004004967471656457</v>
      </c>
      <c r="H7" s="6">
        <f>IF(C7=0,0,D7/C7)</f>
        <v>9823.91111111111</v>
      </c>
      <c r="I7" s="9" t="n">
        <v>0</v>
      </c>
    </row>
    <row r="8">
      <c r="A8" s="5" t="inlineStr">
        <is>
          <t>ポケモンラボ</t>
        </is>
      </c>
      <c r="B8" s="5" t="inlineStr">
        <is>
          <t>ゆっくり</t>
        </is>
      </c>
      <c r="C8" s="5" t="n">
        <v>56</v>
      </c>
      <c r="D8" s="6" t="n">
        <v>810327</v>
      </c>
      <c r="E8" s="5" t="n">
        <v>272</v>
      </c>
      <c r="F8" s="7">
        <f>IF(D8=0,0,E8/D8*1000)</f>
        <v>0.3356669591411862</v>
      </c>
      <c r="G8" s="8">
        <f>IF(D8=0,0,2515/D8)</f>
        <v>0.0031036853023532476</v>
      </c>
      <c r="H8" s="6">
        <f>IF(C8=0,0,D8/C8)</f>
        <v>14470.125</v>
      </c>
      <c r="I8" s="9" t="n">
        <v>0.7</v>
      </c>
    </row>
    <row r="9">
      <c r="A9" s="5" t="inlineStr">
        <is>
          <t>妖怪ウォッチ考察</t>
        </is>
      </c>
      <c r="B9" s="5" t="inlineStr">
        <is>
          <t>ゆっくり</t>
        </is>
      </c>
      <c r="C9" s="5" t="n">
        <v>54</v>
      </c>
      <c r="D9" s="6" t="n">
        <v>743631</v>
      </c>
      <c r="E9" s="5" t="n">
        <v>241</v>
      </c>
      <c r="F9" s="7">
        <f>IF(D9=0,0,E9/D9*1000)</f>
        <v>0.3240854671201174</v>
      </c>
      <c r="G9" s="8">
        <f>IF(D9=0,0,2729/D9)</f>
        <v>0.0036698308704182585</v>
      </c>
      <c r="H9" s="6">
        <f>IF(C9=0,0,D9/C9)</f>
        <v>13770.944444444445</v>
      </c>
      <c r="I9" s="9" t="n">
        <v>0</v>
      </c>
    </row>
    <row r="10">
      <c r="A10" s="5" t="inlineStr">
        <is>
          <t>2chまとめ</t>
        </is>
      </c>
      <c r="B10" s="5" t="inlineStr">
        <is>
          <t>ゆっくり</t>
        </is>
      </c>
      <c r="C10" s="5" t="n">
        <v>50</v>
      </c>
      <c r="D10" s="6" t="n">
        <v>497948</v>
      </c>
      <c r="E10" s="5" t="n">
        <v>87</v>
      </c>
      <c r="F10" s="7">
        <f>IF(D10=0,0,E10/D10*1000)</f>
        <v>0.17471703872693536</v>
      </c>
      <c r="G10" s="8">
        <f>IF(D10=0,0,1182/D10)</f>
        <v>0.0023737418364969836</v>
      </c>
      <c r="H10" s="6">
        <f>IF(C10=0,0,D10/C10)</f>
        <v>9958.96</v>
      </c>
      <c r="I10" s="9" t="n">
        <v>0.75</v>
      </c>
    </row>
    <row r="11">
      <c r="A11" s="5" t="inlineStr">
        <is>
          <t>企業のホンネ</t>
        </is>
      </c>
      <c r="B11" s="5" t="inlineStr">
        <is>
          <t>ゆっくり</t>
        </is>
      </c>
      <c r="C11" s="5" t="n">
        <v>42</v>
      </c>
      <c r="D11" s="6" t="n">
        <v>279533</v>
      </c>
      <c r="E11" s="5" t="n">
        <v>205</v>
      </c>
      <c r="F11" s="7">
        <f>IF(D11=0,0,E11/D11*1000)</f>
        <v>0.7333660068757535</v>
      </c>
      <c r="G11" s="8">
        <f>IF(D11=0,0,1065/D11)</f>
        <v>0.003809925840598427</v>
      </c>
      <c r="H11" s="6">
        <f>IF(C11=0,0,D11/C11)</f>
        <v>6655.547619047619</v>
      </c>
      <c r="I11" s="9" t="n">
        <v>0.75</v>
      </c>
    </row>
    <row r="12">
      <c r="A12" s="5" t="inlineStr">
        <is>
          <t>切り抜きラボ（ひろゆき）</t>
        </is>
      </c>
      <c r="B12" s="5" t="inlineStr">
        <is>
          <t>切り抜き</t>
        </is>
      </c>
      <c r="C12" s="5" t="n">
        <v>18</v>
      </c>
      <c r="D12" s="6" t="n">
        <v>223866</v>
      </c>
      <c r="E12" s="5" t="n">
        <v>1</v>
      </c>
      <c r="F12" s="7">
        <f>IF(D12=0,0,E12/D12*1000)</f>
        <v>0.00446695791232255</v>
      </c>
      <c r="G12" s="8">
        <f>IF(D12=0,0,397/D12)</f>
        <v>0.0017733822911920525</v>
      </c>
      <c r="H12" s="6">
        <f>IF(C12=0,0,D12/C12)</f>
        <v>12437.0</v>
      </c>
      <c r="I12" s="5" t="inlineStr">
        <is>
          <t>キュー無し</t>
        </is>
      </c>
    </row>
    <row r="13">
      <c r="A13" s="5" t="inlineStr">
        <is>
          <t>深田えいみ 切り抜き</t>
        </is>
      </c>
      <c r="B13" s="5" t="inlineStr">
        <is>
          <t>切り抜き</t>
        </is>
      </c>
      <c r="C13" s="5" t="n">
        <v>13</v>
      </c>
      <c r="D13" s="6" t="n">
        <v>129722</v>
      </c>
      <c r="E13" s="5" t="n">
        <v>25</v>
      </c>
      <c r="F13" s="7">
        <f>IF(D13=0,0,E13/D13*1000)</f>
        <v>0.19271981622238324</v>
      </c>
      <c r="G13" s="8">
        <f>IF(D13=0,0,307/D13)</f>
        <v>0.0023665993432108665</v>
      </c>
      <c r="H13" s="6">
        <f>IF(C13=0,0,D13/C13)</f>
        <v>9978.615384615385</v>
      </c>
      <c r="I13" s="5" t="inlineStr">
        <is>
          <t>キュー無し</t>
        </is>
      </c>
    </row>
    <row r="14">
      <c r="A14" s="5" t="inlineStr">
        <is>
          <t>金子みゆ 切り抜き</t>
        </is>
      </c>
      <c r="B14" s="5" t="inlineStr">
        <is>
          <t>切り抜き</t>
        </is>
      </c>
      <c r="C14" s="5" t="n">
        <v>30</v>
      </c>
      <c r="D14" s="6" t="n">
        <v>123422</v>
      </c>
      <c r="E14" s="5" t="n">
        <v>22</v>
      </c>
      <c r="F14" s="7">
        <f>IF(D14=0,0,E14/D14*1000)</f>
        <v>0.17825023091507186</v>
      </c>
      <c r="G14" s="8">
        <f>IF(D14=0,0,310/D14)</f>
        <v>0.0025117077992578307</v>
      </c>
      <c r="H14" s="6">
        <f>IF(C14=0,0,D14/C14)</f>
        <v>4114.066666666667</v>
      </c>
      <c r="I14" s="5" t="inlineStr">
        <is>
          <t>キュー無し</t>
        </is>
      </c>
    </row>
    <row r="15">
      <c r="A15" s="10" t="inlineStr">
        <is>
          <t>架空論文</t>
        </is>
      </c>
      <c r="B15" s="10" t="inlineStr">
        <is>
          <t>ゆっくり</t>
        </is>
      </c>
      <c r="C15" s="10" t="n">
        <v>17</v>
      </c>
      <c r="D15" s="11" t="n">
        <v>39985</v>
      </c>
      <c r="E15" s="10" t="n">
        <v>0</v>
      </c>
      <c r="F15" s="12">
        <f>IF(D15=0,0,E15/D15*1000)</f>
        <v>0.0</v>
      </c>
      <c r="G15" s="13">
        <f>IF(D15=0,0,154/D15)</f>
        <v>0.0038514442916093533</v>
      </c>
      <c r="H15" s="11">
        <f>IF(C15=0,0,D15/C15)</f>
        <v>2352.0588235294117</v>
      </c>
      <c r="I15" s="14" t="n">
        <v>0.4</v>
      </c>
    </row>
    <row r="16">
      <c r="A16" s="5" t="inlineStr">
        <is>
          <t>ラグナロクの司書</t>
        </is>
      </c>
      <c r="B16" s="5" t="inlineStr">
        <is>
          <t>ゆっくり</t>
        </is>
      </c>
      <c r="C16" s="5" t="n">
        <v>17</v>
      </c>
      <c r="D16" s="6" t="n">
        <v>23383</v>
      </c>
      <c r="E16" s="5" t="n">
        <v>17</v>
      </c>
      <c r="F16" s="7">
        <f>IF(D16=0,0,E16/D16*1000)</f>
        <v>0.7270239062566822</v>
      </c>
      <c r="G16" s="8">
        <f>IF(D16=0,0,48/D16)</f>
        <v>0.0020527733823718086</v>
      </c>
      <c r="H16" s="6">
        <f>IF(C16=0,0,D16/C16)</f>
        <v>1375.4705882352941</v>
      </c>
      <c r="I16" s="9" t="n">
        <v>0.3</v>
      </c>
    </row>
    <row r="17">
      <c r="A17" s="3" t="inlineStr">
        <is>
          <t>合計 / 加重平均</t>
        </is>
      </c>
      <c r="C17" s="15">
        <f>SUM(C6:C16)</f>
        <v>487</v>
      </c>
      <c r="D17" s="16">
        <f>SUM(D6:D16)</f>
        <v>4563673</v>
      </c>
      <c r="E17" s="15">
        <f>SUM(E6:E16)</f>
        <v>1931</v>
      </c>
      <c r="F17" s="17">
        <f>IF(D17=0,0,E17/D17*1000)</f>
        <v>0.42312409324682115</v>
      </c>
    </row>
    <row r="20">
      <c r="A20" s="3" t="inlineStr">
        <is>
          <t>■ 系統別（唯一の判断指標＝登録/千再生）</t>
        </is>
      </c>
    </row>
    <row r="21" ht="30" customHeight="1">
      <c r="A21" s="4" t="inlineStr">
        <is>
          <t>系統</t>
        </is>
      </c>
      <c r="B21" s="4" t="inlineStr">
        <is>
          <t>ch数</t>
        </is>
      </c>
      <c r="C21" s="4" t="inlineStr">
        <is>
          <t>再生</t>
        </is>
      </c>
      <c r="D21" s="4" t="inlineStr">
        <is>
          <t>登録</t>
        </is>
      </c>
      <c r="E21" s="4" t="inlineStr">
        <is>
          <t>登録/千再生</t>
        </is>
      </c>
    </row>
    <row r="22">
      <c r="A22" s="5" t="inlineStr">
        <is>
          <t>ゆっくり</t>
        </is>
      </c>
      <c r="B22" s="5">
        <f>COUNTIF($B$6:$B$16,A22)</f>
        <v>8</v>
      </c>
      <c r="C22" s="6">
        <f>SUMIF($B$6:$B$16,A22,$D$6:$D$16)</f>
        <v>4086663</v>
      </c>
      <c r="D22" s="5">
        <f>SUMIF($B$6:$B$16,A22,$E$6:$E$16)</f>
        <v>1883</v>
      </c>
      <c r="E22" s="7">
        <f>IF(C22=0,0,D22/C22*1000)</f>
        <v>0.4607671344566459</v>
      </c>
    </row>
    <row r="23">
      <c r="A23" s="5" t="inlineStr">
        <is>
          <t>切り抜き</t>
        </is>
      </c>
      <c r="B23" s="5">
        <f>COUNTIF($B$6:$B$16,A23)</f>
        <v>3</v>
      </c>
      <c r="C23" s="6">
        <f>SUMIF($B$6:$B$16,A23,$D$6:$D$16)</f>
        <v>477010</v>
      </c>
      <c r="D23" s="5">
        <f>SUMIF($B$6:$B$16,A23,$E$6:$E$16)</f>
        <v>48</v>
      </c>
      <c r="E23" s="7">
        <f>IF(C23=0,0,D23/C23*1000)</f>
        <v>0.10062682124064484</v>
      </c>
    </row>
    <row r="24">
      <c r="A24" s="3" t="inlineStr">
        <is>
          <t>ゆっくり ÷ 切り抜き（倍率）</t>
        </is>
      </c>
      <c r="E24" s="18">
        <f>IF(E23=0,0,E22/E23)</f>
        <v>4.578969391815931</v>
      </c>
    </row>
    <row r="26">
      <c r="A26" s="3" t="inlineStr">
        <is>
          <t>■ 基盤の状態（本日の実測）</t>
        </is>
      </c>
    </row>
    <row r="27" ht="30" customHeight="1">
      <c r="A27" s="4" t="inlineStr">
        <is>
          <t>項目</t>
        </is>
      </c>
      <c r="B27" s="4" t="inlineStr">
        <is>
          <t>状態</t>
        </is>
      </c>
      <c r="C27" s="4" t="inlineStr">
        <is>
          <t>詳細</t>
        </is>
      </c>
    </row>
    <row r="28" ht="30" customHeight="1">
      <c r="A28" s="5" t="inlineStr">
        <is>
          <t>analytics スナップショット</t>
        </is>
      </c>
      <c r="B28" s="19" t="inlineStr">
        <is>
          <t>停止</t>
        </is>
      </c>
      <c r="C28" s="20" t="inlineStr">
        <is>
          <t>最終 2026-09-08。09-09/10/11/12 は video_metrics が0行（5日連続）。channel_metrics は 09-05 で停止。</t>
        </is>
      </c>
    </row>
    <row r="29" ht="30" customHeight="1">
      <c r="A29" s="5" t="inlineStr">
        <is>
          <t>YouTube OAuth</t>
        </is>
      </c>
      <c r="B29" s="19" t="inlineStr">
        <is>
          <t>全13ch失効</t>
        </is>
      </c>
      <c r="C29" s="20" t="inlineStr">
        <is>
          <t>oauth_tokens の expires_at が全13chで過去。最も新しいもので約52時間前。updated_at は全件 expires_at+8h のままで、リフレッシュに一度も成功していない。</t>
        </is>
      </c>
    </row>
    <row r="30" ht="30" customHeight="1">
      <c r="A30" s="5" t="inlineStr">
        <is>
          <t>動画の公開</t>
        </is>
      </c>
      <c r="B30" s="19" t="inlineStr">
        <is>
          <t>2日連続ゼロ</t>
        </is>
      </c>
      <c r="C30" s="20" t="inlineStr">
        <is>
          <t>video_publish.db の公開実績は 09-10 の2本が最後。09-11・09-12 は0本。09-04〜09-08 は日25〜33本だった。</t>
        </is>
      </c>
    </row>
    <row r="31" ht="30" customHeight="1">
      <c r="A31" s="5" t="inlineStr">
        <is>
          <t>ANTHROPIC_API_KEY</t>
        </is>
      </c>
      <c r="B31" s="19" t="inlineStr">
        <is>
          <t>無効</t>
        </is>
      </c>
      <c r="C31" s="20" t="inlineStr">
        <is>
          <t>backend/.env の18行目でコメントアウトされたまま（13夜連続）。clip-lab の海外バイラル枠 / clip-kaneko のフック生成 / PDCA の Claude 分析 / series_engine の続編生成が同時に停止。</t>
        </is>
      </c>
    </row>
    <row r="32" ht="30" customHeight="1">
      <c r="A32" s="5" t="inlineStr">
        <is>
          <t>バイラル翻訳の滞留</t>
        </is>
      </c>
      <c r="B32" s="21" t="inlineStr">
        <is>
          <t>16件</t>
        </is>
      </c>
      <c r="C32" s="20" t="inlineStr">
        <is>
          <t>data/analytics/viral_translation_pending/ に未処理依頼が16件（08-31〜09-12）。上の API キーが原因。</t>
        </is>
      </c>
    </row>
    <row r="33" ht="30" customHeight="1">
      <c r="A33" s="5" t="inlineStr">
        <is>
          <t>backend.log</t>
        </is>
      </c>
      <c r="B33" s="21" t="inlineStr">
        <is>
          <t>79MB</t>
        </is>
      </c>
      <c r="C33" s="20" t="inlineStr">
        <is>
          <t>ローテーション未実装。grep がタイムアウトするので tail -c で末尾だけ読むこと。</t>
        </is>
      </c>
    </row>
    <row r="34" ht="30" customHeight="1">
      <c r="A34" s="5" t="inlineStr">
        <is>
          <t>pytest</t>
        </is>
      </c>
      <c r="B34" s="19" t="inlineStr">
        <is>
          <t>14 failed / 4 errors</t>
        </is>
      </c>
      <c r="C34" s="20" t="inlineStr">
        <is>
          <t>本日の作業前後で同数（既存の赤）。うち4件は前夜 09-12 01:44 のコミットが追加した test_fixes_20260912.py が最初から赤。passed は 603 → 630。</t>
        </is>
      </c>
    </row>
    <row r="36" ht="44" customHeight="1">
      <c r="A36" s="22" t="inlineStr">
        <is>
          <t>■ 結論: 本日のボトルネックは制作でも企画でもなく「OAuth の再認可」1点。動画は作れているが4日ぶん上げられずに積み上がっている。恒久対策は GCP OAuth 同意画面（project 844705815004）を「テスト中」→「本番」へ公開すること。テスト中のままだとリフレッシュトークンが7日で強制失効し、再認可しても必ず1週間で再発する。</t>
        </is>
      </c>
    </row>
  </sheetData>
  <mergeCells count="2">
    <mergeCell ref="A36:I36"/>
    <mergeCell ref="A2:H2"/>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R18"/>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6" customWidth="1" min="1" max="1"/>
    <col width="18" customWidth="1" min="2" max="2"/>
    <col width="9" customWidth="1" min="3" max="3"/>
    <col width="12" customWidth="1" min="4" max="4"/>
    <col width="10" customWidth="1" min="5" max="5"/>
    <col width="11" customWidth="1" min="6" max="6"/>
    <col width="9" customWidth="1" min="7" max="7"/>
    <col width="10" customWidth="1" min="8" max="8"/>
    <col width="8" customWidth="1" min="9" max="9"/>
    <col width="13" customWidth="1" min="10" max="10"/>
    <col width="10" customWidth="1" min="11" max="11"/>
    <col width="11" customWidth="1" min="12" max="12"/>
    <col width="12" customWidth="1" min="13" max="13"/>
    <col width="8" customWidth="1" min="14" max="14"/>
    <col width="11" customWidth="1" min="15" max="15"/>
    <col width="13" customWidth="1" min="16" max="16"/>
    <col width="12" customWidth="1" min="17" max="17"/>
    <col width="13" customWidth="1" min="18" max="18"/>
  </cols>
  <sheetData>
    <row r="1">
      <c r="A1" s="1" t="inlineStr">
        <is>
          <t>チャンネル別詳細（直近30日 2026-08-10〜2026-09-08）</t>
        </is>
      </c>
    </row>
    <row r="2">
      <c r="A2" s="23" t="inlineStr">
        <is>
          <t>登録/千再生 が唯一の判断指標（2026-09-04 決定）。維持率は ch ごとに登録転換との符号が逆転するため判断に使わない（参考値）。いいね率は符号が反転しない先行指標。</t>
        </is>
      </c>
    </row>
    <row r="4" ht="30" customHeight="1">
      <c r="A4" s="4" t="inlineStr">
        <is>
          <t>チャンネル</t>
        </is>
      </c>
      <c r="B4" s="4" t="inlineStr">
        <is>
          <t>ID</t>
        </is>
      </c>
      <c r="C4" s="4" t="inlineStr">
        <is>
          <t>系統</t>
        </is>
      </c>
      <c r="D4" s="4" t="inlineStr">
        <is>
          <t>最終計測日</t>
        </is>
      </c>
      <c r="E4" s="4" t="inlineStr">
        <is>
          <t>動画本数</t>
        </is>
      </c>
      <c r="F4" s="4" t="inlineStr">
        <is>
          <t>再生</t>
        </is>
      </c>
      <c r="G4" s="4" t="inlineStr">
        <is>
          <t>いいね</t>
        </is>
      </c>
      <c r="H4" s="4" t="inlineStr">
        <is>
          <t>コメント</t>
        </is>
      </c>
      <c r="I4" s="4" t="inlineStr">
        <is>
          <t>登録</t>
        </is>
      </c>
      <c r="J4" s="4" t="inlineStr">
        <is>
          <t>登録/千再生</t>
        </is>
      </c>
      <c r="K4" s="4" t="inlineStr">
        <is>
          <t>いいね率</t>
        </is>
      </c>
      <c r="L4" s="4" t="inlineStr">
        <is>
          <t>平均再生</t>
        </is>
      </c>
      <c r="M4" s="4" t="inlineStr">
        <is>
          <t>平均維持率</t>
        </is>
      </c>
      <c r="N4" s="4" t="inlineStr">
        <is>
          <t>CTR</t>
        </is>
      </c>
      <c r="O4" s="4" t="inlineStr">
        <is>
          <t>ゲート有効</t>
        </is>
      </c>
      <c r="P4" s="4" t="inlineStr">
        <is>
          <t>キュー未公開</t>
        </is>
      </c>
      <c r="Q4" s="4" t="inlineStr">
        <is>
          <t>キュー合格</t>
        </is>
      </c>
      <c r="R4" s="4" t="inlineStr">
        <is>
          <t>キュー適合率</t>
        </is>
      </c>
    </row>
    <row r="5">
      <c r="A5" s="5" t="inlineStr">
        <is>
          <t>ゆっくり異常存在SCPラボ</t>
        </is>
      </c>
      <c r="B5" s="5" t="inlineStr">
        <is>
          <t>scp-lab</t>
        </is>
      </c>
      <c r="C5" s="5" t="inlineStr">
        <is>
          <t>ゆっくり</t>
        </is>
      </c>
      <c r="D5" s="5" t="inlineStr">
        <is>
          <t>2026-09-08</t>
        </is>
      </c>
      <c r="E5" s="5" t="n">
        <v>100</v>
      </c>
      <c r="F5" s="6" t="n">
        <v>807704</v>
      </c>
      <c r="G5" s="6" t="n">
        <v>3446</v>
      </c>
      <c r="H5" s="6" t="n">
        <v>103</v>
      </c>
      <c r="I5" s="5" t="n">
        <v>687</v>
      </c>
      <c r="J5" s="7">
        <f>IF(F5=0,0,I5/F5*1000)</f>
        <v>0.8505591157156581</v>
      </c>
      <c r="K5" s="8">
        <f>IF(F5=0,0,G5/F5)</f>
        <v>0.004266414429048265</v>
      </c>
      <c r="L5" s="6">
        <f>IF(E5=0,0,F5/E5)</f>
        <v>8077.04</v>
      </c>
      <c r="M5" s="9" t="n">
        <v>0.429</v>
      </c>
      <c r="N5" s="8" t="n">
        <v>0.007800000000000001</v>
      </c>
      <c r="O5" s="5" t="inlineStr">
        <is>
          <t>有効</t>
        </is>
      </c>
      <c r="P5" s="5" t="n">
        <v>23</v>
      </c>
      <c r="Q5" s="5" t="n">
        <v>1</v>
      </c>
      <c r="R5" s="9">
        <f>IF(P5=0,"—",Q5/P5)</f>
        <v>0.043478260869565216</v>
      </c>
    </row>
    <row r="6">
      <c r="A6" s="5" t="inlineStr">
        <is>
          <t>リコとマコトのゆっくり日常科学</t>
        </is>
      </c>
      <c r="B6" s="5" t="inlineStr">
        <is>
          <t>daily-science</t>
        </is>
      </c>
      <c r="C6" s="5" t="inlineStr">
        <is>
          <t>ゆっくり</t>
        </is>
      </c>
      <c r="D6" s="5" t="inlineStr">
        <is>
          <t>2026-09-08</t>
        </is>
      </c>
      <c r="E6" s="5" t="n">
        <v>90</v>
      </c>
      <c r="F6" s="6" t="n">
        <v>884152</v>
      </c>
      <c r="G6" s="6" t="n">
        <v>3541</v>
      </c>
      <c r="H6" s="6" t="n">
        <v>87</v>
      </c>
      <c r="I6" s="5" t="n">
        <v>374</v>
      </c>
      <c r="J6" s="7">
        <f>IF(F6=0,0,I6/F6*1000)</f>
        <v>0.42300418932491246</v>
      </c>
      <c r="K6" s="8">
        <f>IF(F6=0,0,G6/F6)</f>
        <v>0.004004967471656457</v>
      </c>
      <c r="L6" s="6">
        <f>IF(E6=0,0,F6/E6)</f>
        <v>9823.91111111111</v>
      </c>
      <c r="M6" s="9" t="n">
        <v>0.654</v>
      </c>
      <c r="N6" s="8" t="n">
        <v>0.008</v>
      </c>
      <c r="O6" s="5" t="inlineStr">
        <is>
          <t>有効</t>
        </is>
      </c>
      <c r="P6" s="5" t="n">
        <v>12</v>
      </c>
      <c r="Q6" s="5" t="n">
        <v>0</v>
      </c>
      <c r="R6" s="9">
        <f>IF(P6=0,"—",Q6/P6)</f>
        <v>0.0</v>
      </c>
    </row>
    <row r="7">
      <c r="A7" s="5" t="inlineStr">
        <is>
          <t>ポケモンラボ</t>
        </is>
      </c>
      <c r="B7" s="5" t="inlineStr">
        <is>
          <t>pokemon-lab</t>
        </is>
      </c>
      <c r="C7" s="5" t="inlineStr">
        <is>
          <t>ゆっくり</t>
        </is>
      </c>
      <c r="D7" s="5" t="inlineStr">
        <is>
          <t>2026-09-08</t>
        </is>
      </c>
      <c r="E7" s="5" t="n">
        <v>56</v>
      </c>
      <c r="F7" s="6" t="n">
        <v>810327</v>
      </c>
      <c r="G7" s="6" t="n">
        <v>2515</v>
      </c>
      <c r="H7" s="6" t="n">
        <v>125</v>
      </c>
      <c r="I7" s="5" t="n">
        <v>272</v>
      </c>
      <c r="J7" s="7">
        <f>IF(F7=0,0,I7/F7*1000)</f>
        <v>0.3356669591411862</v>
      </c>
      <c r="K7" s="8">
        <f>IF(F7=0,0,G7/F7)</f>
        <v>0.0031036853023532476</v>
      </c>
      <c r="L7" s="6">
        <f>IF(E7=0,0,F7/E7)</f>
        <v>14470.125</v>
      </c>
      <c r="M7" s="9" t="n">
        <v>0.503</v>
      </c>
      <c r="N7" s="8" t="n">
        <v>0.0095</v>
      </c>
      <c r="O7" s="5" t="inlineStr">
        <is>
          <t>有効</t>
        </is>
      </c>
      <c r="P7" s="5" t="n">
        <v>10</v>
      </c>
      <c r="Q7" s="5" t="n">
        <v>7</v>
      </c>
      <c r="R7" s="9">
        <f>IF(P7=0,"—",Q7/P7)</f>
        <v>0.7</v>
      </c>
    </row>
    <row r="8">
      <c r="A8" s="5" t="inlineStr">
        <is>
          <t>妖怪ウォッチ考察</t>
        </is>
      </c>
      <c r="B8" s="5" t="inlineStr">
        <is>
          <t>yokai-watch</t>
        </is>
      </c>
      <c r="C8" s="5" t="inlineStr">
        <is>
          <t>ゆっくり</t>
        </is>
      </c>
      <c r="D8" s="5" t="inlineStr">
        <is>
          <t>2026-09-08</t>
        </is>
      </c>
      <c r="E8" s="5" t="n">
        <v>54</v>
      </c>
      <c r="F8" s="6" t="n">
        <v>743631</v>
      </c>
      <c r="G8" s="6" t="n">
        <v>2729</v>
      </c>
      <c r="H8" s="6" t="n">
        <v>39</v>
      </c>
      <c r="I8" s="5" t="n">
        <v>241</v>
      </c>
      <c r="J8" s="7">
        <f>IF(F8=0,0,I8/F8*1000)</f>
        <v>0.3240854671201174</v>
      </c>
      <c r="K8" s="8">
        <f>IF(F8=0,0,G8/F8)</f>
        <v>0.0036698308704182585</v>
      </c>
      <c r="L8" s="6">
        <f>IF(E8=0,0,F8/E8)</f>
        <v>13770.944444444445</v>
      </c>
      <c r="M8" s="9" t="n">
        <v>0.469</v>
      </c>
      <c r="N8" s="8" t="n">
        <v>0.0117</v>
      </c>
      <c r="O8" s="5" t="inlineStr">
        <is>
          <t>有効</t>
        </is>
      </c>
      <c r="P8" s="5" t="n">
        <v>10</v>
      </c>
      <c r="Q8" s="5" t="n">
        <v>0</v>
      </c>
      <c r="R8" s="9">
        <f>IF(P8=0,"—",Q8/P8)</f>
        <v>0.0</v>
      </c>
    </row>
    <row r="9">
      <c r="A9" s="5" t="inlineStr">
        <is>
          <t>2chまとめ</t>
        </is>
      </c>
      <c r="B9" s="5" t="inlineStr">
        <is>
          <t>2ch-matome</t>
        </is>
      </c>
      <c r="C9" s="5" t="inlineStr">
        <is>
          <t>ゆっくり</t>
        </is>
      </c>
      <c r="D9" s="5" t="inlineStr">
        <is>
          <t>2026-09-08</t>
        </is>
      </c>
      <c r="E9" s="5" t="n">
        <v>50</v>
      </c>
      <c r="F9" s="6" t="n">
        <v>497948</v>
      </c>
      <c r="G9" s="6" t="n">
        <v>1182</v>
      </c>
      <c r="H9" s="6" t="n">
        <v>82</v>
      </c>
      <c r="I9" s="5" t="n">
        <v>87</v>
      </c>
      <c r="J9" s="7">
        <f>IF(F9=0,0,I9/F9*1000)</f>
        <v>0.17471703872693536</v>
      </c>
      <c r="K9" s="8">
        <f>IF(F9=0,0,G9/F9)</f>
        <v>0.0023737418364969836</v>
      </c>
      <c r="L9" s="6">
        <f>IF(E9=0,0,F9/E9)</f>
        <v>9958.96</v>
      </c>
      <c r="M9" s="9" t="n">
        <v>0.4370000000000001</v>
      </c>
      <c r="N9" s="8" t="n">
        <v>0.0152</v>
      </c>
      <c r="O9" s="5" t="inlineStr">
        <is>
          <t>有効</t>
        </is>
      </c>
      <c r="P9" s="5" t="n">
        <v>12</v>
      </c>
      <c r="Q9" s="5" t="n">
        <v>9</v>
      </c>
      <c r="R9" s="9">
        <f>IF(P9=0,"—",Q9/P9)</f>
        <v>0.75</v>
      </c>
    </row>
    <row r="10">
      <c r="A10" s="5" t="inlineStr">
        <is>
          <t>企業のホンネ</t>
        </is>
      </c>
      <c r="B10" s="5" t="inlineStr">
        <is>
          <t>company-facts</t>
        </is>
      </c>
      <c r="C10" s="5" t="inlineStr">
        <is>
          <t>ゆっくり</t>
        </is>
      </c>
      <c r="D10" s="5" t="inlineStr">
        <is>
          <t>2026-09-08</t>
        </is>
      </c>
      <c r="E10" s="5" t="n">
        <v>42</v>
      </c>
      <c r="F10" s="6" t="n">
        <v>279533</v>
      </c>
      <c r="G10" s="6" t="n">
        <v>1065</v>
      </c>
      <c r="H10" s="6" t="n">
        <v>29</v>
      </c>
      <c r="I10" s="5" t="n">
        <v>205</v>
      </c>
      <c r="J10" s="7">
        <f>IF(F10=0,0,I10/F10*1000)</f>
        <v>0.7333660068757535</v>
      </c>
      <c r="K10" s="8">
        <f>IF(F10=0,0,G10/F10)</f>
        <v>0.003809925840598427</v>
      </c>
      <c r="L10" s="6">
        <f>IF(E10=0,0,F10/E10)</f>
        <v>6655.547619047619</v>
      </c>
      <c r="M10" s="9" t="n">
        <v>0.482</v>
      </c>
      <c r="N10" s="8" t="n">
        <v>0.0243</v>
      </c>
      <c r="O10" s="5" t="inlineStr">
        <is>
          <t>有効</t>
        </is>
      </c>
      <c r="P10" s="5" t="n">
        <v>12</v>
      </c>
      <c r="Q10" s="5" t="n">
        <v>9</v>
      </c>
      <c r="R10" s="9">
        <f>IF(P10=0,"—",Q10/P10)</f>
        <v>0.75</v>
      </c>
    </row>
    <row r="11">
      <c r="A11" s="5" t="inlineStr">
        <is>
          <t>切り抜きラボ（ひろゆき）</t>
        </is>
      </c>
      <c r="B11" s="5" t="inlineStr">
        <is>
          <t>clip-lab</t>
        </is>
      </c>
      <c r="C11" s="5" t="inlineStr">
        <is>
          <t>切り抜き</t>
        </is>
      </c>
      <c r="D11" s="5" t="inlineStr">
        <is>
          <t>2026-09-08</t>
        </is>
      </c>
      <c r="E11" s="5" t="n">
        <v>18</v>
      </c>
      <c r="F11" s="6" t="n">
        <v>223866</v>
      </c>
      <c r="G11" s="6" t="n">
        <v>397</v>
      </c>
      <c r="H11" s="6" t="n">
        <v>14</v>
      </c>
      <c r="I11" s="5" t="n">
        <v>1</v>
      </c>
      <c r="J11" s="7">
        <f>IF(F11=0,0,I11/F11*1000)</f>
        <v>0.00446695791232255</v>
      </c>
      <c r="K11" s="8">
        <f>IF(F11=0,0,G11/F11)</f>
        <v>0.0017733822911920525</v>
      </c>
      <c r="L11" s="6">
        <f>IF(E11=0,0,F11/E11)</f>
        <v>12437.0</v>
      </c>
      <c r="M11" s="9" t="n">
        <v>0.417</v>
      </c>
      <c r="N11" s="8" t="n">
        <v>0.0215</v>
      </c>
      <c r="O11" s="5" t="inlineStr">
        <is>
          <t>有効</t>
        </is>
      </c>
      <c r="P11" s="5" t="n">
        <v>0</v>
      </c>
      <c r="Q11" s="5" t="n">
        <v>0</v>
      </c>
      <c r="R11" s="9" t="str">
        <f>IF(P11=0,"—",Q11/P11)</f>
        <v>—</v>
      </c>
    </row>
    <row r="12">
      <c r="A12" s="5" t="inlineStr">
        <is>
          <t>深田えいみ 切り抜き</t>
        </is>
      </c>
      <c r="B12" s="5" t="inlineStr">
        <is>
          <t>clip-fukada</t>
        </is>
      </c>
      <c r="C12" s="5" t="inlineStr">
        <is>
          <t>切り抜き</t>
        </is>
      </c>
      <c r="D12" s="5" t="inlineStr">
        <is>
          <t>2026-09-08</t>
        </is>
      </c>
      <c r="E12" s="5" t="n">
        <v>13</v>
      </c>
      <c r="F12" s="6" t="n">
        <v>129722</v>
      </c>
      <c r="G12" s="6" t="n">
        <v>307</v>
      </c>
      <c r="H12" s="6" t="n">
        <v>7</v>
      </c>
      <c r="I12" s="5" t="n">
        <v>25</v>
      </c>
      <c r="J12" s="7">
        <f>IF(F12=0,0,I12/F12*1000)</f>
        <v>0.19271981622238324</v>
      </c>
      <c r="K12" s="8">
        <f>IF(F12=0,0,G12/F12)</f>
        <v>0.0023665993432108665</v>
      </c>
      <c r="L12" s="6">
        <f>IF(E12=0,0,F12/E12)</f>
        <v>9978.615384615385</v>
      </c>
      <c r="M12" s="9" t="n">
        <v>0.457</v>
      </c>
      <c r="N12" s="8" t="n">
        <v>0.08789999999999999</v>
      </c>
      <c r="O12" s="5" t="inlineStr">
        <is>
          <t>有効</t>
        </is>
      </c>
      <c r="P12" s="5" t="n">
        <v>0</v>
      </c>
      <c r="Q12" s="5" t="n">
        <v>0</v>
      </c>
      <c r="R12" s="9" t="str">
        <f>IF(P12=0,"—",Q12/P12)</f>
        <v>—</v>
      </c>
    </row>
    <row r="13">
      <c r="A13" s="5" t="inlineStr">
        <is>
          <t>金子みゆ 切り抜き</t>
        </is>
      </c>
      <c r="B13" s="5" t="inlineStr">
        <is>
          <t>clip-kaneko</t>
        </is>
      </c>
      <c r="C13" s="5" t="inlineStr">
        <is>
          <t>切り抜き</t>
        </is>
      </c>
      <c r="D13" s="5" t="inlineStr">
        <is>
          <t>2026-09-08</t>
        </is>
      </c>
      <c r="E13" s="5" t="n">
        <v>30</v>
      </c>
      <c r="F13" s="6" t="n">
        <v>123422</v>
      </c>
      <c r="G13" s="6" t="n">
        <v>310</v>
      </c>
      <c r="H13" s="6" t="n">
        <v>6</v>
      </c>
      <c r="I13" s="5" t="n">
        <v>22</v>
      </c>
      <c r="J13" s="7">
        <f>IF(F13=0,0,I13/F13*1000)</f>
        <v>0.17825023091507186</v>
      </c>
      <c r="K13" s="8">
        <f>IF(F13=0,0,G13/F13)</f>
        <v>0.0025117077992578307</v>
      </c>
      <c r="L13" s="6">
        <f>IF(E13=0,0,F13/E13)</f>
        <v>4114.066666666667</v>
      </c>
      <c r="M13" s="9" t="n">
        <v>0.391</v>
      </c>
      <c r="N13" s="8" t="n">
        <v>0.0301</v>
      </c>
      <c r="O13" s="5" t="inlineStr">
        <is>
          <t>有効</t>
        </is>
      </c>
      <c r="P13" s="5" t="n">
        <v>0</v>
      </c>
      <c r="Q13" s="5" t="n">
        <v>0</v>
      </c>
      <c r="R13" s="9" t="str">
        <f>IF(P13=0,"—",Q13/P13)</f>
        <v>—</v>
      </c>
    </row>
    <row r="14">
      <c r="A14" s="5" t="inlineStr">
        <is>
          <t>架空論文</t>
        </is>
      </c>
      <c r="B14" s="5" t="inlineStr">
        <is>
          <t>fake-paper</t>
        </is>
      </c>
      <c r="C14" s="5" t="inlineStr">
        <is>
          <t>ゆっくり</t>
        </is>
      </c>
      <c r="D14" s="24" t="inlineStr">
        <is>
          <t>2026-09-06</t>
        </is>
      </c>
      <c r="E14" s="5" t="n">
        <v>17</v>
      </c>
      <c r="F14" s="6" t="n">
        <v>39985</v>
      </c>
      <c r="G14" s="6" t="n">
        <v>154</v>
      </c>
      <c r="H14" s="6" t="n">
        <v>7</v>
      </c>
      <c r="I14" s="10" t="n">
        <v>0</v>
      </c>
      <c r="J14" s="12">
        <f>IF(F14=0,0,I14/F14*1000)</f>
        <v>0.0</v>
      </c>
      <c r="K14" s="8">
        <f>IF(F14=0,0,G14/F14)</f>
        <v>0.0038514442916093533</v>
      </c>
      <c r="L14" s="6">
        <f>IF(E14=0,0,F14/E14)</f>
        <v>2352.0588235294117</v>
      </c>
      <c r="M14" s="9" t="n">
        <v>0.227</v>
      </c>
      <c r="N14" s="8" t="n">
        <v>0.0135</v>
      </c>
      <c r="O14" s="5" t="inlineStr">
        <is>
          <t>有効</t>
        </is>
      </c>
      <c r="P14" s="5" t="n">
        <v>10</v>
      </c>
      <c r="Q14" s="5" t="n">
        <v>4</v>
      </c>
      <c r="R14" s="9">
        <f>IF(P14=0,"—",Q14/P14)</f>
        <v>0.4</v>
      </c>
    </row>
    <row r="15">
      <c r="A15" s="5" t="inlineStr">
        <is>
          <t>ラグナロクの司書</t>
        </is>
      </c>
      <c r="B15" s="5" t="inlineStr">
        <is>
          <t>akashic-librarian</t>
        </is>
      </c>
      <c r="C15" s="5" t="inlineStr">
        <is>
          <t>ゆっくり</t>
        </is>
      </c>
      <c r="D15" s="24" t="inlineStr">
        <is>
          <t>2026-09-06</t>
        </is>
      </c>
      <c r="E15" s="5" t="n">
        <v>17</v>
      </c>
      <c r="F15" s="6" t="n">
        <v>23383</v>
      </c>
      <c r="G15" s="6" t="n">
        <v>48</v>
      </c>
      <c r="H15" s="6" t="n">
        <v>0</v>
      </c>
      <c r="I15" s="5" t="n">
        <v>17</v>
      </c>
      <c r="J15" s="7">
        <f>IF(F15=0,0,I15/F15*1000)</f>
        <v>0.7270239062566822</v>
      </c>
      <c r="K15" s="8">
        <f>IF(F15=0,0,G15/F15)</f>
        <v>0.0020527733823718086</v>
      </c>
      <c r="L15" s="6">
        <f>IF(E15=0,0,F15/E15)</f>
        <v>1375.4705882352941</v>
      </c>
      <c r="M15" s="9" t="n">
        <v>0.26</v>
      </c>
      <c r="N15" s="8" t="n">
        <v>0.0177</v>
      </c>
      <c r="O15" s="5" t="inlineStr">
        <is>
          <t>有効</t>
        </is>
      </c>
      <c r="P15" s="5" t="n">
        <v>10</v>
      </c>
      <c r="Q15" s="5" t="n">
        <v>3</v>
      </c>
      <c r="R15" s="9">
        <f>IF(P15=0,"—",Q15/P15)</f>
        <v>0.3</v>
      </c>
    </row>
    <row r="16">
      <c r="A16" s="3" t="inlineStr">
        <is>
          <t>合計</t>
        </is>
      </c>
      <c r="E16" s="16">
        <f>SUM(E5:E15)</f>
        <v>487</v>
      </c>
      <c r="F16" s="16">
        <f>SUM(F5:F15)</f>
        <v>4563673</v>
      </c>
      <c r="G16" s="16">
        <f>SUM(G5:G15)</f>
        <v>15694</v>
      </c>
      <c r="H16" s="16">
        <f>SUM(H5:H15)</f>
        <v>499</v>
      </c>
      <c r="I16" s="16">
        <f>SUM(I5:I15)</f>
        <v>1931</v>
      </c>
      <c r="J16" s="17">
        <f>IF(F16=0,0,I16/F16*1000)</f>
        <v>0.42312409324682115</v>
      </c>
      <c r="P16" s="16">
        <f>SUM(P5:P15)</f>
        <v>99</v>
      </c>
      <c r="Q16" s="16">
        <f>SUM(Q5:Q15)</f>
        <v>33</v>
      </c>
      <c r="R16" s="25">
        <f>IF(P16=0,0,Q16/P16)</f>
        <v>0.3333333333333333</v>
      </c>
    </row>
    <row r="18">
      <c r="A18" s="23" t="inlineStr">
        <is>
          <t>注: fake-paper と akashic-librarian は 09-06 が最終計測日（他9chは 09-08）。両chは計測窓が2日短いため、再生・登録の絶対値を他chと直接比べないこと。</t>
        </is>
      </c>
    </row>
  </sheetData>
  <mergeCells count="1">
    <mergeCell ref="A2:N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4" customWidth="1" min="1" max="1"/>
    <col width="11" customWidth="1" min="2" max="2"/>
    <col width="58" customWidth="1" min="3" max="3"/>
    <col width="11" customWidth="1" min="4" max="4"/>
    <col width="10" customWidth="1" min="5" max="5"/>
    <col width="9" customWidth="1" min="6" max="6"/>
    <col width="7" customWidth="1" min="7" max="7"/>
    <col width="13" customWidth="1" min="8" max="8"/>
    <col width="10" customWidth="1" min="9" max="9"/>
    <col width="11" customWidth="1" min="10" max="10"/>
    <col width="34" customWidth="1" min="11" max="11"/>
  </cols>
  <sheetData>
    <row r="1">
      <c r="A1" s="1" t="inlineStr">
        <is>
          <t>直近投稿5本 × 11ch（公開日の新しい順）</t>
        </is>
      </c>
    </row>
    <row r="2">
      <c r="A2" s="23" t="inlineStr">
        <is>
          <t>再生・いいね・登録は各動画の計測期間中の最大値。実効文字数はハッシュタグと【】を除いた本文の長さ（title_constraints.effective_len と同じ定義）。25〜29字が登録転換の頂点（2026-09-11・n=330 の逆U字）。</t>
        </is>
      </c>
    </row>
    <row r="4" ht="30" customHeight="1">
      <c r="A4" s="4" t="inlineStr">
        <is>
          <t>チャンネル</t>
        </is>
      </c>
      <c r="B4" s="4" t="inlineStr">
        <is>
          <t>公開日</t>
        </is>
      </c>
      <c r="C4" s="4" t="inlineStr">
        <is>
          <t>タイトル</t>
        </is>
      </c>
      <c r="D4" s="4" t="inlineStr">
        <is>
          <t>実効文字数</t>
        </is>
      </c>
      <c r="E4" s="4" t="inlineStr">
        <is>
          <t>再生</t>
        </is>
      </c>
      <c r="F4" s="4" t="inlineStr">
        <is>
          <t>いいね</t>
        </is>
      </c>
      <c r="G4" s="4" t="inlineStr">
        <is>
          <t>登録</t>
        </is>
      </c>
      <c r="H4" s="4" t="inlineStr">
        <is>
          <t>登録/千再生</t>
        </is>
      </c>
      <c r="I4" s="4" t="inlineStr">
        <is>
          <t>いいね率</t>
        </is>
      </c>
      <c r="J4" s="4" t="inlineStr">
        <is>
          <t>ゲート判定</t>
        </is>
      </c>
      <c r="K4" s="4" t="inlineStr">
        <is>
          <t>違反内容</t>
        </is>
      </c>
    </row>
    <row r="5">
      <c r="A5" s="26" t="inlineStr">
        <is>
          <t>ゆっくり異常存在SCPラボ</t>
        </is>
      </c>
      <c r="B5" s="26" t="inlineStr">
        <is>
          <t>2026-09-08</t>
        </is>
      </c>
      <c r="C5" s="20" t="inlineStr">
        <is>
          <t>7日間でずつ消えたエージェント名簿異常事件 #shorts #SCP #SCP解説</t>
        </is>
      </c>
      <c r="D5" s="26" t="n">
        <v>21</v>
      </c>
      <c r="E5" s="27" t="n">
        <v>0</v>
      </c>
      <c r="F5" s="27" t="n">
        <v>0</v>
      </c>
      <c r="G5" s="26" t="n">
        <v>0</v>
      </c>
      <c r="H5" s="28">
        <f>IF(E5=0,0,G5/E5*1000)</f>
        <v>0</v>
      </c>
      <c r="I5" s="29">
        <f>IF(E5=0,0,F5/E5)</f>
        <v>0</v>
      </c>
      <c r="J5" s="30" t="inlineStr">
        <is>
          <t>不合格</t>
        </is>
      </c>
      <c r="K5" s="20" t="inlineStr">
        <is>
          <t>答え提示語が必須、30文字以内</t>
        </is>
      </c>
    </row>
    <row r="6">
      <c r="A6" s="26" t="inlineStr">
        <is>
          <t>ゆっくり異常存在SCPラボ</t>
        </is>
      </c>
      <c r="B6" s="26" t="inlineStr">
        <is>
          <t>2026-09-08</t>
        </is>
      </c>
      <c r="C6" s="20" t="inlineStr">
        <is>
          <t>SCPの最後の一行だけが隔離対象になった理由 #shorts #SCP #SCP解説</t>
        </is>
      </c>
      <c r="D6" s="26" t="n">
        <v>22</v>
      </c>
      <c r="E6" s="27" t="n">
        <v>0</v>
      </c>
      <c r="F6" s="27" t="n">
        <v>0</v>
      </c>
      <c r="G6" s="26" t="n">
        <v>0</v>
      </c>
      <c r="H6" s="28">
        <f>IF(E6=0,0,G6/E6*1000)</f>
        <v>0</v>
      </c>
      <c r="I6" s="29">
        <f>IF(E6=0,0,F6/E6)</f>
        <v>0</v>
      </c>
      <c r="J6" s="30" t="inlineStr">
        <is>
          <t>不合格</t>
        </is>
      </c>
      <c r="K6" s="20" t="inlineStr">
        <is>
          <t>30文字以内</t>
        </is>
      </c>
    </row>
    <row r="7">
      <c r="A7" s="26" t="inlineStr">
        <is>
          <t>ゆっくり異常存在SCPラボ</t>
        </is>
      </c>
      <c r="B7" s="26" t="inlineStr">
        <is>
          <t>2026-09-08</t>
        </is>
      </c>
      <c r="C7" s="20" t="inlineStr">
        <is>
          <t>SCP-3288 大雨の真相 あなたの部屋も沈む #shorts #SCP #SCP解説</t>
        </is>
      </c>
      <c r="D7" s="26" t="n">
        <v>24</v>
      </c>
      <c r="E7" s="27" t="n">
        <v>0</v>
      </c>
      <c r="F7" s="27" t="n">
        <v>0</v>
      </c>
      <c r="G7" s="26" t="n">
        <v>0</v>
      </c>
      <c r="H7" s="28">
        <f>IF(E7=0,0,G7/E7*1000)</f>
        <v>0</v>
      </c>
      <c r="I7" s="29">
        <f>IF(E7=0,0,F7/E7)</f>
        <v>0</v>
      </c>
      <c r="J7" s="30" t="inlineStr">
        <is>
          <t>不合格</t>
        </is>
      </c>
      <c r="K7" s="20" t="inlineStr">
        <is>
          <t>30文字以内</t>
        </is>
      </c>
    </row>
    <row r="8">
      <c r="A8" s="26" t="inlineStr">
        <is>
          <t>ゆっくり異常存在SCPラボ</t>
        </is>
      </c>
      <c r="B8" s="26" t="inlineStr">
        <is>
          <t>2026-09-07</t>
        </is>
      </c>
      <c r="C8" s="20" t="inlineStr">
        <is>
          <t>SCP-7241 収容違反記録から毎回消える頁 #shorts #SCP #SCP解説</t>
        </is>
      </c>
      <c r="D8" s="26" t="n">
        <v>23</v>
      </c>
      <c r="E8" s="27" t="n">
        <v>0</v>
      </c>
      <c r="F8" s="27" t="n">
        <v>0</v>
      </c>
      <c r="G8" s="26" t="n">
        <v>0</v>
      </c>
      <c r="H8" s="28">
        <f>IF(E8=0,0,G8/E8*1000)</f>
        <v>0</v>
      </c>
      <c r="I8" s="29">
        <f>IF(E8=0,0,F8/E8)</f>
        <v>0</v>
      </c>
      <c r="J8" s="30" t="inlineStr">
        <is>
          <t>不合格</t>
        </is>
      </c>
      <c r="K8" s="20" t="inlineStr">
        <is>
          <t>答え提示語が必須、30文字以内</t>
        </is>
      </c>
    </row>
    <row r="9">
      <c r="A9" s="26" t="inlineStr">
        <is>
          <t>ゆっくり異常存在SCPラボ</t>
        </is>
      </c>
      <c r="B9" s="26" t="inlineStr">
        <is>
          <t>2026-09-07</t>
        </is>
      </c>
      <c r="C9" s="20" t="inlineStr">
        <is>
          <t>なぜこの火山は72時間沈黙し職員が消えるのか #shorts #SCP #SCP解説</t>
        </is>
      </c>
      <c r="D9" s="26" t="n">
        <v>22</v>
      </c>
      <c r="E9" s="27" t="n">
        <v>0</v>
      </c>
      <c r="F9" s="27" t="n">
        <v>0</v>
      </c>
      <c r="G9" s="26" t="n">
        <v>0</v>
      </c>
      <c r="H9" s="28">
        <f>IF(E9=0,0,G9/E9*1000)</f>
        <v>0</v>
      </c>
      <c r="I9" s="29">
        <f>IF(E9=0,0,F9/E9)</f>
        <v>0</v>
      </c>
      <c r="J9" s="30" t="inlineStr">
        <is>
          <t>不合格</t>
        </is>
      </c>
      <c r="K9" s="20" t="inlineStr">
        <is>
          <t>30文字以内</t>
        </is>
      </c>
    </row>
    <row r="10">
      <c r="A10" s="26" t="inlineStr">
        <is>
          <t>リコとマコトのゆっくり日常科学</t>
        </is>
      </c>
      <c r="B10" s="26" t="inlineStr">
        <is>
          <t>2026-09-08</t>
        </is>
      </c>
      <c r="C10" s="20" t="inlineStr">
        <is>
          <t>疲れた日の甘い物がすぐ消えるのはなぜ？ #shorts #雑学 #豆知識</t>
        </is>
      </c>
      <c r="D10" s="31" t="n">
        <v>19</v>
      </c>
      <c r="E10" s="27" t="n">
        <v>0</v>
      </c>
      <c r="F10" s="27" t="n">
        <v>0</v>
      </c>
      <c r="G10" s="26" t="n">
        <v>0</v>
      </c>
      <c r="H10" s="28">
        <f>IF(E10=0,0,G10/E10*1000)</f>
        <v>0</v>
      </c>
      <c r="I10" s="29">
        <f>IF(E10=0,0,F10/E10)</f>
        <v>0</v>
      </c>
      <c r="J10" s="30" t="inlineStr">
        <is>
          <t>不合格</t>
        </is>
      </c>
      <c r="K10" s="20" t="inlineStr">
        <is>
          <t>30文字以内、実質20文字以上</t>
        </is>
      </c>
    </row>
    <row r="11">
      <c r="A11" s="26" t="inlineStr">
        <is>
          <t>リコとマコトのゆっくり日常科学</t>
        </is>
      </c>
      <c r="B11" s="26" t="inlineStr">
        <is>
          <t>2026-09-08</t>
        </is>
      </c>
      <c r="C11" s="20" t="inlineStr">
        <is>
          <t>耳を塞ぐと聞こえる20Hzの正体？ #shorts #雑学 #豆知識</t>
        </is>
      </c>
      <c r="D11" s="31" t="n">
        <v>17</v>
      </c>
      <c r="E11" s="27" t="n">
        <v>0</v>
      </c>
      <c r="F11" s="27" t="n">
        <v>0</v>
      </c>
      <c r="G11" s="26" t="n">
        <v>0</v>
      </c>
      <c r="H11" s="28">
        <f>IF(E11=0,0,G11/E11*1000)</f>
        <v>0</v>
      </c>
      <c r="I11" s="29">
        <f>IF(E11=0,0,F11/E11)</f>
        <v>0</v>
      </c>
      <c r="J11" s="30" t="inlineStr">
        <is>
          <t>不合格</t>
        </is>
      </c>
      <c r="K11" s="20" t="inlineStr">
        <is>
          <t>30文字以内、実質20文字以上</t>
        </is>
      </c>
    </row>
    <row r="12">
      <c r="A12" s="26" t="inlineStr">
        <is>
          <t>リコとマコトのゆっくり日常科学</t>
        </is>
      </c>
      <c r="B12" s="26" t="inlineStr">
        <is>
          <t>2026-09-07</t>
        </is>
      </c>
      <c r="C12" s="20" t="inlineStr">
        <is>
          <t>走った後の鉄味、あなたの肺で何が？0.1%の正体 #shorts #雑学 #豆知識</t>
        </is>
      </c>
      <c r="D12" s="26" t="n">
        <v>24</v>
      </c>
      <c r="E12" s="27" t="n">
        <v>0</v>
      </c>
      <c r="F12" s="27" t="n">
        <v>0</v>
      </c>
      <c r="G12" s="26" t="n">
        <v>0</v>
      </c>
      <c r="H12" s="28">
        <f>IF(E12=0,0,G12/E12*1000)</f>
        <v>0</v>
      </c>
      <c r="I12" s="29">
        <f>IF(E12=0,0,F12/E12)</f>
        <v>0</v>
      </c>
      <c r="J12" s="30" t="inlineStr">
        <is>
          <t>不合格</t>
        </is>
      </c>
      <c r="K12" s="20" t="inlineStr">
        <is>
          <t>30文字以内</t>
        </is>
      </c>
    </row>
    <row r="13">
      <c r="A13" s="26" t="inlineStr">
        <is>
          <t>リコとマコトのゆっくり日常科学</t>
        </is>
      </c>
      <c r="B13" s="26" t="inlineStr">
        <is>
          <t>2026-09-07</t>
        </is>
      </c>
      <c r="C13" s="20" t="inlineStr">
        <is>
          <t>なぜ冷たい水だけ歯にしみる？歯の中で起きる変化 #shorts #雑学 #豆知識</t>
        </is>
      </c>
      <c r="D13" s="26" t="n">
        <v>23</v>
      </c>
      <c r="E13" s="27" t="n">
        <v>0</v>
      </c>
      <c r="F13" s="27" t="n">
        <v>0</v>
      </c>
      <c r="G13" s="26" t="n">
        <v>0</v>
      </c>
      <c r="H13" s="28">
        <f>IF(E13=0,0,G13/E13*1000)</f>
        <v>0</v>
      </c>
      <c r="I13" s="29">
        <f>IF(E13=0,0,F13/E13)</f>
        <v>0</v>
      </c>
      <c r="J13" s="30" t="inlineStr">
        <is>
          <t>不合格</t>
        </is>
      </c>
      <c r="K13" s="20" t="inlineStr">
        <is>
          <t>30文字以内</t>
        </is>
      </c>
    </row>
    <row r="14">
      <c r="A14" s="26" t="inlineStr">
        <is>
          <t>リコとマコトのゆっくり日常科学</t>
        </is>
      </c>
      <c r="B14" s="26" t="inlineStr">
        <is>
          <t>2026-09-07</t>
        </is>
      </c>
      <c r="C14" s="20" t="inlineStr">
        <is>
          <t>なぜ他人のあくびは約45％もつられる？脳の反応を解説 #shorts #雑学 #豆知識</t>
        </is>
      </c>
      <c r="D14" s="26" t="n">
        <v>26</v>
      </c>
      <c r="E14" s="27" t="n">
        <v>0</v>
      </c>
      <c r="F14" s="27" t="n">
        <v>0</v>
      </c>
      <c r="G14" s="26" t="n">
        <v>0</v>
      </c>
      <c r="H14" s="28">
        <f>IF(E14=0,0,G14/E14*1000)</f>
        <v>0</v>
      </c>
      <c r="I14" s="29">
        <f>IF(E14=0,0,F14/E14)</f>
        <v>0</v>
      </c>
      <c r="J14" s="30" t="inlineStr">
        <is>
          <t>不合格</t>
        </is>
      </c>
      <c r="K14" s="20" t="inlineStr">
        <is>
          <t>30文字以内</t>
        </is>
      </c>
    </row>
    <row r="15">
      <c r="A15" s="26" t="inlineStr">
        <is>
          <t>ポケモンラボ</t>
        </is>
      </c>
      <c r="B15" s="26" t="inlineStr">
        <is>
          <t>2026-09-08</t>
        </is>
      </c>
      <c r="C15" s="20" t="inlineStr">
        <is>
          <t>アンノーン28種類コンプしても完成にならない!? #shorts #ポケモン #ポケモン雑学</t>
        </is>
      </c>
      <c r="D15" s="26" t="n">
        <v>24</v>
      </c>
      <c r="E15" s="27" t="n">
        <v>0</v>
      </c>
      <c r="F15" s="27" t="n">
        <v>0</v>
      </c>
      <c r="G15" s="26" t="n">
        <v>0</v>
      </c>
      <c r="H15" s="28">
        <f>IF(E15=0,0,G15/E15*1000)</f>
        <v>0</v>
      </c>
      <c r="I15" s="29">
        <f>IF(E15=0,0,F15/E15)</f>
        <v>0</v>
      </c>
      <c r="J15" s="30" t="inlineStr">
        <is>
          <t>不合格</t>
        </is>
      </c>
      <c r="K15" s="20" t="inlineStr">
        <is>
          <t>答え提示語が必須、30文字以内</t>
        </is>
      </c>
    </row>
    <row r="16">
      <c r="A16" s="26" t="inlineStr">
        <is>
          <t>ポケモンラボ</t>
        </is>
      </c>
      <c r="B16" s="26" t="inlineStr">
        <is>
          <t>2026-09-08</t>
        </is>
      </c>
      <c r="C16" s="20" t="inlineStr">
        <is>
          <t>ドラパルト、子どもを音速超えで撃ち出すってマジ!? #shorts #ポケモン #ポケモン雑学</t>
        </is>
      </c>
      <c r="D16" s="26" t="n">
        <v>25</v>
      </c>
      <c r="E16" s="27" t="n">
        <v>0</v>
      </c>
      <c r="F16" s="27" t="n">
        <v>0</v>
      </c>
      <c r="G16" s="26" t="n">
        <v>0</v>
      </c>
      <c r="H16" s="28">
        <f>IF(E16=0,0,G16/E16*1000)</f>
        <v>0</v>
      </c>
      <c r="I16" s="29">
        <f>IF(E16=0,0,F16/E16)</f>
        <v>0</v>
      </c>
      <c r="J16" s="30" t="inlineStr">
        <is>
          <t>不合格</t>
        </is>
      </c>
      <c r="K16" s="20" t="inlineStr">
        <is>
          <t>答え提示語が必須、30文字以内</t>
        </is>
      </c>
    </row>
    <row r="17">
      <c r="A17" s="26" t="inlineStr">
        <is>
          <t>ポケモンラボ</t>
        </is>
      </c>
      <c r="B17" s="26" t="inlineStr">
        <is>
          <t>2026-09-07</t>
        </is>
      </c>
      <c r="C17" s="20" t="inlineStr">
        <is>
          <t>ソーナンスが反撃しかできない設計の狙いが深すぎる #shorts #ポケモン #ポケモン雑学</t>
        </is>
      </c>
      <c r="D17" s="26" t="n">
        <v>24</v>
      </c>
      <c r="E17" s="27" t="n">
        <v>0</v>
      </c>
      <c r="F17" s="27" t="n">
        <v>0</v>
      </c>
      <c r="G17" s="26" t="n">
        <v>0</v>
      </c>
      <c r="H17" s="28">
        <f>IF(E17=0,0,G17/E17*1000)</f>
        <v>0</v>
      </c>
      <c r="I17" s="29">
        <f>IF(E17=0,0,F17/E17)</f>
        <v>0</v>
      </c>
      <c r="J17" s="30" t="inlineStr">
        <is>
          <t>不合格</t>
        </is>
      </c>
      <c r="K17" s="20" t="inlineStr">
        <is>
          <t>答え提示語が必須、30文字以内</t>
        </is>
      </c>
    </row>
    <row r="18">
      <c r="A18" s="26" t="inlineStr">
        <is>
          <t>ポケモンラボ</t>
        </is>
      </c>
      <c r="B18" s="26" t="inlineStr">
        <is>
          <t>2026-09-07</t>
        </is>
      </c>
      <c r="C18" s="20" t="inlineStr">
        <is>
          <t>ロケット団の幹部だけ口調が別キャラ級？3作品で徹底比較の本当 #shorts #ポケモン #ポケモン雑学</t>
        </is>
      </c>
      <c r="D18" s="26" t="n">
        <v>30</v>
      </c>
      <c r="E18" s="27" t="n">
        <v>0</v>
      </c>
      <c r="F18" s="27" t="n">
        <v>0</v>
      </c>
      <c r="G18" s="26" t="n">
        <v>0</v>
      </c>
      <c r="H18" s="28">
        <f>IF(E18=0,0,G18/E18*1000)</f>
        <v>0</v>
      </c>
      <c r="I18" s="29">
        <f>IF(E18=0,0,F18/E18)</f>
        <v>0</v>
      </c>
      <c r="J18" s="30" t="inlineStr">
        <is>
          <t>不合格</t>
        </is>
      </c>
      <c r="K18" s="20" t="inlineStr">
        <is>
          <t>答え提示語が必須、30文字以内</t>
        </is>
      </c>
    </row>
    <row r="19">
      <c r="A19" s="26" t="inlineStr">
        <is>
          <t>ポケモンラボ</t>
        </is>
      </c>
      <c r="B19" s="26" t="inlineStr">
        <is>
          <t>2026-09-07</t>
        </is>
      </c>
      <c r="C19" s="20" t="inlineStr">
        <is>
          <t>イーブイの昼夜進化、エーフィとブラッキーに分かれた理由 #shorts #ポケモン #ポケモン雑学</t>
        </is>
      </c>
      <c r="D19" s="26" t="n">
        <v>27</v>
      </c>
      <c r="E19" s="27" t="n">
        <v>0</v>
      </c>
      <c r="F19" s="27" t="n">
        <v>0</v>
      </c>
      <c r="G19" s="26" t="n">
        <v>0</v>
      </c>
      <c r="H19" s="28">
        <f>IF(E19=0,0,G19/E19*1000)</f>
        <v>0</v>
      </c>
      <c r="I19" s="29">
        <f>IF(E19=0,0,F19/E19)</f>
        <v>0</v>
      </c>
      <c r="J19" s="30" t="inlineStr">
        <is>
          <t>不合格</t>
        </is>
      </c>
      <c r="K19" s="20" t="inlineStr">
        <is>
          <t>30文字以内</t>
        </is>
      </c>
    </row>
    <row r="20">
      <c r="A20" s="26" t="inlineStr">
        <is>
          <t>妖怪ウォッチ考察</t>
        </is>
      </c>
      <c r="B20" s="26" t="inlineStr">
        <is>
          <t>2026-09-08</t>
        </is>
      </c>
      <c r="C20" s="20" t="inlineStr">
        <is>
          <t>覚の元ネタが怖すぎる…心を先回りする山の怪物 #shorts #妖怪 #都市伝説</t>
        </is>
      </c>
      <c r="D20" s="26" t="n">
        <v>22</v>
      </c>
      <c r="E20" s="27" t="n">
        <v>0</v>
      </c>
      <c r="F20" s="27" t="n">
        <v>0</v>
      </c>
      <c r="G20" s="26" t="n">
        <v>0</v>
      </c>
      <c r="H20" s="28">
        <f>IF(E20=0,0,G20/E20*1000)</f>
        <v>0</v>
      </c>
      <c r="I20" s="29">
        <f>IF(E20=0,0,F20/E20)</f>
        <v>0</v>
      </c>
      <c r="J20" s="30" t="inlineStr">
        <is>
          <t>不合格</t>
        </is>
      </c>
      <c r="K20" s="20" t="inlineStr">
        <is>
          <t>答え提示語が必須、30文字以内</t>
        </is>
      </c>
    </row>
    <row r="21">
      <c r="A21" s="26" t="inlineStr">
        <is>
          <t>妖怪ウォッチ考察</t>
        </is>
      </c>
      <c r="B21" s="26" t="inlineStr">
        <is>
          <t>2026-09-08</t>
        </is>
      </c>
      <c r="C21" s="20" t="inlineStr">
        <is>
          <t>ろくろ首の正体は飛頭蛮？首が飛ぶ怪異の出どころ #shorts #妖怪 #都市伝説</t>
        </is>
      </c>
      <c r="D21" s="26" t="n">
        <v>23</v>
      </c>
      <c r="E21" s="27" t="n">
        <v>0</v>
      </c>
      <c r="F21" s="27" t="n">
        <v>0</v>
      </c>
      <c r="G21" s="26" t="n">
        <v>0</v>
      </c>
      <c r="H21" s="28">
        <f>IF(E21=0,0,G21/E21*1000)</f>
        <v>0</v>
      </c>
      <c r="I21" s="29">
        <f>IF(E21=0,0,F21/E21)</f>
        <v>0</v>
      </c>
      <c r="J21" s="30" t="inlineStr">
        <is>
          <t>不合格</t>
        </is>
      </c>
      <c r="K21" s="20" t="inlineStr">
        <is>
          <t>30文字以内</t>
        </is>
      </c>
    </row>
    <row r="22">
      <c r="A22" s="26" t="inlineStr">
        <is>
          <t>妖怪ウォッチ考察</t>
        </is>
      </c>
      <c r="B22" s="26" t="inlineStr">
        <is>
          <t>2026-09-08</t>
        </is>
      </c>
      <c r="C22" s="20" t="inlineStr">
        <is>
          <t>鬼の角が「目印」になった千年前の変化 #shorts #妖怪 #都市伝説</t>
        </is>
      </c>
      <c r="D22" s="31" t="n">
        <v>18</v>
      </c>
      <c r="E22" s="27" t="n">
        <v>0</v>
      </c>
      <c r="F22" s="27" t="n">
        <v>0</v>
      </c>
      <c r="G22" s="26" t="n">
        <v>0</v>
      </c>
      <c r="H22" s="28">
        <f>IF(E22=0,0,G22/E22*1000)</f>
        <v>0</v>
      </c>
      <c r="I22" s="29">
        <f>IF(E22=0,0,F22/E22)</f>
        <v>0</v>
      </c>
      <c r="J22" s="30" t="inlineStr">
        <is>
          <t>不合格</t>
        </is>
      </c>
      <c r="K22" s="20" t="inlineStr">
        <is>
          <t>答え提示語が必須、30文字以内、実質20文字以上</t>
        </is>
      </c>
    </row>
    <row r="23">
      <c r="A23" s="26" t="inlineStr">
        <is>
          <t>妖怪ウォッチ考察</t>
        </is>
      </c>
      <c r="B23" s="26" t="inlineStr">
        <is>
          <t>2026-09-07</t>
        </is>
      </c>
      <c r="C23" s="20" t="inlineStr">
        <is>
          <t>なぜ狐は人を化かす妖怪にされたのか？江戸の記録に残る事情 #shorts #妖怪 #都市伝説</t>
        </is>
      </c>
      <c r="D23" s="26" t="n">
        <v>28</v>
      </c>
      <c r="E23" s="27" t="n">
        <v>0</v>
      </c>
      <c r="F23" s="27" t="n">
        <v>0</v>
      </c>
      <c r="G23" s="26" t="n">
        <v>0</v>
      </c>
      <c r="H23" s="28">
        <f>IF(E23=0,0,G23/E23*1000)</f>
        <v>0</v>
      </c>
      <c r="I23" s="29">
        <f>IF(E23=0,0,F23/E23)</f>
        <v>0</v>
      </c>
      <c r="J23" s="30" t="inlineStr">
        <is>
          <t>不合格</t>
        </is>
      </c>
      <c r="K23" s="20" t="inlineStr">
        <is>
          <t>30文字以内</t>
        </is>
      </c>
    </row>
    <row r="24">
      <c r="A24" s="26" t="inlineStr">
        <is>
          <t>妖怪ウォッチ考察</t>
        </is>
      </c>
      <c r="B24" s="26" t="inlineStr">
        <is>
          <t>2026-09-07</t>
        </is>
      </c>
      <c r="C24" s="20" t="inlineStr">
        <is>
          <t>人面犬の噂が昭和の学校で生まれた土壌とは… #shorts #妖怪 #都市伝説</t>
        </is>
      </c>
      <c r="D24" s="26" t="n">
        <v>21</v>
      </c>
      <c r="E24" s="27" t="n">
        <v>0</v>
      </c>
      <c r="F24" s="27" t="n">
        <v>0</v>
      </c>
      <c r="G24" s="26" t="n">
        <v>0</v>
      </c>
      <c r="H24" s="28">
        <f>IF(E24=0,0,G24/E24*1000)</f>
        <v>0</v>
      </c>
      <c r="I24" s="29">
        <f>IF(E24=0,0,F24/E24)</f>
        <v>0</v>
      </c>
      <c r="J24" s="30" t="inlineStr">
        <is>
          <t>不合格</t>
        </is>
      </c>
      <c r="K24" s="20" t="inlineStr">
        <is>
          <t>答え提示語が必須、30文字以内</t>
        </is>
      </c>
    </row>
    <row r="25">
      <c r="A25" s="26" t="inlineStr">
        <is>
          <t>2chまとめ</t>
        </is>
      </c>
      <c r="B25" s="26" t="inlineStr">
        <is>
          <t>2026-09-08</t>
        </is>
      </c>
      <c r="C25" s="20" t="inlineStr">
        <is>
          <t>Apple新製品予想、また本命を外して財布が逝く民ｗ #shorts #2ch #面白いスレ</t>
        </is>
      </c>
      <c r="D25" s="26" t="n">
        <v>26</v>
      </c>
      <c r="E25" s="27" t="n">
        <v>0</v>
      </c>
      <c r="F25" s="27" t="n">
        <v>0</v>
      </c>
      <c r="G25" s="26" t="n">
        <v>0</v>
      </c>
      <c r="H25" s="28">
        <f>IF(E25=0,0,G25/E25*1000)</f>
        <v>0</v>
      </c>
      <c r="I25" s="29">
        <f>IF(E25=0,0,F25/E25)</f>
        <v>0</v>
      </c>
      <c r="J25" s="30" t="inlineStr">
        <is>
          <t>不合格</t>
        </is>
      </c>
      <c r="K25" s="20" t="inlineStr">
        <is>
          <t>数字禁止、答え提示語が必須、30文字以内</t>
        </is>
      </c>
    </row>
    <row r="26">
      <c r="A26" s="26" t="inlineStr">
        <is>
          <t>2chまとめ</t>
        </is>
      </c>
      <c r="B26" s="26" t="inlineStr">
        <is>
          <t>2026-09-08</t>
        </is>
      </c>
      <c r="C26" s="20" t="inlineStr">
        <is>
          <t>ワイのPCで彼女が凍った本当の理由w💦 #shorts #2ch #面白いスレ</t>
        </is>
      </c>
      <c r="D26" s="31" t="n">
        <v>19</v>
      </c>
      <c r="E26" s="27" t="n">
        <v>0</v>
      </c>
      <c r="F26" s="27" t="n">
        <v>0</v>
      </c>
      <c r="G26" s="26" t="n">
        <v>0</v>
      </c>
      <c r="H26" s="28">
        <f>IF(E26=0,0,G26/E26*1000)</f>
        <v>0</v>
      </c>
      <c r="I26" s="29">
        <f>IF(E26=0,0,F26/E26)</f>
        <v>0</v>
      </c>
      <c r="J26" s="30" t="inlineStr">
        <is>
          <t>不合格</t>
        </is>
      </c>
      <c r="K26" s="20" t="inlineStr">
        <is>
          <t>数字禁止、2ch定型スレタイの一人称「ワイ」、絵文字、30文字以内</t>
        </is>
      </c>
    </row>
    <row r="27">
      <c r="A27" s="26" t="inlineStr">
        <is>
          <t>2chまとめ</t>
        </is>
      </c>
      <c r="B27" s="26" t="inlineStr">
        <is>
          <t>2026-09-07</t>
        </is>
      </c>
      <c r="C27" s="20" t="inlineStr">
        <is>
          <t>なぜファミマで謎の商品を買ってしまうのか？草 #shorts #2ch #面白いスレ</t>
        </is>
      </c>
      <c r="D27" s="26" t="n">
        <v>22</v>
      </c>
      <c r="E27" s="27" t="n">
        <v>0</v>
      </c>
      <c r="F27" s="27" t="n">
        <v>0</v>
      </c>
      <c r="G27" s="26" t="n">
        <v>0</v>
      </c>
      <c r="H27" s="28">
        <f>IF(E27=0,0,G27/E27*1000)</f>
        <v>0</v>
      </c>
      <c r="I27" s="29">
        <f>IF(E27=0,0,F27/E27)</f>
        <v>0</v>
      </c>
      <c r="J27" s="30" t="inlineStr">
        <is>
          <t>不合格</t>
        </is>
      </c>
      <c r="K27" s="20" t="inlineStr">
        <is>
          <t>数字禁止、30文字以内</t>
        </is>
      </c>
    </row>
    <row r="28">
      <c r="A28" s="26" t="inlineStr">
        <is>
          <t>2chまとめ</t>
        </is>
      </c>
      <c r="B28" s="26" t="inlineStr">
        <is>
          <t>2026-09-07</t>
        </is>
      </c>
      <c r="C28" s="20" t="inlineStr">
        <is>
          <t>ワイ、毎月大金をムダにしてるけど質問ある？ #shorts #2ch #面白いスレ</t>
        </is>
      </c>
      <c r="D28" s="26" t="n">
        <v>21</v>
      </c>
      <c r="E28" s="27" t="n">
        <v>0</v>
      </c>
      <c r="F28" s="27" t="n">
        <v>0</v>
      </c>
      <c r="G28" s="26" t="n">
        <v>0</v>
      </c>
      <c r="H28" s="28">
        <f>IF(E28=0,0,G28/E28*1000)</f>
        <v>0</v>
      </c>
      <c r="I28" s="29">
        <f>IF(E28=0,0,F28/E28)</f>
        <v>0</v>
      </c>
      <c r="J28" s="30" t="inlineStr">
        <is>
          <t>不合格</t>
        </is>
      </c>
      <c r="K28" s="20" t="inlineStr">
        <is>
          <t>数字禁止、2ch定型スレタイの一人称「ワイ」、「質問ある？」型の2ch定型スレタイ、答え提示語が必須</t>
        </is>
      </c>
    </row>
    <row r="29">
      <c r="A29" s="26" t="inlineStr">
        <is>
          <t>2chまとめ</t>
        </is>
      </c>
      <c r="B29" s="26" t="inlineStr">
        <is>
          <t>2026-09-07</t>
        </is>
      </c>
      <c r="C29" s="20" t="inlineStr">
        <is>
          <t>大学サークルで語り継がれる伝説、尾ひれがヤバすぎるw #shorts #2ch #面白いスレ</t>
        </is>
      </c>
      <c r="D29" s="26" t="n">
        <v>26</v>
      </c>
      <c r="E29" s="27" t="n">
        <v>0</v>
      </c>
      <c r="F29" s="27" t="n">
        <v>0</v>
      </c>
      <c r="G29" s="26" t="n">
        <v>0</v>
      </c>
      <c r="H29" s="28">
        <f>IF(E29=0,0,G29/E29*1000)</f>
        <v>0</v>
      </c>
      <c r="I29" s="29">
        <f>IF(E29=0,0,F29/E29)</f>
        <v>0</v>
      </c>
      <c r="J29" s="30" t="inlineStr">
        <is>
          <t>不合格</t>
        </is>
      </c>
      <c r="K29" s="20" t="inlineStr">
        <is>
          <t>数字禁止、答え提示語が必須、30文字以内</t>
        </is>
      </c>
    </row>
    <row r="30">
      <c r="A30" s="26" t="inlineStr">
        <is>
          <t>企業のホンネ</t>
        </is>
      </c>
      <c r="B30" s="26" t="inlineStr">
        <is>
          <t>2026-09-08</t>
        </is>
      </c>
      <c r="C30" s="20" t="inlineStr">
        <is>
          <t>ユニクロ店長、売上1億円を任される仕事の実態 #shorts #企業分析 #年収 #転職</t>
        </is>
      </c>
      <c r="D30" s="26" t="n">
        <v>22</v>
      </c>
      <c r="E30" s="27" t="n">
        <v>0</v>
      </c>
      <c r="F30" s="27" t="n">
        <v>0</v>
      </c>
      <c r="G30" s="26" t="n">
        <v>0</v>
      </c>
      <c r="H30" s="28">
        <f>IF(E30=0,0,G30/E30*1000)</f>
        <v>0</v>
      </c>
      <c r="I30" s="29">
        <f>IF(E30=0,0,F30/E30)</f>
        <v>0</v>
      </c>
      <c r="J30" s="30" t="inlineStr">
        <is>
          <t>不合格</t>
        </is>
      </c>
      <c r="K30" s="20" t="inlineStr">
        <is>
          <t>34文字以内</t>
        </is>
      </c>
    </row>
    <row r="31">
      <c r="A31" s="26" t="inlineStr">
        <is>
          <t>企業のホンネ</t>
        </is>
      </c>
      <c r="B31" s="26" t="inlineStr">
        <is>
          <t>2026-09-08</t>
        </is>
      </c>
      <c r="C31" s="20" t="inlineStr">
        <is>
          <t>NTTデータの年収905万円、実は在宅勤務の裏側 #shorts #企業分析 #年収 #転職</t>
        </is>
      </c>
      <c r="D31" s="26" t="n">
        <v>24</v>
      </c>
      <c r="E31" s="27" t="n">
        <v>0</v>
      </c>
      <c r="F31" s="27" t="n">
        <v>0</v>
      </c>
      <c r="G31" s="26" t="n">
        <v>0</v>
      </c>
      <c r="H31" s="28">
        <f>IF(E31=0,0,G31/E31*1000)</f>
        <v>0</v>
      </c>
      <c r="I31" s="29">
        <f>IF(E31=0,0,F31/E31)</f>
        <v>0</v>
      </c>
      <c r="J31" s="30" t="inlineStr">
        <is>
          <t>不合格</t>
        </is>
      </c>
      <c r="K31" s="20" t="inlineStr">
        <is>
          <t>34文字以内</t>
        </is>
      </c>
    </row>
    <row r="32">
      <c r="A32" s="26" t="inlineStr">
        <is>
          <t>企業のホンネ</t>
        </is>
      </c>
      <c r="B32" s="26" t="inlineStr">
        <is>
          <t>2026-09-07</t>
        </is>
      </c>
      <c r="C32" s="20" t="inlineStr">
        <is>
          <t>大和ハウス工業の年収1000万円超、残業の実態がヤバい #shorts #企業分析 #年収 #転職</t>
        </is>
      </c>
      <c r="D32" s="26" t="n">
        <v>27</v>
      </c>
      <c r="E32" s="27" t="n">
        <v>0</v>
      </c>
      <c r="F32" s="27" t="n">
        <v>0</v>
      </c>
      <c r="G32" s="26" t="n">
        <v>0</v>
      </c>
      <c r="H32" s="28">
        <f>IF(E32=0,0,G32/E32*1000)</f>
        <v>0</v>
      </c>
      <c r="I32" s="29">
        <f>IF(E32=0,0,F32/E32)</f>
        <v>0</v>
      </c>
      <c r="J32" s="30" t="inlineStr">
        <is>
          <t>不合格</t>
        </is>
      </c>
      <c r="K32" s="20" t="inlineStr">
        <is>
          <t>34文字以内</t>
        </is>
      </c>
    </row>
    <row r="33">
      <c r="A33" s="26" t="inlineStr">
        <is>
          <t>企業のホンネ</t>
        </is>
      </c>
      <c r="B33" s="26" t="inlineStr">
        <is>
          <t>2026-09-07</t>
        </is>
      </c>
      <c r="C33" s="20" t="inlineStr">
        <is>
          <t>日本郵政の年収、職種で2倍差がつく理由 #shorts #企業分析 #年収 #転職</t>
        </is>
      </c>
      <c r="D33" s="31" t="n">
        <v>19</v>
      </c>
      <c r="E33" s="27" t="n">
        <v>0</v>
      </c>
      <c r="F33" s="27" t="n">
        <v>0</v>
      </c>
      <c r="G33" s="26" t="n">
        <v>0</v>
      </c>
      <c r="H33" s="28">
        <f>IF(E33=0,0,G33/E33*1000)</f>
        <v>0</v>
      </c>
      <c r="I33" s="29">
        <f>IF(E33=0,0,F33/E33)</f>
        <v>0</v>
      </c>
      <c r="J33" s="30" t="inlineStr">
        <is>
          <t>不合格</t>
        </is>
      </c>
      <c r="K33" s="20" t="inlineStr">
        <is>
          <t>34文字以内、実質20文字以上</t>
        </is>
      </c>
    </row>
    <row r="34">
      <c r="A34" s="26" t="inlineStr">
        <is>
          <t>企業のホンネ</t>
        </is>
      </c>
      <c r="B34" s="26" t="inlineStr">
        <is>
          <t>2026-09-07</t>
        </is>
      </c>
      <c r="C34" s="20" t="inlineStr">
        <is>
          <t>サイゼリヤの原価率が社員年収に与える意外な影響 #shorts #企業分析 #年収 #転職</t>
        </is>
      </c>
      <c r="D34" s="26" t="n">
        <v>23</v>
      </c>
      <c r="E34" s="27" t="n">
        <v>0</v>
      </c>
      <c r="F34" s="27" t="n">
        <v>0</v>
      </c>
      <c r="G34" s="26" t="n">
        <v>0</v>
      </c>
      <c r="H34" s="28">
        <f>IF(E34=0,0,G34/E34*1000)</f>
        <v>0</v>
      </c>
      <c r="I34" s="29">
        <f>IF(E34=0,0,F34/E34)</f>
        <v>0</v>
      </c>
      <c r="J34" s="30" t="inlineStr">
        <is>
          <t>不合格</t>
        </is>
      </c>
      <c r="K34" s="20" t="inlineStr">
        <is>
          <t>答え提示語が必須、34文字以内</t>
        </is>
      </c>
    </row>
    <row r="35">
      <c r="A35" s="26" t="inlineStr">
        <is>
          <t>切り抜きラボ（ひろゆき）</t>
        </is>
      </c>
      <c r="B35" s="26" t="inlineStr">
        <is>
          <t>2026-09-08</t>
        </is>
      </c>
      <c r="C35" s="20" t="inlineStr">
        <is>
          <t>リアルロボの操縦席は 腰の位置にある #shorts #切り抜き</t>
        </is>
      </c>
      <c r="D35" s="31" t="n">
        <v>18</v>
      </c>
      <c r="E35" s="27" t="n">
        <v>0</v>
      </c>
      <c r="F35" s="27" t="n">
        <v>0</v>
      </c>
      <c r="G35" s="26" t="n">
        <v>0</v>
      </c>
      <c r="H35" s="28">
        <f>IF(E35=0,0,G35/E35*1000)</f>
        <v>0</v>
      </c>
      <c r="I35" s="29">
        <f>IF(E35=0,0,F35/E35)</f>
        <v>0</v>
      </c>
      <c r="J35" s="32" t="inlineStr">
        <is>
          <t>合格</t>
        </is>
      </c>
      <c r="K35" s="20" t="inlineStr"/>
    </row>
    <row r="36">
      <c r="A36" s="26" t="inlineStr">
        <is>
          <t>切り抜きラボ（ひろゆき）</t>
        </is>
      </c>
      <c r="B36" s="26" t="inlineStr">
        <is>
          <t>2026-09-08</t>
        </is>
      </c>
      <c r="C36" s="20" t="inlineStr">
        <is>
          <t>米国景気は 良くないかもしれない #shorts #切り抜き</t>
        </is>
      </c>
      <c r="D36" s="31" t="n">
        <v>16</v>
      </c>
      <c r="E36" s="27" t="n">
        <v>0</v>
      </c>
      <c r="F36" s="27" t="n">
        <v>0</v>
      </c>
      <c r="G36" s="26" t="n">
        <v>0</v>
      </c>
      <c r="H36" s="28">
        <f>IF(E36=0,0,G36/E36*1000)</f>
        <v>0</v>
      </c>
      <c r="I36" s="29">
        <f>IF(E36=0,0,F36/E36)</f>
        <v>0</v>
      </c>
      <c r="J36" s="32" t="inlineStr">
        <is>
          <t>合格</t>
        </is>
      </c>
      <c r="K36" s="20" t="inlineStr"/>
    </row>
    <row r="37">
      <c r="A37" s="26" t="inlineStr">
        <is>
          <t>切り抜きラボ（ひろゆき）</t>
        </is>
      </c>
      <c r="B37" s="26" t="inlineStr">
        <is>
          <t>2026-09-07</t>
        </is>
      </c>
      <c r="C37" s="20" t="inlineStr">
        <is>
          <t>資産500万円で一生暮らすのは厳しい #shorts #切り抜き</t>
        </is>
      </c>
      <c r="D37" s="31" t="n">
        <v>18</v>
      </c>
      <c r="E37" s="27" t="n">
        <v>0</v>
      </c>
      <c r="F37" s="27" t="n">
        <v>0</v>
      </c>
      <c r="G37" s="26" t="n">
        <v>0</v>
      </c>
      <c r="H37" s="28">
        <f>IF(E37=0,0,G37/E37*1000)</f>
        <v>0</v>
      </c>
      <c r="I37" s="29">
        <f>IF(E37=0,0,F37/E37)</f>
        <v>0</v>
      </c>
      <c r="J37" s="32" t="inlineStr">
        <is>
          <t>合格</t>
        </is>
      </c>
      <c r="K37" s="20" t="inlineStr"/>
    </row>
    <row r="38">
      <c r="A38" s="26" t="inlineStr">
        <is>
          <t>切り抜きラボ（ひろゆき）</t>
        </is>
      </c>
      <c r="B38" s="26" t="inlineStr">
        <is>
          <t>2026-09-07</t>
        </is>
      </c>
      <c r="C38" s="20" t="inlineStr">
        <is>
          <t>視聴データが導く 「定番ストーリー」 #shorts #切り抜き</t>
        </is>
      </c>
      <c r="D38" s="31" t="n">
        <v>18</v>
      </c>
      <c r="E38" s="27" t="n">
        <v>0</v>
      </c>
      <c r="F38" s="27" t="n">
        <v>0</v>
      </c>
      <c r="G38" s="26" t="n">
        <v>0</v>
      </c>
      <c r="H38" s="28">
        <f>IF(E38=0,0,G38/E38*1000)</f>
        <v>0</v>
      </c>
      <c r="I38" s="29">
        <f>IF(E38=0,0,F38/E38)</f>
        <v>0</v>
      </c>
      <c r="J38" s="32" t="inlineStr">
        <is>
          <t>合格</t>
        </is>
      </c>
      <c r="K38" s="20" t="inlineStr"/>
    </row>
    <row r="39">
      <c r="A39" s="26" t="inlineStr">
        <is>
          <t>切り抜きラボ（ひろゆき）</t>
        </is>
      </c>
      <c r="B39" s="26" t="inlineStr">
        <is>
          <t>2026-09-06</t>
        </is>
      </c>
      <c r="C39" s="20" t="inlineStr">
        <is>
          <t>アラフォー資産500万なら まず生活を優先 #shorts #切り抜き</t>
        </is>
      </c>
      <c r="D39" s="26" t="n">
        <v>21</v>
      </c>
      <c r="E39" s="27" t="n">
        <v>0</v>
      </c>
      <c r="F39" s="27" t="n">
        <v>0</v>
      </c>
      <c r="G39" s="26" t="n">
        <v>0</v>
      </c>
      <c r="H39" s="28">
        <f>IF(E39=0,0,G39/E39*1000)</f>
        <v>0</v>
      </c>
      <c r="I39" s="29">
        <f>IF(E39=0,0,F39/E39)</f>
        <v>0</v>
      </c>
      <c r="J39" s="32" t="inlineStr">
        <is>
          <t>合格</t>
        </is>
      </c>
      <c r="K39" s="20" t="inlineStr"/>
    </row>
    <row r="40">
      <c r="A40" s="26" t="inlineStr">
        <is>
          <t>深田えいみ 切り抜き</t>
        </is>
      </c>
      <c r="B40" s="26" t="inlineStr">
        <is>
          <t>2026-09-08</t>
        </is>
      </c>
      <c r="C40" s="20" t="inlineStr">
        <is>
          <t>カミソリで剃った結果、地獄だった #shorts #切り抜き</t>
        </is>
      </c>
      <c r="D40" s="31" t="n">
        <v>16</v>
      </c>
      <c r="E40" s="27" t="n">
        <v>0</v>
      </c>
      <c r="F40" s="27" t="n">
        <v>0</v>
      </c>
      <c r="G40" s="26" t="n">
        <v>0</v>
      </c>
      <c r="H40" s="28">
        <f>IF(E40=0,0,G40/E40*1000)</f>
        <v>0</v>
      </c>
      <c r="I40" s="29">
        <f>IF(E40=0,0,F40/E40)</f>
        <v>0</v>
      </c>
      <c r="J40" s="32" t="inlineStr">
        <is>
          <t>合格</t>
        </is>
      </c>
      <c r="K40" s="20" t="inlineStr"/>
    </row>
    <row r="41">
      <c r="A41" s="26" t="inlineStr">
        <is>
          <t>深田えいみ 切り抜き</t>
        </is>
      </c>
      <c r="B41" s="26" t="inlineStr">
        <is>
          <t>2026-09-08</t>
        </is>
      </c>
      <c r="C41" s="20" t="inlineStr">
        <is>
          <t>寝ながら腹筋を3部位鍛える #shorts #切り抜き</t>
        </is>
      </c>
      <c r="D41" s="31" t="n">
        <v>13</v>
      </c>
      <c r="E41" s="27" t="n">
        <v>0</v>
      </c>
      <c r="F41" s="27" t="n">
        <v>0</v>
      </c>
      <c r="G41" s="26" t="n">
        <v>0</v>
      </c>
      <c r="H41" s="28">
        <f>IF(E41=0,0,G41/E41*1000)</f>
        <v>0</v>
      </c>
      <c r="I41" s="29">
        <f>IF(E41=0,0,F41/E41)</f>
        <v>0</v>
      </c>
      <c r="J41" s="32" t="inlineStr">
        <is>
          <t>合格</t>
        </is>
      </c>
      <c r="K41" s="20" t="inlineStr"/>
    </row>
    <row r="42">
      <c r="A42" s="26" t="inlineStr">
        <is>
          <t>深田えいみ 切り抜き</t>
        </is>
      </c>
      <c r="B42" s="26" t="inlineStr">
        <is>
          <t>2026-09-07</t>
        </is>
      </c>
      <c r="C42" s="20" t="inlineStr">
        <is>
          <t>クレンジングで落とし切らないと 洗顔しても落ちにくい #shorts #切り抜き</t>
        </is>
      </c>
      <c r="D42" s="26" t="n">
        <v>26</v>
      </c>
      <c r="E42" s="27" t="n">
        <v>0</v>
      </c>
      <c r="F42" s="27" t="n">
        <v>0</v>
      </c>
      <c r="G42" s="26" t="n">
        <v>0</v>
      </c>
      <c r="H42" s="28">
        <f>IF(E42=0,0,G42/E42*1000)</f>
        <v>0</v>
      </c>
      <c r="I42" s="29">
        <f>IF(E42=0,0,F42/E42)</f>
        <v>0</v>
      </c>
      <c r="J42" s="32" t="inlineStr">
        <is>
          <t>合格</t>
        </is>
      </c>
      <c r="K42" s="20" t="inlineStr"/>
    </row>
    <row r="43">
      <c r="A43" s="26" t="inlineStr">
        <is>
          <t>深田えいみ 切り抜き</t>
        </is>
      </c>
      <c r="B43" s="26" t="inlineStr">
        <is>
          <t>2026-09-07</t>
        </is>
      </c>
      <c r="C43" s="20" t="inlineStr">
        <is>
          <t>毎日体重を記録して 増減を意識する #shorts #切り抜き</t>
        </is>
      </c>
      <c r="D43" s="31" t="n">
        <v>17</v>
      </c>
      <c r="E43" s="27" t="n">
        <v>0</v>
      </c>
      <c r="F43" s="27" t="n">
        <v>0</v>
      </c>
      <c r="G43" s="26" t="n">
        <v>0</v>
      </c>
      <c r="H43" s="28">
        <f>IF(E43=0,0,G43/E43*1000)</f>
        <v>0</v>
      </c>
      <c r="I43" s="29">
        <f>IF(E43=0,0,F43/E43)</f>
        <v>0</v>
      </c>
      <c r="J43" s="32" t="inlineStr">
        <is>
          <t>合格</t>
        </is>
      </c>
      <c r="K43" s="20" t="inlineStr"/>
    </row>
    <row r="44">
      <c r="A44" s="26" t="inlineStr">
        <is>
          <t>深田えいみ 切り抜き</t>
        </is>
      </c>
      <c r="B44" s="26" t="inlineStr">
        <is>
          <t>2026-09-06</t>
        </is>
      </c>
      <c r="C44" s="20" t="inlineStr">
        <is>
          <t>どの下地よりも 圧倒的に崩れにくかった #shorts #切り抜き</t>
        </is>
      </c>
      <c r="D44" s="31" t="n">
        <v>19</v>
      </c>
      <c r="E44" s="27" t="n">
        <v>0</v>
      </c>
      <c r="F44" s="27" t="n">
        <v>0</v>
      </c>
      <c r="G44" s="26" t="n">
        <v>0</v>
      </c>
      <c r="H44" s="28">
        <f>IF(E44=0,0,G44/E44*1000)</f>
        <v>0</v>
      </c>
      <c r="I44" s="29">
        <f>IF(E44=0,0,F44/E44)</f>
        <v>0</v>
      </c>
      <c r="J44" s="32" t="inlineStr">
        <is>
          <t>合格</t>
        </is>
      </c>
      <c r="K44" s="20" t="inlineStr"/>
    </row>
    <row r="45">
      <c r="A45" s="26" t="inlineStr">
        <is>
          <t>金子みゆ 切り抜き</t>
        </is>
      </c>
      <c r="B45" s="26" t="inlineStr">
        <is>
          <t>2026-09-08</t>
        </is>
      </c>
      <c r="C45" s="20" t="inlineStr">
        <is>
          <t>身長を測ったら161cmだった #shorts #切り抜き</t>
        </is>
      </c>
      <c r="D45" s="31" t="n">
        <v>15</v>
      </c>
      <c r="E45" s="27" t="n">
        <v>0</v>
      </c>
      <c r="F45" s="27" t="n">
        <v>0</v>
      </c>
      <c r="G45" s="26" t="n">
        <v>0</v>
      </c>
      <c r="H45" s="28">
        <f>IF(E45=0,0,G45/E45*1000)</f>
        <v>0</v>
      </c>
      <c r="I45" s="29">
        <f>IF(E45=0,0,F45/E45)</f>
        <v>0</v>
      </c>
      <c r="J45" s="32" t="inlineStr">
        <is>
          <t>合格</t>
        </is>
      </c>
      <c r="K45" s="20" t="inlineStr"/>
    </row>
    <row r="46">
      <c r="A46" s="26" t="inlineStr">
        <is>
          <t>金子みゆ 切り抜き</t>
        </is>
      </c>
      <c r="B46" s="26" t="inlineStr">
        <is>
          <t>2026-09-08</t>
        </is>
      </c>
      <c r="C46" s="20" t="inlineStr">
        <is>
          <t>愛用中のパックが プレゼントに入ってた #shorts #切り抜き</t>
        </is>
      </c>
      <c r="D46" s="31" t="n">
        <v>19</v>
      </c>
      <c r="E46" s="27" t="n">
        <v>0</v>
      </c>
      <c r="F46" s="27" t="n">
        <v>0</v>
      </c>
      <c r="G46" s="26" t="n">
        <v>0</v>
      </c>
      <c r="H46" s="28">
        <f>IF(E46=0,0,G46/E46*1000)</f>
        <v>0</v>
      </c>
      <c r="I46" s="29">
        <f>IF(E46=0,0,F46/E46)</f>
        <v>0</v>
      </c>
      <c r="J46" s="32" t="inlineStr">
        <is>
          <t>合格</t>
        </is>
      </c>
      <c r="K46" s="20" t="inlineStr"/>
    </row>
    <row r="47">
      <c r="A47" s="26" t="inlineStr">
        <is>
          <t>金子みゆ 切り抜き</t>
        </is>
      </c>
      <c r="B47" s="26" t="inlineStr">
        <is>
          <t>2026-09-07</t>
        </is>
      </c>
      <c r="C47" s="20" t="inlineStr">
        <is>
          <t>PayPayが使えない店で 現金を持っていなかった #shorts #切り抜き</t>
        </is>
      </c>
      <c r="D47" s="26" t="n">
        <v>25</v>
      </c>
      <c r="E47" s="27" t="n">
        <v>0</v>
      </c>
      <c r="F47" s="27" t="n">
        <v>0</v>
      </c>
      <c r="G47" s="26" t="n">
        <v>0</v>
      </c>
      <c r="H47" s="28">
        <f>IF(E47=0,0,G47/E47*1000)</f>
        <v>0</v>
      </c>
      <c r="I47" s="29">
        <f>IF(E47=0,0,F47/E47)</f>
        <v>0</v>
      </c>
      <c r="J47" s="32" t="inlineStr">
        <is>
          <t>合格</t>
        </is>
      </c>
      <c r="K47" s="20" t="inlineStr"/>
    </row>
    <row r="48">
      <c r="A48" s="26" t="inlineStr">
        <is>
          <t>金子みゆ 切り抜き</t>
        </is>
      </c>
      <c r="B48" s="26" t="inlineStr">
        <is>
          <t>2026-09-07</t>
        </is>
      </c>
      <c r="C48" s="20" t="inlineStr">
        <is>
          <t>70歳を過ぎて気づいた 人それぞれの受け止め方 #shorts #切り抜き</t>
        </is>
      </c>
      <c r="D48" s="26" t="n">
        <v>23</v>
      </c>
      <c r="E48" s="27" t="n">
        <v>0</v>
      </c>
      <c r="F48" s="27" t="n">
        <v>0</v>
      </c>
      <c r="G48" s="26" t="n">
        <v>0</v>
      </c>
      <c r="H48" s="28">
        <f>IF(E48=0,0,G48/E48*1000)</f>
        <v>0</v>
      </c>
      <c r="I48" s="29">
        <f>IF(E48=0,0,F48/E48)</f>
        <v>0</v>
      </c>
      <c r="J48" s="32" t="inlineStr">
        <is>
          <t>合格</t>
        </is>
      </c>
      <c r="K48" s="20" t="inlineStr"/>
    </row>
    <row r="49">
      <c r="A49" s="26" t="inlineStr">
        <is>
          <t>金子みゆ 切り抜き</t>
        </is>
      </c>
      <c r="B49" s="26" t="inlineStr">
        <is>
          <t>2026-09-06</t>
        </is>
      </c>
      <c r="C49" s="20" t="inlineStr">
        <is>
          <t>サッカーに詳しい人は 恋愛対象として嬉しい #shorts #切り抜き</t>
        </is>
      </c>
      <c r="D49" s="26" t="n">
        <v>21</v>
      </c>
      <c r="E49" s="27" t="n">
        <v>0</v>
      </c>
      <c r="F49" s="27" t="n">
        <v>0</v>
      </c>
      <c r="G49" s="26" t="n">
        <v>0</v>
      </c>
      <c r="H49" s="28">
        <f>IF(E49=0,0,G49/E49*1000)</f>
        <v>0</v>
      </c>
      <c r="I49" s="29">
        <f>IF(E49=0,0,F49/E49)</f>
        <v>0</v>
      </c>
      <c r="J49" s="32" t="inlineStr">
        <is>
          <t>合格</t>
        </is>
      </c>
      <c r="K49" s="20" t="inlineStr"/>
    </row>
    <row r="50">
      <c r="A50" s="26" t="inlineStr">
        <is>
          <t>架空論文</t>
        </is>
      </c>
      <c r="B50" s="26" t="inlineStr">
        <is>
          <t>2026-09-06</t>
        </is>
      </c>
      <c r="C50" s="20" t="inlineStr">
        <is>
          <t>なぜエスカレーター右側は左側より0.7度高いのか？ #shorts #架空論文</t>
        </is>
      </c>
      <c r="D50" s="26" t="n">
        <v>25</v>
      </c>
      <c r="E50" s="27" t="n">
        <v>0</v>
      </c>
      <c r="F50" s="27" t="n">
        <v>0</v>
      </c>
      <c r="G50" s="26" t="n">
        <v>0</v>
      </c>
      <c r="H50" s="28">
        <f>IF(E50=0,0,G50/E50*1000)</f>
        <v>0</v>
      </c>
      <c r="I50" s="29">
        <f>IF(E50=0,0,F50/E50)</f>
        <v>0</v>
      </c>
      <c r="J50" s="32" t="inlineStr">
        <is>
          <t>合格</t>
        </is>
      </c>
      <c r="K50" s="20" t="inlineStr"/>
    </row>
    <row r="51">
      <c r="A51" s="26" t="inlineStr">
        <is>
          <t>架空論文</t>
        </is>
      </c>
      <c r="B51" s="26" t="inlineStr">
        <is>
          <t>2026-09-06</t>
        </is>
      </c>
      <c r="C51" s="20" t="inlineStr">
        <is>
          <t>早口の正体遅れて聞こえる #shorts #架空論文</t>
        </is>
      </c>
      <c r="D51" s="31" t="n">
        <v>12</v>
      </c>
      <c r="E51" s="27" t="n">
        <v>0</v>
      </c>
      <c r="F51" s="27" t="n">
        <v>0</v>
      </c>
      <c r="G51" s="26" t="n">
        <v>0</v>
      </c>
      <c r="H51" s="28">
        <f>IF(E51=0,0,G51/E51*1000)</f>
        <v>0</v>
      </c>
      <c r="I51" s="29">
        <f>IF(E51=0,0,F51/E51)</f>
        <v>0</v>
      </c>
      <c r="J51" s="30" t="inlineStr">
        <is>
          <t>不合格</t>
        </is>
      </c>
      <c r="K51" s="20" t="inlineStr">
        <is>
          <t>実質20文字以上</t>
        </is>
      </c>
    </row>
    <row r="52">
      <c r="A52" s="26" t="inlineStr">
        <is>
          <t>架空論文</t>
        </is>
      </c>
      <c r="B52" s="26" t="inlineStr">
        <is>
          <t>2026-09-06</t>
        </is>
      </c>
      <c r="C52" s="20" t="inlineStr">
        <is>
          <t>下りだけ段が消える #shorts #架空論文</t>
        </is>
      </c>
      <c r="D52" s="31" t="n">
        <v>9</v>
      </c>
      <c r="E52" s="27" t="n">
        <v>0</v>
      </c>
      <c r="F52" s="27" t="n">
        <v>0</v>
      </c>
      <c r="G52" s="26" t="n">
        <v>0</v>
      </c>
      <c r="H52" s="28">
        <f>IF(E52=0,0,G52/E52*1000)</f>
        <v>0</v>
      </c>
      <c r="I52" s="29">
        <f>IF(E52=0,0,F52/E52)</f>
        <v>0</v>
      </c>
      <c r="J52" s="30" t="inlineStr">
        <is>
          <t>不合格</t>
        </is>
      </c>
      <c r="K52" s="20" t="inlineStr">
        <is>
          <t>実質20文字以上</t>
        </is>
      </c>
    </row>
    <row r="53">
      <c r="A53" s="26" t="inlineStr">
        <is>
          <t>架空論文</t>
        </is>
      </c>
      <c r="B53" s="26" t="inlineStr">
        <is>
          <t>2026-09-05</t>
        </is>
      </c>
      <c r="C53" s="20" t="inlineStr">
        <is>
          <t>古い消しゴムほど字が濃く消える？摩耗面731個の検証 #shorts #架空論文</t>
        </is>
      </c>
      <c r="D53" s="26" t="n">
        <v>26</v>
      </c>
      <c r="E53" s="27" t="n">
        <v>0</v>
      </c>
      <c r="F53" s="27" t="n">
        <v>0</v>
      </c>
      <c r="G53" s="26" t="n">
        <v>0</v>
      </c>
      <c r="H53" s="28">
        <f>IF(E53=0,0,G53/E53*1000)</f>
        <v>0</v>
      </c>
      <c r="I53" s="29">
        <f>IF(E53=0,0,F53/E53)</f>
        <v>0</v>
      </c>
      <c r="J53" s="32" t="inlineStr">
        <is>
          <t>合格</t>
        </is>
      </c>
      <c r="K53" s="20" t="inlineStr"/>
    </row>
    <row r="54">
      <c r="A54" s="26" t="inlineStr">
        <is>
          <t>架空論文</t>
        </is>
      </c>
      <c r="B54" s="26" t="inlineStr">
        <is>
          <t>2026-09-05</t>
        </is>
      </c>
      <c r="C54" s="20" t="inlineStr">
        <is>
          <t>雨の匂いで眠りが変わる #shorts #架空論文</t>
        </is>
      </c>
      <c r="D54" s="31" t="n">
        <v>11</v>
      </c>
      <c r="E54" s="27" t="n">
        <v>0</v>
      </c>
      <c r="F54" s="27" t="n">
        <v>0</v>
      </c>
      <c r="G54" s="26" t="n">
        <v>0</v>
      </c>
      <c r="H54" s="28">
        <f>IF(E54=0,0,G54/E54*1000)</f>
        <v>0</v>
      </c>
      <c r="I54" s="29">
        <f>IF(E54=0,0,F54/E54)</f>
        <v>0</v>
      </c>
      <c r="J54" s="30" t="inlineStr">
        <is>
          <t>不合格</t>
        </is>
      </c>
      <c r="K54" s="20" t="inlineStr">
        <is>
          <t>実質20文字以上</t>
        </is>
      </c>
    </row>
    <row r="55">
      <c r="A55" s="26" t="inlineStr">
        <is>
          <t>ラグナロクの司書</t>
        </is>
      </c>
      <c r="B55" s="26" t="inlineStr">
        <is>
          <t>2026-09-06</t>
        </is>
      </c>
      <c r="C55" s="20" t="inlineStr">
        <is>
          <t>一人で止まる全員の決定 #shorts #社会学 #人間心理</t>
        </is>
      </c>
      <c r="D55" s="31" t="n">
        <v>11</v>
      </c>
      <c r="E55" s="27" t="n">
        <v>0</v>
      </c>
      <c r="F55" s="27" t="n">
        <v>0</v>
      </c>
      <c r="G55" s="26" t="n">
        <v>0</v>
      </c>
      <c r="H55" s="28">
        <f>IF(E55=0,0,G55/E55*1000)</f>
        <v>0</v>
      </c>
      <c r="I55" s="29">
        <f>IF(E55=0,0,F55/E55)</f>
        <v>0</v>
      </c>
      <c r="J55" s="30" t="inlineStr">
        <is>
          <t>不合格</t>
        </is>
      </c>
      <c r="K55" s="20" t="inlineStr">
        <is>
          <t>答え提示語が必須、実質20文字以上</t>
        </is>
      </c>
    </row>
    <row r="56">
      <c r="A56" s="26" t="inlineStr">
        <is>
          <t>ラグナロクの司書</t>
        </is>
      </c>
      <c r="B56" s="26" t="inlineStr">
        <is>
          <t>2026-09-06</t>
        </is>
      </c>
      <c r="C56" s="20" t="inlineStr">
        <is>
          <t>予定が多い休めない理由 #shorts #社会学 #人間心理</t>
        </is>
      </c>
      <c r="D56" s="31" t="n">
        <v>11</v>
      </c>
      <c r="E56" s="27" t="n">
        <v>0</v>
      </c>
      <c r="F56" s="27" t="n">
        <v>0</v>
      </c>
      <c r="G56" s="26" t="n">
        <v>0</v>
      </c>
      <c r="H56" s="28">
        <f>IF(E56=0,0,G56/E56*1000)</f>
        <v>0</v>
      </c>
      <c r="I56" s="29">
        <f>IF(E56=0,0,F56/E56)</f>
        <v>0</v>
      </c>
      <c r="J56" s="30" t="inlineStr">
        <is>
          <t>不合格</t>
        </is>
      </c>
      <c r="K56" s="20" t="inlineStr">
        <is>
          <t>実質20文字以上</t>
        </is>
      </c>
    </row>
    <row r="57">
      <c r="A57" s="26" t="inlineStr">
        <is>
          <t>ラグナロクの司書</t>
        </is>
      </c>
      <c r="B57" s="26" t="inlineStr">
        <is>
          <t>2026-09-06</t>
        </is>
      </c>
      <c r="C57" s="20" t="inlineStr">
        <is>
          <t>なぜ失った3時間だけ？人はやめるほどさらに時間を注ぐのか #shorts #社会学 #人間心理</t>
        </is>
      </c>
      <c r="D57" s="26" t="n">
        <v>28</v>
      </c>
      <c r="E57" s="27" t="n">
        <v>0</v>
      </c>
      <c r="F57" s="27" t="n">
        <v>0</v>
      </c>
      <c r="G57" s="26" t="n">
        <v>0</v>
      </c>
      <c r="H57" s="28">
        <f>IF(E57=0,0,G57/E57*1000)</f>
        <v>0</v>
      </c>
      <c r="I57" s="29">
        <f>IF(E57=0,0,F57/E57)</f>
        <v>0</v>
      </c>
      <c r="J57" s="30" t="inlineStr">
        <is>
          <t>不合格</t>
        </is>
      </c>
      <c r="K57" s="20" t="inlineStr">
        <is>
          <t>36文字以内</t>
        </is>
      </c>
    </row>
    <row r="58">
      <c r="A58" s="26" t="inlineStr">
        <is>
          <t>ラグナロクの司書</t>
        </is>
      </c>
      <c r="B58" s="26" t="inlineStr">
        <is>
          <t>2026-09-05</t>
        </is>
      </c>
      <c r="C58" s="20" t="inlineStr">
        <is>
          <t>なぜ通知だけ？消した直後にまた開く本当の理由 #shorts #社会学 #人間心理</t>
        </is>
      </c>
      <c r="D58" s="26" t="n">
        <v>22</v>
      </c>
      <c r="E58" s="27" t="n">
        <v>0</v>
      </c>
      <c r="F58" s="27" t="n">
        <v>0</v>
      </c>
      <c r="G58" s="26" t="n">
        <v>0</v>
      </c>
      <c r="H58" s="28">
        <f>IF(E58=0,0,G58/E58*1000)</f>
        <v>0</v>
      </c>
      <c r="I58" s="29">
        <f>IF(E58=0,0,F58/E58)</f>
        <v>0</v>
      </c>
      <c r="J58" s="30" t="inlineStr">
        <is>
          <t>不合格</t>
        </is>
      </c>
      <c r="K58" s="20" t="inlineStr">
        <is>
          <t>36文字以内</t>
        </is>
      </c>
    </row>
    <row r="59">
      <c r="A59" s="26" t="inlineStr">
        <is>
          <t>ラグナロクの司書</t>
        </is>
      </c>
      <c r="B59" s="26" t="inlineStr">
        <is>
          <t>2026-09-05</t>
        </is>
      </c>
      <c r="C59" s="20" t="inlineStr">
        <is>
          <t>なぜ無料だけ？誰かが黙って払うサービスの本当の理由 #shorts #社会学 #人間心理</t>
        </is>
      </c>
      <c r="D59" s="26" t="n">
        <v>25</v>
      </c>
      <c r="E59" s="27" t="n">
        <v>0</v>
      </c>
      <c r="F59" s="27" t="n">
        <v>0</v>
      </c>
      <c r="G59" s="26" t="n">
        <v>0</v>
      </c>
      <c r="H59" s="28">
        <f>IF(E59=0,0,G59/E59*1000)</f>
        <v>0</v>
      </c>
      <c r="I59" s="29">
        <f>IF(E59=0,0,F59/E59)</f>
        <v>0</v>
      </c>
      <c r="J59" s="30" t="inlineStr">
        <is>
          <t>不合格</t>
        </is>
      </c>
      <c r="K59" s="20" t="inlineStr">
        <is>
          <t>36文字以内</t>
        </is>
      </c>
    </row>
    <row r="61">
      <c r="A61" s="3" t="inlineStr">
        <is>
          <t>集計</t>
        </is>
      </c>
      <c r="C61" s="33" t="inlineStr">
        <is>
          <t>ゲート合格の本数</t>
        </is>
      </c>
      <c r="D61" s="15">
        <f>COUNTIF(J5:J59,"合格")</f>
        <v>17</v>
      </c>
      <c r="E61" s="5">
        <f>COUNTA(J5:J59)</f>
        <v>55</v>
      </c>
      <c r="F61" s="25">
        <f>IF(E61=0,0,D61/E61)</f>
        <v>0.3090909090909091</v>
      </c>
    </row>
    <row r="62">
      <c r="C62" s="33" t="inlineStr">
        <is>
          <t>実効20字未満の本数</t>
        </is>
      </c>
      <c r="D62" s="15">
        <f>COUNTIF(D5:D59,"&lt;20")</f>
        <v>20</v>
      </c>
      <c r="E62" s="5">
        <f>COUNT(D5:D59)</f>
        <v>55</v>
      </c>
      <c r="F62" s="25">
        <f>IF(E62=0,0,D62/E62)</f>
        <v>0.36363636363636365</v>
      </c>
    </row>
    <row r="63">
      <c r="C63" s="33" t="inlineStr">
        <is>
          <t>実効文字数の平均</t>
        </is>
      </c>
      <c r="D63" s="34">
        <f>AVERAGE(D5:D59)</f>
        <v>21.036363636363635</v>
      </c>
    </row>
    <row r="65" ht="40" customHeight="1">
      <c r="A65" s="2" t="inlineStr">
        <is>
          <t>注: ここでの「不合格」は過去に公開済みの動画を現在のゲートで測り直した結果であり、公開当時は該当のゲートがまだ存在しなかった。ゲートの効果判定には使えない（09-09 以降の公開が4本しかなく、うち analytics に載ったものは0本のため、本日時点でゲートの効果は測定不能）。</t>
        </is>
      </c>
    </row>
  </sheetData>
  <mergeCells count="2">
    <mergeCell ref="A65:K65"/>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workbookViewId="0">
      <pane ySplit="4" topLeftCell="A5" activePane="bottomLeft" state="frozen"/>
      <selection pane="bottomLeft" activeCell="A1" sqref="A1"/>
    </sheetView>
  </sheetViews>
  <sheetFormatPr baseColWidth="8" defaultRowHeight="15"/>
  <cols>
    <col width="7" customWidth="1" min="1" max="1"/>
    <col width="20" customWidth="1" min="2" max="2"/>
    <col width="42" customWidth="1" min="3" max="3"/>
    <col width="52" customWidth="1" min="4" max="4"/>
    <col width="16" customWidth="1" min="5" max="5"/>
    <col width="56" customWidth="1" min="6" max="6"/>
  </cols>
  <sheetData>
    <row r="1">
      <c r="A1" s="1" t="inlineStr">
        <is>
          <t>改善提案 — 2026-09-12</t>
        </is>
      </c>
    </row>
    <row r="2" ht="32" customHeight="1">
      <c r="A2" s="2" t="inlineStr">
        <is>
          <t>本日は新規の再生実績がゼロ（5日連続）のため、実績に基づく施策変更は行っていない。「新規の再生実績が無い日は config を変更しない」— 二重適用すると効果の切り分けが永久に不能になるため。本日実施したのは config とキューの内部矛盾の解消のみ。</t>
        </is>
      </c>
    </row>
    <row r="4" ht="30" customHeight="1">
      <c r="A4" s="4" t="inlineStr">
        <is>
          <t>優先</t>
        </is>
      </c>
      <c r="B4" s="4" t="inlineStr">
        <is>
          <t>対象</t>
        </is>
      </c>
      <c r="C4" s="4" t="inlineStr">
        <is>
          <t>課題</t>
        </is>
      </c>
      <c r="D4" s="4" t="inlineStr">
        <is>
          <t>打ち手</t>
        </is>
      </c>
      <c r="E4" s="4" t="inlineStr">
        <is>
          <t>状態</t>
        </is>
      </c>
      <c r="F4" s="4" t="inlineStr">
        <is>
          <t>根拠 / 実測値</t>
        </is>
      </c>
    </row>
    <row r="5" ht="62" customHeight="1">
      <c r="A5" s="20" t="n">
        <v>1</v>
      </c>
      <c r="B5" s="20" t="inlineStr">
        <is>
          <t>基盤（全13ch）</t>
        </is>
      </c>
      <c r="C5" s="20" t="inlineStr">
        <is>
          <t>OAuth が全13ch で失効。動画は作れているが4日ぶん公開できていない。</t>
        </is>
      </c>
      <c r="D5" s="20" t="inlineStr">
        <is>
          <t>GCP OAuth 同意画面（project 844705815004）を「テスト中」→「本番」へ公開し、全chを再認可する。</t>
        </is>
      </c>
      <c r="E5" s="35" t="inlineStr">
        <is>
          <t>未着手（要ホスト操作）</t>
        </is>
      </c>
      <c r="F5" s="20" t="inlineStr">
        <is>
          <t>oauth_tokens の expires_at が全13chで過去。最新でも約52時間前。updated_at は全件 expires_at+8h でリフレッシュ成功歴ゼロ。公開実績は 09-10 の2本が最後。</t>
        </is>
      </c>
    </row>
    <row r="6" ht="62" customHeight="1">
      <c r="A6" s="20" t="n">
        <v>2</v>
      </c>
      <c r="B6" s="20" t="inlineStr">
        <is>
          <t>基盤</t>
        </is>
      </c>
      <c r="C6" s="20" t="inlineStr">
        <is>
          <t>ANTHROPIC_API_KEY が無効のまま13夜連続。切り抜き系は「上げられない」以前に「作れていない」枠がある。</t>
        </is>
      </c>
      <c r="D6" s="20" t="inlineStr">
        <is>
          <t>backend/.env 18行目のコメントアウトを解除する（1行）。</t>
        </is>
      </c>
      <c r="E6" s="35" t="inlineStr">
        <is>
          <t>未着手（要ホスト操作）</t>
        </is>
      </c>
      <c r="F6" s="20" t="inlineStr">
        <is>
          <t>viral_translation_pending に未処理16件が 08-31 から滞留。clip-lab のバイラル枠 / clip-kaneko のフック生成 / PDCA の Claude 分析 / series_engine が同時停止。</t>
        </is>
      </c>
    </row>
    <row r="7" ht="62" customHeight="1">
      <c r="A7" s="20" t="n">
        <v>3</v>
      </c>
      <c r="B7" s="20" t="inlineStr">
        <is>
          <t>clip-lab / clip-fukada / clip-kaneko</t>
        </is>
      </c>
      <c r="C7" s="20" t="inlineStr">
        <is>
          <t>hard_constraints 未設定のため is_enforced() が False。検査が丸ごとスキップされ、禁止したはずの負け型が素通りしていた。</t>
        </is>
      </c>
      <c r="D7" s="20" t="inlineStr">
        <is>
          <t>禁止系のみのゲートを新規付与（秘密 / 99%が知らない / 連番プレフィックス / 絵文字）。引用を壊す min_effective_chars と require_any_of は入れない。</t>
        </is>
      </c>
      <c r="E7" s="36" t="inlineStr">
        <is>
          <t>本日適用・コミット済</t>
        </is>
      </c>
      <c r="F7" s="20" t="inlineStr">
        <is>
          <t>3ch とも is_enforced()=True を書き込み直後に確認。回帰テスト test_fixes_20260912_orch.py で固定。切り抜き3chは 30日窓の登録/千が 0.004〜0.193 と全系統で最下位。</t>
        </is>
      </c>
    </row>
    <row r="8" ht="62" customHeight="1">
      <c r="A8" s="20" t="n">
        <v>4</v>
      </c>
      <c r="B8" s="20" t="inlineStr">
        <is>
          <t>全ch（キュー補充）</t>
        </is>
      </c>
      <c r="C8" s="20" t="inlineStr">
        <is>
          <t>theme_queue.replenish() が title_constraints を一度も通っていなかった。各chが自分で設定したゲートに自分のキューが落ちる状態。</t>
        </is>
      </c>
      <c r="D8" s="20" t="inlineStr">
        <is>
          <t>_annotate_title_gate() を追加。弾かずに title_gate_ok の印を付け、台本生成側が作り直せるようにする。</t>
        </is>
      </c>
      <c r="E8" s="36" t="inlineStr">
        <is>
          <t>本日適用・コミット済</t>
        </is>
      </c>
      <c r="F8" s="20" t="inlineStr">
        <is>
          <t>未公開99件のうちゲート合格は24件＝24.2%。弾く実装にしないのは 09-11 に「キュー全件ブロック」を起こしたため。</t>
        </is>
      </c>
    </row>
    <row r="9" ht="62" customHeight="1">
      <c r="A9" s="20" t="n">
        <v>5</v>
      </c>
      <c r="B9" s="20" t="inlineStr">
        <is>
          <t>company-facts</t>
        </is>
      </c>
      <c r="C9" s="20" t="inlineStr">
        <is>
          <t>キュー12件すべてが、自ch の banned_words にある絵文字（💸📉💰）を先頭に付けて100%自滅していた。</t>
        </is>
      </c>
      <c r="D9" s="20" t="inlineStr">
        <is>
          <t>絵文字を除去。意味を変えない唯一の安全な修復なのでこれだけ機械適用した。</t>
        </is>
      </c>
      <c r="E9" s="36" t="inlineStr">
        <is>
          <t>本日適用・コミット済</t>
        </is>
      </c>
      <c r="F9" s="20" t="inlineStr">
        <is>
          <t>適合率 0%（0/12）→ 75%（9/12）。残る3件は実効20字未満1件・数字2個以上2件で、これらは再生成が要る。</t>
        </is>
      </c>
    </row>
    <row r="10" ht="62" customHeight="1">
      <c r="A10" s="20" t="n">
        <v>6</v>
      </c>
      <c r="B10" s="20" t="inlineStr">
        <is>
          <t>全ch（キュー修復の方針）</t>
        </is>
      </c>
      <c r="C10" s="20" t="inlineStr">
        <is>
          <t>title_constraints.repair() をキューに当てると日本語が壊れる。</t>
        </is>
      </c>
      <c r="D10" s="20" t="inlineStr">
        <is>
          <t>repair はキューに使わない。長さ・数字の違反は LLM 再生成に回す。判断を回帰テストで固定した。</t>
        </is>
      </c>
      <c r="E10" s="36" t="inlineStr">
        <is>
          <t>本日確定・コミット済</t>
        </is>
      </c>
      <c r="F10" s="20" t="inlineStr">
        <is>
          <t>57件に当てた実測: 「…外見が起こした財団史上最恐の収容違反」→「…外見が起こしの真相」/「…が[DATA EXPUNGED]した恐ろしい記録」→「…が[DATA EXP」/「シェイミの2形態を分ける気温5度の正体」→「…気温正体」。違反数は減るが公開できないものが「合格」として通る。</t>
        </is>
      </c>
    </row>
    <row r="11" ht="62" customHeight="1">
      <c r="A11" s="20" t="n">
        <v>7</v>
      </c>
      <c r="B11" s="20" t="inlineStr">
        <is>
          <t>yokai-watch</t>
        </is>
      </c>
      <c r="C11" s="20" t="inlineStr">
        <is>
          <t>forbid_digits=true なのにキュー10件中10件が数字入りで生成されている。config と生成側が真逆を向いている。</t>
        </is>
      </c>
      <c r="D11" s="20" t="inlineStr">
        <is>
          <t>上記4の印付けで可視化された。次回の補充から title_gate_ok=False が付くので再生成対象になる。数字を許すか禁止を続けるかは、実績が戻ってから決める。</t>
        </is>
      </c>
      <c r="E11" s="37" t="inlineStr">
        <is>
          <t>観測に載せた（判断は保留）</t>
        </is>
      </c>
      <c r="F11" s="20" t="inlineStr">
        <is>
          <t>キュー適合率 0%（0/10）。違反の内訳は「数字禁止」10件。実績ゼロの日に禁止の是非を決めると二重適用になるため本日は判断しない。</t>
        </is>
      </c>
    </row>
    <row r="12" ht="62" customHeight="1">
      <c r="A12" s="20" t="n">
        <v>8</v>
      </c>
      <c r="B12" s="20" t="inlineStr">
        <is>
          <t>scp-lab / daily-science</t>
        </is>
      </c>
      <c r="C12" s="20" t="inlineStr">
        <is>
          <t>キューの平均実効文字数が 39.2字 / 35.8字 で、自ch の max_chars=30 を大きく超えている。</t>
        </is>
      </c>
      <c r="D12" s="20" t="inlineStr">
        <is>
          <t>同じく印付けで再生成対象になる。max_chars 自体は 25-29字の頂点に基づくので変えない。</t>
        </is>
      </c>
      <c r="E12" s="37" t="inlineStr">
        <is>
          <t>観測に載せた</t>
        </is>
      </c>
      <c r="F12" s="20" t="inlineStr">
        <is>
          <t>適合率 scp-lab 4.3%（1/23）・daily-science 0%（0/12）。最多の違反は両chとも「30文字以内」。</t>
        </is>
      </c>
    </row>
    <row r="13" ht="62" customHeight="1">
      <c r="A13" s="20" t="n">
        <v>9</v>
      </c>
      <c r="B13" s="20" t="inlineStr">
        <is>
          <t>基盤（保守）</t>
        </is>
      </c>
      <c r="C13" s="20" t="inlineStr">
        <is>
          <t>前夜 09-12 01:44 のコミットが追加した test_fixes_20260912.py が4件とも最初から赤。構造修正が未完了のまま入っている。</t>
        </is>
      </c>
      <c r="D13" s="20" t="inlineStr">
        <is>
          <t>title_gate の配線（clip の dirname / video_generator の sanitize / キュー全件ブロック時の選択 / 疑問形キューの消費順）を直す。</t>
        </is>
      </c>
      <c r="E13" s="35" t="inlineStr">
        <is>
          <t>未着手</t>
        </is>
      </c>
      <c r="F13" s="20" t="inlineStr">
        <is>
          <t>pytest: 14 failed / 4 errors。うち4件が test_fixes_20260912.py。本日の作業で増減なし。</t>
        </is>
      </c>
    </row>
    <row r="14" ht="62" customHeight="1">
      <c r="A14" s="20" t="n">
        <v>10</v>
      </c>
      <c r="B14" s="20" t="inlineStr">
        <is>
          <t>基盤（保守）</t>
        </is>
      </c>
      <c r="C14" s="20" t="inlineStr">
        <is>
          <t>backend.log が 79MB でローテーション未実装。障害調査時に grep がタイムアウトする。</t>
        </is>
      </c>
      <c r="D14" s="20" t="inlineStr">
        <is>
          <t>logrotate か、起動時の切り詰めを入れる。当面は tail -c で末尾だけ読む。</t>
        </is>
      </c>
      <c r="E14" s="35" t="inlineStr">
        <is>
          <t>未着手</t>
        </is>
      </c>
      <c r="F14" s="20" t="inlineStr">
        <is>
          <t>09-11 時点 81.4MB → 09-12 時点 79MB。</t>
        </is>
      </c>
    </row>
  </sheetData>
  <mergeCells count="1">
    <mergeCell ref="A2:F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26" customWidth="1" min="1" max="1"/>
    <col width="14" customWidth="1" min="2" max="2"/>
    <col width="14" customWidth="1" min="3" max="3"/>
    <col width="13" customWidth="1" min="4" max="4"/>
    <col width="15" customWidth="1" min="5" max="5"/>
  </cols>
  <sheetData>
    <row r="1">
      <c r="A1" s="1" t="inlineStr">
        <is>
          <t>前回比較 — 09-11 の施策は効いたか</t>
        </is>
      </c>
    </row>
    <row r="2" ht="34" customHeight="1">
      <c r="A2" s="22" t="inlineStr">
        <is>
          <t>結論: 効果は測定不能。09-09 以降に公開できた動画が4本しかなく、そのどれも analytics に載っていないため、ゲート導入前後で比較できる実績が存在しない。ただし「適用が生き残っているか」は検証でき、こちらは前進があった。</t>
        </is>
      </c>
    </row>
    <row r="4">
      <c r="A4" s="3" t="inlineStr">
        <is>
          <t>■ 09-11 施策の生存確認</t>
        </is>
      </c>
    </row>
    <row r="5" ht="30" customHeight="1">
      <c r="A5" s="4" t="inlineStr">
        <is>
          <t>施策</t>
        </is>
      </c>
      <c r="B5" s="4" t="inlineStr">
        <is>
          <t>09-11 の適用</t>
        </is>
      </c>
      <c r="C5" s="4" t="inlineStr">
        <is>
          <t>09-12 の状態</t>
        </is>
      </c>
      <c r="D5" s="4" t="inlineStr">
        <is>
          <t>判定</t>
        </is>
      </c>
      <c r="E5" s="4" t="inlineStr">
        <is>
          <t>備考</t>
        </is>
      </c>
    </row>
    <row r="6" ht="58" customHeight="1">
      <c r="A6" s="20" t="inlineStr">
        <is>
          <t>min_effective_chars=20 の付与</t>
        </is>
      </c>
      <c r="B6" s="20" t="inlineStr">
        <is>
          <t>8ch に適用（23:10 時点で生存確認）</t>
        </is>
      </c>
      <c r="C6" s="20" t="inlineStr">
        <is>
          <t>8ch すべてで生存</t>
        </is>
      </c>
      <c r="D6" s="36" t="inlineStr">
        <is>
          <t>継続</t>
        </is>
      </c>
      <c r="E6" s="20" t="inlineStr">
        <is>
          <t>09-11 は適用11分後に 2ch-matome の値が別プロセスに消された。今回は14時間後も全ch残存。前夜のコミット 32197ee が ChannelManager.patch_channel_file に書き込みを集約し、ディスクを土台に RLock + tmp/replace するようにした効果とみられる。上書き事故は止まったと判断してよい。</t>
        </is>
      </c>
    </row>
    <row r="7" ht="58" customHeight="1">
      <c r="A7" s="20" t="inlineStr">
        <is>
          <t>akashic-librarian へのゲート新規付与</t>
        </is>
      </c>
      <c r="B7" s="20" t="inlineStr">
        <is>
          <t>09-11 に付与</t>
        </is>
      </c>
      <c r="C7" s="20" t="inlineStr">
        <is>
          <t>生存（enforced=True）</t>
        </is>
      </c>
      <c r="D7" s="36" t="inlineStr">
        <is>
          <t>継続</t>
        </is>
      </c>
      <c r="E7" s="20" t="inlineStr">
        <is>
          <t>キュー適合率は 30%（3/10）。最多の違反は「答え提示語が必須」6件。</t>
        </is>
      </c>
    </row>
    <row r="8" ht="58" customHeight="1">
      <c r="A8" s="20" t="inlineStr">
        <is>
          <t>answer-marker（答え提示語）の必須化</t>
        </is>
      </c>
      <c r="B8" s="20" t="inlineStr">
        <is>
          <t>6ch で有効</t>
        </is>
      </c>
      <c r="C8" s="20" t="inlineStr">
        <is>
          <t>生存</t>
        </is>
      </c>
      <c r="D8" s="36" t="inlineStr">
        <is>
          <t>継続</t>
        </is>
      </c>
      <c r="E8" s="20" t="inlineStr">
        <is>
          <t>ただし実績が無いため効果は未検証。キュー側の違反は25件で全違反の2番目に多い。</t>
        </is>
      </c>
    </row>
    <row r="9" ht="58" customHeight="1">
      <c r="A9" s="20" t="inlineStr">
        <is>
          <t>fake-paper の「架空論文ファイル」接頭辞禁止</t>
        </is>
      </c>
      <c r="B9" s="20" t="inlineStr">
        <is>
          <t>09-11 に付与</t>
        </is>
      </c>
      <c r="C9" s="20" t="inlineStr">
        <is>
          <t>生存</t>
        </is>
      </c>
      <c r="D9" s="36" t="inlineStr">
        <is>
          <t>継続</t>
        </is>
      </c>
      <c r="E9" s="20" t="inlineStr">
        <is>
          <t>キュー10件中5件がまだ接頭辞を含む。生成側が config を見ていないため、印付け（本日の施策4）で可視化した。</t>
        </is>
      </c>
    </row>
    <row r="12">
      <c r="A12" s="3" t="inlineStr">
        <is>
          <t>■ キュー適合率の前後（本日の施策の効果）</t>
        </is>
      </c>
    </row>
    <row r="13" ht="30" customHeight="1">
      <c r="A13" s="4" t="inlineStr">
        <is>
          <t>チャンネル</t>
        </is>
      </c>
      <c r="B13" s="4" t="inlineStr">
        <is>
          <t>適用前 合格</t>
        </is>
      </c>
      <c r="C13" s="4" t="inlineStr">
        <is>
          <t>適用後 合格</t>
        </is>
      </c>
      <c r="D13" s="4" t="inlineStr">
        <is>
          <t>未公開件数</t>
        </is>
      </c>
      <c r="E13" s="4" t="inlineStr">
        <is>
          <t>適合率 適用後</t>
        </is>
      </c>
    </row>
    <row r="14">
      <c r="A14" s="5" t="inlineStr">
        <is>
          <t>ゆっくり異常存在SCPラボ</t>
        </is>
      </c>
      <c r="B14" s="5" t="n">
        <v>1</v>
      </c>
      <c r="C14" s="5" t="n">
        <v>1</v>
      </c>
      <c r="D14" s="5" t="n">
        <v>23</v>
      </c>
      <c r="E14" s="9">
        <f>IF(D14=0,"—",C14/D14)</f>
        <v>0.043478260869565216</v>
      </c>
    </row>
    <row r="15">
      <c r="A15" s="5" t="inlineStr">
        <is>
          <t>リコとマコトのゆっくり日常科学</t>
        </is>
      </c>
      <c r="B15" s="5" t="n">
        <v>0</v>
      </c>
      <c r="C15" s="5" t="n">
        <v>0</v>
      </c>
      <c r="D15" s="5" t="n">
        <v>12</v>
      </c>
      <c r="E15" s="9">
        <f>IF(D15=0,"—",C15/D15)</f>
        <v>0.0</v>
      </c>
    </row>
    <row r="16">
      <c r="A16" s="5" t="inlineStr">
        <is>
          <t>ポケモンラボ</t>
        </is>
      </c>
      <c r="B16" s="5" t="n">
        <v>7</v>
      </c>
      <c r="C16" s="5" t="n">
        <v>7</v>
      </c>
      <c r="D16" s="5" t="n">
        <v>10</v>
      </c>
      <c r="E16" s="9">
        <f>IF(D16=0,"—",C16/D16)</f>
        <v>0.7</v>
      </c>
    </row>
    <row r="17">
      <c r="A17" s="5" t="inlineStr">
        <is>
          <t>妖怪ウォッチ考察</t>
        </is>
      </c>
      <c r="B17" s="5" t="n">
        <v>0</v>
      </c>
      <c r="C17" s="5" t="n">
        <v>0</v>
      </c>
      <c r="D17" s="5" t="n">
        <v>10</v>
      </c>
      <c r="E17" s="9">
        <f>IF(D17=0,"—",C17/D17)</f>
        <v>0.0</v>
      </c>
    </row>
    <row r="18">
      <c r="A18" s="5" t="inlineStr">
        <is>
          <t>2chまとめ</t>
        </is>
      </c>
      <c r="B18" s="5" t="n">
        <v>9</v>
      </c>
      <c r="C18" s="5" t="n">
        <v>9</v>
      </c>
      <c r="D18" s="5" t="n">
        <v>12</v>
      </c>
      <c r="E18" s="9">
        <f>IF(D18=0,"—",C18/D18)</f>
        <v>0.75</v>
      </c>
    </row>
    <row r="19">
      <c r="A19" s="38" t="inlineStr">
        <is>
          <t>企業のホンネ</t>
        </is>
      </c>
      <c r="B19" s="38" t="n">
        <v>0</v>
      </c>
      <c r="C19" s="38" t="n">
        <v>9</v>
      </c>
      <c r="D19" s="38" t="n">
        <v>12</v>
      </c>
      <c r="E19" s="39">
        <f>IF(D19=0,"—",C19/D19)</f>
        <v>0.75</v>
      </c>
    </row>
    <row r="20">
      <c r="A20" s="5" t="inlineStr">
        <is>
          <t>切り抜きラボ（ひろゆき）</t>
        </is>
      </c>
      <c r="B20" s="5" t="n">
        <v>0</v>
      </c>
      <c r="C20" s="5" t="n">
        <v>0</v>
      </c>
      <c r="D20" s="5" t="n">
        <v>0</v>
      </c>
      <c r="E20" s="9" t="str">
        <f>IF(D20=0,"—",C20/D20)</f>
        <v>—</v>
      </c>
    </row>
    <row r="21">
      <c r="A21" s="5" t="inlineStr">
        <is>
          <t>深田えいみ 切り抜き</t>
        </is>
      </c>
      <c r="B21" s="5" t="n">
        <v>0</v>
      </c>
      <c r="C21" s="5" t="n">
        <v>0</v>
      </c>
      <c r="D21" s="5" t="n">
        <v>0</v>
      </c>
      <c r="E21" s="9" t="str">
        <f>IF(D21=0,"—",C21/D21)</f>
        <v>—</v>
      </c>
    </row>
    <row r="22">
      <c r="A22" s="5" t="inlineStr">
        <is>
          <t>金子みゆ 切り抜き</t>
        </is>
      </c>
      <c r="B22" s="5" t="n">
        <v>0</v>
      </c>
      <c r="C22" s="5" t="n">
        <v>0</v>
      </c>
      <c r="D22" s="5" t="n">
        <v>0</v>
      </c>
      <c r="E22" s="9" t="str">
        <f>IF(D22=0,"—",C22/D22)</f>
        <v>—</v>
      </c>
    </row>
    <row r="23">
      <c r="A23" s="5" t="inlineStr">
        <is>
          <t>架空論文</t>
        </is>
      </c>
      <c r="B23" s="5" t="n">
        <v>4</v>
      </c>
      <c r="C23" s="5" t="n">
        <v>4</v>
      </c>
      <c r="D23" s="5" t="n">
        <v>10</v>
      </c>
      <c r="E23" s="9">
        <f>IF(D23=0,"—",C23/D23)</f>
        <v>0.4</v>
      </c>
    </row>
    <row r="24">
      <c r="A24" s="5" t="inlineStr">
        <is>
          <t>ラグナロクの司書</t>
        </is>
      </c>
      <c r="B24" s="5" t="n">
        <v>3</v>
      </c>
      <c r="C24" s="5" t="n">
        <v>3</v>
      </c>
      <c r="D24" s="5" t="n">
        <v>10</v>
      </c>
      <c r="E24" s="9">
        <f>IF(D24=0,"—",C24/D24)</f>
        <v>0.3</v>
      </c>
    </row>
    <row r="25">
      <c r="A25" s="3" t="inlineStr">
        <is>
          <t>合計</t>
        </is>
      </c>
      <c r="B25" s="15">
        <f>SUM(B14:B24)</f>
        <v>24</v>
      </c>
      <c r="C25" s="15">
        <f>SUM(C14:C24)</f>
        <v>33</v>
      </c>
      <c r="D25" s="15">
        <f>SUM(D14:D24)</f>
        <v>99</v>
      </c>
      <c r="E25" s="25">
        <f>IF(D25=0,0,C25/D25)</f>
        <v>0.3333333333333333</v>
      </c>
    </row>
    <row r="27" ht="42" customHeight="1">
      <c r="A27" s="2" t="inlineStr">
        <is>
          <t>注: 本日の施策の本体はキュー適合率の数字ではなく、①切り抜き3chで検査がそもそも走っていなかったことの解消と、②補充がゲートを通るようになったこと。①②は実績が戻った時点で初めて効果が測れる。</t>
        </is>
      </c>
    </row>
  </sheetData>
  <mergeCells count="2">
    <mergeCell ref="A2:E2"/>
    <mergeCell ref="A27:E27"/>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2026-09-12T03:25:24Z</dcterms:created>
  <dcterms:modified xmlns:dcterms="http://purl.org/dc/terms/" xmlns:xsi="http://www.w3.org/2001/XMLSchema-instance" xsi:type="dcterms:W3CDTF">2026-09-12T03:25:24Z</dcterms:modified>
</cp:coreProperties>
</file>