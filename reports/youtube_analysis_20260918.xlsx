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<sst xmlns="http://schemas.openxmlformats.org/spreadsheetml/2006/main" count="709" uniqueCount="320">
  <si>
    <r>
      <rPr>
        <b val="true"/>
        <sz val="16"/>
        <rFont val="Arial"/>
        <family val="0"/>
        <charset val="1"/>
      </rPr>
      <t xml:space="preserve">YouTube Factory </t>
    </r>
    <r>
      <rPr>
        <b val="true"/>
        <sz val="16"/>
        <rFont val="Noto Sans CJK SC"/>
        <family val="2"/>
      </rPr>
      <t xml:space="preserve">指揮者レポート</t>
    </r>
  </si>
  <si>
    <r>
      <rPr>
        <sz val="9"/>
        <color rgb="FF555555"/>
        <rFont val="Noto Sans CJK SC"/>
        <family val="2"/>
      </rPr>
      <t xml:space="preserve">実行日 </t>
    </r>
    <r>
      <rPr>
        <sz val="9"/>
        <color rgb="FF555555"/>
        <rFont val="Arial"/>
        <family val="0"/>
        <charset val="1"/>
      </rPr>
      <t xml:space="preserve">2026-09-18 </t>
    </r>
    <r>
      <rPr>
        <sz val="9"/>
        <color rgb="FF555555"/>
        <rFont val="Noto Sans CJK SC"/>
        <family val="2"/>
      </rPr>
      <t xml:space="preserve">／ 分析対象スナップショット </t>
    </r>
    <r>
      <rPr>
        <sz val="9"/>
        <color rgb="FF555555"/>
        <rFont val="Arial"/>
        <family val="0"/>
        <charset val="1"/>
      </rPr>
      <t xml:space="preserve">2026-09-17</t>
    </r>
    <r>
      <rPr>
        <sz val="9"/>
        <color rgb="FF555555"/>
        <rFont val="Noto Sans CJK SC"/>
        <family val="2"/>
      </rPr>
      <t xml:space="preserve">（</t>
    </r>
    <r>
      <rPr>
        <sz val="9"/>
        <color rgb="FF555555"/>
        <rFont val="Arial"/>
        <family val="0"/>
        <charset val="1"/>
      </rPr>
      <t xml:space="preserve">analytics.db </t>
    </r>
    <r>
      <rPr>
        <sz val="9"/>
        <color rgb="FF555555"/>
        <rFont val="Noto Sans CJK SC"/>
        <family val="2"/>
      </rPr>
      <t xml:space="preserve">最終同期 </t>
    </r>
    <r>
      <rPr>
        <sz val="9"/>
        <color rgb="FF555555"/>
        <rFont val="Arial"/>
        <family val="0"/>
        <charset val="1"/>
      </rPr>
      <t xml:space="preserve">09-17 22:41</t>
    </r>
    <r>
      <rPr>
        <sz val="9"/>
        <color rgb="FF555555"/>
        <rFont val="Noto Sans CJK SC"/>
        <family val="2"/>
      </rPr>
      <t xml:space="preserve">）</t>
    </r>
  </si>
  <si>
    <r>
      <rPr>
        <sz val="9"/>
        <color rgb="FF555555"/>
        <rFont val="Arial"/>
        <family val="0"/>
        <charset val="1"/>
      </rPr>
      <t xml:space="preserve">※ 09-18 </t>
    </r>
    <r>
      <rPr>
        <sz val="9"/>
        <color rgb="FF555555"/>
        <rFont val="Noto Sans CJK SC"/>
        <family val="2"/>
      </rPr>
      <t xml:space="preserve">分の実績はまだ未取得（取得は毎晩 </t>
    </r>
    <r>
      <rPr>
        <sz val="9"/>
        <color rgb="FF555555"/>
        <rFont val="Arial"/>
        <family val="0"/>
        <charset val="1"/>
      </rPr>
      <t xml:space="preserve">22:41 </t>
    </r>
    <r>
      <rPr>
        <sz val="9"/>
        <color rgb="FF555555"/>
        <rFont val="Noto Sans CJK SC"/>
        <family val="2"/>
      </rPr>
      <t xml:space="preserve">の定期ジョブ）。本レポートは </t>
    </r>
    <r>
      <rPr>
        <sz val="9"/>
        <color rgb="FF555555"/>
        <rFont val="Arial"/>
        <family val="0"/>
        <charset val="1"/>
      </rPr>
      <t xml:space="preserve">09-17 </t>
    </r>
    <r>
      <rPr>
        <sz val="9"/>
        <color rgb="FF555555"/>
        <rFont val="Noto Sans CJK SC"/>
        <family val="2"/>
      </rPr>
      <t xml:space="preserve">時点の確定値に基づく。</t>
    </r>
  </si>
  <si>
    <t xml:space="preserve">■ 結論</t>
  </si>
  <si>
    <t xml:space="preserve">至上目標の現状</t>
  </si>
  <si>
    <t xml:space="preserve">転換率は改善、リーチは悪化。差し引きで横ばい〜微減。</t>
  </si>
  <si>
    <r>
      <rPr>
        <sz val="10"/>
        <rFont val="Noto Sans CJK SC"/>
        <family val="2"/>
      </rPr>
      <t xml:space="preserve">公開後</t>
    </r>
    <r>
      <rPr>
        <sz val="10"/>
        <rFont val="Arial"/>
        <family val="0"/>
        <charset val="1"/>
      </rPr>
      <t xml:space="preserve">4</t>
    </r>
    <r>
      <rPr>
        <sz val="10"/>
        <rFont val="Noto Sans CJK SC"/>
        <family val="2"/>
      </rPr>
      <t xml:space="preserve">日時点の週次コホートで 登録</t>
    </r>
    <r>
      <rPr>
        <sz val="10"/>
        <rFont val="Arial"/>
        <family val="0"/>
        <charset val="1"/>
      </rPr>
      <t xml:space="preserve">/</t>
    </r>
    <r>
      <rPr>
        <sz val="10"/>
        <rFont val="Noto Sans CJK SC"/>
        <family val="2"/>
      </rPr>
      <t xml:space="preserve">千再生 は </t>
    </r>
    <r>
      <rPr>
        <sz val="10"/>
        <rFont val="Arial"/>
        <family val="0"/>
        <charset val="1"/>
      </rPr>
      <t xml:space="preserve">daily-science 0.60→0.86</t>
    </r>
    <r>
      <rPr>
        <sz val="10"/>
        <rFont val="Noto Sans CJK SC"/>
        <family val="2"/>
      </rPr>
      <t xml:space="preserve">、</t>
    </r>
    <r>
      <rPr>
        <sz val="10"/>
        <rFont val="Arial"/>
        <family val="0"/>
        <charset val="1"/>
      </rPr>
      <t xml:space="preserve">yokai-watch 0.37→1.20</t>
    </r>
    <r>
      <rPr>
        <sz val="10"/>
        <rFont val="Noto Sans CJK SC"/>
        <family val="2"/>
      </rPr>
      <t xml:space="preserve">、</t>
    </r>
    <r>
      <rPr>
        <sz val="10"/>
        <rFont val="Arial"/>
        <family val="0"/>
        <charset val="1"/>
      </rPr>
      <t xml:space="preserve">scp-lab 0.59→0.89 </t>
    </r>
    <r>
      <rPr>
        <sz val="10"/>
        <rFont val="Noto Sans CJK SC"/>
        <family val="2"/>
      </rPr>
      <t xml:space="preserve">と改善した。</t>
    </r>
  </si>
  <si>
    <r>
      <rPr>
        <sz val="10"/>
        <rFont val="Noto Sans CJK SC"/>
        <family val="2"/>
      </rPr>
      <t xml:space="preserve">一方 再生中央値は </t>
    </r>
    <r>
      <rPr>
        <sz val="10"/>
        <rFont val="Arial"/>
        <family val="0"/>
        <charset val="1"/>
      </rPr>
      <t xml:space="preserve">2ch-matome 1356→738</t>
    </r>
    <r>
      <rPr>
        <sz val="10"/>
        <rFont val="Noto Sans CJK SC"/>
        <family val="2"/>
      </rPr>
      <t xml:space="preserve">、</t>
    </r>
    <r>
      <rPr>
        <sz val="10"/>
        <rFont val="Arial"/>
        <family val="0"/>
        <charset val="1"/>
      </rPr>
      <t xml:space="preserve">pokemon-lab 1788→861</t>
    </r>
    <r>
      <rPr>
        <sz val="10"/>
        <rFont val="Noto Sans CJK SC"/>
        <family val="2"/>
      </rPr>
      <t xml:space="preserve">、</t>
    </r>
    <r>
      <rPr>
        <sz val="10"/>
        <rFont val="Arial"/>
        <family val="0"/>
        <charset val="1"/>
      </rPr>
      <t xml:space="preserve">yokai-watch 1813→863 </t>
    </r>
    <r>
      <rPr>
        <sz val="10"/>
        <rFont val="Noto Sans CJK SC"/>
        <family val="2"/>
      </rPr>
      <t xml:space="preserve">と全</t>
    </r>
    <r>
      <rPr>
        <sz val="10"/>
        <rFont val="Arial"/>
        <family val="0"/>
        <charset val="1"/>
      </rPr>
      <t xml:space="preserve">ch</t>
    </r>
    <r>
      <rPr>
        <sz val="10"/>
        <rFont val="Noto Sans CJK SC"/>
        <family val="2"/>
      </rPr>
      <t xml:space="preserve">で減少している。</t>
    </r>
  </si>
  <si>
    <t xml:space="preserve">＝ 転換率の最適化は効いているが、母数であるリーチが同じ速度で失われている。次の主戦場はリーチ。</t>
  </si>
  <si>
    <t xml:space="preserve">本日の最大の発見</t>
  </si>
  <si>
    <r>
      <rPr>
        <sz val="10"/>
        <rFont val="Noto Sans CJK SC"/>
        <family val="2"/>
      </rPr>
      <t xml:space="preserve">読み上げ速度の校正が </t>
    </r>
    <r>
      <rPr>
        <sz val="10"/>
        <rFont val="Arial"/>
        <family val="0"/>
        <charset val="1"/>
      </rPr>
      <t xml:space="preserve">1.28</t>
    </r>
    <r>
      <rPr>
        <sz val="10"/>
        <rFont val="Noto Sans CJK SC"/>
        <family val="2"/>
      </rPr>
      <t xml:space="preserve">倍ずれており、「</t>
    </r>
    <r>
      <rPr>
        <sz val="10"/>
        <rFont val="Arial"/>
        <family val="0"/>
        <charset val="1"/>
      </rPr>
      <t xml:space="preserve">26</t>
    </r>
    <r>
      <rPr>
        <sz val="10"/>
        <rFont val="Noto Sans CJK SC"/>
        <family val="2"/>
      </rPr>
      <t xml:space="preserve">秒」設計の台本が実際には </t>
    </r>
    <r>
      <rPr>
        <sz val="10"/>
        <rFont val="Arial"/>
        <family val="0"/>
        <charset val="1"/>
      </rPr>
      <t xml:space="preserve">27</t>
    </r>
    <r>
      <rPr>
        <sz val="10"/>
        <rFont val="Noto Sans CJK SC"/>
        <family val="2"/>
      </rPr>
      <t xml:space="preserve">〜</t>
    </r>
    <r>
      <rPr>
        <sz val="10"/>
        <rFont val="Arial"/>
        <family val="0"/>
        <charset val="1"/>
      </rPr>
      <t xml:space="preserve">35</t>
    </r>
    <r>
      <rPr>
        <sz val="10"/>
        <rFont val="Noto Sans CJK SC"/>
        <family val="2"/>
      </rPr>
      <t xml:space="preserve">秒で出力されていた。</t>
    </r>
  </si>
  <si>
    <r>
      <rPr>
        <sz val="10"/>
        <rFont val="Noto Sans CJK SC"/>
        <family val="2"/>
      </rPr>
      <t xml:space="preserve">その </t>
    </r>
    <r>
      <rPr>
        <sz val="10"/>
        <rFont val="Arial"/>
        <family val="0"/>
        <charset val="1"/>
      </rPr>
      <t xml:space="preserve">33</t>
    </r>
    <r>
      <rPr>
        <sz val="10"/>
        <rFont val="Noto Sans CJK SC"/>
        <family val="2"/>
      </rPr>
      <t xml:space="preserve">秒超の帯が実測で明確な負け群（登録</t>
    </r>
    <r>
      <rPr>
        <sz val="10"/>
        <rFont val="Arial"/>
        <family val="0"/>
        <charset val="1"/>
      </rPr>
      <t xml:space="preserve">/</t>
    </r>
    <r>
      <rPr>
        <sz val="10"/>
        <rFont val="Noto Sans CJK SC"/>
        <family val="2"/>
      </rPr>
      <t xml:space="preserve">千が </t>
    </r>
    <r>
      <rPr>
        <sz val="10"/>
        <rFont val="Arial"/>
        <family val="0"/>
        <charset val="1"/>
      </rPr>
      <t xml:space="preserve">1/2.7</t>
    </r>
    <r>
      <rPr>
        <sz val="10"/>
        <rFont val="Noto Sans CJK SC"/>
        <family val="2"/>
      </rPr>
      <t xml:space="preserve">〜</t>
    </r>
    <r>
      <rPr>
        <sz val="10"/>
        <rFont val="Arial"/>
        <family val="0"/>
        <charset val="1"/>
      </rPr>
      <t xml:space="preserve">1/2.9</t>
    </r>
    <r>
      <rPr>
        <sz val="10"/>
        <rFont val="Noto Sans CJK SC"/>
        <family val="2"/>
      </rPr>
      <t xml:space="preserve">）だったため、</t>
    </r>
    <r>
      <rPr>
        <sz val="10"/>
        <rFont val="Arial"/>
        <family val="0"/>
        <charset val="1"/>
      </rPr>
      <t xml:space="preserve">3ch </t>
    </r>
    <r>
      <rPr>
        <sz val="10"/>
        <rFont val="Noto Sans CJK SC"/>
        <family val="2"/>
      </rPr>
      <t xml:space="preserve">の文字数帯を下げた。</t>
    </r>
  </si>
  <si>
    <t xml:space="preserve">あなたの対応が必要</t>
  </si>
  <si>
    <r>
      <rPr>
        <sz val="10"/>
        <rFont val="Noto Sans CJK SC"/>
        <family val="2"/>
      </rPr>
      <t xml:space="preserve">① カスタムサムネイル </t>
    </r>
    <r>
      <rPr>
        <sz val="10"/>
        <rFont val="Arial"/>
        <family val="0"/>
        <charset val="1"/>
      </rPr>
      <t xml:space="preserve">403 </t>
    </r>
    <r>
      <rPr>
        <sz val="10"/>
        <rFont val="Noto Sans CJK SC"/>
        <family val="2"/>
      </rPr>
      <t xml:space="preserve">が </t>
    </r>
    <r>
      <rPr>
        <sz val="10"/>
        <rFont val="Arial"/>
        <family val="0"/>
        <charset val="1"/>
      </rPr>
      <t xml:space="preserve">852</t>
    </r>
    <r>
      <rPr>
        <sz val="10"/>
        <rFont val="Noto Sans CJK SC"/>
        <family val="2"/>
      </rPr>
      <t xml:space="preserve">件（成功</t>
    </r>
    <r>
      <rPr>
        <sz val="10"/>
        <rFont val="Arial"/>
        <family val="0"/>
        <charset val="1"/>
      </rPr>
      <t xml:space="preserve">71</t>
    </r>
    <r>
      <rPr>
        <sz val="10"/>
        <rFont val="Noto Sans CJK SC"/>
        <family val="2"/>
      </rPr>
      <t xml:space="preserve">件）。</t>
    </r>
    <r>
      <rPr>
        <sz val="10"/>
        <rFont val="Arial"/>
        <family val="0"/>
        <charset val="1"/>
      </rPr>
      <t xml:space="preserve">6ch </t>
    </r>
    <r>
      <rPr>
        <sz val="10"/>
        <rFont val="Noto Sans CJK SC"/>
        <family val="2"/>
      </rPr>
      <t xml:space="preserve">全てでサムネが</t>
    </r>
    <r>
      <rPr>
        <sz val="10"/>
        <rFont val="Arial"/>
        <family val="0"/>
        <charset val="1"/>
      </rPr>
      <t xml:space="preserve">1</t>
    </r>
    <r>
      <rPr>
        <sz val="10"/>
        <rFont val="Noto Sans CJK SC"/>
        <family val="2"/>
      </rPr>
      <t xml:space="preserve">枚も付いていない。</t>
    </r>
  </si>
  <si>
    <r>
      <rPr>
        <sz val="10"/>
        <rFont val="Arial"/>
        <family val="0"/>
        <charset val="1"/>
      </rPr>
      <t xml:space="preserve">② pokemon-lab </t>
    </r>
    <r>
      <rPr>
        <sz val="10"/>
        <rFont val="Noto Sans CJK SC"/>
        <family val="2"/>
      </rPr>
      <t xml:space="preserve">が </t>
    </r>
    <r>
      <rPr>
        <sz val="10"/>
        <rFont val="Arial"/>
        <family val="0"/>
        <charset val="1"/>
      </rPr>
      <t xml:space="preserve">OAuth </t>
    </r>
    <r>
      <rPr>
        <sz val="10"/>
        <rFont val="Noto Sans CJK SC"/>
        <family val="2"/>
      </rPr>
      <t xml:space="preserve">失効で </t>
    </r>
    <r>
      <rPr>
        <sz val="10"/>
        <rFont val="Arial"/>
        <family val="0"/>
        <charset val="1"/>
      </rPr>
      <t xml:space="preserve">8</t>
    </r>
    <r>
      <rPr>
        <sz val="10"/>
        <rFont val="Noto Sans CJK SC"/>
        <family val="2"/>
      </rPr>
      <t xml:space="preserve">日間停止中（</t>
    </r>
    <r>
      <rPr>
        <sz val="10"/>
        <rFont val="Arial"/>
        <family val="0"/>
        <charset val="1"/>
      </rPr>
      <t xml:space="preserve">09-14</t>
    </r>
    <r>
      <rPr>
        <sz val="10"/>
        <rFont val="Noto Sans CJK SC"/>
        <family val="2"/>
      </rPr>
      <t xml:space="preserve">〜）。</t>
    </r>
    <r>
      <rPr>
        <sz val="10"/>
        <rFont val="Arial"/>
        <family val="0"/>
        <charset val="1"/>
      </rPr>
      <t xml:space="preserve">09-17 </t>
    </r>
    <r>
      <rPr>
        <sz val="10"/>
        <rFont val="Noto Sans CJK SC"/>
        <family val="2"/>
      </rPr>
      <t xml:space="preserve">の依頼が未対応のまま。</t>
    </r>
  </si>
  <si>
    <r>
      <rPr>
        <b val="true"/>
        <sz val="14"/>
        <rFont val="Noto Sans CJK SC"/>
        <family val="2"/>
      </rPr>
      <t xml:space="preserve">■ チャンネル別スコアボード（成熟コホート </t>
    </r>
    <r>
      <rPr>
        <b val="true"/>
        <sz val="14"/>
        <rFont val="Arial"/>
        <family val="0"/>
        <charset val="1"/>
      </rPr>
      <t xml:space="preserve">08-15</t>
    </r>
    <r>
      <rPr>
        <b val="true"/>
        <sz val="14"/>
        <rFont val="Noto Sans CJK SC"/>
        <family val="2"/>
      </rPr>
      <t xml:space="preserve">〜</t>
    </r>
    <r>
      <rPr>
        <b val="true"/>
        <sz val="14"/>
        <rFont val="Arial"/>
        <family val="0"/>
        <charset val="1"/>
      </rPr>
      <t xml:space="preserve">09-10</t>
    </r>
    <r>
      <rPr>
        <b val="true"/>
        <sz val="14"/>
        <rFont val="Noto Sans CJK SC"/>
        <family val="2"/>
      </rPr>
      <t xml:space="preserve">・</t>
    </r>
    <r>
      <rPr>
        <b val="true"/>
        <sz val="14"/>
        <rFont val="Arial"/>
        <family val="0"/>
        <charset val="1"/>
      </rPr>
      <t xml:space="preserve">200</t>
    </r>
    <r>
      <rPr>
        <b val="true"/>
        <sz val="14"/>
        <rFont val="Noto Sans CJK SC"/>
        <family val="2"/>
      </rPr>
      <t xml:space="preserve">再生以上）</t>
    </r>
  </si>
  <si>
    <t xml:space="preserve">チャンネル</t>
  </si>
  <si>
    <t xml:space="preserve">本数</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</si>
  <si>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</si>
  <si>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r>
      <rPr>
        <b val="true"/>
        <sz val="10"/>
        <color rgb="FFFFFFFF"/>
        <rFont val="Noto Sans CJK SC"/>
        <family val="2"/>
      </rPr>
      <t xml:space="preserve">高評価率</t>
    </r>
    <r>
      <rPr>
        <b val="true"/>
        <sz val="10"/>
        <color rgb="FFFFFFFF"/>
        <rFont val="Arial"/>
        <family val="0"/>
        <charset val="1"/>
      </rPr>
      <t xml:space="preserve">%</t>
    </r>
  </si>
  <si>
    <r>
      <rPr>
        <b val="true"/>
        <sz val="10"/>
        <color rgb="FFFFFFFF"/>
        <rFont val="Noto Sans CJK SC"/>
        <family val="2"/>
      </rPr>
      <t xml:space="preserve">平均維持率</t>
    </r>
    <r>
      <rPr>
        <b val="true"/>
        <sz val="10"/>
        <color rgb="FFFFFFFF"/>
        <rFont val="Arial"/>
        <family val="0"/>
        <charset val="1"/>
      </rPr>
      <t xml:space="preserve">%</t>
    </r>
  </si>
  <si>
    <r>
      <rPr>
        <b val="true"/>
        <sz val="10"/>
        <color rgb="FFFFFFFF"/>
        <rFont val="Noto Sans CJK SC"/>
        <family val="2"/>
      </rPr>
      <t xml:space="preserve">推定尺中央</t>
    </r>
    <r>
      <rPr>
        <b val="true"/>
        <sz val="10"/>
        <color rgb="FFFFFFFF"/>
        <rFont val="Arial"/>
        <family val="0"/>
        <charset val="1"/>
      </rPr>
      <t xml:space="preserve">(</t>
    </r>
    <r>
      <rPr>
        <b val="true"/>
        <sz val="10"/>
        <color rgb="FFFFFFFF"/>
        <rFont val="Noto Sans CJK SC"/>
        <family val="2"/>
      </rPr>
      <t xml:space="preserve">秒</t>
    </r>
    <r>
      <rPr>
        <b val="true"/>
        <sz val="10"/>
        <color rgb="FFFFFFFF"/>
        <rFont val="Arial"/>
        <family val="0"/>
        <charset val="1"/>
      </rPr>
      <t xml:space="preserve">)</t>
    </r>
  </si>
  <si>
    <t xml:space="preserve">状態</t>
  </si>
  <si>
    <t xml:space="preserve">daily-science</t>
  </si>
  <si>
    <t xml:space="preserve">良好（尺を短縮）</t>
  </si>
  <si>
    <t xml:space="preserve">scp-lab</t>
  </si>
  <si>
    <t xml:space="preserve">良好（尺を微短縮）</t>
  </si>
  <si>
    <t xml:space="preserve">yokai-watch</t>
  </si>
  <si>
    <t xml:space="preserve">最良（尺を短縮）</t>
  </si>
  <si>
    <t xml:space="preserve">company-facts</t>
  </si>
  <si>
    <t xml:space="preserve">転換率が低下中・要観察</t>
  </si>
  <si>
    <t xml:space="preserve">2ch-matome</t>
  </si>
  <si>
    <r>
      <rPr>
        <sz val="10"/>
        <rFont val="Noto Sans CJK SC"/>
        <family val="2"/>
      </rPr>
      <t xml:space="preserve">不振 → 枠を</t>
    </r>
    <r>
      <rPr>
        <sz val="10"/>
        <rFont val="Arial"/>
        <family val="0"/>
        <charset val="1"/>
      </rPr>
      <t xml:space="preserve">3→1</t>
    </r>
    <r>
      <rPr>
        <sz val="10"/>
        <rFont val="Noto Sans CJK SC"/>
        <family val="2"/>
      </rPr>
      <t xml:space="preserve">に縮小</t>
    </r>
  </si>
  <si>
    <t xml:space="preserve">pokemon-lab</t>
  </si>
  <si>
    <r>
      <rPr>
        <sz val="10"/>
        <rFont val="Noto Sans CJK SC"/>
        <family val="2"/>
      </rPr>
      <t xml:space="preserve">停止中（</t>
    </r>
    <r>
      <rPr>
        <sz val="10"/>
        <rFont val="Arial"/>
        <family val="0"/>
        <charset val="1"/>
      </rPr>
      <t xml:space="preserve">OAuth</t>
    </r>
    <r>
      <rPr>
        <sz val="10"/>
        <rFont val="Noto Sans CJK SC"/>
        <family val="2"/>
      </rPr>
      <t xml:space="preserve">失効）</t>
    </r>
  </si>
  <si>
    <t xml:space="preserve">socio-rx</t>
  </si>
  <si>
    <t xml:space="preserve">立ち上げ直後・評価不能</t>
  </si>
  <si>
    <r>
      <rPr>
        <b val="true"/>
        <sz val="10"/>
        <rFont val="Noto Sans CJK SC"/>
        <family val="2"/>
      </rPr>
      <t xml:space="preserve">全</t>
    </r>
    <r>
      <rPr>
        <b val="true"/>
        <sz val="10"/>
        <rFont val="Arial"/>
        <family val="0"/>
        <charset val="1"/>
      </rPr>
      <t xml:space="preserve">ch </t>
    </r>
    <r>
      <rPr>
        <b val="true"/>
        <sz val="10"/>
        <rFont val="Noto Sans CJK SC"/>
        <family val="2"/>
      </rPr>
      <t xml:space="preserve">加重平均</t>
    </r>
  </si>
  <si>
    <r>
      <rPr>
        <b val="true"/>
        <sz val="14"/>
        <rFont val="Noto Sans CJK SC"/>
        <family val="2"/>
      </rPr>
      <t xml:space="preserve">チャンネル別詳細（</t>
    </r>
    <r>
      <rPr>
        <b val="true"/>
        <sz val="14"/>
        <rFont val="Arial"/>
        <family val="0"/>
        <charset val="1"/>
      </rPr>
      <t xml:space="preserve">09-17 </t>
    </r>
    <r>
      <rPr>
        <b val="true"/>
        <sz val="14"/>
        <rFont val="Noto Sans CJK SC"/>
        <family val="2"/>
      </rPr>
      <t xml:space="preserve">スナップショット </t>
    </r>
    <r>
      <rPr>
        <b val="true"/>
        <sz val="14"/>
        <rFont val="Arial"/>
        <family val="0"/>
        <charset val="1"/>
      </rPr>
      <t xml:space="preserve">/ </t>
    </r>
    <r>
      <rPr>
        <b val="true"/>
        <sz val="14"/>
        <rFont val="Noto Sans CJK SC"/>
        <family val="2"/>
      </rPr>
      <t xml:space="preserve">各</t>
    </r>
    <r>
      <rPr>
        <b val="true"/>
        <sz val="14"/>
        <rFont val="Arial"/>
        <family val="0"/>
        <charset val="1"/>
      </rPr>
      <t xml:space="preserve">ch</t>
    </r>
    <r>
      <rPr>
        <b val="true"/>
        <sz val="14"/>
        <rFont val="Noto Sans CJK SC"/>
        <family val="2"/>
      </rPr>
      <t xml:space="preserve">上位</t>
    </r>
    <r>
      <rPr>
        <b val="true"/>
        <sz val="14"/>
        <rFont val="Arial"/>
        <family val="0"/>
        <charset val="1"/>
      </rPr>
      <t xml:space="preserve">50</t>
    </r>
    <r>
      <rPr>
        <b val="true"/>
        <sz val="14"/>
        <rFont val="Noto Sans CJK SC"/>
        <family val="2"/>
      </rPr>
      <t xml:space="preserve">本）</t>
    </r>
  </si>
  <si>
    <t xml:space="preserve">総再生</t>
  </si>
  <si>
    <t xml:space="preserve">インプレッション</t>
  </si>
  <si>
    <r>
      <rPr>
        <b val="true"/>
        <sz val="10"/>
        <color rgb="FFFFFFFF"/>
        <rFont val="Noto Sans CJK SC"/>
        <family val="2"/>
      </rPr>
      <t xml:space="preserve">平均</t>
    </r>
    <r>
      <rPr>
        <b val="true"/>
        <sz val="10"/>
        <color rgb="FFFFFFFF"/>
        <rFont val="Arial"/>
        <family val="0"/>
        <charset val="1"/>
      </rPr>
      <t xml:space="preserve">CTR%</t>
    </r>
  </si>
  <si>
    <t xml:space="preserve">総高評価</t>
  </si>
  <si>
    <t xml:space="preserve">総コメント</t>
  </si>
  <si>
    <t xml:space="preserve">登録者獲得</t>
  </si>
  <si>
    <r>
      <rPr>
        <b val="true"/>
        <sz val="10"/>
        <color rgb="FFFFFFFF"/>
        <rFont val="Noto Sans CJK SC"/>
        <family val="2"/>
      </rPr>
      <t xml:space="preserve">投稿枠</t>
    </r>
    <r>
      <rPr>
        <b val="true"/>
        <sz val="10"/>
        <color rgb="FFFFFFFF"/>
        <rFont val="Arial"/>
        <family val="0"/>
        <charset val="1"/>
      </rPr>
      <t xml:space="preserve">/</t>
    </r>
    <r>
      <rPr>
        <b val="true"/>
        <sz val="10"/>
        <color rgb="FFFFFFFF"/>
        <rFont val="Noto Sans CJK SC"/>
        <family val="2"/>
      </rPr>
      <t xml:space="preserve">日</t>
    </r>
  </si>
  <si>
    <t xml:space="preserve">autopilot</t>
  </si>
  <si>
    <t xml:space="preserve">稼働</t>
  </si>
  <si>
    <t xml:space="preserve">停止</t>
  </si>
  <si>
    <r>
      <rPr>
        <b val="true"/>
        <sz val="10"/>
        <rFont val="Noto Sans CJK SC"/>
        <family val="2"/>
      </rPr>
      <t xml:space="preserve">■ 公開後</t>
    </r>
    <r>
      <rPr>
        <b val="true"/>
        <sz val="10"/>
        <rFont val="Arial"/>
        <family val="0"/>
        <charset val="1"/>
      </rPr>
      <t xml:space="preserve">4</t>
    </r>
    <r>
      <rPr>
        <b val="true"/>
        <sz val="10"/>
        <rFont val="Noto Sans CJK SC"/>
        <family val="2"/>
      </rPr>
      <t xml:space="preserve">日時点の週次コホート（年齢を揃えた比較。再生の増減＝リーチの増減）</t>
    </r>
  </si>
  <si>
    <t xml:space="preserve">指標</t>
  </si>
  <si>
    <r>
      <rPr>
        <b val="true"/>
        <sz val="10"/>
        <color rgb="FFFFFFFF"/>
        <rFont val="Arial"/>
        <family val="0"/>
        <charset val="1"/>
      </rPr>
      <t xml:space="preserve">07/27</t>
    </r>
    <r>
      <rPr>
        <b val="true"/>
        <sz val="10"/>
        <color rgb="FFFFFFFF"/>
        <rFont val="Noto Sans CJK SC"/>
        <family val="2"/>
      </rPr>
      <t xml:space="preserve">週</t>
    </r>
  </si>
  <si>
    <r>
      <rPr>
        <b val="true"/>
        <sz val="10"/>
        <color rgb="FFFFFFFF"/>
        <rFont val="Arial"/>
        <family val="0"/>
        <charset val="1"/>
      </rPr>
      <t xml:space="preserve">08/03</t>
    </r>
    <r>
      <rPr>
        <b val="true"/>
        <sz val="10"/>
        <color rgb="FFFFFFFF"/>
        <rFont val="Noto Sans CJK SC"/>
        <family val="2"/>
      </rPr>
      <t xml:space="preserve">週</t>
    </r>
  </si>
  <si>
    <r>
      <rPr>
        <b val="true"/>
        <sz val="10"/>
        <color rgb="FFFFFFFF"/>
        <rFont val="Arial"/>
        <family val="0"/>
        <charset val="1"/>
      </rPr>
      <t xml:space="preserve">08/10</t>
    </r>
    <r>
      <rPr>
        <b val="true"/>
        <sz val="10"/>
        <color rgb="FFFFFFFF"/>
        <rFont val="Noto Sans CJK SC"/>
        <family val="2"/>
      </rPr>
      <t xml:space="preserve">週</t>
    </r>
  </si>
  <si>
    <r>
      <rPr>
        <b val="true"/>
        <sz val="10"/>
        <color rgb="FFFFFFFF"/>
        <rFont val="Arial"/>
        <family val="0"/>
        <charset val="1"/>
      </rPr>
      <t xml:space="preserve">08/17</t>
    </r>
    <r>
      <rPr>
        <b val="true"/>
        <sz val="10"/>
        <color rgb="FFFFFFFF"/>
        <rFont val="Noto Sans CJK SC"/>
        <family val="2"/>
      </rPr>
      <t xml:space="preserve">週</t>
    </r>
  </si>
  <si>
    <r>
      <rPr>
        <b val="true"/>
        <sz val="10"/>
        <color rgb="FFFFFFFF"/>
        <rFont val="Arial"/>
        <family val="0"/>
        <charset val="1"/>
      </rPr>
      <t xml:space="preserve">08/24</t>
    </r>
    <r>
      <rPr>
        <b val="true"/>
        <sz val="10"/>
        <color rgb="FFFFFFFF"/>
        <rFont val="Noto Sans CJK SC"/>
        <family val="2"/>
      </rPr>
      <t xml:space="preserve">週</t>
    </r>
  </si>
  <si>
    <r>
      <rPr>
        <b val="true"/>
        <sz val="10"/>
        <color rgb="FFFFFFFF"/>
        <rFont val="Arial"/>
        <family val="0"/>
        <charset val="1"/>
      </rPr>
      <t xml:space="preserve">08/31</t>
    </r>
    <r>
      <rPr>
        <b val="true"/>
        <sz val="10"/>
        <color rgb="FFFFFFFF"/>
        <rFont val="Noto Sans CJK SC"/>
        <family val="2"/>
      </rPr>
      <t xml:space="preserve">週</t>
    </r>
  </si>
  <si>
    <r>
      <rPr>
        <b val="true"/>
        <sz val="10"/>
        <color rgb="FFFFFFFF"/>
        <rFont val="Arial"/>
        <family val="0"/>
        <charset val="1"/>
      </rPr>
      <t xml:space="preserve">09/07</t>
    </r>
    <r>
      <rPr>
        <b val="true"/>
        <sz val="10"/>
        <color rgb="FFFFFFFF"/>
        <rFont val="Noto Sans CJK SC"/>
        <family val="2"/>
      </rPr>
      <t xml:space="preserve">週</t>
    </r>
  </si>
  <si>
    <t xml:space="preserve">再生中央値</t>
  </si>
  <si>
    <r>
      <rPr>
        <sz val="10"/>
        <rFont val="Noto Sans CJK SC"/>
        <family val="2"/>
      </rPr>
      <t xml:space="preserve">高評価率</t>
    </r>
    <r>
      <rPr>
        <sz val="10"/>
        <rFont val="Arial"/>
        <family val="0"/>
        <charset val="1"/>
      </rPr>
      <t xml:space="preserve">%</t>
    </r>
  </si>
  <si>
    <r>
      <rPr>
        <sz val="10"/>
        <rFont val="Noto Sans CJK SC"/>
        <family val="2"/>
      </rPr>
      <t xml:space="preserve">登録</t>
    </r>
    <r>
      <rPr>
        <sz val="10"/>
        <rFont val="Arial"/>
        <family val="0"/>
        <charset val="1"/>
      </rPr>
      <t xml:space="preserve">/</t>
    </r>
    <r>
      <rPr>
        <sz val="10"/>
        <rFont val="Noto Sans CJK SC"/>
        <family val="2"/>
      </rPr>
      <t xml:space="preserve">千再生</t>
    </r>
  </si>
  <si>
    <r>
      <rPr>
        <b val="true"/>
        <sz val="14"/>
        <rFont val="Noto Sans CJK SC"/>
        <family val="2"/>
      </rPr>
      <t xml:space="preserve">動画別パフォーマンス（</t>
    </r>
    <r>
      <rPr>
        <b val="true"/>
        <sz val="14"/>
        <rFont val="Arial"/>
        <family val="0"/>
        <charset val="1"/>
      </rPr>
      <t xml:space="preserve">09-17 </t>
    </r>
    <r>
      <rPr>
        <b val="true"/>
        <sz val="14"/>
        <rFont val="Noto Sans CJK SC"/>
        <family val="2"/>
      </rPr>
      <t xml:space="preserve">スナップショット・公開 </t>
    </r>
    <r>
      <rPr>
        <b val="true"/>
        <sz val="14"/>
        <rFont val="Arial"/>
        <family val="0"/>
        <charset val="1"/>
      </rPr>
      <t xml:space="preserve">09-01 </t>
    </r>
    <r>
      <rPr>
        <b val="true"/>
        <sz val="14"/>
        <rFont val="Noto Sans CJK SC"/>
        <family val="2"/>
      </rPr>
      <t xml:space="preserve">以降）</t>
    </r>
  </si>
  <si>
    <t xml:space="preserve">公開日</t>
  </si>
  <si>
    <t xml:space="preserve">タイトル</t>
  </si>
  <si>
    <t xml:space="preserve">再生</t>
  </si>
  <si>
    <r>
      <rPr>
        <b val="true"/>
        <sz val="10"/>
        <color rgb="FFFFFFFF"/>
        <rFont val="Noto Sans CJK SC"/>
        <family val="2"/>
      </rPr>
      <t xml:space="preserve">維持率</t>
    </r>
    <r>
      <rPr>
        <b val="true"/>
        <sz val="10"/>
        <color rgb="FFFFFFFF"/>
        <rFont val="Arial"/>
        <family val="0"/>
        <charset val="1"/>
      </rPr>
      <t xml:space="preserve">%</t>
    </r>
  </si>
  <si>
    <r>
      <rPr>
        <b val="true"/>
        <sz val="10"/>
        <color rgb="FFFFFFFF"/>
        <rFont val="Noto Sans CJK SC"/>
        <family val="2"/>
      </rPr>
      <t xml:space="preserve">推定尺</t>
    </r>
    <r>
      <rPr>
        <b val="true"/>
        <sz val="10"/>
        <color rgb="FFFFFFFF"/>
        <rFont val="Arial"/>
        <family val="0"/>
        <charset val="1"/>
      </rPr>
      <t xml:space="preserve">(</t>
    </r>
    <r>
      <rPr>
        <b val="true"/>
        <sz val="10"/>
        <color rgb="FFFFFFFF"/>
        <rFont val="Noto Sans CJK SC"/>
        <family val="2"/>
      </rPr>
      <t xml:space="preserve">秒</t>
    </r>
    <r>
      <rPr>
        <b val="true"/>
        <sz val="10"/>
        <color rgb="FFFFFFFF"/>
        <rFont val="Arial"/>
        <family val="0"/>
        <charset val="1"/>
      </rPr>
      <t xml:space="preserve">)</t>
    </r>
  </si>
  <si>
    <t xml:space="preserve">高評価</t>
  </si>
  <si>
    <t xml:space="preserve">コメント</t>
  </si>
  <si>
    <t xml:space="preserve">登録者</t>
  </si>
  <si>
    <t xml:space="preserve">インプレ</t>
  </si>
  <si>
    <t xml:space="preserve">CTR%</t>
  </si>
  <si>
    <t xml:space="preserve">2026-09-03</t>
  </si>
  <si>
    <r>
      <rPr>
        <sz val="10"/>
        <rFont val="Noto Sans CJK SC"/>
        <family val="2"/>
      </rPr>
      <t xml:space="preserve">実はマックに神メニュー</t>
    </r>
    <r>
      <rPr>
        <sz val="10"/>
        <rFont val="Arial"/>
        <family val="0"/>
        <charset val="1"/>
      </rPr>
      <t xml:space="preserve">3</t>
    </r>
    <r>
      <rPr>
        <sz val="10"/>
        <rFont val="Noto Sans CJK SC"/>
        <family val="2"/>
      </rPr>
      <t xml:space="preserve">品が決まらない本当の理由とは？ </t>
    </r>
    <r>
      <rPr>
        <sz val="10"/>
        <rFont val="Arial"/>
        <family val="0"/>
        <charset val="1"/>
      </rPr>
      <t xml:space="preserve">#shorts #2ch #</t>
    </r>
    <r>
      <rPr>
        <sz val="10"/>
        <rFont val="Noto Sans CJK SC"/>
        <family val="2"/>
      </rPr>
      <t xml:space="preserve">面白いスレ</t>
    </r>
  </si>
  <si>
    <t xml:space="preserve">2026-09-04</t>
  </si>
  <si>
    <r>
      <rPr>
        <sz val="10"/>
        <rFont val="Noto Sans CJK SC"/>
        <family val="2"/>
      </rPr>
      <t xml:space="preserve">正体を大人が知る</t>
    </r>
    <r>
      <rPr>
        <sz val="10"/>
        <rFont val="Arial"/>
        <family val="0"/>
        <charset val="1"/>
      </rPr>
      <t xml:space="preserve">3</t>
    </r>
    <r>
      <rPr>
        <sz val="10"/>
        <rFont val="Noto Sans CJK SC"/>
        <family val="2"/>
      </rPr>
      <t xml:space="preserve">秒の言葉あげてけ</t>
    </r>
    <r>
      <rPr>
        <sz val="10"/>
        <rFont val="Arial"/>
        <family val="0"/>
        <charset val="1"/>
      </rPr>
      <t xml:space="preserve">w😂 #shorts #2ch #</t>
    </r>
    <r>
      <rPr>
        <sz val="10"/>
        <rFont val="Noto Sans CJK SC"/>
        <family val="2"/>
      </rPr>
      <t xml:space="preserve">面白いスレ</t>
    </r>
  </si>
  <si>
    <r>
      <rPr>
        <sz val="10"/>
        <rFont val="Noto Sans CJK SC"/>
        <family val="2"/>
      </rPr>
      <t xml:space="preserve">なぜ友達の風呂で</t>
    </r>
    <r>
      <rPr>
        <sz val="10"/>
        <rFont val="Arial"/>
        <family val="0"/>
        <charset val="1"/>
      </rPr>
      <t xml:space="preserve">3</t>
    </r>
    <r>
      <rPr>
        <sz val="10"/>
        <rFont val="Noto Sans CJK SC"/>
        <family val="2"/>
      </rPr>
      <t xml:space="preserve">回もやらかしたのか？ｗ </t>
    </r>
    <r>
      <rPr>
        <sz val="10"/>
        <rFont val="Arial"/>
        <family val="0"/>
        <charset val="1"/>
      </rPr>
      <t xml:space="preserve">#shorts #2ch #</t>
    </r>
    <r>
      <rPr>
        <sz val="10"/>
        <rFont val="Noto Sans CJK SC"/>
        <family val="2"/>
      </rPr>
      <t xml:space="preserve">面白いスレ</t>
    </r>
  </si>
  <si>
    <r>
      <rPr>
        <sz val="10"/>
        <rFont val="Noto Sans CJK SC"/>
        <family val="2"/>
      </rPr>
      <t xml:space="preserve">🤣ワイ健康診断歴</t>
    </r>
    <r>
      <rPr>
        <sz val="10"/>
        <rFont val="Arial"/>
        <family val="0"/>
        <charset val="1"/>
      </rPr>
      <t xml:space="preserve">3</t>
    </r>
    <r>
      <rPr>
        <sz val="10"/>
        <rFont val="Noto Sans CJK SC"/>
        <family val="2"/>
      </rPr>
      <t xml:space="preserve">年やけど正体ある</t>
    </r>
    <r>
      <rPr>
        <sz val="10"/>
        <rFont val="Arial"/>
        <family val="0"/>
        <charset val="1"/>
      </rPr>
      <t xml:space="preserve">w🍑 #shorts #2ch #</t>
    </r>
    <r>
      <rPr>
        <sz val="10"/>
        <rFont val="Noto Sans CJK SC"/>
        <family val="2"/>
      </rPr>
      <t xml:space="preserve">面白いスレ</t>
    </r>
  </si>
  <si>
    <t xml:space="preserve">2026-09-05</t>
  </si>
  <si>
    <r>
      <rPr>
        <sz val="10"/>
        <rFont val="Noto Sans CJK SC"/>
        <family val="2"/>
      </rPr>
      <t xml:space="preserve">なぜ親は無言で机を閉めたのか…見つかって終わった物とは？ </t>
    </r>
    <r>
      <rPr>
        <sz val="10"/>
        <rFont val="Arial"/>
        <family val="0"/>
        <charset val="1"/>
      </rPr>
      <t xml:space="preserve">#shorts #2ch #</t>
    </r>
    <r>
      <rPr>
        <sz val="10"/>
        <rFont val="Noto Sans CJK SC"/>
        <family val="2"/>
      </rPr>
      <t xml:space="preserve">面白いスレ</t>
    </r>
  </si>
  <si>
    <r>
      <rPr>
        <sz val="10"/>
        <rFont val="Noto Sans CJK SC"/>
        <family val="2"/>
      </rPr>
      <t xml:space="preserve">💦ワイ、同棲</t>
    </r>
    <r>
      <rPr>
        <sz val="10"/>
        <rFont val="Arial"/>
        <family val="0"/>
        <charset val="1"/>
      </rPr>
      <t xml:space="preserve">3</t>
    </r>
    <r>
      <rPr>
        <sz val="10"/>
        <rFont val="Noto Sans CJK SC"/>
        <family val="2"/>
      </rPr>
      <t xml:space="preserve">年目やけど質問ある？💦 </t>
    </r>
    <r>
      <rPr>
        <sz val="10"/>
        <rFont val="Arial"/>
        <family val="0"/>
        <charset val="1"/>
      </rPr>
      <t xml:space="preserve">#shorts #2ch #</t>
    </r>
    <r>
      <rPr>
        <sz val="10"/>
        <rFont val="Noto Sans CJK SC"/>
        <family val="2"/>
      </rPr>
      <t xml:space="preserve">面白いスレ</t>
    </r>
  </si>
  <si>
    <r>
      <rPr>
        <sz val="10"/>
        <rFont val="Arial"/>
        <family val="0"/>
        <charset val="1"/>
      </rPr>
      <t xml:space="preserve">3</t>
    </r>
    <r>
      <rPr>
        <sz val="10"/>
        <rFont val="Noto Sans CJK SC"/>
        <family val="2"/>
      </rPr>
      <t xml:space="preserve">秒で凍結何言った </t>
    </r>
    <r>
      <rPr>
        <sz val="10"/>
        <rFont val="Arial"/>
        <family val="0"/>
        <charset val="1"/>
      </rPr>
      <t xml:space="preserve">#shorts #2ch #</t>
    </r>
    <r>
      <rPr>
        <sz val="10"/>
        <rFont val="Noto Sans CJK SC"/>
        <family val="2"/>
      </rPr>
      <t xml:space="preserve">面白いスレ</t>
    </r>
  </si>
  <si>
    <t xml:space="preserve">2026-09-06</t>
  </si>
  <si>
    <r>
      <rPr>
        <sz val="10"/>
        <rFont val="Arial"/>
        <family val="0"/>
        <charset val="1"/>
      </rPr>
      <t xml:space="preserve">3</t>
    </r>
    <r>
      <rPr>
        <sz val="10"/>
        <rFont val="Noto Sans CJK SC"/>
        <family val="2"/>
      </rPr>
      <t xml:space="preserve">回目の店謎の予約名 </t>
    </r>
    <r>
      <rPr>
        <sz val="10"/>
        <rFont val="Arial"/>
        <family val="0"/>
        <charset val="1"/>
      </rPr>
      <t xml:space="preserve">#shorts #2ch #</t>
    </r>
    <r>
      <rPr>
        <sz val="10"/>
        <rFont val="Noto Sans CJK SC"/>
        <family val="2"/>
      </rPr>
      <t xml:space="preserve">面白いスレ</t>
    </r>
  </si>
  <si>
    <r>
      <rPr>
        <sz val="10"/>
        <rFont val="Noto Sans CJK SC"/>
        <family val="2"/>
      </rPr>
      <t xml:space="preserve">ワイ、保健体育歴</t>
    </r>
    <r>
      <rPr>
        <sz val="10"/>
        <rFont val="Arial"/>
        <family val="0"/>
        <charset val="1"/>
      </rPr>
      <t xml:space="preserve">3</t>
    </r>
    <r>
      <rPr>
        <sz val="10"/>
        <rFont val="Noto Sans CJK SC"/>
        <family val="2"/>
      </rPr>
      <t xml:space="preserve">年やけど質問ある？</t>
    </r>
    <r>
      <rPr>
        <sz val="10"/>
        <rFont val="Arial"/>
        <family val="0"/>
        <charset val="1"/>
      </rPr>
      <t xml:space="preserve">w💦 #shorts #2ch #</t>
    </r>
    <r>
      <rPr>
        <sz val="10"/>
        <rFont val="Noto Sans CJK SC"/>
        <family val="2"/>
      </rPr>
      <t xml:space="preserve">面白いスレ</t>
    </r>
  </si>
  <si>
    <r>
      <rPr>
        <sz val="10"/>
        <rFont val="Noto Sans CJK SC"/>
        <family val="2"/>
      </rPr>
      <t xml:space="preserve">湯けむりの奥全員停止 </t>
    </r>
    <r>
      <rPr>
        <sz val="10"/>
        <rFont val="Arial"/>
        <family val="0"/>
        <charset val="1"/>
      </rPr>
      <t xml:space="preserve">#shorts #2ch #</t>
    </r>
    <r>
      <rPr>
        <sz val="10"/>
        <rFont val="Noto Sans CJK SC"/>
        <family val="2"/>
      </rPr>
      <t xml:space="preserve">面白いスレ</t>
    </r>
  </si>
  <si>
    <t xml:space="preserve">2026-09-07</t>
  </si>
  <si>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</si>
  <si>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r>
      <rPr>
        <sz val="10"/>
        <rFont val="Noto Sans CJK SC"/>
        <family val="2"/>
      </rPr>
      <t xml:space="preserve">ワイ、毎月大金をムダにしてるけど質問ある？ </t>
    </r>
    <r>
      <rPr>
        <sz val="10"/>
        <rFont val="Arial"/>
        <family val="0"/>
        <charset val="1"/>
      </rPr>
      <t xml:space="preserve">#shorts #2ch #</t>
    </r>
    <r>
      <rPr>
        <sz val="10"/>
        <rFont val="Noto Sans CJK SC"/>
        <family val="2"/>
      </rPr>
      <t xml:space="preserve">面白いスレ</t>
    </r>
  </si>
  <si>
    <r>
      <rPr>
        <sz val="10"/>
        <rFont val="Noto Sans CJK SC"/>
        <family val="2"/>
      </rPr>
      <t xml:space="preserve">なぜファミマで謎の商品を買ってしまうのか？草 </t>
    </r>
    <r>
      <rPr>
        <sz val="10"/>
        <rFont val="Arial"/>
        <family val="0"/>
        <charset val="1"/>
      </rPr>
      <t xml:space="preserve">#shorts #2ch #</t>
    </r>
    <r>
      <rPr>
        <sz val="10"/>
        <rFont val="Noto Sans CJK SC"/>
        <family val="2"/>
      </rPr>
      <t xml:space="preserve">面白いスレ</t>
    </r>
  </si>
  <si>
    <t xml:space="preserve">2026-09-08</t>
  </si>
  <si>
    <r>
      <rPr>
        <sz val="10"/>
        <rFont val="Noto Sans CJK SC"/>
        <family val="2"/>
      </rPr>
      <t xml:space="preserve">ワイの</t>
    </r>
    <r>
      <rPr>
        <sz val="10"/>
        <rFont val="Arial"/>
        <family val="0"/>
        <charset val="1"/>
      </rPr>
      <t xml:space="preserve">PC</t>
    </r>
    <r>
      <rPr>
        <sz val="10"/>
        <rFont val="Noto Sans CJK SC"/>
        <family val="2"/>
      </rPr>
      <t xml:space="preserve">で彼女が凍った本当の理由</t>
    </r>
    <r>
      <rPr>
        <sz val="10"/>
        <rFont val="Arial"/>
        <family val="0"/>
        <charset val="1"/>
      </rPr>
      <t xml:space="preserve">w💦 #shorts #2ch #</t>
    </r>
    <r>
      <rPr>
        <sz val="10"/>
        <rFont val="Noto Sans CJK SC"/>
        <family val="2"/>
      </rPr>
      <t xml:space="preserve">面白いスレ</t>
    </r>
  </si>
  <si>
    <r>
      <rPr>
        <sz val="10"/>
        <rFont val="Arial"/>
        <family val="0"/>
        <charset val="1"/>
      </rPr>
      <t xml:space="preserve">Apple</t>
    </r>
    <r>
      <rPr>
        <sz val="10"/>
        <rFont val="Noto Sans CJK SC"/>
        <family val="2"/>
      </rPr>
      <t xml:space="preserve">新製品予想、また本命を外して財布が逝く民ｗ </t>
    </r>
    <r>
      <rPr>
        <sz val="10"/>
        <rFont val="Arial"/>
        <family val="0"/>
        <charset val="1"/>
      </rPr>
      <t xml:space="preserve">#shorts #2ch #</t>
    </r>
    <r>
      <rPr>
        <sz val="10"/>
        <rFont val="Noto Sans CJK SC"/>
        <family val="2"/>
      </rPr>
      <t xml:space="preserve">面白いスレ</t>
    </r>
  </si>
  <si>
    <t xml:space="preserve">2026-09-09</t>
  </si>
  <si>
    <r>
      <rPr>
        <sz val="10"/>
        <rFont val="Noto Sans CJK SC"/>
        <family val="2"/>
      </rPr>
      <t xml:space="preserve">ワイの財布から毎月消える謎の正体が判明したｗ </t>
    </r>
    <r>
      <rPr>
        <sz val="10"/>
        <rFont val="Arial"/>
        <family val="0"/>
        <charset val="1"/>
      </rPr>
      <t xml:space="preserve">#shorts #2ch #</t>
    </r>
    <r>
      <rPr>
        <sz val="10"/>
        <rFont val="Noto Sans CJK SC"/>
        <family val="2"/>
      </rPr>
      <t xml:space="preserve">面白いスレ</t>
    </r>
  </si>
  <si>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</si>
  <si>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</si>
  <si>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星野リゾートの推定年収</t>
    </r>
    <r>
      <rPr>
        <sz val="10"/>
        <rFont val="Arial"/>
        <family val="0"/>
        <charset val="1"/>
      </rPr>
      <t xml:space="preserve">400</t>
    </r>
    <r>
      <rPr>
        <sz val="10"/>
        <rFont val="Noto Sans CJK SC"/>
        <family val="2"/>
      </rPr>
      <t xml:space="preserve">万円、業界平均と比べると？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</si>
  <si>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航空自衛隊千歳の正体、年収</t>
    </r>
    <r>
      <rPr>
        <sz val="10"/>
        <rFont val="Arial"/>
        <family val="0"/>
        <charset val="1"/>
      </rPr>
      <t xml:space="preserve">400</t>
    </r>
    <r>
      <rPr>
        <sz val="10"/>
        <rFont val="Noto Sans CJK SC"/>
        <family val="2"/>
      </rPr>
      <t xml:space="preserve">万円台の実態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</si>
  <si>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万円、実は株価上昇の裏側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</si>
  <si>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キーエンス年収</t>
    </r>
    <r>
      <rPr>
        <sz val="10"/>
        <rFont val="Arial"/>
        <family val="0"/>
        <charset val="1"/>
      </rPr>
      <t xml:space="preserve">2067</t>
    </r>
    <r>
      <rPr>
        <sz val="10"/>
        <rFont val="Noto Sans CJK SC"/>
        <family val="2"/>
      </rPr>
      <t xml:space="preserve">万円の内訳、残業</t>
    </r>
    <r>
      <rPr>
        <sz val="10"/>
        <rFont val="Arial"/>
        <family val="0"/>
        <charset val="1"/>
      </rPr>
      <t xml:space="preserve">37.7</t>
    </r>
    <r>
      <rPr>
        <sz val="10"/>
        <rFont val="Noto Sans CJK SC"/>
        <family val="2"/>
      </rPr>
      <t xml:space="preserve">時間と評価制度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</si>
  <si>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万円、実は転職後に差が出る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</si>
  <si>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トヨタ</t>
    </r>
    <r>
      <rPr>
        <sz val="10"/>
        <rFont val="Arial"/>
        <family val="0"/>
        <charset val="1"/>
      </rPr>
      <t xml:space="preserve">895</t>
    </r>
    <r>
      <rPr>
        <sz val="10"/>
        <rFont val="Noto Sans CJK SC"/>
        <family val="2"/>
      </rPr>
      <t xml:space="preserve">万円の実態、ルーミー人気を支える社員の本音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</si>
  <si>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伊藤忠商事の平均</t>
    </r>
    <r>
      <rPr>
        <sz val="10"/>
        <rFont val="Arial"/>
        <family val="0"/>
        <charset val="1"/>
      </rPr>
      <t xml:space="preserve">1753</t>
    </r>
    <r>
      <rPr>
        <sz val="10"/>
        <rFont val="Noto Sans CJK SC"/>
        <family val="2"/>
      </rPr>
      <t xml:space="preserve">万円、朝型勤務の実態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</si>
  <si>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Apple Japan</t>
    </r>
    <r>
      <rPr>
        <sz val="10"/>
        <rFont val="Noto Sans CJK SC"/>
        <family val="2"/>
      </rPr>
      <t xml:space="preserve">の年収、実は</t>
    </r>
    <r>
      <rPr>
        <sz val="10"/>
        <rFont val="Arial"/>
        <family val="0"/>
        <charset val="1"/>
      </rPr>
      <t xml:space="preserve">1,000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</si>
  <si>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</si>
  <si>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</si>
  <si>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大和ハウス工業の年収</t>
    </r>
    <r>
      <rPr>
        <sz val="10"/>
        <rFont val="Arial"/>
        <family val="0"/>
        <charset val="1"/>
      </rPr>
      <t xml:space="preserve">1000</t>
    </r>
    <r>
      <rPr>
        <sz val="10"/>
        <rFont val="Noto Sans CJK SC"/>
        <family val="2"/>
      </rPr>
      <t xml:space="preserve">万円超、残業の実態がヤバい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</si>
  <si>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NTT</t>
    </r>
    <r>
      <rPr>
        <sz val="10"/>
        <rFont val="Noto Sans CJK SC"/>
        <family val="2"/>
      </rPr>
      <t xml:space="preserve">データの年収</t>
    </r>
    <r>
      <rPr>
        <sz val="10"/>
        <rFont val="Arial"/>
        <family val="0"/>
        <charset val="1"/>
      </rPr>
      <t xml:space="preserve">905</t>
    </r>
    <r>
      <rPr>
        <sz val="10"/>
        <rFont val="Noto Sans CJK SC"/>
        <family val="2"/>
      </rPr>
      <t xml:space="preserve">万円、実は在宅勤務の裏側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</si>
  <si>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ユニクロ店長、売上</t>
    </r>
    <r>
      <rPr>
        <sz val="10"/>
        <rFont val="Arial"/>
        <family val="0"/>
        <charset val="1"/>
      </rPr>
      <t xml:space="preserve">1</t>
    </r>
    <r>
      <rPr>
        <sz val="10"/>
        <rFont val="Noto Sans CJK SC"/>
        <family val="2"/>
      </rPr>
      <t xml:space="preserve">億円を任される仕事の実態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</si>
  <si>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Apple</t>
    </r>
    <r>
      <rPr>
        <sz val="10"/>
        <rFont val="Noto Sans CJK SC"/>
        <family val="2"/>
      </rPr>
      <t xml:space="preserve">の本当は年収約</t>
    </r>
    <r>
      <rPr>
        <sz val="10"/>
        <rFont val="Arial"/>
        <family val="0"/>
        <charset val="1"/>
      </rPr>
      <t xml:space="preserve">3,800</t>
    </r>
    <r>
      <rPr>
        <sz val="10"/>
        <rFont val="Noto Sans CJK SC"/>
        <family val="2"/>
      </rPr>
      <t xml:space="preserve">万円、新製品発表の裏側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</si>
  <si>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2026-09-13</t>
  </si>
  <si>
    <r>
      <rPr>
        <sz val="10"/>
        <rFont val="Noto Sans CJK SC"/>
        <family val="2"/>
      </rPr>
      <t xml:space="preserve">ワークマンが一般客を呼んだ転機、売上</t>
    </r>
    <r>
      <rPr>
        <sz val="10"/>
        <rFont val="Arial"/>
        <family val="0"/>
        <charset val="1"/>
      </rPr>
      <t xml:space="preserve">1,283</t>
    </r>
    <r>
      <rPr>
        <sz val="10"/>
        <rFont val="Noto Sans CJK SC"/>
        <family val="2"/>
      </rPr>
      <t xml:space="preserve">億円の裏側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</si>
  <si>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スシローが回転をやめた店を増やす</t>
    </r>
    <r>
      <rPr>
        <sz val="10"/>
        <rFont val="Arial"/>
        <family val="0"/>
        <charset val="1"/>
      </rPr>
      <t xml:space="preserve">3</t>
    </r>
    <r>
      <rPr>
        <sz val="10"/>
        <rFont val="Noto Sans CJK SC"/>
        <family val="2"/>
      </rPr>
      <t xml:space="preserve">業態の狙い実態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</si>
  <si>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コメダ珈琲が</t>
    </r>
    <r>
      <rPr>
        <sz val="10"/>
        <rFont val="Arial"/>
        <family val="0"/>
        <charset val="1"/>
      </rPr>
      <t xml:space="preserve">FC</t>
    </r>
    <r>
      <rPr>
        <sz val="10"/>
        <rFont val="Noto Sans CJK SC"/>
        <family val="2"/>
      </rPr>
      <t xml:space="preserve">比率</t>
    </r>
    <r>
      <rPr>
        <sz val="10"/>
        <rFont val="Arial"/>
        <family val="0"/>
        <charset val="1"/>
      </rPr>
      <t xml:space="preserve">99%</t>
    </r>
    <r>
      <rPr>
        <sz val="10"/>
        <rFont val="Noto Sans CJK SC"/>
        <family val="2"/>
      </rPr>
      <t xml:space="preserve">にする本当の理由とは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</si>
  <si>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2026-09-14</t>
  </si>
  <si>
    <r>
      <rPr>
        <sz val="10"/>
        <rFont val="Noto Sans CJK SC"/>
        <family val="2"/>
      </rPr>
      <t xml:space="preserve">任天堂の年収</t>
    </r>
    <r>
      <rPr>
        <sz val="10"/>
        <rFont val="Arial"/>
        <family val="0"/>
        <charset val="1"/>
      </rPr>
      <t xml:space="preserve">986</t>
    </r>
    <r>
      <rPr>
        <sz val="10"/>
        <rFont val="Noto Sans CJK SC"/>
        <family val="2"/>
      </rPr>
      <t xml:space="preserve">万円、実は職種で差が出る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</si>
  <si>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USJ</t>
    </r>
    <r>
      <rPr>
        <sz val="10"/>
        <rFont val="Noto Sans CJK SC"/>
        <family val="2"/>
      </rPr>
      <t xml:space="preserve">の年収と福利厚生、その実態とは？人気の裏側を暴露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</si>
  <si>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ニトリ</t>
    </r>
    <r>
      <rPr>
        <sz val="10"/>
        <rFont val="Arial"/>
        <family val="0"/>
        <charset val="1"/>
      </rPr>
      <t xml:space="preserve">864</t>
    </r>
    <r>
      <rPr>
        <sz val="10"/>
        <rFont val="Noto Sans CJK SC"/>
        <family val="2"/>
      </rPr>
      <t xml:space="preserve">万円の裏側、配置転換が生む働き方のリアル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</si>
  <si>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味の素の給与</t>
    </r>
    <r>
      <rPr>
        <sz val="10"/>
        <rFont val="Arial"/>
        <family val="0"/>
        <charset val="1"/>
      </rPr>
      <t xml:space="preserve">1065</t>
    </r>
    <r>
      <rPr>
        <sz val="10"/>
        <rFont val="Noto Sans CJK SC"/>
        <family val="2"/>
      </rPr>
      <t xml:space="preserve">万円、手当だけではない本当の理由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</si>
  <si>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2026-09-15</t>
  </si>
  <si>
    <r>
      <rPr>
        <sz val="10"/>
        <rFont val="Noto Sans CJK SC"/>
        <family val="2"/>
      </rPr>
      <t xml:space="preserve">楽天トラベルの年収、最大</t>
    </r>
    <r>
      <rPr>
        <sz val="10"/>
        <rFont val="Arial"/>
        <family val="0"/>
        <charset val="1"/>
      </rPr>
      <t xml:space="preserve">70%</t>
    </r>
    <r>
      <rPr>
        <sz val="10"/>
        <rFont val="Noto Sans CJK SC"/>
        <family val="2"/>
      </rPr>
      <t xml:space="preserve">割引の裏側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</si>
  <si>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リクルート年収</t>
    </r>
    <r>
      <rPr>
        <sz val="10"/>
        <rFont val="Arial"/>
        <family val="0"/>
        <charset val="1"/>
      </rPr>
      <t xml:space="preserve">1,138</t>
    </r>
    <r>
      <rPr>
        <sz val="10"/>
        <rFont val="Noto Sans CJK SC"/>
        <family val="2"/>
      </rPr>
      <t xml:space="preserve">万円、実は等級で差が出る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</si>
  <si>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日本電産の年収</t>
    </r>
    <r>
      <rPr>
        <sz val="10"/>
        <rFont val="Arial"/>
        <family val="0"/>
        <charset val="1"/>
      </rPr>
      <t xml:space="preserve">817</t>
    </r>
    <r>
      <rPr>
        <sz val="10"/>
        <rFont val="Noto Sans CJK SC"/>
        <family val="2"/>
      </rPr>
      <t xml:space="preserve">万円、実は残業時間とのバランス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</si>
  <si>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ニトリの粗利率</t>
    </r>
    <r>
      <rPr>
        <sz val="10"/>
        <rFont val="Arial"/>
        <family val="0"/>
        <charset val="1"/>
      </rPr>
      <t xml:space="preserve">55%</t>
    </r>
    <r>
      <rPr>
        <sz val="10"/>
        <rFont val="Noto Sans CJK SC"/>
        <family val="2"/>
      </rPr>
      <t xml:space="preserve">、実は物流まで握る実態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</si>
  <si>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2026-09-16</t>
  </si>
  <si>
    <r>
      <rPr>
        <sz val="10"/>
        <rFont val="Noto Sans CJK SC"/>
        <family val="2"/>
      </rPr>
      <t xml:space="preserve">ドン・キホーテの</t>
    </r>
    <r>
      <rPr>
        <sz val="10"/>
        <rFont val="Arial"/>
        <family val="0"/>
        <charset val="1"/>
      </rPr>
      <t xml:space="preserve">4</t>
    </r>
    <r>
      <rPr>
        <sz val="10"/>
        <rFont val="Noto Sans CJK SC"/>
        <family val="2"/>
      </rPr>
      <t xml:space="preserve">万点、実は在庫を寝かせない売り場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</si>
  <si>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サイゼリヤが価格を維持できた</t>
    </r>
    <r>
      <rPr>
        <sz val="10"/>
        <rFont val="Arial"/>
        <family val="0"/>
        <charset val="1"/>
      </rPr>
      <t xml:space="preserve">10</t>
    </r>
    <r>
      <rPr>
        <sz val="10"/>
        <rFont val="Noto Sans CJK SC"/>
        <family val="2"/>
      </rPr>
      <t xml:space="preserve">年と原価率の実態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</si>
  <si>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無印良品の</t>
    </r>
    <r>
      <rPr>
        <sz val="10"/>
        <rFont val="Arial"/>
        <family val="0"/>
        <charset val="1"/>
      </rPr>
      <t xml:space="preserve">1,200</t>
    </r>
    <r>
      <rPr>
        <sz val="10"/>
        <rFont val="Noto Sans CJK SC"/>
        <family val="2"/>
      </rPr>
      <t xml:space="preserve">店、実は衣料だけではない売上構成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</si>
  <si>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ユニクロのヒートテック</t>
    </r>
    <r>
      <rPr>
        <sz val="10"/>
        <rFont val="Arial"/>
        <family val="0"/>
        <charset val="1"/>
      </rPr>
      <t xml:space="preserve">10</t>
    </r>
    <r>
      <rPr>
        <sz val="10"/>
        <rFont val="Noto Sans CJK SC"/>
        <family val="2"/>
      </rPr>
      <t xml:space="preserve">億枚、その売上が残らない理由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</si>
  <si>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2026-09-17</t>
  </si>
  <si>
    <r>
      <rPr>
        <sz val="10"/>
        <rFont val="Noto Sans CJK SC"/>
        <family val="2"/>
      </rPr>
      <t xml:space="preserve">スタバのラテ</t>
    </r>
    <r>
      <rPr>
        <sz val="10"/>
        <rFont val="Arial"/>
        <family val="0"/>
        <charset val="1"/>
      </rPr>
      <t xml:space="preserve">550</t>
    </r>
    <r>
      <rPr>
        <sz val="10"/>
        <rFont val="Noto Sans CJK SC"/>
        <family val="2"/>
      </rPr>
      <t xml:space="preserve">円、その価格になる本当の理由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</si>
  <si>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しまむら、広告費</t>
    </r>
    <r>
      <rPr>
        <sz val="10"/>
        <rFont val="Arial"/>
        <family val="0"/>
        <charset val="1"/>
      </rPr>
      <t xml:space="preserve">0</t>
    </r>
    <r>
      <rPr>
        <sz val="10"/>
        <rFont val="Noto Sans CJK SC"/>
        <family val="2"/>
      </rPr>
      <t xml:space="preserve">円ではない 本当の理由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</si>
  <si>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資生堂が国内販売を絞る、本当は</t>
    </r>
    <r>
      <rPr>
        <sz val="10"/>
        <rFont val="Arial"/>
        <family val="0"/>
        <charset val="1"/>
      </rPr>
      <t xml:space="preserve">3,000</t>
    </r>
    <r>
      <rPr>
        <sz val="10"/>
        <rFont val="Noto Sans CJK SC"/>
        <family val="2"/>
      </rPr>
      <t xml:space="preserve">億円の理由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</si>
  <si>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歩き方を意識した</t>
    </r>
    <r>
      <rPr>
        <sz val="10"/>
        <rFont val="Arial"/>
        <family val="0"/>
        <charset val="1"/>
      </rPr>
      <t xml:space="preserve">3</t>
    </r>
    <r>
      <rPr>
        <sz val="10"/>
        <rFont val="Noto Sans CJK SC"/>
        <family val="2"/>
      </rPr>
      <t xml:space="preserve">秒で迷う正体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</si>
  <si>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黙読中の喉、なぜ声なしで</t>
    </r>
    <r>
      <rPr>
        <sz val="10"/>
        <rFont val="Arial"/>
        <family val="0"/>
        <charset val="1"/>
      </rPr>
      <t xml:space="preserve">1</t>
    </r>
    <r>
      <rPr>
        <sz val="10"/>
        <rFont val="Noto Sans CJK SC"/>
        <family val="2"/>
      </rPr>
      <t xml:space="preserve">秒だけ動く？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</si>
  <si>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泳いでいる脳が</t>
    </r>
    <r>
      <rPr>
        <sz val="10"/>
        <rFont val="Arial"/>
        <family val="0"/>
        <charset val="1"/>
      </rPr>
      <t xml:space="preserve">3</t>
    </r>
    <r>
      <rPr>
        <sz val="10"/>
        <rFont val="Noto Sans CJK SC"/>
        <family val="2"/>
      </rPr>
      <t xml:space="preserve">秒ごとに息継ぎを気にするワケ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</si>
  <si>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あなたの耳が</t>
    </r>
    <r>
      <rPr>
        <sz val="10"/>
        <rFont val="Arial"/>
        <family val="0"/>
        <charset val="1"/>
      </rPr>
      <t xml:space="preserve">3</t>
    </r>
    <r>
      <rPr>
        <sz val="10"/>
        <rFont val="Noto Sans CJK SC"/>
        <family val="2"/>
      </rPr>
      <t xml:space="preserve">秒で抜ける正体は？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</si>
  <si>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鏡の顔だけ違う？</t>
    </r>
    <r>
      <rPr>
        <sz val="10"/>
        <rFont val="Arial"/>
        <family val="0"/>
        <charset val="1"/>
      </rPr>
      <t xml:space="preserve">99%</t>
    </r>
    <r>
      <rPr>
        <sz val="10"/>
        <rFont val="Noto Sans CJK SC"/>
        <family val="2"/>
      </rPr>
      <t xml:space="preserve">が知らない左右差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</si>
  <si>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なぜあなたは階段で</t>
    </r>
    <r>
      <rPr>
        <sz val="10"/>
        <rFont val="Arial"/>
        <family val="0"/>
        <charset val="1"/>
      </rPr>
      <t xml:space="preserve">1</t>
    </r>
    <r>
      <rPr>
        <sz val="10"/>
        <rFont val="Noto Sans CJK SC"/>
        <family val="2"/>
      </rPr>
      <t xml:space="preserve">段だけ外すのか？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</si>
  <si>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なぜ壁のシミが顔に見える？</t>
    </r>
    <r>
      <rPr>
        <sz val="10"/>
        <rFont val="Arial"/>
        <family val="0"/>
        <charset val="1"/>
      </rPr>
      <t xml:space="preserve">0.1</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</si>
  <si>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あなたの字が</t>
    </r>
    <r>
      <rPr>
        <sz val="10"/>
        <rFont val="Arial"/>
        <family val="0"/>
        <charset val="1"/>
      </rPr>
      <t xml:space="preserve">30</t>
    </r>
    <r>
      <rPr>
        <sz val="10"/>
        <rFont val="Noto Sans CJK SC"/>
        <family val="2"/>
      </rPr>
      <t xml:space="preserve">秒で別物に見える？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</si>
  <si>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実は暗い部屋で音に敏感になるのは、耳が目の代わりをするから？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</si>
  <si>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あなたが大雨で不安になる</t>
    </r>
    <r>
      <rPr>
        <sz val="10"/>
        <rFont val="Arial"/>
        <family val="0"/>
        <charset val="1"/>
      </rPr>
      <t xml:space="preserve">3hPa</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</si>
  <si>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</si>
  <si>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</si>
  <si>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走った後の鉄味、あなたの肺で何が？</t>
    </r>
    <r>
      <rPr>
        <sz val="10"/>
        <rFont val="Arial"/>
        <family val="0"/>
        <charset val="1"/>
      </rPr>
      <t xml:space="preserve">0.1%</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</si>
  <si>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耳を塞ぐと聞こえる</t>
    </r>
    <r>
      <rPr>
        <sz val="10"/>
        <rFont val="Arial"/>
        <family val="0"/>
        <charset val="1"/>
      </rPr>
      <t xml:space="preserve">20Hz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</si>
  <si>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疲れた日の甘い物がすぐ消えるのはなぜ？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</si>
  <si>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なぜ寒さで顎が先に震える？</t>
    </r>
    <r>
      <rPr>
        <sz val="10"/>
        <rFont val="Arial"/>
        <family val="0"/>
        <charset val="1"/>
      </rPr>
      <t xml:space="preserve">3</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</si>
  <si>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なぜ海で沖へ運ばれる？毎秒</t>
    </r>
    <r>
      <rPr>
        <sz val="10"/>
        <rFont val="Arial"/>
        <family val="0"/>
        <charset val="1"/>
      </rPr>
      <t xml:space="preserve">1m</t>
    </r>
    <r>
      <rPr>
        <sz val="10"/>
        <rFont val="Noto Sans CJK SC"/>
        <family val="2"/>
      </rPr>
      <t xml:space="preserve">の流れの正体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</si>
  <si>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なぜあなたはくしゃみの</t>
    </r>
    <r>
      <rPr>
        <sz val="10"/>
        <rFont val="Arial"/>
        <family val="0"/>
        <charset val="1"/>
      </rPr>
      <t xml:space="preserve">3</t>
    </r>
    <r>
      <rPr>
        <sz val="10"/>
        <rFont val="Noto Sans CJK SC"/>
        <family val="2"/>
      </rPr>
      <t xml:space="preserve">秒前を予感するのか？本当の正体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</si>
  <si>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なぜ朝は身長が</t>
    </r>
    <r>
      <rPr>
        <sz val="10"/>
        <rFont val="Arial"/>
        <family val="0"/>
        <charset val="1"/>
      </rPr>
      <t xml:space="preserve">2cm</t>
    </r>
    <r>
      <rPr>
        <sz val="10"/>
        <rFont val="Noto Sans CJK SC"/>
        <family val="2"/>
      </rPr>
      <t xml:space="preserve">高いのか？あなたの背中の正体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</si>
  <si>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t>
    </r>
    <r>
      <rPr>
        <sz val="10"/>
        <rFont val="Arial"/>
        <family val="0"/>
        <charset val="1"/>
      </rPr>
      <t xml:space="preserve">USJ</t>
    </r>
    <r>
      <rPr>
        <sz val="10"/>
        <rFont val="Noto Sans CJK SC"/>
        <family val="2"/>
      </rPr>
      <t xml:space="preserve">で脳が</t>
    </r>
    <r>
      <rPr>
        <sz val="10"/>
        <rFont val="Arial"/>
        <family val="0"/>
        <charset val="1"/>
      </rPr>
      <t xml:space="preserve">3</t>
    </r>
    <r>
      <rPr>
        <sz val="10"/>
        <rFont val="Noto Sans CJK SC"/>
        <family val="2"/>
      </rPr>
      <t xml:space="preserve">時間も興奮するのか？実はその正体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</si>
  <si>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片足立ちが目を閉じた瞬間、</t>
    </r>
    <r>
      <rPr>
        <sz val="10"/>
        <rFont val="Arial"/>
        <family val="0"/>
        <charset val="1"/>
      </rPr>
      <t xml:space="preserve">3</t>
    </r>
    <r>
      <rPr>
        <sz val="10"/>
        <rFont val="Noto Sans CJK SC"/>
        <family val="2"/>
      </rPr>
      <t xml:space="preserve">倍ぐらつくワケの正体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</si>
  <si>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なぜ立つと</t>
    </r>
    <r>
      <rPr>
        <sz val="10"/>
        <rFont val="Arial"/>
        <family val="0"/>
        <charset val="1"/>
      </rPr>
      <t xml:space="preserve">3</t>
    </r>
    <r>
      <rPr>
        <sz val="10"/>
        <rFont val="Noto Sans CJK SC"/>
        <family val="2"/>
      </rPr>
      <t xml:space="preserve">秒で暗くなるのか？血圧変動の正体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</si>
  <si>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なぜ味噌汁は冷めると</t>
    </r>
    <r>
      <rPr>
        <sz val="10"/>
        <rFont val="Arial"/>
        <family val="0"/>
        <charset val="1"/>
      </rPr>
      <t xml:space="preserve">2</t>
    </r>
    <r>
      <rPr>
        <sz val="10"/>
        <rFont val="Noto Sans CJK SC"/>
        <family val="2"/>
      </rPr>
      <t xml:space="preserve">倍しょっぱく感じるのか？実は舌の正体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</si>
  <si>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なぜ階段を下りる時だけ膝に体重の</t>
    </r>
    <r>
      <rPr>
        <sz val="10"/>
        <rFont val="Arial"/>
        <family val="0"/>
        <charset val="1"/>
      </rPr>
      <t xml:space="preserve">3</t>
    </r>
    <r>
      <rPr>
        <sz val="10"/>
        <rFont val="Noto Sans CJK SC"/>
        <family val="2"/>
      </rPr>
      <t xml:space="preserve">倍の力がかかるのか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</si>
  <si>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なぜ熱い風呂は最初の</t>
    </r>
    <r>
      <rPr>
        <sz val="10"/>
        <rFont val="Arial"/>
        <family val="0"/>
        <charset val="1"/>
      </rPr>
      <t xml:space="preserve">10</t>
    </r>
    <r>
      <rPr>
        <sz val="10"/>
        <rFont val="Noto Sans CJK SC"/>
        <family val="2"/>
      </rPr>
      <t xml:space="preserve">秒だけ痛いのか？体の正体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</si>
  <si>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なぜ長時間立つと足だけむくむのか？</t>
    </r>
    <r>
      <rPr>
        <sz val="10"/>
        <rFont val="Arial"/>
        <family val="0"/>
        <charset val="1"/>
      </rPr>
      <t xml:space="preserve">2</t>
    </r>
    <r>
      <rPr>
        <sz val="10"/>
        <rFont val="Noto Sans CJK SC"/>
        <family val="2"/>
      </rPr>
      <t xml:space="preserve">時間後の正体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</si>
  <si>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寝落ち直後の「ビクッ」脳と体の</t>
    </r>
    <r>
      <rPr>
        <sz val="10"/>
        <rFont val="Arial"/>
        <family val="0"/>
        <charset val="1"/>
      </rPr>
      <t xml:space="preserve">0.5</t>
    </r>
    <r>
      <rPr>
        <sz val="10"/>
        <rFont val="Noto Sans CJK SC"/>
        <family val="2"/>
      </rPr>
      <t xml:space="preserve">秒切り替えの正体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</si>
  <si>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なぜ強い光でくしゃみ？鼻が突然反応する理由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</si>
  <si>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なぜ低い声だけ壁越しに聞こえる？</t>
    </r>
    <r>
      <rPr>
        <sz val="10"/>
        <rFont val="Arial"/>
        <family val="0"/>
        <charset val="1"/>
      </rPr>
      <t xml:space="preserve">100Hz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</si>
  <si>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なぜ辛い物を食べると</t>
    </r>
    <r>
      <rPr>
        <sz val="10"/>
        <rFont val="Arial"/>
        <family val="0"/>
        <charset val="1"/>
      </rPr>
      <t xml:space="preserve">3</t>
    </r>
    <r>
      <rPr>
        <sz val="10"/>
        <rFont val="Noto Sans CJK SC"/>
        <family val="2"/>
      </rPr>
      <t xml:space="preserve">秒で鼻水が出る？痛みの連動反応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</si>
  <si>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昼寝は</t>
    </r>
    <r>
      <rPr>
        <sz val="10"/>
        <rFont val="Arial"/>
        <family val="0"/>
        <charset val="1"/>
      </rPr>
      <t xml:space="preserve">20</t>
    </r>
    <r>
      <rPr>
        <sz val="10"/>
        <rFont val="Noto Sans CJK SC"/>
        <family val="2"/>
      </rPr>
      <t xml:space="preserve">分が最強？午後の頭が冴えるなぜ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</si>
  <si>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2026-09-01</t>
  </si>
  <si>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</si>
  <si>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r>
      <rPr>
        <sz val="10"/>
        <rFont val="Arial"/>
        <family val="0"/>
        <charset val="1"/>
      </rPr>
      <t xml:space="preserve">SCP-███ </t>
    </r>
    <r>
      <rPr>
        <sz val="10"/>
        <rFont val="Noto Sans CJK SC"/>
        <family val="2"/>
      </rPr>
      <t xml:space="preserve">なぜ扉に</t>
    </r>
    <r>
      <rPr>
        <sz val="10"/>
        <rFont val="Arial"/>
        <family val="0"/>
        <charset val="1"/>
      </rPr>
      <t xml:space="preserve">3</t>
    </r>
    <r>
      <rPr>
        <sz val="10"/>
        <rFont val="Noto Sans CJK SC"/>
        <family val="2"/>
      </rPr>
      <t xml:space="preserve">枚目の札がある？ </t>
    </r>
    <r>
      <rPr>
        <sz val="10"/>
        <rFont val="Arial"/>
        <family val="0"/>
        <charset val="1"/>
      </rPr>
      <t xml:space="preserve">#shorts #SCP #SCP</t>
    </r>
    <r>
      <rPr>
        <sz val="10"/>
        <rFont val="Noto Sans CJK SC"/>
        <family val="2"/>
      </rPr>
      <t xml:space="preserve">解説</t>
    </r>
  </si>
  <si>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</si>
  <si>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</si>
  <si>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r>
      <rPr>
        <sz val="10"/>
        <rFont val="Arial"/>
        <family val="0"/>
        <charset val="1"/>
      </rPr>
      <t xml:space="preserve">SCP</t>
    </r>
    <r>
      <rPr>
        <sz val="10"/>
        <rFont val="Noto Sans CJK SC"/>
        <family val="2"/>
      </rPr>
      <t xml:space="preserve">記録係</t>
    </r>
    <r>
      <rPr>
        <sz val="10"/>
        <rFont val="Arial"/>
        <family val="0"/>
        <charset val="1"/>
      </rPr>
      <t xml:space="preserve">12</t>
    </r>
    <r>
      <rPr>
        <sz val="10"/>
        <rFont val="Noto Sans CJK SC"/>
        <family val="2"/>
      </rPr>
      <t xml:space="preserve">名が最後に揃って書いた</t>
    </r>
    <r>
      <rPr>
        <sz val="10"/>
        <rFont val="Arial"/>
        <family val="0"/>
        <charset val="1"/>
      </rPr>
      <t xml:space="preserve">42</t>
    </r>
    <r>
      <rPr>
        <sz val="10"/>
        <rFont val="Noto Sans CJK SC"/>
        <family val="2"/>
      </rPr>
      <t xml:space="preserve">字 </t>
    </r>
    <r>
      <rPr>
        <sz val="10"/>
        <rFont val="Arial"/>
        <family val="0"/>
        <charset val="1"/>
      </rPr>
      <t xml:space="preserve">#shorts #SCP #SCP</t>
    </r>
    <r>
      <rPr>
        <sz val="10"/>
        <rFont val="Noto Sans CJK SC"/>
        <family val="2"/>
      </rPr>
      <t xml:space="preserve">解説</t>
    </r>
  </si>
  <si>
    <r>
      <rPr>
        <sz val="10"/>
        <rFont val="Arial"/>
        <family val="0"/>
        <charset val="1"/>
      </rPr>
      <t xml:space="preserve">SCP-2140 </t>
    </r>
    <r>
      <rPr>
        <sz val="10"/>
        <rFont val="Noto Sans CJK SC"/>
        <family val="2"/>
      </rPr>
      <t xml:space="preserve">閲覧後、</t>
    </r>
    <r>
      <rPr>
        <sz val="10"/>
        <rFont val="Arial"/>
        <family val="0"/>
        <charset val="1"/>
      </rPr>
      <t xml:space="preserve">8</t>
    </r>
    <r>
      <rPr>
        <sz val="10"/>
        <rFont val="Noto Sans CJK SC"/>
        <family val="2"/>
      </rPr>
      <t xml:space="preserve">人の職員記録が別人に置換された </t>
    </r>
    <r>
      <rPr>
        <sz val="10"/>
        <rFont val="Arial"/>
        <family val="0"/>
        <charset val="1"/>
      </rPr>
      <t xml:space="preserve">#shorts #SCP #SCP</t>
    </r>
    <r>
      <rPr>
        <sz val="10"/>
        <rFont val="Noto Sans CJK SC"/>
        <family val="2"/>
      </rPr>
      <t xml:space="preserve">解説</t>
    </r>
  </si>
  <si>
    <r>
      <rPr>
        <sz val="10"/>
        <rFont val="Arial"/>
        <family val="0"/>
        <charset val="1"/>
      </rPr>
      <t xml:space="preserve">SCP-███ </t>
    </r>
    <r>
      <rPr>
        <sz val="10"/>
        <rFont val="Noto Sans CJK SC"/>
        <family val="2"/>
      </rPr>
      <t xml:space="preserve">持ち出した報告書が</t>
    </r>
    <r>
      <rPr>
        <sz val="10"/>
        <rFont val="Arial"/>
        <family val="0"/>
        <charset val="1"/>
      </rPr>
      <t xml:space="preserve">3</t>
    </r>
    <r>
      <rPr>
        <sz val="10"/>
        <rFont val="Noto Sans CJK SC"/>
        <family val="2"/>
      </rPr>
      <t xml:space="preserve">日後に戻った </t>
    </r>
    <r>
      <rPr>
        <sz val="10"/>
        <rFont val="Arial"/>
        <family val="0"/>
        <charset val="1"/>
      </rPr>
      <t xml:space="preserve">#shorts #SCP #SCP</t>
    </r>
    <r>
      <rPr>
        <sz val="10"/>
        <rFont val="Noto Sans CJK SC"/>
        <family val="2"/>
      </rPr>
      <t xml:space="preserve">解説</t>
    </r>
  </si>
  <si>
    <r>
      <rPr>
        <sz val="10"/>
        <rFont val="Arial"/>
        <family val="0"/>
        <charset val="1"/>
      </rPr>
      <t xml:space="preserve">SCP-2006 </t>
    </r>
    <r>
      <rPr>
        <sz val="10"/>
        <rFont val="Noto Sans CJK SC"/>
        <family val="2"/>
      </rPr>
      <t xml:space="preserve">笑い声を聞いた</t>
    </r>
    <r>
      <rPr>
        <sz val="10"/>
        <rFont val="Arial"/>
        <family val="0"/>
        <charset val="1"/>
      </rPr>
      <t xml:space="preserve">12</t>
    </r>
    <r>
      <rPr>
        <sz val="10"/>
        <rFont val="Noto Sans CJK SC"/>
        <family val="2"/>
      </rPr>
      <t xml:space="preserve">名に起きた異変 </t>
    </r>
    <r>
      <rPr>
        <sz val="10"/>
        <rFont val="Arial"/>
        <family val="0"/>
        <charset val="1"/>
      </rPr>
      <t xml:space="preserve">#shorts #SCP #SCP</t>
    </r>
    <r>
      <rPr>
        <sz val="10"/>
        <rFont val="Noto Sans CJK SC"/>
        <family val="2"/>
      </rPr>
      <t xml:space="preserve">解説</t>
    </r>
  </si>
  <si>
    <r>
      <rPr>
        <sz val="10"/>
        <rFont val="Arial"/>
        <family val="0"/>
        <charset val="1"/>
      </rPr>
      <t xml:space="preserve">SCP-096</t>
    </r>
    <r>
      <rPr>
        <sz val="10"/>
        <rFont val="Noto Sans CJK SC"/>
        <family val="2"/>
      </rPr>
      <t xml:space="preserve">の顔を見た者に起きた記録消失の真相 </t>
    </r>
    <r>
      <rPr>
        <sz val="10"/>
        <rFont val="Arial"/>
        <family val="0"/>
        <charset val="1"/>
      </rPr>
      <t xml:space="preserve">#shorts #SCP #SCP</t>
    </r>
    <r>
      <rPr>
        <sz val="10"/>
        <rFont val="Noto Sans CJK SC"/>
        <family val="2"/>
      </rPr>
      <t xml:space="preserve">解説</t>
    </r>
  </si>
  <si>
    <r>
      <rPr>
        <sz val="10"/>
        <rFont val="Noto Sans CJK SC"/>
        <family val="2"/>
      </rPr>
      <t xml:space="preserve">なぜ非常灯が消えた</t>
    </r>
    <r>
      <rPr>
        <sz val="10"/>
        <rFont val="Arial"/>
        <family val="0"/>
        <charset val="1"/>
      </rPr>
      <t xml:space="preserve">3</t>
    </r>
    <r>
      <rPr>
        <sz val="10"/>
        <rFont val="Noto Sans CJK SC"/>
        <family val="2"/>
      </rPr>
      <t xml:space="preserve">秒に</t>
    </r>
    <r>
      <rPr>
        <sz val="10"/>
        <rFont val="Arial"/>
        <family val="0"/>
        <charset val="1"/>
      </rPr>
      <t xml:space="preserve">5</t>
    </r>
    <r>
      <rPr>
        <sz val="10"/>
        <rFont val="Noto Sans CJK SC"/>
        <family val="2"/>
      </rPr>
      <t xml:space="preserve">人目の足音がしたのか </t>
    </r>
    <r>
      <rPr>
        <sz val="10"/>
        <rFont val="Arial"/>
        <family val="0"/>
        <charset val="1"/>
      </rPr>
      <t xml:space="preserve">#shorts #SCP #SCP</t>
    </r>
    <r>
      <rPr>
        <sz val="10"/>
        <rFont val="Noto Sans CJK SC"/>
        <family val="2"/>
      </rPr>
      <t xml:space="preserve">解説</t>
    </r>
  </si>
  <si>
    <r>
      <rPr>
        <sz val="10"/>
        <rFont val="Arial"/>
        <family val="0"/>
        <charset val="1"/>
      </rPr>
      <t xml:space="preserve">SCP-5800 </t>
    </r>
    <r>
      <rPr>
        <sz val="10"/>
        <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rve">解説</t>
    </r>
  </si>
  <si>
    <r>
      <rPr>
        <sz val="10"/>
        <rFont val="Noto Sans CJK SC"/>
        <family val="2"/>
      </rPr>
      <t xml:space="preserve">未来の時刻誰が映る </t>
    </r>
    <r>
      <rPr>
        <sz val="10"/>
        <rFont val="Arial"/>
        <family val="0"/>
        <charset val="1"/>
      </rPr>
      <t xml:space="preserve">#shorts #SCP #SCP</t>
    </r>
    <r>
      <rPr>
        <sz val="10"/>
        <rFont val="Noto Sans CJK SC"/>
        <family val="2"/>
      </rPr>
      <t xml:space="preserve">解説</t>
    </r>
  </si>
  <si>
    <r>
      <rPr>
        <sz val="10"/>
        <rFont val="Arial"/>
        <family val="0"/>
        <charset val="1"/>
      </rPr>
      <t xml:space="preserve">RTX5090</t>
    </r>
    <r>
      <rPr>
        <sz val="10"/>
        <rFont val="Noto Sans CJK SC"/>
        <family val="2"/>
      </rPr>
      <t xml:space="preserve">はで部屋の外から名前を呼ぶのか </t>
    </r>
    <r>
      <rPr>
        <sz val="10"/>
        <rFont val="Arial"/>
        <family val="0"/>
        <charset val="1"/>
      </rPr>
      <t xml:space="preserve">#shorts #SCP #SCP</t>
    </r>
    <r>
      <rPr>
        <sz val="10"/>
        <rFont val="Noto Sans CJK SC"/>
        <family val="2"/>
      </rPr>
      <t xml:space="preserve">解説</t>
    </r>
  </si>
  <si>
    <r>
      <rPr>
        <sz val="10"/>
        <rFont val="Noto Sans CJK SC"/>
        <family val="2"/>
      </rPr>
      <t xml:space="preserve">なぜこの火山は</t>
    </r>
    <r>
      <rPr>
        <sz val="10"/>
        <rFont val="Arial"/>
        <family val="0"/>
        <charset val="1"/>
      </rPr>
      <t xml:space="preserve">72</t>
    </r>
    <r>
      <rPr>
        <sz val="10"/>
        <rFont val="Noto Sans CJK SC"/>
        <family val="2"/>
      </rPr>
      <t xml:space="preserve">時間沈黙し職員が消えるのか </t>
    </r>
    <r>
      <rPr>
        <sz val="10"/>
        <rFont val="Arial"/>
        <family val="0"/>
        <charset val="1"/>
      </rPr>
      <t xml:space="preserve">#shorts #SCP #SCP</t>
    </r>
    <r>
      <rPr>
        <sz val="10"/>
        <rFont val="Noto Sans CJK SC"/>
        <family val="2"/>
      </rPr>
      <t xml:space="preserve">解説</t>
    </r>
  </si>
  <si>
    <r>
      <rPr>
        <sz val="10"/>
        <rFont val="Arial"/>
        <family val="0"/>
        <charset val="1"/>
      </rPr>
      <t xml:space="preserve">SCP-7241 </t>
    </r>
    <r>
      <rPr>
        <sz val="10"/>
        <rFont val="Noto Sans CJK SC"/>
        <family val="2"/>
      </rPr>
      <t xml:space="preserve">収容違反記録から毎回消える頁 </t>
    </r>
    <r>
      <rPr>
        <sz val="10"/>
        <rFont val="Arial"/>
        <family val="0"/>
        <charset val="1"/>
      </rPr>
      <t xml:space="preserve">#shorts #SCP #SCP</t>
    </r>
    <r>
      <rPr>
        <sz val="10"/>
        <rFont val="Noto Sans CJK SC"/>
        <family val="2"/>
      </rPr>
      <t xml:space="preserve">解説</t>
    </r>
  </si>
  <si>
    <r>
      <rPr>
        <sz val="10"/>
        <rFont val="Arial"/>
        <family val="0"/>
        <charset val="1"/>
      </rPr>
      <t xml:space="preserve">SCP-3288 </t>
    </r>
    <r>
      <rPr>
        <sz val="10"/>
        <rFont val="Noto Sans CJK SC"/>
        <family val="2"/>
      </rPr>
      <t xml:space="preserve">大雨の真相 あなたの部屋も沈む </t>
    </r>
    <r>
      <rPr>
        <sz val="10"/>
        <rFont val="Arial"/>
        <family val="0"/>
        <charset val="1"/>
      </rPr>
      <t xml:space="preserve">#shorts #SCP #SCP</t>
    </r>
    <r>
      <rPr>
        <sz val="10"/>
        <rFont val="Noto Sans CJK SC"/>
        <family val="2"/>
      </rPr>
      <t xml:space="preserve">解説</t>
    </r>
  </si>
  <si>
    <r>
      <rPr>
        <sz val="10"/>
        <rFont val="Arial"/>
        <family val="0"/>
        <charset val="1"/>
      </rPr>
      <t xml:space="preserve">SCP</t>
    </r>
    <r>
      <rPr>
        <sz val="10"/>
        <rFont val="Noto Sans CJK SC"/>
        <family val="2"/>
      </rPr>
      <t xml:space="preserve">の最後の一行だけが隔離対象になった理由 </t>
    </r>
    <r>
      <rPr>
        <sz val="10"/>
        <rFont val="Arial"/>
        <family val="0"/>
        <charset val="1"/>
      </rPr>
      <t xml:space="preserve">#shorts #SCP #SCP</t>
    </r>
    <r>
      <rPr>
        <sz val="10"/>
        <rFont val="Noto Sans CJK SC"/>
        <family val="2"/>
      </rPr>
      <t xml:space="preserve">解説</t>
    </r>
  </si>
  <si>
    <r>
      <rPr>
        <sz val="10"/>
        <rFont val="Arial"/>
        <family val="0"/>
        <charset val="1"/>
      </rPr>
      <t xml:space="preserve">7</t>
    </r>
    <r>
      <rPr>
        <sz val="10"/>
        <rFont val="Noto Sans CJK SC"/>
        <family val="2"/>
      </rPr>
      <t xml:space="preserve">日間でずつ消えたエージェント名簿異常事件 </t>
    </r>
    <r>
      <rPr>
        <sz val="10"/>
        <rFont val="Arial"/>
        <family val="0"/>
        <charset val="1"/>
      </rPr>
      <t xml:space="preserve">#shorts #SCP #SCP</t>
    </r>
    <r>
      <rPr>
        <sz val="10"/>
        <rFont val="Noto Sans CJK SC"/>
        <family val="2"/>
      </rPr>
      <t xml:space="preserve">解説</t>
    </r>
  </si>
  <si>
    <r>
      <rPr>
        <sz val="10"/>
        <rFont val="Noto Sans CJK SC"/>
        <family val="2"/>
      </rPr>
      <t xml:space="preserve">なぜ職員</t>
    </r>
    <r>
      <rPr>
        <sz val="10"/>
        <rFont val="Arial"/>
        <family val="0"/>
        <charset val="1"/>
      </rPr>
      <t xml:space="preserve">12</t>
    </r>
    <r>
      <rPr>
        <sz val="10"/>
        <rFont val="Noto Sans CJK SC"/>
        <family val="2"/>
      </rPr>
      <t xml:space="preserve">名は眠れず消えたのか【</t>
    </r>
    <r>
      <rPr>
        <sz val="10"/>
        <rFont val="Arial"/>
        <family val="0"/>
        <charset val="1"/>
      </rPr>
      <t xml:space="preserve">SCP-XXXX</t>
    </r>
    <r>
      <rPr>
        <sz val="10"/>
        <rFont val="Noto Sans CJK SC"/>
        <family val="2"/>
      </rPr>
      <t xml:space="preserve">】 </t>
    </r>
    <r>
      <rPr>
        <sz val="10"/>
        <rFont val="Arial"/>
        <family val="0"/>
        <charset val="1"/>
      </rPr>
      <t xml:space="preserve">#shorts #SCP #SCP</t>
    </r>
    <r>
      <rPr>
        <sz val="10"/>
        <rFont val="Noto Sans CJK SC"/>
        <family val="2"/>
      </rPr>
      <t xml:space="preserve">解説</t>
    </r>
  </si>
  <si>
    <r>
      <rPr>
        <sz val="10"/>
        <rFont val="Arial"/>
        <family val="0"/>
        <charset val="1"/>
      </rPr>
      <t xml:space="preserve">SCP-7777</t>
    </r>
    <r>
      <rPr>
        <sz val="10"/>
        <rFont val="Noto Sans CJK SC"/>
        <family val="2"/>
      </rPr>
      <t xml:space="preserve">が</t>
    </r>
    <r>
      <rPr>
        <sz val="10"/>
        <rFont val="Arial"/>
        <family val="0"/>
        <charset val="1"/>
      </rPr>
      <t xml:space="preserve">72</t>
    </r>
    <r>
      <rPr>
        <sz val="10"/>
        <rFont val="Noto Sans CJK SC"/>
        <family val="2"/>
      </rPr>
      <t xml:space="preserve">時間で窓へ接近する理由 </t>
    </r>
    <r>
      <rPr>
        <sz val="10"/>
        <rFont val="Arial"/>
        <family val="0"/>
        <charset val="1"/>
      </rPr>
      <t xml:space="preserve">#shorts #SCP #SCP</t>
    </r>
    <r>
      <rPr>
        <sz val="10"/>
        <rFont val="Noto Sans CJK SC"/>
        <family val="2"/>
      </rPr>
      <t xml:space="preserve">解説</t>
    </r>
  </si>
  <si>
    <r>
      <rPr>
        <sz val="10"/>
        <rFont val="Noto Sans CJK SC"/>
        <family val="2"/>
      </rPr>
      <t xml:space="preserve">なぜ堀大輔は</t>
    </r>
    <r>
      <rPr>
        <sz val="10"/>
        <rFont val="Arial"/>
        <family val="0"/>
        <charset val="1"/>
      </rPr>
      <t xml:space="preserve">72</t>
    </r>
    <r>
      <rPr>
        <sz val="10"/>
        <rFont val="Noto Sans CJK SC"/>
        <family val="2"/>
      </rPr>
      <t xml:space="preserve">時間眠らないのか？睡眠不足の恐怖 </t>
    </r>
    <r>
      <rPr>
        <sz val="10"/>
        <rFont val="Arial"/>
        <family val="0"/>
        <charset val="1"/>
      </rPr>
      <t xml:space="preserve">#shorts #SCP #SCP</t>
    </r>
    <r>
      <rPr>
        <sz val="10"/>
        <rFont val="Noto Sans CJK SC"/>
        <family val="2"/>
      </rPr>
      <t xml:space="preserve">解説</t>
    </r>
  </si>
  <si>
    <r>
      <rPr>
        <sz val="10"/>
        <rFont val="Arial"/>
        <family val="0"/>
        <charset val="1"/>
      </rPr>
      <t xml:space="preserve">SCP-████</t>
    </r>
    <r>
      <rPr>
        <sz val="10"/>
        <rFont val="Noto Sans CJK SC"/>
        <family val="2"/>
      </rPr>
      <t xml:space="preserve">「閲覧禁止文書」読了</t>
    </r>
    <r>
      <rPr>
        <sz val="10"/>
        <rFont val="Arial"/>
        <family val="0"/>
        <charset val="1"/>
      </rPr>
      <t xml:space="preserve">23</t>
    </r>
    <r>
      <rPr>
        <sz val="10"/>
        <rFont val="Noto Sans CJK SC"/>
        <family val="2"/>
      </rPr>
      <t xml:space="preserve">名の実態 </t>
    </r>
    <r>
      <rPr>
        <sz val="10"/>
        <rFont val="Arial"/>
        <family val="0"/>
        <charset val="1"/>
      </rPr>
      <t xml:space="preserve">#shorts #SCP #SCP</t>
    </r>
    <r>
      <rPr>
        <sz val="10"/>
        <rFont val="Noto Sans CJK SC"/>
        <family val="2"/>
      </rPr>
      <t xml:space="preserve">解説</t>
    </r>
  </si>
  <si>
    <r>
      <rPr>
        <sz val="10"/>
        <rFont val="Arial"/>
        <family val="0"/>
        <charset val="1"/>
      </rPr>
      <t xml:space="preserve">SCP-3125</t>
    </r>
    <r>
      <rPr>
        <sz val="10"/>
        <rFont val="Noto Sans CJK SC"/>
        <family val="2"/>
      </rPr>
      <t xml:space="preserve">「認識の終点」全員消失の真相 </t>
    </r>
    <r>
      <rPr>
        <sz val="10"/>
        <rFont val="Arial"/>
        <family val="0"/>
        <charset val="1"/>
      </rPr>
      <t xml:space="preserve">#shorts #SCP #SCP</t>
    </r>
    <r>
      <rPr>
        <sz val="10"/>
        <rFont val="Noto Sans CJK SC"/>
        <family val="2"/>
      </rPr>
      <t xml:space="preserve">解説</t>
    </r>
  </si>
  <si>
    <r>
      <rPr>
        <sz val="10"/>
        <rFont val="Arial"/>
        <family val="0"/>
        <charset val="1"/>
      </rPr>
      <t xml:space="preserve">SCP-1440 </t>
    </r>
    <r>
      <rPr>
        <sz val="10"/>
        <rFont val="Noto Sans CJK SC"/>
        <family val="2"/>
      </rPr>
      <t xml:space="preserve">追跡班が</t>
    </r>
    <r>
      <rPr>
        <sz val="10"/>
        <rFont val="Arial"/>
        <family val="0"/>
        <charset val="1"/>
      </rPr>
      <t xml:space="preserve">7</t>
    </r>
    <r>
      <rPr>
        <sz val="10"/>
        <rFont val="Noto Sans CJK SC"/>
        <family val="2"/>
      </rPr>
      <t xml:space="preserve">日目に報告をやめた謎 </t>
    </r>
    <r>
      <rPr>
        <sz val="10"/>
        <rFont val="Arial"/>
        <family val="0"/>
        <charset val="1"/>
      </rPr>
      <t xml:space="preserve">#shorts #SCP #SCP</t>
    </r>
    <r>
      <rPr>
        <sz val="10"/>
        <rFont val="Noto Sans CJK SC"/>
        <family val="2"/>
      </rPr>
      <t xml:space="preserve">解説</t>
    </r>
  </si>
  <si>
    <r>
      <rPr>
        <sz val="10"/>
        <rFont val="Arial"/>
        <family val="0"/>
        <charset val="1"/>
      </rPr>
      <t xml:space="preserve">SCP-1471 </t>
    </r>
    <r>
      <rPr>
        <sz val="10"/>
        <rFont val="Noto Sans CJK SC"/>
        <family val="2"/>
      </rPr>
      <t xml:space="preserve">通知から後に起きる異変の真相 </t>
    </r>
    <r>
      <rPr>
        <sz val="10"/>
        <rFont val="Arial"/>
        <family val="0"/>
        <charset val="1"/>
      </rPr>
      <t xml:space="preserve">#shorts #SCP #SCP</t>
    </r>
    <r>
      <rPr>
        <sz val="10"/>
        <rFont val="Noto Sans CJK SC"/>
        <family val="2"/>
      </rPr>
      <t xml:space="preserve">解説</t>
    </r>
  </si>
  <si>
    <r>
      <rPr>
        <sz val="10"/>
        <rFont val="Noto Sans CJK SC"/>
        <family val="2"/>
      </rPr>
      <t xml:space="preserve">なぜ</t>
    </r>
    <r>
      <rPr>
        <sz val="10"/>
        <rFont val="Arial"/>
        <family val="0"/>
        <charset val="1"/>
      </rPr>
      <t xml:space="preserve">SCP-610</t>
    </r>
    <r>
      <rPr>
        <sz val="10"/>
        <rFont val="Noto Sans CJK SC"/>
        <family val="2"/>
      </rPr>
      <t xml:space="preserve">の救援隊は全員感染したのか？ </t>
    </r>
    <r>
      <rPr>
        <sz val="10"/>
        <rFont val="Arial"/>
        <family val="0"/>
        <charset val="1"/>
      </rPr>
      <t xml:space="preserve">#shorts #SCP #SCP</t>
    </r>
    <r>
      <rPr>
        <sz val="10"/>
        <rFont val="Noto Sans CJK SC"/>
        <family val="2"/>
      </rPr>
      <t xml:space="preserve">解説</t>
    </r>
  </si>
  <si>
    <r>
      <rPr>
        <sz val="10"/>
        <rFont val="Arial"/>
        <family val="0"/>
        <charset val="1"/>
      </rPr>
      <t xml:space="preserve">SCP-1548</t>
    </r>
    <r>
      <rPr>
        <sz val="10"/>
        <rFont val="Noto Sans CJK SC"/>
        <family val="2"/>
      </rPr>
      <t xml:space="preserve">「予言する星」</t>
    </r>
    <r>
      <rPr>
        <sz val="10"/>
        <rFont val="Arial"/>
        <family val="0"/>
        <charset val="1"/>
      </rPr>
      <t xml:space="preserve">7</t>
    </r>
    <r>
      <rPr>
        <sz val="10"/>
        <rFont val="Noto Sans CJK SC"/>
        <family val="2"/>
      </rPr>
      <t xml:space="preserve">組失踪の裏側 </t>
    </r>
    <r>
      <rPr>
        <sz val="10"/>
        <rFont val="Arial"/>
        <family val="0"/>
        <charset val="1"/>
      </rPr>
      <t xml:space="preserve">#shorts #SCP #SCP</t>
    </r>
    <r>
      <rPr>
        <sz val="10"/>
        <rFont val="Noto Sans CJK SC"/>
        <family val="2"/>
      </rPr>
      <t xml:space="preserve">解説</t>
    </r>
  </si>
  <si>
    <r>
      <rPr>
        <sz val="10"/>
        <rFont val="Noto Sans CJK SC"/>
        <family val="2"/>
      </rPr>
      <t xml:space="preserve">毎朝</t>
    </r>
    <r>
      <rPr>
        <sz val="10"/>
        <rFont val="Arial"/>
        <family val="0"/>
        <charset val="1"/>
      </rPr>
      <t xml:space="preserve">3mm</t>
    </r>
    <r>
      <rPr>
        <sz val="10"/>
        <rFont val="Noto Sans CJK SC"/>
        <family val="2"/>
      </rPr>
      <t xml:space="preserve">短くなる廊下、</t>
    </r>
    <r>
      <rPr>
        <sz val="10"/>
        <rFont val="Arial"/>
        <family val="0"/>
        <charset val="1"/>
      </rPr>
      <t xml:space="preserve">21</t>
    </r>
    <r>
      <rPr>
        <sz val="10"/>
        <rFont val="Noto Sans CJK SC"/>
        <family val="2"/>
      </rPr>
      <t xml:space="preserve">日目に消えた理由 </t>
    </r>
    <r>
      <rPr>
        <sz val="10"/>
        <rFont val="Arial"/>
        <family val="0"/>
        <charset val="1"/>
      </rPr>
      <t xml:space="preserve">#shorts #SCP #SCP</t>
    </r>
    <r>
      <rPr>
        <sz val="10"/>
        <rFont val="Noto Sans CJK SC"/>
        <family val="2"/>
      </rPr>
      <t xml:space="preserve">解説</t>
    </r>
  </si>
  <si>
    <r>
      <rPr>
        <sz val="10"/>
        <rFont val="Arial"/>
        <family val="0"/>
        <charset val="1"/>
      </rPr>
      <t xml:space="preserve">SCP-093 </t>
    </r>
    <r>
      <rPr>
        <sz val="10"/>
        <rFont val="Noto Sans CJK SC"/>
        <family val="2"/>
      </rPr>
      <t xml:space="preserve">帰還者の証言から消えた</t>
    </r>
    <r>
      <rPr>
        <sz val="10"/>
        <rFont val="Arial"/>
        <family val="0"/>
        <charset val="1"/>
      </rPr>
      <t xml:space="preserve">15</t>
    </r>
    <r>
      <rPr>
        <sz val="10"/>
        <rFont val="Noto Sans CJK SC"/>
        <family val="2"/>
      </rPr>
      <t xml:space="preserve">分の真相 </t>
    </r>
    <r>
      <rPr>
        <sz val="10"/>
        <rFont val="Arial"/>
        <family val="0"/>
        <charset val="1"/>
      </rPr>
      <t xml:space="preserve">#shorts #SCP #SCP</t>
    </r>
    <r>
      <rPr>
        <sz val="10"/>
        <rFont val="Noto Sans CJK SC"/>
        <family val="2"/>
      </rPr>
      <t xml:space="preserve">解説</t>
    </r>
  </si>
  <si>
    <r>
      <rPr>
        <sz val="10"/>
        <rFont val="Arial"/>
        <family val="0"/>
        <charset val="1"/>
      </rPr>
      <t xml:space="preserve">6</t>
    </r>
    <r>
      <rPr>
        <sz val="10"/>
        <rFont val="Noto Sans CJK SC"/>
        <family val="2"/>
      </rPr>
      <t xml:space="preserve">人の探査隊を襲った全生命停止【</t>
    </r>
    <r>
      <rPr>
        <sz val="10"/>
        <rFont val="Arial"/>
        <family val="0"/>
        <charset val="1"/>
      </rPr>
      <t xml:space="preserve">SCP-2935</t>
    </r>
    <r>
      <rPr>
        <sz val="10"/>
        <rFont val="Noto Sans CJK SC"/>
        <family val="2"/>
      </rPr>
      <t xml:space="preserve">】の理由 </t>
    </r>
    <r>
      <rPr>
        <sz val="10"/>
        <rFont val="Arial"/>
        <family val="0"/>
        <charset val="1"/>
      </rPr>
      <t xml:space="preserve">#shorts #SCP #SCP</t>
    </r>
    <r>
      <rPr>
        <sz val="10"/>
        <rFont val="Noto Sans CJK SC"/>
        <family val="2"/>
      </rPr>
      <t xml:space="preserve">解説</t>
    </r>
  </si>
  <si>
    <r>
      <rPr>
        <sz val="10"/>
        <rFont val="Noto Sans CJK SC"/>
        <family val="2"/>
      </rPr>
      <t xml:space="preserve">なぜ面談記録の質問だけが毎回書き換わるのか </t>
    </r>
    <r>
      <rPr>
        <sz val="10"/>
        <rFont val="Arial"/>
        <family val="0"/>
        <charset val="1"/>
      </rPr>
      <t xml:space="preserve">#shorts #SCP #SCP</t>
    </r>
    <r>
      <rPr>
        <sz val="10"/>
        <rFont val="Noto Sans CJK SC"/>
        <family val="2"/>
      </rPr>
      <t xml:space="preserve">解説</t>
    </r>
  </si>
  <si>
    <r>
      <rPr>
        <sz val="10"/>
        <rFont val="Arial"/>
        <family val="0"/>
        <charset val="1"/>
      </rPr>
      <t xml:space="preserve">SCP-2316 </t>
    </r>
    <r>
      <rPr>
        <sz val="10"/>
        <rFont val="Noto Sans CJK SC"/>
        <family val="2"/>
      </rPr>
      <t xml:space="preserve">湖で呼ばれた人数だけ記録から消えた理由 </t>
    </r>
    <r>
      <rPr>
        <sz val="10"/>
        <rFont val="Arial"/>
        <family val="0"/>
        <charset val="1"/>
      </rPr>
      <t xml:space="preserve">#shorts #SCP #SCP</t>
    </r>
    <r>
      <rPr>
        <sz val="10"/>
        <rFont val="Noto Sans CJK SC"/>
        <family val="2"/>
      </rPr>
      <t xml:space="preserve">解説</t>
    </r>
  </si>
  <si>
    <t xml:space="preserve">Deleted video</t>
  </si>
  <si>
    <r>
      <rPr>
        <sz val="10"/>
        <rFont val="Noto Sans CJK SC"/>
        <family val="2"/>
      </rPr>
      <t xml:space="preserve">なぜ天才は一人で育たないのか フィールズ賞の本当の理由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</si>
  <si>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r>
      <rPr>
        <sz val="10"/>
        <rFont val="Noto Sans CJK SC"/>
        <family val="2"/>
      </rPr>
      <t xml:space="preserve">原油高の正体家計に届く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</si>
  <si>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r>
      <rPr>
        <sz val="10"/>
        <rFont val="Noto Sans CJK SC"/>
        <family val="2"/>
      </rPr>
      <t xml:space="preserve">寝不足で自信が消える人、短眠者との決定的な違い処方箋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</si>
  <si>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r>
      <rPr>
        <sz val="10"/>
        <rFont val="Noto Sans CJK SC"/>
        <family val="2"/>
      </rPr>
      <t xml:space="preserve">短眠の人が自信満々に見えるのは能力より自己効力感だった処方箋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</si>
  <si>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r>
      <rPr>
        <sz val="10"/>
        <rFont val="Noto Sans CJK SC"/>
        <family val="2"/>
      </rPr>
      <t xml:space="preserve">地震直後、あなたを救うのは「顔見知り」かもしれない理由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自己啓発</t>
    </r>
  </si>
  <si>
    <r>
      <rPr>
        <sz val="10"/>
        <rFont val="Noto Sans CJK SC"/>
        <family val="2"/>
      </rPr>
      <t xml:space="preserve">小豆洗いの正体 </t>
    </r>
    <r>
      <rPr>
        <sz val="10"/>
        <rFont val="Arial"/>
        <family val="0"/>
        <charset val="1"/>
      </rPr>
      <t xml:space="preserve">127</t>
    </r>
    <r>
      <rPr>
        <sz val="10"/>
        <rFont val="Noto Sans CJK SC"/>
        <family val="2"/>
      </rPr>
      <t xml:space="preserve">年の川音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</si>
  <si>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犬神憑きはなぜ家系ごと記録されたのか 恒一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</si>
  <si>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雪夜に顔を隠す白粉婆…雪女とは違う恐ろしさ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</si>
  <si>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じんめん犬はなぜ笑い話になった？消えた恐怖の噂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</si>
  <si>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口裂け女の噂はなぜ全国へ？名前を呼べない本当の理由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</si>
  <si>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キュウビが日本へ渡った理由、知ってる？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</si>
  <si>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雪女が去り際に名を呼ぶ理由…約束を破った男の末路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</si>
  <si>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小豆洗い、姿を消して「音」だけ残った土地の記録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</si>
  <si>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なぜ妖怪は山を下り里に現れるようになったのか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</si>
  <si>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百目なのに一つ目？江戸の絵に隠された不気味な変化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</si>
  <si>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</si>
  <si>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なぜ狐は人を化かす妖怪にされたのか？江戸の記録に残る事情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</si>
  <si>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鬼の角が「目印」になった千年前の変化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</si>
  <si>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ろくろ首の正体は飛頭蛮？首が飛ぶ怪異の出どころ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</si>
  <si>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覚の元ネタが怖すぎる…心を先回りする山の怪物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</si>
  <si>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雷獣の爪痕が落雷木に残る…江戸で剥製まで売られた怪異の正体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</si>
  <si>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影女の元ネタが怖すぎる…誰もいない家に影が映る理由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</si>
  <si>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見越し入道の正体はなぜ見上げると負けるのか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</si>
  <si>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河童が相撲を求める理由…本朝俗諺志に残る水難の警告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</si>
  <si>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山彦の声が妖怪になった…江戸時代に描かれた不気味な伝承の正体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</si>
  <si>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天井なめが座敷にだけ現れた理由と囲炉裏の煤の関係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</si>
  <si>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泥田坊が「田を返せ」と叫ぶ本当の理由が怖すぎる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</si>
  <si>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なぜ江戸の髪切りの噂は一気に広がったのか？文化五年の記録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</si>
  <si>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なぜ送り犬を振り返るなと言うのか 山道の掟、その正体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</si>
  <si>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山姥はなぜ決まった季節に里へ降りるのか 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</si>
  <si>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姑獲鳥が赤子を抱かせる本当の理由…産で死んだ女の正体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</si>
  <si>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なぜ火車は葬列だけを襲う？遺体消失と猫の伝承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</si>
  <si>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一反木綿が布になった本当のわけ…鹿児島に伝わる恐怖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</si>
  <si>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天狗さらいの証言が東北と信州に残る本当のわけ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</si>
  <si>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本日の改善アクション</t>
  </si>
  <si>
    <t xml:space="preserve">#</t>
  </si>
  <si>
    <t xml:space="preserve">分類</t>
  </si>
  <si>
    <t xml:space="preserve">対象</t>
  </si>
  <si>
    <t xml:space="preserve">実施内容</t>
  </si>
  <si>
    <t xml:space="preserve">根拠（実測）</t>
  </si>
  <si>
    <t xml:space="preserve">担当</t>
  </si>
  <si>
    <t xml:space="preserve">評価期日</t>
  </si>
  <si>
    <t xml:space="preserve">コード修正</t>
  </si>
  <si>
    <r>
      <rPr>
        <sz val="10"/>
        <rFont val="Noto Sans CJK SC"/>
        <family val="2"/>
      </rPr>
      <t xml:space="preserve">全</t>
    </r>
    <r>
      <rPr>
        <sz val="10"/>
        <rFont val="Arial"/>
        <family val="0"/>
        <charset val="1"/>
      </rPr>
      <t xml:space="preserve">ch</t>
    </r>
    <r>
      <rPr>
        <sz val="10"/>
        <rFont val="Noto Sans CJK SC"/>
        <family val="2"/>
      </rPr>
      <t xml:space="preserve">（</t>
    </r>
    <r>
      <rPr>
        <sz val="10"/>
        <rFont val="Arial"/>
        <family val="0"/>
        <charset val="1"/>
      </rPr>
      <t xml:space="preserve">6ch</t>
    </r>
    <r>
      <rPr>
        <sz val="10"/>
        <rFont val="Noto Sans CJK SC"/>
        <family val="2"/>
      </rPr>
      <t xml:space="preserve">）</t>
    </r>
  </si>
  <si>
    <r>
      <rPr>
        <sz val="10"/>
        <rFont val="Arial"/>
        <family val="0"/>
        <charset val="1"/>
      </rPr>
      <t xml:space="preserve">shorts_length_guard.py </t>
    </r>
    <r>
      <rPr>
        <sz val="10"/>
        <rFont val="Noto Sans CJK SC"/>
        <family val="2"/>
      </rPr>
      <t xml:space="preserve">の </t>
    </r>
    <r>
      <rPr>
        <sz val="10"/>
        <rFont val="Arial"/>
        <family val="0"/>
        <charset val="1"/>
      </rPr>
      <t xml:space="preserve">VOICEVOX_CHARS_PER_SEC </t>
    </r>
    <r>
      <rPr>
        <sz val="10"/>
        <rFont val="Noto Sans CJK SC"/>
        <family val="2"/>
      </rPr>
      <t xml:space="preserve">を </t>
    </r>
    <r>
      <rPr>
        <sz val="10"/>
        <rFont val="Arial"/>
        <family val="0"/>
        <charset val="1"/>
      </rPr>
      <t xml:space="preserve">8.9 → 6.95 </t>
    </r>
    <r>
      <rPr>
        <sz val="10"/>
        <rFont val="Noto Sans CJK SC"/>
        <family val="2"/>
      </rPr>
      <t xml:space="preserve">に再校正。</t>
    </r>
    <r>
      <rPr>
        <sz val="10"/>
        <rFont val="Arial"/>
        <family val="0"/>
        <charset val="1"/>
      </rPr>
      <t xml:space="preserve">ch</t>
    </r>
    <r>
      <rPr>
        <sz val="10"/>
        <rFont val="Noto Sans CJK SC"/>
        <family val="2"/>
      </rPr>
      <t xml:space="preserve">別実測値も追加（</t>
    </r>
    <r>
      <rPr>
        <sz val="10"/>
        <rFont val="Arial"/>
        <family val="0"/>
        <charset val="1"/>
      </rPr>
      <t xml:space="preserve">company-facts 5.44 / daily-science 7.24 / yokai-watch 7.15 / scp-lab 6.94 / socio-rx 6.20</t>
    </r>
    <r>
      <rPr>
        <sz val="10"/>
        <rFont val="Noto Sans CJK SC"/>
        <family val="2"/>
      </rPr>
      <t xml:space="preserve">）。</t>
    </r>
  </si>
  <si>
    <r>
      <rPr>
        <sz val="10"/>
        <rFont val="Arial"/>
        <family val="0"/>
        <charset val="1"/>
      </rPr>
      <t xml:space="preserve">data/scenarios </t>
    </r>
    <r>
      <rPr>
        <sz val="10"/>
        <rFont val="Noto Sans CJK SC"/>
        <family val="2"/>
      </rPr>
      <t xml:space="preserve">の </t>
    </r>
    <r>
      <rPr>
        <sz val="10"/>
        <rFont val="Arial"/>
        <family val="0"/>
        <charset val="1"/>
      </rPr>
      <t xml:space="preserve">short_scenario </t>
    </r>
    <r>
      <rPr>
        <sz val="10"/>
        <rFont val="Noto Sans CJK SC"/>
        <family val="2"/>
      </rPr>
      <t xml:space="preserve">実文字数と実尺（</t>
    </r>
    <r>
      <rPr>
        <sz val="10"/>
        <rFont val="Arial"/>
        <family val="0"/>
        <charset val="1"/>
      </rPr>
      <t xml:space="preserve">avg_view_duration÷</t>
    </r>
    <r>
      <rPr>
        <sz val="10"/>
        <rFont val="Noto Sans CJK SC"/>
        <family val="2"/>
      </rPr>
      <t xml:space="preserve">維持率）を突合（</t>
    </r>
    <r>
      <rPr>
        <sz val="10"/>
        <rFont val="Arial"/>
        <family val="0"/>
        <charset val="1"/>
      </rPr>
      <t xml:space="preserve">n=31, 5ch</t>
    </r>
    <r>
      <rPr>
        <sz val="10"/>
        <rFont val="Noto Sans CJK SC"/>
        <family val="2"/>
      </rPr>
      <t xml:space="preserve">）。</t>
    </r>
    <r>
      <rPr>
        <sz val="10"/>
        <rFont val="Arial"/>
        <family val="0"/>
        <charset val="1"/>
      </rPr>
      <t xml:space="preserve">company-facts 204</t>
    </r>
    <r>
      <rPr>
        <sz val="10"/>
        <rFont val="Noto Sans CJK SC"/>
        <family val="2"/>
      </rPr>
      <t xml:space="preserve">字→</t>
    </r>
    <r>
      <rPr>
        <sz val="10"/>
        <rFont val="Arial"/>
        <family val="0"/>
        <charset val="1"/>
      </rPr>
      <t xml:space="preserve">41.3</t>
    </r>
    <r>
      <rPr>
        <sz val="10"/>
        <rFont val="Noto Sans CJK SC"/>
        <family val="2"/>
      </rPr>
      <t xml:space="preserve">秒、</t>
    </r>
    <r>
      <rPr>
        <sz val="10"/>
        <rFont val="Arial"/>
        <family val="0"/>
        <charset val="1"/>
      </rPr>
      <t xml:space="preserve">daily-science 223</t>
    </r>
    <r>
      <rPr>
        <sz val="10"/>
        <rFont val="Noto Sans CJK SC"/>
        <family val="2"/>
      </rPr>
      <t xml:space="preserve">字→</t>
    </r>
    <r>
      <rPr>
        <sz val="10"/>
        <rFont val="Arial"/>
        <family val="0"/>
        <charset val="1"/>
      </rPr>
      <t xml:space="preserve">34.3</t>
    </r>
    <r>
      <rPr>
        <sz val="10"/>
        <rFont val="Noto Sans CJK SC"/>
        <family val="2"/>
      </rPr>
      <t xml:space="preserve">秒、</t>
    </r>
    <r>
      <rPr>
        <sz val="10"/>
        <rFont val="Arial"/>
        <family val="0"/>
        <charset val="1"/>
      </rPr>
      <t xml:space="preserve">yokai-watch 220</t>
    </r>
    <r>
      <rPr>
        <sz val="10"/>
        <rFont val="Noto Sans CJK SC"/>
        <family val="2"/>
      </rPr>
      <t xml:space="preserve">字→</t>
    </r>
    <r>
      <rPr>
        <sz val="10"/>
        <rFont val="Arial"/>
        <family val="0"/>
        <charset val="1"/>
      </rPr>
      <t xml:space="preserve">33.7</t>
    </r>
    <r>
      <rPr>
        <sz val="10"/>
        <rFont val="Noto Sans CJK SC"/>
        <family val="2"/>
      </rPr>
      <t xml:space="preserve">秒、</t>
    </r>
    <r>
      <rPr>
        <sz val="10"/>
        <rFont val="Arial"/>
        <family val="0"/>
        <charset val="1"/>
      </rPr>
      <t xml:space="preserve">scp-lab 197</t>
    </r>
    <r>
      <rPr>
        <sz val="10"/>
        <rFont val="Noto Sans CJK SC"/>
        <family val="2"/>
      </rPr>
      <t xml:space="preserve">字→</t>
    </r>
    <r>
      <rPr>
        <sz val="10"/>
        <rFont val="Arial"/>
        <family val="0"/>
        <charset val="1"/>
      </rPr>
      <t xml:space="preserve">31.1</t>
    </r>
    <r>
      <rPr>
        <sz val="10"/>
        <rFont val="Noto Sans CJK SC"/>
        <family val="2"/>
      </rPr>
      <t xml:space="preserve">秒。設計値はいずれも</t>
    </r>
    <r>
      <rPr>
        <sz val="10"/>
        <rFont val="Arial"/>
        <family val="0"/>
        <charset val="1"/>
      </rPr>
      <t xml:space="preserve">26</t>
    </r>
    <r>
      <rPr>
        <sz val="10"/>
        <rFont val="Noto Sans CJK SC"/>
        <family val="2"/>
      </rPr>
      <t xml:space="preserve">秒で、</t>
    </r>
    <r>
      <rPr>
        <sz val="10"/>
        <rFont val="Arial"/>
        <family val="0"/>
        <charset val="1"/>
      </rPr>
      <t xml:space="preserve">8.9</t>
    </r>
    <r>
      <rPr>
        <sz val="10"/>
        <rFont val="Noto Sans CJK SC"/>
        <family val="2"/>
      </rPr>
      <t xml:space="preserve">字</t>
    </r>
    <r>
      <rPr>
        <sz val="10"/>
        <rFont val="Arial"/>
        <family val="0"/>
        <charset val="1"/>
      </rPr>
      <t xml:space="preserve">/</t>
    </r>
    <r>
      <rPr>
        <sz val="10"/>
        <rFont val="Noto Sans CJK SC"/>
        <family val="2"/>
      </rPr>
      <t xml:space="preserve">秒は</t>
    </r>
    <r>
      <rPr>
        <sz val="10"/>
        <rFont val="Arial"/>
        <family val="0"/>
        <charset val="1"/>
      </rPr>
      <t xml:space="preserve">1.28</t>
    </r>
    <r>
      <rPr>
        <sz val="10"/>
        <rFont val="Noto Sans CJK SC"/>
        <family val="2"/>
      </rPr>
      <t xml:space="preserve">倍の過大評価だった。ガードは「帯に収まっている」と報告し続けるため誰も気づけない構造だった。</t>
    </r>
  </si>
  <si>
    <r>
      <rPr>
        <sz val="10"/>
        <rFont val="Noto Sans CJK SC"/>
        <family val="2"/>
      </rPr>
      <t xml:space="preserve">指揮者</t>
    </r>
    <r>
      <rPr>
        <sz val="10"/>
        <rFont val="Arial"/>
        <family val="0"/>
        <charset val="1"/>
      </rPr>
      <t xml:space="preserve">(</t>
    </r>
    <r>
      <rPr>
        <sz val="10"/>
        <rFont val="Noto Sans CJK SC"/>
        <family val="2"/>
      </rPr>
      <t xml:space="preserve">完了</t>
    </r>
    <r>
      <rPr>
        <sz val="10"/>
        <rFont val="Arial"/>
        <family val="0"/>
        <charset val="1"/>
      </rPr>
      <t xml:space="preserve">)</t>
    </r>
  </si>
  <si>
    <t xml:space="preserve">2026-09-25</t>
  </si>
  <si>
    <t xml:space="preserve">台本文字数帯</t>
  </si>
  <si>
    <r>
      <rPr>
        <sz val="10"/>
        <rFont val="Arial"/>
        <family val="0"/>
        <charset val="1"/>
      </rPr>
      <t xml:space="preserve">175</t>
    </r>
    <r>
      <rPr>
        <sz val="10"/>
        <rFont val="Noto Sans CJK SC"/>
        <family val="2"/>
      </rPr>
      <t xml:space="preserve">〜</t>
    </r>
    <r>
      <rPr>
        <sz val="10"/>
        <rFont val="Arial"/>
        <family val="0"/>
        <charset val="1"/>
      </rPr>
      <t xml:space="preserve">225</t>
    </r>
    <r>
      <rPr>
        <sz val="10"/>
        <rFont val="Noto Sans CJK SC"/>
        <family val="2"/>
      </rPr>
      <t xml:space="preserve">字 → </t>
    </r>
    <r>
      <rPr>
        <sz val="10"/>
        <rFont val="Arial"/>
        <family val="0"/>
        <charset val="1"/>
      </rPr>
      <t xml:space="preserve">165</t>
    </r>
    <r>
      <rPr>
        <sz val="10"/>
        <rFont val="Noto Sans CJK SC"/>
        <family val="2"/>
      </rPr>
      <t xml:space="preserve">〜</t>
    </r>
    <r>
      <rPr>
        <sz val="10"/>
        <rFont val="Arial"/>
        <family val="0"/>
        <charset val="1"/>
      </rPr>
      <t xml:space="preserve">195</t>
    </r>
    <r>
      <rPr>
        <sz val="10"/>
        <rFont val="Noto Sans CJK SC"/>
        <family val="2"/>
      </rPr>
      <t xml:space="preserve">字（推定 </t>
    </r>
    <r>
      <rPr>
        <sz val="10"/>
        <rFont val="Arial"/>
        <family val="0"/>
        <charset val="1"/>
      </rPr>
      <t xml:space="preserve">26.2</t>
    </r>
    <r>
      <rPr>
        <sz val="10"/>
        <rFont val="Noto Sans CJK SC"/>
        <family val="2"/>
      </rPr>
      <t xml:space="preserve">〜</t>
    </r>
    <r>
      <rPr>
        <sz val="10"/>
        <rFont val="Arial"/>
        <family val="0"/>
        <charset val="1"/>
      </rPr>
      <t xml:space="preserve">30.3</t>
    </r>
    <r>
      <rPr>
        <sz val="10"/>
        <rFont val="Noto Sans CJK SC"/>
        <family val="2"/>
      </rPr>
      <t xml:space="preserve">秒）</t>
    </r>
  </si>
  <si>
    <r>
      <rPr>
        <sz val="10"/>
        <rFont val="Noto Sans CJK SC"/>
        <family val="2"/>
      </rPr>
      <t xml:space="preserve">成熟コホート </t>
    </r>
    <r>
      <rPr>
        <sz val="10"/>
        <rFont val="Arial"/>
        <family val="0"/>
        <charset val="1"/>
      </rPr>
      <t xml:space="preserve">ch</t>
    </r>
    <r>
      <rPr>
        <sz val="10"/>
        <rFont val="Noto Sans CJK SC"/>
        <family val="2"/>
      </rPr>
      <t xml:space="preserve">内対照</t>
    </r>
    <r>
      <rPr>
        <sz val="10"/>
        <rFont val="Arial"/>
        <family val="0"/>
        <charset val="1"/>
      </rPr>
      <t xml:space="preserve">: </t>
    </r>
    <r>
      <rPr>
        <sz val="10"/>
        <rFont val="Noto Sans CJK SC"/>
        <family val="2"/>
      </rPr>
      <t xml:space="preserve">推定尺</t>
    </r>
    <r>
      <rPr>
        <sz val="10"/>
        <rFont val="Arial"/>
        <family val="0"/>
        <charset val="1"/>
      </rPr>
      <t xml:space="preserve">&lt;33</t>
    </r>
    <r>
      <rPr>
        <sz val="10"/>
        <rFont val="Noto Sans CJK SC"/>
        <family val="2"/>
      </rPr>
      <t xml:space="preserve">秒 の登録</t>
    </r>
    <r>
      <rPr>
        <sz val="10"/>
        <rFont val="Arial"/>
        <family val="0"/>
        <charset val="1"/>
      </rPr>
      <t xml:space="preserve">/</t>
    </r>
    <r>
      <rPr>
        <sz val="10"/>
        <rFont val="Noto Sans CJK SC"/>
        <family val="2"/>
      </rPr>
      <t xml:space="preserve">千 </t>
    </r>
    <r>
      <rPr>
        <sz val="10"/>
        <rFont val="Arial"/>
        <family val="0"/>
        <charset val="1"/>
      </rPr>
      <t xml:space="preserve">1.14 vs &gt;=33</t>
    </r>
    <r>
      <rPr>
        <sz val="10"/>
        <rFont val="Noto Sans CJK SC"/>
        <family val="2"/>
      </rPr>
      <t xml:space="preserve">秒 </t>
    </r>
    <r>
      <rPr>
        <sz val="10"/>
        <rFont val="Arial"/>
        <family val="0"/>
        <charset val="1"/>
      </rPr>
      <t xml:space="preserve">0.42 </t>
    </r>
    <r>
      <rPr>
        <sz val="10"/>
        <rFont val="Noto Sans CJK SC"/>
        <family val="2"/>
      </rPr>
      <t xml:space="preserve">＝ </t>
    </r>
    <r>
      <rPr>
        <sz val="10"/>
        <rFont val="Arial"/>
        <family val="0"/>
        <charset val="1"/>
      </rPr>
      <t xml:space="preserve">2.71</t>
    </r>
    <r>
      <rPr>
        <sz val="10"/>
        <rFont val="Noto Sans CJK SC"/>
        <family val="2"/>
      </rPr>
      <t xml:space="preserve">倍（</t>
    </r>
    <r>
      <rPr>
        <sz val="10"/>
        <rFont val="Arial"/>
        <family val="0"/>
        <charset val="1"/>
      </rPr>
      <t xml:space="preserve">n=12/20</t>
    </r>
    <r>
      <rPr>
        <sz val="10"/>
        <rFont val="Noto Sans CJK SC"/>
        <family val="2"/>
      </rPr>
      <t xml:space="preserve">）。</t>
    </r>
  </si>
  <si>
    <r>
      <rPr>
        <sz val="10"/>
        <rFont val="Arial"/>
        <family val="0"/>
        <charset val="1"/>
      </rPr>
      <t xml:space="preserve">175</t>
    </r>
    <r>
      <rPr>
        <sz val="10"/>
        <rFont val="Noto Sans CJK SC"/>
        <family val="2"/>
      </rPr>
      <t xml:space="preserve">〜</t>
    </r>
    <r>
      <rPr>
        <sz val="10"/>
        <rFont val="Arial"/>
        <family val="0"/>
        <charset val="1"/>
      </rPr>
      <t xml:space="preserve">225</t>
    </r>
    <r>
      <rPr>
        <sz val="10"/>
        <rFont val="Noto Sans CJK SC"/>
        <family val="2"/>
      </rPr>
      <t xml:space="preserve">字 → </t>
    </r>
    <r>
      <rPr>
        <sz val="10"/>
        <rFont val="Arial"/>
        <family val="0"/>
        <charset val="1"/>
      </rPr>
      <t xml:space="preserve">165</t>
    </r>
    <r>
      <rPr>
        <sz val="10"/>
        <rFont val="Noto Sans CJK SC"/>
        <family val="2"/>
      </rPr>
      <t xml:space="preserve">〜</t>
    </r>
    <r>
      <rPr>
        <sz val="10"/>
        <rFont val="Arial"/>
        <family val="0"/>
        <charset val="1"/>
      </rPr>
      <t xml:space="preserve">195</t>
    </r>
    <r>
      <rPr>
        <sz val="10"/>
        <rFont val="Noto Sans CJK SC"/>
        <family val="2"/>
      </rPr>
      <t xml:space="preserve">字（推定 </t>
    </r>
    <r>
      <rPr>
        <sz val="10"/>
        <rFont val="Arial"/>
        <family val="0"/>
        <charset val="1"/>
      </rPr>
      <t xml:space="preserve">26.5</t>
    </r>
    <r>
      <rPr>
        <sz val="10"/>
        <rFont val="Noto Sans CJK SC"/>
        <family val="2"/>
      </rPr>
      <t xml:space="preserve">〜</t>
    </r>
    <r>
      <rPr>
        <sz val="10"/>
        <rFont val="Arial"/>
        <family val="0"/>
        <charset val="1"/>
      </rPr>
      <t xml:space="preserve">30.7</t>
    </r>
    <r>
      <rPr>
        <sz val="10"/>
        <rFont val="Noto Sans CJK SC"/>
        <family val="2"/>
      </rPr>
      <t xml:space="preserve">秒）</t>
    </r>
  </si>
  <si>
    <r>
      <rPr>
        <sz val="10"/>
        <rFont val="Noto Sans CJK SC"/>
        <family val="2"/>
      </rPr>
      <t xml:space="preserve">同 </t>
    </r>
    <r>
      <rPr>
        <sz val="10"/>
        <rFont val="Arial"/>
        <family val="0"/>
        <charset val="1"/>
      </rPr>
      <t xml:space="preserve">1.19 vs 0.41 </t>
    </r>
    <r>
      <rPr>
        <sz val="10"/>
        <rFont val="Noto Sans CJK SC"/>
        <family val="2"/>
      </rPr>
      <t xml:space="preserve">＝ </t>
    </r>
    <r>
      <rPr>
        <sz val="10"/>
        <rFont val="Arial"/>
        <family val="0"/>
        <charset val="1"/>
      </rPr>
      <t xml:space="preserve">2.92</t>
    </r>
    <r>
      <rPr>
        <sz val="10"/>
        <rFont val="Noto Sans CJK SC"/>
        <family val="2"/>
      </rPr>
      <t xml:space="preserve">倍（</t>
    </r>
    <r>
      <rPr>
        <sz val="10"/>
        <rFont val="Arial"/>
        <family val="0"/>
        <charset val="1"/>
      </rPr>
      <t xml:space="preserve">n=12/15</t>
    </r>
    <r>
      <rPr>
        <sz val="10"/>
        <rFont val="Noto Sans CJK SC"/>
        <family val="2"/>
      </rPr>
      <t xml:space="preserve">）。再生中央値も </t>
    </r>
    <r>
      <rPr>
        <sz val="10"/>
        <rFont val="Arial"/>
        <family val="0"/>
        <charset val="1"/>
      </rPr>
      <t xml:space="preserve">1002 vs 612 </t>
    </r>
    <r>
      <rPr>
        <sz val="10"/>
        <rFont val="Noto Sans CJK SC"/>
        <family val="2"/>
      </rPr>
      <t xml:space="preserve">で、短尺側が転換率・リーチの両方で勝っている。</t>
    </r>
  </si>
  <si>
    <r>
      <rPr>
        <sz val="10"/>
        <rFont val="Arial"/>
        <family val="0"/>
        <charset val="1"/>
      </rPr>
      <t xml:space="preserve">165</t>
    </r>
    <r>
      <rPr>
        <sz val="10"/>
        <rFont val="Noto Sans CJK SC"/>
        <family val="2"/>
      </rPr>
      <t xml:space="preserve">〜</t>
    </r>
    <r>
      <rPr>
        <sz val="10"/>
        <rFont val="Arial"/>
        <family val="0"/>
        <charset val="1"/>
      </rPr>
      <t xml:space="preserve">210</t>
    </r>
    <r>
      <rPr>
        <sz val="10"/>
        <rFont val="Noto Sans CJK SC"/>
        <family val="2"/>
      </rPr>
      <t xml:space="preserve">字 → </t>
    </r>
    <r>
      <rPr>
        <sz val="10"/>
        <rFont val="Arial"/>
        <family val="0"/>
        <charset val="1"/>
      </rPr>
      <t xml:space="preserve">160</t>
    </r>
    <r>
      <rPr>
        <sz val="10"/>
        <rFont val="Noto Sans CJK SC"/>
        <family val="2"/>
      </rPr>
      <t xml:space="preserve">〜</t>
    </r>
    <r>
      <rPr>
        <sz val="10"/>
        <rFont val="Arial"/>
        <family val="0"/>
        <charset val="1"/>
      </rPr>
      <t xml:space="preserve">195</t>
    </r>
    <r>
      <rPr>
        <sz val="10"/>
        <rFont val="Noto Sans CJK SC"/>
        <family val="2"/>
      </rPr>
      <t xml:space="preserve">字（推定 </t>
    </r>
    <r>
      <rPr>
        <sz val="10"/>
        <rFont val="Arial"/>
        <family val="0"/>
        <charset val="1"/>
      </rPr>
      <t xml:space="preserve">26.5</t>
    </r>
    <r>
      <rPr>
        <sz val="10"/>
        <rFont val="Noto Sans CJK SC"/>
        <family val="2"/>
      </rPr>
      <t xml:space="preserve">〜</t>
    </r>
    <r>
      <rPr>
        <sz val="10"/>
        <rFont val="Arial"/>
        <family val="0"/>
        <charset val="1"/>
      </rPr>
      <t xml:space="preserve">31.5</t>
    </r>
    <r>
      <rPr>
        <sz val="10"/>
        <rFont val="Noto Sans CJK SC"/>
        <family val="2"/>
      </rPr>
      <t xml:space="preserve">秒）</t>
    </r>
  </si>
  <si>
    <r>
      <rPr>
        <sz val="10"/>
        <rFont val="Noto Sans CJK SC"/>
        <family val="2"/>
      </rPr>
      <t xml:space="preserve">同 </t>
    </r>
    <r>
      <rPr>
        <sz val="10"/>
        <rFont val="Arial"/>
        <family val="0"/>
        <charset val="1"/>
      </rPr>
      <t xml:space="preserve">0.94 vs 0.77 </t>
    </r>
    <r>
      <rPr>
        <sz val="10"/>
        <rFont val="Noto Sans CJK SC"/>
        <family val="2"/>
      </rPr>
      <t xml:space="preserve">＝ </t>
    </r>
    <r>
      <rPr>
        <sz val="10"/>
        <rFont val="Arial"/>
        <family val="0"/>
        <charset val="1"/>
      </rPr>
      <t xml:space="preserve">1.21</t>
    </r>
    <r>
      <rPr>
        <sz val="10"/>
        <rFont val="Noto Sans CJK SC"/>
        <family val="2"/>
      </rPr>
      <t xml:space="preserve">倍（</t>
    </r>
    <r>
      <rPr>
        <sz val="10"/>
        <rFont val="Arial"/>
        <family val="0"/>
        <charset val="1"/>
      </rPr>
      <t xml:space="preserve">n=18/14</t>
    </r>
    <r>
      <rPr>
        <sz val="10"/>
        <rFont val="Noto Sans CJK SC"/>
        <family val="2"/>
      </rPr>
      <t xml:space="preserve">）。効果は</t>
    </r>
    <r>
      <rPr>
        <sz val="10"/>
        <rFont val="Arial"/>
        <family val="0"/>
        <charset val="1"/>
      </rPr>
      <t xml:space="preserve">3ch</t>
    </r>
    <r>
      <rPr>
        <sz val="10"/>
        <rFont val="Noto Sans CJK SC"/>
        <family val="2"/>
      </rPr>
      <t xml:space="preserve">で最小だが方向は一致。</t>
    </r>
  </si>
  <si>
    <t xml:space="preserve">方針の打ち切り</t>
  </si>
  <si>
    <r>
      <rPr>
        <sz val="10"/>
        <rFont val="Noto Sans CJK SC"/>
        <family val="2"/>
      </rPr>
      <t xml:space="preserve">全</t>
    </r>
    <r>
      <rPr>
        <sz val="10"/>
        <rFont val="Arial"/>
        <family val="0"/>
        <charset val="1"/>
      </rPr>
      <t xml:space="preserve">ch</t>
    </r>
  </si>
  <si>
    <r>
      <rPr>
        <sz val="10"/>
        <rFont val="Arial"/>
        <family val="0"/>
        <charset val="1"/>
      </rPr>
      <t xml:space="preserve">15</t>
    </r>
    <r>
      <rPr>
        <sz val="10"/>
        <rFont val="Noto Sans CJK SC"/>
        <family val="2"/>
      </rPr>
      <t xml:space="preserve">〜</t>
    </r>
    <r>
      <rPr>
        <sz val="10"/>
        <rFont val="Arial"/>
        <family val="0"/>
        <charset val="1"/>
      </rPr>
      <t xml:space="preserve">25%</t>
    </r>
    <r>
      <rPr>
        <sz val="10"/>
        <rFont val="Noto Sans CJK SC"/>
        <family val="2"/>
      </rPr>
      <t xml:space="preserve">地点の「維持率の崖」対策（</t>
    </r>
    <r>
      <rPr>
        <sz val="10"/>
        <rFont val="Arial"/>
        <family val="0"/>
        <charset val="1"/>
      </rPr>
      <t xml:space="preserve">2</t>
    </r>
    <r>
      <rPr>
        <sz val="10"/>
        <rFont val="Noto Sans CJK SC"/>
        <family val="2"/>
      </rPr>
      <t xml:space="preserve">行目への実数配置）を打ち切り。</t>
    </r>
    <r>
      <rPr>
        <sz val="10"/>
        <rFont val="Arial"/>
        <family val="0"/>
        <charset val="1"/>
      </rPr>
      <t xml:space="preserve">short_format.retention_rule_20260917 </t>
    </r>
    <r>
      <rPr>
        <sz val="10"/>
        <rFont val="Noto Sans CJK SC"/>
        <family val="2"/>
      </rPr>
      <t xml:space="preserve">を削除し、判断根拠を </t>
    </r>
    <r>
      <rPr>
        <sz val="10"/>
        <rFont val="Arial"/>
        <family val="0"/>
        <charset val="1"/>
      </rPr>
      <t xml:space="preserve">extra_rules </t>
    </r>
    <r>
      <rPr>
        <sz val="10"/>
        <rFont val="Noto Sans CJK SC"/>
        <family val="2"/>
      </rPr>
      <t xml:space="preserve">に記録。</t>
    </r>
  </si>
  <si>
    <r>
      <rPr>
        <sz val="10"/>
        <rFont val="Arial"/>
        <family val="0"/>
        <charset val="1"/>
      </rPr>
      <t xml:space="preserve">retention_curve n=509 </t>
    </r>
    <r>
      <rPr>
        <sz val="10"/>
        <rFont val="Noto Sans CJK SC"/>
        <family val="2"/>
      </rPr>
      <t xml:space="preserve">を</t>
    </r>
    <r>
      <rPr>
        <sz val="10"/>
        <rFont val="Arial"/>
        <family val="0"/>
        <charset val="1"/>
      </rPr>
      <t xml:space="preserve">3</t>
    </r>
    <r>
      <rPr>
        <sz val="10"/>
        <rFont val="Noto Sans CJK SC"/>
        <family val="2"/>
      </rPr>
      <t xml:space="preserve">期比較。</t>
    </r>
    <r>
      <rPr>
        <sz val="10"/>
        <rFont val="Arial"/>
        <family val="0"/>
        <charset val="1"/>
      </rPr>
      <t xml:space="preserve">10%→25%</t>
    </r>
    <r>
      <rPr>
        <sz val="10"/>
        <rFont val="Noto Sans CJK SC"/>
        <family val="2"/>
      </rPr>
      <t xml:space="preserve">の落差の </t>
    </r>
    <r>
      <rPr>
        <sz val="10"/>
        <rFont val="Arial"/>
        <family val="0"/>
        <charset val="1"/>
      </rPr>
      <t xml:space="preserve">ch</t>
    </r>
    <r>
      <rPr>
        <sz val="10"/>
        <rFont val="Noto Sans CJK SC"/>
        <family val="2"/>
      </rPr>
      <t xml:space="preserve">内中央値は </t>
    </r>
    <r>
      <rPr>
        <sz val="10"/>
        <rFont val="Arial"/>
        <family val="0"/>
        <charset val="1"/>
      </rPr>
      <t xml:space="preserve">daily-science 0.452→0.433→0.450</t>
    </r>
    <r>
      <rPr>
        <sz val="10"/>
        <rFont val="Noto Sans CJK SC"/>
        <family val="2"/>
      </rPr>
      <t xml:space="preserve">、</t>
    </r>
    <r>
      <rPr>
        <sz val="10"/>
        <rFont val="Arial"/>
        <family val="0"/>
        <charset val="1"/>
      </rPr>
      <t xml:space="preserve">scp-lab 0.403→0.375→0.451</t>
    </r>
    <r>
      <rPr>
        <sz val="10"/>
        <rFont val="Noto Sans CJK SC"/>
        <family val="2"/>
      </rPr>
      <t xml:space="preserve">、</t>
    </r>
    <r>
      <rPr>
        <sz val="10"/>
        <rFont val="Arial"/>
        <family val="0"/>
        <charset val="1"/>
      </rPr>
      <t xml:space="preserve">yokai-watch 0.407→0.384</t>
    </r>
    <r>
      <rPr>
        <sz val="10"/>
        <rFont val="Noto Sans CJK SC"/>
        <family val="2"/>
      </rPr>
      <t xml:space="preserve">、</t>
    </r>
    <r>
      <rPr>
        <sz val="10"/>
        <rFont val="Arial"/>
        <family val="0"/>
        <charset val="1"/>
      </rPr>
      <t xml:space="preserve">company-facts 0.395→0.490</t>
    </r>
    <r>
      <rPr>
        <sz val="10"/>
        <rFont val="Noto Sans CJK SC"/>
        <family val="2"/>
      </rPr>
      <t xml:space="preserve">、</t>
    </r>
    <r>
      <rPr>
        <sz val="10"/>
        <rFont val="Arial"/>
        <family val="0"/>
        <charset val="1"/>
      </rPr>
      <t xml:space="preserve">2ch-matome 0.438→0.514</t>
    </r>
    <r>
      <rPr>
        <sz val="10"/>
        <rFont val="Noto Sans CJK SC"/>
        <family val="2"/>
      </rPr>
      <t xml:space="preserve">。</t>
    </r>
    <r>
      <rPr>
        <sz val="10"/>
        <rFont val="Arial"/>
        <family val="0"/>
        <charset val="1"/>
      </rPr>
      <t xml:space="preserve">09-07 </t>
    </r>
    <r>
      <rPr>
        <sz val="10"/>
        <rFont val="Noto Sans CJK SC"/>
        <family val="2"/>
      </rPr>
      <t xml:space="preserve">以降の改訂</t>
    </r>
    <r>
      <rPr>
        <sz val="10"/>
        <rFont val="Arial"/>
        <family val="0"/>
        <charset val="1"/>
      </rPr>
      <t xml:space="preserve">5</t>
    </r>
    <r>
      <rPr>
        <sz val="10"/>
        <rFont val="Noto Sans CJK SC"/>
        <family val="2"/>
      </rPr>
      <t xml:space="preserve">回で</t>
    </r>
    <r>
      <rPr>
        <sz val="10"/>
        <rFont val="Arial"/>
        <family val="0"/>
        <charset val="1"/>
      </rPr>
      <t xml:space="preserve">5ch</t>
    </r>
    <r>
      <rPr>
        <sz val="10"/>
        <rFont val="Noto Sans CJK SC"/>
        <family val="2"/>
      </rPr>
      <t xml:space="preserve">とも改善せず、</t>
    </r>
    <r>
      <rPr>
        <sz val="10"/>
        <rFont val="Arial"/>
        <family val="0"/>
        <charset val="1"/>
      </rPr>
      <t xml:space="preserve">2ch</t>
    </r>
    <r>
      <rPr>
        <sz val="10"/>
        <rFont val="Noto Sans CJK SC"/>
        <family val="2"/>
      </rPr>
      <t xml:space="preserve">は悪化。視聴者の通常の離脱プロファイルであり台本の欠陥ではないと判断。維持率四分位→登録</t>
    </r>
    <r>
      <rPr>
        <sz val="10"/>
        <rFont val="Arial"/>
        <family val="0"/>
        <charset val="1"/>
      </rPr>
      <t xml:space="preserve">/</t>
    </r>
    <r>
      <rPr>
        <sz val="10"/>
        <rFont val="Noto Sans CJK SC"/>
        <family val="2"/>
      </rPr>
      <t xml:space="preserve">千 が </t>
    </r>
    <r>
      <rPr>
        <sz val="10"/>
        <rFont val="Arial"/>
        <family val="0"/>
        <charset val="1"/>
      </rPr>
      <t xml:space="preserve">0.317/0.667/0.788/0.674 </t>
    </r>
    <r>
      <rPr>
        <sz val="10"/>
        <rFont val="Noto Sans CJK SC"/>
        <family val="2"/>
      </rPr>
      <t xml:space="preserve">と非単調である既存結論とも整合。</t>
    </r>
  </si>
  <si>
    <t xml:space="preserve">—</t>
  </si>
  <si>
    <t xml:space="preserve">投稿枠</t>
  </si>
  <si>
    <r>
      <rPr>
        <sz val="10"/>
        <rFont val="Arial"/>
        <family val="0"/>
        <charset val="1"/>
      </rPr>
      <t xml:space="preserve">3</t>
    </r>
    <r>
      <rPr>
        <sz val="10"/>
        <rFont val="Noto Sans CJK SC"/>
        <family val="2"/>
      </rPr>
      <t xml:space="preserve">枠</t>
    </r>
    <r>
      <rPr>
        <sz val="10"/>
        <rFont val="Arial"/>
        <family val="0"/>
        <charset val="1"/>
      </rPr>
      <t xml:space="preserve">/</t>
    </r>
    <r>
      <rPr>
        <sz val="10"/>
        <rFont val="Noto Sans CJK SC"/>
        <family val="2"/>
      </rPr>
      <t xml:space="preserve">日 → </t>
    </r>
    <r>
      <rPr>
        <sz val="10"/>
        <rFont val="Arial"/>
        <family val="0"/>
        <charset val="1"/>
      </rPr>
      <t xml:space="preserve">1</t>
    </r>
    <r>
      <rPr>
        <sz val="10"/>
        <rFont val="Noto Sans CJK SC"/>
        <family val="2"/>
      </rPr>
      <t xml:space="preserve">枠</t>
    </r>
    <r>
      <rPr>
        <sz val="10"/>
        <rFont val="Arial"/>
        <family val="0"/>
        <charset val="1"/>
      </rPr>
      <t xml:space="preserve">/</t>
    </r>
    <r>
      <rPr>
        <sz val="10"/>
        <rFont val="Noto Sans CJK SC"/>
        <family val="2"/>
      </rPr>
      <t xml:space="preserve">日（</t>
    </r>
    <r>
      <rPr>
        <sz val="10"/>
        <rFont val="Arial"/>
        <family val="0"/>
        <charset val="1"/>
      </rPr>
      <t xml:space="preserve">17:30 </t>
    </r>
    <r>
      <rPr>
        <sz val="10"/>
        <rFont val="Noto Sans CJK SC"/>
        <family val="2"/>
      </rPr>
      <t xml:space="preserve">のみ）。他</t>
    </r>
    <r>
      <rPr>
        <sz val="10"/>
        <rFont val="Arial"/>
        <family val="0"/>
        <charset val="1"/>
      </rPr>
      <t xml:space="preserve">ch</t>
    </r>
    <r>
      <rPr>
        <sz val="10"/>
        <rFont val="Noto Sans CJK SC"/>
        <family val="2"/>
      </rPr>
      <t xml:space="preserve">への増枠はしない。</t>
    </r>
  </si>
  <si>
    <r>
      <rPr>
        <sz val="10"/>
        <rFont val="Noto Sans CJK SC"/>
        <family val="2"/>
      </rPr>
      <t xml:space="preserve">成熟コホートの登録</t>
    </r>
    <r>
      <rPr>
        <sz val="10"/>
        <rFont val="Arial"/>
        <family val="0"/>
        <charset val="1"/>
      </rPr>
      <t xml:space="preserve">/</t>
    </r>
    <r>
      <rPr>
        <sz val="10"/>
        <rFont val="Noto Sans CJK SC"/>
        <family val="2"/>
      </rPr>
      <t xml:space="preserve">千 </t>
    </r>
    <r>
      <rPr>
        <sz val="10"/>
        <rFont val="Arial"/>
        <family val="0"/>
        <charset val="1"/>
      </rPr>
      <t xml:space="preserve">0.189 </t>
    </r>
    <r>
      <rPr>
        <sz val="10"/>
        <rFont val="Noto Sans CJK SC"/>
        <family val="2"/>
      </rPr>
      <t xml:space="preserve">は</t>
    </r>
    <r>
      <rPr>
        <sz val="10"/>
        <rFont val="Arial"/>
        <family val="0"/>
        <charset val="1"/>
      </rPr>
      <t xml:space="preserve">6ch</t>
    </r>
    <r>
      <rPr>
        <sz val="10"/>
        <rFont val="Noto Sans CJK SC"/>
        <family val="2"/>
      </rPr>
      <t xml:space="preserve">最下位（</t>
    </r>
    <r>
      <rPr>
        <sz val="10"/>
        <rFont val="Arial"/>
        <family val="0"/>
        <charset val="1"/>
      </rPr>
      <t xml:space="preserve">scp-lab </t>
    </r>
    <r>
      <rPr>
        <sz val="10"/>
        <rFont val="Noto Sans CJK SC"/>
        <family val="2"/>
      </rPr>
      <t xml:space="preserve">の</t>
    </r>
    <r>
      <rPr>
        <sz val="10"/>
        <rFont val="Arial"/>
        <family val="0"/>
        <charset val="1"/>
      </rPr>
      <t xml:space="preserve">0.22</t>
    </r>
    <r>
      <rPr>
        <sz val="10"/>
        <rFont val="Noto Sans CJK SC"/>
        <family val="2"/>
      </rPr>
      <t xml:space="preserve">倍）。</t>
    </r>
    <r>
      <rPr>
        <sz val="10"/>
        <rFont val="Arial"/>
        <family val="0"/>
        <charset val="1"/>
      </rPr>
      <t xml:space="preserve">4</t>
    </r>
    <r>
      <rPr>
        <sz val="10"/>
        <rFont val="Noto Sans CJK SC"/>
        <family val="2"/>
      </rPr>
      <t xml:space="preserve">日齢週次で高評価率 </t>
    </r>
    <r>
      <rPr>
        <sz val="10"/>
        <rFont val="Arial"/>
        <family val="0"/>
        <charset val="1"/>
      </rPr>
      <t xml:space="preserve">0.22%→0.11%</t>
    </r>
    <r>
      <rPr>
        <sz val="10"/>
        <rFont val="Noto Sans CJK SC"/>
        <family val="2"/>
      </rPr>
      <t xml:space="preserve">、登録</t>
    </r>
    <r>
      <rPr>
        <sz val="10"/>
        <rFont val="Arial"/>
        <family val="0"/>
        <charset val="1"/>
      </rPr>
      <t xml:space="preserve">/</t>
    </r>
    <r>
      <rPr>
        <sz val="10"/>
        <rFont val="Noto Sans CJK SC"/>
        <family val="2"/>
      </rPr>
      <t xml:space="preserve">千 </t>
    </r>
    <r>
      <rPr>
        <sz val="10"/>
        <rFont val="Arial"/>
        <family val="0"/>
        <charset val="1"/>
      </rPr>
      <t xml:space="preserve">09/07</t>
    </r>
    <r>
      <rPr>
        <sz val="10"/>
        <rFont val="Noto Sans CJK SC"/>
        <family val="2"/>
      </rPr>
      <t xml:space="preserve">週 </t>
    </r>
    <r>
      <rPr>
        <sz val="10"/>
        <rFont val="Arial"/>
        <family val="0"/>
        <charset val="1"/>
      </rPr>
      <t xml:space="preserve">0.00</t>
    </r>
    <r>
      <rPr>
        <sz val="10"/>
        <rFont val="Noto Sans CJK SC"/>
        <family val="2"/>
      </rPr>
      <t xml:space="preserve">（</t>
    </r>
    <r>
      <rPr>
        <sz val="10"/>
        <rFont val="Arial"/>
        <family val="0"/>
        <charset val="1"/>
      </rPr>
      <t xml:space="preserve">n=6</t>
    </r>
    <r>
      <rPr>
        <sz val="10"/>
        <rFont val="Noto Sans CJK SC"/>
        <family val="2"/>
      </rPr>
      <t xml:space="preserve">）、再生 </t>
    </r>
    <r>
      <rPr>
        <sz val="10"/>
        <rFont val="Arial"/>
        <family val="0"/>
        <charset val="1"/>
      </rPr>
      <t xml:space="preserve">1356→738</t>
    </r>
    <r>
      <rPr>
        <sz val="10"/>
        <rFont val="Noto Sans CJK SC"/>
        <family val="2"/>
      </rPr>
      <t xml:space="preserve">（</t>
    </r>
    <r>
      <rPr>
        <sz val="10"/>
        <rFont val="Arial"/>
        <family val="0"/>
        <charset val="1"/>
      </rPr>
      <t xml:space="preserve">-46%</t>
    </r>
    <r>
      <rPr>
        <sz val="10"/>
        <rFont val="Noto Sans CJK SC"/>
        <family val="2"/>
      </rPr>
      <t xml:space="preserve">）。当</t>
    </r>
    <r>
      <rPr>
        <sz val="10"/>
        <rFont val="Arial"/>
        <family val="0"/>
        <charset val="1"/>
      </rPr>
      <t xml:space="preserve">ch</t>
    </r>
    <r>
      <rPr>
        <sz val="10"/>
        <rFont val="Noto Sans CJK SC"/>
        <family val="2"/>
      </rPr>
      <t xml:space="preserve">のみ「高評価率が高い群のほうが登録</t>
    </r>
    <r>
      <rPr>
        <sz val="10"/>
        <rFont val="Arial"/>
        <family val="0"/>
        <charset val="1"/>
      </rPr>
      <t xml:space="preserve">/</t>
    </r>
    <r>
      <rPr>
        <sz val="10"/>
        <rFont val="Noto Sans CJK SC"/>
        <family val="2"/>
      </rPr>
      <t xml:space="preserve">千が低い」</t>
    </r>
    <r>
      <rPr>
        <sz val="10"/>
        <rFont val="Arial"/>
        <family val="0"/>
        <charset val="1"/>
      </rPr>
      <t xml:space="preserve">(0.41</t>
    </r>
    <r>
      <rPr>
        <sz val="10"/>
        <rFont val="Noto Sans CJK SC"/>
        <family val="2"/>
      </rPr>
      <t xml:space="preserve">倍</t>
    </r>
    <r>
      <rPr>
        <sz val="10"/>
        <rFont val="Arial"/>
        <family val="0"/>
        <charset val="1"/>
      </rPr>
      <t xml:space="preserve">)</t>
    </r>
    <r>
      <rPr>
        <sz val="10"/>
        <rFont val="Noto Sans CJK SC"/>
        <family val="2"/>
      </rPr>
      <t xml:space="preserve">と逆転しており、他</t>
    </r>
    <r>
      <rPr>
        <sz val="10"/>
        <rFont val="Arial"/>
        <family val="0"/>
        <charset val="1"/>
      </rPr>
      <t xml:space="preserve">5ch</t>
    </r>
    <r>
      <rPr>
        <sz val="10"/>
        <rFont val="Noto Sans CJK SC"/>
        <family val="2"/>
      </rPr>
      <t xml:space="preserve">で</t>
    </r>
    <r>
      <rPr>
        <sz val="10"/>
        <rFont val="Arial"/>
        <family val="0"/>
        <charset val="1"/>
      </rPr>
      <t xml:space="preserve">5</t>
    </r>
    <r>
      <rPr>
        <sz val="10"/>
        <rFont val="Noto Sans CJK SC"/>
        <family val="2"/>
      </rPr>
      <t xml:space="preserve">回再現している関係が成立しない。</t>
    </r>
    <r>
      <rPr>
        <sz val="10"/>
        <rFont val="Arial"/>
        <family val="0"/>
        <charset val="1"/>
      </rPr>
      <t xml:space="preserve">08-08 </t>
    </r>
    <r>
      <rPr>
        <sz val="10"/>
        <rFont val="Noto Sans CJK SC"/>
        <family val="2"/>
      </rPr>
      <t xml:space="preserve">以降の型変更</t>
    </r>
    <r>
      <rPr>
        <sz val="10"/>
        <rFont val="Arial"/>
        <family val="0"/>
        <charset val="1"/>
      </rPr>
      <t xml:space="preserve">5</t>
    </r>
    <r>
      <rPr>
        <sz val="10"/>
        <rFont val="Noto Sans CJK SC"/>
        <family val="2"/>
      </rPr>
      <t xml:space="preserve">回でも反転せず。増枠がリーチを比例して増やす証拠が無いため、空いた枠の他</t>
    </r>
    <r>
      <rPr>
        <sz val="10"/>
        <rFont val="Arial"/>
        <family val="0"/>
        <charset val="1"/>
      </rPr>
      <t xml:space="preserve">ch</t>
    </r>
    <r>
      <rPr>
        <sz val="10"/>
        <rFont val="Noto Sans CJK SC"/>
        <family val="2"/>
      </rPr>
      <t xml:space="preserve">への再配分は行わない。復帰条件は</t>
    </r>
    <r>
      <rPr>
        <sz val="10"/>
        <rFont val="Arial"/>
        <family val="0"/>
        <charset val="1"/>
      </rPr>
      <t xml:space="preserve">1</t>
    </r>
    <r>
      <rPr>
        <sz val="10"/>
        <rFont val="Noto Sans CJK SC"/>
        <family val="2"/>
      </rPr>
      <t xml:space="preserve">枠運用で登録</t>
    </r>
    <r>
      <rPr>
        <sz val="10"/>
        <rFont val="Arial"/>
        <family val="0"/>
        <charset val="1"/>
      </rPr>
      <t xml:space="preserve">/</t>
    </r>
    <r>
      <rPr>
        <sz val="10"/>
        <rFont val="Noto Sans CJK SC"/>
        <family val="2"/>
      </rPr>
      <t xml:space="preserve">千が</t>
    </r>
    <r>
      <rPr>
        <sz val="10"/>
        <rFont val="Arial"/>
        <family val="0"/>
        <charset val="1"/>
      </rPr>
      <t xml:space="preserve">2</t>
    </r>
    <r>
      <rPr>
        <sz val="10"/>
        <rFont val="Noto Sans CJK SC"/>
        <family val="2"/>
      </rPr>
      <t xml:space="preserve">週連続</t>
    </r>
    <r>
      <rPr>
        <sz val="10"/>
        <rFont val="Arial"/>
        <family val="0"/>
        <charset val="1"/>
      </rPr>
      <t xml:space="preserve">0.4</t>
    </r>
    <r>
      <rPr>
        <sz val="10"/>
        <rFont val="Noto Sans CJK SC"/>
        <family val="2"/>
      </rPr>
      <t xml:space="preserve">以上。</t>
    </r>
  </si>
  <si>
    <t xml:space="preserve">2026-10-02</t>
  </si>
  <si>
    <t xml:space="preserve">据え置き（判断）</t>
  </si>
  <si>
    <r>
      <rPr>
        <sz val="10"/>
        <rFont val="Noto Sans CJK SC"/>
        <family val="2"/>
      </rPr>
      <t xml:space="preserve">文字数帯は据え置き（</t>
    </r>
    <r>
      <rPr>
        <sz val="10"/>
        <rFont val="Arial"/>
        <family val="0"/>
        <charset val="1"/>
      </rPr>
      <t xml:space="preserve">165</t>
    </r>
    <r>
      <rPr>
        <sz val="10"/>
        <rFont val="Noto Sans CJK SC"/>
        <family val="2"/>
      </rPr>
      <t xml:space="preserve">〜</t>
    </r>
    <r>
      <rPr>
        <sz val="10"/>
        <rFont val="Arial"/>
        <family val="0"/>
        <charset val="1"/>
      </rPr>
      <t xml:space="preserve">210</t>
    </r>
    <r>
      <rPr>
        <sz val="10"/>
        <rFont val="Noto Sans CJK SC"/>
        <family val="2"/>
      </rPr>
      <t xml:space="preserve">字＝</t>
    </r>
    <r>
      <rPr>
        <sz val="10"/>
        <rFont val="Arial"/>
        <family val="0"/>
        <charset val="1"/>
      </rPr>
      <t xml:space="preserve">33.7</t>
    </r>
    <r>
      <rPr>
        <sz val="10"/>
        <rFont val="Noto Sans CJK SC"/>
        <family val="2"/>
      </rPr>
      <t xml:space="preserve">〜</t>
    </r>
    <r>
      <rPr>
        <sz val="10"/>
        <rFont val="Arial"/>
        <family val="0"/>
        <charset val="1"/>
      </rPr>
      <t xml:space="preserve">42.0</t>
    </r>
    <r>
      <rPr>
        <sz val="10"/>
        <rFont val="Noto Sans CJK SC"/>
        <family val="2"/>
      </rPr>
      <t xml:space="preserve">秒）。短尺化しない。</t>
    </r>
  </si>
  <si>
    <r>
      <rPr>
        <sz val="10"/>
        <rFont val="Noto Sans CJK SC"/>
        <family val="2"/>
      </rPr>
      <t xml:space="preserve">当</t>
    </r>
    <r>
      <rPr>
        <sz val="10"/>
        <rFont val="Arial"/>
        <family val="0"/>
        <charset val="1"/>
      </rPr>
      <t xml:space="preserve">ch</t>
    </r>
    <r>
      <rPr>
        <sz val="10"/>
        <rFont val="Noto Sans CJK SC"/>
        <family val="2"/>
      </rPr>
      <t xml:space="preserve">のみ尺三分位で </t>
    </r>
    <r>
      <rPr>
        <sz val="10"/>
        <rFont val="Arial"/>
        <family val="0"/>
        <charset val="1"/>
      </rPr>
      <t xml:space="preserve">52</t>
    </r>
    <r>
      <rPr>
        <sz val="10"/>
        <rFont val="Noto Sans CJK SC"/>
        <family val="2"/>
      </rPr>
      <t xml:space="preserve">秒群 の登録</t>
    </r>
    <r>
      <rPr>
        <sz val="10"/>
        <rFont val="Arial"/>
        <family val="0"/>
        <charset val="1"/>
      </rPr>
      <t xml:space="preserve">0.64 </t>
    </r>
    <r>
      <rPr>
        <sz val="10"/>
        <rFont val="Noto Sans CJK SC"/>
        <family val="2"/>
      </rPr>
      <t xml:space="preserve">が最良（</t>
    </r>
    <r>
      <rPr>
        <sz val="10"/>
        <rFont val="Arial"/>
        <family val="0"/>
        <charset val="1"/>
      </rPr>
      <t xml:space="preserve">41</t>
    </r>
    <r>
      <rPr>
        <sz val="10"/>
        <rFont val="Noto Sans CJK SC"/>
        <family val="2"/>
      </rPr>
      <t xml:space="preserve">秒群 </t>
    </r>
    <r>
      <rPr>
        <sz val="10"/>
        <rFont val="Arial"/>
        <family val="0"/>
        <charset val="1"/>
      </rPr>
      <t xml:space="preserve">0.46</t>
    </r>
    <r>
      <rPr>
        <sz val="10"/>
        <rFont val="Noto Sans CJK SC"/>
        <family val="2"/>
      </rPr>
      <t xml:space="preserve">）。維持率の肩も</t>
    </r>
    <r>
      <rPr>
        <sz val="10"/>
        <rFont val="Arial"/>
        <family val="0"/>
        <charset val="1"/>
      </rPr>
      <t xml:space="preserve">50%</t>
    </r>
    <r>
      <rPr>
        <sz val="10"/>
        <rFont val="Noto Sans CJK SC"/>
        <family val="2"/>
      </rPr>
      <t xml:space="preserve">地点</t>
    </r>
    <r>
      <rPr>
        <sz val="10"/>
        <rFont val="Arial"/>
        <family val="0"/>
        <charset val="1"/>
      </rPr>
      <t xml:space="preserve">0.59</t>
    </r>
    <r>
      <rPr>
        <sz val="10"/>
        <rFont val="Noto Sans CJK SC"/>
        <family val="2"/>
      </rPr>
      <t xml:space="preserve">と</t>
    </r>
    <r>
      <rPr>
        <sz val="10"/>
        <rFont val="Arial"/>
        <family val="0"/>
        <charset val="1"/>
      </rPr>
      <t xml:space="preserve">6ch</t>
    </r>
    <r>
      <rPr>
        <sz val="10"/>
        <rFont val="Noto Sans CJK SC"/>
        <family val="2"/>
      </rPr>
      <t xml:space="preserve">中で突出して高い。ただし高評価率 </t>
    </r>
    <r>
      <rPr>
        <sz val="10"/>
        <rFont val="Arial"/>
        <family val="0"/>
        <charset val="1"/>
      </rPr>
      <t xml:space="preserve">0.42%→0.28%</t>
    </r>
    <r>
      <rPr>
        <sz val="10"/>
        <rFont val="Noto Sans CJK SC"/>
        <family val="2"/>
      </rPr>
      <t xml:space="preserve">、登録</t>
    </r>
    <r>
      <rPr>
        <sz val="10"/>
        <rFont val="Arial"/>
        <family val="0"/>
        <charset val="1"/>
      </rPr>
      <t xml:space="preserve">/</t>
    </r>
    <r>
      <rPr>
        <sz val="10"/>
        <rFont val="Noto Sans CJK SC"/>
        <family val="2"/>
      </rPr>
      <t xml:space="preserve">千 </t>
    </r>
    <r>
      <rPr>
        <sz val="10"/>
        <rFont val="Arial"/>
        <family val="0"/>
        <charset val="1"/>
      </rPr>
      <t xml:space="preserve">0.86→0.42 </t>
    </r>
    <r>
      <rPr>
        <sz val="10"/>
        <rFont val="Noto Sans CJK SC"/>
        <family val="2"/>
      </rPr>
      <t xml:space="preserve">と低下中で、尺ではなく高評価</t>
    </r>
    <r>
      <rPr>
        <sz val="10"/>
        <rFont val="Arial"/>
        <family val="0"/>
        <charset val="1"/>
      </rPr>
      <t xml:space="preserve">CTA</t>
    </r>
    <r>
      <rPr>
        <sz val="10"/>
        <rFont val="Noto Sans CJK SC"/>
        <family val="2"/>
      </rPr>
      <t xml:space="preserve">側の問題として </t>
    </r>
    <r>
      <rPr>
        <sz val="10"/>
        <rFont val="Arial"/>
        <family val="0"/>
        <charset val="1"/>
      </rPr>
      <t xml:space="preserve">09-25 </t>
    </r>
    <r>
      <rPr>
        <sz val="10"/>
        <rFont val="Noto Sans CJK SC"/>
        <family val="2"/>
      </rPr>
      <t xml:space="preserve">に再評価する。</t>
    </r>
  </si>
  <si>
    <t xml:space="preserve">指揮者</t>
  </si>
  <si>
    <t xml:space="preserve">テーマキューの補充なし。</t>
  </si>
  <si>
    <r>
      <rPr>
        <sz val="10"/>
        <rFont val="Noto Sans CJK SC"/>
        <family val="2"/>
      </rPr>
      <t xml:space="preserve">在庫 </t>
    </r>
    <r>
      <rPr>
        <sz val="10"/>
        <rFont val="Arial"/>
        <family val="0"/>
        <charset val="1"/>
      </rPr>
      <t xml:space="preserve">6.5</t>
    </r>
    <r>
      <rPr>
        <sz val="10"/>
        <rFont val="Noto Sans CJK SC"/>
        <family val="2"/>
      </rPr>
      <t xml:space="preserve">〜</t>
    </r>
    <r>
      <rPr>
        <sz val="10"/>
        <rFont val="Arial"/>
        <family val="0"/>
        <charset val="1"/>
      </rPr>
      <t xml:space="preserve">12.3</t>
    </r>
    <r>
      <rPr>
        <sz val="10"/>
        <rFont val="Noto Sans CJK SC"/>
        <family val="2"/>
      </rPr>
      <t xml:space="preserve">日で不足なし（</t>
    </r>
    <r>
      <rPr>
        <sz val="10"/>
        <rFont val="Arial"/>
        <family val="0"/>
        <charset val="1"/>
      </rPr>
      <t xml:space="preserve">daily-science 22</t>
    </r>
    <r>
      <rPr>
        <sz val="10"/>
        <rFont val="Noto Sans CJK SC"/>
        <family val="2"/>
      </rPr>
      <t xml:space="preserve">件</t>
    </r>
    <r>
      <rPr>
        <sz val="10"/>
        <rFont val="Arial"/>
        <family val="0"/>
        <charset val="1"/>
      </rPr>
      <t xml:space="preserve">/7.3</t>
    </r>
    <r>
      <rPr>
        <sz val="10"/>
        <rFont val="Noto Sans CJK SC"/>
        <family val="2"/>
      </rPr>
      <t xml:space="preserve">日、</t>
    </r>
    <r>
      <rPr>
        <sz val="10"/>
        <rFont val="Arial"/>
        <family val="0"/>
        <charset val="1"/>
      </rPr>
      <t xml:space="preserve">scp-lab 31</t>
    </r>
    <r>
      <rPr>
        <sz val="10"/>
        <rFont val="Noto Sans CJK SC"/>
        <family val="2"/>
      </rPr>
      <t xml:space="preserve">件</t>
    </r>
    <r>
      <rPr>
        <sz val="10"/>
        <rFont val="Arial"/>
        <family val="0"/>
        <charset val="1"/>
      </rPr>
      <t xml:space="preserve">/10.3</t>
    </r>
    <r>
      <rPr>
        <sz val="10"/>
        <rFont val="Noto Sans CJK SC"/>
        <family val="2"/>
      </rPr>
      <t xml:space="preserve">日、</t>
    </r>
    <r>
      <rPr>
        <sz val="10"/>
        <rFont val="Arial"/>
        <family val="0"/>
        <charset val="1"/>
      </rPr>
      <t xml:space="preserve">yokai-watch 21</t>
    </r>
    <r>
      <rPr>
        <sz val="10"/>
        <rFont val="Noto Sans CJK SC"/>
        <family val="2"/>
      </rPr>
      <t xml:space="preserve">件</t>
    </r>
    <r>
      <rPr>
        <sz val="10"/>
        <rFont val="Arial"/>
        <family val="0"/>
        <charset val="1"/>
      </rPr>
      <t xml:space="preserve">/7.0</t>
    </r>
    <r>
      <rPr>
        <sz val="10"/>
        <rFont val="Noto Sans CJK SC"/>
        <family val="2"/>
      </rPr>
      <t xml:space="preserve">日、</t>
    </r>
    <r>
      <rPr>
        <sz val="10"/>
        <rFont val="Arial"/>
        <family val="0"/>
        <charset val="1"/>
      </rPr>
      <t xml:space="preserve">company-facts 26</t>
    </r>
    <r>
      <rPr>
        <sz val="10"/>
        <rFont val="Noto Sans CJK SC"/>
        <family val="2"/>
      </rPr>
      <t xml:space="preserve">件</t>
    </r>
    <r>
      <rPr>
        <sz val="10"/>
        <rFont val="Arial"/>
        <family val="0"/>
        <charset val="1"/>
      </rPr>
      <t xml:space="preserve">/6.5</t>
    </r>
    <r>
      <rPr>
        <sz val="10"/>
        <rFont val="Noto Sans CJK SC"/>
        <family val="2"/>
      </rPr>
      <t xml:space="preserve">日、</t>
    </r>
    <r>
      <rPr>
        <sz val="10"/>
        <rFont val="Arial"/>
        <family val="0"/>
        <charset val="1"/>
      </rPr>
      <t xml:space="preserve">2ch-matome 37</t>
    </r>
    <r>
      <rPr>
        <sz val="10"/>
        <rFont val="Noto Sans CJK SC"/>
        <family val="2"/>
      </rPr>
      <t xml:space="preserve">件、</t>
    </r>
    <r>
      <rPr>
        <sz val="10"/>
        <rFont val="Arial"/>
        <family val="0"/>
        <charset val="1"/>
      </rPr>
      <t xml:space="preserve">pokemon-lab 31</t>
    </r>
    <r>
      <rPr>
        <sz val="10"/>
        <rFont val="Noto Sans CJK SC"/>
        <family val="2"/>
      </rPr>
      <t xml:space="preserve">件）。本日 </t>
    </r>
    <r>
      <rPr>
        <sz val="10"/>
        <rFont val="Arial"/>
        <family val="0"/>
        <charset val="1"/>
      </rPr>
      <t xml:space="preserve">dispatch-proxy-13 </t>
    </r>
    <r>
      <rPr>
        <sz val="10"/>
        <rFont val="Noto Sans CJK SC"/>
        <family val="2"/>
      </rPr>
      <t xml:space="preserve">によるコンセプト外テーマの隔離が別途実施済み。水増し補充はしない。</t>
    </r>
  </si>
  <si>
    <t xml:space="preserve">★要対応（ザキ様）</t>
  </si>
  <si>
    <r>
      <rPr>
        <sz val="10"/>
        <rFont val="Noto Sans CJK SC"/>
        <family val="2"/>
      </rPr>
      <t xml:space="preserve">カスタムサムネイルの権限解除。</t>
    </r>
    <r>
      <rPr>
        <sz val="10"/>
        <rFont val="Arial"/>
        <family val="0"/>
        <charset val="1"/>
      </rPr>
      <t xml:space="preserve">https://www.youtube.com/verify </t>
    </r>
    <r>
      <rPr>
        <sz val="10"/>
        <rFont val="Noto Sans CJK SC"/>
        <family val="2"/>
      </rPr>
      <t xml:space="preserve">で電話確認を各アカウントで完了する。完了後 </t>
    </r>
    <r>
      <rPr>
        <sz val="10"/>
        <rFont val="Arial"/>
        <family val="0"/>
        <charset val="1"/>
      </rPr>
      <t xml:space="preserve">YouTube Studio </t>
    </r>
    <r>
      <rPr>
        <sz val="10"/>
        <rFont val="Noto Sans CJK SC"/>
        <family val="2"/>
      </rPr>
      <t xml:space="preserve">で手動サムネ設定ができれば </t>
    </r>
    <r>
      <rPr>
        <sz val="10"/>
        <rFont val="Arial"/>
        <family val="0"/>
        <charset val="1"/>
      </rPr>
      <t xml:space="preserve">API </t>
    </r>
    <r>
      <rPr>
        <sz val="10"/>
        <rFont val="Noto Sans CJK SC"/>
        <family val="2"/>
      </rPr>
      <t xml:space="preserve">側も通る。</t>
    </r>
  </si>
  <si>
    <r>
      <rPr>
        <sz val="10"/>
        <rFont val="Arial"/>
        <family val="0"/>
        <charset val="1"/>
      </rPr>
      <t xml:space="preserve">HttpError 403 "The authenticated user doesn't have permissions to upload and set custom video thumbnails." </t>
    </r>
    <r>
      <rPr>
        <sz val="10"/>
        <rFont val="Noto Sans CJK SC"/>
        <family val="2"/>
      </rPr>
      <t xml:space="preserve">が </t>
    </r>
    <r>
      <rPr>
        <sz val="10"/>
        <rFont val="Arial"/>
        <family val="0"/>
        <charset val="1"/>
      </rPr>
      <t xml:space="preserve">852</t>
    </r>
    <r>
      <rPr>
        <sz val="10"/>
        <rFont val="Noto Sans CJK SC"/>
        <family val="2"/>
      </rPr>
      <t xml:space="preserve">件（成功</t>
    </r>
    <r>
      <rPr>
        <sz val="10"/>
        <rFont val="Arial"/>
        <family val="0"/>
        <charset val="1"/>
      </rPr>
      <t xml:space="preserve">71</t>
    </r>
    <r>
      <rPr>
        <sz val="10"/>
        <rFont val="Noto Sans CJK SC"/>
        <family val="2"/>
      </rPr>
      <t xml:space="preserve">件）。内訳 </t>
    </r>
    <r>
      <rPr>
        <sz val="10"/>
        <rFont val="Arial"/>
        <family val="0"/>
        <charset val="1"/>
      </rPr>
      <t xml:space="preserve">company-facts 38 / scp-lab 37 / yokai-watch 32 / pokemon-lab 21 / 2ch-matome 21 / fake-paper 14</t>
    </r>
    <r>
      <rPr>
        <sz val="10"/>
        <rFont val="Noto Sans CJK SC"/>
        <family val="2"/>
      </rPr>
      <t xml:space="preserve">。現在 視聴者が見ているのは </t>
    </r>
    <r>
      <rPr>
        <sz val="10"/>
        <rFont val="Arial"/>
        <family val="0"/>
        <charset val="1"/>
      </rPr>
      <t xml:space="preserve">YouTube </t>
    </r>
    <r>
      <rPr>
        <sz val="10"/>
        <rFont val="Noto Sans CJK SC"/>
        <family val="2"/>
      </rPr>
      <t xml:space="preserve">が動画から自動生成したコマ。「サムネ品質最優先」の施策がパイプラインの手前で全て捨てられている。原因はコードではなくアカウント権限（</t>
    </r>
    <r>
      <rPr>
        <sz val="10"/>
        <rFont val="Arial"/>
        <family val="0"/>
        <charset val="1"/>
      </rPr>
      <t xml:space="preserve">403 reason=forbidden / location=Authorization</t>
    </r>
    <r>
      <rPr>
        <sz val="10"/>
        <rFont val="Noto Sans CJK SC"/>
        <family val="2"/>
      </rPr>
      <t xml:space="preserve">）。</t>
    </r>
  </si>
  <si>
    <t xml:space="preserve">ザキ様</t>
  </si>
  <si>
    <t xml:space="preserve">至急</t>
  </si>
  <si>
    <r>
      <rPr>
        <sz val="10"/>
        <rFont val="Arial"/>
        <family val="0"/>
        <charset val="1"/>
      </rPr>
      <t xml:space="preserve">OAuth </t>
    </r>
    <r>
      <rPr>
        <sz val="10"/>
        <rFont val="Noto Sans CJK SC"/>
        <family val="2"/>
      </rPr>
      <t xml:space="preserve">再認可 → </t>
    </r>
    <r>
      <rPr>
        <sz val="10"/>
        <rFont val="Arial"/>
        <family val="0"/>
        <charset val="1"/>
      </rPr>
      <t xml:space="preserve">autopilot.enabled </t>
    </r>
    <r>
      <rPr>
        <sz val="10"/>
        <rFont val="Noto Sans CJK SC"/>
        <family val="2"/>
      </rPr>
      <t xml:space="preserve">を </t>
    </r>
    <r>
      <rPr>
        <sz val="10"/>
        <rFont val="Arial"/>
        <family val="0"/>
        <charset val="1"/>
      </rPr>
      <t xml:space="preserve">true </t>
    </r>
    <r>
      <rPr>
        <sz val="10"/>
        <rFont val="Noto Sans CJK SC"/>
        <family val="2"/>
      </rPr>
      <t xml:space="preserve">に戻す（手順は </t>
    </r>
    <r>
      <rPr>
        <sz val="10"/>
        <rFont val="Arial"/>
        <family val="0"/>
        <charset val="1"/>
      </rPr>
      <t xml:space="preserve">restart_and_trigger_20260918.command </t>
    </r>
    <r>
      <rPr>
        <sz val="10"/>
        <rFont val="Noto Sans CJK SC"/>
        <family val="2"/>
      </rPr>
      <t xml:space="preserve">に記載）。</t>
    </r>
  </si>
  <si>
    <r>
      <rPr>
        <sz val="10"/>
        <rFont val="Arial"/>
        <family val="0"/>
        <charset val="1"/>
      </rPr>
      <t xml:space="preserve">09-10 07:43 </t>
    </r>
    <r>
      <rPr>
        <sz val="10"/>
        <rFont val="Noto Sans CJK SC"/>
        <family val="2"/>
      </rPr>
      <t xml:space="preserve">を最後にトークン未更新。</t>
    </r>
    <r>
      <rPr>
        <sz val="10"/>
        <rFont val="Arial"/>
        <family val="0"/>
        <charset val="1"/>
      </rPr>
      <t xml:space="preserve">09-14 </t>
    </r>
    <r>
      <rPr>
        <sz val="10"/>
        <rFont val="Noto Sans CJK SC"/>
        <family val="2"/>
      </rPr>
      <t xml:space="preserve">に </t>
    </r>
    <r>
      <rPr>
        <sz val="10"/>
        <rFont val="Arial"/>
        <family val="0"/>
        <charset val="1"/>
      </rPr>
      <t xml:space="preserve">enabled=false </t>
    </r>
    <r>
      <rPr>
        <sz val="10"/>
        <rFont val="Noto Sans CJK SC"/>
        <family val="2"/>
      </rPr>
      <t xml:space="preserve">となり </t>
    </r>
    <r>
      <rPr>
        <sz val="10"/>
        <rFont val="Arial"/>
        <family val="0"/>
        <charset val="1"/>
      </rPr>
      <t xml:space="preserve">8</t>
    </r>
    <r>
      <rPr>
        <sz val="10"/>
        <rFont val="Noto Sans CJK SC"/>
        <family val="2"/>
      </rPr>
      <t xml:space="preserve">日間 投稿ゼロ。</t>
    </r>
    <r>
      <rPr>
        <sz val="10"/>
        <rFont val="Arial"/>
        <family val="0"/>
        <charset val="1"/>
      </rPr>
      <t xml:space="preserve">09-17 </t>
    </r>
    <r>
      <rPr>
        <sz val="10"/>
        <rFont val="Noto Sans CJK SC"/>
        <family val="2"/>
      </rPr>
      <t xml:space="preserve">の指揮者も同じ依頼を出しており未対応。停止前の登録</t>
    </r>
    <r>
      <rPr>
        <sz val="10"/>
        <rFont val="Arial"/>
        <family val="0"/>
        <charset val="1"/>
      </rPr>
      <t xml:space="preserve">/</t>
    </r>
    <r>
      <rPr>
        <sz val="10"/>
        <rFont val="Noto Sans CJK SC"/>
        <family val="2"/>
      </rPr>
      <t xml:space="preserve">千は </t>
    </r>
    <r>
      <rPr>
        <sz val="10"/>
        <rFont val="Arial"/>
        <family val="0"/>
        <charset val="1"/>
      </rPr>
      <t xml:space="preserve">0.360 </t>
    </r>
    <r>
      <rPr>
        <sz val="10"/>
        <rFont val="Noto Sans CJK SC"/>
        <family val="2"/>
      </rPr>
      <t xml:space="preserve">で、復帰すれば日次の登録者獲得が戻る。</t>
    </r>
  </si>
  <si>
    <t xml:space="preserve">トレンド</t>
  </si>
  <si>
    <r>
      <rPr>
        <b val="true"/>
        <sz val="10"/>
        <rFont val="Noto Sans CJK SC"/>
        <family val="2"/>
      </rPr>
      <t xml:space="preserve">■ 維持率カーブ（</t>
    </r>
    <r>
      <rPr>
        <b val="true"/>
        <sz val="10"/>
        <rFont val="Arial"/>
        <family val="0"/>
        <charset val="1"/>
      </rPr>
      <t xml:space="preserve">audience_watch_ratio </t>
    </r>
    <r>
      <rPr>
        <b val="true"/>
        <sz val="10"/>
        <rFont val="Noto Sans CJK SC"/>
        <family val="2"/>
      </rPr>
      <t xml:space="preserve">の </t>
    </r>
    <r>
      <rPr>
        <b val="true"/>
        <sz val="10"/>
        <rFont val="Arial"/>
        <family val="0"/>
        <charset val="1"/>
      </rPr>
      <t xml:space="preserve">ch </t>
    </r>
    <r>
      <rPr>
        <b val="true"/>
        <sz val="10"/>
        <rFont val="Noto Sans CJK SC"/>
        <family val="2"/>
      </rPr>
      <t xml:space="preserve">平均）— 全</t>
    </r>
    <r>
      <rPr>
        <b val="true"/>
        <sz val="10"/>
        <rFont val="Arial"/>
        <family val="0"/>
        <charset val="1"/>
      </rPr>
      <t xml:space="preserve">ch</t>
    </r>
    <r>
      <rPr>
        <b val="true"/>
        <sz val="10"/>
        <rFont val="Noto Sans CJK SC"/>
        <family val="2"/>
      </rPr>
      <t xml:space="preserve">で </t>
    </r>
    <r>
      <rPr>
        <b val="true"/>
        <sz val="10"/>
        <rFont val="Arial"/>
        <family val="0"/>
        <charset val="1"/>
      </rPr>
      <t xml:space="preserve">15</t>
    </r>
    <r>
      <rPr>
        <b val="true"/>
        <sz val="10"/>
        <rFont val="Noto Sans CJK SC"/>
        <family val="2"/>
      </rPr>
      <t xml:space="preserve">〜</t>
    </r>
    <r>
      <rPr>
        <b val="true"/>
        <sz val="10"/>
        <rFont val="Arial"/>
        <family val="0"/>
        <charset val="1"/>
      </rPr>
      <t xml:space="preserve">25%</t>
    </r>
    <r>
      <rPr>
        <b val="true"/>
        <sz val="10"/>
        <rFont val="Noto Sans CJK SC"/>
        <family val="2"/>
      </rPr>
      <t xml:space="preserve">地点に同形の崖がある</t>
    </r>
  </si>
  <si>
    <t xml:space="preserve">0%</t>
  </si>
  <si>
    <t xml:space="preserve">5%</t>
  </si>
  <si>
    <t xml:space="preserve">10%</t>
  </si>
  <si>
    <t xml:space="preserve">15%</t>
  </si>
  <si>
    <t xml:space="preserve">20%</t>
  </si>
  <si>
    <t xml:space="preserve">25%</t>
  </si>
  <si>
    <t xml:space="preserve">30%</t>
  </si>
  <si>
    <t xml:space="preserve">40%</t>
  </si>
  <si>
    <t xml:space="preserve">50%</t>
  </si>
  <si>
    <t xml:space="preserve">60%</t>
  </si>
  <si>
    <t xml:space="preserve">70%</t>
  </si>
  <si>
    <t xml:space="preserve">80%</t>
  </si>
  <si>
    <t xml:space="preserve">90%</t>
  </si>
  <si>
    <t xml:space="preserve">100%</t>
  </si>
  <si>
    <r>
      <rPr>
        <b val="true"/>
        <sz val="10"/>
        <rFont val="Noto Sans CJK SC"/>
        <family val="2"/>
      </rPr>
      <t xml:space="preserve">■ 崖の深さ（</t>
    </r>
    <r>
      <rPr>
        <b val="true"/>
        <sz val="10"/>
        <rFont val="Arial"/>
        <family val="0"/>
        <charset val="1"/>
      </rPr>
      <t xml:space="preserve">10%</t>
    </r>
    <r>
      <rPr>
        <b val="true"/>
        <sz val="10"/>
        <rFont val="Noto Sans CJK SC"/>
        <family val="2"/>
      </rPr>
      <t xml:space="preserve">地点 − </t>
    </r>
    <r>
      <rPr>
        <b val="true"/>
        <sz val="10"/>
        <rFont val="Arial"/>
        <family val="0"/>
        <charset val="1"/>
      </rPr>
      <t xml:space="preserve">25%</t>
    </r>
    <r>
      <rPr>
        <b val="true"/>
        <sz val="10"/>
        <rFont val="Noto Sans CJK SC"/>
        <family val="2"/>
      </rPr>
      <t xml:space="preserve">地点）の推移：対策</t>
    </r>
    <r>
      <rPr>
        <b val="true"/>
        <sz val="10"/>
        <rFont val="Arial"/>
        <family val="0"/>
        <charset val="1"/>
      </rPr>
      <t xml:space="preserve">5</t>
    </r>
    <r>
      <rPr>
        <b val="true"/>
        <sz val="10"/>
        <rFont val="Noto Sans CJK SC"/>
        <family val="2"/>
      </rPr>
      <t xml:space="preserve">回の効果検証 → 全</t>
    </r>
    <r>
      <rPr>
        <b val="true"/>
        <sz val="10"/>
        <rFont val="Arial"/>
        <family val="0"/>
        <charset val="1"/>
      </rPr>
      <t xml:space="preserve">ch </t>
    </r>
    <r>
      <rPr>
        <b val="true"/>
        <sz val="10"/>
        <rFont val="Noto Sans CJK SC"/>
        <family val="2"/>
      </rPr>
      <t xml:space="preserve">改善なし</t>
    </r>
  </si>
  <si>
    <r>
      <rPr>
        <b val="true"/>
        <sz val="10"/>
        <color rgb="FFFFFFFF"/>
        <rFont val="Noto Sans CJK SC"/>
        <family val="2"/>
      </rPr>
      <t xml:space="preserve">①〜</t>
    </r>
    <r>
      <rPr>
        <b val="true"/>
        <sz val="10"/>
        <color rgb="FFFFFFFF"/>
        <rFont val="Arial"/>
        <family val="0"/>
        <charset val="1"/>
      </rPr>
      <t xml:space="preserve">09-06</t>
    </r>
  </si>
  <si>
    <r>
      <rPr>
        <b val="true"/>
        <sz val="10"/>
        <color rgb="FFFFFFFF"/>
        <rFont val="Arial"/>
        <family val="0"/>
        <charset val="1"/>
      </rPr>
      <t xml:space="preserve">②09-07</t>
    </r>
    <r>
      <rPr>
        <b val="true"/>
        <sz val="10"/>
        <color rgb="FFFFFFFF"/>
        <rFont val="Noto Sans CJK SC"/>
        <family val="2"/>
      </rPr>
      <t xml:space="preserve">〜</t>
    </r>
    <r>
      <rPr>
        <b val="true"/>
        <sz val="10"/>
        <color rgb="FFFFFFFF"/>
        <rFont val="Arial"/>
        <family val="0"/>
        <charset val="1"/>
      </rPr>
      <t xml:space="preserve">09-11</t>
    </r>
  </si>
  <si>
    <r>
      <rPr>
        <b val="true"/>
        <sz val="10"/>
        <color rgb="FFFFFFFF"/>
        <rFont val="Arial"/>
        <family val="0"/>
        <charset val="1"/>
      </rPr>
      <t xml:space="preserve">③09-12</t>
    </r>
    <r>
      <rPr>
        <b val="true"/>
        <sz val="10"/>
        <color rgb="FFFFFFFF"/>
        <rFont val="Noto Sans CJK SC"/>
        <family val="2"/>
      </rPr>
      <t xml:space="preserve">〜</t>
    </r>
  </si>
  <si>
    <t xml:space="preserve">判定</t>
  </si>
  <si>
    <t xml:space="preserve">0.452 (n=76)</t>
  </si>
  <si>
    <t xml:space="preserve">0.433 (n=6)</t>
  </si>
  <si>
    <t xml:space="preserve">0.450 (n=5)</t>
  </si>
  <si>
    <t xml:space="preserve">改善なし</t>
  </si>
  <si>
    <t xml:space="preserve">0.403 (n=40)</t>
  </si>
  <si>
    <t xml:space="preserve">0.375 (n=3)</t>
  </si>
  <si>
    <t xml:space="preserve">0.451 (n=3)</t>
  </si>
  <si>
    <t xml:space="preserve">0.407 (n=36)</t>
  </si>
  <si>
    <t xml:space="preserve">0.384 (n=5)</t>
  </si>
  <si>
    <t xml:space="preserve">0.395 (n=11)</t>
  </si>
  <si>
    <t xml:space="preserve">0.490 (n=3)</t>
  </si>
  <si>
    <t xml:space="preserve">悪化</t>
  </si>
  <si>
    <t xml:space="preserve">0.438 (n=22)</t>
  </si>
  <si>
    <t xml:space="preserve">0.514 (n=5)</t>
  </si>
  <si>
    <r>
      <rPr>
        <b val="true"/>
        <sz val="10"/>
        <rFont val="Noto Sans CJK SC"/>
        <family val="2"/>
      </rPr>
      <t xml:space="preserve">■ 尺 → 登録</t>
    </r>
    <r>
      <rPr>
        <b val="true"/>
        <sz val="10"/>
        <rFont val="Arial"/>
        <family val="0"/>
        <charset val="1"/>
      </rPr>
      <t xml:space="preserve">/</t>
    </r>
    <r>
      <rPr>
        <b val="true"/>
        <sz val="10"/>
        <rFont val="Noto Sans CJK SC"/>
        <family val="2"/>
      </rPr>
      <t xml:space="preserve">千再生（成熟コホート・</t>
    </r>
    <r>
      <rPr>
        <b val="true"/>
        <sz val="10"/>
        <rFont val="Arial"/>
        <family val="0"/>
        <charset val="1"/>
      </rPr>
      <t xml:space="preserve">ch</t>
    </r>
    <r>
      <rPr>
        <b val="true"/>
        <sz val="10"/>
        <rFont val="Noto Sans CJK SC"/>
        <family val="2"/>
      </rPr>
      <t xml:space="preserve">内対照）</t>
    </r>
  </si>
  <si>
    <r>
      <rPr>
        <b val="true"/>
        <sz val="10"/>
        <color rgb="FFFFFFFF"/>
        <rFont val="Arial"/>
        <family val="0"/>
        <charset val="1"/>
      </rPr>
      <t xml:space="preserve">&lt;33</t>
    </r>
    <r>
      <rPr>
        <b val="true"/>
        <sz val="10"/>
        <color rgb="FFFFFFFF"/>
        <rFont val="Noto Sans CJK SC"/>
        <family val="2"/>
      </rPr>
      <t xml:space="preserve">秒 </t>
    </r>
    <r>
      <rPr>
        <b val="true"/>
        <sz val="10"/>
        <color rgb="FFFFFFFF"/>
        <rFont val="Arial"/>
        <family val="0"/>
        <charset val="1"/>
      </rPr>
      <t xml:space="preserve">n</t>
    </r>
  </si>
  <si>
    <r>
      <rPr>
        <b val="true"/>
        <sz val="10"/>
        <color rgb="FFFFFFFF"/>
        <rFont val="Arial"/>
        <family val="0"/>
        <charset val="1"/>
      </rPr>
      <t xml:space="preserve">&lt;33</t>
    </r>
    <r>
      <rPr>
        <b val="true"/>
        <sz val="10"/>
        <color rgb="FFFFFFFF"/>
        <rFont val="Noto Sans CJK SC"/>
        <family val="2"/>
      </rPr>
      <t xml:space="preserve">秒 登録</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</si>
  <si>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Arial"/>
        <family val="0"/>
        <charset val="1"/>
      </rPr>
      <t xml:space="preserve">&gt;=33</t>
    </r>
    <r>
      <rPr>
        <b val="true"/>
        <sz val="10"/>
        <color rgb="FFFFFFFF"/>
        <rFont val="Noto Sans CJK SC"/>
        <family val="2"/>
      </rPr>
      <t xml:space="preserve">秒 </t>
    </r>
    <r>
      <rPr>
        <b val="true"/>
        <sz val="10"/>
        <color rgb="FFFFFFFF"/>
        <rFont val="Arial"/>
        <family val="0"/>
        <charset val="1"/>
      </rPr>
      <t xml:space="preserve">n</t>
    </r>
  </si>
  <si>
    <r>
      <rPr>
        <b val="true"/>
        <sz val="10"/>
        <color rgb="FFFFFFFF"/>
        <rFont val="Arial"/>
        <family val="0"/>
        <charset val="1"/>
      </rPr>
      <t xml:space="preserve">&gt;=33</t>
    </r>
    <r>
      <rPr>
        <b val="true"/>
        <sz val="10"/>
        <color rgb="FFFFFFFF"/>
        <rFont val="Noto Sans CJK SC"/>
        <family val="2"/>
      </rPr>
      <t xml:space="preserve">秒 登録</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</si>
  <si>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Noto Sans CJK SC"/>
        <family val="2"/>
      </rPr>
      <t xml:space="preserve">短</t>
    </r>
    <r>
      <rPr>
        <b val="true"/>
        <sz val="10"/>
        <color rgb="FFFFFFFF"/>
        <rFont val="Arial"/>
        <family val="0"/>
        <charset val="1"/>
      </rPr>
      <t xml:space="preserve">/</t>
    </r>
    <r>
      <rPr>
        <b val="true"/>
        <sz val="10"/>
        <color rgb="FFFFFFFF"/>
        <rFont val="Noto Sans CJK SC"/>
        <family val="2"/>
      </rPr>
      <t xml:space="preserve">長 倍率</t>
    </r>
  </si>
  <si>
    <t xml:space="preserve">短尺を採用</t>
  </si>
  <si>
    <t xml:space="preserve">短尺を採用（微）</t>
  </si>
  <si>
    <t xml:space="preserve">据え置き（枠縮小で対応）</t>
  </si>
</sst>
</file>

<file path=xl/styles.xml><?xml version="1.0" encoding="utf-8"?>
<styleSheet xmlns="http://schemas.openxmlformats.org/spreadsheetml/2006/main">
  <numFmts count="6">
    <numFmt numFmtId="164" formatCode="General"/>
    <numFmt numFmtId="165" formatCode="0"/>
    <numFmt numFmtId="166" formatCode="0.000"/>
    <numFmt numFmtId="167" formatCode="0.0"/>
    <numFmt numFmtId="168" formatCode="#,##0"/>
    <numFmt numFmtId="169" formatCode="0.00"/>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6"/>
      <name val="Noto Sans CJK SC"/>
      <family val="2"/>
    </font>
    <font>
      <sz val="9"/>
      <color rgb="FF555555"/>
      <name val="Noto Sans CJK SC"/>
      <family val="2"/>
    </font>
    <font>
      <sz val="9"/>
      <color rgb="FF555555"/>
      <name val="Arial"/>
      <family val="0"/>
      <charset val="1"/>
    </font>
    <font>
      <b val="true"/>
      <sz val="14"/>
      <name val="Noto Sans CJK SC"/>
      <family val="2"/>
    </font>
    <font>
      <b val="true"/>
      <sz val="10"/>
      <name val="Noto Sans CJK SC"/>
      <family val="2"/>
    </font>
    <font>
      <sz val="10"/>
      <name val="Noto Sans CJK SC"/>
      <family val="2"/>
    </font>
    <font>
      <sz val="10"/>
      <name val="Arial"/>
      <family val="0"/>
      <charset val="1"/>
    </font>
    <font>
      <b val="true"/>
      <sz val="14"/>
      <name val="Arial"/>
      <family val="0"/>
      <charset val="1"/>
    </font>
    <font>
      <b val="true"/>
      <sz val="10"/>
      <color rgb="FFFFFFFF"/>
      <name val="Noto Sans CJK SC"/>
      <family val="2"/>
    </font>
    <font>
      <b val="true"/>
      <sz val="10"/>
      <color rgb="FFFFFFFF"/>
      <name val="Arial"/>
      <family val="0"/>
      <charset val="1"/>
    </font>
    <font>
      <b val="true"/>
      <sz val="10"/>
      <name val="Arial"/>
      <family val="0"/>
      <charset val="1"/>
    </font>
  </fonts>
  <fills count="7">
    <fill>
      <patternFill patternType="none"/>
    </fill>
    <fill>
      <patternFill patternType="gray125"/>
    </fill>
    <fill>
      <patternFill patternType="solid">
        <fgColor rgb="FF2F5597"/>
        <bgColor rgb="FF555555"/>
      </patternFill>
    </fill>
    <fill>
      <patternFill patternType="solid">
        <fgColor rgb="FFE2EFDA"/>
        <bgColor rgb="FFF2F5FA"/>
      </patternFill>
    </fill>
    <fill>
      <patternFill patternType="solid">
        <fgColor rgb="FFFFF2CC"/>
        <bgColor rgb="FFFCE4E4"/>
      </patternFill>
    </fill>
    <fill>
      <patternFill patternType="solid">
        <fgColor rgb="FFFCE4E4"/>
        <bgColor rgb="FFFFF2CC"/>
      </patternFill>
    </fill>
    <fill>
      <patternFill patternType="solid">
        <fgColor rgb="FFF2F5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false" applyProtection="false">
      <alignment horizontal="general" vertical="bottom" textRotation="0" wrapText="false" indent="0" shrinkToFit="false"/>
      <protection locked="true" hidden="false"/>
    </xf>
    <xf numFmtId="166" fontId="11" fillId="5" borderId="1" xfId="0" applyFont="true" applyBorder="true" applyAlignment="false" applyProtection="false">
      <alignment horizontal="general" vertical="bottom" textRotation="0" wrapText="false" indent="0" shrinkToFit="false"/>
      <protection locked="true" hidden="false"/>
    </xf>
    <xf numFmtId="167" fontId="11"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8" fontId="11" fillId="6" borderId="1" xfId="0" applyFont="true" applyBorder="true" applyAlignment="false" applyProtection="false">
      <alignment horizontal="general" vertical="bottom" textRotation="0" wrapText="false" indent="0" shrinkToFit="false"/>
      <protection locked="true" hidden="false"/>
    </xf>
    <xf numFmtId="167" fontId="11" fillId="6"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5" fontId="11"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5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13"/>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30"/>
  </cols>
  <sheetData>
    <row r="1" customFormat="false" ht="23.8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7.35" hidden="false" customHeight="false" outlineLevel="0" collapsed="false">
      <c r="A5" s="4" t="s">
        <v>3</v>
      </c>
    </row>
    <row r="6" customFormat="false" ht="25.5" hidden="false" customHeight="true" outlineLevel="0" collapsed="false">
      <c r="A6" s="5" t="s">
        <v>4</v>
      </c>
      <c r="B6" s="6" t="s">
        <v>5</v>
      </c>
    </row>
    <row r="7" customFormat="false" ht="25.5" hidden="false" customHeight="true" outlineLevel="0" collapsed="false">
      <c r="A7" s="5"/>
      <c r="B7" s="6" t="s">
        <v>6</v>
      </c>
    </row>
    <row r="8" customFormat="false" ht="25.5" hidden="false" customHeight="true" outlineLevel="0" collapsed="false">
      <c r="A8" s="5"/>
      <c r="B8" s="6" t="s">
        <v>7</v>
      </c>
    </row>
    <row r="9" customFormat="false" ht="25.5" hidden="false" customHeight="true" outlineLevel="0" collapsed="false">
      <c r="A9" s="5"/>
      <c r="B9" s="6" t="s">
        <v>8</v>
      </c>
    </row>
    <row r="10" customFormat="false" ht="25.5" hidden="false" customHeight="true" outlineLevel="0" collapsed="false">
      <c r="A10" s="5" t="s">
        <v>9</v>
      </c>
      <c r="B10" s="6" t="s">
        <v>10</v>
      </c>
    </row>
    <row r="11" customFormat="false" ht="25.5" hidden="false" customHeight="true" outlineLevel="0" collapsed="false">
      <c r="A11" s="5"/>
      <c r="B11" s="6" t="s">
        <v>11</v>
      </c>
    </row>
    <row r="12" customFormat="false" ht="25.5" hidden="false" customHeight="true" outlineLevel="0" collapsed="false">
      <c r="A12" s="5" t="s">
        <v>12</v>
      </c>
      <c r="B12" s="6" t="s">
        <v>13</v>
      </c>
    </row>
    <row r="13" customFormat="false" ht="25.5" hidden="false" customHeight="true" outlineLevel="0" collapsed="false">
      <c r="A13" s="5"/>
      <c r="B13" s="7" t="s">
        <v>14</v>
      </c>
    </row>
    <row r="15" customFormat="false" ht="21.6" hidden="false" customHeight="false" outlineLevel="0" collapsed="false">
      <c r="A15" s="4" t="s">
        <v>15</v>
      </c>
    </row>
    <row r="16" customFormat="false" ht="15" hidden="false" customHeight="false" outlineLevel="0" collapsed="false">
      <c r="A16" s="8" t="s">
        <v>16</v>
      </c>
      <c r="B16" s="8" t="s">
        <v>17</v>
      </c>
      <c r="C16" s="8" t="s">
        <v>18</v>
      </c>
      <c r="D16" s="8" t="s">
        <v>19</v>
      </c>
      <c r="E16" s="8" t="s">
        <v>20</v>
      </c>
      <c r="F16" s="8" t="s">
        <v>21</v>
      </c>
      <c r="G16" s="8" t="s">
        <v>22</v>
      </c>
    </row>
    <row r="17" customFormat="false" ht="15" hidden="false" customHeight="false" outlineLevel="0" collapsed="false">
      <c r="A17" s="9" t="s">
        <v>23</v>
      </c>
      <c r="B17" s="10" t="n">
        <v>32</v>
      </c>
      <c r="C17" s="11" t="n">
        <v>0.69</v>
      </c>
      <c r="D17" s="11" t="n">
        <v>0.763</v>
      </c>
      <c r="E17" s="12" t="n">
        <v>49.1</v>
      </c>
      <c r="F17" s="12" t="n">
        <v>34.7</v>
      </c>
      <c r="G17" s="13" t="s">
        <v>24</v>
      </c>
    </row>
    <row r="18" customFormat="false" ht="15" hidden="false" customHeight="false" outlineLevel="0" collapsed="false">
      <c r="A18" s="14" t="s">
        <v>25</v>
      </c>
      <c r="B18" s="15" t="n">
        <v>32</v>
      </c>
      <c r="C18" s="16" t="n">
        <v>0.862</v>
      </c>
      <c r="D18" s="16" t="n">
        <v>0.42</v>
      </c>
      <c r="E18" s="17" t="n">
        <v>41.9</v>
      </c>
      <c r="F18" s="17" t="n">
        <v>32.6</v>
      </c>
      <c r="G18" s="18" t="s">
        <v>26</v>
      </c>
    </row>
    <row r="19" customFormat="false" ht="15" hidden="false" customHeight="false" outlineLevel="0" collapsed="false">
      <c r="A19" s="9" t="s">
        <v>27</v>
      </c>
      <c r="B19" s="10" t="n">
        <v>27</v>
      </c>
      <c r="C19" s="11" t="n">
        <v>0.849</v>
      </c>
      <c r="D19" s="11" t="n">
        <v>0.63</v>
      </c>
      <c r="E19" s="12" t="n">
        <v>47.3</v>
      </c>
      <c r="F19" s="12" t="n">
        <v>33.7</v>
      </c>
      <c r="G19" s="13" t="s">
        <v>28</v>
      </c>
    </row>
    <row r="20" customFormat="false" ht="15" hidden="false" customHeight="false" outlineLevel="0" collapsed="false">
      <c r="A20" s="19" t="s">
        <v>29</v>
      </c>
      <c r="B20" s="20" t="n">
        <v>31</v>
      </c>
      <c r="C20" s="21" t="n">
        <v>0.607</v>
      </c>
      <c r="D20" s="21" t="n">
        <v>0.328</v>
      </c>
      <c r="E20" s="22" t="n">
        <v>61.6</v>
      </c>
      <c r="F20" s="22" t="n">
        <v>42.5</v>
      </c>
      <c r="G20" s="23" t="s">
        <v>30</v>
      </c>
    </row>
    <row r="21" customFormat="false" ht="15" hidden="false" customHeight="false" outlineLevel="0" collapsed="false">
      <c r="A21" s="24" t="s">
        <v>31</v>
      </c>
      <c r="B21" s="25" t="n">
        <v>36</v>
      </c>
      <c r="C21" s="26" t="n">
        <v>0.189</v>
      </c>
      <c r="D21" s="26" t="n">
        <v>0.215</v>
      </c>
      <c r="E21" s="27" t="n">
        <v>40.5</v>
      </c>
      <c r="F21" s="27" t="n">
        <v>32.5</v>
      </c>
      <c r="G21" s="28" t="s">
        <v>32</v>
      </c>
    </row>
    <row r="22" customFormat="false" ht="15" hidden="false" customHeight="false" outlineLevel="0" collapsed="false">
      <c r="A22" s="24" t="s">
        <v>33</v>
      </c>
      <c r="B22" s="25" t="n">
        <v>0</v>
      </c>
      <c r="C22" s="26"/>
      <c r="D22" s="26"/>
      <c r="E22" s="27"/>
      <c r="F22" s="27"/>
      <c r="G22" s="28" t="s">
        <v>34</v>
      </c>
    </row>
    <row r="23" customFormat="false" ht="15" hidden="false" customHeight="false" outlineLevel="0" collapsed="false">
      <c r="A23" s="14" t="s">
        <v>35</v>
      </c>
      <c r="B23" s="15" t="n">
        <v>0</v>
      </c>
      <c r="C23" s="16"/>
      <c r="D23" s="16"/>
      <c r="E23" s="17"/>
      <c r="F23" s="17"/>
      <c r="G23" s="18" t="s">
        <v>36</v>
      </c>
    </row>
    <row r="24" customFormat="false" ht="15" hidden="false" customHeight="false" outlineLevel="0" collapsed="false">
      <c r="A24" s="5" t="s">
        <v>37</v>
      </c>
      <c r="B24" s="29" t="n">
        <f aca="false">SUM(B17:B23)</f>
        <v>158</v>
      </c>
      <c r="C24" s="30" t="n">
        <f aca="false">IFERROR(SUMPRODUCT(C17:C23,B17:B23)/SUM(B17:B23),0)</f>
        <v>0.621569620253165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9" min="3" style="0" width="11"/>
    <col collapsed="false" customWidth="true" hidden="false" outlineLevel="0" max="10" min="10" style="0" width="12"/>
    <col collapsed="false" customWidth="true" hidden="false" outlineLevel="0" max="11" min="11" style="0" width="11"/>
    <col collapsed="false" customWidth="true" hidden="false" outlineLevel="0" max="12" min="12" style="0" width="10"/>
    <col collapsed="false" customWidth="true" hidden="false" outlineLevel="0" max="13" min="13" style="0" width="11"/>
  </cols>
  <sheetData>
    <row r="1" customFormat="false" ht="21.6" hidden="false" customHeight="false" outlineLevel="0" collapsed="false">
      <c r="A1" s="4" t="s">
        <v>38</v>
      </c>
    </row>
    <row r="3" customFormat="false" ht="29.85" hidden="false" customHeight="false" outlineLevel="0" collapsed="false">
      <c r="A3" s="8" t="s">
        <v>16</v>
      </c>
      <c r="B3" s="8" t="s">
        <v>17</v>
      </c>
      <c r="C3" s="8" t="s">
        <v>39</v>
      </c>
      <c r="D3" s="8" t="s">
        <v>40</v>
      </c>
      <c r="E3" s="8" t="s">
        <v>41</v>
      </c>
      <c r="F3" s="8" t="s">
        <v>42</v>
      </c>
      <c r="G3" s="8" t="s">
        <v>43</v>
      </c>
      <c r="H3" s="8" t="s">
        <v>44</v>
      </c>
      <c r="I3" s="8" t="s">
        <v>20</v>
      </c>
      <c r="J3" s="8" t="s">
        <v>18</v>
      </c>
      <c r="K3" s="8" t="s">
        <v>19</v>
      </c>
      <c r="L3" s="8" t="s">
        <v>45</v>
      </c>
      <c r="M3" s="31" t="s">
        <v>46</v>
      </c>
    </row>
    <row r="4" customFormat="false" ht="15" hidden="false" customHeight="false" outlineLevel="0" collapsed="false">
      <c r="A4" s="14" t="s">
        <v>23</v>
      </c>
      <c r="B4" s="15" t="n">
        <v>50</v>
      </c>
      <c r="C4" s="32" t="n">
        <v>36773</v>
      </c>
      <c r="D4" s="32" t="n">
        <v>2348</v>
      </c>
      <c r="E4" s="33" t="n">
        <v>0.57</v>
      </c>
      <c r="F4" s="32" t="n">
        <v>291</v>
      </c>
      <c r="G4" s="32" t="n">
        <v>3</v>
      </c>
      <c r="H4" s="32" t="n">
        <v>24</v>
      </c>
      <c r="I4" s="17" t="n">
        <v>39.1</v>
      </c>
      <c r="J4" s="16" t="n">
        <v>0.653</v>
      </c>
      <c r="K4" s="16" t="n">
        <v>0.791</v>
      </c>
      <c r="L4" s="15" t="n">
        <v>3</v>
      </c>
      <c r="M4" s="18" t="s">
        <v>47</v>
      </c>
    </row>
    <row r="5" customFormat="false" ht="15" hidden="false" customHeight="false" outlineLevel="0" collapsed="false">
      <c r="A5" s="14" t="s">
        <v>25</v>
      </c>
      <c r="B5" s="15" t="n">
        <v>50</v>
      </c>
      <c r="C5" s="32" t="n">
        <v>32823</v>
      </c>
      <c r="D5" s="32" t="n">
        <v>20947</v>
      </c>
      <c r="E5" s="33" t="n">
        <v>1.09</v>
      </c>
      <c r="F5" s="32" t="n">
        <v>142</v>
      </c>
      <c r="G5" s="32" t="n">
        <v>1</v>
      </c>
      <c r="H5" s="32" t="n">
        <v>26</v>
      </c>
      <c r="I5" s="17" t="n">
        <v>33.6</v>
      </c>
      <c r="J5" s="16" t="n">
        <v>0.792</v>
      </c>
      <c r="K5" s="16" t="n">
        <v>0.433</v>
      </c>
      <c r="L5" s="15" t="n">
        <v>3</v>
      </c>
      <c r="M5" s="18" t="s">
        <v>47</v>
      </c>
    </row>
    <row r="6" customFormat="false" ht="15" hidden="false" customHeight="false" outlineLevel="0" collapsed="false">
      <c r="A6" s="14" t="s">
        <v>27</v>
      </c>
      <c r="B6" s="15" t="n">
        <v>50</v>
      </c>
      <c r="C6" s="32" t="n">
        <v>26406</v>
      </c>
      <c r="D6" s="32" t="n">
        <v>6216</v>
      </c>
      <c r="E6" s="33" t="n">
        <v>1.02</v>
      </c>
      <c r="F6" s="32" t="n">
        <v>149</v>
      </c>
      <c r="G6" s="32" t="n">
        <v>1</v>
      </c>
      <c r="H6" s="32" t="n">
        <v>19</v>
      </c>
      <c r="I6" s="17" t="n">
        <v>42.2</v>
      </c>
      <c r="J6" s="16" t="n">
        <v>0.72</v>
      </c>
      <c r="K6" s="16" t="n">
        <v>0.564</v>
      </c>
      <c r="L6" s="15" t="n">
        <v>3</v>
      </c>
      <c r="M6" s="18" t="s">
        <v>47</v>
      </c>
    </row>
    <row r="7" customFormat="false" ht="15" hidden="false" customHeight="false" outlineLevel="0" collapsed="false">
      <c r="A7" s="14" t="s">
        <v>29</v>
      </c>
      <c r="B7" s="15" t="n">
        <v>50</v>
      </c>
      <c r="C7" s="32" t="n">
        <v>50188</v>
      </c>
      <c r="D7" s="32" t="n">
        <v>8233</v>
      </c>
      <c r="E7" s="33" t="n">
        <v>2.06</v>
      </c>
      <c r="F7" s="32" t="n">
        <v>158</v>
      </c>
      <c r="G7" s="32" t="n">
        <v>6</v>
      </c>
      <c r="H7" s="32" t="n">
        <v>28</v>
      </c>
      <c r="I7" s="17" t="n">
        <v>47.5</v>
      </c>
      <c r="J7" s="16" t="n">
        <v>0.558</v>
      </c>
      <c r="K7" s="16" t="n">
        <v>0.315</v>
      </c>
      <c r="L7" s="15" t="n">
        <v>4</v>
      </c>
      <c r="M7" s="18" t="s">
        <v>47</v>
      </c>
    </row>
    <row r="8" customFormat="false" ht="15" hidden="false" customHeight="false" outlineLevel="0" collapsed="false">
      <c r="A8" s="14" t="s">
        <v>31</v>
      </c>
      <c r="B8" s="15" t="n">
        <v>50</v>
      </c>
      <c r="C8" s="32" t="n">
        <v>31916</v>
      </c>
      <c r="D8" s="32" t="n">
        <v>1893</v>
      </c>
      <c r="E8" s="33" t="n">
        <v>1.6</v>
      </c>
      <c r="F8" s="32" t="n">
        <v>67</v>
      </c>
      <c r="G8" s="32" t="n">
        <v>5</v>
      </c>
      <c r="H8" s="32" t="n">
        <v>6</v>
      </c>
      <c r="I8" s="17" t="n">
        <v>38.2</v>
      </c>
      <c r="J8" s="16" t="n">
        <v>0.188</v>
      </c>
      <c r="K8" s="16" t="n">
        <v>0.21</v>
      </c>
      <c r="L8" s="15" t="n">
        <v>1</v>
      </c>
      <c r="M8" s="18" t="s">
        <v>47</v>
      </c>
    </row>
    <row r="9" customFormat="false" ht="15" hidden="false" customHeight="false" outlineLevel="0" collapsed="false">
      <c r="A9" s="24" t="s">
        <v>33</v>
      </c>
      <c r="B9" s="28" t="n">
        <v>0</v>
      </c>
      <c r="C9" s="28" t="n">
        <v>0</v>
      </c>
      <c r="D9" s="28" t="n">
        <v>0</v>
      </c>
      <c r="E9" s="28"/>
      <c r="F9" s="28" t="n">
        <v>0</v>
      </c>
      <c r="G9" s="28" t="n">
        <v>0</v>
      </c>
      <c r="H9" s="28" t="n">
        <v>0</v>
      </c>
      <c r="I9" s="28"/>
      <c r="J9" s="28"/>
      <c r="K9" s="28"/>
      <c r="L9" s="28" t="n">
        <v>3</v>
      </c>
      <c r="M9" s="28" t="s">
        <v>48</v>
      </c>
    </row>
    <row r="10" customFormat="false" ht="15" hidden="false" customHeight="false" outlineLevel="0" collapsed="false">
      <c r="A10" s="14" t="s">
        <v>35</v>
      </c>
      <c r="B10" s="15" t="n">
        <v>6</v>
      </c>
      <c r="C10" s="32" t="n">
        <v>1473</v>
      </c>
      <c r="D10" s="32" t="n">
        <v>8</v>
      </c>
      <c r="E10" s="33" t="n">
        <v>0</v>
      </c>
      <c r="F10" s="32" t="n">
        <v>2</v>
      </c>
      <c r="G10" s="32" t="n">
        <v>0</v>
      </c>
      <c r="H10" s="32" t="n">
        <v>0</v>
      </c>
      <c r="I10" s="17" t="n">
        <v>12</v>
      </c>
      <c r="J10" s="16" t="n">
        <v>0</v>
      </c>
      <c r="K10" s="16" t="n">
        <v>0.136</v>
      </c>
      <c r="L10" s="15" t="n">
        <v>2</v>
      </c>
      <c r="M10" s="18" t="s">
        <v>47</v>
      </c>
    </row>
    <row r="13" customFormat="false" ht="15" hidden="false" customHeight="false" outlineLevel="0" collapsed="false">
      <c r="A13" s="5" t="s">
        <v>49</v>
      </c>
    </row>
    <row r="14" customFormat="false" ht="15" hidden="false" customHeight="false" outlineLevel="0" collapsed="false">
      <c r="A14" s="8" t="s">
        <v>16</v>
      </c>
      <c r="B14" s="8" t="s">
        <v>50</v>
      </c>
      <c r="C14" s="31" t="s">
        <v>51</v>
      </c>
      <c r="D14" s="31" t="s">
        <v>52</v>
      </c>
      <c r="E14" s="31" t="s">
        <v>53</v>
      </c>
      <c r="F14" s="31" t="s">
        <v>54</v>
      </c>
      <c r="G14" s="31" t="s">
        <v>55</v>
      </c>
      <c r="H14" s="31" t="s">
        <v>56</v>
      </c>
      <c r="I14" s="31" t="s">
        <v>57</v>
      </c>
    </row>
    <row r="15" customFormat="false" ht="15" hidden="false" customHeight="false" outlineLevel="0" collapsed="false">
      <c r="A15" s="14" t="s">
        <v>23</v>
      </c>
      <c r="B15" s="18" t="s">
        <v>58</v>
      </c>
      <c r="C15" s="32" t="n">
        <v>366</v>
      </c>
      <c r="D15" s="32" t="n">
        <v>1021</v>
      </c>
      <c r="E15" s="32" t="n">
        <v>833</v>
      </c>
      <c r="F15" s="32" t="n">
        <v>1009</v>
      </c>
      <c r="G15" s="32" t="n">
        <v>862.5</v>
      </c>
      <c r="H15" s="32" t="n">
        <v>879</v>
      </c>
      <c r="I15" s="32" t="n">
        <v>982.5</v>
      </c>
    </row>
    <row r="16" customFormat="false" ht="15" hidden="false" customHeight="false" outlineLevel="0" collapsed="false">
      <c r="A16" s="14" t="s">
        <v>23</v>
      </c>
      <c r="B16" s="18" t="s">
        <v>59</v>
      </c>
      <c r="C16" s="33" t="n">
        <v>0.383</v>
      </c>
      <c r="D16" s="33" t="n">
        <v>0.315</v>
      </c>
      <c r="E16" s="33" t="n">
        <v>0.348</v>
      </c>
      <c r="F16" s="33" t="n">
        <v>0.441</v>
      </c>
      <c r="G16" s="33" t="n">
        <v>0.629</v>
      </c>
      <c r="H16" s="33" t="n">
        <v>0.796</v>
      </c>
      <c r="I16" s="33" t="n">
        <v>1.11</v>
      </c>
    </row>
    <row r="17" customFormat="false" ht="15" hidden="false" customHeight="false" outlineLevel="0" collapsed="false">
      <c r="A17" s="14" t="s">
        <v>23</v>
      </c>
      <c r="B17" s="18" t="s">
        <v>60</v>
      </c>
      <c r="C17" s="33" t="n">
        <v>0</v>
      </c>
      <c r="D17" s="33" t="n">
        <v>0.603</v>
      </c>
      <c r="E17" s="33" t="n">
        <v>0.151</v>
      </c>
      <c r="F17" s="33" t="n">
        <v>0.389</v>
      </c>
      <c r="G17" s="33" t="n">
        <v>0.605</v>
      </c>
      <c r="H17" s="33" t="n">
        <v>0.937</v>
      </c>
      <c r="I17" s="33" t="n">
        <v>0.864</v>
      </c>
    </row>
    <row r="18" customFormat="false" ht="15" hidden="false" customHeight="false" outlineLevel="0" collapsed="false">
      <c r="A18" s="14" t="s">
        <v>25</v>
      </c>
      <c r="B18" s="18" t="s">
        <v>58</v>
      </c>
      <c r="C18" s="32" t="n">
        <v>947</v>
      </c>
      <c r="D18" s="32" t="n">
        <v>806.5</v>
      </c>
      <c r="E18" s="32" t="n">
        <v>958</v>
      </c>
      <c r="F18" s="32" t="n">
        <v>637</v>
      </c>
      <c r="G18" s="32" t="n">
        <v>960</v>
      </c>
      <c r="H18" s="32" t="n">
        <v>904</v>
      </c>
      <c r="I18" s="32" t="n">
        <v>901</v>
      </c>
    </row>
    <row r="19" customFormat="false" ht="15" hidden="false" customHeight="false" outlineLevel="0" collapsed="false">
      <c r="A19" s="14" t="s">
        <v>25</v>
      </c>
      <c r="B19" s="18" t="s">
        <v>59</v>
      </c>
      <c r="C19" s="33" t="n">
        <v>0.351</v>
      </c>
      <c r="D19" s="33" t="n">
        <v>0.474</v>
      </c>
      <c r="E19" s="33" t="n">
        <v>0.275</v>
      </c>
      <c r="F19" s="33" t="n">
        <v>0.559</v>
      </c>
      <c r="G19" s="33" t="n">
        <v>0.352</v>
      </c>
      <c r="H19" s="33" t="n">
        <v>0.491</v>
      </c>
      <c r="I19" s="33" t="n">
        <v>0.465</v>
      </c>
    </row>
    <row r="20" customFormat="false" ht="15" hidden="false" customHeight="false" outlineLevel="0" collapsed="false">
      <c r="A20" s="14" t="s">
        <v>25</v>
      </c>
      <c r="B20" s="18" t="s">
        <v>60</v>
      </c>
      <c r="C20" s="33" t="n">
        <v>0.878</v>
      </c>
      <c r="D20" s="33" t="n">
        <v>0.593</v>
      </c>
      <c r="E20" s="33" t="n">
        <v>0.516</v>
      </c>
      <c r="F20" s="33" t="n">
        <v>0.658</v>
      </c>
      <c r="G20" s="33" t="n">
        <v>0.671</v>
      </c>
      <c r="H20" s="33" t="n">
        <v>1.228</v>
      </c>
      <c r="I20" s="33" t="n">
        <v>0.894</v>
      </c>
    </row>
    <row r="21" customFormat="false" ht="15" hidden="false" customHeight="false" outlineLevel="0" collapsed="false">
      <c r="A21" s="14" t="s">
        <v>27</v>
      </c>
      <c r="B21" s="18" t="s">
        <v>58</v>
      </c>
      <c r="C21" s="32" t="n">
        <v>1159</v>
      </c>
      <c r="D21" s="32" t="n">
        <v>1487</v>
      </c>
      <c r="E21" s="32" t="n">
        <v>1813</v>
      </c>
      <c r="F21" s="32" t="n">
        <v>503.5</v>
      </c>
      <c r="G21" s="32" t="n">
        <v>662</v>
      </c>
      <c r="H21" s="32" t="n">
        <v>968</v>
      </c>
      <c r="I21" s="32" t="n">
        <v>863</v>
      </c>
    </row>
    <row r="22" customFormat="false" ht="15" hidden="false" customHeight="false" outlineLevel="0" collapsed="false">
      <c r="A22" s="14" t="s">
        <v>27</v>
      </c>
      <c r="B22" s="18" t="s">
        <v>59</v>
      </c>
      <c r="C22" s="33" t="n">
        <v>0.391</v>
      </c>
      <c r="D22" s="33" t="n">
        <v>0.347</v>
      </c>
      <c r="E22" s="33" t="n">
        <v>0.394</v>
      </c>
      <c r="F22" s="33" t="n">
        <v>0.352</v>
      </c>
      <c r="G22" s="33" t="n">
        <v>0.381</v>
      </c>
      <c r="H22" s="33" t="n">
        <v>0.842</v>
      </c>
      <c r="I22" s="33" t="n">
        <v>0.739</v>
      </c>
    </row>
    <row r="23" customFormat="false" ht="15" hidden="false" customHeight="false" outlineLevel="0" collapsed="false">
      <c r="A23" s="14" t="s">
        <v>27</v>
      </c>
      <c r="B23" s="18" t="s">
        <v>60</v>
      </c>
      <c r="C23" s="33" t="n">
        <v>0.782</v>
      </c>
      <c r="D23" s="33" t="n">
        <v>0.365</v>
      </c>
      <c r="E23" s="33" t="n">
        <v>0.188</v>
      </c>
      <c r="F23" s="33" t="n">
        <v>0.281</v>
      </c>
      <c r="G23" s="33" t="n">
        <v>0.346</v>
      </c>
      <c r="H23" s="33" t="n">
        <v>1.503</v>
      </c>
      <c r="I23" s="33" t="n">
        <v>1.199</v>
      </c>
    </row>
    <row r="24" customFormat="false" ht="15" hidden="false" customHeight="false" outlineLevel="0" collapsed="false">
      <c r="A24" s="14" t="s">
        <v>29</v>
      </c>
      <c r="B24" s="18" t="s">
        <v>58</v>
      </c>
      <c r="C24" s="32"/>
      <c r="D24" s="32"/>
      <c r="E24" s="32"/>
      <c r="F24" s="32"/>
      <c r="G24" s="32" t="n">
        <v>1316</v>
      </c>
      <c r="H24" s="32" t="n">
        <v>1002</v>
      </c>
      <c r="I24" s="32" t="n">
        <v>1041</v>
      </c>
    </row>
    <row r="25" customFormat="false" ht="15" hidden="false" customHeight="false" outlineLevel="0" collapsed="false">
      <c r="A25" s="14" t="s">
        <v>29</v>
      </c>
      <c r="B25" s="18" t="s">
        <v>59</v>
      </c>
      <c r="C25" s="33"/>
      <c r="D25" s="33"/>
      <c r="E25" s="33"/>
      <c r="F25" s="33"/>
      <c r="G25" s="33" t="n">
        <v>0.418</v>
      </c>
      <c r="H25" s="33" t="n">
        <v>0.227</v>
      </c>
      <c r="I25" s="33" t="n">
        <v>0.276</v>
      </c>
    </row>
    <row r="26" customFormat="false" ht="15" hidden="false" customHeight="false" outlineLevel="0" collapsed="false">
      <c r="A26" s="14" t="s">
        <v>29</v>
      </c>
      <c r="B26" s="18" t="s">
        <v>60</v>
      </c>
      <c r="C26" s="33"/>
      <c r="D26" s="33"/>
      <c r="E26" s="33"/>
      <c r="F26" s="33"/>
      <c r="G26" s="33" t="n">
        <v>0.862</v>
      </c>
      <c r="H26" s="33" t="n">
        <v>0.525</v>
      </c>
      <c r="I26" s="33" t="n">
        <v>0.425</v>
      </c>
    </row>
    <row r="27" customFormat="false" ht="15" hidden="false" customHeight="false" outlineLevel="0" collapsed="false">
      <c r="A27" s="14" t="s">
        <v>31</v>
      </c>
      <c r="B27" s="18" t="s">
        <v>58</v>
      </c>
      <c r="C27" s="32"/>
      <c r="D27" s="32" t="n">
        <v>1356</v>
      </c>
      <c r="E27" s="32" t="n">
        <v>1350</v>
      </c>
      <c r="F27" s="32" t="n">
        <v>982</v>
      </c>
      <c r="G27" s="32" t="n">
        <v>934</v>
      </c>
      <c r="H27" s="32" t="n">
        <v>914</v>
      </c>
      <c r="I27" s="32" t="n">
        <v>738</v>
      </c>
    </row>
    <row r="28" customFormat="false" ht="15" hidden="false" customHeight="false" outlineLevel="0" collapsed="false">
      <c r="A28" s="14" t="s">
        <v>31</v>
      </c>
      <c r="B28" s="18" t="s">
        <v>59</v>
      </c>
      <c r="C28" s="33"/>
      <c r="D28" s="33" t="n">
        <v>0.221</v>
      </c>
      <c r="E28" s="33" t="n">
        <v>0.171</v>
      </c>
      <c r="F28" s="33" t="n">
        <v>0.255</v>
      </c>
      <c r="G28" s="33" t="n">
        <v>0.337</v>
      </c>
      <c r="H28" s="33" t="n">
        <v>0.176</v>
      </c>
      <c r="I28" s="33" t="n">
        <v>0.115</v>
      </c>
    </row>
    <row r="29" customFormat="false" ht="15" hidden="false" customHeight="false" outlineLevel="0" collapsed="false">
      <c r="A29" s="14" t="s">
        <v>31</v>
      </c>
      <c r="B29" s="18" t="s">
        <v>60</v>
      </c>
      <c r="C29" s="33"/>
      <c r="D29" s="33" t="n">
        <v>0</v>
      </c>
      <c r="E29" s="33" t="n">
        <v>0.32</v>
      </c>
      <c r="F29" s="33" t="n">
        <v>0.071</v>
      </c>
      <c r="G29" s="33" t="n">
        <v>0.21</v>
      </c>
      <c r="H29" s="33" t="n">
        <v>0.502</v>
      </c>
      <c r="I29" s="33" t="n">
        <v>0</v>
      </c>
    </row>
    <row r="30" customFormat="false" ht="15" hidden="false" customHeight="false" outlineLevel="0" collapsed="false">
      <c r="A30" s="14" t="s">
        <v>33</v>
      </c>
      <c r="B30" s="18" t="s">
        <v>58</v>
      </c>
      <c r="C30" s="32" t="n">
        <v>1788</v>
      </c>
      <c r="D30" s="32" t="n">
        <v>1601</v>
      </c>
      <c r="E30" s="32" t="n">
        <v>1559</v>
      </c>
      <c r="F30" s="32" t="n">
        <v>1075</v>
      </c>
      <c r="G30" s="32" t="n">
        <v>900</v>
      </c>
      <c r="H30" s="32" t="n">
        <v>861</v>
      </c>
      <c r="I30" s="32"/>
    </row>
    <row r="31" customFormat="false" ht="15" hidden="false" customHeight="false" outlineLevel="0" collapsed="false">
      <c r="A31" s="14" t="s">
        <v>33</v>
      </c>
      <c r="B31" s="18" t="s">
        <v>59</v>
      </c>
      <c r="C31" s="33" t="n">
        <v>0.317</v>
      </c>
      <c r="D31" s="33" t="n">
        <v>0.389</v>
      </c>
      <c r="E31" s="33" t="n">
        <v>0.207</v>
      </c>
      <c r="F31" s="33" t="n">
        <v>0.217</v>
      </c>
      <c r="G31" s="33" t="n">
        <v>0.238</v>
      </c>
      <c r="H31" s="33" t="n">
        <v>0.283</v>
      </c>
      <c r="I31" s="33"/>
    </row>
    <row r="32" customFormat="false" ht="15" hidden="false" customHeight="false" outlineLevel="0" collapsed="false">
      <c r="A32" s="14" t="s">
        <v>33</v>
      </c>
      <c r="B32" s="18" t="s">
        <v>60</v>
      </c>
      <c r="C32" s="33" t="n">
        <v>0.528</v>
      </c>
      <c r="D32" s="33" t="n">
        <v>0.389</v>
      </c>
      <c r="E32" s="33" t="n">
        <v>0.218</v>
      </c>
      <c r="F32" s="33" t="n">
        <v>0.228</v>
      </c>
      <c r="G32" s="33" t="n">
        <v>0.28</v>
      </c>
      <c r="H32" s="33" t="n">
        <v>0.315</v>
      </c>
      <c r="I32" s="3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56"/>
    <col collapsed="false" customWidth="true" hidden="false" outlineLevel="0" max="4" min="4" style="0" width="9"/>
    <col collapsed="false" customWidth="true" hidden="false" outlineLevel="0" max="5" min="5" style="0" width="10"/>
    <col collapsed="false" customWidth="true" hidden="false" outlineLevel="0" max="6" min="6" style="0" width="12"/>
    <col collapsed="false" customWidth="true" hidden="false" outlineLevel="0" max="7" min="7" style="0" width="9"/>
    <col collapsed="false" customWidth="true" hidden="false" outlineLevel="0" max="8" min="8" style="0" width="11"/>
    <col collapsed="false" customWidth="true" hidden="false" outlineLevel="0" max="9" min="9" style="0" width="10"/>
    <col collapsed="false" customWidth="true" hidden="false" outlineLevel="0" max="10" min="10" style="0" width="9"/>
    <col collapsed="false" customWidth="true" hidden="false" outlineLevel="0" max="11" min="11" style="0" width="10"/>
    <col collapsed="false" customWidth="true" hidden="false" outlineLevel="0" max="12" min="12" style="0" width="8"/>
  </cols>
  <sheetData>
    <row r="1" customFormat="false" ht="21.6" hidden="false" customHeight="false" outlineLevel="0" collapsed="false">
      <c r="A1" s="4" t="s">
        <v>61</v>
      </c>
    </row>
    <row r="3" customFormat="false" ht="15" hidden="false" customHeight="false" outlineLevel="0" collapsed="false">
      <c r="A3" s="8" t="s">
        <v>16</v>
      </c>
      <c r="B3" s="8" t="s">
        <v>62</v>
      </c>
      <c r="C3" s="8" t="s">
        <v>63</v>
      </c>
      <c r="D3" s="8" t="s">
        <v>64</v>
      </c>
      <c r="E3" s="8" t="s">
        <v>65</v>
      </c>
      <c r="F3" s="8" t="s">
        <v>66</v>
      </c>
      <c r="G3" s="8" t="s">
        <v>67</v>
      </c>
      <c r="H3" s="8" t="s">
        <v>19</v>
      </c>
      <c r="I3" s="8" t="s">
        <v>68</v>
      </c>
      <c r="J3" s="8" t="s">
        <v>69</v>
      </c>
      <c r="K3" s="8" t="s">
        <v>70</v>
      </c>
      <c r="L3" s="31" t="s">
        <v>71</v>
      </c>
    </row>
    <row r="4" customFormat="false" ht="29.85" hidden="false" customHeight="false" outlineLevel="0" collapsed="false">
      <c r="A4" s="14" t="s">
        <v>31</v>
      </c>
      <c r="B4" s="14" t="s">
        <v>72</v>
      </c>
      <c r="C4" s="34" t="s">
        <v>73</v>
      </c>
      <c r="D4" s="32" t="n">
        <v>914</v>
      </c>
      <c r="E4" s="17" t="n">
        <v>38.6</v>
      </c>
      <c r="F4" s="17" t="n">
        <v>28.5</v>
      </c>
      <c r="G4" s="32" t="n">
        <v>1</v>
      </c>
      <c r="H4" s="16" t="n">
        <v>0.109</v>
      </c>
      <c r="I4" s="15" t="n">
        <v>0</v>
      </c>
      <c r="J4" s="15" t="n">
        <v>2</v>
      </c>
      <c r="K4" s="32" t="n">
        <v>20</v>
      </c>
      <c r="L4" s="33" t="n">
        <v>0</v>
      </c>
    </row>
    <row r="5" customFormat="false" ht="15" hidden="false" customHeight="false" outlineLevel="0" collapsed="false">
      <c r="A5" s="35" t="s">
        <v>31</v>
      </c>
      <c r="B5" s="35" t="s">
        <v>74</v>
      </c>
      <c r="C5" s="36" t="s">
        <v>75</v>
      </c>
      <c r="D5" s="37" t="n">
        <v>826</v>
      </c>
      <c r="E5" s="38" t="n">
        <v>42.4</v>
      </c>
      <c r="F5" s="38" t="n">
        <v>30.7</v>
      </c>
      <c r="G5" s="37" t="n">
        <v>1</v>
      </c>
      <c r="H5" s="39" t="n">
        <v>0.121</v>
      </c>
      <c r="I5" s="40" t="n">
        <v>0</v>
      </c>
      <c r="J5" s="40" t="n">
        <v>0</v>
      </c>
      <c r="K5" s="37" t="n">
        <v>23</v>
      </c>
      <c r="L5" s="41" t="n">
        <v>0</v>
      </c>
    </row>
    <row r="6" customFormat="false" ht="15" hidden="false" customHeight="false" outlineLevel="0" collapsed="false">
      <c r="A6" s="14" t="s">
        <v>31</v>
      </c>
      <c r="B6" s="14" t="s">
        <v>74</v>
      </c>
      <c r="C6" s="18" t="s">
        <v>76</v>
      </c>
      <c r="D6" s="32" t="n">
        <v>948</v>
      </c>
      <c r="E6" s="17" t="n">
        <v>32.1</v>
      </c>
      <c r="F6" s="17" t="n">
        <v>31.1</v>
      </c>
      <c r="G6" s="32" t="n">
        <v>2</v>
      </c>
      <c r="H6" s="16" t="n">
        <v>0.211</v>
      </c>
      <c r="I6" s="15" t="n">
        <v>0</v>
      </c>
      <c r="J6" s="15" t="n">
        <v>0</v>
      </c>
      <c r="K6" s="32" t="n">
        <v>21</v>
      </c>
      <c r="L6" s="33" t="n">
        <v>0</v>
      </c>
    </row>
    <row r="7" customFormat="false" ht="15" hidden="false" customHeight="false" outlineLevel="0" collapsed="false">
      <c r="A7" s="35" t="s">
        <v>31</v>
      </c>
      <c r="B7" s="35" t="s">
        <v>74</v>
      </c>
      <c r="C7" s="36" t="s">
        <v>77</v>
      </c>
      <c r="D7" s="37" t="n">
        <v>276</v>
      </c>
      <c r="E7" s="38" t="n">
        <v>31.4</v>
      </c>
      <c r="F7" s="38" t="n">
        <v>31.9</v>
      </c>
      <c r="G7" s="37" t="n">
        <v>0</v>
      </c>
      <c r="H7" s="39" t="n">
        <v>0</v>
      </c>
      <c r="I7" s="40" t="n">
        <v>0</v>
      </c>
      <c r="J7" s="40" t="n">
        <v>0</v>
      </c>
      <c r="K7" s="37" t="n">
        <v>9</v>
      </c>
      <c r="L7" s="41" t="n">
        <v>0</v>
      </c>
    </row>
    <row r="8" customFormat="false" ht="29.85" hidden="false" customHeight="false" outlineLevel="0" collapsed="false">
      <c r="A8" s="14" t="s">
        <v>31</v>
      </c>
      <c r="B8" s="14" t="s">
        <v>78</v>
      </c>
      <c r="C8" s="34" t="s">
        <v>79</v>
      </c>
      <c r="D8" s="32" t="n">
        <v>1018</v>
      </c>
      <c r="E8" s="17" t="n">
        <v>36.1</v>
      </c>
      <c r="F8" s="17" t="n">
        <v>30.4</v>
      </c>
      <c r="G8" s="32" t="n">
        <v>0</v>
      </c>
      <c r="H8" s="16" t="n">
        <v>0</v>
      </c>
      <c r="I8" s="15" t="n">
        <v>0</v>
      </c>
      <c r="J8" s="15" t="n">
        <v>0</v>
      </c>
      <c r="K8" s="32" t="n">
        <v>9</v>
      </c>
      <c r="L8" s="33" t="n">
        <v>0</v>
      </c>
    </row>
    <row r="9" customFormat="false" ht="15" hidden="false" customHeight="false" outlineLevel="0" collapsed="false">
      <c r="A9" s="35" t="s">
        <v>31</v>
      </c>
      <c r="B9" s="35" t="s">
        <v>78</v>
      </c>
      <c r="C9" s="36" t="s">
        <v>80</v>
      </c>
      <c r="D9" s="37" t="n">
        <v>190</v>
      </c>
      <c r="E9" s="38" t="n">
        <v>27.9</v>
      </c>
      <c r="F9" s="38" t="n">
        <v>28.6</v>
      </c>
      <c r="G9" s="37" t="n">
        <v>0</v>
      </c>
      <c r="H9" s="39" t="n">
        <v>0</v>
      </c>
      <c r="I9" s="40" t="n">
        <v>0</v>
      </c>
      <c r="J9" s="40" t="n">
        <v>0</v>
      </c>
      <c r="K9" s="37" t="n">
        <v>17</v>
      </c>
      <c r="L9" s="41" t="n">
        <v>0</v>
      </c>
    </row>
    <row r="10" customFormat="false" ht="15" hidden="false" customHeight="false" outlineLevel="0" collapsed="false">
      <c r="A10" s="14" t="s">
        <v>31</v>
      </c>
      <c r="B10" s="14" t="s">
        <v>78</v>
      </c>
      <c r="C10" s="14" t="s">
        <v>81</v>
      </c>
      <c r="D10" s="32" t="n">
        <v>1131</v>
      </c>
      <c r="E10" s="17" t="n">
        <v>49.2</v>
      </c>
      <c r="F10" s="17" t="n">
        <v>30.5</v>
      </c>
      <c r="G10" s="32" t="n">
        <v>2</v>
      </c>
      <c r="H10" s="16" t="n">
        <v>0.177</v>
      </c>
      <c r="I10" s="15" t="n">
        <v>1</v>
      </c>
      <c r="J10" s="15" t="n">
        <v>0</v>
      </c>
      <c r="K10" s="32" t="n">
        <v>20</v>
      </c>
      <c r="L10" s="33" t="n">
        <v>0</v>
      </c>
    </row>
    <row r="11" customFormat="false" ht="15" hidden="false" customHeight="false" outlineLevel="0" collapsed="false">
      <c r="A11" s="35" t="s">
        <v>31</v>
      </c>
      <c r="B11" s="35" t="s">
        <v>82</v>
      </c>
      <c r="C11" s="35" t="s">
        <v>83</v>
      </c>
      <c r="D11" s="37" t="n">
        <v>1025</v>
      </c>
      <c r="E11" s="38" t="n">
        <v>42.2</v>
      </c>
      <c r="F11" s="38" t="n">
        <v>30.8</v>
      </c>
      <c r="G11" s="37" t="n">
        <v>0</v>
      </c>
      <c r="H11" s="39" t="n">
        <v>0</v>
      </c>
      <c r="I11" s="40" t="n">
        <v>0</v>
      </c>
      <c r="J11" s="40" t="n">
        <v>0</v>
      </c>
      <c r="K11" s="37" t="n">
        <v>22</v>
      </c>
      <c r="L11" s="41" t="n">
        <v>0</v>
      </c>
    </row>
    <row r="12" customFormat="false" ht="15" hidden="false" customHeight="false" outlineLevel="0" collapsed="false">
      <c r="A12" s="14" t="s">
        <v>31</v>
      </c>
      <c r="B12" s="14" t="s">
        <v>82</v>
      </c>
      <c r="C12" s="18" t="s">
        <v>84</v>
      </c>
      <c r="D12" s="32" t="n">
        <v>285</v>
      </c>
      <c r="E12" s="17" t="n">
        <v>38.7</v>
      </c>
      <c r="F12" s="17" t="n">
        <v>33.6</v>
      </c>
      <c r="G12" s="32" t="n">
        <v>0</v>
      </c>
      <c r="H12" s="16" t="n">
        <v>0</v>
      </c>
      <c r="I12" s="15" t="n">
        <v>0</v>
      </c>
      <c r="J12" s="15" t="n">
        <v>0</v>
      </c>
      <c r="K12" s="32" t="n">
        <v>6</v>
      </c>
      <c r="L12" s="33" t="n">
        <v>0</v>
      </c>
    </row>
    <row r="13" customFormat="false" ht="15" hidden="false" customHeight="false" outlineLevel="0" collapsed="false">
      <c r="A13" s="35" t="s">
        <v>31</v>
      </c>
      <c r="B13" s="35" t="s">
        <v>82</v>
      </c>
      <c r="C13" s="36" t="s">
        <v>85</v>
      </c>
      <c r="D13" s="37" t="n">
        <v>873</v>
      </c>
      <c r="E13" s="38" t="n">
        <v>36.6</v>
      </c>
      <c r="F13" s="38" t="n">
        <v>30</v>
      </c>
      <c r="G13" s="37" t="n">
        <v>1</v>
      </c>
      <c r="H13" s="39" t="n">
        <v>0.115</v>
      </c>
      <c r="I13" s="40" t="n">
        <v>0</v>
      </c>
      <c r="J13" s="40" t="n">
        <v>1</v>
      </c>
      <c r="K13" s="37" t="n">
        <v>6</v>
      </c>
      <c r="L13" s="41" t="n">
        <v>16.67</v>
      </c>
    </row>
    <row r="14" customFormat="false" ht="29.85" hidden="false" customHeight="false" outlineLevel="0" collapsed="false">
      <c r="A14" s="14" t="s">
        <v>31</v>
      </c>
      <c r="B14" s="14" t="s">
        <v>86</v>
      </c>
      <c r="C14" s="34" t="s">
        <v>87</v>
      </c>
      <c r="D14" s="32" t="n">
        <v>999</v>
      </c>
      <c r="E14" s="17" t="n">
        <v>30.9</v>
      </c>
      <c r="F14" s="17" t="n">
        <v>32.3</v>
      </c>
      <c r="G14" s="32" t="n">
        <v>1</v>
      </c>
      <c r="H14" s="16" t="n">
        <v>0.1</v>
      </c>
      <c r="I14" s="15" t="n">
        <v>0</v>
      </c>
      <c r="J14" s="15" t="n">
        <v>0</v>
      </c>
      <c r="K14" s="32" t="n">
        <v>73</v>
      </c>
      <c r="L14" s="33" t="n">
        <v>0</v>
      </c>
    </row>
    <row r="15" customFormat="false" ht="29.85" hidden="false" customHeight="false" outlineLevel="0" collapsed="false">
      <c r="A15" s="35" t="s">
        <v>31</v>
      </c>
      <c r="B15" s="35" t="s">
        <v>86</v>
      </c>
      <c r="C15" s="42" t="s">
        <v>88</v>
      </c>
      <c r="D15" s="37" t="n">
        <v>264</v>
      </c>
      <c r="E15" s="38" t="n">
        <v>43.6</v>
      </c>
      <c r="F15" s="38" t="n">
        <v>36.7</v>
      </c>
      <c r="G15" s="37" t="n">
        <v>1</v>
      </c>
      <c r="H15" s="39" t="n">
        <v>0.379</v>
      </c>
      <c r="I15" s="40" t="n">
        <v>0</v>
      </c>
      <c r="J15" s="40" t="n">
        <v>0</v>
      </c>
      <c r="K15" s="37" t="n">
        <v>17</v>
      </c>
      <c r="L15" s="41" t="n">
        <v>0</v>
      </c>
    </row>
    <row r="16" customFormat="false" ht="29.85" hidden="false" customHeight="false" outlineLevel="0" collapsed="false">
      <c r="A16" s="14" t="s">
        <v>31</v>
      </c>
      <c r="B16" s="14" t="s">
        <v>86</v>
      </c>
      <c r="C16" s="34" t="s">
        <v>89</v>
      </c>
      <c r="D16" s="32" t="n">
        <v>665</v>
      </c>
      <c r="E16" s="17" t="n">
        <v>40.8</v>
      </c>
      <c r="F16" s="17" t="n">
        <v>31.8</v>
      </c>
      <c r="G16" s="32" t="n">
        <v>0</v>
      </c>
      <c r="H16" s="16" t="n">
        <v>0</v>
      </c>
      <c r="I16" s="15" t="n">
        <v>0</v>
      </c>
      <c r="J16" s="15" t="n">
        <v>0</v>
      </c>
      <c r="K16" s="32" t="n">
        <v>38</v>
      </c>
      <c r="L16" s="33" t="n">
        <v>0</v>
      </c>
    </row>
    <row r="17" customFormat="false" ht="15" hidden="false" customHeight="false" outlineLevel="0" collapsed="false">
      <c r="A17" s="35" t="s">
        <v>31</v>
      </c>
      <c r="B17" s="35" t="s">
        <v>90</v>
      </c>
      <c r="C17" s="36" t="s">
        <v>91</v>
      </c>
      <c r="D17" s="37" t="n">
        <v>683</v>
      </c>
      <c r="E17" s="38" t="n">
        <v>35.8</v>
      </c>
      <c r="F17" s="38" t="n">
        <v>33.5</v>
      </c>
      <c r="G17" s="37" t="n">
        <v>1</v>
      </c>
      <c r="H17" s="39" t="n">
        <v>0.146</v>
      </c>
      <c r="I17" s="40" t="n">
        <v>1</v>
      </c>
      <c r="J17" s="40" t="n">
        <v>0</v>
      </c>
      <c r="K17" s="37" t="n">
        <v>6</v>
      </c>
      <c r="L17" s="41" t="n">
        <v>0</v>
      </c>
    </row>
    <row r="18" customFormat="false" ht="29.85" hidden="false" customHeight="false" outlineLevel="0" collapsed="false">
      <c r="A18" s="14" t="s">
        <v>31</v>
      </c>
      <c r="B18" s="14" t="s">
        <v>90</v>
      </c>
      <c r="C18" s="43" t="s">
        <v>92</v>
      </c>
      <c r="D18" s="32" t="n">
        <v>794</v>
      </c>
      <c r="E18" s="17" t="n">
        <v>35.1</v>
      </c>
      <c r="F18" s="17" t="n">
        <v>31.3</v>
      </c>
      <c r="G18" s="32" t="n">
        <v>1</v>
      </c>
      <c r="H18" s="16" t="n">
        <v>0.126</v>
      </c>
      <c r="I18" s="15" t="n">
        <v>0</v>
      </c>
      <c r="J18" s="15" t="n">
        <v>0</v>
      </c>
      <c r="K18" s="32" t="n">
        <v>22</v>
      </c>
      <c r="L18" s="33" t="n">
        <v>0</v>
      </c>
    </row>
    <row r="19" customFormat="false" ht="29.85" hidden="false" customHeight="false" outlineLevel="0" collapsed="false">
      <c r="A19" s="35" t="s">
        <v>31</v>
      </c>
      <c r="B19" s="35" t="s">
        <v>93</v>
      </c>
      <c r="C19" s="42" t="s">
        <v>94</v>
      </c>
      <c r="D19" s="37" t="n">
        <v>954</v>
      </c>
      <c r="E19" s="38" t="n">
        <v>69.5</v>
      </c>
      <c r="F19" s="38" t="n">
        <v>28.8</v>
      </c>
      <c r="G19" s="37" t="n">
        <v>1</v>
      </c>
      <c r="H19" s="39" t="n">
        <v>0.105</v>
      </c>
      <c r="I19" s="40" t="n">
        <v>0</v>
      </c>
      <c r="J19" s="40" t="n">
        <v>0</v>
      </c>
      <c r="K19" s="37" t="n">
        <v>7</v>
      </c>
      <c r="L19" s="41" t="n">
        <v>0</v>
      </c>
    </row>
    <row r="20" customFormat="false" ht="29.85" hidden="false" customHeight="false" outlineLevel="0" collapsed="false">
      <c r="A20" s="14" t="s">
        <v>29</v>
      </c>
      <c r="B20" s="14" t="s">
        <v>72</v>
      </c>
      <c r="C20" s="34" t="s">
        <v>95</v>
      </c>
      <c r="D20" s="32" t="n">
        <v>1791</v>
      </c>
      <c r="E20" s="17" t="n">
        <v>72.5</v>
      </c>
      <c r="F20" s="17" t="n">
        <v>40</v>
      </c>
      <c r="G20" s="32" t="n">
        <v>7</v>
      </c>
      <c r="H20" s="16" t="n">
        <v>0.391</v>
      </c>
      <c r="I20" s="15" t="n">
        <v>1</v>
      </c>
      <c r="J20" s="15" t="n">
        <v>1</v>
      </c>
      <c r="K20" s="32" t="n">
        <v>288</v>
      </c>
      <c r="L20" s="33" t="n">
        <v>2.43</v>
      </c>
    </row>
    <row r="21" customFormat="false" ht="29.85" hidden="false" customHeight="false" outlineLevel="0" collapsed="false">
      <c r="A21" s="35" t="s">
        <v>29</v>
      </c>
      <c r="B21" s="35" t="s">
        <v>74</v>
      </c>
      <c r="C21" s="42" t="s">
        <v>96</v>
      </c>
      <c r="D21" s="37" t="n">
        <v>1007</v>
      </c>
      <c r="E21" s="38" t="n">
        <v>44.2</v>
      </c>
      <c r="F21" s="38" t="n">
        <v>40.7</v>
      </c>
      <c r="G21" s="37" t="n">
        <v>1</v>
      </c>
      <c r="H21" s="39" t="n">
        <v>0.099</v>
      </c>
      <c r="I21" s="40" t="n">
        <v>0</v>
      </c>
      <c r="J21" s="40" t="n">
        <v>0</v>
      </c>
      <c r="K21" s="37" t="n">
        <v>126</v>
      </c>
      <c r="L21" s="41" t="n">
        <v>0.79</v>
      </c>
    </row>
    <row r="22" customFormat="false" ht="29.85" hidden="false" customHeight="false" outlineLevel="0" collapsed="false">
      <c r="A22" s="14" t="s">
        <v>29</v>
      </c>
      <c r="B22" s="14" t="s">
        <v>74</v>
      </c>
      <c r="C22" s="34" t="s">
        <v>97</v>
      </c>
      <c r="D22" s="32" t="n">
        <v>1057</v>
      </c>
      <c r="E22" s="17" t="n">
        <v>66.1</v>
      </c>
      <c r="F22" s="17" t="n">
        <v>40.9</v>
      </c>
      <c r="G22" s="32" t="n">
        <v>0</v>
      </c>
      <c r="H22" s="16" t="n">
        <v>0</v>
      </c>
      <c r="I22" s="15" t="n">
        <v>0</v>
      </c>
      <c r="J22" s="15" t="n">
        <v>0</v>
      </c>
      <c r="K22" s="32" t="n">
        <v>157</v>
      </c>
      <c r="L22" s="33" t="n">
        <v>3.82</v>
      </c>
    </row>
    <row r="23" customFormat="false" ht="29.85" hidden="false" customHeight="false" outlineLevel="0" collapsed="false">
      <c r="A23" s="35" t="s">
        <v>29</v>
      </c>
      <c r="B23" s="35" t="s">
        <v>74</v>
      </c>
      <c r="C23" s="42" t="s">
        <v>98</v>
      </c>
      <c r="D23" s="37" t="n">
        <v>1266</v>
      </c>
      <c r="E23" s="38" t="n">
        <v>89</v>
      </c>
      <c r="F23" s="38" t="n">
        <v>41.6</v>
      </c>
      <c r="G23" s="37" t="n">
        <v>5</v>
      </c>
      <c r="H23" s="39" t="n">
        <v>0.395</v>
      </c>
      <c r="I23" s="40" t="n">
        <v>1</v>
      </c>
      <c r="J23" s="40" t="n">
        <v>0</v>
      </c>
      <c r="K23" s="37" t="n">
        <v>298</v>
      </c>
      <c r="L23" s="41" t="n">
        <v>2.68</v>
      </c>
    </row>
    <row r="24" customFormat="false" ht="29.85" hidden="false" customHeight="false" outlineLevel="0" collapsed="false">
      <c r="A24" s="14" t="s">
        <v>29</v>
      </c>
      <c r="B24" s="14" t="s">
        <v>78</v>
      </c>
      <c r="C24" s="34" t="s">
        <v>99</v>
      </c>
      <c r="D24" s="32" t="n">
        <v>286</v>
      </c>
      <c r="E24" s="17" t="n">
        <v>36.6</v>
      </c>
      <c r="F24" s="17" t="n">
        <v>43.7</v>
      </c>
      <c r="G24" s="32" t="n">
        <v>0</v>
      </c>
      <c r="H24" s="16" t="n">
        <v>0</v>
      </c>
      <c r="I24" s="15" t="n">
        <v>0</v>
      </c>
      <c r="J24" s="15" t="n">
        <v>0</v>
      </c>
      <c r="K24" s="32" t="n">
        <v>385</v>
      </c>
      <c r="L24" s="33" t="n">
        <v>5.45</v>
      </c>
    </row>
    <row r="25" customFormat="false" ht="29.85" hidden="false" customHeight="false" outlineLevel="0" collapsed="false">
      <c r="A25" s="35" t="s">
        <v>29</v>
      </c>
      <c r="B25" s="35" t="s">
        <v>78</v>
      </c>
      <c r="C25" s="42" t="s">
        <v>100</v>
      </c>
      <c r="D25" s="37" t="n">
        <v>996</v>
      </c>
      <c r="E25" s="38" t="n">
        <v>59.9</v>
      </c>
      <c r="F25" s="38" t="n">
        <v>43.4</v>
      </c>
      <c r="G25" s="37" t="n">
        <v>3</v>
      </c>
      <c r="H25" s="39" t="n">
        <v>0.301</v>
      </c>
      <c r="I25" s="40" t="n">
        <v>0</v>
      </c>
      <c r="J25" s="40" t="n">
        <v>1</v>
      </c>
      <c r="K25" s="37" t="n">
        <v>285</v>
      </c>
      <c r="L25" s="41" t="n">
        <v>1.05</v>
      </c>
    </row>
    <row r="26" customFormat="false" ht="29.85" hidden="false" customHeight="false" outlineLevel="0" collapsed="false">
      <c r="A26" s="14" t="s">
        <v>29</v>
      </c>
      <c r="B26" s="14" t="s">
        <v>78</v>
      </c>
      <c r="C26" s="34" t="s">
        <v>101</v>
      </c>
      <c r="D26" s="32" t="n">
        <v>993</v>
      </c>
      <c r="E26" s="17" t="n">
        <v>40</v>
      </c>
      <c r="F26" s="17" t="n">
        <v>42.5</v>
      </c>
      <c r="G26" s="32" t="n">
        <v>1</v>
      </c>
      <c r="H26" s="16" t="n">
        <v>0.101</v>
      </c>
      <c r="I26" s="15" t="n">
        <v>0</v>
      </c>
      <c r="J26" s="15" t="n">
        <v>1</v>
      </c>
      <c r="K26" s="32" t="n">
        <v>321</v>
      </c>
      <c r="L26" s="33" t="n">
        <v>3.74</v>
      </c>
    </row>
    <row r="27" customFormat="false" ht="29.85" hidden="false" customHeight="false" outlineLevel="0" collapsed="false">
      <c r="A27" s="35" t="s">
        <v>29</v>
      </c>
      <c r="B27" s="35" t="s">
        <v>82</v>
      </c>
      <c r="C27" s="42" t="s">
        <v>102</v>
      </c>
      <c r="D27" s="37" t="n">
        <v>1068</v>
      </c>
      <c r="E27" s="38" t="n">
        <v>63.5</v>
      </c>
      <c r="F27" s="38" t="n">
        <v>41</v>
      </c>
      <c r="G27" s="37" t="n">
        <v>2</v>
      </c>
      <c r="H27" s="39" t="n">
        <v>0.187</v>
      </c>
      <c r="I27" s="40" t="n">
        <v>0</v>
      </c>
      <c r="J27" s="40" t="n">
        <v>0</v>
      </c>
      <c r="K27" s="37" t="n">
        <v>324</v>
      </c>
      <c r="L27" s="41" t="n">
        <v>1.85</v>
      </c>
    </row>
    <row r="28" customFormat="false" ht="29.85" hidden="false" customHeight="false" outlineLevel="0" collapsed="false">
      <c r="A28" s="14" t="s">
        <v>29</v>
      </c>
      <c r="B28" s="14" t="s">
        <v>82</v>
      </c>
      <c r="C28" s="34" t="s">
        <v>103</v>
      </c>
      <c r="D28" s="32" t="n">
        <v>1171</v>
      </c>
      <c r="E28" s="17" t="n">
        <v>54.3</v>
      </c>
      <c r="F28" s="17" t="n">
        <v>40.5</v>
      </c>
      <c r="G28" s="32" t="n">
        <v>5</v>
      </c>
      <c r="H28" s="16" t="n">
        <v>0.427</v>
      </c>
      <c r="I28" s="15" t="n">
        <v>1</v>
      </c>
      <c r="J28" s="15" t="n">
        <v>1</v>
      </c>
      <c r="K28" s="32" t="n">
        <v>621</v>
      </c>
      <c r="L28" s="33" t="n">
        <v>1.29</v>
      </c>
    </row>
    <row r="29" customFormat="false" ht="29.85" hidden="false" customHeight="false" outlineLevel="0" collapsed="false">
      <c r="A29" s="35" t="s">
        <v>29</v>
      </c>
      <c r="B29" s="35" t="s">
        <v>82</v>
      </c>
      <c r="C29" s="44" t="s">
        <v>104</v>
      </c>
      <c r="D29" s="37" t="n">
        <v>978</v>
      </c>
      <c r="E29" s="38" t="n">
        <v>73.1</v>
      </c>
      <c r="F29" s="38" t="n">
        <v>39.7</v>
      </c>
      <c r="G29" s="37" t="n">
        <v>1</v>
      </c>
      <c r="H29" s="39" t="n">
        <v>0.102</v>
      </c>
      <c r="I29" s="40" t="n">
        <v>0</v>
      </c>
      <c r="J29" s="40" t="n">
        <v>0</v>
      </c>
      <c r="K29" s="37" t="n">
        <v>105</v>
      </c>
      <c r="L29" s="41" t="n">
        <v>2.86</v>
      </c>
    </row>
    <row r="30" customFormat="false" ht="29.85" hidden="false" customHeight="false" outlineLevel="0" collapsed="false">
      <c r="A30" s="14" t="s">
        <v>29</v>
      </c>
      <c r="B30" s="14" t="s">
        <v>86</v>
      </c>
      <c r="C30" s="34" t="s">
        <v>105</v>
      </c>
      <c r="D30" s="32" t="n">
        <v>1012</v>
      </c>
      <c r="E30" s="17" t="n">
        <v>52.6</v>
      </c>
      <c r="F30" s="17" t="n">
        <v>41.8</v>
      </c>
      <c r="G30" s="32" t="n">
        <v>3</v>
      </c>
      <c r="H30" s="16" t="n">
        <v>0.296</v>
      </c>
      <c r="I30" s="15" t="n">
        <v>0</v>
      </c>
      <c r="J30" s="15" t="n">
        <v>0</v>
      </c>
      <c r="K30" s="32" t="n">
        <v>55</v>
      </c>
      <c r="L30" s="33" t="n">
        <v>1.82</v>
      </c>
    </row>
    <row r="31" customFormat="false" ht="29.85" hidden="false" customHeight="false" outlineLevel="0" collapsed="false">
      <c r="A31" s="35" t="s">
        <v>29</v>
      </c>
      <c r="B31" s="35" t="s">
        <v>86</v>
      </c>
      <c r="C31" s="42" t="s">
        <v>106</v>
      </c>
      <c r="D31" s="37" t="n">
        <v>1059</v>
      </c>
      <c r="E31" s="38" t="n">
        <v>56.4</v>
      </c>
      <c r="F31" s="38" t="n">
        <v>42.5</v>
      </c>
      <c r="G31" s="37" t="n">
        <v>4</v>
      </c>
      <c r="H31" s="39" t="n">
        <v>0.378</v>
      </c>
      <c r="I31" s="40" t="n">
        <v>0</v>
      </c>
      <c r="J31" s="40" t="n">
        <v>0</v>
      </c>
      <c r="K31" s="37" t="n">
        <v>95</v>
      </c>
      <c r="L31" s="41" t="n">
        <v>4.21</v>
      </c>
    </row>
    <row r="32" customFormat="false" ht="29.85" hidden="false" customHeight="false" outlineLevel="0" collapsed="false">
      <c r="A32" s="14" t="s">
        <v>29</v>
      </c>
      <c r="B32" s="14" t="s">
        <v>86</v>
      </c>
      <c r="C32" s="34" t="s">
        <v>107</v>
      </c>
      <c r="D32" s="32" t="n">
        <v>1059</v>
      </c>
      <c r="E32" s="17" t="n">
        <v>46</v>
      </c>
      <c r="F32" s="17" t="n">
        <v>41.3</v>
      </c>
      <c r="G32" s="32" t="n">
        <v>1</v>
      </c>
      <c r="H32" s="16" t="n">
        <v>0.094</v>
      </c>
      <c r="I32" s="15" t="n">
        <v>1</v>
      </c>
      <c r="J32" s="15" t="n">
        <v>0</v>
      </c>
      <c r="K32" s="32" t="n">
        <v>475</v>
      </c>
      <c r="L32" s="33" t="n">
        <v>2.74</v>
      </c>
    </row>
    <row r="33" customFormat="false" ht="29.85" hidden="false" customHeight="false" outlineLevel="0" collapsed="false">
      <c r="A33" s="35" t="s">
        <v>29</v>
      </c>
      <c r="B33" s="35" t="s">
        <v>90</v>
      </c>
      <c r="C33" s="44" t="s">
        <v>108</v>
      </c>
      <c r="D33" s="37" t="n">
        <v>1020</v>
      </c>
      <c r="E33" s="38" t="n">
        <v>45.4</v>
      </c>
      <c r="F33" s="38" t="n">
        <v>41.9</v>
      </c>
      <c r="G33" s="37" t="n">
        <v>3</v>
      </c>
      <c r="H33" s="39" t="n">
        <v>0.294</v>
      </c>
      <c r="I33" s="40" t="n">
        <v>0</v>
      </c>
      <c r="J33" s="40" t="n">
        <v>1</v>
      </c>
      <c r="K33" s="37" t="n">
        <v>303</v>
      </c>
      <c r="L33" s="41" t="n">
        <v>2.31</v>
      </c>
    </row>
    <row r="34" customFormat="false" ht="29.85" hidden="false" customHeight="false" outlineLevel="0" collapsed="false">
      <c r="A34" s="14" t="s">
        <v>29</v>
      </c>
      <c r="B34" s="14" t="s">
        <v>90</v>
      </c>
      <c r="C34" s="34" t="s">
        <v>109</v>
      </c>
      <c r="D34" s="32" t="n">
        <v>1099</v>
      </c>
      <c r="E34" s="17" t="n">
        <v>45.1</v>
      </c>
      <c r="F34" s="17" t="n">
        <v>39.9</v>
      </c>
      <c r="G34" s="32" t="n">
        <v>4</v>
      </c>
      <c r="H34" s="16" t="n">
        <v>0.364</v>
      </c>
      <c r="I34" s="15" t="n">
        <v>0</v>
      </c>
      <c r="J34" s="15" t="n">
        <v>0</v>
      </c>
      <c r="K34" s="32" t="n">
        <v>197</v>
      </c>
      <c r="L34" s="33" t="n">
        <v>3.05</v>
      </c>
    </row>
    <row r="35" customFormat="false" ht="29.85" hidden="false" customHeight="false" outlineLevel="0" collapsed="false">
      <c r="A35" s="35" t="s">
        <v>29</v>
      </c>
      <c r="B35" s="35" t="s">
        <v>93</v>
      </c>
      <c r="C35" s="44" t="s">
        <v>110</v>
      </c>
      <c r="D35" s="37" t="n">
        <v>1192</v>
      </c>
      <c r="E35" s="38" t="n">
        <v>87.5</v>
      </c>
      <c r="F35" s="38" t="n">
        <v>42.3</v>
      </c>
      <c r="G35" s="37" t="n">
        <v>1</v>
      </c>
      <c r="H35" s="39" t="n">
        <v>0.084</v>
      </c>
      <c r="I35" s="40" t="n">
        <v>0</v>
      </c>
      <c r="J35" s="40" t="n">
        <v>2</v>
      </c>
      <c r="K35" s="37" t="n">
        <v>156</v>
      </c>
      <c r="L35" s="41" t="n">
        <v>0</v>
      </c>
    </row>
    <row r="36" customFormat="false" ht="29.85" hidden="false" customHeight="false" outlineLevel="0" collapsed="false">
      <c r="A36" s="14" t="s">
        <v>29</v>
      </c>
      <c r="B36" s="14" t="s">
        <v>111</v>
      </c>
      <c r="C36" s="34" t="s">
        <v>112</v>
      </c>
      <c r="D36" s="32" t="n">
        <v>988</v>
      </c>
      <c r="E36" s="17" t="n">
        <v>41.2</v>
      </c>
      <c r="F36" s="17" t="n">
        <v>41.2</v>
      </c>
      <c r="G36" s="32" t="n">
        <v>4</v>
      </c>
      <c r="H36" s="16" t="n">
        <v>0.405</v>
      </c>
      <c r="I36" s="15" t="n">
        <v>0</v>
      </c>
      <c r="J36" s="15" t="n">
        <v>1</v>
      </c>
      <c r="K36" s="32" t="n">
        <v>111</v>
      </c>
      <c r="L36" s="33" t="n">
        <v>1.8</v>
      </c>
    </row>
    <row r="37" customFormat="false" ht="29.85" hidden="false" customHeight="false" outlineLevel="0" collapsed="false">
      <c r="A37" s="35" t="s">
        <v>29</v>
      </c>
      <c r="B37" s="35" t="s">
        <v>111</v>
      </c>
      <c r="C37" s="42" t="s">
        <v>113</v>
      </c>
      <c r="D37" s="37" t="n">
        <v>1088</v>
      </c>
      <c r="E37" s="38" t="n">
        <v>34</v>
      </c>
      <c r="F37" s="38" t="n">
        <v>41.2</v>
      </c>
      <c r="G37" s="37" t="n">
        <v>3</v>
      </c>
      <c r="H37" s="39" t="n">
        <v>0.276</v>
      </c>
      <c r="I37" s="40" t="n">
        <v>0</v>
      </c>
      <c r="J37" s="40" t="n">
        <v>0</v>
      </c>
      <c r="K37" s="37" t="n">
        <v>56</v>
      </c>
      <c r="L37" s="41" t="n">
        <v>12.5</v>
      </c>
    </row>
    <row r="38" customFormat="false" ht="29.85" hidden="false" customHeight="false" outlineLevel="0" collapsed="false">
      <c r="A38" s="14" t="s">
        <v>29</v>
      </c>
      <c r="B38" s="14" t="s">
        <v>111</v>
      </c>
      <c r="C38" s="34" t="s">
        <v>114</v>
      </c>
      <c r="D38" s="32" t="n">
        <v>1003</v>
      </c>
      <c r="E38" s="17" t="n">
        <v>48.5</v>
      </c>
      <c r="F38" s="17" t="n">
        <v>41.3</v>
      </c>
      <c r="G38" s="32" t="n">
        <v>3</v>
      </c>
      <c r="H38" s="16" t="n">
        <v>0.299</v>
      </c>
      <c r="I38" s="15" t="n">
        <v>0</v>
      </c>
      <c r="J38" s="15" t="n">
        <v>0</v>
      </c>
      <c r="K38" s="32" t="n">
        <v>35</v>
      </c>
      <c r="L38" s="33" t="n">
        <v>0</v>
      </c>
    </row>
    <row r="39" customFormat="false" ht="29.85" hidden="false" customHeight="false" outlineLevel="0" collapsed="false">
      <c r="A39" s="35" t="s">
        <v>29</v>
      </c>
      <c r="B39" s="35" t="s">
        <v>115</v>
      </c>
      <c r="C39" s="42" t="s">
        <v>116</v>
      </c>
      <c r="D39" s="37" t="n">
        <v>1065</v>
      </c>
      <c r="E39" s="38" t="n">
        <v>58.6</v>
      </c>
      <c r="F39" s="38" t="n">
        <v>40.9</v>
      </c>
      <c r="G39" s="37" t="n">
        <v>3</v>
      </c>
      <c r="H39" s="39" t="n">
        <v>0.282</v>
      </c>
      <c r="I39" s="40" t="n">
        <v>0</v>
      </c>
      <c r="J39" s="40" t="n">
        <v>0</v>
      </c>
      <c r="K39" s="37" t="n">
        <v>25</v>
      </c>
      <c r="L39" s="41" t="n">
        <v>4</v>
      </c>
    </row>
    <row r="40" customFormat="false" ht="29.85" hidden="false" customHeight="false" outlineLevel="0" collapsed="false">
      <c r="A40" s="14" t="s">
        <v>29</v>
      </c>
      <c r="B40" s="14" t="s">
        <v>115</v>
      </c>
      <c r="C40" s="43" t="s">
        <v>117</v>
      </c>
      <c r="D40" s="32" t="n">
        <v>965</v>
      </c>
      <c r="E40" s="17" t="n">
        <v>53.8</v>
      </c>
      <c r="F40" s="17" t="n">
        <v>42.8</v>
      </c>
      <c r="G40" s="32" t="n">
        <v>3</v>
      </c>
      <c r="H40" s="16" t="n">
        <v>0.311</v>
      </c>
      <c r="I40" s="15" t="n">
        <v>0</v>
      </c>
      <c r="J40" s="15" t="n">
        <v>1</v>
      </c>
      <c r="K40" s="32" t="n">
        <v>69</v>
      </c>
      <c r="L40" s="33" t="n">
        <v>1.45</v>
      </c>
    </row>
    <row r="41" customFormat="false" ht="29.85" hidden="false" customHeight="false" outlineLevel="0" collapsed="false">
      <c r="A41" s="35" t="s">
        <v>29</v>
      </c>
      <c r="B41" s="35" t="s">
        <v>115</v>
      </c>
      <c r="C41" s="42" t="s">
        <v>118</v>
      </c>
      <c r="D41" s="37" t="n">
        <v>1144</v>
      </c>
      <c r="E41" s="38" t="n">
        <v>43</v>
      </c>
      <c r="F41" s="38" t="n">
        <v>41.9</v>
      </c>
      <c r="G41" s="37" t="n">
        <v>3</v>
      </c>
      <c r="H41" s="39" t="n">
        <v>0.262</v>
      </c>
      <c r="I41" s="40" t="n">
        <v>0</v>
      </c>
      <c r="J41" s="40" t="n">
        <v>0</v>
      </c>
      <c r="K41" s="37" t="n">
        <v>77</v>
      </c>
      <c r="L41" s="41" t="n">
        <v>2.6</v>
      </c>
    </row>
    <row r="42" customFormat="false" ht="29.85" hidden="false" customHeight="false" outlineLevel="0" collapsed="false">
      <c r="A42" s="14" t="s">
        <v>29</v>
      </c>
      <c r="B42" s="14" t="s">
        <v>115</v>
      </c>
      <c r="C42" s="34" t="s">
        <v>119</v>
      </c>
      <c r="D42" s="32" t="n">
        <v>1037</v>
      </c>
      <c r="E42" s="17" t="n">
        <v>46.6</v>
      </c>
      <c r="F42" s="17" t="n">
        <v>40.7</v>
      </c>
      <c r="G42" s="32" t="n">
        <v>2</v>
      </c>
      <c r="H42" s="16" t="n">
        <v>0.193</v>
      </c>
      <c r="I42" s="15" t="n">
        <v>0</v>
      </c>
      <c r="J42" s="15" t="n">
        <v>0</v>
      </c>
      <c r="K42" s="32" t="n">
        <v>92</v>
      </c>
      <c r="L42" s="33" t="n">
        <v>3.26</v>
      </c>
    </row>
    <row r="43" customFormat="false" ht="29.85" hidden="false" customHeight="false" outlineLevel="0" collapsed="false">
      <c r="A43" s="35" t="s">
        <v>29</v>
      </c>
      <c r="B43" s="35" t="s">
        <v>120</v>
      </c>
      <c r="C43" s="42" t="s">
        <v>121</v>
      </c>
      <c r="D43" s="37" t="n">
        <v>1050</v>
      </c>
      <c r="E43" s="38" t="n">
        <v>45.3</v>
      </c>
      <c r="F43" s="38" t="n">
        <v>41.9</v>
      </c>
      <c r="G43" s="37" t="n">
        <v>2</v>
      </c>
      <c r="H43" s="39" t="n">
        <v>0.19</v>
      </c>
      <c r="I43" s="40" t="n">
        <v>0</v>
      </c>
      <c r="J43" s="40" t="n">
        <v>1</v>
      </c>
      <c r="K43" s="37" t="n">
        <v>20</v>
      </c>
      <c r="L43" s="41" t="n">
        <v>0</v>
      </c>
    </row>
    <row r="44" customFormat="false" ht="29.85" hidden="false" customHeight="false" outlineLevel="0" collapsed="false">
      <c r="A44" s="14" t="s">
        <v>29</v>
      </c>
      <c r="B44" s="14" t="s">
        <v>120</v>
      </c>
      <c r="C44" s="34" t="s">
        <v>122</v>
      </c>
      <c r="D44" s="32" t="n">
        <v>608</v>
      </c>
      <c r="E44" s="17" t="n">
        <v>40.9</v>
      </c>
      <c r="F44" s="17" t="n">
        <v>44</v>
      </c>
      <c r="G44" s="32" t="n">
        <v>0</v>
      </c>
      <c r="H44" s="16" t="n">
        <v>0</v>
      </c>
      <c r="I44" s="15" t="n">
        <v>0</v>
      </c>
      <c r="J44" s="15" t="n">
        <v>0</v>
      </c>
      <c r="K44" s="32" t="n">
        <v>1</v>
      </c>
      <c r="L44" s="33" t="n">
        <v>0</v>
      </c>
    </row>
    <row r="45" customFormat="false" ht="29.85" hidden="false" customHeight="false" outlineLevel="0" collapsed="false">
      <c r="A45" s="35" t="s">
        <v>29</v>
      </c>
      <c r="B45" s="35" t="s">
        <v>120</v>
      </c>
      <c r="C45" s="42" t="s">
        <v>123</v>
      </c>
      <c r="D45" s="37" t="n">
        <v>0</v>
      </c>
      <c r="E45" s="38" t="n">
        <v>0</v>
      </c>
      <c r="F45" s="38"/>
      <c r="G45" s="37" t="n">
        <v>0</v>
      </c>
      <c r="H45" s="39"/>
      <c r="I45" s="40" t="n">
        <v>0</v>
      </c>
      <c r="J45" s="40" t="n">
        <v>0</v>
      </c>
      <c r="K45" s="37" t="n">
        <v>0</v>
      </c>
      <c r="L45" s="41" t="n">
        <v>0</v>
      </c>
    </row>
    <row r="46" customFormat="false" ht="29.85" hidden="false" customHeight="false" outlineLevel="0" collapsed="false">
      <c r="A46" s="14" t="s">
        <v>29</v>
      </c>
      <c r="B46" s="14" t="s">
        <v>120</v>
      </c>
      <c r="C46" s="34" t="s">
        <v>124</v>
      </c>
      <c r="D46" s="32" t="n">
        <v>0</v>
      </c>
      <c r="E46" s="17" t="n">
        <v>0</v>
      </c>
      <c r="F46" s="17"/>
      <c r="G46" s="32" t="n">
        <v>0</v>
      </c>
      <c r="H46" s="16"/>
      <c r="I46" s="15" t="n">
        <v>0</v>
      </c>
      <c r="J46" s="15" t="n">
        <v>0</v>
      </c>
      <c r="K46" s="32" t="n">
        <v>0</v>
      </c>
      <c r="L46" s="33" t="n">
        <v>0</v>
      </c>
    </row>
    <row r="47" customFormat="false" ht="29.85" hidden="false" customHeight="false" outlineLevel="0" collapsed="false">
      <c r="A47" s="35" t="s">
        <v>29</v>
      </c>
      <c r="B47" s="35" t="s">
        <v>125</v>
      </c>
      <c r="C47" s="42" t="s">
        <v>126</v>
      </c>
      <c r="D47" s="37" t="n">
        <v>0</v>
      </c>
      <c r="E47" s="38" t="n">
        <v>0</v>
      </c>
      <c r="F47" s="38"/>
      <c r="G47" s="37" t="n">
        <v>0</v>
      </c>
      <c r="H47" s="39"/>
      <c r="I47" s="40" t="n">
        <v>0</v>
      </c>
      <c r="J47" s="40" t="n">
        <v>0</v>
      </c>
      <c r="K47" s="37" t="n">
        <v>0</v>
      </c>
      <c r="L47" s="41" t="n">
        <v>0</v>
      </c>
    </row>
    <row r="48" customFormat="false" ht="29.85" hidden="false" customHeight="false" outlineLevel="0" collapsed="false">
      <c r="A48" s="14" t="s">
        <v>29</v>
      </c>
      <c r="B48" s="14" t="s">
        <v>125</v>
      </c>
      <c r="C48" s="34" t="s">
        <v>127</v>
      </c>
      <c r="D48" s="32" t="n">
        <v>0</v>
      </c>
      <c r="E48" s="17" t="n">
        <v>0</v>
      </c>
      <c r="F48" s="17"/>
      <c r="G48" s="32" t="n">
        <v>0</v>
      </c>
      <c r="H48" s="16"/>
      <c r="I48" s="15" t="n">
        <v>0</v>
      </c>
      <c r="J48" s="15" t="n">
        <v>0</v>
      </c>
      <c r="K48" s="32" t="n">
        <v>0</v>
      </c>
      <c r="L48" s="33" t="n">
        <v>0</v>
      </c>
    </row>
    <row r="49" customFormat="false" ht="29.85" hidden="false" customHeight="false" outlineLevel="0" collapsed="false">
      <c r="A49" s="35" t="s">
        <v>29</v>
      </c>
      <c r="B49" s="35" t="s">
        <v>125</v>
      </c>
      <c r="C49" s="42" t="s">
        <v>128</v>
      </c>
      <c r="D49" s="37" t="n">
        <v>0</v>
      </c>
      <c r="E49" s="38" t="n">
        <v>0</v>
      </c>
      <c r="F49" s="38"/>
      <c r="G49" s="37" t="n">
        <v>0</v>
      </c>
      <c r="H49" s="39"/>
      <c r="I49" s="40" t="n">
        <v>0</v>
      </c>
      <c r="J49" s="40" t="n">
        <v>0</v>
      </c>
      <c r="K49" s="37" t="n">
        <v>0</v>
      </c>
      <c r="L49" s="41" t="n">
        <v>0</v>
      </c>
    </row>
    <row r="50" customFormat="false" ht="29.85" hidden="false" customHeight="false" outlineLevel="0" collapsed="false">
      <c r="A50" s="14" t="s">
        <v>29</v>
      </c>
      <c r="B50" s="14" t="s">
        <v>125</v>
      </c>
      <c r="C50" s="34" t="s">
        <v>129</v>
      </c>
      <c r="D50" s="32" t="n">
        <v>0</v>
      </c>
      <c r="E50" s="17" t="n">
        <v>0</v>
      </c>
      <c r="F50" s="17"/>
      <c r="G50" s="32" t="n">
        <v>0</v>
      </c>
      <c r="H50" s="16"/>
      <c r="I50" s="15" t="n">
        <v>0</v>
      </c>
      <c r="J50" s="15" t="n">
        <v>0</v>
      </c>
      <c r="K50" s="32" t="n">
        <v>0</v>
      </c>
      <c r="L50" s="33" t="n">
        <v>0</v>
      </c>
    </row>
    <row r="51" customFormat="false" ht="29.85" hidden="false" customHeight="false" outlineLevel="0" collapsed="false">
      <c r="A51" s="35" t="s">
        <v>29</v>
      </c>
      <c r="B51" s="35" t="s">
        <v>130</v>
      </c>
      <c r="C51" s="42" t="s">
        <v>131</v>
      </c>
      <c r="D51" s="37" t="n">
        <v>0</v>
      </c>
      <c r="E51" s="38" t="n">
        <v>0</v>
      </c>
      <c r="F51" s="38"/>
      <c r="G51" s="37" t="n">
        <v>0</v>
      </c>
      <c r="H51" s="39"/>
      <c r="I51" s="40" t="n">
        <v>0</v>
      </c>
      <c r="J51" s="40" t="n">
        <v>0</v>
      </c>
      <c r="K51" s="37" t="n">
        <v>0</v>
      </c>
      <c r="L51" s="41" t="n">
        <v>0</v>
      </c>
    </row>
    <row r="52" customFormat="false" ht="29.85" hidden="false" customHeight="false" outlineLevel="0" collapsed="false">
      <c r="A52" s="14" t="s">
        <v>29</v>
      </c>
      <c r="B52" s="14" t="s">
        <v>130</v>
      </c>
      <c r="C52" s="34" t="s">
        <v>132</v>
      </c>
      <c r="D52" s="32" t="n">
        <v>0</v>
      </c>
      <c r="E52" s="17" t="n">
        <v>0</v>
      </c>
      <c r="F52" s="17"/>
      <c r="G52" s="32" t="n">
        <v>0</v>
      </c>
      <c r="H52" s="16"/>
      <c r="I52" s="15" t="n">
        <v>0</v>
      </c>
      <c r="J52" s="15" t="n">
        <v>0</v>
      </c>
      <c r="K52" s="32" t="n">
        <v>0</v>
      </c>
      <c r="L52" s="33" t="n">
        <v>0</v>
      </c>
    </row>
    <row r="53" customFormat="false" ht="29.85" hidden="false" customHeight="false" outlineLevel="0" collapsed="false">
      <c r="A53" s="35" t="s">
        <v>29</v>
      </c>
      <c r="B53" s="35" t="s">
        <v>130</v>
      </c>
      <c r="C53" s="42" t="s">
        <v>133</v>
      </c>
      <c r="D53" s="37" t="n">
        <v>0</v>
      </c>
      <c r="E53" s="38" t="n">
        <v>0</v>
      </c>
      <c r="F53" s="38"/>
      <c r="G53" s="37" t="n">
        <v>0</v>
      </c>
      <c r="H53" s="39"/>
      <c r="I53" s="40" t="n">
        <v>0</v>
      </c>
      <c r="J53" s="40" t="n">
        <v>0</v>
      </c>
      <c r="K53" s="37" t="n">
        <v>0</v>
      </c>
      <c r="L53" s="41" t="n">
        <v>0</v>
      </c>
    </row>
    <row r="54" customFormat="false" ht="15" hidden="false" customHeight="false" outlineLevel="0" collapsed="false">
      <c r="A54" s="14" t="s">
        <v>23</v>
      </c>
      <c r="B54" s="14" t="s">
        <v>72</v>
      </c>
      <c r="C54" s="18" t="s">
        <v>134</v>
      </c>
      <c r="D54" s="32" t="n">
        <v>891</v>
      </c>
      <c r="E54" s="17" t="n">
        <v>40.5</v>
      </c>
      <c r="F54" s="17" t="n">
        <v>29.7</v>
      </c>
      <c r="G54" s="32" t="n">
        <v>10</v>
      </c>
      <c r="H54" s="16" t="n">
        <v>1.122</v>
      </c>
      <c r="I54" s="15" t="n">
        <v>0</v>
      </c>
      <c r="J54" s="15" t="n">
        <v>1</v>
      </c>
      <c r="K54" s="32" t="n">
        <v>99</v>
      </c>
      <c r="L54" s="33" t="n">
        <v>0</v>
      </c>
    </row>
    <row r="55" customFormat="false" ht="15" hidden="false" customHeight="false" outlineLevel="0" collapsed="false">
      <c r="A55" s="35" t="s">
        <v>23</v>
      </c>
      <c r="B55" s="35" t="s">
        <v>74</v>
      </c>
      <c r="C55" s="36" t="s">
        <v>135</v>
      </c>
      <c r="D55" s="37" t="n">
        <v>707</v>
      </c>
      <c r="E55" s="38" t="n">
        <v>38.5</v>
      </c>
      <c r="F55" s="38" t="n">
        <v>31.2</v>
      </c>
      <c r="G55" s="37" t="n">
        <v>3</v>
      </c>
      <c r="H55" s="39" t="n">
        <v>0.424</v>
      </c>
      <c r="I55" s="40" t="n">
        <v>0</v>
      </c>
      <c r="J55" s="40" t="n">
        <v>0</v>
      </c>
      <c r="K55" s="37" t="n">
        <v>27</v>
      </c>
      <c r="L55" s="41" t="n">
        <v>3.7</v>
      </c>
    </row>
    <row r="56" customFormat="false" ht="15" hidden="false" customHeight="false" outlineLevel="0" collapsed="false">
      <c r="A56" s="14" t="s">
        <v>23</v>
      </c>
      <c r="B56" s="14" t="s">
        <v>74</v>
      </c>
      <c r="C56" s="18" t="s">
        <v>136</v>
      </c>
      <c r="D56" s="32" t="n">
        <v>879</v>
      </c>
      <c r="E56" s="17" t="n">
        <v>58.8</v>
      </c>
      <c r="F56" s="17" t="n">
        <v>30.6</v>
      </c>
      <c r="G56" s="32" t="n">
        <v>5</v>
      </c>
      <c r="H56" s="16" t="n">
        <v>0.569</v>
      </c>
      <c r="I56" s="15" t="n">
        <v>0</v>
      </c>
      <c r="J56" s="15" t="n">
        <v>0</v>
      </c>
      <c r="K56" s="32" t="n">
        <v>54</v>
      </c>
      <c r="L56" s="33" t="n">
        <v>0</v>
      </c>
    </row>
    <row r="57" customFormat="false" ht="15" hidden="false" customHeight="false" outlineLevel="0" collapsed="false">
      <c r="A57" s="35" t="s">
        <v>23</v>
      </c>
      <c r="B57" s="35" t="s">
        <v>74</v>
      </c>
      <c r="C57" s="36" t="s">
        <v>137</v>
      </c>
      <c r="D57" s="37" t="n">
        <v>1073</v>
      </c>
      <c r="E57" s="38" t="n">
        <v>37</v>
      </c>
      <c r="F57" s="38" t="n">
        <v>32.5</v>
      </c>
      <c r="G57" s="37" t="n">
        <v>8</v>
      </c>
      <c r="H57" s="39" t="n">
        <v>0.746</v>
      </c>
      <c r="I57" s="40" t="n">
        <v>0</v>
      </c>
      <c r="J57" s="40" t="n">
        <v>0</v>
      </c>
      <c r="K57" s="37" t="n">
        <v>104</v>
      </c>
      <c r="L57" s="41" t="n">
        <v>0</v>
      </c>
    </row>
    <row r="58" customFormat="false" ht="15" hidden="false" customHeight="false" outlineLevel="0" collapsed="false">
      <c r="A58" s="14" t="s">
        <v>23</v>
      </c>
      <c r="B58" s="14" t="s">
        <v>78</v>
      </c>
      <c r="C58" s="18" t="s">
        <v>138</v>
      </c>
      <c r="D58" s="32" t="n">
        <v>1009</v>
      </c>
      <c r="E58" s="17" t="n">
        <v>90.4</v>
      </c>
      <c r="F58" s="17" t="n">
        <v>34.3</v>
      </c>
      <c r="G58" s="32" t="n">
        <v>4</v>
      </c>
      <c r="H58" s="16" t="n">
        <v>0.396</v>
      </c>
      <c r="I58" s="15" t="n">
        <v>0</v>
      </c>
      <c r="J58" s="15" t="n">
        <v>0</v>
      </c>
      <c r="K58" s="32" t="n">
        <v>28</v>
      </c>
      <c r="L58" s="33" t="n">
        <v>0</v>
      </c>
    </row>
    <row r="59" customFormat="false" ht="15" hidden="false" customHeight="false" outlineLevel="0" collapsed="false">
      <c r="A59" s="35" t="s">
        <v>23</v>
      </c>
      <c r="B59" s="35" t="s">
        <v>78</v>
      </c>
      <c r="C59" s="36" t="s">
        <v>139</v>
      </c>
      <c r="D59" s="37" t="n">
        <v>1129</v>
      </c>
      <c r="E59" s="38" t="n">
        <v>121</v>
      </c>
      <c r="F59" s="38" t="n">
        <v>35.5</v>
      </c>
      <c r="G59" s="37" t="n">
        <v>5</v>
      </c>
      <c r="H59" s="39" t="n">
        <v>0.443</v>
      </c>
      <c r="I59" s="40" t="n">
        <v>0</v>
      </c>
      <c r="J59" s="40" t="n">
        <v>0</v>
      </c>
      <c r="K59" s="37" t="n">
        <v>36</v>
      </c>
      <c r="L59" s="41" t="n">
        <v>0</v>
      </c>
    </row>
    <row r="60" customFormat="false" ht="15" hidden="false" customHeight="false" outlineLevel="0" collapsed="false">
      <c r="A60" s="14" t="s">
        <v>23</v>
      </c>
      <c r="B60" s="14" t="s">
        <v>78</v>
      </c>
      <c r="C60" s="18" t="s">
        <v>140</v>
      </c>
      <c r="D60" s="32" t="n">
        <v>1005</v>
      </c>
      <c r="E60" s="17" t="n">
        <v>41.8</v>
      </c>
      <c r="F60" s="17" t="n">
        <v>33.5</v>
      </c>
      <c r="G60" s="32" t="n">
        <v>13</v>
      </c>
      <c r="H60" s="16" t="n">
        <v>1.294</v>
      </c>
      <c r="I60" s="15" t="n">
        <v>0</v>
      </c>
      <c r="J60" s="15" t="n">
        <v>1</v>
      </c>
      <c r="K60" s="32" t="n">
        <v>61</v>
      </c>
      <c r="L60" s="33" t="n">
        <v>0</v>
      </c>
    </row>
    <row r="61" customFormat="false" ht="15" hidden="false" customHeight="false" outlineLevel="0" collapsed="false">
      <c r="A61" s="35" t="s">
        <v>23</v>
      </c>
      <c r="B61" s="35" t="s">
        <v>82</v>
      </c>
      <c r="C61" s="36" t="s">
        <v>141</v>
      </c>
      <c r="D61" s="37" t="n">
        <v>904</v>
      </c>
      <c r="E61" s="38" t="n">
        <v>109.7</v>
      </c>
      <c r="F61" s="38" t="n">
        <v>33.7</v>
      </c>
      <c r="G61" s="37" t="n">
        <v>7</v>
      </c>
      <c r="H61" s="39" t="n">
        <v>0.774</v>
      </c>
      <c r="I61" s="40" t="n">
        <v>1</v>
      </c>
      <c r="J61" s="40" t="n">
        <v>0</v>
      </c>
      <c r="K61" s="37" t="n">
        <v>54</v>
      </c>
      <c r="L61" s="41" t="n">
        <v>0</v>
      </c>
    </row>
    <row r="62" customFormat="false" ht="29.85" hidden="false" customHeight="false" outlineLevel="0" collapsed="false">
      <c r="A62" s="14" t="s">
        <v>23</v>
      </c>
      <c r="B62" s="14" t="s">
        <v>82</v>
      </c>
      <c r="C62" s="34" t="s">
        <v>142</v>
      </c>
      <c r="D62" s="32" t="n">
        <v>927</v>
      </c>
      <c r="E62" s="17" t="n">
        <v>51.5</v>
      </c>
      <c r="F62" s="17" t="n">
        <v>35</v>
      </c>
      <c r="G62" s="32" t="n">
        <v>5</v>
      </c>
      <c r="H62" s="16" t="n">
        <v>0.539</v>
      </c>
      <c r="I62" s="15" t="n">
        <v>0</v>
      </c>
      <c r="J62" s="15" t="n">
        <v>0</v>
      </c>
      <c r="K62" s="32" t="n">
        <v>49</v>
      </c>
      <c r="L62" s="33" t="n">
        <v>0</v>
      </c>
    </row>
    <row r="63" customFormat="false" ht="15" hidden="false" customHeight="false" outlineLevel="0" collapsed="false">
      <c r="A63" s="35" t="s">
        <v>23</v>
      </c>
      <c r="B63" s="35" t="s">
        <v>82</v>
      </c>
      <c r="C63" s="36" t="s">
        <v>143</v>
      </c>
      <c r="D63" s="37" t="n">
        <v>0</v>
      </c>
      <c r="E63" s="38" t="n">
        <v>0</v>
      </c>
      <c r="F63" s="38"/>
      <c r="G63" s="37" t="n">
        <v>0</v>
      </c>
      <c r="H63" s="39"/>
      <c r="I63" s="40" t="n">
        <v>0</v>
      </c>
      <c r="J63" s="40" t="n">
        <v>0</v>
      </c>
      <c r="K63" s="37" t="n">
        <v>12</v>
      </c>
      <c r="L63" s="41" t="n">
        <v>0</v>
      </c>
    </row>
    <row r="64" customFormat="false" ht="29.85" hidden="false" customHeight="false" outlineLevel="0" collapsed="false">
      <c r="A64" s="14" t="s">
        <v>23</v>
      </c>
      <c r="B64" s="14" t="s">
        <v>86</v>
      </c>
      <c r="C64" s="34" t="s">
        <v>144</v>
      </c>
      <c r="D64" s="32" t="n">
        <v>975</v>
      </c>
      <c r="E64" s="17" t="n">
        <v>40.3</v>
      </c>
      <c r="F64" s="17" t="n">
        <v>32.3</v>
      </c>
      <c r="G64" s="32" t="n">
        <v>10</v>
      </c>
      <c r="H64" s="16" t="n">
        <v>1.026</v>
      </c>
      <c r="I64" s="15" t="n">
        <v>0</v>
      </c>
      <c r="J64" s="15" t="n">
        <v>0</v>
      </c>
      <c r="K64" s="32" t="n">
        <v>52</v>
      </c>
      <c r="L64" s="33" t="n">
        <v>0</v>
      </c>
    </row>
    <row r="65" customFormat="false" ht="15" hidden="false" customHeight="false" outlineLevel="0" collapsed="false">
      <c r="A65" s="35" t="s">
        <v>23</v>
      </c>
      <c r="B65" s="35" t="s">
        <v>86</v>
      </c>
      <c r="C65" s="36" t="s">
        <v>145</v>
      </c>
      <c r="D65" s="37" t="n">
        <v>950</v>
      </c>
      <c r="E65" s="38" t="n">
        <v>42.6</v>
      </c>
      <c r="F65" s="38" t="n">
        <v>32.8</v>
      </c>
      <c r="G65" s="37" t="n">
        <v>12</v>
      </c>
      <c r="H65" s="39" t="n">
        <v>1.263</v>
      </c>
      <c r="I65" s="40" t="n">
        <v>0</v>
      </c>
      <c r="J65" s="40" t="n">
        <v>2</v>
      </c>
      <c r="K65" s="37" t="n">
        <v>96</v>
      </c>
      <c r="L65" s="41" t="n">
        <v>1.04</v>
      </c>
    </row>
    <row r="66" customFormat="false" ht="29.85" hidden="false" customHeight="false" outlineLevel="0" collapsed="false">
      <c r="A66" s="14" t="s">
        <v>23</v>
      </c>
      <c r="B66" s="14" t="s">
        <v>86</v>
      </c>
      <c r="C66" s="34" t="s">
        <v>146</v>
      </c>
      <c r="D66" s="32" t="n">
        <v>1116</v>
      </c>
      <c r="E66" s="17" t="n">
        <v>46.5</v>
      </c>
      <c r="F66" s="17" t="n">
        <v>34.4</v>
      </c>
      <c r="G66" s="32" t="n">
        <v>10</v>
      </c>
      <c r="H66" s="16" t="n">
        <v>0.896</v>
      </c>
      <c r="I66" s="15" t="n">
        <v>0</v>
      </c>
      <c r="J66" s="15" t="n">
        <v>0</v>
      </c>
      <c r="K66" s="32" t="n">
        <v>39</v>
      </c>
      <c r="L66" s="33" t="n">
        <v>0</v>
      </c>
    </row>
    <row r="67" customFormat="false" ht="15" hidden="false" customHeight="false" outlineLevel="0" collapsed="false">
      <c r="A67" s="35" t="s">
        <v>23</v>
      </c>
      <c r="B67" s="35" t="s">
        <v>90</v>
      </c>
      <c r="C67" s="36" t="s">
        <v>147</v>
      </c>
      <c r="D67" s="37" t="n">
        <v>1052</v>
      </c>
      <c r="E67" s="38" t="n">
        <v>45.9</v>
      </c>
      <c r="F67" s="38" t="n">
        <v>32.7</v>
      </c>
      <c r="G67" s="37" t="n">
        <v>15</v>
      </c>
      <c r="H67" s="39" t="n">
        <v>1.426</v>
      </c>
      <c r="I67" s="40" t="n">
        <v>0</v>
      </c>
      <c r="J67" s="40" t="n">
        <v>0</v>
      </c>
      <c r="K67" s="37" t="n">
        <v>123</v>
      </c>
      <c r="L67" s="41" t="n">
        <v>1.63</v>
      </c>
    </row>
    <row r="68" customFormat="false" ht="15" hidden="false" customHeight="false" outlineLevel="0" collapsed="false">
      <c r="A68" s="14" t="s">
        <v>23</v>
      </c>
      <c r="B68" s="14" t="s">
        <v>90</v>
      </c>
      <c r="C68" s="18" t="s">
        <v>148</v>
      </c>
      <c r="D68" s="32" t="n">
        <v>912</v>
      </c>
      <c r="E68" s="17" t="n">
        <v>69</v>
      </c>
      <c r="F68" s="17" t="n">
        <v>31.9</v>
      </c>
      <c r="G68" s="32" t="n">
        <v>12</v>
      </c>
      <c r="H68" s="16" t="n">
        <v>1.316</v>
      </c>
      <c r="I68" s="15" t="n">
        <v>0</v>
      </c>
      <c r="J68" s="15" t="n">
        <v>3</v>
      </c>
      <c r="K68" s="32" t="n">
        <v>24</v>
      </c>
      <c r="L68" s="33" t="n">
        <v>0</v>
      </c>
    </row>
    <row r="69" customFormat="false" ht="15" hidden="false" customHeight="false" outlineLevel="0" collapsed="false">
      <c r="A69" s="35" t="s">
        <v>23</v>
      </c>
      <c r="B69" s="35" t="s">
        <v>93</v>
      </c>
      <c r="C69" s="36" t="s">
        <v>149</v>
      </c>
      <c r="D69" s="37" t="n">
        <v>1138</v>
      </c>
      <c r="E69" s="38" t="n">
        <v>38.1</v>
      </c>
      <c r="F69" s="38" t="n">
        <v>28.9</v>
      </c>
      <c r="G69" s="37" t="n">
        <v>15</v>
      </c>
      <c r="H69" s="39" t="n">
        <v>1.318</v>
      </c>
      <c r="I69" s="40" t="n">
        <v>0</v>
      </c>
      <c r="J69" s="40" t="n">
        <v>2</v>
      </c>
      <c r="K69" s="37" t="n">
        <v>24</v>
      </c>
      <c r="L69" s="41" t="n">
        <v>0</v>
      </c>
    </row>
    <row r="70" customFormat="false" ht="15" hidden="false" customHeight="false" outlineLevel="0" collapsed="false">
      <c r="A70" s="14" t="s">
        <v>23</v>
      </c>
      <c r="B70" s="14" t="s">
        <v>111</v>
      </c>
      <c r="C70" s="18" t="s">
        <v>150</v>
      </c>
      <c r="D70" s="32" t="n">
        <v>977</v>
      </c>
      <c r="E70" s="17" t="n">
        <v>47</v>
      </c>
      <c r="F70" s="17" t="n">
        <v>31.9</v>
      </c>
      <c r="G70" s="32" t="n">
        <v>12</v>
      </c>
      <c r="H70" s="16" t="n">
        <v>1.228</v>
      </c>
      <c r="I70" s="15" t="n">
        <v>0</v>
      </c>
      <c r="J70" s="15" t="n">
        <v>0</v>
      </c>
      <c r="K70" s="32" t="n">
        <v>36</v>
      </c>
      <c r="L70" s="33" t="n">
        <v>2.78</v>
      </c>
    </row>
    <row r="71" customFormat="false" ht="29.85" hidden="false" customHeight="false" outlineLevel="0" collapsed="false">
      <c r="A71" s="35" t="s">
        <v>23</v>
      </c>
      <c r="B71" s="35" t="s">
        <v>111</v>
      </c>
      <c r="C71" s="42" t="s">
        <v>151</v>
      </c>
      <c r="D71" s="37" t="n">
        <v>988</v>
      </c>
      <c r="E71" s="38" t="n">
        <v>42.5</v>
      </c>
      <c r="F71" s="38" t="n">
        <v>35.3</v>
      </c>
      <c r="G71" s="37" t="n">
        <v>4</v>
      </c>
      <c r="H71" s="39" t="n">
        <v>0.405</v>
      </c>
      <c r="I71" s="40" t="n">
        <v>0</v>
      </c>
      <c r="J71" s="40" t="n">
        <v>0</v>
      </c>
      <c r="K71" s="37" t="n">
        <v>132</v>
      </c>
      <c r="L71" s="41" t="n">
        <v>0.76</v>
      </c>
    </row>
    <row r="72" customFormat="false" ht="29.85" hidden="false" customHeight="false" outlineLevel="0" collapsed="false">
      <c r="A72" s="14" t="s">
        <v>23</v>
      </c>
      <c r="B72" s="14" t="s">
        <v>115</v>
      </c>
      <c r="C72" s="34" t="s">
        <v>152</v>
      </c>
      <c r="D72" s="32" t="n">
        <v>1102</v>
      </c>
      <c r="E72" s="17" t="n">
        <v>44.4</v>
      </c>
      <c r="F72" s="17" t="n">
        <v>36.1</v>
      </c>
      <c r="G72" s="32" t="n">
        <v>11</v>
      </c>
      <c r="H72" s="16" t="n">
        <v>0.998</v>
      </c>
      <c r="I72" s="15" t="n">
        <v>1</v>
      </c>
      <c r="J72" s="15" t="n">
        <v>0</v>
      </c>
      <c r="K72" s="32" t="n">
        <v>37</v>
      </c>
      <c r="L72" s="33" t="n">
        <v>0</v>
      </c>
    </row>
    <row r="73" customFormat="false" ht="29.85" hidden="false" customHeight="false" outlineLevel="0" collapsed="false">
      <c r="A73" s="35" t="s">
        <v>23</v>
      </c>
      <c r="B73" s="35" t="s">
        <v>115</v>
      </c>
      <c r="C73" s="42" t="s">
        <v>153</v>
      </c>
      <c r="D73" s="37" t="n">
        <v>989</v>
      </c>
      <c r="E73" s="38" t="n">
        <v>39.9</v>
      </c>
      <c r="F73" s="38" t="n">
        <v>32.6</v>
      </c>
      <c r="G73" s="37" t="n">
        <v>8</v>
      </c>
      <c r="H73" s="39" t="n">
        <v>0.809</v>
      </c>
      <c r="I73" s="40" t="n">
        <v>0</v>
      </c>
      <c r="J73" s="40" t="n">
        <v>1</v>
      </c>
      <c r="K73" s="37" t="n">
        <v>44</v>
      </c>
      <c r="L73" s="41" t="n">
        <v>0</v>
      </c>
    </row>
    <row r="74" customFormat="false" ht="29.85" hidden="false" customHeight="false" outlineLevel="0" collapsed="false">
      <c r="A74" s="14" t="s">
        <v>23</v>
      </c>
      <c r="B74" s="14" t="s">
        <v>115</v>
      </c>
      <c r="C74" s="34" t="s">
        <v>154</v>
      </c>
      <c r="D74" s="32" t="n">
        <v>870</v>
      </c>
      <c r="E74" s="17" t="n">
        <v>37.9</v>
      </c>
      <c r="F74" s="17" t="n">
        <v>34.3</v>
      </c>
      <c r="G74" s="32" t="n">
        <v>9</v>
      </c>
      <c r="H74" s="16" t="n">
        <v>1.034</v>
      </c>
      <c r="I74" s="15" t="n">
        <v>0</v>
      </c>
      <c r="J74" s="15" t="n">
        <v>2</v>
      </c>
      <c r="K74" s="32" t="n">
        <v>10</v>
      </c>
      <c r="L74" s="33" t="n">
        <v>0</v>
      </c>
    </row>
    <row r="75" customFormat="false" ht="15" hidden="false" customHeight="false" outlineLevel="0" collapsed="false">
      <c r="A75" s="35" t="s">
        <v>23</v>
      </c>
      <c r="B75" s="35" t="s">
        <v>115</v>
      </c>
      <c r="C75" s="36" t="s">
        <v>155</v>
      </c>
      <c r="D75" s="37" t="n">
        <v>856</v>
      </c>
      <c r="E75" s="38" t="n">
        <v>66.7</v>
      </c>
      <c r="F75" s="38" t="n">
        <v>33</v>
      </c>
      <c r="G75" s="37" t="n">
        <v>7</v>
      </c>
      <c r="H75" s="39" t="n">
        <v>0.818</v>
      </c>
      <c r="I75" s="40" t="n">
        <v>0</v>
      </c>
      <c r="J75" s="40" t="n">
        <v>0</v>
      </c>
      <c r="K75" s="37" t="n">
        <v>2</v>
      </c>
      <c r="L75" s="41" t="n">
        <v>0</v>
      </c>
    </row>
    <row r="76" customFormat="false" ht="29.85" hidden="false" customHeight="false" outlineLevel="0" collapsed="false">
      <c r="A76" s="14" t="s">
        <v>23</v>
      </c>
      <c r="B76" s="14" t="s">
        <v>120</v>
      </c>
      <c r="C76" s="34" t="s">
        <v>156</v>
      </c>
      <c r="D76" s="32" t="n">
        <v>521</v>
      </c>
      <c r="E76" s="17" t="n">
        <v>34.4</v>
      </c>
      <c r="F76" s="17" t="n">
        <v>34.9</v>
      </c>
      <c r="G76" s="32" t="n">
        <v>6</v>
      </c>
      <c r="H76" s="16" t="n">
        <v>1.152</v>
      </c>
      <c r="I76" s="15" t="n">
        <v>0</v>
      </c>
      <c r="J76" s="15" t="n">
        <v>0</v>
      </c>
      <c r="K76" s="32" t="n">
        <v>1</v>
      </c>
      <c r="L76" s="33" t="n">
        <v>0</v>
      </c>
    </row>
    <row r="77" customFormat="false" ht="29.85" hidden="false" customHeight="false" outlineLevel="0" collapsed="false">
      <c r="A77" s="35" t="s">
        <v>23</v>
      </c>
      <c r="B77" s="35" t="s">
        <v>120</v>
      </c>
      <c r="C77" s="42" t="s">
        <v>157</v>
      </c>
      <c r="D77" s="37" t="n">
        <v>0</v>
      </c>
      <c r="E77" s="38" t="n">
        <v>0</v>
      </c>
      <c r="F77" s="38"/>
      <c r="G77" s="37" t="n">
        <v>0</v>
      </c>
      <c r="H77" s="39"/>
      <c r="I77" s="40" t="n">
        <v>0</v>
      </c>
      <c r="J77" s="40" t="n">
        <v>0</v>
      </c>
      <c r="K77" s="37" t="n">
        <v>0</v>
      </c>
      <c r="L77" s="41" t="n">
        <v>0</v>
      </c>
    </row>
    <row r="78" customFormat="false" ht="29.85" hidden="false" customHeight="false" outlineLevel="0" collapsed="false">
      <c r="A78" s="14" t="s">
        <v>23</v>
      </c>
      <c r="B78" s="14" t="s">
        <v>120</v>
      </c>
      <c r="C78" s="34" t="s">
        <v>158</v>
      </c>
      <c r="D78" s="32" t="n">
        <v>0</v>
      </c>
      <c r="E78" s="17" t="n">
        <v>0</v>
      </c>
      <c r="F78" s="17"/>
      <c r="G78" s="32" t="n">
        <v>0</v>
      </c>
      <c r="H78" s="16"/>
      <c r="I78" s="15" t="n">
        <v>0</v>
      </c>
      <c r="J78" s="15" t="n">
        <v>0</v>
      </c>
      <c r="K78" s="32" t="n">
        <v>0</v>
      </c>
      <c r="L78" s="33" t="n">
        <v>0</v>
      </c>
    </row>
    <row r="79" customFormat="false" ht="29.85" hidden="false" customHeight="false" outlineLevel="0" collapsed="false">
      <c r="A79" s="35" t="s">
        <v>23</v>
      </c>
      <c r="B79" s="35" t="s">
        <v>125</v>
      </c>
      <c r="C79" s="42" t="s">
        <v>159</v>
      </c>
      <c r="D79" s="37" t="n">
        <v>0</v>
      </c>
      <c r="E79" s="38" t="n">
        <v>0</v>
      </c>
      <c r="F79" s="38"/>
      <c r="G79" s="37" t="n">
        <v>0</v>
      </c>
      <c r="H79" s="39"/>
      <c r="I79" s="40" t="n">
        <v>0</v>
      </c>
      <c r="J79" s="40" t="n">
        <v>0</v>
      </c>
      <c r="K79" s="37" t="n">
        <v>0</v>
      </c>
      <c r="L79" s="41" t="n">
        <v>0</v>
      </c>
    </row>
    <row r="80" customFormat="false" ht="29.85" hidden="false" customHeight="false" outlineLevel="0" collapsed="false">
      <c r="A80" s="14" t="s">
        <v>23</v>
      </c>
      <c r="B80" s="14" t="s">
        <v>125</v>
      </c>
      <c r="C80" s="34" t="s">
        <v>160</v>
      </c>
      <c r="D80" s="32" t="n">
        <v>0</v>
      </c>
      <c r="E80" s="17" t="n">
        <v>0</v>
      </c>
      <c r="F80" s="17"/>
      <c r="G80" s="32" t="n">
        <v>0</v>
      </c>
      <c r="H80" s="16"/>
      <c r="I80" s="15" t="n">
        <v>0</v>
      </c>
      <c r="J80" s="15" t="n">
        <v>0</v>
      </c>
      <c r="K80" s="32" t="n">
        <v>0</v>
      </c>
      <c r="L80" s="33" t="n">
        <v>0</v>
      </c>
    </row>
    <row r="81" customFormat="false" ht="15" hidden="false" customHeight="false" outlineLevel="0" collapsed="false">
      <c r="A81" s="35" t="s">
        <v>23</v>
      </c>
      <c r="B81" s="35" t="s">
        <v>125</v>
      </c>
      <c r="C81" s="36" t="s">
        <v>161</v>
      </c>
      <c r="D81" s="37" t="n">
        <v>0</v>
      </c>
      <c r="E81" s="38" t="n">
        <v>0</v>
      </c>
      <c r="F81" s="38"/>
      <c r="G81" s="37" t="n">
        <v>0</v>
      </c>
      <c r="H81" s="39"/>
      <c r="I81" s="40" t="n">
        <v>0</v>
      </c>
      <c r="J81" s="40" t="n">
        <v>0</v>
      </c>
      <c r="K81" s="37" t="n">
        <v>0</v>
      </c>
      <c r="L81" s="41" t="n">
        <v>0</v>
      </c>
    </row>
    <row r="82" customFormat="false" ht="29.85" hidden="false" customHeight="false" outlineLevel="0" collapsed="false">
      <c r="A82" s="14" t="s">
        <v>23</v>
      </c>
      <c r="B82" s="14" t="s">
        <v>130</v>
      </c>
      <c r="C82" s="34" t="s">
        <v>162</v>
      </c>
      <c r="D82" s="32" t="n">
        <v>0</v>
      </c>
      <c r="E82" s="17" t="n">
        <v>0</v>
      </c>
      <c r="F82" s="17"/>
      <c r="G82" s="32" t="n">
        <v>0</v>
      </c>
      <c r="H82" s="16"/>
      <c r="I82" s="15" t="n">
        <v>0</v>
      </c>
      <c r="J82" s="15" t="n">
        <v>0</v>
      </c>
      <c r="K82" s="32" t="n">
        <v>0</v>
      </c>
      <c r="L82" s="33" t="n">
        <v>0</v>
      </c>
    </row>
    <row r="83" customFormat="false" ht="29.85" hidden="false" customHeight="false" outlineLevel="0" collapsed="false">
      <c r="A83" s="35" t="s">
        <v>23</v>
      </c>
      <c r="B83" s="35" t="s">
        <v>130</v>
      </c>
      <c r="C83" s="42" t="s">
        <v>163</v>
      </c>
      <c r="D83" s="37" t="n">
        <v>0</v>
      </c>
      <c r="E83" s="38" t="n">
        <v>0</v>
      </c>
      <c r="F83" s="38"/>
      <c r="G83" s="37" t="n">
        <v>0</v>
      </c>
      <c r="H83" s="39"/>
      <c r="I83" s="40" t="n">
        <v>0</v>
      </c>
      <c r="J83" s="40" t="n">
        <v>0</v>
      </c>
      <c r="K83" s="37" t="n">
        <v>0</v>
      </c>
      <c r="L83" s="41" t="n">
        <v>0</v>
      </c>
    </row>
    <row r="84" customFormat="false" ht="15" hidden="false" customHeight="false" outlineLevel="0" collapsed="false">
      <c r="A84" s="14" t="s">
        <v>23</v>
      </c>
      <c r="B84" s="14" t="s">
        <v>130</v>
      </c>
      <c r="C84" s="18" t="s">
        <v>164</v>
      </c>
      <c r="D84" s="32" t="n">
        <v>0</v>
      </c>
      <c r="E84" s="17" t="n">
        <v>0</v>
      </c>
      <c r="F84" s="17"/>
      <c r="G84" s="32" t="n">
        <v>0</v>
      </c>
      <c r="H84" s="16"/>
      <c r="I84" s="15" t="n">
        <v>0</v>
      </c>
      <c r="J84" s="15" t="n">
        <v>0</v>
      </c>
      <c r="K84" s="32" t="n">
        <v>0</v>
      </c>
      <c r="L84" s="33" t="n">
        <v>0</v>
      </c>
    </row>
    <row r="85" customFormat="false" ht="15" hidden="false" customHeight="false" outlineLevel="0" collapsed="false">
      <c r="A85" s="35" t="s">
        <v>25</v>
      </c>
      <c r="B85" s="35" t="s">
        <v>165</v>
      </c>
      <c r="C85" s="35" t="s">
        <v>166</v>
      </c>
      <c r="D85" s="37" t="n">
        <v>940</v>
      </c>
      <c r="E85" s="38" t="n">
        <v>38.5</v>
      </c>
      <c r="F85" s="38" t="n">
        <v>26</v>
      </c>
      <c r="G85" s="37" t="n">
        <v>1</v>
      </c>
      <c r="H85" s="39" t="n">
        <v>0.106</v>
      </c>
      <c r="I85" s="40" t="n">
        <v>0</v>
      </c>
      <c r="J85" s="40" t="n">
        <v>1</v>
      </c>
      <c r="K85" s="37" t="n">
        <v>182</v>
      </c>
      <c r="L85" s="41" t="n">
        <v>0.55</v>
      </c>
    </row>
    <row r="86" customFormat="false" ht="15" hidden="false" customHeight="false" outlineLevel="0" collapsed="false">
      <c r="A86" s="14" t="s">
        <v>25</v>
      </c>
      <c r="B86" s="14" t="s">
        <v>72</v>
      </c>
      <c r="C86" s="43" t="s">
        <v>167</v>
      </c>
      <c r="D86" s="32" t="n">
        <v>910</v>
      </c>
      <c r="E86" s="17" t="n">
        <v>37</v>
      </c>
      <c r="F86" s="17" t="n">
        <v>29.7</v>
      </c>
      <c r="G86" s="32" t="n">
        <v>6</v>
      </c>
      <c r="H86" s="16" t="n">
        <v>0.659</v>
      </c>
      <c r="I86" s="15" t="n">
        <v>0</v>
      </c>
      <c r="J86" s="15" t="n">
        <v>1</v>
      </c>
      <c r="K86" s="32" t="n">
        <v>469</v>
      </c>
      <c r="L86" s="33" t="n">
        <v>0.43</v>
      </c>
    </row>
    <row r="87" customFormat="false" ht="15" hidden="false" customHeight="false" outlineLevel="0" collapsed="false">
      <c r="A87" s="35" t="s">
        <v>25</v>
      </c>
      <c r="B87" s="35" t="s">
        <v>72</v>
      </c>
      <c r="C87" s="35" t="s">
        <v>168</v>
      </c>
      <c r="D87" s="37" t="n">
        <v>1034</v>
      </c>
      <c r="E87" s="38" t="n">
        <v>44.3</v>
      </c>
      <c r="F87" s="38" t="n">
        <v>24.8</v>
      </c>
      <c r="G87" s="37" t="n">
        <v>7</v>
      </c>
      <c r="H87" s="39" t="n">
        <v>0.677</v>
      </c>
      <c r="I87" s="40" t="n">
        <v>0</v>
      </c>
      <c r="J87" s="40" t="n">
        <v>1</v>
      </c>
      <c r="K87" s="37" t="n">
        <v>773</v>
      </c>
      <c r="L87" s="41" t="n">
        <v>0.52</v>
      </c>
    </row>
    <row r="88" customFormat="false" ht="29.85" hidden="false" customHeight="false" outlineLevel="0" collapsed="false">
      <c r="A88" s="14" t="s">
        <v>25</v>
      </c>
      <c r="B88" s="14" t="s">
        <v>74</v>
      </c>
      <c r="C88" s="43" t="s">
        <v>169</v>
      </c>
      <c r="D88" s="32" t="n">
        <v>1094</v>
      </c>
      <c r="E88" s="17" t="n">
        <v>40.2</v>
      </c>
      <c r="F88" s="17" t="n">
        <v>29.9</v>
      </c>
      <c r="G88" s="32" t="n">
        <v>6</v>
      </c>
      <c r="H88" s="16" t="n">
        <v>0.548</v>
      </c>
      <c r="I88" s="15" t="n">
        <v>0</v>
      </c>
      <c r="J88" s="15" t="n">
        <v>2</v>
      </c>
      <c r="K88" s="32" t="n">
        <v>442</v>
      </c>
      <c r="L88" s="33" t="n">
        <v>0.9</v>
      </c>
    </row>
    <row r="89" customFormat="false" ht="15" hidden="false" customHeight="false" outlineLevel="0" collapsed="false">
      <c r="A89" s="35" t="s">
        <v>25</v>
      </c>
      <c r="B89" s="35" t="s">
        <v>74</v>
      </c>
      <c r="C89" s="44" t="s">
        <v>170</v>
      </c>
      <c r="D89" s="37" t="n">
        <v>263</v>
      </c>
      <c r="E89" s="38" t="n">
        <v>42.9</v>
      </c>
      <c r="F89" s="38" t="n">
        <v>32.7</v>
      </c>
      <c r="G89" s="37" t="n">
        <v>0</v>
      </c>
      <c r="H89" s="39" t="n">
        <v>0</v>
      </c>
      <c r="I89" s="40" t="n">
        <v>0</v>
      </c>
      <c r="J89" s="40" t="n">
        <v>0</v>
      </c>
      <c r="K89" s="37" t="n">
        <v>85</v>
      </c>
      <c r="L89" s="41" t="n">
        <v>0</v>
      </c>
    </row>
    <row r="90" customFormat="false" ht="29.85" hidden="false" customHeight="false" outlineLevel="0" collapsed="false">
      <c r="A90" s="14" t="s">
        <v>25</v>
      </c>
      <c r="B90" s="14" t="s">
        <v>78</v>
      </c>
      <c r="C90" s="43" t="s">
        <v>171</v>
      </c>
      <c r="D90" s="32" t="n">
        <v>1007</v>
      </c>
      <c r="E90" s="17" t="n">
        <v>31.6</v>
      </c>
      <c r="F90" s="17" t="n">
        <v>34.8</v>
      </c>
      <c r="G90" s="32" t="n">
        <v>3</v>
      </c>
      <c r="H90" s="16" t="n">
        <v>0.298</v>
      </c>
      <c r="I90" s="15" t="n">
        <v>0</v>
      </c>
      <c r="J90" s="15" t="n">
        <v>1</v>
      </c>
      <c r="K90" s="32" t="n">
        <v>173</v>
      </c>
      <c r="L90" s="33" t="n">
        <v>1.73</v>
      </c>
    </row>
    <row r="91" customFormat="false" ht="29.85" hidden="false" customHeight="false" outlineLevel="0" collapsed="false">
      <c r="A91" s="35" t="s">
        <v>25</v>
      </c>
      <c r="B91" s="35" t="s">
        <v>78</v>
      </c>
      <c r="C91" s="44" t="s">
        <v>172</v>
      </c>
      <c r="D91" s="37" t="n">
        <v>283</v>
      </c>
      <c r="E91" s="38" t="n">
        <v>40.1</v>
      </c>
      <c r="F91" s="38" t="n">
        <v>32.4</v>
      </c>
      <c r="G91" s="37" t="n">
        <v>3</v>
      </c>
      <c r="H91" s="39" t="n">
        <v>1.06</v>
      </c>
      <c r="I91" s="40" t="n">
        <v>0</v>
      </c>
      <c r="J91" s="40" t="n">
        <v>0</v>
      </c>
      <c r="K91" s="37" t="n">
        <v>147</v>
      </c>
      <c r="L91" s="41" t="n">
        <v>0</v>
      </c>
    </row>
    <row r="92" customFormat="false" ht="29.85" hidden="false" customHeight="false" outlineLevel="0" collapsed="false">
      <c r="A92" s="14" t="s">
        <v>25</v>
      </c>
      <c r="B92" s="14" t="s">
        <v>78</v>
      </c>
      <c r="C92" s="43" t="s">
        <v>173</v>
      </c>
      <c r="D92" s="32" t="n">
        <v>912</v>
      </c>
      <c r="E92" s="17" t="n">
        <v>39.5</v>
      </c>
      <c r="F92" s="17" t="n">
        <v>33</v>
      </c>
      <c r="G92" s="32" t="n">
        <v>5</v>
      </c>
      <c r="H92" s="16" t="n">
        <v>0.548</v>
      </c>
      <c r="I92" s="15" t="n">
        <v>0</v>
      </c>
      <c r="J92" s="15" t="n">
        <v>0</v>
      </c>
      <c r="K92" s="32" t="n">
        <v>584</v>
      </c>
      <c r="L92" s="33" t="n">
        <v>0.86</v>
      </c>
    </row>
    <row r="93" customFormat="false" ht="29.85" hidden="false" customHeight="false" outlineLevel="0" collapsed="false">
      <c r="A93" s="35" t="s">
        <v>25</v>
      </c>
      <c r="B93" s="35" t="s">
        <v>78</v>
      </c>
      <c r="C93" s="44" t="s">
        <v>174</v>
      </c>
      <c r="D93" s="37" t="n">
        <v>919</v>
      </c>
      <c r="E93" s="38" t="n">
        <v>40</v>
      </c>
      <c r="F93" s="38" t="n">
        <v>32.5</v>
      </c>
      <c r="G93" s="37" t="n">
        <v>8</v>
      </c>
      <c r="H93" s="39" t="n">
        <v>0.871</v>
      </c>
      <c r="I93" s="40" t="n">
        <v>0</v>
      </c>
      <c r="J93" s="40" t="n">
        <v>2</v>
      </c>
      <c r="K93" s="37" t="n">
        <v>395</v>
      </c>
      <c r="L93" s="41" t="n">
        <v>2.03</v>
      </c>
    </row>
    <row r="94" customFormat="false" ht="29.85" hidden="false" customHeight="false" outlineLevel="0" collapsed="false">
      <c r="A94" s="14" t="s">
        <v>25</v>
      </c>
      <c r="B94" s="14" t="s">
        <v>82</v>
      </c>
      <c r="C94" s="34" t="s">
        <v>175</v>
      </c>
      <c r="D94" s="32" t="n">
        <v>896</v>
      </c>
      <c r="E94" s="17" t="n">
        <v>42.1</v>
      </c>
      <c r="F94" s="17" t="n">
        <v>30.9</v>
      </c>
      <c r="G94" s="32" t="n">
        <v>3</v>
      </c>
      <c r="H94" s="16" t="n">
        <v>0.335</v>
      </c>
      <c r="I94" s="15" t="n">
        <v>0</v>
      </c>
      <c r="J94" s="15" t="n">
        <v>0</v>
      </c>
      <c r="K94" s="32" t="n">
        <v>151</v>
      </c>
      <c r="L94" s="33" t="n">
        <v>2.65</v>
      </c>
    </row>
    <row r="95" customFormat="false" ht="29.85" hidden="false" customHeight="false" outlineLevel="0" collapsed="false">
      <c r="A95" s="35" t="s">
        <v>25</v>
      </c>
      <c r="B95" s="35" t="s">
        <v>82</v>
      </c>
      <c r="C95" s="44" t="s">
        <v>176</v>
      </c>
      <c r="D95" s="37" t="n">
        <v>1056</v>
      </c>
      <c r="E95" s="38" t="n">
        <v>43.4</v>
      </c>
      <c r="F95" s="38" t="n">
        <v>25.3</v>
      </c>
      <c r="G95" s="37" t="n">
        <v>3</v>
      </c>
      <c r="H95" s="39" t="n">
        <v>0.284</v>
      </c>
      <c r="I95" s="40" t="n">
        <v>0</v>
      </c>
      <c r="J95" s="40" t="n">
        <v>2</v>
      </c>
      <c r="K95" s="37" t="n">
        <v>991</v>
      </c>
      <c r="L95" s="41" t="n">
        <v>0.5</v>
      </c>
    </row>
    <row r="96" customFormat="false" ht="15" hidden="false" customHeight="false" outlineLevel="0" collapsed="false">
      <c r="A96" s="14" t="s">
        <v>25</v>
      </c>
      <c r="B96" s="14" t="s">
        <v>82</v>
      </c>
      <c r="C96" s="18" t="s">
        <v>177</v>
      </c>
      <c r="D96" s="32" t="n">
        <v>1038</v>
      </c>
      <c r="E96" s="17" t="n">
        <v>42.7</v>
      </c>
      <c r="F96" s="17" t="n">
        <v>25.8</v>
      </c>
      <c r="G96" s="32" t="n">
        <v>5</v>
      </c>
      <c r="H96" s="16" t="n">
        <v>0.482</v>
      </c>
      <c r="I96" s="15" t="n">
        <v>0</v>
      </c>
      <c r="J96" s="15" t="n">
        <v>0</v>
      </c>
      <c r="K96" s="32" t="n">
        <v>342</v>
      </c>
      <c r="L96" s="33" t="n">
        <v>0.88</v>
      </c>
    </row>
    <row r="97" customFormat="false" ht="15" hidden="false" customHeight="false" outlineLevel="0" collapsed="false">
      <c r="A97" s="35" t="s">
        <v>25</v>
      </c>
      <c r="B97" s="35" t="s">
        <v>86</v>
      </c>
      <c r="C97" s="44" t="s">
        <v>178</v>
      </c>
      <c r="D97" s="37" t="n">
        <v>905</v>
      </c>
      <c r="E97" s="38" t="n">
        <v>43.8</v>
      </c>
      <c r="F97" s="38" t="n">
        <v>29.7</v>
      </c>
      <c r="G97" s="37" t="n">
        <v>2</v>
      </c>
      <c r="H97" s="39" t="n">
        <v>0.221</v>
      </c>
      <c r="I97" s="40" t="n">
        <v>0</v>
      </c>
      <c r="J97" s="40" t="n">
        <v>0</v>
      </c>
      <c r="K97" s="37" t="n">
        <v>129</v>
      </c>
      <c r="L97" s="41" t="n">
        <v>1.55</v>
      </c>
    </row>
    <row r="98" customFormat="false" ht="29.85" hidden="false" customHeight="false" outlineLevel="0" collapsed="false">
      <c r="A98" s="14" t="s">
        <v>25</v>
      </c>
      <c r="B98" s="14" t="s">
        <v>86</v>
      </c>
      <c r="C98" s="34" t="s">
        <v>179</v>
      </c>
      <c r="D98" s="32" t="n">
        <v>901</v>
      </c>
      <c r="E98" s="17" t="n">
        <v>48.5</v>
      </c>
      <c r="F98" s="17" t="n">
        <v>30.9</v>
      </c>
      <c r="G98" s="32" t="n">
        <v>4</v>
      </c>
      <c r="H98" s="16" t="n">
        <v>0.444</v>
      </c>
      <c r="I98" s="15" t="n">
        <v>0</v>
      </c>
      <c r="J98" s="15" t="n">
        <v>1</v>
      </c>
      <c r="K98" s="32" t="n">
        <v>83</v>
      </c>
      <c r="L98" s="33" t="n">
        <v>0</v>
      </c>
    </row>
    <row r="99" customFormat="false" ht="15" hidden="false" customHeight="false" outlineLevel="0" collapsed="false">
      <c r="A99" s="35" t="s">
        <v>25</v>
      </c>
      <c r="B99" s="35" t="s">
        <v>86</v>
      </c>
      <c r="C99" s="44" t="s">
        <v>180</v>
      </c>
      <c r="D99" s="37" t="n">
        <v>182</v>
      </c>
      <c r="E99" s="38" t="n">
        <v>32.3</v>
      </c>
      <c r="F99" s="38" t="n">
        <v>30.9</v>
      </c>
      <c r="G99" s="37" t="n">
        <v>1</v>
      </c>
      <c r="H99" s="39" t="n">
        <v>0.549</v>
      </c>
      <c r="I99" s="40" t="n">
        <v>0</v>
      </c>
      <c r="J99" s="40" t="n">
        <v>1</v>
      </c>
      <c r="K99" s="37" t="n">
        <v>220</v>
      </c>
      <c r="L99" s="41" t="n">
        <v>0.91</v>
      </c>
    </row>
    <row r="100" customFormat="false" ht="15" hidden="false" customHeight="false" outlineLevel="0" collapsed="false">
      <c r="A100" s="14" t="s">
        <v>25</v>
      </c>
      <c r="B100" s="14" t="s">
        <v>90</v>
      </c>
      <c r="C100" s="43" t="s">
        <v>181</v>
      </c>
      <c r="D100" s="32" t="n">
        <v>383</v>
      </c>
      <c r="E100" s="17" t="n">
        <v>152.7</v>
      </c>
      <c r="F100" s="17" t="n">
        <v>30.8</v>
      </c>
      <c r="G100" s="32" t="n">
        <v>4</v>
      </c>
      <c r="H100" s="16" t="n">
        <v>1.044</v>
      </c>
      <c r="I100" s="15" t="n">
        <v>0</v>
      </c>
      <c r="J100" s="15" t="n">
        <v>0</v>
      </c>
      <c r="K100" s="32" t="n">
        <v>273</v>
      </c>
      <c r="L100" s="33" t="n">
        <v>0.73</v>
      </c>
    </row>
    <row r="101" customFormat="false" ht="29.85" hidden="false" customHeight="false" outlineLevel="0" collapsed="false">
      <c r="A101" s="35" t="s">
        <v>25</v>
      </c>
      <c r="B101" s="35" t="s">
        <v>90</v>
      </c>
      <c r="C101" s="44" t="s">
        <v>182</v>
      </c>
      <c r="D101" s="37" t="n">
        <v>915</v>
      </c>
      <c r="E101" s="38" t="n">
        <v>45.7</v>
      </c>
      <c r="F101" s="38" t="n">
        <v>28.4</v>
      </c>
      <c r="G101" s="37" t="n">
        <v>4</v>
      </c>
      <c r="H101" s="39" t="n">
        <v>0.437</v>
      </c>
      <c r="I101" s="40" t="n">
        <v>0</v>
      </c>
      <c r="J101" s="40" t="n">
        <v>2</v>
      </c>
      <c r="K101" s="37" t="n">
        <v>535</v>
      </c>
      <c r="L101" s="41" t="n">
        <v>0.56</v>
      </c>
    </row>
    <row r="102" customFormat="false" ht="29.85" hidden="false" customHeight="false" outlineLevel="0" collapsed="false">
      <c r="A102" s="14" t="s">
        <v>25</v>
      </c>
      <c r="B102" s="14" t="s">
        <v>90</v>
      </c>
      <c r="C102" s="43" t="s">
        <v>183</v>
      </c>
      <c r="D102" s="32" t="n">
        <v>143</v>
      </c>
      <c r="E102" s="17" t="n">
        <v>40.1</v>
      </c>
      <c r="F102" s="17" t="n">
        <v>29.9</v>
      </c>
      <c r="G102" s="32" t="n">
        <v>0</v>
      </c>
      <c r="H102" s="16" t="n">
        <v>0</v>
      </c>
      <c r="I102" s="15" t="n">
        <v>0</v>
      </c>
      <c r="J102" s="15" t="n">
        <v>0</v>
      </c>
      <c r="K102" s="32" t="n">
        <v>791</v>
      </c>
      <c r="L102" s="33" t="n">
        <v>0.63</v>
      </c>
    </row>
    <row r="103" customFormat="false" ht="29.85" hidden="false" customHeight="false" outlineLevel="0" collapsed="false">
      <c r="A103" s="35" t="s">
        <v>25</v>
      </c>
      <c r="B103" s="35" t="s">
        <v>111</v>
      </c>
      <c r="C103" s="42" t="s">
        <v>184</v>
      </c>
      <c r="D103" s="37" t="n">
        <v>1086</v>
      </c>
      <c r="E103" s="38" t="n">
        <v>39.5</v>
      </c>
      <c r="F103" s="38" t="n">
        <v>30.3</v>
      </c>
      <c r="G103" s="37" t="n">
        <v>6</v>
      </c>
      <c r="H103" s="39" t="n">
        <v>0.552</v>
      </c>
      <c r="I103" s="40" t="n">
        <v>0</v>
      </c>
      <c r="J103" s="40" t="n">
        <v>0</v>
      </c>
      <c r="K103" s="37" t="n">
        <v>895</v>
      </c>
      <c r="L103" s="41" t="n">
        <v>1.01</v>
      </c>
    </row>
    <row r="104" customFormat="false" ht="15" hidden="false" customHeight="false" outlineLevel="0" collapsed="false">
      <c r="A104" s="14" t="s">
        <v>25</v>
      </c>
      <c r="B104" s="14" t="s">
        <v>111</v>
      </c>
      <c r="C104" s="43" t="s">
        <v>185</v>
      </c>
      <c r="D104" s="32" t="n">
        <v>1091</v>
      </c>
      <c r="E104" s="17" t="n">
        <v>36.5</v>
      </c>
      <c r="F104" s="17" t="n">
        <v>35.7</v>
      </c>
      <c r="G104" s="32" t="n">
        <v>5</v>
      </c>
      <c r="H104" s="16" t="n">
        <v>0.458</v>
      </c>
      <c r="I104" s="15" t="n">
        <v>1</v>
      </c>
      <c r="J104" s="15" t="n">
        <v>1</v>
      </c>
      <c r="K104" s="32" t="n">
        <v>1025</v>
      </c>
      <c r="L104" s="33" t="n">
        <v>1.17</v>
      </c>
    </row>
    <row r="105" customFormat="false" ht="29.85" hidden="false" customHeight="false" outlineLevel="0" collapsed="false">
      <c r="A105" s="35" t="s">
        <v>25</v>
      </c>
      <c r="B105" s="35" t="s">
        <v>115</v>
      </c>
      <c r="C105" s="42" t="s">
        <v>186</v>
      </c>
      <c r="D105" s="37" t="n">
        <v>207</v>
      </c>
      <c r="E105" s="38" t="n">
        <v>40.9</v>
      </c>
      <c r="F105" s="38" t="n">
        <v>31.8</v>
      </c>
      <c r="G105" s="37" t="n">
        <v>2</v>
      </c>
      <c r="H105" s="39" t="n">
        <v>0.966</v>
      </c>
      <c r="I105" s="40" t="n">
        <v>0</v>
      </c>
      <c r="J105" s="40" t="n">
        <v>0</v>
      </c>
      <c r="K105" s="37" t="n">
        <v>80</v>
      </c>
      <c r="L105" s="41" t="n">
        <v>2.5</v>
      </c>
    </row>
    <row r="106" customFormat="false" ht="29.85" hidden="false" customHeight="false" outlineLevel="0" collapsed="false">
      <c r="A106" s="14" t="s">
        <v>25</v>
      </c>
      <c r="B106" s="14" t="s">
        <v>115</v>
      </c>
      <c r="C106" s="43" t="s">
        <v>187</v>
      </c>
      <c r="D106" s="32" t="n">
        <v>1095</v>
      </c>
      <c r="E106" s="17" t="n">
        <v>40.2</v>
      </c>
      <c r="F106" s="17" t="n">
        <v>29.9</v>
      </c>
      <c r="G106" s="32" t="n">
        <v>5</v>
      </c>
      <c r="H106" s="16" t="n">
        <v>0.457</v>
      </c>
      <c r="I106" s="15" t="n">
        <v>0</v>
      </c>
      <c r="J106" s="15" t="n">
        <v>0</v>
      </c>
      <c r="K106" s="32" t="n">
        <v>780</v>
      </c>
      <c r="L106" s="33" t="n">
        <v>0.9</v>
      </c>
    </row>
    <row r="107" customFormat="false" ht="15" hidden="false" customHeight="false" outlineLevel="0" collapsed="false">
      <c r="A107" s="35" t="s">
        <v>25</v>
      </c>
      <c r="B107" s="35" t="s">
        <v>115</v>
      </c>
      <c r="C107" s="44" t="s">
        <v>188</v>
      </c>
      <c r="D107" s="37" t="n">
        <v>956</v>
      </c>
      <c r="E107" s="38" t="n">
        <v>48.6</v>
      </c>
      <c r="F107" s="38" t="n">
        <v>32.9</v>
      </c>
      <c r="G107" s="37" t="n">
        <v>6</v>
      </c>
      <c r="H107" s="39" t="n">
        <v>0.628</v>
      </c>
      <c r="I107" s="40" t="n">
        <v>0</v>
      </c>
      <c r="J107" s="40" t="n">
        <v>0</v>
      </c>
      <c r="K107" s="37" t="n">
        <v>545</v>
      </c>
      <c r="L107" s="41" t="n">
        <v>1.47</v>
      </c>
    </row>
    <row r="108" customFormat="false" ht="29.85" hidden="false" customHeight="false" outlineLevel="0" collapsed="false">
      <c r="A108" s="14" t="s">
        <v>25</v>
      </c>
      <c r="B108" s="14" t="s">
        <v>115</v>
      </c>
      <c r="C108" s="43" t="s">
        <v>189</v>
      </c>
      <c r="D108" s="32" t="n">
        <v>22</v>
      </c>
      <c r="E108" s="17" t="n">
        <v>15.4</v>
      </c>
      <c r="F108" s="17" t="n">
        <v>32.5</v>
      </c>
      <c r="G108" s="32" t="n">
        <v>0</v>
      </c>
      <c r="H108" s="16" t="n">
        <v>0</v>
      </c>
      <c r="I108" s="15" t="n">
        <v>0</v>
      </c>
      <c r="J108" s="15" t="n">
        <v>0</v>
      </c>
      <c r="K108" s="32" t="n">
        <v>233</v>
      </c>
      <c r="L108" s="33" t="n">
        <v>1.29</v>
      </c>
    </row>
    <row r="109" customFormat="false" ht="15" hidden="false" customHeight="false" outlineLevel="0" collapsed="false">
      <c r="A109" s="35" t="s">
        <v>25</v>
      </c>
      <c r="B109" s="35" t="s">
        <v>120</v>
      </c>
      <c r="C109" s="44" t="s">
        <v>190</v>
      </c>
      <c r="D109" s="37" t="n">
        <v>0</v>
      </c>
      <c r="E109" s="38" t="n">
        <v>0</v>
      </c>
      <c r="F109" s="38"/>
      <c r="G109" s="37" t="n">
        <v>0</v>
      </c>
      <c r="H109" s="39"/>
      <c r="I109" s="40" t="n">
        <v>0</v>
      </c>
      <c r="J109" s="40" t="n">
        <v>0</v>
      </c>
      <c r="K109" s="37" t="n">
        <v>427</v>
      </c>
      <c r="L109" s="41" t="n">
        <v>2.81</v>
      </c>
    </row>
    <row r="110" customFormat="false" ht="29.85" hidden="false" customHeight="false" outlineLevel="0" collapsed="false">
      <c r="A110" s="14" t="s">
        <v>25</v>
      </c>
      <c r="B110" s="14" t="s">
        <v>120</v>
      </c>
      <c r="C110" s="34" t="s">
        <v>191</v>
      </c>
      <c r="D110" s="32" t="n">
        <v>0</v>
      </c>
      <c r="E110" s="17" t="n">
        <v>0</v>
      </c>
      <c r="F110" s="17"/>
      <c r="G110" s="32" t="n">
        <v>0</v>
      </c>
      <c r="H110" s="16"/>
      <c r="I110" s="15" t="n">
        <v>0</v>
      </c>
      <c r="J110" s="15" t="n">
        <v>0</v>
      </c>
      <c r="K110" s="32" t="n">
        <v>843</v>
      </c>
      <c r="L110" s="33" t="n">
        <v>2.25</v>
      </c>
    </row>
    <row r="111" customFormat="false" ht="15" hidden="false" customHeight="false" outlineLevel="0" collapsed="false">
      <c r="A111" s="35" t="s">
        <v>25</v>
      </c>
      <c r="B111" s="35" t="s">
        <v>125</v>
      </c>
      <c r="C111" s="44" t="s">
        <v>192</v>
      </c>
      <c r="D111" s="37" t="n">
        <v>0</v>
      </c>
      <c r="E111" s="38" t="n">
        <v>0</v>
      </c>
      <c r="F111" s="38"/>
      <c r="G111" s="37" t="n">
        <v>0</v>
      </c>
      <c r="H111" s="39"/>
      <c r="I111" s="40" t="n">
        <v>0</v>
      </c>
      <c r="J111" s="40" t="n">
        <v>0</v>
      </c>
      <c r="K111" s="37" t="n">
        <v>36</v>
      </c>
      <c r="L111" s="41" t="n">
        <v>2.78</v>
      </c>
    </row>
    <row r="112" customFormat="false" ht="29.85" hidden="false" customHeight="false" outlineLevel="0" collapsed="false">
      <c r="A112" s="14" t="s">
        <v>25</v>
      </c>
      <c r="B112" s="14" t="s">
        <v>125</v>
      </c>
      <c r="C112" s="34" t="s">
        <v>193</v>
      </c>
      <c r="D112" s="32" t="n">
        <v>0</v>
      </c>
      <c r="E112" s="17" t="n">
        <v>0</v>
      </c>
      <c r="F112" s="17"/>
      <c r="G112" s="32" t="n">
        <v>0</v>
      </c>
      <c r="H112" s="16"/>
      <c r="I112" s="15" t="n">
        <v>0</v>
      </c>
      <c r="J112" s="15" t="n">
        <v>0</v>
      </c>
      <c r="K112" s="32" t="n">
        <v>0</v>
      </c>
      <c r="L112" s="33" t="n">
        <v>0</v>
      </c>
    </row>
    <row r="113" customFormat="false" ht="29.85" hidden="false" customHeight="false" outlineLevel="0" collapsed="false">
      <c r="A113" s="35" t="s">
        <v>25</v>
      </c>
      <c r="B113" s="35" t="s">
        <v>125</v>
      </c>
      <c r="C113" s="44" t="s">
        <v>194</v>
      </c>
      <c r="D113" s="37" t="n">
        <v>0</v>
      </c>
      <c r="E113" s="38" t="n">
        <v>0</v>
      </c>
      <c r="F113" s="38"/>
      <c r="G113" s="37" t="n">
        <v>0</v>
      </c>
      <c r="H113" s="39"/>
      <c r="I113" s="40" t="n">
        <v>0</v>
      </c>
      <c r="J113" s="40" t="n">
        <v>0</v>
      </c>
      <c r="K113" s="37" t="n">
        <v>0</v>
      </c>
      <c r="L113" s="41" t="n">
        <v>0</v>
      </c>
    </row>
    <row r="114" customFormat="false" ht="29.85" hidden="false" customHeight="false" outlineLevel="0" collapsed="false">
      <c r="A114" s="14" t="s">
        <v>25</v>
      </c>
      <c r="B114" s="14" t="s">
        <v>130</v>
      </c>
      <c r="C114" s="43" t="s">
        <v>195</v>
      </c>
      <c r="D114" s="32" t="n">
        <v>0</v>
      </c>
      <c r="E114" s="17" t="n">
        <v>0</v>
      </c>
      <c r="F114" s="17"/>
      <c r="G114" s="32" t="n">
        <v>0</v>
      </c>
      <c r="H114" s="16"/>
      <c r="I114" s="15" t="n">
        <v>0</v>
      </c>
      <c r="J114" s="15" t="n">
        <v>0</v>
      </c>
      <c r="K114" s="32" t="n">
        <v>0</v>
      </c>
      <c r="L114" s="33" t="n">
        <v>0</v>
      </c>
    </row>
    <row r="115" customFormat="false" ht="29.85" hidden="false" customHeight="false" outlineLevel="0" collapsed="false">
      <c r="A115" s="35" t="s">
        <v>25</v>
      </c>
      <c r="B115" s="35" t="s">
        <v>130</v>
      </c>
      <c r="C115" s="42" t="s">
        <v>196</v>
      </c>
      <c r="D115" s="37" t="n">
        <v>0</v>
      </c>
      <c r="E115" s="38" t="n">
        <v>0</v>
      </c>
      <c r="F115" s="38"/>
      <c r="G115" s="37" t="n">
        <v>0</v>
      </c>
      <c r="H115" s="39"/>
      <c r="I115" s="40" t="n">
        <v>0</v>
      </c>
      <c r="J115" s="40" t="n">
        <v>0</v>
      </c>
      <c r="K115" s="37" t="n">
        <v>0</v>
      </c>
      <c r="L115" s="41" t="n">
        <v>0</v>
      </c>
    </row>
    <row r="116" customFormat="false" ht="29.85" hidden="false" customHeight="false" outlineLevel="0" collapsed="false">
      <c r="A116" s="14" t="s">
        <v>25</v>
      </c>
      <c r="B116" s="14" t="s">
        <v>130</v>
      </c>
      <c r="C116" s="43" t="s">
        <v>197</v>
      </c>
      <c r="D116" s="32" t="n">
        <v>0</v>
      </c>
      <c r="E116" s="17" t="n">
        <v>0</v>
      </c>
      <c r="F116" s="17"/>
      <c r="G116" s="32" t="n">
        <v>0</v>
      </c>
      <c r="H116" s="16"/>
      <c r="I116" s="15" t="n">
        <v>0</v>
      </c>
      <c r="J116" s="15" t="n">
        <v>0</v>
      </c>
      <c r="K116" s="32" t="n">
        <v>0</v>
      </c>
      <c r="L116" s="33" t="n">
        <v>0</v>
      </c>
    </row>
    <row r="117" customFormat="false" ht="15" hidden="false" customHeight="false" outlineLevel="0" collapsed="false">
      <c r="A117" s="35" t="s">
        <v>35</v>
      </c>
      <c r="B117" s="35" t="s">
        <v>74</v>
      </c>
      <c r="C117" s="35" t="s">
        <v>198</v>
      </c>
      <c r="D117" s="37" t="n">
        <v>0</v>
      </c>
      <c r="E117" s="38" t="n">
        <v>0</v>
      </c>
      <c r="F117" s="38"/>
      <c r="G117" s="37" t="n">
        <v>0</v>
      </c>
      <c r="H117" s="39"/>
      <c r="I117" s="40" t="n">
        <v>0</v>
      </c>
      <c r="J117" s="40" t="n">
        <v>0</v>
      </c>
      <c r="K117" s="37" t="n">
        <v>0</v>
      </c>
      <c r="L117" s="41" t="n">
        <v>0</v>
      </c>
    </row>
    <row r="118" customFormat="false" ht="29.85" hidden="false" customHeight="false" outlineLevel="0" collapsed="false">
      <c r="A118" s="14" t="s">
        <v>35</v>
      </c>
      <c r="B118" s="14" t="s">
        <v>111</v>
      </c>
      <c r="C118" s="34" t="s">
        <v>199</v>
      </c>
      <c r="D118" s="32" t="n">
        <v>1091</v>
      </c>
      <c r="E118" s="17" t="n">
        <v>42.2</v>
      </c>
      <c r="F118" s="17" t="n">
        <v>30.8</v>
      </c>
      <c r="G118" s="32" t="n">
        <v>2</v>
      </c>
      <c r="H118" s="16" t="n">
        <v>0.183</v>
      </c>
      <c r="I118" s="15" t="n">
        <v>0</v>
      </c>
      <c r="J118" s="15" t="n">
        <v>0</v>
      </c>
      <c r="K118" s="32" t="n">
        <v>6</v>
      </c>
      <c r="L118" s="33" t="n">
        <v>0</v>
      </c>
    </row>
    <row r="119" customFormat="false" ht="15" hidden="false" customHeight="false" outlineLevel="0" collapsed="false">
      <c r="A119" s="35" t="s">
        <v>35</v>
      </c>
      <c r="B119" s="35" t="s">
        <v>115</v>
      </c>
      <c r="C119" s="36" t="s">
        <v>200</v>
      </c>
      <c r="D119" s="37" t="n">
        <v>382</v>
      </c>
      <c r="E119" s="38" t="n">
        <v>29.9</v>
      </c>
      <c r="F119" s="38" t="n">
        <v>30.1</v>
      </c>
      <c r="G119" s="37" t="n">
        <v>0</v>
      </c>
      <c r="H119" s="39" t="n">
        <v>0</v>
      </c>
      <c r="I119" s="40" t="n">
        <v>0</v>
      </c>
      <c r="J119" s="40" t="n">
        <v>0</v>
      </c>
      <c r="K119" s="37" t="n">
        <v>2</v>
      </c>
      <c r="L119" s="41" t="n">
        <v>0</v>
      </c>
    </row>
    <row r="120" customFormat="false" ht="29.85" hidden="false" customHeight="false" outlineLevel="0" collapsed="false">
      <c r="A120" s="14" t="s">
        <v>35</v>
      </c>
      <c r="B120" s="14" t="s">
        <v>120</v>
      </c>
      <c r="C120" s="34" t="s">
        <v>201</v>
      </c>
      <c r="D120" s="32" t="n">
        <v>0</v>
      </c>
      <c r="E120" s="17" t="n">
        <v>0</v>
      </c>
      <c r="F120" s="17"/>
      <c r="G120" s="32" t="n">
        <v>0</v>
      </c>
      <c r="H120" s="16"/>
      <c r="I120" s="15" t="n">
        <v>0</v>
      </c>
      <c r="J120" s="15" t="n">
        <v>0</v>
      </c>
      <c r="K120" s="32" t="n">
        <v>0</v>
      </c>
      <c r="L120" s="33" t="n">
        <v>0</v>
      </c>
    </row>
    <row r="121" customFormat="false" ht="29.85" hidden="false" customHeight="false" outlineLevel="0" collapsed="false">
      <c r="A121" s="35" t="s">
        <v>35</v>
      </c>
      <c r="B121" s="35" t="s">
        <v>125</v>
      </c>
      <c r="C121" s="42" t="s">
        <v>202</v>
      </c>
      <c r="D121" s="37" t="n">
        <v>0</v>
      </c>
      <c r="E121" s="38" t="n">
        <v>0</v>
      </c>
      <c r="F121" s="38"/>
      <c r="G121" s="37" t="n">
        <v>0</v>
      </c>
      <c r="H121" s="39"/>
      <c r="I121" s="40" t="n">
        <v>0</v>
      </c>
      <c r="J121" s="40" t="n">
        <v>0</v>
      </c>
      <c r="K121" s="37" t="n">
        <v>0</v>
      </c>
      <c r="L121" s="41" t="n">
        <v>0</v>
      </c>
    </row>
    <row r="122" customFormat="false" ht="29.85" hidden="false" customHeight="false" outlineLevel="0" collapsed="false">
      <c r="A122" s="14" t="s">
        <v>35</v>
      </c>
      <c r="B122" s="14" t="s">
        <v>130</v>
      </c>
      <c r="C122" s="34" t="s">
        <v>203</v>
      </c>
      <c r="D122" s="32" t="n">
        <v>0</v>
      </c>
      <c r="E122" s="17" t="n">
        <v>0</v>
      </c>
      <c r="F122" s="17"/>
      <c r="G122" s="32" t="n">
        <v>0</v>
      </c>
      <c r="H122" s="16"/>
      <c r="I122" s="15" t="n">
        <v>0</v>
      </c>
      <c r="J122" s="15" t="n">
        <v>0</v>
      </c>
      <c r="K122" s="32" t="n">
        <v>0</v>
      </c>
      <c r="L122" s="33" t="n">
        <v>0</v>
      </c>
    </row>
    <row r="123" customFormat="false" ht="15" hidden="false" customHeight="false" outlineLevel="0" collapsed="false">
      <c r="A123" s="35" t="s">
        <v>27</v>
      </c>
      <c r="B123" s="35" t="s">
        <v>72</v>
      </c>
      <c r="C123" s="36" t="s">
        <v>204</v>
      </c>
      <c r="D123" s="37" t="n">
        <v>201</v>
      </c>
      <c r="E123" s="38" t="n">
        <v>44.5</v>
      </c>
      <c r="F123" s="38" t="n">
        <v>35.9</v>
      </c>
      <c r="G123" s="37" t="n">
        <v>0</v>
      </c>
      <c r="H123" s="39" t="n">
        <v>0</v>
      </c>
      <c r="I123" s="40" t="n">
        <v>0</v>
      </c>
      <c r="J123" s="40" t="n">
        <v>0</v>
      </c>
      <c r="K123" s="37" t="n">
        <v>63</v>
      </c>
      <c r="L123" s="41" t="n">
        <v>1.59</v>
      </c>
    </row>
    <row r="124" customFormat="false" ht="15" hidden="false" customHeight="false" outlineLevel="0" collapsed="false">
      <c r="A124" s="14" t="s">
        <v>27</v>
      </c>
      <c r="B124" s="14" t="s">
        <v>74</v>
      </c>
      <c r="C124" s="18" t="s">
        <v>205</v>
      </c>
      <c r="D124" s="32" t="n">
        <v>993</v>
      </c>
      <c r="E124" s="17" t="n">
        <v>42.2</v>
      </c>
      <c r="F124" s="17" t="n">
        <v>30.8</v>
      </c>
      <c r="G124" s="32" t="n">
        <v>10</v>
      </c>
      <c r="H124" s="16" t="n">
        <v>1.007</v>
      </c>
      <c r="I124" s="15" t="n">
        <v>0</v>
      </c>
      <c r="J124" s="15" t="n">
        <v>3</v>
      </c>
      <c r="K124" s="32" t="n">
        <v>129</v>
      </c>
      <c r="L124" s="33" t="n">
        <v>0</v>
      </c>
    </row>
    <row r="125" customFormat="false" ht="15" hidden="false" customHeight="false" outlineLevel="0" collapsed="false">
      <c r="A125" s="35" t="s">
        <v>27</v>
      </c>
      <c r="B125" s="35" t="s">
        <v>74</v>
      </c>
      <c r="C125" s="36" t="s">
        <v>206</v>
      </c>
      <c r="D125" s="37" t="n">
        <v>190</v>
      </c>
      <c r="E125" s="38" t="n">
        <v>31.7</v>
      </c>
      <c r="F125" s="38" t="n">
        <v>31.6</v>
      </c>
      <c r="G125" s="37" t="n">
        <v>0</v>
      </c>
      <c r="H125" s="39" t="n">
        <v>0</v>
      </c>
      <c r="I125" s="40" t="n">
        <v>0</v>
      </c>
      <c r="J125" s="40" t="n">
        <v>0</v>
      </c>
      <c r="K125" s="37" t="n">
        <v>195</v>
      </c>
      <c r="L125" s="41" t="n">
        <v>1.54</v>
      </c>
    </row>
    <row r="126" customFormat="false" ht="29.85" hidden="false" customHeight="false" outlineLevel="0" collapsed="false">
      <c r="A126" s="14" t="s">
        <v>27</v>
      </c>
      <c r="B126" s="14" t="s">
        <v>74</v>
      </c>
      <c r="C126" s="34" t="s">
        <v>207</v>
      </c>
      <c r="D126" s="32" t="n">
        <v>969</v>
      </c>
      <c r="E126" s="17" t="n">
        <v>52.1</v>
      </c>
      <c r="F126" s="17" t="n">
        <v>32.6</v>
      </c>
      <c r="G126" s="32" t="n">
        <v>14</v>
      </c>
      <c r="H126" s="16" t="n">
        <v>1.445</v>
      </c>
      <c r="I126" s="15" t="n">
        <v>0</v>
      </c>
      <c r="J126" s="15" t="n">
        <v>2</v>
      </c>
      <c r="K126" s="32" t="n">
        <v>132</v>
      </c>
      <c r="L126" s="33" t="n">
        <v>0</v>
      </c>
    </row>
    <row r="127" customFormat="false" ht="29.85" hidden="false" customHeight="false" outlineLevel="0" collapsed="false">
      <c r="A127" s="35" t="s">
        <v>27</v>
      </c>
      <c r="B127" s="35" t="s">
        <v>78</v>
      </c>
      <c r="C127" s="42" t="s">
        <v>208</v>
      </c>
      <c r="D127" s="37" t="n">
        <v>1079</v>
      </c>
      <c r="E127" s="38" t="n">
        <v>56</v>
      </c>
      <c r="F127" s="38" t="n">
        <v>30.4</v>
      </c>
      <c r="G127" s="37" t="n">
        <v>14</v>
      </c>
      <c r="H127" s="39" t="n">
        <v>1.297</v>
      </c>
      <c r="I127" s="40" t="n">
        <v>0</v>
      </c>
      <c r="J127" s="40" t="n">
        <v>1</v>
      </c>
      <c r="K127" s="37" t="n">
        <v>294</v>
      </c>
      <c r="L127" s="41" t="n">
        <v>1.36</v>
      </c>
    </row>
    <row r="128" customFormat="false" ht="15" hidden="false" customHeight="false" outlineLevel="0" collapsed="false">
      <c r="A128" s="14" t="s">
        <v>27</v>
      </c>
      <c r="B128" s="14" t="s">
        <v>78</v>
      </c>
      <c r="C128" s="18" t="s">
        <v>209</v>
      </c>
      <c r="D128" s="32" t="n">
        <v>1022</v>
      </c>
      <c r="E128" s="17" t="n">
        <v>46</v>
      </c>
      <c r="F128" s="17" t="n">
        <v>28.3</v>
      </c>
      <c r="G128" s="32" t="n">
        <v>6</v>
      </c>
      <c r="H128" s="16" t="n">
        <v>0.587</v>
      </c>
      <c r="I128" s="15" t="n">
        <v>0</v>
      </c>
      <c r="J128" s="15" t="n">
        <v>2</v>
      </c>
      <c r="K128" s="32" t="n">
        <v>176</v>
      </c>
      <c r="L128" s="33" t="n">
        <v>3.41</v>
      </c>
    </row>
    <row r="129" customFormat="false" ht="29.85" hidden="false" customHeight="false" outlineLevel="0" collapsed="false">
      <c r="A129" s="35" t="s">
        <v>27</v>
      </c>
      <c r="B129" s="35" t="s">
        <v>78</v>
      </c>
      <c r="C129" s="42" t="s">
        <v>210</v>
      </c>
      <c r="D129" s="37" t="n">
        <v>1011</v>
      </c>
      <c r="E129" s="38" t="n">
        <v>44.5</v>
      </c>
      <c r="F129" s="38" t="n">
        <v>33.7</v>
      </c>
      <c r="G129" s="37" t="n">
        <v>2</v>
      </c>
      <c r="H129" s="39" t="n">
        <v>0.198</v>
      </c>
      <c r="I129" s="40" t="n">
        <v>0</v>
      </c>
      <c r="J129" s="40" t="n">
        <v>0</v>
      </c>
      <c r="K129" s="37" t="n">
        <v>140</v>
      </c>
      <c r="L129" s="41" t="n">
        <v>2.14</v>
      </c>
    </row>
    <row r="130" customFormat="false" ht="29.85" hidden="false" customHeight="false" outlineLevel="0" collapsed="false">
      <c r="A130" s="14" t="s">
        <v>27</v>
      </c>
      <c r="B130" s="14" t="s">
        <v>82</v>
      </c>
      <c r="C130" s="34" t="s">
        <v>211</v>
      </c>
      <c r="D130" s="32" t="n">
        <v>1001</v>
      </c>
      <c r="E130" s="17" t="n">
        <v>44.5</v>
      </c>
      <c r="F130" s="17" t="n">
        <v>33.7</v>
      </c>
      <c r="G130" s="32" t="n">
        <v>7</v>
      </c>
      <c r="H130" s="16" t="n">
        <v>0.699</v>
      </c>
      <c r="I130" s="15" t="n">
        <v>0</v>
      </c>
      <c r="J130" s="15" t="n">
        <v>1</v>
      </c>
      <c r="K130" s="32" t="n">
        <v>100</v>
      </c>
      <c r="L130" s="33" t="n">
        <v>0</v>
      </c>
    </row>
    <row r="131" customFormat="false" ht="15" hidden="false" customHeight="false" outlineLevel="0" collapsed="false">
      <c r="A131" s="35" t="s">
        <v>27</v>
      </c>
      <c r="B131" s="35" t="s">
        <v>82</v>
      </c>
      <c r="C131" s="36" t="s">
        <v>212</v>
      </c>
      <c r="D131" s="37" t="n">
        <v>2</v>
      </c>
      <c r="E131" s="38" t="n">
        <v>20.5</v>
      </c>
      <c r="F131" s="38" t="n">
        <v>29.3</v>
      </c>
      <c r="G131" s="37" t="n">
        <v>0</v>
      </c>
      <c r="H131" s="39" t="n">
        <v>0</v>
      </c>
      <c r="I131" s="40" t="n">
        <v>0</v>
      </c>
      <c r="J131" s="40" t="n">
        <v>0</v>
      </c>
      <c r="K131" s="37" t="n">
        <v>48</v>
      </c>
      <c r="L131" s="41" t="n">
        <v>0</v>
      </c>
    </row>
    <row r="132" customFormat="false" ht="29.85" hidden="false" customHeight="false" outlineLevel="0" collapsed="false">
      <c r="A132" s="14" t="s">
        <v>27</v>
      </c>
      <c r="B132" s="14" t="s">
        <v>82</v>
      </c>
      <c r="C132" s="34" t="s">
        <v>213</v>
      </c>
      <c r="D132" s="32" t="n">
        <v>867</v>
      </c>
      <c r="E132" s="17" t="n">
        <v>153.8</v>
      </c>
      <c r="F132" s="17" t="n">
        <v>28.6</v>
      </c>
      <c r="G132" s="32" t="n">
        <v>6</v>
      </c>
      <c r="H132" s="16" t="n">
        <v>0.692</v>
      </c>
      <c r="I132" s="15" t="n">
        <v>0</v>
      </c>
      <c r="J132" s="15" t="n">
        <v>0</v>
      </c>
      <c r="K132" s="32" t="n">
        <v>93</v>
      </c>
      <c r="L132" s="33" t="n">
        <v>0</v>
      </c>
    </row>
    <row r="133" customFormat="false" ht="15" hidden="false" customHeight="false" outlineLevel="0" collapsed="false">
      <c r="A133" s="35" t="s">
        <v>27</v>
      </c>
      <c r="B133" s="35" t="s">
        <v>86</v>
      </c>
      <c r="C133" s="36" t="s">
        <v>214</v>
      </c>
      <c r="D133" s="37" t="n">
        <v>1173</v>
      </c>
      <c r="E133" s="38" t="n">
        <v>51.6</v>
      </c>
      <c r="F133" s="38" t="n">
        <v>31</v>
      </c>
      <c r="G133" s="37" t="n">
        <v>13</v>
      </c>
      <c r="H133" s="39" t="n">
        <v>1.108</v>
      </c>
      <c r="I133" s="40" t="n">
        <v>0</v>
      </c>
      <c r="J133" s="40" t="n">
        <v>3</v>
      </c>
      <c r="K133" s="37" t="n">
        <v>117</v>
      </c>
      <c r="L133" s="41" t="n">
        <v>0</v>
      </c>
    </row>
    <row r="134" customFormat="false" ht="29.85" hidden="false" customHeight="false" outlineLevel="0" collapsed="false">
      <c r="A134" s="14" t="s">
        <v>27</v>
      </c>
      <c r="B134" s="14" t="s">
        <v>86</v>
      </c>
      <c r="C134" s="34" t="s">
        <v>215</v>
      </c>
      <c r="D134" s="32" t="n">
        <v>852</v>
      </c>
      <c r="E134" s="17" t="n">
        <v>49</v>
      </c>
      <c r="F134" s="17" t="n">
        <v>32.7</v>
      </c>
      <c r="G134" s="32" t="n">
        <v>9</v>
      </c>
      <c r="H134" s="16" t="n">
        <v>1.056</v>
      </c>
      <c r="I134" s="15" t="n">
        <v>0</v>
      </c>
      <c r="J134" s="15" t="n">
        <v>1</v>
      </c>
      <c r="K134" s="32" t="n">
        <v>100</v>
      </c>
      <c r="L134" s="33" t="n">
        <v>3</v>
      </c>
    </row>
    <row r="135" customFormat="false" ht="15" hidden="false" customHeight="false" outlineLevel="0" collapsed="false">
      <c r="A135" s="35" t="s">
        <v>27</v>
      </c>
      <c r="B135" s="35" t="s">
        <v>90</v>
      </c>
      <c r="C135" s="36" t="s">
        <v>216</v>
      </c>
      <c r="D135" s="37" t="n">
        <v>231</v>
      </c>
      <c r="E135" s="38" t="n">
        <v>38.9</v>
      </c>
      <c r="F135" s="38" t="n">
        <v>33.5</v>
      </c>
      <c r="G135" s="37" t="n">
        <v>0</v>
      </c>
      <c r="H135" s="39" t="n">
        <v>0</v>
      </c>
      <c r="I135" s="40" t="n">
        <v>0</v>
      </c>
      <c r="J135" s="40" t="n">
        <v>0</v>
      </c>
      <c r="K135" s="37" t="n">
        <v>186</v>
      </c>
      <c r="L135" s="41" t="n">
        <v>0.54</v>
      </c>
    </row>
    <row r="136" customFormat="false" ht="29.85" hidden="false" customHeight="false" outlineLevel="0" collapsed="false">
      <c r="A136" s="14" t="s">
        <v>27</v>
      </c>
      <c r="B136" s="14" t="s">
        <v>90</v>
      </c>
      <c r="C136" s="34" t="s">
        <v>217</v>
      </c>
      <c r="D136" s="32" t="n">
        <v>1105</v>
      </c>
      <c r="E136" s="17" t="n">
        <v>44.3</v>
      </c>
      <c r="F136" s="17" t="n">
        <v>33.9</v>
      </c>
      <c r="G136" s="32" t="n">
        <v>6</v>
      </c>
      <c r="H136" s="16" t="n">
        <v>0.543</v>
      </c>
      <c r="I136" s="15" t="n">
        <v>1</v>
      </c>
      <c r="J136" s="15" t="n">
        <v>1</v>
      </c>
      <c r="K136" s="32" t="n">
        <v>518</v>
      </c>
      <c r="L136" s="33" t="n">
        <v>1.54</v>
      </c>
    </row>
    <row r="137" customFormat="false" ht="15" hidden="false" customHeight="false" outlineLevel="0" collapsed="false">
      <c r="A137" s="35" t="s">
        <v>27</v>
      </c>
      <c r="B137" s="35" t="s">
        <v>90</v>
      </c>
      <c r="C137" s="36" t="s">
        <v>218</v>
      </c>
      <c r="D137" s="37" t="n">
        <v>791</v>
      </c>
      <c r="E137" s="38" t="n">
        <v>38</v>
      </c>
      <c r="F137" s="38" t="n">
        <v>29</v>
      </c>
      <c r="G137" s="37" t="n">
        <v>6</v>
      </c>
      <c r="H137" s="39" t="n">
        <v>0.759</v>
      </c>
      <c r="I137" s="40" t="n">
        <v>0</v>
      </c>
      <c r="J137" s="40" t="n">
        <v>1</v>
      </c>
      <c r="K137" s="37" t="n">
        <v>277</v>
      </c>
      <c r="L137" s="41" t="n">
        <v>2.53</v>
      </c>
    </row>
    <row r="138" customFormat="false" ht="29.85" hidden="false" customHeight="false" outlineLevel="0" collapsed="false">
      <c r="A138" s="14" t="s">
        <v>27</v>
      </c>
      <c r="B138" s="14" t="s">
        <v>111</v>
      </c>
      <c r="C138" s="34" t="s">
        <v>219</v>
      </c>
      <c r="D138" s="32" t="n">
        <v>875</v>
      </c>
      <c r="E138" s="17" t="n">
        <v>63.3</v>
      </c>
      <c r="F138" s="17" t="n">
        <v>33.2</v>
      </c>
      <c r="G138" s="32" t="n">
        <v>3</v>
      </c>
      <c r="H138" s="16" t="n">
        <v>0.343</v>
      </c>
      <c r="I138" s="15" t="n">
        <v>0</v>
      </c>
      <c r="J138" s="15" t="n">
        <v>0</v>
      </c>
      <c r="K138" s="32" t="n">
        <v>52</v>
      </c>
      <c r="L138" s="33" t="n">
        <v>0</v>
      </c>
    </row>
    <row r="139" customFormat="false" ht="29.85" hidden="false" customHeight="false" outlineLevel="0" collapsed="false">
      <c r="A139" s="35" t="s">
        <v>27</v>
      </c>
      <c r="B139" s="35" t="s">
        <v>115</v>
      </c>
      <c r="C139" s="42" t="s">
        <v>220</v>
      </c>
      <c r="D139" s="37" t="n">
        <v>458</v>
      </c>
      <c r="E139" s="38" t="n">
        <v>174.3</v>
      </c>
      <c r="F139" s="38" t="n">
        <v>35</v>
      </c>
      <c r="G139" s="37" t="n">
        <v>0</v>
      </c>
      <c r="H139" s="39" t="n">
        <v>0</v>
      </c>
      <c r="I139" s="40" t="n">
        <v>0</v>
      </c>
      <c r="J139" s="40" t="n">
        <v>0</v>
      </c>
      <c r="K139" s="37" t="n">
        <v>44</v>
      </c>
      <c r="L139" s="41" t="n">
        <v>0</v>
      </c>
    </row>
    <row r="140" customFormat="false" ht="15" hidden="false" customHeight="false" outlineLevel="0" collapsed="false">
      <c r="A140" s="14" t="s">
        <v>27</v>
      </c>
      <c r="B140" s="14" t="s">
        <v>115</v>
      </c>
      <c r="C140" s="18" t="s">
        <v>221</v>
      </c>
      <c r="D140" s="32" t="n">
        <v>770</v>
      </c>
      <c r="E140" s="17" t="n">
        <v>59</v>
      </c>
      <c r="F140" s="17" t="n">
        <v>32.2</v>
      </c>
      <c r="G140" s="32" t="n">
        <v>3</v>
      </c>
      <c r="H140" s="16" t="n">
        <v>0.39</v>
      </c>
      <c r="I140" s="15" t="n">
        <v>0</v>
      </c>
      <c r="J140" s="15" t="n">
        <v>0</v>
      </c>
      <c r="K140" s="32" t="n">
        <v>64</v>
      </c>
      <c r="L140" s="33" t="n">
        <v>0</v>
      </c>
    </row>
    <row r="141" customFormat="false" ht="29.85" hidden="false" customHeight="false" outlineLevel="0" collapsed="false">
      <c r="A141" s="35" t="s">
        <v>27</v>
      </c>
      <c r="B141" s="35" t="s">
        <v>115</v>
      </c>
      <c r="C141" s="42" t="s">
        <v>222</v>
      </c>
      <c r="D141" s="37" t="n">
        <v>212</v>
      </c>
      <c r="E141" s="38" t="n">
        <v>204.2</v>
      </c>
      <c r="F141" s="38" t="n">
        <v>34.8</v>
      </c>
      <c r="G141" s="37" t="n">
        <v>0</v>
      </c>
      <c r="H141" s="39" t="n">
        <v>0</v>
      </c>
      <c r="I141" s="40" t="n">
        <v>0</v>
      </c>
      <c r="J141" s="40" t="n">
        <v>0</v>
      </c>
      <c r="K141" s="37" t="n">
        <v>34</v>
      </c>
      <c r="L141" s="41" t="n">
        <v>0</v>
      </c>
    </row>
    <row r="142" customFormat="false" ht="29.85" hidden="false" customHeight="false" outlineLevel="0" collapsed="false">
      <c r="A142" s="14" t="s">
        <v>27</v>
      </c>
      <c r="B142" s="14" t="s">
        <v>115</v>
      </c>
      <c r="C142" s="34" t="s">
        <v>223</v>
      </c>
      <c r="D142" s="32" t="n">
        <v>248</v>
      </c>
      <c r="E142" s="17" t="n">
        <v>40.9</v>
      </c>
      <c r="F142" s="17" t="n">
        <v>34.2</v>
      </c>
      <c r="G142" s="32" t="n">
        <v>0</v>
      </c>
      <c r="H142" s="16" t="n">
        <v>0</v>
      </c>
      <c r="I142" s="15" t="n">
        <v>0</v>
      </c>
      <c r="J142" s="15" t="n">
        <v>0</v>
      </c>
      <c r="K142" s="32" t="n">
        <v>62</v>
      </c>
      <c r="L142" s="33" t="n">
        <v>1.61</v>
      </c>
    </row>
    <row r="143" customFormat="false" ht="29.85" hidden="false" customHeight="false" outlineLevel="0" collapsed="false">
      <c r="A143" s="35" t="s">
        <v>27</v>
      </c>
      <c r="B143" s="35" t="s">
        <v>120</v>
      </c>
      <c r="C143" s="42" t="s">
        <v>224</v>
      </c>
      <c r="D143" s="37" t="n">
        <v>794</v>
      </c>
      <c r="E143" s="38" t="n">
        <v>28.1</v>
      </c>
      <c r="F143" s="38" t="n">
        <v>32</v>
      </c>
      <c r="G143" s="37" t="n">
        <v>2</v>
      </c>
      <c r="H143" s="39" t="n">
        <v>0.252</v>
      </c>
      <c r="I143" s="40" t="n">
        <v>0</v>
      </c>
      <c r="J143" s="40" t="n">
        <v>0</v>
      </c>
      <c r="K143" s="37" t="n">
        <v>18</v>
      </c>
      <c r="L143" s="41" t="n">
        <v>5.56</v>
      </c>
    </row>
    <row r="144" customFormat="false" ht="29.85" hidden="false" customHeight="false" outlineLevel="0" collapsed="false">
      <c r="A144" s="14" t="s">
        <v>27</v>
      </c>
      <c r="B144" s="14" t="s">
        <v>120</v>
      </c>
      <c r="C144" s="34" t="s">
        <v>225</v>
      </c>
      <c r="D144" s="32" t="n">
        <v>0</v>
      </c>
      <c r="E144" s="17" t="n">
        <v>0</v>
      </c>
      <c r="F144" s="17"/>
      <c r="G144" s="32" t="n">
        <v>0</v>
      </c>
      <c r="H144" s="16"/>
      <c r="I144" s="15" t="n">
        <v>0</v>
      </c>
      <c r="J144" s="15" t="n">
        <v>0</v>
      </c>
      <c r="K144" s="32" t="n">
        <v>0</v>
      </c>
      <c r="L144" s="33" t="n">
        <v>0</v>
      </c>
    </row>
    <row r="145" customFormat="false" ht="29.85" hidden="false" customHeight="false" outlineLevel="0" collapsed="false">
      <c r="A145" s="35" t="s">
        <v>27</v>
      </c>
      <c r="B145" s="35" t="s">
        <v>120</v>
      </c>
      <c r="C145" s="42" t="s">
        <v>226</v>
      </c>
      <c r="D145" s="37" t="n">
        <v>0</v>
      </c>
      <c r="E145" s="38" t="n">
        <v>0</v>
      </c>
      <c r="F145" s="38"/>
      <c r="G145" s="37" t="n">
        <v>0</v>
      </c>
      <c r="H145" s="39"/>
      <c r="I145" s="40" t="n">
        <v>0</v>
      </c>
      <c r="J145" s="40" t="n">
        <v>0</v>
      </c>
      <c r="K145" s="37" t="n">
        <v>0</v>
      </c>
      <c r="L145" s="41" t="n">
        <v>0</v>
      </c>
    </row>
    <row r="146" customFormat="false" ht="29.85" hidden="false" customHeight="false" outlineLevel="0" collapsed="false">
      <c r="A146" s="14" t="s">
        <v>27</v>
      </c>
      <c r="B146" s="14" t="s">
        <v>125</v>
      </c>
      <c r="C146" s="34" t="s">
        <v>227</v>
      </c>
      <c r="D146" s="32" t="n">
        <v>0</v>
      </c>
      <c r="E146" s="17" t="n">
        <v>0</v>
      </c>
      <c r="F146" s="17"/>
      <c r="G146" s="32" t="n">
        <v>0</v>
      </c>
      <c r="H146" s="16"/>
      <c r="I146" s="15" t="n">
        <v>0</v>
      </c>
      <c r="J146" s="15" t="n">
        <v>0</v>
      </c>
      <c r="K146" s="32" t="n">
        <v>0</v>
      </c>
      <c r="L146" s="33" t="n">
        <v>0</v>
      </c>
    </row>
    <row r="147" customFormat="false" ht="15" hidden="false" customHeight="false" outlineLevel="0" collapsed="false">
      <c r="A147" s="35" t="s">
        <v>27</v>
      </c>
      <c r="B147" s="35" t="s">
        <v>125</v>
      </c>
      <c r="C147" s="36" t="s">
        <v>228</v>
      </c>
      <c r="D147" s="37" t="n">
        <v>0</v>
      </c>
      <c r="E147" s="38" t="n">
        <v>0</v>
      </c>
      <c r="F147" s="38"/>
      <c r="G147" s="37" t="n">
        <v>0</v>
      </c>
      <c r="H147" s="39"/>
      <c r="I147" s="40" t="n">
        <v>0</v>
      </c>
      <c r="J147" s="40" t="n">
        <v>0</v>
      </c>
      <c r="K147" s="37" t="n">
        <v>0</v>
      </c>
      <c r="L147" s="41" t="n">
        <v>0</v>
      </c>
    </row>
    <row r="148" customFormat="false" ht="29.85" hidden="false" customHeight="false" outlineLevel="0" collapsed="false">
      <c r="A148" s="14" t="s">
        <v>27</v>
      </c>
      <c r="B148" s="14" t="s">
        <v>125</v>
      </c>
      <c r="C148" s="34" t="s">
        <v>229</v>
      </c>
      <c r="D148" s="32" t="n">
        <v>0</v>
      </c>
      <c r="E148" s="17" t="n">
        <v>0</v>
      </c>
      <c r="F148" s="17"/>
      <c r="G148" s="32" t="n">
        <v>0</v>
      </c>
      <c r="H148" s="16"/>
      <c r="I148" s="15" t="n">
        <v>0</v>
      </c>
      <c r="J148" s="15" t="n">
        <v>0</v>
      </c>
      <c r="K148" s="32" t="n">
        <v>0</v>
      </c>
      <c r="L148" s="33" t="n">
        <v>0</v>
      </c>
    </row>
    <row r="149" customFormat="false" ht="15" hidden="false" customHeight="false" outlineLevel="0" collapsed="false">
      <c r="A149" s="35" t="s">
        <v>27</v>
      </c>
      <c r="B149" s="35" t="s">
        <v>130</v>
      </c>
      <c r="C149" s="36" t="s">
        <v>230</v>
      </c>
      <c r="D149" s="37" t="n">
        <v>0</v>
      </c>
      <c r="E149" s="38" t="n">
        <v>0</v>
      </c>
      <c r="F149" s="38"/>
      <c r="G149" s="37" t="n">
        <v>0</v>
      </c>
      <c r="H149" s="39"/>
      <c r="I149" s="40" t="n">
        <v>0</v>
      </c>
      <c r="J149" s="40" t="n">
        <v>0</v>
      </c>
      <c r="K149" s="37" t="n">
        <v>0</v>
      </c>
      <c r="L149" s="41" t="n">
        <v>0</v>
      </c>
    </row>
    <row r="150" customFormat="false" ht="29.85" hidden="false" customHeight="false" outlineLevel="0" collapsed="false">
      <c r="A150" s="14" t="s">
        <v>27</v>
      </c>
      <c r="B150" s="14" t="s">
        <v>130</v>
      </c>
      <c r="C150" s="34" t="s">
        <v>231</v>
      </c>
      <c r="D150" s="32" t="n">
        <v>0</v>
      </c>
      <c r="E150" s="17" t="n">
        <v>0</v>
      </c>
      <c r="F150" s="17"/>
      <c r="G150" s="32" t="n">
        <v>0</v>
      </c>
      <c r="H150" s="16"/>
      <c r="I150" s="15" t="n">
        <v>0</v>
      </c>
      <c r="J150" s="15" t="n">
        <v>0</v>
      </c>
      <c r="K150" s="32" t="n">
        <v>0</v>
      </c>
      <c r="L150" s="33" t="n">
        <v>0</v>
      </c>
    </row>
    <row r="151" customFormat="false" ht="15" hidden="false" customHeight="false" outlineLevel="0" collapsed="false">
      <c r="A151" s="35" t="s">
        <v>27</v>
      </c>
      <c r="B151" s="35" t="s">
        <v>130</v>
      </c>
      <c r="C151" s="36" t="s">
        <v>232</v>
      </c>
      <c r="D151" s="37" t="n">
        <v>0</v>
      </c>
      <c r="E151" s="38" t="n">
        <v>0</v>
      </c>
      <c r="F151" s="38"/>
      <c r="G151" s="37" t="n">
        <v>0</v>
      </c>
      <c r="H151" s="39"/>
      <c r="I151" s="40" t="n">
        <v>0</v>
      </c>
      <c r="J151" s="40" t="n">
        <v>0</v>
      </c>
      <c r="K151" s="37" t="n">
        <v>0</v>
      </c>
      <c r="L151" s="41"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16"/>
    <col collapsed="false" customWidth="true" hidden="false" outlineLevel="0" max="4" min="4" style="0" width="42"/>
    <col collapsed="false" customWidth="true" hidden="false" outlineLevel="0" max="5" min="5" style="0" width="74"/>
    <col collapsed="false" customWidth="true" hidden="false" outlineLevel="0" max="7" min="6" style="0" width="12"/>
  </cols>
  <sheetData>
    <row r="1" customFormat="false" ht="17.35" hidden="false" customHeight="false" outlineLevel="0" collapsed="false">
      <c r="A1" s="4" t="s">
        <v>233</v>
      </c>
    </row>
    <row r="3" customFormat="false" ht="15" hidden="false" customHeight="false" outlineLevel="0" collapsed="false">
      <c r="A3" s="31" t="s">
        <v>234</v>
      </c>
      <c r="B3" s="8" t="s">
        <v>235</v>
      </c>
      <c r="C3" s="8" t="s">
        <v>236</v>
      </c>
      <c r="D3" s="8" t="s">
        <v>237</v>
      </c>
      <c r="E3" s="8" t="s">
        <v>238</v>
      </c>
      <c r="F3" s="8" t="s">
        <v>239</v>
      </c>
      <c r="G3" s="8" t="s">
        <v>240</v>
      </c>
    </row>
    <row r="4" customFormat="false" ht="48" hidden="false" customHeight="true" outlineLevel="0" collapsed="false">
      <c r="A4" s="13" t="n">
        <v>1</v>
      </c>
      <c r="B4" s="13" t="s">
        <v>241</v>
      </c>
      <c r="C4" s="13" t="s">
        <v>242</v>
      </c>
      <c r="D4" s="45" t="s">
        <v>243</v>
      </c>
      <c r="E4" s="45" t="s">
        <v>244</v>
      </c>
      <c r="F4" s="13" t="s">
        <v>245</v>
      </c>
      <c r="G4" s="9" t="s">
        <v>246</v>
      </c>
    </row>
    <row r="5" customFormat="false" ht="48" hidden="false" customHeight="true" outlineLevel="0" collapsed="false">
      <c r="A5" s="13" t="n">
        <v>2</v>
      </c>
      <c r="B5" s="13" t="s">
        <v>247</v>
      </c>
      <c r="C5" s="9" t="s">
        <v>23</v>
      </c>
      <c r="D5" s="9" t="s">
        <v>248</v>
      </c>
      <c r="E5" s="46" t="s">
        <v>249</v>
      </c>
      <c r="F5" s="13" t="s">
        <v>245</v>
      </c>
      <c r="G5" s="9" t="s">
        <v>246</v>
      </c>
    </row>
    <row r="6" customFormat="false" ht="48" hidden="false" customHeight="true" outlineLevel="0" collapsed="false">
      <c r="A6" s="13" t="n">
        <v>3</v>
      </c>
      <c r="B6" s="13" t="s">
        <v>247</v>
      </c>
      <c r="C6" s="9" t="s">
        <v>27</v>
      </c>
      <c r="D6" s="9" t="s">
        <v>250</v>
      </c>
      <c r="E6" s="46" t="s">
        <v>251</v>
      </c>
      <c r="F6" s="13" t="s">
        <v>245</v>
      </c>
      <c r="G6" s="9" t="s">
        <v>246</v>
      </c>
    </row>
    <row r="7" customFormat="false" ht="48" hidden="false" customHeight="true" outlineLevel="0" collapsed="false">
      <c r="A7" s="13" t="n">
        <v>4</v>
      </c>
      <c r="B7" s="13" t="s">
        <v>247</v>
      </c>
      <c r="C7" s="9" t="s">
        <v>25</v>
      </c>
      <c r="D7" s="9" t="s">
        <v>252</v>
      </c>
      <c r="E7" s="46" t="s">
        <v>253</v>
      </c>
      <c r="F7" s="13" t="s">
        <v>245</v>
      </c>
      <c r="G7" s="9" t="s">
        <v>246</v>
      </c>
    </row>
    <row r="8" customFormat="false" ht="48" hidden="false" customHeight="true" outlineLevel="0" collapsed="false">
      <c r="A8" s="13" t="n">
        <v>5</v>
      </c>
      <c r="B8" s="13" t="s">
        <v>254</v>
      </c>
      <c r="C8" s="13" t="s">
        <v>255</v>
      </c>
      <c r="D8" s="45" t="s">
        <v>256</v>
      </c>
      <c r="E8" s="45" t="s">
        <v>257</v>
      </c>
      <c r="F8" s="13" t="s">
        <v>245</v>
      </c>
      <c r="G8" s="9" t="s">
        <v>258</v>
      </c>
    </row>
    <row r="9" customFormat="false" ht="48" hidden="false" customHeight="true" outlineLevel="0" collapsed="false">
      <c r="A9" s="13" t="n">
        <v>6</v>
      </c>
      <c r="B9" s="13" t="s">
        <v>259</v>
      </c>
      <c r="C9" s="9" t="s">
        <v>31</v>
      </c>
      <c r="D9" s="9" t="s">
        <v>260</v>
      </c>
      <c r="E9" s="46" t="s">
        <v>261</v>
      </c>
      <c r="F9" s="13" t="s">
        <v>245</v>
      </c>
      <c r="G9" s="9" t="s">
        <v>262</v>
      </c>
    </row>
    <row r="10" customFormat="false" ht="48" hidden="false" customHeight="true" outlineLevel="0" collapsed="false">
      <c r="A10" s="18" t="n">
        <v>7</v>
      </c>
      <c r="B10" s="18" t="s">
        <v>263</v>
      </c>
      <c r="C10" s="14" t="s">
        <v>29</v>
      </c>
      <c r="D10" s="18" t="s">
        <v>264</v>
      </c>
      <c r="E10" s="34" t="s">
        <v>265</v>
      </c>
      <c r="F10" s="18" t="s">
        <v>266</v>
      </c>
      <c r="G10" s="14" t="s">
        <v>246</v>
      </c>
    </row>
    <row r="11" customFormat="false" ht="48" hidden="false" customHeight="true" outlineLevel="0" collapsed="false">
      <c r="A11" s="18" t="n">
        <v>8</v>
      </c>
      <c r="B11" s="18" t="s">
        <v>263</v>
      </c>
      <c r="C11" s="18" t="s">
        <v>255</v>
      </c>
      <c r="D11" s="18" t="s">
        <v>267</v>
      </c>
      <c r="E11" s="34" t="s">
        <v>268</v>
      </c>
      <c r="F11" s="18" t="s">
        <v>266</v>
      </c>
      <c r="G11" s="14" t="s">
        <v>258</v>
      </c>
    </row>
    <row r="12" customFormat="false" ht="48" hidden="false" customHeight="true" outlineLevel="0" collapsed="false">
      <c r="A12" s="28" t="n">
        <v>9</v>
      </c>
      <c r="B12" s="28" t="s">
        <v>269</v>
      </c>
      <c r="C12" s="28" t="s">
        <v>242</v>
      </c>
      <c r="D12" s="47" t="s">
        <v>270</v>
      </c>
      <c r="E12" s="48" t="s">
        <v>271</v>
      </c>
      <c r="F12" s="28" t="s">
        <v>272</v>
      </c>
      <c r="G12" s="28" t="s">
        <v>273</v>
      </c>
    </row>
    <row r="13" customFormat="false" ht="48" hidden="false" customHeight="true" outlineLevel="0" collapsed="false">
      <c r="A13" s="28" t="n">
        <v>10</v>
      </c>
      <c r="B13" s="28" t="s">
        <v>269</v>
      </c>
      <c r="C13" s="24" t="s">
        <v>33</v>
      </c>
      <c r="D13" s="48" t="s">
        <v>274</v>
      </c>
      <c r="E13" s="48" t="s">
        <v>275</v>
      </c>
      <c r="F13" s="28" t="s">
        <v>272</v>
      </c>
      <c r="G13" s="28"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4"/>
    <col collapsed="false" customWidth="true" hidden="false" outlineLevel="0" max="4" min="4" style="0" width="11"/>
    <col collapsed="false" customWidth="true" hidden="false" outlineLevel="0" max="5" min="5" style="0" width="15"/>
    <col collapsed="false" customWidth="true" hidden="false" outlineLevel="0" max="6" min="6" style="0" width="12"/>
    <col collapsed="false" customWidth="true" hidden="false" outlineLevel="0" max="7" min="7" style="0" width="24"/>
    <col collapsed="false" customWidth="true" hidden="false" outlineLevel="0" max="16" min="8" style="0" width="7"/>
  </cols>
  <sheetData>
    <row r="1" customFormat="false" ht="17.35" hidden="false" customHeight="false" outlineLevel="0" collapsed="false">
      <c r="A1" s="4" t="s">
        <v>276</v>
      </c>
    </row>
    <row r="3" customFormat="false" ht="15" hidden="false" customHeight="false" outlineLevel="0" collapsed="false">
      <c r="A3" s="5" t="s">
        <v>277</v>
      </c>
    </row>
    <row r="5" customFormat="false" ht="15" hidden="false" customHeight="false" outlineLevel="0" collapsed="false">
      <c r="A5" s="8" t="s">
        <v>16</v>
      </c>
      <c r="B5" s="8" t="s">
        <v>17</v>
      </c>
      <c r="C5" s="31" t="s">
        <v>278</v>
      </c>
      <c r="D5" s="31" t="s">
        <v>279</v>
      </c>
      <c r="E5" s="31" t="s">
        <v>280</v>
      </c>
      <c r="F5" s="31" t="s">
        <v>281</v>
      </c>
      <c r="G5" s="31" t="s">
        <v>282</v>
      </c>
      <c r="H5" s="31" t="s">
        <v>283</v>
      </c>
      <c r="I5" s="31" t="s">
        <v>284</v>
      </c>
      <c r="J5" s="31" t="s">
        <v>285</v>
      </c>
      <c r="K5" s="31" t="s">
        <v>286</v>
      </c>
      <c r="L5" s="31" t="s">
        <v>287</v>
      </c>
      <c r="M5" s="31" t="s">
        <v>288</v>
      </c>
      <c r="N5" s="31" t="s">
        <v>289</v>
      </c>
      <c r="O5" s="31" t="s">
        <v>290</v>
      </c>
      <c r="P5" s="31" t="s">
        <v>291</v>
      </c>
    </row>
    <row r="6" customFormat="false" ht="15" hidden="false" customHeight="false" outlineLevel="0" collapsed="false">
      <c r="A6" s="14" t="s">
        <v>23</v>
      </c>
      <c r="B6" s="15" t="n">
        <v>104</v>
      </c>
      <c r="C6" s="33" t="n">
        <v>1.26</v>
      </c>
      <c r="D6" s="33" t="n">
        <v>1.24</v>
      </c>
      <c r="E6" s="33" t="n">
        <v>1.2</v>
      </c>
      <c r="F6" s="33" t="n">
        <v>1.08</v>
      </c>
      <c r="G6" s="33" t="n">
        <v>0.89</v>
      </c>
      <c r="H6" s="33" t="n">
        <v>0.75</v>
      </c>
      <c r="I6" s="33" t="n">
        <v>0.67</v>
      </c>
      <c r="J6" s="33" t="n">
        <v>0.56</v>
      </c>
      <c r="K6" s="33" t="n">
        <v>0.49</v>
      </c>
      <c r="L6" s="33" t="n">
        <v>0.44</v>
      </c>
      <c r="M6" s="33" t="n">
        <v>0.41</v>
      </c>
      <c r="N6" s="33" t="n">
        <v>0.36</v>
      </c>
      <c r="O6" s="33" t="n">
        <v>0.29</v>
      </c>
      <c r="P6" s="33" t="n">
        <v>0.26</v>
      </c>
    </row>
    <row r="7" customFormat="false" ht="15" hidden="false" customHeight="false" outlineLevel="0" collapsed="false">
      <c r="A7" s="14" t="s">
        <v>25</v>
      </c>
      <c r="B7" s="15" t="n">
        <v>92</v>
      </c>
      <c r="C7" s="33" t="n">
        <v>1.17</v>
      </c>
      <c r="D7" s="33" t="n">
        <v>1.14</v>
      </c>
      <c r="E7" s="33" t="n">
        <v>1.1</v>
      </c>
      <c r="F7" s="33" t="n">
        <v>1.01</v>
      </c>
      <c r="G7" s="33" t="n">
        <v>0.82</v>
      </c>
      <c r="H7" s="33" t="n">
        <v>0.68</v>
      </c>
      <c r="I7" s="33" t="n">
        <v>0.59</v>
      </c>
      <c r="J7" s="33" t="n">
        <v>0.48</v>
      </c>
      <c r="K7" s="33" t="n">
        <v>0.42</v>
      </c>
      <c r="L7" s="33" t="n">
        <v>0.38</v>
      </c>
      <c r="M7" s="33" t="n">
        <v>0.35</v>
      </c>
      <c r="N7" s="33" t="n">
        <v>0.31</v>
      </c>
      <c r="O7" s="33" t="n">
        <v>0.22</v>
      </c>
      <c r="P7" s="33" t="n">
        <v>0.18</v>
      </c>
    </row>
    <row r="8" customFormat="false" ht="15" hidden="false" customHeight="false" outlineLevel="0" collapsed="false">
      <c r="A8" s="14" t="s">
        <v>27</v>
      </c>
      <c r="B8" s="15" t="n">
        <v>68</v>
      </c>
      <c r="C8" s="33" t="n">
        <v>1.17</v>
      </c>
      <c r="D8" s="33" t="n">
        <v>1.16</v>
      </c>
      <c r="E8" s="33" t="n">
        <v>1.09</v>
      </c>
      <c r="F8" s="33" t="n">
        <v>0.97</v>
      </c>
      <c r="G8" s="33" t="n">
        <v>0.8</v>
      </c>
      <c r="H8" s="33" t="n">
        <v>0.67</v>
      </c>
      <c r="I8" s="33" t="n">
        <v>0.58</v>
      </c>
      <c r="J8" s="33" t="n">
        <v>0.46</v>
      </c>
      <c r="K8" s="33" t="n">
        <v>0.4</v>
      </c>
      <c r="L8" s="33" t="n">
        <v>0.36</v>
      </c>
      <c r="M8" s="33" t="n">
        <v>0.33</v>
      </c>
      <c r="N8" s="33" t="n">
        <v>0.29</v>
      </c>
      <c r="O8" s="33" t="n">
        <v>0.22</v>
      </c>
      <c r="P8" s="33" t="n">
        <v>0.18</v>
      </c>
    </row>
    <row r="9" customFormat="false" ht="15" hidden="false" customHeight="false" outlineLevel="0" collapsed="false">
      <c r="A9" s="14" t="s">
        <v>29</v>
      </c>
      <c r="B9" s="15" t="n">
        <v>44</v>
      </c>
      <c r="C9" s="33" t="n">
        <v>1.28</v>
      </c>
      <c r="D9" s="33" t="n">
        <v>1.26</v>
      </c>
      <c r="E9" s="33" t="n">
        <v>1.18</v>
      </c>
      <c r="F9" s="33" t="n">
        <v>0.98</v>
      </c>
      <c r="G9" s="33" t="n">
        <v>0.85</v>
      </c>
      <c r="H9" s="33" t="n">
        <v>0.76</v>
      </c>
      <c r="I9" s="33" t="n">
        <v>0.7</v>
      </c>
      <c r="J9" s="33" t="n">
        <v>0.63</v>
      </c>
      <c r="K9" s="33" t="n">
        <v>0.59</v>
      </c>
      <c r="L9" s="33" t="n">
        <v>0.56</v>
      </c>
      <c r="M9" s="33" t="n">
        <v>0.52</v>
      </c>
      <c r="N9" s="33" t="n">
        <v>0.49</v>
      </c>
      <c r="O9" s="33" t="n">
        <v>0.39</v>
      </c>
      <c r="P9" s="33" t="n">
        <v>0.27</v>
      </c>
    </row>
    <row r="10" customFormat="false" ht="15" hidden="false" customHeight="false" outlineLevel="0" collapsed="false">
      <c r="A10" s="14" t="s">
        <v>31</v>
      </c>
      <c r="B10" s="15" t="n">
        <v>50</v>
      </c>
      <c r="C10" s="33" t="n">
        <v>1.15</v>
      </c>
      <c r="D10" s="33" t="n">
        <v>1.14</v>
      </c>
      <c r="E10" s="33" t="n">
        <v>1.1</v>
      </c>
      <c r="F10" s="33" t="n">
        <v>0.96</v>
      </c>
      <c r="G10" s="33" t="n">
        <v>0.79</v>
      </c>
      <c r="H10" s="33" t="n">
        <v>0.67</v>
      </c>
      <c r="I10" s="33" t="n">
        <v>0.59</v>
      </c>
      <c r="J10" s="33" t="n">
        <v>0.46</v>
      </c>
      <c r="K10" s="33" t="n">
        <v>0.38</v>
      </c>
      <c r="L10" s="33" t="n">
        <v>0.32</v>
      </c>
      <c r="M10" s="33" t="n">
        <v>0.28</v>
      </c>
      <c r="N10" s="33" t="n">
        <v>0.22</v>
      </c>
      <c r="O10" s="33" t="n">
        <v>0.18</v>
      </c>
      <c r="P10" s="33" t="n">
        <v>0.16</v>
      </c>
    </row>
    <row r="11" customFormat="false" ht="15" hidden="false" customHeight="false" outlineLevel="0" collapsed="false">
      <c r="A11" s="14" t="s">
        <v>33</v>
      </c>
      <c r="B11" s="15" t="n">
        <v>56</v>
      </c>
      <c r="C11" s="33" t="n">
        <v>1.19</v>
      </c>
      <c r="D11" s="33" t="n">
        <v>1.17</v>
      </c>
      <c r="E11" s="33" t="n">
        <v>1.09</v>
      </c>
      <c r="F11" s="33" t="n">
        <v>0.98</v>
      </c>
      <c r="G11" s="33" t="n">
        <v>0.83</v>
      </c>
      <c r="H11" s="33" t="n">
        <v>0.71</v>
      </c>
      <c r="I11" s="33" t="n">
        <v>0.64</v>
      </c>
      <c r="J11" s="33" t="n">
        <v>0.54</v>
      </c>
      <c r="K11" s="33" t="n">
        <v>0.49</v>
      </c>
      <c r="L11" s="33" t="n">
        <v>0.45</v>
      </c>
      <c r="M11" s="33" t="n">
        <v>0.42</v>
      </c>
      <c r="N11" s="33" t="n">
        <v>0.36</v>
      </c>
      <c r="O11" s="33" t="n">
        <v>0.25</v>
      </c>
      <c r="P11" s="33" t="n">
        <v>0.21</v>
      </c>
    </row>
    <row r="12" customFormat="false" ht="15" hidden="false" customHeight="false" outlineLevel="0" collapsed="false">
      <c r="A12" s="14" t="s">
        <v>35</v>
      </c>
      <c r="B12" s="15" t="n">
        <v>6</v>
      </c>
      <c r="C12" s="33" t="n">
        <v>1.07</v>
      </c>
      <c r="D12" s="33" t="n">
        <v>1.06</v>
      </c>
      <c r="E12" s="33" t="n">
        <v>1.05</v>
      </c>
      <c r="F12" s="33" t="n">
        <v>0.93</v>
      </c>
      <c r="G12" s="33" t="n">
        <v>0.65</v>
      </c>
      <c r="H12" s="33" t="n">
        <v>0.47</v>
      </c>
      <c r="I12" s="33" t="n">
        <v>0.38</v>
      </c>
      <c r="J12" s="33" t="n">
        <v>0.26</v>
      </c>
      <c r="K12" s="33" t="n">
        <v>0.23</v>
      </c>
      <c r="L12" s="33" t="n">
        <v>0.2</v>
      </c>
      <c r="M12" s="33" t="n">
        <v>0.18</v>
      </c>
      <c r="N12" s="33" t="n">
        <v>0.15</v>
      </c>
      <c r="O12" s="33" t="n">
        <v>0.09</v>
      </c>
      <c r="P12" s="33" t="n">
        <v>0.12</v>
      </c>
    </row>
    <row r="15" customFormat="false" ht="15" hidden="false" customHeight="false" outlineLevel="0" collapsed="false">
      <c r="A15" s="5" t="s">
        <v>292</v>
      </c>
    </row>
    <row r="16" customFormat="false" ht="15" hidden="false" customHeight="false" outlineLevel="0" collapsed="false">
      <c r="A16" s="8" t="s">
        <v>16</v>
      </c>
      <c r="B16" s="8" t="s">
        <v>293</v>
      </c>
      <c r="C16" s="31" t="s">
        <v>294</v>
      </c>
      <c r="D16" s="31" t="s">
        <v>295</v>
      </c>
      <c r="E16" s="8" t="s">
        <v>296</v>
      </c>
    </row>
    <row r="17" customFormat="false" ht="15" hidden="false" customHeight="false" outlineLevel="0" collapsed="false">
      <c r="A17" s="19" t="s">
        <v>23</v>
      </c>
      <c r="B17" s="19" t="s">
        <v>297</v>
      </c>
      <c r="C17" s="19" t="s">
        <v>298</v>
      </c>
      <c r="D17" s="19" t="s">
        <v>299</v>
      </c>
      <c r="E17" s="23" t="s">
        <v>300</v>
      </c>
    </row>
    <row r="18" customFormat="false" ht="15" hidden="false" customHeight="false" outlineLevel="0" collapsed="false">
      <c r="A18" s="19" t="s">
        <v>25</v>
      </c>
      <c r="B18" s="19" t="s">
        <v>301</v>
      </c>
      <c r="C18" s="19" t="s">
        <v>302</v>
      </c>
      <c r="D18" s="19" t="s">
        <v>303</v>
      </c>
      <c r="E18" s="23" t="s">
        <v>300</v>
      </c>
    </row>
    <row r="19" customFormat="false" ht="15" hidden="false" customHeight="false" outlineLevel="0" collapsed="false">
      <c r="A19" s="19" t="s">
        <v>27</v>
      </c>
      <c r="B19" s="19" t="s">
        <v>304</v>
      </c>
      <c r="C19" s="19" t="s">
        <v>305</v>
      </c>
      <c r="D19" s="19" t="s">
        <v>258</v>
      </c>
      <c r="E19" s="23" t="s">
        <v>300</v>
      </c>
    </row>
    <row r="20" customFormat="false" ht="15" hidden="false" customHeight="false" outlineLevel="0" collapsed="false">
      <c r="A20" s="19" t="s">
        <v>29</v>
      </c>
      <c r="B20" s="19" t="s">
        <v>306</v>
      </c>
      <c r="C20" s="19" t="s">
        <v>307</v>
      </c>
      <c r="D20" s="19" t="s">
        <v>258</v>
      </c>
      <c r="E20" s="23" t="s">
        <v>308</v>
      </c>
    </row>
    <row r="21" customFormat="false" ht="15" hidden="false" customHeight="false" outlineLevel="0" collapsed="false">
      <c r="A21" s="19" t="s">
        <v>31</v>
      </c>
      <c r="B21" s="19" t="s">
        <v>309</v>
      </c>
      <c r="C21" s="19" t="s">
        <v>310</v>
      </c>
      <c r="D21" s="19" t="s">
        <v>258</v>
      </c>
      <c r="E21" s="23" t="s">
        <v>308</v>
      </c>
    </row>
    <row r="24" customFormat="false" ht="15" hidden="false" customHeight="false" outlineLevel="0" collapsed="false">
      <c r="A24" s="5" t="s">
        <v>311</v>
      </c>
    </row>
    <row r="25" customFormat="false" ht="15" hidden="false" customHeight="false" outlineLevel="0" collapsed="false">
      <c r="A25" s="8" t="s">
        <v>16</v>
      </c>
      <c r="B25" s="31" t="s">
        <v>312</v>
      </c>
      <c r="C25" s="31" t="s">
        <v>313</v>
      </c>
      <c r="D25" s="31" t="s">
        <v>314</v>
      </c>
      <c r="E25" s="31" t="s">
        <v>315</v>
      </c>
      <c r="F25" s="8" t="s">
        <v>316</v>
      </c>
      <c r="G25" s="8" t="s">
        <v>296</v>
      </c>
    </row>
    <row r="26" customFormat="false" ht="15" hidden="false" customHeight="false" outlineLevel="0" collapsed="false">
      <c r="A26" s="9" t="s">
        <v>27</v>
      </c>
      <c r="B26" s="10" t="n">
        <v>12</v>
      </c>
      <c r="C26" s="49" t="n">
        <v>1.19</v>
      </c>
      <c r="D26" s="10" t="n">
        <v>15</v>
      </c>
      <c r="E26" s="49" t="n">
        <v>0.41</v>
      </c>
      <c r="F26" s="49" t="n">
        <f aca="false">IFERROR(C26/E26,0)</f>
        <v>2.90243902439024</v>
      </c>
      <c r="G26" s="13" t="s">
        <v>317</v>
      </c>
    </row>
    <row r="27" customFormat="false" ht="15" hidden="false" customHeight="false" outlineLevel="0" collapsed="false">
      <c r="A27" s="9" t="s">
        <v>23</v>
      </c>
      <c r="B27" s="10" t="n">
        <v>12</v>
      </c>
      <c r="C27" s="49" t="n">
        <v>1.14</v>
      </c>
      <c r="D27" s="10" t="n">
        <v>20</v>
      </c>
      <c r="E27" s="49" t="n">
        <v>0.42</v>
      </c>
      <c r="F27" s="49" t="n">
        <f aca="false">IFERROR(C27/E27,0)</f>
        <v>2.71428571428571</v>
      </c>
      <c r="G27" s="13" t="s">
        <v>317</v>
      </c>
    </row>
    <row r="28" customFormat="false" ht="15" hidden="false" customHeight="false" outlineLevel="0" collapsed="false">
      <c r="A28" s="9" t="s">
        <v>25</v>
      </c>
      <c r="B28" s="10" t="n">
        <v>18</v>
      </c>
      <c r="C28" s="49" t="n">
        <v>0.94</v>
      </c>
      <c r="D28" s="10" t="n">
        <v>14</v>
      </c>
      <c r="E28" s="49" t="n">
        <v>0.77</v>
      </c>
      <c r="F28" s="49" t="n">
        <f aca="false">IFERROR(C28/E28,0)</f>
        <v>1.22077922077922</v>
      </c>
      <c r="G28" s="13" t="s">
        <v>318</v>
      </c>
    </row>
    <row r="29" customFormat="false" ht="15" hidden="false" customHeight="false" outlineLevel="0" collapsed="false">
      <c r="A29" s="14" t="s">
        <v>31</v>
      </c>
      <c r="B29" s="15" t="n">
        <v>19</v>
      </c>
      <c r="C29" s="33" t="n">
        <v>0.18</v>
      </c>
      <c r="D29" s="15" t="n">
        <v>17</v>
      </c>
      <c r="E29" s="33" t="n">
        <v>0.2</v>
      </c>
      <c r="F29" s="33" t="n">
        <f aca="false">IFERROR(C29/E29,0)</f>
        <v>0.9</v>
      </c>
      <c r="G29" s="18"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2026-09-18T01:15:56Z</dcterms:created>
  <dc:creator>openpyxl</dc:creator>
  <dc:description/>
  <dc:language>en-US</dc:language>
  <cp:lastModifiedBy/>
  <dcterms:modified xsi:type="dcterms:W3CDTF">2026-09-18T01:15:56Z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