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チャンネル概要" sheetId="1" state="visible" r:id="rId3"/>
    <sheet name="直近動画パフォーマンス" sheetId="2" state="visible" r:id="rId4"/>
    <sheet name="Top動画ランキング" sheetId="3" state="visible" r:id="rId5"/>
    <sheet name="分析・改善提案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<sst xmlns="http://schemas.openxmlformats.org/spreadsheetml/2006/main" count="246" uniqueCount="143">
  <si>
    <r>
      <rPr>
        <b val="true"/>
        <sz val="14"/>
        <color rgb="FF2F5496"/>
        <rFont val="Arial"/>
        <family val="0"/>
        <charset val="1"/>
      </rPr>
      <t xml:space="preserve">YouTube</t>
    </r>
    <r>
      <rPr>
        <b val="true"/>
        <sz val="14"/>
        <color rgb="FF2F5496"/>
        <rFont val="Noto Sans CJK SC"/>
        <family val="2"/>
      </rPr>
      <t xml:space="preserve">全チャンネル分析レポート（</t>
    </r>
    <r>
      <rPr>
        <b val="true"/>
        <sz val="14"/>
        <color rgb="FF2F5496"/>
        <rFont val="Arial"/>
        <family val="0"/>
        <charset val="1"/>
      </rPr>
      <t xml:space="preserve">2026</t>
    </r>
    <r>
      <rPr>
        <b val="true"/>
        <sz val="14"/>
        <color rgb="FF2F5496"/>
        <rFont val="Noto Sans CJK SC"/>
        <family val="2"/>
      </rPr>
      <t xml:space="preserve">年</t>
    </r>
    <r>
      <rPr>
        <b val="true"/>
        <sz val="14"/>
        <color rgb="FF2F5496"/>
        <rFont val="Arial"/>
        <family val="0"/>
        <charset val="1"/>
      </rPr>
      <t xml:space="preserve">8</t>
    </r>
    <r>
      <rPr>
        <b val="true"/>
        <sz val="14"/>
        <color rgb="FF2F5496"/>
        <rFont val="Noto Sans CJK SC"/>
        <family val="2"/>
      </rPr>
      <t xml:space="preserve">月</t>
    </r>
    <r>
      <rPr>
        <b val="true"/>
        <sz val="14"/>
        <color rgb="FF2F5496"/>
        <rFont val="Arial"/>
        <family val="0"/>
        <charset val="1"/>
      </rPr>
      <t xml:space="preserve">24</t>
    </r>
    <r>
      <rPr>
        <b val="true"/>
        <sz val="14"/>
        <color rgb="FF2F5496"/>
        <rFont val="Noto Sans CJK SC"/>
        <family val="2"/>
      </rPr>
      <t xml:space="preserve">日時点）</t>
    </r>
  </si>
  <si>
    <t xml:space="preserve">#</t>
  </si>
  <si>
    <r>
      <rPr>
        <b val="true"/>
        <sz val="11"/>
        <color rgb="FFFFFFFF"/>
        <rFont val="Noto Sans CJK SC"/>
        <family val="2"/>
      </rPr>
      <t xml:space="preserve">チャンネル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</si>
  <si>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チャンネル名</t>
  </si>
  <si>
    <t xml:space="preserve">登録者数</t>
  </si>
  <si>
    <t xml:space="preserve">総再生数</t>
  </si>
  <si>
    <t xml:space="preserve">動画本数</t>
  </si>
  <si>
    <r>
      <rPr>
        <b val="true"/>
        <sz val="11"/>
        <color rgb="FFFFFFFF"/>
        <rFont val="Noto Sans CJK SC"/>
        <family val="2"/>
      </rPr>
      <t xml:space="preserve">直近</t>
    </r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日再生数</t>
    </r>
  </si>
  <si>
    <r>
      <rPr>
        <b val="true"/>
        <sz val="11"/>
        <color rgb="FFFFFFFF"/>
        <rFont val="Noto Sans CJK SC"/>
        <family val="2"/>
      </rPr>
      <t xml:space="preserve">再生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登録者</t>
    </r>
  </si>
  <si>
    <r>
      <rPr>
        <b val="true"/>
        <sz val="11"/>
        <color rgb="FFFFFFFF"/>
        <rFont val="Noto Sans CJK SC"/>
        <family val="2"/>
      </rPr>
      <t xml:space="preserve">平均再生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動画</t>
    </r>
  </si>
  <si>
    <t xml:space="preserve">いいね率</t>
  </si>
  <si>
    <t xml:space="preserve">開設日</t>
  </si>
  <si>
    <t xml:space="preserve">scp-lab</t>
  </si>
  <si>
    <r>
      <rPr>
        <sz val="10"/>
        <rFont val="Noto Sans CJK SC"/>
        <family val="2"/>
      </rPr>
      <t xml:space="preserve">異常存在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ゆっくり解説ラボ</t>
    </r>
  </si>
  <si>
    <t xml:space="preserve">2026/05/15</t>
  </si>
  <si>
    <t xml:space="preserve">daily-science</t>
  </si>
  <si>
    <t xml:space="preserve">リコとマコトのゆっくり日常科学</t>
  </si>
  <si>
    <t xml:space="preserve">2026/04/24</t>
  </si>
  <si>
    <t xml:space="preserve">pokemon-lab</t>
  </si>
  <si>
    <t xml:space="preserve">ゆっくりポケモンラボ</t>
  </si>
  <si>
    <t xml:space="preserve">2023/02/14</t>
  </si>
  <si>
    <t xml:space="preserve">yokai-watch</t>
  </si>
  <si>
    <t xml:space="preserve">ゆっくり妖怪ラボ</t>
  </si>
  <si>
    <t xml:space="preserve">2026/07/30</t>
  </si>
  <si>
    <t xml:space="preserve">2ch-matome</t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</si>
  <si>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スレまとめ劇場</t>
    </r>
  </si>
  <si>
    <t xml:space="preserve">2026/08/09</t>
  </si>
  <si>
    <t xml:space="preserve">company-facts</t>
  </si>
  <si>
    <t xml:space="preserve">企業のホンネ</t>
  </si>
  <si>
    <t xml:space="preserve">N/A</t>
  </si>
  <si>
    <t xml:space="preserve">2026/08/03</t>
  </si>
  <si>
    <t xml:space="preserve">clip-lab</t>
  </si>
  <si>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Lab</t>
    </r>
    <r>
      <rPr>
        <sz val="10"/>
        <rFont val="Noto Sans CJK SC"/>
        <family val="2"/>
      </rPr>
      <t xml:space="preserve">（ひろゆき）</t>
    </r>
  </si>
  <si>
    <t xml:space="preserve">2026/08</t>
  </si>
  <si>
    <t xml:space="preserve">clip-fukada</t>
  </si>
  <si>
    <r>
      <rPr>
        <sz val="10"/>
        <rFont val="Noto Sans CJK SC"/>
        <family val="2"/>
      </rPr>
      <t xml:space="preserve">深田えいみ 切り抜き</t>
    </r>
    <r>
      <rPr>
        <sz val="10"/>
        <rFont val="Arial"/>
        <family val="0"/>
        <charset val="1"/>
      </rPr>
      <t xml:space="preserve">CH</t>
    </r>
  </si>
  <si>
    <t xml:space="preserve">clip-kaneko</t>
  </si>
  <si>
    <r>
      <rPr>
        <sz val="10"/>
        <rFont val="Noto Sans CJK SC"/>
        <family val="2"/>
      </rPr>
      <t xml:space="preserve">金子みゆ 切り抜き</t>
    </r>
    <r>
      <rPr>
        <sz val="10"/>
        <rFont val="Arial"/>
        <family val="0"/>
        <charset val="1"/>
      </rPr>
      <t xml:space="preserve">CH</t>
    </r>
  </si>
  <si>
    <t xml:space="preserve">合計</t>
  </si>
  <si>
    <t xml:space="preserve">直近投稿動画のパフォーマンス</t>
  </si>
  <si>
    <t xml:space="preserve">チャンネル</t>
  </si>
  <si>
    <t xml:space="preserve">直近動画タイトル</t>
  </si>
  <si>
    <t xml:space="preserve">再生数</t>
  </si>
  <si>
    <t xml:space="preserve">いいね数</t>
  </si>
  <si>
    <t xml:space="preserve">コメント数</t>
  </si>
  <si>
    <t xml:space="preserve">投稿時期</t>
  </si>
  <si>
    <t xml:space="preserve">備考</t>
  </si>
  <si>
    <r>
      <rPr>
        <sz val="10"/>
        <rFont val="Noto Sans CJK SC"/>
        <family val="2"/>
      </rPr>
      <t xml:space="preserve">全長『測定不能』の深海巨大生物</t>
    </r>
    <r>
      <rPr>
        <sz val="10"/>
        <rFont val="Arial"/>
        <family val="0"/>
        <charset val="1"/>
      </rPr>
      <t xml:space="preserve">SCP-3000——</t>
    </r>
    <r>
      <rPr>
        <sz val="10"/>
        <rFont val="Noto Sans CJK SC"/>
        <family val="2"/>
      </rPr>
      <t xml:space="preserve">記憶を溶かす怪物から搾り取られる物質</t>
    </r>
    <r>
      <rPr>
        <sz val="10"/>
        <rFont val="Arial"/>
        <family val="0"/>
        <charset val="1"/>
      </rPr>
      <t xml:space="preserve">Y-909</t>
    </r>
    <r>
      <rPr>
        <sz val="10"/>
        <rFont val="Noto Sans CJK SC"/>
        <family val="2"/>
      </rPr>
      <t xml:space="preserve">の正体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</si>
  <si>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週間前</t>
    </r>
  </si>
  <si>
    <r>
      <rPr>
        <sz val="10"/>
        <rFont val="Noto Sans CJK SC"/>
        <family val="2"/>
      </rPr>
      <t xml:space="preserve">長尺動画（</t>
    </r>
    <r>
      <rPr>
        <sz val="10"/>
        <rFont val="Arial"/>
        <family val="0"/>
        <charset val="1"/>
      </rPr>
      <t xml:space="preserve">14:21</t>
    </r>
    <r>
      <rPr>
        <sz val="10"/>
        <rFont val="Noto Sans CJK SC"/>
        <family val="2"/>
      </rPr>
      <t xml:space="preserve">）、低パフォーマンス</t>
    </r>
  </si>
  <si>
    <r>
      <rPr>
        <sz val="10"/>
        <rFont val="Noto Sans CJK SC"/>
        <family val="2"/>
      </rPr>
      <t xml:space="preserve">【ゆっくり解説】同じ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度なのになぜ感じ方が違う？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</si>
  <si>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か月前</t>
    </r>
  </si>
  <si>
    <r>
      <rPr>
        <sz val="10"/>
        <rFont val="Noto Sans CJK SC"/>
        <family val="2"/>
      </rPr>
      <t xml:space="preserve">長尺動画（</t>
    </r>
    <r>
      <rPr>
        <sz val="10"/>
        <rFont val="Arial"/>
        <family val="0"/>
        <charset val="1"/>
      </rPr>
      <t xml:space="preserve">11:05</t>
    </r>
    <r>
      <rPr>
        <sz val="10"/>
        <rFont val="Noto Sans CJK SC"/>
        <family val="2"/>
      </rPr>
      <t xml:space="preserve">）、投稿停滞中</t>
    </r>
  </si>
  <si>
    <t xml:space="preserve">【白い悪魔】トゲキッスの今までの歴史を振り返る</t>
  </si>
  <si>
    <t xml:space="preserve">-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</si>
  <si>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年前</t>
    </r>
  </si>
  <si>
    <t xml:space="preserve">長尺のみ、ショートは別統計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</si>
  <si>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：ぬらりひょんに隠された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</t>
    </r>
  </si>
  <si>
    <t xml:space="preserve">最新</t>
  </si>
  <si>
    <t xml:space="preserve">新シリーズ、伸び待ち</t>
  </si>
  <si>
    <r>
      <rPr>
        <sz val="10"/>
        <rFont val="Noto Sans CJK SC"/>
        <family val="2"/>
      </rPr>
      <t xml:space="preserve">味の素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粒、実は何に使うのか？意外すぎる活用法をあげてけ</t>
    </r>
    <r>
      <rPr>
        <sz val="10"/>
        <rFont val="Arial"/>
        <family val="0"/>
        <charset val="1"/>
      </rPr>
      <t xml:space="preserve">w</t>
    </r>
  </si>
  <si>
    <t xml:space="preserve">安定した再生数</t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</si>
  <si>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</t>
    </r>
  </si>
  <si>
    <t xml:space="preserve">チャンネル最高再生に近い</t>
  </si>
  <si>
    <t xml:space="preserve">バーコードが通らない偽物だった</t>
  </si>
  <si>
    <t xml:space="preserve">ひろゆき切り抜き</t>
  </si>
  <si>
    <t xml:space="preserve">プロテインにマカとロイヤルゼリー入り</t>
  </si>
  <si>
    <t xml:space="preserve">開設直後、要テコ入れ</t>
  </si>
  <si>
    <t xml:space="preserve">敵シールドのレーザーが分からず大混乱</t>
  </si>
  <si>
    <r>
      <rPr>
        <sz val="10"/>
        <rFont val="Noto Sans CJK SC"/>
        <family val="2"/>
      </rPr>
      <t xml:space="preserve">投稿直後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未公開</t>
    </r>
  </si>
  <si>
    <r>
      <rPr>
        <b val="true"/>
        <sz val="14"/>
        <color rgb="FF2F5496"/>
        <rFont val="Noto Sans CJK SC"/>
        <family val="2"/>
      </rPr>
      <t xml:space="preserve">全チャンネル </t>
    </r>
    <r>
      <rPr>
        <b val="true"/>
        <sz val="14"/>
        <color rgb="FF2F5496"/>
        <rFont val="Arial"/>
        <family val="0"/>
        <charset val="1"/>
      </rPr>
      <t xml:space="preserve">Top</t>
    </r>
    <r>
      <rPr>
        <b val="true"/>
        <sz val="14"/>
        <color rgb="FF2F5496"/>
        <rFont val="Noto Sans CJK SC"/>
        <family val="2"/>
      </rPr>
      <t xml:space="preserve">動画ランキング（累計再生数順）</t>
    </r>
  </si>
  <si>
    <t xml:space="preserve">順位</t>
  </si>
  <si>
    <t xml:space="preserve">動画タイトル</t>
  </si>
  <si>
    <t xml:space="preserve">特徴分析</t>
  </si>
  <si>
    <t xml:space="preserve">レックウザの誕生に隠された秘密　神話と科学が交差する瞬間</t>
  </si>
  <si>
    <r>
      <rPr>
        <sz val="10"/>
        <rFont val="Noto Sans CJK SC"/>
        <family val="2"/>
      </rPr>
      <t xml:space="preserve">具体数字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神話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科学の対比で好奇心刺激</t>
    </r>
  </si>
  <si>
    <t xml:space="preserve">のっぺらぼうの正体が怖すぎる — 顔を奪う怪談はなぜ生まれたのか</t>
  </si>
  <si>
    <r>
      <rPr>
        <sz val="10"/>
        <rFont val="Noto Sans CJK SC"/>
        <family val="2"/>
      </rPr>
      <t xml:space="preserve">「怖すぎる」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疑問形で恐怖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好奇心の二重フック</t>
    </r>
  </si>
  <si>
    <t xml:space="preserve">鬼の元ネタが怖すぎる — 鬼門から来る者を家に入れてはいけない理由</t>
  </si>
  <si>
    <r>
      <rPr>
        <sz val="10"/>
        <rFont val="Noto Sans CJK SC"/>
        <family val="2"/>
      </rPr>
      <t xml:space="preserve">禁忌系タイトル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身近な「家」で当事者化</t>
    </r>
  </si>
  <si>
    <t xml:space="preserve">エリートトレーナーの謎—なぜ彼らだけが特別なのか？</t>
  </si>
  <si>
    <t xml:space="preserve">「謎」「なぜ」で探究欲を煽る</t>
  </si>
  <si>
    <t xml:space="preserve">ふじのやまの元ネタが怖すぎる — 山に入った人が戻れなくなる禁忌</t>
  </si>
  <si>
    <r>
      <rPr>
        <sz val="10"/>
        <rFont val="Noto Sans CJK SC"/>
        <family val="2"/>
      </rPr>
      <t xml:space="preserve">禁忌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帰れないという恐怖で引き込み</t>
    </r>
  </si>
  <si>
    <t xml:space="preserve">ポケモン図鑑に隠された怖すぎる説明文の真相とは？</t>
  </si>
  <si>
    <r>
      <rPr>
        <sz val="10"/>
        <rFont val="Noto Sans CJK SC"/>
        <family val="2"/>
      </rPr>
      <t xml:space="preserve">意外性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「怖すぎる」で感情を動かす</t>
    </r>
  </si>
  <si>
    <t xml:space="preserve">なぜツチノコは家に入る？隠された秘密</t>
  </si>
  <si>
    <r>
      <rPr>
        <sz val="10"/>
        <rFont val="Noto Sans CJK SC"/>
        <family val="2"/>
      </rPr>
      <t xml:space="preserve">身近な存在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隠された秘密パターン</t>
    </r>
  </si>
  <si>
    <t xml:space="preserve">一つ目小僧、なぜ江戸の文献では会った者が帰らない</t>
  </si>
  <si>
    <r>
      <rPr>
        <sz val="10"/>
        <rFont val="Noto Sans CJK SC"/>
        <family val="2"/>
      </rPr>
      <t xml:space="preserve">歴史的権威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帰れない恐怖</t>
    </r>
  </si>
  <si>
    <r>
      <rPr>
        <sz val="10"/>
        <rFont val="Noto Sans CJK SC"/>
        <family val="2"/>
      </rPr>
      <t xml:space="preserve">妖怪ウォッチのランク、なぜ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が最強じゃない妖怪にも付くのか</t>
    </r>
  </si>
  <si>
    <r>
      <rPr>
        <sz val="10"/>
        <rFont val="Noto Sans CJK SC"/>
        <family val="2"/>
      </rPr>
      <t xml:space="preserve">ゲーム知識の裏側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意外性</t>
    </r>
  </si>
  <si>
    <t xml:space="preserve">なぜレッドは山頂に立ち続けるのか？彼の秘密に迫る！</t>
  </si>
  <si>
    <r>
      <rPr>
        <sz val="10"/>
        <rFont val="Noto Sans CJK SC"/>
        <family val="2"/>
      </rPr>
      <t xml:space="preserve">キャラの謎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秘密で物語性</t>
    </r>
  </si>
  <si>
    <t xml:space="preserve">分析結果と改善提案</t>
  </si>
  <si>
    <t xml:space="preserve">■ チャンネル別 成長率・効率分析</t>
  </si>
  <si>
    <t xml:space="preserve">指標</t>
  </si>
  <si>
    <t xml:space="preserve">値・分析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</si>
  <si>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日再生数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総再生数</t>
    </r>
  </si>
  <si>
    <r>
      <rPr>
        <sz val="10"/>
        <rFont val="Arial"/>
        <family val="0"/>
        <charset val="1"/>
      </rPr>
      <t xml:space="preserve">29.7%</t>
    </r>
    <r>
      <rPr>
        <sz val="10"/>
        <rFont val="Noto Sans CJK SC"/>
        <family val="2"/>
      </rPr>
      <t xml:space="preserve">（最高成長率）— 開設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ヶ月で急成長中</t>
    </r>
  </si>
  <si>
    <r>
      <rPr>
        <sz val="10"/>
        <rFont val="Arial"/>
        <family val="0"/>
        <charset val="1"/>
      </rPr>
      <t xml:space="preserve">38.2%</t>
    </r>
    <r>
      <rPr>
        <sz val="10"/>
        <rFont val="Noto Sans CJK SC"/>
        <family val="2"/>
      </rPr>
      <t xml:space="preserve">（爆発的成長）— 開設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週間で高い吸引力</t>
    </r>
  </si>
  <si>
    <r>
      <rPr>
        <sz val="10"/>
        <rFont val="Arial"/>
        <family val="0"/>
        <charset val="1"/>
      </rPr>
      <t xml:space="preserve">11.5% — </t>
    </r>
    <r>
      <rPr>
        <sz val="10"/>
        <rFont val="Noto Sans CJK SC"/>
        <family val="2"/>
      </rPr>
      <t xml:space="preserve">ショート動画がコンスタントに伸長</t>
    </r>
  </si>
  <si>
    <r>
      <rPr>
        <sz val="10"/>
        <rFont val="Arial"/>
        <family val="0"/>
        <charset val="1"/>
      </rPr>
      <t xml:space="preserve">4.5% — </t>
    </r>
    <r>
      <rPr>
        <sz val="10"/>
        <rFont val="Noto Sans CJK SC"/>
        <family val="2"/>
      </rPr>
      <t xml:space="preserve">投稿停滞で成長鈍化</t>
    </r>
  </si>
  <si>
    <r>
      <rPr>
        <sz val="10"/>
        <rFont val="Arial"/>
        <family val="0"/>
        <charset val="1"/>
      </rPr>
      <t xml:space="preserve">1.2%</t>
    </r>
    <r>
      <rPr>
        <sz val="10"/>
        <rFont val="Noto Sans CJK SC"/>
        <family val="2"/>
      </rPr>
      <t xml:space="preserve">（最低成長率）— 長尺回帰で再生数激減</t>
    </r>
  </si>
  <si>
    <r>
      <rPr>
        <sz val="10"/>
        <rFont val="Noto Sans CJK SC"/>
        <family val="2"/>
      </rPr>
      <t xml:space="preserve">再生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登録者効率</t>
    </r>
  </si>
  <si>
    <r>
      <rPr>
        <sz val="10"/>
        <rFont val="Arial"/>
        <family val="0"/>
        <charset val="1"/>
      </rPr>
      <t xml:space="preserve">370.0</t>
    </r>
    <r>
      <rPr>
        <sz val="10"/>
        <rFont val="Noto Sans CJK SC"/>
        <family val="2"/>
      </rPr>
      <t xml:space="preserve">（全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最高）— 登録者以外への露出が非常に強い</t>
    </r>
  </si>
  <si>
    <r>
      <rPr>
        <sz val="10"/>
        <rFont val="Arial"/>
        <family val="0"/>
        <charset val="1"/>
      </rPr>
      <t xml:space="preserve">3,120.3</t>
    </r>
    <r>
      <rPr>
        <sz val="10"/>
        <rFont val="Noto Sans CJK SC"/>
        <family val="2"/>
      </rPr>
      <t xml:space="preserve">（見かけ上最高）— ただし登録者数が少ないため</t>
    </r>
  </si>
  <si>
    <r>
      <rPr>
        <sz val="10"/>
        <rFont val="Arial"/>
        <family val="0"/>
        <charset val="1"/>
      </rPr>
      <t xml:space="preserve">3,662.4 — </t>
    </r>
    <r>
      <rPr>
        <sz val="10"/>
        <rFont val="Noto Sans CJK SC"/>
        <family val="2"/>
      </rPr>
      <t xml:space="preserve">登録者少数だが再生が伸びている好例</t>
    </r>
  </si>
  <si>
    <r>
      <rPr>
        <sz val="10"/>
        <rFont val="Arial"/>
        <family val="0"/>
        <charset val="1"/>
      </rPr>
      <t xml:space="preserve">4,098.2 — </t>
    </r>
    <r>
      <rPr>
        <sz val="10"/>
        <rFont val="Noto Sans CJK SC"/>
        <family val="2"/>
      </rPr>
      <t xml:space="preserve">非登録者からのショート流入が多い</t>
    </r>
  </si>
  <si>
    <r>
      <rPr>
        <sz val="10"/>
        <rFont val="Arial"/>
        <family val="0"/>
        <charset val="1"/>
      </rPr>
      <t xml:space="preserve">1,015.9 — </t>
    </r>
    <r>
      <rPr>
        <sz val="10"/>
        <rFont val="Noto Sans CJK SC"/>
        <family val="2"/>
      </rPr>
      <t xml:space="preserve">登録者基盤はあるが再生効率は低下</t>
    </r>
  </si>
  <si>
    <r>
      <rPr>
        <sz val="10"/>
        <rFont val="Arial"/>
        <family val="0"/>
        <charset val="1"/>
      </rPr>
      <t xml:space="preserve">0.29% — </t>
    </r>
    <r>
      <rPr>
        <sz val="10"/>
        <rFont val="Noto Sans CJK SC"/>
        <family val="2"/>
      </rPr>
      <t xml:space="preserve">長尺チャンネルとしては標準的</t>
    </r>
  </si>
  <si>
    <r>
      <rPr>
        <sz val="10"/>
        <rFont val="Arial"/>
        <family val="0"/>
        <charset val="1"/>
      </rPr>
      <t xml:space="preserve">0.27% — </t>
    </r>
    <r>
      <rPr>
        <sz val="10"/>
        <rFont val="Noto Sans CJK SC"/>
        <family val="2"/>
      </rPr>
      <t xml:space="preserve">ほぼ同水準</t>
    </r>
  </si>
  <si>
    <r>
      <rPr>
        <sz val="10"/>
        <rFont val="Arial"/>
        <family val="0"/>
        <charset val="1"/>
      </rPr>
      <t xml:space="preserve">0.34% — </t>
    </r>
    <r>
      <rPr>
        <sz val="10"/>
        <rFont val="Noto Sans CJK SC"/>
        <family val="2"/>
      </rPr>
      <t xml:space="preserve">ショート主体で高いエンゲージメント</t>
    </r>
  </si>
  <si>
    <r>
      <rPr>
        <sz val="10"/>
        <rFont val="Arial"/>
        <family val="0"/>
        <charset val="1"/>
      </rPr>
      <t xml:space="preserve">0.27% — </t>
    </r>
    <r>
      <rPr>
        <sz val="10"/>
        <rFont val="Noto Sans CJK SC"/>
        <family val="2"/>
      </rPr>
      <t xml:space="preserve">再生は伸びるがいいね誘導が弱い</t>
    </r>
  </si>
  <si>
    <r>
      <rPr>
        <sz val="10"/>
        <rFont val="Arial"/>
        <family val="0"/>
        <charset val="1"/>
      </rPr>
      <t xml:space="preserve">0.08%</t>
    </r>
    <r>
      <rPr>
        <sz val="10"/>
        <rFont val="Noto Sans CJK SC"/>
        <family val="2"/>
      </rPr>
      <t xml:space="preserve">（最低）— エンゲージメント施策が急務</t>
    </r>
  </si>
  <si>
    <t xml:space="preserve">■ チャンネル別 改善提案</t>
  </si>
  <si>
    <t xml:space="preserve">優先度</t>
  </si>
  <si>
    <t xml:space="preserve">改善提案</t>
  </si>
  <si>
    <t xml:space="preserve">★★★</t>
  </si>
  <si>
    <r>
      <rPr>
        <sz val="10"/>
        <rFont val="Noto Sans CJK SC"/>
        <family val="2"/>
      </rPr>
      <t xml:space="preserve">【緊急】長尺動画の再生数が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回と激減。ショート投稿を再開し、長尺は月</t>
    </r>
    <r>
      <rPr>
        <sz val="10"/>
        <rFont val="Arial"/>
        <family val="0"/>
        <charset val="1"/>
      </rPr>
      <t xml:space="preserve">1-2</t>
    </r>
    <r>
      <rPr>
        <sz val="10"/>
        <rFont val="Noto Sans CJK SC"/>
        <family val="2"/>
      </rPr>
      <t xml:space="preserve">本に絞る。冒頭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秒の恐怖フックを強化。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地点の離脱対策（当事者化）を徹底。</t>
    </r>
  </si>
  <si>
    <r>
      <rPr>
        <sz val="10"/>
        <rFont val="Noto Sans CJK SC"/>
        <family val="2"/>
      </rPr>
      <t xml:space="preserve">【緊急】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ヶ月間投稿停止中。ショート投稿を即時再開。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分科学シリーズで投稿頻度を回復させ、アルゴリズム評価の低下を防ぐ。</t>
    </r>
  </si>
  <si>
    <t xml:space="preserve">★★☆</t>
  </si>
  <si>
    <r>
      <rPr>
        <sz val="10"/>
        <rFont val="Noto Sans CJK SC"/>
        <family val="2"/>
      </rPr>
      <t xml:space="preserve">【好調維持】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日再生</t>
    </r>
    <r>
      <rPr>
        <sz val="10"/>
        <rFont val="Arial"/>
        <family val="0"/>
        <charset val="1"/>
      </rPr>
      <t xml:space="preserve">10,862</t>
    </r>
    <r>
      <rPr>
        <sz val="10"/>
        <rFont val="Noto Sans CJK SC"/>
        <family val="2"/>
      </rPr>
      <t xml:space="preserve">回は全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最高。「怖すぎる」シリーズが好調。投稿頻度を維持しつつ、いいね誘導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「この妖怪怖いと思ったら👍」を追加。</t>
    </r>
  </si>
  <si>
    <r>
      <rPr>
        <sz val="10"/>
        <rFont val="Noto Sans CJK SC"/>
        <family val="2"/>
      </rPr>
      <t xml:space="preserve">【エンゲージメント改善】再生数は好調だがいいね率</t>
    </r>
    <r>
      <rPr>
        <sz val="10"/>
        <rFont val="Arial"/>
        <family val="0"/>
        <charset val="1"/>
      </rPr>
      <t xml:space="preserve">0.08%</t>
    </r>
    <r>
      <rPr>
        <sz val="10"/>
        <rFont val="Noto Sans CJK SC"/>
        <family val="2"/>
      </rPr>
      <t xml:space="preserve">が課題。動画末尾に「お前らのオチも聞かせてくれｗ→コメント」等の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を追加。</t>
    </r>
  </si>
  <si>
    <r>
      <rPr>
        <sz val="10"/>
        <rFont val="Noto Sans CJK SC"/>
        <family val="2"/>
      </rPr>
      <t xml:space="preserve">【コンテンツ拡充】ショートが好調（平均</t>
    </r>
    <r>
      <rPr>
        <sz val="10"/>
        <rFont val="Arial"/>
        <family val="0"/>
        <charset val="1"/>
      </rPr>
      <t xml:space="preserve">1,340</t>
    </r>
    <r>
      <rPr>
        <sz val="10"/>
        <rFont val="Noto Sans CJK SC"/>
        <family val="2"/>
      </rPr>
      <t xml:space="preserve">回再生）。投稿頻度を週</t>
    </r>
    <r>
      <rPr>
        <sz val="10"/>
        <rFont val="Arial"/>
        <family val="0"/>
        <charset val="1"/>
      </rPr>
      <t xml:space="preserve">3→</t>
    </r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に増やし、対戦系・図鑑系の比較コンテンツを強化。</t>
    </r>
  </si>
  <si>
    <r>
      <rPr>
        <sz val="10"/>
        <rFont val="Noto Sans CJK SC"/>
        <family val="2"/>
      </rPr>
      <t xml:space="preserve">【成長加速】退職金・年収系が</t>
    </r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回超で好調。ブラック企業ランキング・業界比較など、シリーズ化でリピーターを獲得。</t>
    </r>
  </si>
  <si>
    <t xml:space="preserve">★☆☆</t>
  </si>
  <si>
    <r>
      <rPr>
        <sz val="10"/>
        <rFont val="Noto Sans CJK SC"/>
        <family val="2"/>
      </rPr>
      <t xml:space="preserve">【様子見】</t>
    </r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動画が</t>
    </r>
    <r>
      <rPr>
        <sz val="10"/>
        <rFont val="Arial"/>
        <family val="0"/>
        <charset val="1"/>
      </rPr>
      <t xml:space="preserve">1.1</t>
    </r>
    <r>
      <rPr>
        <sz val="10"/>
        <rFont val="Noto Sans CJK SC"/>
        <family val="2"/>
      </rPr>
      <t xml:space="preserve">万回とバズった実績あり。ひろゆきの時事ネタ切り抜きを増やし、投稿頻度を週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以上に引き上げ。</t>
    </r>
  </si>
  <si>
    <r>
      <rPr>
        <sz val="10"/>
        <rFont val="Noto Sans CJK SC"/>
        <family val="2"/>
      </rPr>
      <t xml:space="preserve">【テコ入れ必要】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本中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本が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回と低迷。サムネイル・タイトルの改善、バズりやすいネタ選定（恋愛相談・暴露系）に注力。</t>
    </r>
  </si>
  <si>
    <r>
      <rPr>
        <sz val="10"/>
        <rFont val="Noto Sans CJK SC"/>
        <family val="2"/>
      </rPr>
      <t xml:space="preserve">【立ち上げ段階】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本目が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回。ゲーム系切り抜きの需要検証が必要。金子みゆの人気クリップを選定し直し、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本一気投稿で初速を確保。</t>
    </r>
  </si>
  <si>
    <t xml:space="preserve">■ 最もパフォーマンスの良い動画の共通特徴</t>
  </si>
  <si>
    <t xml:space="preserve">特徴カテゴリ</t>
  </si>
  <si>
    <t xml:space="preserve">分析結果</t>
  </si>
  <si>
    <t xml:space="preserve">タイトル構造</t>
  </si>
  <si>
    <r>
      <rPr>
        <sz val="10"/>
        <rFont val="Noto Sans CJK SC"/>
        <family val="2"/>
      </rPr>
      <t xml:space="preserve">「〇〇が怖すぎる」「なぜ〇〇なのか？」「隠された秘密」— 恐怖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疑問のダブルフックが最強。</t>
    </r>
    <r>
      <rPr>
        <sz val="10"/>
        <rFont val="Arial"/>
        <family val="0"/>
        <charset val="1"/>
      </rPr>
      <t xml:space="preserve">Top10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本がこのパターン。</t>
    </r>
  </si>
  <si>
    <t xml:space="preserve">動画形式</t>
  </si>
  <si>
    <r>
      <rPr>
        <sz val="10"/>
        <rFont val="Noto Sans CJK SC"/>
        <family val="2"/>
      </rPr>
      <t xml:space="preserve">ショート動画（</t>
    </r>
    <r>
      <rPr>
        <sz val="10"/>
        <rFont val="Arial"/>
        <family val="0"/>
        <charset val="1"/>
      </rPr>
      <t xml:space="preserve">30-60</t>
    </r>
    <r>
      <rPr>
        <sz val="10"/>
        <rFont val="Noto Sans CJK SC"/>
        <family val="2"/>
      </rPr>
      <t xml:space="preserve">秒）が圧倒的に再生数が多い。長尺（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分超）は登録者の少ないチャンネルでは伸びにくい。</t>
    </r>
  </si>
  <si>
    <t xml:space="preserve">ジャンル</t>
  </si>
  <si>
    <r>
      <rPr>
        <sz val="10"/>
        <rFont val="Noto Sans CJK SC"/>
        <family val="2"/>
      </rPr>
      <t xml:space="preserve">妖怪・ポケモンなど「既に知名度のある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「知られざる裏話」の組み合わせが鉄板。</t>
    </r>
  </si>
  <si>
    <t xml:space="preserve">投稿頻度</t>
  </si>
  <si>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本以上投稿のチャンネル（</t>
    </r>
    <r>
      <rPr>
        <sz val="10"/>
        <rFont val="Arial"/>
        <family val="0"/>
        <charset val="1"/>
      </rPr>
      <t xml:space="preserve">yokai-watch, 2ch-matome</t>
    </r>
    <r>
      <rPr>
        <sz val="10"/>
        <rFont val="Noto Sans CJK SC"/>
        <family val="2"/>
      </rPr>
      <t xml:space="preserve">）が成長率トップ。停滞チャンネルは投稿間隔が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週間以上空いている。</t>
    </r>
  </si>
  <si>
    <t xml:space="preserve">いいね最多</t>
  </si>
  <si>
    <r>
      <rPr>
        <sz val="10"/>
        <rFont val="Noto Sans CJK SC"/>
        <family val="2"/>
      </rPr>
      <t xml:space="preserve">のっぺらぼう動画（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いいね</t>
    </r>
    <r>
      <rPr>
        <sz val="10"/>
        <rFont val="Arial"/>
        <family val="0"/>
        <charset val="1"/>
      </rPr>
      <t xml:space="preserve">/2,225</t>
    </r>
    <r>
      <rPr>
        <sz val="10"/>
        <rFont val="Noto Sans CJK SC"/>
        <family val="2"/>
      </rPr>
      <t xml:space="preserve">再生</t>
    </r>
    <r>
      <rPr>
        <sz val="10"/>
        <rFont val="Arial"/>
        <family val="0"/>
        <charset val="1"/>
      </rPr>
      <t xml:space="preserve">=0.49%</t>
    </r>
    <r>
      <rPr>
        <sz val="10"/>
        <rFont val="Noto Sans CJK SC"/>
        <family val="2"/>
      </rPr>
      <t xml:space="preserve">）が最高いいね率。「顔を奪う」という身体的恐怖が共感を生む。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</si>
</sst>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2"/>
      <color rgb="FF2F5496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2.8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5" hidden="false" customHeight="false" outlineLevel="0" collapsed="false">
      <c r="A4" s="4" t="n">
        <v>1</v>
      </c>
      <c r="B4" s="4" t="s">
        <v>12</v>
      </c>
      <c r="C4" s="5" t="s">
        <v>13</v>
      </c>
      <c r="D4" s="6" t="n">
        <v>135</v>
      </c>
      <c r="E4" s="6" t="n">
        <v>137141</v>
      </c>
      <c r="F4" s="6" t="n">
        <v>155</v>
      </c>
      <c r="G4" s="6" t="n">
        <v>1656</v>
      </c>
      <c r="H4" s="7" t="n">
        <f aca="false">IF(D4=0,"N/A",E4/D4)</f>
        <v>1015.85925925926</v>
      </c>
      <c r="I4" s="7" t="n">
        <f aca="false">IF(F4=0,"N/A",E4/F4)</f>
        <v>884.78064516129</v>
      </c>
      <c r="J4" s="8" t="n">
        <v>0.00289483086750133</v>
      </c>
      <c r="K4" s="4" t="s">
        <v>14</v>
      </c>
    </row>
    <row r="5" customFormat="false" ht="15" hidden="false" customHeight="false" outlineLevel="0" collapsed="false">
      <c r="A5" s="4" t="n">
        <v>2</v>
      </c>
      <c r="B5" s="4" t="s">
        <v>15</v>
      </c>
      <c r="C5" s="5" t="s">
        <v>16</v>
      </c>
      <c r="D5" s="6" t="n">
        <v>56</v>
      </c>
      <c r="E5" s="6" t="n">
        <v>174738</v>
      </c>
      <c r="F5" s="6" t="n">
        <v>184</v>
      </c>
      <c r="G5" s="6" t="n">
        <v>7863</v>
      </c>
      <c r="H5" s="7" t="n">
        <f aca="false">IF(D5=0,"N/A",E5/D5)</f>
        <v>3120.32142857143</v>
      </c>
      <c r="I5" s="7" t="n">
        <f aca="false">IF(F5=0,"N/A",E5/F5)</f>
        <v>949.663043478261</v>
      </c>
      <c r="J5" s="8" t="n">
        <v>0.00266112694433953</v>
      </c>
      <c r="K5" s="4" t="s">
        <v>17</v>
      </c>
    </row>
    <row r="6" customFormat="false" ht="15" hidden="false" customHeight="false" outlineLevel="0" collapsed="false">
      <c r="A6" s="4" t="n">
        <v>3</v>
      </c>
      <c r="B6" s="4" t="s">
        <v>18</v>
      </c>
      <c r="C6" s="5" t="s">
        <v>19</v>
      </c>
      <c r="D6" s="6" t="n">
        <v>251</v>
      </c>
      <c r="E6" s="6" t="n">
        <v>92879</v>
      </c>
      <c r="F6" s="6" t="n">
        <v>24</v>
      </c>
      <c r="G6" s="6" t="n">
        <v>10658</v>
      </c>
      <c r="H6" s="7" t="n">
        <f aca="false">IF(D6=0,"N/A",E6/D6)</f>
        <v>370.035856573705</v>
      </c>
      <c r="I6" s="7" t="n">
        <f aca="false">IF(F6=0,"N/A",E6/F6)</f>
        <v>3869.95833333333</v>
      </c>
      <c r="J6" s="8" t="n">
        <v>0.0011628032170889</v>
      </c>
      <c r="K6" s="4" t="s">
        <v>20</v>
      </c>
    </row>
    <row r="7" customFormat="false" ht="15" hidden="false" customHeight="false" outlineLevel="0" collapsed="false">
      <c r="A7" s="4" t="n">
        <v>4</v>
      </c>
      <c r="B7" s="4" t="s">
        <v>21</v>
      </c>
      <c r="C7" s="5" t="s">
        <v>22</v>
      </c>
      <c r="D7" s="6" t="n">
        <v>10</v>
      </c>
      <c r="E7" s="6" t="n">
        <v>36624</v>
      </c>
      <c r="F7" s="6" t="n">
        <v>28</v>
      </c>
      <c r="G7" s="6" t="n">
        <v>10862</v>
      </c>
      <c r="H7" s="7" t="n">
        <f aca="false">IF(D7=0,"N/A",E7/D7)</f>
        <v>3662.4</v>
      </c>
      <c r="I7" s="7" t="n">
        <f aca="false">IF(F7=0,"N/A",E7/F7)</f>
        <v>1308</v>
      </c>
      <c r="J7" s="8" t="n">
        <v>0.00267584097859327</v>
      </c>
      <c r="K7" s="4" t="s">
        <v>23</v>
      </c>
    </row>
    <row r="8" customFormat="false" ht="15" hidden="false" customHeight="false" outlineLevel="0" collapsed="false">
      <c r="A8" s="4" t="n">
        <v>5</v>
      </c>
      <c r="B8" s="4" t="s">
        <v>24</v>
      </c>
      <c r="C8" s="5" t="s">
        <v>25</v>
      </c>
      <c r="D8" s="6" t="n">
        <v>6</v>
      </c>
      <c r="E8" s="6" t="n">
        <v>24589</v>
      </c>
      <c r="F8" s="6" t="n">
        <v>25</v>
      </c>
      <c r="G8" s="6" t="n">
        <v>9389</v>
      </c>
      <c r="H8" s="7" t="n">
        <f aca="false">IF(D8=0,"N/A",E8/D8)</f>
        <v>4098.16666666667</v>
      </c>
      <c r="I8" s="7" t="n">
        <f aca="false">IF(F8=0,"N/A",E8/F8)</f>
        <v>983.56</v>
      </c>
      <c r="J8" s="8" t="n">
        <v>0.000772703241286754</v>
      </c>
      <c r="K8" s="4" t="s">
        <v>26</v>
      </c>
    </row>
    <row r="9" customFormat="false" ht="15" hidden="false" customHeight="false" outlineLevel="0" collapsed="false">
      <c r="A9" s="4" t="n">
        <v>6</v>
      </c>
      <c r="B9" s="4" t="s">
        <v>27</v>
      </c>
      <c r="C9" s="5" t="s">
        <v>28</v>
      </c>
      <c r="D9" s="6" t="n">
        <v>13</v>
      </c>
      <c r="E9" s="6" t="n">
        <v>17985</v>
      </c>
      <c r="F9" s="6" t="n">
        <v>16</v>
      </c>
      <c r="G9" s="4" t="s">
        <v>29</v>
      </c>
      <c r="H9" s="7" t="n">
        <f aca="false">IF(D9=0,"N/A",E9/D9)</f>
        <v>1383.46153846154</v>
      </c>
      <c r="I9" s="7" t="n">
        <f aca="false">IF(F9=0,"N/A",E9/F9)</f>
        <v>1124.0625</v>
      </c>
      <c r="J9" s="4" t="s">
        <v>29</v>
      </c>
      <c r="K9" s="4" t="s">
        <v>30</v>
      </c>
    </row>
    <row r="10" customFormat="false" ht="15" hidden="false" customHeight="false" outlineLevel="0" collapsed="false">
      <c r="A10" s="4" t="n">
        <v>7</v>
      </c>
      <c r="B10" s="4" t="s">
        <v>31</v>
      </c>
      <c r="C10" s="5" t="s">
        <v>32</v>
      </c>
      <c r="D10" s="6" t="n">
        <v>0</v>
      </c>
      <c r="E10" s="6" t="n">
        <v>17908</v>
      </c>
      <c r="F10" s="6" t="n">
        <v>6</v>
      </c>
      <c r="G10" s="4" t="s">
        <v>29</v>
      </c>
      <c r="H10" s="7" t="str">
        <f aca="false">IF(D10=0,"N/A",E10/D10)</f>
        <v>N/A</v>
      </c>
      <c r="I10" s="7" t="n">
        <f aca="false">IF(F10=0,"N/A",E10/F10)</f>
        <v>2984.66666666667</v>
      </c>
      <c r="J10" s="4" t="s">
        <v>29</v>
      </c>
      <c r="K10" s="4" t="s">
        <v>33</v>
      </c>
    </row>
    <row r="11" customFormat="false" ht="15" hidden="false" customHeight="false" outlineLevel="0" collapsed="false">
      <c r="A11" s="4" t="n">
        <v>8</v>
      </c>
      <c r="B11" s="4" t="s">
        <v>34</v>
      </c>
      <c r="C11" s="5" t="s">
        <v>35</v>
      </c>
      <c r="D11" s="6" t="n">
        <v>1</v>
      </c>
      <c r="E11" s="6" t="n">
        <v>989</v>
      </c>
      <c r="F11" s="6" t="n">
        <v>2</v>
      </c>
      <c r="G11" s="4" t="s">
        <v>29</v>
      </c>
      <c r="H11" s="7" t="n">
        <f aca="false">IF(D11=0,"N/A",E11/D11)</f>
        <v>989</v>
      </c>
      <c r="I11" s="7" t="n">
        <f aca="false">IF(F11=0,"N/A",E11/F11)</f>
        <v>494.5</v>
      </c>
      <c r="J11" s="4" t="s">
        <v>29</v>
      </c>
      <c r="K11" s="4" t="s">
        <v>33</v>
      </c>
    </row>
    <row r="12" customFormat="false" ht="15" hidden="false" customHeight="false" outlineLevel="0" collapsed="false">
      <c r="A12" s="4" t="n">
        <v>9</v>
      </c>
      <c r="B12" s="4" t="s">
        <v>36</v>
      </c>
      <c r="C12" s="5" t="s">
        <v>37</v>
      </c>
      <c r="D12" s="6" t="n">
        <v>0</v>
      </c>
      <c r="E12" s="6" t="n">
        <v>0</v>
      </c>
      <c r="F12" s="6" t="n">
        <v>1</v>
      </c>
      <c r="G12" s="4" t="s">
        <v>29</v>
      </c>
      <c r="H12" s="7" t="str">
        <f aca="false">IF(D12=0,"N/A",E12/D12)</f>
        <v>N/A</v>
      </c>
      <c r="I12" s="7" t="n">
        <f aca="false">IF(F12=0,"N/A",E12/F12)</f>
        <v>0</v>
      </c>
      <c r="J12" s="4" t="s">
        <v>29</v>
      </c>
      <c r="K12" s="4" t="s">
        <v>33</v>
      </c>
    </row>
    <row r="13" customFormat="false" ht="15" hidden="false" customHeight="false" outlineLevel="0" collapsed="false">
      <c r="A13" s="4"/>
      <c r="C13" s="9" t="s">
        <v>38</v>
      </c>
      <c r="D13" s="10" t="n">
        <f aca="false">SUM(D4:D12)</f>
        <v>472</v>
      </c>
      <c r="E13" s="10" t="n">
        <f aca="false">SUM(E4:E12)</f>
        <v>502853</v>
      </c>
      <c r="F13" s="10" t="n">
        <f aca="false">SUM(F4:F12)</f>
        <v>441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1" t="s">
        <v>39</v>
      </c>
      <c r="B1" s="11"/>
      <c r="C1" s="11"/>
      <c r="D1" s="11"/>
      <c r="E1" s="11"/>
      <c r="F1" s="11"/>
      <c r="G1" s="11"/>
      <c r="H1" s="11"/>
    </row>
    <row r="3" customFormat="false" ht="32.8" hidden="false" customHeight="fals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10</v>
      </c>
      <c r="G3" s="3" t="s">
        <v>45</v>
      </c>
      <c r="H3" s="3" t="s">
        <v>46</v>
      </c>
    </row>
    <row r="4" customFormat="false" ht="15" hidden="false" customHeight="false" outlineLevel="0" collapsed="false">
      <c r="A4" s="4" t="s">
        <v>12</v>
      </c>
      <c r="B4" s="5" t="s">
        <v>47</v>
      </c>
      <c r="C4" s="6" t="n">
        <v>39</v>
      </c>
      <c r="D4" s="6" t="n">
        <v>3</v>
      </c>
      <c r="E4" s="6" t="n">
        <v>0</v>
      </c>
      <c r="F4" s="8" t="n">
        <v>0.0769230769230769</v>
      </c>
      <c r="G4" s="4" t="s">
        <v>48</v>
      </c>
      <c r="H4" s="5" t="s">
        <v>49</v>
      </c>
    </row>
    <row r="5" customFormat="false" ht="15" hidden="false" customHeight="false" outlineLevel="0" collapsed="false">
      <c r="A5" s="4" t="s">
        <v>15</v>
      </c>
      <c r="B5" s="5" t="s">
        <v>50</v>
      </c>
      <c r="C5" s="6" t="n">
        <v>25</v>
      </c>
      <c r="D5" s="6" t="n">
        <v>3</v>
      </c>
      <c r="E5" s="6" t="n">
        <v>0</v>
      </c>
      <c r="F5" s="8" t="n">
        <v>0.12</v>
      </c>
      <c r="G5" s="4" t="s">
        <v>51</v>
      </c>
      <c r="H5" s="5" t="s">
        <v>52</v>
      </c>
    </row>
    <row r="6" customFormat="false" ht="15" hidden="false" customHeight="false" outlineLevel="0" collapsed="false">
      <c r="A6" s="4" t="s">
        <v>18</v>
      </c>
      <c r="B6" s="5" t="s">
        <v>53</v>
      </c>
      <c r="C6" s="6" t="n">
        <v>18000</v>
      </c>
      <c r="D6" s="4" t="s">
        <v>54</v>
      </c>
      <c r="E6" s="4" t="s">
        <v>54</v>
      </c>
      <c r="F6" s="4" t="s">
        <v>54</v>
      </c>
      <c r="G6" s="4" t="s">
        <v>55</v>
      </c>
      <c r="H6" s="5" t="s">
        <v>56</v>
      </c>
    </row>
    <row r="7" customFormat="false" ht="15" hidden="false" customHeight="false" outlineLevel="0" collapsed="false">
      <c r="A7" s="4" t="s">
        <v>21</v>
      </c>
      <c r="B7" s="4" t="s">
        <v>57</v>
      </c>
      <c r="C7" s="6" t="n">
        <v>134</v>
      </c>
      <c r="D7" s="4" t="s">
        <v>54</v>
      </c>
      <c r="E7" s="4" t="s">
        <v>54</v>
      </c>
      <c r="F7" s="4" t="s">
        <v>54</v>
      </c>
      <c r="G7" s="5" t="s">
        <v>58</v>
      </c>
      <c r="H7" s="5" t="s">
        <v>59</v>
      </c>
    </row>
    <row r="8" customFormat="false" ht="15" hidden="false" customHeight="false" outlineLevel="0" collapsed="false">
      <c r="A8" s="4" t="s">
        <v>24</v>
      </c>
      <c r="B8" s="5" t="s">
        <v>60</v>
      </c>
      <c r="C8" s="6" t="n">
        <v>880</v>
      </c>
      <c r="D8" s="4" t="s">
        <v>54</v>
      </c>
      <c r="E8" s="4" t="s">
        <v>54</v>
      </c>
      <c r="F8" s="4" t="s">
        <v>54</v>
      </c>
      <c r="G8" s="5" t="s">
        <v>58</v>
      </c>
      <c r="H8" s="5" t="s">
        <v>61</v>
      </c>
    </row>
    <row r="9" customFormat="false" ht="15" hidden="false" customHeight="false" outlineLevel="0" collapsed="false">
      <c r="A9" s="4" t="s">
        <v>27</v>
      </c>
      <c r="B9" s="5" t="s">
        <v>62</v>
      </c>
      <c r="C9" s="6" t="n">
        <v>1207</v>
      </c>
      <c r="D9" s="4" t="s">
        <v>54</v>
      </c>
      <c r="E9" s="4" t="s">
        <v>54</v>
      </c>
      <c r="F9" s="4" t="s">
        <v>54</v>
      </c>
      <c r="G9" s="5" t="s">
        <v>58</v>
      </c>
      <c r="H9" s="5" t="s">
        <v>63</v>
      </c>
    </row>
    <row r="10" customFormat="false" ht="15" hidden="false" customHeight="false" outlineLevel="0" collapsed="false">
      <c r="A10" s="4" t="s">
        <v>31</v>
      </c>
      <c r="B10" s="5" t="s">
        <v>64</v>
      </c>
      <c r="C10" s="6" t="n">
        <v>2042</v>
      </c>
      <c r="D10" s="4" t="s">
        <v>54</v>
      </c>
      <c r="E10" s="4" t="s">
        <v>54</v>
      </c>
      <c r="F10" s="4" t="s">
        <v>54</v>
      </c>
      <c r="G10" s="5" t="s">
        <v>58</v>
      </c>
      <c r="H10" s="5" t="s">
        <v>65</v>
      </c>
    </row>
    <row r="11" customFormat="false" ht="15" hidden="false" customHeight="false" outlineLevel="0" collapsed="false">
      <c r="A11" s="4" t="s">
        <v>34</v>
      </c>
      <c r="B11" s="5" t="s">
        <v>66</v>
      </c>
      <c r="C11" s="6" t="n">
        <v>20</v>
      </c>
      <c r="D11" s="4" t="s">
        <v>54</v>
      </c>
      <c r="E11" s="4" t="s">
        <v>54</v>
      </c>
      <c r="F11" s="4" t="s">
        <v>54</v>
      </c>
      <c r="G11" s="5" t="s">
        <v>58</v>
      </c>
      <c r="H11" s="5" t="s">
        <v>67</v>
      </c>
    </row>
    <row r="12" customFormat="false" ht="15" hidden="false" customHeight="false" outlineLevel="0" collapsed="false">
      <c r="A12" s="4" t="s">
        <v>36</v>
      </c>
      <c r="B12" s="5" t="s">
        <v>68</v>
      </c>
      <c r="C12" s="6" t="n">
        <v>0</v>
      </c>
      <c r="D12" s="4" t="s">
        <v>54</v>
      </c>
      <c r="E12" s="4" t="s">
        <v>54</v>
      </c>
      <c r="F12" s="4" t="s">
        <v>54</v>
      </c>
      <c r="G12" s="5" t="s">
        <v>58</v>
      </c>
      <c r="H12" s="5" t="s">
        <v>69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1" t="s">
        <v>70</v>
      </c>
      <c r="B1" s="11"/>
      <c r="C1" s="11"/>
      <c r="D1" s="11"/>
      <c r="E1" s="11"/>
      <c r="F1" s="11"/>
    </row>
    <row r="3" customFormat="false" ht="17.15" hidden="false" customHeight="false" outlineLevel="0" collapsed="false">
      <c r="A3" s="3" t="s">
        <v>71</v>
      </c>
      <c r="B3" s="3" t="s">
        <v>40</v>
      </c>
      <c r="C3" s="3" t="s">
        <v>72</v>
      </c>
      <c r="D3" s="3" t="s">
        <v>42</v>
      </c>
      <c r="E3" s="3" t="s">
        <v>43</v>
      </c>
      <c r="F3" s="3" t="s">
        <v>73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74</v>
      </c>
      <c r="D4" s="14" t="n">
        <v>2382</v>
      </c>
      <c r="E4" s="14" t="n">
        <v>7</v>
      </c>
      <c r="F4" s="13" t="s">
        <v>75</v>
      </c>
    </row>
    <row r="5" customFormat="false" ht="15" hidden="false" customHeight="false" outlineLevel="0" collapsed="false">
      <c r="A5" s="12" t="n">
        <v>2</v>
      </c>
      <c r="B5" s="12" t="s">
        <v>21</v>
      </c>
      <c r="C5" s="13" t="s">
        <v>76</v>
      </c>
      <c r="D5" s="14" t="n">
        <v>2225</v>
      </c>
      <c r="E5" s="14" t="n">
        <v>11</v>
      </c>
      <c r="F5" s="13" t="s">
        <v>77</v>
      </c>
    </row>
    <row r="6" customFormat="false" ht="15" hidden="false" customHeight="false" outlineLevel="0" collapsed="false">
      <c r="A6" s="12" t="n">
        <v>3</v>
      </c>
      <c r="B6" s="12" t="s">
        <v>21</v>
      </c>
      <c r="C6" s="13" t="s">
        <v>78</v>
      </c>
      <c r="D6" s="14" t="n">
        <v>2340</v>
      </c>
      <c r="E6" s="12" t="s">
        <v>54</v>
      </c>
      <c r="F6" s="13" t="s">
        <v>79</v>
      </c>
    </row>
    <row r="7" customFormat="false" ht="15" hidden="false" customHeight="false" outlineLevel="0" collapsed="false">
      <c r="A7" s="4" t="n">
        <v>4</v>
      </c>
      <c r="B7" s="4" t="s">
        <v>18</v>
      </c>
      <c r="C7" s="5" t="s">
        <v>80</v>
      </c>
      <c r="D7" s="6" t="n">
        <v>2057</v>
      </c>
      <c r="E7" s="6" t="n">
        <v>5</v>
      </c>
      <c r="F7" s="5" t="s">
        <v>81</v>
      </c>
    </row>
    <row r="8" customFormat="false" ht="15" hidden="false" customHeight="false" outlineLevel="0" collapsed="false">
      <c r="A8" s="4" t="n">
        <v>5</v>
      </c>
      <c r="B8" s="4" t="s">
        <v>21</v>
      </c>
      <c r="C8" s="5" t="s">
        <v>82</v>
      </c>
      <c r="D8" s="6" t="n">
        <v>1941</v>
      </c>
      <c r="E8" s="6" t="n">
        <v>2</v>
      </c>
      <c r="F8" s="5" t="s">
        <v>83</v>
      </c>
    </row>
    <row r="9" customFormat="false" ht="15" hidden="false" customHeight="false" outlineLevel="0" collapsed="false">
      <c r="A9" s="4" t="n">
        <v>6</v>
      </c>
      <c r="B9" s="4" t="s">
        <v>18</v>
      </c>
      <c r="C9" s="5" t="s">
        <v>84</v>
      </c>
      <c r="D9" s="6" t="n">
        <v>1940</v>
      </c>
      <c r="E9" s="6" t="n">
        <v>10</v>
      </c>
      <c r="F9" s="5" t="s">
        <v>85</v>
      </c>
    </row>
    <row r="10" customFormat="false" ht="15" hidden="false" customHeight="false" outlineLevel="0" collapsed="false">
      <c r="A10" s="4" t="n">
        <v>7</v>
      </c>
      <c r="B10" s="4" t="s">
        <v>21</v>
      </c>
      <c r="C10" s="5" t="s">
        <v>86</v>
      </c>
      <c r="D10" s="6" t="n">
        <v>1918</v>
      </c>
      <c r="E10" s="6" t="n">
        <v>8</v>
      </c>
      <c r="F10" s="5" t="s">
        <v>87</v>
      </c>
    </row>
    <row r="11" customFormat="false" ht="15" hidden="false" customHeight="false" outlineLevel="0" collapsed="false">
      <c r="A11" s="4" t="n">
        <v>8</v>
      </c>
      <c r="B11" s="4" t="s">
        <v>21</v>
      </c>
      <c r="C11" s="5" t="s">
        <v>88</v>
      </c>
      <c r="D11" s="6" t="n">
        <v>1897</v>
      </c>
      <c r="E11" s="6" t="n">
        <v>5</v>
      </c>
      <c r="F11" s="5" t="s">
        <v>89</v>
      </c>
    </row>
    <row r="12" customFormat="false" ht="15" hidden="false" customHeight="false" outlineLevel="0" collapsed="false">
      <c r="A12" s="4" t="n">
        <v>9</v>
      </c>
      <c r="B12" s="4" t="s">
        <v>21</v>
      </c>
      <c r="C12" s="5" t="s">
        <v>90</v>
      </c>
      <c r="D12" s="6" t="n">
        <v>1819</v>
      </c>
      <c r="E12" s="6" t="n">
        <v>6</v>
      </c>
      <c r="F12" s="5" t="s">
        <v>91</v>
      </c>
    </row>
    <row r="13" customFormat="false" ht="15" hidden="false" customHeight="false" outlineLevel="0" collapsed="false">
      <c r="A13" s="4" t="n">
        <v>10</v>
      </c>
      <c r="B13" s="4" t="s">
        <v>18</v>
      </c>
      <c r="C13" s="5" t="s">
        <v>92</v>
      </c>
      <c r="D13" s="6" t="n">
        <v>1790</v>
      </c>
      <c r="E13" s="6" t="n">
        <v>4</v>
      </c>
      <c r="F13" s="5" t="s">
        <v>93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30" hidden="false" customHeight="true" outlineLevel="0" collapsed="false">
      <c r="A1" s="11" t="s">
        <v>94</v>
      </c>
      <c r="B1" s="11"/>
      <c r="C1" s="11"/>
    </row>
    <row r="3" customFormat="false" ht="15" hidden="false" customHeight="false" outlineLevel="0" collapsed="false">
      <c r="A3" s="15" t="s">
        <v>95</v>
      </c>
      <c r="B3" s="15"/>
      <c r="C3" s="15"/>
    </row>
    <row r="4" customFormat="false" ht="17.15" hidden="false" customHeight="false" outlineLevel="0" collapsed="false">
      <c r="A4" s="3" t="s">
        <v>40</v>
      </c>
      <c r="B4" s="3" t="s">
        <v>96</v>
      </c>
      <c r="C4" s="3" t="s">
        <v>97</v>
      </c>
    </row>
    <row r="5" customFormat="false" ht="15" hidden="false" customHeight="false" outlineLevel="0" collapsed="false">
      <c r="A5" s="4" t="s">
        <v>21</v>
      </c>
      <c r="B5" s="4" t="s">
        <v>98</v>
      </c>
      <c r="C5" s="4" t="s">
        <v>99</v>
      </c>
    </row>
    <row r="6" customFormat="false" ht="15" hidden="false" customHeight="false" outlineLevel="0" collapsed="false">
      <c r="A6" s="4" t="s">
        <v>24</v>
      </c>
      <c r="B6" s="4" t="s">
        <v>98</v>
      </c>
      <c r="C6" s="4" t="s">
        <v>100</v>
      </c>
    </row>
    <row r="7" customFormat="false" ht="15" hidden="false" customHeight="false" outlineLevel="0" collapsed="false">
      <c r="A7" s="4" t="s">
        <v>18</v>
      </c>
      <c r="B7" s="4" t="s">
        <v>98</v>
      </c>
      <c r="C7" s="4" t="s">
        <v>101</v>
      </c>
    </row>
    <row r="8" customFormat="false" ht="15" hidden="false" customHeight="false" outlineLevel="0" collapsed="false">
      <c r="A8" s="4" t="s">
        <v>15</v>
      </c>
      <c r="B8" s="4" t="s">
        <v>98</v>
      </c>
      <c r="C8" s="4" t="s">
        <v>102</v>
      </c>
    </row>
    <row r="9" customFormat="false" ht="15" hidden="false" customHeight="false" outlineLevel="0" collapsed="false">
      <c r="A9" s="4" t="s">
        <v>12</v>
      </c>
      <c r="B9" s="4" t="s">
        <v>98</v>
      </c>
      <c r="C9" s="4" t="s">
        <v>103</v>
      </c>
    </row>
    <row r="10" customFormat="false" ht="15" hidden="false" customHeight="false" outlineLevel="0" collapsed="false">
      <c r="A10" s="4"/>
      <c r="B10" s="4"/>
      <c r="C10" s="4"/>
    </row>
    <row r="11" customFormat="false" ht="15" hidden="false" customHeight="false" outlineLevel="0" collapsed="false">
      <c r="A11" s="4" t="s">
        <v>18</v>
      </c>
      <c r="B11" s="5" t="s">
        <v>104</v>
      </c>
      <c r="C11" s="4" t="s">
        <v>105</v>
      </c>
    </row>
    <row r="12" customFormat="false" ht="15" hidden="false" customHeight="false" outlineLevel="0" collapsed="false">
      <c r="A12" s="4" t="s">
        <v>15</v>
      </c>
      <c r="B12" s="5" t="s">
        <v>104</v>
      </c>
      <c r="C12" s="4" t="s">
        <v>106</v>
      </c>
    </row>
    <row r="13" customFormat="false" ht="15" hidden="false" customHeight="false" outlineLevel="0" collapsed="false">
      <c r="A13" s="4" t="s">
        <v>21</v>
      </c>
      <c r="B13" s="5" t="s">
        <v>104</v>
      </c>
      <c r="C13" s="4" t="s">
        <v>107</v>
      </c>
    </row>
    <row r="14" customFormat="false" ht="15" hidden="false" customHeight="false" outlineLevel="0" collapsed="false">
      <c r="A14" s="4" t="s">
        <v>24</v>
      </c>
      <c r="B14" s="5" t="s">
        <v>104</v>
      </c>
      <c r="C14" s="4" t="s">
        <v>108</v>
      </c>
    </row>
    <row r="15" customFormat="false" ht="15" hidden="false" customHeight="false" outlineLevel="0" collapsed="false">
      <c r="A15" s="4" t="s">
        <v>12</v>
      </c>
      <c r="B15" s="5" t="s">
        <v>104</v>
      </c>
      <c r="C15" s="4" t="s">
        <v>109</v>
      </c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 t="s">
        <v>12</v>
      </c>
      <c r="B17" s="5" t="s">
        <v>10</v>
      </c>
      <c r="C17" s="4" t="s">
        <v>110</v>
      </c>
    </row>
    <row r="18" customFormat="false" ht="15" hidden="false" customHeight="false" outlineLevel="0" collapsed="false">
      <c r="A18" s="4" t="s">
        <v>15</v>
      </c>
      <c r="B18" s="5" t="s">
        <v>10</v>
      </c>
      <c r="C18" s="4" t="s">
        <v>111</v>
      </c>
    </row>
    <row r="19" customFormat="false" ht="15" hidden="false" customHeight="false" outlineLevel="0" collapsed="false">
      <c r="A19" s="4" t="s">
        <v>18</v>
      </c>
      <c r="B19" s="5" t="s">
        <v>10</v>
      </c>
      <c r="C19" s="4" t="s">
        <v>112</v>
      </c>
    </row>
    <row r="20" customFormat="false" ht="15" hidden="false" customHeight="false" outlineLevel="0" collapsed="false">
      <c r="A20" s="4" t="s">
        <v>21</v>
      </c>
      <c r="B20" s="5" t="s">
        <v>10</v>
      </c>
      <c r="C20" s="4" t="s">
        <v>113</v>
      </c>
    </row>
    <row r="21" customFormat="false" ht="15" hidden="false" customHeight="false" outlineLevel="0" collapsed="false">
      <c r="A21" s="4" t="s">
        <v>24</v>
      </c>
      <c r="B21" s="5" t="s">
        <v>10</v>
      </c>
      <c r="C21" s="4" t="s">
        <v>114</v>
      </c>
    </row>
    <row r="24" customFormat="false" ht="15" hidden="false" customHeight="false" outlineLevel="0" collapsed="false">
      <c r="A24" s="15" t="s">
        <v>115</v>
      </c>
      <c r="B24" s="15"/>
      <c r="C24" s="15"/>
    </row>
    <row r="25" customFormat="false" ht="17.15" hidden="false" customHeight="false" outlineLevel="0" collapsed="false">
      <c r="A25" s="3" t="s">
        <v>116</v>
      </c>
      <c r="B25" s="3" t="s">
        <v>40</v>
      </c>
      <c r="C25" s="3" t="s">
        <v>117</v>
      </c>
    </row>
    <row r="26" customFormat="false" ht="45" hidden="false" customHeight="true" outlineLevel="0" collapsed="false">
      <c r="A26" s="16" t="s">
        <v>118</v>
      </c>
      <c r="B26" s="17" t="s">
        <v>12</v>
      </c>
      <c r="C26" s="18" t="s">
        <v>119</v>
      </c>
    </row>
    <row r="27" customFormat="false" ht="45" hidden="false" customHeight="true" outlineLevel="0" collapsed="false">
      <c r="A27" s="16" t="s">
        <v>118</v>
      </c>
      <c r="B27" s="17" t="s">
        <v>15</v>
      </c>
      <c r="C27" s="18" t="s">
        <v>120</v>
      </c>
    </row>
    <row r="28" customFormat="false" ht="45" hidden="false" customHeight="true" outlineLevel="0" collapsed="false">
      <c r="A28" s="19" t="s">
        <v>121</v>
      </c>
      <c r="B28" s="20" t="s">
        <v>21</v>
      </c>
      <c r="C28" s="21" t="s">
        <v>122</v>
      </c>
    </row>
    <row r="29" customFormat="false" ht="45" hidden="false" customHeight="true" outlineLevel="0" collapsed="false">
      <c r="A29" s="19" t="s">
        <v>121</v>
      </c>
      <c r="B29" s="20" t="s">
        <v>24</v>
      </c>
      <c r="C29" s="21" t="s">
        <v>123</v>
      </c>
    </row>
    <row r="30" customFormat="false" ht="45" hidden="false" customHeight="true" outlineLevel="0" collapsed="false">
      <c r="A30" s="19" t="s">
        <v>121</v>
      </c>
      <c r="B30" s="20" t="s">
        <v>18</v>
      </c>
      <c r="C30" s="21" t="s">
        <v>124</v>
      </c>
    </row>
    <row r="31" customFormat="false" ht="45" hidden="false" customHeight="true" outlineLevel="0" collapsed="false">
      <c r="A31" s="19" t="s">
        <v>121</v>
      </c>
      <c r="B31" s="20" t="s">
        <v>27</v>
      </c>
      <c r="C31" s="21" t="s">
        <v>125</v>
      </c>
    </row>
    <row r="32" customFormat="false" ht="45" hidden="false" customHeight="true" outlineLevel="0" collapsed="false">
      <c r="A32" s="22" t="s">
        <v>126</v>
      </c>
      <c r="B32" s="4" t="s">
        <v>31</v>
      </c>
      <c r="C32" s="23" t="s">
        <v>127</v>
      </c>
    </row>
    <row r="33" customFormat="false" ht="45" hidden="false" customHeight="true" outlineLevel="0" collapsed="false">
      <c r="A33" s="22" t="s">
        <v>126</v>
      </c>
      <c r="B33" s="4" t="s">
        <v>34</v>
      </c>
      <c r="C33" s="23" t="s">
        <v>128</v>
      </c>
    </row>
    <row r="34" customFormat="false" ht="45" hidden="false" customHeight="true" outlineLevel="0" collapsed="false">
      <c r="A34" s="22" t="s">
        <v>126</v>
      </c>
      <c r="B34" s="4" t="s">
        <v>36</v>
      </c>
      <c r="C34" s="23" t="s">
        <v>129</v>
      </c>
    </row>
    <row r="37" customFormat="false" ht="15" hidden="false" customHeight="false" outlineLevel="0" collapsed="false">
      <c r="A37" s="15" t="s">
        <v>130</v>
      </c>
      <c r="B37" s="15"/>
      <c r="C37" s="15"/>
    </row>
    <row r="38" customFormat="false" ht="17.15" hidden="false" customHeight="false" outlineLevel="0" collapsed="false">
      <c r="A38" s="3" t="s">
        <v>131</v>
      </c>
      <c r="B38" s="3" t="s">
        <v>132</v>
      </c>
    </row>
    <row r="39" customFormat="false" ht="34.5" hidden="false" customHeight="true" outlineLevel="0" collapsed="false">
      <c r="A39" s="5" t="s">
        <v>133</v>
      </c>
      <c r="B39" s="24" t="s">
        <v>134</v>
      </c>
    </row>
    <row r="40" customFormat="false" ht="34.5" hidden="false" customHeight="true" outlineLevel="0" collapsed="false">
      <c r="A40" s="5" t="s">
        <v>135</v>
      </c>
      <c r="B40" s="24" t="s">
        <v>136</v>
      </c>
    </row>
    <row r="41" customFormat="false" ht="34.5" hidden="false" customHeight="true" outlineLevel="0" collapsed="false">
      <c r="A41" s="5" t="s">
        <v>137</v>
      </c>
      <c r="B41" s="24" t="s">
        <v>138</v>
      </c>
    </row>
    <row r="42" customFormat="false" ht="34.5" hidden="false" customHeight="true" outlineLevel="0" collapsed="false">
      <c r="A42" s="5" t="s">
        <v>139</v>
      </c>
      <c r="B42" s="24" t="s">
        <v>140</v>
      </c>
    </row>
    <row r="43" customFormat="false" ht="34.5" hidden="false" customHeight="true" outlineLevel="0" collapsed="false">
      <c r="A43" s="5" t="s">
        <v>141</v>
      </c>
      <c r="B43" s="24" t="s">
        <v>142</v>
      </c>
    </row>
  </sheetData>
  <mergeCells count="4">
    <mergeCell ref="A1:C1"/>
    <mergeCell ref="A3:C3"/>
    <mergeCell ref="A24:C24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2026-08-24T14:57:18Z</dcterms:created>
  <dc:creator>openpyxl</dc:creator>
  <dc:description/>
  <dc:language>en-US</dc:language>
  <cp:lastModifiedBy/>
  <dcterms:modified xsi:type="dcterms:W3CDTF">2026-08-24T14:57:18Z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