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チャンネル別詳細" sheetId="2" state="visible" r:id="rId4"/>
    <sheet name="動画別パフォーマンス" sheetId="3" state="visible" r:id="rId5"/>
    <sheet name="改善アクション" sheetId="4" state="visible" r:id="rId6"/>
    <sheet name="トレンド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<sst xmlns="http://schemas.openxmlformats.org/spreadsheetml/2006/main" count="944" uniqueCount="372">
  <si>
    <r>
      <rPr>
        <b val="true"/>
        <sz val="14"/>
        <color rgb="FF1F3864"/>
        <rFont val="Arial"/>
        <family val="0"/>
        <charset val="1"/>
      </rPr>
      <t xml:space="preserve">YouTube Factory </t>
    </r>
    <r>
      <rPr>
        <b val="true"/>
        <sz val="14"/>
        <color rgb="FF1F3864"/>
        <rFont val="Noto Sans CJK SC"/>
        <family val="2"/>
      </rPr>
      <t xml:space="preserve">日次分析  </t>
    </r>
    <r>
      <rPr>
        <b val="true"/>
        <sz val="14"/>
        <color rgb="FF1F3864"/>
        <rFont val="Arial"/>
        <family val="0"/>
        <charset val="1"/>
      </rPr>
      <t xml:space="preserve">2026-09-07</t>
    </r>
  </si>
  <si>
    <r>
      <rPr>
        <i val="true"/>
        <sz val="9"/>
        <color rgb="FF606060"/>
        <rFont val="Arial"/>
        <family val="0"/>
        <charset val="1"/>
      </rPr>
      <t xml:space="preserve">moviepy</t>
    </r>
    <r>
      <rPr>
        <i val="true"/>
        <sz val="9"/>
        <color rgb="FF606060"/>
        <rFont val="Noto Sans CJK SC"/>
        <family val="2"/>
      </rPr>
      <t xml:space="preserve">系</t>
    </r>
    <r>
      <rPr>
        <i val="true"/>
        <sz val="9"/>
        <color rgb="FF606060"/>
        <rFont val="Arial"/>
        <family val="0"/>
        <charset val="1"/>
      </rPr>
      <t xml:space="preserve">6</t>
    </r>
    <r>
      <rPr>
        <i val="true"/>
        <sz val="9"/>
        <color rgb="FF606060"/>
        <rFont val="Noto Sans CJK SC"/>
        <family val="2"/>
      </rPr>
      <t xml:space="preserve">チャンネル </t>
    </r>
    <r>
      <rPr>
        <i val="true"/>
        <sz val="9"/>
        <color rgb="FF606060"/>
        <rFont val="Arial"/>
        <family val="0"/>
        <charset val="1"/>
      </rPr>
      <t xml:space="preserve">/ </t>
    </r>
    <r>
      <rPr>
        <i val="true"/>
        <sz val="9"/>
        <color rgb="FF606060"/>
        <rFont val="Noto Sans CJK SC"/>
        <family val="2"/>
      </rPr>
      <t xml:space="preserve">集計窓 </t>
    </r>
    <r>
      <rPr>
        <i val="true"/>
        <sz val="9"/>
        <color rgb="FF606060"/>
        <rFont val="Arial"/>
        <family val="0"/>
        <charset val="1"/>
      </rPr>
      <t xml:space="preserve">2026-08-31</t>
    </r>
    <r>
      <rPr>
        <i val="true"/>
        <sz val="9"/>
        <color rgb="FF606060"/>
        <rFont val="Noto Sans CJK SC"/>
        <family val="2"/>
      </rPr>
      <t xml:space="preserve">〜</t>
    </r>
    <r>
      <rPr>
        <i val="true"/>
        <sz val="9"/>
        <color rgb="FF606060"/>
        <rFont val="Arial"/>
        <family val="0"/>
        <charset val="1"/>
      </rPr>
      <t xml:space="preserve">09-06</t>
    </r>
    <r>
      <rPr>
        <i val="true"/>
        <sz val="9"/>
        <color rgb="FF606060"/>
        <rFont val="Noto Sans CJK SC"/>
        <family val="2"/>
      </rPr>
      <t xml:space="preserve">。</t>
    </r>
    <r>
      <rPr>
        <i val="true"/>
        <sz val="9"/>
        <color rgb="FF606060"/>
        <rFont val="Arial"/>
        <family val="0"/>
        <charset val="1"/>
      </rPr>
      <t xml:space="preserve">09-04</t>
    </r>
    <r>
      <rPr>
        <i val="true"/>
        <sz val="9"/>
        <color rgb="FF606060"/>
        <rFont val="Noto Sans CJK SC"/>
        <family val="2"/>
      </rPr>
      <t xml:space="preserve">以降は</t>
    </r>
    <r>
      <rPr>
        <i val="true"/>
        <sz val="9"/>
        <color rgb="FF606060"/>
        <rFont val="Arial"/>
        <family val="0"/>
        <charset val="1"/>
      </rPr>
      <t xml:space="preserve">YouTube Analytics</t>
    </r>
    <r>
      <rPr>
        <i val="true"/>
        <sz val="9"/>
        <color rgb="FF606060"/>
        <rFont val="Noto Sans CJK SC"/>
        <family val="2"/>
      </rPr>
      <t xml:space="preserve">の反映遅延（通常</t>
    </r>
    <r>
      <rPr>
        <i val="true"/>
        <sz val="9"/>
        <color rgb="FF606060"/>
        <rFont val="Arial"/>
        <family val="0"/>
        <charset val="1"/>
      </rPr>
      <t xml:space="preserve">2</t>
    </r>
    <r>
      <rPr>
        <i val="true"/>
        <sz val="9"/>
        <color rgb="FF606060"/>
        <rFont val="Noto Sans CJK SC"/>
        <family val="2"/>
      </rPr>
      <t xml:space="preserve">〜</t>
    </r>
    <r>
      <rPr>
        <i val="true"/>
        <sz val="9"/>
        <color rgb="FF606060"/>
        <rFont val="Arial"/>
        <family val="0"/>
        <charset val="1"/>
      </rPr>
      <t xml:space="preserve">3</t>
    </r>
    <r>
      <rPr>
        <i val="true"/>
        <sz val="9"/>
        <color rgb="FF606060"/>
        <rFont val="Noto Sans CJK SC"/>
        <family val="2"/>
      </rPr>
      <t xml:space="preserve">日）により未確定。</t>
    </r>
  </si>
  <si>
    <t xml:space="preserve">指標</t>
  </si>
  <si>
    <t xml:space="preserve">値</t>
  </si>
  <si>
    <t xml:space="preserve">単位</t>
  </si>
  <si>
    <t xml:space="preserve">評価</t>
  </si>
  <si>
    <t xml:space="preserve">根拠・注記</t>
  </si>
  <si>
    <r>
      <rPr>
        <sz val="10"/>
        <rFont val="Noto Sans CJK SC"/>
        <family val="2"/>
      </rPr>
      <t xml:space="preserve">総再生数（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日）</t>
    </r>
  </si>
  <si>
    <t xml:space="preserve">回</t>
  </si>
  <si>
    <t xml:space="preserve">—</t>
  </si>
  <si>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合計。日次では</t>
    </r>
    <r>
      <rPr>
        <sz val="10"/>
        <rFont val="Arial"/>
        <family val="0"/>
        <charset val="1"/>
      </rPr>
      <t xml:space="preserve">09-03</t>
    </r>
    <r>
      <rPr>
        <sz val="10"/>
        <rFont val="Noto Sans CJK SC"/>
        <family val="2"/>
      </rPr>
      <t xml:space="preserve">以降</t>
    </r>
    <r>
      <rPr>
        <sz val="10"/>
        <rFont val="Arial"/>
        <family val="0"/>
        <charset val="1"/>
      </rPr>
      <t xml:space="preserve">28.4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29.4</t>
    </r>
    <r>
      <rPr>
        <sz val="10"/>
        <rFont val="Noto Sans CJK SC"/>
        <family val="2"/>
      </rPr>
      <t xml:space="preserve">万回で横ばい。</t>
    </r>
  </si>
  <si>
    <r>
      <rPr>
        <sz val="10"/>
        <rFont val="Noto Sans CJK SC"/>
        <family val="2"/>
      </rPr>
      <t xml:space="preserve">新規登録者（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日）</t>
    </r>
  </si>
  <si>
    <t xml:space="preserve">人</t>
  </si>
  <si>
    <r>
      <rPr>
        <sz val="10"/>
        <rFont val="Noto Sans CJK SC"/>
        <family val="2"/>
      </rPr>
      <t xml:space="preserve">至上目標。</t>
    </r>
    <r>
      <rPr>
        <sz val="10"/>
        <rFont val="Arial"/>
        <family val="0"/>
        <charset val="1"/>
      </rPr>
      <t xml:space="preserve">company-facts </t>
    </r>
    <r>
      <rPr>
        <sz val="10"/>
        <rFont val="Noto Sans CJK SC"/>
        <family val="2"/>
      </rPr>
      <t xml:space="preserve">と </t>
    </r>
    <r>
      <rPr>
        <sz val="10"/>
        <rFont val="Arial"/>
        <family val="0"/>
        <charset val="1"/>
      </rPr>
      <t xml:space="preserve">scp-lab 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2ch</t>
    </r>
    <r>
      <rPr>
        <sz val="10"/>
        <rFont val="Noto Sans CJK SC"/>
        <family val="2"/>
      </rPr>
      <t xml:space="preserve">で全体の</t>
    </r>
    <r>
      <rPr>
        <sz val="10"/>
        <rFont val="Arial"/>
        <family val="0"/>
        <charset val="1"/>
      </rPr>
      <t xml:space="preserve">54%</t>
    </r>
    <r>
      <rPr>
        <sz val="10"/>
        <rFont val="Noto Sans CJK SC"/>
        <family val="2"/>
      </rPr>
      <t xml:space="preserve">を占める。</t>
    </r>
  </si>
  <si>
    <t xml:space="preserve">登録転換率</t>
  </si>
  <si>
    <r>
      <rPr>
        <sz val="10"/>
        <rFont val="Noto Sans CJK SC"/>
        <family val="2"/>
      </rPr>
      <t xml:space="preserve">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千再生</t>
    </r>
  </si>
  <si>
    <r>
      <rPr>
        <sz val="10"/>
        <rFont val="Noto Sans CJK SC"/>
        <family val="2"/>
      </rPr>
      <t xml:space="preserve">最高 </t>
    </r>
    <r>
      <rPr>
        <sz val="10"/>
        <rFont val="Arial"/>
        <family val="0"/>
        <charset val="1"/>
      </rPr>
      <t xml:space="preserve">company-facts 0.747</t>
    </r>
    <r>
      <rPr>
        <sz val="10"/>
        <rFont val="Noto Sans CJK SC"/>
        <family val="2"/>
      </rPr>
      <t xml:space="preserve">、最低 </t>
    </r>
    <r>
      <rPr>
        <sz val="10"/>
        <rFont val="Arial"/>
        <family val="0"/>
        <charset val="1"/>
      </rPr>
      <t xml:space="preserve">2ch-matome 0.176 </t>
    </r>
    <r>
      <rPr>
        <sz val="10"/>
        <rFont val="Noto Sans CJK SC"/>
        <family val="2"/>
      </rPr>
      <t xml:space="preserve">で</t>
    </r>
    <r>
      <rPr>
        <sz val="10"/>
        <rFont val="Arial"/>
        <family val="0"/>
        <charset val="1"/>
      </rPr>
      <t xml:space="preserve">4.2</t>
    </r>
    <r>
      <rPr>
        <sz val="10"/>
        <rFont val="Noto Sans CJK SC"/>
        <family val="2"/>
      </rPr>
      <t xml:space="preserve">倍の開き。</t>
    </r>
  </si>
  <si>
    <r>
      <rPr>
        <sz val="10"/>
        <rFont val="Noto Sans CJK SC"/>
        <family val="2"/>
      </rPr>
      <t xml:space="preserve">公開本数（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日）</t>
    </r>
  </si>
  <si>
    <t xml:space="preserve">本</t>
  </si>
  <si>
    <r>
      <rPr>
        <sz val="10"/>
        <rFont val="Arial"/>
        <family val="0"/>
        <charset val="1"/>
      </rPr>
      <t xml:space="preserve">09-04</t>
    </r>
    <r>
      <rPr>
        <sz val="10"/>
        <rFont val="Noto Sans CJK SC"/>
        <family val="2"/>
      </rPr>
      <t xml:space="preserve">から</t>
    </r>
    <r>
      <rPr>
        <sz val="10"/>
        <rFont val="Arial"/>
        <family val="0"/>
        <charset val="1"/>
      </rPr>
      <t xml:space="preserve">1ch3</t>
    </r>
    <r>
      <rPr>
        <sz val="10"/>
        <rFont val="Noto Sans CJK SC"/>
        <family val="2"/>
      </rPr>
      <t xml:space="preserve">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日体制へ増量（従来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日）。</t>
    </r>
  </si>
  <si>
    <t xml:space="preserve">新規動画の平均再生</t>
  </si>
  <si>
    <r>
      <rPr>
        <sz val="10"/>
        <rFont val="Noto Sans CJK SC"/>
        <family val="2"/>
      </rPr>
      <t xml:space="preserve">回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本</t>
    </r>
  </si>
  <si>
    <t xml:space="preserve">要監視</t>
  </si>
  <si>
    <r>
      <rPr>
        <sz val="10"/>
        <rFont val="Noto Sans CJK SC"/>
        <family val="2"/>
      </rPr>
      <t xml:space="preserve">直近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日公開分。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月の水準は</t>
    </r>
    <r>
      <rPr>
        <sz val="10"/>
        <rFont val="Arial"/>
        <family val="0"/>
        <charset val="1"/>
      </rPr>
      <t xml:space="preserve">700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900</t>
    </r>
    <r>
      <rPr>
        <sz val="10"/>
        <rFont val="Noto Sans CJK SC"/>
        <family val="2"/>
      </rPr>
      <t xml:space="preserve">回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本。</t>
    </r>
  </si>
  <si>
    <t xml:space="preserve">平均視聴維持率</t>
  </si>
  <si>
    <t xml:space="preserve">%</t>
  </si>
  <si>
    <r>
      <rPr>
        <sz val="10"/>
        <rFont val="Arial"/>
        <family val="0"/>
        <charset val="1"/>
      </rPr>
      <t xml:space="preserve">daily-science 59.6%</t>
    </r>
    <r>
      <rPr>
        <sz val="10"/>
        <rFont val="Noto Sans CJK SC"/>
        <family val="2"/>
      </rPr>
      <t xml:space="preserve">が最高、</t>
    </r>
    <r>
      <rPr>
        <sz val="10"/>
        <rFont val="Arial"/>
        <family val="0"/>
        <charset val="1"/>
      </rPr>
      <t xml:space="preserve">scp-lab 44.2%</t>
    </r>
    <r>
      <rPr>
        <sz val="10"/>
        <rFont val="Noto Sans CJK SC"/>
        <family val="2"/>
      </rPr>
      <t xml:space="preserve">が最低かつ下降中。</t>
    </r>
  </si>
  <si>
    <r>
      <rPr>
        <sz val="10"/>
        <rFont val="Noto Sans CJK SC"/>
        <family val="2"/>
      </rPr>
      <t xml:space="preserve">実測</t>
    </r>
    <r>
      <rPr>
        <sz val="10"/>
        <rFont val="Arial"/>
        <family val="0"/>
        <charset val="1"/>
      </rPr>
      <t xml:space="preserve">CTR</t>
    </r>
  </si>
  <si>
    <t xml:space="preserve">要改善</t>
  </si>
  <si>
    <r>
      <rPr>
        <sz val="10"/>
        <rFont val="Arial"/>
        <family val="0"/>
        <charset val="1"/>
      </rPr>
      <t xml:space="preserve">video_reach_daily 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impressions/clicks </t>
    </r>
    <r>
      <rPr>
        <sz val="10"/>
        <rFont val="Noto Sans CJK SC"/>
        <family val="2"/>
      </rPr>
      <t xml:space="preserve">実測。</t>
    </r>
    <r>
      <rPr>
        <sz val="10"/>
        <rFont val="Arial"/>
        <family val="0"/>
        <charset val="1"/>
      </rPr>
      <t xml:space="preserve">pokemon-lab 0.43%</t>
    </r>
    <r>
      <rPr>
        <sz val="10"/>
        <rFont val="Noto Sans CJK SC"/>
        <family val="2"/>
      </rPr>
      <t xml:space="preserve">が最低。</t>
    </r>
  </si>
  <si>
    <t xml:space="preserve">本日の重要な発見（すべて実データ）</t>
  </si>
  <si>
    <t xml:space="preserve">#</t>
  </si>
  <si>
    <t xml:space="preserve">発見</t>
  </si>
  <si>
    <t xml:space="preserve">数値的根拠</t>
  </si>
  <si>
    <t xml:space="preserve">とった対応</t>
  </si>
  <si>
    <t xml:space="preserve">1</t>
  </si>
  <si>
    <r>
      <rPr>
        <sz val="10"/>
        <rFont val="Arial"/>
        <family val="0"/>
        <charset val="1"/>
      </rPr>
      <t xml:space="preserve">09-03</t>
    </r>
    <r>
      <rPr>
        <sz val="10"/>
        <rFont val="Noto Sans CJK SC"/>
        <family val="2"/>
      </rPr>
      <t xml:space="preserve">に必須化した「タイトルに数字＋単位」は誤りだった</t>
    </r>
  </si>
  <si>
    <r>
      <rPr>
        <sz val="10"/>
        <rFont val="Noto Sans CJK SC"/>
        <family val="2"/>
      </rPr>
      <t xml:space="preserve">チャンネル内対照で</t>
    </r>
    <r>
      <rPr>
        <sz val="10"/>
        <rFont val="Arial"/>
        <family val="0"/>
        <charset val="1"/>
      </rPr>
      <t xml:space="preserve">3ch</t>
    </r>
    <r>
      <rPr>
        <sz val="10"/>
        <rFont val="Noto Sans CJK SC"/>
        <family val="2"/>
      </rPr>
      <t xml:space="preserve">全て逆方向</t>
    </r>
    <r>
      <rPr>
        <sz val="10"/>
        <rFont val="Arial"/>
        <family val="0"/>
        <charset val="1"/>
      </rPr>
      <t xml:space="preserve">: 2ch-matome </t>
    </r>
    <r>
      <rPr>
        <sz val="10"/>
        <rFont val="Noto Sans CJK SC"/>
        <family val="2"/>
      </rPr>
      <t xml:space="preserve">再生</t>
    </r>
    <r>
      <rPr>
        <sz val="10"/>
        <rFont val="Arial"/>
        <family val="0"/>
        <charset val="1"/>
      </rPr>
      <t xml:space="preserve">0.60</t>
    </r>
    <r>
      <rPr>
        <sz val="10"/>
        <rFont val="Noto Sans CJK SC"/>
        <family val="2"/>
      </rPr>
      <t xml:space="preserve">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登録</t>
    </r>
    <r>
      <rPr>
        <sz val="10"/>
        <rFont val="Arial"/>
        <family val="0"/>
        <charset val="1"/>
      </rPr>
      <t xml:space="preserve">0.52</t>
    </r>
    <r>
      <rPr>
        <sz val="10"/>
        <rFont val="Noto Sans CJK SC"/>
        <family val="2"/>
      </rPr>
      <t xml:space="preserve">倍・</t>
    </r>
    <r>
      <rPr>
        <sz val="10"/>
        <rFont val="Arial"/>
        <family val="0"/>
        <charset val="1"/>
      </rPr>
      <t xml:space="preserve">pokemon-lab 0.74</t>
    </r>
    <r>
      <rPr>
        <sz val="10"/>
        <rFont val="Noto Sans CJK SC"/>
        <family val="2"/>
      </rPr>
      <t xml:space="preserve">倍</t>
    </r>
    <r>
      <rPr>
        <sz val="10"/>
        <rFont val="Arial"/>
        <family val="0"/>
        <charset val="1"/>
      </rPr>
      <t xml:space="preserve">/0.43</t>
    </r>
    <r>
      <rPr>
        <sz val="10"/>
        <rFont val="Noto Sans CJK SC"/>
        <family val="2"/>
      </rPr>
      <t xml:space="preserve">倍・</t>
    </r>
    <r>
      <rPr>
        <sz val="10"/>
        <rFont val="Arial"/>
        <family val="0"/>
        <charset val="1"/>
      </rPr>
      <t xml:space="preserve">yokai-watch 0.58</t>
    </r>
    <r>
      <rPr>
        <sz val="10"/>
        <rFont val="Noto Sans CJK SC"/>
        <family val="2"/>
      </rPr>
      <t xml:space="preserve">倍</t>
    </r>
    <r>
      <rPr>
        <sz val="10"/>
        <rFont val="Arial"/>
        <family val="0"/>
        <charset val="1"/>
      </rPr>
      <t xml:space="preserve">/0.35</t>
    </r>
    <r>
      <rPr>
        <sz val="10"/>
        <rFont val="Noto Sans CJK SC"/>
        <family val="2"/>
      </rPr>
      <t xml:space="preserve">倍（中央値 再生</t>
    </r>
    <r>
      <rPr>
        <sz val="10"/>
        <rFont val="Arial"/>
        <family val="0"/>
        <charset val="1"/>
      </rPr>
      <t xml:space="preserve">0.60</t>
    </r>
    <r>
      <rPr>
        <sz val="10"/>
        <rFont val="Noto Sans CJK SC"/>
        <family val="2"/>
      </rPr>
      <t xml:space="preserve">倍・登録</t>
    </r>
    <r>
      <rPr>
        <sz val="10"/>
        <rFont val="Arial"/>
        <family val="0"/>
        <charset val="1"/>
      </rPr>
      <t xml:space="preserve">0.43</t>
    </r>
    <r>
      <rPr>
        <sz val="10"/>
        <rFont val="Noto Sans CJK SC"/>
        <family val="2"/>
      </rPr>
      <t xml:space="preserve">倍）。</t>
    </r>
    <r>
      <rPr>
        <sz val="10"/>
        <rFont val="Arial"/>
        <family val="0"/>
        <charset val="1"/>
      </rPr>
      <t xml:space="preserve">09-03</t>
    </r>
    <r>
      <rPr>
        <sz val="10"/>
        <rFont val="Noto Sans CJK SC"/>
        <family val="2"/>
      </rPr>
      <t xml:space="preserve">の「</t>
    </r>
    <r>
      <rPr>
        <sz val="10"/>
        <rFont val="Arial"/>
        <family val="0"/>
        <charset val="1"/>
      </rPr>
      <t xml:space="preserve">1.56</t>
    </r>
    <r>
      <rPr>
        <sz val="10"/>
        <rFont val="Noto Sans CJK SC"/>
        <family val="2"/>
      </rPr>
      <t xml:space="preserve">倍」は、</t>
    </r>
    <r>
      <rPr>
        <sz val="10"/>
        <rFont val="Arial"/>
        <family val="0"/>
        <charset val="1"/>
      </rPr>
      <t xml:space="preserve">daily-science </t>
    </r>
    <r>
      <rPr>
        <sz val="10"/>
        <rFont val="Noto Sans CJK SC"/>
        <family val="2"/>
      </rPr>
      <t xml:space="preserve">等</t>
    </r>
    <r>
      <rPr>
        <sz val="10"/>
        <rFont val="Arial"/>
        <family val="0"/>
        <charset val="1"/>
      </rPr>
      <t xml:space="preserve">3ch</t>
    </r>
    <r>
      <rPr>
        <sz val="10"/>
        <rFont val="Noto Sans CJK SC"/>
        <family val="2"/>
      </rPr>
      <t xml:space="preserve">の数字入り比率が</t>
    </r>
    <r>
      <rPr>
        <sz val="10"/>
        <rFont val="Arial"/>
        <family val="0"/>
        <charset val="1"/>
      </rPr>
      <t xml:space="preserve">97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に偏っていたことによる交絡だった。</t>
    </r>
  </si>
  <si>
    <r>
      <rPr>
        <sz val="10"/>
        <rFont val="Noto Sans CJK SC"/>
        <family val="2"/>
      </rPr>
      <t xml:space="preserve">ルールを撤回。</t>
    </r>
    <r>
      <rPr>
        <sz val="10"/>
        <rFont val="Arial"/>
        <family val="0"/>
        <charset val="1"/>
      </rPr>
      <t xml:space="preserve">title_rules.hard_constraints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backend </t>
    </r>
    <r>
      <rPr>
        <sz val="10"/>
        <rFont val="Noto Sans CJK SC"/>
        <family val="2"/>
      </rPr>
      <t xml:space="preserve">が実際に読む唯一の場所）で逆に制限した。数字が内容でない </t>
    </r>
    <r>
      <rPr>
        <sz val="10"/>
        <rFont val="Arial"/>
        <family val="0"/>
        <charset val="1"/>
      </rPr>
      <t xml:space="preserve">2ch-matome </t>
    </r>
    <r>
      <rPr>
        <sz val="10"/>
        <rFont val="Noto Sans CJK SC"/>
        <family val="2"/>
      </rPr>
      <t xml:space="preserve">と </t>
    </r>
    <r>
      <rPr>
        <sz val="10"/>
        <rFont val="Arial"/>
        <family val="0"/>
        <charset val="1"/>
      </rPr>
      <t xml:space="preserve">yokai-watch </t>
    </r>
    <r>
      <rPr>
        <sz val="10"/>
        <rFont val="Noto Sans CJK SC"/>
        <family val="2"/>
      </rPr>
      <t xml:space="preserve">は全面禁止、種族値や年収が内容そのものの残り</t>
    </r>
    <r>
      <rPr>
        <sz val="10"/>
        <rFont val="Arial"/>
        <family val="0"/>
        <charset val="1"/>
      </rPr>
      <t xml:space="preserve">4ch</t>
    </r>
    <r>
      <rPr>
        <sz val="10"/>
        <rFont val="Noto Sans CJK SC"/>
        <family val="2"/>
      </rPr>
      <t xml:space="preserve">は「数字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個まで」に留めた。</t>
    </r>
  </si>
  <si>
    <t xml:space="preserve">2</t>
  </si>
  <si>
    <r>
      <rPr>
        <sz val="10"/>
        <rFont val="Noto Sans CJK SC"/>
        <family val="2"/>
      </rPr>
      <t xml:space="preserve">最大離脱は再生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22%</t>
    </r>
    <r>
      <rPr>
        <sz val="10"/>
        <rFont val="Noto Sans CJK SC"/>
        <family val="2"/>
      </rPr>
      <t xml:space="preserve">地点。そこに「情報ゼロの相槌行」を構造として置いていた</t>
    </r>
  </si>
  <si>
    <r>
      <rPr>
        <sz val="10"/>
        <rFont val="Arial"/>
        <family val="0"/>
        <charset val="1"/>
      </rPr>
      <t xml:space="preserve">retention_curve </t>
    </r>
    <r>
      <rPr>
        <sz val="10"/>
        <rFont val="Noto Sans CJK SC"/>
        <family val="2"/>
      </rPr>
      <t xml:space="preserve">をセリフ単位で突合。バケット別ドロップは </t>
    </r>
    <r>
      <rPr>
        <sz val="10"/>
        <rFont val="Arial"/>
        <family val="0"/>
        <charset val="1"/>
      </rPr>
      <t xml:space="preserve">early 1.77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2.69% </t>
    </r>
    <r>
      <rPr>
        <sz val="10"/>
        <rFont val="Noto Sans CJK SC"/>
        <family val="2"/>
      </rPr>
      <t xml:space="preserve">で </t>
    </r>
    <r>
      <rPr>
        <sz val="10"/>
        <rFont val="Arial"/>
        <family val="0"/>
        <charset val="1"/>
      </rPr>
      <t xml:space="preserve">intro 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倍。急落例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「中枢パターン発生器」</t>
    </r>
    <r>
      <rPr>
        <sz val="10"/>
        <rFont val="Arial"/>
        <family val="0"/>
        <charset val="1"/>
      </rPr>
      <t xml:space="preserve">-7.9% /</t>
    </r>
    <r>
      <rPr>
        <sz val="10"/>
        <rFont val="Noto Sans CJK SC"/>
        <family val="2"/>
      </rPr>
      <t xml:space="preserve">「最初の扉がラスボスなのは」</t>
    </r>
    <r>
      <rPr>
        <sz val="10"/>
        <rFont val="Arial"/>
        <family val="0"/>
        <charset val="1"/>
      </rPr>
      <t xml:space="preserve">-9.5% /</t>
    </r>
    <r>
      <rPr>
        <sz val="10"/>
        <rFont val="Noto Sans CJK SC"/>
        <family val="2"/>
      </rPr>
      <t xml:space="preserve">「でも電気タイプって相性だよね？」</t>
    </r>
    <r>
      <rPr>
        <sz val="10"/>
        <rFont val="Arial"/>
        <family val="0"/>
        <charset val="1"/>
      </rPr>
      <t xml:space="preserve">-6.6%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行構成の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行目がちょうどこの区間に当たる。</t>
    </r>
  </si>
  <si>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short_format.structure 2</t>
    </r>
    <r>
      <rPr>
        <sz val="10"/>
        <rFont val="Noto Sans CJK SC"/>
        <family val="2"/>
      </rPr>
      <t xml:space="preserve">行目を「相槌のみ・解説は始めない」から「リアクション＋新情報（数字か固有名詞）を同じ行に」へ変更。専門用語の初出は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行目以降に限定した。</t>
    </r>
  </si>
  <si>
    <t xml:space="preserve">3</t>
  </si>
  <si>
    <r>
      <rPr>
        <sz val="10"/>
        <rFont val="Noto Sans CJK SC"/>
        <family val="2"/>
      </rPr>
      <t xml:space="preserve">午後半ば（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時・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時）の投稿枠が全時間帯で最下位</t>
    </r>
  </si>
  <si>
    <r>
      <rPr>
        <sz val="10"/>
        <rFont val="Arial"/>
        <family val="0"/>
        <charset val="1"/>
      </rPr>
      <t xml:space="preserve">JST</t>
    </r>
    <r>
      <rPr>
        <sz val="10"/>
        <rFont val="Noto Sans CJK SC"/>
        <family val="2"/>
      </rPr>
      <t xml:space="preserve">時間帯別（公開</t>
    </r>
    <r>
      <rPr>
        <sz val="10"/>
        <rFont val="Arial"/>
        <family val="0"/>
        <charset val="1"/>
      </rPr>
      <t xml:space="preserve">08-10</t>
    </r>
    <r>
      <rPr>
        <sz val="10"/>
        <rFont val="Noto Sans CJK SC"/>
        <family val="2"/>
      </rPr>
      <t xml:space="preserve">以降 </t>
    </r>
    <r>
      <rPr>
        <sz val="10"/>
        <rFont val="Arial"/>
        <family val="0"/>
        <charset val="1"/>
      </rPr>
      <t xml:space="preserve">n=227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: 9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962</t>
    </r>
    <r>
      <rPr>
        <sz val="10"/>
        <rFont val="Noto Sans CJK SC"/>
        <family val="2"/>
      </rPr>
      <t xml:space="preserve">回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登録</t>
    </r>
    <r>
      <rPr>
        <sz val="10"/>
        <rFont val="Arial"/>
        <family val="0"/>
        <charset val="1"/>
      </rPr>
      <t xml:space="preserve">5.50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905/4.48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821/3.56 </t>
    </r>
    <r>
      <rPr>
        <sz val="10"/>
        <rFont val="Noto Sans CJK SC"/>
        <family val="2"/>
      </rPr>
      <t xml:space="preserve">に対し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590/0.00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226/1.11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</si>
  <si>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pokemon-lab 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時枠を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時へ、</t>
    </r>
    <r>
      <rPr>
        <sz val="10"/>
        <rFont val="Arial"/>
        <family val="0"/>
        <charset val="1"/>
      </rPr>
      <t xml:space="preserve">yokai-watch 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時枠を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時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分へ移設。同一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内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分の連投ガード制約を満たす位置を選定した。反映には </t>
    </r>
    <r>
      <rPr>
        <sz val="10"/>
        <rFont val="Arial"/>
        <family val="0"/>
        <charset val="1"/>
      </rPr>
      <t xml:space="preserve">backend </t>
    </r>
    <r>
      <rPr>
        <sz val="10"/>
        <rFont val="Noto Sans CJK SC"/>
        <family val="2"/>
      </rPr>
      <t xml:space="preserve">再起動が必要。</t>
    </r>
  </si>
  <si>
    <t xml:space="preserve">4</t>
  </si>
  <si>
    <r>
      <rPr>
        <sz val="10"/>
        <rFont val="Noto Sans CJK SC"/>
        <family val="2"/>
      </rPr>
      <t xml:space="preserve">タイトルの実質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字超が最も強い正のシグナル</t>
    </r>
  </si>
  <si>
    <r>
      <rPr>
        <sz val="10"/>
        <rFont val="Noto Sans CJK SC"/>
        <family val="2"/>
      </rPr>
      <t xml:space="preserve">再生</t>
    </r>
    <r>
      <rPr>
        <sz val="10"/>
        <rFont val="Arial"/>
        <family val="0"/>
        <charset val="1"/>
      </rPr>
      <t xml:space="preserve">1.53</t>
    </r>
    <r>
      <rPr>
        <sz val="10"/>
        <rFont val="Noto Sans CJK SC"/>
        <family val="2"/>
      </rPr>
      <t xml:space="preserve">倍、維持率</t>
    </r>
    <r>
      <rPr>
        <sz val="10"/>
        <rFont val="Arial"/>
        <family val="0"/>
        <charset val="1"/>
      </rPr>
      <t xml:space="preserve">41.6% vs 27.1%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内対照でも</t>
    </r>
    <r>
      <rPr>
        <sz val="10"/>
        <rFont val="Arial"/>
        <family val="0"/>
        <charset val="1"/>
      </rPr>
      <t xml:space="preserve">5ch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4ch</t>
    </r>
    <r>
      <rPr>
        <sz val="10"/>
        <rFont val="Noto Sans CJK SC"/>
        <family val="2"/>
      </rPr>
      <t xml:space="preserve">で登録が優位（中央値</t>
    </r>
    <r>
      <rPr>
        <sz val="10"/>
        <rFont val="Arial"/>
        <family val="0"/>
        <charset val="1"/>
      </rPr>
      <t xml:space="preserve">2.67</t>
    </r>
    <r>
      <rPr>
        <sz val="10"/>
        <rFont val="Noto Sans CJK SC"/>
        <family val="2"/>
      </rPr>
      <t xml:space="preserve">倍）。</t>
    </r>
  </si>
  <si>
    <r>
      <rPr>
        <sz val="10"/>
        <rFont val="Arial"/>
        <family val="0"/>
        <charset val="1"/>
      </rPr>
      <t xml:space="preserve">theme_priority.title_style </t>
    </r>
    <r>
      <rPr>
        <sz val="10"/>
        <rFont val="Noto Sans CJK SC"/>
        <family val="2"/>
      </rPr>
      <t xml:space="preserve">に下限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字を明記した。</t>
    </r>
    <r>
      <rPr>
        <sz val="10"/>
        <rFont val="Arial"/>
        <family val="0"/>
        <charset val="1"/>
      </rPr>
      <t xml:space="preserve">hard_constraints </t>
    </r>
    <r>
      <rPr>
        <sz val="10"/>
        <rFont val="Noto Sans CJK SC"/>
        <family val="2"/>
      </rPr>
      <t xml:space="preserve">に下限長の項目が無いため、機械強制は次回のコード改修に回した。</t>
    </r>
  </si>
  <si>
    <t xml:space="preserve">5</t>
  </si>
  <si>
    <t xml:space="preserve">タイトル機械ゲートに桁区切りコンマのバグがあった</t>
  </si>
  <si>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1,590</t>
    </r>
    <r>
      <rPr>
        <sz val="10"/>
        <rFont val="Noto Sans CJK SC"/>
        <family val="2"/>
      </rPr>
      <t xml:space="preserve">円」「</t>
    </r>
    <r>
      <rPr>
        <sz val="10"/>
        <rFont val="Arial"/>
        <family val="0"/>
        <charset val="1"/>
      </rPr>
      <t xml:space="preserve">0.3</t>
    </r>
    <r>
      <rPr>
        <sz val="10"/>
        <rFont val="Noto Sans CJK SC"/>
        <family val="2"/>
      </rPr>
      <t xml:space="preserve">秒」「</t>
    </r>
    <r>
      <rPr>
        <sz val="10"/>
        <rFont val="Arial"/>
        <family val="0"/>
        <charset val="1"/>
      </rPr>
      <t xml:space="preserve">SCP-2006</t>
    </r>
    <r>
      <rPr>
        <sz val="10"/>
        <rFont val="Noto Sans CJK SC"/>
        <family val="2"/>
      </rPr>
      <t xml:space="preserve">」が数字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個と数えられ、</t>
    </r>
    <r>
      <rPr>
        <sz val="10"/>
        <rFont val="Arial"/>
        <family val="0"/>
        <charset val="1"/>
      </rPr>
      <t xml:space="preserve">max_digit_groups=1 </t>
    </r>
    <r>
      <rPr>
        <sz val="10"/>
        <rFont val="Noto Sans CJK SC"/>
        <family val="2"/>
      </rPr>
      <t xml:space="preserve">のチャンネルで正常なタイトルが軒並み違反になる状態だった。</t>
    </r>
  </si>
  <si>
    <r>
      <rPr>
        <sz val="10"/>
        <rFont val="Arial"/>
        <family val="0"/>
        <charset val="1"/>
      </rPr>
      <t xml:space="preserve">backend/pipeline/title_constraints.py </t>
    </r>
    <r>
      <rPr>
        <sz val="10"/>
        <rFont val="Noto Sans CJK SC"/>
        <family val="2"/>
      </rPr>
      <t xml:space="preserve">を修正（区切り文字を跨ぐ数字を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個として数える／助数詞に「名」と序数の「〜目」を追加）。あわせて、数字除去で日本語が壊れる場合は修復を断念して原文を残すガードを追加した。既存テスト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件は全て通過。</t>
    </r>
  </si>
  <si>
    <t xml:space="preserve">6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</si>
  <si>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日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本への増量は、まだ良し悪しを判定できない</t>
    </r>
  </si>
  <si>
    <r>
      <rPr>
        <sz val="10"/>
        <rFont val="Noto Sans CJK SC"/>
        <family val="2"/>
      </rPr>
      <t xml:space="preserve">公開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日後の平均再生で比較すると </t>
    </r>
    <r>
      <rPr>
        <sz val="10"/>
        <rFont val="Arial"/>
        <family val="0"/>
        <charset val="1"/>
      </rPr>
      <t xml:space="preserve">09-03</t>
    </r>
    <r>
      <rPr>
        <sz val="10"/>
        <rFont val="Noto Sans CJK SC"/>
        <family val="2"/>
      </rPr>
      <t xml:space="preserve">コホート </t>
    </r>
    <r>
      <rPr>
        <sz val="10"/>
        <rFont val="Arial"/>
        <family val="0"/>
        <charset val="1"/>
      </rPr>
      <t xml:space="preserve">907</t>
    </r>
    <r>
      <rPr>
        <sz val="10"/>
        <rFont val="Noto Sans CJK SC"/>
        <family val="2"/>
      </rPr>
      <t xml:space="preserve">回は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月下旬（</t>
    </r>
    <r>
      <rPr>
        <sz val="10"/>
        <rFont val="Arial"/>
        <family val="0"/>
        <charset val="1"/>
      </rPr>
      <t xml:space="preserve">700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900</t>
    </r>
    <r>
      <rPr>
        <sz val="10"/>
        <rFont val="Noto Sans CJK SC"/>
        <family val="2"/>
      </rPr>
      <t xml:space="preserve">回）と同水準。増量後の</t>
    </r>
    <r>
      <rPr>
        <sz val="10"/>
        <rFont val="Arial"/>
        <family val="0"/>
        <charset val="1"/>
      </rPr>
      <t xml:space="preserve">09-04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06</t>
    </r>
    <r>
      <rPr>
        <sz val="10"/>
        <rFont val="Noto Sans CJK SC"/>
        <family val="2"/>
      </rPr>
      <t xml:space="preserve">は反映待ちで判定不能。総再生数は</t>
    </r>
    <r>
      <rPr>
        <sz val="10"/>
        <rFont val="Arial"/>
        <family val="0"/>
        <charset val="1"/>
      </rPr>
      <t xml:space="preserve">09-03</t>
    </r>
    <r>
      <rPr>
        <sz val="10"/>
        <rFont val="Noto Sans CJK SC"/>
        <family val="2"/>
      </rPr>
      <t xml:space="preserve">以降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万回台で横ばい。</t>
    </r>
  </si>
  <si>
    <r>
      <rPr>
        <sz val="10"/>
        <rFont val="Noto Sans CJK SC"/>
        <family val="2"/>
      </rPr>
      <t xml:space="preserve">体制は維持。</t>
    </r>
    <r>
      <rPr>
        <sz val="10"/>
        <rFont val="Arial"/>
        <family val="0"/>
        <charset val="1"/>
      </rPr>
      <t xml:space="preserve">09-08</t>
    </r>
    <r>
      <rPr>
        <sz val="10"/>
        <rFont val="Noto Sans CJK SC"/>
        <family val="2"/>
      </rPr>
      <t xml:space="preserve">以降に</t>
    </r>
    <r>
      <rPr>
        <sz val="10"/>
        <rFont val="Arial"/>
        <family val="0"/>
        <charset val="1"/>
      </rPr>
      <t xml:space="preserve">09-04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06</t>
    </r>
    <r>
      <rPr>
        <sz val="10"/>
        <rFont val="Noto Sans CJK SC"/>
        <family val="2"/>
      </rPr>
      <t xml:space="preserve">コホートの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日後実績で再判定する。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月水準を割っていれば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日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本へ戻す。</t>
    </r>
  </si>
  <si>
    <r>
      <rPr>
        <i val="true"/>
        <sz val="9"/>
        <color rgb="FF606060"/>
        <rFont val="Noto Sans CJK SC"/>
        <family val="2"/>
      </rPr>
      <t xml:space="preserve">注記</t>
    </r>
    <r>
      <rPr>
        <i val="true"/>
        <sz val="9"/>
        <color rgb="FF606060"/>
        <rFont val="Arial"/>
        <family val="0"/>
        <charset val="1"/>
      </rPr>
      <t xml:space="preserve">: </t>
    </r>
    <r>
      <rPr>
        <i val="true"/>
        <sz val="9"/>
        <color rgb="FF606060"/>
        <rFont val="Noto Sans CJK SC"/>
        <family val="2"/>
      </rPr>
      <t xml:space="preserve">数値はすべて </t>
    </r>
    <r>
      <rPr>
        <i val="true"/>
        <sz val="9"/>
        <color rgb="FF606060"/>
        <rFont val="Arial"/>
        <family val="0"/>
        <charset val="1"/>
      </rPr>
      <t xml:space="preserve">data/analytics/analytics.db </t>
    </r>
    <r>
      <rPr>
        <i val="true"/>
        <sz val="9"/>
        <color rgb="FF606060"/>
        <rFont val="Noto Sans CJK SC"/>
        <family val="2"/>
      </rPr>
      <t xml:space="preserve">の実測。推測値・一般論は含まない。</t>
    </r>
  </si>
  <si>
    <r>
      <rPr>
        <b val="true"/>
        <sz val="14"/>
        <color rgb="FF1F3864"/>
        <rFont val="Noto Sans CJK SC"/>
        <family val="2"/>
      </rPr>
      <t xml:space="preserve">チャンネル別詳細（</t>
    </r>
    <r>
      <rPr>
        <b val="true"/>
        <sz val="14"/>
        <color rgb="FF1F3864"/>
        <rFont val="Arial"/>
        <family val="0"/>
        <charset val="1"/>
      </rPr>
      <t xml:space="preserve">2026-08-31</t>
    </r>
    <r>
      <rPr>
        <b val="true"/>
        <sz val="14"/>
        <color rgb="FF1F3864"/>
        <rFont val="Noto Sans CJK SC"/>
        <family val="2"/>
      </rPr>
      <t xml:space="preserve">〜</t>
    </r>
    <r>
      <rPr>
        <b val="true"/>
        <sz val="14"/>
        <color rgb="FF1F3864"/>
        <rFont val="Arial"/>
        <family val="0"/>
        <charset val="1"/>
      </rPr>
      <t xml:space="preserve">09-06</t>
    </r>
    <r>
      <rPr>
        <b val="true"/>
        <sz val="14"/>
        <color rgb="FF1F3864"/>
        <rFont val="Noto Sans CJK SC"/>
        <family val="2"/>
      </rPr>
      <t xml:space="preserve">）</t>
    </r>
  </si>
  <si>
    <r>
      <rPr>
        <i val="true"/>
        <sz val="9"/>
        <color rgb="FF606060"/>
        <rFont val="Noto Sans CJK SC"/>
        <family val="2"/>
      </rPr>
      <t xml:space="preserve">登録転換率＝登録者数</t>
    </r>
    <r>
      <rPr>
        <i val="true"/>
        <sz val="9"/>
        <color rgb="FF606060"/>
        <rFont val="Arial"/>
        <family val="0"/>
        <charset val="1"/>
      </rPr>
      <t xml:space="preserve">÷</t>
    </r>
    <r>
      <rPr>
        <i val="true"/>
        <sz val="9"/>
        <color rgb="FF606060"/>
        <rFont val="Noto Sans CJK SC"/>
        <family val="2"/>
      </rPr>
      <t xml:space="preserve">再生数</t>
    </r>
    <r>
      <rPr>
        <i val="true"/>
        <sz val="9"/>
        <color rgb="FF606060"/>
        <rFont val="Arial"/>
        <family val="0"/>
        <charset val="1"/>
      </rPr>
      <t xml:space="preserve">×1000</t>
    </r>
    <r>
      <rPr>
        <i val="true"/>
        <sz val="9"/>
        <color rgb="FF606060"/>
        <rFont val="Noto Sans CJK SC"/>
        <family val="2"/>
      </rPr>
      <t xml:space="preserve">。至上目標である登録者増に最も直結する指標のため、この列で降順に並べている。</t>
    </r>
  </si>
  <si>
    <t xml:space="preserve">チャンネル</t>
  </si>
  <si>
    <t xml:space="preserve">名称</t>
  </si>
  <si>
    <t xml:space="preserve">公開本数</t>
  </si>
  <si>
    <t xml:space="preserve">再生数</t>
  </si>
  <si>
    <t xml:space="preserve">登録者</t>
  </si>
  <si>
    <r>
      <rPr>
        <b val="true"/>
        <sz val="11"/>
        <color rgb="FFFFFFFF"/>
        <rFont val="Noto Sans CJK SC"/>
        <family val="2"/>
      </rPr>
      <t xml:space="preserve">登録転換率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人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千再生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</si>
  <si>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高評価率
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</si>
  <si>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Noto Sans CJK SC"/>
        <family val="2"/>
      </rPr>
      <t xml:space="preserve">維持率
</t>
    </r>
    <r>
      <rPr>
        <b val="true"/>
        <sz val="11"/>
        <color rgb="FFFFFFFF"/>
        <rFont val="Arial"/>
        <family val="0"/>
        <charset val="1"/>
      </rPr>
      <t xml:space="preserve">(%)</t>
    </r>
  </si>
  <si>
    <t xml:space="preserve">表示回数</t>
  </si>
  <si>
    <t xml:space="preserve">クリック</t>
  </si>
  <si>
    <r>
      <rPr>
        <b val="true"/>
        <sz val="11"/>
        <color rgb="FFFFFFFF"/>
        <rFont val="Noto Sans CJK SC"/>
        <family val="2"/>
      </rPr>
      <t xml:space="preserve">実測</t>
    </r>
    <r>
      <rPr>
        <b val="true"/>
        <sz val="11"/>
        <color rgb="FFFFFFFF"/>
        <rFont val="Arial"/>
        <family val="0"/>
        <charset val="1"/>
      </rPr>
      <t xml:space="preserve">CTR
(%)</t>
    </r>
  </si>
  <si>
    <t xml:space="preserve">新規動画
平均再生</t>
  </si>
  <si>
    <t xml:space="preserve">コメント</t>
  </si>
  <si>
    <t xml:space="preserve">company-facts</t>
  </si>
  <si>
    <t xml:space="preserve">企業のホンネ</t>
  </si>
  <si>
    <r>
      <rPr>
        <sz val="10"/>
        <rFont val="Noto Sans CJK SC"/>
        <family val="2"/>
      </rPr>
      <t xml:space="preserve">登録転換率トップ。維持率も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地点で他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1.7</t>
    </r>
    <r>
      <rPr>
        <sz val="10"/>
        <rFont val="Noto Sans CJK SC"/>
        <family val="2"/>
      </rPr>
      <t xml:space="preserve">倍を保つ。数字が内容そのものなので数字制限は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個までに留めた。</t>
    </r>
  </si>
  <si>
    <t xml:space="preserve">scp-lab</t>
  </si>
  <si>
    <r>
      <rPr>
        <sz val="10"/>
        <rFont val="Arial"/>
        <family val="0"/>
        <charset val="1"/>
      </rPr>
      <t xml:space="preserve">SCP</t>
    </r>
    <r>
      <rPr>
        <sz val="10"/>
        <rFont val="Noto Sans CJK SC"/>
        <family val="2"/>
      </rPr>
      <t xml:space="preserve">ラボ</t>
    </r>
  </si>
  <si>
    <r>
      <rPr>
        <sz val="10"/>
        <rFont val="Noto Sans CJK SC"/>
        <family val="2"/>
      </rPr>
      <t xml:space="preserve">登録数は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位だが維持率</t>
    </r>
    <r>
      <rPr>
        <sz val="10"/>
        <rFont val="Arial"/>
        <family val="0"/>
        <charset val="1"/>
      </rPr>
      <t xml:space="preserve">44.2%</t>
    </r>
    <r>
      <rPr>
        <sz val="10"/>
        <rFont val="Noto Sans CJK SC"/>
        <family val="2"/>
      </rPr>
      <t xml:space="preserve">は最低かつ下降中（</t>
    </r>
    <r>
      <rPr>
        <sz val="10"/>
        <rFont val="Arial"/>
        <family val="0"/>
        <charset val="1"/>
      </rPr>
      <t xml:space="preserve">08-30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45.7%→09-06 42.1%</t>
    </r>
    <r>
      <rPr>
        <sz val="10"/>
        <rFont val="Noto Sans CJK SC"/>
        <family val="2"/>
      </rPr>
      <t xml:space="preserve">）。維持率の底上げが最優先。</t>
    </r>
  </si>
  <si>
    <t xml:space="preserve">daily-science</t>
  </si>
  <si>
    <t xml:space="preserve">日常科学</t>
  </si>
  <si>
    <r>
      <rPr>
        <sz val="10"/>
        <rFont val="Noto Sans CJK SC"/>
        <family val="2"/>
      </rPr>
      <t xml:space="preserve">維持率</t>
    </r>
    <r>
      <rPr>
        <sz val="10"/>
        <rFont val="Arial"/>
        <family val="0"/>
        <charset val="1"/>
      </rPr>
      <t xml:space="preserve">59.6%</t>
    </r>
    <r>
      <rPr>
        <sz val="10"/>
        <rFont val="Noto Sans CJK SC"/>
        <family val="2"/>
      </rPr>
      <t xml:space="preserve">が最高で、かつ上昇中（</t>
    </r>
    <r>
      <rPr>
        <sz val="10"/>
        <rFont val="Arial"/>
        <family val="0"/>
        <charset val="1"/>
      </rPr>
      <t xml:space="preserve">09-03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58.9%→09-06 61.2%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08-28</t>
    </r>
    <r>
      <rPr>
        <sz val="10"/>
        <rFont val="Noto Sans CJK SC"/>
        <family val="2"/>
      </rPr>
      <t xml:space="preserve">以前の</t>
    </r>
    <r>
      <rPr>
        <sz val="10"/>
        <rFont val="Arial"/>
        <family val="0"/>
        <charset val="1"/>
      </rPr>
      <t xml:space="preserve">131%</t>
    </r>
    <r>
      <rPr>
        <sz val="10"/>
        <rFont val="Noto Sans CJK SC"/>
        <family val="2"/>
      </rPr>
      <t xml:space="preserve">はループ計上による見かけの値。</t>
    </r>
  </si>
  <si>
    <t xml:space="preserve">pokemon-lab</t>
  </si>
  <si>
    <t xml:space="preserve">ポケモン研究所</t>
  </si>
  <si>
    <r>
      <rPr>
        <sz val="10"/>
        <rFont val="Noto Sans CJK SC"/>
        <family val="2"/>
      </rPr>
      <t xml:space="preserve">実測</t>
    </r>
    <r>
      <rPr>
        <sz val="10"/>
        <rFont val="Arial"/>
        <family val="0"/>
        <charset val="1"/>
      </rPr>
      <t xml:space="preserve">CTR 0.43%</t>
    </r>
    <r>
      <rPr>
        <sz val="10"/>
        <rFont val="Noto Sans CJK SC"/>
        <family val="2"/>
      </rPr>
      <t xml:space="preserve">が全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最低。サムネイル改善の最優先対象。維持率も</t>
    </r>
    <r>
      <rPr>
        <sz val="10"/>
        <rFont val="Arial"/>
        <family val="0"/>
        <charset val="1"/>
      </rPr>
      <t xml:space="preserve">09-03</t>
    </r>
    <r>
      <rPr>
        <sz val="10"/>
        <rFont val="Noto Sans CJK SC"/>
        <family val="2"/>
      </rPr>
      <t xml:space="preserve">に</t>
    </r>
    <r>
      <rPr>
        <sz val="10"/>
        <rFont val="Arial"/>
        <family val="0"/>
        <charset val="1"/>
      </rPr>
      <t xml:space="preserve">56%→51%</t>
    </r>
    <r>
      <rPr>
        <sz val="10"/>
        <rFont val="Noto Sans CJK SC"/>
        <family val="2"/>
      </rPr>
      <t xml:space="preserve">へ低下した。</t>
    </r>
  </si>
  <si>
    <t xml:space="preserve">yokai-watch</t>
  </si>
  <si>
    <t xml:space="preserve">妖怪ウォッチ</t>
  </si>
  <si>
    <r>
      <rPr>
        <sz val="10"/>
        <rFont val="Noto Sans CJK SC"/>
        <family val="2"/>
      </rPr>
      <t xml:space="preserve">登録転換率が下から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番目。当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のみ疑問符タイトルの登録が</t>
    </r>
    <r>
      <rPr>
        <sz val="10"/>
        <rFont val="Arial"/>
        <family val="0"/>
        <charset val="1"/>
      </rPr>
      <t xml:space="preserve">0.07</t>
    </r>
    <r>
      <rPr>
        <sz val="10"/>
        <rFont val="Noto Sans CJK SC"/>
        <family val="2"/>
      </rPr>
      <t xml:space="preserve">倍と壊滅的なため、末尾疑問符を機械ゲートで禁止した。</t>
    </r>
  </si>
  <si>
    <t xml:space="preserve">2ch-matome</t>
  </si>
  <si>
    <r>
      <rPr>
        <sz val="10"/>
        <rFont val="Arial"/>
        <family val="0"/>
        <charset val="1"/>
      </rPr>
      <t xml:space="preserve">2ch</t>
    </r>
    <r>
      <rPr>
        <sz val="10"/>
        <rFont val="Noto Sans CJK SC"/>
        <family val="2"/>
      </rPr>
      <t xml:space="preserve">まとめ</t>
    </r>
  </si>
  <si>
    <r>
      <rPr>
        <sz val="10"/>
        <rFont val="Noto Sans CJK SC"/>
        <family val="2"/>
      </rPr>
      <t xml:space="preserve">再生は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位だが登録転換率</t>
    </r>
    <r>
      <rPr>
        <sz val="10"/>
        <rFont val="Arial"/>
        <family val="0"/>
        <charset val="1"/>
      </rPr>
      <t xml:space="preserve">0.176</t>
    </r>
    <r>
      <rPr>
        <sz val="10"/>
        <rFont val="Noto Sans CJK SC"/>
        <family val="2"/>
      </rPr>
      <t xml:space="preserve">は最下位で首位の</t>
    </r>
    <r>
      <rPr>
        <sz val="10"/>
        <rFont val="Arial"/>
        <family val="0"/>
        <charset val="1"/>
      </rPr>
      <t xml:space="preserve">4.2</t>
    </r>
    <r>
      <rPr>
        <sz val="10"/>
        <rFont val="Noto Sans CJK SC"/>
        <family val="2"/>
      </rPr>
      <t xml:space="preserve">分の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。再生を登録に変換できていない唯一の構造的課題。</t>
    </r>
  </si>
  <si>
    <r>
      <rPr>
        <b val="true"/>
        <sz val="10"/>
        <rFont val="Noto Sans CJK SC"/>
        <family val="2"/>
      </rPr>
      <t xml:space="preserve">合計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平均</t>
    </r>
  </si>
  <si>
    <r>
      <rPr>
        <b val="true"/>
        <sz val="14"/>
        <color rgb="FF1F3864"/>
        <rFont val="Noto Sans CJK SC"/>
        <family val="2"/>
      </rPr>
      <t xml:space="preserve">動画別パフォーマンス（直近</t>
    </r>
    <r>
      <rPr>
        <b val="true"/>
        <sz val="14"/>
        <color rgb="FF1F3864"/>
        <rFont val="Arial"/>
        <family val="0"/>
        <charset val="1"/>
      </rPr>
      <t xml:space="preserve">14</t>
    </r>
    <r>
      <rPr>
        <b val="true"/>
        <sz val="14"/>
        <color rgb="FF1F3864"/>
        <rFont val="Noto Sans CJK SC"/>
        <family val="2"/>
      </rPr>
      <t xml:space="preserve">日に公開）</t>
    </r>
  </si>
  <si>
    <r>
      <rPr>
        <i val="true"/>
        <sz val="9"/>
        <color rgb="FF606060"/>
        <rFont val="Noto Sans CJK SC"/>
        <family val="2"/>
      </rPr>
      <t xml:space="preserve">再生数の降順。再生</t>
    </r>
    <r>
      <rPr>
        <i val="true"/>
        <sz val="9"/>
        <color rgb="FF606060"/>
        <rFont val="Arial"/>
        <family val="0"/>
        <charset val="1"/>
      </rPr>
      <t xml:space="preserve">0</t>
    </r>
    <r>
      <rPr>
        <i val="true"/>
        <sz val="9"/>
        <color rgb="FF606060"/>
        <rFont val="Noto Sans CJK SC"/>
        <family val="2"/>
      </rPr>
      <t xml:space="preserve">回の行は公開直後で </t>
    </r>
    <r>
      <rPr>
        <i val="true"/>
        <sz val="9"/>
        <color rgb="FF606060"/>
        <rFont val="Arial"/>
        <family val="0"/>
        <charset val="1"/>
      </rPr>
      <t xml:space="preserve">YouTube Analytics </t>
    </r>
    <r>
      <rPr>
        <i val="true"/>
        <sz val="9"/>
        <color rgb="FF606060"/>
        <rFont val="Noto Sans CJK SC"/>
        <family val="2"/>
      </rPr>
      <t xml:space="preserve">が未反映のもの（通常</t>
    </r>
    <r>
      <rPr>
        <i val="true"/>
        <sz val="9"/>
        <color rgb="FF606060"/>
        <rFont val="Arial"/>
        <family val="0"/>
        <charset val="1"/>
      </rPr>
      <t xml:space="preserve">2</t>
    </r>
    <r>
      <rPr>
        <i val="true"/>
        <sz val="9"/>
        <color rgb="FF606060"/>
        <rFont val="Noto Sans CJK SC"/>
        <family val="2"/>
      </rPr>
      <t xml:space="preserve">〜</t>
    </r>
    <r>
      <rPr>
        <i val="true"/>
        <sz val="9"/>
        <color rgb="FF606060"/>
        <rFont val="Arial"/>
        <family val="0"/>
        <charset val="1"/>
      </rPr>
      <t xml:space="preserve">3</t>
    </r>
    <r>
      <rPr>
        <i val="true"/>
        <sz val="9"/>
        <color rgb="FF606060"/>
        <rFont val="Noto Sans CJK SC"/>
        <family val="2"/>
      </rPr>
      <t xml:space="preserve">日遅れる）。</t>
    </r>
  </si>
  <si>
    <t xml:space="preserve">公開日</t>
  </si>
  <si>
    <t xml:space="preserve">タイトル</t>
  </si>
  <si>
    <r>
      <rPr>
        <b val="true"/>
        <sz val="11"/>
        <color rgb="FFFFFFFF"/>
        <rFont val="Noto Sans CJK SC"/>
        <family val="2"/>
      </rPr>
      <t xml:space="preserve">維持率</t>
    </r>
    <r>
      <rPr>
        <b val="true"/>
        <sz val="11"/>
        <color rgb="FFFFFFFF"/>
        <rFont val="Arial"/>
        <family val="0"/>
        <charset val="1"/>
      </rPr>
      <t xml:space="preserve">(%)</t>
    </r>
  </si>
  <si>
    <t xml:space="preserve">高評価</t>
  </si>
  <si>
    <t xml:space="preserve">タイトル字数</t>
  </si>
  <si>
    <t xml:space="preserve">数字</t>
  </si>
  <si>
    <t xml:space="preserve">末尾？</t>
  </si>
  <si>
    <t xml:space="preserve">2026-08-26</t>
  </si>
  <si>
    <r>
      <rPr>
        <sz val="10"/>
        <rFont val="Noto Sans CJK SC"/>
        <family val="2"/>
      </rPr>
      <t xml:space="preserve">💸トヨタ自動車の年収</t>
    </r>
    <r>
      <rPr>
        <sz val="10"/>
        <rFont val="Arial"/>
        <family val="0"/>
        <charset val="1"/>
      </rPr>
      <t xml:space="preserve">982</t>
    </r>
    <r>
      <rPr>
        <sz val="10"/>
        <rFont val="Noto Sans CJK SC"/>
        <family val="2"/>
      </rPr>
      <t xml:space="preserve">万円、実は手当の中身が違う【ショート】</t>
    </r>
  </si>
  <si>
    <t xml:space="preserve">あり</t>
  </si>
  <si>
    <t xml:space="preserve">なし</t>
  </si>
  <si>
    <t xml:space="preserve">2026-08-27</t>
  </si>
  <si>
    <r>
      <rPr>
        <sz val="10"/>
        <rFont val="Noto Sans CJK SC"/>
        <family val="2"/>
      </rPr>
      <t xml:space="preserve">📉大谷翔平の年収が実は約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億円？スポンサー契約の裏側📉【ショート】</t>
    </r>
  </si>
  <si>
    <r>
      <rPr>
        <sz val="10"/>
        <rFont val="Noto Sans CJK SC"/>
        <family val="2"/>
      </rPr>
      <t xml:space="preserve">三菱商事の平均年収</t>
    </r>
    <r>
      <rPr>
        <sz val="10"/>
        <rFont val="Arial"/>
        <family val="0"/>
        <charset val="1"/>
      </rPr>
      <t xml:space="preserve">2033</t>
    </r>
    <r>
      <rPr>
        <sz val="10"/>
        <rFont val="Noto Sans CJK SC"/>
        <family val="2"/>
      </rPr>
      <t xml:space="preserve">万円、その中身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</si>
  <si>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2026-08-24</t>
  </si>
  <si>
    <r>
      <rPr>
        <sz val="10"/>
        <rFont val="Noto Sans CJK SC"/>
        <family val="2"/>
      </rPr>
      <t xml:space="preserve">📈退職金の本当は？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社で最大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万円差の実態【ショート】</t>
    </r>
  </si>
  <si>
    <t xml:space="preserve">2026-08-25</t>
  </si>
  <si>
    <r>
      <rPr>
        <sz val="10"/>
        <rFont val="Noto Sans CJK SC"/>
        <family val="2"/>
      </rPr>
      <t xml:space="preserve">💸不二家の半額ケーキ、実は年収</t>
    </r>
    <r>
      <rPr>
        <sz val="10"/>
        <rFont val="Arial"/>
        <family val="0"/>
        <charset val="1"/>
      </rPr>
      <t xml:space="preserve">549</t>
    </r>
    <r>
      <rPr>
        <sz val="10"/>
        <rFont val="Noto Sans CJK SC"/>
        <family val="2"/>
      </rPr>
      <t xml:space="preserve">万円とどう関係する？【ショート】</t>
    </r>
  </si>
  <si>
    <t xml:space="preserve">2026-09-03</t>
  </si>
  <si>
    <r>
      <rPr>
        <sz val="10"/>
        <rFont val="Noto Sans CJK SC"/>
        <family val="2"/>
      </rPr>
      <t xml:space="preserve">日本マクドナルドの正体、年収</t>
    </r>
    <r>
      <rPr>
        <sz val="10"/>
        <rFont val="Arial"/>
        <family val="0"/>
        <charset val="1"/>
      </rPr>
      <t xml:space="preserve">670</t>
    </r>
    <r>
      <rPr>
        <sz val="10"/>
        <rFont val="Noto Sans CJK SC"/>
        <family val="2"/>
      </rPr>
      <t xml:space="preserve">万円の裏側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</si>
  <si>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2026-08-28</t>
  </si>
  <si>
    <r>
      <rPr>
        <sz val="10"/>
        <rFont val="Noto Sans CJK SC"/>
        <family val="2"/>
      </rPr>
      <t xml:space="preserve">📉花王の男性育休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、年収はいくら？実は数字の裏も見る【ショート】</t>
    </r>
  </si>
  <si>
    <t xml:space="preserve">2026-08-29</t>
  </si>
  <si>
    <r>
      <rPr>
        <sz val="10"/>
        <rFont val="Arial"/>
        <family val="0"/>
        <charset val="1"/>
      </rPr>
      <t xml:space="preserve">💸GU</t>
    </r>
    <r>
      <rPr>
        <sz val="10"/>
        <rFont val="Noto Sans CJK SC"/>
        <family val="2"/>
      </rPr>
      <t xml:space="preserve">の年収、実はポケモンコラボで上がるのか？平均</t>
    </r>
    <r>
      <rPr>
        <sz val="10"/>
        <rFont val="Arial"/>
        <family val="0"/>
        <charset val="1"/>
      </rPr>
      <t xml:space="preserve">959</t>
    </r>
    <r>
      <rPr>
        <sz val="10"/>
        <rFont val="Noto Sans CJK SC"/>
        <family val="2"/>
      </rPr>
      <t xml:space="preserve">万円の裏側💸【ショート】</t>
    </r>
  </si>
  <si>
    <r>
      <rPr>
        <sz val="10"/>
        <rFont val="Arial"/>
        <family val="0"/>
        <charset val="1"/>
      </rPr>
      <t xml:space="preserve">📉JR</t>
    </r>
    <r>
      <rPr>
        <sz val="10"/>
        <rFont val="Noto Sans CJK SC"/>
        <family val="2"/>
      </rPr>
      <t xml:space="preserve">東日本の年収</t>
    </r>
    <r>
      <rPr>
        <sz val="10"/>
        <rFont val="Arial"/>
        <family val="0"/>
        <charset val="1"/>
      </rPr>
      <t xml:space="preserve">810</t>
    </r>
    <r>
      <rPr>
        <sz val="10"/>
        <rFont val="Noto Sans CJK SC"/>
        <family val="2"/>
      </rPr>
      <t xml:space="preserve">万円、本当は休日</t>
    </r>
    <r>
      <rPr>
        <sz val="10"/>
        <rFont val="Arial"/>
        <family val="0"/>
        <charset val="1"/>
      </rPr>
      <t xml:space="preserve">124</t>
    </r>
    <r>
      <rPr>
        <sz val="10"/>
        <rFont val="Noto Sans CJK SC"/>
        <family val="2"/>
      </rPr>
      <t xml:space="preserve">日とのバランス💸【ショート】</t>
    </r>
  </si>
  <si>
    <r>
      <rPr>
        <sz val="10"/>
        <rFont val="Noto Sans CJK SC"/>
        <family val="2"/>
      </rPr>
      <t xml:space="preserve">💰味の素の有給取得率、実は</t>
    </r>
    <r>
      <rPr>
        <sz val="10"/>
        <rFont val="Arial"/>
        <family val="0"/>
        <charset val="1"/>
      </rPr>
      <t xml:space="preserve">76.8% </t>
    </r>
    <r>
      <rPr>
        <sz val="10"/>
        <rFont val="Noto Sans CJK SC"/>
        <family val="2"/>
      </rPr>
      <t xml:space="preserve">年収と残業の本当は？💸【ショート】</t>
    </r>
  </si>
  <si>
    <r>
      <rPr>
        <sz val="10"/>
        <rFont val="Noto Sans CJK SC"/>
        <family val="2"/>
      </rPr>
      <t xml:space="preserve">なぜ</t>
    </r>
    <r>
      <rPr>
        <sz val="10"/>
        <rFont val="Arial"/>
        <family val="0"/>
        <charset val="1"/>
      </rPr>
      <t xml:space="preserve">PS5 Pro</t>
    </r>
    <r>
      <rPr>
        <sz val="10"/>
        <rFont val="Noto Sans CJK SC"/>
        <family val="2"/>
      </rPr>
      <t xml:space="preserve">に期待する？値段で胃が痛い理由とは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</si>
  <si>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味の素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粒、実は何に使うのか？意外すぎる活用法をあげてけｗ【ショート】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</si>
  <si>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#98</t>
    </r>
    <r>
      <rPr>
        <sz val="10"/>
        <rFont val="Noto Sans CJK SC"/>
        <family val="2"/>
      </rPr>
      <t xml:space="preserve">：🌍なぜ歩くと腕と足は逆に動くのか？あなたの体が毎秒行う回転制御の正体【ショート】</t>
    </r>
  </si>
  <si>
    <t xml:space="preserve">2026-08-30</t>
  </si>
  <si>
    <r>
      <rPr>
        <sz val="10"/>
        <rFont val="Noto Sans CJK SC"/>
        <family val="2"/>
      </rPr>
      <t xml:space="preserve">📈動画作りに課金しすぎた男、年収</t>
    </r>
    <r>
      <rPr>
        <sz val="10"/>
        <rFont val="Arial"/>
        <family val="0"/>
        <charset val="1"/>
      </rPr>
      <t xml:space="preserve">480</t>
    </r>
    <r>
      <rPr>
        <sz val="10"/>
        <rFont val="Noto Sans CJK SC"/>
        <family val="2"/>
      </rPr>
      <t xml:space="preserve">万円で転職できる？【ショート】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</si>
  <si>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#100</t>
    </r>
    <r>
      <rPr>
        <sz val="10"/>
        <rFont val="Noto Sans CJK SC"/>
        <family val="2"/>
      </rPr>
      <t xml:space="preserve">：🧬なぜあなたはポケモンの夢で技まで使える？</t>
    </r>
    <r>
      <rPr>
        <sz val="10"/>
        <rFont val="Arial"/>
        <family val="0"/>
        <charset val="1"/>
      </rPr>
      <t xml:space="preserve">REM</t>
    </r>
    <r>
      <rPr>
        <sz val="10"/>
        <rFont val="Noto Sans CJK SC"/>
        <family val="2"/>
      </rPr>
      <t xml:space="preserve">睡眠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分にある記憶の正体【ショート】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</si>
  <si>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#12</t>
    </r>
    <r>
      <rPr>
        <sz val="10"/>
        <rFont val="Noto Sans CJK SC"/>
        <family val="2"/>
      </rPr>
      <t xml:space="preserve">：👁️両面宿儺に隠された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つの秘密、君は古文書の正体を知ってる？【ショート】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</si>
  <si>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#108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SCP-6670</t>
    </r>
    <r>
      <rPr>
        <sz val="10"/>
        <rFont val="Noto Sans CJK SC"/>
        <family val="2"/>
      </rPr>
      <t xml:space="preserve">「完全な破滅」人類全員を消す報告書の恐怖【ショート】</t>
    </r>
  </si>
  <si>
    <t xml:space="preserve">2026-08-31</t>
  </si>
  <si>
    <r>
      <rPr>
        <sz val="10"/>
        <rFont val="Noto Sans CJK SC"/>
        <family val="2"/>
      </rPr>
      <t xml:space="preserve">なぜ</t>
    </r>
    <r>
      <rPr>
        <sz val="10"/>
        <rFont val="Arial"/>
        <family val="0"/>
        <charset val="1"/>
      </rPr>
      <t xml:space="preserve">PS</t>
    </r>
    <r>
      <rPr>
        <sz val="10"/>
        <rFont val="Noto Sans CJK SC"/>
        <family val="2"/>
      </rPr>
      <t xml:space="preserve">で一番いらないゲームが生まれるのか？ 博牛【ショート】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</si>
  <si>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#105</t>
    </r>
    <r>
      <rPr>
        <sz val="10"/>
        <rFont val="Noto Sans CJK SC"/>
        <family val="2"/>
      </rPr>
      <t xml:space="preserve">：💀</t>
    </r>
    <r>
      <rPr>
        <sz val="10"/>
        <rFont val="Arial"/>
        <family val="0"/>
        <charset val="1"/>
      </rPr>
      <t xml:space="preserve">SCP-239</t>
    </r>
    <r>
      <rPr>
        <sz val="10"/>
        <rFont val="Noto Sans CJK SC"/>
        <family val="2"/>
      </rPr>
      <t xml:space="preserve">「魔女の子供」眠る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歳を財団が恐れた収容記録😱【ショート】</t>
    </r>
  </si>
  <si>
    <t xml:space="preserve">2026-09-04</t>
  </si>
  <si>
    <r>
      <rPr>
        <sz val="10"/>
        <rFont val="Arial"/>
        <family val="0"/>
        <charset val="1"/>
      </rPr>
      <t xml:space="preserve">SCP-6121 </t>
    </r>
    <r>
      <rPr>
        <sz val="10"/>
        <rFont val="Noto Sans CJK SC"/>
        <family val="2"/>
      </rPr>
      <t xml:space="preserve">毎晩</t>
    </r>
    <r>
      <rPr>
        <sz val="10"/>
        <rFont val="Arial"/>
        <family val="0"/>
        <charset val="1"/>
      </rPr>
      <t xml:space="preserve">1cm</t>
    </r>
    <r>
      <rPr>
        <sz val="10"/>
        <rFont val="Noto Sans CJK SC"/>
        <family val="2"/>
      </rPr>
      <t xml:space="preserve">動く椅子、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日目に起きた異変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</si>
  <si>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#20</t>
    </r>
    <r>
      <rPr>
        <sz val="10"/>
        <rFont val="Noto Sans CJK SC"/>
        <family val="2"/>
      </rPr>
      <t xml:space="preserve">：👀</t>
    </r>
    <r>
      <rPr>
        <sz val="10"/>
        <rFont val="Arial"/>
        <family val="0"/>
        <charset val="1"/>
      </rPr>
      <t xml:space="preserve">GU</t>
    </r>
    <r>
      <rPr>
        <sz val="10"/>
        <rFont val="Noto Sans CJK SC"/>
        <family val="2"/>
      </rPr>
      <t xml:space="preserve">ポケモンコラボに隠された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つの秘密、ピカチュウだけじゃない理由は？❓【ショート】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</si>
  <si>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#18</t>
    </r>
    <r>
      <rPr>
        <sz val="10"/>
        <rFont val="Noto Sans CJK SC"/>
        <family val="2"/>
      </rPr>
      <t xml:space="preserve">：👁️エンマ大王に隠された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つの条件、あなたは本当に仲間にできる？【ショート】</t>
    </r>
  </si>
  <si>
    <r>
      <rPr>
        <sz val="10"/>
        <rFont val="Noto Sans CJK SC"/>
        <family val="2"/>
      </rPr>
      <t xml:space="preserve">動画作りに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万課金した男、なぜ昼飯が塩むすびになったのか？【ショート】</t>
    </r>
  </si>
  <si>
    <r>
      <rPr>
        <sz val="10"/>
        <rFont val="Noto Sans CJK SC"/>
        <family val="2"/>
      </rPr>
      <t xml:space="preserve">📉サイバーエージェントの年収</t>
    </r>
    <r>
      <rPr>
        <sz val="10"/>
        <rFont val="Arial"/>
        <family val="0"/>
        <charset val="1"/>
      </rPr>
      <t xml:space="preserve">773</t>
    </r>
    <r>
      <rPr>
        <sz val="10"/>
        <rFont val="Noto Sans CJK SC"/>
        <family val="2"/>
      </rPr>
      <t xml:space="preserve">万円、平均年齢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歳の本当は【ショート】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</si>
  <si>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#19</t>
    </r>
    <r>
      <rPr>
        <sz val="10"/>
        <rFont val="Noto Sans CJK SC"/>
        <family val="2"/>
      </rPr>
      <t xml:space="preserve">：👁️フユニャンに隠された秘密、あなたが知らない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つの元ネタとは？【ショート】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</si>
  <si>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#98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SCP-1048</t>
    </r>
    <r>
      <rPr>
        <sz val="10"/>
        <rFont val="Noto Sans CJK SC"/>
        <family val="2"/>
      </rPr>
      <t xml:space="preserve">「ビルダーベア」</t>
    </r>
    <r>
      <rPr>
        <sz val="10"/>
        <rFont val="Arial"/>
        <family val="0"/>
        <charset val="1"/>
      </rPr>
      <t xml:space="preserve">Safe</t>
    </r>
    <r>
      <rPr>
        <sz val="10"/>
        <rFont val="Noto Sans CJK SC"/>
        <family val="2"/>
      </rPr>
      <t xml:space="preserve">判定が招いた収容違反の恐怖😱【ショート】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</si>
  <si>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#13</t>
    </r>
    <r>
      <rPr>
        <sz val="10"/>
        <rFont val="Noto Sans CJK SC"/>
        <family val="2"/>
      </rPr>
      <t xml:space="preserve">：👀グリーンに隠された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つの秘密、あなたは本当の役割に気づいた？【ショート】</t>
    </r>
  </si>
  <si>
    <r>
      <rPr>
        <sz val="10"/>
        <rFont val="Arial"/>
        <family val="0"/>
        <charset val="1"/>
      </rPr>
      <t xml:space="preserve">SCP-███ </t>
    </r>
    <r>
      <rPr>
        <sz val="10"/>
        <rFont val="Noto Sans CJK SC"/>
        <family val="2"/>
      </rPr>
      <t xml:space="preserve">正体は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秒の無音録音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</si>
  <si>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Netflix</t>
    </r>
    <r>
      <rPr>
        <sz val="10"/>
        <rFont val="Noto Sans CJK SC"/>
        <family val="2"/>
      </rPr>
      <t xml:space="preserve">の月額</t>
    </r>
    <r>
      <rPr>
        <sz val="10"/>
        <rFont val="Arial"/>
        <family val="0"/>
        <charset val="1"/>
      </rPr>
      <t xml:space="preserve">1,590</t>
    </r>
    <r>
      <rPr>
        <sz val="10"/>
        <rFont val="Noto Sans CJK SC"/>
        <family val="2"/>
      </rPr>
      <t xml:space="preserve">円、本当はどこに消える？【ショート】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</si>
  <si>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#21</t>
    </r>
    <r>
      <rPr>
        <sz val="10"/>
        <rFont val="Noto Sans CJK SC"/>
        <family val="2"/>
      </rPr>
      <t xml:space="preserve">：👀カビゴンが道を塞ぐ理由に隠された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日の秘密、あなたは気づいた？🔍【ショート】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</si>
  <si>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#101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SCP-</t>
    </r>
    <r>
      <rPr>
        <sz val="10"/>
        <rFont val="Noto Sans CJK SC"/>
        <family val="2"/>
      </rPr>
      <t xml:space="preserve">雷撃記録、あなたの部屋まで届く落雷恐怖【ショート】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</si>
  <si>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#110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SCP-███</t>
    </r>
    <r>
      <rPr>
        <sz val="10"/>
        <rFont val="Noto Sans CJK SC"/>
        <family val="2"/>
      </rPr>
      <t xml:space="preserve">「投稿者の編集室」君の部屋にも現れる課金地獄の恐怖💀【ショート】</t>
    </r>
  </si>
  <si>
    <r>
      <rPr>
        <sz val="10"/>
        <rFont val="Noto Sans CJK SC"/>
        <family val="2"/>
      </rPr>
      <t xml:space="preserve">ふぶき姫の約束を破るとどうなる？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つの雪女記録【ショート】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</si>
  <si>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SCP-006-JP</t>
    </r>
    <r>
      <rPr>
        <sz val="10"/>
        <rFont val="Noto Sans CJK SC"/>
        <family val="2"/>
      </rPr>
      <t xml:space="preserve">「あけろ」ドアの向こうの記録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</si>
  <si>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なぜ調査員は</t>
    </r>
    <r>
      <rPr>
        <sz val="10"/>
        <rFont val="Arial"/>
        <family val="0"/>
        <charset val="1"/>
      </rPr>
      <t xml:space="preserve">SCP-1283-JP</t>
    </r>
    <r>
      <rPr>
        <sz val="10"/>
        <rFont val="Noto Sans CJK SC"/>
        <family val="2"/>
      </rPr>
      <t xml:space="preserve">の踏切のむこうで消えたのか？【ショート】</t>
    </r>
  </si>
  <si>
    <r>
      <rPr>
        <sz val="10"/>
        <rFont val="Noto Sans CJK SC"/>
        <family val="2"/>
      </rPr>
      <t xml:space="preserve">日本マクドナルドの年収</t>
    </r>
    <r>
      <rPr>
        <sz val="10"/>
        <rFont val="Arial"/>
        <family val="0"/>
        <charset val="1"/>
      </rPr>
      <t xml:space="preserve">576</t>
    </r>
    <r>
      <rPr>
        <sz val="10"/>
        <rFont val="Noto Sans CJK SC"/>
        <family val="2"/>
      </rPr>
      <t xml:space="preserve">万円、その内訳とは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</si>
  <si>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実は迷子続出？ドラゴンボールパークで何が起きたのか【ショート】</t>
  </si>
  <si>
    <r>
      <rPr>
        <sz val="10"/>
        <rFont val="Arial"/>
        <family val="0"/>
        <charset val="1"/>
      </rPr>
      <t xml:space="preserve">SCP-4335</t>
    </r>
    <r>
      <rPr>
        <sz val="10"/>
        <rFont val="Noto Sans CJK SC"/>
        <family val="2"/>
      </rPr>
      <t xml:space="preserve">を見た海域で、なぜ観測記録が途絶えたのか？【ショート】</t>
    </r>
  </si>
  <si>
    <r>
      <rPr>
        <sz val="10"/>
        <rFont val="Noto Sans CJK SC"/>
        <family val="2"/>
      </rPr>
      <t xml:space="preserve">🤣ワイ、大谷の昼飯を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秒で当てるスレ</t>
    </r>
    <r>
      <rPr>
        <sz val="10"/>
        <rFont val="Arial"/>
        <family val="0"/>
        <charset val="1"/>
      </rPr>
      <t xml:space="preserve">w🤣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</si>
  <si>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なぜ「死亡者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人」の日々で人々が消えたのか【</t>
    </r>
    <r>
      <rPr>
        <sz val="10"/>
        <rFont val="Arial"/>
        <family val="0"/>
        <charset val="1"/>
      </rPr>
      <t xml:space="preserve">SCP-3519</t>
    </r>
    <r>
      <rPr>
        <sz val="10"/>
        <rFont val="Noto Sans CJK SC"/>
        <family val="2"/>
      </rPr>
      <t xml:space="preserve">】【ショート】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</si>
  <si>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分ポケモン研究：ヌメルゴンとバンギラス、特防が高いのはどっち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</si>
  <si>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#106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MTF</t>
    </r>
    <r>
      <rPr>
        <sz val="10"/>
        <rFont val="Noto Sans CJK SC"/>
        <family val="2"/>
      </rPr>
      <t xml:space="preserve">アルファからオメガ、あなたの部屋にも来る財団極秘作戦の恐怖💀【ショート】</t>
    </r>
  </si>
  <si>
    <t xml:space="preserve">2026-09-01</t>
  </si>
  <si>
    <r>
      <rPr>
        <sz val="10"/>
        <rFont val="Arial"/>
        <family val="0"/>
        <charset val="1"/>
      </rPr>
      <t xml:space="preserve">SCP-1987 </t>
    </r>
    <r>
      <rPr>
        <sz val="10"/>
        <rFont val="Noto Sans CJK SC"/>
        <family val="2"/>
      </rPr>
      <t xml:space="preserve">なぜ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時間ごとに被害が増える？【ショート】</t>
    </r>
  </si>
  <si>
    <r>
      <rPr>
        <sz val="10"/>
        <rFont val="Noto Sans CJK SC"/>
        <family val="2"/>
      </rPr>
      <t xml:space="preserve">なぜ航路の先で記録が消えるのか？</t>
    </r>
    <r>
      <rPr>
        <sz val="10"/>
        <rFont val="Arial"/>
        <family val="0"/>
        <charset val="1"/>
      </rPr>
      <t xml:space="preserve">SCP-1783-JP</t>
    </r>
    <r>
      <rPr>
        <sz val="10"/>
        <rFont val="Noto Sans CJK SC"/>
        <family val="2"/>
      </rPr>
      <t xml:space="preserve">の本当の恐怖【ショート】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</si>
  <si>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#95</t>
    </r>
    <r>
      <rPr>
        <sz val="10"/>
        <rFont val="Noto Sans CJK SC"/>
        <family val="2"/>
      </rPr>
      <t xml:space="preserve">：🧪なぜ雷鳴の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秒前から体が固まるのか？あなたの脳に起きる反応の正体🧬【ショート】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</si>
  <si>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#19</t>
    </r>
    <r>
      <rPr>
        <sz val="10"/>
        <rFont val="Noto Sans CJK SC"/>
        <family val="2"/>
      </rPr>
      <t xml:space="preserve">：🕵️ケッキングに隠された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ターンの秘密、種族値</t>
    </r>
    <r>
      <rPr>
        <sz val="10"/>
        <rFont val="Arial"/>
        <family val="0"/>
        <charset val="1"/>
      </rPr>
      <t xml:space="preserve">670</t>
    </r>
    <r>
      <rPr>
        <sz val="10"/>
        <rFont val="Noto Sans CJK SC"/>
        <family val="2"/>
      </rPr>
      <t xml:space="preserve">なのになぜ使えない？【ショート】</t>
    </r>
  </si>
  <si>
    <r>
      <rPr>
        <sz val="10"/>
        <rFont val="Noto Sans CJK SC"/>
        <family val="2"/>
      </rPr>
      <t xml:space="preserve">🤣ワイ、落雷を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秒で見たんやが質問ある？</t>
    </r>
    <r>
      <rPr>
        <sz val="10"/>
        <rFont val="Arial"/>
        <family val="0"/>
        <charset val="1"/>
      </rPr>
      <t xml:space="preserve">w🍑</t>
    </r>
    <r>
      <rPr>
        <sz val="10"/>
        <rFont val="Noto Sans CJK SC"/>
        <family val="2"/>
      </rPr>
      <t xml:space="preserve">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</si>
  <si>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#15</t>
    </r>
    <r>
      <rPr>
        <sz val="10"/>
        <rFont val="Noto Sans CJK SC"/>
        <family val="2"/>
      </rPr>
      <t xml:space="preserve">：👀シャンデラに隠された秘密、なぜ霊タイプ？君が知らない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つの由来【ショート】</t>
    </r>
  </si>
  <si>
    <r>
      <rPr>
        <sz val="10"/>
        <rFont val="Noto Sans CJK SC"/>
        <family val="2"/>
      </rPr>
      <t xml:space="preserve">実はマックに神メニュー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品が決まらない本当の理由とは？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</si>
  <si>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実は家族に見られた通販履歴…一番言い訳できない理由は？【ショート】</t>
  </si>
  <si>
    <r>
      <rPr>
        <sz val="10"/>
        <rFont val="Arial"/>
        <family val="0"/>
        <charset val="1"/>
      </rPr>
      <t xml:space="preserve">SCP-███ </t>
    </r>
    <r>
      <rPr>
        <sz val="10"/>
        <rFont val="Noto Sans CJK SC"/>
        <family val="2"/>
      </rPr>
      <t xml:space="preserve">なぜ扉に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枚目の札がある？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</si>
  <si>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分科学：なぜ蚊に刺された場所は数分後から痒くなるのか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</si>
  <si>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分妖怪ファイル：キュウビの元ネタ玉藻前、殺生石になった結末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</si>
  <si>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歩き方を意識した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秒で迷う正体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</si>
  <si>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ピカチュウは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なのになぜ看板？【ショート】</t>
    </r>
  </si>
  <si>
    <r>
      <rPr>
        <sz val="10"/>
        <rFont val="Noto Sans CJK SC"/>
        <family val="2"/>
      </rPr>
      <t xml:space="preserve">💦ワイ、夫が寝た後の秘密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つあげてけ</t>
    </r>
    <r>
      <rPr>
        <sz val="10"/>
        <rFont val="Arial"/>
        <family val="0"/>
        <charset val="1"/>
      </rPr>
      <t xml:space="preserve">w🤣</t>
    </r>
    <r>
      <rPr>
        <sz val="10"/>
        <rFont val="Noto Sans CJK SC"/>
        <family val="2"/>
      </rPr>
      <t xml:space="preserve">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</si>
  <si>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#94</t>
    </r>
    <r>
      <rPr>
        <sz val="10"/>
        <rFont val="Noto Sans CJK SC"/>
        <family val="2"/>
      </rPr>
      <t xml:space="preserve">：🧬なぜ甘い物のあと塩気が欲しい？あなたの舌で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分起きる感度の正体【ショート】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</si>
  <si>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#17</t>
    </r>
    <r>
      <rPr>
        <sz val="10"/>
        <rFont val="Noto Sans CJK SC"/>
        <family val="2"/>
      </rPr>
      <t xml:space="preserve">：👀ミュウツーに隠された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手先の秘密、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はなぜ交代を読める？【ショート】</t>
    </r>
  </si>
  <si>
    <r>
      <rPr>
        <sz val="10"/>
        <rFont val="Noto Sans CJK SC"/>
        <family val="2"/>
      </rPr>
      <t xml:space="preserve">🤯ワイ、友達の家でヤバい物を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個見たんやが</t>
    </r>
    <r>
      <rPr>
        <sz val="10"/>
        <rFont val="Arial"/>
        <family val="0"/>
        <charset val="1"/>
      </rPr>
      <t xml:space="preserve">w🤯</t>
    </r>
    <r>
      <rPr>
        <sz val="10"/>
        <rFont val="Noto Sans CJK SC"/>
        <family val="2"/>
      </rPr>
      <t xml:space="preserve">【ショート】</t>
    </r>
  </si>
  <si>
    <r>
      <rPr>
        <sz val="10"/>
        <rFont val="Arial"/>
        <family val="0"/>
        <charset val="1"/>
      </rPr>
      <t xml:space="preserve">SCP-093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色記録 なぜ戻れた？【ショート】</t>
    </r>
  </si>
  <si>
    <r>
      <rPr>
        <sz val="10"/>
        <rFont val="Noto Sans CJK SC"/>
        <family val="2"/>
      </rPr>
      <t xml:space="preserve">なぜ座ると腰だけ痛い？圧力</t>
    </r>
    <r>
      <rPr>
        <sz val="10"/>
        <rFont val="Arial"/>
        <family val="0"/>
        <charset val="1"/>
      </rPr>
      <t xml:space="preserve">1.4</t>
    </r>
    <r>
      <rPr>
        <sz val="10"/>
        <rFont val="Noto Sans CJK SC"/>
        <family val="2"/>
      </rPr>
      <t xml:space="preserve">倍【ショート】</t>
    </r>
  </si>
  <si>
    <r>
      <rPr>
        <sz val="10"/>
        <rFont val="Noto Sans CJK SC"/>
        <family val="2"/>
      </rPr>
      <t xml:space="preserve">君が知らないシェイミ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形態の正体</t>
    </r>
    <r>
      <rPr>
        <sz val="10"/>
        <rFont val="Arial"/>
        <family val="0"/>
        <charset val="1"/>
      </rPr>
      <t xml:space="preserve">127 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</si>
  <si>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#14</t>
    </r>
    <r>
      <rPr>
        <sz val="10"/>
        <rFont val="Noto Sans CJK SC"/>
        <family val="2"/>
      </rPr>
      <t xml:space="preserve">：👀ロケット団に隠された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つの秘密、あなたは本当の目的を知ってる？【ショート】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</si>
  <si>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#97</t>
    </r>
    <r>
      <rPr>
        <sz val="10"/>
        <rFont val="Noto Sans CJK SC"/>
        <family val="2"/>
      </rPr>
      <t xml:space="preserve">：🧬なぜ大谷翔平は睡眠を最優先するのか？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時間超が支える体の正体【ショート】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</si>
  <si>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#102</t>
    </r>
    <r>
      <rPr>
        <sz val="10"/>
        <rFont val="Noto Sans CJK SC"/>
        <family val="2"/>
      </rPr>
      <t xml:space="preserve">：🌍なぜ寝起きの口だけネバつくのか？あなたの唾液が眠る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時間の正体【ショート】</t>
    </r>
  </si>
  <si>
    <r>
      <rPr>
        <sz val="10"/>
        <rFont val="Noto Sans CJK SC"/>
        <family val="2"/>
      </rPr>
      <t xml:space="preserve">彼女の家で開けたらアカン引き出し開けたんやが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</si>
  <si>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#99</t>
    </r>
    <r>
      <rPr>
        <sz val="10"/>
        <rFont val="Noto Sans CJK SC"/>
        <family val="2"/>
      </rPr>
      <t xml:space="preserve">：🧪なぜ濡れた紙は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倍も破れやすい？あなたが毎日触る繊維の正体【ショート】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</si>
  <si>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#93</t>
    </r>
    <r>
      <rPr>
        <sz val="10"/>
        <rFont val="Noto Sans CJK SC"/>
        <family val="2"/>
      </rPr>
      <t xml:space="preserve">：🔍なぜ満月の夜だけ夢を覚えている？月齢</t>
    </r>
    <r>
      <rPr>
        <sz val="10"/>
        <rFont val="Arial"/>
        <family val="0"/>
        <charset val="1"/>
      </rPr>
      <t xml:space="preserve">29.5</t>
    </r>
    <r>
      <rPr>
        <sz val="10"/>
        <rFont val="Noto Sans CJK SC"/>
        <family val="2"/>
      </rPr>
      <t xml:space="preserve">日に隠れた睡眠の正体【ショート】</t>
    </r>
  </si>
  <si>
    <r>
      <rPr>
        <sz val="10"/>
        <rFont val="Noto Sans CJK SC"/>
        <family val="2"/>
      </rPr>
      <t xml:space="preserve">犬神憑きはなぜ家系ごと記録されたのか 恒一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</si>
  <si>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#109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SCP-2480</t>
    </r>
    <r>
      <rPr>
        <sz val="10"/>
        <rFont val="Noto Sans CJK SC"/>
        <family val="2"/>
      </rPr>
      <t xml:space="preserve">「未完の儀式」記録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名だけが残った収容不能の恐怖【ショート】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</si>
  <si>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#13</t>
    </r>
    <r>
      <rPr>
        <sz val="10"/>
        <rFont val="Noto Sans CJK SC"/>
        <family val="2"/>
      </rPr>
      <t xml:space="preserve">：👁️妖怪ウォッチ元祖に隠された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つの秘密、あなたは名前の意味に気づいた？【ショート】</t>
    </r>
  </si>
  <si>
    <r>
      <rPr>
        <sz val="10"/>
        <rFont val="Noto Sans CJK SC"/>
        <family val="2"/>
      </rPr>
      <t xml:space="preserve">実は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秒で全生命が死んだ地球、その本当の理由はなぜ？【ショート】</t>
    </r>
  </si>
  <si>
    <r>
      <rPr>
        <sz val="10"/>
        <rFont val="Noto Sans CJK SC"/>
        <family val="2"/>
      </rPr>
      <t xml:space="preserve">エースバーンのリベロ、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試合でしか変われない</t>
    </r>
    <r>
      <rPr>
        <sz val="10"/>
        <rFont val="Arial"/>
        <family val="0"/>
        <charset val="1"/>
      </rPr>
      <t xml:space="preserve">!? 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</si>
  <si>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#16</t>
    </r>
    <r>
      <rPr>
        <sz val="10"/>
        <rFont val="Noto Sans CJK SC"/>
        <family val="2"/>
      </rPr>
      <t xml:space="preserve">：👁️妖怪ウォッチに隠された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つの秘密、大谷翔平と妖怪伝説の関係は？【ショート】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</si>
  <si>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#22</t>
    </r>
    <r>
      <rPr>
        <sz val="10"/>
        <rFont val="Noto Sans CJK SC"/>
        <family val="2"/>
      </rPr>
      <t xml:space="preserve">：😨ラプラスに隠された秘密、図鑑の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文で人間側がヤバい？【ショート】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</si>
  <si>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#20</t>
    </r>
    <r>
      <rPr>
        <sz val="10"/>
        <rFont val="Noto Sans CJK SC"/>
        <family val="2"/>
      </rPr>
      <t xml:space="preserve">：🔍スネイキーに隠された秘密、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段階進化の元ネタは蛇神だった？👁️【ショート】</t>
    </r>
  </si>
  <si>
    <r>
      <rPr>
        <sz val="10"/>
        <rFont val="Noto Sans CJK SC"/>
        <family val="2"/>
      </rPr>
      <t xml:space="preserve">太陽系の番人</t>
    </r>
    <r>
      <rPr>
        <sz val="10"/>
        <rFont val="Arial"/>
        <family val="0"/>
        <charset val="1"/>
      </rPr>
      <t xml:space="preserve">SCP-179</t>
    </r>
    <r>
      <rPr>
        <sz val="10"/>
        <rFont val="Noto Sans CJK SC"/>
        <family val="2"/>
      </rPr>
      <t xml:space="preserve">が沈黙を恐れる理由【ショート】</t>
    </r>
  </si>
  <si>
    <r>
      <rPr>
        <sz val="10"/>
        <rFont val="Noto Sans CJK SC"/>
        <family val="2"/>
      </rPr>
      <t xml:space="preserve">小豆洗いの正体 </t>
    </r>
    <r>
      <rPr>
        <sz val="10"/>
        <rFont val="Arial"/>
        <family val="0"/>
        <charset val="1"/>
      </rPr>
      <t xml:space="preserve">127</t>
    </r>
    <r>
      <rPr>
        <sz val="10"/>
        <rFont val="Noto Sans CJK SC"/>
        <family val="2"/>
      </rPr>
      <t xml:space="preserve">年の川音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</si>
  <si>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#18</t>
    </r>
    <r>
      <rPr>
        <sz val="10"/>
        <rFont val="Noto Sans CJK SC"/>
        <family val="2"/>
      </rPr>
      <t xml:space="preserve">：👀ポケモンタワーに隠された秘密、あなたが見落とす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つの違和感は？👀【ショート】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</si>
  <si>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#17</t>
    </r>
    <r>
      <rPr>
        <sz val="10"/>
        <rFont val="Noto Sans CJK SC"/>
        <family val="2"/>
      </rPr>
      <t xml:space="preserve">：❓妖怪ウォッチの将門伝説に隠された秘密、あなたが知らない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つの異変？🔍【ショート】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</si>
  <si>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#14</t>
    </r>
    <r>
      <rPr>
        <sz val="10"/>
        <rFont val="Noto Sans CJK SC"/>
        <family val="2"/>
      </rPr>
      <t xml:space="preserve">：❓コマさんとコマじろうの秘密、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体で狛犬になる本当の理由は？【ショート】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</si>
  <si>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#107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SCP-4885</t>
    </r>
    <r>
      <rPr>
        <sz val="10"/>
        <rFont val="Noto Sans CJK SC"/>
        <family val="2"/>
      </rPr>
      <t xml:space="preserve">「ジョン・ウィルクス・ブース」写真を見るあなたへ迫る恐怖【ショート】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</si>
  <si>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#101</t>
    </r>
    <r>
      <rPr>
        <sz val="10"/>
        <rFont val="Noto Sans CJK SC"/>
        <family val="2"/>
      </rPr>
      <t xml:space="preserve">：🧪なぜ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時間テレビを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時間見ると寝つきが変わる？あなたの夢に残る映像の正体【ショート】</t>
    </r>
  </si>
  <si>
    <r>
      <rPr>
        <sz val="10"/>
        <rFont val="Noto Sans CJK SC"/>
        <family val="2"/>
      </rPr>
      <t xml:space="preserve">正体を大人が知る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秒の言葉あげてけ</t>
    </r>
    <r>
      <rPr>
        <sz val="10"/>
        <rFont val="Arial"/>
        <family val="0"/>
        <charset val="1"/>
      </rPr>
      <t xml:space="preserve">w😂 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</si>
  <si>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黙読中の喉、なぜ声なしで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秒だけ動く？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</si>
  <si>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2026-09-05</t>
  </si>
  <si>
    <r>
      <rPr>
        <sz val="10"/>
        <rFont val="Noto Sans CJK SC"/>
        <family val="2"/>
      </rPr>
      <t xml:space="preserve">💦ワイ、同棲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年目やけど質問ある？💦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</si>
  <si>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Arial"/>
        <family val="0"/>
        <charset val="1"/>
      </rPr>
      <t xml:space="preserve">SCP-2140 </t>
    </r>
    <r>
      <rPr>
        <sz val="10"/>
        <rFont val="Noto Sans CJK SC"/>
        <family val="2"/>
      </rPr>
      <t xml:space="preserve">閲覧後、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人の職員記録が別人に置換された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</si>
  <si>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なぜあなたは階段で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段だけ外すのか？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</si>
  <si>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2026-09-06</t>
  </si>
  <si>
    <r>
      <rPr>
        <sz val="10"/>
        <rFont val="Noto Sans CJK SC"/>
        <family val="2"/>
      </rPr>
      <t xml:space="preserve">なぜ妖怪は山を下り里に現れるようになったのか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</si>
  <si>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トヨタ</t>
    </r>
    <r>
      <rPr>
        <sz val="10"/>
        <rFont val="Arial"/>
        <family val="0"/>
        <charset val="1"/>
      </rPr>
      <t xml:space="preserve">895</t>
    </r>
    <r>
      <rPr>
        <sz val="10"/>
        <rFont val="Noto Sans CJK SC"/>
        <family val="2"/>
      </rPr>
      <t xml:space="preserve">万円の実態、ルーミー人気を支える社員の本音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</si>
  <si>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キュウビが日本へ渡った理由、知ってる？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</si>
  <si>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Arial"/>
        <family val="0"/>
        <charset val="1"/>
      </rPr>
      <t xml:space="preserve">SCP</t>
    </r>
    <r>
      <rPr>
        <sz val="10"/>
        <rFont val="Noto Sans CJK SC"/>
        <family val="2"/>
      </rPr>
      <t xml:space="preserve">記録係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名が最後に揃って書いた</t>
    </r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字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</si>
  <si>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東京エレクトロンの年収</t>
    </r>
    <r>
      <rPr>
        <sz val="10"/>
        <rFont val="Arial"/>
        <family val="0"/>
        <charset val="1"/>
      </rPr>
      <t xml:space="preserve">1272</t>
    </r>
    <r>
      <rPr>
        <sz val="10"/>
        <rFont val="Noto Sans CJK SC"/>
        <family val="2"/>
      </rPr>
      <t xml:space="preserve">万円、実は株価上昇の裏側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</si>
  <si>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ハピナス</t>
    </r>
    <r>
      <rPr>
        <sz val="10"/>
        <rFont val="Arial"/>
        <family val="0"/>
        <charset val="1"/>
      </rPr>
      <t xml:space="preserve">HP255</t>
    </r>
    <r>
      <rPr>
        <sz val="10"/>
        <rFont val="Noto Sans CJK SC"/>
        <family val="2"/>
      </rPr>
      <t xml:space="preserve">・特防なのに防御衝撃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</si>
  <si>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雪女が去り際に名を呼ぶ理由…約束を破った男の末路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</si>
  <si>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ポケモンセンターが治療費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円で成り立つ理由がヤバい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</si>
  <si>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なぜ親は無言で机を閉めたのか…見つかって終わった物とは？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</si>
  <si>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秒で凍結何言った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</si>
  <si>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星野リゾートの推定年収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万円、業界平均と比べると？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</si>
  <si>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ワイ、保健体育歴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年やけど質問ある？</t>
    </r>
    <r>
      <rPr>
        <sz val="10"/>
        <rFont val="Arial"/>
        <family val="0"/>
        <charset val="1"/>
      </rPr>
      <t xml:space="preserve">w💦 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</si>
  <si>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君のサンダースだけ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個必要だった時代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</si>
  <si>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東京エレクトロンの年収</t>
    </r>
    <r>
      <rPr>
        <sz val="10"/>
        <rFont val="Arial"/>
        <family val="0"/>
        <charset val="1"/>
      </rPr>
      <t xml:space="preserve">1272</t>
    </r>
    <r>
      <rPr>
        <sz val="10"/>
        <rFont val="Noto Sans CJK SC"/>
        <family val="2"/>
      </rPr>
      <t xml:space="preserve">万円、実は転職後に差が出る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</si>
  <si>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小豆洗い、姿を消して「音」だけ残った土地の記録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</si>
  <si>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🤣ワイ健康診断歴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年やけど正体ある</t>
    </r>
    <r>
      <rPr>
        <sz val="10"/>
        <rFont val="Arial"/>
        <family val="0"/>
        <charset val="1"/>
      </rPr>
      <t xml:space="preserve">w🍑 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</si>
  <si>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百目なのに一つ目？江戸の絵に隠された不気味な変化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</si>
  <si>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実は暗い部屋で音に敏感になるのは、耳が目の代わりをするから？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</si>
  <si>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じんめん犬はなぜ笑い話になった？消えた恐怖の噂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</si>
  <si>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未来の時刻誰が映る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</si>
  <si>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ドードリオの首が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つに増えた理由、種族値に出てた説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</si>
  <si>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鏡の顔だけ違う？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が知らない左右差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</si>
  <si>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あなたの耳が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秒で抜ける正体は？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</si>
  <si>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Arial"/>
        <family val="0"/>
        <charset val="1"/>
      </rPr>
      <t xml:space="preserve">SCP-096</t>
    </r>
    <r>
      <rPr>
        <sz val="10"/>
        <rFont val="Noto Sans CJK SC"/>
        <family val="2"/>
      </rPr>
      <t xml:space="preserve">の顔を見た者に起きた記録消失の真相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</si>
  <si>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航空自衛隊千歳の正体、年収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万円台の実態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</si>
  <si>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Arial"/>
        <family val="0"/>
        <charset val="1"/>
      </rPr>
      <t xml:space="preserve">SCP-5800 </t>
    </r>
    <r>
      <rPr>
        <sz val="10"/>
        <rFont val="Noto Sans CJK SC"/>
        <family val="2"/>
      </rPr>
      <t xml:space="preserve">職員証だけが戻った未解決ファイル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</si>
  <si>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泳いでいる脳が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秒ごとに息継ぎを気にするワケ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</si>
  <si>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あなたの字が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秒で別物に見える？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</si>
  <si>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キーエンス年収</t>
    </r>
    <r>
      <rPr>
        <sz val="10"/>
        <rFont val="Arial"/>
        <family val="0"/>
        <charset val="1"/>
      </rPr>
      <t xml:space="preserve">2067</t>
    </r>
    <r>
      <rPr>
        <sz val="10"/>
        <rFont val="Noto Sans CJK SC"/>
        <family val="2"/>
      </rPr>
      <t xml:space="preserve">万円の内訳、残業</t>
    </r>
    <r>
      <rPr>
        <sz val="10"/>
        <rFont val="Arial"/>
        <family val="0"/>
        <charset val="1"/>
      </rPr>
      <t xml:space="preserve">37.7</t>
    </r>
    <r>
      <rPr>
        <sz val="10"/>
        <rFont val="Noto Sans CJK SC"/>
        <family val="2"/>
      </rPr>
      <t xml:space="preserve">時間と評価制度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</si>
  <si>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秒でわかる？ポリゴンがテレビから消えた本当の理由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</si>
  <si>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初代図鑑にだけけつばんが現れた本当の理由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</si>
  <si>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Arial"/>
        <family val="0"/>
        <charset val="1"/>
      </rPr>
      <t xml:space="preserve">SCP-███ </t>
    </r>
    <r>
      <rPr>
        <sz val="10"/>
        <rFont val="Noto Sans CJK SC"/>
        <family val="2"/>
      </rPr>
      <t xml:space="preserve">持ち出した報告書が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日後に戻った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</si>
  <si>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御三家の相性が三すくみになったワケ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</si>
  <si>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伊藤忠商事の平均</t>
    </r>
    <r>
      <rPr>
        <sz val="10"/>
        <rFont val="Arial"/>
        <family val="0"/>
        <charset val="1"/>
      </rPr>
      <t xml:space="preserve">1753</t>
    </r>
    <r>
      <rPr>
        <sz val="10"/>
        <rFont val="Noto Sans CJK SC"/>
        <family val="2"/>
      </rPr>
      <t xml:space="preserve">万円、朝型勤務の実態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</si>
  <si>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なぜ非常灯が消えた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秒に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人目の足音がしたのか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</si>
  <si>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なぜ友達の風呂で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回もやらかしたのか？ｗ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</si>
  <si>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Arial"/>
        <family val="0"/>
        <charset val="1"/>
      </rPr>
      <t xml:space="preserve">SCP-2006 </t>
    </r>
    <r>
      <rPr>
        <sz val="10"/>
        <rFont val="Noto Sans CJK SC"/>
        <family val="2"/>
      </rPr>
      <t xml:space="preserve">笑い声を聞いた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名に起きた異変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</si>
  <si>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回目の店謎の予約名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</si>
  <si>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なぜ壁のシミが顔に見える？</t>
    </r>
    <r>
      <rPr>
        <sz val="10"/>
        <rFont val="Arial"/>
        <family val="0"/>
        <charset val="1"/>
      </rPr>
      <t xml:space="preserve">0.1</t>
    </r>
    <r>
      <rPr>
        <sz val="10"/>
        <rFont val="Noto Sans CJK SC"/>
        <family val="2"/>
      </rPr>
      <t xml:space="preserve">秒の正体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</si>
  <si>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雪夜に顔を隠す白粉婆…雪女とは違う恐ろしさ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</si>
  <si>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口裂け女の噂はなぜ全国へ？名前を呼べない本当の理由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</si>
  <si>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b val="true"/>
        <sz val="14"/>
        <color rgb="FF1F3864"/>
        <rFont val="Noto Sans CJK SC"/>
        <family val="2"/>
      </rPr>
      <t xml:space="preserve">改善アクション（</t>
    </r>
    <r>
      <rPr>
        <b val="true"/>
        <sz val="14"/>
        <color rgb="FF1F3864"/>
        <rFont val="Arial"/>
        <family val="0"/>
        <charset val="1"/>
      </rPr>
      <t xml:space="preserve">2026-09-07 </t>
    </r>
    <r>
      <rPr>
        <b val="true"/>
        <sz val="14"/>
        <color rgb="FF1F3864"/>
        <rFont val="Noto Sans CJK SC"/>
        <family val="2"/>
      </rPr>
      <t xml:space="preserve">実施分）</t>
    </r>
  </si>
  <si>
    <r>
      <rPr>
        <i val="true"/>
        <sz val="9"/>
        <color rgb="FF606060"/>
        <rFont val="Noto Sans CJK SC"/>
        <family val="2"/>
      </rPr>
      <t xml:space="preserve">すべて本日この場で実装・反映済み。提案のみの項目は含まない。ロールバックは </t>
    </r>
    <r>
      <rPr>
        <i val="true"/>
        <sz val="9"/>
        <color rgb="FF606060"/>
        <rFont val="Arial"/>
        <family val="0"/>
        <charset val="1"/>
      </rPr>
      <t xml:space="preserve">data/channels/*.json.bak_pdca_20260907_orch </t>
    </r>
    <r>
      <rPr>
        <i val="true"/>
        <sz val="9"/>
        <color rgb="FF606060"/>
        <rFont val="Noto Sans CJK SC"/>
        <family val="2"/>
      </rPr>
      <t xml:space="preserve">から。</t>
    </r>
  </si>
  <si>
    <t xml:space="preserve">対象</t>
  </si>
  <si>
    <r>
      <rPr>
        <b val="true"/>
        <sz val="11"/>
        <color rgb="FFFFFFFF"/>
        <rFont val="Noto Sans CJK SC"/>
        <family val="2"/>
      </rPr>
      <t xml:space="preserve">変更したファイル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項目</t>
    </r>
  </si>
  <si>
    <t xml:space="preserve">変更内容</t>
  </si>
  <si>
    <t xml:space="preserve">根拠となる実測値</t>
  </si>
  <si>
    <t xml:space="preserve">状態</t>
  </si>
  <si>
    <t xml:space="preserve">検証方法</t>
  </si>
  <si>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6ch</t>
    </r>
  </si>
  <si>
    <t xml:space="preserve">data/channels/*.json
title_rules.hard_constraints</t>
  </si>
  <si>
    <r>
      <rPr>
        <sz val="10"/>
        <rFont val="Noto Sans CJK SC"/>
        <family val="2"/>
      </rPr>
      <t xml:space="preserve">タイトルの機械ゲートを有効化（</t>
    </r>
    <r>
      <rPr>
        <sz val="10"/>
        <rFont val="Arial"/>
        <family val="0"/>
        <charset val="1"/>
      </rPr>
      <t xml:space="preserve">enforced_by_backend=true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2ch-matome / yokai-watch </t>
    </r>
    <r>
      <rPr>
        <sz val="10"/>
        <rFont val="Noto Sans CJK SC"/>
        <family val="2"/>
      </rPr>
      <t xml:space="preserve">は数字を全面禁止、</t>
    </r>
    <r>
      <rPr>
        <sz val="10"/>
        <rFont val="Arial"/>
        <family val="0"/>
        <charset val="1"/>
      </rPr>
      <t xml:space="preserve">daily-science / scp-lab / pokemon-lab / company-facts </t>
    </r>
    <r>
      <rPr>
        <sz val="10"/>
        <rFont val="Noto Sans CJK SC"/>
        <family val="2"/>
      </rPr>
      <t xml:space="preserve">は数字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個までに制限。</t>
    </r>
  </si>
  <si>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内対照で 再生</t>
    </r>
    <r>
      <rPr>
        <sz val="10"/>
        <rFont val="Arial"/>
        <family val="0"/>
        <charset val="1"/>
      </rPr>
      <t xml:space="preserve">0.60</t>
    </r>
    <r>
      <rPr>
        <sz val="10"/>
        <rFont val="Noto Sans CJK SC"/>
        <family val="2"/>
      </rPr>
      <t xml:space="preserve">倍・登録</t>
    </r>
    <r>
      <rPr>
        <sz val="10"/>
        <rFont val="Arial"/>
        <family val="0"/>
        <charset val="1"/>
      </rPr>
      <t xml:space="preserve">0.43</t>
    </r>
    <r>
      <rPr>
        <sz val="10"/>
        <rFont val="Noto Sans CJK SC"/>
        <family val="2"/>
      </rPr>
      <t xml:space="preserve">倍（</t>
    </r>
    <r>
      <rPr>
        <sz val="10"/>
        <rFont val="Arial"/>
        <family val="0"/>
        <charset val="1"/>
      </rPr>
      <t xml:space="preserve">3ch</t>
    </r>
    <r>
      <rPr>
        <sz val="10"/>
        <rFont val="Noto Sans CJK SC"/>
        <family val="2"/>
      </rPr>
      <t xml:space="preserve">同方向）</t>
    </r>
  </si>
  <si>
    <t xml:space="preserve">反映済</t>
  </si>
  <si>
    <r>
      <rPr>
        <sz val="10"/>
        <rFont val="Noto Sans CJK SC"/>
        <family val="2"/>
      </rPr>
      <t xml:space="preserve">数字なし回と数字あり回の登録転換率を</t>
    </r>
    <r>
      <rPr>
        <sz val="10"/>
        <rFont val="Arial"/>
        <family val="0"/>
        <charset val="1"/>
      </rPr>
      <t xml:space="preserve">09-10</t>
    </r>
    <r>
      <rPr>
        <sz val="10"/>
        <rFont val="Noto Sans CJK SC"/>
        <family val="2"/>
      </rPr>
      <t xml:space="preserve">以降のコホートで比較する。</t>
    </r>
  </si>
  <si>
    <t xml:space="preserve">data/channels/*.json
short_format.structure[1]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</si>
  <si>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行目を「相槌のみ・解説は始めない」から「リアクション＋新情報（数字か固有名詞）を同じ行に」へ変更。専門用語の初出を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行目に置くことを禁止。</t>
    </r>
  </si>
  <si>
    <r>
      <rPr>
        <sz val="10"/>
        <rFont val="Noto Sans CJK SC"/>
        <family val="2"/>
      </rPr>
      <t xml:space="preserve">離脱の最大点が再生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22%</t>
    </r>
    <r>
      <rPr>
        <sz val="10"/>
        <rFont val="Noto Sans CJK SC"/>
        <family val="2"/>
      </rPr>
      <t xml:space="preserve">地点に全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共通で集中（</t>
    </r>
    <r>
      <rPr>
        <sz val="10"/>
        <rFont val="Arial"/>
        <family val="0"/>
        <charset val="1"/>
      </rPr>
      <t xml:space="preserve">early 1.77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2.69% vs intro 0.27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1.48%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</si>
  <si>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retention_curve 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0.13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0.22 </t>
    </r>
    <r>
      <rPr>
        <sz val="10"/>
        <rFont val="Noto Sans CJK SC"/>
        <family val="2"/>
      </rPr>
      <t xml:space="preserve">区間のドロップ幅が浅くなるかを</t>
    </r>
    <r>
      <rPr>
        <sz val="10"/>
        <rFont val="Arial"/>
        <family val="0"/>
        <charset val="1"/>
      </rPr>
      <t xml:space="preserve">09-10</t>
    </r>
    <r>
      <rPr>
        <sz val="10"/>
        <rFont val="Noto Sans CJK SC"/>
        <family val="2"/>
      </rPr>
      <t xml:space="preserve">以降に確認する。</t>
    </r>
  </si>
  <si>
    <t xml:space="preserve">pokemon-lab
yokai-watch</t>
  </si>
  <si>
    <t xml:space="preserve">data/channels/*.json
autopilot.schedule.times</t>
  </si>
  <si>
    <r>
      <rPr>
        <sz val="10"/>
        <rFont val="Arial"/>
        <family val="0"/>
        <charset val="1"/>
      </rPr>
      <t xml:space="preserve">pokemon-lab 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時枠を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時へ、</t>
    </r>
    <r>
      <rPr>
        <sz val="10"/>
        <rFont val="Arial"/>
        <family val="0"/>
        <charset val="1"/>
      </rPr>
      <t xml:space="preserve">yokai-watch 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時枠を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時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分へ移設。同一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内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分の連投ガードを満たす位置を選定。</t>
    </r>
  </si>
  <si>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590</t>
    </r>
    <r>
      <rPr>
        <sz val="10"/>
        <rFont val="Noto Sans CJK SC"/>
        <family val="2"/>
      </rPr>
      <t xml:space="preserve">回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登録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226</t>
    </r>
    <r>
      <rPr>
        <sz val="10"/>
        <rFont val="Noto Sans CJK SC"/>
        <family val="2"/>
      </rPr>
      <t xml:space="preserve">回</t>
    </r>
    <r>
      <rPr>
        <sz val="10"/>
        <rFont val="Arial"/>
        <family val="0"/>
        <charset val="1"/>
      </rPr>
      <t xml:space="preserve">/1.11 </t>
    </r>
    <r>
      <rPr>
        <sz val="10"/>
        <rFont val="Noto Sans CJK SC"/>
        <family val="2"/>
      </rPr>
      <t xml:space="preserve">に対し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962/5.50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821/3.56</t>
    </r>
  </si>
  <si>
    <t xml:space="preserve">要再起動</t>
  </si>
  <si>
    <r>
      <rPr>
        <sz val="10"/>
        <rFont val="Arial"/>
        <family val="0"/>
        <charset val="1"/>
      </rPr>
      <t xml:space="preserve">restart_and_trigger_20260907.command </t>
    </r>
    <r>
      <rPr>
        <sz val="10"/>
        <rFont val="Noto Sans CJK SC"/>
        <family val="2"/>
      </rPr>
      <t xml:space="preserve">を実行して </t>
    </r>
    <r>
      <rPr>
        <sz val="10"/>
        <rFont val="Arial"/>
        <family val="0"/>
        <charset val="1"/>
      </rPr>
      <t xml:space="preserve">APScheduler </t>
    </r>
    <r>
      <rPr>
        <sz val="10"/>
        <rFont val="Noto Sans CJK SC"/>
        <family val="2"/>
      </rPr>
      <t xml:space="preserve">へ再登録する。</t>
    </r>
  </si>
  <si>
    <t xml:space="preserve">data/channels/yokai-watch.json
hard_constraints.forbid_patterns</t>
  </si>
  <si>
    <r>
      <rPr>
        <sz val="10"/>
        <rFont val="Noto Sans CJK SC"/>
        <family val="2"/>
      </rPr>
      <t xml:space="preserve">末尾の疑問符を機械ゲートで禁止（当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のみ）。</t>
    </r>
  </si>
  <si>
    <r>
      <rPr>
        <sz val="10"/>
        <rFont val="Noto Sans CJK SC"/>
        <family val="2"/>
      </rPr>
      <t xml:space="preserve">当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のみ疑問形の登録転換が</t>
    </r>
    <r>
      <rPr>
        <sz val="10"/>
        <rFont val="Arial"/>
        <family val="0"/>
        <charset val="1"/>
      </rPr>
      <t xml:space="preserve">0.07</t>
    </r>
    <r>
      <rPr>
        <sz val="10"/>
        <rFont val="Noto Sans CJK SC"/>
        <family val="2"/>
      </rPr>
      <t xml:space="preserve">倍。他</t>
    </r>
    <r>
      <rPr>
        <sz val="10"/>
        <rFont val="Arial"/>
        <family val="0"/>
        <charset val="1"/>
      </rPr>
      <t xml:space="preserve">5ch</t>
    </r>
    <r>
      <rPr>
        <sz val="10"/>
        <rFont val="Noto Sans CJK SC"/>
        <family val="2"/>
      </rPr>
      <t xml:space="preserve">では</t>
    </r>
    <r>
      <rPr>
        <sz val="10"/>
        <rFont val="Arial"/>
        <family val="0"/>
        <charset val="1"/>
      </rPr>
      <t xml:space="preserve">1.05</t>
    </r>
    <r>
      <rPr>
        <sz val="10"/>
        <rFont val="Noto Sans CJK SC"/>
        <family val="2"/>
      </rPr>
      <t xml:space="preserve">倍前後で悪影響がないため、全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一律の禁止は解除した。</t>
    </r>
  </si>
  <si>
    <t xml:space="preserve">断定形タイトルの登録転換率が疑問形を上回るかを確認する。</t>
  </si>
  <si>
    <t xml:space="preserve">backend</t>
  </si>
  <si>
    <t xml:space="preserve">backend/pipeline/title_constraints.py</t>
  </si>
  <si>
    <r>
      <rPr>
        <sz val="10"/>
        <rFont val="Noto Sans CJK SC"/>
        <family val="2"/>
      </rPr>
      <t xml:space="preserve">桁区切りコンマ・小数点・ハイフンを跨ぐ数字を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個として数えるよう修正。助数詞に「名」と序数の「〜目」を追加。数字除去で日本語が壊れる場合は修復を断念して原文を残すガードを追加。</t>
    </r>
  </si>
  <si>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1,590</t>
    </r>
    <r>
      <rPr>
        <sz val="10"/>
        <rFont val="Noto Sans CJK SC"/>
        <family val="2"/>
      </rPr>
      <t xml:space="preserve">円」「</t>
    </r>
    <r>
      <rPr>
        <sz val="10"/>
        <rFont val="Arial"/>
        <family val="0"/>
        <charset val="1"/>
      </rPr>
      <t xml:space="preserve">0.3</t>
    </r>
    <r>
      <rPr>
        <sz val="10"/>
        <rFont val="Noto Sans CJK SC"/>
        <family val="2"/>
      </rPr>
      <t xml:space="preserve">秒」「</t>
    </r>
    <r>
      <rPr>
        <sz val="10"/>
        <rFont val="Arial"/>
        <family val="0"/>
        <charset val="1"/>
      </rPr>
      <t xml:space="preserve">SCP-2006</t>
    </r>
    <r>
      <rPr>
        <sz val="10"/>
        <rFont val="Noto Sans CJK SC"/>
        <family val="2"/>
      </rPr>
      <t xml:space="preserve">」が数字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個と誤判定され、正常なタイトルが違反になっていた</t>
    </r>
  </si>
  <si>
    <r>
      <rPr>
        <sz val="10"/>
        <rFont val="Arial"/>
        <family val="0"/>
        <charset val="1"/>
      </rPr>
      <t xml:space="preserve">tests/test_title_gates_20260904.py 14</t>
    </r>
    <r>
      <rPr>
        <sz val="10"/>
        <rFont val="Noto Sans CJK SC"/>
        <family val="2"/>
      </rPr>
      <t xml:space="preserve">件が全て通過することを確認済み。</t>
    </r>
  </si>
  <si>
    <t xml:space="preserve">data/channels/*.json
theme_queue / theme_seeds</t>
  </si>
  <si>
    <r>
      <rPr>
        <sz val="10"/>
        <rFont val="Noto Sans CJK SC"/>
        <family val="2"/>
      </rPr>
      <t xml:space="preserve">新ゲートに違反する既存テーマ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件を、機械修復ではなく意味を保った日本語へ手作業で書き換え。</t>
    </r>
  </si>
  <si>
    <r>
      <rPr>
        <sz val="10"/>
        <rFont val="Noto Sans CJK SC"/>
        <family val="2"/>
      </rPr>
      <t xml:space="preserve">機械修復では「毎朝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分だけ寝坊」→「毎朝だけ寝坊」のように日本語が壊れるため</t>
    </r>
  </si>
  <si>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330</t>
    </r>
    <r>
      <rPr>
        <sz val="10"/>
        <rFont val="Noto Sans CJK SC"/>
        <family val="2"/>
      </rPr>
      <t xml:space="preserve">件のテーマで違反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件であることを確認済み。</t>
    </r>
  </si>
  <si>
    <t xml:space="preserve">7</t>
  </si>
  <si>
    <t xml:space="preserve">data/channels/company-facts.json
theme_seeds</t>
  </si>
  <si>
    <r>
      <rPr>
        <sz val="10"/>
        <rFont val="Noto Sans CJK SC"/>
        <family val="2"/>
      </rPr>
      <t xml:space="preserve">テーマキューを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件から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件へ補充（</t>
    </r>
    <r>
      <rPr>
        <sz val="10"/>
        <rFont val="Arial"/>
        <family val="0"/>
        <charset val="1"/>
      </rPr>
      <t xml:space="preserve">+7</t>
    </r>
    <r>
      <rPr>
        <sz val="10"/>
        <rFont val="Noto Sans CJK SC"/>
        <family val="2"/>
      </rPr>
      <t xml:space="preserve">件）。</t>
    </r>
  </si>
  <si>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中で最少だった。当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は登録転換率トップのため枯渇させたくない。</t>
    </r>
  </si>
  <si>
    <r>
      <rPr>
        <sz val="10"/>
        <rFont val="Noto Sans CJK SC"/>
        <family val="2"/>
      </rPr>
      <t xml:space="preserve">消化ペースを</t>
    </r>
    <r>
      <rPr>
        <sz val="10"/>
        <rFont val="Arial"/>
        <family val="0"/>
        <charset val="1"/>
      </rPr>
      <t xml:space="preserve">09-10</t>
    </r>
    <r>
      <rPr>
        <sz val="10"/>
        <rFont val="Noto Sans CJK SC"/>
        <family val="2"/>
      </rPr>
      <t xml:space="preserve">に再確認する。</t>
    </r>
  </si>
  <si>
    <t xml:space="preserve">8</t>
  </si>
  <si>
    <t xml:space="preserve">data/channels/*.json
theme_priority.title_style</t>
  </si>
  <si>
    <r>
      <rPr>
        <sz val="10"/>
        <rFont val="Noto Sans CJK SC"/>
        <family val="2"/>
      </rPr>
      <t xml:space="preserve">タイトルの実質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字以上を明記。数字は入れなくてよい旨も併記。</t>
    </r>
  </si>
  <si>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字超は再生</t>
    </r>
    <r>
      <rPr>
        <sz val="10"/>
        <rFont val="Arial"/>
        <family val="0"/>
        <charset val="1"/>
      </rPr>
      <t xml:space="preserve">1.53</t>
    </r>
    <r>
      <rPr>
        <sz val="10"/>
        <rFont val="Noto Sans CJK SC"/>
        <family val="2"/>
      </rPr>
      <t xml:space="preserve">倍・維持率</t>
    </r>
    <r>
      <rPr>
        <sz val="10"/>
        <rFont val="Arial"/>
        <family val="0"/>
        <charset val="1"/>
      </rPr>
      <t xml:space="preserve">41.6% vs 27.1%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内対照の登録中央値</t>
    </r>
    <r>
      <rPr>
        <sz val="10"/>
        <rFont val="Arial"/>
        <family val="0"/>
        <charset val="1"/>
      </rPr>
      <t xml:space="preserve">2.67</t>
    </r>
    <r>
      <rPr>
        <sz val="10"/>
        <rFont val="Noto Sans CJK SC"/>
        <family val="2"/>
      </rPr>
      <t xml:space="preserve">倍</t>
    </r>
  </si>
  <si>
    <t xml:space="preserve">反映済（自然文）</t>
  </si>
  <si>
    <r>
      <rPr>
        <sz val="10"/>
        <rFont val="Arial"/>
        <family val="0"/>
        <charset val="1"/>
      </rPr>
      <t xml:space="preserve">hard_constraints </t>
    </r>
    <r>
      <rPr>
        <sz val="10"/>
        <rFont val="Noto Sans CJK SC"/>
        <family val="2"/>
      </rPr>
      <t xml:space="preserve">に下限長の項目が無いため機械強制ではない。次回コード側に </t>
    </r>
    <r>
      <rPr>
        <sz val="10"/>
        <rFont val="Arial"/>
        <family val="0"/>
        <charset val="1"/>
      </rPr>
      <t xml:space="preserve">min_chars </t>
    </r>
    <r>
      <rPr>
        <sz val="10"/>
        <rFont val="Noto Sans CJK SC"/>
        <family val="2"/>
      </rPr>
      <t xml:space="preserve">を追加する。</t>
    </r>
  </si>
  <si>
    <t xml:space="preserve">未着手・次回以降の課題</t>
  </si>
  <si>
    <t xml:space="preserve">課題</t>
  </si>
  <si>
    <t xml:space="preserve">理由</t>
  </si>
  <si>
    <t xml:space="preserve">A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</si>
  <si>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日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本体制の是非を確定させる</t>
    </r>
  </si>
  <si>
    <r>
      <rPr>
        <sz val="10"/>
        <rFont val="Arial"/>
        <family val="0"/>
        <charset val="1"/>
      </rPr>
      <t xml:space="preserve">09-04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06</t>
    </r>
    <r>
      <rPr>
        <sz val="10"/>
        <rFont val="Noto Sans CJK SC"/>
        <family val="2"/>
      </rPr>
      <t xml:space="preserve">コホートが </t>
    </r>
    <r>
      <rPr>
        <sz val="10"/>
        <rFont val="Arial"/>
        <family val="0"/>
        <charset val="1"/>
      </rPr>
      <t xml:space="preserve">YouTube Analytics </t>
    </r>
    <r>
      <rPr>
        <sz val="10"/>
        <rFont val="Noto Sans CJK SC"/>
        <family val="2"/>
      </rPr>
      <t xml:space="preserve">未反映のため本日は判定不能。</t>
    </r>
    <r>
      <rPr>
        <sz val="10"/>
        <rFont val="Arial"/>
        <family val="0"/>
        <charset val="1"/>
      </rPr>
      <t xml:space="preserve">09-08</t>
    </r>
    <r>
      <rPr>
        <sz val="10"/>
        <rFont val="Noto Sans CJK SC"/>
        <family val="2"/>
      </rPr>
      <t xml:space="preserve">以降に公開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日後の再生数で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月水準（</t>
    </r>
    <r>
      <rPr>
        <sz val="10"/>
        <rFont val="Arial"/>
        <family val="0"/>
        <charset val="1"/>
      </rPr>
      <t xml:space="preserve">700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900</t>
    </r>
    <r>
      <rPr>
        <sz val="10"/>
        <rFont val="Noto Sans CJK SC"/>
        <family val="2"/>
      </rPr>
      <t xml:space="preserve">回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本）と比較する。</t>
    </r>
  </si>
  <si>
    <t xml:space="preserve">B</t>
  </si>
  <si>
    <r>
      <rPr>
        <sz val="10"/>
        <rFont val="Arial"/>
        <family val="0"/>
        <charset val="1"/>
      </rPr>
      <t xml:space="preserve">2ch-matome </t>
    </r>
    <r>
      <rPr>
        <sz val="10"/>
        <rFont val="Noto Sans CJK SC"/>
        <family val="2"/>
      </rPr>
      <t xml:space="preserve">の登録転換率</t>
    </r>
    <r>
      <rPr>
        <sz val="10"/>
        <rFont val="Arial"/>
        <family val="0"/>
        <charset val="1"/>
      </rPr>
      <t xml:space="preserve">0.176</t>
    </r>
    <r>
      <rPr>
        <sz val="10"/>
        <rFont val="Noto Sans CJK SC"/>
        <family val="2"/>
      </rPr>
      <t xml:space="preserve">の構造的改善</t>
    </r>
  </si>
  <si>
    <r>
      <rPr>
        <sz val="10"/>
        <rFont val="Noto Sans CJK SC"/>
        <family val="2"/>
      </rPr>
      <t xml:space="preserve">再生数は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位なのに登録が最下位。掲示板ノリを保ったまま登録動機をどう作るかは、</t>
    </r>
    <r>
      <rPr>
        <sz val="10"/>
        <rFont val="Arial"/>
        <family val="0"/>
        <charset val="1"/>
      </rPr>
      <t xml:space="preserve">CTA</t>
    </r>
    <r>
      <rPr>
        <sz val="10"/>
        <rFont val="Noto Sans CJK SC"/>
        <family val="2"/>
      </rPr>
      <t xml:space="preserve">文言の調整だけでは解けていない。次回の主題とする。</t>
    </r>
  </si>
  <si>
    <t xml:space="preserve">C</t>
  </si>
  <si>
    <r>
      <rPr>
        <sz val="10"/>
        <rFont val="Arial"/>
        <family val="0"/>
        <charset val="1"/>
      </rPr>
      <t xml:space="preserve">pokemon-lab </t>
    </r>
    <r>
      <rPr>
        <sz val="10"/>
        <rFont val="Noto Sans CJK SC"/>
        <family val="2"/>
      </rPr>
      <t xml:space="preserve">の実測</t>
    </r>
    <r>
      <rPr>
        <sz val="10"/>
        <rFont val="Arial"/>
        <family val="0"/>
        <charset val="1"/>
      </rPr>
      <t xml:space="preserve">CTR 0.43%</t>
    </r>
    <r>
      <rPr>
        <sz val="10"/>
        <rFont val="Noto Sans CJK SC"/>
        <family val="2"/>
      </rPr>
      <t xml:space="preserve">（サムネイル）</t>
    </r>
  </si>
  <si>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最低。サムネ品質改善は最優先方針だが、本日はタイトルと台本構造の変更を入れたため、効果の切り分けを優先して同時変更を避けた。</t>
    </r>
  </si>
  <si>
    <t xml:space="preserve">D</t>
  </si>
  <si>
    <r>
      <rPr>
        <sz val="10"/>
        <rFont val="Arial"/>
        <family val="0"/>
        <charset val="1"/>
      </rPr>
      <t xml:space="preserve">title_rules.hard_constraints </t>
    </r>
    <r>
      <rPr>
        <sz val="10"/>
        <rFont val="Noto Sans CJK SC"/>
        <family val="2"/>
      </rPr>
      <t xml:space="preserve">への </t>
    </r>
    <r>
      <rPr>
        <sz val="10"/>
        <rFont val="Arial"/>
        <family val="0"/>
        <charset val="1"/>
      </rPr>
      <t xml:space="preserve">min_chars </t>
    </r>
    <r>
      <rPr>
        <sz val="10"/>
        <rFont val="Noto Sans CJK SC"/>
        <family val="2"/>
      </rPr>
      <t xml:space="preserve">追加</t>
    </r>
  </si>
  <si>
    <r>
      <rPr>
        <sz val="10"/>
        <rFont val="Noto Sans CJK SC"/>
        <family val="2"/>
      </rPr>
      <t xml:space="preserve">タイトル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字下限は最も強いシグナルだが、自然文の指示は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に無視される実績がある。コード側で機械強制する必要がある。</t>
    </r>
  </si>
  <si>
    <t xml:space="preserve">E</t>
  </si>
  <si>
    <r>
      <rPr>
        <sz val="10"/>
        <rFont val="Arial"/>
        <family val="0"/>
        <charset val="1"/>
      </rPr>
      <t xml:space="preserve">youtube_tokens.db 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expires_at </t>
    </r>
    <r>
      <rPr>
        <sz val="10"/>
        <rFont val="Noto Sans CJK SC"/>
        <family val="2"/>
      </rPr>
      <t xml:space="preserve">が </t>
    </r>
    <r>
      <rPr>
        <sz val="10"/>
        <rFont val="Arial"/>
        <family val="0"/>
        <charset val="1"/>
      </rPr>
      <t xml:space="preserve">updated_at </t>
    </r>
    <r>
      <rPr>
        <sz val="10"/>
        <rFont val="Noto Sans CJK SC"/>
        <family val="2"/>
      </rPr>
      <t xml:space="preserve">より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時間（</t>
    </r>
    <r>
      <rPr>
        <sz val="10"/>
        <rFont val="Arial"/>
        <family val="0"/>
        <charset val="1"/>
      </rPr>
      <t xml:space="preserve">28801</t>
    </r>
    <r>
      <rPr>
        <sz val="10"/>
        <rFont val="Noto Sans CJK SC"/>
        <family val="2"/>
      </rPr>
      <t xml:space="preserve">秒）前になっている</t>
    </r>
  </si>
  <si>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13ch</t>
    </r>
    <r>
      <rPr>
        <sz val="10"/>
        <rFont val="Noto Sans CJK SC"/>
        <family val="2"/>
      </rPr>
      <t xml:space="preserve">で同じずれ。公開自体は</t>
    </r>
    <r>
      <rPr>
        <sz val="10"/>
        <rFont val="Arial"/>
        <family val="0"/>
        <charset val="1"/>
      </rPr>
      <t xml:space="preserve">09-06</t>
    </r>
    <r>
      <rPr>
        <sz val="10"/>
        <rFont val="Noto Sans CJK SC"/>
        <family val="2"/>
      </rPr>
      <t xml:space="preserve">に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本成功しており実害は出ていないが、失効判定を誤らせる可能性があるため要調査。</t>
    </r>
  </si>
  <si>
    <t xml:space="preserve">トレンド</t>
  </si>
  <si>
    <t xml:space="preserve">① 日別の全体推移</t>
  </si>
  <si>
    <t xml:space="preserve">日付</t>
  </si>
  <si>
    <t xml:space="preserve">総再生数</t>
  </si>
  <si>
    <t xml:space="preserve">新規登録者</t>
  </si>
  <si>
    <r>
      <rPr>
        <b val="true"/>
        <sz val="11"/>
        <color rgb="FFFFFFFF"/>
        <rFont val="Noto Sans CJK SC"/>
        <family val="2"/>
      </rPr>
      <t xml:space="preserve">平均維持率</t>
    </r>
    <r>
      <rPr>
        <b val="true"/>
        <sz val="11"/>
        <color rgb="FFFFFFFF"/>
        <rFont val="Arial"/>
        <family val="0"/>
        <charset val="1"/>
      </rPr>
      <t xml:space="preserve">(%)</t>
    </r>
  </si>
  <si>
    <t xml:space="preserve">注記</t>
  </si>
  <si>
    <r>
      <rPr>
        <sz val="10"/>
        <rFont val="Arial"/>
        <family val="0"/>
        <charset val="1"/>
      </rPr>
      <t xml:space="preserve">daily-science </t>
    </r>
    <r>
      <rPr>
        <sz val="10"/>
        <rFont val="Noto Sans CJK SC"/>
        <family val="2"/>
      </rPr>
      <t xml:space="preserve">の維持率計測がループ計上から実測へ切替（</t>
    </r>
    <r>
      <rPr>
        <sz val="10"/>
        <rFont val="Arial"/>
        <family val="0"/>
        <charset val="1"/>
      </rPr>
      <t xml:space="preserve">131%→58%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</si>
  <si>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YouTube Analytics </t>
    </r>
    <r>
      <rPr>
        <sz val="10"/>
        <rFont val="Noto Sans CJK SC"/>
        <family val="2"/>
      </rPr>
      <t xml:space="preserve">側の欠測日</t>
    </r>
  </si>
  <si>
    <r>
      <rPr>
        <sz val="10"/>
        <rFont val="Arial"/>
        <family val="0"/>
        <charset val="1"/>
      </rPr>
      <t xml:space="preserve">1ch3</t>
    </r>
    <r>
      <rPr>
        <sz val="10"/>
        <rFont val="Noto Sans CJK SC"/>
        <family val="2"/>
      </rPr>
      <t xml:space="preserve">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日体制の開始日</t>
    </r>
  </si>
  <si>
    <r>
      <rPr>
        <b val="true"/>
        <sz val="10"/>
        <rFont val="Noto Sans CJK SC"/>
        <family val="2"/>
      </rPr>
      <t xml:space="preserve">② チャンネル別 維持率の推移（</t>
    </r>
    <r>
      <rPr>
        <b val="true"/>
        <sz val="10"/>
        <rFont val="Arial"/>
        <family val="0"/>
        <charset val="1"/>
      </rPr>
      <t xml:space="preserve">%</t>
    </r>
    <r>
      <rPr>
        <b val="true"/>
        <sz val="10"/>
        <rFont val="Noto Sans CJK SC"/>
        <family val="2"/>
      </rPr>
      <t xml:space="preserve">）</t>
    </r>
  </si>
  <si>
    <t xml:space="preserve">08-28</t>
  </si>
  <si>
    <t xml:space="preserve">08-29</t>
  </si>
  <si>
    <t xml:space="preserve">08-30</t>
  </si>
  <si>
    <t xml:space="preserve">08-31</t>
  </si>
  <si>
    <t xml:space="preserve">09-01</t>
  </si>
  <si>
    <t xml:space="preserve">09-03</t>
  </si>
  <si>
    <t xml:space="preserve">09-04</t>
  </si>
  <si>
    <t xml:space="preserve">09-05</t>
  </si>
  <si>
    <t xml:space="preserve">09-06</t>
  </si>
  <si>
    <t xml:space="preserve">傾向</t>
  </si>
  <si>
    <r>
      <rPr>
        <sz val="10"/>
        <rFont val="Noto Sans CJK SC"/>
        <family val="2"/>
      </rPr>
      <t xml:space="preserve">横ばい（</t>
    </r>
    <r>
      <rPr>
        <sz val="10"/>
        <rFont val="Arial"/>
        <family val="0"/>
        <charset val="1"/>
      </rPr>
      <t xml:space="preserve">57</t>
    </r>
    <r>
      <rPr>
        <sz val="10"/>
        <rFont val="Noto Sans CJK SC"/>
        <family val="2"/>
      </rPr>
      <t xml:space="preserve">前後）。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地点の維持は他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1.7</t>
    </r>
    <r>
      <rPr>
        <sz val="10"/>
        <rFont val="Noto Sans CJK SC"/>
        <family val="2"/>
      </rPr>
      <t xml:space="preserve">倍。</t>
    </r>
  </si>
  <si>
    <r>
      <rPr>
        <sz val="10"/>
        <rFont val="Noto Sans CJK SC"/>
        <family val="2"/>
      </rPr>
      <t xml:space="preserve">下降（</t>
    </r>
    <r>
      <rPr>
        <sz val="10"/>
        <rFont val="Arial"/>
        <family val="0"/>
        <charset val="1"/>
      </rPr>
      <t xml:space="preserve">45.7→42.1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中最低。最優先の改善対象。</t>
    </r>
  </si>
  <si>
    <r>
      <rPr>
        <sz val="10"/>
        <rFont val="Noto Sans CJK SC"/>
        <family val="2"/>
      </rPr>
      <t xml:space="preserve">上昇（</t>
    </r>
    <r>
      <rPr>
        <sz val="10"/>
        <rFont val="Arial"/>
        <family val="0"/>
        <charset val="1"/>
      </rPr>
      <t xml:space="preserve">58.9→61.2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中最高。</t>
    </r>
  </si>
  <si>
    <r>
      <rPr>
        <sz val="10"/>
        <rFont val="Arial"/>
        <family val="0"/>
        <charset val="1"/>
      </rPr>
      <t xml:space="preserve">09-03</t>
    </r>
    <r>
      <rPr>
        <sz val="10"/>
        <rFont val="Noto Sans CJK SC"/>
        <family val="2"/>
      </rPr>
      <t xml:space="preserve">に</t>
    </r>
    <r>
      <rPr>
        <sz val="10"/>
        <rFont val="Arial"/>
        <family val="0"/>
        <charset val="1"/>
      </rPr>
      <t xml:space="preserve">56→51</t>
    </r>
    <r>
      <rPr>
        <sz val="10"/>
        <rFont val="Noto Sans CJK SC"/>
        <family val="2"/>
      </rPr>
      <t xml:space="preserve">へ低下し、そのまま定着。</t>
    </r>
  </si>
  <si>
    <r>
      <rPr>
        <sz val="10"/>
        <rFont val="Noto Sans CJK SC"/>
        <family val="2"/>
      </rPr>
      <t xml:space="preserve">横ばい（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前後）。</t>
    </r>
  </si>
  <si>
    <r>
      <rPr>
        <sz val="10"/>
        <rFont val="Noto Sans CJK SC"/>
        <family val="2"/>
      </rPr>
      <t xml:space="preserve">横ばい（</t>
    </r>
    <r>
      <rPr>
        <sz val="10"/>
        <rFont val="Arial"/>
        <family val="0"/>
        <charset val="1"/>
      </rPr>
      <t xml:space="preserve">51</t>
    </r>
    <r>
      <rPr>
        <sz val="10"/>
        <rFont val="Noto Sans CJK SC"/>
        <family val="2"/>
      </rPr>
      <t xml:space="preserve">前後）。</t>
    </r>
  </si>
  <si>
    <r>
      <rPr>
        <b val="true"/>
        <sz val="10"/>
        <rFont val="Noto Sans CJK SC"/>
        <family val="2"/>
      </rPr>
      <t xml:space="preserve">③ 公開日コホート別 平均再生数（本数の増減が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本あたりに与えた影響）</t>
    </r>
  </si>
  <si>
    <t xml:space="preserve">本数</t>
  </si>
  <si>
    <t xml:space="preserve">累計再生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</si>
  <si>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本あたり</t>
    </r>
  </si>
  <si>
    <t xml:space="preserve">2026-08-20</t>
  </si>
  <si>
    <t xml:space="preserve">2026-08-21</t>
  </si>
  <si>
    <t xml:space="preserve">2026-08-22</t>
  </si>
  <si>
    <t xml:space="preserve">2026-08-23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</si>
  <si>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日体制の初日。反映途中のため確定値ではない。</t>
    </r>
  </si>
  <si>
    <r>
      <rPr>
        <sz val="10"/>
        <rFont val="Arial"/>
        <family val="0"/>
        <charset val="1"/>
      </rPr>
      <t xml:space="preserve">Analytics </t>
    </r>
    <r>
      <rPr>
        <sz val="10"/>
        <rFont val="Noto Sans CJK SC"/>
        <family val="2"/>
      </rPr>
      <t xml:space="preserve">未反映（通常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日遅れ）。判定不可。</t>
    </r>
  </si>
  <si>
    <r>
      <rPr>
        <b val="true"/>
        <sz val="10"/>
        <rFont val="Noto Sans CJK SC"/>
        <family val="2"/>
      </rPr>
      <t xml:space="preserve">④ 投稿時間帯別の実績（</t>
    </r>
    <r>
      <rPr>
        <b val="true"/>
        <sz val="10"/>
        <rFont val="Arial"/>
        <family val="0"/>
        <charset val="1"/>
      </rPr>
      <t xml:space="preserve">JST</t>
    </r>
    <r>
      <rPr>
        <b val="true"/>
        <sz val="10"/>
        <rFont val="Noto Sans CJK SC"/>
        <family val="2"/>
      </rPr>
      <t xml:space="preserve">・公開</t>
    </r>
    <r>
      <rPr>
        <b val="true"/>
        <sz val="10"/>
        <rFont val="Arial"/>
        <family val="0"/>
        <charset val="1"/>
      </rPr>
      <t xml:space="preserve">08-10</t>
    </r>
    <r>
      <rPr>
        <b val="true"/>
        <sz val="10"/>
        <rFont val="Noto Sans CJK SC"/>
        <family val="2"/>
      </rPr>
      <t xml:space="preserve">以降 </t>
    </r>
    <r>
      <rPr>
        <b val="true"/>
        <sz val="10"/>
        <rFont val="Arial"/>
        <family val="0"/>
        <charset val="1"/>
      </rPr>
      <t xml:space="preserve">n=227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</si>
  <si>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JST</t>
    </r>
    <r>
      <rPr>
        <b val="true"/>
        <sz val="11"/>
        <color rgb="FFFFFFFF"/>
        <rFont val="Noto Sans CJK SC"/>
        <family val="2"/>
      </rPr>
      <t xml:space="preserve">時刻</t>
    </r>
  </si>
  <si>
    <t xml:space="preserve">平均再生</t>
  </si>
  <si>
    <r>
      <rPr>
        <b val="true"/>
        <sz val="11"/>
        <color rgb="FFFFFFFF"/>
        <rFont val="Noto Sans CJK SC"/>
        <family val="2"/>
      </rPr>
      <t xml:space="preserve">登録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千再生</t>
    </r>
  </si>
  <si>
    <t xml:space="preserve">判定</t>
  </si>
  <si>
    <t xml:space="preserve">7:00</t>
  </si>
  <si>
    <t xml:space="preserve">サンプル不足</t>
  </si>
  <si>
    <t xml:space="preserve">8:00</t>
  </si>
  <si>
    <t xml:space="preserve">9:00</t>
  </si>
  <si>
    <t xml:space="preserve">良好。ここへ寄せる。</t>
  </si>
  <si>
    <t xml:space="preserve">12:00</t>
  </si>
  <si>
    <t xml:space="preserve">不振。本日この枠を廃止または縮小した。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</si>
  <si>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</si>
  <si>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</si>
  <si>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</si>
  <si>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</si>
  <si>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</si>
  <si>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</si>
  <si>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中位</t>
  </si>
  <si>
    <t xml:space="preserve">19:00</t>
  </si>
  <si>
    <t xml:space="preserve">20:00</t>
  </si>
  <si>
    <t xml:space="preserve">21:00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</si>
</sst>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0"/>
    <numFmt numFmtId="167" formatCode="0.000"/>
    <numFmt numFmtId="168" formatCode="0.0"/>
    <numFmt numFmtId="169" formatCode="0.00"/>
    <numFmt numFmtId="170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Noto Sans CJK SC"/>
      <family val="2"/>
    </font>
    <font>
      <i val="true"/>
      <sz val="9"/>
      <color rgb="FF606060"/>
      <name val="Arial"/>
      <family val="0"/>
      <charset val="1"/>
    </font>
    <font>
      <i val="true"/>
      <sz val="9"/>
      <color rgb="FF606060"/>
      <name val="Noto Sans CJK SC"/>
      <family val="2"/>
    </font>
    <font>
      <b val="true"/>
      <sz val="11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56"/>
    <col collapsed="false" customWidth="true" hidden="false" outlineLevel="0" max="4" min="4" style="0" width="54"/>
    <col collapsed="false" customWidth="true" hidden="false" outlineLevel="0" max="5" min="5" style="0" width="92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1046738</v>
      </c>
      <c r="C5" s="4" t="s">
        <v>8</v>
      </c>
      <c r="D5" s="6" t="s">
        <v>9</v>
      </c>
      <c r="E5" s="6" t="s">
        <v>10</v>
      </c>
    </row>
    <row r="6" customFormat="false" ht="15" hidden="false" customHeight="false" outlineLevel="0" collapsed="false">
      <c r="A6" s="4" t="s">
        <v>11</v>
      </c>
      <c r="B6" s="5" t="n">
        <v>475</v>
      </c>
      <c r="C6" s="4" t="s">
        <v>12</v>
      </c>
      <c r="D6" s="6" t="s">
        <v>9</v>
      </c>
      <c r="E6" s="4" t="s">
        <v>13</v>
      </c>
    </row>
    <row r="7" customFormat="false" ht="15" hidden="false" customHeight="false" outlineLevel="0" collapsed="false">
      <c r="A7" s="4" t="s">
        <v>14</v>
      </c>
      <c r="B7" s="7" t="n">
        <v>0.454</v>
      </c>
      <c r="C7" s="4" t="s">
        <v>15</v>
      </c>
      <c r="D7" s="6" t="s">
        <v>9</v>
      </c>
      <c r="E7" s="4" t="s">
        <v>16</v>
      </c>
    </row>
    <row r="8" customFormat="false" ht="15" hidden="false" customHeight="false" outlineLevel="0" collapsed="false">
      <c r="A8" s="4" t="s">
        <v>17</v>
      </c>
      <c r="B8" s="5" t="n">
        <v>299</v>
      </c>
      <c r="C8" s="4" t="s">
        <v>18</v>
      </c>
      <c r="D8" s="6" t="s">
        <v>9</v>
      </c>
      <c r="E8" s="6" t="s">
        <v>19</v>
      </c>
    </row>
    <row r="9" customFormat="false" ht="15" hidden="false" customHeight="false" outlineLevel="0" collapsed="false">
      <c r="A9" s="4" t="s">
        <v>20</v>
      </c>
      <c r="B9" s="5" t="n">
        <v>616</v>
      </c>
      <c r="C9" s="4" t="s">
        <v>21</v>
      </c>
      <c r="D9" s="8" t="s">
        <v>22</v>
      </c>
      <c r="E9" s="4" t="s">
        <v>23</v>
      </c>
    </row>
    <row r="10" customFormat="false" ht="15" hidden="false" customHeight="false" outlineLevel="0" collapsed="false">
      <c r="A10" s="4" t="s">
        <v>24</v>
      </c>
      <c r="B10" s="7" t="n">
        <v>52.8</v>
      </c>
      <c r="C10" s="6" t="s">
        <v>25</v>
      </c>
      <c r="D10" s="6" t="s">
        <v>9</v>
      </c>
      <c r="E10" s="6" t="s">
        <v>26</v>
      </c>
    </row>
    <row r="11" customFormat="false" ht="15" hidden="false" customHeight="false" outlineLevel="0" collapsed="false">
      <c r="A11" s="4" t="s">
        <v>27</v>
      </c>
      <c r="B11" s="7" t="n">
        <v>1.36</v>
      </c>
      <c r="C11" s="6" t="s">
        <v>25</v>
      </c>
      <c r="D11" s="9" t="s">
        <v>28</v>
      </c>
      <c r="E11" s="6" t="s">
        <v>29</v>
      </c>
    </row>
    <row r="13" customFormat="false" ht="17.35" hidden="false" customHeight="false" outlineLevel="0" collapsed="false">
      <c r="A13" s="10" t="s">
        <v>30</v>
      </c>
    </row>
    <row r="15" customFormat="false" ht="30" hidden="false" customHeight="true" outlineLevel="0" collapsed="false">
      <c r="A15" s="11" t="s">
        <v>31</v>
      </c>
      <c r="B15" s="3" t="s">
        <v>32</v>
      </c>
      <c r="C15" s="3" t="s">
        <v>33</v>
      </c>
      <c r="D15" s="3" t="s">
        <v>34</v>
      </c>
    </row>
    <row r="16" customFormat="false" ht="78" hidden="false" customHeight="true" outlineLevel="0" collapsed="false">
      <c r="A16" s="6" t="s">
        <v>35</v>
      </c>
      <c r="B16" s="12" t="s">
        <v>36</v>
      </c>
      <c r="C16" s="13" t="s">
        <v>37</v>
      </c>
      <c r="D16" s="13" t="s">
        <v>38</v>
      </c>
    </row>
    <row r="17" customFormat="false" ht="78" hidden="false" customHeight="true" outlineLevel="0" collapsed="false">
      <c r="A17" s="6" t="s">
        <v>39</v>
      </c>
      <c r="B17" s="13" t="s">
        <v>40</v>
      </c>
      <c r="C17" s="12" t="s">
        <v>41</v>
      </c>
      <c r="D17" s="13" t="s">
        <v>42</v>
      </c>
    </row>
    <row r="18" customFormat="false" ht="78" hidden="false" customHeight="true" outlineLevel="0" collapsed="false">
      <c r="A18" s="6" t="s">
        <v>43</v>
      </c>
      <c r="B18" s="13" t="s">
        <v>44</v>
      </c>
      <c r="C18" s="12" t="s">
        <v>45</v>
      </c>
      <c r="D18" s="12" t="s">
        <v>46</v>
      </c>
    </row>
    <row r="19" customFormat="false" ht="78" hidden="false" customHeight="true" outlineLevel="0" collapsed="false">
      <c r="A19" s="6" t="s">
        <v>47</v>
      </c>
      <c r="B19" s="13" t="s">
        <v>48</v>
      </c>
      <c r="C19" s="13" t="s">
        <v>49</v>
      </c>
      <c r="D19" s="12" t="s">
        <v>50</v>
      </c>
    </row>
    <row r="20" customFormat="false" ht="78" hidden="false" customHeight="true" outlineLevel="0" collapsed="false">
      <c r="A20" s="6" t="s">
        <v>51</v>
      </c>
      <c r="B20" s="13" t="s">
        <v>52</v>
      </c>
      <c r="C20" s="13" t="s">
        <v>53</v>
      </c>
      <c r="D20" s="12" t="s">
        <v>54</v>
      </c>
    </row>
    <row r="21" customFormat="false" ht="78" hidden="false" customHeight="true" outlineLevel="0" collapsed="false">
      <c r="A21" s="6" t="s">
        <v>55</v>
      </c>
      <c r="B21" s="12" t="s">
        <v>56</v>
      </c>
      <c r="C21" s="13" t="s">
        <v>57</v>
      </c>
      <c r="D21" s="13" t="s">
        <v>58</v>
      </c>
    </row>
    <row r="23" customFormat="false" ht="15" hidden="false" customHeight="false" outlineLevel="0" collapsed="false">
      <c r="A23" s="14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46"/>
  </cols>
  <sheetData>
    <row r="1" customFormat="false" ht="21.6" hidden="false" customHeight="false" outlineLevel="0" collapsed="false">
      <c r="A1" s="10" t="s">
        <v>60</v>
      </c>
    </row>
    <row r="2" customFormat="false" ht="15" hidden="false" customHeight="false" outlineLevel="0" collapsed="false">
      <c r="A2" s="14" t="s">
        <v>61</v>
      </c>
    </row>
    <row r="4" customFormat="false" ht="30" hidden="false" customHeight="true" outlineLevel="0" collapsed="false">
      <c r="A4" s="3" t="s">
        <v>62</v>
      </c>
      <c r="B4" s="3" t="s">
        <v>63</v>
      </c>
      <c r="C4" s="3" t="s">
        <v>64</v>
      </c>
      <c r="D4" s="3" t="s">
        <v>65</v>
      </c>
      <c r="E4" s="3" t="s">
        <v>66</v>
      </c>
      <c r="F4" s="3" t="s">
        <v>67</v>
      </c>
      <c r="G4" s="3" t="s">
        <v>68</v>
      </c>
      <c r="H4" s="3" t="s">
        <v>69</v>
      </c>
      <c r="I4" s="3" t="s">
        <v>70</v>
      </c>
      <c r="J4" s="3" t="s">
        <v>71</v>
      </c>
      <c r="K4" s="3" t="s">
        <v>72</v>
      </c>
      <c r="L4" s="3" t="s">
        <v>73</v>
      </c>
      <c r="M4" s="3" t="s">
        <v>74</v>
      </c>
    </row>
    <row r="5" customFormat="false" ht="48" hidden="false" customHeight="true" outlineLevel="0" collapsed="false">
      <c r="A5" s="6" t="s">
        <v>75</v>
      </c>
      <c r="B5" s="4" t="s">
        <v>76</v>
      </c>
      <c r="C5" s="5" t="n">
        <v>36</v>
      </c>
      <c r="D5" s="5" t="n">
        <v>191430</v>
      </c>
      <c r="E5" s="5" t="n">
        <v>143</v>
      </c>
      <c r="F5" s="15" t="n">
        <v>0.747</v>
      </c>
      <c r="G5" s="16" t="n">
        <v>0.392</v>
      </c>
      <c r="H5" s="17" t="n">
        <v>56.9</v>
      </c>
      <c r="I5" s="5" t="n">
        <v>1183</v>
      </c>
      <c r="J5" s="5" t="n">
        <v>27</v>
      </c>
      <c r="K5" s="18" t="n">
        <v>2.28</v>
      </c>
      <c r="L5" s="5" t="n">
        <v>1078</v>
      </c>
      <c r="M5" s="13" t="s">
        <v>77</v>
      </c>
    </row>
    <row r="6" customFormat="false" ht="48" hidden="false" customHeight="true" outlineLevel="0" collapsed="false">
      <c r="A6" s="6" t="s">
        <v>78</v>
      </c>
      <c r="B6" s="6" t="s">
        <v>79</v>
      </c>
      <c r="C6" s="5" t="n">
        <v>62</v>
      </c>
      <c r="D6" s="5" t="n">
        <v>168878</v>
      </c>
      <c r="E6" s="5" t="n">
        <v>113</v>
      </c>
      <c r="F6" s="15" t="n">
        <v>0.669</v>
      </c>
      <c r="G6" s="16" t="n">
        <v>0.4</v>
      </c>
      <c r="H6" s="17" t="n">
        <v>44.2</v>
      </c>
      <c r="I6" s="5" t="n">
        <v>5649</v>
      </c>
      <c r="J6" s="5" t="n">
        <v>65</v>
      </c>
      <c r="K6" s="18" t="n">
        <v>1.15</v>
      </c>
      <c r="L6" s="5" t="n">
        <v>621</v>
      </c>
      <c r="M6" s="13" t="s">
        <v>80</v>
      </c>
    </row>
    <row r="7" customFormat="false" ht="48" hidden="false" customHeight="true" outlineLevel="0" collapsed="false">
      <c r="A7" s="6" t="s">
        <v>81</v>
      </c>
      <c r="B7" s="4" t="s">
        <v>82</v>
      </c>
      <c r="C7" s="5" t="n">
        <v>59</v>
      </c>
      <c r="D7" s="5" t="n">
        <v>164809</v>
      </c>
      <c r="E7" s="5" t="n">
        <v>96</v>
      </c>
      <c r="F7" s="15" t="n">
        <v>0.582</v>
      </c>
      <c r="G7" s="16" t="n">
        <v>0.479</v>
      </c>
      <c r="H7" s="17" t="n">
        <v>59.6</v>
      </c>
      <c r="I7" s="5" t="n">
        <v>1217</v>
      </c>
      <c r="J7" s="5" t="n">
        <v>19</v>
      </c>
      <c r="K7" s="18" t="n">
        <v>1.56</v>
      </c>
      <c r="L7" s="5" t="n">
        <v>501</v>
      </c>
      <c r="M7" s="13" t="s">
        <v>83</v>
      </c>
    </row>
    <row r="8" customFormat="false" ht="48" hidden="false" customHeight="true" outlineLevel="0" collapsed="false">
      <c r="A8" s="6" t="s">
        <v>84</v>
      </c>
      <c r="B8" s="4" t="s">
        <v>85</v>
      </c>
      <c r="C8" s="5" t="n">
        <v>49</v>
      </c>
      <c r="D8" s="5" t="n">
        <v>175408</v>
      </c>
      <c r="E8" s="5" t="n">
        <v>49</v>
      </c>
      <c r="F8" s="19" t="n">
        <v>0.279</v>
      </c>
      <c r="G8" s="16" t="n">
        <v>0.292</v>
      </c>
      <c r="H8" s="17" t="n">
        <v>52.6</v>
      </c>
      <c r="I8" s="5" t="n">
        <v>468</v>
      </c>
      <c r="J8" s="5" t="n">
        <v>2</v>
      </c>
      <c r="K8" s="18" t="n">
        <v>0.43</v>
      </c>
      <c r="L8" s="5" t="n">
        <v>517</v>
      </c>
      <c r="M8" s="13" t="s">
        <v>86</v>
      </c>
    </row>
    <row r="9" customFormat="false" ht="48" hidden="false" customHeight="true" outlineLevel="0" collapsed="false">
      <c r="A9" s="6" t="s">
        <v>87</v>
      </c>
      <c r="B9" s="4" t="s">
        <v>88</v>
      </c>
      <c r="C9" s="5" t="n">
        <v>49</v>
      </c>
      <c r="D9" s="5" t="n">
        <v>170267</v>
      </c>
      <c r="E9" s="5" t="n">
        <v>43</v>
      </c>
      <c r="F9" s="19" t="n">
        <v>0.253</v>
      </c>
      <c r="G9" s="16" t="n">
        <v>0.371</v>
      </c>
      <c r="H9" s="17" t="n">
        <v>52</v>
      </c>
      <c r="I9" s="5" t="n">
        <v>988</v>
      </c>
      <c r="J9" s="5" t="n">
        <v>17</v>
      </c>
      <c r="K9" s="18" t="n">
        <v>1.72</v>
      </c>
      <c r="L9" s="5" t="n">
        <v>390</v>
      </c>
      <c r="M9" s="13" t="s">
        <v>89</v>
      </c>
    </row>
    <row r="10" customFormat="false" ht="48" hidden="false" customHeight="true" outlineLevel="0" collapsed="false">
      <c r="A10" s="6" t="s">
        <v>90</v>
      </c>
      <c r="B10" s="6" t="s">
        <v>91</v>
      </c>
      <c r="C10" s="5" t="n">
        <v>44</v>
      </c>
      <c r="D10" s="5" t="n">
        <v>175946</v>
      </c>
      <c r="E10" s="5" t="n">
        <v>31</v>
      </c>
      <c r="F10" s="19" t="n">
        <v>0.176</v>
      </c>
      <c r="G10" s="16" t="n">
        <v>0.252</v>
      </c>
      <c r="H10" s="17" t="n">
        <v>51.4</v>
      </c>
      <c r="I10" s="5" t="n">
        <v>233</v>
      </c>
      <c r="J10" s="5" t="n">
        <v>2</v>
      </c>
      <c r="K10" s="18" t="n">
        <v>0.86</v>
      </c>
      <c r="L10" s="5" t="n">
        <v>586</v>
      </c>
      <c r="M10" s="13" t="s">
        <v>92</v>
      </c>
    </row>
    <row r="11" customFormat="false" ht="15" hidden="false" customHeight="false" outlineLevel="0" collapsed="false">
      <c r="A11" s="20" t="s">
        <v>93</v>
      </c>
      <c r="B11" s="20"/>
      <c r="C11" s="21" t="n">
        <f aca="false">SUM(C5:C10)</f>
        <v>299</v>
      </c>
      <c r="D11" s="21" t="n">
        <f aca="false">SUM(D5:D10)</f>
        <v>1046738</v>
      </c>
      <c r="E11" s="21" t="n">
        <f aca="false">SUM(E5:E10)</f>
        <v>475</v>
      </c>
      <c r="F11" s="22" t="n">
        <f aca="false">ROUND(1000*E11/D11,3)</f>
        <v>0.454</v>
      </c>
      <c r="G11" s="22" t="n">
        <f aca="false">ROUND(AVERAGE(G5:G10),3)</f>
        <v>0.364</v>
      </c>
      <c r="H11" s="23" t="n">
        <f aca="false">ROUND(AVERAGE(H5:H10),1)</f>
        <v>52.8</v>
      </c>
      <c r="I11" s="21" t="n">
        <f aca="false">SUM(I5:I10)</f>
        <v>9738</v>
      </c>
      <c r="J11" s="21" t="n">
        <f aca="false">SUM(J5:J10)</f>
        <v>132</v>
      </c>
      <c r="K11" s="24" t="n">
        <f aca="false">ROUND(100*J11/I11,2)</f>
        <v>1.36</v>
      </c>
      <c r="L11" s="21" t="n">
        <f aca="false">ROUND(AVERAGE(L5:L10),0)</f>
        <v>616</v>
      </c>
      <c r="M1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60"/>
    <col collapsed="false" customWidth="true" hidden="false" outlineLevel="0" max="5" min="4" style="0" width="10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7"/>
    <col collapsed="false" customWidth="true" hidden="false" outlineLevel="0" max="10" min="10" style="0" width="8"/>
  </cols>
  <sheetData>
    <row r="1" customFormat="false" ht="21.6" hidden="false" customHeight="false" outlineLevel="0" collapsed="false">
      <c r="A1" s="10" t="s">
        <v>94</v>
      </c>
    </row>
    <row r="2" customFormat="false" ht="15" hidden="false" customHeight="false" outlineLevel="0" collapsed="false">
      <c r="A2" s="14" t="s">
        <v>95</v>
      </c>
    </row>
    <row r="4" customFormat="false" ht="30" hidden="false" customHeight="true" outlineLevel="0" collapsed="false">
      <c r="A4" s="3" t="s">
        <v>62</v>
      </c>
      <c r="B4" s="3" t="s">
        <v>96</v>
      </c>
      <c r="C4" s="3" t="s">
        <v>97</v>
      </c>
      <c r="D4" s="3" t="s">
        <v>65</v>
      </c>
      <c r="E4" s="3" t="s">
        <v>98</v>
      </c>
      <c r="F4" s="3" t="s">
        <v>66</v>
      </c>
      <c r="G4" s="3" t="s">
        <v>99</v>
      </c>
      <c r="H4" s="3" t="s">
        <v>100</v>
      </c>
      <c r="I4" s="3" t="s">
        <v>101</v>
      </c>
      <c r="J4" s="3" t="s">
        <v>102</v>
      </c>
    </row>
    <row r="5" customFormat="false" ht="15" hidden="false" customHeight="false" outlineLevel="0" collapsed="false">
      <c r="A5" s="6" t="s">
        <v>75</v>
      </c>
      <c r="B5" s="6" t="s">
        <v>103</v>
      </c>
      <c r="C5" s="4" t="s">
        <v>104</v>
      </c>
      <c r="D5" s="25" t="n">
        <v>3603</v>
      </c>
      <c r="E5" s="17" t="n">
        <v>79.2</v>
      </c>
      <c r="F5" s="5" t="n">
        <v>30</v>
      </c>
      <c r="G5" s="5" t="n">
        <v>8</v>
      </c>
      <c r="H5" s="26" t="n">
        <v>32</v>
      </c>
      <c r="I5" s="4" t="s">
        <v>105</v>
      </c>
      <c r="J5" s="4" t="s">
        <v>106</v>
      </c>
    </row>
    <row r="6" customFormat="false" ht="15" hidden="false" customHeight="false" outlineLevel="0" collapsed="false">
      <c r="A6" s="6" t="s">
        <v>75</v>
      </c>
      <c r="B6" s="6" t="s">
        <v>107</v>
      </c>
      <c r="C6" s="4" t="s">
        <v>108</v>
      </c>
      <c r="D6" s="25" t="n">
        <v>2241</v>
      </c>
      <c r="E6" s="17" t="n">
        <v>90.1</v>
      </c>
      <c r="F6" s="5" t="n">
        <v>15</v>
      </c>
      <c r="G6" s="5" t="n">
        <v>23</v>
      </c>
      <c r="H6" s="26" t="n">
        <v>35</v>
      </c>
      <c r="I6" s="4" t="s">
        <v>105</v>
      </c>
      <c r="J6" s="4" t="s">
        <v>106</v>
      </c>
    </row>
    <row r="7" customFormat="false" ht="15" hidden="false" customHeight="false" outlineLevel="0" collapsed="false">
      <c r="A7" s="6" t="s">
        <v>75</v>
      </c>
      <c r="B7" s="6" t="s">
        <v>107</v>
      </c>
      <c r="C7" s="4" t="s">
        <v>109</v>
      </c>
      <c r="D7" s="25" t="n">
        <v>1979</v>
      </c>
      <c r="E7" s="17" t="n">
        <v>73.8</v>
      </c>
      <c r="F7" s="5" t="n">
        <v>10</v>
      </c>
      <c r="G7" s="5" t="n">
        <v>16</v>
      </c>
      <c r="H7" s="26" t="n">
        <v>20</v>
      </c>
      <c r="I7" s="4" t="s">
        <v>105</v>
      </c>
      <c r="J7" s="4" t="s">
        <v>106</v>
      </c>
    </row>
    <row r="8" customFormat="false" ht="15" hidden="false" customHeight="false" outlineLevel="0" collapsed="false">
      <c r="A8" s="6" t="s">
        <v>75</v>
      </c>
      <c r="B8" s="6" t="s">
        <v>110</v>
      </c>
      <c r="C8" s="4" t="s">
        <v>111</v>
      </c>
      <c r="D8" s="25" t="n">
        <v>1936</v>
      </c>
      <c r="E8" s="17" t="n">
        <v>68.5</v>
      </c>
      <c r="F8" s="5" t="n">
        <v>0</v>
      </c>
      <c r="G8" s="5" t="n">
        <v>2</v>
      </c>
      <c r="H8" s="26" t="n">
        <v>31</v>
      </c>
      <c r="I8" s="4" t="s">
        <v>105</v>
      </c>
      <c r="J8" s="4" t="s">
        <v>106</v>
      </c>
    </row>
    <row r="9" customFormat="false" ht="15" hidden="false" customHeight="false" outlineLevel="0" collapsed="false">
      <c r="A9" s="6" t="s">
        <v>75</v>
      </c>
      <c r="B9" s="6" t="s">
        <v>112</v>
      </c>
      <c r="C9" s="4" t="s">
        <v>113</v>
      </c>
      <c r="D9" s="25" t="n">
        <v>1668</v>
      </c>
      <c r="E9" s="17" t="n">
        <v>58.7</v>
      </c>
      <c r="F9" s="5" t="n">
        <v>5</v>
      </c>
      <c r="G9" s="5" t="n">
        <v>3</v>
      </c>
      <c r="H9" s="26" t="n">
        <v>34</v>
      </c>
      <c r="I9" s="4" t="s">
        <v>105</v>
      </c>
      <c r="J9" s="4" t="s">
        <v>106</v>
      </c>
    </row>
    <row r="10" customFormat="false" ht="15" hidden="false" customHeight="false" outlineLevel="0" collapsed="false">
      <c r="A10" s="6" t="s">
        <v>75</v>
      </c>
      <c r="B10" s="6" t="s">
        <v>114</v>
      </c>
      <c r="C10" s="4" t="s">
        <v>115</v>
      </c>
      <c r="D10" s="25" t="n">
        <v>1589</v>
      </c>
      <c r="E10" s="17" t="n">
        <v>73.8</v>
      </c>
      <c r="F10" s="5" t="n">
        <v>1</v>
      </c>
      <c r="G10" s="5" t="n">
        <v>6</v>
      </c>
      <c r="H10" s="26" t="n">
        <v>22</v>
      </c>
      <c r="I10" s="4" t="s">
        <v>105</v>
      </c>
      <c r="J10" s="4" t="s">
        <v>106</v>
      </c>
    </row>
    <row r="11" customFormat="false" ht="15" hidden="false" customHeight="false" outlineLevel="0" collapsed="false">
      <c r="A11" s="6" t="s">
        <v>75</v>
      </c>
      <c r="B11" s="6" t="s">
        <v>116</v>
      </c>
      <c r="C11" s="4" t="s">
        <v>117</v>
      </c>
      <c r="D11" s="25" t="n">
        <v>1482</v>
      </c>
      <c r="E11" s="17" t="n">
        <v>59.4</v>
      </c>
      <c r="F11" s="5" t="n">
        <v>5</v>
      </c>
      <c r="G11" s="5" t="n">
        <v>2</v>
      </c>
      <c r="H11" s="26" t="n">
        <v>35</v>
      </c>
      <c r="I11" s="4" t="s">
        <v>105</v>
      </c>
      <c r="J11" s="4" t="s">
        <v>106</v>
      </c>
    </row>
    <row r="12" customFormat="false" ht="15" hidden="false" customHeight="false" outlineLevel="0" collapsed="false">
      <c r="A12" s="6" t="s">
        <v>75</v>
      </c>
      <c r="B12" s="6" t="s">
        <v>118</v>
      </c>
      <c r="C12" s="6" t="s">
        <v>119</v>
      </c>
      <c r="D12" s="25" t="n">
        <v>1348</v>
      </c>
      <c r="E12" s="17" t="n">
        <v>98.2</v>
      </c>
      <c r="F12" s="5" t="n">
        <v>0</v>
      </c>
      <c r="G12" s="5" t="n">
        <v>5</v>
      </c>
      <c r="H12" s="26" t="n">
        <v>40</v>
      </c>
      <c r="I12" s="4" t="s">
        <v>105</v>
      </c>
      <c r="J12" s="4" t="s">
        <v>106</v>
      </c>
    </row>
    <row r="13" customFormat="false" ht="15" hidden="false" customHeight="false" outlineLevel="0" collapsed="false">
      <c r="A13" s="6" t="s">
        <v>75</v>
      </c>
      <c r="B13" s="6" t="s">
        <v>116</v>
      </c>
      <c r="C13" s="6" t="s">
        <v>120</v>
      </c>
      <c r="D13" s="25" t="n">
        <v>1343</v>
      </c>
      <c r="E13" s="17" t="n">
        <v>81.5</v>
      </c>
      <c r="F13" s="5" t="n">
        <v>5</v>
      </c>
      <c r="G13" s="5" t="n">
        <v>4</v>
      </c>
      <c r="H13" s="26" t="n">
        <v>37</v>
      </c>
      <c r="I13" s="4" t="s">
        <v>105</v>
      </c>
      <c r="J13" s="4" t="s">
        <v>106</v>
      </c>
    </row>
    <row r="14" customFormat="false" ht="15" hidden="false" customHeight="false" outlineLevel="0" collapsed="false">
      <c r="A14" s="6" t="s">
        <v>75</v>
      </c>
      <c r="B14" s="6" t="s">
        <v>116</v>
      </c>
      <c r="C14" s="4" t="s">
        <v>121</v>
      </c>
      <c r="D14" s="25" t="n">
        <v>1333</v>
      </c>
      <c r="E14" s="17" t="n">
        <v>58</v>
      </c>
      <c r="F14" s="5" t="n">
        <v>4</v>
      </c>
      <c r="G14" s="5" t="n">
        <v>5</v>
      </c>
      <c r="H14" s="26" t="n">
        <v>36</v>
      </c>
      <c r="I14" s="4" t="s">
        <v>105</v>
      </c>
      <c r="J14" s="4" t="s">
        <v>106</v>
      </c>
    </row>
    <row r="15" customFormat="false" ht="15" hidden="false" customHeight="false" outlineLevel="0" collapsed="false">
      <c r="A15" s="6" t="s">
        <v>90</v>
      </c>
      <c r="B15" s="6" t="s">
        <v>118</v>
      </c>
      <c r="C15" s="4" t="s">
        <v>122</v>
      </c>
      <c r="D15" s="25" t="n">
        <v>1203</v>
      </c>
      <c r="E15" s="17" t="n">
        <v>61.7</v>
      </c>
      <c r="F15" s="5" t="n">
        <v>5</v>
      </c>
      <c r="G15" s="5" t="n">
        <v>4</v>
      </c>
      <c r="H15" s="26" t="n">
        <v>33</v>
      </c>
      <c r="I15" s="4" t="s">
        <v>105</v>
      </c>
      <c r="J15" s="4" t="s">
        <v>106</v>
      </c>
    </row>
    <row r="16" customFormat="false" ht="15" hidden="false" customHeight="false" outlineLevel="0" collapsed="false">
      <c r="A16" s="6" t="s">
        <v>90</v>
      </c>
      <c r="B16" s="6" t="s">
        <v>110</v>
      </c>
      <c r="C16" s="4" t="s">
        <v>123</v>
      </c>
      <c r="D16" s="25" t="n">
        <v>1161</v>
      </c>
      <c r="E16" s="17" t="n">
        <v>26.6</v>
      </c>
      <c r="F16" s="5" t="n">
        <v>0</v>
      </c>
      <c r="G16" s="5" t="n">
        <v>7</v>
      </c>
      <c r="H16" s="26" t="n">
        <v>35</v>
      </c>
      <c r="I16" s="4" t="s">
        <v>105</v>
      </c>
      <c r="J16" s="4" t="s">
        <v>106</v>
      </c>
    </row>
    <row r="17" customFormat="false" ht="15" hidden="false" customHeight="false" outlineLevel="0" collapsed="false">
      <c r="A17" s="6" t="s">
        <v>81</v>
      </c>
      <c r="B17" s="6" t="s">
        <v>116</v>
      </c>
      <c r="C17" s="6" t="s">
        <v>124</v>
      </c>
      <c r="D17" s="25" t="n">
        <v>1115</v>
      </c>
      <c r="E17" s="17" t="n">
        <v>32.5</v>
      </c>
      <c r="F17" s="5" t="n">
        <v>0</v>
      </c>
      <c r="G17" s="5" t="n">
        <v>2</v>
      </c>
      <c r="H17" s="26" t="n">
        <v>4</v>
      </c>
      <c r="I17" s="4" t="s">
        <v>105</v>
      </c>
      <c r="J17" s="4" t="s">
        <v>106</v>
      </c>
    </row>
    <row r="18" customFormat="false" ht="15" hidden="false" customHeight="false" outlineLevel="0" collapsed="false">
      <c r="A18" s="6" t="s">
        <v>75</v>
      </c>
      <c r="B18" s="6" t="s">
        <v>125</v>
      </c>
      <c r="C18" s="4" t="s">
        <v>126</v>
      </c>
      <c r="D18" s="25" t="n">
        <v>1104</v>
      </c>
      <c r="E18" s="17" t="n">
        <v>50.6</v>
      </c>
      <c r="F18" s="5" t="n">
        <v>0</v>
      </c>
      <c r="G18" s="5" t="n">
        <v>3</v>
      </c>
      <c r="H18" s="26" t="n">
        <v>34</v>
      </c>
      <c r="I18" s="4" t="s">
        <v>105</v>
      </c>
      <c r="J18" s="4" t="s">
        <v>106</v>
      </c>
    </row>
    <row r="19" customFormat="false" ht="15" hidden="false" customHeight="false" outlineLevel="0" collapsed="false">
      <c r="A19" s="6" t="s">
        <v>81</v>
      </c>
      <c r="B19" s="6" t="s">
        <v>118</v>
      </c>
      <c r="C19" s="6" t="s">
        <v>127</v>
      </c>
      <c r="D19" s="25" t="n">
        <v>1074</v>
      </c>
      <c r="E19" s="17" t="n">
        <v>98.9</v>
      </c>
      <c r="F19" s="5" t="n">
        <v>0</v>
      </c>
      <c r="G19" s="5" t="n">
        <v>5</v>
      </c>
      <c r="H19" s="26" t="n">
        <v>4</v>
      </c>
      <c r="I19" s="4" t="s">
        <v>105</v>
      </c>
      <c r="J19" s="4" t="s">
        <v>106</v>
      </c>
    </row>
    <row r="20" customFormat="false" ht="15" hidden="false" customHeight="false" outlineLevel="0" collapsed="false">
      <c r="A20" s="6" t="s">
        <v>87</v>
      </c>
      <c r="B20" s="6" t="s">
        <v>112</v>
      </c>
      <c r="C20" s="6" t="s">
        <v>128</v>
      </c>
      <c r="D20" s="25" t="n">
        <v>1060</v>
      </c>
      <c r="E20" s="17" t="n">
        <v>28.6</v>
      </c>
      <c r="F20" s="5" t="n">
        <v>0</v>
      </c>
      <c r="G20" s="5" t="n">
        <v>4</v>
      </c>
      <c r="H20" s="26" t="n">
        <v>8</v>
      </c>
      <c r="I20" s="4" t="s">
        <v>105</v>
      </c>
      <c r="J20" s="4" t="s">
        <v>106</v>
      </c>
    </row>
    <row r="21" customFormat="false" ht="15" hidden="false" customHeight="false" outlineLevel="0" collapsed="false">
      <c r="A21" s="6" t="s">
        <v>78</v>
      </c>
      <c r="B21" s="6" t="s">
        <v>118</v>
      </c>
      <c r="C21" s="4" t="s">
        <v>129</v>
      </c>
      <c r="D21" s="25" t="n">
        <v>1059</v>
      </c>
      <c r="E21" s="17" t="n">
        <v>23.6</v>
      </c>
      <c r="F21" s="5" t="n">
        <v>5</v>
      </c>
      <c r="G21" s="5" t="n">
        <v>2</v>
      </c>
      <c r="H21" s="26" t="n">
        <v>5</v>
      </c>
      <c r="I21" s="4" t="s">
        <v>105</v>
      </c>
      <c r="J21" s="4" t="s">
        <v>106</v>
      </c>
    </row>
    <row r="22" customFormat="false" ht="15" hidden="false" customHeight="false" outlineLevel="0" collapsed="false">
      <c r="A22" s="6" t="s">
        <v>90</v>
      </c>
      <c r="B22" s="6" t="s">
        <v>130</v>
      </c>
      <c r="C22" s="4" t="s">
        <v>131</v>
      </c>
      <c r="D22" s="25" t="n">
        <v>1058</v>
      </c>
      <c r="E22" s="17" t="n">
        <v>33</v>
      </c>
      <c r="F22" s="5" t="n">
        <v>0</v>
      </c>
      <c r="G22" s="5" t="n">
        <v>3</v>
      </c>
      <c r="H22" s="26" t="n">
        <v>31</v>
      </c>
      <c r="I22" s="4" t="s">
        <v>106</v>
      </c>
      <c r="J22" s="4" t="s">
        <v>106</v>
      </c>
    </row>
    <row r="23" customFormat="false" ht="15" hidden="false" customHeight="false" outlineLevel="0" collapsed="false">
      <c r="A23" s="6" t="s">
        <v>78</v>
      </c>
      <c r="B23" s="6" t="s">
        <v>116</v>
      </c>
      <c r="C23" s="4" t="s">
        <v>132</v>
      </c>
      <c r="D23" s="25" t="n">
        <v>1051</v>
      </c>
      <c r="E23" s="17" t="n">
        <v>31.9</v>
      </c>
      <c r="F23" s="5" t="n">
        <v>6</v>
      </c>
      <c r="G23" s="5" t="n">
        <v>3</v>
      </c>
      <c r="H23" s="26" t="n">
        <v>5</v>
      </c>
      <c r="I23" s="4" t="s">
        <v>105</v>
      </c>
      <c r="J23" s="4" t="s">
        <v>106</v>
      </c>
    </row>
    <row r="24" customFormat="false" ht="15" hidden="false" customHeight="false" outlineLevel="0" collapsed="false">
      <c r="A24" s="6" t="s">
        <v>78</v>
      </c>
      <c r="B24" s="6" t="s">
        <v>133</v>
      </c>
      <c r="C24" s="6" t="s">
        <v>134</v>
      </c>
      <c r="D24" s="25" t="n">
        <v>1048</v>
      </c>
      <c r="E24" s="17" t="n">
        <v>38.6</v>
      </c>
      <c r="F24" s="5" t="n">
        <v>2</v>
      </c>
      <c r="G24" s="5" t="n">
        <v>6</v>
      </c>
      <c r="H24" s="26" t="n">
        <v>29</v>
      </c>
      <c r="I24" s="4" t="s">
        <v>105</v>
      </c>
      <c r="J24" s="4" t="s">
        <v>106</v>
      </c>
    </row>
    <row r="25" customFormat="false" ht="15" hidden="false" customHeight="false" outlineLevel="0" collapsed="false">
      <c r="A25" s="6" t="s">
        <v>84</v>
      </c>
      <c r="B25" s="6" t="s">
        <v>118</v>
      </c>
      <c r="C25" s="6" t="s">
        <v>135</v>
      </c>
      <c r="D25" s="25" t="n">
        <v>1046</v>
      </c>
      <c r="E25" s="17" t="n">
        <v>39.3</v>
      </c>
      <c r="F25" s="5" t="n">
        <v>0</v>
      </c>
      <c r="G25" s="5" t="n">
        <v>3</v>
      </c>
      <c r="H25" s="26" t="n">
        <v>8</v>
      </c>
      <c r="I25" s="4" t="s">
        <v>105</v>
      </c>
      <c r="J25" s="4" t="s">
        <v>106</v>
      </c>
    </row>
    <row r="26" customFormat="false" ht="15" hidden="false" customHeight="false" outlineLevel="0" collapsed="false">
      <c r="A26" s="6" t="s">
        <v>87</v>
      </c>
      <c r="B26" s="6" t="s">
        <v>116</v>
      </c>
      <c r="C26" s="6" t="s">
        <v>136</v>
      </c>
      <c r="D26" s="25" t="n">
        <v>1046</v>
      </c>
      <c r="E26" s="17" t="n">
        <v>33.1</v>
      </c>
      <c r="F26" s="5" t="n">
        <v>0</v>
      </c>
      <c r="G26" s="5" t="n">
        <v>4</v>
      </c>
      <c r="H26" s="26" t="n">
        <v>8</v>
      </c>
      <c r="I26" s="4" t="s">
        <v>105</v>
      </c>
      <c r="J26" s="4" t="s">
        <v>106</v>
      </c>
    </row>
    <row r="27" customFormat="false" ht="15" hidden="false" customHeight="false" outlineLevel="0" collapsed="false">
      <c r="A27" s="6" t="s">
        <v>90</v>
      </c>
      <c r="B27" s="6" t="s">
        <v>125</v>
      </c>
      <c r="C27" s="4" t="s">
        <v>137</v>
      </c>
      <c r="D27" s="25" t="n">
        <v>1039</v>
      </c>
      <c r="E27" s="17" t="n">
        <v>32.5</v>
      </c>
      <c r="F27" s="5" t="n">
        <v>4</v>
      </c>
      <c r="G27" s="5" t="n">
        <v>3</v>
      </c>
      <c r="H27" s="26" t="n">
        <v>35</v>
      </c>
      <c r="I27" s="4" t="s">
        <v>105</v>
      </c>
      <c r="J27" s="4" t="s">
        <v>106</v>
      </c>
    </row>
    <row r="28" customFormat="false" ht="15" hidden="false" customHeight="false" outlineLevel="0" collapsed="false">
      <c r="A28" s="6" t="s">
        <v>75</v>
      </c>
      <c r="B28" s="6" t="s">
        <v>125</v>
      </c>
      <c r="C28" s="4" t="s">
        <v>138</v>
      </c>
      <c r="D28" s="25" t="n">
        <v>1020</v>
      </c>
      <c r="E28" s="17" t="n">
        <v>36.3</v>
      </c>
      <c r="F28" s="5" t="n">
        <v>0</v>
      </c>
      <c r="G28" s="5" t="n">
        <v>1</v>
      </c>
      <c r="H28" s="26" t="n">
        <v>37</v>
      </c>
      <c r="I28" s="4" t="s">
        <v>105</v>
      </c>
      <c r="J28" s="4" t="s">
        <v>106</v>
      </c>
    </row>
    <row r="29" customFormat="false" ht="15" hidden="false" customHeight="false" outlineLevel="0" collapsed="false">
      <c r="A29" s="6" t="s">
        <v>87</v>
      </c>
      <c r="B29" s="6" t="s">
        <v>118</v>
      </c>
      <c r="C29" s="6" t="s">
        <v>139</v>
      </c>
      <c r="D29" s="25" t="n">
        <v>1016</v>
      </c>
      <c r="E29" s="17" t="n">
        <v>38.2</v>
      </c>
      <c r="F29" s="5" t="n">
        <v>0</v>
      </c>
      <c r="G29" s="5" t="n">
        <v>6</v>
      </c>
      <c r="H29" s="26" t="n">
        <v>8</v>
      </c>
      <c r="I29" s="4" t="s">
        <v>105</v>
      </c>
      <c r="J29" s="4" t="s">
        <v>106</v>
      </c>
    </row>
    <row r="30" customFormat="false" ht="15" hidden="false" customHeight="false" outlineLevel="0" collapsed="false">
      <c r="A30" s="6" t="s">
        <v>78</v>
      </c>
      <c r="B30" s="6" t="s">
        <v>110</v>
      </c>
      <c r="C30" s="4" t="s">
        <v>140</v>
      </c>
      <c r="D30" s="25" t="n">
        <v>1010</v>
      </c>
      <c r="E30" s="17" t="n">
        <v>25.2</v>
      </c>
      <c r="F30" s="5" t="n">
        <v>0</v>
      </c>
      <c r="G30" s="5" t="n">
        <v>3</v>
      </c>
      <c r="H30" s="26" t="n">
        <v>5</v>
      </c>
      <c r="I30" s="4" t="s">
        <v>105</v>
      </c>
      <c r="J30" s="4" t="s">
        <v>106</v>
      </c>
    </row>
    <row r="31" customFormat="false" ht="15" hidden="false" customHeight="false" outlineLevel="0" collapsed="false">
      <c r="A31" s="6" t="s">
        <v>84</v>
      </c>
      <c r="B31" s="6" t="s">
        <v>110</v>
      </c>
      <c r="C31" s="6" t="s">
        <v>141</v>
      </c>
      <c r="D31" s="25" t="n">
        <v>1006</v>
      </c>
      <c r="E31" s="17" t="n">
        <v>25.9</v>
      </c>
      <c r="F31" s="5" t="n">
        <v>9</v>
      </c>
      <c r="G31" s="5" t="n">
        <v>1</v>
      </c>
      <c r="H31" s="26" t="n">
        <v>8</v>
      </c>
      <c r="I31" s="4" t="s">
        <v>105</v>
      </c>
      <c r="J31" s="4" t="s">
        <v>106</v>
      </c>
    </row>
    <row r="32" customFormat="false" ht="15" hidden="false" customHeight="false" outlineLevel="0" collapsed="false">
      <c r="A32" s="6" t="s">
        <v>78</v>
      </c>
      <c r="B32" s="6" t="s">
        <v>114</v>
      </c>
      <c r="C32" s="6" t="s">
        <v>142</v>
      </c>
      <c r="D32" s="25" t="n">
        <v>1006</v>
      </c>
      <c r="E32" s="17" t="n">
        <v>44.2</v>
      </c>
      <c r="F32" s="5" t="n">
        <v>1</v>
      </c>
      <c r="G32" s="5" t="n">
        <v>7</v>
      </c>
      <c r="H32" s="26" t="n">
        <v>18</v>
      </c>
      <c r="I32" s="4" t="s">
        <v>105</v>
      </c>
      <c r="J32" s="4" t="s">
        <v>106</v>
      </c>
    </row>
    <row r="33" customFormat="false" ht="15" hidden="false" customHeight="false" outlineLevel="0" collapsed="false">
      <c r="A33" s="6" t="s">
        <v>75</v>
      </c>
      <c r="B33" s="6" t="s">
        <v>130</v>
      </c>
      <c r="C33" s="6" t="s">
        <v>143</v>
      </c>
      <c r="D33" s="25" t="n">
        <v>1005</v>
      </c>
      <c r="E33" s="17" t="n">
        <v>46.8</v>
      </c>
      <c r="F33" s="5" t="n">
        <v>8</v>
      </c>
      <c r="G33" s="5" t="n">
        <v>4</v>
      </c>
      <c r="H33" s="26" t="n">
        <v>33</v>
      </c>
      <c r="I33" s="4" t="s">
        <v>105</v>
      </c>
      <c r="J33" s="4" t="s">
        <v>106</v>
      </c>
    </row>
    <row r="34" customFormat="false" ht="15" hidden="false" customHeight="false" outlineLevel="0" collapsed="false">
      <c r="A34" s="6" t="s">
        <v>84</v>
      </c>
      <c r="B34" s="6" t="s">
        <v>125</v>
      </c>
      <c r="C34" s="6" t="s">
        <v>144</v>
      </c>
      <c r="D34" s="25" t="n">
        <v>1004</v>
      </c>
      <c r="E34" s="17" t="n">
        <v>41</v>
      </c>
      <c r="F34" s="5" t="n">
        <v>0</v>
      </c>
      <c r="G34" s="5" t="n">
        <v>2</v>
      </c>
      <c r="H34" s="26" t="n">
        <v>8</v>
      </c>
      <c r="I34" s="4" t="s">
        <v>105</v>
      </c>
      <c r="J34" s="4" t="s">
        <v>106</v>
      </c>
    </row>
    <row r="35" customFormat="false" ht="15" hidden="false" customHeight="false" outlineLevel="0" collapsed="false">
      <c r="A35" s="6" t="s">
        <v>78</v>
      </c>
      <c r="B35" s="6" t="s">
        <v>103</v>
      </c>
      <c r="C35" s="4" t="s">
        <v>145</v>
      </c>
      <c r="D35" s="25" t="n">
        <v>1003</v>
      </c>
      <c r="E35" s="17" t="n">
        <v>24.9</v>
      </c>
      <c r="F35" s="5" t="n">
        <v>0</v>
      </c>
      <c r="G35" s="5" t="n">
        <v>7</v>
      </c>
      <c r="H35" s="26" t="n">
        <v>5</v>
      </c>
      <c r="I35" s="4" t="s">
        <v>105</v>
      </c>
      <c r="J35" s="4" t="s">
        <v>106</v>
      </c>
    </row>
    <row r="36" customFormat="false" ht="15" hidden="false" customHeight="false" outlineLevel="0" collapsed="false">
      <c r="A36" s="6" t="s">
        <v>78</v>
      </c>
      <c r="B36" s="6" t="s">
        <v>125</v>
      </c>
      <c r="C36" s="4" t="s">
        <v>146</v>
      </c>
      <c r="D36" s="5" t="n">
        <v>992</v>
      </c>
      <c r="E36" s="17" t="n">
        <v>28.3</v>
      </c>
      <c r="F36" s="5" t="n">
        <v>0</v>
      </c>
      <c r="G36" s="5" t="n">
        <v>8</v>
      </c>
      <c r="H36" s="26" t="n">
        <v>5</v>
      </c>
      <c r="I36" s="4" t="s">
        <v>105</v>
      </c>
      <c r="J36" s="4" t="s">
        <v>106</v>
      </c>
    </row>
    <row r="37" customFormat="false" ht="15" hidden="false" customHeight="false" outlineLevel="0" collapsed="false">
      <c r="A37" s="6" t="s">
        <v>87</v>
      </c>
      <c r="B37" s="6" t="s">
        <v>130</v>
      </c>
      <c r="C37" s="4" t="s">
        <v>147</v>
      </c>
      <c r="D37" s="5" t="n">
        <v>990</v>
      </c>
      <c r="E37" s="17" t="n">
        <v>32.6</v>
      </c>
      <c r="F37" s="5" t="n">
        <v>0</v>
      </c>
      <c r="G37" s="5" t="n">
        <v>4</v>
      </c>
      <c r="H37" s="26" t="n">
        <v>29</v>
      </c>
      <c r="I37" s="4" t="s">
        <v>105</v>
      </c>
      <c r="J37" s="4" t="s">
        <v>106</v>
      </c>
    </row>
    <row r="38" customFormat="false" ht="15" hidden="false" customHeight="false" outlineLevel="0" collapsed="false">
      <c r="A38" s="6" t="s">
        <v>78</v>
      </c>
      <c r="B38" s="6" t="s">
        <v>107</v>
      </c>
      <c r="C38" s="4" t="s">
        <v>148</v>
      </c>
      <c r="D38" s="5" t="n">
        <v>985</v>
      </c>
      <c r="E38" s="17" t="n">
        <v>67.6</v>
      </c>
      <c r="F38" s="5" t="n">
        <v>7</v>
      </c>
      <c r="G38" s="5" t="n">
        <v>5</v>
      </c>
      <c r="H38" s="26" t="n">
        <v>30</v>
      </c>
      <c r="I38" s="4" t="s">
        <v>105</v>
      </c>
      <c r="J38" s="4" t="s">
        <v>106</v>
      </c>
    </row>
    <row r="39" customFormat="false" ht="15" hidden="false" customHeight="false" outlineLevel="0" collapsed="false">
      <c r="A39" s="6" t="s">
        <v>78</v>
      </c>
      <c r="B39" s="6" t="s">
        <v>103</v>
      </c>
      <c r="C39" s="4" t="s">
        <v>149</v>
      </c>
      <c r="D39" s="5" t="n">
        <v>982</v>
      </c>
      <c r="E39" s="17" t="n">
        <v>33.8</v>
      </c>
      <c r="F39" s="5" t="n">
        <v>14</v>
      </c>
      <c r="G39" s="5" t="n">
        <v>6</v>
      </c>
      <c r="H39" s="26" t="n">
        <v>37</v>
      </c>
      <c r="I39" s="4" t="s">
        <v>105</v>
      </c>
      <c r="J39" s="4" t="s">
        <v>106</v>
      </c>
    </row>
    <row r="40" customFormat="false" ht="15" hidden="false" customHeight="false" outlineLevel="0" collapsed="false">
      <c r="A40" s="6" t="s">
        <v>75</v>
      </c>
      <c r="B40" s="6" t="s">
        <v>133</v>
      </c>
      <c r="C40" s="4" t="s">
        <v>150</v>
      </c>
      <c r="D40" s="5" t="n">
        <v>979</v>
      </c>
      <c r="E40" s="17" t="n">
        <v>44.2</v>
      </c>
      <c r="F40" s="5" t="n">
        <v>0</v>
      </c>
      <c r="G40" s="5" t="n">
        <v>1</v>
      </c>
      <c r="H40" s="26" t="n">
        <v>23</v>
      </c>
      <c r="I40" s="4" t="s">
        <v>105</v>
      </c>
      <c r="J40" s="4" t="s">
        <v>106</v>
      </c>
    </row>
    <row r="41" customFormat="false" ht="15" hidden="false" customHeight="false" outlineLevel="0" collapsed="false">
      <c r="A41" s="6" t="s">
        <v>90</v>
      </c>
      <c r="B41" s="6" t="s">
        <v>103</v>
      </c>
      <c r="C41" s="4" t="s">
        <v>151</v>
      </c>
      <c r="D41" s="5" t="n">
        <v>962</v>
      </c>
      <c r="E41" s="17" t="n">
        <v>34.6</v>
      </c>
      <c r="F41" s="5" t="n">
        <v>0</v>
      </c>
      <c r="G41" s="5" t="n">
        <v>5</v>
      </c>
      <c r="H41" s="26" t="n">
        <v>31</v>
      </c>
      <c r="I41" s="4" t="s">
        <v>106</v>
      </c>
      <c r="J41" s="4" t="s">
        <v>106</v>
      </c>
    </row>
    <row r="42" customFormat="false" ht="15" hidden="false" customHeight="false" outlineLevel="0" collapsed="false">
      <c r="A42" s="6" t="s">
        <v>78</v>
      </c>
      <c r="B42" s="6" t="s">
        <v>125</v>
      </c>
      <c r="C42" s="6" t="s">
        <v>152</v>
      </c>
      <c r="D42" s="5" t="n">
        <v>961</v>
      </c>
      <c r="E42" s="17" t="n">
        <v>60</v>
      </c>
      <c r="F42" s="5" t="n">
        <v>8</v>
      </c>
      <c r="G42" s="5" t="n">
        <v>1</v>
      </c>
      <c r="H42" s="26" t="n">
        <v>35</v>
      </c>
      <c r="I42" s="4" t="s">
        <v>105</v>
      </c>
      <c r="J42" s="4" t="s">
        <v>106</v>
      </c>
    </row>
    <row r="43" customFormat="false" ht="15" hidden="false" customHeight="false" outlineLevel="0" collapsed="false">
      <c r="A43" s="6" t="s">
        <v>90</v>
      </c>
      <c r="B43" s="6" t="s">
        <v>107</v>
      </c>
      <c r="C43" s="4" t="s">
        <v>153</v>
      </c>
      <c r="D43" s="5" t="n">
        <v>957</v>
      </c>
      <c r="E43" s="17" t="n">
        <v>146.1</v>
      </c>
      <c r="F43" s="5" t="n">
        <v>0</v>
      </c>
      <c r="G43" s="5" t="n">
        <v>3</v>
      </c>
      <c r="H43" s="26" t="n">
        <v>26</v>
      </c>
      <c r="I43" s="4" t="s">
        <v>105</v>
      </c>
      <c r="J43" s="4" t="s">
        <v>106</v>
      </c>
    </row>
    <row r="44" customFormat="false" ht="15" hidden="false" customHeight="false" outlineLevel="0" collapsed="false">
      <c r="A44" s="6" t="s">
        <v>78</v>
      </c>
      <c r="B44" s="6" t="s">
        <v>107</v>
      </c>
      <c r="C44" s="4" t="s">
        <v>154</v>
      </c>
      <c r="D44" s="5" t="n">
        <v>954</v>
      </c>
      <c r="E44" s="17" t="n">
        <v>29.6</v>
      </c>
      <c r="F44" s="5" t="n">
        <v>6</v>
      </c>
      <c r="G44" s="5" t="n">
        <v>4</v>
      </c>
      <c r="H44" s="26" t="n">
        <v>37</v>
      </c>
      <c r="I44" s="4" t="s">
        <v>105</v>
      </c>
      <c r="J44" s="4" t="s">
        <v>106</v>
      </c>
    </row>
    <row r="45" customFormat="false" ht="15" hidden="false" customHeight="false" outlineLevel="0" collapsed="false">
      <c r="A45" s="6" t="s">
        <v>84</v>
      </c>
      <c r="B45" s="6" t="s">
        <v>107</v>
      </c>
      <c r="C45" s="6" t="s">
        <v>155</v>
      </c>
      <c r="D45" s="5" t="n">
        <v>953</v>
      </c>
      <c r="E45" s="17" t="n">
        <v>37</v>
      </c>
      <c r="F45" s="5" t="n">
        <v>6</v>
      </c>
      <c r="G45" s="5" t="n">
        <v>2</v>
      </c>
      <c r="H45" s="26" t="n">
        <v>31</v>
      </c>
      <c r="I45" s="4" t="s">
        <v>105</v>
      </c>
      <c r="J45" s="4" t="s">
        <v>106</v>
      </c>
    </row>
    <row r="46" customFormat="false" ht="15" hidden="false" customHeight="false" outlineLevel="0" collapsed="false">
      <c r="A46" s="6" t="s">
        <v>78</v>
      </c>
      <c r="B46" s="6" t="s">
        <v>116</v>
      </c>
      <c r="C46" s="4" t="s">
        <v>156</v>
      </c>
      <c r="D46" s="5" t="n">
        <v>949</v>
      </c>
      <c r="E46" s="17" t="n">
        <v>26.9</v>
      </c>
      <c r="F46" s="5" t="n">
        <v>0</v>
      </c>
      <c r="G46" s="5" t="n">
        <v>4</v>
      </c>
      <c r="H46" s="26" t="n">
        <v>5</v>
      </c>
      <c r="I46" s="4" t="s">
        <v>105</v>
      </c>
      <c r="J46" s="4" t="s">
        <v>106</v>
      </c>
    </row>
    <row r="47" customFormat="false" ht="15" hidden="false" customHeight="false" outlineLevel="0" collapsed="false">
      <c r="A47" s="6" t="s">
        <v>78</v>
      </c>
      <c r="B47" s="6" t="s">
        <v>157</v>
      </c>
      <c r="C47" s="6" t="s">
        <v>158</v>
      </c>
      <c r="D47" s="5" t="n">
        <v>946</v>
      </c>
      <c r="E47" s="17" t="n">
        <v>38.1</v>
      </c>
      <c r="F47" s="5" t="n">
        <v>8</v>
      </c>
      <c r="G47" s="5" t="n">
        <v>1</v>
      </c>
      <c r="H47" s="26" t="n">
        <v>31</v>
      </c>
      <c r="I47" s="4" t="s">
        <v>105</v>
      </c>
      <c r="J47" s="4" t="s">
        <v>106</v>
      </c>
    </row>
    <row r="48" customFormat="false" ht="15" hidden="false" customHeight="false" outlineLevel="0" collapsed="false">
      <c r="A48" s="6" t="s">
        <v>78</v>
      </c>
      <c r="B48" s="6" t="s">
        <v>112</v>
      </c>
      <c r="C48" s="4" t="s">
        <v>159</v>
      </c>
      <c r="D48" s="5" t="n">
        <v>945</v>
      </c>
      <c r="E48" s="17" t="n">
        <v>32.8</v>
      </c>
      <c r="F48" s="5" t="n">
        <v>0</v>
      </c>
      <c r="G48" s="5" t="n">
        <v>0</v>
      </c>
      <c r="H48" s="26" t="n">
        <v>39</v>
      </c>
      <c r="I48" s="4" t="s">
        <v>105</v>
      </c>
      <c r="J48" s="4" t="s">
        <v>106</v>
      </c>
    </row>
    <row r="49" customFormat="false" ht="15" hidden="false" customHeight="false" outlineLevel="0" collapsed="false">
      <c r="A49" s="6" t="s">
        <v>81</v>
      </c>
      <c r="B49" s="6" t="s">
        <v>103</v>
      </c>
      <c r="C49" s="6" t="s">
        <v>160</v>
      </c>
      <c r="D49" s="5" t="n">
        <v>944</v>
      </c>
      <c r="E49" s="17" t="n">
        <v>41.7</v>
      </c>
      <c r="F49" s="5" t="n">
        <v>0</v>
      </c>
      <c r="G49" s="5" t="n">
        <v>7</v>
      </c>
      <c r="H49" s="26" t="n">
        <v>4</v>
      </c>
      <c r="I49" s="4" t="s">
        <v>105</v>
      </c>
      <c r="J49" s="4" t="s">
        <v>106</v>
      </c>
    </row>
    <row r="50" customFormat="false" ht="15" hidden="false" customHeight="false" outlineLevel="0" collapsed="false">
      <c r="A50" s="6" t="s">
        <v>84</v>
      </c>
      <c r="B50" s="6" t="s">
        <v>116</v>
      </c>
      <c r="C50" s="6" t="s">
        <v>161</v>
      </c>
      <c r="D50" s="5" t="n">
        <v>934</v>
      </c>
      <c r="E50" s="17" t="n">
        <v>39.4</v>
      </c>
      <c r="F50" s="5" t="n">
        <v>0</v>
      </c>
      <c r="G50" s="5" t="n">
        <v>3</v>
      </c>
      <c r="H50" s="26" t="n">
        <v>8</v>
      </c>
      <c r="I50" s="4" t="s">
        <v>105</v>
      </c>
      <c r="J50" s="4" t="s">
        <v>106</v>
      </c>
    </row>
    <row r="51" customFormat="false" ht="15" hidden="false" customHeight="false" outlineLevel="0" collapsed="false">
      <c r="A51" s="6" t="s">
        <v>90</v>
      </c>
      <c r="B51" s="6" t="s">
        <v>116</v>
      </c>
      <c r="C51" s="4" t="s">
        <v>162</v>
      </c>
      <c r="D51" s="5" t="n">
        <v>928</v>
      </c>
      <c r="E51" s="17" t="n">
        <v>30.7</v>
      </c>
      <c r="F51" s="5" t="n">
        <v>0</v>
      </c>
      <c r="G51" s="5" t="n">
        <v>4</v>
      </c>
      <c r="H51" s="26" t="n">
        <v>28</v>
      </c>
      <c r="I51" s="4" t="s">
        <v>105</v>
      </c>
      <c r="J51" s="4" t="s">
        <v>106</v>
      </c>
    </row>
    <row r="52" customFormat="false" ht="15" hidden="false" customHeight="false" outlineLevel="0" collapsed="false">
      <c r="A52" s="6" t="s">
        <v>84</v>
      </c>
      <c r="B52" s="6" t="s">
        <v>103</v>
      </c>
      <c r="C52" s="6" t="s">
        <v>163</v>
      </c>
      <c r="D52" s="5" t="n">
        <v>921</v>
      </c>
      <c r="E52" s="17" t="n">
        <v>25</v>
      </c>
      <c r="F52" s="5" t="n">
        <v>0</v>
      </c>
      <c r="G52" s="5" t="n">
        <v>1</v>
      </c>
      <c r="H52" s="26" t="n">
        <v>8</v>
      </c>
      <c r="I52" s="4" t="s">
        <v>105</v>
      </c>
      <c r="J52" s="4" t="s">
        <v>106</v>
      </c>
    </row>
    <row r="53" customFormat="false" ht="15" hidden="false" customHeight="false" outlineLevel="0" collapsed="false">
      <c r="A53" s="6" t="s">
        <v>90</v>
      </c>
      <c r="B53" s="6" t="s">
        <v>114</v>
      </c>
      <c r="C53" s="4" t="s">
        <v>164</v>
      </c>
      <c r="D53" s="5" t="n">
        <v>914</v>
      </c>
      <c r="E53" s="17" t="n">
        <v>38.6</v>
      </c>
      <c r="F53" s="5" t="n">
        <v>2</v>
      </c>
      <c r="G53" s="5" t="n">
        <v>1</v>
      </c>
      <c r="H53" s="26" t="n">
        <v>27</v>
      </c>
      <c r="I53" s="4" t="s">
        <v>105</v>
      </c>
      <c r="J53" s="4" t="s">
        <v>106</v>
      </c>
    </row>
    <row r="54" customFormat="false" ht="15" hidden="false" customHeight="false" outlineLevel="0" collapsed="false">
      <c r="A54" s="6" t="s">
        <v>90</v>
      </c>
      <c r="B54" s="6" t="s">
        <v>125</v>
      </c>
      <c r="C54" s="4" t="s">
        <v>165</v>
      </c>
      <c r="D54" s="5" t="n">
        <v>909</v>
      </c>
      <c r="E54" s="17" t="n">
        <v>27.1</v>
      </c>
      <c r="F54" s="5" t="n">
        <v>0</v>
      </c>
      <c r="G54" s="5" t="n">
        <v>2</v>
      </c>
      <c r="H54" s="26" t="n">
        <v>33</v>
      </c>
      <c r="I54" s="4" t="s">
        <v>106</v>
      </c>
      <c r="J54" s="4" t="s">
        <v>106</v>
      </c>
    </row>
    <row r="55" customFormat="false" ht="15" hidden="false" customHeight="false" outlineLevel="0" collapsed="false">
      <c r="A55" s="6" t="s">
        <v>78</v>
      </c>
      <c r="B55" s="6" t="s">
        <v>114</v>
      </c>
      <c r="C55" s="6" t="s">
        <v>166</v>
      </c>
      <c r="D55" s="5" t="n">
        <v>902</v>
      </c>
      <c r="E55" s="17" t="n">
        <v>36.9</v>
      </c>
      <c r="F55" s="5" t="n">
        <v>1</v>
      </c>
      <c r="G55" s="5" t="n">
        <v>6</v>
      </c>
      <c r="H55" s="26" t="n">
        <v>21</v>
      </c>
      <c r="I55" s="4" t="s">
        <v>105</v>
      </c>
      <c r="J55" s="4" t="s">
        <v>106</v>
      </c>
    </row>
    <row r="56" customFormat="false" ht="15" hidden="false" customHeight="false" outlineLevel="0" collapsed="false">
      <c r="A56" s="6" t="s">
        <v>81</v>
      </c>
      <c r="B56" s="6" t="s">
        <v>107</v>
      </c>
      <c r="C56" s="6" t="s">
        <v>167</v>
      </c>
      <c r="D56" s="5" t="n">
        <v>901</v>
      </c>
      <c r="E56" s="17" t="n">
        <v>53.4</v>
      </c>
      <c r="F56" s="5" t="n">
        <v>6</v>
      </c>
      <c r="G56" s="5" t="n">
        <v>6</v>
      </c>
      <c r="H56" s="26" t="n">
        <v>27</v>
      </c>
      <c r="I56" s="4" t="s">
        <v>105</v>
      </c>
      <c r="J56" s="4" t="s">
        <v>106</v>
      </c>
    </row>
    <row r="57" customFormat="false" ht="15" hidden="false" customHeight="false" outlineLevel="0" collapsed="false">
      <c r="A57" s="6" t="s">
        <v>87</v>
      </c>
      <c r="B57" s="6" t="s">
        <v>107</v>
      </c>
      <c r="C57" s="6" t="s">
        <v>168</v>
      </c>
      <c r="D57" s="5" t="n">
        <v>894</v>
      </c>
      <c r="E57" s="17" t="n">
        <v>80.7</v>
      </c>
      <c r="F57" s="5" t="n">
        <v>6</v>
      </c>
      <c r="G57" s="5" t="n">
        <v>5</v>
      </c>
      <c r="H57" s="26" t="n">
        <v>30</v>
      </c>
      <c r="I57" s="4" t="s">
        <v>105</v>
      </c>
      <c r="J57" s="4" t="s">
        <v>106</v>
      </c>
    </row>
    <row r="58" customFormat="false" ht="15" hidden="false" customHeight="false" outlineLevel="0" collapsed="false">
      <c r="A58" s="6" t="s">
        <v>81</v>
      </c>
      <c r="B58" s="6" t="s">
        <v>114</v>
      </c>
      <c r="C58" s="4" t="s">
        <v>169</v>
      </c>
      <c r="D58" s="5" t="n">
        <v>885</v>
      </c>
      <c r="E58" s="17" t="n">
        <v>40.5</v>
      </c>
      <c r="F58" s="5" t="n">
        <v>1</v>
      </c>
      <c r="G58" s="5" t="n">
        <v>10</v>
      </c>
      <c r="H58" s="26" t="n">
        <v>15</v>
      </c>
      <c r="I58" s="4" t="s">
        <v>105</v>
      </c>
      <c r="J58" s="4" t="s">
        <v>106</v>
      </c>
    </row>
    <row r="59" customFormat="false" ht="15" hidden="false" customHeight="false" outlineLevel="0" collapsed="false">
      <c r="A59" s="6" t="s">
        <v>84</v>
      </c>
      <c r="B59" s="6" t="s">
        <v>130</v>
      </c>
      <c r="C59" s="4" t="s">
        <v>170</v>
      </c>
      <c r="D59" s="5" t="n">
        <v>883</v>
      </c>
      <c r="E59" s="17" t="n">
        <v>46.1</v>
      </c>
      <c r="F59" s="5" t="n">
        <v>0</v>
      </c>
      <c r="G59" s="5" t="n">
        <v>4</v>
      </c>
      <c r="H59" s="26" t="n">
        <v>23</v>
      </c>
      <c r="I59" s="4" t="s">
        <v>105</v>
      </c>
      <c r="J59" s="4" t="s">
        <v>106</v>
      </c>
    </row>
    <row r="60" customFormat="false" ht="15" hidden="false" customHeight="false" outlineLevel="0" collapsed="false">
      <c r="A60" s="6" t="s">
        <v>90</v>
      </c>
      <c r="B60" s="6" t="s">
        <v>116</v>
      </c>
      <c r="C60" s="4" t="s">
        <v>171</v>
      </c>
      <c r="D60" s="5" t="n">
        <v>882</v>
      </c>
      <c r="E60" s="17" t="n">
        <v>35.8</v>
      </c>
      <c r="F60" s="5" t="n">
        <v>0</v>
      </c>
      <c r="G60" s="5" t="n">
        <v>1</v>
      </c>
      <c r="H60" s="26" t="n">
        <v>26</v>
      </c>
      <c r="I60" s="4" t="s">
        <v>105</v>
      </c>
      <c r="J60" s="4" t="s">
        <v>106</v>
      </c>
    </row>
    <row r="61" customFormat="false" ht="15" hidden="false" customHeight="false" outlineLevel="0" collapsed="false">
      <c r="A61" s="6" t="s">
        <v>81</v>
      </c>
      <c r="B61" s="6" t="s">
        <v>112</v>
      </c>
      <c r="C61" s="6" t="s">
        <v>172</v>
      </c>
      <c r="D61" s="5" t="n">
        <v>878</v>
      </c>
      <c r="E61" s="17" t="n">
        <v>31.7</v>
      </c>
      <c r="F61" s="5" t="n">
        <v>8</v>
      </c>
      <c r="G61" s="5" t="n">
        <v>7</v>
      </c>
      <c r="H61" s="26" t="n">
        <v>4</v>
      </c>
      <c r="I61" s="4" t="s">
        <v>105</v>
      </c>
      <c r="J61" s="4" t="s">
        <v>106</v>
      </c>
    </row>
    <row r="62" customFormat="false" ht="15" hidden="false" customHeight="false" outlineLevel="0" collapsed="false">
      <c r="A62" s="6" t="s">
        <v>84</v>
      </c>
      <c r="B62" s="6" t="s">
        <v>107</v>
      </c>
      <c r="C62" s="6" t="s">
        <v>173</v>
      </c>
      <c r="D62" s="5" t="n">
        <v>866</v>
      </c>
      <c r="E62" s="17" t="n">
        <v>41.9</v>
      </c>
      <c r="F62" s="5" t="n">
        <v>0</v>
      </c>
      <c r="G62" s="5" t="n">
        <v>3</v>
      </c>
      <c r="H62" s="26" t="n">
        <v>8</v>
      </c>
      <c r="I62" s="4" t="s">
        <v>105</v>
      </c>
      <c r="J62" s="4" t="s">
        <v>106</v>
      </c>
    </row>
    <row r="63" customFormat="false" ht="15" hidden="false" customHeight="false" outlineLevel="0" collapsed="false">
      <c r="A63" s="6" t="s">
        <v>90</v>
      </c>
      <c r="B63" s="6" t="s">
        <v>112</v>
      </c>
      <c r="C63" s="4" t="s">
        <v>174</v>
      </c>
      <c r="D63" s="5" t="n">
        <v>866</v>
      </c>
      <c r="E63" s="17" t="n">
        <v>39.2</v>
      </c>
      <c r="F63" s="5" t="n">
        <v>0</v>
      </c>
      <c r="G63" s="5" t="n">
        <v>2</v>
      </c>
      <c r="H63" s="26" t="n">
        <v>29</v>
      </c>
      <c r="I63" s="4" t="s">
        <v>105</v>
      </c>
      <c r="J63" s="4" t="s">
        <v>106</v>
      </c>
    </row>
    <row r="64" customFormat="false" ht="15" hidden="false" customHeight="false" outlineLevel="0" collapsed="false">
      <c r="A64" s="6" t="s">
        <v>78</v>
      </c>
      <c r="B64" s="6" t="s">
        <v>130</v>
      </c>
      <c r="C64" s="6" t="s">
        <v>175</v>
      </c>
      <c r="D64" s="5" t="n">
        <v>862</v>
      </c>
      <c r="E64" s="17" t="n">
        <v>35</v>
      </c>
      <c r="F64" s="5" t="n">
        <v>4</v>
      </c>
      <c r="G64" s="5" t="n">
        <v>7</v>
      </c>
      <c r="H64" s="26" t="n">
        <v>25</v>
      </c>
      <c r="I64" s="4" t="s">
        <v>105</v>
      </c>
      <c r="J64" s="4" t="s">
        <v>106</v>
      </c>
    </row>
    <row r="65" customFormat="false" ht="15" hidden="false" customHeight="false" outlineLevel="0" collapsed="false">
      <c r="A65" s="6" t="s">
        <v>81</v>
      </c>
      <c r="B65" s="6" t="s">
        <v>130</v>
      </c>
      <c r="C65" s="4" t="s">
        <v>176</v>
      </c>
      <c r="D65" s="5" t="n">
        <v>862</v>
      </c>
      <c r="E65" s="17" t="n">
        <v>44</v>
      </c>
      <c r="F65" s="5" t="n">
        <v>12</v>
      </c>
      <c r="G65" s="5" t="n">
        <v>9</v>
      </c>
      <c r="H65" s="26" t="n">
        <v>23</v>
      </c>
      <c r="I65" s="4" t="s">
        <v>105</v>
      </c>
      <c r="J65" s="4" t="s">
        <v>106</v>
      </c>
    </row>
    <row r="66" customFormat="false" ht="15" hidden="false" customHeight="false" outlineLevel="0" collapsed="false">
      <c r="A66" s="6" t="s">
        <v>84</v>
      </c>
      <c r="B66" s="6" t="s">
        <v>114</v>
      </c>
      <c r="C66" s="4" t="s">
        <v>177</v>
      </c>
      <c r="D66" s="5" t="n">
        <v>858</v>
      </c>
      <c r="E66" s="17" t="n">
        <v>34</v>
      </c>
      <c r="F66" s="5" t="n">
        <v>1</v>
      </c>
      <c r="G66" s="5" t="n">
        <v>3</v>
      </c>
      <c r="H66" s="26" t="n">
        <v>19</v>
      </c>
      <c r="I66" s="4" t="s">
        <v>105</v>
      </c>
      <c r="J66" s="4" t="s">
        <v>106</v>
      </c>
    </row>
    <row r="67" customFormat="false" ht="15" hidden="false" customHeight="false" outlineLevel="0" collapsed="false">
      <c r="A67" s="6" t="s">
        <v>84</v>
      </c>
      <c r="B67" s="6" t="s">
        <v>112</v>
      </c>
      <c r="C67" s="6" t="s">
        <v>178</v>
      </c>
      <c r="D67" s="5" t="n">
        <v>853</v>
      </c>
      <c r="E67" s="17" t="n">
        <v>35.9</v>
      </c>
      <c r="F67" s="5" t="n">
        <v>0</v>
      </c>
      <c r="G67" s="5" t="n">
        <v>3</v>
      </c>
      <c r="H67" s="26" t="n">
        <v>8</v>
      </c>
      <c r="I67" s="4" t="s">
        <v>105</v>
      </c>
      <c r="J67" s="4" t="s">
        <v>106</v>
      </c>
    </row>
    <row r="68" customFormat="false" ht="15" hidden="false" customHeight="false" outlineLevel="0" collapsed="false">
      <c r="A68" s="6" t="s">
        <v>81</v>
      </c>
      <c r="B68" s="6" t="s">
        <v>107</v>
      </c>
      <c r="C68" s="6" t="s">
        <v>179</v>
      </c>
      <c r="D68" s="5" t="n">
        <v>849</v>
      </c>
      <c r="E68" s="17" t="n">
        <v>59.7</v>
      </c>
      <c r="F68" s="5" t="n">
        <v>6</v>
      </c>
      <c r="G68" s="5" t="n">
        <v>7</v>
      </c>
      <c r="H68" s="26" t="n">
        <v>4</v>
      </c>
      <c r="I68" s="4" t="s">
        <v>105</v>
      </c>
      <c r="J68" s="4" t="s">
        <v>106</v>
      </c>
    </row>
    <row r="69" customFormat="false" ht="15" hidden="false" customHeight="false" outlineLevel="0" collapsed="false">
      <c r="A69" s="6" t="s">
        <v>81</v>
      </c>
      <c r="B69" s="6" t="s">
        <v>125</v>
      </c>
      <c r="C69" s="6" t="s">
        <v>180</v>
      </c>
      <c r="D69" s="5" t="n">
        <v>847</v>
      </c>
      <c r="E69" s="17" t="n">
        <v>35.8</v>
      </c>
      <c r="F69" s="5" t="n">
        <v>0</v>
      </c>
      <c r="G69" s="5" t="n">
        <v>6</v>
      </c>
      <c r="H69" s="26" t="n">
        <v>4</v>
      </c>
      <c r="I69" s="4" t="s">
        <v>105</v>
      </c>
      <c r="J69" s="4" t="s">
        <v>106</v>
      </c>
    </row>
    <row r="70" customFormat="false" ht="15" hidden="false" customHeight="false" outlineLevel="0" collapsed="false">
      <c r="A70" s="6" t="s">
        <v>90</v>
      </c>
      <c r="B70" s="6" t="s">
        <v>107</v>
      </c>
      <c r="C70" s="4" t="s">
        <v>181</v>
      </c>
      <c r="D70" s="5" t="n">
        <v>841</v>
      </c>
      <c r="E70" s="17" t="n">
        <v>50.7</v>
      </c>
      <c r="F70" s="5" t="n">
        <v>0</v>
      </c>
      <c r="G70" s="5" t="n">
        <v>1</v>
      </c>
      <c r="H70" s="26" t="n">
        <v>22</v>
      </c>
      <c r="I70" s="4" t="s">
        <v>105</v>
      </c>
      <c r="J70" s="4" t="s">
        <v>106</v>
      </c>
    </row>
    <row r="71" customFormat="false" ht="15" hidden="false" customHeight="false" outlineLevel="0" collapsed="false">
      <c r="A71" s="6" t="s">
        <v>81</v>
      </c>
      <c r="B71" s="6" t="s">
        <v>116</v>
      </c>
      <c r="C71" s="6" t="s">
        <v>182</v>
      </c>
      <c r="D71" s="5" t="n">
        <v>824</v>
      </c>
      <c r="E71" s="17" t="n">
        <v>30</v>
      </c>
      <c r="F71" s="5" t="n">
        <v>10</v>
      </c>
      <c r="G71" s="5" t="n">
        <v>5</v>
      </c>
      <c r="H71" s="26" t="n">
        <v>4</v>
      </c>
      <c r="I71" s="4" t="s">
        <v>105</v>
      </c>
      <c r="J71" s="4" t="s">
        <v>106</v>
      </c>
    </row>
    <row r="72" customFormat="false" ht="15" hidden="false" customHeight="false" outlineLevel="0" collapsed="false">
      <c r="A72" s="6" t="s">
        <v>81</v>
      </c>
      <c r="B72" s="6" t="s">
        <v>110</v>
      </c>
      <c r="C72" s="6" t="s">
        <v>183</v>
      </c>
      <c r="D72" s="5" t="n">
        <v>822</v>
      </c>
      <c r="E72" s="17" t="n">
        <v>33</v>
      </c>
      <c r="F72" s="5" t="n">
        <v>7</v>
      </c>
      <c r="G72" s="5" t="n">
        <v>6</v>
      </c>
      <c r="H72" s="26" t="n">
        <v>4</v>
      </c>
      <c r="I72" s="4" t="s">
        <v>105</v>
      </c>
      <c r="J72" s="4" t="s">
        <v>106</v>
      </c>
    </row>
    <row r="73" customFormat="false" ht="15" hidden="false" customHeight="false" outlineLevel="0" collapsed="false">
      <c r="A73" s="6" t="s">
        <v>87</v>
      </c>
      <c r="B73" s="6" t="s">
        <v>133</v>
      </c>
      <c r="C73" s="4" t="s">
        <v>184</v>
      </c>
      <c r="D73" s="5" t="n">
        <v>821</v>
      </c>
      <c r="E73" s="17" t="n">
        <v>41.7</v>
      </c>
      <c r="F73" s="5" t="n">
        <v>2</v>
      </c>
      <c r="G73" s="5" t="n">
        <v>9</v>
      </c>
      <c r="H73" s="26" t="n">
        <v>21</v>
      </c>
      <c r="I73" s="4" t="s">
        <v>106</v>
      </c>
      <c r="J73" s="4" t="s">
        <v>106</v>
      </c>
    </row>
    <row r="74" customFormat="false" ht="15" hidden="false" customHeight="false" outlineLevel="0" collapsed="false">
      <c r="A74" s="6" t="s">
        <v>78</v>
      </c>
      <c r="B74" s="6" t="s">
        <v>118</v>
      </c>
      <c r="C74" s="4" t="s">
        <v>185</v>
      </c>
      <c r="D74" s="5" t="n">
        <v>718</v>
      </c>
      <c r="E74" s="17" t="n">
        <v>39.1</v>
      </c>
      <c r="F74" s="5" t="n">
        <v>0</v>
      </c>
      <c r="G74" s="5" t="n">
        <v>0</v>
      </c>
      <c r="H74" s="26" t="n">
        <v>5</v>
      </c>
      <c r="I74" s="4" t="s">
        <v>105</v>
      </c>
      <c r="J74" s="4" t="s">
        <v>106</v>
      </c>
    </row>
    <row r="75" customFormat="false" ht="15" hidden="false" customHeight="false" outlineLevel="0" collapsed="false">
      <c r="A75" s="6" t="s">
        <v>87</v>
      </c>
      <c r="B75" s="6" t="s">
        <v>112</v>
      </c>
      <c r="C75" s="6" t="s">
        <v>186</v>
      </c>
      <c r="D75" s="5" t="n">
        <v>662</v>
      </c>
      <c r="E75" s="17" t="n">
        <v>41.6</v>
      </c>
      <c r="F75" s="5" t="n">
        <v>0</v>
      </c>
      <c r="G75" s="5" t="n">
        <v>0</v>
      </c>
      <c r="H75" s="26" t="n">
        <v>8</v>
      </c>
      <c r="I75" s="4" t="s">
        <v>105</v>
      </c>
      <c r="J75" s="4" t="s">
        <v>106</v>
      </c>
    </row>
    <row r="76" customFormat="false" ht="15" hidden="false" customHeight="false" outlineLevel="0" collapsed="false">
      <c r="A76" s="6" t="s">
        <v>78</v>
      </c>
      <c r="B76" s="6" t="s">
        <v>130</v>
      </c>
      <c r="C76" s="4" t="s">
        <v>187</v>
      </c>
      <c r="D76" s="5" t="n">
        <v>623</v>
      </c>
      <c r="E76" s="17" t="n">
        <v>49.1</v>
      </c>
      <c r="F76" s="5" t="n">
        <v>0</v>
      </c>
      <c r="G76" s="5" t="n">
        <v>1</v>
      </c>
      <c r="H76" s="26" t="n">
        <v>32</v>
      </c>
      <c r="I76" s="4" t="s">
        <v>105</v>
      </c>
      <c r="J76" s="4" t="s">
        <v>106</v>
      </c>
    </row>
    <row r="77" customFormat="false" ht="15" hidden="false" customHeight="false" outlineLevel="0" collapsed="false">
      <c r="A77" s="6" t="s">
        <v>84</v>
      </c>
      <c r="B77" s="6" t="s">
        <v>133</v>
      </c>
      <c r="C77" s="4" t="s">
        <v>188</v>
      </c>
      <c r="D77" s="5" t="n">
        <v>522</v>
      </c>
      <c r="E77" s="17" t="n">
        <v>28.9</v>
      </c>
      <c r="F77" s="5" t="n">
        <v>0</v>
      </c>
      <c r="G77" s="5" t="n">
        <v>2</v>
      </c>
      <c r="H77" s="26" t="n">
        <v>24</v>
      </c>
      <c r="I77" s="4" t="s">
        <v>105</v>
      </c>
      <c r="J77" s="4" t="s">
        <v>106</v>
      </c>
    </row>
    <row r="78" customFormat="false" ht="15" hidden="false" customHeight="false" outlineLevel="0" collapsed="false">
      <c r="A78" s="6" t="s">
        <v>87</v>
      </c>
      <c r="B78" s="6" t="s">
        <v>107</v>
      </c>
      <c r="C78" s="6" t="s">
        <v>189</v>
      </c>
      <c r="D78" s="5" t="n">
        <v>514</v>
      </c>
      <c r="E78" s="17" t="n">
        <v>32.6</v>
      </c>
      <c r="F78" s="5" t="n">
        <v>0</v>
      </c>
      <c r="G78" s="5" t="n">
        <v>2</v>
      </c>
      <c r="H78" s="26" t="n">
        <v>8</v>
      </c>
      <c r="I78" s="4" t="s">
        <v>105</v>
      </c>
      <c r="J78" s="4" t="s">
        <v>106</v>
      </c>
    </row>
    <row r="79" customFormat="false" ht="15" hidden="false" customHeight="false" outlineLevel="0" collapsed="false">
      <c r="A79" s="6" t="s">
        <v>84</v>
      </c>
      <c r="B79" s="6" t="s">
        <v>125</v>
      </c>
      <c r="C79" s="6" t="s">
        <v>190</v>
      </c>
      <c r="D79" s="5" t="n">
        <v>322</v>
      </c>
      <c r="E79" s="17" t="n">
        <v>31.4</v>
      </c>
      <c r="F79" s="5" t="n">
        <v>0</v>
      </c>
      <c r="G79" s="5" t="n">
        <v>0</v>
      </c>
      <c r="H79" s="26" t="n">
        <v>8</v>
      </c>
      <c r="I79" s="4" t="s">
        <v>105</v>
      </c>
      <c r="J79" s="4" t="s">
        <v>106</v>
      </c>
    </row>
    <row r="80" customFormat="false" ht="15" hidden="false" customHeight="false" outlineLevel="0" collapsed="false">
      <c r="A80" s="6" t="s">
        <v>87</v>
      </c>
      <c r="B80" s="6" t="s">
        <v>125</v>
      </c>
      <c r="C80" s="6" t="s">
        <v>191</v>
      </c>
      <c r="D80" s="5" t="n">
        <v>315</v>
      </c>
      <c r="E80" s="17" t="n">
        <v>49.6</v>
      </c>
      <c r="F80" s="5" t="n">
        <v>4</v>
      </c>
      <c r="G80" s="5" t="n">
        <v>1</v>
      </c>
      <c r="H80" s="26" t="n">
        <v>8</v>
      </c>
      <c r="I80" s="4" t="s">
        <v>105</v>
      </c>
      <c r="J80" s="4" t="s">
        <v>106</v>
      </c>
    </row>
    <row r="81" customFormat="false" ht="15" hidden="false" customHeight="false" outlineLevel="0" collapsed="false">
      <c r="A81" s="6" t="s">
        <v>78</v>
      </c>
      <c r="B81" s="6" t="s">
        <v>112</v>
      </c>
      <c r="C81" s="4" t="s">
        <v>192</v>
      </c>
      <c r="D81" s="5" t="n">
        <v>269</v>
      </c>
      <c r="E81" s="17" t="n">
        <v>60.9</v>
      </c>
      <c r="F81" s="5" t="n">
        <v>0</v>
      </c>
      <c r="G81" s="5" t="n">
        <v>0</v>
      </c>
      <c r="H81" s="26" t="n">
        <v>28</v>
      </c>
      <c r="I81" s="4" t="s">
        <v>105</v>
      </c>
      <c r="J81" s="4" t="s">
        <v>106</v>
      </c>
    </row>
    <row r="82" customFormat="false" ht="15" hidden="false" customHeight="false" outlineLevel="0" collapsed="false">
      <c r="A82" s="6" t="s">
        <v>87</v>
      </c>
      <c r="B82" s="6" t="s">
        <v>114</v>
      </c>
      <c r="C82" s="4" t="s">
        <v>193</v>
      </c>
      <c r="D82" s="5" t="n">
        <v>195</v>
      </c>
      <c r="E82" s="17" t="n">
        <v>47</v>
      </c>
      <c r="F82" s="5" t="n">
        <v>0</v>
      </c>
      <c r="G82" s="5" t="n">
        <v>0</v>
      </c>
      <c r="H82" s="26" t="n">
        <v>15</v>
      </c>
      <c r="I82" s="4" t="s">
        <v>105</v>
      </c>
      <c r="J82" s="4" t="s">
        <v>106</v>
      </c>
    </row>
    <row r="83" customFormat="false" ht="15" hidden="false" customHeight="false" outlineLevel="0" collapsed="false">
      <c r="A83" s="6" t="s">
        <v>84</v>
      </c>
      <c r="B83" s="6" t="s">
        <v>116</v>
      </c>
      <c r="C83" s="6" t="s">
        <v>194</v>
      </c>
      <c r="D83" s="5" t="n">
        <v>165</v>
      </c>
      <c r="E83" s="17" t="n">
        <v>21.6</v>
      </c>
      <c r="F83" s="5" t="n">
        <v>0</v>
      </c>
      <c r="G83" s="5" t="n">
        <v>0</v>
      </c>
      <c r="H83" s="26" t="n">
        <v>8</v>
      </c>
      <c r="I83" s="4" t="s">
        <v>105</v>
      </c>
      <c r="J83" s="4" t="s">
        <v>106</v>
      </c>
    </row>
    <row r="84" customFormat="false" ht="15" hidden="false" customHeight="false" outlineLevel="0" collapsed="false">
      <c r="A84" s="6" t="s">
        <v>87</v>
      </c>
      <c r="B84" s="6" t="s">
        <v>116</v>
      </c>
      <c r="C84" s="6" t="s">
        <v>195</v>
      </c>
      <c r="D84" s="5" t="n">
        <v>155</v>
      </c>
      <c r="E84" s="17" t="n">
        <v>49.6</v>
      </c>
      <c r="F84" s="5" t="n">
        <v>0</v>
      </c>
      <c r="G84" s="5" t="n">
        <v>0</v>
      </c>
      <c r="H84" s="26" t="n">
        <v>8</v>
      </c>
      <c r="I84" s="4" t="s">
        <v>105</v>
      </c>
      <c r="J84" s="4" t="s">
        <v>106</v>
      </c>
    </row>
    <row r="85" customFormat="false" ht="15" hidden="false" customHeight="false" outlineLevel="0" collapsed="false">
      <c r="A85" s="6" t="s">
        <v>87</v>
      </c>
      <c r="B85" s="6" t="s">
        <v>103</v>
      </c>
      <c r="C85" s="6" t="s">
        <v>196</v>
      </c>
      <c r="D85" s="5" t="n">
        <v>126</v>
      </c>
      <c r="E85" s="17" t="n">
        <v>21.3</v>
      </c>
      <c r="F85" s="5" t="n">
        <v>0</v>
      </c>
      <c r="G85" s="5" t="n">
        <v>0</v>
      </c>
      <c r="H85" s="26" t="n">
        <v>8</v>
      </c>
      <c r="I85" s="4" t="s">
        <v>105</v>
      </c>
      <c r="J85" s="4" t="s">
        <v>106</v>
      </c>
    </row>
    <row r="86" customFormat="false" ht="15" hidden="false" customHeight="false" outlineLevel="0" collapsed="false">
      <c r="A86" s="6" t="s">
        <v>78</v>
      </c>
      <c r="B86" s="6" t="s">
        <v>116</v>
      </c>
      <c r="C86" s="4" t="s">
        <v>197</v>
      </c>
      <c r="D86" s="5" t="n">
        <v>112</v>
      </c>
      <c r="E86" s="17" t="n">
        <v>25.2</v>
      </c>
      <c r="F86" s="5" t="n">
        <v>0</v>
      </c>
      <c r="G86" s="5" t="n">
        <v>0</v>
      </c>
      <c r="H86" s="26" t="n">
        <v>5</v>
      </c>
      <c r="I86" s="4" t="s">
        <v>105</v>
      </c>
      <c r="J86" s="4" t="s">
        <v>106</v>
      </c>
    </row>
    <row r="87" customFormat="false" ht="15" hidden="false" customHeight="false" outlineLevel="0" collapsed="false">
      <c r="A87" s="6" t="s">
        <v>81</v>
      </c>
      <c r="B87" s="6" t="s">
        <v>125</v>
      </c>
      <c r="C87" s="6" t="s">
        <v>198</v>
      </c>
      <c r="D87" s="5" t="n">
        <v>12</v>
      </c>
      <c r="E87" s="17" t="n">
        <v>28.4</v>
      </c>
      <c r="F87" s="5" t="n">
        <v>0</v>
      </c>
      <c r="G87" s="5" t="n">
        <v>2</v>
      </c>
      <c r="H87" s="26" t="n">
        <v>4</v>
      </c>
      <c r="I87" s="4" t="s">
        <v>105</v>
      </c>
      <c r="J87" s="4" t="s">
        <v>106</v>
      </c>
    </row>
    <row r="88" customFormat="false" ht="15" hidden="false" customHeight="false" outlineLevel="0" collapsed="false">
      <c r="A88" s="6" t="s">
        <v>90</v>
      </c>
      <c r="B88" s="6" t="s">
        <v>133</v>
      </c>
      <c r="C88" s="4" t="s">
        <v>199</v>
      </c>
      <c r="D88" s="5" t="n">
        <v>1</v>
      </c>
      <c r="E88" s="17" t="n">
        <v>0</v>
      </c>
      <c r="F88" s="5" t="n">
        <v>0</v>
      </c>
      <c r="G88" s="5" t="n">
        <v>0</v>
      </c>
      <c r="H88" s="26" t="n">
        <v>19</v>
      </c>
      <c r="I88" s="4" t="s">
        <v>105</v>
      </c>
      <c r="J88" s="4" t="s">
        <v>106</v>
      </c>
    </row>
    <row r="89" customFormat="false" ht="15" hidden="false" customHeight="false" outlineLevel="0" collapsed="false">
      <c r="A89" s="6" t="s">
        <v>81</v>
      </c>
      <c r="B89" s="6" t="s">
        <v>133</v>
      </c>
      <c r="C89" s="4" t="s">
        <v>200</v>
      </c>
      <c r="D89" s="5" t="n">
        <v>1</v>
      </c>
      <c r="E89" s="17" t="n">
        <v>95.9</v>
      </c>
      <c r="F89" s="5" t="n">
        <v>0</v>
      </c>
      <c r="G89" s="5" t="n">
        <v>1</v>
      </c>
      <c r="H89" s="26" t="n">
        <v>19</v>
      </c>
      <c r="I89" s="4" t="s">
        <v>105</v>
      </c>
      <c r="J89" s="4" t="s">
        <v>106</v>
      </c>
    </row>
    <row r="90" customFormat="false" ht="15" hidden="false" customHeight="false" outlineLevel="0" collapsed="false">
      <c r="A90" s="6" t="s">
        <v>90</v>
      </c>
      <c r="B90" s="6" t="s">
        <v>201</v>
      </c>
      <c r="C90" s="4" t="s">
        <v>202</v>
      </c>
      <c r="D90" s="27" t="n">
        <v>0</v>
      </c>
      <c r="E90" s="17" t="n">
        <v>0</v>
      </c>
      <c r="F90" s="5" t="n">
        <v>0</v>
      </c>
      <c r="G90" s="5" t="n">
        <v>0</v>
      </c>
      <c r="H90" s="26" t="n">
        <v>18</v>
      </c>
      <c r="I90" s="4" t="s">
        <v>105</v>
      </c>
      <c r="J90" s="4" t="s">
        <v>106</v>
      </c>
    </row>
    <row r="91" customFormat="false" ht="15" hidden="false" customHeight="false" outlineLevel="0" collapsed="false">
      <c r="A91" s="6" t="s">
        <v>78</v>
      </c>
      <c r="B91" s="6" t="s">
        <v>201</v>
      </c>
      <c r="C91" s="6" t="s">
        <v>203</v>
      </c>
      <c r="D91" s="27" t="n">
        <v>0</v>
      </c>
      <c r="E91" s="17" t="n">
        <v>0</v>
      </c>
      <c r="F91" s="5" t="n">
        <v>0</v>
      </c>
      <c r="G91" s="5" t="n">
        <v>0</v>
      </c>
      <c r="H91" s="26" t="n">
        <v>29</v>
      </c>
      <c r="I91" s="4" t="s">
        <v>105</v>
      </c>
      <c r="J91" s="4" t="s">
        <v>106</v>
      </c>
    </row>
    <row r="92" customFormat="false" ht="15" hidden="false" customHeight="false" outlineLevel="0" collapsed="false">
      <c r="A92" s="6" t="s">
        <v>81</v>
      </c>
      <c r="B92" s="6" t="s">
        <v>201</v>
      </c>
      <c r="C92" s="4" t="s">
        <v>204</v>
      </c>
      <c r="D92" s="27" t="n">
        <v>0</v>
      </c>
      <c r="E92" s="17" t="n">
        <v>0</v>
      </c>
      <c r="F92" s="5" t="n">
        <v>0</v>
      </c>
      <c r="G92" s="5" t="n">
        <v>0</v>
      </c>
      <c r="H92" s="26" t="n">
        <v>18</v>
      </c>
      <c r="I92" s="4" t="s">
        <v>105</v>
      </c>
      <c r="J92" s="4" t="s">
        <v>106</v>
      </c>
    </row>
    <row r="93" customFormat="false" ht="15" hidden="false" customHeight="false" outlineLevel="0" collapsed="false">
      <c r="A93" s="6" t="s">
        <v>87</v>
      </c>
      <c r="B93" s="6" t="s">
        <v>205</v>
      </c>
      <c r="C93" s="4" t="s">
        <v>206</v>
      </c>
      <c r="D93" s="27" t="n">
        <v>0</v>
      </c>
      <c r="E93" s="17" t="n">
        <v>0</v>
      </c>
      <c r="F93" s="5" t="n">
        <v>0</v>
      </c>
      <c r="G93" s="5" t="n">
        <v>0</v>
      </c>
      <c r="H93" s="26" t="n">
        <v>22</v>
      </c>
      <c r="I93" s="4" t="s">
        <v>106</v>
      </c>
      <c r="J93" s="4" t="s">
        <v>106</v>
      </c>
    </row>
    <row r="94" customFormat="false" ht="15" hidden="false" customHeight="false" outlineLevel="0" collapsed="false">
      <c r="A94" s="6" t="s">
        <v>75</v>
      </c>
      <c r="B94" s="6" t="s">
        <v>205</v>
      </c>
      <c r="C94" s="4" t="s">
        <v>207</v>
      </c>
      <c r="D94" s="27" t="n">
        <v>0</v>
      </c>
      <c r="E94" s="17" t="n">
        <v>0</v>
      </c>
      <c r="F94" s="5" t="n">
        <v>0</v>
      </c>
      <c r="G94" s="5" t="n">
        <v>0</v>
      </c>
      <c r="H94" s="26" t="n">
        <v>27</v>
      </c>
      <c r="I94" s="4" t="s">
        <v>105</v>
      </c>
      <c r="J94" s="4" t="s">
        <v>106</v>
      </c>
    </row>
    <row r="95" customFormat="false" ht="15" hidden="false" customHeight="false" outlineLevel="0" collapsed="false">
      <c r="A95" s="6" t="s">
        <v>87</v>
      </c>
      <c r="B95" s="6" t="s">
        <v>201</v>
      </c>
      <c r="C95" s="4" t="s">
        <v>208</v>
      </c>
      <c r="D95" s="27" t="n">
        <v>0</v>
      </c>
      <c r="E95" s="17" t="n">
        <v>0</v>
      </c>
      <c r="F95" s="5" t="n">
        <v>0</v>
      </c>
      <c r="G95" s="5" t="n">
        <v>0</v>
      </c>
      <c r="H95" s="26" t="n">
        <v>19</v>
      </c>
      <c r="I95" s="4" t="s">
        <v>106</v>
      </c>
      <c r="J95" s="4" t="s">
        <v>106</v>
      </c>
    </row>
    <row r="96" customFormat="false" ht="15" hidden="false" customHeight="false" outlineLevel="0" collapsed="false">
      <c r="A96" s="6" t="s">
        <v>78</v>
      </c>
      <c r="B96" s="6" t="s">
        <v>133</v>
      </c>
      <c r="C96" s="6" t="s">
        <v>209</v>
      </c>
      <c r="D96" s="27" t="n">
        <v>0</v>
      </c>
      <c r="E96" s="17" t="n">
        <v>0</v>
      </c>
      <c r="F96" s="5" t="n">
        <v>0</v>
      </c>
      <c r="G96" s="5" t="n">
        <v>0</v>
      </c>
      <c r="H96" s="26" t="n">
        <v>22</v>
      </c>
      <c r="I96" s="4" t="s">
        <v>105</v>
      </c>
      <c r="J96" s="4" t="s">
        <v>106</v>
      </c>
    </row>
    <row r="97" customFormat="false" ht="15" hidden="false" customHeight="false" outlineLevel="0" collapsed="false">
      <c r="A97" s="6" t="s">
        <v>75</v>
      </c>
      <c r="B97" s="6" t="s">
        <v>201</v>
      </c>
      <c r="C97" s="4" t="s">
        <v>210</v>
      </c>
      <c r="D97" s="27" t="n">
        <v>0</v>
      </c>
      <c r="E97" s="17" t="n">
        <v>0</v>
      </c>
      <c r="F97" s="5" t="n">
        <v>0</v>
      </c>
      <c r="G97" s="5" t="n">
        <v>0</v>
      </c>
      <c r="H97" s="26" t="n">
        <v>27</v>
      </c>
      <c r="I97" s="4" t="s">
        <v>105</v>
      </c>
      <c r="J97" s="4" t="s">
        <v>106</v>
      </c>
    </row>
    <row r="98" customFormat="false" ht="15" hidden="false" customHeight="false" outlineLevel="0" collapsed="false">
      <c r="A98" s="6" t="s">
        <v>84</v>
      </c>
      <c r="B98" s="6" t="s">
        <v>201</v>
      </c>
      <c r="C98" s="4" t="s">
        <v>211</v>
      </c>
      <c r="D98" s="27" t="n">
        <v>0</v>
      </c>
      <c r="E98" s="17" t="n">
        <v>0</v>
      </c>
      <c r="F98" s="5" t="n">
        <v>0</v>
      </c>
      <c r="G98" s="5" t="n">
        <v>0</v>
      </c>
      <c r="H98" s="26" t="n">
        <v>19</v>
      </c>
      <c r="I98" s="4" t="s">
        <v>105</v>
      </c>
      <c r="J98" s="4" t="s">
        <v>106</v>
      </c>
    </row>
    <row r="99" customFormat="false" ht="15" hidden="false" customHeight="false" outlineLevel="0" collapsed="false">
      <c r="A99" s="6" t="s">
        <v>87</v>
      </c>
      <c r="B99" s="6" t="s">
        <v>201</v>
      </c>
      <c r="C99" s="4" t="s">
        <v>212</v>
      </c>
      <c r="D99" s="27" t="n">
        <v>0</v>
      </c>
      <c r="E99" s="17" t="n">
        <v>0</v>
      </c>
      <c r="F99" s="5" t="n">
        <v>0</v>
      </c>
      <c r="G99" s="5" t="n">
        <v>0</v>
      </c>
      <c r="H99" s="26" t="n">
        <v>24</v>
      </c>
      <c r="I99" s="4" t="s">
        <v>106</v>
      </c>
      <c r="J99" s="4" t="s">
        <v>106</v>
      </c>
    </row>
    <row r="100" customFormat="false" ht="15" hidden="false" customHeight="false" outlineLevel="0" collapsed="false">
      <c r="A100" s="6" t="s">
        <v>84</v>
      </c>
      <c r="B100" s="6" t="s">
        <v>133</v>
      </c>
      <c r="C100" s="4" t="s">
        <v>213</v>
      </c>
      <c r="D100" s="27" t="n">
        <v>0</v>
      </c>
      <c r="E100" s="17" t="n">
        <v>0</v>
      </c>
      <c r="F100" s="5" t="n">
        <v>0</v>
      </c>
      <c r="G100" s="5" t="n">
        <v>0</v>
      </c>
      <c r="H100" s="26" t="n">
        <v>25</v>
      </c>
      <c r="I100" s="4" t="s">
        <v>105</v>
      </c>
      <c r="J100" s="4" t="s">
        <v>106</v>
      </c>
    </row>
    <row r="101" customFormat="false" ht="15" hidden="false" customHeight="false" outlineLevel="0" collapsed="false">
      <c r="A101" s="6" t="s">
        <v>90</v>
      </c>
      <c r="B101" s="6" t="s">
        <v>201</v>
      </c>
      <c r="C101" s="4" t="s">
        <v>214</v>
      </c>
      <c r="D101" s="27" t="n">
        <v>0</v>
      </c>
      <c r="E101" s="17" t="n">
        <v>0</v>
      </c>
      <c r="F101" s="5" t="n">
        <v>0</v>
      </c>
      <c r="G101" s="5" t="n">
        <v>0</v>
      </c>
      <c r="H101" s="26" t="n">
        <v>28</v>
      </c>
      <c r="I101" s="4" t="s">
        <v>105</v>
      </c>
      <c r="J101" s="4" t="s">
        <v>106</v>
      </c>
    </row>
    <row r="102" customFormat="false" ht="15" hidden="false" customHeight="false" outlineLevel="0" collapsed="false">
      <c r="A102" s="6" t="s">
        <v>90</v>
      </c>
      <c r="B102" s="6" t="s">
        <v>201</v>
      </c>
      <c r="C102" s="6" t="s">
        <v>215</v>
      </c>
      <c r="D102" s="27" t="n">
        <v>0</v>
      </c>
      <c r="E102" s="17" t="n">
        <v>0</v>
      </c>
      <c r="F102" s="5" t="n">
        <v>0</v>
      </c>
      <c r="G102" s="5" t="n">
        <v>0</v>
      </c>
      <c r="H102" s="26" t="n">
        <v>9</v>
      </c>
      <c r="I102" s="4" t="s">
        <v>105</v>
      </c>
      <c r="J102" s="4" t="s">
        <v>106</v>
      </c>
    </row>
    <row r="103" customFormat="false" ht="15" hidden="false" customHeight="false" outlineLevel="0" collapsed="false">
      <c r="A103" s="6" t="s">
        <v>75</v>
      </c>
      <c r="B103" s="6" t="s">
        <v>133</v>
      </c>
      <c r="C103" s="4" t="s">
        <v>216</v>
      </c>
      <c r="D103" s="27" t="n">
        <v>0</v>
      </c>
      <c r="E103" s="17" t="n">
        <v>0</v>
      </c>
      <c r="F103" s="5" t="n">
        <v>0</v>
      </c>
      <c r="G103" s="5" t="n">
        <v>0</v>
      </c>
      <c r="H103" s="26" t="n">
        <v>27</v>
      </c>
      <c r="I103" s="4" t="s">
        <v>105</v>
      </c>
      <c r="J103" s="4" t="s">
        <v>106</v>
      </c>
    </row>
    <row r="104" customFormat="false" ht="15" hidden="false" customHeight="false" outlineLevel="0" collapsed="false">
      <c r="A104" s="6" t="s">
        <v>90</v>
      </c>
      <c r="B104" s="6" t="s">
        <v>205</v>
      </c>
      <c r="C104" s="4" t="s">
        <v>217</v>
      </c>
      <c r="D104" s="27" t="n">
        <v>0</v>
      </c>
      <c r="E104" s="17" t="n">
        <v>0</v>
      </c>
      <c r="F104" s="5" t="n">
        <v>0</v>
      </c>
      <c r="G104" s="5" t="n">
        <v>0</v>
      </c>
      <c r="H104" s="26" t="n">
        <v>20</v>
      </c>
      <c r="I104" s="4" t="s">
        <v>105</v>
      </c>
      <c r="J104" s="4" t="s">
        <v>106</v>
      </c>
    </row>
    <row r="105" customFormat="false" ht="15" hidden="false" customHeight="false" outlineLevel="0" collapsed="false">
      <c r="A105" s="6" t="s">
        <v>84</v>
      </c>
      <c r="B105" s="6" t="s">
        <v>201</v>
      </c>
      <c r="C105" s="4" t="s">
        <v>218</v>
      </c>
      <c r="D105" s="27" t="n">
        <v>0</v>
      </c>
      <c r="E105" s="17" t="n">
        <v>0</v>
      </c>
      <c r="F105" s="5" t="n">
        <v>0</v>
      </c>
      <c r="G105" s="5" t="n">
        <v>0</v>
      </c>
      <c r="H105" s="26" t="n">
        <v>18</v>
      </c>
      <c r="I105" s="4" t="s">
        <v>105</v>
      </c>
      <c r="J105" s="4" t="s">
        <v>106</v>
      </c>
    </row>
    <row r="106" customFormat="false" ht="15" hidden="false" customHeight="false" outlineLevel="0" collapsed="false">
      <c r="A106" s="6" t="s">
        <v>75</v>
      </c>
      <c r="B106" s="6" t="s">
        <v>201</v>
      </c>
      <c r="C106" s="4" t="s">
        <v>219</v>
      </c>
      <c r="D106" s="27" t="n">
        <v>0</v>
      </c>
      <c r="E106" s="17" t="n">
        <v>0</v>
      </c>
      <c r="F106" s="5" t="n">
        <v>0</v>
      </c>
      <c r="G106" s="5" t="n">
        <v>0</v>
      </c>
      <c r="H106" s="26" t="n">
        <v>28</v>
      </c>
      <c r="I106" s="4" t="s">
        <v>105</v>
      </c>
      <c r="J106" s="4" t="s">
        <v>106</v>
      </c>
    </row>
    <row r="107" customFormat="false" ht="15" hidden="false" customHeight="false" outlineLevel="0" collapsed="false">
      <c r="A107" s="6" t="s">
        <v>87</v>
      </c>
      <c r="B107" s="6" t="s">
        <v>205</v>
      </c>
      <c r="C107" s="4" t="s">
        <v>220</v>
      </c>
      <c r="D107" s="27" t="n">
        <v>0</v>
      </c>
      <c r="E107" s="17" t="n">
        <v>0</v>
      </c>
      <c r="F107" s="5" t="n">
        <v>0</v>
      </c>
      <c r="G107" s="5" t="n">
        <v>0</v>
      </c>
      <c r="H107" s="26" t="n">
        <v>23</v>
      </c>
      <c r="I107" s="4" t="s">
        <v>106</v>
      </c>
      <c r="J107" s="4" t="s">
        <v>106</v>
      </c>
    </row>
    <row r="108" customFormat="false" ht="15" hidden="false" customHeight="false" outlineLevel="0" collapsed="false">
      <c r="A108" s="6" t="s">
        <v>90</v>
      </c>
      <c r="B108" s="6" t="s">
        <v>133</v>
      </c>
      <c r="C108" s="4" t="s">
        <v>221</v>
      </c>
      <c r="D108" s="27" t="n">
        <v>0</v>
      </c>
      <c r="E108" s="17" t="n">
        <v>0</v>
      </c>
      <c r="F108" s="5" t="n">
        <v>0</v>
      </c>
      <c r="G108" s="5" t="n">
        <v>0</v>
      </c>
      <c r="H108" s="26" t="n">
        <v>19</v>
      </c>
      <c r="I108" s="4" t="s">
        <v>105</v>
      </c>
      <c r="J108" s="4" t="s">
        <v>106</v>
      </c>
    </row>
    <row r="109" customFormat="false" ht="15" hidden="false" customHeight="false" outlineLevel="0" collapsed="false">
      <c r="A109" s="6" t="s">
        <v>87</v>
      </c>
      <c r="B109" s="6" t="s">
        <v>205</v>
      </c>
      <c r="C109" s="4" t="s">
        <v>222</v>
      </c>
      <c r="D109" s="27" t="n">
        <v>0</v>
      </c>
      <c r="E109" s="17" t="n">
        <v>0</v>
      </c>
      <c r="F109" s="5" t="n">
        <v>0</v>
      </c>
      <c r="G109" s="5" t="n">
        <v>0</v>
      </c>
      <c r="H109" s="26" t="n">
        <v>24</v>
      </c>
      <c r="I109" s="4" t="s">
        <v>106</v>
      </c>
      <c r="J109" s="4" t="s">
        <v>106</v>
      </c>
    </row>
    <row r="110" customFormat="false" ht="15" hidden="false" customHeight="false" outlineLevel="0" collapsed="false">
      <c r="A110" s="6" t="s">
        <v>81</v>
      </c>
      <c r="B110" s="6" t="s">
        <v>205</v>
      </c>
      <c r="C110" s="4" t="s">
        <v>223</v>
      </c>
      <c r="D110" s="27" t="n">
        <v>0</v>
      </c>
      <c r="E110" s="17" t="n">
        <v>0</v>
      </c>
      <c r="F110" s="5" t="n">
        <v>0</v>
      </c>
      <c r="G110" s="5" t="n">
        <v>0</v>
      </c>
      <c r="H110" s="26" t="n">
        <v>30</v>
      </c>
      <c r="I110" s="4" t="s">
        <v>106</v>
      </c>
      <c r="J110" s="4" t="s">
        <v>106</v>
      </c>
    </row>
    <row r="111" customFormat="false" ht="15" hidden="false" customHeight="false" outlineLevel="0" collapsed="false">
      <c r="A111" s="6" t="s">
        <v>87</v>
      </c>
      <c r="B111" s="6" t="s">
        <v>133</v>
      </c>
      <c r="C111" s="4" t="s">
        <v>224</v>
      </c>
      <c r="D111" s="27" t="n">
        <v>0</v>
      </c>
      <c r="E111" s="17" t="n">
        <v>0</v>
      </c>
      <c r="F111" s="5" t="n">
        <v>0</v>
      </c>
      <c r="G111" s="5" t="n">
        <v>0</v>
      </c>
      <c r="H111" s="26" t="n">
        <v>23</v>
      </c>
      <c r="I111" s="4" t="s">
        <v>106</v>
      </c>
      <c r="J111" s="4" t="s">
        <v>106</v>
      </c>
    </row>
    <row r="112" customFormat="false" ht="15" hidden="false" customHeight="false" outlineLevel="0" collapsed="false">
      <c r="A112" s="6" t="s">
        <v>78</v>
      </c>
      <c r="B112" s="6" t="s">
        <v>205</v>
      </c>
      <c r="C112" s="4" t="s">
        <v>225</v>
      </c>
      <c r="D112" s="27" t="n">
        <v>0</v>
      </c>
      <c r="E112" s="17" t="n">
        <v>0</v>
      </c>
      <c r="F112" s="5" t="n">
        <v>0</v>
      </c>
      <c r="G112" s="5" t="n">
        <v>0</v>
      </c>
      <c r="H112" s="26" t="n">
        <v>9</v>
      </c>
      <c r="I112" s="4" t="s">
        <v>106</v>
      </c>
      <c r="J112" s="4" t="s">
        <v>106</v>
      </c>
    </row>
    <row r="113" customFormat="false" ht="15" hidden="false" customHeight="false" outlineLevel="0" collapsed="false">
      <c r="A113" s="6" t="s">
        <v>84</v>
      </c>
      <c r="B113" s="6" t="s">
        <v>205</v>
      </c>
      <c r="C113" s="4" t="s">
        <v>226</v>
      </c>
      <c r="D113" s="27" t="n">
        <v>0</v>
      </c>
      <c r="E113" s="17" t="n">
        <v>0</v>
      </c>
      <c r="F113" s="5" t="n">
        <v>0</v>
      </c>
      <c r="G113" s="5" t="n">
        <v>0</v>
      </c>
      <c r="H113" s="26" t="n">
        <v>25</v>
      </c>
      <c r="I113" s="4" t="s">
        <v>105</v>
      </c>
      <c r="J113" s="4" t="s">
        <v>106</v>
      </c>
    </row>
    <row r="114" customFormat="false" ht="15" hidden="false" customHeight="false" outlineLevel="0" collapsed="false">
      <c r="A114" s="6" t="s">
        <v>81</v>
      </c>
      <c r="B114" s="6" t="s">
        <v>201</v>
      </c>
      <c r="C114" s="4" t="s">
        <v>227</v>
      </c>
      <c r="D114" s="27" t="n">
        <v>0</v>
      </c>
      <c r="E114" s="17" t="n">
        <v>0</v>
      </c>
      <c r="F114" s="5" t="n">
        <v>0</v>
      </c>
      <c r="G114" s="5" t="n">
        <v>0</v>
      </c>
      <c r="H114" s="26" t="n">
        <v>19</v>
      </c>
      <c r="I114" s="4" t="s">
        <v>105</v>
      </c>
      <c r="J114" s="4" t="s">
        <v>106</v>
      </c>
    </row>
    <row r="115" customFormat="false" ht="15" hidden="false" customHeight="false" outlineLevel="0" collapsed="false">
      <c r="A115" s="6" t="s">
        <v>81</v>
      </c>
      <c r="B115" s="6" t="s">
        <v>133</v>
      </c>
      <c r="C115" s="4" t="s">
        <v>228</v>
      </c>
      <c r="D115" s="27" t="n">
        <v>0</v>
      </c>
      <c r="E115" s="17" t="n">
        <v>0</v>
      </c>
      <c r="F115" s="5" t="n">
        <v>0</v>
      </c>
      <c r="G115" s="5" t="n">
        <v>0</v>
      </c>
      <c r="H115" s="26" t="n">
        <v>16</v>
      </c>
      <c r="I115" s="4" t="s">
        <v>105</v>
      </c>
      <c r="J115" s="4" t="s">
        <v>106</v>
      </c>
    </row>
    <row r="116" customFormat="false" ht="15" hidden="false" customHeight="false" outlineLevel="0" collapsed="false">
      <c r="A116" s="6" t="s">
        <v>78</v>
      </c>
      <c r="B116" s="6" t="s">
        <v>201</v>
      </c>
      <c r="C116" s="6" t="s">
        <v>229</v>
      </c>
      <c r="D116" s="27" t="n">
        <v>0</v>
      </c>
      <c r="E116" s="17" t="n">
        <v>0</v>
      </c>
      <c r="F116" s="5" t="n">
        <v>0</v>
      </c>
      <c r="G116" s="5" t="n">
        <v>0</v>
      </c>
      <c r="H116" s="26" t="n">
        <v>24</v>
      </c>
      <c r="I116" s="4" t="s">
        <v>105</v>
      </c>
      <c r="J116" s="4" t="s">
        <v>106</v>
      </c>
    </row>
    <row r="117" customFormat="false" ht="15" hidden="false" customHeight="false" outlineLevel="0" collapsed="false">
      <c r="A117" s="6" t="s">
        <v>75</v>
      </c>
      <c r="B117" s="6" t="s">
        <v>133</v>
      </c>
      <c r="C117" s="4" t="s">
        <v>230</v>
      </c>
      <c r="D117" s="27" t="n">
        <v>0</v>
      </c>
      <c r="E117" s="17" t="n">
        <v>0</v>
      </c>
      <c r="F117" s="5" t="n">
        <v>0</v>
      </c>
      <c r="G117" s="5" t="n">
        <v>0</v>
      </c>
      <c r="H117" s="26" t="n">
        <v>22</v>
      </c>
      <c r="I117" s="4" t="s">
        <v>105</v>
      </c>
      <c r="J117" s="4" t="s">
        <v>106</v>
      </c>
    </row>
    <row r="118" customFormat="false" ht="15" hidden="false" customHeight="false" outlineLevel="0" collapsed="false">
      <c r="A118" s="6" t="s">
        <v>78</v>
      </c>
      <c r="B118" s="6" t="s">
        <v>205</v>
      </c>
      <c r="C118" s="6" t="s">
        <v>231</v>
      </c>
      <c r="D118" s="27" t="n">
        <v>0</v>
      </c>
      <c r="E118" s="17" t="n">
        <v>0</v>
      </c>
      <c r="F118" s="5" t="n">
        <v>0</v>
      </c>
      <c r="G118" s="5" t="n">
        <v>0</v>
      </c>
      <c r="H118" s="26" t="n">
        <v>25</v>
      </c>
      <c r="I118" s="4" t="s">
        <v>105</v>
      </c>
      <c r="J118" s="4" t="s">
        <v>106</v>
      </c>
    </row>
    <row r="119" customFormat="false" ht="15" hidden="false" customHeight="false" outlineLevel="0" collapsed="false">
      <c r="A119" s="6" t="s">
        <v>81</v>
      </c>
      <c r="B119" s="6" t="s">
        <v>133</v>
      </c>
      <c r="C119" s="4" t="s">
        <v>232</v>
      </c>
      <c r="D119" s="27" t="n">
        <v>0</v>
      </c>
      <c r="E119" s="17" t="n">
        <v>0</v>
      </c>
      <c r="F119" s="5" t="n">
        <v>0</v>
      </c>
      <c r="G119" s="5" t="n">
        <v>0</v>
      </c>
      <c r="H119" s="26" t="n">
        <v>22</v>
      </c>
      <c r="I119" s="4" t="s">
        <v>105</v>
      </c>
      <c r="J119" s="4" t="s">
        <v>106</v>
      </c>
    </row>
    <row r="120" customFormat="false" ht="15" hidden="false" customHeight="false" outlineLevel="0" collapsed="false">
      <c r="A120" s="6" t="s">
        <v>81</v>
      </c>
      <c r="B120" s="6" t="s">
        <v>205</v>
      </c>
      <c r="C120" s="4" t="s">
        <v>233</v>
      </c>
      <c r="D120" s="27" t="n">
        <v>0</v>
      </c>
      <c r="E120" s="17" t="n">
        <v>0</v>
      </c>
      <c r="F120" s="5" t="n">
        <v>0</v>
      </c>
      <c r="G120" s="5" t="n">
        <v>0</v>
      </c>
      <c r="H120" s="26" t="n">
        <v>17</v>
      </c>
      <c r="I120" s="4" t="s">
        <v>105</v>
      </c>
      <c r="J120" s="4" t="s">
        <v>106</v>
      </c>
    </row>
    <row r="121" customFormat="false" ht="15" hidden="false" customHeight="false" outlineLevel="0" collapsed="false">
      <c r="A121" s="6" t="s">
        <v>75</v>
      </c>
      <c r="B121" s="6" t="s">
        <v>201</v>
      </c>
      <c r="C121" s="4" t="s">
        <v>234</v>
      </c>
      <c r="D121" s="27" t="n">
        <v>0</v>
      </c>
      <c r="E121" s="17" t="n">
        <v>0</v>
      </c>
      <c r="F121" s="5" t="n">
        <v>0</v>
      </c>
      <c r="G121" s="5" t="n">
        <v>0</v>
      </c>
      <c r="H121" s="26" t="n">
        <v>30</v>
      </c>
      <c r="I121" s="4" t="s">
        <v>105</v>
      </c>
      <c r="J121" s="4" t="s">
        <v>106</v>
      </c>
    </row>
    <row r="122" customFormat="false" ht="15" hidden="false" customHeight="false" outlineLevel="0" collapsed="false">
      <c r="A122" s="6" t="s">
        <v>84</v>
      </c>
      <c r="B122" s="6" t="s">
        <v>205</v>
      </c>
      <c r="C122" s="6" t="s">
        <v>235</v>
      </c>
      <c r="D122" s="27" t="n">
        <v>0</v>
      </c>
      <c r="E122" s="17" t="n">
        <v>0</v>
      </c>
      <c r="F122" s="5" t="n">
        <v>0</v>
      </c>
      <c r="G122" s="5" t="n">
        <v>0</v>
      </c>
      <c r="H122" s="26" t="n">
        <v>25</v>
      </c>
      <c r="I122" s="4" t="s">
        <v>105</v>
      </c>
      <c r="J122" s="4" t="s">
        <v>106</v>
      </c>
    </row>
    <row r="123" customFormat="false" ht="15" hidden="false" customHeight="false" outlineLevel="0" collapsed="false">
      <c r="A123" s="6" t="s">
        <v>84</v>
      </c>
      <c r="B123" s="6" t="s">
        <v>201</v>
      </c>
      <c r="C123" s="4" t="s">
        <v>236</v>
      </c>
      <c r="D123" s="27" t="n">
        <v>0</v>
      </c>
      <c r="E123" s="17" t="n">
        <v>0</v>
      </c>
      <c r="F123" s="5" t="n">
        <v>0</v>
      </c>
      <c r="G123" s="5" t="n">
        <v>0</v>
      </c>
      <c r="H123" s="26" t="n">
        <v>20</v>
      </c>
      <c r="I123" s="4" t="s">
        <v>106</v>
      </c>
      <c r="J123" s="4" t="s">
        <v>106</v>
      </c>
    </row>
    <row r="124" customFormat="false" ht="15" hidden="false" customHeight="false" outlineLevel="0" collapsed="false">
      <c r="A124" s="6" t="s">
        <v>78</v>
      </c>
      <c r="B124" s="6" t="s">
        <v>201</v>
      </c>
      <c r="C124" s="6" t="s">
        <v>237</v>
      </c>
      <c r="D124" s="27" t="n">
        <v>0</v>
      </c>
      <c r="E124" s="17" t="n">
        <v>0</v>
      </c>
      <c r="F124" s="5" t="n">
        <v>0</v>
      </c>
      <c r="G124" s="5" t="n">
        <v>0</v>
      </c>
      <c r="H124" s="26" t="n">
        <v>24</v>
      </c>
      <c r="I124" s="4" t="s">
        <v>105</v>
      </c>
      <c r="J124" s="4" t="s">
        <v>106</v>
      </c>
    </row>
    <row r="125" customFormat="false" ht="15" hidden="false" customHeight="false" outlineLevel="0" collapsed="false">
      <c r="A125" s="6" t="s">
        <v>84</v>
      </c>
      <c r="B125" s="6" t="s">
        <v>133</v>
      </c>
      <c r="C125" s="4" t="s">
        <v>238</v>
      </c>
      <c r="D125" s="27" t="n">
        <v>0</v>
      </c>
      <c r="E125" s="17" t="n">
        <v>0</v>
      </c>
      <c r="F125" s="5" t="n">
        <v>0</v>
      </c>
      <c r="G125" s="5" t="n">
        <v>0</v>
      </c>
      <c r="H125" s="26" t="n">
        <v>17</v>
      </c>
      <c r="I125" s="4" t="s">
        <v>106</v>
      </c>
      <c r="J125" s="4" t="s">
        <v>106</v>
      </c>
    </row>
    <row r="126" customFormat="false" ht="15" hidden="false" customHeight="false" outlineLevel="0" collapsed="false">
      <c r="A126" s="6" t="s">
        <v>75</v>
      </c>
      <c r="B126" s="6" t="s">
        <v>205</v>
      </c>
      <c r="C126" s="4" t="s">
        <v>239</v>
      </c>
      <c r="D126" s="27" t="n">
        <v>0</v>
      </c>
      <c r="E126" s="17" t="n">
        <v>0</v>
      </c>
      <c r="F126" s="5" t="n">
        <v>0</v>
      </c>
      <c r="G126" s="5" t="n">
        <v>0</v>
      </c>
      <c r="H126" s="26" t="n">
        <v>22</v>
      </c>
      <c r="I126" s="4" t="s">
        <v>105</v>
      </c>
      <c r="J126" s="4" t="s">
        <v>106</v>
      </c>
    </row>
    <row r="127" customFormat="false" ht="15" hidden="false" customHeight="false" outlineLevel="0" collapsed="false">
      <c r="A127" s="6" t="s">
        <v>78</v>
      </c>
      <c r="B127" s="6" t="s">
        <v>205</v>
      </c>
      <c r="C127" s="4" t="s">
        <v>240</v>
      </c>
      <c r="D127" s="27" t="n">
        <v>0</v>
      </c>
      <c r="E127" s="17" t="n">
        <v>0</v>
      </c>
      <c r="F127" s="5" t="n">
        <v>0</v>
      </c>
      <c r="G127" s="5" t="n">
        <v>0</v>
      </c>
      <c r="H127" s="26" t="n">
        <v>23</v>
      </c>
      <c r="I127" s="4" t="s">
        <v>105</v>
      </c>
      <c r="J127" s="4" t="s">
        <v>106</v>
      </c>
    </row>
    <row r="128" customFormat="false" ht="15" hidden="false" customHeight="false" outlineLevel="0" collapsed="false">
      <c r="A128" s="6" t="s">
        <v>90</v>
      </c>
      <c r="B128" s="6" t="s">
        <v>133</v>
      </c>
      <c r="C128" s="4" t="s">
        <v>241</v>
      </c>
      <c r="D128" s="27" t="n">
        <v>0</v>
      </c>
      <c r="E128" s="17" t="n">
        <v>0</v>
      </c>
      <c r="F128" s="5" t="n">
        <v>0</v>
      </c>
      <c r="G128" s="5" t="n">
        <v>0</v>
      </c>
      <c r="H128" s="26" t="n">
        <v>20</v>
      </c>
      <c r="I128" s="4" t="s">
        <v>105</v>
      </c>
      <c r="J128" s="4" t="s">
        <v>106</v>
      </c>
    </row>
    <row r="129" customFormat="false" ht="15" hidden="false" customHeight="false" outlineLevel="0" collapsed="false">
      <c r="A129" s="6" t="s">
        <v>78</v>
      </c>
      <c r="B129" s="6" t="s">
        <v>201</v>
      </c>
      <c r="C129" s="6" t="s">
        <v>242</v>
      </c>
      <c r="D129" s="27" t="n">
        <v>0</v>
      </c>
      <c r="E129" s="17" t="n">
        <v>0</v>
      </c>
      <c r="F129" s="5" t="n">
        <v>0</v>
      </c>
      <c r="G129" s="5" t="n">
        <v>0</v>
      </c>
      <c r="H129" s="26" t="n">
        <v>25</v>
      </c>
      <c r="I129" s="4" t="s">
        <v>105</v>
      </c>
      <c r="J129" s="4" t="s">
        <v>106</v>
      </c>
    </row>
    <row r="130" customFormat="false" ht="15" hidden="false" customHeight="false" outlineLevel="0" collapsed="false">
      <c r="A130" s="6" t="s">
        <v>90</v>
      </c>
      <c r="B130" s="6" t="s">
        <v>205</v>
      </c>
      <c r="C130" s="6" t="s">
        <v>243</v>
      </c>
      <c r="D130" s="27" t="n">
        <v>0</v>
      </c>
      <c r="E130" s="17" t="n">
        <v>0</v>
      </c>
      <c r="F130" s="5" t="n">
        <v>0</v>
      </c>
      <c r="G130" s="5" t="n">
        <v>0</v>
      </c>
      <c r="H130" s="26" t="n">
        <v>10</v>
      </c>
      <c r="I130" s="4" t="s">
        <v>105</v>
      </c>
      <c r="J130" s="4" t="s">
        <v>106</v>
      </c>
    </row>
    <row r="131" customFormat="false" ht="15" hidden="false" customHeight="false" outlineLevel="0" collapsed="false">
      <c r="A131" s="6" t="s">
        <v>81</v>
      </c>
      <c r="B131" s="6" t="s">
        <v>201</v>
      </c>
      <c r="C131" s="4" t="s">
        <v>244</v>
      </c>
      <c r="D131" s="27" t="n">
        <v>0</v>
      </c>
      <c r="E131" s="17" t="n">
        <v>0</v>
      </c>
      <c r="F131" s="5" t="n">
        <v>0</v>
      </c>
      <c r="G131" s="5" t="n">
        <v>0</v>
      </c>
      <c r="H131" s="26" t="n">
        <v>20</v>
      </c>
      <c r="I131" s="4" t="s">
        <v>105</v>
      </c>
      <c r="J131" s="4" t="s">
        <v>106</v>
      </c>
    </row>
    <row r="132" customFormat="false" ht="15" hidden="false" customHeight="false" outlineLevel="0" collapsed="false">
      <c r="A132" s="6" t="s">
        <v>87</v>
      </c>
      <c r="B132" s="6" t="s">
        <v>133</v>
      </c>
      <c r="C132" s="4" t="s">
        <v>245</v>
      </c>
      <c r="D132" s="27" t="n">
        <v>0</v>
      </c>
      <c r="E132" s="17" t="n">
        <v>0</v>
      </c>
      <c r="F132" s="5" t="n">
        <v>0</v>
      </c>
      <c r="G132" s="5" t="n">
        <v>0</v>
      </c>
      <c r="H132" s="26" t="n">
        <v>21</v>
      </c>
      <c r="I132" s="4" t="s">
        <v>106</v>
      </c>
      <c r="J132" s="4" t="s">
        <v>106</v>
      </c>
    </row>
    <row r="133" customFormat="false" ht="15" hidden="false" customHeight="false" outlineLevel="0" collapsed="false">
      <c r="A133" s="6" t="s">
        <v>87</v>
      </c>
      <c r="B133" s="6" t="s">
        <v>201</v>
      </c>
      <c r="C133" s="4" t="s">
        <v>246</v>
      </c>
      <c r="D133" s="27" t="n">
        <v>0</v>
      </c>
      <c r="E133" s="17" t="n">
        <v>0</v>
      </c>
      <c r="F133" s="5" t="n">
        <v>0</v>
      </c>
      <c r="G133" s="5" t="n">
        <v>0</v>
      </c>
      <c r="H133" s="26" t="n">
        <v>25</v>
      </c>
      <c r="I133" s="4" t="s">
        <v>106</v>
      </c>
      <c r="J133" s="4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104"/>
    <col collapsed="false" customWidth="true" hidden="false" outlineLevel="0" max="4" min="4" style="0" width="52"/>
    <col collapsed="false" customWidth="true" hidden="false" outlineLevel="0" max="5" min="5" style="0" width="54"/>
    <col collapsed="false" customWidth="true" hidden="false" outlineLevel="0" max="6" min="6" style="0" width="12"/>
    <col collapsed="false" customWidth="true" hidden="false" outlineLevel="0" max="7" min="7" style="0" width="44"/>
  </cols>
  <sheetData>
    <row r="1" customFormat="false" ht="21.6" hidden="false" customHeight="false" outlineLevel="0" collapsed="false">
      <c r="A1" s="10" t="s">
        <v>247</v>
      </c>
    </row>
    <row r="2" customFormat="false" ht="15" hidden="false" customHeight="false" outlineLevel="0" collapsed="false">
      <c r="A2" s="14" t="s">
        <v>248</v>
      </c>
    </row>
    <row r="4" customFormat="false" ht="30" hidden="false" customHeight="true" outlineLevel="0" collapsed="false">
      <c r="A4" s="11" t="s">
        <v>31</v>
      </c>
      <c r="B4" s="3" t="s">
        <v>249</v>
      </c>
      <c r="C4" s="3" t="s">
        <v>250</v>
      </c>
      <c r="D4" s="3" t="s">
        <v>251</v>
      </c>
      <c r="E4" s="3" t="s">
        <v>252</v>
      </c>
      <c r="F4" s="3" t="s">
        <v>253</v>
      </c>
      <c r="G4" s="3" t="s">
        <v>254</v>
      </c>
    </row>
    <row r="5" customFormat="false" ht="78" hidden="false" customHeight="true" outlineLevel="0" collapsed="false">
      <c r="A5" s="6" t="s">
        <v>35</v>
      </c>
      <c r="B5" s="4" t="s">
        <v>255</v>
      </c>
      <c r="C5" s="12" t="s">
        <v>256</v>
      </c>
      <c r="D5" s="13" t="s">
        <v>257</v>
      </c>
      <c r="E5" s="12" t="s">
        <v>258</v>
      </c>
      <c r="F5" s="28" t="s">
        <v>259</v>
      </c>
      <c r="G5" s="13" t="s">
        <v>260</v>
      </c>
    </row>
    <row r="6" customFormat="false" ht="78" hidden="false" customHeight="true" outlineLevel="0" collapsed="false">
      <c r="A6" s="6" t="s">
        <v>39</v>
      </c>
      <c r="B6" s="4" t="s">
        <v>255</v>
      </c>
      <c r="C6" s="12" t="s">
        <v>261</v>
      </c>
      <c r="D6" s="12" t="s">
        <v>262</v>
      </c>
      <c r="E6" s="13" t="s">
        <v>263</v>
      </c>
      <c r="F6" s="28" t="s">
        <v>259</v>
      </c>
      <c r="G6" s="12" t="s">
        <v>264</v>
      </c>
    </row>
    <row r="7" customFormat="false" ht="78" hidden="false" customHeight="true" outlineLevel="0" collapsed="false">
      <c r="A7" s="6" t="s">
        <v>43</v>
      </c>
      <c r="B7" s="6" t="s">
        <v>265</v>
      </c>
      <c r="C7" s="12" t="s">
        <v>266</v>
      </c>
      <c r="D7" s="12" t="s">
        <v>267</v>
      </c>
      <c r="E7" s="12" t="s">
        <v>268</v>
      </c>
      <c r="F7" s="8" t="s">
        <v>269</v>
      </c>
      <c r="G7" s="12" t="s">
        <v>270</v>
      </c>
    </row>
    <row r="8" customFormat="false" ht="78" hidden="false" customHeight="true" outlineLevel="0" collapsed="false">
      <c r="A8" s="6" t="s">
        <v>47</v>
      </c>
      <c r="B8" s="6" t="s">
        <v>87</v>
      </c>
      <c r="C8" s="12" t="s">
        <v>271</v>
      </c>
      <c r="D8" s="13" t="s">
        <v>272</v>
      </c>
      <c r="E8" s="13" t="s">
        <v>273</v>
      </c>
      <c r="F8" s="28" t="s">
        <v>259</v>
      </c>
      <c r="G8" s="13" t="s">
        <v>274</v>
      </c>
    </row>
    <row r="9" customFormat="false" ht="78" hidden="false" customHeight="true" outlineLevel="0" collapsed="false">
      <c r="A9" s="6" t="s">
        <v>51</v>
      </c>
      <c r="B9" s="6" t="s">
        <v>275</v>
      </c>
      <c r="C9" s="12" t="s">
        <v>276</v>
      </c>
      <c r="D9" s="13" t="s">
        <v>277</v>
      </c>
      <c r="E9" s="13" t="s">
        <v>278</v>
      </c>
      <c r="F9" s="28" t="s">
        <v>259</v>
      </c>
      <c r="G9" s="12" t="s">
        <v>279</v>
      </c>
    </row>
    <row r="10" customFormat="false" ht="78" hidden="false" customHeight="true" outlineLevel="0" collapsed="false">
      <c r="A10" s="6" t="s">
        <v>55</v>
      </c>
      <c r="B10" s="4" t="s">
        <v>255</v>
      </c>
      <c r="C10" s="12" t="s">
        <v>280</v>
      </c>
      <c r="D10" s="13" t="s">
        <v>281</v>
      </c>
      <c r="E10" s="13" t="s">
        <v>282</v>
      </c>
      <c r="F10" s="28" t="s">
        <v>259</v>
      </c>
      <c r="G10" s="13" t="s">
        <v>283</v>
      </c>
    </row>
    <row r="11" customFormat="false" ht="78" hidden="false" customHeight="true" outlineLevel="0" collapsed="false">
      <c r="A11" s="6" t="s">
        <v>284</v>
      </c>
      <c r="B11" s="6" t="s">
        <v>75</v>
      </c>
      <c r="C11" s="12" t="s">
        <v>285</v>
      </c>
      <c r="D11" s="13" t="s">
        <v>286</v>
      </c>
      <c r="E11" s="12" t="s">
        <v>287</v>
      </c>
      <c r="F11" s="28" t="s">
        <v>259</v>
      </c>
      <c r="G11" s="13" t="s">
        <v>288</v>
      </c>
    </row>
    <row r="12" customFormat="false" ht="78" hidden="false" customHeight="true" outlineLevel="0" collapsed="false">
      <c r="A12" s="6" t="s">
        <v>289</v>
      </c>
      <c r="B12" s="4" t="s">
        <v>255</v>
      </c>
      <c r="C12" s="12" t="s">
        <v>290</v>
      </c>
      <c r="D12" s="13" t="s">
        <v>291</v>
      </c>
      <c r="E12" s="12" t="s">
        <v>292</v>
      </c>
      <c r="F12" s="28" t="s">
        <v>293</v>
      </c>
      <c r="G12" s="12" t="s">
        <v>294</v>
      </c>
    </row>
    <row r="15" customFormat="false" ht="17.35" hidden="false" customHeight="false" outlineLevel="0" collapsed="false">
      <c r="A15" s="10" t="s">
        <v>295</v>
      </c>
    </row>
    <row r="17" customFormat="false" ht="30" hidden="false" customHeight="true" outlineLevel="0" collapsed="false">
      <c r="A17" s="11" t="s">
        <v>31</v>
      </c>
      <c r="B17" s="3" t="s">
        <v>296</v>
      </c>
      <c r="C17" s="3" t="s">
        <v>297</v>
      </c>
    </row>
    <row r="18" customFormat="false" ht="45.75" hidden="false" customHeight="true" outlineLevel="0" collapsed="false">
      <c r="A18" s="6" t="s">
        <v>298</v>
      </c>
      <c r="B18" s="6" t="s">
        <v>299</v>
      </c>
      <c r="C18" s="12" t="s">
        <v>300</v>
      </c>
    </row>
    <row r="19" customFormat="false" ht="45.75" hidden="false" customHeight="true" outlineLevel="0" collapsed="false">
      <c r="A19" s="6" t="s">
        <v>301</v>
      </c>
      <c r="B19" s="6" t="s">
        <v>302</v>
      </c>
      <c r="C19" s="13" t="s">
        <v>303</v>
      </c>
    </row>
    <row r="20" customFormat="false" ht="45.75" hidden="false" customHeight="true" outlineLevel="0" collapsed="false">
      <c r="A20" s="6" t="s">
        <v>304</v>
      </c>
      <c r="B20" s="6" t="s">
        <v>305</v>
      </c>
      <c r="C20" s="12" t="s">
        <v>306</v>
      </c>
    </row>
    <row r="21" customFormat="false" ht="45.75" hidden="false" customHeight="true" outlineLevel="0" collapsed="false">
      <c r="A21" s="6" t="s">
        <v>307</v>
      </c>
      <c r="B21" s="6" t="s">
        <v>308</v>
      </c>
      <c r="C21" s="13" t="s">
        <v>309</v>
      </c>
    </row>
    <row r="22" customFormat="false" ht="45.75" hidden="false" customHeight="true" outlineLevel="0" collapsed="false">
      <c r="A22" s="6" t="s">
        <v>310</v>
      </c>
      <c r="B22" s="6" t="s">
        <v>311</v>
      </c>
      <c r="C22" s="13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50"/>
    <col collapsed="false" customWidth="true" hidden="false" outlineLevel="0" max="10" min="6" style="0" width="9"/>
    <col collapsed="false" customWidth="true" hidden="false" outlineLevel="0" max="11" min="11" style="0" width="50"/>
  </cols>
  <sheetData>
    <row r="1" customFormat="false" ht="17.35" hidden="false" customHeight="false" outlineLevel="0" collapsed="false">
      <c r="A1" s="10" t="s">
        <v>313</v>
      </c>
    </row>
    <row r="3" customFormat="false" ht="15" hidden="false" customHeight="false" outlineLevel="0" collapsed="false">
      <c r="A3" s="29" t="s">
        <v>314</v>
      </c>
    </row>
    <row r="4" customFormat="false" ht="30" hidden="false" customHeight="true" outlineLevel="0" collapsed="false">
      <c r="A4" s="3" t="s">
        <v>315</v>
      </c>
      <c r="B4" s="3" t="s">
        <v>316</v>
      </c>
      <c r="C4" s="3" t="s">
        <v>317</v>
      </c>
      <c r="D4" s="3" t="s">
        <v>318</v>
      </c>
      <c r="E4" s="3" t="s">
        <v>319</v>
      </c>
    </row>
    <row r="5" customFormat="false" ht="15" hidden="false" customHeight="false" outlineLevel="0" collapsed="false">
      <c r="A5" s="6" t="s">
        <v>112</v>
      </c>
      <c r="B5" s="5" t="n">
        <v>167951</v>
      </c>
      <c r="C5" s="5" t="n">
        <v>71</v>
      </c>
      <c r="D5" s="17" t="n">
        <v>65</v>
      </c>
      <c r="E5" s="4"/>
    </row>
    <row r="6" customFormat="false" ht="15" hidden="false" customHeight="false" outlineLevel="0" collapsed="false">
      <c r="A6" s="6" t="s">
        <v>103</v>
      </c>
      <c r="B6" s="5" t="n">
        <v>167929</v>
      </c>
      <c r="C6" s="5" t="n">
        <v>70</v>
      </c>
      <c r="D6" s="17" t="n">
        <v>67.4</v>
      </c>
      <c r="E6" s="4"/>
    </row>
    <row r="7" customFormat="false" ht="15" hidden="false" customHeight="false" outlineLevel="0" collapsed="false">
      <c r="A7" s="6" t="s">
        <v>107</v>
      </c>
      <c r="B7" s="5" t="n">
        <v>171424</v>
      </c>
      <c r="C7" s="5" t="n">
        <v>70</v>
      </c>
      <c r="D7" s="17" t="n">
        <v>68.6</v>
      </c>
      <c r="E7" s="4"/>
    </row>
    <row r="8" customFormat="false" ht="15" hidden="false" customHeight="false" outlineLevel="0" collapsed="false">
      <c r="A8" s="6" t="s">
        <v>116</v>
      </c>
      <c r="B8" s="5" t="n">
        <v>175085</v>
      </c>
      <c r="C8" s="5" t="n">
        <v>68</v>
      </c>
      <c r="D8" s="17" t="n">
        <v>73.6</v>
      </c>
      <c r="E8" s="4"/>
    </row>
    <row r="9" customFormat="false" ht="15" hidden="false" customHeight="false" outlineLevel="0" collapsed="false">
      <c r="A9" s="6" t="s">
        <v>118</v>
      </c>
      <c r="B9" s="5" t="n">
        <v>179436</v>
      </c>
      <c r="C9" s="5" t="n">
        <v>70</v>
      </c>
      <c r="D9" s="17" t="n">
        <v>72.6</v>
      </c>
      <c r="E9" s="4"/>
    </row>
    <row r="10" customFormat="false" ht="15" hidden="false" customHeight="false" outlineLevel="0" collapsed="false">
      <c r="A10" s="6" t="s">
        <v>125</v>
      </c>
      <c r="B10" s="5" t="n">
        <v>183810</v>
      </c>
      <c r="C10" s="5" t="n">
        <v>75</v>
      </c>
      <c r="D10" s="17" t="n">
        <v>53.3</v>
      </c>
      <c r="E10" s="6" t="s">
        <v>320</v>
      </c>
    </row>
    <row r="11" customFormat="false" ht="15" hidden="false" customHeight="false" outlineLevel="0" collapsed="false">
      <c r="A11" s="6" t="s">
        <v>130</v>
      </c>
      <c r="B11" s="5" t="n">
        <v>187226</v>
      </c>
      <c r="C11" s="5" t="n">
        <v>71</v>
      </c>
      <c r="D11" s="17" t="n">
        <v>52.9</v>
      </c>
      <c r="E11" s="4"/>
    </row>
    <row r="12" customFormat="false" ht="15" hidden="false" customHeight="false" outlineLevel="0" collapsed="false">
      <c r="A12" s="6" t="s">
        <v>157</v>
      </c>
      <c r="B12" s="5" t="n">
        <v>35505</v>
      </c>
      <c r="C12" s="5" t="n">
        <v>26</v>
      </c>
      <c r="D12" s="17" t="n">
        <v>56.9</v>
      </c>
      <c r="E12" s="6" t="s">
        <v>321</v>
      </c>
    </row>
    <row r="13" customFormat="false" ht="15" hidden="false" customHeight="false" outlineLevel="0" collapsed="false">
      <c r="A13" s="6" t="s">
        <v>114</v>
      </c>
      <c r="B13" s="5" t="n">
        <v>218164</v>
      </c>
      <c r="C13" s="5" t="n">
        <v>101</v>
      </c>
      <c r="D13" s="17" t="n">
        <v>52.2</v>
      </c>
      <c r="E13" s="4"/>
    </row>
    <row r="14" customFormat="false" ht="15" hidden="false" customHeight="false" outlineLevel="0" collapsed="false">
      <c r="A14" s="6" t="s">
        <v>133</v>
      </c>
      <c r="B14" s="5" t="n">
        <v>207025</v>
      </c>
      <c r="C14" s="5" t="n">
        <v>92</v>
      </c>
      <c r="D14" s="17" t="n">
        <v>52.3</v>
      </c>
      <c r="E14" s="6" t="s">
        <v>322</v>
      </c>
    </row>
    <row r="15" customFormat="false" ht="15" hidden="false" customHeight="false" outlineLevel="0" collapsed="false">
      <c r="A15" s="6" t="s">
        <v>201</v>
      </c>
      <c r="B15" s="5" t="n">
        <v>198069</v>
      </c>
      <c r="C15" s="5" t="n">
        <v>89</v>
      </c>
      <c r="D15" s="17" t="n">
        <v>52.4</v>
      </c>
      <c r="E15" s="4"/>
    </row>
    <row r="16" customFormat="false" ht="15" hidden="false" customHeight="false" outlineLevel="0" collapsed="false">
      <c r="A16" s="6" t="s">
        <v>205</v>
      </c>
      <c r="B16" s="5" t="n">
        <v>200749</v>
      </c>
      <c r="C16" s="5" t="n">
        <v>96</v>
      </c>
      <c r="D16" s="17" t="n">
        <v>52.3</v>
      </c>
      <c r="E16" s="4"/>
    </row>
    <row r="19" customFormat="false" ht="15" hidden="false" customHeight="false" outlineLevel="0" collapsed="false">
      <c r="A19" s="29" t="s">
        <v>323</v>
      </c>
    </row>
    <row r="20" customFormat="false" ht="30" hidden="false" customHeight="true" outlineLevel="0" collapsed="false">
      <c r="A20" s="3" t="s">
        <v>62</v>
      </c>
      <c r="B20" s="11" t="s">
        <v>324</v>
      </c>
      <c r="C20" s="11" t="s">
        <v>325</v>
      </c>
      <c r="D20" s="11" t="s">
        <v>326</v>
      </c>
      <c r="E20" s="11" t="s">
        <v>327</v>
      </c>
      <c r="F20" s="11" t="s">
        <v>328</v>
      </c>
      <c r="G20" s="11" t="s">
        <v>329</v>
      </c>
      <c r="H20" s="11" t="s">
        <v>330</v>
      </c>
      <c r="I20" s="11" t="s">
        <v>331</v>
      </c>
      <c r="J20" s="11" t="s">
        <v>332</v>
      </c>
      <c r="K20" s="3" t="s">
        <v>333</v>
      </c>
    </row>
    <row r="21" customFormat="false" ht="15" hidden="false" customHeight="false" outlineLevel="0" collapsed="false">
      <c r="A21" s="6" t="s">
        <v>75</v>
      </c>
      <c r="B21" s="17"/>
      <c r="C21" s="17"/>
      <c r="D21" s="17"/>
      <c r="E21" s="17"/>
      <c r="F21" s="30" t="n">
        <v>56.9</v>
      </c>
      <c r="G21" s="30" t="n">
        <v>56.6</v>
      </c>
      <c r="H21" s="30" t="n">
        <v>57</v>
      </c>
      <c r="I21" s="30" t="n">
        <v>57</v>
      </c>
      <c r="J21" s="30" t="n">
        <v>57</v>
      </c>
      <c r="K21" s="4" t="s">
        <v>334</v>
      </c>
    </row>
    <row r="22" customFormat="false" ht="15" hidden="false" customHeight="false" outlineLevel="0" collapsed="false">
      <c r="A22" s="6" t="s">
        <v>78</v>
      </c>
      <c r="B22" s="17" t="n">
        <v>54.7</v>
      </c>
      <c r="C22" s="30" t="n">
        <v>55.7</v>
      </c>
      <c r="D22" s="17" t="n">
        <v>45.7</v>
      </c>
      <c r="E22" s="17" t="n">
        <v>45.2</v>
      </c>
      <c r="F22" s="17"/>
      <c r="G22" s="31" t="n">
        <v>44.4</v>
      </c>
      <c r="H22" s="17" t="n">
        <v>45.1</v>
      </c>
      <c r="I22" s="31" t="n">
        <v>43.9</v>
      </c>
      <c r="J22" s="31" t="n">
        <v>42.1</v>
      </c>
      <c r="K22" s="4" t="s">
        <v>335</v>
      </c>
    </row>
    <row r="23" customFormat="false" ht="15" hidden="false" customHeight="false" outlineLevel="0" collapsed="false">
      <c r="A23" s="6" t="s">
        <v>81</v>
      </c>
      <c r="B23" s="30" t="n">
        <v>131.3</v>
      </c>
      <c r="C23" s="30" t="n">
        <v>128.9</v>
      </c>
      <c r="D23" s="30" t="n">
        <v>58.4</v>
      </c>
      <c r="E23" s="30" t="n">
        <v>59</v>
      </c>
      <c r="F23" s="17"/>
      <c r="G23" s="30" t="n">
        <v>58.9</v>
      </c>
      <c r="H23" s="30" t="n">
        <v>58.8</v>
      </c>
      <c r="I23" s="30" t="n">
        <v>60.4</v>
      </c>
      <c r="J23" s="30" t="n">
        <v>61.2</v>
      </c>
      <c r="K23" s="4" t="s">
        <v>336</v>
      </c>
    </row>
    <row r="24" customFormat="false" ht="15" hidden="false" customHeight="false" outlineLevel="0" collapsed="false">
      <c r="A24" s="6" t="s">
        <v>84</v>
      </c>
      <c r="B24" s="30" t="n">
        <v>58</v>
      </c>
      <c r="C24" s="30" t="n">
        <v>56.9</v>
      </c>
      <c r="D24" s="30" t="n">
        <v>55.6</v>
      </c>
      <c r="E24" s="30" t="n">
        <v>56.2</v>
      </c>
      <c r="F24" s="17"/>
      <c r="G24" s="17" t="n">
        <v>50.9</v>
      </c>
      <c r="H24" s="17" t="n">
        <v>51.9</v>
      </c>
      <c r="I24" s="17" t="n">
        <v>52.1</v>
      </c>
      <c r="J24" s="17" t="n">
        <v>52.1</v>
      </c>
      <c r="K24" s="6" t="s">
        <v>337</v>
      </c>
    </row>
    <row r="25" customFormat="false" ht="15" hidden="false" customHeight="false" outlineLevel="0" collapsed="false">
      <c r="A25" s="6" t="s">
        <v>87</v>
      </c>
      <c r="B25" s="17" t="n">
        <v>52.8</v>
      </c>
      <c r="C25" s="17" t="n">
        <v>51.2</v>
      </c>
      <c r="D25" s="17" t="n">
        <v>53.4</v>
      </c>
      <c r="E25" s="17" t="n">
        <v>51.6</v>
      </c>
      <c r="F25" s="17"/>
      <c r="G25" s="17" t="n">
        <v>52.9</v>
      </c>
      <c r="H25" s="17" t="n">
        <v>51.9</v>
      </c>
      <c r="I25" s="17" t="n">
        <v>51.3</v>
      </c>
      <c r="J25" s="17" t="n">
        <v>52.3</v>
      </c>
      <c r="K25" s="4" t="s">
        <v>338</v>
      </c>
    </row>
    <row r="26" customFormat="false" ht="15" hidden="false" customHeight="false" outlineLevel="0" collapsed="false">
      <c r="A26" s="6" t="s">
        <v>90</v>
      </c>
      <c r="B26" s="17" t="n">
        <v>51.6</v>
      </c>
      <c r="C26" s="17" t="n">
        <v>51</v>
      </c>
      <c r="D26" s="17" t="n">
        <v>54.3</v>
      </c>
      <c r="E26" s="17" t="n">
        <v>52.5</v>
      </c>
      <c r="F26" s="17"/>
      <c r="G26" s="17" t="n">
        <v>51.3</v>
      </c>
      <c r="H26" s="17" t="n">
        <v>51.3</v>
      </c>
      <c r="I26" s="17" t="n">
        <v>51.3</v>
      </c>
      <c r="J26" s="17" t="n">
        <v>50.9</v>
      </c>
      <c r="K26" s="4" t="s">
        <v>339</v>
      </c>
    </row>
    <row r="29" customFormat="false" ht="15" hidden="false" customHeight="false" outlineLevel="0" collapsed="false">
      <c r="A29" s="29" t="s">
        <v>340</v>
      </c>
    </row>
    <row r="30" customFormat="false" ht="30" hidden="false" customHeight="true" outlineLevel="0" collapsed="false">
      <c r="A30" s="3" t="s">
        <v>96</v>
      </c>
      <c r="B30" s="3" t="s">
        <v>341</v>
      </c>
      <c r="C30" s="3" t="s">
        <v>342</v>
      </c>
      <c r="D30" s="11" t="s">
        <v>343</v>
      </c>
      <c r="E30" s="3" t="s">
        <v>319</v>
      </c>
    </row>
    <row r="31" customFormat="false" ht="15" hidden="false" customHeight="false" outlineLevel="0" collapsed="false">
      <c r="A31" s="6" t="s">
        <v>344</v>
      </c>
      <c r="B31" s="26" t="n">
        <v>7</v>
      </c>
      <c r="C31" s="5" t="n">
        <v>9141</v>
      </c>
      <c r="D31" s="5" t="n">
        <v>1306</v>
      </c>
      <c r="E31" s="4"/>
    </row>
    <row r="32" customFormat="false" ht="15" hidden="false" customHeight="false" outlineLevel="0" collapsed="false">
      <c r="A32" s="6" t="s">
        <v>345</v>
      </c>
      <c r="B32" s="26" t="n">
        <v>13</v>
      </c>
      <c r="C32" s="5" t="n">
        <v>9670</v>
      </c>
      <c r="D32" s="5" t="n">
        <v>744</v>
      </c>
      <c r="E32" s="4"/>
    </row>
    <row r="33" customFormat="false" ht="15" hidden="false" customHeight="false" outlineLevel="0" collapsed="false">
      <c r="A33" s="6" t="s">
        <v>346</v>
      </c>
      <c r="B33" s="26" t="n">
        <v>7</v>
      </c>
      <c r="C33" s="5" t="n">
        <v>5171</v>
      </c>
      <c r="D33" s="5" t="n">
        <v>739</v>
      </c>
      <c r="E33" s="4"/>
    </row>
    <row r="34" customFormat="false" ht="15" hidden="false" customHeight="false" outlineLevel="0" collapsed="false">
      <c r="A34" s="6" t="s">
        <v>347</v>
      </c>
      <c r="B34" s="26" t="n">
        <v>6</v>
      </c>
      <c r="C34" s="5" t="n">
        <v>4756</v>
      </c>
      <c r="D34" s="5" t="n">
        <v>793</v>
      </c>
      <c r="E34" s="4"/>
    </row>
    <row r="35" customFormat="false" ht="15" hidden="false" customHeight="false" outlineLevel="0" collapsed="false">
      <c r="A35" s="6" t="s">
        <v>110</v>
      </c>
      <c r="B35" s="26" t="n">
        <v>5</v>
      </c>
      <c r="C35" s="5" t="n">
        <v>5935</v>
      </c>
      <c r="D35" s="5" t="n">
        <v>1187</v>
      </c>
      <c r="E35" s="4"/>
    </row>
    <row r="36" customFormat="false" ht="15" hidden="false" customHeight="false" outlineLevel="0" collapsed="false">
      <c r="A36" s="6" t="s">
        <v>112</v>
      </c>
      <c r="B36" s="26" t="n">
        <v>8</v>
      </c>
      <c r="C36" s="5" t="n">
        <v>7201</v>
      </c>
      <c r="D36" s="5" t="n">
        <v>900</v>
      </c>
      <c r="E36" s="4"/>
    </row>
    <row r="37" customFormat="false" ht="15" hidden="false" customHeight="false" outlineLevel="0" collapsed="false">
      <c r="A37" s="6" t="s">
        <v>103</v>
      </c>
      <c r="B37" s="26" t="n">
        <v>7</v>
      </c>
      <c r="C37" s="5" t="n">
        <v>8541</v>
      </c>
      <c r="D37" s="5" t="n">
        <v>1220</v>
      </c>
      <c r="E37" s="4"/>
    </row>
    <row r="38" customFormat="false" ht="15" hidden="false" customHeight="false" outlineLevel="0" collapsed="false">
      <c r="A38" s="6" t="s">
        <v>107</v>
      </c>
      <c r="B38" s="26" t="n">
        <v>12</v>
      </c>
      <c r="C38" s="5" t="n">
        <v>12934</v>
      </c>
      <c r="D38" s="5" t="n">
        <v>1078</v>
      </c>
      <c r="E38" s="4"/>
    </row>
    <row r="39" customFormat="false" ht="15" hidden="false" customHeight="false" outlineLevel="0" collapsed="false">
      <c r="A39" s="6" t="s">
        <v>116</v>
      </c>
      <c r="B39" s="26" t="n">
        <v>14</v>
      </c>
      <c r="C39" s="5" t="n">
        <v>12319</v>
      </c>
      <c r="D39" s="5" t="n">
        <v>880</v>
      </c>
      <c r="E39" s="4"/>
    </row>
    <row r="40" customFormat="false" ht="15" hidden="false" customHeight="false" outlineLevel="0" collapsed="false">
      <c r="A40" s="6" t="s">
        <v>118</v>
      </c>
      <c r="B40" s="26" t="n">
        <v>7</v>
      </c>
      <c r="C40" s="5" t="n">
        <v>7464</v>
      </c>
      <c r="D40" s="5" t="n">
        <v>1066</v>
      </c>
      <c r="E40" s="4"/>
    </row>
    <row r="41" customFormat="false" ht="15" hidden="false" customHeight="false" outlineLevel="0" collapsed="false">
      <c r="A41" s="6" t="s">
        <v>125</v>
      </c>
      <c r="B41" s="26" t="n">
        <v>11</v>
      </c>
      <c r="C41" s="5" t="n">
        <v>8525</v>
      </c>
      <c r="D41" s="5" t="n">
        <v>775</v>
      </c>
      <c r="E41" s="4"/>
    </row>
    <row r="42" customFormat="false" ht="15" hidden="false" customHeight="false" outlineLevel="0" collapsed="false">
      <c r="A42" s="6" t="s">
        <v>130</v>
      </c>
      <c r="B42" s="26" t="n">
        <v>7</v>
      </c>
      <c r="C42" s="5" t="n">
        <v>6283</v>
      </c>
      <c r="D42" s="5" t="n">
        <v>898</v>
      </c>
      <c r="E42" s="4"/>
    </row>
    <row r="43" customFormat="false" ht="15" hidden="false" customHeight="false" outlineLevel="0" collapsed="false">
      <c r="A43" s="6" t="s">
        <v>157</v>
      </c>
      <c r="B43" s="26" t="n">
        <v>1</v>
      </c>
      <c r="C43" s="5" t="n">
        <v>946</v>
      </c>
      <c r="D43" s="5" t="n">
        <v>946</v>
      </c>
      <c r="E43" s="4"/>
    </row>
    <row r="44" customFormat="false" ht="15" hidden="false" customHeight="false" outlineLevel="0" collapsed="false">
      <c r="A44" s="6" t="s">
        <v>114</v>
      </c>
      <c r="B44" s="26" t="n">
        <v>7</v>
      </c>
      <c r="C44" s="5" t="n">
        <v>6349</v>
      </c>
      <c r="D44" s="5" t="n">
        <v>907</v>
      </c>
      <c r="E44" s="4"/>
    </row>
    <row r="45" customFormat="false" ht="15" hidden="false" customHeight="false" outlineLevel="0" collapsed="false">
      <c r="A45" s="6" t="s">
        <v>133</v>
      </c>
      <c r="B45" s="26" t="n">
        <v>17</v>
      </c>
      <c r="C45" s="5" t="n">
        <v>3372</v>
      </c>
      <c r="D45" s="32" t="n">
        <v>198</v>
      </c>
      <c r="E45" s="6" t="s">
        <v>348</v>
      </c>
    </row>
    <row r="46" customFormat="false" ht="15" hidden="false" customHeight="false" outlineLevel="0" collapsed="false">
      <c r="A46" s="6" t="s">
        <v>201</v>
      </c>
      <c r="B46" s="26" t="n">
        <v>19</v>
      </c>
      <c r="C46" s="5" t="n">
        <v>0</v>
      </c>
      <c r="D46" s="32" t="n">
        <v>0</v>
      </c>
      <c r="E46" s="6" t="s">
        <v>349</v>
      </c>
    </row>
    <row r="47" customFormat="false" ht="15" hidden="false" customHeight="false" outlineLevel="0" collapsed="false">
      <c r="A47" s="6" t="s">
        <v>205</v>
      </c>
      <c r="B47" s="26" t="n">
        <v>14</v>
      </c>
      <c r="C47" s="5" t="n">
        <v>0</v>
      </c>
      <c r="D47" s="32" t="n">
        <v>0</v>
      </c>
      <c r="E47" s="6" t="s">
        <v>349</v>
      </c>
    </row>
    <row r="50" customFormat="false" ht="15" hidden="false" customHeight="false" outlineLevel="0" collapsed="false">
      <c r="A50" s="29" t="s">
        <v>350</v>
      </c>
    </row>
    <row r="51" customFormat="false" ht="30" hidden="false" customHeight="true" outlineLevel="0" collapsed="false">
      <c r="A51" s="11" t="s">
        <v>351</v>
      </c>
      <c r="B51" s="3" t="s">
        <v>341</v>
      </c>
      <c r="C51" s="3" t="s">
        <v>352</v>
      </c>
      <c r="D51" s="3" t="s">
        <v>353</v>
      </c>
      <c r="E51" s="3" t="s">
        <v>354</v>
      </c>
    </row>
    <row r="52" customFormat="false" ht="15" hidden="false" customHeight="false" outlineLevel="0" collapsed="false">
      <c r="A52" s="6" t="s">
        <v>355</v>
      </c>
      <c r="B52" s="26" t="n">
        <v>4</v>
      </c>
      <c r="C52" s="5" t="n">
        <v>0</v>
      </c>
      <c r="D52" s="18" t="n">
        <v>0</v>
      </c>
      <c r="E52" s="4" t="s">
        <v>356</v>
      </c>
    </row>
    <row r="53" customFormat="false" ht="15" hidden="false" customHeight="false" outlineLevel="0" collapsed="false">
      <c r="A53" s="6" t="s">
        <v>357</v>
      </c>
      <c r="B53" s="26" t="n">
        <v>4</v>
      </c>
      <c r="C53" s="5" t="n">
        <v>0</v>
      </c>
      <c r="D53" s="18" t="n">
        <v>0</v>
      </c>
      <c r="E53" s="4" t="s">
        <v>356</v>
      </c>
    </row>
    <row r="54" customFormat="false" ht="15" hidden="false" customHeight="false" outlineLevel="0" collapsed="false">
      <c r="A54" s="6" t="s">
        <v>358</v>
      </c>
      <c r="B54" s="26" t="n">
        <v>21</v>
      </c>
      <c r="C54" s="5" t="n">
        <v>962</v>
      </c>
      <c r="D54" s="18" t="n">
        <v>5.5</v>
      </c>
      <c r="E54" s="28" t="s">
        <v>359</v>
      </c>
    </row>
    <row r="55" customFormat="false" ht="15" hidden="false" customHeight="false" outlineLevel="0" collapsed="false">
      <c r="A55" s="6" t="s">
        <v>360</v>
      </c>
      <c r="B55" s="26" t="n">
        <v>28</v>
      </c>
      <c r="C55" s="5" t="n">
        <v>633</v>
      </c>
      <c r="D55" s="18" t="n">
        <v>2.82</v>
      </c>
      <c r="E55" s="9" t="s">
        <v>361</v>
      </c>
    </row>
    <row r="56" customFormat="false" ht="15" hidden="false" customHeight="false" outlineLevel="0" collapsed="false">
      <c r="A56" s="6" t="s">
        <v>362</v>
      </c>
      <c r="B56" s="26" t="n">
        <v>14</v>
      </c>
      <c r="C56" s="5" t="n">
        <v>623</v>
      </c>
      <c r="D56" s="18" t="n">
        <v>3.32</v>
      </c>
      <c r="E56" s="9" t="s">
        <v>361</v>
      </c>
    </row>
    <row r="57" customFormat="false" ht="15" hidden="false" customHeight="false" outlineLevel="0" collapsed="false">
      <c r="A57" s="6" t="s">
        <v>363</v>
      </c>
      <c r="B57" s="26" t="n">
        <v>13</v>
      </c>
      <c r="C57" s="5" t="n">
        <v>933</v>
      </c>
      <c r="D57" s="18" t="n">
        <v>1.15</v>
      </c>
      <c r="E57" s="9" t="s">
        <v>361</v>
      </c>
    </row>
    <row r="58" customFormat="false" ht="15" hidden="false" customHeight="false" outlineLevel="0" collapsed="false">
      <c r="A58" s="6" t="s">
        <v>364</v>
      </c>
      <c r="B58" s="26" t="n">
        <v>7</v>
      </c>
      <c r="C58" s="5" t="n">
        <v>590</v>
      </c>
      <c r="D58" s="18" t="n">
        <v>0</v>
      </c>
      <c r="E58" s="9" t="s">
        <v>361</v>
      </c>
    </row>
    <row r="59" customFormat="false" ht="15" hidden="false" customHeight="false" outlineLevel="0" collapsed="false">
      <c r="A59" s="6" t="s">
        <v>365</v>
      </c>
      <c r="B59" s="26" t="n">
        <v>4</v>
      </c>
      <c r="C59" s="5" t="n">
        <v>226</v>
      </c>
      <c r="D59" s="18" t="n">
        <v>1.11</v>
      </c>
      <c r="E59" s="4" t="s">
        <v>356</v>
      </c>
    </row>
    <row r="60" customFormat="false" ht="15" hidden="false" customHeight="false" outlineLevel="0" collapsed="false">
      <c r="A60" s="6" t="s">
        <v>366</v>
      </c>
      <c r="B60" s="26" t="n">
        <v>50</v>
      </c>
      <c r="C60" s="5" t="n">
        <v>905</v>
      </c>
      <c r="D60" s="18" t="n">
        <v>4.48</v>
      </c>
      <c r="E60" s="28" t="s">
        <v>359</v>
      </c>
    </row>
    <row r="61" customFormat="false" ht="15" hidden="false" customHeight="false" outlineLevel="0" collapsed="false">
      <c r="A61" s="6" t="s">
        <v>367</v>
      </c>
      <c r="B61" s="26" t="n">
        <v>36</v>
      </c>
      <c r="C61" s="5" t="n">
        <v>989</v>
      </c>
      <c r="D61" s="18" t="n">
        <v>1.85</v>
      </c>
      <c r="E61" s="4" t="s">
        <v>368</v>
      </c>
    </row>
    <row r="62" customFormat="false" ht="15" hidden="false" customHeight="false" outlineLevel="0" collapsed="false">
      <c r="A62" s="6" t="s">
        <v>369</v>
      </c>
      <c r="B62" s="26" t="n">
        <v>38</v>
      </c>
      <c r="C62" s="5" t="n">
        <v>821</v>
      </c>
      <c r="D62" s="18" t="n">
        <v>3.56</v>
      </c>
      <c r="E62" s="4" t="s">
        <v>368</v>
      </c>
    </row>
    <row r="63" customFormat="false" ht="15" hidden="false" customHeight="false" outlineLevel="0" collapsed="false">
      <c r="A63" s="6" t="s">
        <v>370</v>
      </c>
      <c r="B63" s="26" t="n">
        <v>1</v>
      </c>
      <c r="C63" s="5" t="n">
        <v>1058</v>
      </c>
      <c r="D63" s="18" t="n">
        <v>9.45</v>
      </c>
      <c r="E63" s="4" t="s">
        <v>356</v>
      </c>
    </row>
    <row r="64" customFormat="false" ht="15" hidden="false" customHeight="false" outlineLevel="0" collapsed="false">
      <c r="A64" s="6" t="s">
        <v>371</v>
      </c>
      <c r="B64" s="26" t="n">
        <v>7</v>
      </c>
      <c r="C64" s="5" t="n">
        <v>621</v>
      </c>
      <c r="D64" s="18" t="n">
        <v>3.68</v>
      </c>
      <c r="E64" s="9" t="s">
        <v>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2026-09-07T01:21:04Z</dcterms:created>
  <dc:creator>openpyxl</dc:creator>
  <dc:description/>
  <dc:language>en-US</dc:language>
  <cp:lastModifiedBy/>
  <dcterms:modified xsi:type="dcterms:W3CDTF">2026-09-07T01:21:04Z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