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 sheetId="1" state="visible" r:id="rId1"/>
    <sheet xmlns:r="http://schemas.openxmlformats.org/officeDocument/2006/relationships" name="チャンネル別詳細" sheetId="2" state="visible" r:id="rId2"/>
    <sheet xmlns:r="http://schemas.openxmlformats.org/officeDocument/2006/relationships" name="動画別パフォーマンス" sheetId="3" state="visible" r:id="rId3"/>
    <sheet xmlns:r="http://schemas.openxmlformats.org/officeDocument/2006/relationships" name="改善アクション" sheetId="4" state="visible" r:id="rId4"/>
    <sheet xmlns:r="http://schemas.openxmlformats.org/officeDocument/2006/relationships" name="トレンド"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quot;倍&quot;"/>
  </numFmts>
  <fonts count="9">
    <font>
      <name val="Calibri"/>
      <family val="2"/>
      <color theme="1"/>
      <sz val="11"/>
      <scheme val="minor"/>
    </font>
    <font>
      <name val="Arial"/>
      <b val="1"/>
      <color rgb="001F3864"/>
      <sz val="14"/>
    </font>
    <font>
      <name val="Arial"/>
      <i val="1"/>
      <color rgb="00808080"/>
      <sz val="9"/>
    </font>
    <font>
      <name val="Arial"/>
      <b val="1"/>
      <color rgb="00C00000"/>
      <sz val="12"/>
    </font>
    <font>
      <name val="Arial"/>
      <b val="1"/>
      <color rgb="00FFFFFF"/>
      <sz val="11"/>
    </font>
    <font>
      <name val="Arial"/>
      <sz val="10"/>
    </font>
    <font>
      <name val="Arial"/>
      <b val="1"/>
      <sz val="12"/>
    </font>
    <font>
      <name val="Arial"/>
      <b val="1"/>
    </font>
    <font>
      <name val="Arial"/>
      <b val="1"/>
      <sz val="11"/>
    </font>
  </fonts>
  <fills count="6">
    <fill>
      <patternFill/>
    </fill>
    <fill>
      <patternFill patternType="gray125"/>
    </fill>
    <fill>
      <patternFill patternType="solid">
        <fgColor rgb="001F3864"/>
      </patternFill>
    </fill>
    <fill>
      <patternFill patternType="solid">
        <fgColor rgb="00FCE4E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3" fontId="5" fillId="0" borderId="1" applyAlignment="1" pivotButton="0" quotePrefix="0" xfId="0">
      <alignment vertical="top" wrapText="1"/>
    </xf>
    <xf numFmtId="2" fontId="5" fillId="0" borderId="1" pivotButton="0" quotePrefix="0" xfId="0"/>
    <xf numFmtId="0" fontId="5" fillId="0" borderId="1" pivotButton="0" quotePrefix="0" xfId="0"/>
    <xf numFmtId="164" fontId="5" fillId="0" borderId="1" pivotButton="0" quotePrefix="0" xfId="0"/>
    <xf numFmtId="0" fontId="7" fillId="0" borderId="1" applyAlignment="1" pivotButton="0" quotePrefix="0" xfId="0">
      <alignment vertical="top" wrapText="1"/>
    </xf>
    <xf numFmtId="3" fontId="7" fillId="0" borderId="1" applyAlignment="1" pivotButton="0" quotePrefix="0" xfId="0">
      <alignment vertical="top" wrapText="1"/>
    </xf>
    <xf numFmtId="2" fontId="7" fillId="0" borderId="0" pivotButton="0" quotePrefix="0" xfId="0"/>
    <xf numFmtId="165" fontId="5" fillId="3" borderId="1" pivotButton="0" quotePrefix="0" xfId="0"/>
    <xf numFmtId="165" fontId="5" fillId="0" borderId="1" pivotButton="0" quotePrefix="0" xfId="0"/>
    <xf numFmtId="0" fontId="5" fillId="5" borderId="1" applyAlignment="1" pivotButton="0" quotePrefix="0" xfId="0">
      <alignment vertical="top" wrapText="1"/>
    </xf>
    <xf numFmtId="0" fontId="8" fillId="0" borderId="0" pivotButton="0" quotePrefix="0" xfId="0"/>
    <xf numFmtId="2" fontId="5" fillId="0" borderId="1" applyAlignment="1" pivotButton="0" quotePrefix="0" xfId="0">
      <alignment vertical="top" wrapText="1"/>
    </xf>
    <xf numFmtId="166"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5"/>
  <cols>
    <col width="20" customWidth="1" min="1" max="1"/>
    <col width="14" customWidth="1" min="2" max="2"/>
    <col width="9" customWidth="1" min="3" max="3"/>
    <col width="11" customWidth="1" min="4" max="4"/>
    <col width="10" customWidth="1" min="5" max="5"/>
    <col width="12" customWidth="1" min="6" max="6"/>
    <col width="12" customWidth="1" min="7" max="7"/>
    <col width="14" customWidth="1" min="8" max="8"/>
    <col width="24" customWidth="1" min="9" max="9"/>
  </cols>
  <sheetData>
    <row r="1">
      <c r="A1" s="1" t="inlineStr">
        <is>
          <t>YouTube Factory 指揮者レポート 2026-09-04</t>
        </is>
      </c>
    </row>
    <row r="2">
      <c r="A2" s="2" t="inlineStr">
        <is>
          <t>出典: data/analytics/analytics.db の video_metrics 2026-09-03 スナップショット（累計値）。08-31 スナップショットとの差分を実増分とした。09-04 の新規実績は未取得（下記 P0 参照）。</t>
        </is>
      </c>
    </row>
    <row r="4">
      <c r="A4" s="3" t="inlineStr">
        <is>
          <t>■ 本日の最重要事項</t>
        </is>
      </c>
    </row>
    <row r="5">
      <c r="A5" s="4" t="inlineStr">
        <is>
          <t>優先度</t>
        </is>
      </c>
      <c r="B5" s="4" t="inlineStr">
        <is>
          <t>項目</t>
        </is>
      </c>
      <c r="C5" s="4" t="inlineStr">
        <is>
          <t>内容</t>
        </is>
      </c>
      <c r="D5" s="4" t="inlineStr">
        <is>
          <t>対応</t>
        </is>
      </c>
    </row>
    <row r="6" ht="44" customHeight="1">
      <c r="A6" s="5" t="inlineStr">
        <is>
          <t>P0</t>
        </is>
      </c>
      <c r="B6" s="5" t="inlineStr">
        <is>
          <t>制作が全面停止</t>
        </is>
      </c>
      <c r="C6" s="5" t="inlineStr">
        <is>
          <t>2026-09-03 18:49 を最後に OpenAI API が HTTP 429 継続。09-04 の autopilot 発火7件（2ch / daily-science / company-facts / pokemon-lab / scp-lab / akashic / clip-animal）が全件失敗し、本日の公開本数は0本。</t>
        </is>
      </c>
      <c r="D6" s="5" t="inlineStr">
        <is>
          <t>OpenAI の課金・レート上限を確認して復旧する。復旧すれば残りスロット（妖怪 11:15〜）から自動で再開する。</t>
        </is>
      </c>
    </row>
    <row r="7" ht="44" customHeight="1">
      <c r="A7" s="6" t="inlineStr">
        <is>
          <t>P1</t>
        </is>
      </c>
      <c r="B7" s="6" t="inlineStr">
        <is>
          <t>ANTHROPIC_API_KEY 未設定</t>
        </is>
      </c>
      <c r="C7" s="6" t="inlineStr">
        <is>
          <t>clip-kaneko / clip-lab の切り抜きが LLM フック生成で毎日中止。success_patterns の gpt_insights も全ch null（"ANTHROPIC_API_KEY 未設定"）で分析の質が落ちている。</t>
        </is>
      </c>
      <c r="D7" s="6" t="inlineStr">
        <is>
          <t>キーを設定する。</t>
        </is>
      </c>
    </row>
    <row r="8" ht="44" customHeight="1">
      <c r="A8" s="6" t="inlineStr">
        <is>
          <t>P1</t>
        </is>
      </c>
      <c r="B8" s="6" t="inlineStr">
        <is>
          <t>日次指標が4日欠測</t>
        </is>
      </c>
      <c r="C8" s="6" t="inlineStr">
        <is>
          <t>channel_metrics（YouTube Analytics API 由来の日次値）が 2026-08-31 で停止。登録者の日次増減が追えない。</t>
        </is>
      </c>
      <c r="D8" s="6" t="inlineStr">
        <is>
          <t>OAuth／GCP同意画面を確認し Analytics 取得を復旧する。</t>
        </is>
      </c>
    </row>
    <row r="9" ht="44" customHeight="1">
      <c r="A9" s="7" t="inlineStr">
        <is>
          <t>P2</t>
        </is>
      </c>
      <c r="B9" s="7" t="inlineStr">
        <is>
          <t>clip-animal 素材枯渇</t>
        </is>
      </c>
      <c r="C9" s="7" t="inlineStr">
        <is>
          <t>「全ての元動画が切り抜き済み」で毎回失敗。</t>
        </is>
      </c>
      <c r="D9" s="7" t="inlineStr">
        <is>
          <t>clips_per_video を上げるか元動画を追加する。</t>
        </is>
      </c>
    </row>
    <row r="10" ht="44" customHeight="1">
      <c r="A10" s="7" t="inlineStr">
        <is>
          <t>P2</t>
        </is>
      </c>
      <c r="B10" s="7" t="inlineStr">
        <is>
          <t>DB の impressions が過少</t>
        </is>
      </c>
      <c r="C10" s="7" t="inlineStr">
        <is>
          <t>Shorts のフィード表示が impressions に乗らず views≫impressions となり、CTR が 30% 超で多発する。絶対値として使えない。</t>
        </is>
      </c>
      <c r="D10" s="7" t="inlineStr">
        <is>
          <t>本レポートでは CTR を判断に使わず参考値扱いとした。</t>
        </is>
      </c>
    </row>
    <row r="13">
      <c r="A13" s="8" t="inlineStr">
        <is>
          <t>■ チャンネル別 実績（08-31 → 09-03 の実増分）</t>
        </is>
      </c>
    </row>
    <row r="14">
      <c r="A14" s="4" t="inlineStr">
        <is>
          <t>チャンネル</t>
        </is>
      </c>
      <c r="B14" s="4" t="inlineStr">
        <is>
          <t>状態</t>
        </is>
      </c>
      <c r="C14" s="4" t="inlineStr">
        <is>
          <t>動画数</t>
        </is>
      </c>
      <c r="D14" s="4" t="inlineStr">
        <is>
          <t>Δ再生数</t>
        </is>
      </c>
      <c r="E14" s="4" t="inlineStr">
        <is>
          <t>Δ登録者</t>
        </is>
      </c>
      <c r="F14" s="4" t="inlineStr">
        <is>
          <t>登録/千再生</t>
        </is>
      </c>
      <c r="G14" s="4" t="inlineStr">
        <is>
          <t>平均維持率%</t>
        </is>
      </c>
      <c r="H14" s="4" t="inlineStr">
        <is>
          <t>高評価/千再生</t>
        </is>
      </c>
      <c r="I14" s="4" t="inlineStr">
        <is>
          <t>評価</t>
        </is>
      </c>
    </row>
    <row r="15">
      <c r="A15" s="7" t="inlineStr">
        <is>
          <t>企業ホンネ</t>
        </is>
      </c>
      <c r="B15" s="7" t="inlineStr">
        <is>
          <t>稼働</t>
        </is>
      </c>
      <c r="C15" s="7" t="n">
        <v>28</v>
      </c>
      <c r="D15" s="9" t="n">
        <v>38278</v>
      </c>
      <c r="E15" s="7" t="n">
        <v>29</v>
      </c>
      <c r="F15" s="10">
        <f>IFERROR(E15/D15*1000,0)</f>
        <v/>
      </c>
      <c r="G15" s="11" t="n">
        <v>56.6</v>
      </c>
      <c r="H15" s="12">
        <f>IFERROR(151/D15*1000,0)</f>
        <v/>
      </c>
      <c r="I15" s="11">
        <f>IF(D15&lt;=0,"データなし",IF(F15&gt;=0.6,"良好",IF(F15&gt;=0.4,"標準","要改善")))</f>
        <v/>
      </c>
    </row>
    <row r="16">
      <c r="A16" s="7" t="inlineStr">
        <is>
          <t>1分科学</t>
        </is>
      </c>
      <c r="B16" s="7" t="inlineStr">
        <is>
          <t>稼働</t>
        </is>
      </c>
      <c r="C16" s="7" t="n">
        <v>50</v>
      </c>
      <c r="D16" s="9" t="n">
        <v>2115</v>
      </c>
      <c r="E16" s="7" t="n">
        <v>3</v>
      </c>
      <c r="F16" s="10">
        <f>IFERROR(E16/D16*1000,0)</f>
        <v/>
      </c>
      <c r="G16" s="11" t="n">
        <v>56.3</v>
      </c>
      <c r="H16" s="12">
        <f>IFERROR(19/D16*1000,0)</f>
        <v/>
      </c>
      <c r="I16" s="11">
        <f>IF(D16&lt;=0,"データなし",IF(F16&gt;=0.6,"良好",IF(F16&gt;=0.4,"標準","要改善")))</f>
        <v/>
      </c>
    </row>
    <row r="17">
      <c r="A17" s="7" t="inlineStr">
        <is>
          <t>SCP</t>
        </is>
      </c>
      <c r="B17" s="7" t="inlineStr">
        <is>
          <t>稼働</t>
        </is>
      </c>
      <c r="C17" s="7" t="n">
        <v>50</v>
      </c>
      <c r="D17" s="9" t="n">
        <v>6308</v>
      </c>
      <c r="E17" s="7" t="n">
        <v>5</v>
      </c>
      <c r="F17" s="10">
        <f>IFERROR(E17/D17*1000,0)</f>
        <v/>
      </c>
      <c r="G17" s="11" t="n">
        <v>43.9</v>
      </c>
      <c r="H17" s="12">
        <f>IFERROR(22/D17*1000,0)</f>
        <v/>
      </c>
      <c r="I17" s="11">
        <f>IF(D17&lt;=0,"データなし",IF(F17&gt;=0.6,"良好",IF(F17&gt;=0.4,"標準","要改善")))</f>
        <v/>
      </c>
    </row>
    <row r="18">
      <c r="A18" s="7" t="inlineStr">
        <is>
          <t>2chまとめ</t>
        </is>
      </c>
      <c r="B18" s="7" t="inlineStr">
        <is>
          <t>稼働</t>
        </is>
      </c>
      <c r="C18" s="7" t="n">
        <v>36</v>
      </c>
      <c r="D18" s="9" t="n">
        <v>3281</v>
      </c>
      <c r="E18" s="7" t="n">
        <v>1</v>
      </c>
      <c r="F18" s="10">
        <f>IFERROR(E18/D18*1000,0)</f>
        <v/>
      </c>
      <c r="G18" s="11" t="n">
        <v>52.1</v>
      </c>
      <c r="H18" s="12">
        <f>IFERROR(8/D18*1000,0)</f>
        <v/>
      </c>
      <c r="I18" s="11">
        <f>IF(D18&lt;=0,"データなし",IF(F18&gt;=0.6,"良好",IF(F18&gt;=0.4,"標準","要改善")))</f>
        <v/>
      </c>
    </row>
    <row r="19">
      <c r="A19" s="7" t="inlineStr">
        <is>
          <t>妖怪</t>
        </is>
      </c>
      <c r="B19" s="7" t="inlineStr">
        <is>
          <t>稼働</t>
        </is>
      </c>
      <c r="C19" s="7" t="n">
        <v>40</v>
      </c>
      <c r="D19" s="9" t="n">
        <v>1509</v>
      </c>
      <c r="E19" s="7" t="n">
        <v>1</v>
      </c>
      <c r="F19" s="10">
        <f>IFERROR(E19/D19*1000,0)</f>
        <v/>
      </c>
      <c r="G19" s="11" t="n">
        <v>52.9</v>
      </c>
      <c r="H19" s="12">
        <f>IFERROR(5/D19*1000,0)</f>
        <v/>
      </c>
      <c r="I19" s="11">
        <f>IF(D19&lt;=0,"データなし",IF(F19&gt;=0.6,"良好",IF(F19&gt;=0.4,"標準","要改善")))</f>
        <v/>
      </c>
    </row>
    <row r="20">
      <c r="A20" s="7" t="inlineStr">
        <is>
          <t>ポケモン</t>
        </is>
      </c>
      <c r="B20" s="7" t="inlineStr">
        <is>
          <t>稼働</t>
        </is>
      </c>
      <c r="C20" s="7" t="n">
        <v>41</v>
      </c>
      <c r="D20" s="9" t="n">
        <v>3375</v>
      </c>
      <c r="E20" s="7" t="n">
        <v>1</v>
      </c>
      <c r="F20" s="10">
        <f>IFERROR(E20/D20*1000,0)</f>
        <v/>
      </c>
      <c r="G20" s="11" t="n">
        <v>51</v>
      </c>
      <c r="H20" s="12">
        <f>IFERROR(10/D20*1000,0)</f>
        <v/>
      </c>
      <c r="I20" s="11">
        <f>IF(D20&lt;=0,"データなし",IF(F20&gt;=0.6,"良好",IF(F20&gt;=0.4,"標準","要改善")))</f>
        <v/>
      </c>
    </row>
    <row r="21">
      <c r="A21" s="7" t="inlineStr">
        <is>
          <t>アカシック</t>
        </is>
      </c>
      <c r="B21" s="7" t="inlineStr">
        <is>
          <t>OAuth未連携</t>
        </is>
      </c>
      <c r="C21" s="7" t="n">
        <v>9</v>
      </c>
      <c r="D21" s="9" t="n">
        <v>3599</v>
      </c>
      <c r="E21" s="7" t="n">
        <v>3</v>
      </c>
      <c r="F21" s="10">
        <f>IFERROR(E21/D21*1000,0)</f>
        <v/>
      </c>
      <c r="G21" s="11" t="n">
        <v>50.7</v>
      </c>
      <c r="H21" s="12">
        <f>IFERROR(7/D21*1000,0)</f>
        <v/>
      </c>
      <c r="I21" s="11">
        <f>IF(D21&lt;=0,"データなし",IF(F21&gt;=0.6,"良好",IF(F21&gt;=0.4,"標準","要改善")))</f>
        <v/>
      </c>
    </row>
    <row r="22">
      <c r="A22" s="7" t="inlineStr">
        <is>
          <t>架空論文</t>
        </is>
      </c>
      <c r="B22" s="7" t="inlineStr">
        <is>
          <t>稼働</t>
        </is>
      </c>
      <c r="C22" s="7" t="n">
        <v>9</v>
      </c>
      <c r="D22" s="9" t="n">
        <v>216</v>
      </c>
      <c r="E22" s="7" t="n">
        <v>0</v>
      </c>
      <c r="F22" s="10">
        <f>IFERROR(E22/D22*1000,0)</f>
        <v/>
      </c>
      <c r="G22" s="11" t="n">
        <v>27.4</v>
      </c>
      <c r="H22" s="12">
        <f>IFERROR(1/D22*1000,0)</f>
        <v/>
      </c>
      <c r="I22" s="11">
        <f>IF(D22&lt;=0,"データなし",IF(F22&gt;=0.6,"良好",IF(F22&gt;=0.4,"標準","要改善")))</f>
        <v/>
      </c>
    </row>
    <row r="23">
      <c r="A23" s="7" t="inlineStr">
        <is>
          <t>切り抜きLab</t>
        </is>
      </c>
      <c r="B23" s="7" t="inlineStr">
        <is>
          <t>凍結中</t>
        </is>
      </c>
      <c r="C23" s="7" t="n">
        <v>8</v>
      </c>
      <c r="D23" s="9" t="n">
        <v>28995</v>
      </c>
      <c r="E23" s="7" t="n">
        <v>0</v>
      </c>
      <c r="F23" s="10">
        <f>IFERROR(E23/D23*1000,0)</f>
        <v/>
      </c>
      <c r="G23" s="11" t="n">
        <v>57.7</v>
      </c>
      <c r="H23" s="12">
        <f>IFERROR(54/D23*1000,0)</f>
        <v/>
      </c>
      <c r="I23" s="11">
        <f>IF(D23&lt;=0,"データなし",IF(F23&gt;=0.6,"良好",IF(F23&gt;=0.4,"標準","要改善")))</f>
        <v/>
      </c>
    </row>
    <row r="24">
      <c r="A24" s="7" t="inlineStr">
        <is>
          <t>切り抜き深田</t>
        </is>
      </c>
      <c r="B24" s="7" t="inlineStr">
        <is>
          <t>稼働</t>
        </is>
      </c>
      <c r="C24" s="7" t="n">
        <v>5</v>
      </c>
      <c r="D24" s="9" t="n">
        <v>21029</v>
      </c>
      <c r="E24" s="7" t="n">
        <v>4</v>
      </c>
      <c r="F24" s="10">
        <f>IFERROR(E24/D24*1000,0)</f>
        <v/>
      </c>
      <c r="G24" s="11" t="n">
        <v>74.3</v>
      </c>
      <c r="H24" s="12">
        <f>IFERROR(51/D24*1000,0)</f>
        <v/>
      </c>
      <c r="I24" s="11">
        <f>IF(D24&lt;=0,"データなし",IF(F24&gt;=0.6,"良好",IF(F24&gt;=0.4,"標準","要改善")))</f>
        <v/>
      </c>
    </row>
    <row r="25">
      <c r="A25" s="7" t="inlineStr">
        <is>
          <t>切り抜き金子</t>
        </is>
      </c>
      <c r="B25" s="7" t="inlineStr">
        <is>
          <t>稼働</t>
        </is>
      </c>
      <c r="C25" s="7" t="n">
        <v>19</v>
      </c>
      <c r="D25" s="9" t="n">
        <v>18152</v>
      </c>
      <c r="E25" s="7" t="n">
        <v>3</v>
      </c>
      <c r="F25" s="10">
        <f>IFERROR(E25/D25*1000,0)</f>
        <v/>
      </c>
      <c r="G25" s="11" t="n">
        <v>48.1</v>
      </c>
      <c r="H25" s="12">
        <f>IFERROR(48/D25*1000,0)</f>
        <v/>
      </c>
      <c r="I25" s="11">
        <f>IF(D25&lt;=0,"データなし",IF(F25&gt;=0.6,"良好",IF(F25&gt;=0.4,"標準","要改善")))</f>
        <v/>
      </c>
    </row>
    <row r="26">
      <c r="A26" s="7" t="inlineStr">
        <is>
          <t>切り抜き動物</t>
        </is>
      </c>
      <c r="B26" s="7" t="inlineStr">
        <is>
          <t>稼働</t>
        </is>
      </c>
      <c r="C26" s="7" t="n">
        <v>1</v>
      </c>
      <c r="D26" s="9" t="n">
        <v>0</v>
      </c>
      <c r="E26" s="7" t="n">
        <v>0</v>
      </c>
      <c r="F26" s="10">
        <f>IFERROR(E26/D26*1000,0)</f>
        <v/>
      </c>
      <c r="G26" s="11" t="n">
        <v>0</v>
      </c>
      <c r="H26" s="12">
        <f>IFERROR(0/D26*1000,0)</f>
        <v/>
      </c>
      <c r="I26" s="11">
        <f>IF(D26&lt;=0,"データなし",IF(F26&gt;=0.6,"良好",IF(F26&gt;=0.4,"標準","要改善")))</f>
        <v/>
      </c>
    </row>
    <row r="27">
      <c r="A27" s="13" t="inlineStr">
        <is>
          <t>合計</t>
        </is>
      </c>
      <c r="B27" s="7" t="inlineStr"/>
      <c r="C27" s="13">
        <f>SUM(C15:C26)</f>
        <v/>
      </c>
      <c r="D27" s="14">
        <f>SUM(D15:D26)</f>
        <v/>
      </c>
      <c r="E27" s="13">
        <f>SUM(E15:E26)</f>
        <v/>
      </c>
      <c r="F27" s="15">
        <f>IFERROR(E27/D27*1000,0)</f>
        <v/>
      </c>
    </row>
    <row r="30">
      <c r="A30" s="2" t="inlineStr">
        <is>
          <t>注1: video_metrics は累計値のため、累計が減ることはない。09-03 の取得で5件の動画が views=0 として記録されており（1分科学3 / 2ch 1 / ポケモン1 / SCP 1）、これらの行は増分計算から除外した。加えて、個別動画で負の差分が出た行は取得欠損として0に丸めている。</t>
        </is>
      </c>
    </row>
    <row r="31">
      <c r="A31" s="2" t="inlineStr">
        <is>
          <t>注2: 「登録/千再生」は本レポートの判断軸（optimization.primary_metric = subs_per_1000_views）。「平均維持率%」と「Δ再生数」は参考値であり、施策の採否には使わない。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20" customWidth="1" min="1" max="1"/>
    <col width="11" customWidth="1" min="2" max="2"/>
    <col width="11" customWidth="1" min="3" max="3"/>
    <col width="10" customWidth="1" min="4" max="4"/>
    <col width="12" customWidth="1" min="5" max="5"/>
    <col width="10" customWidth="1" min="6" max="6"/>
    <col width="10" customWidth="1" min="7" max="7"/>
    <col width="10" customWidth="1" min="8" max="8"/>
    <col width="10" customWidth="1" min="9" max="9"/>
    <col width="10" customWidth="1" min="10" max="10"/>
    <col width="16" customWidth="1" min="11" max="11"/>
    <col width="62" customWidth="1" min="12" max="12"/>
  </cols>
  <sheetData>
    <row r="1">
      <c r="A1" s="1" t="inlineStr">
        <is>
          <t>チャンネル別詳細</t>
        </is>
      </c>
    </row>
    <row r="2">
      <c r="A2" s="2" t="inlineStr">
        <is>
          <t>離脱バケットは data/analytics/retention_insights.json（09-03 23:26 生成）。CTA位置・キュー残は data/channels/*.json の 09-04 変更後の値。</t>
        </is>
      </c>
    </row>
    <row r="4">
      <c r="A4" s="4" t="inlineStr">
        <is>
          <t>チャンネル</t>
        </is>
      </c>
      <c r="B4" s="4" t="inlineStr">
        <is>
          <t>CTA位置</t>
        </is>
      </c>
      <c r="C4" s="4" t="inlineStr">
        <is>
          <t>投稿枠/日</t>
        </is>
      </c>
      <c r="D4" s="4" t="inlineStr">
        <is>
          <t>キュー残</t>
        </is>
      </c>
      <c r="E4" s="4" t="inlineStr">
        <is>
          <t>平均維持率%</t>
        </is>
      </c>
      <c r="F4" s="4" t="inlineStr">
        <is>
          <t>intro離脱</t>
        </is>
      </c>
      <c r="G4" s="4" t="inlineStr">
        <is>
          <t>early離脱</t>
        </is>
      </c>
      <c r="H4" s="4" t="inlineStr">
        <is>
          <t>middle離脱</t>
        </is>
      </c>
      <c r="I4" s="4" t="inlineStr">
        <is>
          <t>late離脱</t>
        </is>
      </c>
      <c r="J4" s="4" t="inlineStr">
        <is>
          <t>ending離脱</t>
        </is>
      </c>
      <c r="K4" s="4" t="inlineStr">
        <is>
          <t>最大離脱バケット</t>
        </is>
      </c>
      <c r="L4" s="4" t="inlineStr">
        <is>
          <t>所見</t>
        </is>
      </c>
    </row>
    <row r="5">
      <c r="A5" s="7" t="inlineStr">
        <is>
          <t>企業ホンネ</t>
        </is>
      </c>
      <c r="B5" s="7" t="inlineStr">
        <is>
          <t>end</t>
        </is>
      </c>
      <c r="C5" s="7" t="n">
        <v>3</v>
      </c>
      <c r="D5" s="7" t="n">
        <v>12</v>
      </c>
      <c r="E5" s="7" t="n">
        <v>56.6</v>
      </c>
      <c r="F5" s="16" t="n">
        <v>0.0245</v>
      </c>
      <c r="G5" s="17" t="n">
        <v>0.0133</v>
      </c>
      <c r="H5" s="17" t="n">
        <v>0.0034</v>
      </c>
      <c r="I5" s="17" t="n">
        <v>0.0053</v>
      </c>
      <c r="J5" s="17" t="n">
        <v>0.0172</v>
      </c>
      <c r="K5" s="7" t="inlineStr">
        <is>
          <t>intro</t>
        </is>
      </c>
      <c r="L5" s="7" t="inlineStr">
        <is>
          <t>冒頭0〜15%が最大の離脱。1〜3行目で説明を始めている可能性が高い。</t>
        </is>
      </c>
    </row>
    <row r="6">
      <c r="A6" s="7" t="inlineStr">
        <is>
          <t>1分科学</t>
        </is>
      </c>
      <c r="B6" s="7" t="inlineStr">
        <is>
          <t>end_of_video</t>
        </is>
      </c>
      <c r="C6" s="7" t="n">
        <v>3</v>
      </c>
      <c r="D6" s="7" t="n">
        <v>12</v>
      </c>
      <c r="E6" s="7" t="n">
        <v>56.3</v>
      </c>
      <c r="F6" s="16" t="n">
        <v>0.0199</v>
      </c>
      <c r="G6" s="17" t="n">
        <v>0.0194</v>
      </c>
      <c r="H6" s="17" t="n">
        <v>0.0043</v>
      </c>
      <c r="I6" s="17" t="n">
        <v>0.0043</v>
      </c>
      <c r="J6" s="17" t="n">
        <v>0.0023</v>
      </c>
      <c r="K6" s="7" t="inlineStr">
        <is>
          <t>intro</t>
        </is>
      </c>
      <c r="L6" s="7" t="inlineStr">
        <is>
          <t>冒頭0〜15%が最大の離脱。1〜3行目で説明を始めている可能性が高い。</t>
        </is>
      </c>
    </row>
    <row r="7">
      <c r="A7" s="7" t="inlineStr">
        <is>
          <t>SCP</t>
        </is>
      </c>
      <c r="B7" s="7" t="inlineStr">
        <is>
          <t>after_hook</t>
        </is>
      </c>
      <c r="C7" s="7" t="n">
        <v>6</v>
      </c>
      <c r="D7" s="7" t="n">
        <v>23</v>
      </c>
      <c r="E7" s="7" t="n">
        <v>43.9</v>
      </c>
      <c r="F7" s="17" t="n">
        <v>0.0015</v>
      </c>
      <c r="G7" s="16" t="n">
        <v>0.0285</v>
      </c>
      <c r="H7" s="17" t="n">
        <v>0.0045</v>
      </c>
      <c r="I7" s="17" t="n">
        <v>0.0051</v>
      </c>
      <c r="J7" s="17" t="n">
        <v>0.0021</v>
      </c>
      <c r="K7" s="7" t="inlineStr">
        <is>
          <t>early</t>
        </is>
      </c>
      <c r="L7" s="7" t="inlineStr">
        <is>
          <t>フックは保つが本編前半で失っている。</t>
        </is>
      </c>
    </row>
    <row r="8">
      <c r="A8" s="7" t="inlineStr">
        <is>
          <t>2chまとめ</t>
        </is>
      </c>
      <c r="B8" s="7" t="inlineStr">
        <is>
          <t>end</t>
        </is>
      </c>
      <c r="C8" s="7" t="n">
        <v>3</v>
      </c>
      <c r="D8" s="7" t="n">
        <v>12</v>
      </c>
      <c r="E8" s="7" t="n">
        <v>52.1</v>
      </c>
      <c r="F8" s="17" t="n">
        <v>0.0179</v>
      </c>
      <c r="G8" s="16" t="n">
        <v>0.021</v>
      </c>
      <c r="H8" s="17" t="n">
        <v>0.0047</v>
      </c>
      <c r="I8" s="17" t="n">
        <v>0.0031</v>
      </c>
      <c r="J8" s="17" t="n">
        <v>0.002</v>
      </c>
      <c r="K8" s="7" t="inlineStr">
        <is>
          <t>early</t>
        </is>
      </c>
      <c r="L8" s="7" t="inlineStr">
        <is>
          <t>フックは保つが本編前半で失っている。</t>
        </is>
      </c>
    </row>
    <row r="9">
      <c r="A9" s="7" t="inlineStr">
        <is>
          <t>妖怪</t>
        </is>
      </c>
      <c r="B9" s="7" t="inlineStr">
        <is>
          <t>end</t>
        </is>
      </c>
      <c r="C9" s="7" t="n">
        <v>3</v>
      </c>
      <c r="D9" s="7" t="n">
        <v>10</v>
      </c>
      <c r="E9" s="7" t="n">
        <v>52.9</v>
      </c>
      <c r="F9" s="17" t="n">
        <v>0.019</v>
      </c>
      <c r="G9" s="16" t="n">
        <v>0.0213</v>
      </c>
      <c r="H9" s="17" t="n">
        <v>0.0038</v>
      </c>
      <c r="I9" s="17" t="n">
        <v>0.0027</v>
      </c>
      <c r="J9" s="17" t="n">
        <v>0.0055</v>
      </c>
      <c r="K9" s="7" t="inlineStr">
        <is>
          <t>early</t>
        </is>
      </c>
      <c r="L9" s="7" t="inlineStr">
        <is>
          <t>フックは保つが本編前半で失っている。</t>
        </is>
      </c>
    </row>
    <row r="10">
      <c r="A10" s="7" t="inlineStr">
        <is>
          <t>ポケモン</t>
        </is>
      </c>
      <c r="B10" s="7" t="inlineStr">
        <is>
          <t>end</t>
        </is>
      </c>
      <c r="C10" s="7" t="n">
        <v>3</v>
      </c>
      <c r="D10" s="7" t="n">
        <v>10</v>
      </c>
      <c r="E10" s="7" t="n">
        <v>51</v>
      </c>
      <c r="F10" s="16" t="n">
        <v>0.0228</v>
      </c>
      <c r="G10" s="17" t="n">
        <v>0.0168</v>
      </c>
      <c r="H10" s="17" t="n">
        <v>0.0041</v>
      </c>
      <c r="I10" s="17" t="n">
        <v>0.0069</v>
      </c>
      <c r="J10" s="17" t="n">
        <v>0.003</v>
      </c>
      <c r="K10" s="7" t="inlineStr">
        <is>
          <t>intro</t>
        </is>
      </c>
      <c r="L10" s="7" t="inlineStr">
        <is>
          <t>冒頭0〜15%が最大の離脱。1〜3行目で説明を始めている可能性が高い。</t>
        </is>
      </c>
    </row>
    <row r="11">
      <c r="A11" s="7" t="inlineStr">
        <is>
          <t>アカシック</t>
        </is>
      </c>
      <c r="B11" s="7" t="inlineStr">
        <is>
          <t>end</t>
        </is>
      </c>
      <c r="C11" s="7" t="n">
        <v>3</v>
      </c>
      <c r="D11" s="7" t="n">
        <v>10</v>
      </c>
      <c r="E11" s="7" t="n">
        <v>50.7</v>
      </c>
      <c r="F11" s="17" t="n">
        <v>0.0164</v>
      </c>
      <c r="G11" s="16" t="n">
        <v>0.0193</v>
      </c>
      <c r="H11" s="17" t="n">
        <v>0.005</v>
      </c>
      <c r="I11" s="17" t="n">
        <v>0.0023</v>
      </c>
      <c r="J11" s="17" t="n">
        <v>0.0061</v>
      </c>
      <c r="K11" s="7" t="inlineStr">
        <is>
          <t>early</t>
        </is>
      </c>
      <c r="L11" s="7" t="inlineStr">
        <is>
          <t>フックは保つが本編前半で失っている。</t>
        </is>
      </c>
    </row>
    <row r="12">
      <c r="A12" s="7" t="inlineStr">
        <is>
          <t>架空論文</t>
        </is>
      </c>
      <c r="B12" s="7" t="inlineStr">
        <is>
          <t>after_hook</t>
        </is>
      </c>
      <c r="C12" s="7" t="n">
        <v>3</v>
      </c>
      <c r="D12" s="7" t="n">
        <v>10</v>
      </c>
      <c r="E12" s="7" t="n">
        <v>27.4</v>
      </c>
      <c r="F12" s="16" t="n">
        <v>0.0264</v>
      </c>
      <c r="G12" s="17" t="n">
        <v>0.0194</v>
      </c>
      <c r="H12" s="17" t="n">
        <v>0.0032</v>
      </c>
      <c r="I12" s="17" t="n">
        <v>0.0017</v>
      </c>
      <c r="J12" s="17" t="n">
        <v>0.001</v>
      </c>
      <c r="K12" s="7" t="inlineStr">
        <is>
          <t>intro</t>
        </is>
      </c>
      <c r="L12" s="7" t="inlineStr">
        <is>
          <t>冒頭0〜15%が最大の離脱。1〜3行目で説明を始めている可能性が高い。</t>
        </is>
      </c>
    </row>
    <row r="13">
      <c r="A13" s="7" t="inlineStr">
        <is>
          <t>切り抜きLab</t>
        </is>
      </c>
      <c r="B13" s="7" t="inlineStr">
        <is>
          <t>end</t>
        </is>
      </c>
      <c r="C13" s="7" t="n">
        <v>3</v>
      </c>
      <c r="D13" s="7" t="inlineStr">
        <is>
          <t>-</t>
        </is>
      </c>
      <c r="E13" s="7" t="n">
        <v>57.7</v>
      </c>
      <c r="F13" s="16" t="n">
        <v>0.0214</v>
      </c>
      <c r="G13" s="17" t="n">
        <v>0.0178</v>
      </c>
      <c r="H13" s="17" t="n">
        <v>0.0048</v>
      </c>
      <c r="I13" s="17" t="n">
        <v>0.0042</v>
      </c>
      <c r="J13" s="17" t="n">
        <v>0.0035</v>
      </c>
      <c r="K13" s="7" t="inlineStr">
        <is>
          <t>intro</t>
        </is>
      </c>
      <c r="L13" s="7" t="inlineStr">
        <is>
          <t>冒頭0〜15%が最大の離脱。1〜3行目で説明を始めている可能性が高い。</t>
        </is>
      </c>
    </row>
    <row r="14">
      <c r="A14" s="7" t="inlineStr">
        <is>
          <t>切り抜き深田</t>
        </is>
      </c>
      <c r="B14" s="7" t="inlineStr">
        <is>
          <t>end</t>
        </is>
      </c>
      <c r="C14" s="7" t="n">
        <v>2</v>
      </c>
      <c r="D14" s="7" t="inlineStr">
        <is>
          <t>-</t>
        </is>
      </c>
      <c r="E14" s="7" t="n">
        <v>74.3</v>
      </c>
      <c r="F14" s="16" t="n">
        <v>0.0258</v>
      </c>
      <c r="G14" s="17" t="n">
        <v>0.0146</v>
      </c>
      <c r="H14" s="17" t="n">
        <v>0.0054</v>
      </c>
      <c r="I14" s="17" t="n">
        <v>0.0044</v>
      </c>
      <c r="J14" s="17" t="n">
        <v>0.0019</v>
      </c>
      <c r="K14" s="7" t="inlineStr">
        <is>
          <t>intro</t>
        </is>
      </c>
      <c r="L14" s="7" t="inlineStr">
        <is>
          <t>冒頭0〜15%が最大の離脱。1〜3行目で説明を始めている可能性が高い。</t>
        </is>
      </c>
    </row>
    <row r="15">
      <c r="A15" s="7" t="inlineStr">
        <is>
          <t>切り抜き金子</t>
        </is>
      </c>
      <c r="B15" s="7" t="inlineStr">
        <is>
          <t>end</t>
        </is>
      </c>
      <c r="C15" s="7" t="n">
        <v>3</v>
      </c>
      <c r="D15" s="7" t="inlineStr">
        <is>
          <t>-</t>
        </is>
      </c>
      <c r="E15" s="7" t="n">
        <v>48.1</v>
      </c>
      <c r="F15" s="17" t="n">
        <v>0.008200000000000001</v>
      </c>
      <c r="G15" s="16" t="n">
        <v>0.0284</v>
      </c>
      <c r="H15" s="17" t="n">
        <v>0.0039</v>
      </c>
      <c r="I15" s="17" t="n">
        <v>0.0021</v>
      </c>
      <c r="J15" s="17" t="n">
        <v>0.0017</v>
      </c>
      <c r="K15" s="7" t="inlineStr">
        <is>
          <t>early</t>
        </is>
      </c>
      <c r="L15" s="7" t="inlineStr">
        <is>
          <t>フックは保つが本編前半で失っている。</t>
        </is>
      </c>
    </row>
    <row r="16">
      <c r="A16" s="7" t="inlineStr">
        <is>
          <t>切り抜き動物</t>
        </is>
      </c>
      <c r="B16" s="7" t="inlineStr">
        <is>
          <t>end</t>
        </is>
      </c>
      <c r="C16" s="7" t="n">
        <v>2</v>
      </c>
      <c r="D16" s="7" t="inlineStr">
        <is>
          <t>-</t>
        </is>
      </c>
      <c r="E16" s="7" t="n">
        <v>0</v>
      </c>
      <c r="F16" s="17" t="n">
        <v>0</v>
      </c>
      <c r="G16" s="17" t="n">
        <v>0</v>
      </c>
      <c r="H16" s="17" t="n">
        <v>0</v>
      </c>
      <c r="I16" s="17" t="n">
        <v>0</v>
      </c>
      <c r="J16" s="17" t="n">
        <v>0</v>
      </c>
      <c r="K16" s="7" t="inlineStr">
        <is>
          <t>-</t>
        </is>
      </c>
      <c r="L16" s="7" t="inlineStr">
        <is>
          <t>有意な離脱ピークなし（データ不足含む）。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showGridLines="0" workbookViewId="0">
      <selection activeCell="A1" sqref="A1"/>
    </sheetView>
  </sheetViews>
  <sheetFormatPr baseColWidth="8" defaultRowHeight="15"/>
  <cols>
    <col width="18" customWidth="1" min="1" max="1"/>
    <col width="11" customWidth="1" min="2" max="2"/>
    <col width="68" customWidth="1" min="3" max="3"/>
    <col width="10" customWidth="1" min="4" max="4"/>
    <col width="9" customWidth="1" min="5" max="5"/>
    <col width="11" customWidth="1" min="6" max="6"/>
    <col width="12" customWidth="1" min="7" max="7"/>
    <col width="10" customWidth="1" min="8" max="8"/>
    <col width="9" customWidth="1" min="9" max="9"/>
    <col width="10" customWidth="1" min="10" max="10"/>
  </cols>
  <sheetData>
    <row r="1">
      <c r="A1" s="1" t="inlineStr">
        <is>
          <t>動画別パフォーマンス（08-31 → 09-03 の実増分・上位60本）</t>
        </is>
      </c>
    </row>
    <row r="2">
      <c r="A2" s="2" t="inlineStr">
        <is>
          <t>Δ再生 = 09-03 スナップショット − 08-31 スナップショット。CTR は impressions 過少計上のため掲載しない。</t>
        </is>
      </c>
    </row>
    <row r="4">
      <c r="A4" s="4" t="inlineStr">
        <is>
          <t>チャンネル</t>
        </is>
      </c>
      <c r="B4" s="4" t="inlineStr">
        <is>
          <t>公開日</t>
        </is>
      </c>
      <c r="C4" s="4" t="inlineStr">
        <is>
          <t>タイトル</t>
        </is>
      </c>
      <c r="D4" s="4" t="inlineStr">
        <is>
          <t>Δ再生</t>
        </is>
      </c>
      <c r="E4" s="4" t="inlineStr">
        <is>
          <t>Δ登録</t>
        </is>
      </c>
      <c r="F4" s="4" t="inlineStr">
        <is>
          <t>累計再生</t>
        </is>
      </c>
      <c r="G4" s="4" t="inlineStr">
        <is>
          <t>登録/千再生</t>
        </is>
      </c>
      <c r="H4" s="4" t="inlineStr">
        <is>
          <t>維持率%</t>
        </is>
      </c>
      <c r="I4" s="4" t="inlineStr">
        <is>
          <t>高評価</t>
        </is>
      </c>
      <c r="J4" s="4" t="inlineStr">
        <is>
          <t>コメント</t>
        </is>
      </c>
    </row>
    <row r="5">
      <c r="A5" s="7" t="inlineStr">
        <is>
          <t>切り抜き深田</t>
        </is>
      </c>
      <c r="B5" s="7" t="inlineStr">
        <is>
          <t>2026-08-27</t>
        </is>
      </c>
      <c r="C5" s="7" t="inlineStr">
        <is>
          <t>“時間停止”で使うスタジオ #shorts #切り抜き</t>
        </is>
      </c>
      <c r="D5" s="9" t="n">
        <v>15579</v>
      </c>
      <c r="E5" s="18" t="n">
        <v>3</v>
      </c>
      <c r="F5" s="9" t="n">
        <v>15579</v>
      </c>
      <c r="G5" s="10">
        <f>IFERROR(E5/D5*1000,0)</f>
        <v/>
      </c>
      <c r="H5" s="11" t="n">
        <v>83.40000000000001</v>
      </c>
      <c r="I5" s="11" t="n">
        <v>43</v>
      </c>
      <c r="J5" s="11" t="n">
        <v>1</v>
      </c>
    </row>
    <row r="6">
      <c r="A6" s="7" t="inlineStr">
        <is>
          <t>切り抜きLab</t>
        </is>
      </c>
      <c r="B6" s="7" t="inlineStr">
        <is>
          <t>2026-08-22</t>
        </is>
      </c>
      <c r="C6" s="7" t="inlineStr">
        <is>
          <t>SNSをやる人は天才じゃない #shorts #切り抜き</t>
        </is>
      </c>
      <c r="D6" s="9" t="n">
        <v>12732</v>
      </c>
      <c r="E6" s="7" t="n">
        <v>0</v>
      </c>
      <c r="F6" s="9" t="n">
        <v>12732</v>
      </c>
      <c r="G6" s="10">
        <f>IFERROR(E6/D6*1000,0)</f>
        <v/>
      </c>
      <c r="H6" s="11" t="n">
        <v>89.8</v>
      </c>
      <c r="I6" s="11" t="n">
        <v>23</v>
      </c>
      <c r="J6" s="11" t="n">
        <v>1</v>
      </c>
    </row>
    <row r="7">
      <c r="A7" s="7" t="inlineStr">
        <is>
          <t>切り抜きLab</t>
        </is>
      </c>
      <c r="B7" s="7" t="inlineStr">
        <is>
          <t>2026-08-24</t>
        </is>
      </c>
      <c r="C7" s="7" t="inlineStr">
        <is>
          <t>バーコードが通らない偽物だった #shorts #切り抜き</t>
        </is>
      </c>
      <c r="D7" s="9" t="n">
        <v>10151</v>
      </c>
      <c r="E7" s="7" t="n">
        <v>0</v>
      </c>
      <c r="F7" s="9" t="n">
        <v>10151</v>
      </c>
      <c r="G7" s="10">
        <f>IFERROR(E7/D7*1000,0)</f>
        <v/>
      </c>
      <c r="H7" s="11" t="n">
        <v>70.09999999999999</v>
      </c>
      <c r="I7" s="11" t="n">
        <v>22</v>
      </c>
      <c r="J7" s="11" t="n">
        <v>1</v>
      </c>
    </row>
    <row r="8">
      <c r="A8" s="7" t="inlineStr">
        <is>
          <t>企業ホンネ</t>
        </is>
      </c>
      <c r="B8" s="7" t="inlineStr">
        <is>
          <t>2026-08-20</t>
        </is>
      </c>
      <c r="C8" s="7" t="inlineStr">
        <is>
          <t>💰アジア大会の裏方企業、年収932万円の実態💰【ショート】</t>
        </is>
      </c>
      <c r="D8" s="9" t="n">
        <v>5201</v>
      </c>
      <c r="E8" s="18" t="n">
        <v>4</v>
      </c>
      <c r="F8" s="9" t="n">
        <v>5201</v>
      </c>
      <c r="G8" s="10">
        <f>IFERROR(E8/D8*1000,0)</f>
        <v/>
      </c>
      <c r="H8" s="11" t="n">
        <v>50.1</v>
      </c>
      <c r="I8" s="11" t="n">
        <v>10</v>
      </c>
      <c r="J8" s="11" t="n">
        <v>0</v>
      </c>
    </row>
    <row r="9">
      <c r="A9" s="7" t="inlineStr">
        <is>
          <t>切り抜き深田</t>
        </is>
      </c>
      <c r="B9" s="7" t="inlineStr">
        <is>
          <t>2026-08-24</t>
        </is>
      </c>
      <c r="C9" s="7" t="inlineStr">
        <is>
          <t>登録者9万人のサブチャンネルは 収益化済み #shorts #切り抜き</t>
        </is>
      </c>
      <c r="D9" s="9" t="n">
        <v>5017</v>
      </c>
      <c r="E9" s="18" t="n">
        <v>1</v>
      </c>
      <c r="F9" s="9" t="n">
        <v>5017</v>
      </c>
      <c r="G9" s="10">
        <f>IFERROR(E9/D9*1000,0)</f>
        <v/>
      </c>
      <c r="H9" s="11" t="n">
        <v>74.09999999999999</v>
      </c>
      <c r="I9" s="11" t="n">
        <v>8</v>
      </c>
      <c r="J9" s="11" t="n">
        <v>0</v>
      </c>
    </row>
    <row r="10">
      <c r="A10" s="7" t="inlineStr">
        <is>
          <t>企業ホンネ</t>
        </is>
      </c>
      <c r="B10" s="7" t="inlineStr">
        <is>
          <t>2026-08-26</t>
        </is>
      </c>
      <c r="C10" s="7" t="inlineStr">
        <is>
          <t>💸トヨタ自動車の年収982万円、実は手当の中身が違う【ショート】</t>
        </is>
      </c>
      <c r="D10" s="9" t="n">
        <v>3597</v>
      </c>
      <c r="E10" s="18" t="n">
        <v>6</v>
      </c>
      <c r="F10" s="9" t="n">
        <v>3597</v>
      </c>
      <c r="G10" s="10">
        <f>IFERROR(E10/D10*1000,0)</f>
        <v/>
      </c>
      <c r="H10" s="11" t="n">
        <v>79.09999999999999</v>
      </c>
      <c r="I10" s="11" t="n">
        <v>8</v>
      </c>
      <c r="J10" s="11" t="n">
        <v>0</v>
      </c>
    </row>
    <row r="11">
      <c r="A11" s="7" t="inlineStr">
        <is>
          <t>企業ホンネ</t>
        </is>
      </c>
      <c r="B11" s="7" t="inlineStr">
        <is>
          <t>2026-08-27</t>
        </is>
      </c>
      <c r="C11" s="7" t="inlineStr">
        <is>
          <t>📉大谷翔平の年収が実は約160億円？スポンサー契約の裏側📉【ショート】</t>
        </is>
      </c>
      <c r="D11" s="9" t="n">
        <v>2239</v>
      </c>
      <c r="E11" s="18" t="n">
        <v>3</v>
      </c>
      <c r="F11" s="9" t="n">
        <v>2239</v>
      </c>
      <c r="G11" s="10">
        <f>IFERROR(E11/D11*1000,0)</f>
        <v/>
      </c>
      <c r="H11" s="11" t="n">
        <v>90</v>
      </c>
      <c r="I11" s="11" t="n">
        <v>23</v>
      </c>
      <c r="J11" s="11" t="n">
        <v>0</v>
      </c>
    </row>
    <row r="12">
      <c r="A12" s="7" t="inlineStr">
        <is>
          <t>企業ホンネ</t>
        </is>
      </c>
      <c r="B12" s="7" t="inlineStr">
        <is>
          <t>2026-08-27</t>
        </is>
      </c>
      <c r="C12" s="7" t="inlineStr">
        <is>
          <t>三菱商事の平均年収2033万円、その中身 #shorts #企業分析 #年収 #転職</t>
        </is>
      </c>
      <c r="D12" s="9" t="n">
        <v>1970</v>
      </c>
      <c r="E12" s="18" t="n">
        <v>2</v>
      </c>
      <c r="F12" s="9" t="n">
        <v>1970</v>
      </c>
      <c r="G12" s="10">
        <f>IFERROR(E12/D12*1000,0)</f>
        <v/>
      </c>
      <c r="H12" s="11" t="n">
        <v>73.59999999999999</v>
      </c>
      <c r="I12" s="11" t="n">
        <v>16</v>
      </c>
      <c r="J12" s="11" t="n">
        <v>0</v>
      </c>
    </row>
    <row r="13">
      <c r="A13" s="7" t="inlineStr">
        <is>
          <t>企業ホンネ</t>
        </is>
      </c>
      <c r="B13" s="7" t="inlineStr">
        <is>
          <t>2026-08-24</t>
        </is>
      </c>
      <c r="C13" s="7" t="inlineStr">
        <is>
          <t>📈退職金の本当は？3社で最大2,000万円差の実態【ショート】</t>
        </is>
      </c>
      <c r="D13" s="9" t="n">
        <v>1935</v>
      </c>
      <c r="E13" s="7" t="n">
        <v>0</v>
      </c>
      <c r="F13" s="9" t="n">
        <v>1935</v>
      </c>
      <c r="G13" s="10">
        <f>IFERROR(E13/D13*1000,0)</f>
        <v/>
      </c>
      <c r="H13" s="11" t="n">
        <v>68.40000000000001</v>
      </c>
      <c r="I13" s="11" t="n">
        <v>2</v>
      </c>
      <c r="J13" s="11" t="n">
        <v>0</v>
      </c>
    </row>
    <row r="14">
      <c r="A14" s="7" t="inlineStr">
        <is>
          <t>企業ホンネ</t>
        </is>
      </c>
      <c r="B14" s="7" t="inlineStr">
        <is>
          <t>2026-08-09</t>
        </is>
      </c>
      <c r="C14" s="7" t="inlineStr">
        <is>
          <t>ヤマト運輸ボーナス年100万円超？#ヤマト運輸の年収が意外すぎた 現場職ボーナス年100万円超の実態 #shorts #企業分析 #年収 #転職</t>
        </is>
      </c>
      <c r="D14" s="9" t="n">
        <v>1675</v>
      </c>
      <c r="E14" s="18" t="n">
        <v>1</v>
      </c>
      <c r="F14" s="9" t="n">
        <v>1675</v>
      </c>
      <c r="G14" s="10">
        <f>IFERROR(E14/D14*1000,0)</f>
        <v/>
      </c>
      <c r="H14" s="11" t="n">
        <v>53.2</v>
      </c>
      <c r="I14" s="11" t="n">
        <v>10</v>
      </c>
      <c r="J14" s="11" t="n">
        <v>1</v>
      </c>
    </row>
    <row r="15">
      <c r="A15" s="7" t="inlineStr">
        <is>
          <t>企業ホンネ</t>
        </is>
      </c>
      <c r="B15" s="7" t="inlineStr">
        <is>
          <t>2026-08-25</t>
        </is>
      </c>
      <c r="C15" s="7" t="inlineStr">
        <is>
          <t>💸不二家の半額ケーキ、実は年収549万円とどう関係する？【ショート】</t>
        </is>
      </c>
      <c r="D15" s="9" t="n">
        <v>1666</v>
      </c>
      <c r="E15" s="18" t="n">
        <v>1</v>
      </c>
      <c r="F15" s="9" t="n">
        <v>1666</v>
      </c>
      <c r="G15" s="10">
        <f>IFERROR(E15/D15*1000,0)</f>
        <v/>
      </c>
      <c r="H15" s="11" t="n">
        <v>58.7</v>
      </c>
      <c r="I15" s="11" t="n">
        <v>3</v>
      </c>
      <c r="J15" s="11" t="n">
        <v>0</v>
      </c>
    </row>
    <row r="16">
      <c r="A16" s="7" t="inlineStr">
        <is>
          <t>企業ホンネ</t>
        </is>
      </c>
      <c r="B16" s="7" t="inlineStr">
        <is>
          <t>2026-08-28</t>
        </is>
      </c>
      <c r="C16" s="7" t="inlineStr">
        <is>
          <t>📉花王の男性育休100%、年収はいくら？実は数字の裏も見る【ショート】</t>
        </is>
      </c>
      <c r="D16" s="9" t="n">
        <v>1480</v>
      </c>
      <c r="E16" s="18" t="n">
        <v>1</v>
      </c>
      <c r="F16" s="9" t="n">
        <v>1480</v>
      </c>
      <c r="G16" s="10">
        <f>IFERROR(E16/D16*1000,0)</f>
        <v/>
      </c>
      <c r="H16" s="11" t="n">
        <v>59.2</v>
      </c>
      <c r="I16" s="11" t="n">
        <v>2</v>
      </c>
      <c r="J16" s="11" t="n">
        <v>0</v>
      </c>
    </row>
    <row r="17">
      <c r="A17" s="7" t="inlineStr">
        <is>
          <t>切り抜き金子</t>
        </is>
      </c>
      <c r="B17" s="7" t="inlineStr">
        <is>
          <t>2026-08-29</t>
        </is>
      </c>
      <c r="C17" s="7" t="inlineStr">
        <is>
          <t>夏のデート感を詰め込んだ一冊 #shorts #切り抜き</t>
        </is>
      </c>
      <c r="D17" s="9" t="n">
        <v>1438</v>
      </c>
      <c r="E17" s="7" t="n">
        <v>0</v>
      </c>
      <c r="F17" s="9" t="n">
        <v>1438</v>
      </c>
      <c r="G17" s="10">
        <f>IFERROR(E17/D17*1000,0)</f>
        <v/>
      </c>
      <c r="H17" s="11" t="n">
        <v>45.2</v>
      </c>
      <c r="I17" s="11" t="n">
        <v>5</v>
      </c>
      <c r="J17" s="11" t="n">
        <v>0</v>
      </c>
    </row>
    <row r="18">
      <c r="A18" s="7" t="inlineStr">
        <is>
          <t>企業ホンネ</t>
        </is>
      </c>
      <c r="B18" s="7" t="inlineStr">
        <is>
          <t>2026-08-22</t>
        </is>
      </c>
      <c r="C18" s="7" t="inlineStr">
        <is>
          <t>💰Uber Eats配達員、本当は時給2,000円超えもある収入の実態【ショート】</t>
        </is>
      </c>
      <c r="D18" s="9" t="n">
        <v>1390</v>
      </c>
      <c r="E18" s="7" t="n">
        <v>0</v>
      </c>
      <c r="F18" s="9" t="n">
        <v>1390</v>
      </c>
      <c r="G18" s="10">
        <f>IFERROR(E18/D18*1000,0)</f>
        <v/>
      </c>
      <c r="H18" s="11" t="n">
        <v>48</v>
      </c>
      <c r="I18" s="11" t="n">
        <v>9</v>
      </c>
      <c r="J18" s="11" t="n">
        <v>0</v>
      </c>
    </row>
    <row r="19">
      <c r="A19" s="7" t="inlineStr">
        <is>
          <t>企業ホンネ</t>
        </is>
      </c>
      <c r="B19" s="7" t="inlineStr">
        <is>
          <t>2026-08-28</t>
        </is>
      </c>
      <c r="C19" s="7" t="inlineStr">
        <is>
          <t>📉JR東日本の年収810万円、本当は休日124日とのバランス💸【ショート】</t>
        </is>
      </c>
      <c r="D19" s="9" t="n">
        <v>1337</v>
      </c>
      <c r="E19" s="18" t="n">
        <v>1</v>
      </c>
      <c r="F19" s="9" t="n">
        <v>1337</v>
      </c>
      <c r="G19" s="10">
        <f>IFERROR(E19/D19*1000,0)</f>
        <v/>
      </c>
      <c r="H19" s="11" t="n">
        <v>80.90000000000001</v>
      </c>
      <c r="I19" s="11" t="n">
        <v>4</v>
      </c>
      <c r="J19" s="11" t="n">
        <v>0</v>
      </c>
    </row>
    <row r="20">
      <c r="A20" s="7" t="inlineStr">
        <is>
          <t>企業ホンネ</t>
        </is>
      </c>
      <c r="B20" s="7" t="inlineStr">
        <is>
          <t>2026-08-28</t>
        </is>
      </c>
      <c r="C20" s="7" t="inlineStr">
        <is>
          <t>💰味の素の有給取得率、実は76.8% 年収と残業の本当は？💸【ショート】</t>
        </is>
      </c>
      <c r="D20" s="9" t="n">
        <v>1330</v>
      </c>
      <c r="E20" s="18" t="n">
        <v>1</v>
      </c>
      <c r="F20" s="9" t="n">
        <v>1330</v>
      </c>
      <c r="G20" s="10">
        <f>IFERROR(E20/D20*1000,0)</f>
        <v/>
      </c>
      <c r="H20" s="11" t="n">
        <v>56.1</v>
      </c>
      <c r="I20" s="11" t="n">
        <v>5</v>
      </c>
      <c r="J20" s="11" t="n">
        <v>0</v>
      </c>
    </row>
    <row r="21">
      <c r="A21" s="7" t="inlineStr">
        <is>
          <t>企業ホンネ</t>
        </is>
      </c>
      <c r="B21" s="7" t="inlineStr">
        <is>
          <t>2026-08-23</t>
        </is>
      </c>
      <c r="C21" s="7" t="inlineStr">
        <is>
          <t>💸資生堂の年収729万円、実はダイバーシティの裏で何がある？【ショート】</t>
        </is>
      </c>
      <c r="D21" s="9" t="n">
        <v>1324</v>
      </c>
      <c r="E21" s="18" t="n">
        <v>1</v>
      </c>
      <c r="F21" s="9" t="n">
        <v>1324</v>
      </c>
      <c r="G21" s="10">
        <f>IFERROR(E21/D21*1000,0)</f>
        <v/>
      </c>
      <c r="H21" s="11" t="n">
        <v>53.6</v>
      </c>
      <c r="I21" s="11" t="n">
        <v>4</v>
      </c>
      <c r="J21" s="11" t="n">
        <v>0</v>
      </c>
    </row>
    <row r="22">
      <c r="A22" s="7" t="inlineStr">
        <is>
          <t>企業ホンネ</t>
        </is>
      </c>
      <c r="B22" s="7" t="inlineStr">
        <is>
          <t>2026-08-29</t>
        </is>
      </c>
      <c r="C22" s="7" t="inlineStr">
        <is>
          <t>💸GUの年収、実はポケモンコラボで上がるのか？平均959万円の裏側💸【ショート】</t>
        </is>
      </c>
      <c r="D22" s="9" t="n">
        <v>1316</v>
      </c>
      <c r="E22" s="7" t="n">
        <v>0</v>
      </c>
      <c r="F22" s="9" t="n">
        <v>1316</v>
      </c>
      <c r="G22" s="10">
        <f>IFERROR(E22/D22*1000,0)</f>
        <v/>
      </c>
      <c r="H22" s="11" t="n">
        <v>98.2</v>
      </c>
      <c r="I22" s="11" t="n">
        <v>5</v>
      </c>
      <c r="J22" s="11" t="n">
        <v>0</v>
      </c>
    </row>
    <row r="23">
      <c r="A23" s="7" t="inlineStr">
        <is>
          <t>切り抜きLab</t>
        </is>
      </c>
      <c r="B23" s="7" t="inlineStr">
        <is>
          <t>2026-08-21</t>
        </is>
      </c>
      <c r="C23" s="7" t="inlineStr">
        <is>
          <t>実はこの現象、ベルヌーイの定理が関係してる #shorts #切り抜き</t>
        </is>
      </c>
      <c r="D23" s="9" t="n">
        <v>1273</v>
      </c>
      <c r="E23" s="7" t="n">
        <v>0</v>
      </c>
      <c r="F23" s="9" t="n">
        <v>1273</v>
      </c>
      <c r="G23" s="10">
        <f>IFERROR(E23/D23*1000,0)</f>
        <v/>
      </c>
      <c r="H23" s="11" t="n">
        <v>51.4</v>
      </c>
      <c r="I23" s="11" t="n">
        <v>3</v>
      </c>
      <c r="J23" s="11" t="n">
        <v>0</v>
      </c>
    </row>
    <row r="24">
      <c r="A24" s="7" t="inlineStr">
        <is>
          <t>企業ホンネ</t>
        </is>
      </c>
      <c r="B24" s="7" t="inlineStr">
        <is>
          <t>2026-08-21</t>
        </is>
      </c>
      <c r="C24" s="7" t="inlineStr">
        <is>
          <t>😱ソニーグループの年収がヤバい 1118万円とDualSenseの仕事【ショート】</t>
        </is>
      </c>
      <c r="D24" s="9" t="n">
        <v>1267</v>
      </c>
      <c r="E24" s="7" t="n">
        <v>0</v>
      </c>
      <c r="F24" s="9" t="n">
        <v>1267</v>
      </c>
      <c r="G24" s="10">
        <f>IFERROR(E24/D24*1000,0)</f>
        <v/>
      </c>
      <c r="H24" s="11" t="n">
        <v>78.7</v>
      </c>
      <c r="I24" s="11" t="n">
        <v>6</v>
      </c>
      <c r="J24" s="11" t="n">
        <v>1</v>
      </c>
    </row>
    <row r="25">
      <c r="A25" s="7" t="inlineStr">
        <is>
          <t>切り抜きLab</t>
        </is>
      </c>
      <c r="B25" s="7" t="inlineStr">
        <is>
          <t>2026-08-22</t>
        </is>
      </c>
      <c r="C25" s="7" t="inlineStr">
        <is>
          <t>恋愛の緊張は 男友達で克服できる #shorts #切り抜き</t>
        </is>
      </c>
      <c r="D25" s="9" t="n">
        <v>1252</v>
      </c>
      <c r="E25" s="7" t="n">
        <v>0</v>
      </c>
      <c r="F25" s="9" t="n">
        <v>1252</v>
      </c>
      <c r="G25" s="10">
        <f>IFERROR(E25/D25*1000,0)</f>
        <v/>
      </c>
      <c r="H25" s="11" t="n">
        <v>55.6</v>
      </c>
      <c r="I25" s="11" t="n">
        <v>3</v>
      </c>
      <c r="J25" s="11" t="n">
        <v>0</v>
      </c>
    </row>
    <row r="26">
      <c r="A26" s="7" t="inlineStr">
        <is>
          <t>切り抜き金子</t>
        </is>
      </c>
      <c r="B26" s="7" t="inlineStr">
        <is>
          <t>2026-08-28</t>
        </is>
      </c>
      <c r="C26" s="7" t="inlineStr">
        <is>
          <t>友達の好きな人を狙うなら 友達をやめる #shorts #切り抜き</t>
        </is>
      </c>
      <c r="D26" s="9" t="n">
        <v>1232</v>
      </c>
      <c r="E26" s="7" t="n">
        <v>0</v>
      </c>
      <c r="F26" s="9" t="n">
        <v>1232</v>
      </c>
      <c r="G26" s="10">
        <f>IFERROR(E26/D26*1000,0)</f>
        <v/>
      </c>
      <c r="H26" s="11" t="n">
        <v>38.2</v>
      </c>
      <c r="I26" s="11" t="n">
        <v>2</v>
      </c>
      <c r="J26" s="11" t="n">
        <v>0</v>
      </c>
    </row>
    <row r="27">
      <c r="A27" s="7" t="inlineStr">
        <is>
          <t>切り抜き金子</t>
        </is>
      </c>
      <c r="B27" s="7" t="inlineStr">
        <is>
          <t>2026-08-28</t>
        </is>
      </c>
      <c r="C27" s="7" t="inlineStr">
        <is>
          <t>おすすめで自分の名前を出して撃沈 #shorts #切り抜き</t>
        </is>
      </c>
      <c r="D27" s="9" t="n">
        <v>1212</v>
      </c>
      <c r="E27" s="18" t="n">
        <v>1</v>
      </c>
      <c r="F27" s="9" t="n">
        <v>1212</v>
      </c>
      <c r="G27" s="10">
        <f>IFERROR(E27/D27*1000,0)</f>
        <v/>
      </c>
      <c r="H27" s="11" t="n">
        <v>40.6</v>
      </c>
      <c r="I27" s="11" t="n">
        <v>5</v>
      </c>
      <c r="J27" s="11" t="n">
        <v>0</v>
      </c>
    </row>
    <row r="28">
      <c r="A28" s="7" t="inlineStr">
        <is>
          <t>切り抜きLab</t>
        </is>
      </c>
      <c r="B28" s="7" t="inlineStr">
        <is>
          <t>2026-08-23</t>
        </is>
      </c>
      <c r="C28" s="7" t="inlineStr">
        <is>
          <t>30年持つなら買った方がいい #shorts #切り抜き</t>
        </is>
      </c>
      <c r="D28" s="9" t="n">
        <v>1208</v>
      </c>
      <c r="E28" s="7" t="n">
        <v>0</v>
      </c>
      <c r="F28" s="9" t="n">
        <v>1208</v>
      </c>
      <c r="G28" s="10">
        <f>IFERROR(E28/D28*1000,0)</f>
        <v/>
      </c>
      <c r="H28" s="11" t="n">
        <v>46.5</v>
      </c>
      <c r="I28" s="11" t="n">
        <v>2</v>
      </c>
      <c r="J28" s="11" t="n">
        <v>0</v>
      </c>
    </row>
    <row r="29">
      <c r="A29" s="7" t="inlineStr">
        <is>
          <t>切り抜き金子</t>
        </is>
      </c>
      <c r="B29" s="7" t="inlineStr">
        <is>
          <t>2026-08-28</t>
        </is>
      </c>
      <c r="C29" s="7" t="inlineStr">
        <is>
          <t>自己肯定感が急に 薄っぺらくなった時期 #shorts #切り抜き</t>
        </is>
      </c>
      <c r="D29" s="9" t="n">
        <v>1205</v>
      </c>
      <c r="E29" s="7" t="n">
        <v>0</v>
      </c>
      <c r="F29" s="9" t="n">
        <v>1205</v>
      </c>
      <c r="G29" s="10">
        <f>IFERROR(E29/D29*1000,0)</f>
        <v/>
      </c>
      <c r="H29" s="11" t="n">
        <v>38.5</v>
      </c>
      <c r="I29" s="11" t="n">
        <v>4</v>
      </c>
      <c r="J29" s="11" t="n">
        <v>0</v>
      </c>
    </row>
    <row r="30">
      <c r="A30" s="7" t="inlineStr">
        <is>
          <t>切り抜きLab</t>
        </is>
      </c>
      <c r="B30" s="7" t="inlineStr">
        <is>
          <t>2026-08-27</t>
        </is>
      </c>
      <c r="C30" s="7" t="inlineStr">
        <is>
          <t>若者の資産を増やすには 収入を増やすしかない #shorts #切り抜き</t>
        </is>
      </c>
      <c r="D30" s="9" t="n">
        <v>1196</v>
      </c>
      <c r="E30" s="7" t="n">
        <v>0</v>
      </c>
      <c r="F30" s="9" t="n">
        <v>1196</v>
      </c>
      <c r="G30" s="10">
        <f>IFERROR(E30/D30*1000,0)</f>
        <v/>
      </c>
      <c r="H30" s="11" t="n">
        <v>58.1</v>
      </c>
      <c r="I30" s="11" t="n">
        <v>1</v>
      </c>
      <c r="J30" s="11" t="n">
        <v>0</v>
      </c>
    </row>
    <row r="31">
      <c r="A31" s="7" t="inlineStr">
        <is>
          <t>企業ホンネ</t>
        </is>
      </c>
      <c r="B31" s="7" t="inlineStr">
        <is>
          <t>2026-08-17</t>
        </is>
      </c>
      <c r="C31" s="7" t="inlineStr">
        <is>
          <t>リクルートの賞与は年間150万円超？平均年齢35歳の待遇を検証【ショート】</t>
        </is>
      </c>
      <c r="D31" s="9" t="n">
        <v>1194</v>
      </c>
      <c r="E31" s="18" t="n">
        <v>1</v>
      </c>
      <c r="F31" s="9" t="n">
        <v>1194</v>
      </c>
      <c r="G31" s="10">
        <f>IFERROR(E31/D31*1000,0)</f>
        <v/>
      </c>
      <c r="H31" s="11" t="n">
        <v>42.2</v>
      </c>
      <c r="I31" s="11" t="n">
        <v>2</v>
      </c>
      <c r="J31" s="11" t="n">
        <v>0</v>
      </c>
    </row>
    <row r="32">
      <c r="A32" s="7" t="inlineStr">
        <is>
          <t>切り抜き金子</t>
        </is>
      </c>
      <c r="B32" s="7" t="inlineStr">
        <is>
          <t>2026-08-28</t>
        </is>
      </c>
      <c r="C32" s="7" t="inlineStr">
        <is>
          <t>6年間ほぼ話してないのに ずっと好きな理由が衝撃 #shorts #切り抜き</t>
        </is>
      </c>
      <c r="D32" s="9" t="n">
        <v>1184</v>
      </c>
      <c r="E32" s="7" t="n">
        <v>0</v>
      </c>
      <c r="F32" s="9" t="n">
        <v>1184</v>
      </c>
      <c r="G32" s="10">
        <f>IFERROR(E32/D32*1000,0)</f>
        <v/>
      </c>
      <c r="H32" s="11" t="n">
        <v>57.6</v>
      </c>
      <c r="I32" s="11" t="n">
        <v>5</v>
      </c>
      <c r="J32" s="11" t="n">
        <v>0</v>
      </c>
    </row>
    <row r="33">
      <c r="A33" s="7" t="inlineStr">
        <is>
          <t>切り抜きLab</t>
        </is>
      </c>
      <c r="B33" s="7" t="inlineStr">
        <is>
          <t>2026-08-23</t>
        </is>
      </c>
      <c r="C33" s="7" t="inlineStr">
        <is>
          <t>残業が多くても 年収50万円増ならアリ #shorts #切り抜き</t>
        </is>
      </c>
      <c r="D33" s="9" t="n">
        <v>1183</v>
      </c>
      <c r="E33" s="7" t="n">
        <v>0</v>
      </c>
      <c r="F33" s="9" t="n">
        <v>1183</v>
      </c>
      <c r="G33" s="10">
        <f>IFERROR(E33/D33*1000,0)</f>
        <v/>
      </c>
      <c r="H33" s="11" t="n">
        <v>32.8</v>
      </c>
      <c r="I33" s="11" t="n">
        <v>0</v>
      </c>
      <c r="J33" s="11" t="n">
        <v>0</v>
      </c>
    </row>
    <row r="34">
      <c r="A34" s="7" t="inlineStr">
        <is>
          <t>切り抜き金子</t>
        </is>
      </c>
      <c r="B34" s="7" t="inlineStr">
        <is>
          <t>2026-08-27</t>
        </is>
      </c>
      <c r="C34" s="7" t="inlineStr">
        <is>
          <t>ストレスが溜まったら 泣いて寝るタイプ #shorts #切り抜き</t>
        </is>
      </c>
      <c r="D34" s="9" t="n">
        <v>1173</v>
      </c>
      <c r="E34" s="7" t="n">
        <v>0</v>
      </c>
      <c r="F34" s="9" t="n">
        <v>1173</v>
      </c>
      <c r="G34" s="10">
        <f>IFERROR(E34/D34*1000,0)</f>
        <v/>
      </c>
      <c r="H34" s="11" t="n">
        <v>33.9</v>
      </c>
      <c r="I34" s="11" t="n">
        <v>5</v>
      </c>
      <c r="J34" s="11" t="n">
        <v>0</v>
      </c>
    </row>
    <row r="35">
      <c r="A35" s="7" t="inlineStr">
        <is>
          <t>アカシック</t>
        </is>
      </c>
      <c r="B35" s="7" t="inlineStr">
        <is>
          <t>2026-08-22</t>
        </is>
      </c>
      <c r="C35" s="7" t="inlineStr">
        <is>
          <t>なぜ600年も読めない？存在しない植物だけが描かれた手稿 #shorts #都市伝説 #オカルト</t>
        </is>
      </c>
      <c r="D35" s="9" t="n">
        <v>1172</v>
      </c>
      <c r="E35" s="18" t="n">
        <v>2</v>
      </c>
      <c r="F35" s="9" t="n">
        <v>1172</v>
      </c>
      <c r="G35" s="10">
        <f>IFERROR(E35/D35*1000,0)</f>
        <v/>
      </c>
      <c r="H35" s="11" t="n">
        <v>63.6</v>
      </c>
      <c r="I35" s="11" t="n">
        <v>4</v>
      </c>
      <c r="J35" s="11" t="n">
        <v>0</v>
      </c>
    </row>
    <row r="36">
      <c r="A36" s="7" t="inlineStr">
        <is>
          <t>切り抜き金子</t>
        </is>
      </c>
      <c r="B36" s="7" t="inlineStr">
        <is>
          <t>2026-08-27</t>
        </is>
      </c>
      <c r="C36" s="7" t="inlineStr">
        <is>
          <t>「おはよう」から「おやすみ」まで デート気分を詰め込んだ一冊 #shorts #切り抜き</t>
        </is>
      </c>
      <c r="D36" s="9" t="n">
        <v>1172</v>
      </c>
      <c r="E36" s="7" t="n">
        <v>0</v>
      </c>
      <c r="F36" s="9" t="n">
        <v>1172</v>
      </c>
      <c r="G36" s="10">
        <f>IFERROR(E36/D36*1000,0)</f>
        <v/>
      </c>
      <c r="H36" s="11" t="n">
        <v>31</v>
      </c>
      <c r="I36" s="11" t="n">
        <v>0</v>
      </c>
      <c r="J36" s="11" t="n">
        <v>0</v>
      </c>
    </row>
    <row r="37">
      <c r="A37" s="7" t="inlineStr">
        <is>
          <t>アカシック</t>
        </is>
      </c>
      <c r="B37" s="7" t="inlineStr">
        <is>
          <t>2026-08-27</t>
        </is>
      </c>
      <c r="C37" s="7" t="inlineStr">
        <is>
          <t>なぜ大谷翔平だけ？実力の前に働く「外見」の本当の理由【ショート】</t>
        </is>
      </c>
      <c r="D37" s="9" t="n">
        <v>1148</v>
      </c>
      <c r="E37" s="7" t="n">
        <v>0</v>
      </c>
      <c r="F37" s="9" t="n">
        <v>1148</v>
      </c>
      <c r="G37" s="10">
        <f>IFERROR(E37/D37*1000,0)</f>
        <v/>
      </c>
      <c r="H37" s="11" t="n">
        <v>41.3</v>
      </c>
      <c r="I37" s="11" t="n">
        <v>2</v>
      </c>
      <c r="J37" s="11" t="n">
        <v>0</v>
      </c>
    </row>
    <row r="38">
      <c r="A38" s="7" t="inlineStr">
        <is>
          <t>切り抜き金子</t>
        </is>
      </c>
      <c r="B38" s="7" t="inlineStr">
        <is>
          <t>2026-08-27</t>
        </is>
      </c>
      <c r="C38" s="7" t="inlineStr">
        <is>
          <t>花火大会を2人で行けたら もうほぼ脈あり #shorts #切り抜き</t>
        </is>
      </c>
      <c r="D38" s="9" t="n">
        <v>1130</v>
      </c>
      <c r="E38" s="7" t="n">
        <v>0</v>
      </c>
      <c r="F38" s="9" t="n">
        <v>1130</v>
      </c>
      <c r="G38" s="10">
        <f>IFERROR(E38/D38*1000,0)</f>
        <v/>
      </c>
      <c r="H38" s="11" t="n">
        <v>73.59999999999999</v>
      </c>
      <c r="I38" s="11" t="n">
        <v>2</v>
      </c>
      <c r="J38" s="11" t="n">
        <v>0</v>
      </c>
    </row>
    <row r="39">
      <c r="A39" s="7" t="inlineStr">
        <is>
          <t>切り抜き金子</t>
        </is>
      </c>
      <c r="B39" s="7" t="inlineStr">
        <is>
          <t>2026-08-29</t>
        </is>
      </c>
      <c r="C39" s="7" t="inlineStr">
        <is>
          <t>無人島に持っていくなら ドラえもんのポケット #shorts #切り抜き</t>
        </is>
      </c>
      <c r="D39" s="9" t="n">
        <v>1124</v>
      </c>
      <c r="E39" s="7" t="n">
        <v>0</v>
      </c>
      <c r="F39" s="9" t="n">
        <v>1124</v>
      </c>
      <c r="G39" s="10">
        <f>IFERROR(E39/D39*1000,0)</f>
        <v/>
      </c>
      <c r="H39" s="11" t="n">
        <v>69.7</v>
      </c>
      <c r="I39" s="11" t="n">
        <v>2</v>
      </c>
      <c r="J39" s="11" t="n">
        <v>0</v>
      </c>
    </row>
    <row r="40">
      <c r="A40" s="7" t="inlineStr">
        <is>
          <t>企業ホンネ</t>
        </is>
      </c>
      <c r="B40" s="7" t="inlineStr">
        <is>
          <t>2026-08-14</t>
        </is>
      </c>
      <c r="C40" s="7" t="inlineStr">
        <is>
          <t>オリエンタルランドの年収536万円、離職率2.1%の実態【ショート】</t>
        </is>
      </c>
      <c r="D40" s="9" t="n">
        <v>1121</v>
      </c>
      <c r="E40" s="18" t="n">
        <v>2</v>
      </c>
      <c r="F40" s="9" t="n">
        <v>1121</v>
      </c>
      <c r="G40" s="10">
        <f>IFERROR(E40/D40*1000,0)</f>
        <v/>
      </c>
      <c r="H40" s="11" t="n">
        <v>42.3</v>
      </c>
      <c r="I40" s="11" t="n">
        <v>10</v>
      </c>
      <c r="J40" s="11" t="n">
        <v>0</v>
      </c>
    </row>
    <row r="41">
      <c r="A41" s="7" t="inlineStr">
        <is>
          <t>企業ホンネ</t>
        </is>
      </c>
      <c r="B41" s="7" t="inlineStr">
        <is>
          <t>2026-08-30</t>
        </is>
      </c>
      <c r="C41" s="7" t="inlineStr">
        <is>
          <t>📈動画作りに課金しすぎた男、年収480万円で転職できる？【ショート】</t>
        </is>
      </c>
      <c r="D41" s="9" t="n">
        <v>1098</v>
      </c>
      <c r="E41" s="7" t="n">
        <v>0</v>
      </c>
      <c r="F41" s="9" t="n">
        <v>1098</v>
      </c>
      <c r="G41" s="10">
        <f>IFERROR(E41/D41*1000,0)</f>
        <v/>
      </c>
      <c r="H41" s="11" t="n">
        <v>50.6</v>
      </c>
      <c r="I41" s="11" t="n">
        <v>3</v>
      </c>
      <c r="J41" s="11" t="n">
        <v>0</v>
      </c>
    </row>
    <row r="42">
      <c r="A42" s="7" t="inlineStr">
        <is>
          <t>ポケモン</t>
        </is>
      </c>
      <c r="B42" s="7" t="inlineStr">
        <is>
          <t>2026-08-09</t>
        </is>
      </c>
      <c r="C42" s="7" t="inlineStr">
        <is>
          <t>1分ポケモン研究：なぜピカチュウだけ？図鑑778番の本音#なぜ図鑑778番はピカチュウだけ真似るのか？理由が意外すぎた【ショート】 #shorts #ゆっくり解説</t>
        </is>
      </c>
      <c r="D42" s="9" t="n">
        <v>1088</v>
      </c>
      <c r="E42" s="18" t="n">
        <v>1</v>
      </c>
      <c r="F42" s="9" t="n">
        <v>1088</v>
      </c>
      <c r="G42" s="10">
        <f>IFERROR(E42/D42*1000,0)</f>
        <v/>
      </c>
      <c r="H42" s="11" t="n">
        <v>63.7</v>
      </c>
      <c r="I42" s="11" t="n">
        <v>4</v>
      </c>
      <c r="J42" s="11" t="n">
        <v>0</v>
      </c>
    </row>
    <row r="43">
      <c r="A43" s="7" t="inlineStr">
        <is>
          <t>切り抜き金子</t>
        </is>
      </c>
      <c r="B43" s="7" t="inlineStr">
        <is>
          <t>2026-08-26</t>
        </is>
      </c>
      <c r="C43" s="7" t="inlineStr">
        <is>
          <t>【金子みゆ】アイドルが正体隠して斉藤さんやったらやばすぎたw #shorts</t>
        </is>
      </c>
      <c r="D43" s="9" t="n">
        <v>1087</v>
      </c>
      <c r="E43" s="18" t="n">
        <v>1</v>
      </c>
      <c r="F43" s="9" t="n">
        <v>1087</v>
      </c>
      <c r="G43" s="10">
        <f>IFERROR(E43/D43*1000,0)</f>
        <v/>
      </c>
      <c r="H43" s="11" t="n">
        <v>43</v>
      </c>
      <c r="I43" s="11" t="n">
        <v>2</v>
      </c>
      <c r="J43" s="11" t="n">
        <v>0</v>
      </c>
    </row>
    <row r="44">
      <c r="A44" s="7" t="inlineStr">
        <is>
          <t>企業ホンネ</t>
        </is>
      </c>
      <c r="B44" s="7" t="inlineStr">
        <is>
          <t>2026-08-08</t>
        </is>
      </c>
      <c r="C44" s="7" t="inlineStr">
        <is>
          <t>カゴメの年間休日125日、有給取得率74.6%はホワイト？【ショート】</t>
        </is>
      </c>
      <c r="D44" s="9" t="n">
        <v>1068</v>
      </c>
      <c r="E44" s="7" t="n">
        <v>0</v>
      </c>
      <c r="F44" s="9" t="n">
        <v>1068</v>
      </c>
      <c r="G44" s="10">
        <f>IFERROR(E44/D44*1000,0)</f>
        <v/>
      </c>
      <c r="H44" s="11" t="n">
        <v>65.7</v>
      </c>
      <c r="I44" s="11" t="n">
        <v>10</v>
      </c>
      <c r="J44" s="11" t="n">
        <v>1</v>
      </c>
    </row>
    <row r="45">
      <c r="A45" s="7" t="inlineStr">
        <is>
          <t>切り抜き金子</t>
        </is>
      </c>
      <c r="B45" s="7" t="inlineStr">
        <is>
          <t>2026-08-25</t>
        </is>
      </c>
      <c r="C45" s="7" t="inlineStr">
        <is>
          <t>【金子みゆ】現役アイドルのぼっち一蘭が可愛すぎるw #shorts</t>
        </is>
      </c>
      <c r="D45" s="9" t="n">
        <v>1065</v>
      </c>
      <c r="E45" s="7" t="n">
        <v>0</v>
      </c>
      <c r="F45" s="9" t="n">
        <v>1065</v>
      </c>
      <c r="G45" s="10">
        <f>IFERROR(E45/D45*1000,0)</f>
        <v/>
      </c>
      <c r="H45" s="11" t="n">
        <v>50.2</v>
      </c>
      <c r="I45" s="11" t="n">
        <v>3</v>
      </c>
      <c r="J45" s="11" t="n">
        <v>0</v>
      </c>
    </row>
    <row r="46">
      <c r="A46" s="7" t="inlineStr">
        <is>
          <t>切り抜き金子</t>
        </is>
      </c>
      <c r="B46" s="7" t="inlineStr">
        <is>
          <t>2026-08-29</t>
        </is>
      </c>
      <c r="C46" s="7" t="inlineStr">
        <is>
          <t>年配夫婦の腕組みペアルックにほっこり #shorts #切り抜き</t>
        </is>
      </c>
      <c r="D46" s="9" t="n">
        <v>1059</v>
      </c>
      <c r="E46" s="7" t="n">
        <v>0</v>
      </c>
      <c r="F46" s="9" t="n">
        <v>1059</v>
      </c>
      <c r="G46" s="10">
        <f>IFERROR(E46/D46*1000,0)</f>
        <v/>
      </c>
      <c r="H46" s="11" t="n">
        <v>59.8</v>
      </c>
      <c r="I46" s="11" t="n">
        <v>2</v>
      </c>
      <c r="J46" s="11" t="n">
        <v>0</v>
      </c>
    </row>
    <row r="47">
      <c r="A47" s="7" t="inlineStr">
        <is>
          <t>2chまとめ</t>
        </is>
      </c>
      <c r="B47" s="7" t="inlineStr">
        <is>
          <t>2026-08-31</t>
        </is>
      </c>
      <c r="C47" s="7" t="inlineStr">
        <is>
          <t>なぜPSで一番いらないゲームが生まれるのか？ 博牛【ショート】</t>
        </is>
      </c>
      <c r="D47" s="9" t="n">
        <v>1057</v>
      </c>
      <c r="E47" s="7" t="n">
        <v>0</v>
      </c>
      <c r="F47" s="9" t="n">
        <v>1057</v>
      </c>
      <c r="G47" s="10">
        <f>IFERROR(E47/D47*1000,0)</f>
        <v/>
      </c>
      <c r="H47" s="11" t="n">
        <v>33</v>
      </c>
      <c r="I47" s="11" t="n">
        <v>3</v>
      </c>
      <c r="J47" s="11" t="n">
        <v>0</v>
      </c>
    </row>
    <row r="48">
      <c r="A48" s="7" t="inlineStr">
        <is>
          <t>企業ホンネ</t>
        </is>
      </c>
      <c r="B48" s="7" t="inlineStr">
        <is>
          <t>2026-08-12</t>
        </is>
      </c>
      <c r="C48" s="7" t="inlineStr">
        <is>
          <t>サントリーの平均年収1,000万円超？残業19.5時間の実態【ショート】</t>
        </is>
      </c>
      <c r="D48" s="9" t="n">
        <v>1057</v>
      </c>
      <c r="E48" s="18" t="n">
        <v>2</v>
      </c>
      <c r="F48" s="9" t="n">
        <v>1057</v>
      </c>
      <c r="G48" s="10">
        <f>IFERROR(E48/D48*1000,0)</f>
        <v/>
      </c>
      <c r="H48" s="11" t="n">
        <v>39</v>
      </c>
      <c r="I48" s="11" t="n">
        <v>3</v>
      </c>
      <c r="J48" s="11" t="n">
        <v>0</v>
      </c>
    </row>
    <row r="49">
      <c r="A49" s="7" t="inlineStr">
        <is>
          <t>アカシック</t>
        </is>
      </c>
      <c r="B49" s="7" t="inlineStr">
        <is>
          <t>2026-08-27</t>
        </is>
      </c>
      <c r="C49" s="7" t="inlineStr">
        <is>
          <t>三十八人が見ていて、誰も動かなかった夜 #shorts #社会学 #人間心理</t>
        </is>
      </c>
      <c r="D49" s="9" t="n">
        <v>1056</v>
      </c>
      <c r="E49" s="18" t="n">
        <v>1</v>
      </c>
      <c r="F49" s="9" t="n">
        <v>1056</v>
      </c>
      <c r="G49" s="10">
        <f>IFERROR(E49/D49*1000,0)</f>
        <v/>
      </c>
      <c r="H49" s="11" t="n">
        <v>62.7</v>
      </c>
      <c r="I49" s="11" t="n">
        <v>1</v>
      </c>
      <c r="J49" s="11" t="n">
        <v>0</v>
      </c>
    </row>
    <row r="50">
      <c r="A50" s="7" t="inlineStr">
        <is>
          <t>切り抜き金子</t>
        </is>
      </c>
      <c r="B50" s="7" t="inlineStr">
        <is>
          <t>2026-08-27</t>
        </is>
      </c>
      <c r="C50" s="7" t="inlineStr">
        <is>
          <t>「頑張ってて偉い」が 刺さらない時がある #shorts #切り抜き</t>
        </is>
      </c>
      <c r="D50" s="9" t="n">
        <v>1055</v>
      </c>
      <c r="E50" s="7" t="n">
        <v>0</v>
      </c>
      <c r="F50" s="9" t="n">
        <v>1055</v>
      </c>
      <c r="G50" s="10">
        <f>IFERROR(E50/D50*1000,0)</f>
        <v/>
      </c>
      <c r="H50" s="11" t="n">
        <v>35.4</v>
      </c>
      <c r="I50" s="11" t="n">
        <v>4</v>
      </c>
      <c r="J50" s="11" t="n">
        <v>0</v>
      </c>
    </row>
    <row r="51">
      <c r="A51" s="7" t="inlineStr">
        <is>
          <t>切り抜き金子</t>
        </is>
      </c>
      <c r="B51" s="7" t="inlineStr">
        <is>
          <t>2026-08-30</t>
        </is>
      </c>
      <c r="C51" s="7" t="inlineStr">
        <is>
          <t>周りが気まずくて 撮影を始められない #shorts #切り抜き</t>
        </is>
      </c>
      <c r="D51" s="9" t="n">
        <v>1052</v>
      </c>
      <c r="E51" s="7" t="n">
        <v>0</v>
      </c>
      <c r="F51" s="9" t="n">
        <v>1052</v>
      </c>
      <c r="G51" s="10">
        <f>IFERROR(E51/D51*1000,0)</f>
        <v/>
      </c>
      <c r="H51" s="11" t="n">
        <v>75.59999999999999</v>
      </c>
      <c r="I51" s="11" t="n">
        <v>2</v>
      </c>
      <c r="J51" s="11" t="n">
        <v>0</v>
      </c>
    </row>
    <row r="52">
      <c r="A52" s="7" t="inlineStr">
        <is>
          <t>2chまとめ</t>
        </is>
      </c>
      <c r="B52" s="7" t="inlineStr">
        <is>
          <t>2026-08-30</t>
        </is>
      </c>
      <c r="C52" s="7" t="inlineStr">
        <is>
          <t>動画作りに7万課金した男、なぜ昼飯が塩むすびになったのか？【ショート】</t>
        </is>
      </c>
      <c r="D52" s="9" t="n">
        <v>1034</v>
      </c>
      <c r="E52" s="18" t="n">
        <v>1</v>
      </c>
      <c r="F52" s="9" t="n">
        <v>1034</v>
      </c>
      <c r="G52" s="10">
        <f>IFERROR(E52/D52*1000,0)</f>
        <v/>
      </c>
      <c r="H52" s="11" t="n">
        <v>32.3</v>
      </c>
      <c r="I52" s="11" t="n">
        <v>3</v>
      </c>
      <c r="J52" s="11" t="n">
        <v>0</v>
      </c>
    </row>
    <row r="53">
      <c r="A53" s="7" t="inlineStr">
        <is>
          <t>企業ホンネ</t>
        </is>
      </c>
      <c r="B53" s="7" t="inlineStr">
        <is>
          <t>2026-08-30</t>
        </is>
      </c>
      <c r="C53" s="7" t="inlineStr">
        <is>
          <t>📉サイバーエージェントの年収773万円、平均年齢33歳の本当は【ショート】</t>
        </is>
      </c>
      <c r="D53" s="9" t="n">
        <v>1017</v>
      </c>
      <c r="E53" s="7" t="n">
        <v>0</v>
      </c>
      <c r="F53" s="9" t="n">
        <v>1017</v>
      </c>
      <c r="G53" s="10">
        <f>IFERROR(E53/D53*1000,0)</f>
        <v/>
      </c>
      <c r="H53" s="11" t="n">
        <v>36.1</v>
      </c>
      <c r="I53" s="11" t="n">
        <v>1</v>
      </c>
      <c r="J53" s="11" t="n">
        <v>1</v>
      </c>
    </row>
    <row r="54">
      <c r="A54" s="7" t="inlineStr">
        <is>
          <t>企業ホンネ</t>
        </is>
      </c>
      <c r="B54" s="7" t="inlineStr">
        <is>
          <t>2026-08-17</t>
        </is>
      </c>
      <c r="C54" s="7" t="inlineStr">
        <is>
          <t>セブン銀行の年間休日130日、平均年収も数字で解説【ショート】</t>
        </is>
      </c>
      <c r="D54" s="9" t="n">
        <v>1015</v>
      </c>
      <c r="E54" s="7" t="n">
        <v>0</v>
      </c>
      <c r="F54" s="9" t="n">
        <v>1015</v>
      </c>
      <c r="G54" s="10">
        <f>IFERROR(E54/D54*1000,0)</f>
        <v/>
      </c>
      <c r="H54" s="11" t="n">
        <v>38.9</v>
      </c>
      <c r="I54" s="11" t="n">
        <v>2</v>
      </c>
      <c r="J54" s="11" t="n">
        <v>0</v>
      </c>
    </row>
    <row r="55">
      <c r="A55" s="7" t="inlineStr">
        <is>
          <t>ポケモン</t>
        </is>
      </c>
      <c r="B55" s="7" t="inlineStr">
        <is>
          <t>2026-08-30</t>
        </is>
      </c>
      <c r="C55" s="7" t="inlineStr">
        <is>
          <t>1分ポケモン研究 #21：👀カビゴンが道を塞ぐ理由に隠された1日の秘密、あなたは気づいた？🔍【ショート】</t>
        </is>
      </c>
      <c r="D55" s="9" t="n">
        <v>1004</v>
      </c>
      <c r="E55" s="7" t="n">
        <v>0</v>
      </c>
      <c r="F55" s="9" t="n">
        <v>1004</v>
      </c>
      <c r="G55" s="10">
        <f>IFERROR(E55/D55*1000,0)</f>
        <v/>
      </c>
      <c r="H55" s="11" t="n">
        <v>41</v>
      </c>
      <c r="I55" s="11" t="n">
        <v>2</v>
      </c>
      <c r="J55" s="11" t="n">
        <v>0</v>
      </c>
    </row>
    <row r="56">
      <c r="A56" s="7" t="inlineStr">
        <is>
          <t>切り抜き金子</t>
        </is>
      </c>
      <c r="B56" s="7" t="inlineStr">
        <is>
          <t>2026-08-30</t>
        </is>
      </c>
      <c r="C56" s="7" t="inlineStr">
        <is>
          <t>緊張の初プレイ、映画級の宇宙へ #shorts #切り抜き</t>
        </is>
      </c>
      <c r="D56" s="9" t="n">
        <v>993</v>
      </c>
      <c r="E56" s="18" t="n">
        <v>1</v>
      </c>
      <c r="F56" s="9" t="n">
        <v>993</v>
      </c>
      <c r="G56" s="10">
        <f>IFERROR(E56/D56*1000,0)</f>
        <v/>
      </c>
      <c r="H56" s="11" t="n">
        <v>71.5</v>
      </c>
      <c r="I56" s="11" t="n">
        <v>1</v>
      </c>
      <c r="J56" s="11" t="n">
        <v>0</v>
      </c>
    </row>
    <row r="57">
      <c r="A57" s="7" t="inlineStr">
        <is>
          <t>SCP</t>
        </is>
      </c>
      <c r="B57" s="7" t="inlineStr">
        <is>
          <t>2026-08-30</t>
        </is>
      </c>
      <c r="C57" s="7" t="inlineStr">
        <is>
          <t>一口SCP #110：🫣SCP-███「投稿者の編集室」君の部屋にも現れる課金地獄の恐怖💀【ショート】</t>
        </is>
      </c>
      <c r="D57" s="9" t="n">
        <v>992</v>
      </c>
      <c r="E57" s="7" t="n">
        <v>0</v>
      </c>
      <c r="F57" s="9" t="n">
        <v>992</v>
      </c>
      <c r="G57" s="10">
        <f>IFERROR(E57/D57*1000,0)</f>
        <v/>
      </c>
      <c r="H57" s="11" t="n">
        <v>28.3</v>
      </c>
      <c r="I57" s="11" t="n">
        <v>8</v>
      </c>
      <c r="J57" s="11" t="n">
        <v>0</v>
      </c>
    </row>
    <row r="58">
      <c r="A58" s="7" t="inlineStr">
        <is>
          <t>企業ホンネ</t>
        </is>
      </c>
      <c r="B58" s="7" t="inlineStr">
        <is>
          <t>2026-08-31</t>
        </is>
      </c>
      <c r="C58" s="7" t="inlineStr">
        <is>
          <t>Netflixの月額1,590円、本当はどこに消える？【ショート】</t>
        </is>
      </c>
      <c r="D58" s="9" t="n">
        <v>986</v>
      </c>
      <c r="E58" s="18" t="n">
        <v>2</v>
      </c>
      <c r="F58" s="9" t="n">
        <v>986</v>
      </c>
      <c r="G58" s="10">
        <f>IFERROR(E58/D58*1000,0)</f>
        <v/>
      </c>
      <c r="H58" s="11" t="n">
        <v>46.8</v>
      </c>
      <c r="I58" s="11" t="n">
        <v>4</v>
      </c>
      <c r="J58" s="11" t="n">
        <v>0</v>
      </c>
    </row>
    <row r="59">
      <c r="A59" s="7" t="inlineStr">
        <is>
          <t>妖怪</t>
        </is>
      </c>
      <c r="B59" s="7" t="inlineStr">
        <is>
          <t>2026-08-31</t>
        </is>
      </c>
      <c r="C59" s="7" t="inlineStr">
        <is>
          <t>ふぶき姫の約束を破るとどうなる？3つの雪女記録【ショート】</t>
        </is>
      </c>
      <c r="D59" s="9" t="n">
        <v>978</v>
      </c>
      <c r="E59" s="7" t="n">
        <v>0</v>
      </c>
      <c r="F59" s="9" t="n">
        <v>978</v>
      </c>
      <c r="G59" s="10">
        <f>IFERROR(E59/D59*1000,0)</f>
        <v/>
      </c>
      <c r="H59" s="11" t="n">
        <v>32.1</v>
      </c>
      <c r="I59" s="11" t="n">
        <v>4</v>
      </c>
      <c r="J59" s="11" t="n">
        <v>0</v>
      </c>
    </row>
    <row r="60">
      <c r="A60" s="7" t="inlineStr">
        <is>
          <t>企業ホンネ</t>
        </is>
      </c>
      <c r="B60" s="7" t="inlineStr">
        <is>
          <t>2026-08-15</t>
        </is>
      </c>
      <c r="C60" s="7" t="inlineStr">
        <is>
          <t>無印良品の正社員待遇、年間休日123日の実態【ショート】</t>
        </is>
      </c>
      <c r="D60" s="9" t="n">
        <v>973</v>
      </c>
      <c r="E60" s="7" t="n">
        <v>0</v>
      </c>
      <c r="F60" s="9" t="n">
        <v>973</v>
      </c>
      <c r="G60" s="10">
        <f>IFERROR(E60/D60*1000,0)</f>
        <v/>
      </c>
      <c r="H60" s="11" t="n">
        <v>39.2</v>
      </c>
      <c r="I60" s="11" t="n">
        <v>0</v>
      </c>
      <c r="J60" s="11" t="n">
        <v>0</v>
      </c>
    </row>
    <row r="61">
      <c r="A61" s="7" t="inlineStr">
        <is>
          <t>切り抜き金子</t>
        </is>
      </c>
      <c r="B61" s="7" t="inlineStr">
        <is>
          <t>2026-08-30</t>
        </is>
      </c>
      <c r="C61" s="7" t="inlineStr">
        <is>
          <t>復縁したいなら 「もう一度チャンスをください」 #shorts #切り抜き</t>
        </is>
      </c>
      <c r="D61" s="9" t="n">
        <v>965</v>
      </c>
      <c r="E61" s="7" t="n">
        <v>0</v>
      </c>
      <c r="F61" s="9" t="n">
        <v>965</v>
      </c>
      <c r="G61" s="10">
        <f>IFERROR(E61/D61*1000,0)</f>
        <v/>
      </c>
      <c r="H61" s="11" t="n">
        <v>43.3</v>
      </c>
      <c r="I61" s="11" t="n">
        <v>4</v>
      </c>
      <c r="J61" s="11" t="n">
        <v>1</v>
      </c>
    </row>
    <row r="62">
      <c r="A62" s="7" t="inlineStr">
        <is>
          <t>SCP</t>
        </is>
      </c>
      <c r="B62" s="7" t="inlineStr">
        <is>
          <t>2026-08-30</t>
        </is>
      </c>
      <c r="C62" s="7" t="inlineStr">
        <is>
          <t>SCP-4335を見た海域で、なぜ観測記録が途絶えたのか？【ショート】</t>
        </is>
      </c>
      <c r="D62" s="9" t="n">
        <v>959</v>
      </c>
      <c r="E62" s="18" t="n">
        <v>2</v>
      </c>
      <c r="F62" s="9" t="n">
        <v>959</v>
      </c>
      <c r="G62" s="10">
        <f>IFERROR(E62/D62*1000,0)</f>
        <v/>
      </c>
      <c r="H62" s="11" t="n">
        <v>60</v>
      </c>
      <c r="I62" s="11" t="n">
        <v>1</v>
      </c>
      <c r="J62" s="11" t="n">
        <v>0</v>
      </c>
    </row>
    <row r="63">
      <c r="A63" s="7" t="inlineStr">
        <is>
          <t>企業ホンネ</t>
        </is>
      </c>
      <c r="B63" s="7" t="inlineStr">
        <is>
          <t>2026-08-13</t>
        </is>
      </c>
      <c r="C63" s="7" t="inlineStr">
        <is>
          <t>ソニーの平均年収1118万円、年間休日125日の実態【ショート】</t>
        </is>
      </c>
      <c r="D63" s="9" t="n">
        <v>953</v>
      </c>
      <c r="E63" s="18" t="n">
        <v>1</v>
      </c>
      <c r="F63" s="9" t="n">
        <v>953</v>
      </c>
      <c r="G63" s="10">
        <f>IFERROR(E63/D63*1000,0)</f>
        <v/>
      </c>
      <c r="H63" s="11" t="n">
        <v>38.9</v>
      </c>
      <c r="I63" s="11" t="n">
        <v>9</v>
      </c>
      <c r="J63" s="11" t="n">
        <v>0</v>
      </c>
    </row>
    <row r="64">
      <c r="A64" s="7" t="inlineStr">
        <is>
          <t>SCP</t>
        </is>
      </c>
      <c r="B64" s="7" t="inlineStr">
        <is>
          <t>2026-09-01</t>
        </is>
      </c>
      <c r="C64" s="7" t="inlineStr">
        <is>
          <t>SCP-1987 なぜ24時間ごとに被害が増える？【ショート】</t>
        </is>
      </c>
      <c r="D64" s="9" t="n">
        <v>945</v>
      </c>
      <c r="E64" s="18" t="n">
        <v>2</v>
      </c>
      <c r="F64" s="9" t="n">
        <v>945</v>
      </c>
      <c r="G64" s="10">
        <f>IFERROR(E64/D64*1000,0)</f>
        <v/>
      </c>
      <c r="H64" s="11" t="n">
        <v>38.1</v>
      </c>
      <c r="I64" s="11" t="n">
        <v>1</v>
      </c>
      <c r="J64" s="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5" customWidth="1" min="1" max="1"/>
    <col width="20" customWidth="1" min="2" max="2"/>
    <col width="42" customWidth="1" min="3" max="3"/>
    <col width="124" customWidth="1" min="4" max="4"/>
    <col width="46" customWidth="1" min="5" max="5"/>
  </cols>
  <sheetData>
    <row r="1">
      <c r="A1" s="1" t="inlineStr">
        <is>
          <t>改善アクション（09-04 実施分）</t>
        </is>
      </c>
    </row>
    <row r="2">
      <c r="A2" s="2" t="inlineStr">
        <is>
          <t>判断軸は optimization.primary_metric = subs_per_1000_views（09-04 決定）。維持率・再生数は参考値として観測のみ行い、施策の採否には使わない。</t>
        </is>
      </c>
    </row>
    <row r="4">
      <c r="A4" s="4" t="inlineStr">
        <is>
          <t>#</t>
        </is>
      </c>
      <c r="B4" s="4" t="inlineStr">
        <is>
          <t>対象</t>
        </is>
      </c>
      <c r="C4" s="4" t="inlineStr">
        <is>
          <t>実施した変更</t>
        </is>
      </c>
      <c r="D4" s="4" t="inlineStr">
        <is>
          <t>根拠（実データ）</t>
        </is>
      </c>
      <c r="E4" s="4" t="inlineStr">
        <is>
          <t>反証条件</t>
        </is>
      </c>
    </row>
    <row r="5" ht="76" customHeight="1">
      <c r="A5" s="7" t="n">
        <v>1</v>
      </c>
      <c r="B5" s="7" t="inlineStr">
        <is>
          <t>pokemon-lab</t>
        </is>
      </c>
      <c r="C5" s="7" t="inlineStr">
        <is>
          <t>theme_queue 7件を全入替（→10件）</t>
        </is>
      </c>
      <c r="D5" s="7" t="inlineStr">
        <is>
          <t>キュー7件すべてが『〜に隠された秘密／設定／メッセージ』テンプレ。同テンプレは 08-31 実測で登録0.47倍・維持率 29.6% vs 35.8% と劣後が確認され撤回済みだったが、キューは 07-30 補充のまま更新されず残っていた。放置すれば今後2〜3日分が既知の負けパターンで生産される状態だった。</t>
        </is>
      </c>
      <c r="E5" s="7" t="inlineStr">
        <is>
          <t>09-11 に新キュー由来の動画で登録/千再生を測定し、0.23（09-04 基準）を下回れば方針を再検討する。</t>
        </is>
      </c>
    </row>
    <row r="6" ht="76" customHeight="1">
      <c r="A6" s="7" t="n">
        <v>2</v>
      </c>
      <c r="B6" s="7" t="inlineStr">
        <is>
          <t>yokai-watch</t>
        </is>
      </c>
      <c r="C6" s="7" t="inlineStr">
        <is>
          <t>theme_queue 10件を全入替</t>
        </is>
      </c>
      <c r="D6" s="7" t="inlineStr">
        <is>
          <t>10件中8件が同じ撤回済みテンプレ。本chの title_style は既に「テンプレ型は維持率 30.1% に対し自然文型 53.6%」と明記していたのに、キューが未同期のままだった。</t>
        </is>
      </c>
      <c r="E6" s="7" t="inlineStr">
        <is>
          <t>09-11 に測定。0.23 を下回れば再検討。</t>
        </is>
      </c>
    </row>
    <row r="7" ht="76" customHeight="1">
      <c r="A7" s="7" t="n">
        <v>3</v>
      </c>
      <c r="B7" s="7" t="inlineStr">
        <is>
          <t>2ch-matome</t>
        </is>
      </c>
      <c r="C7" s="7" t="inlineStr">
        <is>
          <t>theme_queue 10件を全入替（→12件）</t>
        </is>
      </c>
      <c r="D7" s="7" t="inlineStr">
        <is>
          <t>既存10件すべてが 32〜39字で、本chの title_style が定める「全角12〜28字厳守」に全件違反。さらに全件が修羅場／スカッと型で、theme_priority が最優先と定める参加型・大喜利が0件だった。</t>
        </is>
      </c>
      <c r="E7" s="7" t="inlineStr">
        <is>
          <t>09-11 に測定。0.17 を下回れば入替を撤回する。</t>
        </is>
      </c>
    </row>
    <row r="8" ht="76" customHeight="1">
      <c r="A8" s="7" t="n">
        <v>4</v>
      </c>
      <c r="B8" s="7" t="inlineStr">
        <is>
          <t>company-facts</t>
        </is>
      </c>
      <c r="C8" s="7" t="inlineStr">
        <is>
          <t>theme_queue 9件を全入替（→12件）</t>
        </is>
      </c>
      <c r="D8" s="7" t="inlineStr">
        <is>
          <t>既存9件中8件が30字超（title_rules の30字以内に違反）かつランキング／総解説型。実測の勝ち筋は個社名×年収実額×「正体／裏側」（トヨタ Δ3,597 / 大谷 Δ2,239 / 三菱商事 Δ1,970）であり、キューがそれを外していた。</t>
        </is>
      </c>
      <c r="E8" s="7" t="inlineStr">
        <is>
          <t>09-11 に測定。0.76 を下回れば撤回する。</t>
        </is>
      </c>
    </row>
    <row r="9" ht="76" customHeight="1">
      <c r="A9" s="7" t="n">
        <v>5</v>
      </c>
      <c r="B9" s="7" t="inlineStr">
        <is>
          <t>妖怪 / ポケモン / 2ch</t>
        </is>
      </c>
      <c r="C9" s="7" t="inlineStr">
        <is>
          <t>content_policy.cta_position を after_hook → end（A/B）</t>
        </is>
      </c>
      <c r="D9" s="7" t="inlineStr">
        <is>
          <t>cta_position=end 群の登録/千再生は アカシック 0.83・企業ホンネ 0.76・1分科学 0.60、after_hook 群は 2ch 0.17・ポケモン 0.23・妖怪 0.23・架空論文 0.00（例外 SCP 0.79）。群平均 0.73 対 0.28。ただしチャンネル間対照であり交絡を含むため断定せず、A/B として3chのみ変更した。</t>
        </is>
      </c>
      <c r="E9" s="7" t="inlineStr">
        <is>
          <t>09-11 に本3chを再測定。baseline（妖怪0.23／ポケモン0.23／2ch 0.17）を上回らなければ after_hook に戻す。SCP と架空論文は after_hook 据え置きの対照群。</t>
        </is>
      </c>
    </row>
    <row r="10" ht="76" customHeight="1">
      <c r="A10" s="7" t="n">
        <v>6</v>
      </c>
      <c r="B10" s="7" t="inlineStr">
        <is>
          <t>ポケモン / 妖怪</t>
        </is>
      </c>
      <c r="C10" s="7" t="inlineStr">
        <is>
          <t>forbid_patterns と title_style に撤回テンプレ禁止を明記</t>
        </is>
      </c>
      <c r="D10" s="7" t="inlineStr">
        <is>
          <t>title_rules は backend が読まない死に設定である（09-03 に判明・enforcement_note 参照）ため、実効側である theme_priority.title_style にも同内容を追記して二重化した。</t>
        </is>
      </c>
      <c r="E10" s="7" t="inlineStr">
        <is>
          <t>—</t>
        </is>
      </c>
    </row>
    <row r="12">
      <c r="A12" s="19" t="inlineStr">
        <is>
          <t>■ 検討したが実施しなかったもの</t>
        </is>
      </c>
    </row>
    <row r="13">
      <c r="A13" s="4" t="inlineStr">
        <is>
          <t>#</t>
        </is>
      </c>
      <c r="B13" s="4" t="inlineStr">
        <is>
          <t>対象</t>
        </is>
      </c>
      <c r="C13" s="4" t="inlineStr">
        <is>
          <t>見送った施策</t>
        </is>
      </c>
      <c r="D13" s="4" t="inlineStr">
        <is>
          <t>理由</t>
        </is>
      </c>
    </row>
    <row r="14" ht="80" customHeight="1">
      <c r="A14" s="7" t="n">
        <v>1</v>
      </c>
      <c r="B14" s="7" t="inlineStr">
        <is>
          <t>2ch-matome</t>
        </is>
      </c>
      <c r="C14" s="7" t="inlineStr">
        <is>
          <t>参加型タイトルへの全面移行</t>
        </is>
      </c>
      <c r="D14" s="7" t="inlineStr">
        <is>
          <t>維持率では参加型 62.8% 対 説明型 35.6% と圧勝だが、判断軸である登録/千再生では 参加型 0.14 対 説明型 0.22 で逆転する。config の optimization._comment が指摘する「維持率と登録転換の符号がchごとに逆」の実例であり、維持率を根拠に動かすべきではないと判断した。</t>
        </is>
      </c>
    </row>
    <row r="15" ht="80" customHeight="1">
      <c r="A15" s="7" t="n">
        <v>2</v>
      </c>
      <c r="B15" s="7" t="inlineStr">
        <is>
          <t>全ch</t>
        </is>
      </c>
      <c r="C15" s="7" t="inlineStr">
        <is>
          <t>タイトル末尾を「【ショート】」→「#shorts」形式へ変更</t>
        </is>
      </c>
      <c r="D15" s="7" t="inlineStr">
        <is>
          <t>#shorts 形式は登録/千再生 0.55 対 0.44（1.25倍・8ch中6ch同方向）で有利に見えるが、原因を追ったところ「【ショート】」は api_phase4 のフォールバック経路（short_d.get("title") or job.title+"【ショート】"）に落ちた動画に付く文字列であり、タイトル形式そのものではなく短編タイトル生成の失敗を表していた。この不具合は 09-01 の video_generator.py 修正で既に解消済みで、09-03 公開分は全12本が #shorts 形式。追加の変更は不要。</t>
        </is>
      </c>
    </row>
    <row r="16" ht="80" customHeight="1">
      <c r="A16" s="7" t="n">
        <v>3</v>
      </c>
      <c r="B16" s="7" t="inlineStr">
        <is>
          <t>company-facts</t>
        </is>
      </c>
      <c r="C16" s="7" t="inlineStr">
        <is>
          <t>先頭絵文字の維持／撤廃</t>
        </is>
      </c>
      <c r="D16" s="7" t="inlineStr">
        <is>
          <t>全体集計では絵文字あり 1.53倍だが、チャンネル内で見ると 2ch-matome 0.00 対 0.19、company-facts 0.69 対 0.92 と両chとも負。Simpson のパラドックスによる見かけの効果であり、09-03 の「絵文字＝無効果」判定を覆す証拠にはならない。現状維持とした。</t>
        </is>
      </c>
    </row>
    <row r="17" ht="80" customHeight="1">
      <c r="A17" s="7" t="n">
        <v>4</v>
      </c>
      <c r="B17" s="7" t="inlineStr">
        <is>
          <t>全ch</t>
        </is>
      </c>
      <c r="C17" s="7" t="inlineStr">
        <is>
          <t>冒頭離脱対策のシナリオ構成変更</t>
        </is>
      </c>
      <c r="D17" s="7" t="inlineStr">
        <is>
          <t>intro バケットが12ch中8chで最大の離脱（架空論文 0.0264 / ポケモン 0.0228 / 企業ホンネ 0.0245）だが、維持率は reference_only_metrics であり施策の採否に使わないと 09-04 に決定済み。cta_position の A/B 結果が出る 09-11 まで変更を重ねず、交絡を避ける。</t>
        </is>
      </c>
    </row>
    <row r="18" ht="80" customHeight="1">
      <c r="A18" s="7" t="n">
        <v>5</v>
      </c>
      <c r="B18" s="7" t="inlineStr">
        <is>
          <t>moviepy系6ch</t>
        </is>
      </c>
      <c r="C18" s="7" t="inlineStr">
        <is>
          <t>バックエンドAPIへの制作再トリガー</t>
        </is>
      </c>
      <c r="D18" s="7" t="inlineStr">
        <is>
          <t>APScheduler が本日すでに全chを自動発火済み（2ch 06:15／1分科学 06:45／企業ホンネ 07:30／ポケモン 07:45／SCP 08:15／アカシック 09:15／切り抜き動物 09:30）。失敗原因はトリガー不足ではなく OpenAI 429 のため、再送しても同じ失敗を繰り返し残り少ないクォータを消費するだけと判断した。429 が解消すれば残りスロット（妖怪 11:15 以降）が新コンフィグで自動的に走る。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showGridLines="0" workbookViewId="0">
      <selection activeCell="A1" sqref="A1"/>
    </sheetView>
  </sheetViews>
  <sheetFormatPr baseColWidth="8" defaultRowHeight="15"/>
  <cols>
    <col width="14" customWidth="1" min="1" max="1"/>
    <col width="30" customWidth="1" min="2" max="2"/>
    <col width="13" customWidth="1" min="3" max="3"/>
    <col width="96" customWidth="1" min="4" max="4"/>
    <col width="8" customWidth="1" min="5" max="5"/>
    <col width="11" customWidth="1" min="6" max="6"/>
    <col width="13" customWidth="1" min="7" max="7"/>
    <col width="12" customWidth="1" min="8" max="8"/>
    <col width="44" customWidth="1" min="9" max="9"/>
  </cols>
  <sheetData>
    <row r="1">
      <c r="A1" s="1" t="inlineStr">
        <is>
          <t>タイトル要素別 効果検証（チャンネル内対照）</t>
        </is>
      </c>
    </row>
    <row r="2">
      <c r="A2" s="2" t="inlineStr">
        <is>
          <t>母集団: video_metrics date=2026-09-03 / published_at&gt;=2026-07-05 / 累計100再生以上 / n=237。各chで「あり／なし」を比較し、両方2本以上あるchのみ集計してチャンネル間交絡を除去した。</t>
        </is>
      </c>
    </row>
    <row r="4">
      <c r="A4" s="4" t="inlineStr">
        <is>
          <t>タイトル要素</t>
        </is>
      </c>
      <c r="B4" s="4" t="inlineStr">
        <is>
          <t>あり 登録/千</t>
        </is>
      </c>
      <c r="C4" s="4" t="inlineStr">
        <is>
          <t>あり n</t>
        </is>
      </c>
      <c r="D4" s="4" t="inlineStr">
        <is>
          <t>なし 登録/千</t>
        </is>
      </c>
      <c r="E4" s="4" t="inlineStr">
        <is>
          <t>なし n</t>
        </is>
      </c>
      <c r="F4" s="4" t="inlineStr">
        <is>
          <t>効果量</t>
        </is>
      </c>
      <c r="G4" s="4" t="inlineStr">
        <is>
          <t>対照可能ch数</t>
        </is>
      </c>
      <c r="H4" s="4" t="inlineStr">
        <is>
          <t>09-03 の値</t>
        </is>
      </c>
      <c r="I4" s="4" t="inlineStr">
        <is>
          <t>判定</t>
        </is>
      </c>
    </row>
    <row r="5">
      <c r="A5" s="7" t="inlineStr">
        <is>
          <t>「正体」を含む</t>
        </is>
      </c>
      <c r="B5" s="20" t="n">
        <v>0.6899999999999999</v>
      </c>
      <c r="C5" s="7" t="n">
        <v>29</v>
      </c>
      <c r="D5" s="20" t="n">
        <v>0.46</v>
      </c>
      <c r="E5" s="7" t="n">
        <v>85</v>
      </c>
      <c r="F5" s="21">
        <f>IFERROR(B5/D5,0)</f>
        <v/>
      </c>
      <c r="G5" s="7" t="n">
        <v>3</v>
      </c>
      <c r="H5" s="7" t="inlineStr">
        <is>
          <t>1.53倍</t>
        </is>
      </c>
      <c r="I5" s="7" t="inlineStr">
        <is>
          <t>再現。毎バッチ1本必須を継続する。</t>
        </is>
      </c>
    </row>
    <row r="6">
      <c r="A6" s="7" t="inlineStr">
        <is>
          <t>数字＋単位</t>
        </is>
      </c>
      <c r="B6" s="20" t="n">
        <v>0.55</v>
      </c>
      <c r="C6" s="7" t="n">
        <v>123</v>
      </c>
      <c r="D6" s="20" t="n">
        <v>0.33</v>
      </c>
      <c r="E6" s="7" t="n">
        <v>83</v>
      </c>
      <c r="F6" s="21">
        <f>IFERROR(B6/D6,0)</f>
        <v/>
      </c>
      <c r="G6" s="7" t="n">
        <v>7</v>
      </c>
      <c r="H6" s="7" t="inlineStr">
        <is>
          <t>1.56倍</t>
        </is>
      </c>
      <c r="I6" s="7" t="inlineStr">
        <is>
          <t>再現。全タイトル必須を継続する。</t>
        </is>
      </c>
    </row>
    <row r="7">
      <c r="A7" s="7" t="inlineStr">
        <is>
          <t>疑問符「？」</t>
        </is>
      </c>
      <c r="B7" s="20" t="n">
        <v>0.37</v>
      </c>
      <c r="C7" s="7" t="n">
        <v>84</v>
      </c>
      <c r="D7" s="20" t="n">
        <v>0.5</v>
      </c>
      <c r="E7" s="7" t="n">
        <v>75</v>
      </c>
      <c r="F7" s="21">
        <f>IFERROR(B7/D7,0)</f>
        <v/>
      </c>
      <c r="G7" s="7" t="n">
        <v>5</v>
      </c>
      <c r="H7" s="7" t="inlineStr">
        <is>
          <t>0.62倍</t>
        </is>
      </c>
      <c r="I7" s="7" t="inlineStr">
        <is>
          <t>再現（負）。08-23 の必須化撤回を追認する。</t>
        </is>
      </c>
    </row>
    <row r="8">
      <c r="A8" s="7" t="inlineStr">
        <is>
          <t>#shorts サフィックス形式</t>
        </is>
      </c>
      <c r="B8" s="20" t="n">
        <v>0.55</v>
      </c>
      <c r="C8" s="7" t="n">
        <v>33</v>
      </c>
      <c r="D8" s="20" t="n">
        <v>0.44</v>
      </c>
      <c r="E8" s="7" t="n">
        <v>177</v>
      </c>
      <c r="F8" s="21">
        <f>IFERROR(B8/D8,0)</f>
        <v/>
      </c>
      <c r="G8" s="7" t="n">
        <v>8</v>
      </c>
      <c r="H8" s="7" t="inlineStr">
        <is>
          <t>（新規）</t>
        </is>
      </c>
      <c r="I8" s="7" t="inlineStr">
        <is>
          <t>見かけの効果。実体は短編タイトル生成の失敗であり 09-01 に修正済み。</t>
        </is>
      </c>
    </row>
    <row r="9">
      <c r="A9" s="7" t="inlineStr">
        <is>
          <t>先頭絵文字</t>
        </is>
      </c>
      <c r="B9" s="20" t="n">
        <v>0.6</v>
      </c>
      <c r="C9" s="7" t="n">
        <v>18</v>
      </c>
      <c r="D9" s="20" t="n">
        <v>0.4</v>
      </c>
      <c r="E9" s="7" t="n">
        <v>38</v>
      </c>
      <c r="F9" s="21">
        <f>IFERROR(B9/D9,0)</f>
        <v/>
      </c>
      <c r="G9" s="7" t="n">
        <v>2</v>
      </c>
      <c r="H9" s="7" t="inlineStr">
        <is>
          <t>1.03倍</t>
        </is>
      </c>
      <c r="I9" s="7" t="inlineStr">
        <is>
          <t>ch内では両chとも負。Simpson の逆転につき不採用。</t>
        </is>
      </c>
    </row>
    <row r="12">
      <c r="A12" s="19" t="inlineStr">
        <is>
          <t>■ 登録転換の階層（Δ登録 ÷ Δ再生 × 1000、08-31→09-03）</t>
        </is>
      </c>
    </row>
    <row r="13">
      <c r="A13" s="4" t="inlineStr">
        <is>
          <t>層</t>
        </is>
      </c>
      <c r="B13" s="4" t="inlineStr">
        <is>
          <t>チャンネル</t>
        </is>
      </c>
      <c r="C13" s="4" t="inlineStr">
        <is>
          <t>登録/千再生</t>
        </is>
      </c>
      <c r="D13" s="4" t="inlineStr">
        <is>
          <t>特徴</t>
        </is>
      </c>
    </row>
    <row r="14" ht="36" customHeight="1">
      <c r="A14" s="7" t="inlineStr">
        <is>
          <t>上位</t>
        </is>
      </c>
      <c r="B14" s="7" t="inlineStr">
        <is>
          <t>アカシック 0.83 / SCP 0.79 / 企業ホンネ 0.76</t>
        </is>
      </c>
      <c r="C14" s="20" t="n">
        <v>0.79</v>
      </c>
      <c r="D14" s="7" t="inlineStr">
        <is>
          <t>いずれも「1本で完結する固有名詞＋数値の記録」を積み上げる型。次の1本を見る理由がタイトル段階で立っている。</t>
        </is>
      </c>
    </row>
    <row r="15" ht="36" customHeight="1">
      <c r="A15" s="7" t="inlineStr">
        <is>
          <t>中位</t>
        </is>
      </c>
      <c r="B15" s="7" t="inlineStr">
        <is>
          <t>1分科学 0.60</t>
        </is>
      </c>
      <c r="C15" s="20" t="n">
        <v>0.6</v>
      </c>
      <c r="D15" s="7" t="inlineStr">
        <is>
          <t>シリーズ性はあるが固有名詞が弱く、上位群との差はそこにある。</t>
        </is>
      </c>
    </row>
    <row r="16" ht="36" customHeight="1">
      <c r="A16" s="7" t="inlineStr">
        <is>
          <t>下位</t>
        </is>
      </c>
      <c r="B16" s="7" t="inlineStr">
        <is>
          <t>妖怪 0.23 / ポケモン 0.23 / 2chまとめ 0.17</t>
        </is>
      </c>
      <c r="C16" s="20" t="n">
        <v>0.21</v>
      </c>
      <c r="D16" s="7" t="inlineStr">
        <is>
          <t>再生は中位以上あるのに登録に落ちない。本日 cta_position を end へ変更し A/B 中。</t>
        </is>
      </c>
    </row>
    <row r="17" ht="36" customHeight="1">
      <c r="A17" s="7" t="inlineStr">
        <is>
          <t>転換ゼロ</t>
        </is>
      </c>
      <c r="B17" s="7" t="inlineStr">
        <is>
          <t>切り抜きLab 0.00（Δ再生 28,995）</t>
        </is>
      </c>
      <c r="C17" s="20" t="n">
        <v>0</v>
      </c>
      <c r="D17" s="7" t="inlineStr">
        <is>
          <t>今週最大級の再生を集めながら登録0。現在凍結中だが、再開時は登録導線の設計が前提条件になる。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2026-09-04T01:21:09Z</dcterms:created>
  <dcterms:modified xmlns:dcterms="http://purl.org/dc/terms/" xmlns:xsi="http://www.w3.org/2001/XMLSchema-instance" xsi:type="dcterms:W3CDTF">2026-09-04T01:21:09Z</dcterms:modified>
</cp:coreProperties>
</file>