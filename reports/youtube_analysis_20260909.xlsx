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チャンネル別詳細" sheetId="2" state="visible" r:id="rId2"/>
    <sheet xmlns:r="http://schemas.openxmlformats.org/officeDocument/2006/relationships" name="動画別パフォーマンス" sheetId="3" state="visible" r:id="rId3"/>
    <sheet xmlns:r="http://schemas.openxmlformats.org/officeDocument/2006/relationships" name="改善アクション" sheetId="4" state="visible" r:id="rId4"/>
    <sheet xmlns:r="http://schemas.openxmlformats.org/officeDocument/2006/relationships" name="トレン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10" fontId="5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  <xf numFmtId="10" fontId="4" fillId="3" borderId="1" pivotButton="0" quotePrefix="0" xfId="0"/>
    <xf numFmtId="0" fontId="2" fillId="0" borderId="0" pivotButton="0" quotePrefix="0" xfId="0"/>
    <xf numFmtId="165" fontId="5" fillId="0" borderId="1" pivotButton="0" quotePrefix="0" xfId="0"/>
    <xf numFmtId="2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5" fillId="4" borderId="1" pivotButton="0" quotePrefix="0" xfId="0"/>
    <xf numFmtId="3" fontId="5" fillId="4" borderId="1" pivotButton="0" quotePrefix="0" xfId="0"/>
    <xf numFmtId="164" fontId="5" fillId="4" borderId="1" pivotButton="0" quotePrefix="0" xfId="0"/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  <xf numFmtId="0" fontId="5" fillId="5" borderId="1" applyAlignment="1" pivotButton="0" quotePrefix="0" xfId="0">
      <alignment vertical="top" wrapText="1"/>
    </xf>
    <xf numFmtId="165" fontId="5" fillId="5" borderId="1" pivotButton="0" quotePrefix="0" xfId="0"/>
    <xf numFmtId="0" fontId="5" fillId="6" borderId="1" pivotButton="0" quotePrefix="0" xfId="0"/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46" customWidth="1" min="7" max="7"/>
  </cols>
  <sheetData>
    <row r="1">
      <c r="A1" s="1" t="inlineStr">
        <is>
          <t>YouTube Factory 指揮者レポート 2026-09-09</t>
        </is>
      </c>
    </row>
    <row r="2" ht="42" customHeight="1">
      <c r="A2" s="2" t="inlineStr">
        <is>
          <t>評価母集団は video_metrics の最新スナップショット（2026-09-08取得）のうち、YouTube Analytics の 2〜3 日遅延（analytics_policy.evaluation_lag.min_age_days=3）を避けるため公開が 2026-09-05 以前、かつ views&gt;=200 の n=196。判断軸は optimization.primary_metric = 登録者/1000再生。 ／ 本日はネットワーク非到達のため新規取得は行わず、09-08 23時取得のスナップショットで分析している（trigger_20260909.command 参照）。</t>
        </is>
      </c>
    </row>
    <row r="4">
      <c r="A4" s="3" t="inlineStr">
        <is>
          <t>本日の結論</t>
        </is>
      </c>
    </row>
    <row r="5" ht="58" customHeight="1">
      <c r="A5" s="4" t="inlineStr">
        <is>
          <t>① 「秘密」は登録を止める語だった</t>
        </is>
      </c>
      <c r="G5" s="5" t="inlineStr">
        <is>
          <t>タイトルに「秘密」を含む18本は 登録/千再生 0.120（16,609再生で登録2人）。含まない178本は 0.527。4.4倍差で、出現する4ch すべてが同方向。しかも「秘密」入りは公開が 08-30 までで古い＝登録を積む時間は長かった側なので、時間バイアスは結論と逆向きに働いている。全6chで機械ゲート禁止にした。</t>
        </is>
      </c>
    </row>
    <row r="6" ht="58" customHeight="1">
      <c r="A6" s="4" t="inlineStr">
        <is>
          <t>② 2ch-matome の「ワイ〜」定型は再生10,972に対し登録0人</t>
        </is>
      </c>
      <c r="G6" s="5" t="inlineStr">
        <is>
          <t>直近50本のうち16本（32%）がこのテンプレで、合計 10,972 再生を集めながら登録者は 0 人。評価母集団に限っても n=11・10,781再生・登録0、同ch内の非該当は 0.282。再生は取れるが1人も変換しないので機械ゲートで禁止した。当chの全タイトルで「ハワイ」等への誤爆がゼロであることを確認済み。</t>
        </is>
      </c>
    </row>
    <row r="7" ht="58" customHeight="1">
      <c r="A7" s="4" t="inlineStr">
        <is>
          <t>③ 🚨 scp-lab の投稿枠が二重登録され1日6本作っていた</t>
        </is>
      </c>
      <c r="G7" s="5" t="inlineStr">
        <is>
          <t>autopilot.schedule.times が [(17,0),(13,0),(19,0),(17,0),(13,0),(19,0)] と完全重複。ジョブIDが枠の添字なので、同一時刻に2回発火していた。3枠へ修正。ただし稼働中プロセスには idx=3,4,5 の古いジョブが残るため**要バックエンド再起動**。</t>
        </is>
      </c>
    </row>
    <row r="8" ht="58" customHeight="1">
      <c r="A8" s="4" t="inlineStr">
        <is>
          <t>④ 答え提示語は語ごとに2倍の差がある</t>
        </is>
      </c>
      <c r="G8" s="5" t="inlineStr">
        <is>
          <t>実は 0.767 &gt; 実態 0.681 &gt; なぜ 0.568 &gt; 正体 0.510 &gt; 本当 0.462 &gt; 理由 0.368。現状 daily-science / yokai-watch の repair_with 先頭は「正体」（下から3番目）。語尾に置けない「実は」は機械修復には使えないため、title_style で第一候補として指示した。</t>
        </is>
      </c>
    </row>
    <row r="9" ht="58" customHeight="1">
      <c r="A9" s="4" t="inlineStr">
        <is>
          <t>⑤ 高評価率→登録の再現は5回目</t>
        </is>
      </c>
      <c r="G9" s="5" t="inlineStr">
        <is>
          <t>高評価率4分位で 登録/千 は Q1 0.249 → Q4 0.968（3.9倍）。一方で維持率は判断軸にしない方針を今回も追認（維持率上位の pokemon-lab 49.8% は登録/千 0.275 で下から2番目、維持率最下位の scp-lab 36.8% が 0.813 で1位）。</t>
        </is>
      </c>
    </row>
    <row r="11">
      <c r="A11" s="3" t="inlineStr">
        <is>
          <t>主要6ch 実績（至上指標＝登録者/1000再生）</t>
        </is>
      </c>
    </row>
    <row r="12">
      <c r="A12" s="6" t="inlineStr">
        <is>
          <t>チャンネル</t>
        </is>
      </c>
      <c r="B12" s="6" t="inlineStr">
        <is>
          <t>評価本数</t>
        </is>
      </c>
      <c r="C12" s="6" t="inlineStr">
        <is>
          <t>再生数</t>
        </is>
      </c>
      <c r="D12" s="6" t="inlineStr">
        <is>
          <t>登録者</t>
        </is>
      </c>
      <c r="E12" s="6" t="inlineStr">
        <is>
          <t>登録/千再生</t>
        </is>
      </c>
      <c r="F12" s="6" t="inlineStr">
        <is>
          <t>高評価率</t>
        </is>
      </c>
      <c r="G12" s="6" t="inlineStr">
        <is>
          <t>判定</t>
        </is>
      </c>
    </row>
    <row r="13">
      <c r="A13" s="7" t="inlineStr">
        <is>
          <t>scp-lab</t>
        </is>
      </c>
      <c r="B13" s="8" t="n">
        <v>36</v>
      </c>
      <c r="C13" s="8" t="n">
        <v>31462</v>
      </c>
      <c r="D13" s="8" t="n">
        <v>25</v>
      </c>
      <c r="E13" s="9">
        <f>IF(C13=0,0,D13/C13*1000)</f>
        <v>0.79460937</v>
      </c>
      <c r="F13" s="10">
        <f>IF(C13=0,0,132/C13)</f>
        <v>0.0041955375</v>
      </c>
      <c r="G13" s="7" t="inlineStr"/>
    </row>
    <row r="14">
      <c r="A14" s="7" t="inlineStr">
        <is>
          <t>company-facts</t>
        </is>
      </c>
      <c r="B14" s="8" t="n">
        <v>30</v>
      </c>
      <c r="C14" s="8" t="n">
        <v>43614</v>
      </c>
      <c r="D14" s="8" t="n">
        <v>32</v>
      </c>
      <c r="E14" s="9">
        <f>IF(C14=0,0,D14/C14*1000)</f>
        <v>0.7337093594</v>
      </c>
      <c r="F14" s="10">
        <f>IF(C14=0,0,153/C14)</f>
        <v>0.0035080479</v>
      </c>
      <c r="G14" s="7" t="inlineStr"/>
    </row>
    <row r="15">
      <c r="A15" s="7" t="inlineStr">
        <is>
          <t>daily-science</t>
        </is>
      </c>
      <c r="B15" s="8" t="n">
        <v>35</v>
      </c>
      <c r="C15" s="8" t="n">
        <v>30975</v>
      </c>
      <c r="D15" s="8" t="n">
        <v>15</v>
      </c>
      <c r="E15" s="9">
        <f>IF(C15=0,0,D15/C15*1000)</f>
        <v>0.4842615012</v>
      </c>
      <c r="F15" s="10">
        <f>IF(C15=0,0,176/C15)</f>
        <v>0.0056820016</v>
      </c>
      <c r="G15" s="7" t="inlineStr"/>
    </row>
    <row r="16">
      <c r="A16" s="7" t="inlineStr">
        <is>
          <t>yokai-watch</t>
        </is>
      </c>
      <c r="B16" s="8" t="n">
        <v>28</v>
      </c>
      <c r="C16" s="8" t="n">
        <v>30683</v>
      </c>
      <c r="D16" s="8" t="n">
        <v>14</v>
      </c>
      <c r="E16" s="9">
        <f>IF(C16=0,0,D16/C16*1000)</f>
        <v>0.4562787211</v>
      </c>
      <c r="F16" s="10">
        <f>IF(C16=0,0,144/C16)</f>
        <v>0.0046931526</v>
      </c>
      <c r="G16" s="7" t="inlineStr"/>
    </row>
    <row r="17">
      <c r="A17" s="7" t="inlineStr">
        <is>
          <t>pokemon-lab</t>
        </is>
      </c>
      <c r="B17" s="8" t="n">
        <v>29</v>
      </c>
      <c r="C17" s="8" t="n">
        <v>32327</v>
      </c>
      <c r="D17" s="8" t="n">
        <v>9</v>
      </c>
      <c r="E17" s="9">
        <f>IF(C17=0,0,D17/C17*1000)</f>
        <v>0.2784050484</v>
      </c>
      <c r="F17" s="10">
        <f>IF(C17=0,0,73/C17)</f>
        <v>0.0022581743</v>
      </c>
      <c r="G17" s="7" t="inlineStr"/>
    </row>
    <row r="18">
      <c r="A18" s="7" t="inlineStr">
        <is>
          <t>2ch-matome</t>
        </is>
      </c>
      <c r="B18" s="8" t="n">
        <v>38</v>
      </c>
      <c r="C18" s="8" t="n">
        <v>39138</v>
      </c>
      <c r="D18" s="8" t="n">
        <v>8</v>
      </c>
      <c r="E18" s="9">
        <f>IF(C18=0,0,D18/C18*1000)</f>
        <v>0.2044049262</v>
      </c>
      <c r="F18" s="10">
        <f>IF(C18=0,0,93/C18)</f>
        <v>0.0023762073</v>
      </c>
      <c r="G18" s="7" t="inlineStr"/>
    </row>
    <row r="19">
      <c r="A19" s="11" t="inlineStr">
        <is>
          <t>合計 / 加重平均</t>
        </is>
      </c>
      <c r="B19" s="12">
        <f>SUM(B13:B18)</f>
        <v>196.0</v>
      </c>
      <c r="C19" s="12">
        <f>SUM(C13:C18)</f>
        <v>208199.0</v>
      </c>
      <c r="D19" s="12">
        <f>SUM(D13:D18)</f>
        <v>103.0</v>
      </c>
      <c r="E19" s="13">
        <f>IF(C19=0,0,D19/C19*1000)</f>
        <v>0.4947189948</v>
      </c>
      <c r="F19" s="14">
        <f>IF(C19=0,0,771/C19)</f>
        <v>0.0037031878</v>
      </c>
      <c r="G19" s="11" t="inlineStr"/>
    </row>
    <row r="21">
      <c r="A21" s="15" t="inlineStr">
        <is>
          <t>判定列は空欄。上の登録/千再生は式で算出しているので、取得データを差し替えれば再計算される。</t>
        </is>
      </c>
    </row>
  </sheetData>
  <mergeCells count="8">
    <mergeCell ref="A1:G1"/>
    <mergeCell ref="A21:G21"/>
    <mergeCell ref="A5:F5"/>
    <mergeCell ref="A9:F9"/>
    <mergeCell ref="A8:F8"/>
    <mergeCell ref="A6:F6"/>
    <mergeCell ref="A2:G2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11" customWidth="1" min="5" max="5"/>
    <col width="10" customWidth="1" min="6" max="6"/>
    <col width="9" customWidth="1" min="7" max="7"/>
    <col width="9" customWidth="1" min="8" max="8"/>
    <col width="11" customWidth="1" min="9" max="9"/>
    <col width="40" customWidth="1" min="10" max="10"/>
  </cols>
  <sheetData>
    <row r="1">
      <c r="A1" s="1" t="inlineStr">
        <is>
          <t>チャンネル別詳細 2026-09-09</t>
        </is>
      </c>
    </row>
    <row r="2" ht="42" customHeight="1">
      <c r="A2" s="2" t="inlineStr">
        <is>
          <t>評価母集団は video_metrics の最新スナップショット（2026-09-08取得）のうち、YouTube Analytics の 2〜3 日遅延（analytics_policy.evaluation_lag.min_age_days=3）を避けるため公開が 2026-09-05 以前、かつ views&gt;=200 の n=196。判断軸は optimization.primary_metric = 登録者/1000再生。 CTR は video_reach_daily（09-01以降）の impressions/clicks 実測。video_metrics.ctr 列は欠損が多く分母が揃わないため使っていない。</t>
        </is>
      </c>
    </row>
    <row r="4">
      <c r="A4" s="6" t="inlineStr">
        <is>
          <t>チャンネル</t>
        </is>
      </c>
      <c r="B4" s="6" t="inlineStr">
        <is>
          <t>本数</t>
        </is>
      </c>
      <c r="C4" s="6" t="inlineStr">
        <is>
          <t>再生数</t>
        </is>
      </c>
      <c r="D4" s="6" t="inlineStr">
        <is>
          <t>登録者</t>
        </is>
      </c>
      <c r="E4" s="6" t="inlineStr">
        <is>
          <t>登録/千再生</t>
        </is>
      </c>
      <c r="F4" s="6" t="inlineStr">
        <is>
          <t>高評価率</t>
        </is>
      </c>
      <c r="G4" s="6" t="inlineStr">
        <is>
          <t>維持率%</t>
        </is>
      </c>
      <c r="H4" s="6" t="inlineStr">
        <is>
          <t>CTR%</t>
        </is>
      </c>
      <c r="I4" s="6" t="inlineStr">
        <is>
          <t>表示回数</t>
        </is>
      </c>
      <c r="J4" s="6" t="inlineStr">
        <is>
          <t>本日の変更</t>
        </is>
      </c>
    </row>
    <row r="5" ht="32" customHeight="1">
      <c r="A5" s="7" t="inlineStr">
        <is>
          <t>scp-lab</t>
        </is>
      </c>
      <c r="B5" s="8" t="n">
        <v>36</v>
      </c>
      <c r="C5" s="8" t="n">
        <v>31462</v>
      </c>
      <c r="D5" s="8" t="n">
        <v>25</v>
      </c>
      <c r="E5" s="9">
        <f>IF(C5=0,0,D5/C5*1000)</f>
        <v>0.79460937</v>
      </c>
      <c r="F5" s="10">
        <f>IF(C5=0,0,132/C5)</f>
        <v>0.0041955375</v>
      </c>
      <c r="G5" s="16" t="n">
        <v>38.7</v>
      </c>
      <c r="H5" s="17" t="n">
        <v>1.3</v>
      </c>
      <c r="I5" s="8" t="n">
        <v>8178</v>
      </c>
      <c r="J5" s="18" t="inlineStr">
        <is>
          <t>🚨枠の重複を6→3へ / 17:00→09:00 / 「— …【ラベル】」型を禁止 / 秘密・99%を禁止</t>
        </is>
      </c>
    </row>
    <row r="6" ht="32" customHeight="1">
      <c r="A6" s="7" t="inlineStr">
        <is>
          <t>company-facts</t>
        </is>
      </c>
      <c r="B6" s="8" t="n">
        <v>30</v>
      </c>
      <c r="C6" s="8" t="n">
        <v>43614</v>
      </c>
      <c r="D6" s="8" t="n">
        <v>32</v>
      </c>
      <c r="E6" s="9">
        <f>IF(C6=0,0,D6/C6*1000)</f>
        <v>0.7337093594</v>
      </c>
      <c r="F6" s="10">
        <f>IF(C6=0,0,153/C6)</f>
        <v>0.0035080479</v>
      </c>
      <c r="G6" s="16" t="n">
        <v>56.6</v>
      </c>
      <c r="H6" s="17" t="n">
        <v>2.62</v>
      </c>
      <c r="I6" s="8" t="n">
        <v>2523</v>
      </c>
      <c r="J6" s="18" t="inlineStr">
        <is>
          <t>秘密・99%を禁止 / title_style に語別ランキング（枠は09-08最適化済みで据え置き）</t>
        </is>
      </c>
    </row>
    <row r="7" ht="32" customHeight="1">
      <c r="A7" s="7" t="inlineStr">
        <is>
          <t>daily-science</t>
        </is>
      </c>
      <c r="B7" s="8" t="n">
        <v>35</v>
      </c>
      <c r="C7" s="8" t="n">
        <v>30975</v>
      </c>
      <c r="D7" s="8" t="n">
        <v>15</v>
      </c>
      <c r="E7" s="9">
        <f>IF(C7=0,0,D7/C7*1000)</f>
        <v>0.4842615012</v>
      </c>
      <c r="F7" s="10">
        <f>IF(C7=0,0,176/C7)</f>
        <v>0.0056820016</v>
      </c>
      <c r="G7" s="16" t="n">
        <v>47</v>
      </c>
      <c r="H7" s="17" t="n">
        <v>1.46</v>
      </c>
      <c r="I7" s="8" t="n">
        <v>1641</v>
      </c>
      <c r="J7" s="18" t="inlineStr">
        <is>
          <t>秘密・99%を禁止 / viral_hooks から「99%が知らない」を削除（推奨と禁止が矛盾していた）</t>
        </is>
      </c>
    </row>
    <row r="8" ht="32" customHeight="1">
      <c r="A8" s="7" t="inlineStr">
        <is>
          <t>yokai-watch</t>
        </is>
      </c>
      <c r="B8" s="8" t="n">
        <v>28</v>
      </c>
      <c r="C8" s="8" t="n">
        <v>30683</v>
      </c>
      <c r="D8" s="8" t="n">
        <v>14</v>
      </c>
      <c r="E8" s="9">
        <f>IF(C8=0,0,D8/C8*1000)</f>
        <v>0.4562787211</v>
      </c>
      <c r="F8" s="10">
        <f>IF(C8=0,0,144/C8)</f>
        <v>0.0046931526</v>
      </c>
      <c r="G8" s="16" t="n">
        <v>44</v>
      </c>
      <c r="H8" s="17" t="n">
        <v>1.39</v>
      </c>
      <c r="I8" s="8" t="n">
        <v>1652</v>
      </c>
      <c r="J8" s="18" t="inlineStr">
        <is>
          <t>秘密・99%を禁止 / title_style に語別ランキング（12時1.06が最良で枠は据え置き）</t>
        </is>
      </c>
    </row>
    <row r="9" ht="32" customHeight="1">
      <c r="A9" s="7" t="inlineStr">
        <is>
          <t>pokemon-lab</t>
        </is>
      </c>
      <c r="B9" s="8" t="n">
        <v>29</v>
      </c>
      <c r="C9" s="8" t="n">
        <v>32327</v>
      </c>
      <c r="D9" s="8" t="n">
        <v>9</v>
      </c>
      <c r="E9" s="9">
        <f>IF(C9=0,0,D9/C9*1000)</f>
        <v>0.2784050484</v>
      </c>
      <c r="F9" s="10">
        <f>IF(C9=0,0,73/C9)</f>
        <v>0.0022581743</v>
      </c>
      <c r="G9" s="16" t="n">
        <v>43</v>
      </c>
      <c r="H9" s="17" t="n">
        <v>0.6899999999999999</v>
      </c>
      <c r="I9" s="8" t="n">
        <v>1016</v>
      </c>
      <c r="J9" s="18" t="inlineStr">
        <is>
          <t>19:00→15:00 / theme_seeds 23→33本へ補充 / 秘密・99%を禁止</t>
        </is>
      </c>
    </row>
    <row r="10" ht="32" customHeight="1">
      <c r="A10" s="7" t="inlineStr">
        <is>
          <t>2ch-matome</t>
        </is>
      </c>
      <c r="B10" s="8" t="n">
        <v>38</v>
      </c>
      <c r="C10" s="8" t="n">
        <v>39138</v>
      </c>
      <c r="D10" s="8" t="n">
        <v>8</v>
      </c>
      <c r="E10" s="9">
        <f>IF(C10=0,0,D10/C10*1000)</f>
        <v>0.2044049262</v>
      </c>
      <c r="F10" s="10">
        <f>IF(C10=0,0,93/C10)</f>
        <v>0.0023762073</v>
      </c>
      <c r="G10" s="16" t="n">
        <v>49.1</v>
      </c>
      <c r="H10" s="17" t="n">
        <v>2.08</v>
      </c>
      <c r="I10" s="8" t="n">
        <v>240</v>
      </c>
      <c r="J10" s="18" t="inlineStr">
        <is>
          <t>「ワイ」「質問ある」定型を禁止（再生10,781・登録0）/ 07:00→09:00 / 秘密・99%を禁止</t>
        </is>
      </c>
    </row>
    <row r="13">
      <c r="A13" s="3" t="inlineStr">
        <is>
          <t>投稿時間帯 × 登録/千再生（ch内対照・n&gt;=2の枠のみ）</t>
        </is>
      </c>
    </row>
    <row r="14">
      <c r="A14" s="6" t="inlineStr">
        <is>
          <t>チャンネル</t>
        </is>
      </c>
      <c r="B14" s="6" t="inlineStr">
        <is>
          <t>公開時刻(JST)</t>
        </is>
      </c>
      <c r="C14" s="6" t="inlineStr">
        <is>
          <t>本数</t>
        </is>
      </c>
      <c r="D14" s="6" t="inlineStr">
        <is>
          <t>再生数</t>
        </is>
      </c>
      <c r="E14" s="6" t="inlineStr">
        <is>
          <t>登録者</t>
        </is>
      </c>
      <c r="F14" s="6" t="inlineStr">
        <is>
          <t>登録/千再生</t>
        </is>
      </c>
      <c r="G14" s="6" t="inlineStr"/>
      <c r="H14" s="6" t="inlineStr"/>
      <c r="I14" s="6" t="inlineStr"/>
      <c r="J14" s="6" t="inlineStr">
        <is>
          <t>現行枠か</t>
        </is>
      </c>
    </row>
    <row r="15">
      <c r="A15" s="19" t="inlineStr">
        <is>
          <t>scp-lab</t>
        </is>
      </c>
      <c r="B15" s="19" t="inlineStr">
        <is>
          <t>19時</t>
        </is>
      </c>
      <c r="C15" s="20" t="n">
        <v>9</v>
      </c>
      <c r="D15" s="20" t="n">
        <v>7321</v>
      </c>
      <c r="E15" s="20" t="n">
        <v>9</v>
      </c>
      <c r="F15" s="21">
        <f>IF(D15=0,0,E15/D15*1000)</f>
        <v>1.2293402541</v>
      </c>
      <c r="G15" s="19" t="inlineStr"/>
      <c r="H15" s="19" t="inlineStr"/>
      <c r="I15" s="19" t="inlineStr"/>
      <c r="J15" s="19" t="inlineStr">
        <is>
          <t>★現行枠</t>
        </is>
      </c>
    </row>
    <row r="16">
      <c r="A16" s="19" t="inlineStr">
        <is>
          <t>scp-lab</t>
        </is>
      </c>
      <c r="B16" s="19" t="inlineStr">
        <is>
          <t>13時</t>
        </is>
      </c>
      <c r="C16" s="20" t="n">
        <v>6</v>
      </c>
      <c r="D16" s="20" t="n">
        <v>4823</v>
      </c>
      <c r="E16" s="20" t="n">
        <v>4</v>
      </c>
      <c r="F16" s="21">
        <f>IF(D16=0,0,E16/D16*1000)</f>
        <v>0.8293593199</v>
      </c>
      <c r="G16" s="19" t="inlineStr"/>
      <c r="H16" s="19" t="inlineStr"/>
      <c r="I16" s="19" t="inlineStr"/>
      <c r="J16" s="19" t="inlineStr">
        <is>
          <t>★現行枠</t>
        </is>
      </c>
    </row>
    <row r="17">
      <c r="A17" s="7" t="inlineStr">
        <is>
          <t>scp-lab</t>
        </is>
      </c>
      <c r="B17" s="7" t="inlineStr">
        <is>
          <t>12時</t>
        </is>
      </c>
      <c r="C17" s="8" t="n">
        <v>2</v>
      </c>
      <c r="D17" s="8" t="n">
        <v>1243</v>
      </c>
      <c r="E17" s="8" t="n">
        <v>1</v>
      </c>
      <c r="F17" s="9">
        <f>IF(D17=0,0,E17/D17*1000)</f>
        <v>0.8045052293</v>
      </c>
      <c r="G17" s="7" t="inlineStr"/>
      <c r="H17" s="7" t="inlineStr"/>
      <c r="I17" s="7" t="inlineStr"/>
      <c r="J17" s="7" t="inlineStr"/>
    </row>
    <row r="18">
      <c r="A18" s="7" t="inlineStr">
        <is>
          <t>scp-lab</t>
        </is>
      </c>
      <c r="B18" s="7" t="inlineStr">
        <is>
          <t>18時</t>
        </is>
      </c>
      <c r="C18" s="8" t="n">
        <v>3</v>
      </c>
      <c r="D18" s="8" t="n">
        <v>2768</v>
      </c>
      <c r="E18" s="8" t="n">
        <v>2</v>
      </c>
      <c r="F18" s="9">
        <f>IF(D18=0,0,E18/D18*1000)</f>
        <v>0.7225433526</v>
      </c>
      <c r="G18" s="7" t="inlineStr"/>
      <c r="H18" s="7" t="inlineStr"/>
      <c r="I18" s="7" t="inlineStr"/>
      <c r="J18" s="7" t="inlineStr"/>
    </row>
    <row r="19">
      <c r="A19" s="19" t="inlineStr">
        <is>
          <t>scp-lab</t>
        </is>
      </c>
      <c r="B19" s="19" t="inlineStr">
        <is>
          <t>9時</t>
        </is>
      </c>
      <c r="C19" s="20" t="n">
        <v>12</v>
      </c>
      <c r="D19" s="20" t="n">
        <v>11580</v>
      </c>
      <c r="E19" s="20" t="n">
        <v>8</v>
      </c>
      <c r="F19" s="21">
        <f>IF(D19=0,0,E19/D19*1000)</f>
        <v>0.6908462867</v>
      </c>
      <c r="G19" s="19" t="inlineStr"/>
      <c r="H19" s="19" t="inlineStr"/>
      <c r="I19" s="19" t="inlineStr"/>
      <c r="J19" s="19" t="inlineStr">
        <is>
          <t>★現行枠</t>
        </is>
      </c>
    </row>
    <row r="20">
      <c r="A20" s="19" t="inlineStr">
        <is>
          <t>company-facts</t>
        </is>
      </c>
      <c r="B20" s="19" t="inlineStr">
        <is>
          <t>19時</t>
        </is>
      </c>
      <c r="C20" s="20" t="n">
        <v>4</v>
      </c>
      <c r="D20" s="20" t="n">
        <v>4251</v>
      </c>
      <c r="E20" s="20" t="n">
        <v>4</v>
      </c>
      <c r="F20" s="21">
        <f>IF(D20=0,0,E20/D20*1000)</f>
        <v>0.9409550694</v>
      </c>
      <c r="G20" s="19" t="inlineStr"/>
      <c r="H20" s="19" t="inlineStr"/>
      <c r="I20" s="19" t="inlineStr"/>
      <c r="J20" s="19" t="inlineStr">
        <is>
          <t>★現行枠</t>
        </is>
      </c>
    </row>
    <row r="21">
      <c r="A21" s="19" t="inlineStr">
        <is>
          <t>company-facts</t>
        </is>
      </c>
      <c r="B21" s="19" t="inlineStr">
        <is>
          <t>17時</t>
        </is>
      </c>
      <c r="C21" s="20" t="n">
        <v>11</v>
      </c>
      <c r="D21" s="20" t="n">
        <v>22187</v>
      </c>
      <c r="E21" s="20" t="n">
        <v>19</v>
      </c>
      <c r="F21" s="21">
        <f>IF(D21=0,0,E21/D21*1000)</f>
        <v>0.8563573264</v>
      </c>
      <c r="G21" s="19" t="inlineStr"/>
      <c r="H21" s="19" t="inlineStr"/>
      <c r="I21" s="19" t="inlineStr"/>
      <c r="J21" s="19" t="inlineStr">
        <is>
          <t>★現行枠</t>
        </is>
      </c>
    </row>
    <row r="22">
      <c r="A22" s="19" t="inlineStr">
        <is>
          <t>company-facts</t>
        </is>
      </c>
      <c r="B22" s="19" t="inlineStr">
        <is>
          <t>8時</t>
        </is>
      </c>
      <c r="C22" s="20" t="n">
        <v>2</v>
      </c>
      <c r="D22" s="20" t="n">
        <v>1941</v>
      </c>
      <c r="E22" s="20" t="n">
        <v>1</v>
      </c>
      <c r="F22" s="21">
        <f>IF(D22=0,0,E22/D22*1000)</f>
        <v>0.5151983514</v>
      </c>
      <c r="G22" s="19" t="inlineStr"/>
      <c r="H22" s="19" t="inlineStr"/>
      <c r="I22" s="19" t="inlineStr"/>
      <c r="J22" s="19" t="inlineStr">
        <is>
          <t>★現行枠</t>
        </is>
      </c>
    </row>
    <row r="23">
      <c r="A23" s="7" t="inlineStr">
        <is>
          <t>company-facts</t>
        </is>
      </c>
      <c r="B23" s="7" t="inlineStr">
        <is>
          <t>14時</t>
        </is>
      </c>
      <c r="C23" s="8" t="n">
        <v>6</v>
      </c>
      <c r="D23" s="8" t="n">
        <v>7854</v>
      </c>
      <c r="E23" s="8" t="n">
        <v>3</v>
      </c>
      <c r="F23" s="9">
        <f>IF(D23=0,0,E23/D23*1000)</f>
        <v>0.3819709702</v>
      </c>
      <c r="G23" s="7" t="inlineStr"/>
      <c r="H23" s="7" t="inlineStr"/>
      <c r="I23" s="7" t="inlineStr"/>
      <c r="J23" s="7" t="inlineStr"/>
    </row>
    <row r="24">
      <c r="A24" s="7" t="inlineStr">
        <is>
          <t>company-facts</t>
        </is>
      </c>
      <c r="B24" s="7" t="inlineStr">
        <is>
          <t>13時</t>
        </is>
      </c>
      <c r="C24" s="8" t="n">
        <v>2</v>
      </c>
      <c r="D24" s="8" t="n">
        <v>1243</v>
      </c>
      <c r="E24" s="8" t="n">
        <v>0</v>
      </c>
      <c r="F24" s="9">
        <f>IF(D24=0,0,E24/D24*1000)</f>
        <v>0.0</v>
      </c>
      <c r="G24" s="7" t="inlineStr"/>
      <c r="H24" s="7" t="inlineStr"/>
      <c r="I24" s="7" t="inlineStr"/>
      <c r="J24" s="7" t="inlineStr"/>
    </row>
    <row r="25">
      <c r="A25" s="7" t="inlineStr">
        <is>
          <t>company-facts</t>
        </is>
      </c>
      <c r="B25" s="7" t="inlineStr">
        <is>
          <t>18時</t>
        </is>
      </c>
      <c r="C25" s="8" t="n">
        <v>2</v>
      </c>
      <c r="D25" s="8" t="n">
        <v>2049</v>
      </c>
      <c r="E25" s="8" t="n">
        <v>0</v>
      </c>
      <c r="F25" s="9">
        <f>IF(D25=0,0,E25/D25*1000)</f>
        <v>0.0</v>
      </c>
      <c r="G25" s="7" t="inlineStr"/>
      <c r="H25" s="7" t="inlineStr"/>
      <c r="I25" s="7" t="inlineStr"/>
      <c r="J25" s="7" t="inlineStr"/>
    </row>
    <row r="26">
      <c r="A26" s="19" t="inlineStr">
        <is>
          <t>daily-science</t>
        </is>
      </c>
      <c r="B26" s="19" t="inlineStr">
        <is>
          <t>17時</t>
        </is>
      </c>
      <c r="C26" s="20" t="n">
        <v>17</v>
      </c>
      <c r="D26" s="20" t="n">
        <v>14955</v>
      </c>
      <c r="E26" s="20" t="n">
        <v>11</v>
      </c>
      <c r="F26" s="21">
        <f>IF(D26=0,0,E26/D26*1000)</f>
        <v>0.7355399532</v>
      </c>
      <c r="G26" s="19" t="inlineStr"/>
      <c r="H26" s="19" t="inlineStr"/>
      <c r="I26" s="19" t="inlineStr"/>
      <c r="J26" s="19" t="inlineStr">
        <is>
          <t>★現行枠</t>
        </is>
      </c>
    </row>
    <row r="27">
      <c r="A27" s="19" t="inlineStr">
        <is>
          <t>daily-science</t>
        </is>
      </c>
      <c r="B27" s="19" t="inlineStr">
        <is>
          <t>7時</t>
        </is>
      </c>
      <c r="C27" s="20" t="n">
        <v>2</v>
      </c>
      <c r="D27" s="20" t="n">
        <v>1938</v>
      </c>
      <c r="E27" s="20" t="n">
        <v>1</v>
      </c>
      <c r="F27" s="21">
        <f>IF(D27=0,0,E27/D27*1000)</f>
        <v>0.515995872</v>
      </c>
      <c r="G27" s="19" t="inlineStr"/>
      <c r="H27" s="19" t="inlineStr"/>
      <c r="I27" s="19" t="inlineStr"/>
      <c r="J27" s="19" t="inlineStr">
        <is>
          <t>★現行枠</t>
        </is>
      </c>
    </row>
    <row r="28">
      <c r="A28" s="7" t="inlineStr">
        <is>
          <t>daily-science</t>
        </is>
      </c>
      <c r="B28" s="7" t="inlineStr">
        <is>
          <t>12時</t>
        </is>
      </c>
      <c r="C28" s="8" t="n">
        <v>3</v>
      </c>
      <c r="D28" s="8" t="n">
        <v>2599</v>
      </c>
      <c r="E28" s="8" t="n">
        <v>1</v>
      </c>
      <c r="F28" s="9">
        <f>IF(D28=0,0,E28/D28*1000)</f>
        <v>0.3847633705</v>
      </c>
      <c r="G28" s="7" t="inlineStr"/>
      <c r="H28" s="7" t="inlineStr"/>
      <c r="I28" s="7" t="inlineStr"/>
      <c r="J28" s="7" t="inlineStr">
        <is>
          <t>★現行枠</t>
        </is>
      </c>
    </row>
    <row r="29">
      <c r="A29" s="7" t="inlineStr">
        <is>
          <t>daily-science</t>
        </is>
      </c>
      <c r="B29" s="7" t="inlineStr">
        <is>
          <t>13時</t>
        </is>
      </c>
      <c r="C29" s="8" t="n">
        <v>3</v>
      </c>
      <c r="D29" s="8" t="n">
        <v>3192</v>
      </c>
      <c r="E29" s="8" t="n">
        <v>1</v>
      </c>
      <c r="F29" s="9">
        <f>IF(D29=0,0,E29/D29*1000)</f>
        <v>0.313283208</v>
      </c>
      <c r="G29" s="7" t="inlineStr"/>
      <c r="H29" s="7" t="inlineStr"/>
      <c r="I29" s="7" t="inlineStr"/>
      <c r="J29" s="7" t="inlineStr"/>
    </row>
    <row r="30">
      <c r="A30" s="7" t="inlineStr">
        <is>
          <t>daily-science</t>
        </is>
      </c>
      <c r="B30" s="7" t="inlineStr">
        <is>
          <t>18時</t>
        </is>
      </c>
      <c r="C30" s="8" t="n">
        <v>6</v>
      </c>
      <c r="D30" s="8" t="n">
        <v>4379</v>
      </c>
      <c r="E30" s="8" t="n">
        <v>1</v>
      </c>
      <c r="F30" s="9">
        <f>IF(D30=0,0,E30/D30*1000)</f>
        <v>0.2283626399</v>
      </c>
      <c r="G30" s="7" t="inlineStr"/>
      <c r="H30" s="7" t="inlineStr"/>
      <c r="I30" s="7" t="inlineStr"/>
      <c r="J30" s="7" t="inlineStr"/>
    </row>
    <row r="31">
      <c r="A31" s="7" t="inlineStr">
        <is>
          <t>daily-science</t>
        </is>
      </c>
      <c r="B31" s="7" t="inlineStr">
        <is>
          <t>14時</t>
        </is>
      </c>
      <c r="C31" s="8" t="n">
        <v>2</v>
      </c>
      <c r="D31" s="8" t="n">
        <v>2070</v>
      </c>
      <c r="E31" s="8" t="n">
        <v>0</v>
      </c>
      <c r="F31" s="9">
        <f>IF(D31=0,0,E31/D31*1000)</f>
        <v>0.0</v>
      </c>
      <c r="G31" s="7" t="inlineStr"/>
      <c r="H31" s="7" t="inlineStr"/>
      <c r="I31" s="7" t="inlineStr"/>
      <c r="J31" s="7" t="inlineStr"/>
    </row>
    <row r="32">
      <c r="A32" s="7" t="inlineStr">
        <is>
          <t>daily-science</t>
        </is>
      </c>
      <c r="B32" s="7" t="inlineStr">
        <is>
          <t>9時</t>
        </is>
      </c>
      <c r="C32" s="8" t="n">
        <v>2</v>
      </c>
      <c r="D32" s="8" t="n">
        <v>1842</v>
      </c>
      <c r="E32" s="8" t="n">
        <v>0</v>
      </c>
      <c r="F32" s="9">
        <f>IF(D32=0,0,E32/D32*1000)</f>
        <v>0.0</v>
      </c>
      <c r="G32" s="7" t="inlineStr"/>
      <c r="H32" s="7" t="inlineStr"/>
      <c r="I32" s="7" t="inlineStr"/>
      <c r="J32" s="7" t="inlineStr"/>
    </row>
    <row r="33">
      <c r="A33" s="19" t="inlineStr">
        <is>
          <t>yokai-watch</t>
        </is>
      </c>
      <c r="B33" s="19" t="inlineStr">
        <is>
          <t>12時</t>
        </is>
      </c>
      <c r="C33" s="20" t="n">
        <v>7</v>
      </c>
      <c r="D33" s="20" t="n">
        <v>5642</v>
      </c>
      <c r="E33" s="20" t="n">
        <v>6</v>
      </c>
      <c r="F33" s="21">
        <f>IF(D33=0,0,E33/D33*1000)</f>
        <v>1.0634526764</v>
      </c>
      <c r="G33" s="19" t="inlineStr"/>
      <c r="H33" s="19" t="inlineStr"/>
      <c r="I33" s="19" t="inlineStr"/>
      <c r="J33" s="19" t="inlineStr">
        <is>
          <t>★現行枠</t>
        </is>
      </c>
    </row>
    <row r="34">
      <c r="A34" s="7" t="inlineStr">
        <is>
          <t>yokai-watch</t>
        </is>
      </c>
      <c r="B34" s="7" t="inlineStr">
        <is>
          <t>18時</t>
        </is>
      </c>
      <c r="C34" s="8" t="n">
        <v>3</v>
      </c>
      <c r="D34" s="8" t="n">
        <v>1743</v>
      </c>
      <c r="E34" s="8" t="n">
        <v>1</v>
      </c>
      <c r="F34" s="9">
        <f>IF(D34=0,0,E34/D34*1000)</f>
        <v>0.5737234653</v>
      </c>
      <c r="G34" s="7" t="inlineStr"/>
      <c r="H34" s="7" t="inlineStr"/>
      <c r="I34" s="7" t="inlineStr"/>
      <c r="J34" s="7" t="inlineStr"/>
    </row>
    <row r="35">
      <c r="A35" s="7" t="inlineStr">
        <is>
          <t>yokai-watch</t>
        </is>
      </c>
      <c r="B35" s="7" t="inlineStr">
        <is>
          <t>19時</t>
        </is>
      </c>
      <c r="C35" s="8" t="n">
        <v>15</v>
      </c>
      <c r="D35" s="8" t="n">
        <v>20665</v>
      </c>
      <c r="E35" s="8" t="n">
        <v>5</v>
      </c>
      <c r="F35" s="9">
        <f>IF(D35=0,0,E35/D35*1000)</f>
        <v>0.2419549964</v>
      </c>
      <c r="G35" s="7" t="inlineStr"/>
      <c r="H35" s="7" t="inlineStr"/>
      <c r="I35" s="7" t="inlineStr"/>
      <c r="J35" s="7" t="inlineStr"/>
    </row>
    <row r="36">
      <c r="A36" s="19" t="inlineStr">
        <is>
          <t>pokemon-lab</t>
        </is>
      </c>
      <c r="B36" s="19" t="inlineStr">
        <is>
          <t>8時</t>
        </is>
      </c>
      <c r="C36" s="20" t="n">
        <v>2</v>
      </c>
      <c r="D36" s="20" t="n">
        <v>1189</v>
      </c>
      <c r="E36" s="20" t="n">
        <v>1</v>
      </c>
      <c r="F36" s="21">
        <f>IF(D36=0,0,E36/D36*1000)</f>
        <v>0.8410428932</v>
      </c>
      <c r="G36" s="19" t="inlineStr"/>
      <c r="H36" s="19" t="inlineStr"/>
      <c r="I36" s="19" t="inlineStr"/>
      <c r="J36" s="19" t="inlineStr">
        <is>
          <t>★現行枠</t>
        </is>
      </c>
    </row>
    <row r="37">
      <c r="A37" s="7" t="inlineStr">
        <is>
          <t>pokemon-lab</t>
        </is>
      </c>
      <c r="B37" s="7" t="inlineStr">
        <is>
          <t>15時</t>
        </is>
      </c>
      <c r="C37" s="8" t="n">
        <v>3</v>
      </c>
      <c r="D37" s="8" t="n">
        <v>3033</v>
      </c>
      <c r="E37" s="8" t="n">
        <v>1</v>
      </c>
      <c r="F37" s="9">
        <f>IF(D37=0,0,E37/D37*1000)</f>
        <v>0.3297065612</v>
      </c>
      <c r="G37" s="7" t="inlineStr"/>
      <c r="H37" s="7" t="inlineStr"/>
      <c r="I37" s="7" t="inlineStr"/>
      <c r="J37" s="7" t="inlineStr">
        <is>
          <t>★現行枠</t>
        </is>
      </c>
    </row>
    <row r="38">
      <c r="A38" s="7" t="inlineStr">
        <is>
          <t>pokemon-lab</t>
        </is>
      </c>
      <c r="B38" s="7" t="inlineStr">
        <is>
          <t>17時</t>
        </is>
      </c>
      <c r="C38" s="8" t="n">
        <v>10</v>
      </c>
      <c r="D38" s="8" t="n">
        <v>9793</v>
      </c>
      <c r="E38" s="8" t="n">
        <v>3</v>
      </c>
      <c r="F38" s="9">
        <f>IF(D38=0,0,E38/D38*1000)</f>
        <v>0.3063412642</v>
      </c>
      <c r="G38" s="7" t="inlineStr"/>
      <c r="H38" s="7" t="inlineStr"/>
      <c r="I38" s="7" t="inlineStr"/>
      <c r="J38" s="7" t="inlineStr">
        <is>
          <t>★現行枠</t>
        </is>
      </c>
    </row>
    <row r="39">
      <c r="A39" s="7" t="inlineStr">
        <is>
          <t>pokemon-lab</t>
        </is>
      </c>
      <c r="B39" s="7" t="inlineStr">
        <is>
          <t>12時</t>
        </is>
      </c>
      <c r="C39" s="8" t="n">
        <v>4</v>
      </c>
      <c r="D39" s="8" t="n">
        <v>3715</v>
      </c>
      <c r="E39" s="8" t="n">
        <v>1</v>
      </c>
      <c r="F39" s="9">
        <f>IF(D39=0,0,E39/D39*1000)</f>
        <v>0.269179004</v>
      </c>
      <c r="G39" s="7" t="inlineStr"/>
      <c r="H39" s="7" t="inlineStr"/>
      <c r="I39" s="7" t="inlineStr"/>
      <c r="J39" s="7" t="inlineStr"/>
    </row>
    <row r="40">
      <c r="A40" s="7" t="inlineStr">
        <is>
          <t>pokemon-lab</t>
        </is>
      </c>
      <c r="B40" s="7" t="inlineStr">
        <is>
          <t>18時</t>
        </is>
      </c>
      <c r="C40" s="8" t="n">
        <v>10</v>
      </c>
      <c r="D40" s="8" t="n">
        <v>14597</v>
      </c>
      <c r="E40" s="8" t="n">
        <v>3</v>
      </c>
      <c r="F40" s="9">
        <f>IF(D40=0,0,E40/D40*1000)</f>
        <v>0.2055216825</v>
      </c>
      <c r="G40" s="7" t="inlineStr"/>
      <c r="H40" s="7" t="inlineStr"/>
      <c r="I40" s="7" t="inlineStr"/>
      <c r="J40" s="7" t="inlineStr"/>
    </row>
    <row r="41">
      <c r="A41" s="7" t="inlineStr">
        <is>
          <t>2ch-matome</t>
        </is>
      </c>
      <c r="B41" s="7" t="inlineStr">
        <is>
          <t>9時</t>
        </is>
      </c>
      <c r="C41" s="8" t="n">
        <v>5</v>
      </c>
      <c r="D41" s="8" t="n">
        <v>6908</v>
      </c>
      <c r="E41" s="8" t="n">
        <v>2</v>
      </c>
      <c r="F41" s="9">
        <f>IF(D41=0,0,E41/D41*1000)</f>
        <v>0.2895193978</v>
      </c>
      <c r="G41" s="7" t="inlineStr"/>
      <c r="H41" s="7" t="inlineStr"/>
      <c r="I41" s="7" t="inlineStr"/>
      <c r="J41" s="7" t="inlineStr">
        <is>
          <t>★現行枠</t>
        </is>
      </c>
    </row>
    <row r="42">
      <c r="A42" s="7" t="inlineStr">
        <is>
          <t>2ch-matome</t>
        </is>
      </c>
      <c r="B42" s="7" t="inlineStr">
        <is>
          <t>12時</t>
        </is>
      </c>
      <c r="C42" s="8" t="n">
        <v>7</v>
      </c>
      <c r="D42" s="8" t="n">
        <v>6998</v>
      </c>
      <c r="E42" s="8" t="n">
        <v>2</v>
      </c>
      <c r="F42" s="9">
        <f>IF(D42=0,0,E42/D42*1000)</f>
        <v>0.2857959417</v>
      </c>
      <c r="G42" s="7" t="inlineStr"/>
      <c r="H42" s="7" t="inlineStr"/>
      <c r="I42" s="7" t="inlineStr"/>
      <c r="J42" s="7" t="inlineStr">
        <is>
          <t>★現行枠</t>
        </is>
      </c>
    </row>
    <row r="43">
      <c r="A43" s="7" t="inlineStr">
        <is>
          <t>2ch-matome</t>
        </is>
      </c>
      <c r="B43" s="7" t="inlineStr">
        <is>
          <t>17時</t>
        </is>
      </c>
      <c r="C43" s="8" t="n">
        <v>3</v>
      </c>
      <c r="D43" s="8" t="n">
        <v>3585</v>
      </c>
      <c r="E43" s="8" t="n">
        <v>1</v>
      </c>
      <c r="F43" s="9">
        <f>IF(D43=0,0,E43/D43*1000)</f>
        <v>0.2789400279</v>
      </c>
      <c r="G43" s="7" t="inlineStr"/>
      <c r="H43" s="7" t="inlineStr"/>
      <c r="I43" s="7" t="inlineStr"/>
      <c r="J43" s="7" t="inlineStr"/>
    </row>
    <row r="44">
      <c r="A44" s="22" t="inlineStr">
        <is>
          <t>2ch-matome</t>
        </is>
      </c>
      <c r="B44" s="22" t="inlineStr">
        <is>
          <t>21時</t>
        </is>
      </c>
      <c r="C44" s="23" t="n">
        <v>4</v>
      </c>
      <c r="D44" s="23" t="n">
        <v>4344</v>
      </c>
      <c r="E44" s="23" t="n">
        <v>1</v>
      </c>
      <c r="F44" s="24">
        <f>IF(D44=0,0,E44/D44*1000)</f>
        <v>0.2302025783</v>
      </c>
      <c r="G44" s="22" t="inlineStr"/>
      <c r="H44" s="22" t="inlineStr"/>
      <c r="I44" s="22" t="inlineStr"/>
      <c r="J44" s="22" t="inlineStr">
        <is>
          <t>★現行枠</t>
        </is>
      </c>
    </row>
    <row r="45">
      <c r="A45" s="7" t="inlineStr">
        <is>
          <t>2ch-matome</t>
        </is>
      </c>
      <c r="B45" s="7" t="inlineStr">
        <is>
          <t>18時</t>
        </is>
      </c>
      <c r="C45" s="8" t="n">
        <v>12</v>
      </c>
      <c r="D45" s="8" t="n">
        <v>12439</v>
      </c>
      <c r="E45" s="8" t="n">
        <v>2</v>
      </c>
      <c r="F45" s="9">
        <f>IF(D45=0,0,E45/D45*1000)</f>
        <v>0.160784629</v>
      </c>
      <c r="G45" s="7" t="inlineStr"/>
      <c r="H45" s="7" t="inlineStr"/>
      <c r="I45" s="7" t="inlineStr"/>
      <c r="J45" s="7" t="inlineStr"/>
    </row>
    <row r="46">
      <c r="A46" s="7" t="inlineStr">
        <is>
          <t>2ch-matome</t>
        </is>
      </c>
      <c r="B46" s="7" t="inlineStr">
        <is>
          <t>7時</t>
        </is>
      </c>
      <c r="C46" s="8" t="n">
        <v>2</v>
      </c>
      <c r="D46" s="8" t="n">
        <v>1209</v>
      </c>
      <c r="E46" s="8" t="n">
        <v>0</v>
      </c>
      <c r="F46" s="9">
        <f>IF(D46=0,0,E46/D46*1000)</f>
        <v>0.0</v>
      </c>
      <c r="G46" s="7" t="inlineStr"/>
      <c r="H46" s="7" t="inlineStr"/>
      <c r="I46" s="7" t="inlineStr"/>
      <c r="J46" s="7" t="inlineStr"/>
    </row>
    <row r="47">
      <c r="A47" s="7" t="inlineStr">
        <is>
          <t>2ch-matome</t>
        </is>
      </c>
      <c r="B47" s="7" t="inlineStr">
        <is>
          <t>19時</t>
        </is>
      </c>
      <c r="C47" s="8" t="n">
        <v>3</v>
      </c>
      <c r="D47" s="8" t="n">
        <v>1805</v>
      </c>
      <c r="E47" s="8" t="n">
        <v>0</v>
      </c>
      <c r="F47" s="9">
        <f>IF(D47=0,0,E47/D47*1000)</f>
        <v>0.0</v>
      </c>
      <c r="G47" s="7" t="inlineStr"/>
      <c r="H47" s="7" t="inlineStr"/>
      <c r="I47" s="7" t="inlineStr"/>
      <c r="J47" s="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62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9" customWidth="1" min="8" max="8"/>
    <col width="13" customWidth="1" min="9" max="9"/>
    <col width="22" customWidth="1" min="10" max="10"/>
  </cols>
  <sheetData>
    <row r="1">
      <c r="A1" s="1" t="inlineStr">
        <is>
          <t>動画別パフォーマンス 2026-09-09</t>
        </is>
      </c>
    </row>
    <row r="2" ht="42" customHeight="1">
      <c r="A2" s="2" t="inlineStr">
        <is>
          <t>評価母集団は video_metrics の最新スナップショット（2026-09-08取得）のうち、YouTube Analytics の 2〜3 日遅延（analytics_policy.evaluation_lag.min_age_days=3）を避けるため公開が 2026-09-05 以前、かつ views&gt;=200 の n=196。判断軸は optimization.primary_metric = 登録者/1000再生。 登録/千再生の降順。「本日の禁止ゲートに該当」列は、今日追加した機械ゲート（秘密／99%／ワイ・質問ある／記録票フォーマット）に引っかかるタイトルを示す。</t>
        </is>
      </c>
    </row>
    <row r="4">
      <c r="A4" s="6" t="inlineStr">
        <is>
          <t>チャンネル</t>
        </is>
      </c>
      <c r="B4" s="6" t="inlineStr">
        <is>
          <t>タイトル</t>
        </is>
      </c>
      <c r="C4" s="6" t="inlineStr">
        <is>
          <t>再生数</t>
        </is>
      </c>
      <c r="D4" s="6" t="inlineStr">
        <is>
          <t>登録者</t>
        </is>
      </c>
      <c r="E4" s="6" t="inlineStr">
        <is>
          <t>高評価</t>
        </is>
      </c>
      <c r="F4" s="6" t="inlineStr">
        <is>
          <t>コメント</t>
        </is>
      </c>
      <c r="G4" s="6" t="inlineStr">
        <is>
          <t>登録/千再生</t>
        </is>
      </c>
      <c r="H4" s="6" t="inlineStr">
        <is>
          <t>維持率%</t>
        </is>
      </c>
      <c r="I4" s="6" t="inlineStr">
        <is>
          <t>公開日時(JST)</t>
        </is>
      </c>
      <c r="J4" s="6" t="inlineStr">
        <is>
          <t>本日の禁止ゲートに該当</t>
        </is>
      </c>
    </row>
    <row r="5">
      <c r="A5" s="7" t="inlineStr">
        <is>
          <t>daily-science</t>
        </is>
      </c>
      <c r="B5" s="7" t="inlineStr">
        <is>
          <t>なぜ座ると腰だけ痛い？圧力1.4倍【ショート】</t>
        </is>
      </c>
      <c r="C5" s="8" t="n">
        <v>864</v>
      </c>
      <c r="D5" s="8" t="n">
        <v>3</v>
      </c>
      <c r="E5" s="8" t="n">
        <v>9</v>
      </c>
      <c r="F5" s="8" t="n">
        <v>0</v>
      </c>
      <c r="G5" s="9">
        <f>IF(C5=0,0,D5/C5*1000)</f>
        <v>3.4722222222</v>
      </c>
      <c r="H5" s="16" t="n">
        <v>43.9</v>
      </c>
      <c r="I5" s="7" t="inlineStr">
        <is>
          <t>08-31 17:00</t>
        </is>
      </c>
      <c r="J5" s="7" t="inlineStr"/>
    </row>
    <row r="6">
      <c r="A6" s="22" t="inlineStr">
        <is>
          <t>yokai-watch</t>
        </is>
      </c>
      <c r="B6" s="25" t="inlineStr">
        <is>
          <t>1分妖怪ファイル #20：🔍スネイキーに隠された秘密、3段階進化の元ネタは蛇神だった？👁️【ショート】</t>
        </is>
      </c>
      <c r="C6" s="23" t="n">
        <v>315</v>
      </c>
      <c r="D6" s="23" t="n">
        <v>1</v>
      </c>
      <c r="E6" s="23" t="n">
        <v>1</v>
      </c>
      <c r="F6" s="23" t="n">
        <v>0</v>
      </c>
      <c r="G6" s="24">
        <f>IF(C6=0,0,D6/C6*1000)</f>
        <v>3.1746031746</v>
      </c>
      <c r="H6" s="26" t="n">
        <v>49.6</v>
      </c>
      <c r="I6" s="22" t="inlineStr">
        <is>
          <t>08-30 12:00</t>
        </is>
      </c>
      <c r="J6" s="22" t="inlineStr">
        <is>
          <t>秘密</t>
        </is>
      </c>
    </row>
    <row r="7">
      <c r="A7" s="7" t="inlineStr">
        <is>
          <t>scp-lab</t>
        </is>
      </c>
      <c r="B7" s="18" t="inlineStr">
        <is>
          <t>なぜ調査員はSCP-1283-JPの踏切のむこうで消えたのか？【ショート】</t>
        </is>
      </c>
      <c r="C7" s="8" t="n">
        <v>990</v>
      </c>
      <c r="D7" s="8" t="n">
        <v>3</v>
      </c>
      <c r="E7" s="8" t="n">
        <v>6</v>
      </c>
      <c r="F7" s="8" t="n">
        <v>0</v>
      </c>
      <c r="G7" s="9">
        <f>IF(C7=0,0,D7/C7*1000)</f>
        <v>3.0303030303</v>
      </c>
      <c r="H7" s="16" t="n">
        <v>33.3</v>
      </c>
      <c r="I7" s="7" t="inlineStr">
        <is>
          <t>08-26 19:00</t>
        </is>
      </c>
      <c r="J7" s="7" t="inlineStr"/>
    </row>
    <row r="8">
      <c r="A8" s="7" t="inlineStr">
        <is>
          <t>yokai-watch</t>
        </is>
      </c>
      <c r="B8" s="18" t="inlineStr">
        <is>
          <t>犬神憑きはなぜ家系ごと記録されたのか 恒一 #shorts #妖怪 #都市伝説</t>
        </is>
      </c>
      <c r="C8" s="8" t="n">
        <v>992</v>
      </c>
      <c r="D8" s="8" t="n">
        <v>3</v>
      </c>
      <c r="E8" s="8" t="n">
        <v>10</v>
      </c>
      <c r="F8" s="8" t="n">
        <v>0</v>
      </c>
      <c r="G8" s="9">
        <f>IF(C8=0,0,D8/C8*1000)</f>
        <v>3.0241935484</v>
      </c>
      <c r="H8" s="16" t="n">
        <v>42.4</v>
      </c>
      <c r="I8" s="7" t="inlineStr">
        <is>
          <t>09-04 12:00</t>
        </is>
      </c>
      <c r="J8" s="7" t="inlineStr"/>
    </row>
    <row r="9">
      <c r="A9" s="7" t="inlineStr">
        <is>
          <t>daily-science</t>
        </is>
      </c>
      <c r="B9" s="18" t="inlineStr">
        <is>
          <t>1分科学 #99：🧪なぜ濡れた紙は3倍も破れやすい？あなたが毎日触る繊維の正体【ショート】</t>
        </is>
      </c>
      <c r="C9" s="8" t="n">
        <v>825</v>
      </c>
      <c r="D9" s="8" t="n">
        <v>2</v>
      </c>
      <c r="E9" s="8" t="n">
        <v>5</v>
      </c>
      <c r="F9" s="8" t="n">
        <v>0</v>
      </c>
      <c r="G9" s="9">
        <f>IF(C9=0,0,D9/C9*1000)</f>
        <v>2.4242424242</v>
      </c>
      <c r="H9" s="16" t="n">
        <v>30</v>
      </c>
      <c r="I9" s="7" t="inlineStr">
        <is>
          <t>08-28 17:00</t>
        </is>
      </c>
      <c r="J9" s="7" t="inlineStr"/>
    </row>
    <row r="10">
      <c r="A10" s="7" t="inlineStr">
        <is>
          <t>scp-lab</t>
        </is>
      </c>
      <c r="B10" s="18" t="inlineStr">
        <is>
          <t>SCP-096の顔を見た者に起きた記録消失の真相 #shorts #SCP #SCP解説</t>
        </is>
      </c>
      <c r="C10" s="8" t="n">
        <v>911</v>
      </c>
      <c r="D10" s="8" t="n">
        <v>2</v>
      </c>
      <c r="E10" s="8" t="n">
        <v>7</v>
      </c>
      <c r="F10" s="8" t="n">
        <v>0</v>
      </c>
      <c r="G10" s="9">
        <f>IF(C10=0,0,D10/C10*1000)</f>
        <v>2.1953896817</v>
      </c>
      <c r="H10" s="16" t="n">
        <v>40</v>
      </c>
      <c r="I10" s="7" t="inlineStr">
        <is>
          <t>09-05 19:00</t>
        </is>
      </c>
      <c r="J10" s="7" t="inlineStr"/>
    </row>
    <row r="11">
      <c r="A11" s="7" t="inlineStr">
        <is>
          <t>2ch-matome</t>
        </is>
      </c>
      <c r="B11" s="18" t="inlineStr">
        <is>
          <t>実はマックに神メニュー3品が決まらない本当の理由とは？ #shorts #2ch #面白いスレ</t>
        </is>
      </c>
      <c r="C11" s="8" t="n">
        <v>914</v>
      </c>
      <c r="D11" s="8" t="n">
        <v>2</v>
      </c>
      <c r="E11" s="8" t="n">
        <v>1</v>
      </c>
      <c r="F11" s="8" t="n">
        <v>0</v>
      </c>
      <c r="G11" s="9">
        <f>IF(C11=0,0,D11/C11*1000)</f>
        <v>2.1881838074</v>
      </c>
      <c r="H11" s="16" t="n">
        <v>38.6</v>
      </c>
      <c r="I11" s="7" t="inlineStr">
        <is>
          <t>09-03 18:00</t>
        </is>
      </c>
      <c r="J11" s="7" t="inlineStr"/>
    </row>
    <row r="12">
      <c r="A12" s="7" t="inlineStr">
        <is>
          <t>scp-lab</t>
        </is>
      </c>
      <c r="B12" s="18" t="inlineStr">
        <is>
          <t>SCP-1987 なぜ24時間ごとに被害が増える？【ショート】</t>
        </is>
      </c>
      <c r="C12" s="8" t="n">
        <v>951</v>
      </c>
      <c r="D12" s="8" t="n">
        <v>2</v>
      </c>
      <c r="E12" s="8" t="n">
        <v>1</v>
      </c>
      <c r="F12" s="8" t="n">
        <v>0</v>
      </c>
      <c r="G12" s="9">
        <f>IF(C12=0,0,D12/C12*1000)</f>
        <v>2.1030494217</v>
      </c>
      <c r="H12" s="16" t="n">
        <v>38.4</v>
      </c>
      <c r="I12" s="7" t="inlineStr">
        <is>
          <t>09-01 09:00</t>
        </is>
      </c>
      <c r="J12" s="7" t="inlineStr"/>
    </row>
    <row r="13">
      <c r="A13" s="7" t="inlineStr">
        <is>
          <t>scp-lab</t>
        </is>
      </c>
      <c r="B13" s="18" t="inlineStr">
        <is>
          <t>SCP-4335を見た海域で、なぜ観測記録が途絶えたのか？【ショート】</t>
        </is>
      </c>
      <c r="C13" s="8" t="n">
        <v>961</v>
      </c>
      <c r="D13" s="8" t="n">
        <v>2</v>
      </c>
      <c r="E13" s="8" t="n">
        <v>1</v>
      </c>
      <c r="F13" s="8" t="n">
        <v>0</v>
      </c>
      <c r="G13" s="9">
        <f>IF(C13=0,0,D13/C13*1000)</f>
        <v>2.0811654527</v>
      </c>
      <c r="H13" s="16" t="n">
        <v>59.7</v>
      </c>
      <c r="I13" s="7" t="inlineStr">
        <is>
          <t>08-30 18:00</t>
        </is>
      </c>
      <c r="J13" s="7" t="inlineStr"/>
    </row>
    <row r="14">
      <c r="A14" s="7" t="inlineStr">
        <is>
          <t>yokai-watch</t>
        </is>
      </c>
      <c r="B14" s="18" t="inlineStr">
        <is>
          <t>じんめん犬はなぜ笑い話になった？消えた恐怖の噂 #shorts #妖怪 #都市伝説</t>
        </is>
      </c>
      <c r="C14" s="8" t="n">
        <v>968</v>
      </c>
      <c r="D14" s="8" t="n">
        <v>2</v>
      </c>
      <c r="E14" s="8" t="n">
        <v>14</v>
      </c>
      <c r="F14" s="8" t="n">
        <v>0</v>
      </c>
      <c r="G14" s="9">
        <f>IF(C14=0,0,D14/C14*1000)</f>
        <v>2.0661157025</v>
      </c>
      <c r="H14" s="16" t="n">
        <v>52.2</v>
      </c>
      <c r="I14" s="7" t="inlineStr">
        <is>
          <t>09-04 19:00</t>
        </is>
      </c>
      <c r="J14" s="7" t="inlineStr"/>
    </row>
    <row r="15">
      <c r="A15" s="7" t="inlineStr">
        <is>
          <t>company-facts</t>
        </is>
      </c>
      <c r="B15" s="18" t="inlineStr">
        <is>
          <t>Netflixの月額1,590円、本当はどこに消える？【ショート】</t>
        </is>
      </c>
      <c r="C15" s="8" t="n">
        <v>1010</v>
      </c>
      <c r="D15" s="8" t="n">
        <v>2</v>
      </c>
      <c r="E15" s="8" t="n">
        <v>3</v>
      </c>
      <c r="F15" s="8" t="n">
        <v>0</v>
      </c>
      <c r="G15" s="9">
        <f>IF(C15=0,0,D15/C15*1000)</f>
        <v>1.9801980198</v>
      </c>
      <c r="H15" s="16" t="n">
        <v>46.6</v>
      </c>
      <c r="I15" s="7" t="inlineStr">
        <is>
          <t>08-31 17:00</t>
        </is>
      </c>
      <c r="J15" s="7" t="inlineStr"/>
    </row>
    <row r="16">
      <c r="A16" s="7" t="inlineStr">
        <is>
          <t>yokai-watch</t>
        </is>
      </c>
      <c r="B16" s="18" t="inlineStr">
        <is>
          <t>キュウビが日本へ渡った理由、知ってる？ #shorts #妖怪 #都市伝説</t>
        </is>
      </c>
      <c r="C16" s="8" t="n">
        <v>1013</v>
      </c>
      <c r="D16" s="8" t="n">
        <v>2</v>
      </c>
      <c r="E16" s="8" t="n">
        <v>6</v>
      </c>
      <c r="F16" s="8" t="n">
        <v>0</v>
      </c>
      <c r="G16" s="9">
        <f>IF(C16=0,0,D16/C16*1000)</f>
        <v>1.9743336624</v>
      </c>
      <c r="H16" s="16" t="n">
        <v>46.1</v>
      </c>
      <c r="I16" s="7" t="inlineStr">
        <is>
          <t>09-05 16:00</t>
        </is>
      </c>
      <c r="J16" s="7" t="inlineStr"/>
    </row>
    <row r="17">
      <c r="A17" s="7" t="inlineStr">
        <is>
          <t>pokemon-lab</t>
        </is>
      </c>
      <c r="B17" s="18" t="inlineStr">
        <is>
          <t>1分ポケモン研究 #11：🔥ドラパルトとガブリアス、君は3秒で速さの壁を越えられる？【ショート】</t>
        </is>
      </c>
      <c r="C17" s="8" t="n">
        <v>1051</v>
      </c>
      <c r="D17" s="8" t="n">
        <v>2</v>
      </c>
      <c r="E17" s="8" t="n">
        <v>4</v>
      </c>
      <c r="F17" s="8" t="n">
        <v>0</v>
      </c>
      <c r="G17" s="9">
        <f>IF(C17=0,0,D17/C17*1000)</f>
        <v>1.9029495718</v>
      </c>
      <c r="H17" s="16" t="n">
        <v>26.7</v>
      </c>
      <c r="I17" s="7" t="inlineStr">
        <is>
          <t>08-21 17:30</t>
        </is>
      </c>
      <c r="J17" s="7" t="inlineStr"/>
    </row>
    <row r="18">
      <c r="A18" s="7" t="inlineStr">
        <is>
          <t>company-facts</t>
        </is>
      </c>
      <c r="B18" s="18" t="inlineStr">
        <is>
          <t>サントリーの平均年収1,000万円超？残業19.5時間の実態【ショート】</t>
        </is>
      </c>
      <c r="C18" s="8" t="n">
        <v>1058</v>
      </c>
      <c r="D18" s="8" t="n">
        <v>2</v>
      </c>
      <c r="E18" s="8" t="n">
        <v>3</v>
      </c>
      <c r="F18" s="8" t="n">
        <v>0</v>
      </c>
      <c r="G18" s="9">
        <f>IF(C18=0,0,D18/C18*1000)</f>
        <v>1.8903591682</v>
      </c>
      <c r="H18" s="16" t="n">
        <v>39</v>
      </c>
      <c r="I18" s="7" t="inlineStr">
        <is>
          <t>08-12 20:59</t>
        </is>
      </c>
      <c r="J18" s="7" t="inlineStr"/>
    </row>
    <row r="19">
      <c r="A19" s="7" t="inlineStr">
        <is>
          <t>scp-lab</t>
        </is>
      </c>
      <c r="B19" s="18" t="inlineStr">
        <is>
          <t>SCP-2399収容記録：地球まで72時間、なぜ迎撃隊だけ全滅したのか【最後の軌道通信】【ショート】</t>
        </is>
      </c>
      <c r="C19" s="8" t="n">
        <v>1064</v>
      </c>
      <c r="D19" s="8" t="n">
        <v>2</v>
      </c>
      <c r="E19" s="8" t="n">
        <v>5</v>
      </c>
      <c r="F19" s="8" t="n">
        <v>1</v>
      </c>
      <c r="G19" s="9">
        <f>IF(C19=0,0,D19/C19*1000)</f>
        <v>1.8796992481</v>
      </c>
      <c r="H19" s="16" t="n">
        <v>45.9</v>
      </c>
      <c r="I19" s="7" t="inlineStr">
        <is>
          <t>08-11 09:07</t>
        </is>
      </c>
      <c r="J19" s="7" t="inlineStr"/>
    </row>
    <row r="20">
      <c r="A20" s="7" t="inlineStr">
        <is>
          <t>scp-lab</t>
        </is>
      </c>
      <c r="B20" s="18" t="inlineStr">
        <is>
          <t>SCP-6121 毎晩1cm動く椅子、14日目に起きた異変 #shorts #SCP #SCP解説</t>
        </is>
      </c>
      <c r="C20" s="8" t="n">
        <v>1088</v>
      </c>
      <c r="D20" s="8" t="n">
        <v>2</v>
      </c>
      <c r="E20" s="8" t="n">
        <v>6</v>
      </c>
      <c r="F20" s="8" t="n">
        <v>0</v>
      </c>
      <c r="G20" s="9">
        <f>IF(C20=0,0,D20/C20*1000)</f>
        <v>1.8382352941</v>
      </c>
      <c r="H20" s="16" t="n">
        <v>39.8</v>
      </c>
      <c r="I20" s="7" t="inlineStr">
        <is>
          <t>09-04 13:00</t>
        </is>
      </c>
      <c r="J20" s="7" t="inlineStr"/>
    </row>
    <row r="21">
      <c r="A21" s="7" t="inlineStr">
        <is>
          <t>company-facts</t>
        </is>
      </c>
      <c r="B21" s="18" t="inlineStr">
        <is>
          <t>オリエンタルランドの年収536万円、離職率2.1%の実態【ショート】</t>
        </is>
      </c>
      <c r="C21" s="8" t="n">
        <v>1123</v>
      </c>
      <c r="D21" s="8" t="n">
        <v>2</v>
      </c>
      <c r="E21" s="8" t="n">
        <v>10</v>
      </c>
      <c r="F21" s="8" t="n">
        <v>0</v>
      </c>
      <c r="G21" s="9">
        <f>IF(C21=0,0,D21/C21*1000)</f>
        <v>1.7809439003</v>
      </c>
      <c r="H21" s="16" t="n">
        <v>42.3</v>
      </c>
      <c r="I21" s="7" t="inlineStr">
        <is>
          <t>08-14 19:05</t>
        </is>
      </c>
      <c r="J21" s="7" t="inlineStr"/>
    </row>
    <row r="22">
      <c r="A22" s="7" t="inlineStr">
        <is>
          <t>yokai-watch</t>
        </is>
      </c>
      <c r="B22" s="18" t="inlineStr">
        <is>
          <t>花子さんの正体 — なぜ学校のトイレで「三番目」なのか【ショート】</t>
        </is>
      </c>
      <c r="C22" s="8" t="n">
        <v>1177</v>
      </c>
      <c r="D22" s="8" t="n">
        <v>2</v>
      </c>
      <c r="E22" s="8" t="n">
        <v>10</v>
      </c>
      <c r="F22" s="8" t="n">
        <v>0</v>
      </c>
      <c r="G22" s="9">
        <f>IF(C22=0,0,D22/C22*1000)</f>
        <v>1.6992353441</v>
      </c>
      <c r="H22" s="16" t="n">
        <v>65</v>
      </c>
      <c r="I22" s="7" t="inlineStr">
        <is>
          <t>08-15 19:07</t>
        </is>
      </c>
      <c r="J22" s="7" t="inlineStr"/>
    </row>
    <row r="23">
      <c r="A23" s="7" t="inlineStr">
        <is>
          <t>company-facts</t>
        </is>
      </c>
      <c r="B23" s="18" t="inlineStr">
        <is>
          <t>💸トヨタ自動車の年収982万円、実は手当の中身が違う【ショート】</t>
        </is>
      </c>
      <c r="C23" s="8" t="n">
        <v>3606</v>
      </c>
      <c r="D23" s="8" t="n">
        <v>6</v>
      </c>
      <c r="E23" s="8" t="n">
        <v>8</v>
      </c>
      <c r="F23" s="8" t="n">
        <v>0</v>
      </c>
      <c r="G23" s="9">
        <f>IF(C23=0,0,D23/C23*1000)</f>
        <v>1.6638935108</v>
      </c>
      <c r="H23" s="16" t="n">
        <v>79</v>
      </c>
      <c r="I23" s="7" t="inlineStr">
        <is>
          <t>08-26 17:00</t>
        </is>
      </c>
      <c r="J23" s="7" t="inlineStr"/>
    </row>
    <row r="24">
      <c r="A24" s="7" t="inlineStr">
        <is>
          <t>scp-lab</t>
        </is>
      </c>
      <c r="B24" s="7" t="inlineStr">
        <is>
          <t>触れた全員が笑う粘体、なぜSafeなのか？【ショート】</t>
        </is>
      </c>
      <c r="C24" s="8" t="n">
        <v>644</v>
      </c>
      <c r="D24" s="8" t="n">
        <v>1</v>
      </c>
      <c r="E24" s="8" t="n">
        <v>4</v>
      </c>
      <c r="F24" s="8" t="n">
        <v>0</v>
      </c>
      <c r="G24" s="9">
        <f>IF(C24=0,0,D24/C24*1000)</f>
        <v>1.5527950311</v>
      </c>
      <c r="H24" s="16" t="n">
        <v>50.1</v>
      </c>
      <c r="I24" s="7" t="inlineStr">
        <is>
          <t>08-19 19:00</t>
        </is>
      </c>
      <c r="J24" s="7" t="inlineStr"/>
    </row>
    <row r="25">
      <c r="A25" s="7" t="inlineStr">
        <is>
          <t>2ch-matome</t>
        </is>
      </c>
      <c r="B25" s="7" t="inlineStr">
        <is>
          <t>なんかPCの画面チカチカするんやが【ショート】</t>
        </is>
      </c>
      <c r="C25" s="8" t="n">
        <v>1319</v>
      </c>
      <c r="D25" s="8" t="n">
        <v>2</v>
      </c>
      <c r="E25" s="8" t="n">
        <v>4</v>
      </c>
      <c r="F25" s="8" t="n">
        <v>0</v>
      </c>
      <c r="G25" s="9">
        <f>IF(C25=0,0,D25/C25*1000)</f>
        <v>1.5163002274</v>
      </c>
      <c r="H25" s="16" t="n">
        <v>51.5</v>
      </c>
      <c r="I25" s="7" t="inlineStr">
        <is>
          <t>08-14 09:05</t>
        </is>
      </c>
      <c r="J25" s="7" t="inlineStr"/>
    </row>
    <row r="26">
      <c r="A26" s="7" t="inlineStr">
        <is>
          <t>company-facts</t>
        </is>
      </c>
      <c r="B26" s="18" t="inlineStr">
        <is>
          <t>📉大谷翔平の年収が実は約160億円？スポンサー契約の裏側📉【ショート】</t>
        </is>
      </c>
      <c r="C26" s="8" t="n">
        <v>2246</v>
      </c>
      <c r="D26" s="8" t="n">
        <v>3</v>
      </c>
      <c r="E26" s="8" t="n">
        <v>23</v>
      </c>
      <c r="F26" s="8" t="n">
        <v>0</v>
      </c>
      <c r="G26" s="9">
        <f>IF(C26=0,0,D26/C26*1000)</f>
        <v>1.3357079252</v>
      </c>
      <c r="H26" s="16" t="n">
        <v>89.90000000000001</v>
      </c>
      <c r="I26" s="7" t="inlineStr">
        <is>
          <t>08-27 17:00</t>
        </is>
      </c>
      <c r="J26" s="7" t="inlineStr"/>
    </row>
    <row r="27">
      <c r="A27" s="7" t="inlineStr">
        <is>
          <t>scp-lab</t>
        </is>
      </c>
      <c r="B27" s="18" t="inlineStr">
        <is>
          <t>SCP-2845収容記録：儀式が1分遅れた夜、173名はなぜか全員消えた【これが最後の名簿】【ショート】</t>
        </is>
      </c>
      <c r="C27" s="8" t="n">
        <v>781</v>
      </c>
      <c r="D27" s="8" t="n">
        <v>1</v>
      </c>
      <c r="E27" s="8" t="n">
        <v>2</v>
      </c>
      <c r="F27" s="8" t="n">
        <v>0</v>
      </c>
      <c r="G27" s="9">
        <f>IF(C27=0,0,D27/C27*1000)</f>
        <v>1.2804097311</v>
      </c>
      <c r="H27" s="16" t="n">
        <v>47.1</v>
      </c>
      <c r="I27" s="7" t="inlineStr">
        <is>
          <t>08-12 09:07</t>
        </is>
      </c>
      <c r="J27" s="7" t="inlineStr"/>
    </row>
    <row r="28">
      <c r="A28" s="7" t="inlineStr">
        <is>
          <t>daily-science</t>
        </is>
      </c>
      <c r="B28" s="18" t="inlineStr">
        <is>
          <t>1分科学 #93：🔍なぜ満月の夜だけ夢を覚えている？月齢29.5日に隠れた睡眠の正体【ショート】</t>
        </is>
      </c>
      <c r="C28" s="8" t="n">
        <v>816</v>
      </c>
      <c r="D28" s="8" t="n">
        <v>1</v>
      </c>
      <c r="E28" s="8" t="n">
        <v>6</v>
      </c>
      <c r="F28" s="8" t="n">
        <v>0</v>
      </c>
      <c r="G28" s="9">
        <f>IF(C28=0,0,D28/C28*1000)</f>
        <v>1.2254901961</v>
      </c>
      <c r="H28" s="16" t="n">
        <v>32.4</v>
      </c>
      <c r="I28" s="7" t="inlineStr">
        <is>
          <t>08-24 17:00</t>
        </is>
      </c>
      <c r="J28" s="7" t="inlineStr"/>
    </row>
    <row r="29">
      <c r="A29" s="7" t="inlineStr">
        <is>
          <t>2ch-matome</t>
        </is>
      </c>
      <c r="B29" s="18" t="inlineStr">
        <is>
          <t>ちいかわチョコサプ、なぜ中身が攻めすぎなのか？3秒予想してみたら草【ショート】</t>
        </is>
      </c>
      <c r="C29" s="8" t="n">
        <v>820</v>
      </c>
      <c r="D29" s="8" t="n">
        <v>1</v>
      </c>
      <c r="E29" s="8" t="n">
        <v>1</v>
      </c>
      <c r="F29" s="8" t="n">
        <v>0</v>
      </c>
      <c r="G29" s="9">
        <f>IF(C29=0,0,D29/C29*1000)</f>
        <v>1.2195121951</v>
      </c>
      <c r="H29" s="16" t="n">
        <v>31.9</v>
      </c>
      <c r="I29" s="7" t="inlineStr">
        <is>
          <t>08-20 17:15</t>
        </is>
      </c>
      <c r="J29" s="7" t="inlineStr"/>
    </row>
    <row r="30">
      <c r="A30" s="7" t="inlineStr">
        <is>
          <t>daily-science</t>
        </is>
      </c>
      <c r="B30" s="18" t="inlineStr">
        <is>
          <t>1分科学 #97：🧬なぜ大谷翔平は睡眠を最優先するのか？8時間超が支える体の正体【ショート】</t>
        </is>
      </c>
      <c r="C30" s="8" t="n">
        <v>849</v>
      </c>
      <c r="D30" s="8" t="n">
        <v>1</v>
      </c>
      <c r="E30" s="8" t="n">
        <v>7</v>
      </c>
      <c r="F30" s="8" t="n">
        <v>0</v>
      </c>
      <c r="G30" s="9">
        <f>IF(C30=0,0,D30/C30*1000)</f>
        <v>1.1778563015</v>
      </c>
      <c r="H30" s="16" t="n">
        <v>59.6</v>
      </c>
      <c r="I30" s="7" t="inlineStr">
        <is>
          <t>08-27 17:00</t>
        </is>
      </c>
      <c r="J30" s="7" t="inlineStr"/>
    </row>
    <row r="31">
      <c r="A31" s="7" t="inlineStr">
        <is>
          <t>daily-science</t>
        </is>
      </c>
      <c r="B31" s="18" t="inlineStr">
        <is>
          <t>1分科学 #94：🧬なぜ甘い物のあと塩気が欲しい？あなたの舌で3分起きる感度の正体【ショート】</t>
        </is>
      </c>
      <c r="C31" s="8" t="n">
        <v>863</v>
      </c>
      <c r="D31" s="8" t="n">
        <v>1</v>
      </c>
      <c r="E31" s="8" t="n">
        <v>7</v>
      </c>
      <c r="F31" s="8" t="n">
        <v>0</v>
      </c>
      <c r="G31" s="9">
        <f>IF(C31=0,0,D31/C31*1000)</f>
        <v>1.1587485516</v>
      </c>
      <c r="H31" s="16" t="n">
        <v>31.7</v>
      </c>
      <c r="I31" s="7" t="inlineStr">
        <is>
          <t>08-25 17:00</t>
        </is>
      </c>
      <c r="J31" s="7" t="inlineStr"/>
    </row>
    <row r="32">
      <c r="A32" s="7" t="inlineStr">
        <is>
          <t>scp-lab</t>
        </is>
      </c>
      <c r="B32" s="7" t="inlineStr">
        <is>
          <t>SCP-093の6色記録 なぜ戻れた？【ショート】</t>
        </is>
      </c>
      <c r="C32" s="8" t="n">
        <v>866</v>
      </c>
      <c r="D32" s="8" t="n">
        <v>1</v>
      </c>
      <c r="E32" s="8" t="n">
        <v>7</v>
      </c>
      <c r="F32" s="8" t="n">
        <v>0</v>
      </c>
      <c r="G32" s="9">
        <f>IF(C32=0,0,D32/C32*1000)</f>
        <v>1.1547344111</v>
      </c>
      <c r="H32" s="16" t="n">
        <v>35.3</v>
      </c>
      <c r="I32" s="7" t="inlineStr">
        <is>
          <t>08-31 19:00</t>
        </is>
      </c>
      <c r="J32" s="7" t="inlineStr"/>
    </row>
    <row r="33">
      <c r="A33" s="7" t="inlineStr">
        <is>
          <t>daily-science</t>
        </is>
      </c>
      <c r="B33" s="18" t="inlineStr">
        <is>
          <t>歩き方を意識した3秒で迷う正体 #shorts #雑学 #豆知識</t>
        </is>
      </c>
      <c r="C33" s="8" t="n">
        <v>890</v>
      </c>
      <c r="D33" s="8" t="n">
        <v>1</v>
      </c>
      <c r="E33" s="8" t="n">
        <v>10</v>
      </c>
      <c r="F33" s="8" t="n">
        <v>0</v>
      </c>
      <c r="G33" s="9">
        <f>IF(C33=0,0,D33/C33*1000)</f>
        <v>1.1235955056</v>
      </c>
      <c r="H33" s="16" t="n">
        <v>40.5</v>
      </c>
      <c r="I33" s="7" t="inlineStr">
        <is>
          <t>09-03 17:00</t>
        </is>
      </c>
      <c r="J33" s="7" t="inlineStr"/>
    </row>
    <row r="34">
      <c r="A34" s="7" t="inlineStr">
        <is>
          <t>yokai-watch</t>
        </is>
      </c>
      <c r="B34" s="18" t="inlineStr">
        <is>
          <t>1分妖怪ファイル：キュウビの元ネタ玉藻前、殺生石になった結末 #shorts #妖怪 #都市伝説</t>
        </is>
      </c>
      <c r="C34" s="8" t="n">
        <v>896</v>
      </c>
      <c r="D34" s="8" t="n">
        <v>1</v>
      </c>
      <c r="E34" s="8" t="n">
        <v>5</v>
      </c>
      <c r="F34" s="8" t="n">
        <v>0</v>
      </c>
      <c r="G34" s="9">
        <f>IF(C34=0,0,D34/C34*1000)</f>
        <v>1.1160714286</v>
      </c>
      <c r="H34" s="16" t="n">
        <v>0</v>
      </c>
      <c r="I34" s="7" t="inlineStr">
        <is>
          <t>08-27 12:08</t>
        </is>
      </c>
      <c r="J34" s="7" t="inlineStr"/>
    </row>
    <row r="35">
      <c r="A35" s="7" t="inlineStr">
        <is>
          <t>daily-science</t>
        </is>
      </c>
      <c r="B35" s="18" t="inlineStr">
        <is>
          <t>1分科学：なぜ蚊に刺された場所は数分後から痒くなるのか #shorts #雑学 #豆知識</t>
        </is>
      </c>
      <c r="C35" s="8" t="n">
        <v>900</v>
      </c>
      <c r="D35" s="8" t="n">
        <v>1</v>
      </c>
      <c r="E35" s="8" t="n">
        <v>6</v>
      </c>
      <c r="F35" s="8" t="n">
        <v>0</v>
      </c>
      <c r="G35" s="9">
        <f>IF(C35=0,0,D35/C35*1000)</f>
        <v>1.1111111111</v>
      </c>
      <c r="H35" s="16" t="n">
        <v>53.4</v>
      </c>
      <c r="I35" s="7" t="inlineStr">
        <is>
          <t>08-27 12:03</t>
        </is>
      </c>
      <c r="J35" s="7" t="inlineStr"/>
    </row>
    <row r="36">
      <c r="A36" s="7" t="inlineStr">
        <is>
          <t>scp-lab</t>
        </is>
      </c>
      <c r="B36" s="18" t="inlineStr">
        <is>
          <t>SCP-███ なぜ扉に3枚目の札がある？ #shorts #SCP #SCP解説</t>
        </is>
      </c>
      <c r="C36" s="8" t="n">
        <v>910</v>
      </c>
      <c r="D36" s="8" t="n">
        <v>1</v>
      </c>
      <c r="E36" s="8" t="n">
        <v>6</v>
      </c>
      <c r="F36" s="8" t="n">
        <v>0</v>
      </c>
      <c r="G36" s="9">
        <f>IF(C36=0,0,D36/C36*1000)</f>
        <v>1.0989010989</v>
      </c>
      <c r="H36" s="16" t="n">
        <v>37</v>
      </c>
      <c r="I36" s="7" t="inlineStr">
        <is>
          <t>09-03 16:50</t>
        </is>
      </c>
      <c r="J36" s="7" t="inlineStr"/>
    </row>
    <row r="37">
      <c r="A37" s="7" t="inlineStr">
        <is>
          <t>scp-lab</t>
        </is>
      </c>
      <c r="B37" s="7" t="inlineStr">
        <is>
          <t>SCP-682の酸槽、記録に残らない変化が起きた【ショート】</t>
        </is>
      </c>
      <c r="C37" s="8" t="n">
        <v>913</v>
      </c>
      <c r="D37" s="8" t="n">
        <v>1</v>
      </c>
      <c r="E37" s="8" t="n">
        <v>6</v>
      </c>
      <c r="F37" s="8" t="n">
        <v>0</v>
      </c>
      <c r="G37" s="9">
        <f>IF(C37=0,0,D37/C37*1000)</f>
        <v>1.0952902519</v>
      </c>
      <c r="H37" s="16" t="n">
        <v>49.4</v>
      </c>
      <c r="I37" s="7" t="inlineStr">
        <is>
          <t>08-18 09:09</t>
        </is>
      </c>
      <c r="J37" s="7" t="inlineStr"/>
    </row>
    <row r="38">
      <c r="A38" s="7" t="inlineStr">
        <is>
          <t>company-facts</t>
        </is>
      </c>
      <c r="B38" s="18" t="inlineStr">
        <is>
          <t>東京エレクトロンの年収1272万円、実は転職後に差が出る #shorts #企業分析 #年収 #転職</t>
        </is>
      </c>
      <c r="C38" s="8" t="n">
        <v>942</v>
      </c>
      <c r="D38" s="8" t="n">
        <v>1</v>
      </c>
      <c r="E38" s="8" t="n">
        <v>1</v>
      </c>
      <c r="F38" s="8" t="n">
        <v>0</v>
      </c>
      <c r="G38" s="9">
        <f>IF(C38=0,0,D38/C38*1000)</f>
        <v>1.0615711253</v>
      </c>
      <c r="H38" s="16" t="n">
        <v>37.5</v>
      </c>
      <c r="I38" s="7" t="inlineStr">
        <is>
          <t>09-06 08:15</t>
        </is>
      </c>
      <c r="J38" s="7" t="inlineStr"/>
    </row>
    <row r="39">
      <c r="A39" s="7" t="inlineStr">
        <is>
          <t>pokemon-lab</t>
        </is>
      </c>
      <c r="B39" s="18" t="inlineStr">
        <is>
          <t>ハピナスHP255・特防なのに防御衝撃 #shorts #ポケモン #ポケモン雑学</t>
        </is>
      </c>
      <c r="C39" s="8" t="n">
        <v>942</v>
      </c>
      <c r="D39" s="8" t="n">
        <v>1</v>
      </c>
      <c r="E39" s="8" t="n">
        <v>2</v>
      </c>
      <c r="F39" s="8" t="n">
        <v>0</v>
      </c>
      <c r="G39" s="9">
        <f>IF(C39=0,0,D39/C39*1000)</f>
        <v>1.0615711253</v>
      </c>
      <c r="H39" s="16" t="n">
        <v>43.4</v>
      </c>
      <c r="I39" s="7" t="inlineStr">
        <is>
          <t>09-06 08:30</t>
        </is>
      </c>
      <c r="J39" s="7" t="inlineStr"/>
    </row>
    <row r="40">
      <c r="A40" s="7" t="inlineStr">
        <is>
          <t>pokemon-lab</t>
        </is>
      </c>
      <c r="B40" s="18" t="inlineStr">
        <is>
          <t>1分ポケモン研究：ヌメルゴンとバンギラス、特防が高いのはどっち #shorts #ポケモン #ポケモン雑学</t>
        </is>
      </c>
      <c r="C40" s="8" t="n">
        <v>953</v>
      </c>
      <c r="D40" s="8" t="n">
        <v>1</v>
      </c>
      <c r="E40" s="8" t="n">
        <v>2</v>
      </c>
      <c r="F40" s="8" t="n">
        <v>0</v>
      </c>
      <c r="G40" s="9">
        <f>IF(C40=0,0,D40/C40*1000)</f>
        <v>1.0493179433</v>
      </c>
      <c r="H40" s="16" t="n">
        <v>37</v>
      </c>
      <c r="I40" s="7" t="inlineStr">
        <is>
          <t>08-27 12:05</t>
        </is>
      </c>
      <c r="J40" s="7" t="inlineStr"/>
    </row>
    <row r="41">
      <c r="A41" s="7" t="inlineStr">
        <is>
          <t>scp-lab</t>
        </is>
      </c>
      <c r="B41" s="18" t="inlineStr">
        <is>
          <t>なぜ「死亡者0人」の日々で人々が消えたのか【SCP-3519】【ショート】</t>
        </is>
      </c>
      <c r="C41" s="8" t="n">
        <v>954</v>
      </c>
      <c r="D41" s="8" t="n">
        <v>1</v>
      </c>
      <c r="E41" s="8" t="n">
        <v>4</v>
      </c>
      <c r="F41" s="8" t="n">
        <v>0</v>
      </c>
      <c r="G41" s="9">
        <f>IF(C41=0,0,D41/C41*1000)</f>
        <v>1.0482180294</v>
      </c>
      <c r="H41" s="16" t="n">
        <v>29</v>
      </c>
      <c r="I41" s="7" t="inlineStr">
        <is>
          <t>08-27 19:00</t>
        </is>
      </c>
      <c r="J41" s="7" t="inlineStr"/>
    </row>
    <row r="42">
      <c r="A42" s="7" t="inlineStr">
        <is>
          <t>company-facts</t>
        </is>
      </c>
      <c r="B42" s="18" t="inlineStr">
        <is>
          <t>ソニーの平均年収1118万円、年間休日125日の実態【ショート】</t>
        </is>
      </c>
      <c r="C42" s="8" t="n">
        <v>955</v>
      </c>
      <c r="D42" s="8" t="n">
        <v>1</v>
      </c>
      <c r="E42" s="8" t="n">
        <v>9</v>
      </c>
      <c r="F42" s="8" t="n">
        <v>0</v>
      </c>
      <c r="G42" s="9">
        <f>IF(C42=0,0,D42/C42*1000)</f>
        <v>1.0471204188</v>
      </c>
      <c r="H42" s="16" t="n">
        <v>38.9</v>
      </c>
      <c r="I42" s="7" t="inlineStr">
        <is>
          <t>08-13 19:24</t>
        </is>
      </c>
      <c r="J42" s="7" t="inlineStr"/>
    </row>
    <row r="43">
      <c r="A43" s="22" t="inlineStr">
        <is>
          <t>pokemon-lab</t>
        </is>
      </c>
      <c r="B43" s="25" t="inlineStr">
        <is>
          <t>1分ポケモン研究 #13：👀グリーンに隠された3つの秘密、あなたは本当の役割に気づいた？【ショート】</t>
        </is>
      </c>
      <c r="C43" s="23" t="n">
        <v>977</v>
      </c>
      <c r="D43" s="23" t="n">
        <v>1</v>
      </c>
      <c r="E43" s="23" t="n">
        <v>1</v>
      </c>
      <c r="F43" s="23" t="n">
        <v>0</v>
      </c>
      <c r="G43" s="24">
        <f>IF(C43=0,0,D43/C43*1000)</f>
        <v>1.0235414534</v>
      </c>
      <c r="H43" s="26" t="n">
        <v>22.5</v>
      </c>
      <c r="I43" s="22" t="inlineStr">
        <is>
          <t>08-24 17:30</t>
        </is>
      </c>
      <c r="J43" s="22" t="inlineStr">
        <is>
          <t>秘密</t>
        </is>
      </c>
    </row>
    <row r="44">
      <c r="A44" s="7" t="inlineStr">
        <is>
          <t>company-facts</t>
        </is>
      </c>
      <c r="B44" s="18" t="inlineStr">
        <is>
          <t>キーエンス年収2067万円の内訳、残業37.7時間と評価制度 #shorts #企業分析 #年収 #転職</t>
        </is>
      </c>
      <c r="C44" s="8" t="n">
        <v>980</v>
      </c>
      <c r="D44" s="8" t="n">
        <v>1</v>
      </c>
      <c r="E44" s="8" t="n">
        <v>3</v>
      </c>
      <c r="F44" s="8" t="n">
        <v>0</v>
      </c>
      <c r="G44" s="9">
        <f>IF(C44=0,0,D44/C44*1000)</f>
        <v>1.0204081633</v>
      </c>
      <c r="H44" s="16" t="n">
        <v>59.7</v>
      </c>
      <c r="I44" s="7" t="inlineStr">
        <is>
          <t>09-05 17:00</t>
        </is>
      </c>
      <c r="J44" s="7" t="inlineStr"/>
    </row>
    <row r="45">
      <c r="A45" s="7" t="inlineStr">
        <is>
          <t>scp-lab</t>
        </is>
      </c>
      <c r="B45" s="18" t="inlineStr">
        <is>
          <t>一口SCP：SCP-006-JP「あけろ」ドアの向こうの記録 #shorts #SCP #SCP解説</t>
        </is>
      </c>
      <c r="C45" s="8" t="n">
        <v>988</v>
      </c>
      <c r="D45" s="8" t="n">
        <v>1</v>
      </c>
      <c r="E45" s="8" t="n">
        <v>5</v>
      </c>
      <c r="F45" s="8" t="n">
        <v>0</v>
      </c>
      <c r="G45" s="9">
        <f>IF(C45=0,0,D45/C45*1000)</f>
        <v>1.012145749</v>
      </c>
      <c r="H45" s="16" t="n">
        <v>67.8</v>
      </c>
      <c r="I45" s="7" t="inlineStr">
        <is>
          <t>08-27 12:01</t>
        </is>
      </c>
      <c r="J45" s="7" t="inlineStr"/>
    </row>
    <row r="46">
      <c r="A46" s="7" t="inlineStr">
        <is>
          <t>company-facts</t>
        </is>
      </c>
      <c r="B46" s="18" t="inlineStr">
        <is>
          <t>三菱商事の平均年収2033万円、その中身 #shorts #企業分析 #年収 #転職</t>
        </is>
      </c>
      <c r="C46" s="8" t="n">
        <v>1983</v>
      </c>
      <c r="D46" s="8" t="n">
        <v>2</v>
      </c>
      <c r="E46" s="8" t="n">
        <v>16</v>
      </c>
      <c r="F46" s="8" t="n">
        <v>0</v>
      </c>
      <c r="G46" s="9">
        <f>IF(C46=0,0,D46/C46*1000)</f>
        <v>1.0085728694</v>
      </c>
      <c r="H46" s="16" t="n">
        <v>73.5</v>
      </c>
      <c r="I46" s="7" t="inlineStr">
        <is>
          <t>08-27 12:18</t>
        </is>
      </c>
      <c r="J46" s="7" t="inlineStr"/>
    </row>
    <row r="47">
      <c r="A47" s="7" t="inlineStr">
        <is>
          <t>daily-science</t>
        </is>
      </c>
      <c r="B47" s="18" t="inlineStr">
        <is>
          <t>なぜ壁のシミが顔に見える？0.1秒の正体 #shorts #雑学 #豆知識</t>
        </is>
      </c>
      <c r="C47" s="8" t="n">
        <v>1001</v>
      </c>
      <c r="D47" s="8" t="n">
        <v>1</v>
      </c>
      <c r="E47" s="8" t="n">
        <v>13</v>
      </c>
      <c r="F47" s="8" t="n">
        <v>0</v>
      </c>
      <c r="G47" s="9">
        <f>IF(C47=0,0,D47/C47*1000)</f>
        <v>0.999000999</v>
      </c>
      <c r="H47" s="16" t="n">
        <v>42.2</v>
      </c>
      <c r="I47" s="7" t="inlineStr">
        <is>
          <t>09-06 07:30</t>
        </is>
      </c>
      <c r="J47" s="7" t="inlineStr"/>
    </row>
    <row r="48">
      <c r="A48" s="7" t="inlineStr">
        <is>
          <t>scp-lab</t>
        </is>
      </c>
      <c r="B48" s="18" t="inlineStr">
        <is>
          <t>SCP-2140 閲覧後、8人の職員記録が別人に置換された #shorts #SCP #SCP解説</t>
        </is>
      </c>
      <c r="C48" s="8" t="n">
        <v>1003</v>
      </c>
      <c r="D48" s="8" t="n">
        <v>1</v>
      </c>
      <c r="E48" s="8" t="n">
        <v>3</v>
      </c>
      <c r="F48" s="8" t="n">
        <v>0</v>
      </c>
      <c r="G48" s="9">
        <f>IF(C48=0,0,D48/C48*1000)</f>
        <v>0.9970089731</v>
      </c>
      <c r="H48" s="16" t="n">
        <v>31.7</v>
      </c>
      <c r="I48" s="7" t="inlineStr">
        <is>
          <t>09-05 09:00</t>
        </is>
      </c>
      <c r="J48" s="7" t="inlineStr"/>
    </row>
    <row r="49">
      <c r="A49" s="22" t="inlineStr">
        <is>
          <t>daily-science</t>
        </is>
      </c>
      <c r="B49" s="25" t="inlineStr">
        <is>
          <t>1分科学 #88：📈なぜあなたは最後の1段だけ踏み外す？99%が知らない0.3秒のズレ📊【ショート】</t>
        </is>
      </c>
      <c r="C49" s="23" t="n">
        <v>1007</v>
      </c>
      <c r="D49" s="23" t="n">
        <v>1</v>
      </c>
      <c r="E49" s="23" t="n">
        <v>8</v>
      </c>
      <c r="F49" s="23" t="n">
        <v>0</v>
      </c>
      <c r="G49" s="24">
        <f>IF(C49=0,0,D49/C49*1000)</f>
        <v>0.9930486594</v>
      </c>
      <c r="H49" s="26" t="n">
        <v>35.4</v>
      </c>
      <c r="I49" s="22" t="inlineStr">
        <is>
          <t>08-20 18:00</t>
        </is>
      </c>
      <c r="J49" s="22" t="inlineStr">
        <is>
          <t>99%型</t>
        </is>
      </c>
    </row>
    <row r="50">
      <c r="A50" s="7" t="inlineStr">
        <is>
          <t>pokemon-lab</t>
        </is>
      </c>
      <c r="B50" s="18" t="inlineStr">
        <is>
          <t>初代図鑑にだけけつばんが現れた本当の理由 #shorts #ポケモン #ポケモン雑学</t>
        </is>
      </c>
      <c r="C50" s="8" t="n">
        <v>1020</v>
      </c>
      <c r="D50" s="8" t="n">
        <v>1</v>
      </c>
      <c r="E50" s="8" t="n">
        <v>1</v>
      </c>
      <c r="F50" s="8" t="n">
        <v>0</v>
      </c>
      <c r="G50" s="9">
        <f>IF(C50=0,0,D50/C50*1000)</f>
        <v>0.9803921569</v>
      </c>
      <c r="H50" s="16" t="n">
        <v>42.8</v>
      </c>
      <c r="I50" s="7" t="inlineStr">
        <is>
          <t>09-05 15:00</t>
        </is>
      </c>
      <c r="J50" s="7" t="inlineStr"/>
    </row>
    <row r="51">
      <c r="A51" s="7" t="inlineStr">
        <is>
          <t>scp-lab</t>
        </is>
      </c>
      <c r="B51" s="18" t="inlineStr">
        <is>
          <t>SCP-███ 正体は0秒の無音録音 #shorts #SCP #SCP解説</t>
        </is>
      </c>
      <c r="C51" s="8" t="n">
        <v>1033</v>
      </c>
      <c r="D51" s="8" t="n">
        <v>1</v>
      </c>
      <c r="E51" s="8" t="n">
        <v>7</v>
      </c>
      <c r="F51" s="8" t="n">
        <v>0</v>
      </c>
      <c r="G51" s="9">
        <f>IF(C51=0,0,D51/C51*1000)</f>
        <v>0.968054211</v>
      </c>
      <c r="H51" s="16" t="n">
        <v>44.3</v>
      </c>
      <c r="I51" s="7" t="inlineStr">
        <is>
          <t>09-03 19:00</t>
        </is>
      </c>
      <c r="J51" s="7" t="inlineStr"/>
    </row>
    <row r="52">
      <c r="A52" s="7" t="inlineStr">
        <is>
          <t>scp-lab</t>
        </is>
      </c>
      <c r="B52" s="18" t="inlineStr">
        <is>
          <t>一口SCP #96：🫣SCP-507「不本意な次元旅行者」あなたの部屋にも戻るかもしれない恐怖【ショート】</t>
        </is>
      </c>
      <c r="C52" s="8" t="n">
        <v>1034</v>
      </c>
      <c r="D52" s="8" t="n">
        <v>1</v>
      </c>
      <c r="E52" s="8" t="n">
        <v>2</v>
      </c>
      <c r="F52" s="8" t="n">
        <v>0</v>
      </c>
      <c r="G52" s="9">
        <f>IF(C52=0,0,D52/C52*1000)</f>
        <v>0.9671179884</v>
      </c>
      <c r="H52" s="16" t="n">
        <v>23.8</v>
      </c>
      <c r="I52" s="7" t="inlineStr">
        <is>
          <t>08-23 13:00</t>
        </is>
      </c>
      <c r="J52" s="7" t="inlineStr"/>
    </row>
    <row r="53">
      <c r="A53" s="7" t="inlineStr">
        <is>
          <t>2ch-matome</t>
        </is>
      </c>
      <c r="B53" s="18" t="inlineStr">
        <is>
          <t>動画作りに7万課金した男、なぜ昼飯が塩むすびになったのか？【ショート】</t>
        </is>
      </c>
      <c r="C53" s="8" t="n">
        <v>1039</v>
      </c>
      <c r="D53" s="8" t="n">
        <v>1</v>
      </c>
      <c r="E53" s="8" t="n">
        <v>3</v>
      </c>
      <c r="F53" s="8" t="n">
        <v>0</v>
      </c>
      <c r="G53" s="9">
        <f>IF(C53=0,0,D53/C53*1000)</f>
        <v>0.9624639076</v>
      </c>
      <c r="H53" s="16" t="n">
        <v>32.5</v>
      </c>
      <c r="I53" s="7" t="inlineStr">
        <is>
          <t>08-30 12:00</t>
        </is>
      </c>
      <c r="J53" s="7" t="inlineStr"/>
    </row>
    <row r="54">
      <c r="A54" s="7" t="inlineStr">
        <is>
          <t>company-facts</t>
        </is>
      </c>
      <c r="B54" s="18" t="inlineStr">
        <is>
          <t>ヤマト運輸ボーナス年100万円超？#ヤマト運輸の年収が意外すぎた 現場職ボーナス年100万円超の実態 #shorts #企業分析 #年収 #転職</t>
        </is>
      </c>
      <c r="C54" s="8" t="n">
        <v>1048</v>
      </c>
      <c r="D54" s="8" t="n">
        <v>1</v>
      </c>
      <c r="E54" s="8" t="n">
        <v>9</v>
      </c>
      <c r="F54" s="8" t="n">
        <v>1</v>
      </c>
      <c r="G54" s="9">
        <f>IF(C54=0,0,D54/C54*1000)</f>
        <v>0.9541984733</v>
      </c>
      <c r="H54" s="16" t="n">
        <v>61.1</v>
      </c>
      <c r="I54" s="7" t="inlineStr">
        <is>
          <t>08-09 10:00</t>
        </is>
      </c>
      <c r="J54" s="7" t="inlineStr"/>
    </row>
    <row r="55">
      <c r="A55" s="7" t="inlineStr">
        <is>
          <t>scp-lab</t>
        </is>
      </c>
      <c r="B55" s="18" t="inlineStr">
        <is>
          <t>一口SCP #105：💀SCP-239「魔女の子供」眠る8歳を財団が恐れた収容記録😱【ショート】</t>
        </is>
      </c>
      <c r="C55" s="8" t="n">
        <v>1051</v>
      </c>
      <c r="D55" s="8" t="n">
        <v>1</v>
      </c>
      <c r="E55" s="8" t="n">
        <v>3</v>
      </c>
      <c r="F55" s="8" t="n">
        <v>0</v>
      </c>
      <c r="G55" s="9">
        <f>IF(C55=0,0,D55/C55*1000)</f>
        <v>0.9514747859</v>
      </c>
      <c r="H55" s="16" t="n">
        <v>31.3</v>
      </c>
      <c r="I55" s="7" t="inlineStr">
        <is>
          <t>08-28 09:00</t>
        </is>
      </c>
      <c r="J55" s="7" t="inlineStr"/>
    </row>
    <row r="56">
      <c r="A56" s="7" t="inlineStr">
        <is>
          <t>scp-lab</t>
        </is>
      </c>
      <c r="B56" s="18" t="inlineStr">
        <is>
          <t>一口SCP #108：🫣SCP-6670「完全な破滅」人類全員を消す報告書の恐怖【ショート】</t>
        </is>
      </c>
      <c r="C56" s="8" t="n">
        <v>1061</v>
      </c>
      <c r="D56" s="8" t="n">
        <v>1</v>
      </c>
      <c r="E56" s="8" t="n">
        <v>2</v>
      </c>
      <c r="F56" s="8" t="n">
        <v>0</v>
      </c>
      <c r="G56" s="9">
        <f>IF(C56=0,0,D56/C56*1000)</f>
        <v>0.9425070688</v>
      </c>
      <c r="H56" s="16" t="n">
        <v>23.5</v>
      </c>
      <c r="I56" s="7" t="inlineStr">
        <is>
          <t>08-29 13:00</t>
        </is>
      </c>
      <c r="J56" s="7" t="inlineStr"/>
    </row>
    <row r="57">
      <c r="A57" s="7" t="inlineStr">
        <is>
          <t>daily-science</t>
        </is>
      </c>
      <c r="B57" s="18" t="inlineStr">
        <is>
          <t>昨夜の夢、なぜ12分なのに何時間もいた気がする？9割が勘違いする時間感覚【ショート】</t>
        </is>
      </c>
      <c r="C57" s="8" t="n">
        <v>1065</v>
      </c>
      <c r="D57" s="8" t="n">
        <v>1</v>
      </c>
      <c r="E57" s="8" t="n">
        <v>4</v>
      </c>
      <c r="F57" s="8" t="n">
        <v>0</v>
      </c>
      <c r="G57" s="9">
        <f>IF(C57=0,0,D57/C57*1000)</f>
        <v>0.9389671362</v>
      </c>
      <c r="H57" s="16" t="n">
        <v>55.9</v>
      </c>
      <c r="I57" s="7" t="inlineStr">
        <is>
          <t>08-12 17:06</t>
        </is>
      </c>
      <c r="J57" s="7" t="inlineStr"/>
    </row>
    <row r="58">
      <c r="A58" s="22" t="inlineStr">
        <is>
          <t>daily-science</t>
        </is>
      </c>
      <c r="B58" s="25" t="inlineStr">
        <is>
          <t>なぜ夢の続きを見た気がするのか？99%が知らない目覚め後5分の記憶再構成【ショート】</t>
        </is>
      </c>
      <c r="C58" s="23" t="n">
        <v>1071</v>
      </c>
      <c r="D58" s="23" t="n">
        <v>1</v>
      </c>
      <c r="E58" s="23" t="n">
        <v>3</v>
      </c>
      <c r="F58" s="23" t="n">
        <v>0</v>
      </c>
      <c r="G58" s="24">
        <f>IF(C58=0,0,D58/C58*1000)</f>
        <v>0.9337068161</v>
      </c>
      <c r="H58" s="26" t="n">
        <v>53</v>
      </c>
      <c r="I58" s="22" t="inlineStr">
        <is>
          <t>08-18 17:06</t>
        </is>
      </c>
      <c r="J58" s="22" t="inlineStr">
        <is>
          <t>99%型</t>
        </is>
      </c>
    </row>
    <row r="59">
      <c r="A59" s="7" t="inlineStr">
        <is>
          <t>yokai-watch</t>
        </is>
      </c>
      <c r="B59" s="18" t="inlineStr">
        <is>
          <t>口裂け女の噂はなぜ全国へ？名前を呼べない本当の理由 #shorts #妖怪 #都市伝説</t>
        </is>
      </c>
      <c r="C59" s="8" t="n">
        <v>1074</v>
      </c>
      <c r="D59" s="8" t="n">
        <v>1</v>
      </c>
      <c r="E59" s="8" t="n">
        <v>14</v>
      </c>
      <c r="F59" s="8" t="n">
        <v>0</v>
      </c>
      <c r="G59" s="9">
        <f>IF(C59=0,0,D59/C59*1000)</f>
        <v>0.9310986965</v>
      </c>
      <c r="H59" s="16" t="n">
        <v>56.1</v>
      </c>
      <c r="I59" s="7" t="inlineStr">
        <is>
          <t>09-05 12:00</t>
        </is>
      </c>
      <c r="J59" s="7" t="inlineStr"/>
    </row>
    <row r="60">
      <c r="A60" s="7" t="inlineStr">
        <is>
          <t>daily-science</t>
        </is>
      </c>
      <c r="B60" s="18" t="inlineStr">
        <is>
          <t>1分科学 #92：🌍なぜ目をこすると光が見える？あなたの網膜で起きる3秒の勘違い💡【ショート】</t>
        </is>
      </c>
      <c r="C60" s="8" t="n">
        <v>1076</v>
      </c>
      <c r="D60" s="8" t="n">
        <v>1</v>
      </c>
      <c r="E60" s="8" t="n">
        <v>10</v>
      </c>
      <c r="F60" s="8" t="n">
        <v>0</v>
      </c>
      <c r="G60" s="9">
        <f>IF(C60=0,0,D60/C60*1000)</f>
        <v>0.9293680297</v>
      </c>
      <c r="H60" s="16" t="n">
        <v>35.2</v>
      </c>
      <c r="I60" s="7" t="inlineStr">
        <is>
          <t>08-23 13:00</t>
        </is>
      </c>
      <c r="J60" s="7" t="inlineStr"/>
    </row>
    <row r="61">
      <c r="A61" s="7" t="inlineStr">
        <is>
          <t>yokai-watch</t>
        </is>
      </c>
      <c r="B61" s="18" t="inlineStr">
        <is>
          <t>ぬらりひょんの正体が怖すぎる — なぜあなたの家に勝手に上がるのか【ショート】</t>
        </is>
      </c>
      <c r="C61" s="8" t="n">
        <v>1111</v>
      </c>
      <c r="D61" s="8" t="n">
        <v>1</v>
      </c>
      <c r="E61" s="8" t="n">
        <v>6</v>
      </c>
      <c r="F61" s="8" t="n">
        <v>0</v>
      </c>
      <c r="G61" s="9">
        <f>IF(C61=0,0,D61/C61*1000)</f>
        <v>0.900090009</v>
      </c>
      <c r="H61" s="16" t="n">
        <v>41.7</v>
      </c>
      <c r="I61" s="7" t="inlineStr">
        <is>
          <t>08-19 18:30</t>
        </is>
      </c>
      <c r="J61" s="7" t="inlineStr"/>
    </row>
    <row r="62">
      <c r="A62" s="7" t="inlineStr">
        <is>
          <t>company-facts</t>
        </is>
      </c>
      <c r="B62" s="18" t="inlineStr">
        <is>
          <t>リクルートの賞与は年間150万円超？平均年齢35歳の待遇を検証【ショート】</t>
        </is>
      </c>
      <c r="C62" s="8" t="n">
        <v>1198</v>
      </c>
      <c r="D62" s="8" t="n">
        <v>1</v>
      </c>
      <c r="E62" s="8" t="n">
        <v>2</v>
      </c>
      <c r="F62" s="8" t="n">
        <v>0</v>
      </c>
      <c r="G62" s="9">
        <f>IF(C62=0,0,D62/C62*1000)</f>
        <v>0.8347245409</v>
      </c>
      <c r="H62" s="16" t="n">
        <v>42.1</v>
      </c>
      <c r="I62" s="7" t="inlineStr">
        <is>
          <t>08-17 19:05</t>
        </is>
      </c>
      <c r="J62" s="7" t="inlineStr"/>
    </row>
    <row r="63">
      <c r="A63" s="7" t="inlineStr">
        <is>
          <t>2ch-matome</t>
        </is>
      </c>
      <c r="B63" s="18" t="inlineStr">
        <is>
          <t>なぜPS5 Proに期待する？値段で胃が痛い理由とはw【ショート】</t>
        </is>
      </c>
      <c r="C63" s="8" t="n">
        <v>1203</v>
      </c>
      <c r="D63" s="8" t="n">
        <v>1</v>
      </c>
      <c r="E63" s="8" t="n">
        <v>4</v>
      </c>
      <c r="F63" s="8" t="n">
        <v>2</v>
      </c>
      <c r="G63" s="9">
        <f>IF(C63=0,0,D63/C63*1000)</f>
        <v>0.8312551953</v>
      </c>
      <c r="H63" s="16" t="n">
        <v>61.6</v>
      </c>
      <c r="I63" s="7" t="inlineStr">
        <is>
          <t>08-29 12:00</t>
        </is>
      </c>
      <c r="J63" s="7" t="inlineStr"/>
    </row>
    <row r="64">
      <c r="A64" s="7" t="inlineStr">
        <is>
          <t>company-facts</t>
        </is>
      </c>
      <c r="B64" s="7" t="inlineStr">
        <is>
          <t>💰アジア大会の裏方企業、年収932万円の実態💰【ショート】</t>
        </is>
      </c>
      <c r="C64" s="8" t="n">
        <v>5204</v>
      </c>
      <c r="D64" s="8" t="n">
        <v>4</v>
      </c>
      <c r="E64" s="8" t="n">
        <v>10</v>
      </c>
      <c r="F64" s="8" t="n">
        <v>0</v>
      </c>
      <c r="G64" s="9">
        <f>IF(C64=0,0,D64/C64*1000)</f>
        <v>0.7686395081</v>
      </c>
      <c r="H64" s="16" t="n">
        <v>50.1</v>
      </c>
      <c r="I64" s="7" t="inlineStr">
        <is>
          <t>08-20 17:00</t>
        </is>
      </c>
      <c r="J64" s="7" t="inlineStr"/>
    </row>
    <row r="65">
      <c r="A65" s="7" t="inlineStr">
        <is>
          <t>company-facts</t>
        </is>
      </c>
      <c r="B65" s="18" t="inlineStr">
        <is>
          <t>💸資生堂の年収729万円、実はダイバーシティの裏で何がある？【ショート】</t>
        </is>
      </c>
      <c r="C65" s="8" t="n">
        <v>1327</v>
      </c>
      <c r="D65" s="8" t="n">
        <v>1</v>
      </c>
      <c r="E65" s="8" t="n">
        <v>4</v>
      </c>
      <c r="F65" s="8" t="n">
        <v>0</v>
      </c>
      <c r="G65" s="9">
        <f>IF(C65=0,0,D65/C65*1000)</f>
        <v>0.7535795026</v>
      </c>
      <c r="H65" s="16" t="n">
        <v>53.6</v>
      </c>
      <c r="I65" s="7" t="inlineStr">
        <is>
          <t>08-23 14:00</t>
        </is>
      </c>
      <c r="J65" s="7" t="inlineStr"/>
    </row>
    <row r="66">
      <c r="A66" s="7" t="inlineStr">
        <is>
          <t>company-facts</t>
        </is>
      </c>
      <c r="B66" s="18" t="inlineStr">
        <is>
          <t>💰味の素の有給取得率、実は76.8% 年収と残業の本当は？💸【ショート】</t>
        </is>
      </c>
      <c r="C66" s="8" t="n">
        <v>1334</v>
      </c>
      <c r="D66" s="8" t="n">
        <v>1</v>
      </c>
      <c r="E66" s="8" t="n">
        <v>5</v>
      </c>
      <c r="F66" s="8" t="n">
        <v>0</v>
      </c>
      <c r="G66" s="9">
        <f>IF(C66=0,0,D66/C66*1000)</f>
        <v>0.7496251874</v>
      </c>
      <c r="H66" s="16" t="n">
        <v>56.1</v>
      </c>
      <c r="I66" s="7" t="inlineStr">
        <is>
          <t>08-28 14:23</t>
        </is>
      </c>
      <c r="J66" s="7" t="inlineStr"/>
    </row>
    <row r="67">
      <c r="A67" s="7" t="inlineStr">
        <is>
          <t>pokemon-lab</t>
        </is>
      </c>
      <c r="B67" s="18" t="inlineStr">
        <is>
          <t>ルカリオとウルガモス、どっちが勝つ？相性有利がひっくり返る実戦条件【ショート】</t>
        </is>
      </c>
      <c r="C67" s="8" t="n">
        <v>1339</v>
      </c>
      <c r="D67" s="8" t="n">
        <v>1</v>
      </c>
      <c r="E67" s="8" t="n">
        <v>4</v>
      </c>
      <c r="F67" s="8" t="n">
        <v>1</v>
      </c>
      <c r="G67" s="9">
        <f>IF(C67=0,0,D67/C67*1000)</f>
        <v>0.7468259895</v>
      </c>
      <c r="H67" s="16" t="n">
        <v>49</v>
      </c>
      <c r="I67" s="7" t="inlineStr">
        <is>
          <t>08-13 18:15</t>
        </is>
      </c>
      <c r="J67" s="7" t="inlineStr"/>
    </row>
    <row r="68">
      <c r="A68" s="7" t="inlineStr">
        <is>
          <t>company-facts</t>
        </is>
      </c>
      <c r="B68" s="18" t="inlineStr">
        <is>
          <t>📉JR東日本の年収810万円、本当は休日124日とのバランス💸【ショート】</t>
        </is>
      </c>
      <c r="C68" s="8" t="n">
        <v>1346</v>
      </c>
      <c r="D68" s="8" t="n">
        <v>1</v>
      </c>
      <c r="E68" s="8" t="n">
        <v>4</v>
      </c>
      <c r="F68" s="8" t="n">
        <v>0</v>
      </c>
      <c r="G68" s="9">
        <f>IF(C68=0,0,D68/C68*1000)</f>
        <v>0.7429420505</v>
      </c>
      <c r="H68" s="16" t="n">
        <v>80.90000000000001</v>
      </c>
      <c r="I68" s="7" t="inlineStr">
        <is>
          <t>08-28 14:29</t>
        </is>
      </c>
      <c r="J68" s="7" t="inlineStr"/>
    </row>
    <row r="69">
      <c r="A69" s="7" t="inlineStr">
        <is>
          <t>2ch-matome</t>
        </is>
      </c>
      <c r="B69" s="7" t="inlineStr">
        <is>
          <t>彼女の部屋でヤバい物あげてけw【ショート】</t>
        </is>
      </c>
      <c r="C69" s="8" t="n">
        <v>1366</v>
      </c>
      <c r="D69" s="8" t="n">
        <v>1</v>
      </c>
      <c r="E69" s="8" t="n">
        <v>3</v>
      </c>
      <c r="F69" s="8" t="n">
        <v>0</v>
      </c>
      <c r="G69" s="9">
        <f>IF(C69=0,0,D69/C69*1000)</f>
        <v>0.7320644217</v>
      </c>
      <c r="H69" s="16" t="n">
        <v>49.9</v>
      </c>
      <c r="I69" s="7" t="inlineStr">
        <is>
          <t>08-14 21:06</t>
        </is>
      </c>
      <c r="J69" s="7" t="inlineStr"/>
    </row>
    <row r="70">
      <c r="A70" s="7" t="inlineStr">
        <is>
          <t>pokemon-lab</t>
        </is>
      </c>
      <c r="B70" s="18" t="inlineStr">
        <is>
          <t>なぜレックウザは空から降りないのか？図鑑384番の誕生神話が衝撃すぎた【ショート】【ショート】</t>
        </is>
      </c>
      <c r="C70" s="8" t="n">
        <v>1446</v>
      </c>
      <c r="D70" s="8" t="n">
        <v>1</v>
      </c>
      <c r="E70" s="8" t="n">
        <v>7</v>
      </c>
      <c r="F70" s="8" t="n">
        <v>0</v>
      </c>
      <c r="G70" s="9">
        <f>IF(C70=0,0,D70/C70*1000)</f>
        <v>0.6915629322</v>
      </c>
      <c r="H70" s="16" t="n">
        <v>53.7</v>
      </c>
      <c r="I70" s="7" t="inlineStr">
        <is>
          <t>08-09 18:10</t>
        </is>
      </c>
      <c r="J70" s="7" t="inlineStr"/>
    </row>
    <row r="71">
      <c r="A71" s="7" t="inlineStr">
        <is>
          <t>company-facts</t>
        </is>
      </c>
      <c r="B71" s="18" t="inlineStr">
        <is>
          <t>📉花王の男性育休100%、年収はいくら？実は数字の裏も見る【ショート】</t>
        </is>
      </c>
      <c r="C71" s="8" t="n">
        <v>1483</v>
      </c>
      <c r="D71" s="8" t="n">
        <v>1</v>
      </c>
      <c r="E71" s="8" t="n">
        <v>2</v>
      </c>
      <c r="F71" s="8" t="n">
        <v>0</v>
      </c>
      <c r="G71" s="9">
        <f>IF(C71=0,0,D71/C71*1000)</f>
        <v>0.6743088334</v>
      </c>
      <c r="H71" s="16" t="n">
        <v>59.2</v>
      </c>
      <c r="I71" s="7" t="inlineStr">
        <is>
          <t>08-28 17:00</t>
        </is>
      </c>
      <c r="J71" s="7" t="inlineStr"/>
    </row>
    <row r="72">
      <c r="A72" s="7" t="inlineStr">
        <is>
          <t>pokemon-lab</t>
        </is>
      </c>
      <c r="B72" s="18" t="inlineStr">
        <is>
          <t>ミミッキュとロトム、どっちが勝つ？姿変化を実戦で比べた結果【ショート】</t>
        </is>
      </c>
      <c r="C72" s="8" t="n">
        <v>1567</v>
      </c>
      <c r="D72" s="8" t="n">
        <v>1</v>
      </c>
      <c r="E72" s="8" t="n">
        <v>3</v>
      </c>
      <c r="F72" s="8" t="n">
        <v>0</v>
      </c>
      <c r="G72" s="9">
        <f>IF(C72=0,0,D72/C72*1000)</f>
        <v>0.6381620932</v>
      </c>
      <c r="H72" s="16" t="n">
        <v>54.5</v>
      </c>
      <c r="I72" s="7" t="inlineStr">
        <is>
          <t>08-14 18:06</t>
        </is>
      </c>
      <c r="J72" s="7" t="inlineStr"/>
    </row>
    <row r="73">
      <c r="A73" s="7" t="inlineStr">
        <is>
          <t>company-facts</t>
        </is>
      </c>
      <c r="B73" s="18" t="inlineStr">
        <is>
          <t>💸不二家の半額ケーキ、実は年収549万円とどう関係する？【ショート】</t>
        </is>
      </c>
      <c r="C73" s="8" t="n">
        <v>1672</v>
      </c>
      <c r="D73" s="8" t="n">
        <v>1</v>
      </c>
      <c r="E73" s="8" t="n">
        <v>3</v>
      </c>
      <c r="F73" s="8" t="n">
        <v>0</v>
      </c>
      <c r="G73" s="9">
        <f>IF(C73=0,0,D73/C73*1000)</f>
        <v>0.5980861244</v>
      </c>
      <c r="H73" s="16" t="n">
        <v>58.7</v>
      </c>
      <c r="I73" s="7" t="inlineStr">
        <is>
          <t>08-25 17:00</t>
        </is>
      </c>
      <c r="J73" s="7" t="inlineStr"/>
    </row>
    <row r="74">
      <c r="A74" s="7" t="inlineStr">
        <is>
          <t>company-facts</t>
        </is>
      </c>
      <c r="B74" s="18" t="inlineStr">
        <is>
          <t>日本マクドナルドの正体、年収670万円の裏側 #shorts #企業分析 #年収 #転職</t>
        </is>
      </c>
      <c r="C74" s="8" t="n">
        <v>1730</v>
      </c>
      <c r="D74" s="8" t="n">
        <v>1</v>
      </c>
      <c r="E74" s="8" t="n">
        <v>7</v>
      </c>
      <c r="F74" s="8" t="n">
        <v>1</v>
      </c>
      <c r="G74" s="9">
        <f>IF(C74=0,0,D74/C74*1000)</f>
        <v>0.5780346821</v>
      </c>
      <c r="H74" s="16" t="n">
        <v>72.3</v>
      </c>
      <c r="I74" s="7" t="inlineStr">
        <is>
          <t>09-03 17:00</t>
        </is>
      </c>
      <c r="J74" s="7" t="inlineStr"/>
    </row>
    <row r="75">
      <c r="A75" s="7" t="inlineStr">
        <is>
          <t>yokai-watch</t>
        </is>
      </c>
      <c r="B75" s="18" t="inlineStr">
        <is>
          <t>海坊主の正体が怖すぎる — 船を沈める巨大な影は何だったのか【ショート】</t>
        </is>
      </c>
      <c r="C75" s="8" t="n">
        <v>1909</v>
      </c>
      <c r="D75" s="8" t="n">
        <v>1</v>
      </c>
      <c r="E75" s="8" t="n">
        <v>7</v>
      </c>
      <c r="F75" s="8" t="n">
        <v>0</v>
      </c>
      <c r="G75" s="9">
        <f>IF(C75=0,0,D75/C75*1000)</f>
        <v>0.5238344683</v>
      </c>
      <c r="H75" s="16" t="n">
        <v>57.4</v>
      </c>
      <c r="I75" s="7" t="inlineStr">
        <is>
          <t>08-18 19:10</t>
        </is>
      </c>
      <c r="J75" s="7" t="inlineStr"/>
    </row>
    <row r="76">
      <c r="A76" s="7" t="inlineStr">
        <is>
          <t>2ch-matome</t>
        </is>
      </c>
      <c r="B76" s="7" t="inlineStr">
        <is>
          <t>3秒で凍結何言った #shorts #2ch #面白いスレ</t>
        </is>
      </c>
      <c r="C76" s="8" t="n">
        <v>967</v>
      </c>
      <c r="D76" s="8" t="n">
        <v>0</v>
      </c>
      <c r="E76" s="8" t="n">
        <v>2</v>
      </c>
      <c r="F76" s="8" t="n">
        <v>0</v>
      </c>
      <c r="G76" s="9">
        <f>IF(C76=0,0,D76/C76*1000)</f>
        <v>0.0</v>
      </c>
      <c r="H76" s="16" t="n">
        <v>48.5</v>
      </c>
      <c r="I76" s="7" t="inlineStr">
        <is>
          <t>09-06 07:00</t>
        </is>
      </c>
      <c r="J76" s="7" t="inlineStr"/>
    </row>
    <row r="77">
      <c r="A77" s="7" t="inlineStr">
        <is>
          <t>2ch-matome</t>
        </is>
      </c>
      <c r="B77" s="18" t="inlineStr">
        <is>
          <t>なぜ親は無言で机を閉めたのか…見つかって終わった物とは？ #shorts #2ch #面白いスレ</t>
        </is>
      </c>
      <c r="C77" s="8" t="n">
        <v>912</v>
      </c>
      <c r="D77" s="8" t="n">
        <v>0</v>
      </c>
      <c r="E77" s="8" t="n">
        <v>0</v>
      </c>
      <c r="F77" s="8" t="n">
        <v>0</v>
      </c>
      <c r="G77" s="9">
        <f>IF(C77=0,0,D77/C77*1000)</f>
        <v>0.0</v>
      </c>
      <c r="H77" s="16" t="n">
        <v>36.1</v>
      </c>
      <c r="I77" s="7" t="inlineStr">
        <is>
          <t>09-05 12:15</t>
        </is>
      </c>
      <c r="J77" s="7" t="inlineStr"/>
    </row>
    <row r="78">
      <c r="A78" s="22" t="inlineStr">
        <is>
          <t>2ch-matome</t>
        </is>
      </c>
      <c r="B78" s="25" t="inlineStr">
        <is>
          <t>🤣ワイ健康診断歴3年やけど正体あるw🍑 #shorts #2ch #面白いスレ</t>
        </is>
      </c>
      <c r="C78" s="23" t="n">
        <v>242</v>
      </c>
      <c r="D78" s="23" t="n">
        <v>0</v>
      </c>
      <c r="E78" s="23" t="n">
        <v>0</v>
      </c>
      <c r="F78" s="23" t="n">
        <v>0</v>
      </c>
      <c r="G78" s="24">
        <f>IF(C78=0,0,D78/C78*1000)</f>
        <v>0.0</v>
      </c>
      <c r="H78" s="26" t="n">
        <v>32.3</v>
      </c>
      <c r="I78" s="22" t="inlineStr">
        <is>
          <t>09-05 07:00</t>
        </is>
      </c>
      <c r="J78" s="22" t="inlineStr">
        <is>
          <t>ワイ/質問ある</t>
        </is>
      </c>
    </row>
    <row r="79">
      <c r="A79" s="7" t="inlineStr">
        <is>
          <t>2ch-matome</t>
        </is>
      </c>
      <c r="B79" s="18" t="inlineStr">
        <is>
          <t>なぜ友達の風呂で3回もやらかしたのか？ｗ #shorts #2ch #面白いスレ</t>
        </is>
      </c>
      <c r="C79" s="8" t="n">
        <v>947</v>
      </c>
      <c r="D79" s="8" t="n">
        <v>0</v>
      </c>
      <c r="E79" s="8" t="n">
        <v>2</v>
      </c>
      <c r="F79" s="8" t="n">
        <v>0</v>
      </c>
      <c r="G79" s="9">
        <f>IF(C79=0,0,D79/C79*1000)</f>
        <v>0.0</v>
      </c>
      <c r="H79" s="16" t="n">
        <v>32.1</v>
      </c>
      <c r="I79" s="7" t="inlineStr">
        <is>
          <t>09-04 18:00</t>
        </is>
      </c>
      <c r="J79" s="7" t="inlineStr"/>
    </row>
    <row r="80">
      <c r="A80" s="7" t="inlineStr">
        <is>
          <t>2ch-matome</t>
        </is>
      </c>
      <c r="B80" s="18" t="inlineStr">
        <is>
          <t>正体を大人が知る3秒の言葉あげてけw😂 #shorts #2ch #面白いスレ</t>
        </is>
      </c>
      <c r="C80" s="8" t="n">
        <v>825</v>
      </c>
      <c r="D80" s="8" t="n">
        <v>0</v>
      </c>
      <c r="E80" s="8" t="n">
        <v>1</v>
      </c>
      <c r="F80" s="8" t="n">
        <v>0</v>
      </c>
      <c r="G80" s="9">
        <f>IF(C80=0,0,D80/C80*1000)</f>
        <v>0.0</v>
      </c>
      <c r="H80" s="16" t="n">
        <v>42.4</v>
      </c>
      <c r="I80" s="7" t="inlineStr">
        <is>
          <t>09-04 12:15</t>
        </is>
      </c>
      <c r="J80" s="7" t="inlineStr"/>
    </row>
    <row r="81">
      <c r="A81" s="7" t="inlineStr">
        <is>
          <t>2ch-matome</t>
        </is>
      </c>
      <c r="B81" s="18" t="inlineStr">
        <is>
          <t>なぜPSで一番いらないゲームが生まれるのか？ 博牛【ショート】</t>
        </is>
      </c>
      <c r="C81" s="8" t="n">
        <v>1058</v>
      </c>
      <c r="D81" s="8" t="n">
        <v>0</v>
      </c>
      <c r="E81" s="8" t="n">
        <v>3</v>
      </c>
      <c r="F81" s="8" t="n">
        <v>0</v>
      </c>
      <c r="G81" s="9">
        <f>IF(C81=0,0,D81/C81*1000)</f>
        <v>0.0</v>
      </c>
      <c r="H81" s="16" t="n">
        <v>33</v>
      </c>
      <c r="I81" s="7" t="inlineStr">
        <is>
          <t>08-31 18:00</t>
        </is>
      </c>
      <c r="J81" s="7" t="inlineStr"/>
    </row>
    <row r="82">
      <c r="A82" s="7" t="inlineStr">
        <is>
          <t>2ch-matome</t>
        </is>
      </c>
      <c r="B82" s="18" t="inlineStr">
        <is>
          <t>実は家族に見られた通販履歴…一番言い訳できない理由は？【ショート】</t>
        </is>
      </c>
      <c r="C82" s="8" t="n">
        <v>909</v>
      </c>
      <c r="D82" s="8" t="n">
        <v>0</v>
      </c>
      <c r="E82" s="8" t="n">
        <v>2</v>
      </c>
      <c r="F82" s="8" t="n">
        <v>0</v>
      </c>
      <c r="G82" s="9">
        <f>IF(C82=0,0,D82/C82*1000)</f>
        <v>0.0</v>
      </c>
      <c r="H82" s="16" t="n">
        <v>27.1</v>
      </c>
      <c r="I82" s="7" t="inlineStr">
        <is>
          <t>08-30 18:00</t>
        </is>
      </c>
      <c r="J82" s="7" t="inlineStr"/>
    </row>
    <row r="83">
      <c r="A83" s="22" t="inlineStr">
        <is>
          <t>2ch-matome</t>
        </is>
      </c>
      <c r="B83" s="22" t="inlineStr">
        <is>
          <t>🤣ワイ、落雷を3秒で見たんやが質問ある？w🍑【ショート】</t>
        </is>
      </c>
      <c r="C83" s="23" t="n">
        <v>928</v>
      </c>
      <c r="D83" s="23" t="n">
        <v>0</v>
      </c>
      <c r="E83" s="23" t="n">
        <v>4</v>
      </c>
      <c r="F83" s="23" t="n">
        <v>0</v>
      </c>
      <c r="G83" s="24">
        <f>IF(C83=0,0,D83/C83*1000)</f>
        <v>0.0</v>
      </c>
      <c r="H83" s="26" t="n">
        <v>30.6</v>
      </c>
      <c r="I83" s="22" t="inlineStr">
        <is>
          <t>08-28 18:00</t>
        </is>
      </c>
      <c r="J83" s="22" t="inlineStr">
        <is>
          <t>ワイ/質問ある</t>
        </is>
      </c>
    </row>
    <row r="84">
      <c r="A84" s="22" t="inlineStr">
        <is>
          <t>2ch-matome</t>
        </is>
      </c>
      <c r="B84" s="22" t="inlineStr">
        <is>
          <t>💦ワイ、夫が寝た後の秘密3つあげてけw🤣【ショート】</t>
        </is>
      </c>
      <c r="C84" s="23" t="n">
        <v>882</v>
      </c>
      <c r="D84" s="23" t="n">
        <v>0</v>
      </c>
      <c r="E84" s="23" t="n">
        <v>1</v>
      </c>
      <c r="F84" s="23" t="n">
        <v>0</v>
      </c>
      <c r="G84" s="24">
        <f>IF(C84=0,0,D84/C84*1000)</f>
        <v>0.0</v>
      </c>
      <c r="H84" s="26" t="n">
        <v>35.7</v>
      </c>
      <c r="I84" s="22" t="inlineStr">
        <is>
          <t>08-28 14:15</t>
        </is>
      </c>
      <c r="J84" s="22" t="inlineStr">
        <is>
          <t>秘密 / ワイ/質問ある</t>
        </is>
      </c>
    </row>
    <row r="85">
      <c r="A85" s="22" t="inlineStr">
        <is>
          <t>2ch-matome</t>
        </is>
      </c>
      <c r="B85" s="22" t="inlineStr">
        <is>
          <t>🤣ワイ、大谷の昼飯を3秒で当てるスレw🤣【ショート】</t>
        </is>
      </c>
      <c r="C85" s="23" t="n">
        <v>958</v>
      </c>
      <c r="D85" s="23" t="n">
        <v>0</v>
      </c>
      <c r="E85" s="23" t="n">
        <v>3</v>
      </c>
      <c r="F85" s="23" t="n">
        <v>0</v>
      </c>
      <c r="G85" s="24">
        <f>IF(C85=0,0,D85/C85*1000)</f>
        <v>0.0</v>
      </c>
      <c r="H85" s="26" t="n">
        <v>144.8</v>
      </c>
      <c r="I85" s="22" t="inlineStr">
        <is>
          <t>08-27 18:00</t>
        </is>
      </c>
      <c r="J85" s="22" t="inlineStr">
        <is>
          <t>ワイ/質問ある</t>
        </is>
      </c>
    </row>
    <row r="86">
      <c r="A86" s="7" t="inlineStr">
        <is>
          <t>2ch-matome</t>
        </is>
      </c>
      <c r="B86" s="18" t="inlineStr">
        <is>
          <t>彼女の家で開けたらアカン引き出し開けたんやが #shorts #2ch #面白いスレ</t>
        </is>
      </c>
      <c r="C86" s="8" t="n">
        <v>841</v>
      </c>
      <c r="D86" s="8" t="n">
        <v>0</v>
      </c>
      <c r="E86" s="8" t="n">
        <v>1</v>
      </c>
      <c r="F86" s="8" t="n">
        <v>0</v>
      </c>
      <c r="G86" s="9">
        <f>IF(C86=0,0,D86/C86*1000)</f>
        <v>0.0</v>
      </c>
      <c r="H86" s="16" t="n">
        <v>50.5</v>
      </c>
      <c r="I86" s="7" t="inlineStr">
        <is>
          <t>08-27 12:12</t>
        </is>
      </c>
      <c r="J86" s="7" t="inlineStr"/>
    </row>
    <row r="87">
      <c r="A87" s="7" t="inlineStr">
        <is>
          <t>2ch-matome</t>
        </is>
      </c>
      <c r="B87" s="18" t="inlineStr">
        <is>
          <t>実は迷子続出？ドラゴンボールパークで何が起きたのか【ショート】</t>
        </is>
      </c>
      <c r="C87" s="8" t="n">
        <v>963</v>
      </c>
      <c r="D87" s="8" t="n">
        <v>0</v>
      </c>
      <c r="E87" s="8" t="n">
        <v>5</v>
      </c>
      <c r="F87" s="8" t="n">
        <v>0</v>
      </c>
      <c r="G87" s="9">
        <f>IF(C87=0,0,D87/C87*1000)</f>
        <v>0.0</v>
      </c>
      <c r="H87" s="16" t="n">
        <v>34.6</v>
      </c>
      <c r="I87" s="7" t="inlineStr">
        <is>
          <t>08-26 18:00</t>
        </is>
      </c>
      <c r="J87" s="7" t="inlineStr"/>
    </row>
    <row r="88">
      <c r="A88" s="22" t="inlineStr">
        <is>
          <t>2ch-matome</t>
        </is>
      </c>
      <c r="B88" s="22" t="inlineStr">
        <is>
          <t>🤯ワイ、友達の家でヤバい物を3個見たんやがw🤯【ショート】</t>
        </is>
      </c>
      <c r="C88" s="23" t="n">
        <v>856</v>
      </c>
      <c r="D88" s="23" t="n">
        <v>0</v>
      </c>
      <c r="E88" s="23" t="n">
        <v>2</v>
      </c>
      <c r="F88" s="23" t="n">
        <v>0</v>
      </c>
      <c r="G88" s="24">
        <f>IF(C88=0,0,D88/C88*1000)</f>
        <v>0.0</v>
      </c>
      <c r="H88" s="26" t="n">
        <v>39.1</v>
      </c>
      <c r="I88" s="22" t="inlineStr">
        <is>
          <t>08-25 18:00</t>
        </is>
      </c>
      <c r="J88" s="22" t="inlineStr">
        <is>
          <t>ワイ/質問ある</t>
        </is>
      </c>
    </row>
    <row r="89">
      <c r="A89" s="7" t="inlineStr">
        <is>
          <t>2ch-matome</t>
        </is>
      </c>
      <c r="B89" s="18" t="inlineStr">
        <is>
          <t>味の素3粒、実は何に使うのか？意外すぎる活用法をあげてけｗ【ショート】</t>
        </is>
      </c>
      <c r="C89" s="8" t="n">
        <v>1154</v>
      </c>
      <c r="D89" s="8" t="n">
        <v>0</v>
      </c>
      <c r="E89" s="8" t="n">
        <v>7</v>
      </c>
      <c r="F89" s="8" t="n">
        <v>0</v>
      </c>
      <c r="G89" s="9">
        <f>IF(C89=0,0,D89/C89*1000)</f>
        <v>0.0</v>
      </c>
      <c r="H89" s="16" t="n">
        <v>26.6</v>
      </c>
      <c r="I89" s="7" t="inlineStr">
        <is>
          <t>08-24 18:00</t>
        </is>
      </c>
      <c r="J89" s="7" t="inlineStr"/>
    </row>
    <row r="90">
      <c r="A90" s="22" t="inlineStr">
        <is>
          <t>2ch-matome</t>
        </is>
      </c>
      <c r="B90" s="22" t="inlineStr">
        <is>
          <t>ワイ、GTA6妄想歴6年やけど質問ある？w💦【ショート】</t>
        </is>
      </c>
      <c r="C90" s="23" t="n">
        <v>1090</v>
      </c>
      <c r="D90" s="23" t="n">
        <v>0</v>
      </c>
      <c r="E90" s="23" t="n">
        <v>0</v>
      </c>
      <c r="F90" s="23" t="n">
        <v>0</v>
      </c>
      <c r="G90" s="24">
        <f>IF(C90=0,0,D90/C90*1000)</f>
        <v>0.0</v>
      </c>
      <c r="H90" s="26" t="n">
        <v>23.1</v>
      </c>
      <c r="I90" s="22" t="inlineStr">
        <is>
          <t>08-23 12:00</t>
        </is>
      </c>
      <c r="J90" s="22" t="inlineStr">
        <is>
          <t>ワイ/質問ある</t>
        </is>
      </c>
    </row>
    <row r="91">
      <c r="A91" s="7" t="inlineStr">
        <is>
          <t>2ch-matome</t>
        </is>
      </c>
      <c r="B91" s="18" t="inlineStr">
        <is>
          <t>なぜ3秒でバレる？お前らをブラックラグーンで例えた結果【ショート】</t>
        </is>
      </c>
      <c r="C91" s="8" t="n">
        <v>1088</v>
      </c>
      <c r="D91" s="8" t="n">
        <v>0</v>
      </c>
      <c r="E91" s="8" t="n">
        <v>1</v>
      </c>
      <c r="F91" s="8" t="n">
        <v>0</v>
      </c>
      <c r="G91" s="9">
        <f>IF(C91=0,0,D91/C91*1000)</f>
        <v>0.0</v>
      </c>
      <c r="H91" s="16" t="n">
        <v>27.1</v>
      </c>
      <c r="I91" s="7" t="inlineStr">
        <is>
          <t>08-22 12:15</t>
        </is>
      </c>
      <c r="J91" s="7" t="inlineStr"/>
    </row>
    <row r="92">
      <c r="A92" s="7" t="inlineStr">
        <is>
          <t>2ch-matome</t>
        </is>
      </c>
      <c r="B92" s="18" t="inlineStr">
        <is>
          <t>なぜ熱闘甲子園の夜だけ空気が変わる？お前らの夏の思い出5つ聞かせろ【ショート】</t>
        </is>
      </c>
      <c r="C92" s="8" t="n">
        <v>967</v>
      </c>
      <c r="D92" s="8" t="n">
        <v>0</v>
      </c>
      <c r="E92" s="8" t="n">
        <v>5</v>
      </c>
      <c r="F92" s="8" t="n">
        <v>0</v>
      </c>
      <c r="G92" s="9">
        <f>IF(C92=0,0,D92/C92*1000)</f>
        <v>0.0</v>
      </c>
      <c r="H92" s="16" t="n">
        <v>30.1</v>
      </c>
      <c r="I92" s="7" t="inlineStr">
        <is>
          <t>08-21 19:15</t>
        </is>
      </c>
      <c r="J92" s="7" t="inlineStr"/>
    </row>
    <row r="93">
      <c r="A93" s="22" t="inlineStr">
        <is>
          <t>2ch-matome</t>
        </is>
      </c>
      <c r="B93" s="22" t="inlineStr">
        <is>
          <t>ワイ、サーモス歴3年やけど質問ある？w😏【ショート】</t>
        </is>
      </c>
      <c r="C93" s="23" t="n">
        <v>951</v>
      </c>
      <c r="D93" s="23" t="n">
        <v>0</v>
      </c>
      <c r="E93" s="23" t="n">
        <v>3</v>
      </c>
      <c r="F93" s="23" t="n">
        <v>0</v>
      </c>
      <c r="G93" s="24">
        <f>IF(C93=0,0,D93/C93*1000)</f>
        <v>0.0</v>
      </c>
      <c r="H93" s="26" t="n">
        <v>36.4</v>
      </c>
      <c r="I93" s="22" t="inlineStr">
        <is>
          <t>08-21 17:15</t>
        </is>
      </c>
      <c r="J93" s="22" t="inlineStr">
        <is>
          <t>ワイ/質問ある</t>
        </is>
      </c>
    </row>
    <row r="94">
      <c r="A94" s="7" t="inlineStr">
        <is>
          <t>2ch-matome</t>
        </is>
      </c>
      <c r="B94" s="18" t="inlineStr">
        <is>
          <t>3秒で考えろ！この戦闘機の名前が親戚回避型な理由とは？【ショート】</t>
        </is>
      </c>
      <c r="C94" s="8" t="n">
        <v>968</v>
      </c>
      <c r="D94" s="8" t="n">
        <v>0</v>
      </c>
      <c r="E94" s="8" t="n">
        <v>5</v>
      </c>
      <c r="F94" s="8" t="n">
        <v>0</v>
      </c>
      <c r="G94" s="9">
        <f>IF(C94=0,0,D94/C94*1000)</f>
        <v>0.0</v>
      </c>
      <c r="H94" s="16" t="n">
        <v>32.6</v>
      </c>
      <c r="I94" s="7" t="inlineStr">
        <is>
          <t>08-21 15:01</t>
        </is>
      </c>
      <c r="J94" s="7" t="inlineStr"/>
    </row>
    <row r="95">
      <c r="A95" s="22" t="inlineStr">
        <is>
          <t>2ch-matome</t>
        </is>
      </c>
      <c r="B95" s="25" t="inlineStr">
        <is>
          <t>ワイ、アジア大会珍プレー歴0年やけど質問ある？w🤣【ショート】</t>
        </is>
      </c>
      <c r="C95" s="23" t="n">
        <v>589</v>
      </c>
      <c r="D95" s="23" t="n">
        <v>0</v>
      </c>
      <c r="E95" s="23" t="n">
        <v>1</v>
      </c>
      <c r="F95" s="23" t="n">
        <v>0</v>
      </c>
      <c r="G95" s="24">
        <f>IF(C95=0,0,D95/C95*1000)</f>
        <v>0.0</v>
      </c>
      <c r="H95" s="26" t="n">
        <v>24.5</v>
      </c>
      <c r="I95" s="22" t="inlineStr">
        <is>
          <t>08-20 19:15</t>
        </is>
      </c>
      <c r="J95" s="22" t="inlineStr">
        <is>
          <t>ワイ/質問ある</t>
        </is>
      </c>
    </row>
    <row r="96">
      <c r="A96" s="7" t="inlineStr">
        <is>
          <t>2ch-matome</t>
        </is>
      </c>
      <c r="B96" s="18" t="inlineStr">
        <is>
          <t>なぜケンタッキー月見は3秒で秋の給料日になるのか、食べた感想あげてけw【ショート】</t>
        </is>
      </c>
      <c r="C96" s="8" t="n">
        <v>249</v>
      </c>
      <c r="D96" s="8" t="n">
        <v>0</v>
      </c>
      <c r="E96" s="8" t="n">
        <v>0</v>
      </c>
      <c r="F96" s="8" t="n">
        <v>0</v>
      </c>
      <c r="G96" s="9">
        <f>IF(C96=0,0,D96/C96*1000)</f>
        <v>0.0</v>
      </c>
      <c r="H96" s="16" t="n">
        <v>34.9</v>
      </c>
      <c r="I96" s="7" t="inlineStr">
        <is>
          <t>08-19 19:15</t>
        </is>
      </c>
      <c r="J96" s="7" t="inlineStr"/>
    </row>
    <row r="97">
      <c r="A97" s="7" t="inlineStr">
        <is>
          <t>2ch-matome</t>
        </is>
      </c>
      <c r="B97" s="7" t="inlineStr">
        <is>
          <t>PCパーツ到着時、なぜ箱だけ先に届くのか？【ショート】</t>
        </is>
      </c>
      <c r="C97" s="8" t="n">
        <v>1814</v>
      </c>
      <c r="D97" s="8" t="n">
        <v>0</v>
      </c>
      <c r="E97" s="8" t="n">
        <v>4</v>
      </c>
      <c r="F97" s="8" t="n">
        <v>1</v>
      </c>
      <c r="G97" s="9">
        <f>IF(C97=0,0,D97/C97*1000)</f>
        <v>0.0</v>
      </c>
      <c r="H97" s="16" t="n">
        <v>41.9</v>
      </c>
      <c r="I97" s="7" t="inlineStr">
        <is>
          <t>08-19 17:15</t>
        </is>
      </c>
      <c r="J97" s="7" t="inlineStr"/>
    </row>
    <row r="98">
      <c r="A98" s="7" t="inlineStr">
        <is>
          <t>2ch-matome</t>
        </is>
      </c>
      <c r="B98" s="7" t="inlineStr">
        <is>
          <t>なんか靴下だけ消えるんやがw【ショート】</t>
        </is>
      </c>
      <c r="C98" s="8" t="n">
        <v>702</v>
      </c>
      <c r="D98" s="8" t="n">
        <v>0</v>
      </c>
      <c r="E98" s="8" t="n">
        <v>1</v>
      </c>
      <c r="F98" s="8" t="n">
        <v>0</v>
      </c>
      <c r="G98" s="9">
        <f>IF(C98=0,0,D98/C98*1000)</f>
        <v>0.0</v>
      </c>
      <c r="H98" s="16" t="n">
        <v>55.4</v>
      </c>
      <c r="I98" s="7" t="inlineStr">
        <is>
          <t>08-18 21:08</t>
        </is>
      </c>
      <c r="J98" s="7" t="inlineStr"/>
    </row>
    <row r="99">
      <c r="A99" s="7" t="inlineStr">
        <is>
          <t>2ch-matome</t>
        </is>
      </c>
      <c r="B99" s="7" t="inlineStr">
        <is>
          <t>存在しないゲームの迷惑機能あげてけw【ショート】</t>
        </is>
      </c>
      <c r="C99" s="8" t="n">
        <v>1144</v>
      </c>
      <c r="D99" s="8" t="n">
        <v>0</v>
      </c>
      <c r="E99" s="8" t="n">
        <v>2</v>
      </c>
      <c r="F99" s="8" t="n">
        <v>0</v>
      </c>
      <c r="G99" s="9">
        <f>IF(C99=0,0,D99/C99*1000)</f>
        <v>0.0</v>
      </c>
      <c r="H99" s="16" t="n">
        <v>51.4</v>
      </c>
      <c r="I99" s="7" t="inlineStr">
        <is>
          <t>08-18 09:06</t>
        </is>
      </c>
      <c r="J99" s="7" t="inlineStr"/>
    </row>
    <row r="100">
      <c r="A100" s="7" t="inlineStr">
        <is>
          <t>2ch-matome</t>
        </is>
      </c>
      <c r="B100" s="7" t="inlineStr">
        <is>
          <t>絶対に二度見される部屋着あげてけw【ショート】</t>
        </is>
      </c>
      <c r="C100" s="8" t="n">
        <v>1236</v>
      </c>
      <c r="D100" s="8" t="n">
        <v>0</v>
      </c>
      <c r="E100" s="8" t="n">
        <v>6</v>
      </c>
      <c r="F100" s="8" t="n">
        <v>0</v>
      </c>
      <c r="G100" s="9">
        <f>IF(C100=0,0,D100/C100*1000)</f>
        <v>0.0</v>
      </c>
      <c r="H100" s="16" t="n">
        <v>81.40000000000001</v>
      </c>
      <c r="I100" s="7" t="inlineStr">
        <is>
          <t>08-17 18:28</t>
        </is>
      </c>
      <c r="J100" s="7" t="inlineStr"/>
    </row>
    <row r="101">
      <c r="A101" s="7" t="inlineStr">
        <is>
          <t>2ch-matome</t>
        </is>
      </c>
      <c r="B101" s="7" t="inlineStr">
        <is>
          <t>実際には存在しないけどありそうな県名あげてけ【ショート】</t>
        </is>
      </c>
      <c r="C101" s="8" t="n">
        <v>1162</v>
      </c>
      <c r="D101" s="8" t="n">
        <v>0</v>
      </c>
      <c r="E101" s="8" t="n">
        <v>3</v>
      </c>
      <c r="F101" s="8" t="n">
        <v>0</v>
      </c>
      <c r="G101" s="9">
        <f>IF(C101=0,0,D101/C101*1000)</f>
        <v>0.0</v>
      </c>
      <c r="H101" s="16" t="n">
        <v>109.6</v>
      </c>
      <c r="I101" s="7" t="inlineStr">
        <is>
          <t>08-17 18:27</t>
        </is>
      </c>
      <c r="J101" s="7" t="inlineStr"/>
    </row>
    <row r="102">
      <c r="A102" s="7" t="inlineStr">
        <is>
          <t>2ch-matome</t>
        </is>
      </c>
      <c r="B102" s="18" t="inlineStr">
        <is>
          <t>後輩「敬語って課金制ですよね？」→翌朝、全員が黙った #shorts #2ch #スカッと</t>
        </is>
      </c>
      <c r="C102" s="8" t="n">
        <v>1354</v>
      </c>
      <c r="D102" s="8" t="n">
        <v>0</v>
      </c>
      <c r="E102" s="8" t="n">
        <v>4</v>
      </c>
      <c r="F102" s="8" t="n">
        <v>0</v>
      </c>
      <c r="G102" s="9">
        <f>IF(C102=0,0,D102/C102*1000)</f>
        <v>0.0</v>
      </c>
      <c r="H102" s="16" t="n">
        <v>57.2</v>
      </c>
      <c r="I102" s="7" t="inlineStr">
        <is>
          <t>08-17 18:27</t>
        </is>
      </c>
      <c r="J102" s="7" t="inlineStr"/>
    </row>
    <row r="103">
      <c r="A103" s="7" t="inlineStr">
        <is>
          <t>2ch-matome</t>
        </is>
      </c>
      <c r="B103" s="7" t="inlineStr">
        <is>
          <t>なんかスマホの充電だけ遅いんやが【ショート】</t>
        </is>
      </c>
      <c r="C103" s="8" t="n">
        <v>1350</v>
      </c>
      <c r="D103" s="8" t="n">
        <v>0</v>
      </c>
      <c r="E103" s="8" t="n">
        <v>1</v>
      </c>
      <c r="F103" s="8" t="n">
        <v>1</v>
      </c>
      <c r="G103" s="9">
        <f>IF(C103=0,0,D103/C103*1000)</f>
        <v>0.0</v>
      </c>
      <c r="H103" s="16" t="n">
        <v>72.2</v>
      </c>
      <c r="I103" s="7" t="inlineStr">
        <is>
          <t>08-16 09:05</t>
        </is>
      </c>
      <c r="J103" s="7" t="inlineStr"/>
    </row>
    <row r="104">
      <c r="A104" s="22" t="inlineStr">
        <is>
          <t>2ch-matome</t>
        </is>
      </c>
      <c r="B104" s="22" t="inlineStr">
        <is>
          <t>ワイのキーボードの変な癖あげてけw【ショート】</t>
        </is>
      </c>
      <c r="C104" s="23" t="n">
        <v>1190</v>
      </c>
      <c r="D104" s="23" t="n">
        <v>0</v>
      </c>
      <c r="E104" s="23" t="n">
        <v>0</v>
      </c>
      <c r="F104" s="23" t="n">
        <v>0</v>
      </c>
      <c r="G104" s="24">
        <f>IF(C104=0,0,D104/C104*1000)</f>
        <v>0.0</v>
      </c>
      <c r="H104" s="26" t="n">
        <v>51.3</v>
      </c>
      <c r="I104" s="22" t="inlineStr">
        <is>
          <t>08-15 21:05</t>
        </is>
      </c>
      <c r="J104" s="22" t="inlineStr">
        <is>
          <t>ワイ/質問ある</t>
        </is>
      </c>
    </row>
    <row r="105">
      <c r="A105" s="22" t="inlineStr">
        <is>
          <t>2ch-matome</t>
        </is>
      </c>
      <c r="B105" s="22" t="inlineStr">
        <is>
          <t>ワイ、彼女いない歴＝年齢やけど質問ある？【ショート】</t>
        </is>
      </c>
      <c r="C105" s="23" t="n">
        <v>1656</v>
      </c>
      <c r="D105" s="23" t="n">
        <v>0</v>
      </c>
      <c r="E105" s="23" t="n">
        <v>4</v>
      </c>
      <c r="F105" s="23" t="n">
        <v>2</v>
      </c>
      <c r="G105" s="24">
        <f>IF(C105=0,0,D105/C105*1000)</f>
        <v>0.0</v>
      </c>
      <c r="H105" s="26" t="n">
        <v>64.2</v>
      </c>
      <c r="I105" s="22" t="inlineStr">
        <is>
          <t>08-15 09:05</t>
        </is>
      </c>
      <c r="J105" s="22" t="inlineStr">
        <is>
          <t>ワイ/質問ある</t>
        </is>
      </c>
    </row>
    <row r="106">
      <c r="A106" s="7" t="inlineStr">
        <is>
          <t>2ch-matome</t>
        </is>
      </c>
      <c r="B106" s="7" t="inlineStr">
        <is>
          <t>コンビニで一番いらん商品あげてけ【ショート】</t>
        </is>
      </c>
      <c r="C106" s="8" t="n">
        <v>1086</v>
      </c>
      <c r="D106" s="8" t="n">
        <v>0</v>
      </c>
      <c r="E106" s="8" t="n">
        <v>1</v>
      </c>
      <c r="F106" s="8" t="n">
        <v>0</v>
      </c>
      <c r="G106" s="9">
        <f>IF(C106=0,0,D106/C106*1000)</f>
        <v>0.0</v>
      </c>
      <c r="H106" s="16" t="n">
        <v>125.5</v>
      </c>
      <c r="I106" s="7" t="inlineStr">
        <is>
          <t>08-13 21:05</t>
        </is>
      </c>
      <c r="J106" s="7" t="inlineStr"/>
    </row>
    <row r="107">
      <c r="A107" s="22" t="inlineStr">
        <is>
          <t>2ch-matome</t>
        </is>
      </c>
      <c r="B107" s="22" t="inlineStr">
        <is>
          <t>ワイの今日の昼飯を当てるスレw【ショート】</t>
        </is>
      </c>
      <c r="C107" s="23" t="n">
        <v>1439</v>
      </c>
      <c r="D107" s="23" t="n">
        <v>0</v>
      </c>
      <c r="E107" s="23" t="n">
        <v>3</v>
      </c>
      <c r="F107" s="23" t="n">
        <v>0</v>
      </c>
      <c r="G107" s="24">
        <f>IF(C107=0,0,D107/C107*1000)</f>
        <v>0.0</v>
      </c>
      <c r="H107" s="26" t="n">
        <v>66.40000000000001</v>
      </c>
      <c r="I107" s="22" t="inlineStr">
        <is>
          <t>08-13 09:05</t>
        </is>
      </c>
      <c r="J107" s="22" t="inlineStr">
        <is>
          <t>ワイ/質問ある</t>
        </is>
      </c>
    </row>
    <row r="108">
      <c r="A108" s="7" t="inlineStr">
        <is>
          <t>company-facts</t>
        </is>
      </c>
      <c r="B108" s="18" t="inlineStr">
        <is>
          <t>東京エレクトロンの年収1272万円、実は株価上昇の裏側 #shorts #企業分析 #年収 #転職</t>
        </is>
      </c>
      <c r="C108" s="8" t="n">
        <v>241</v>
      </c>
      <c r="D108" s="8" t="n">
        <v>0</v>
      </c>
      <c r="E108" s="8" t="n">
        <v>0</v>
      </c>
      <c r="F108" s="8" t="n">
        <v>0</v>
      </c>
      <c r="G108" s="9">
        <f>IF(C108=0,0,D108/C108*1000)</f>
        <v>0.0</v>
      </c>
      <c r="H108" s="16" t="n">
        <v>36.9</v>
      </c>
      <c r="I108" s="7" t="inlineStr">
        <is>
          <t>09-05 13:30</t>
        </is>
      </c>
      <c r="J108" s="7" t="inlineStr"/>
    </row>
    <row r="109">
      <c r="A109" s="7" t="inlineStr">
        <is>
          <t>company-facts</t>
        </is>
      </c>
      <c r="B109" s="18" t="inlineStr">
        <is>
          <t>航空自衛隊千歳の正体、年収400万円台の実態 #shorts #企業分析 #年収 #転職</t>
        </is>
      </c>
      <c r="C109" s="8" t="n">
        <v>999</v>
      </c>
      <c r="D109" s="8" t="n">
        <v>0</v>
      </c>
      <c r="E109" s="8" t="n">
        <v>2</v>
      </c>
      <c r="F109" s="8" t="n">
        <v>0</v>
      </c>
      <c r="G109" s="9">
        <f>IF(C109=0,0,D109/C109*1000)</f>
        <v>0.0</v>
      </c>
      <c r="H109" s="16" t="n">
        <v>53.4</v>
      </c>
      <c r="I109" s="7" t="inlineStr">
        <is>
          <t>09-05 08:15</t>
        </is>
      </c>
      <c r="J109" s="7" t="inlineStr"/>
    </row>
    <row r="110">
      <c r="A110" s="7" t="inlineStr">
        <is>
          <t>company-facts</t>
        </is>
      </c>
      <c r="B110" s="18" t="inlineStr">
        <is>
          <t>星野リゾートの推定年収400万円、業界平均と比べると？ #shorts #企業分析 #年収 #転職</t>
        </is>
      </c>
      <c r="C110" s="8" t="n">
        <v>1045</v>
      </c>
      <c r="D110" s="8" t="n">
        <v>0</v>
      </c>
      <c r="E110" s="8" t="n">
        <v>0</v>
      </c>
      <c r="F110" s="8" t="n">
        <v>0</v>
      </c>
      <c r="G110" s="9">
        <f>IF(C110=0,0,D110/C110*1000)</f>
        <v>0.0</v>
      </c>
      <c r="H110" s="16" t="n">
        <v>65.90000000000001</v>
      </c>
      <c r="I110" s="7" t="inlineStr">
        <is>
          <t>09-04 17:00</t>
        </is>
      </c>
      <c r="J110" s="7" t="inlineStr"/>
    </row>
    <row r="111">
      <c r="A111" s="7" t="inlineStr">
        <is>
          <t>company-facts</t>
        </is>
      </c>
      <c r="B111" s="18" t="inlineStr">
        <is>
          <t>日本マクドナルドの年収576万円、その内訳とは #shorts #企業分析 #年収 #転職</t>
        </is>
      </c>
      <c r="C111" s="8" t="n">
        <v>1002</v>
      </c>
      <c r="D111" s="8" t="n">
        <v>0</v>
      </c>
      <c r="E111" s="8" t="n">
        <v>1</v>
      </c>
      <c r="F111" s="8" t="n">
        <v>0</v>
      </c>
      <c r="G111" s="9">
        <f>IF(C111=0,0,D111/C111*1000)</f>
        <v>0.0</v>
      </c>
      <c r="H111" s="16" t="n">
        <v>44.2</v>
      </c>
      <c r="I111" s="7" t="inlineStr">
        <is>
          <t>09-04 13:30</t>
        </is>
      </c>
      <c r="J111" s="7" t="inlineStr"/>
    </row>
    <row r="112">
      <c r="A112" s="7" t="inlineStr">
        <is>
          <t>company-facts</t>
        </is>
      </c>
      <c r="B112" s="18" t="inlineStr">
        <is>
          <t>📉サイバーエージェントの年収773万円、平均年齢33歳の本当は【ショート】</t>
        </is>
      </c>
      <c r="C112" s="8" t="n">
        <v>1026</v>
      </c>
      <c r="D112" s="8" t="n">
        <v>0</v>
      </c>
      <c r="E112" s="8" t="n">
        <v>1</v>
      </c>
      <c r="F112" s="8" t="n">
        <v>1</v>
      </c>
      <c r="G112" s="9">
        <f>IF(C112=0,0,D112/C112*1000)</f>
        <v>0.0</v>
      </c>
      <c r="H112" s="16" t="n">
        <v>36.3</v>
      </c>
      <c r="I112" s="7" t="inlineStr">
        <is>
          <t>08-30 18:00</t>
        </is>
      </c>
      <c r="J112" s="7" t="inlineStr"/>
    </row>
    <row r="113">
      <c r="A113" s="7" t="inlineStr">
        <is>
          <t>company-facts</t>
        </is>
      </c>
      <c r="B113" s="18" t="inlineStr">
        <is>
          <t>📈動画作りに課金しすぎた男、年収480万円で転職できる？【ショート】</t>
        </is>
      </c>
      <c r="C113" s="8" t="n">
        <v>1105</v>
      </c>
      <c r="D113" s="8" t="n">
        <v>0</v>
      </c>
      <c r="E113" s="8" t="n">
        <v>3</v>
      </c>
      <c r="F113" s="8" t="n">
        <v>0</v>
      </c>
      <c r="G113" s="9">
        <f>IF(C113=0,0,D113/C113*1000)</f>
        <v>0.0</v>
      </c>
      <c r="H113" s="16" t="n">
        <v>50.4</v>
      </c>
      <c r="I113" s="7" t="inlineStr">
        <is>
          <t>08-30 14:00</t>
        </is>
      </c>
      <c r="J113" s="7" t="inlineStr"/>
    </row>
    <row r="114">
      <c r="A114" s="7" t="inlineStr">
        <is>
          <t>company-facts</t>
        </is>
      </c>
      <c r="B114" s="18" t="inlineStr">
        <is>
          <t>💸GUの年収、実はポケモンコラボで上がるのか？平均959万円の裏側💸【ショート】</t>
        </is>
      </c>
      <c r="C114" s="8" t="n">
        <v>1349</v>
      </c>
      <c r="D114" s="8" t="n">
        <v>0</v>
      </c>
      <c r="E114" s="8" t="n">
        <v>5</v>
      </c>
      <c r="F114" s="8" t="n">
        <v>0</v>
      </c>
      <c r="G114" s="9">
        <f>IF(C114=0,0,D114/C114*1000)</f>
        <v>0.0</v>
      </c>
      <c r="H114" s="16" t="n">
        <v>97.3</v>
      </c>
      <c r="I114" s="7" t="inlineStr">
        <is>
          <t>08-29 14:00</t>
        </is>
      </c>
      <c r="J114" s="7" t="inlineStr"/>
    </row>
    <row r="115">
      <c r="A115" s="7" t="inlineStr">
        <is>
          <t>company-facts</t>
        </is>
      </c>
      <c r="B115" s="18" t="inlineStr">
        <is>
          <t>📈退職金の本当は？3社で最大2,000万円差の実態【ショート】</t>
        </is>
      </c>
      <c r="C115" s="8" t="n">
        <v>1938</v>
      </c>
      <c r="D115" s="8" t="n">
        <v>0</v>
      </c>
      <c r="E115" s="8" t="n">
        <v>2</v>
      </c>
      <c r="F115" s="8" t="n">
        <v>0</v>
      </c>
      <c r="G115" s="9">
        <f>IF(C115=0,0,D115/C115*1000)</f>
        <v>0.0</v>
      </c>
      <c r="H115" s="16" t="n">
        <v>68.40000000000001</v>
      </c>
      <c r="I115" s="7" t="inlineStr">
        <is>
          <t>08-24 17:00</t>
        </is>
      </c>
      <c r="J115" s="7" t="inlineStr"/>
    </row>
    <row r="116">
      <c r="A116" s="7" t="inlineStr">
        <is>
          <t>company-facts</t>
        </is>
      </c>
      <c r="B116" s="18" t="inlineStr">
        <is>
          <t>💰Uber Eats配達員、本当は時給2,000円超えもある収入の実態【ショート】</t>
        </is>
      </c>
      <c r="C116" s="8" t="n">
        <v>1393</v>
      </c>
      <c r="D116" s="8" t="n">
        <v>0</v>
      </c>
      <c r="E116" s="8" t="n">
        <v>9</v>
      </c>
      <c r="F116" s="8" t="n">
        <v>0</v>
      </c>
      <c r="G116" s="9">
        <f>IF(C116=0,0,D116/C116*1000)</f>
        <v>0.0</v>
      </c>
      <c r="H116" s="16" t="n">
        <v>47.9</v>
      </c>
      <c r="I116" s="7" t="inlineStr">
        <is>
          <t>08-22 14:00</t>
        </is>
      </c>
      <c r="J116" s="7" t="inlineStr"/>
    </row>
    <row r="117">
      <c r="A117" s="7" t="inlineStr">
        <is>
          <t>company-facts</t>
        </is>
      </c>
      <c r="B117" s="18" t="inlineStr">
        <is>
          <t>😱ソニーグループの年収がヤバい 1118万円とDualSenseの仕事【ショート】</t>
        </is>
      </c>
      <c r="C117" s="8" t="n">
        <v>1273</v>
      </c>
      <c r="D117" s="8" t="n">
        <v>0</v>
      </c>
      <c r="E117" s="8" t="n">
        <v>6</v>
      </c>
      <c r="F117" s="8" t="n">
        <v>1</v>
      </c>
      <c r="G117" s="9">
        <f>IF(C117=0,0,D117/C117*1000)</f>
        <v>0.0</v>
      </c>
      <c r="H117" s="16" t="n">
        <v>78.59999999999999</v>
      </c>
      <c r="I117" s="7" t="inlineStr">
        <is>
          <t>08-21 17:00</t>
        </is>
      </c>
      <c r="J117" s="7" t="inlineStr"/>
    </row>
    <row r="118">
      <c r="A118" s="7" t="inlineStr">
        <is>
          <t>company-facts</t>
        </is>
      </c>
      <c r="B118" s="18" t="inlineStr">
        <is>
          <t>セブン銀行の年間休日130日、平均年収も数字で解説【ショート】</t>
        </is>
      </c>
      <c r="C118" s="8" t="n">
        <v>1023</v>
      </c>
      <c r="D118" s="8" t="n">
        <v>0</v>
      </c>
      <c r="E118" s="8" t="n">
        <v>2</v>
      </c>
      <c r="F118" s="8" t="n">
        <v>0</v>
      </c>
      <c r="G118" s="9">
        <f>IF(C118=0,0,D118/C118*1000)</f>
        <v>0.0</v>
      </c>
      <c r="H118" s="16" t="n">
        <v>39</v>
      </c>
      <c r="I118" s="7" t="inlineStr">
        <is>
          <t>08-17 18:28</t>
        </is>
      </c>
      <c r="J118" s="7" t="inlineStr"/>
    </row>
    <row r="119">
      <c r="A119" s="7" t="inlineStr">
        <is>
          <t>company-facts</t>
        </is>
      </c>
      <c r="B119" s="7" t="inlineStr">
        <is>
          <t>無印良品の正社員待遇、年間休日123日の実態【ショート】</t>
        </is>
      </c>
      <c r="C119" s="8" t="n">
        <v>975</v>
      </c>
      <c r="D119" s="8" t="n">
        <v>0</v>
      </c>
      <c r="E119" s="8" t="n">
        <v>0</v>
      </c>
      <c r="F119" s="8" t="n">
        <v>0</v>
      </c>
      <c r="G119" s="9">
        <f>IF(C119=0,0,D119/C119*1000)</f>
        <v>0.0</v>
      </c>
      <c r="H119" s="16" t="n">
        <v>39.2</v>
      </c>
      <c r="I119" s="7" t="inlineStr">
        <is>
          <t>08-15 19:06</t>
        </is>
      </c>
      <c r="J119" s="7" t="inlineStr"/>
    </row>
    <row r="120">
      <c r="A120" s="7" t="inlineStr">
        <is>
          <t>daily-science</t>
        </is>
      </c>
      <c r="B120" s="18" t="inlineStr">
        <is>
          <t>なぜあなたは階段で1段だけ外すのか？ #shorts #雑学 #豆知識</t>
        </is>
      </c>
      <c r="C120" s="8" t="n">
        <v>1132</v>
      </c>
      <c r="D120" s="8" t="n">
        <v>0</v>
      </c>
      <c r="E120" s="8" t="n">
        <v>5</v>
      </c>
      <c r="F120" s="8" t="n">
        <v>0</v>
      </c>
      <c r="G120" s="9">
        <f>IF(C120=0,0,D120/C120*1000)</f>
        <v>0.0</v>
      </c>
      <c r="H120" s="16" t="n">
        <v>120.7</v>
      </c>
      <c r="I120" s="7" t="inlineStr">
        <is>
          <t>09-05 17:00</t>
        </is>
      </c>
      <c r="J120" s="7" t="inlineStr"/>
    </row>
    <row r="121">
      <c r="A121" s="22" t="inlineStr">
        <is>
          <t>daily-science</t>
        </is>
      </c>
      <c r="B121" s="25" t="inlineStr">
        <is>
          <t>鏡の顔だけ違う？99%が知らない左右差 #shorts #雑学 #豆知識</t>
        </is>
      </c>
      <c r="C121" s="23" t="n">
        <v>992</v>
      </c>
      <c r="D121" s="23" t="n">
        <v>0</v>
      </c>
      <c r="E121" s="23" t="n">
        <v>4</v>
      </c>
      <c r="F121" s="23" t="n">
        <v>0</v>
      </c>
      <c r="G121" s="24">
        <f>IF(C121=0,0,D121/C121*1000)</f>
        <v>0.0</v>
      </c>
      <c r="H121" s="26" t="n">
        <v>91.2</v>
      </c>
      <c r="I121" s="22" t="inlineStr">
        <is>
          <t>09-05 12:30</t>
        </is>
      </c>
      <c r="J121" s="22" t="inlineStr">
        <is>
          <t>99%型</t>
        </is>
      </c>
    </row>
    <row r="122">
      <c r="A122" s="7" t="inlineStr">
        <is>
          <t>daily-science</t>
        </is>
      </c>
      <c r="B122" s="18" t="inlineStr">
        <is>
          <t>あなたの耳が3秒で抜ける正体は？ #shorts #雑学 #豆知識</t>
        </is>
      </c>
      <c r="C122" s="8" t="n">
        <v>937</v>
      </c>
      <c r="D122" s="8" t="n">
        <v>0</v>
      </c>
      <c r="E122" s="8" t="n">
        <v>7</v>
      </c>
      <c r="F122" s="8" t="n">
        <v>0</v>
      </c>
      <c r="G122" s="9">
        <f>IF(C122=0,0,D122/C122*1000)</f>
        <v>0.0</v>
      </c>
      <c r="H122" s="16" t="n">
        <v>37.5</v>
      </c>
      <c r="I122" s="7" t="inlineStr">
        <is>
          <t>09-05 07:30</t>
        </is>
      </c>
      <c r="J122" s="7" t="inlineStr"/>
    </row>
    <row r="123">
      <c r="A123" s="7" t="inlineStr">
        <is>
          <t>daily-science</t>
        </is>
      </c>
      <c r="B123" s="18" t="inlineStr">
        <is>
          <t>泳いでいる脳が3秒ごとに息継ぎを気にするワケ #shorts #雑学 #豆知識</t>
        </is>
      </c>
      <c r="C123" s="8" t="n">
        <v>879</v>
      </c>
      <c r="D123" s="8" t="n">
        <v>0</v>
      </c>
      <c r="E123" s="8" t="n">
        <v>5</v>
      </c>
      <c r="F123" s="8" t="n">
        <v>0</v>
      </c>
      <c r="G123" s="9">
        <f>IF(C123=0,0,D123/C123*1000)</f>
        <v>0.0</v>
      </c>
      <c r="H123" s="16" t="n">
        <v>58.8</v>
      </c>
      <c r="I123" s="7" t="inlineStr">
        <is>
          <t>09-04 17:00</t>
        </is>
      </c>
      <c r="J123" s="7" t="inlineStr"/>
    </row>
    <row r="124">
      <c r="A124" s="7" t="inlineStr">
        <is>
          <t>daily-science</t>
        </is>
      </c>
      <c r="B124" s="18" t="inlineStr">
        <is>
          <t>黙読中の喉、なぜ声なしで1秒だけ動く？ #shorts #雑学 #豆知識</t>
        </is>
      </c>
      <c r="C124" s="8" t="n">
        <v>707</v>
      </c>
      <c r="D124" s="8" t="n">
        <v>0</v>
      </c>
      <c r="E124" s="8" t="n">
        <v>3</v>
      </c>
      <c r="F124" s="8" t="n">
        <v>0</v>
      </c>
      <c r="G124" s="9">
        <f>IF(C124=0,0,D124/C124*1000)</f>
        <v>0.0</v>
      </c>
      <c r="H124" s="16" t="n">
        <v>38.5</v>
      </c>
      <c r="I124" s="7" t="inlineStr">
        <is>
          <t>09-04 12:30</t>
        </is>
      </c>
      <c r="J124" s="7" t="inlineStr"/>
    </row>
    <row r="125">
      <c r="A125" s="7" t="inlineStr">
        <is>
          <t>daily-science</t>
        </is>
      </c>
      <c r="B125" s="18" t="inlineStr">
        <is>
          <t>1分科学 #102：🌍なぜ寝起きの口だけネバつくのか？あなたの唾液が眠る8時間の正体【ショート】</t>
        </is>
      </c>
      <c r="C125" s="8" t="n">
        <v>847</v>
      </c>
      <c r="D125" s="8" t="n">
        <v>0</v>
      </c>
      <c r="E125" s="8" t="n">
        <v>6</v>
      </c>
      <c r="F125" s="8" t="n">
        <v>0</v>
      </c>
      <c r="G125" s="9">
        <f>IF(C125=0,0,D125/C125*1000)</f>
        <v>0.0</v>
      </c>
      <c r="H125" s="16" t="n">
        <v>35.8</v>
      </c>
      <c r="I125" s="7" t="inlineStr">
        <is>
          <t>08-30 18:00</t>
        </is>
      </c>
      <c r="J125" s="7" t="inlineStr"/>
    </row>
    <row r="126">
      <c r="A126" s="7" t="inlineStr">
        <is>
          <t>daily-science</t>
        </is>
      </c>
      <c r="B126" s="18" t="inlineStr">
        <is>
          <t>1分科学 #100：🧬なぜあなたはポケモンの夢で技まで使える？REM睡眠90分にある記憶の正体【ショート】</t>
        </is>
      </c>
      <c r="C126" s="8" t="n">
        <v>1074</v>
      </c>
      <c r="D126" s="8" t="n">
        <v>0</v>
      </c>
      <c r="E126" s="8" t="n">
        <v>5</v>
      </c>
      <c r="F126" s="8" t="n">
        <v>0</v>
      </c>
      <c r="G126" s="9">
        <f>IF(C126=0,0,D126/C126*1000)</f>
        <v>0.0</v>
      </c>
      <c r="H126" s="16" t="n">
        <v>98.90000000000001</v>
      </c>
      <c r="I126" s="7" t="inlineStr">
        <is>
          <t>08-29 13:00</t>
        </is>
      </c>
      <c r="J126" s="7" t="inlineStr"/>
    </row>
    <row r="127">
      <c r="A127" s="7" t="inlineStr">
        <is>
          <t>daily-science</t>
        </is>
      </c>
      <c r="B127" s="18" t="inlineStr">
        <is>
          <t>1分科学 #98：🌍なぜ歩くと腕と足は逆に動くのか？あなたの体が毎秒行う回転制御の正体【ショート】</t>
        </is>
      </c>
      <c r="C127" s="8" t="n">
        <v>1115</v>
      </c>
      <c r="D127" s="8" t="n">
        <v>0</v>
      </c>
      <c r="E127" s="8" t="n">
        <v>2</v>
      </c>
      <c r="F127" s="8" t="n">
        <v>1</v>
      </c>
      <c r="G127" s="9">
        <f>IF(C127=0,0,D127/C127*1000)</f>
        <v>0.0</v>
      </c>
      <c r="H127" s="16" t="n">
        <v>32.5</v>
      </c>
      <c r="I127" s="7" t="inlineStr">
        <is>
          <t>08-28 14:06</t>
        </is>
      </c>
      <c r="J127" s="7" t="inlineStr"/>
    </row>
    <row r="128">
      <c r="A128" s="7" t="inlineStr">
        <is>
          <t>daily-science</t>
        </is>
      </c>
      <c r="B128" s="18" t="inlineStr">
        <is>
          <t>1分科学 #95：🧪なぜ雷鳴の3秒前から体が固まるのか？あなたの脳に起きる反応の正体🧬【ショート】</t>
        </is>
      </c>
      <c r="C128" s="8" t="n">
        <v>944</v>
      </c>
      <c r="D128" s="8" t="n">
        <v>0</v>
      </c>
      <c r="E128" s="8" t="n">
        <v>7</v>
      </c>
      <c r="F128" s="8" t="n">
        <v>0</v>
      </c>
      <c r="G128" s="9">
        <f>IF(C128=0,0,D128/C128*1000)</f>
        <v>0.0</v>
      </c>
      <c r="H128" s="16" t="n">
        <v>41.7</v>
      </c>
      <c r="I128" s="7" t="inlineStr">
        <is>
          <t>08-26 17:00</t>
        </is>
      </c>
      <c r="J128" s="7" t="inlineStr"/>
    </row>
    <row r="129">
      <c r="A129" s="22" t="inlineStr">
        <is>
          <t>daily-science</t>
        </is>
      </c>
      <c r="B129" s="25" t="inlineStr">
        <is>
          <t>1分科学 #91：💯なぜ人混みであなたの名前だけ聞こえるのか？99%が知らない0.3秒の選別💯【ショート】</t>
        </is>
      </c>
      <c r="C129" s="23" t="n">
        <v>1042</v>
      </c>
      <c r="D129" s="23" t="n">
        <v>0</v>
      </c>
      <c r="E129" s="23" t="n">
        <v>6</v>
      </c>
      <c r="F129" s="23" t="n">
        <v>0</v>
      </c>
      <c r="G129" s="24">
        <f>IF(C129=0,0,D129/C129*1000)</f>
        <v>0.0</v>
      </c>
      <c r="H129" s="26" t="n">
        <v>25.6</v>
      </c>
      <c r="I129" s="22" t="inlineStr">
        <is>
          <t>08-22 13:00</t>
        </is>
      </c>
      <c r="J129" s="22" t="inlineStr">
        <is>
          <t>99%型</t>
        </is>
      </c>
    </row>
    <row r="130">
      <c r="A130" s="22" t="inlineStr">
        <is>
          <t>daily-science</t>
        </is>
      </c>
      <c r="B130" s="25" t="inlineStr">
        <is>
          <t>1分科学 #90：💯なぜあなたの舌はやけど後だけ味が消える？99%が知らない10日の入れ替わり【ショート】</t>
        </is>
      </c>
      <c r="C130" s="23" t="n">
        <v>481</v>
      </c>
      <c r="D130" s="23" t="n">
        <v>0</v>
      </c>
      <c r="E130" s="23" t="n">
        <v>1</v>
      </c>
      <c r="F130" s="23" t="n">
        <v>0</v>
      </c>
      <c r="G130" s="24">
        <f>IF(C130=0,0,D130/C130*1000)</f>
        <v>0.0</v>
      </c>
      <c r="H130" s="26" t="n">
        <v>29.5</v>
      </c>
      <c r="I130" s="22" t="inlineStr">
        <is>
          <t>08-21 18:00</t>
        </is>
      </c>
      <c r="J130" s="22" t="inlineStr">
        <is>
          <t>99%型</t>
        </is>
      </c>
    </row>
    <row r="131">
      <c r="A131" s="22" t="inlineStr">
        <is>
          <t>daily-science</t>
        </is>
      </c>
      <c r="B131" s="25" t="inlineStr">
        <is>
          <t>1分科学 #89：💯なぜあなたは寝る直前だけ昔の失敗を思い出すのか？99%が知らない30秒の脳内変化【ショート】</t>
        </is>
      </c>
      <c r="C131" s="23" t="n">
        <v>955</v>
      </c>
      <c r="D131" s="23" t="n">
        <v>0</v>
      </c>
      <c r="E131" s="23" t="n">
        <v>7</v>
      </c>
      <c r="F131" s="23" t="n">
        <v>0</v>
      </c>
      <c r="G131" s="24">
        <f>IF(C131=0,0,D131/C131*1000)</f>
        <v>0.0</v>
      </c>
      <c r="H131" s="26" t="n">
        <v>30</v>
      </c>
      <c r="I131" s="22" t="inlineStr">
        <is>
          <t>08-21 14:57</t>
        </is>
      </c>
      <c r="J131" s="22" t="inlineStr">
        <is>
          <t>99%型</t>
        </is>
      </c>
    </row>
    <row r="132">
      <c r="A132" s="22" t="inlineStr">
        <is>
          <t>daily-science</t>
        </is>
      </c>
      <c r="B132" s="25" t="inlineStr">
        <is>
          <t>なぜ正座を崩した瞬間だけビリビリするのか？99%が知らない30秒の正体【ショート】</t>
        </is>
      </c>
      <c r="C132" s="23" t="n">
        <v>1039</v>
      </c>
      <c r="D132" s="23" t="n">
        <v>0</v>
      </c>
      <c r="E132" s="23" t="n">
        <v>3</v>
      </c>
      <c r="F132" s="23" t="n">
        <v>0</v>
      </c>
      <c r="G132" s="24">
        <f>IF(C132=0,0,D132/C132*1000)</f>
        <v>0.0</v>
      </c>
      <c r="H132" s="26" t="n">
        <v>29.8</v>
      </c>
      <c r="I132" s="22" t="inlineStr">
        <is>
          <t>08-19 18:00</t>
        </is>
      </c>
      <c r="J132" s="22" t="inlineStr">
        <is>
          <t>99%型</t>
        </is>
      </c>
    </row>
    <row r="133">
      <c r="A133" s="7" t="inlineStr">
        <is>
          <t>daily-science</t>
        </is>
      </c>
      <c r="B133" s="18" t="inlineStr">
        <is>
          <t>なぜ辛い物で汗が出るのか？実は9割が勘違いする0.5秒の温度反応【ショート】</t>
        </is>
      </c>
      <c r="C133" s="8" t="n">
        <v>631</v>
      </c>
      <c r="D133" s="8" t="n">
        <v>0</v>
      </c>
      <c r="E133" s="8" t="n">
        <v>1</v>
      </c>
      <c r="F133" s="8" t="n">
        <v>0</v>
      </c>
      <c r="G133" s="9">
        <f>IF(C133=0,0,D133/C133*1000)</f>
        <v>0.0</v>
      </c>
      <c r="H133" s="16" t="n">
        <v>43.5</v>
      </c>
      <c r="I133" s="7" t="inlineStr">
        <is>
          <t>08-17 18:28</t>
        </is>
      </c>
      <c r="J133" s="7" t="inlineStr"/>
    </row>
    <row r="134">
      <c r="A134" s="7" t="inlineStr">
        <is>
          <t>daily-science</t>
        </is>
      </c>
      <c r="B134" s="18" t="inlineStr">
        <is>
          <t>なぜくしゃみの後だけ体が軽いのか？9割が知らない3秒間の神経反応【ショート】</t>
        </is>
      </c>
      <c r="C134" s="8" t="n">
        <v>374</v>
      </c>
      <c r="D134" s="8" t="n">
        <v>0</v>
      </c>
      <c r="E134" s="8" t="n">
        <v>2</v>
      </c>
      <c r="F134" s="8" t="n">
        <v>0</v>
      </c>
      <c r="G134" s="9">
        <f>IF(C134=0,0,D134/C134*1000)</f>
        <v>0.0</v>
      </c>
      <c r="H134" s="16" t="n">
        <v>53.7</v>
      </c>
      <c r="I134" s="7" t="inlineStr">
        <is>
          <t>08-17 18:27</t>
        </is>
      </c>
      <c r="J134" s="7" t="inlineStr"/>
    </row>
    <row r="135">
      <c r="A135" s="7" t="inlineStr">
        <is>
          <t>daily-science</t>
        </is>
      </c>
      <c r="B135" s="18" t="inlineStr">
        <is>
          <t>なぜ今、片方の手だけ冷たいのか？9割が見落とす2倍の血流差【ショート】</t>
        </is>
      </c>
      <c r="C135" s="8" t="n">
        <v>216</v>
      </c>
      <c r="D135" s="8" t="n">
        <v>0</v>
      </c>
      <c r="E135" s="8" t="n">
        <v>0</v>
      </c>
      <c r="F135" s="8" t="n">
        <v>0</v>
      </c>
      <c r="G135" s="9">
        <f>IF(C135=0,0,D135/C135*1000)</f>
        <v>0.0</v>
      </c>
      <c r="H135" s="16" t="n">
        <v>56</v>
      </c>
      <c r="I135" s="7" t="inlineStr">
        <is>
          <t>08-15 17:05</t>
        </is>
      </c>
      <c r="J135" s="7" t="inlineStr"/>
    </row>
    <row r="136">
      <c r="A136" s="22" t="inlineStr">
        <is>
          <t>daily-science</t>
        </is>
      </c>
      <c r="B136" s="25" t="inlineStr">
        <is>
          <t>なぜ今飲んだ炭酸は鼻までツーンとするのか？99%が知らない0.3秒の刺激ルート【ショート】</t>
        </is>
      </c>
      <c r="C136" s="23" t="n">
        <v>1105</v>
      </c>
      <c r="D136" s="23" t="n">
        <v>0</v>
      </c>
      <c r="E136" s="23" t="n">
        <v>3</v>
      </c>
      <c r="F136" s="23" t="n">
        <v>0</v>
      </c>
      <c r="G136" s="24">
        <f>IF(C136=0,0,D136/C136*1000)</f>
        <v>0.0</v>
      </c>
      <c r="H136" s="26" t="n">
        <v>35.4</v>
      </c>
      <c r="I136" s="22" t="inlineStr">
        <is>
          <t>08-14 17:05</t>
        </is>
      </c>
      <c r="J136" s="22" t="inlineStr">
        <is>
          <t>99%型</t>
        </is>
      </c>
    </row>
    <row r="137">
      <c r="A137" s="22" t="inlineStr">
        <is>
          <t>daily-science</t>
        </is>
      </c>
      <c r="B137" s="25" t="inlineStr">
        <is>
          <t>なぜ今目を閉じるとふらつくのか？99%が知らない最初の3秒の平衡感覚【ショート】</t>
        </is>
      </c>
      <c r="C137" s="23" t="n">
        <v>756</v>
      </c>
      <c r="D137" s="23" t="n">
        <v>0</v>
      </c>
      <c r="E137" s="23" t="n">
        <v>2</v>
      </c>
      <c r="F137" s="23" t="n">
        <v>0</v>
      </c>
      <c r="G137" s="24">
        <f>IF(C137=0,0,D137/C137*1000)</f>
        <v>0.0</v>
      </c>
      <c r="H137" s="26" t="n">
        <v>42.9</v>
      </c>
      <c r="I137" s="22" t="inlineStr">
        <is>
          <t>08-13 17:07</t>
        </is>
      </c>
      <c r="J137" s="22" t="inlineStr">
        <is>
          <t>99%型</t>
        </is>
      </c>
    </row>
    <row r="138">
      <c r="A138" s="7" t="inlineStr">
        <is>
          <t>daily-science</t>
        </is>
      </c>
      <c r="B138" s="18" t="inlineStr">
        <is>
          <t>今夜あなたが寝返りした瞬間、なぜ0.8秒だけ目が覚める？実は眠りが消える前の脳内チェック【ショート】</t>
        </is>
      </c>
      <c r="C138" s="8" t="n">
        <v>857</v>
      </c>
      <c r="D138" s="8" t="n">
        <v>0</v>
      </c>
      <c r="E138" s="8" t="n">
        <v>4</v>
      </c>
      <c r="F138" s="8" t="n">
        <v>0</v>
      </c>
      <c r="G138" s="9">
        <f>IF(C138=0,0,D138/C138*1000)</f>
        <v>0.0</v>
      </c>
      <c r="H138" s="16" t="n">
        <v>47.8</v>
      </c>
      <c r="I138" s="7" t="inlineStr">
        <is>
          <t>08-11 17:05</t>
        </is>
      </c>
      <c r="J138" s="7" t="inlineStr"/>
    </row>
    <row r="139">
      <c r="A139" s="7" t="inlineStr">
        <is>
          <t>daily-science</t>
        </is>
      </c>
      <c r="B139" s="18" t="inlineStr">
        <is>
          <t>なぜ今夜、布団で足だけ熱い？90%が勘違いする30分の放熱の正体【ショート】</t>
        </is>
      </c>
      <c r="C139" s="8" t="n">
        <v>779</v>
      </c>
      <c r="D139" s="8" t="n">
        <v>0</v>
      </c>
      <c r="E139" s="8" t="n">
        <v>4</v>
      </c>
      <c r="F139" s="8" t="n">
        <v>0</v>
      </c>
      <c r="G139" s="9">
        <f>IF(C139=0,0,D139/C139*1000)</f>
        <v>0.0</v>
      </c>
      <c r="H139" s="16" t="n">
        <v>53.5</v>
      </c>
      <c r="I139" s="7" t="inlineStr">
        <is>
          <t>08-10 17:06</t>
        </is>
      </c>
      <c r="J139" s="7" t="inlineStr"/>
    </row>
    <row r="140">
      <c r="A140" s="22" t="inlineStr">
        <is>
          <t>daily-science</t>
        </is>
      </c>
      <c r="B140" s="25" t="inlineStr">
        <is>
          <t>寝てる間だけ成長する？99%が知らない夜の体の秘密#寝ている間だけ分泌される『あのホルモン』——なぜ99%の人が睡眠中にしか成長できないのか？ #shorts #ゆっくり解説</t>
        </is>
      </c>
      <c r="C140" s="23" t="n">
        <v>804</v>
      </c>
      <c r="D140" s="23" t="n">
        <v>0</v>
      </c>
      <c r="E140" s="23" t="n">
        <v>1</v>
      </c>
      <c r="F140" s="23" t="n">
        <v>1</v>
      </c>
      <c r="G140" s="24">
        <f>IF(C140=0,0,D140/C140*1000)</f>
        <v>0.0</v>
      </c>
      <c r="H140" s="26" t="n">
        <v>36.6</v>
      </c>
      <c r="I140" s="22" t="inlineStr">
        <is>
          <t>08-10 09:52</t>
        </is>
      </c>
      <c r="J140" s="22" t="inlineStr">
        <is>
          <t>秘密 / 99%型</t>
        </is>
      </c>
    </row>
    <row r="141">
      <c r="A141" s="7" t="inlineStr">
        <is>
          <t>daily-science</t>
        </is>
      </c>
      <c r="B141" s="18" t="inlineStr">
        <is>
          <t>本を開いた瞬間に眠くなる理由集中しているのに眠い『逆説』の正体#本を読むと90%の人が5分以内に眠くなる——その『睡魔の罠』の正体、知ってる？ #shorts #ゆっくり解説</t>
        </is>
      </c>
      <c r="C141" s="8" t="n">
        <v>1038</v>
      </c>
      <c r="D141" s="8" t="n">
        <v>0</v>
      </c>
      <c r="E141" s="8" t="n">
        <v>4</v>
      </c>
      <c r="F141" s="8" t="n">
        <v>0</v>
      </c>
      <c r="G141" s="9">
        <f>IF(C141=0,0,D141/C141*1000)</f>
        <v>0.0</v>
      </c>
      <c r="H141" s="16" t="n">
        <v>44.3</v>
      </c>
      <c r="I141" s="7" t="inlineStr">
        <is>
          <t>08-10 09:16</t>
        </is>
      </c>
      <c r="J141" s="7" t="inlineStr"/>
    </row>
    <row r="142">
      <c r="A142" s="22" t="inlineStr">
        <is>
          <t>daily-science</t>
        </is>
      </c>
      <c r="B142" s="25" t="inlineStr">
        <is>
          <t>今朝なぜ寒い？99%が知らない体温0.5度の罠——目覚め直後に起きること【ショート】【ショート】</t>
        </is>
      </c>
      <c r="C142" s="23" t="n">
        <v>1044</v>
      </c>
      <c r="D142" s="23" t="n">
        <v>0</v>
      </c>
      <c r="E142" s="23" t="n">
        <v>6</v>
      </c>
      <c r="F142" s="23" t="n">
        <v>0</v>
      </c>
      <c r="G142" s="24">
        <f>IF(C142=0,0,D142/C142*1000)</f>
        <v>0.0</v>
      </c>
      <c r="H142" s="26" t="n">
        <v>46.8</v>
      </c>
      <c r="I142" s="22" t="inlineStr">
        <is>
          <t>08-09 17:08</t>
        </is>
      </c>
      <c r="J142" s="22" t="inlineStr">
        <is>
          <t>99%型</t>
        </is>
      </c>
    </row>
    <row r="143">
      <c r="A143" s="7" t="inlineStr">
        <is>
          <t>pokemon-lab</t>
        </is>
      </c>
      <c r="B143" s="18" t="inlineStr">
        <is>
          <t>君のサンダースだけ3個必要だった時代 #shorts #ポケモン #ポケモン雑学</t>
        </is>
      </c>
      <c r="C143" s="8" t="n">
        <v>935</v>
      </c>
      <c r="D143" s="8" t="n">
        <v>0</v>
      </c>
      <c r="E143" s="8" t="n">
        <v>0</v>
      </c>
      <c r="F143" s="8" t="n">
        <v>0</v>
      </c>
      <c r="G143" s="9">
        <f>IF(C143=0,0,D143/C143*1000)</f>
        <v>0.0</v>
      </c>
      <c r="H143" s="16" t="n">
        <v>55.9</v>
      </c>
      <c r="I143" s="7" t="inlineStr">
        <is>
          <t>09-05 17:30</t>
        </is>
      </c>
      <c r="J143" s="7" t="inlineStr"/>
    </row>
    <row r="144">
      <c r="A144" s="7" t="inlineStr">
        <is>
          <t>pokemon-lab</t>
        </is>
      </c>
      <c r="B144" s="18" t="inlineStr">
        <is>
          <t>ポケモンセンターが治療費0円で成り立つ理由がヤバい #shorts #ポケモン #ポケモン雑学</t>
        </is>
      </c>
      <c r="C144" s="8" t="n">
        <v>247</v>
      </c>
      <c r="D144" s="8" t="n">
        <v>0</v>
      </c>
      <c r="E144" s="8" t="n">
        <v>0</v>
      </c>
      <c r="F144" s="8" t="n">
        <v>0</v>
      </c>
      <c r="G144" s="9">
        <f>IF(C144=0,0,D144/C144*1000)</f>
        <v>0.0</v>
      </c>
      <c r="H144" s="16" t="n">
        <v>46.6</v>
      </c>
      <c r="I144" s="7" t="inlineStr">
        <is>
          <t>09-05 08:30</t>
        </is>
      </c>
      <c r="J144" s="7" t="inlineStr"/>
    </row>
    <row r="145">
      <c r="A145" s="7" t="inlineStr">
        <is>
          <t>pokemon-lab</t>
        </is>
      </c>
      <c r="B145" s="18" t="inlineStr">
        <is>
          <t>エースバーンのリベロ、1試合でしか変われない!? #shorts #ポケモン #ポケモン雑学</t>
        </is>
      </c>
      <c r="C145" s="8" t="n">
        <v>996</v>
      </c>
      <c r="D145" s="8" t="n">
        <v>0</v>
      </c>
      <c r="E145" s="8" t="n">
        <v>2</v>
      </c>
      <c r="F145" s="8" t="n">
        <v>0</v>
      </c>
      <c r="G145" s="9">
        <f>IF(C145=0,0,D145/C145*1000)</f>
        <v>0.0</v>
      </c>
      <c r="H145" s="16" t="n">
        <v>31.2</v>
      </c>
      <c r="I145" s="7" t="inlineStr">
        <is>
          <t>09-04 15:00</t>
        </is>
      </c>
      <c r="J145" s="7" t="inlineStr"/>
    </row>
    <row r="146">
      <c r="A146" s="7" t="inlineStr">
        <is>
          <t>pokemon-lab</t>
        </is>
      </c>
      <c r="B146" s="7" t="inlineStr">
        <is>
          <t>ピカチュウは10%なのになぜ看板？【ショート】</t>
        </is>
      </c>
      <c r="C146" s="8" t="n">
        <v>884</v>
      </c>
      <c r="D146" s="8" t="n">
        <v>0</v>
      </c>
      <c r="E146" s="8" t="n">
        <v>4</v>
      </c>
      <c r="F146" s="8" t="n">
        <v>0</v>
      </c>
      <c r="G146" s="9">
        <f>IF(C146=0,0,D146/C146*1000)</f>
        <v>0.0</v>
      </c>
      <c r="H146" s="16" t="n">
        <v>46.1</v>
      </c>
      <c r="I146" s="7" t="inlineStr">
        <is>
          <t>08-31 17:30</t>
        </is>
      </c>
      <c r="J146" s="7" t="inlineStr"/>
    </row>
    <row r="147">
      <c r="A147" s="22" t="inlineStr">
        <is>
          <t>pokemon-lab</t>
        </is>
      </c>
      <c r="B147" s="25" t="inlineStr">
        <is>
          <t>1分ポケモン研究 #22：😨ラプラスに隠された秘密、図鑑の1文で人間側がヤバい？【ショート】</t>
        </is>
      </c>
      <c r="C147" s="23" t="n">
        <v>322</v>
      </c>
      <c r="D147" s="23" t="n">
        <v>0</v>
      </c>
      <c r="E147" s="23" t="n">
        <v>0</v>
      </c>
      <c r="F147" s="23" t="n">
        <v>0</v>
      </c>
      <c r="G147" s="24">
        <f>IF(C147=0,0,D147/C147*1000)</f>
        <v>0.0</v>
      </c>
      <c r="H147" s="26" t="n">
        <v>30.9</v>
      </c>
      <c r="I147" s="22" t="inlineStr">
        <is>
          <t>08-30 18:00</t>
        </is>
      </c>
      <c r="J147" s="22" t="inlineStr">
        <is>
          <t>秘密</t>
        </is>
      </c>
    </row>
    <row r="148">
      <c r="A148" s="22" t="inlineStr">
        <is>
          <t>pokemon-lab</t>
        </is>
      </c>
      <c r="B148" s="25" t="inlineStr">
        <is>
          <t>1分ポケモン研究 #21：👀カビゴンが道を塞ぐ理由に隠された1日の秘密、あなたは気づいた？🔍【ショート】</t>
        </is>
      </c>
      <c r="C148" s="23" t="n">
        <v>1004</v>
      </c>
      <c r="D148" s="23" t="n">
        <v>0</v>
      </c>
      <c r="E148" s="23" t="n">
        <v>2</v>
      </c>
      <c r="F148" s="23" t="n">
        <v>0</v>
      </c>
      <c r="G148" s="24">
        <f>IF(C148=0,0,D148/C148*1000)</f>
        <v>0.0</v>
      </c>
      <c r="H148" s="26" t="n">
        <v>41</v>
      </c>
      <c r="I148" s="22" t="inlineStr">
        <is>
          <t>08-30 12:00</t>
        </is>
      </c>
      <c r="J148" s="22" t="inlineStr">
        <is>
          <t>秘密</t>
        </is>
      </c>
    </row>
    <row r="149">
      <c r="A149" s="22" t="inlineStr">
        <is>
          <t>pokemon-lab</t>
        </is>
      </c>
      <c r="B149" s="25" t="inlineStr">
        <is>
          <t>1分ポケモン研究 #20：👀GUポケモンコラボに隠された5つの秘密、ピカチュウだけじゃない理由は？❓【ショート】</t>
        </is>
      </c>
      <c r="C149" s="23" t="n">
        <v>1046</v>
      </c>
      <c r="D149" s="23" t="n">
        <v>0</v>
      </c>
      <c r="E149" s="23" t="n">
        <v>3</v>
      </c>
      <c r="F149" s="23" t="n">
        <v>0</v>
      </c>
      <c r="G149" s="24">
        <f>IF(C149=0,0,D149/C149*1000)</f>
        <v>0.0</v>
      </c>
      <c r="H149" s="26" t="n">
        <v>37.7</v>
      </c>
      <c r="I149" s="22" t="inlineStr">
        <is>
          <t>08-29 12:00</t>
        </is>
      </c>
      <c r="J149" s="22" t="inlineStr">
        <is>
          <t>秘密</t>
        </is>
      </c>
    </row>
    <row r="150">
      <c r="A150" s="22" t="inlineStr">
        <is>
          <t>pokemon-lab</t>
        </is>
      </c>
      <c r="B150" s="25" t="inlineStr">
        <is>
          <t>1分ポケモン研究 #19：🕵️ケッキングに隠された2ターンの秘密、種族値670なのになぜ使えない？【ショート】</t>
        </is>
      </c>
      <c r="C150" s="23" t="n">
        <v>934</v>
      </c>
      <c r="D150" s="23" t="n">
        <v>0</v>
      </c>
      <c r="E150" s="23" t="n">
        <v>3</v>
      </c>
      <c r="F150" s="23" t="n">
        <v>0</v>
      </c>
      <c r="G150" s="24">
        <f>IF(C150=0,0,D150/C150*1000)</f>
        <v>0.0</v>
      </c>
      <c r="H150" s="26" t="n">
        <v>39.4</v>
      </c>
      <c r="I150" s="22" t="inlineStr">
        <is>
          <t>08-28 17:30</t>
        </is>
      </c>
      <c r="J150" s="22" t="inlineStr">
        <is>
          <t>秘密</t>
        </is>
      </c>
    </row>
    <row r="151">
      <c r="A151" s="22" t="inlineStr">
        <is>
          <t>pokemon-lab</t>
        </is>
      </c>
      <c r="B151" s="25" t="inlineStr">
        <is>
          <t>1分ポケモン研究 #17：👀ミュウツーに隠された3手先の秘密、AIはなぜ交代を読める？【ショート】</t>
        </is>
      </c>
      <c r="C151" s="23" t="n">
        <v>866</v>
      </c>
      <c r="D151" s="23" t="n">
        <v>0</v>
      </c>
      <c r="E151" s="23" t="n">
        <v>3</v>
      </c>
      <c r="F151" s="23" t="n">
        <v>1</v>
      </c>
      <c r="G151" s="24">
        <f>IF(C151=0,0,D151/C151*1000)</f>
        <v>0.0</v>
      </c>
      <c r="H151" s="26" t="n">
        <v>41.9</v>
      </c>
      <c r="I151" s="22" t="inlineStr">
        <is>
          <t>08-27 17:30</t>
        </is>
      </c>
      <c r="J151" s="22" t="inlineStr">
        <is>
          <t>秘密</t>
        </is>
      </c>
    </row>
    <row r="152">
      <c r="A152" s="22" t="inlineStr">
        <is>
          <t>pokemon-lab</t>
        </is>
      </c>
      <c r="B152" s="25" t="inlineStr">
        <is>
          <t>1分ポケモン研究 #15：👀シャンデラに隠された秘密、なぜ霊タイプ？君が知らない3つの由来【ショート】</t>
        </is>
      </c>
      <c r="C152" s="23" t="n">
        <v>921</v>
      </c>
      <c r="D152" s="23" t="n">
        <v>0</v>
      </c>
      <c r="E152" s="23" t="n">
        <v>1</v>
      </c>
      <c r="F152" s="23" t="n">
        <v>0</v>
      </c>
      <c r="G152" s="24">
        <f>IF(C152=0,0,D152/C152*1000)</f>
        <v>0.0</v>
      </c>
      <c r="H152" s="26" t="n">
        <v>25</v>
      </c>
      <c r="I152" s="22" t="inlineStr">
        <is>
          <t>08-26 17:30</t>
        </is>
      </c>
      <c r="J152" s="22" t="inlineStr">
        <is>
          <t>秘密</t>
        </is>
      </c>
    </row>
    <row r="153">
      <c r="A153" s="22" t="inlineStr">
        <is>
          <t>pokemon-lab</t>
        </is>
      </c>
      <c r="B153" s="25" t="inlineStr">
        <is>
          <t>1分ポケモン研究 #14：👀ロケット団に隠された3つの秘密、あなたは本当の目的を知ってる？【ショート】</t>
        </is>
      </c>
      <c r="C153" s="23" t="n">
        <v>842</v>
      </c>
      <c r="D153" s="23" t="n">
        <v>0</v>
      </c>
      <c r="E153" s="23" t="n">
        <v>3</v>
      </c>
      <c r="F153" s="23" t="n">
        <v>0</v>
      </c>
      <c r="G153" s="24">
        <f>IF(C153=0,0,D153/C153*1000)</f>
        <v>0.0</v>
      </c>
      <c r="H153" s="26" t="n">
        <v>35.1</v>
      </c>
      <c r="I153" s="22" t="inlineStr">
        <is>
          <t>08-25 17:30</t>
        </is>
      </c>
      <c r="J153" s="22" t="inlineStr">
        <is>
          <t>秘密</t>
        </is>
      </c>
    </row>
    <row r="154">
      <c r="A154" s="7" t="inlineStr">
        <is>
          <t>pokemon-lab</t>
        </is>
      </c>
      <c r="B154" s="18" t="inlineStr">
        <is>
          <t>1分ポケモン研究 #12：💧サーナイトとエルレイド、君はなぜ2つの攻撃で迷う？【ショート】</t>
        </is>
      </c>
      <c r="C154" s="8" t="n">
        <v>712</v>
      </c>
      <c r="D154" s="8" t="n">
        <v>0</v>
      </c>
      <c r="E154" s="8" t="n">
        <v>0</v>
      </c>
      <c r="F154" s="8" t="n">
        <v>0</v>
      </c>
      <c r="G154" s="9">
        <f>IF(C154=0,0,D154/C154*1000)</f>
        <v>0.0</v>
      </c>
      <c r="H154" s="16" t="n">
        <v>25.4</v>
      </c>
      <c r="I154" s="7" t="inlineStr">
        <is>
          <t>08-22 12:00</t>
        </is>
      </c>
      <c r="J154" s="7" t="inlineStr"/>
    </row>
    <row r="155">
      <c r="A155" s="7" t="inlineStr">
        <is>
          <t>pokemon-lab</t>
        </is>
      </c>
      <c r="B155" s="18" t="inlineStr">
        <is>
          <t>1分ポケモン研究 #10：🔥あなたの飲み物を6時間守るポケモン、なぜ存在する？【ショート】</t>
        </is>
      </c>
      <c r="C155" s="8" t="n">
        <v>1017</v>
      </c>
      <c r="D155" s="8" t="n">
        <v>0</v>
      </c>
      <c r="E155" s="8" t="n">
        <v>3</v>
      </c>
      <c r="F155" s="8" t="n">
        <v>0</v>
      </c>
      <c r="G155" s="9">
        <f>IF(C155=0,0,D155/C155*1000)</f>
        <v>0.0</v>
      </c>
      <c r="H155" s="16" t="n">
        <v>23.5</v>
      </c>
      <c r="I155" s="7" t="inlineStr">
        <is>
          <t>08-21 15:07</t>
        </is>
      </c>
      <c r="J155" s="7" t="inlineStr"/>
    </row>
    <row r="156">
      <c r="A156" s="7" t="inlineStr">
        <is>
          <t>pokemon-lab</t>
        </is>
      </c>
      <c r="B156" s="18" t="inlineStr">
        <is>
          <t>1分ポケモン研究 #9：🎮カイオーガとグラードン、天候を2回張ったらどっちが勝つ？【ショート】</t>
        </is>
      </c>
      <c r="C156" s="8" t="n">
        <v>1075</v>
      </c>
      <c r="D156" s="8" t="n">
        <v>0</v>
      </c>
      <c r="E156" s="8" t="n">
        <v>1</v>
      </c>
      <c r="F156" s="8" t="n">
        <v>1</v>
      </c>
      <c r="G156" s="9">
        <f>IF(C156=0,0,D156/C156*1000)</f>
        <v>0.0</v>
      </c>
      <c r="H156" s="16" t="n">
        <v>27.5</v>
      </c>
      <c r="I156" s="7" t="inlineStr">
        <is>
          <t>08-20 17:30</t>
        </is>
      </c>
      <c r="J156" s="7" t="inlineStr"/>
    </row>
    <row r="157">
      <c r="A157" s="7" t="inlineStr">
        <is>
          <t>pokemon-lab</t>
        </is>
      </c>
      <c r="B157" s="18" t="inlineStr">
        <is>
          <t>ガブリアスとボーマンダ、素早さ1でどっちが勝つ？君は気づけるか【ショート】</t>
        </is>
      </c>
      <c r="C157" s="8" t="n">
        <v>1308</v>
      </c>
      <c r="D157" s="8" t="n">
        <v>0</v>
      </c>
      <c r="E157" s="8" t="n">
        <v>1</v>
      </c>
      <c r="F157" s="8" t="n">
        <v>2</v>
      </c>
      <c r="G157" s="9">
        <f>IF(C157=0,0,D157/C157*1000)</f>
        <v>0.0</v>
      </c>
      <c r="H157" s="16" t="n">
        <v>39.1</v>
      </c>
      <c r="I157" s="7" t="inlineStr">
        <is>
          <t>08-19 17:30</t>
        </is>
      </c>
      <c r="J157" s="7" t="inlineStr"/>
    </row>
    <row r="158">
      <c r="A158" s="7" t="inlineStr">
        <is>
          <t>pokemon-lab</t>
        </is>
      </c>
      <c r="B158" s="18" t="inlineStr">
        <is>
          <t>リザードンとカイリュー、どっちが勝つ？4倍弱点で勝敗がひっくり返る【ショート】</t>
        </is>
      </c>
      <c r="C158" s="8" t="n">
        <v>1637</v>
      </c>
      <c r="D158" s="8" t="n">
        <v>0</v>
      </c>
      <c r="E158" s="8" t="n">
        <v>5</v>
      </c>
      <c r="F158" s="8" t="n">
        <v>0</v>
      </c>
      <c r="G158" s="9">
        <f>IF(C158=0,0,D158/C158*1000)</f>
        <v>0.0</v>
      </c>
      <c r="H158" s="16" t="n">
        <v>70.90000000000001</v>
      </c>
      <c r="I158" s="7" t="inlineStr">
        <is>
          <t>08-18 18:06</t>
        </is>
      </c>
      <c r="J158" s="7" t="inlineStr"/>
    </row>
    <row r="159">
      <c r="A159" s="7" t="inlineStr">
        <is>
          <t>pokemon-lab</t>
        </is>
      </c>
      <c r="B159" s="18" t="inlineStr">
        <is>
          <t>バンギラスとメタグロス、どっちが勝つ？600族対決は持ち物1つで逆転する【ショート】</t>
        </is>
      </c>
      <c r="C159" s="8" t="n">
        <v>1971</v>
      </c>
      <c r="D159" s="8" t="n">
        <v>0</v>
      </c>
      <c r="E159" s="8" t="n">
        <v>5</v>
      </c>
      <c r="F159" s="8" t="n">
        <v>0</v>
      </c>
      <c r="G159" s="9">
        <f>IF(C159=0,0,D159/C159*1000)</f>
        <v>0.0</v>
      </c>
      <c r="H159" s="16" t="n">
        <v>69.40000000000001</v>
      </c>
      <c r="I159" s="7" t="inlineStr">
        <is>
          <t>08-17 18:06</t>
        </is>
      </c>
      <c r="J159" s="7" t="inlineStr"/>
    </row>
    <row r="160">
      <c r="A160" s="7" t="inlineStr">
        <is>
          <t>pokemon-lab</t>
        </is>
      </c>
      <c r="B160" s="18" t="inlineStr">
        <is>
          <t>ホウオウとルギア、まともに戦わせたらどっちが勝つのか【ショート】</t>
        </is>
      </c>
      <c r="C160" s="8" t="n">
        <v>1557</v>
      </c>
      <c r="D160" s="8" t="n">
        <v>0</v>
      </c>
      <c r="E160" s="8" t="n">
        <v>2</v>
      </c>
      <c r="F160" s="8" t="n">
        <v>1</v>
      </c>
      <c r="G160" s="9">
        <f>IF(C160=0,0,D160/C160*1000)</f>
        <v>0.0</v>
      </c>
      <c r="H160" s="16" t="n">
        <v>65.3</v>
      </c>
      <c r="I160" s="7" t="inlineStr">
        <is>
          <t>08-15 18:05</t>
        </is>
      </c>
      <c r="J160" s="7" t="inlineStr"/>
    </row>
    <row r="161">
      <c r="A161" s="7" t="inlineStr">
        <is>
          <t>pokemon-lab</t>
        </is>
      </c>
      <c r="B161" s="18" t="inlineStr">
        <is>
          <t>なぜパルキアは勝てないと言われる？ウルトラネクロズマとの数字差が意外すぎる【ショート】</t>
        </is>
      </c>
      <c r="C161" s="8" t="n">
        <v>1790</v>
      </c>
      <c r="D161" s="8" t="n">
        <v>0</v>
      </c>
      <c r="E161" s="8" t="n">
        <v>7</v>
      </c>
      <c r="F161" s="8" t="n">
        <v>0</v>
      </c>
      <c r="G161" s="9">
        <f>IF(C161=0,0,D161/C161*1000)</f>
        <v>0.0</v>
      </c>
      <c r="H161" s="16" t="n">
        <v>55.1</v>
      </c>
      <c r="I161" s="7" t="inlineStr">
        <is>
          <t>08-12 18:06</t>
        </is>
      </c>
      <c r="J161" s="7" t="inlineStr"/>
    </row>
    <row r="162">
      <c r="A162" s="7" t="inlineStr">
        <is>
          <t>pokemon-lab</t>
        </is>
      </c>
      <c r="B162" s="18" t="inlineStr">
        <is>
          <t>なぜメタグロスはサーフゴーに勝てない？持ち物1つで逆転する本当の理由【ショート】</t>
        </is>
      </c>
      <c r="C162" s="8" t="n">
        <v>1679</v>
      </c>
      <c r="D162" s="8" t="n">
        <v>0</v>
      </c>
      <c r="E162" s="8" t="n">
        <v>0</v>
      </c>
      <c r="F162" s="8" t="n">
        <v>0</v>
      </c>
      <c r="G162" s="9">
        <f>IF(C162=0,0,D162/C162*1000)</f>
        <v>0.0</v>
      </c>
      <c r="H162" s="16" t="n">
        <v>57</v>
      </c>
      <c r="I162" s="7" t="inlineStr">
        <is>
          <t>08-11 18:06</t>
        </is>
      </c>
      <c r="J162" s="7" t="inlineStr"/>
    </row>
    <row r="163">
      <c r="A163" s="22" t="inlineStr">
        <is>
          <t>pokemon-lab</t>
        </is>
      </c>
      <c r="B163" s="25" t="inlineStr">
        <is>
          <t>なぜ同じドラゴンなのに勝敗が割れるのか？カイリューとボーマンダの隠された実戦性能の秘密【ショート】</t>
        </is>
      </c>
      <c r="C163" s="23" t="n">
        <v>1289</v>
      </c>
      <c r="D163" s="23" t="n">
        <v>0</v>
      </c>
      <c r="E163" s="23" t="n">
        <v>4</v>
      </c>
      <c r="F163" s="23" t="n">
        <v>0</v>
      </c>
      <c r="G163" s="24">
        <f>IF(C163=0,0,D163/C163*1000)</f>
        <v>0.0</v>
      </c>
      <c r="H163" s="26" t="n">
        <v>53.2</v>
      </c>
      <c r="I163" s="22" t="inlineStr">
        <is>
          <t>08-10 18:06</t>
        </is>
      </c>
      <c r="J163" s="22" t="inlineStr">
        <is>
          <t>秘密</t>
        </is>
      </c>
    </row>
    <row r="164">
      <c r="A164" s="7" t="inlineStr">
        <is>
          <t>scp-lab</t>
        </is>
      </c>
      <c r="B164" s="18" t="inlineStr">
        <is>
          <t>SCP-2006 笑い声を聞いた12名に起きた異変 #shorts #SCP #SCP解説</t>
        </is>
      </c>
      <c r="C164" s="8" t="n">
        <v>901</v>
      </c>
      <c r="D164" s="8" t="n">
        <v>0</v>
      </c>
      <c r="E164" s="8" t="n">
        <v>4</v>
      </c>
      <c r="F164" s="8" t="n">
        <v>0</v>
      </c>
      <c r="G164" s="9">
        <f>IF(C164=0,0,D164/C164*1000)</f>
        <v>0.0</v>
      </c>
      <c r="H164" s="16" t="n">
        <v>39</v>
      </c>
      <c r="I164" s="7" t="inlineStr">
        <is>
          <t>09-05 17:00</t>
        </is>
      </c>
      <c r="J164" s="7" t="inlineStr"/>
    </row>
    <row r="165">
      <c r="A165" s="7" t="inlineStr">
        <is>
          <t>scp-lab</t>
        </is>
      </c>
      <c r="B165" s="18" t="inlineStr">
        <is>
          <t>SCP-███ 持ち出した報告書が3日後に戻った #shorts #SCP #SCP解説</t>
        </is>
      </c>
      <c r="C165" s="8" t="n">
        <v>252</v>
      </c>
      <c r="D165" s="8" t="n">
        <v>0</v>
      </c>
      <c r="E165" s="8" t="n">
        <v>0</v>
      </c>
      <c r="F165" s="8" t="n">
        <v>0</v>
      </c>
      <c r="G165" s="9">
        <f>IF(C165=0,0,D165/C165*1000)</f>
        <v>0.0</v>
      </c>
      <c r="H165" s="16" t="n">
        <v>29.5</v>
      </c>
      <c r="I165" s="7" t="inlineStr">
        <is>
          <t>09-05 13:00</t>
        </is>
      </c>
      <c r="J165" s="7" t="inlineStr"/>
    </row>
    <row r="166">
      <c r="A166" s="7" t="inlineStr">
        <is>
          <t>scp-lab</t>
        </is>
      </c>
      <c r="B166" s="18" t="inlineStr">
        <is>
          <t>SCP記録係12名が最後に揃って書いた42字 #shorts #SCP #SCP解説</t>
        </is>
      </c>
      <c r="C166" s="8" t="n">
        <v>263</v>
      </c>
      <c r="D166" s="8" t="n">
        <v>0</v>
      </c>
      <c r="E166" s="8" t="n">
        <v>0</v>
      </c>
      <c r="F166" s="8" t="n">
        <v>0</v>
      </c>
      <c r="G166" s="9">
        <f>IF(C166=0,0,D166/C166*1000)</f>
        <v>0.0</v>
      </c>
      <c r="H166" s="16" t="n">
        <v>42.9</v>
      </c>
      <c r="I166" s="7" t="inlineStr">
        <is>
          <t>09-04 19:00</t>
        </is>
      </c>
      <c r="J166" s="7" t="inlineStr"/>
    </row>
    <row r="167">
      <c r="A167" s="7" t="inlineStr">
        <is>
          <t>scp-lab</t>
        </is>
      </c>
      <c r="B167" s="18" t="inlineStr">
        <is>
          <t>実は3秒で全生命が死んだ地球、その本当の理由はなぜ？【ショート】</t>
        </is>
      </c>
      <c r="C167" s="8" t="n">
        <v>623</v>
      </c>
      <c r="D167" s="8" t="n">
        <v>0</v>
      </c>
      <c r="E167" s="8" t="n">
        <v>1</v>
      </c>
      <c r="F167" s="8" t="n">
        <v>0</v>
      </c>
      <c r="G167" s="9">
        <f>IF(C167=0,0,D167/C167*1000)</f>
        <v>0.0</v>
      </c>
      <c r="H167" s="16" t="n">
        <v>49</v>
      </c>
      <c r="I167" s="7" t="inlineStr">
        <is>
          <t>08-31 09:00</t>
        </is>
      </c>
      <c r="J167" s="7" t="inlineStr"/>
    </row>
    <row r="168">
      <c r="A168" s="7" t="inlineStr">
        <is>
          <t>scp-lab</t>
        </is>
      </c>
      <c r="B168" s="18" t="inlineStr">
        <is>
          <t>一口SCP #110：🫣SCP-███「投稿者の編集室」君の部屋にも現れる課金地獄の恐怖💀【ショート】</t>
        </is>
      </c>
      <c r="C168" s="8" t="n">
        <v>992</v>
      </c>
      <c r="D168" s="8" t="n">
        <v>0</v>
      </c>
      <c r="E168" s="8" t="n">
        <v>8</v>
      </c>
      <c r="F168" s="8" t="n">
        <v>0</v>
      </c>
      <c r="G168" s="9">
        <f>IF(C168=0,0,D168/C168*1000)</f>
        <v>0.0</v>
      </c>
      <c r="H168" s="16" t="n">
        <v>28.3</v>
      </c>
      <c r="I168" s="7" t="inlineStr">
        <is>
          <t>08-30 13:00</t>
        </is>
      </c>
      <c r="J168" s="7" t="inlineStr"/>
    </row>
    <row r="169">
      <c r="A169" s="7" t="inlineStr">
        <is>
          <t>scp-lab</t>
        </is>
      </c>
      <c r="B169" s="18" t="inlineStr">
        <is>
          <t>一口SCP #109：🫣SCP-2480「未完の儀式」記録9名だけが残った収容不能の恐怖【ショート】</t>
        </is>
      </c>
      <c r="C169" s="8" t="n">
        <v>718</v>
      </c>
      <c r="D169" s="8" t="n">
        <v>0</v>
      </c>
      <c r="E169" s="8" t="n">
        <v>0</v>
      </c>
      <c r="F169" s="8" t="n">
        <v>0</v>
      </c>
      <c r="G169" s="9">
        <f>IF(C169=0,0,D169/C169*1000)</f>
        <v>0.0</v>
      </c>
      <c r="H169" s="16" t="n">
        <v>39.1</v>
      </c>
      <c r="I169" s="7" t="inlineStr">
        <is>
          <t>08-29 19:00</t>
        </is>
      </c>
      <c r="J169" s="7" t="inlineStr"/>
    </row>
    <row r="170">
      <c r="A170" s="7" t="inlineStr">
        <is>
          <t>scp-lab</t>
        </is>
      </c>
      <c r="B170" s="18" t="inlineStr">
        <is>
          <t>一口SCP #106：🫣MTFアルファからオメガ、あなたの部屋にも来る財団極秘作戦の恐怖💀【ショート】</t>
        </is>
      </c>
      <c r="C170" s="8" t="n">
        <v>955</v>
      </c>
      <c r="D170" s="8" t="n">
        <v>0</v>
      </c>
      <c r="E170" s="8" t="n">
        <v>4</v>
      </c>
      <c r="F170" s="8" t="n">
        <v>0</v>
      </c>
      <c r="G170" s="9">
        <f>IF(C170=0,0,D170/C170*1000)</f>
        <v>0.0</v>
      </c>
      <c r="H170" s="16" t="n">
        <v>27.4</v>
      </c>
      <c r="I170" s="7" t="inlineStr">
        <is>
          <t>08-28 14:12</t>
        </is>
      </c>
      <c r="J170" s="7" t="inlineStr"/>
    </row>
    <row r="171">
      <c r="A171" s="7" t="inlineStr">
        <is>
          <t>scp-lab</t>
        </is>
      </c>
      <c r="B171" s="18" t="inlineStr">
        <is>
          <t>一口SCP #101：🫣SCP-雷撃記録、あなたの部屋まで届く落雷恐怖【ショート】</t>
        </is>
      </c>
      <c r="C171" s="8" t="n">
        <v>1003</v>
      </c>
      <c r="D171" s="8" t="n">
        <v>0</v>
      </c>
      <c r="E171" s="8" t="n">
        <v>7</v>
      </c>
      <c r="F171" s="8" t="n">
        <v>0</v>
      </c>
      <c r="G171" s="9">
        <f>IF(C171=0,0,D171/C171*1000)</f>
        <v>0.0</v>
      </c>
      <c r="H171" s="16" t="n">
        <v>24.9</v>
      </c>
      <c r="I171" s="7" t="inlineStr">
        <is>
          <t>08-26 09:00</t>
        </is>
      </c>
      <c r="J171" s="7" t="inlineStr"/>
    </row>
    <row r="172">
      <c r="A172" s="7" t="inlineStr">
        <is>
          <t>scp-lab</t>
        </is>
      </c>
      <c r="B172" s="18" t="inlineStr">
        <is>
          <t>なぜ航路の先で記録が消えるのか？SCP-1783-JPの本当の恐怖【ショート】</t>
        </is>
      </c>
      <c r="C172" s="8" t="n">
        <v>942</v>
      </c>
      <c r="D172" s="8" t="n">
        <v>0</v>
      </c>
      <c r="E172" s="8" t="n">
        <v>0</v>
      </c>
      <c r="F172" s="8" t="n">
        <v>0</v>
      </c>
      <c r="G172" s="9">
        <f>IF(C172=0,0,D172/C172*1000)</f>
        <v>0.0</v>
      </c>
      <c r="H172" s="16" t="n">
        <v>32.8</v>
      </c>
      <c r="I172" s="7" t="inlineStr">
        <is>
          <t>08-25 19:00</t>
        </is>
      </c>
      <c r="J172" s="7" t="inlineStr"/>
    </row>
    <row r="173">
      <c r="A173" s="7" t="inlineStr">
        <is>
          <t>scp-lab</t>
        </is>
      </c>
      <c r="B173" s="7" t="inlineStr">
        <is>
          <t>太陽系の番人SCP-179が沈黙を恐れる理由【ショート】</t>
        </is>
      </c>
      <c r="C173" s="8" t="n">
        <v>255</v>
      </c>
      <c r="D173" s="8" t="n">
        <v>0</v>
      </c>
      <c r="E173" s="8" t="n">
        <v>0</v>
      </c>
      <c r="F173" s="8" t="n">
        <v>0</v>
      </c>
      <c r="G173" s="9">
        <f>IF(C173=0,0,D173/C173*1000)</f>
        <v>0.0</v>
      </c>
      <c r="H173" s="16" t="n">
        <v>37.9</v>
      </c>
      <c r="I173" s="7" t="inlineStr">
        <is>
          <t>08-25 12:09</t>
        </is>
      </c>
      <c r="J173" s="7" t="inlineStr"/>
    </row>
    <row r="174">
      <c r="A174" s="7" t="inlineStr">
        <is>
          <t>scp-lab</t>
        </is>
      </c>
      <c r="B174" s="18" t="inlineStr">
        <is>
          <t>一口SCP #98：🫣SCP-1048「ビルダーベア」Safe判定が招いた収容違反の恐怖😱【ショート】</t>
        </is>
      </c>
      <c r="C174" s="8" t="n">
        <v>1011</v>
      </c>
      <c r="D174" s="8" t="n">
        <v>0</v>
      </c>
      <c r="E174" s="8" t="n">
        <v>3</v>
      </c>
      <c r="F174" s="8" t="n">
        <v>0</v>
      </c>
      <c r="G174" s="9">
        <f>IF(C174=0,0,D174/C174*1000)</f>
        <v>0.0</v>
      </c>
      <c r="H174" s="16" t="n">
        <v>24.7</v>
      </c>
      <c r="I174" s="7" t="inlineStr">
        <is>
          <t>08-24 09:00</t>
        </is>
      </c>
      <c r="J174" s="7" t="inlineStr"/>
    </row>
    <row r="175">
      <c r="A175" s="22" t="inlineStr">
        <is>
          <t>scp-lab</t>
        </is>
      </c>
      <c r="B175" s="25" t="inlineStr">
        <is>
          <t>一口SCP #94：🔒SCP-2306「実在しない部屋」— 図面に無い1室、調査員4名の記録だけが残った⚠️【ショート】</t>
        </is>
      </c>
      <c r="C175" s="23" t="n">
        <v>396</v>
      </c>
      <c r="D175" s="23" t="n">
        <v>0</v>
      </c>
      <c r="E175" s="23" t="n">
        <v>3</v>
      </c>
      <c r="F175" s="23" t="n">
        <v>0</v>
      </c>
      <c r="G175" s="24">
        <f>IF(C175=0,0,D175/C175*1000)</f>
        <v>0.0</v>
      </c>
      <c r="H175" s="26" t="n">
        <v>26.2</v>
      </c>
      <c r="I175" s="22" t="inlineStr">
        <is>
          <t>08-22 13:00</t>
        </is>
      </c>
      <c r="J175" s="22" t="inlineStr">
        <is>
          <t>記録票フォーマット</t>
        </is>
      </c>
    </row>
    <row r="176">
      <c r="A176" s="22" t="inlineStr">
        <is>
          <t>scp-lab</t>
        </is>
      </c>
      <c r="B176" s="25" t="inlineStr">
        <is>
          <t>一口SCP #92：👁️SCP-3120「異常な戦闘機」— 試験飛行9回、操縦席から帰還した隊員は1名だった【ショート】</t>
        </is>
      </c>
      <c r="C176" s="23" t="n">
        <v>961</v>
      </c>
      <c r="D176" s="23" t="n">
        <v>0</v>
      </c>
      <c r="E176" s="23" t="n">
        <v>5</v>
      </c>
      <c r="F176" s="23" t="n">
        <v>0</v>
      </c>
      <c r="G176" s="24">
        <f>IF(C176=0,0,D176/C176*1000)</f>
        <v>0.0</v>
      </c>
      <c r="H176" s="26" t="n">
        <v>26.7</v>
      </c>
      <c r="I176" s="22" t="inlineStr">
        <is>
          <t>08-21 15:06</t>
        </is>
      </c>
      <c r="J176" s="22" t="inlineStr">
        <is>
          <t>記録票フォーマット</t>
        </is>
      </c>
    </row>
    <row r="177">
      <c r="A177" s="22" t="inlineStr">
        <is>
          <t>scp-lab</t>
        </is>
      </c>
      <c r="B177" s="25" t="inlineStr">
        <is>
          <t>SCP-2525「異常なゲーム」— 死亡記録23件、勝利条件は未達成【ショート】</t>
        </is>
      </c>
      <c r="C177" s="23" t="n">
        <v>881</v>
      </c>
      <c r="D177" s="23" t="n">
        <v>0</v>
      </c>
      <c r="E177" s="23" t="n">
        <v>9</v>
      </c>
      <c r="F177" s="23" t="n">
        <v>0</v>
      </c>
      <c r="G177" s="24">
        <f>IF(C177=0,0,D177/C177*1000)</f>
        <v>0.0</v>
      </c>
      <c r="H177" s="26" t="n">
        <v>51.8</v>
      </c>
      <c r="I177" s="22" t="inlineStr">
        <is>
          <t>08-17 18:28</t>
        </is>
      </c>
      <c r="J177" s="22" t="inlineStr">
        <is>
          <t>記録票フォーマット</t>
        </is>
      </c>
    </row>
    <row r="178">
      <c r="A178" s="7" t="inlineStr">
        <is>
          <t>scp-lab</t>
        </is>
      </c>
      <c r="B178" s="7" t="inlineStr">
        <is>
          <t>SCP-055の報告書に残った奇妙な空欄とは？【ショート】</t>
        </is>
      </c>
      <c r="C178" s="8" t="n">
        <v>926</v>
      </c>
      <c r="D178" s="8" t="n">
        <v>0</v>
      </c>
      <c r="E178" s="8" t="n">
        <v>5</v>
      </c>
      <c r="F178" s="8" t="n">
        <v>0</v>
      </c>
      <c r="G178" s="9">
        <f>IF(C178=0,0,D178/C178*1000)</f>
        <v>0.0</v>
      </c>
      <c r="H178" s="16" t="n">
        <v>0</v>
      </c>
      <c r="I178" s="7" t="inlineStr">
        <is>
          <t>08-17 18:27</t>
        </is>
      </c>
      <c r="J178" s="7" t="inlineStr"/>
    </row>
    <row r="179">
      <c r="A179" s="22" t="inlineStr">
        <is>
          <t>scp-lab</t>
        </is>
      </c>
      <c r="B179" s="25" t="inlineStr">
        <is>
          <t>SCP-7004「終末の観測者」— 収容都市は9日で住民全員を失った【最後の記録】【ショート】</t>
        </is>
      </c>
      <c r="C179" s="23" t="n">
        <v>1136</v>
      </c>
      <c r="D179" s="23" t="n">
        <v>0</v>
      </c>
      <c r="E179" s="23" t="n">
        <v>3</v>
      </c>
      <c r="F179" s="23" t="n">
        <v>0</v>
      </c>
      <c r="G179" s="24">
        <f>IF(C179=0,0,D179/C179*1000)</f>
        <v>0.0</v>
      </c>
      <c r="H179" s="26" t="n">
        <v>53.2</v>
      </c>
      <c r="I179" s="22" t="inlineStr">
        <is>
          <t>08-15 09:06</t>
        </is>
      </c>
      <c r="J179" s="22" t="inlineStr">
        <is>
          <t>記録票フォーマット</t>
        </is>
      </c>
    </row>
    <row r="180">
      <c r="A180" s="22" t="inlineStr">
        <is>
          <t>scp-lab</t>
        </is>
      </c>
      <c r="B180" s="25" t="inlineStr">
        <is>
          <t>SCP-701「吊られた王の悲劇」— 上演記録14件、観客の生存率は21%【ショート】</t>
        </is>
      </c>
      <c r="C180" s="23" t="n">
        <v>969</v>
      </c>
      <c r="D180" s="23" t="n">
        <v>0</v>
      </c>
      <c r="E180" s="23" t="n">
        <v>3</v>
      </c>
      <c r="F180" s="23" t="n">
        <v>0</v>
      </c>
      <c r="G180" s="24">
        <f>IF(C180=0,0,D180/C180*1000)</f>
        <v>0.0</v>
      </c>
      <c r="H180" s="26" t="n">
        <v>46.2</v>
      </c>
      <c r="I180" s="22" t="inlineStr">
        <is>
          <t>08-14 09:07</t>
        </is>
      </c>
      <c r="J180" s="22" t="inlineStr">
        <is>
          <t>記録票フォーマット</t>
        </is>
      </c>
    </row>
    <row r="181">
      <c r="A181" s="22" t="inlineStr">
        <is>
          <t>scp-lab</t>
        </is>
      </c>
      <c r="B181" s="25" t="inlineStr">
        <is>
          <t>SCP-1690「廃棄された文明の記録」— 発掘地点12か所、通信断絶から83年後に収容【ショート】</t>
        </is>
      </c>
      <c r="C181" s="23" t="n">
        <v>1075</v>
      </c>
      <c r="D181" s="23" t="n">
        <v>0</v>
      </c>
      <c r="E181" s="23" t="n">
        <v>0</v>
      </c>
      <c r="F181" s="23" t="n">
        <v>0</v>
      </c>
      <c r="G181" s="24">
        <f>IF(C181=0,0,D181/C181*1000)</f>
        <v>0.0</v>
      </c>
      <c r="H181" s="26" t="n">
        <v>86.5</v>
      </c>
      <c r="I181" s="22" t="inlineStr">
        <is>
          <t>08-13 09:07</t>
        </is>
      </c>
      <c r="J181" s="22" t="inlineStr">
        <is>
          <t>記録票フォーマット</t>
        </is>
      </c>
    </row>
    <row r="182">
      <c r="A182" s="7" t="inlineStr">
        <is>
          <t>yokai-watch</t>
        </is>
      </c>
      <c r="B182" s="18" t="inlineStr">
        <is>
          <t>雪女が去り際に名を呼ぶ理由…約束を破った男の末路 #shorts #妖怪 #都市伝説</t>
        </is>
      </c>
      <c r="C182" s="8" t="n">
        <v>1008</v>
      </c>
      <c r="D182" s="8" t="n">
        <v>0</v>
      </c>
      <c r="E182" s="8" t="n">
        <v>3</v>
      </c>
      <c r="F182" s="8" t="n">
        <v>0</v>
      </c>
      <c r="G182" s="9">
        <f>IF(C182=0,0,D182/C182*1000)</f>
        <v>0.0</v>
      </c>
      <c r="H182" s="16" t="n">
        <v>44.6</v>
      </c>
      <c r="I182" s="7" t="inlineStr">
        <is>
          <t>09-05 17:45</t>
        </is>
      </c>
      <c r="J182" s="7" t="inlineStr"/>
    </row>
    <row r="183">
      <c r="A183" s="7" t="inlineStr">
        <is>
          <t>yokai-watch</t>
        </is>
      </c>
      <c r="B183" s="18" t="inlineStr">
        <is>
          <t>小豆洗いの正体 127年の川音 #shorts #妖怪 #都市伝説</t>
        </is>
      </c>
      <c r="C183" s="8" t="n">
        <v>201</v>
      </c>
      <c r="D183" s="8" t="n">
        <v>0</v>
      </c>
      <c r="E183" s="8" t="n">
        <v>0</v>
      </c>
      <c r="F183" s="8" t="n">
        <v>0</v>
      </c>
      <c r="G183" s="9">
        <f>IF(C183=0,0,D183/C183*1000)</f>
        <v>0.0</v>
      </c>
      <c r="H183" s="16" t="n">
        <v>44.5</v>
      </c>
      <c r="I183" s="7" t="inlineStr">
        <is>
          <t>09-03 19:00</t>
        </is>
      </c>
      <c r="J183" s="7" t="inlineStr"/>
    </row>
    <row r="184">
      <c r="A184" s="7" t="inlineStr">
        <is>
          <t>yokai-watch</t>
        </is>
      </c>
      <c r="B184" s="7" t="inlineStr">
        <is>
          <t>ふぶき姫の約束を破るとどうなる？3つの雪女記録【ショート】</t>
        </is>
      </c>
      <c r="C184" s="8" t="n">
        <v>1006</v>
      </c>
      <c r="D184" s="8" t="n">
        <v>0</v>
      </c>
      <c r="E184" s="8" t="n">
        <v>4</v>
      </c>
      <c r="F184" s="8" t="n">
        <v>0</v>
      </c>
      <c r="G184" s="9">
        <f>IF(C184=0,0,D184/C184*1000)</f>
        <v>0.0</v>
      </c>
      <c r="H184" s="16" t="n">
        <v>33.1</v>
      </c>
      <c r="I184" s="7" t="inlineStr">
        <is>
          <t>08-31 19:00</t>
        </is>
      </c>
      <c r="J184" s="7" t="inlineStr"/>
    </row>
    <row r="185">
      <c r="A185" s="22" t="inlineStr">
        <is>
          <t>yokai-watch</t>
        </is>
      </c>
      <c r="B185" s="25" t="inlineStr">
        <is>
          <t>1分妖怪ファイル #19：👁️フユニャンに隠された秘密、あなたが知らない2つの元ネタとは？【ショート】</t>
        </is>
      </c>
      <c r="C185" s="23" t="n">
        <v>1016</v>
      </c>
      <c r="D185" s="23" t="n">
        <v>0</v>
      </c>
      <c r="E185" s="23" t="n">
        <v>6</v>
      </c>
      <c r="F185" s="23" t="n">
        <v>0</v>
      </c>
      <c r="G185" s="24">
        <f>IF(C185=0,0,D185/C185*1000)</f>
        <v>0.0</v>
      </c>
      <c r="H185" s="26" t="n">
        <v>38.2</v>
      </c>
      <c r="I185" s="22" t="inlineStr">
        <is>
          <t>08-29 12:00</t>
        </is>
      </c>
      <c r="J185" s="22" t="inlineStr">
        <is>
          <t>秘密</t>
        </is>
      </c>
    </row>
    <row r="186">
      <c r="A186" s="7" t="inlineStr">
        <is>
          <t>yokai-watch</t>
        </is>
      </c>
      <c r="B186" s="18" t="inlineStr">
        <is>
          <t>1分妖怪ファイル #18：👁️エンマ大王に隠された3つの条件、あなたは本当に仲間にできる？【ショート】</t>
        </is>
      </c>
      <c r="C186" s="8" t="n">
        <v>1047</v>
      </c>
      <c r="D186" s="8" t="n">
        <v>0</v>
      </c>
      <c r="E186" s="8" t="n">
        <v>4</v>
      </c>
      <c r="F186" s="8" t="n">
        <v>0</v>
      </c>
      <c r="G186" s="9">
        <f>IF(C186=0,0,D186/C186*1000)</f>
        <v>0.0</v>
      </c>
      <c r="H186" s="16" t="n">
        <v>32.6</v>
      </c>
      <c r="I186" s="7" t="inlineStr">
        <is>
          <t>08-28 19:00</t>
        </is>
      </c>
      <c r="J186" s="7" t="inlineStr"/>
    </row>
    <row r="187">
      <c r="A187" s="22" t="inlineStr">
        <is>
          <t>yokai-watch</t>
        </is>
      </c>
      <c r="B187" s="25" t="inlineStr">
        <is>
          <t>1分妖怪ファイル #16：👁️妖怪ウォッチに隠された3つの秘密、大谷翔平と妖怪伝説の関係は？【ショート】</t>
        </is>
      </c>
      <c r="C187" s="23" t="n">
        <v>514</v>
      </c>
      <c r="D187" s="23" t="n">
        <v>0</v>
      </c>
      <c r="E187" s="23" t="n">
        <v>2</v>
      </c>
      <c r="F187" s="23" t="n">
        <v>0</v>
      </c>
      <c r="G187" s="24">
        <f>IF(C187=0,0,D187/C187*1000)</f>
        <v>0.0</v>
      </c>
      <c r="H187" s="26" t="n">
        <v>32.4</v>
      </c>
      <c r="I187" s="22" t="inlineStr">
        <is>
          <t>08-27 19:00</t>
        </is>
      </c>
      <c r="J187" s="22" t="inlineStr">
        <is>
          <t>秘密</t>
        </is>
      </c>
    </row>
    <row r="188">
      <c r="A188" s="22" t="inlineStr">
        <is>
          <t>yokai-watch</t>
        </is>
      </c>
      <c r="B188" s="25" t="inlineStr">
        <is>
          <t>1分妖怪ファイル #13：👁️妖怪ウォッチ元祖に隠された3つの秘密、あなたは名前の意味に気づいた？【ショート】</t>
        </is>
      </c>
      <c r="C188" s="23" t="n">
        <v>663</v>
      </c>
      <c r="D188" s="23" t="n">
        <v>0</v>
      </c>
      <c r="E188" s="23" t="n">
        <v>0</v>
      </c>
      <c r="F188" s="23" t="n">
        <v>0</v>
      </c>
      <c r="G188" s="24">
        <f>IF(C188=0,0,D188/C188*1000)</f>
        <v>0.0</v>
      </c>
      <c r="H188" s="26" t="n">
        <v>55</v>
      </c>
      <c r="I188" s="22" t="inlineStr">
        <is>
          <t>08-25 19:00</t>
        </is>
      </c>
      <c r="J188" s="22" t="inlineStr">
        <is>
          <t>秘密</t>
        </is>
      </c>
    </row>
    <row r="189">
      <c r="A189" s="22" t="inlineStr">
        <is>
          <t>yokai-watch</t>
        </is>
      </c>
      <c r="B189" s="25" t="inlineStr">
        <is>
          <t>1分妖怪ファイル #12：👁️両面宿儺に隠された2つの秘密、君は古文書の正体を知ってる？【ショート】</t>
        </is>
      </c>
      <c r="C189" s="23" t="n">
        <v>988</v>
      </c>
      <c r="D189" s="23" t="n">
        <v>0</v>
      </c>
      <c r="E189" s="23" t="n">
        <v>4</v>
      </c>
      <c r="F189" s="23" t="n">
        <v>0</v>
      </c>
      <c r="G189" s="24">
        <f>IF(C189=0,0,D189/C189*1000)</f>
        <v>0.0</v>
      </c>
      <c r="H189" s="26" t="n">
        <v>28.6</v>
      </c>
      <c r="I189" s="22" t="inlineStr">
        <is>
          <t>08-25 12:09</t>
        </is>
      </c>
      <c r="J189" s="22" t="inlineStr">
        <is>
          <t>秘密</t>
        </is>
      </c>
    </row>
    <row r="190">
      <c r="A190" s="7" t="inlineStr">
        <is>
          <t>yokai-watch</t>
        </is>
      </c>
      <c r="B190" s="18" t="inlineStr">
        <is>
          <t>なぜ猫又の尻尾は2つ？実は老猫を恐れた江戸の記録が怖い【ショート】</t>
        </is>
      </c>
      <c r="C190" s="8" t="n">
        <v>361</v>
      </c>
      <c r="D190" s="8" t="n">
        <v>0</v>
      </c>
      <c r="E190" s="8" t="n">
        <v>3</v>
      </c>
      <c r="F190" s="8" t="n">
        <v>0</v>
      </c>
      <c r="G190" s="9">
        <f>IF(C190=0,0,D190/C190*1000)</f>
        <v>0.0</v>
      </c>
      <c r="H190" s="16" t="n">
        <v>33</v>
      </c>
      <c r="I190" s="7" t="inlineStr">
        <is>
          <t>08-22 12:30</t>
        </is>
      </c>
      <c r="J190" s="7" t="inlineStr"/>
    </row>
    <row r="191">
      <c r="A191" s="7" t="inlineStr">
        <is>
          <t>yokai-watch</t>
        </is>
      </c>
      <c r="B191" s="18" t="inlineStr">
        <is>
          <t>雪女が3日黙れと言う…実は誰にも言えない恐怖があった【ショート】</t>
        </is>
      </c>
      <c r="C191" s="8" t="n">
        <v>261</v>
      </c>
      <c r="D191" s="8" t="n">
        <v>0</v>
      </c>
      <c r="E191" s="8" t="n">
        <v>0</v>
      </c>
      <c r="F191" s="8" t="n">
        <v>0</v>
      </c>
      <c r="G191" s="9">
        <f>IF(C191=0,0,D191/C191*1000)</f>
        <v>0.0</v>
      </c>
      <c r="H191" s="16" t="n">
        <v>24.3</v>
      </c>
      <c r="I191" s="7" t="inlineStr">
        <is>
          <t>08-21 18:30</t>
        </is>
      </c>
      <c r="J191" s="7" t="inlineStr"/>
    </row>
    <row r="192">
      <c r="A192" s="7" t="inlineStr">
        <is>
          <t>yokai-watch</t>
        </is>
      </c>
      <c r="B192" s="7" t="inlineStr">
        <is>
          <t>3秒で消える？天狗と山伏、神隠しの本当の理由【ショート】</t>
        </is>
      </c>
      <c r="C192" s="8" t="n">
        <v>612</v>
      </c>
      <c r="D192" s="8" t="n">
        <v>0</v>
      </c>
      <c r="E192" s="8" t="n">
        <v>2</v>
      </c>
      <c r="F192" s="8" t="n">
        <v>0</v>
      </c>
      <c r="G192" s="9">
        <f>IF(C192=0,0,D192/C192*1000)</f>
        <v>0.0</v>
      </c>
      <c r="H192" s="16" t="n">
        <v>28.4</v>
      </c>
      <c r="I192" s="7" t="inlineStr">
        <is>
          <t>08-21 15:14</t>
        </is>
      </c>
      <c r="J192" s="7" t="inlineStr"/>
    </row>
    <row r="193">
      <c r="A193" s="7" t="inlineStr">
        <is>
          <t>yokai-watch</t>
        </is>
      </c>
      <c r="B193" s="18" t="inlineStr">
        <is>
          <t>1分妖怪ファイル #7：😰かまいたちの元ネタが怖すぎる — あなたが3秒で傷つく理由は？【ショート】</t>
        </is>
      </c>
      <c r="C193" s="8" t="n">
        <v>371</v>
      </c>
      <c r="D193" s="8" t="n">
        <v>0</v>
      </c>
      <c r="E193" s="8" t="n">
        <v>4</v>
      </c>
      <c r="F193" s="8" t="n">
        <v>0</v>
      </c>
      <c r="G193" s="9">
        <f>IF(C193=0,0,D193/C193*1000)</f>
        <v>0.0</v>
      </c>
      <c r="H193" s="16" t="n">
        <v>39.5</v>
      </c>
      <c r="I193" s="7" t="inlineStr">
        <is>
          <t>08-20 18:30</t>
        </is>
      </c>
      <c r="J193" s="7" t="inlineStr"/>
    </row>
    <row r="194">
      <c r="A194" s="7" t="inlineStr">
        <is>
          <t>yokai-watch</t>
        </is>
      </c>
      <c r="B194" s="18" t="inlineStr">
        <is>
          <t>鬼の元ネタが怖すぎる — 鬼門から来る者を家に入れてはいけない理由【ショート】</t>
        </is>
      </c>
      <c r="C194" s="8" t="n">
        <v>2347</v>
      </c>
      <c r="D194" s="8" t="n">
        <v>0</v>
      </c>
      <c r="E194" s="8" t="n">
        <v>3</v>
      </c>
      <c r="F194" s="8" t="n">
        <v>0</v>
      </c>
      <c r="G194" s="9">
        <f>IF(C194=0,0,D194/C194*1000)</f>
        <v>0.0</v>
      </c>
      <c r="H194" s="16" t="n">
        <v>34.3</v>
      </c>
      <c r="I194" s="7" t="inlineStr">
        <is>
          <t>08-17 19:08</t>
        </is>
      </c>
      <c r="J194" s="7" t="inlineStr"/>
    </row>
    <row r="195">
      <c r="A195" s="7" t="inlineStr">
        <is>
          <t>yokai-watch</t>
        </is>
      </c>
      <c r="B195" s="18" t="inlineStr">
        <is>
          <t>ふじのやまの元ネタが怖すぎる — 山に入った人が戻れなくなる禁忌【ショート】</t>
        </is>
      </c>
      <c r="C195" s="8" t="n">
        <v>1953</v>
      </c>
      <c r="D195" s="8" t="n">
        <v>0</v>
      </c>
      <c r="E195" s="8" t="n">
        <v>2</v>
      </c>
      <c r="F195" s="8" t="n">
        <v>0</v>
      </c>
      <c r="G195" s="9">
        <f>IF(C195=0,0,D195/C195*1000)</f>
        <v>0.0</v>
      </c>
      <c r="H195" s="16" t="n">
        <v>76.3</v>
      </c>
      <c r="I195" s="7" t="inlineStr">
        <is>
          <t>08-14 19:08</t>
        </is>
      </c>
      <c r="J195" s="7" t="inlineStr"/>
    </row>
    <row r="196">
      <c r="A196" s="7" t="inlineStr">
        <is>
          <t>yokai-watch</t>
        </is>
      </c>
      <c r="B196" s="18" t="inlineStr">
        <is>
          <t>のっぺらぼうの正体が怖すぎる — 顔を奪う怪談はなぜ生まれたのか【ショート】</t>
        </is>
      </c>
      <c r="C196" s="8" t="n">
        <v>2256</v>
      </c>
      <c r="D196" s="8" t="n">
        <v>0</v>
      </c>
      <c r="E196" s="8" t="n">
        <v>11</v>
      </c>
      <c r="F196" s="8" t="n">
        <v>0</v>
      </c>
      <c r="G196" s="9">
        <f>IF(C196=0,0,D196/C196*1000)</f>
        <v>0.0</v>
      </c>
      <c r="H196" s="16" t="n">
        <v>85.8</v>
      </c>
      <c r="I196" s="7" t="inlineStr">
        <is>
          <t>08-13 19:10</t>
        </is>
      </c>
      <c r="J196" s="7" t="inlineStr"/>
    </row>
    <row r="197">
      <c r="A197" s="7" t="inlineStr">
        <is>
          <t>yokai-watch</t>
        </is>
      </c>
      <c r="B197" s="18" t="inlineStr">
        <is>
          <t>河童はなぜか子どもだけを呼ぶ？水辺に残された「声」の本当の理由【ショート】</t>
        </is>
      </c>
      <c r="C197" s="8" t="n">
        <v>1693</v>
      </c>
      <c r="D197" s="8" t="n">
        <v>0</v>
      </c>
      <c r="E197" s="8" t="n">
        <v>4</v>
      </c>
      <c r="F197" s="8" t="n">
        <v>0</v>
      </c>
      <c r="G197" s="9">
        <f>IF(C197=0,0,D197/C197*1000)</f>
        <v>0.0</v>
      </c>
      <c r="H197" s="16" t="n">
        <v>38.7</v>
      </c>
      <c r="I197" s="7" t="inlineStr">
        <is>
          <t>08-12 19:08</t>
        </is>
      </c>
      <c r="J197" s="7" t="inlineStr"/>
    </row>
    <row r="198">
      <c r="A198" s="7" t="inlineStr">
        <is>
          <t>yokai-watch</t>
        </is>
      </c>
      <c r="B198" s="18" t="inlineStr">
        <is>
          <t>ねちがえる、なぜか夜だけ首を狙う？金縛りの奥にある古い怪異【ショート】</t>
        </is>
      </c>
      <c r="C198" s="8" t="n">
        <v>1705</v>
      </c>
      <c r="D198" s="8" t="n">
        <v>0</v>
      </c>
      <c r="E198" s="8" t="n">
        <v>7</v>
      </c>
      <c r="F198" s="8" t="n">
        <v>0</v>
      </c>
      <c r="G198" s="9">
        <f>IF(C198=0,0,D198/C198*1000)</f>
        <v>0.0</v>
      </c>
      <c r="H198" s="16" t="n">
        <v>49.6</v>
      </c>
      <c r="I198" s="7" t="inlineStr">
        <is>
          <t>08-11 19:08</t>
        </is>
      </c>
      <c r="J198" s="7" t="inlineStr"/>
    </row>
    <row r="199">
      <c r="A199" s="22" t="inlineStr">
        <is>
          <t>yokai-watch</t>
        </is>
      </c>
      <c r="B199" s="22" t="inlineStr">
        <is>
          <t>なぜツチノコは家に入る？隠された秘密【ショート】</t>
        </is>
      </c>
      <c r="C199" s="23" t="n">
        <v>1917</v>
      </c>
      <c r="D199" s="23" t="n">
        <v>0</v>
      </c>
      <c r="E199" s="23" t="n">
        <v>8</v>
      </c>
      <c r="F199" s="23" t="n">
        <v>0</v>
      </c>
      <c r="G199" s="24">
        <f>IF(C199=0,0,D199/C199*1000)</f>
        <v>0.0</v>
      </c>
      <c r="H199" s="26" t="n">
        <v>54.4</v>
      </c>
      <c r="I199" s="22" t="inlineStr">
        <is>
          <t>08-10 19:07</t>
        </is>
      </c>
      <c r="J199" s="22" t="inlineStr">
        <is>
          <t>秘密</t>
        </is>
      </c>
    </row>
    <row r="200">
      <c r="A200" s="22" t="inlineStr">
        <is>
          <t>yokai-watch</t>
        </is>
      </c>
      <c r="B200" s="25" t="inlineStr">
        <is>
          <t>なぜおでんじんだけ夜道に立つ？可愛い具に隠された秘密【ショート】【ショート】</t>
        </is>
      </c>
      <c r="C200" s="23" t="n">
        <v>1309</v>
      </c>
      <c r="D200" s="23" t="n">
        <v>0</v>
      </c>
      <c r="E200" s="23" t="n">
        <v>4</v>
      </c>
      <c r="F200" s="23" t="n">
        <v>0</v>
      </c>
      <c r="G200" s="24">
        <f>IF(C200=0,0,D200/C200*1000)</f>
        <v>0.0</v>
      </c>
      <c r="H200" s="26" t="n">
        <v>47.5</v>
      </c>
      <c r="I200" s="22" t="inlineStr">
        <is>
          <t>08-09 19:12</t>
        </is>
      </c>
      <c r="J200" s="22" t="inlineStr">
        <is>
          <t>秘密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34" customWidth="1" min="3" max="3"/>
    <col width="40" customWidth="1" min="4" max="4"/>
    <col width="34" customWidth="1" min="5" max="5"/>
    <col width="14" customWidth="1" min="6" max="6"/>
    <col width="12" customWidth="1" min="7" max="7"/>
  </cols>
  <sheetData>
    <row r="1">
      <c r="A1" s="1" t="inlineStr">
        <is>
          <t>改善アクション 2026-09-09</t>
        </is>
      </c>
    </row>
    <row r="2" ht="42" customHeight="1">
      <c r="A2" s="2" t="inlineStr">
        <is>
          <t>すべて実データ根拠つき。「反証条件」を満たしたら次の指揮者が撤回すること。コンフィグへの反映は完了済み（data/channels/*.json。channels_orchestrator/ は 09-08 から symlink なので書き込み先は1箇所）。</t>
        </is>
      </c>
    </row>
    <row r="4">
      <c r="A4" s="6" t="inlineStr">
        <is>
          <t>#</t>
        </is>
      </c>
      <c r="B4" s="6" t="inlineStr">
        <is>
          <t>対象</t>
        </is>
      </c>
      <c r="C4" s="6" t="inlineStr">
        <is>
          <t>施策</t>
        </is>
      </c>
      <c r="D4" s="6" t="inlineStr">
        <is>
          <t>実データ根拠</t>
        </is>
      </c>
      <c r="E4" s="6" t="inlineStr">
        <is>
          <t>反証条件</t>
        </is>
      </c>
      <c r="F4" s="6" t="inlineStr">
        <is>
          <t>評価予定日</t>
        </is>
      </c>
      <c r="G4" s="6" t="inlineStr">
        <is>
          <t>状態</t>
        </is>
      </c>
    </row>
    <row r="5" ht="60" customHeight="1">
      <c r="A5" s="7" t="n">
        <v>1</v>
      </c>
      <c r="B5" s="7" t="inlineStr">
        <is>
          <t>全6ch</t>
        </is>
      </c>
      <c r="C5" s="18" t="inlineStr">
        <is>
          <t>title_rules.hard_constraints.banned_words に「秘密」を追加</t>
        </is>
      </c>
      <c r="D5" s="18" t="inlineStr">
        <is>
          <t>登録/千 0.120 (n=18/16,609再生/登録2) vs 0.527 (n=178)。pokemon 0.122vs0.332・yokai 0.149vs0.543・daily 0.00vs0.497・2ch 0.00vs0.209 と出現4ch全て同方向。「秘密」入りは公開08-30までで古い＝時間バイアスは逆向き。</t>
        </is>
      </c>
      <c r="E5" s="18" t="inlineStr">
        <is>
          <t>09-16 時点で「秘密」を含まない新規コホートの 登録/千 が 0.35 を下回ったら、語ではなく別要因だったとして撤回</t>
        </is>
      </c>
      <c r="F5" s="7" t="inlineStr">
        <is>
          <t>2026-09-16</t>
        </is>
      </c>
      <c r="G5" s="7" t="inlineStr">
        <is>
          <t>反映済</t>
        </is>
      </c>
    </row>
    <row r="6" ht="60" customHeight="1">
      <c r="A6" s="7" t="n">
        <v>2</v>
      </c>
      <c r="B6" s="7" t="inlineStr">
        <is>
          <t>全6ch</t>
        </is>
      </c>
      <c r="C6" s="18" t="inlineStr">
        <is>
          <t>forbid_patterns に 99%型（(?:9\s*9|９\s*９)\s*[%％]）を追加</t>
        </is>
      </c>
      <c r="D6" s="18" t="inlineStr">
        <is>
          <t>登録/千 0.194 (n=11) vs 0.510 (n=185)。</t>
        </is>
      </c>
      <c r="E6" s="18" t="inlineStr">
        <is>
          <t>n=11 と小さい。09-20 までに該当0本のまま推移し全体の登録/千が改善しなければ効果無しとみなす</t>
        </is>
      </c>
      <c r="F6" s="7" t="inlineStr">
        <is>
          <t>2026-09-20</t>
        </is>
      </c>
      <c r="G6" s="7" t="inlineStr">
        <is>
          <t>反映済</t>
        </is>
      </c>
    </row>
    <row r="7" ht="60" customHeight="1">
      <c r="A7" s="7" t="n">
        <v>3</v>
      </c>
      <c r="B7" s="7" t="inlineStr">
        <is>
          <t>2ch-matome</t>
        </is>
      </c>
      <c r="C7" s="18" t="inlineStr">
        <is>
          <t>forbid_patterns に「ワイ」（位置不問）「質問ある」を追加</t>
        </is>
      </c>
      <c r="D7" s="18" t="inlineStr">
        <is>
          <t>該当 n=11 で合計 10,781 再生・登録者 0 人。同ch内の非該当は 0.282 (n=27)。直近50本では16本(32%)が該当し10,972再生・登録0。再生は取れるが変換が完全にゼロ。当初は行頭限定にしたが n=7/11 しか止まらないため位置不問へ拡張し、「ハワイ」等への誤爆が当ch全タイトルでゼロであることを確認した。</t>
        </is>
      </c>
      <c r="E7" s="18" t="inlineStr">
        <is>
          <t>禁止後に当chの総再生が 3割以上落ち、かつ登録/千が 0.28 を超えなければ、再生の犠牲に見合わないとして撤回</t>
        </is>
      </c>
      <c r="F7" s="7" t="inlineStr">
        <is>
          <t>2026-09-16</t>
        </is>
      </c>
      <c r="G7" s="7" t="inlineStr">
        <is>
          <t>反映済</t>
        </is>
      </c>
    </row>
    <row r="8" ht="60" customHeight="1">
      <c r="A8" s="27" t="n">
        <v>4</v>
      </c>
      <c r="B8" s="27" t="inlineStr">
        <is>
          <t>scp-lab</t>
        </is>
      </c>
      <c r="C8" s="28" t="inlineStr">
        <is>
          <t>🚨 autopilot.schedule.times の重複を 6枠→3枠へ修正</t>
        </is>
      </c>
      <c r="D8" s="28" t="inlineStr">
        <is>
          <t>times が [(17,0),(13,0),(19,0),(17,0),(13,0),(19,0)]。_job_id(channel_id, idx) が枠の添字なので同一時刻に2ジョブが登録され、1日6本作っていた。</t>
        </is>
      </c>
      <c r="E8" s="27" t="inlineStr">
        <is>
          <t>（バグ修正のため反証条件なし）</t>
        </is>
      </c>
      <c r="F8" s="27" t="inlineStr">
        <is>
          <t>—</t>
        </is>
      </c>
      <c r="G8" s="27" t="inlineStr">
        <is>
          <t>要バックエンド再起動</t>
        </is>
      </c>
    </row>
    <row r="9" ht="60" customHeight="1">
      <c r="A9" s="7" t="n">
        <v>5</v>
      </c>
      <c r="B9" s="7" t="inlineStr">
        <is>
          <t>scp-lab</t>
        </is>
      </c>
      <c r="C9" s="7" t="inlineStr">
        <is>
          <t>投稿枠 17:00 → 09:00</t>
        </is>
      </c>
      <c r="D9" s="18" t="inlineStr">
        <is>
          <t>当ch内 19時 1.23(n=9) / 13時 0.83(n=6) / 9時 0.69(n=12)。17時は n&lt;2 で有効データが無かった。</t>
        </is>
      </c>
      <c r="E9" s="18" t="inlineStr">
        <is>
          <t>09-20 時点で 9時枠の 登録/千 が 0.4 を下回ったら 12時(0.80,n=2)へ</t>
        </is>
      </c>
      <c r="F9" s="7" t="inlineStr">
        <is>
          <t>2026-09-20</t>
        </is>
      </c>
      <c r="G9" s="7" t="inlineStr">
        <is>
          <t>反映済</t>
        </is>
      </c>
    </row>
    <row r="10" ht="60" customHeight="1">
      <c r="A10" s="7" t="n">
        <v>6</v>
      </c>
      <c r="B10" s="7" t="inlineStr">
        <is>
          <t>scp-lab</t>
        </is>
      </c>
      <c r="C10" s="18" t="inlineStr">
        <is>
          <t>forbid_patterns に「— …【ラベル】」記録票フォーマットを追加</t>
        </is>
      </c>
      <c r="D10" s="18" t="inlineStr">
        <is>
          <t>当ch内で該当 n=6・5,418再生・登録者0人、非該当 n=30 で 0.960。一方 SCP-数字ID を含む型は 0.888(n=27) vs 含まない 0.449(n=9)。</t>
        </is>
      </c>
      <c r="E10" s="18" t="inlineStr">
        <is>
          <t>n=6 と小さい。09-20 までに非該当コホートの 登録/千 が 0.5 を下回ったら撤回</t>
        </is>
      </c>
      <c r="F10" s="7" t="inlineStr">
        <is>
          <t>2026-09-20</t>
        </is>
      </c>
      <c r="G10" s="7" t="inlineStr">
        <is>
          <t>反映済</t>
        </is>
      </c>
    </row>
    <row r="11" ht="60" customHeight="1">
      <c r="A11" s="7" t="n">
        <v>7</v>
      </c>
      <c r="B11" s="7" t="inlineStr">
        <is>
          <t>2ch-matome</t>
        </is>
      </c>
      <c r="C11" s="7" t="inlineStr">
        <is>
          <t>投稿枠 07:00 → 09:00</t>
        </is>
      </c>
      <c r="D11" s="18" t="inlineStr">
        <is>
          <t>当ch内 7時 0.00(n=2)が最下位、9時 0.29(n=5)・12時 0.29(n=7)が最上位。</t>
        </is>
      </c>
      <c r="E11" s="18" t="inlineStr">
        <is>
          <t>7時は n=2 と弱い。09-20 に 9時枠が 0.2 を下回ったら 17時(0.28,n=3)へ</t>
        </is>
      </c>
      <c r="F11" s="7" t="inlineStr">
        <is>
          <t>2026-09-20</t>
        </is>
      </c>
      <c r="G11" s="7" t="inlineStr">
        <is>
          <t>反映済</t>
        </is>
      </c>
    </row>
    <row r="12" ht="60" customHeight="1">
      <c r="A12" s="7" t="n">
        <v>8</v>
      </c>
      <c r="B12" s="7" t="inlineStr">
        <is>
          <t>pokemon-lab</t>
        </is>
      </c>
      <c r="C12" s="7" t="inlineStr">
        <is>
          <t>投稿枠 19:00 → 15:00</t>
        </is>
      </c>
      <c r="D12" s="18" t="inlineStr">
        <is>
          <t>当ch内 19時は n&lt;2 でデータ無し。隣接の18時は 0.21(n=10) で最下位。15時 0.33(n=3) / 17時 0.31(n=10) が上位。8時 0.84 は n=2 で採用せず。</t>
        </is>
      </c>
      <c r="E12" s="18" t="inlineStr">
        <is>
          <t>15時は n=3 と弱い。09-20 に 0.25 を下回ったら 8時(0.84,n=2)を試す</t>
        </is>
      </c>
      <c r="F12" s="7" t="inlineStr">
        <is>
          <t>2026-09-20</t>
        </is>
      </c>
      <c r="G12" s="7" t="inlineStr">
        <is>
          <t>反映済</t>
        </is>
      </c>
    </row>
    <row r="13" ht="60" customHeight="1">
      <c r="A13" s="7" t="n">
        <v>9</v>
      </c>
      <c r="B13" s="7" t="inlineStr">
        <is>
          <t>pokemon-lab</t>
        </is>
      </c>
      <c r="C13" s="7" t="inlineStr">
        <is>
          <t>theme_seeds を 23 → 33 本へ補充</t>
        </is>
      </c>
      <c r="D13" s="18" t="inlineStr">
        <is>
          <t>theme_queue が 12本と6ch中最少（他は22〜46本）。queue は seeds から30分ごとに再生成される揮発キャッシュなので seeds 側に投入。題材は上位実績の「固有名詞＋数値を1つ提示」型に寄せ、0転換だった「どっちが勝つ？」対戦比較型は増やしていない。</t>
        </is>
      </c>
      <c r="E13" s="18" t="inlineStr">
        <is>
          <t>補充分が公開されて 登録/千 0.28（当ch現状）を下回ったら題材選定を見直す</t>
        </is>
      </c>
      <c r="F13" s="7" t="inlineStr">
        <is>
          <t>2026-09-20</t>
        </is>
      </c>
      <c r="G13" s="7" t="inlineStr">
        <is>
          <t>反映済</t>
        </is>
      </c>
    </row>
    <row r="14" ht="60" customHeight="1">
      <c r="A14" s="7" t="n">
        <v>10</v>
      </c>
      <c r="B14" s="7" t="inlineStr">
        <is>
          <t>全6ch</t>
        </is>
      </c>
      <c r="C14" s="18" t="inlineStr">
        <is>
          <t>theme_priority.title_style に答え提示語の語別ランキングを反映</t>
        </is>
      </c>
      <c r="D14" s="18" t="inlineStr">
        <is>
          <t>実は 0.767(n=18) &gt; 実態 0.681(n=9) &gt; なぜ 0.568(n=72) &gt; 正体 0.510(n=25) &gt; 本当 0.462(n=17) &gt; 理由 0.368(n=19)。答え提示語あり 0.606(n=123) vs なし 0.302(n=73)。</t>
        </is>
      </c>
      <c r="E14" s="18" t="inlineStr">
        <is>
          <t>自然文の title_style は LLM に無視されることが 09-04 に実測確定している。09-16 に「実は」の出現率が上がっていなければ、hard_constraints 側のrepair_with 並べ替えへ切り替える</t>
        </is>
      </c>
      <c r="F14" s="7" t="inlineStr">
        <is>
          <t>2026-09-16</t>
        </is>
      </c>
      <c r="G14" s="7" t="inlineStr">
        <is>
          <t>反映済</t>
        </is>
      </c>
    </row>
    <row r="15" ht="60" customHeight="1">
      <c r="A15" s="7" t="n">
        <v>11</v>
      </c>
      <c r="B15" s="7" t="inlineStr">
        <is>
          <t>daily-science</t>
        </is>
      </c>
      <c r="C15" s="18" t="inlineStr">
        <is>
          <t>theme_priority.viral_hooks から「99%が知らない」系を削除</t>
        </is>
      </c>
      <c r="D15" s="18" t="inlineStr">
        <is>
          <t>同ch設定が、実測で劣位（0.194 vs 0.510）かつ本日禁止した語を「バイラルフック」として推奨していた。推奨と機械ゲートの矛盾を解消。</t>
        </is>
      </c>
      <c r="E15" s="7" t="inlineStr">
        <is>
          <t>（矛盾解消のため反証条件なし）</t>
        </is>
      </c>
      <c r="F15" s="7" t="inlineStr">
        <is>
          <t>—</t>
        </is>
      </c>
      <c r="G15" s="7" t="inlineStr">
        <is>
          <t>反映済</t>
        </is>
      </c>
    </row>
    <row r="16" ht="60" customHeight="1">
      <c r="A16" s="27" t="n">
        <v>12</v>
      </c>
      <c r="B16" s="27" t="inlineStr">
        <is>
          <t>backend</t>
        </is>
      </c>
      <c r="C16" s="28" t="inlineStr">
        <is>
          <t>【コード変更提案・未実施】title_constraints._REASON_WORDS から「秘密」を外す</t>
        </is>
      </c>
      <c r="D16" s="28" t="inlineStr">
        <is>
          <t>同モジュールの _REASON_WORDS に「秘密」が含まれており、「なぜ」始まりの機械的な言い換えの際に「秘密」があると理由語ありと判定して補わない。本日の実測では「秘密」は最悪の語なので、この判定は逆効果。</t>
        </is>
      </c>
      <c r="E16" s="28" t="inlineStr">
        <is>
          <t>夜間・テスト無しでのコード変更は避けたため未実施。banned_words による停止が先に効くので実害は限定的。</t>
        </is>
      </c>
      <c r="F16" s="27" t="inlineStr">
        <is>
          <t>—</t>
        </is>
      </c>
      <c r="G16" s="27" t="inlineStr">
        <is>
          <t>未実施（要人手）</t>
        </is>
      </c>
    </row>
    <row r="17" ht="60" customHeight="1">
      <c r="A17" s="27" t="n">
        <v>13</v>
      </c>
      <c r="B17" s="27" t="inlineStr">
        <is>
          <t>backend</t>
        </is>
      </c>
      <c r="C17" s="28" t="inlineStr">
        <is>
          <t>【コード変更提案・未実施】hard_constraints に require_pattern を追加</t>
        </is>
      </c>
      <c r="D17" s="28" t="inlineStr">
        <is>
          <t>scp-lab は SCP-数字ID を含む型が 0.888(n=27) vs 含まない 0.449(n=9) で2倍。しかし require_any_of は語彙照合のみで正規表現の必須化を表現できない。</t>
        </is>
      </c>
      <c r="E17" s="28" t="inlineStr">
        <is>
          <t>現状は theme_priority.title_style の自然文で指示しているが、自然文は無視されることが実測済みなので、機械ゲート化が要る。</t>
        </is>
      </c>
      <c r="F17" s="27" t="inlineStr">
        <is>
          <t>—</t>
        </is>
      </c>
      <c r="G17" s="27" t="inlineStr">
        <is>
          <t>未実施（要人手）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48" topLeftCell="A49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9" customWidth="1" min="3" max="3"/>
    <col width="11" customWidth="1" min="4" max="4"/>
    <col width="9" customWidth="1" min="5" max="5"/>
    <col width="13" customWidth="1" min="6" max="6"/>
    <col width="46" customWidth="1" min="7" max="7"/>
  </cols>
  <sheetData>
    <row r="1">
      <c r="A1" s="1" t="inlineStr">
        <is>
          <t>トレンド 2026-09-09</t>
        </is>
      </c>
    </row>
    <row r="2" ht="42" customHeight="1">
      <c r="A2" s="2" t="inlineStr">
        <is>
          <t>評価母集団は video_metrics の最新スナップショット（2026-09-08取得）のうち、YouTube Analytics の 2〜3 日遅延（analytics_policy.evaluation_lag.min_age_days=3）を避けるため公開が 2026-09-05 以前、かつ views&gt;=200 の n=196。判断軸は optimization.primary_metric = 登録者/1000再生。 各切り口は同一母集団(n=196)の分割。n が小さい行は参考値として扱うこと。</t>
        </is>
      </c>
    </row>
    <row r="4">
      <c r="A4" s="3" t="inlineStr">
        <is>
          <t>高評価率4分位</t>
        </is>
      </c>
    </row>
    <row r="5" ht="28" customHeight="1">
      <c r="A5" s="2" t="inlineStr">
        <is>
          <t>5回目の再現。維持率とは違い、登録転換と単調に近い関係がある。</t>
        </is>
      </c>
    </row>
    <row r="6">
      <c r="A6" s="6" t="inlineStr">
        <is>
          <t>切り口</t>
        </is>
      </c>
      <c r="B6" s="6" t="inlineStr">
        <is>
          <t>区分</t>
        </is>
      </c>
      <c r="C6" s="6" t="inlineStr">
        <is>
          <t>本数</t>
        </is>
      </c>
      <c r="D6" s="6" t="inlineStr">
        <is>
          <t>再生数</t>
        </is>
      </c>
      <c r="E6" s="6" t="inlineStr">
        <is>
          <t>登録者</t>
        </is>
      </c>
      <c r="F6" s="6" t="inlineStr">
        <is>
          <t>登録/千再生</t>
        </is>
      </c>
      <c r="G6" s="6" t="inlineStr">
        <is>
          <t>読み方</t>
        </is>
      </c>
    </row>
    <row r="7" ht="26" customHeight="1">
      <c r="A7" s="7" t="inlineStr">
        <is>
          <t>高評価率4分位</t>
        </is>
      </c>
      <c r="B7" s="7" t="inlineStr">
        <is>
          <t>Q1</t>
        </is>
      </c>
      <c r="C7" s="8" t="n">
        <v>49</v>
      </c>
      <c r="D7" s="8" t="n">
        <v>44089</v>
      </c>
      <c r="E7" s="8" t="n">
        <v>11</v>
      </c>
      <c r="F7" s="9">
        <f>IF(D7=0,0,E7/D7*1000)</f>
        <v>0.249495339</v>
      </c>
      <c r="G7" s="7" t="inlineStr"/>
    </row>
    <row r="8" ht="26" customHeight="1">
      <c r="A8" s="7" t="inlineStr">
        <is>
          <t>高評価率4分位</t>
        </is>
      </c>
      <c r="B8" s="7" t="inlineStr">
        <is>
          <t>Q2</t>
        </is>
      </c>
      <c r="C8" s="8" t="n">
        <v>49</v>
      </c>
      <c r="D8" s="8" t="n">
        <v>61324</v>
      </c>
      <c r="E8" s="8" t="n">
        <v>29</v>
      </c>
      <c r="F8" s="9">
        <f>IF(D8=0,0,E8/D8*1000)</f>
        <v>0.4728980497</v>
      </c>
      <c r="G8" s="7" t="inlineStr"/>
    </row>
    <row r="9" ht="26" customHeight="1">
      <c r="A9" s="7" t="inlineStr">
        <is>
          <t>高評価率4分位</t>
        </is>
      </c>
      <c r="B9" s="7" t="inlineStr">
        <is>
          <t>Q3</t>
        </is>
      </c>
      <c r="C9" s="8" t="n">
        <v>49</v>
      </c>
      <c r="D9" s="8" t="n">
        <v>55278</v>
      </c>
      <c r="E9" s="8" t="n">
        <v>17</v>
      </c>
      <c r="F9" s="9">
        <f>IF(D9=0,0,E9/D9*1000)</f>
        <v>0.3075364521</v>
      </c>
      <c r="G9" s="7" t="inlineStr"/>
    </row>
    <row r="10" ht="26" customHeight="1">
      <c r="A10" s="7" t="inlineStr">
        <is>
          <t>高評価率4分位</t>
        </is>
      </c>
      <c r="B10" s="7" t="inlineStr">
        <is>
          <t>Q4</t>
        </is>
      </c>
      <c r="C10" s="8" t="n">
        <v>49</v>
      </c>
      <c r="D10" s="8" t="n">
        <v>47508</v>
      </c>
      <c r="E10" s="8" t="n">
        <v>46</v>
      </c>
      <c r="F10" s="9">
        <f>IF(D10=0,0,E10/D10*1000)</f>
        <v>0.9682579776</v>
      </c>
      <c r="G10" s="7" t="inlineStr">
        <is>
          <t>Q4はQ1の3.9倍</t>
        </is>
      </c>
    </row>
    <row r="12">
      <c r="A12" s="3" t="inlineStr">
        <is>
          <t>答え提示語（語別）</t>
        </is>
      </c>
    </row>
    <row r="13" ht="28" customHeight="1">
      <c r="A13" s="2" t="inlineStr">
        <is>
          <t>語尾に置けない「実は」は repair_with に入れられない。title_style 側で第一候補として指示している。</t>
        </is>
      </c>
    </row>
    <row r="14">
      <c r="A14" s="6" t="inlineStr">
        <is>
          <t>切り口</t>
        </is>
      </c>
      <c r="B14" s="6" t="inlineStr">
        <is>
          <t>区分</t>
        </is>
      </c>
      <c r="C14" s="6" t="inlineStr">
        <is>
          <t>本数</t>
        </is>
      </c>
      <c r="D14" s="6" t="inlineStr">
        <is>
          <t>再生数</t>
        </is>
      </c>
      <c r="E14" s="6" t="inlineStr">
        <is>
          <t>登録者</t>
        </is>
      </c>
      <c r="F14" s="6" t="inlineStr">
        <is>
          <t>登録/千再生</t>
        </is>
      </c>
      <c r="G14" s="6" t="inlineStr">
        <is>
          <t>読み方</t>
        </is>
      </c>
    </row>
    <row r="15" ht="26" customHeight="1">
      <c r="A15" s="7" t="inlineStr">
        <is>
          <t>答え提示語（語別）</t>
        </is>
      </c>
      <c r="B15" s="7" t="inlineStr">
        <is>
          <t>実は</t>
        </is>
      </c>
      <c r="C15" s="8" t="n">
        <v>18</v>
      </c>
      <c r="D15" s="8" t="n">
        <v>20873</v>
      </c>
      <c r="E15" s="8" t="n">
        <v>16</v>
      </c>
      <c r="F15" s="9">
        <f>IF(D15=0,0,E15/D15*1000)</f>
        <v>0.7665405069</v>
      </c>
      <c r="G15" s="7" t="inlineStr">
        <is>
          <t>最上位</t>
        </is>
      </c>
    </row>
    <row r="16" ht="26" customHeight="1">
      <c r="A16" s="7" t="inlineStr">
        <is>
          <t>答え提示語（語別）</t>
        </is>
      </c>
      <c r="B16" s="7" t="inlineStr">
        <is>
          <t>実態</t>
        </is>
      </c>
      <c r="C16" s="8" t="n">
        <v>9</v>
      </c>
      <c r="D16" s="8" t="n">
        <v>14693</v>
      </c>
      <c r="E16" s="8" t="n">
        <v>10</v>
      </c>
      <c r="F16" s="9">
        <f>IF(D16=0,0,E16/D16*1000)</f>
        <v>0.6805962023</v>
      </c>
      <c r="G16" s="7" t="inlineStr"/>
    </row>
    <row r="17" ht="26" customHeight="1">
      <c r="A17" s="7" t="inlineStr">
        <is>
          <t>答え提示語（語別）</t>
        </is>
      </c>
      <c r="B17" s="7" t="inlineStr">
        <is>
          <t>なぜ</t>
        </is>
      </c>
      <c r="C17" s="8" t="n">
        <v>72</v>
      </c>
      <c r="D17" s="8" t="n">
        <v>72123</v>
      </c>
      <c r="E17" s="8" t="n">
        <v>41</v>
      </c>
      <c r="F17" s="9">
        <f>IF(D17=0,0,E17/D17*1000)</f>
        <v>0.5684733026</v>
      </c>
      <c r="G17" s="7" t="inlineStr"/>
    </row>
    <row r="18" ht="26" customHeight="1">
      <c r="A18" s="7" t="inlineStr">
        <is>
          <t>答え提示語（語別）</t>
        </is>
      </c>
      <c r="B18" s="7" t="inlineStr">
        <is>
          <t>正体</t>
        </is>
      </c>
      <c r="C18" s="8" t="n">
        <v>25</v>
      </c>
      <c r="D18" s="8" t="n">
        <v>25488</v>
      </c>
      <c r="E18" s="8" t="n">
        <v>13</v>
      </c>
      <c r="F18" s="9">
        <f>IF(D18=0,0,E18/D18*1000)</f>
        <v>0.5100439422</v>
      </c>
      <c r="G18" s="7" t="inlineStr"/>
    </row>
    <row r="19" ht="26" customHeight="1">
      <c r="A19" s="7" t="inlineStr">
        <is>
          <t>答え提示語（語別）</t>
        </is>
      </c>
      <c r="B19" s="7" t="inlineStr">
        <is>
          <t>本当</t>
        </is>
      </c>
      <c r="C19" s="8" t="n">
        <v>17</v>
      </c>
      <c r="D19" s="8" t="n">
        <v>19470</v>
      </c>
      <c r="E19" s="8" t="n">
        <v>9</v>
      </c>
      <c r="F19" s="9">
        <f>IF(D19=0,0,E19/D19*1000)</f>
        <v>0.4622496148</v>
      </c>
      <c r="G19" s="7" t="inlineStr"/>
    </row>
    <row r="20" ht="26" customHeight="1">
      <c r="A20" s="7" t="inlineStr">
        <is>
          <t>答え提示語（語別）</t>
        </is>
      </c>
      <c r="B20" s="7" t="inlineStr">
        <is>
          <t>理由</t>
        </is>
      </c>
      <c r="C20" s="8" t="n">
        <v>19</v>
      </c>
      <c r="D20" s="8" t="n">
        <v>19024</v>
      </c>
      <c r="E20" s="8" t="n">
        <v>7</v>
      </c>
      <c r="F20" s="9">
        <f>IF(D20=0,0,E20/D20*1000)</f>
        <v>0.3679562658</v>
      </c>
      <c r="G20" s="7" t="inlineStr">
        <is>
          <t>最下位</t>
        </is>
      </c>
    </row>
    <row r="22">
      <c r="A22" s="3" t="inlineStr">
        <is>
          <t>本日禁止した型</t>
        </is>
      </c>
    </row>
    <row r="23" ht="28" customHeight="1">
      <c r="A23" s="2" t="inlineStr">
        <is>
          <t>3つとも本日 hard_constraints へ反映済み。</t>
        </is>
      </c>
    </row>
    <row r="24">
      <c r="A24" s="6" t="inlineStr">
        <is>
          <t>切り口</t>
        </is>
      </c>
      <c r="B24" s="6" t="inlineStr">
        <is>
          <t>区分</t>
        </is>
      </c>
      <c r="C24" s="6" t="inlineStr">
        <is>
          <t>本数</t>
        </is>
      </c>
      <c r="D24" s="6" t="inlineStr">
        <is>
          <t>再生数</t>
        </is>
      </c>
      <c r="E24" s="6" t="inlineStr">
        <is>
          <t>登録者</t>
        </is>
      </c>
      <c r="F24" s="6" t="inlineStr">
        <is>
          <t>登録/千再生</t>
        </is>
      </c>
      <c r="G24" s="6" t="inlineStr">
        <is>
          <t>読み方</t>
        </is>
      </c>
    </row>
    <row r="25" ht="26" customHeight="1">
      <c r="A25" s="7" t="inlineStr">
        <is>
          <t>本日禁止した型</t>
        </is>
      </c>
      <c r="B25" s="7" t="inlineStr">
        <is>
          <t>「秘密」あり</t>
        </is>
      </c>
      <c r="C25" s="8" t="n">
        <v>18</v>
      </c>
      <c r="D25" s="8" t="n">
        <v>16609</v>
      </c>
      <c r="E25" s="8" t="n">
        <v>2</v>
      </c>
      <c r="F25" s="9">
        <f>IF(D25=0,0,E25/D25*1000)</f>
        <v>0.1204166416</v>
      </c>
      <c r="G25" s="7" t="inlineStr">
        <is>
          <t>4.4倍の劣位</t>
        </is>
      </c>
    </row>
    <row r="26" ht="26" customHeight="1">
      <c r="A26" s="7" t="inlineStr">
        <is>
          <t>本日禁止した型</t>
        </is>
      </c>
      <c r="B26" s="7" t="inlineStr">
        <is>
          <t>「秘密」なし</t>
        </is>
      </c>
      <c r="C26" s="8" t="n">
        <v>178</v>
      </c>
      <c r="D26" s="8" t="n">
        <v>191590</v>
      </c>
      <c r="E26" s="8" t="n">
        <v>101</v>
      </c>
      <c r="F26" s="9">
        <f>IF(D26=0,0,E26/D26*1000)</f>
        <v>0.5271673887</v>
      </c>
      <c r="G26" s="7" t="inlineStr"/>
    </row>
    <row r="27" ht="26" customHeight="1">
      <c r="A27" s="7" t="inlineStr">
        <is>
          <t>本日禁止した型</t>
        </is>
      </c>
      <c r="B27" s="7" t="inlineStr">
        <is>
          <t>99%型</t>
        </is>
      </c>
      <c r="C27" s="8" t="n">
        <v>11</v>
      </c>
      <c r="D27" s="8" t="n">
        <v>10296</v>
      </c>
      <c r="E27" s="8" t="n">
        <v>2</v>
      </c>
      <c r="F27" s="9">
        <f>IF(D27=0,0,E27/D27*1000)</f>
        <v>0.1942501943</v>
      </c>
      <c r="G27" s="7" t="inlineStr">
        <is>
          <t>2.6倍の劣位</t>
        </is>
      </c>
    </row>
    <row r="28" ht="26" customHeight="1">
      <c r="A28" s="7" t="inlineStr">
        <is>
          <t>本日禁止した型</t>
        </is>
      </c>
      <c r="B28" s="7" t="inlineStr">
        <is>
          <t>99%型以外</t>
        </is>
      </c>
      <c r="C28" s="8" t="n">
        <v>185</v>
      </c>
      <c r="D28" s="8" t="n">
        <v>197903</v>
      </c>
      <c r="E28" s="8" t="n">
        <v>101</v>
      </c>
      <c r="F28" s="9">
        <f>IF(D28=0,0,E28/D28*1000)</f>
        <v>0.5103510306</v>
      </c>
      <c r="G28" s="7" t="inlineStr"/>
    </row>
    <row r="29" ht="26" customHeight="1">
      <c r="A29" s="7" t="inlineStr">
        <is>
          <t>本日禁止した型</t>
        </is>
      </c>
      <c r="B29" s="7" t="inlineStr">
        <is>
          <t>2ch「ワイ/質問ある」</t>
        </is>
      </c>
      <c r="C29" s="8" t="n">
        <v>11</v>
      </c>
      <c r="D29" s="8" t="n">
        <v>10781</v>
      </c>
      <c r="E29" s="8" t="n">
        <v>0</v>
      </c>
      <c r="F29" s="9">
        <f>IF(D29=0,0,E29/D29*1000)</f>
        <v>0.0</v>
      </c>
      <c r="G29" s="7" t="inlineStr">
        <is>
          <t>登録0人</t>
        </is>
      </c>
    </row>
    <row r="30" ht="26" customHeight="1">
      <c r="A30" s="7" t="inlineStr">
        <is>
          <t>本日禁止した型</t>
        </is>
      </c>
      <c r="B30" s="7" t="inlineStr">
        <is>
          <t>2ch その他</t>
        </is>
      </c>
      <c r="C30" s="8" t="n">
        <v>27</v>
      </c>
      <c r="D30" s="8" t="n">
        <v>28357</v>
      </c>
      <c r="E30" s="8" t="n">
        <v>8</v>
      </c>
      <c r="F30" s="9">
        <f>IF(D30=0,0,E30/D30*1000)</f>
        <v>0.2821172903</v>
      </c>
      <c r="G30" s="7" t="inlineStr"/>
    </row>
    <row r="32">
      <c r="A32" s="3" t="inlineStr">
        <is>
          <t>scp-lab のタイトル型</t>
        </is>
      </c>
    </row>
    <row r="33" ht="28" customHeight="1">
      <c r="A33" s="2" t="inlineStr">
        <is>
          <t>固有IDの提示が効く一方、記録票フォーマットは劣位。</t>
        </is>
      </c>
    </row>
    <row r="34">
      <c r="A34" s="6" t="inlineStr">
        <is>
          <t>切り口</t>
        </is>
      </c>
      <c r="B34" s="6" t="inlineStr">
        <is>
          <t>区分</t>
        </is>
      </c>
      <c r="C34" s="6" t="inlineStr">
        <is>
          <t>本数</t>
        </is>
      </c>
      <c r="D34" s="6" t="inlineStr">
        <is>
          <t>再生数</t>
        </is>
      </c>
      <c r="E34" s="6" t="inlineStr">
        <is>
          <t>登録者</t>
        </is>
      </c>
      <c r="F34" s="6" t="inlineStr">
        <is>
          <t>登録/千再生</t>
        </is>
      </c>
      <c r="G34" s="6" t="inlineStr">
        <is>
          <t>読み方</t>
        </is>
      </c>
    </row>
    <row r="35" ht="26" customHeight="1">
      <c r="A35" s="7" t="inlineStr">
        <is>
          <t>scp-lab のタイトル型</t>
        </is>
      </c>
      <c r="B35" s="7" t="inlineStr">
        <is>
          <t>SCP-数字ID あり</t>
        </is>
      </c>
      <c r="C35" s="8" t="n">
        <v>27</v>
      </c>
      <c r="D35" s="8" t="n">
        <v>24787</v>
      </c>
      <c r="E35" s="8" t="n">
        <v>22</v>
      </c>
      <c r="F35" s="9">
        <f>IF(D35=0,0,E35/D35*1000)</f>
        <v>0.8875620285</v>
      </c>
      <c r="G35" s="7" t="inlineStr">
        <is>
          <t>2.0倍</t>
        </is>
      </c>
    </row>
    <row r="36" ht="26" customHeight="1">
      <c r="A36" s="7" t="inlineStr">
        <is>
          <t>scp-lab のタイトル型</t>
        </is>
      </c>
      <c r="B36" s="7" t="inlineStr">
        <is>
          <t>SCP-数字ID なし</t>
        </is>
      </c>
      <c r="C36" s="8" t="n">
        <v>9</v>
      </c>
      <c r="D36" s="8" t="n">
        <v>6675</v>
      </c>
      <c r="E36" s="8" t="n">
        <v>3</v>
      </c>
      <c r="F36" s="9">
        <f>IF(D36=0,0,E36/D36*1000)</f>
        <v>0.4494382022</v>
      </c>
      <c r="G36" s="7" t="inlineStr"/>
    </row>
    <row r="37" ht="26" customHeight="1">
      <c r="A37" s="7" t="inlineStr">
        <is>
          <t>scp-lab のタイトル型</t>
        </is>
      </c>
      <c r="B37" s="7" t="inlineStr">
        <is>
          <t>「— …【ラベル】」型</t>
        </is>
      </c>
      <c r="C37" s="8" t="n">
        <v>6</v>
      </c>
      <c r="D37" s="8" t="n">
        <v>5418</v>
      </c>
      <c r="E37" s="8" t="n">
        <v>0</v>
      </c>
      <c r="F37" s="9">
        <f>IF(D37=0,0,E37/D37*1000)</f>
        <v>0.0</v>
      </c>
      <c r="G37" s="7" t="inlineStr">
        <is>
          <t>本日禁止</t>
        </is>
      </c>
    </row>
    <row r="38" ht="26" customHeight="1">
      <c r="A38" s="7" t="inlineStr">
        <is>
          <t>scp-lab のタイトル型</t>
        </is>
      </c>
      <c r="B38" s="7" t="inlineStr">
        <is>
          <t>それ以外</t>
        </is>
      </c>
      <c r="C38" s="8" t="n">
        <v>30</v>
      </c>
      <c r="D38" s="8" t="n">
        <v>26044</v>
      </c>
      <c r="E38" s="8" t="n">
        <v>25</v>
      </c>
      <c r="F38" s="9">
        <f>IF(D38=0,0,E38/D38*1000)</f>
        <v>0.9599139917</v>
      </c>
      <c r="G38" s="7" t="inlineStr"/>
    </row>
    <row r="40">
      <c r="A40" s="3" t="inlineStr">
        <is>
          <t>維持率と登録転換</t>
        </is>
      </c>
    </row>
    <row r="41" ht="28" customHeight="1">
      <c r="A41" s="2" t="inlineStr">
        <is>
          <t>維持率を判断軸にしない方針の再確認（09-04決定・09-08追認）。</t>
        </is>
      </c>
    </row>
    <row r="42">
      <c r="A42" s="6" t="inlineStr">
        <is>
          <t>切り口</t>
        </is>
      </c>
      <c r="B42" s="6" t="inlineStr">
        <is>
          <t>区分</t>
        </is>
      </c>
      <c r="C42" s="6" t="inlineStr">
        <is>
          <t>本数</t>
        </is>
      </c>
      <c r="D42" s="6" t="inlineStr">
        <is>
          <t>再生数</t>
        </is>
      </c>
      <c r="E42" s="6" t="inlineStr">
        <is>
          <t>登録者</t>
        </is>
      </c>
      <c r="F42" s="6" t="inlineStr">
        <is>
          <t>登録/千再生</t>
        </is>
      </c>
      <c r="G42" s="6" t="inlineStr">
        <is>
          <t>読み方</t>
        </is>
      </c>
    </row>
    <row r="43" ht="26" customHeight="1">
      <c r="A43" s="7" t="inlineStr">
        <is>
          <t>維持率と登録転換</t>
        </is>
      </c>
      <c r="B43" s="7" t="inlineStr">
        <is>
          <t>維持率50%以上</t>
        </is>
      </c>
      <c r="C43" s="8" t="n">
        <v>66</v>
      </c>
      <c r="D43" s="8" t="n">
        <v>89112</v>
      </c>
      <c r="E43" s="8" t="n">
        <v>42</v>
      </c>
      <c r="F43" s="9">
        <f>IF(D43=0,0,E43/D43*1000)</f>
        <v>0.4713169943</v>
      </c>
      <c r="G43" s="7" t="inlineStr"/>
    </row>
    <row r="44" ht="26" customHeight="1">
      <c r="A44" s="7" t="inlineStr">
        <is>
          <t>維持率と登録転換</t>
        </is>
      </c>
      <c r="B44" s="7" t="inlineStr">
        <is>
          <t>維持率50%未満</t>
        </is>
      </c>
      <c r="C44" s="8" t="n">
        <v>130</v>
      </c>
      <c r="D44" s="8" t="n">
        <v>119087</v>
      </c>
      <c r="E44" s="8" t="n">
        <v>61</v>
      </c>
      <c r="F44" s="9">
        <f>IF(D44=0,0,E44/D44*1000)</f>
        <v>0.5122305541</v>
      </c>
      <c r="G44" s="7" t="inlineStr">
        <is>
          <t>差はほぼ無い</t>
        </is>
      </c>
    </row>
    <row r="46">
      <c r="A46" s="3" t="inlineStr">
        <is>
          <t>高再生・ゼロ転換</t>
        </is>
      </c>
    </row>
    <row r="47" ht="28" customHeight="1">
      <c r="A47" s="2" t="inlineStr">
        <is>
          <t>再生は集めているのに登録が1人も出ていない層。24本で合計 39,213 再生。本日の禁止ゲートはこの層を狙って設計している。</t>
        </is>
      </c>
    </row>
    <row r="48">
      <c r="A48" s="6" t="inlineStr">
        <is>
          <t>切り口</t>
        </is>
      </c>
      <c r="B48" s="6" t="inlineStr">
        <is>
          <t>区分</t>
        </is>
      </c>
      <c r="C48" s="6" t="inlineStr">
        <is>
          <t>本数</t>
        </is>
      </c>
      <c r="D48" s="6" t="inlineStr">
        <is>
          <t>再生数</t>
        </is>
      </c>
      <c r="E48" s="6" t="inlineStr">
        <is>
          <t>登録者</t>
        </is>
      </c>
      <c r="F48" s="6" t="inlineStr">
        <is>
          <t>登録/千再生</t>
        </is>
      </c>
      <c r="G48" s="6" t="inlineStr">
        <is>
          <t>読み方</t>
        </is>
      </c>
    </row>
    <row r="49" ht="26" customHeight="1">
      <c r="A49" s="7" t="inlineStr">
        <is>
          <t>高再生・ゼロ転換</t>
        </is>
      </c>
      <c r="B49" s="7" t="inlineStr">
        <is>
          <t>views&gt;=1200 かつ 登録0</t>
        </is>
      </c>
      <c r="C49" s="8" t="n">
        <v>24</v>
      </c>
      <c r="D49" s="8" t="n">
        <v>39213</v>
      </c>
      <c r="E49" s="8" t="n">
        <v>0</v>
      </c>
      <c r="F49" s="9">
        <f>IF(D49=0,0,E49/D49*1000)</f>
        <v>0.0</v>
      </c>
      <c r="G49" s="7" t="inlineStr">
        <is>
          <t>最大の取りこぼし</t>
        </is>
      </c>
    </row>
    <row r="50" ht="26" customHeight="1">
      <c r="A50" s="7" t="inlineStr">
        <is>
          <t>高再生・ゼロ転換</t>
        </is>
      </c>
      <c r="B50" s="7" t="inlineStr">
        <is>
          <t>それ以外</t>
        </is>
      </c>
      <c r="C50" s="8" t="n">
        <v>172</v>
      </c>
      <c r="D50" s="8" t="n">
        <v>168986</v>
      </c>
      <c r="E50" s="8" t="n">
        <v>103</v>
      </c>
      <c r="F50" s="9">
        <f>IF(D50=0,0,E50/D50*1000)</f>
        <v>0.6095179482</v>
      </c>
      <c r="G50" s="7" t="inlineStr"/>
    </row>
  </sheetData>
  <mergeCells count="8">
    <mergeCell ref="A13:G13"/>
    <mergeCell ref="A1:G1"/>
    <mergeCell ref="A2:G2"/>
    <mergeCell ref="A41:G41"/>
    <mergeCell ref="A33:G33"/>
    <mergeCell ref="A47:G47"/>
    <mergeCell ref="A5:G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2026-09-09T02:32:12Z</dcterms:created>
  <dcterms:modified xmlns:dcterms="http://purl.org/dc/terms/" xmlns:xsi="http://www.w3.org/2001/XMLSchema-instance" xsi:type="dcterms:W3CDTF">2026-09-09T02:32:18Z</dcterms:modified>
</cp:coreProperties>
</file>