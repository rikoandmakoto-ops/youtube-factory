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サマリー" sheetId="1" state="visible" r:id="rId3"/>
    <sheet name="チャンネル別詳細" sheetId="2" state="visible" r:id="rId4"/>
    <sheet name="動画別パフォーマンス" sheetId="3" state="visible" r:id="rId5"/>
    <sheet name="改善アクション" sheetId="4" state="visible" r:id="rId6"/>
    <sheet name="トレンド" sheetId="5" state="visible" r:id="rId7"/>
  </sheets>
  <definedNames>
    <definedName function="false" hidden="true" localSheetId="2" name="_xlnm._FilterDatabase" vbProcedure="false">動画別パフォーマンス!$A$4:$M$493</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orchestrator</author>
  </authors>
  <commentList>
    <comment ref="F20" authorId="0">
      <text>
        <r>
          <rPr>
            <sz val="10"/>
            <rFont val="Noto Sans CJK SC"/>
            <family val="2"/>
          </rPr>
          <t xml:space="preserve">至上目標の単一指標。登録</t>
        </r>
        <r>
          <rPr>
            <sz val="10"/>
            <rFont val="Arial"/>
            <family val="2"/>
          </rPr>
          <t xml:space="preserve">/1000</t>
        </r>
        <r>
          <rPr>
            <sz val="10"/>
            <rFont val="Noto Sans CJK SC"/>
            <family val="2"/>
          </rPr>
          <t xml:space="preserve">再生。
ショート全体の一般的な目安は </t>
        </r>
        <r>
          <rPr>
            <sz val="10"/>
            <rFont val="Arial"/>
            <family val="2"/>
          </rPr>
          <t xml:space="preserve">1.0</t>
        </r>
        <r>
          <rPr>
            <sz val="10"/>
            <rFont val="Noto Sans CJK SC"/>
            <family val="2"/>
          </rPr>
          <t xml:space="preserve">〜</t>
        </r>
        <r>
          <rPr>
            <sz val="10"/>
            <rFont val="Arial"/>
            <family val="2"/>
          </rPr>
          <t xml:space="preserve">3.0 </t>
        </r>
        <r>
          <rPr>
            <sz val="10"/>
            <rFont val="Noto Sans CJK SC"/>
            <family val="2"/>
          </rPr>
          <t xml:space="preserve">で、現状は大きく下回る。
出典</t>
        </r>
        <r>
          <rPr>
            <sz val="10"/>
            <rFont val="Arial"/>
            <family val="2"/>
          </rPr>
          <t xml:space="preserve">: data/analytics/analytics.db</t>
        </r>
        <r>
          <rPr>
            <sz val="10"/>
            <rFont val="Noto Sans CJK SC"/>
            <family val="2"/>
          </rPr>
          <t xml:space="preserve">（自社実測）</t>
        </r>
      </text>
    </comment>
  </commentList>
</comments>
</file>

<file path=xl/sharedStrings.xml><?xml version="1.0" encoding="utf-8"?>
<sst xmlns="http://schemas.openxmlformats.org/spreadsheetml/2006/main" count="1845" uniqueCount="793">
  <si>
    <r>
      <rPr>
        <b val="true"/>
        <sz val="14"/>
        <color rgb="FF1F3864"/>
        <rFont val="Arial"/>
        <family val="0"/>
        <charset val="1"/>
      </rPr>
      <t xml:space="preserve">YouTube Factory </t>
    </r>
    <r>
      <rPr>
        <b val="true"/>
        <sz val="14"/>
        <color rgb="FF1F3864"/>
        <rFont val="Noto Sans CJK SC"/>
        <family val="2"/>
      </rPr>
      <t xml:space="preserve">分析サマリー </t>
    </r>
    <r>
      <rPr>
        <b val="true"/>
        <sz val="14"/>
        <color rgb="FF1F3864"/>
        <rFont val="Arial"/>
        <family val="0"/>
        <charset val="1"/>
      </rPr>
      <t xml:space="preserve">2026-09-01</t>
    </r>
  </si>
  <si>
    <r>
      <rPr>
        <i val="true"/>
        <sz val="9"/>
        <color rgb="FF595959"/>
        <rFont val="Noto Sans CJK SC"/>
        <family val="2"/>
      </rPr>
      <t xml:space="preserve">対象</t>
    </r>
    <r>
      <rPr>
        <i val="true"/>
        <sz val="9"/>
        <color rgb="FF595959"/>
        <rFont val="Arial"/>
        <family val="0"/>
        <charset val="1"/>
      </rPr>
      <t xml:space="preserve">: moviepy</t>
    </r>
    <r>
      <rPr>
        <i val="true"/>
        <sz val="9"/>
        <color rgb="FF595959"/>
        <rFont val="Noto Sans CJK SC"/>
        <family val="2"/>
      </rPr>
      <t xml:space="preserve">系</t>
    </r>
    <r>
      <rPr>
        <i val="true"/>
        <sz val="9"/>
        <color rgb="FF595959"/>
        <rFont val="Arial"/>
        <family val="0"/>
        <charset val="1"/>
      </rPr>
      <t xml:space="preserve">6ch</t>
    </r>
    <r>
      <rPr>
        <i val="true"/>
        <sz val="9"/>
        <color rgb="FF595959"/>
        <rFont val="Noto Sans CJK SC"/>
        <family val="2"/>
      </rPr>
      <t xml:space="preserve">（</t>
    </r>
    <r>
      <rPr>
        <i val="true"/>
        <sz val="9"/>
        <color rgb="FF595959"/>
        <rFont val="Arial"/>
        <family val="0"/>
        <charset val="1"/>
      </rPr>
      <t xml:space="preserve">clip-lab=</t>
    </r>
    <r>
      <rPr>
        <i val="true"/>
        <sz val="9"/>
        <color rgb="FF595959"/>
        <rFont val="Noto Sans CJK SC"/>
        <family val="2"/>
      </rPr>
      <t xml:space="preserve">凍結中 </t>
    </r>
    <r>
      <rPr>
        <i val="true"/>
        <sz val="9"/>
        <color rgb="FF595959"/>
        <rFont val="Arial"/>
        <family val="0"/>
        <charset val="1"/>
      </rPr>
      <t xml:space="preserve">/ akashic-librarian=OAuth</t>
    </r>
    <r>
      <rPr>
        <i val="true"/>
        <sz val="9"/>
        <color rgb="FF595959"/>
        <rFont val="Noto Sans CJK SC"/>
        <family val="2"/>
      </rPr>
      <t xml:space="preserve">未連携 のためスキップ）。至上目標はチャンネル登録者数の増加。</t>
    </r>
  </si>
  <si>
    <t xml:space="preserve">■ 本日の結論</t>
  </si>
  <si>
    <r>
      <rPr>
        <sz val="10"/>
        <rFont val="Noto Sans CJK SC"/>
        <family val="2"/>
      </rPr>
      <t xml:space="preserve">・登録者増のボトルネックは再生数ではなく「登録転換」。最も再生を集める </t>
    </r>
    <r>
      <rPr>
        <sz val="10"/>
        <rFont val="Arial"/>
        <family val="0"/>
        <charset val="1"/>
      </rPr>
      <t xml:space="preserve">2ch-matome </t>
    </r>
    <r>
      <rPr>
        <sz val="10"/>
        <rFont val="Noto Sans CJK SC"/>
        <family val="2"/>
      </rPr>
      <t xml:space="preserve">が最も登録に繋がっていない。</t>
    </r>
  </si>
  <si>
    <r>
      <rPr>
        <sz val="10"/>
        <rFont val="Noto Sans CJK SC"/>
        <family val="2"/>
      </rPr>
      <t xml:space="preserve">・登録転換を最も強く説明するのは高評価率。</t>
    </r>
    <r>
      <rPr>
        <sz val="10"/>
        <rFont val="Arial"/>
        <family val="0"/>
        <charset val="1"/>
      </rPr>
      <t xml:space="preserve">n=322 </t>
    </r>
    <r>
      <rPr>
        <sz val="10"/>
        <rFont val="Noto Sans CJK SC"/>
        <family val="2"/>
      </rPr>
      <t xml:space="preserve">の</t>
    </r>
    <r>
      <rPr>
        <sz val="10"/>
        <rFont val="Arial"/>
        <family val="0"/>
        <charset val="1"/>
      </rPr>
      <t xml:space="preserve">4</t>
    </r>
    <r>
      <rPr>
        <sz val="10"/>
        <rFont val="Noto Sans CJK SC"/>
        <family val="2"/>
      </rPr>
      <t xml:space="preserve">分位で </t>
    </r>
    <r>
      <rPr>
        <sz val="10"/>
        <rFont val="Arial"/>
        <family val="0"/>
        <charset val="1"/>
      </rPr>
      <t xml:space="preserve">0.17→0.32→0.53→1.07</t>
    </r>
    <r>
      <rPr>
        <sz val="10"/>
        <rFont val="Noto Sans CJK SC"/>
        <family val="2"/>
      </rPr>
      <t xml:space="preserve">（登録</t>
    </r>
    <r>
      <rPr>
        <sz val="10"/>
        <rFont val="Arial"/>
        <family val="0"/>
        <charset val="1"/>
      </rPr>
      <t xml:space="preserve">/1000</t>
    </r>
    <r>
      <rPr>
        <sz val="10"/>
        <rFont val="Noto Sans CJK SC"/>
        <family val="2"/>
      </rPr>
      <t xml:space="preserve">再生）と単調増加し、最下位群の</t>
    </r>
    <r>
      <rPr>
        <sz val="10"/>
        <rFont val="Arial"/>
        <family val="0"/>
        <charset val="1"/>
      </rPr>
      <t xml:space="preserve">6.3</t>
    </r>
    <r>
      <rPr>
        <sz val="10"/>
        <rFont val="Noto Sans CJK SC"/>
        <family val="2"/>
      </rPr>
      <t xml:space="preserve">倍。</t>
    </r>
  </si>
  <si>
    <r>
      <rPr>
        <sz val="10"/>
        <rFont val="Noto Sans CJK SC"/>
        <family val="2"/>
      </rPr>
      <t xml:space="preserve">・一方 終盤維持率</t>
    </r>
    <r>
      <rPr>
        <sz val="10"/>
        <rFont val="Arial"/>
        <family val="0"/>
        <charset val="1"/>
      </rPr>
      <t xml:space="preserve">(90-100%)</t>
    </r>
    <r>
      <rPr>
        <sz val="10"/>
        <rFont val="Noto Sans CJK SC"/>
        <family val="2"/>
      </rPr>
      <t xml:space="preserve">は登録と無相関（</t>
    </r>
    <r>
      <rPr>
        <sz val="10"/>
        <rFont val="Arial"/>
        <family val="0"/>
        <charset val="1"/>
      </rPr>
      <t xml:space="preserve">0.41 / 0.26 / 0.42 / 0.30</t>
    </r>
    <r>
      <rPr>
        <sz val="10"/>
        <rFont val="Noto Sans CJK SC"/>
        <family val="2"/>
      </rPr>
      <t xml:space="preserve">）。「最後まで見せれば登録される」は本データでは否定された。</t>
    </r>
  </si>
  <si>
    <r>
      <rPr>
        <sz val="10"/>
        <rFont val="Noto Sans CJK SC"/>
        <family val="2"/>
      </rPr>
      <t xml:space="preserve">・にもかかわらず </t>
    </r>
    <r>
      <rPr>
        <sz val="10"/>
        <rFont val="Arial"/>
        <family val="0"/>
        <charset val="1"/>
      </rPr>
      <t xml:space="preserve">08-29</t>
    </r>
    <r>
      <rPr>
        <sz val="10"/>
        <rFont val="Noto Sans CJK SC"/>
        <family val="2"/>
      </rPr>
      <t xml:space="preserve">〜</t>
    </r>
    <r>
      <rPr>
        <sz val="10"/>
        <rFont val="Arial"/>
        <family val="0"/>
        <charset val="1"/>
      </rPr>
      <t xml:space="preserve">31 </t>
    </r>
    <r>
      <rPr>
        <sz val="10"/>
        <rFont val="Noto Sans CJK SC"/>
        <family val="2"/>
      </rPr>
      <t xml:space="preserve">の実台本</t>
    </r>
    <r>
      <rPr>
        <sz val="10"/>
        <rFont val="Arial"/>
        <family val="0"/>
        <charset val="1"/>
      </rPr>
      <t xml:space="preserve">32</t>
    </r>
    <r>
      <rPr>
        <sz val="10"/>
        <rFont val="Noto Sans CJK SC"/>
        <family val="2"/>
      </rPr>
      <t xml:space="preserve">本では 高評価</t>
    </r>
    <r>
      <rPr>
        <sz val="10"/>
        <rFont val="Arial"/>
        <family val="0"/>
        <charset val="1"/>
      </rPr>
      <t xml:space="preserve">CTA 50% / </t>
    </r>
    <r>
      <rPr>
        <sz val="10"/>
        <rFont val="Noto Sans CJK SC"/>
        <family val="2"/>
      </rPr>
      <t xml:space="preserve">登録</t>
    </r>
    <r>
      <rPr>
        <sz val="10"/>
        <rFont val="Arial"/>
        <family val="0"/>
        <charset val="1"/>
      </rPr>
      <t xml:space="preserve">CTA 38% / </t>
    </r>
    <r>
      <rPr>
        <sz val="10"/>
        <rFont val="Noto Sans CJK SC"/>
        <family val="2"/>
      </rPr>
      <t xml:space="preserve">両方 </t>
    </r>
    <r>
      <rPr>
        <sz val="10"/>
        <rFont val="Arial"/>
        <family val="0"/>
        <charset val="1"/>
      </rPr>
      <t xml:space="preserve">19% </t>
    </r>
    <r>
      <rPr>
        <sz val="10"/>
        <rFont val="Noto Sans CJK SC"/>
        <family val="2"/>
      </rPr>
      <t xml:space="preserve">しかなく、</t>
    </r>
    <r>
      <rPr>
        <sz val="10"/>
        <rFont val="Arial"/>
        <family val="0"/>
        <charset val="1"/>
      </rPr>
      <t xml:space="preserve">62%</t>
    </r>
    <r>
      <rPr>
        <sz val="10"/>
        <rFont val="Noto Sans CJK SC"/>
        <family val="2"/>
      </rPr>
      <t xml:space="preserve">のショートが登録を一度も求めていなかった。</t>
    </r>
  </si>
  <si>
    <r>
      <rPr>
        <sz val="10"/>
        <rFont val="Noto Sans CJK SC"/>
        <family val="2"/>
      </rPr>
      <t xml:space="preserve">・</t>
    </r>
    <r>
      <rPr>
        <sz val="10"/>
        <rFont val="Arial"/>
        <family val="0"/>
        <charset val="1"/>
      </rPr>
      <t xml:space="preserve">company-facts </t>
    </r>
    <r>
      <rPr>
        <sz val="10"/>
        <rFont val="Noto Sans CJK SC"/>
        <family val="2"/>
      </rPr>
      <t xml:space="preserve">は 高評価</t>
    </r>
    <r>
      <rPr>
        <sz val="10"/>
        <rFont val="Arial"/>
        <family val="0"/>
        <charset val="1"/>
      </rPr>
      <t xml:space="preserve">0/4</t>
    </r>
    <r>
      <rPr>
        <sz val="10"/>
        <rFont val="Noto Sans CJK SC"/>
        <family val="2"/>
      </rPr>
      <t xml:space="preserve">・登録</t>
    </r>
    <r>
      <rPr>
        <sz val="10"/>
        <rFont val="Arial"/>
        <family val="0"/>
        <charset val="1"/>
      </rPr>
      <t xml:space="preserve">0/4 </t>
    </r>
    <r>
      <rPr>
        <sz val="10"/>
        <rFont val="Noto Sans CJK SC"/>
        <family val="2"/>
      </rPr>
      <t xml:space="preserve">で</t>
    </r>
    <r>
      <rPr>
        <sz val="10"/>
        <rFont val="Arial"/>
        <family val="0"/>
        <charset val="1"/>
      </rPr>
      <t xml:space="preserve">CTA</t>
    </r>
    <r>
      <rPr>
        <sz val="10"/>
        <rFont val="Noto Sans CJK SC"/>
        <family val="2"/>
      </rPr>
      <t xml:space="preserve">が皆無。</t>
    </r>
    <r>
      <rPr>
        <sz val="10"/>
        <rFont val="Arial"/>
        <family val="0"/>
        <charset val="1"/>
      </rPr>
      <t xml:space="preserve">yokai-watch </t>
    </r>
    <r>
      <rPr>
        <sz val="10"/>
        <rFont val="Noto Sans CJK SC"/>
        <family val="2"/>
      </rPr>
      <t xml:space="preserve">は設定が存在しない「</t>
    </r>
    <r>
      <rPr>
        <sz val="10"/>
        <rFont val="Arial"/>
        <family val="0"/>
        <charset val="1"/>
      </rPr>
      <t xml:space="preserve">8</t>
    </r>
    <r>
      <rPr>
        <sz val="10"/>
        <rFont val="Noto Sans CJK SC"/>
        <family val="2"/>
      </rPr>
      <t xml:space="preserve">行目」を指しており高評価</t>
    </r>
    <r>
      <rPr>
        <sz val="10"/>
        <rFont val="Arial"/>
        <family val="0"/>
        <charset val="1"/>
      </rPr>
      <t xml:space="preserve">CTA</t>
    </r>
    <r>
      <rPr>
        <sz val="10"/>
        <rFont val="Noto Sans CJK SC"/>
        <family val="2"/>
      </rPr>
      <t xml:space="preserve">の指示が空振りしていた。</t>
    </r>
  </si>
  <si>
    <r>
      <rPr>
        <sz val="10"/>
        <rFont val="Noto Sans CJK SC"/>
        <family val="2"/>
      </rPr>
      <t xml:space="preserve">・対策として </t>
    </r>
    <r>
      <rPr>
        <sz val="10"/>
        <rFont val="Arial"/>
        <family val="0"/>
        <charset val="1"/>
      </rPr>
      <t xml:space="preserve">pipeline/cta_enforcer.py </t>
    </r>
    <r>
      <rPr>
        <sz val="10"/>
        <rFont val="Noto Sans CJK SC"/>
        <family val="2"/>
      </rPr>
      <t xml:space="preserve">を新設し、最終行に「高評価→登録」を決定論的に保証。あわせて設定</t>
    </r>
    <r>
      <rPr>
        <sz val="10"/>
        <rFont val="Arial"/>
        <family val="0"/>
        <charset val="1"/>
      </rPr>
      <t xml:space="preserve">4</t>
    </r>
    <r>
      <rPr>
        <sz val="10"/>
        <rFont val="Noto Sans CJK SC"/>
        <family val="2"/>
      </rPr>
      <t xml:space="preserve">件を修正した。</t>
    </r>
  </si>
  <si>
    <t xml:space="preserve">■ チャンネル別サマリー（集計は動画別シートを参照）</t>
  </si>
  <si>
    <t xml:space="preserve">channel_id</t>
  </si>
  <si>
    <t xml:space="preserve">集計本数</t>
  </si>
  <si>
    <t xml:space="preserve">視聴回数</t>
  </si>
  <si>
    <t xml:space="preserve">高評価率</t>
  </si>
  <si>
    <t xml:space="preserve">登録者増</t>
  </si>
  <si>
    <r>
      <rPr>
        <b val="true"/>
        <sz val="10"/>
        <color rgb="FFFFFFFF"/>
        <rFont val="Noto Sans CJK SC"/>
        <family val="2"/>
      </rPr>
      <t xml:space="preserve">登録</t>
    </r>
    <r>
      <rPr>
        <b val="true"/>
        <sz val="10"/>
        <color rgb="FFFFFFFF"/>
        <rFont val="Arial"/>
        <family val="0"/>
        <charset val="1"/>
      </rPr>
      <t xml:space="preserve">/1000</t>
    </r>
    <r>
      <rPr>
        <b val="true"/>
        <sz val="10"/>
        <color rgb="FFFFFFFF"/>
        <rFont val="Noto Sans CJK SC"/>
        <family val="2"/>
      </rPr>
      <t xml:space="preserve">再生</t>
    </r>
  </si>
  <si>
    <t xml:space="preserve">評価</t>
  </si>
  <si>
    <t xml:space="preserve">最優先の打ち手</t>
  </si>
  <si>
    <t xml:space="preserve">daily-science</t>
  </si>
  <si>
    <r>
      <rPr>
        <sz val="10"/>
        <rFont val="Noto Sans CJK SC"/>
        <family val="2"/>
      </rPr>
      <t xml:space="preserve">高評価率は高いが登録</t>
    </r>
    <r>
      <rPr>
        <sz val="10"/>
        <rFont val="Arial"/>
        <family val="0"/>
        <charset val="1"/>
      </rPr>
      <t xml:space="preserve">CTA</t>
    </r>
    <r>
      <rPr>
        <sz val="10"/>
        <rFont val="Noto Sans CJK SC"/>
        <family val="2"/>
      </rPr>
      <t xml:space="preserve">が実台本で</t>
    </r>
    <r>
      <rPr>
        <sz val="10"/>
        <rFont val="Arial"/>
        <family val="0"/>
        <charset val="1"/>
      </rPr>
      <t xml:space="preserve">0/4</t>
    </r>
    <r>
      <rPr>
        <sz val="10"/>
        <rFont val="Noto Sans CJK SC"/>
        <family val="2"/>
      </rPr>
      <t xml:space="preserve">。</t>
    </r>
    <r>
      <rPr>
        <sz val="10"/>
        <rFont val="Arial"/>
        <family val="0"/>
        <charset val="1"/>
      </rPr>
      <t xml:space="preserve">cta_enforcer </t>
    </r>
    <r>
      <rPr>
        <sz val="10"/>
        <rFont val="Noto Sans CJK SC"/>
        <family val="2"/>
      </rPr>
      <t xml:space="preserve">の効果が最も出るはず。</t>
    </r>
  </si>
  <si>
    <t xml:space="preserve">scp-lab</t>
  </si>
  <si>
    <r>
      <rPr>
        <sz val="10"/>
        <rFont val="Noto Sans CJK SC"/>
        <family val="2"/>
      </rPr>
      <t xml:space="preserve">最良。高評価率</t>
    </r>
    <r>
      <rPr>
        <sz val="10"/>
        <rFont val="Arial"/>
        <family val="0"/>
        <charset val="1"/>
      </rPr>
      <t xml:space="preserve">0.46%</t>
    </r>
    <r>
      <rPr>
        <sz val="10"/>
        <rFont val="Noto Sans CJK SC"/>
        <family val="2"/>
      </rPr>
      <t xml:space="preserve">・登録</t>
    </r>
    <r>
      <rPr>
        <sz val="10"/>
        <rFont val="Arial"/>
        <family val="0"/>
        <charset val="1"/>
      </rPr>
      <t xml:space="preserve">0.76</t>
    </r>
    <r>
      <rPr>
        <sz val="10"/>
        <rFont val="Noto Sans CJK SC"/>
        <family val="2"/>
      </rPr>
      <t xml:space="preserve">を他</t>
    </r>
    <r>
      <rPr>
        <sz val="10"/>
        <rFont val="Arial"/>
        <family val="0"/>
        <charset val="1"/>
      </rPr>
      <t xml:space="preserve">ch</t>
    </r>
    <r>
      <rPr>
        <sz val="10"/>
        <rFont val="Noto Sans CJK SC"/>
        <family val="2"/>
      </rPr>
      <t xml:space="preserve">の基準にする。</t>
    </r>
    <r>
      <rPr>
        <sz val="10"/>
        <rFont val="Arial"/>
        <family val="0"/>
        <charset val="1"/>
      </rPr>
      <t xml:space="preserve">SCP-173</t>
    </r>
    <r>
      <rPr>
        <sz val="10"/>
        <rFont val="Noto Sans CJK SC"/>
        <family val="2"/>
      </rPr>
      <t xml:space="preserve">系の反復は登録</t>
    </r>
    <r>
      <rPr>
        <sz val="10"/>
        <rFont val="Arial"/>
        <family val="0"/>
        <charset val="1"/>
      </rPr>
      <t xml:space="preserve">1.23</t>
    </r>
    <r>
      <rPr>
        <sz val="10"/>
        <rFont val="Noto Sans CJK SC"/>
        <family val="2"/>
      </rPr>
      <t xml:space="preserve">と最も効いており、続投してよい。</t>
    </r>
  </si>
  <si>
    <t xml:space="preserve">2ch-matome</t>
  </si>
  <si>
    <r>
      <rPr>
        <sz val="10"/>
        <rFont val="Noto Sans CJK SC"/>
        <family val="2"/>
      </rPr>
      <t xml:space="preserve">最大の課題。再生は最多だが登録は最低。高評価率</t>
    </r>
    <r>
      <rPr>
        <sz val="10"/>
        <rFont val="Arial"/>
        <family val="0"/>
        <charset val="1"/>
      </rPr>
      <t xml:space="preserve">0.25%</t>
    </r>
    <r>
      <rPr>
        <sz val="10"/>
        <rFont val="Noto Sans CJK SC"/>
        <family val="2"/>
      </rPr>
      <t xml:space="preserve">をまず</t>
    </r>
    <r>
      <rPr>
        <sz val="10"/>
        <rFont val="Arial"/>
        <family val="0"/>
        <charset val="1"/>
      </rPr>
      <t xml:space="preserve">0.4%</t>
    </r>
    <r>
      <rPr>
        <sz val="10"/>
        <rFont val="Noto Sans CJK SC"/>
        <family val="2"/>
      </rPr>
      <t xml:space="preserve">へ。参加型</t>
    </r>
    <r>
      <rPr>
        <sz val="10"/>
        <rFont val="Arial"/>
        <family val="0"/>
        <charset val="1"/>
      </rPr>
      <t xml:space="preserve">CTA</t>
    </r>
    <r>
      <rPr>
        <sz val="10"/>
        <rFont val="Noto Sans CJK SC"/>
        <family val="2"/>
      </rPr>
      <t xml:space="preserve">が高評価</t>
    </r>
    <r>
      <rPr>
        <sz val="10"/>
        <rFont val="Arial"/>
        <family val="0"/>
        <charset val="1"/>
      </rPr>
      <t xml:space="preserve">CTA</t>
    </r>
    <r>
      <rPr>
        <sz val="10"/>
        <rFont val="Noto Sans CJK SC"/>
        <family val="2"/>
      </rPr>
      <t xml:space="preserve">を押しのけている。</t>
    </r>
  </si>
  <si>
    <t xml:space="preserve">pokemon-lab</t>
  </si>
  <si>
    <r>
      <rPr>
        <sz val="10"/>
        <rFont val="Noto Sans CJK SC"/>
        <family val="2"/>
      </rPr>
      <t xml:space="preserve">高評価率</t>
    </r>
    <r>
      <rPr>
        <sz val="10"/>
        <rFont val="Arial"/>
        <family val="0"/>
        <charset val="1"/>
      </rPr>
      <t xml:space="preserve">0.29%</t>
    </r>
    <r>
      <rPr>
        <sz val="10"/>
        <rFont val="Noto Sans CJK SC"/>
        <family val="2"/>
      </rPr>
      <t xml:space="preserve">が低い。『え、マジで？』の驚き設計を</t>
    </r>
    <r>
      <rPr>
        <sz val="10"/>
        <rFont val="Arial"/>
        <family val="0"/>
        <charset val="1"/>
      </rPr>
      <t xml:space="preserve">3</t>
    </r>
    <r>
      <rPr>
        <sz val="10"/>
        <rFont val="Noto Sans CJK SC"/>
        <family val="2"/>
      </rPr>
      <t xml:space="preserve">行目の数字比較に集中させる。</t>
    </r>
  </si>
  <si>
    <t xml:space="preserve">yokai-watch</t>
  </si>
  <si>
    <r>
      <rPr>
        <sz val="10"/>
        <rFont val="Noto Sans CJK SC"/>
        <family val="2"/>
      </rPr>
      <t xml:space="preserve">『</t>
    </r>
    <r>
      <rPr>
        <sz val="10"/>
        <rFont val="Arial"/>
        <family val="0"/>
        <charset val="1"/>
      </rPr>
      <t xml:space="preserve">8</t>
    </r>
    <r>
      <rPr>
        <sz val="10"/>
        <rFont val="Noto Sans CJK SC"/>
        <family val="2"/>
      </rPr>
      <t xml:space="preserve">行目』誤記で高評価</t>
    </r>
    <r>
      <rPr>
        <sz val="10"/>
        <rFont val="Arial"/>
        <family val="0"/>
        <charset val="1"/>
      </rPr>
      <t xml:space="preserve">CTA</t>
    </r>
    <r>
      <rPr>
        <sz val="10"/>
        <rFont val="Noto Sans CJK SC"/>
        <family val="2"/>
      </rPr>
      <t xml:space="preserve">が空振りしていた。修正済みのため次サイクルで効果を測る。</t>
    </r>
  </si>
  <si>
    <t xml:space="preserve">company-facts</t>
  </si>
  <si>
    <r>
      <rPr>
        <sz val="10"/>
        <rFont val="Arial"/>
        <family val="0"/>
        <charset val="1"/>
      </rPr>
      <t xml:space="preserve">CTA</t>
    </r>
    <r>
      <rPr>
        <sz val="10"/>
        <rFont val="Noto Sans CJK SC"/>
        <family val="2"/>
      </rPr>
      <t xml:space="preserve">が皆無（高評価</t>
    </r>
    <r>
      <rPr>
        <sz val="10"/>
        <rFont val="Arial"/>
        <family val="0"/>
        <charset val="1"/>
      </rPr>
      <t xml:space="preserve">0/4</t>
    </r>
    <r>
      <rPr>
        <sz val="10"/>
        <rFont val="Noto Sans CJK SC"/>
        <family val="2"/>
      </rPr>
      <t xml:space="preserve">・登録</t>
    </r>
    <r>
      <rPr>
        <sz val="10"/>
        <rFont val="Arial"/>
        <family val="0"/>
        <charset val="1"/>
      </rPr>
      <t xml:space="preserve">0/4</t>
    </r>
    <r>
      <rPr>
        <sz val="10"/>
        <rFont val="Noto Sans CJK SC"/>
        <family val="2"/>
      </rPr>
      <t xml:space="preserve">）。加えて </t>
    </r>
    <r>
      <rPr>
        <sz val="10"/>
        <rFont val="Arial"/>
        <family val="0"/>
        <charset val="1"/>
      </rPr>
      <t xml:space="preserve">video_metrics </t>
    </r>
    <r>
      <rPr>
        <sz val="10"/>
        <rFont val="Noto Sans CJK SC"/>
        <family val="2"/>
      </rPr>
      <t xml:space="preserve">に取り込まれておらず実績が測れていない。取り込み経路の確認が必要。</t>
    </r>
  </si>
  <si>
    <r>
      <rPr>
        <b val="true"/>
        <sz val="10"/>
        <rFont val="Noto Sans CJK SC"/>
        <family val="2"/>
      </rPr>
      <t xml:space="preserve">合計 </t>
    </r>
    <r>
      <rPr>
        <b val="true"/>
        <sz val="10"/>
        <rFont val="Arial"/>
        <family val="0"/>
        <charset val="1"/>
      </rPr>
      <t xml:space="preserve">/ </t>
    </r>
    <r>
      <rPr>
        <b val="true"/>
        <sz val="10"/>
        <rFont val="Noto Sans CJK SC"/>
        <family val="2"/>
      </rPr>
      <t xml:space="preserve">加重平均</t>
    </r>
  </si>
  <si>
    <r>
      <rPr>
        <b val="true"/>
        <sz val="10"/>
        <rFont val="Noto Sans CJK SC"/>
        <family val="2"/>
      </rPr>
      <t xml:space="preserve">■ 高評価率と登録転換の関係（本日の中核的発見・</t>
    </r>
    <r>
      <rPr>
        <b val="true"/>
        <sz val="10"/>
        <rFont val="Arial"/>
        <family val="0"/>
        <charset val="1"/>
      </rPr>
      <t xml:space="preserve">n=322</t>
    </r>
    <r>
      <rPr>
        <b val="true"/>
        <sz val="10"/>
        <rFont val="Noto Sans CJK SC"/>
        <family val="2"/>
      </rPr>
      <t xml:space="preserve">）</t>
    </r>
  </si>
  <si>
    <t xml:space="preserve">高評価率の帯</t>
  </si>
  <si>
    <t xml:space="preserve">本数</t>
  </si>
  <si>
    <t xml:space="preserve">平均視聴回数</t>
  </si>
  <si>
    <t xml:space="preserve">最下位群比</t>
  </si>
  <si>
    <t xml:space="preserve">0-0.2%</t>
  </si>
  <si>
    <t xml:space="preserve">0.2-0.4%</t>
  </si>
  <si>
    <t xml:space="preserve">0.4-0.8%</t>
  </si>
  <si>
    <r>
      <rPr>
        <sz val="10"/>
        <rFont val="Arial"/>
        <family val="0"/>
        <charset val="1"/>
      </rPr>
      <t xml:space="preserve">0.8%</t>
    </r>
    <r>
      <rPr>
        <sz val="10"/>
        <rFont val="Noto Sans CJK SC"/>
        <family val="2"/>
      </rPr>
      <t xml:space="preserve">以上</t>
    </r>
  </si>
  <si>
    <t xml:space="preserve">■ 終盤維持率と登録転換（無相関・改善対象から外す根拠）</t>
  </si>
  <si>
    <r>
      <rPr>
        <b val="true"/>
        <sz val="10"/>
        <color rgb="FFFFFFFF"/>
        <rFont val="Noto Sans CJK SC"/>
        <family val="2"/>
      </rPr>
      <t xml:space="preserve">終盤維持率</t>
    </r>
    <r>
      <rPr>
        <b val="true"/>
        <sz val="10"/>
        <color rgb="FFFFFFFF"/>
        <rFont val="Arial"/>
        <family val="0"/>
        <charset val="1"/>
      </rPr>
      <t xml:space="preserve">(90-100%)</t>
    </r>
  </si>
  <si>
    <r>
      <rPr>
        <sz val="10"/>
        <rFont val="Arial"/>
        <family val="0"/>
        <charset val="1"/>
      </rPr>
      <t xml:space="preserve">15%</t>
    </r>
    <r>
      <rPr>
        <sz val="10"/>
        <rFont val="Noto Sans CJK SC"/>
        <family val="2"/>
      </rPr>
      <t xml:space="preserve">未満</t>
    </r>
  </si>
  <si>
    <t xml:space="preserve">15-25%</t>
  </si>
  <si>
    <t xml:space="preserve">25-40%</t>
  </si>
  <si>
    <r>
      <rPr>
        <sz val="10"/>
        <rFont val="Arial"/>
        <family val="0"/>
        <charset val="1"/>
      </rPr>
      <t xml:space="preserve">40%</t>
    </r>
    <r>
      <rPr>
        <sz val="10"/>
        <rFont val="Noto Sans CJK SC"/>
        <family val="2"/>
      </rPr>
      <t xml:space="preserve">以上</t>
    </r>
  </si>
  <si>
    <t xml:space="preserve">→ 単調性が無く、最上位帯がむしろ低い。登録の打ち手として終盤維持率は追わない。</t>
  </si>
  <si>
    <t xml:space="preserve">チャンネル別詳細</t>
  </si>
  <si>
    <r>
      <rPr>
        <i val="true"/>
        <sz val="9"/>
        <color rgb="FF595959"/>
        <rFont val="Noto Sans CJK SC"/>
        <family val="2"/>
      </rPr>
      <t xml:space="preserve">維持率カーブは </t>
    </r>
    <r>
      <rPr>
        <i val="true"/>
        <sz val="9"/>
        <color rgb="FF595959"/>
        <rFont val="Arial"/>
        <family val="0"/>
        <charset val="1"/>
      </rPr>
      <t xml:space="preserve">retention_curve </t>
    </r>
    <r>
      <rPr>
        <i val="true"/>
        <sz val="9"/>
        <color rgb="FF595959"/>
        <rFont val="Noto Sans CJK SC"/>
        <family val="2"/>
      </rPr>
      <t xml:space="preserve">の全曲線をチャンネル平均したもの（</t>
    </r>
    <r>
      <rPr>
        <i val="true"/>
        <sz val="9"/>
        <color rgb="FF595959"/>
        <rFont val="Arial"/>
        <family val="0"/>
        <charset val="1"/>
      </rPr>
      <t xml:space="preserve">100%</t>
    </r>
    <r>
      <rPr>
        <i val="true"/>
        <sz val="9"/>
        <color rgb="FF595959"/>
        <rFont val="Noto Sans CJK SC"/>
        <family val="2"/>
      </rPr>
      <t xml:space="preserve">超は再視聴・ループを含む</t>
    </r>
    <r>
      <rPr>
        <i val="true"/>
        <sz val="9"/>
        <color rgb="FF595959"/>
        <rFont val="Arial"/>
        <family val="0"/>
        <charset val="1"/>
      </rPr>
      <t xml:space="preserve">YouTube</t>
    </r>
    <r>
      <rPr>
        <i val="true"/>
        <sz val="9"/>
        <color rgb="FF595959"/>
        <rFont val="Noto Sans CJK SC"/>
        <family val="2"/>
      </rPr>
      <t xml:space="preserve">仕様）。</t>
    </r>
  </si>
  <si>
    <r>
      <rPr>
        <b val="true"/>
        <sz val="10"/>
        <rFont val="Arial"/>
        <family val="0"/>
        <charset val="1"/>
      </rPr>
      <t xml:space="preserve">■ 08</t>
    </r>
    <r>
      <rPr>
        <b val="true"/>
        <sz val="10"/>
        <rFont val="Noto Sans CJK SC"/>
        <family val="2"/>
      </rPr>
      <t xml:space="preserve">月の登録者純増（</t>
    </r>
    <r>
      <rPr>
        <b val="true"/>
        <sz val="10"/>
        <rFont val="Arial"/>
        <family val="0"/>
        <charset val="1"/>
      </rPr>
      <t xml:space="preserve">channel_metrics</t>
    </r>
    <r>
      <rPr>
        <b val="true"/>
        <sz val="10"/>
        <rFont val="Noto Sans CJK SC"/>
        <family val="2"/>
      </rPr>
      <t xml:space="preserve">・</t>
    </r>
    <r>
      <rPr>
        <b val="true"/>
        <sz val="10"/>
        <rFont val="Arial"/>
        <family val="0"/>
        <charset val="1"/>
      </rPr>
      <t xml:space="preserve">API</t>
    </r>
    <r>
      <rPr>
        <b val="true"/>
        <sz val="10"/>
        <rFont val="Noto Sans CJK SC"/>
        <family val="2"/>
      </rPr>
      <t xml:space="preserve">の反映遅延により</t>
    </r>
    <r>
      <rPr>
        <b val="true"/>
        <sz val="10"/>
        <rFont val="Arial"/>
        <family val="0"/>
        <charset val="1"/>
      </rPr>
      <t xml:space="preserve">08-28</t>
    </r>
    <r>
      <rPr>
        <b val="true"/>
        <sz val="10"/>
        <rFont val="Noto Sans CJK SC"/>
        <family val="2"/>
      </rPr>
      <t xml:space="preserve">まで）</t>
    </r>
  </si>
  <si>
    <t xml:space="preserve">登録増</t>
  </si>
  <si>
    <t xml:space="preserve">登録減</t>
  </si>
  <si>
    <t xml:space="preserve">純増</t>
  </si>
  <si>
    <t xml:space="preserve">fake-paper</t>
  </si>
  <si>
    <r>
      <rPr>
        <b val="true"/>
        <sz val="10"/>
        <rFont val="Noto Sans CJK SC"/>
        <family val="2"/>
      </rPr>
      <t xml:space="preserve">■ 平均維持率カーブ（</t>
    </r>
    <r>
      <rPr>
        <b val="true"/>
        <sz val="10"/>
        <rFont val="Arial"/>
        <family val="0"/>
        <charset val="1"/>
      </rPr>
      <t xml:space="preserve">%</t>
    </r>
    <r>
      <rPr>
        <b val="true"/>
        <sz val="10"/>
        <rFont val="Noto Sans CJK SC"/>
        <family val="2"/>
      </rPr>
      <t xml:space="preserve">）</t>
    </r>
  </si>
  <si>
    <t xml:space="preserve">0%</t>
  </si>
  <si>
    <t xml:space="preserve">10%</t>
  </si>
  <si>
    <t xml:space="preserve">20%</t>
  </si>
  <si>
    <t xml:space="preserve">30%</t>
  </si>
  <si>
    <t xml:space="preserve">40%</t>
  </si>
  <si>
    <t xml:space="preserve">50%</t>
  </si>
  <si>
    <t xml:space="preserve">60%</t>
  </si>
  <si>
    <t xml:space="preserve">70%</t>
  </si>
  <si>
    <t xml:space="preserve">80%</t>
  </si>
  <si>
    <t xml:space="preserve">90%</t>
  </si>
  <si>
    <t xml:space="preserve">100%</t>
  </si>
  <si>
    <r>
      <rPr>
        <i val="true"/>
        <sz val="9"/>
        <color rgb="FF595959"/>
        <rFont val="Noto Sans CJK SC"/>
        <family val="2"/>
      </rPr>
      <t xml:space="preserve">→ 全チャンネルで </t>
    </r>
    <r>
      <rPr>
        <i val="true"/>
        <sz val="9"/>
        <color rgb="FF595959"/>
        <rFont val="Arial"/>
        <family val="0"/>
        <charset val="1"/>
      </rPr>
      <t xml:space="preserve">10%→30% </t>
    </r>
    <r>
      <rPr>
        <i val="true"/>
        <sz val="9"/>
        <color rgb="FF595959"/>
        <rFont val="Noto Sans CJK SC"/>
        <family val="2"/>
      </rPr>
      <t xml:space="preserve">の区間が最大の崖。ただし終盤維持率は登録と無相関のため、ここの改善は視聴時間には効くが登録者数には効かない（サマリー参照）。</t>
    </r>
  </si>
  <si>
    <t xml:space="preserve">動画別パフォーマンス（各動画の最新スナップショット）</t>
  </si>
  <si>
    <r>
      <rPr>
        <i val="true"/>
        <sz val="9"/>
        <color rgb="FF595959"/>
        <rFont val="Noto Sans CJK SC"/>
        <family val="2"/>
      </rPr>
      <t xml:space="preserve">出典</t>
    </r>
    <r>
      <rPr>
        <i val="true"/>
        <sz val="9"/>
        <color rgb="FF595959"/>
        <rFont val="Arial"/>
        <family val="0"/>
        <charset val="1"/>
      </rPr>
      <t xml:space="preserve">: data/analytics/analytics.db video_metrics / retention_curve</t>
    </r>
    <r>
      <rPr>
        <i val="true"/>
        <sz val="9"/>
        <color rgb="FF595959"/>
        <rFont val="Noto Sans CJK SC"/>
        <family val="2"/>
      </rPr>
      <t xml:space="preserve">。視聴回数</t>
    </r>
    <r>
      <rPr>
        <i val="true"/>
        <sz val="9"/>
        <color rgb="FF595959"/>
        <rFont val="Arial"/>
        <family val="0"/>
        <charset val="1"/>
      </rPr>
      <t xml:space="preserve">200</t>
    </r>
    <r>
      <rPr>
        <i val="true"/>
        <sz val="9"/>
        <color rgb="FF595959"/>
        <rFont val="Noto Sans CJK SC"/>
        <family val="2"/>
      </rPr>
      <t xml:space="preserve">未満は統計ノイズが大きいため集計から除外している（除外行はグレー表示）。</t>
    </r>
  </si>
  <si>
    <t xml:space="preserve">公開日</t>
  </si>
  <si>
    <t xml:space="preserve">タイトル</t>
  </si>
  <si>
    <t xml:space="preserve">高評価</t>
  </si>
  <si>
    <t xml:space="preserve">インプレッション</t>
  </si>
  <si>
    <t xml:space="preserve">CTR</t>
  </si>
  <si>
    <t xml:space="preserve">平均視聴率</t>
  </si>
  <si>
    <t xml:space="preserve">集計対象</t>
  </si>
  <si>
    <t xml:space="preserve">2026-08-09</t>
  </si>
  <si>
    <r>
      <rPr>
        <sz val="10"/>
        <rFont val="Arial"/>
        <family val="0"/>
        <charset val="1"/>
      </rPr>
      <t xml:space="preserve">30</t>
    </r>
    <r>
      <rPr>
        <sz val="10"/>
        <rFont val="Noto Sans CJK SC"/>
        <family val="2"/>
      </rPr>
      <t xml:space="preserve">秒スレまとめ：残業代はやる気で払う</t>
    </r>
    <r>
      <rPr>
        <sz val="10"/>
        <rFont val="Arial"/>
        <family val="0"/>
        <charset val="1"/>
      </rPr>
      <t xml:space="preserve">#</t>
    </r>
    <r>
      <rPr>
        <sz val="10"/>
        <rFont val="Noto Sans CJK SC"/>
        <family val="2"/>
      </rPr>
      <t xml:space="preserve">上司「残業代はやる気で払う」発言から、なぜか全員消えた職場の末路 </t>
    </r>
    <r>
      <rPr>
        <sz val="10"/>
        <rFont val="Arial"/>
        <family val="0"/>
        <charset val="1"/>
      </rPr>
      <t xml:space="preserve">#shorts #</t>
    </r>
    <r>
      <rPr>
        <sz val="10"/>
        <rFont val="Noto Sans CJK SC"/>
        <family val="2"/>
      </rPr>
      <t xml:space="preserve">ゆっくり解説</t>
    </r>
  </si>
  <si>
    <t xml:space="preserve">2026-08-13</t>
  </si>
  <si>
    <r>
      <rPr>
        <sz val="10"/>
        <rFont val="Noto Sans CJK SC"/>
        <family val="2"/>
      </rPr>
      <t xml:space="preserve">ワイの今日の昼飯を当てるスレ</t>
    </r>
    <r>
      <rPr>
        <sz val="10"/>
        <rFont val="Arial"/>
        <family val="0"/>
        <charset val="1"/>
      </rPr>
      <t xml:space="preserve">w</t>
    </r>
    <r>
      <rPr>
        <sz val="10"/>
        <rFont val="Noto Sans CJK SC"/>
        <family val="2"/>
      </rPr>
      <t xml:space="preserve">【ショート】</t>
    </r>
  </si>
  <si>
    <t xml:space="preserve">コンビニで一番いらん商品あげてけ【ショート】</t>
  </si>
  <si>
    <t xml:space="preserve">2026-08-14</t>
  </si>
  <si>
    <r>
      <rPr>
        <sz val="10"/>
        <rFont val="Noto Sans CJK SC"/>
        <family val="2"/>
      </rPr>
      <t xml:space="preserve">なんか</t>
    </r>
    <r>
      <rPr>
        <sz val="10"/>
        <rFont val="Arial"/>
        <family val="0"/>
        <charset val="1"/>
      </rPr>
      <t xml:space="preserve">PC</t>
    </r>
    <r>
      <rPr>
        <sz val="10"/>
        <rFont val="Noto Sans CJK SC"/>
        <family val="2"/>
      </rPr>
      <t xml:space="preserve">の画面チカチカするんやが【ショート】</t>
    </r>
  </si>
  <si>
    <r>
      <rPr>
        <sz val="10"/>
        <rFont val="Noto Sans CJK SC"/>
        <family val="2"/>
      </rPr>
      <t xml:space="preserve">彼女の部屋でヤバい物あげてけ</t>
    </r>
    <r>
      <rPr>
        <sz val="10"/>
        <rFont val="Arial"/>
        <family val="0"/>
        <charset val="1"/>
      </rPr>
      <t xml:space="preserve">w</t>
    </r>
    <r>
      <rPr>
        <sz val="10"/>
        <rFont val="Noto Sans CJK SC"/>
        <family val="2"/>
      </rPr>
      <t xml:space="preserve">【ショート】</t>
    </r>
  </si>
  <si>
    <t xml:space="preserve">2026-08-15</t>
  </si>
  <si>
    <t xml:space="preserve">ワイ、彼女いない歴＝年齢やけど質問ある？【ショート】</t>
  </si>
  <si>
    <r>
      <rPr>
        <sz val="10"/>
        <rFont val="Noto Sans CJK SC"/>
        <family val="2"/>
      </rPr>
      <t xml:space="preserve">ワイのキーボードの変な癖あげてけ</t>
    </r>
    <r>
      <rPr>
        <sz val="10"/>
        <rFont val="Arial"/>
        <family val="0"/>
        <charset val="1"/>
      </rPr>
      <t xml:space="preserve">w</t>
    </r>
    <r>
      <rPr>
        <sz val="10"/>
        <rFont val="Noto Sans CJK SC"/>
        <family val="2"/>
      </rPr>
      <t xml:space="preserve">【ショート】</t>
    </r>
  </si>
  <si>
    <t xml:space="preserve">2026-08-16</t>
  </si>
  <si>
    <t xml:space="preserve">なんかスマホの充電だけ遅いんやが【ショート】</t>
  </si>
  <si>
    <t xml:space="preserve">2026-08-17</t>
  </si>
  <si>
    <r>
      <rPr>
        <sz val="10"/>
        <rFont val="Noto Sans CJK SC"/>
        <family val="2"/>
      </rPr>
      <t xml:space="preserve">後輩「敬語って課金制ですよね？」→翌朝、全員が黙った </t>
    </r>
    <r>
      <rPr>
        <sz val="10"/>
        <rFont val="Arial"/>
        <family val="0"/>
        <charset val="1"/>
      </rPr>
      <t xml:space="preserve">#shorts #2ch #</t>
    </r>
    <r>
      <rPr>
        <sz val="10"/>
        <rFont val="Noto Sans CJK SC"/>
        <family val="2"/>
      </rPr>
      <t xml:space="preserve">スカッと</t>
    </r>
  </si>
  <si>
    <t xml:space="preserve">実際には存在しないけどありそうな県名あげてけ【ショート】</t>
  </si>
  <si>
    <r>
      <rPr>
        <sz val="10"/>
        <rFont val="Noto Sans CJK SC"/>
        <family val="2"/>
      </rPr>
      <t xml:space="preserve">絶対に二度見される部屋着あげてけ</t>
    </r>
    <r>
      <rPr>
        <sz val="10"/>
        <rFont val="Arial"/>
        <family val="0"/>
        <charset val="1"/>
      </rPr>
      <t xml:space="preserve">w</t>
    </r>
    <r>
      <rPr>
        <sz val="10"/>
        <rFont val="Noto Sans CJK SC"/>
        <family val="2"/>
      </rPr>
      <t xml:space="preserve">【ショート】</t>
    </r>
  </si>
  <si>
    <r>
      <rPr>
        <sz val="10"/>
        <color rgb="FFA6A6A6"/>
        <rFont val="Noto Sans CJK SC"/>
        <family val="2"/>
      </rPr>
      <t xml:space="preserve">ワイ、</t>
    </r>
    <r>
      <rPr>
        <sz val="10"/>
        <color rgb="FFA6A6A6"/>
        <rFont val="Arial"/>
        <family val="0"/>
        <charset val="1"/>
      </rPr>
      <t xml:space="preserve">AI</t>
    </r>
    <r>
      <rPr>
        <sz val="10"/>
        <color rgb="FFA6A6A6"/>
        <rFont val="Noto Sans CJK SC"/>
        <family val="2"/>
      </rPr>
      <t xml:space="preserve">に変な質問する係やけど質問ある？</t>
    </r>
    <r>
      <rPr>
        <sz val="10"/>
        <color rgb="FFA6A6A6"/>
        <rFont val="Arial"/>
        <family val="0"/>
        <charset val="1"/>
      </rPr>
      <t xml:space="preserve">w</t>
    </r>
    <r>
      <rPr>
        <sz val="10"/>
        <color rgb="FFA6A6A6"/>
        <rFont val="Noto Sans CJK SC"/>
        <family val="2"/>
      </rPr>
      <t xml:space="preserve">【ショート】</t>
    </r>
  </si>
  <si>
    <r>
      <rPr>
        <sz val="10"/>
        <color rgb="FFA6A6A6"/>
        <rFont val="Noto Sans CJK SC"/>
        <family val="2"/>
      </rPr>
      <t xml:space="preserve">飲み会で絶対見られたくない通知あげてけ</t>
    </r>
    <r>
      <rPr>
        <sz val="10"/>
        <color rgb="FFA6A6A6"/>
        <rFont val="Arial"/>
        <family val="0"/>
        <charset val="1"/>
      </rPr>
      <t xml:space="preserve">w</t>
    </r>
    <r>
      <rPr>
        <sz val="10"/>
        <color rgb="FFA6A6A6"/>
        <rFont val="Noto Sans CJK SC"/>
        <family val="2"/>
      </rPr>
      <t xml:space="preserve">【ショート】</t>
    </r>
  </si>
  <si>
    <t xml:space="preserve">2026-08-18</t>
  </si>
  <si>
    <r>
      <rPr>
        <sz val="10"/>
        <rFont val="Noto Sans CJK SC"/>
        <family val="2"/>
      </rPr>
      <t xml:space="preserve">存在しないゲームの迷惑機能あげてけ</t>
    </r>
    <r>
      <rPr>
        <sz val="10"/>
        <rFont val="Arial"/>
        <family val="0"/>
        <charset val="1"/>
      </rPr>
      <t xml:space="preserve">w</t>
    </r>
    <r>
      <rPr>
        <sz val="10"/>
        <rFont val="Noto Sans CJK SC"/>
        <family val="2"/>
      </rPr>
      <t xml:space="preserve">【ショート】</t>
    </r>
  </si>
  <si>
    <r>
      <rPr>
        <sz val="10"/>
        <rFont val="Noto Sans CJK SC"/>
        <family val="2"/>
      </rPr>
      <t xml:space="preserve">なんか靴下だけ消えるんやが</t>
    </r>
    <r>
      <rPr>
        <sz val="10"/>
        <rFont val="Arial"/>
        <family val="0"/>
        <charset val="1"/>
      </rPr>
      <t xml:space="preserve">w</t>
    </r>
    <r>
      <rPr>
        <sz val="10"/>
        <rFont val="Noto Sans CJK SC"/>
        <family val="2"/>
      </rPr>
      <t xml:space="preserve">【ショート】</t>
    </r>
  </si>
  <si>
    <t xml:space="preserve">2026-08-19</t>
  </si>
  <si>
    <r>
      <rPr>
        <sz val="10"/>
        <rFont val="Arial"/>
        <family val="0"/>
        <charset val="1"/>
      </rPr>
      <t xml:space="preserve">PC</t>
    </r>
    <r>
      <rPr>
        <sz val="10"/>
        <rFont val="Noto Sans CJK SC"/>
        <family val="2"/>
      </rPr>
      <t xml:space="preserve">パーツ到着時、なぜ箱だけ先に届くのか？【ショート】</t>
    </r>
  </si>
  <si>
    <r>
      <rPr>
        <sz val="10"/>
        <rFont val="Noto Sans CJK SC"/>
        <family val="2"/>
      </rPr>
      <t xml:space="preserve">なぜケンタッキー月見は</t>
    </r>
    <r>
      <rPr>
        <sz val="10"/>
        <rFont val="Arial"/>
        <family val="0"/>
        <charset val="1"/>
      </rPr>
      <t xml:space="preserve">3</t>
    </r>
    <r>
      <rPr>
        <sz val="10"/>
        <rFont val="Noto Sans CJK SC"/>
        <family val="2"/>
      </rPr>
      <t xml:space="preserve">秒で秋の給料日になるのか、食べた感想あげてけ</t>
    </r>
    <r>
      <rPr>
        <sz val="10"/>
        <rFont val="Arial"/>
        <family val="0"/>
        <charset val="1"/>
      </rPr>
      <t xml:space="preserve">w</t>
    </r>
    <r>
      <rPr>
        <sz val="10"/>
        <rFont val="Noto Sans CJK SC"/>
        <family val="2"/>
      </rPr>
      <t xml:space="preserve">【ショート】</t>
    </r>
  </si>
  <si>
    <t xml:space="preserve">2026-08-20</t>
  </si>
  <si>
    <r>
      <rPr>
        <sz val="10"/>
        <rFont val="Noto Sans CJK SC"/>
        <family val="2"/>
      </rPr>
      <t xml:space="preserve">ちいかわチョコサプ、なぜ中身が攻めすぎなのか？</t>
    </r>
    <r>
      <rPr>
        <sz val="10"/>
        <rFont val="Arial"/>
        <family val="0"/>
        <charset val="1"/>
      </rPr>
      <t xml:space="preserve">3</t>
    </r>
    <r>
      <rPr>
        <sz val="10"/>
        <rFont val="Noto Sans CJK SC"/>
        <family val="2"/>
      </rPr>
      <t xml:space="preserve">秒予想してみたら草【ショート】</t>
    </r>
  </si>
  <si>
    <r>
      <rPr>
        <sz val="10"/>
        <rFont val="Noto Sans CJK SC"/>
        <family val="2"/>
      </rPr>
      <t xml:space="preserve">ワイ、アジア大会珍プレー歴</t>
    </r>
    <r>
      <rPr>
        <sz val="10"/>
        <rFont val="Arial"/>
        <family val="0"/>
        <charset val="1"/>
      </rPr>
      <t xml:space="preserve">0</t>
    </r>
    <r>
      <rPr>
        <sz val="10"/>
        <rFont val="Noto Sans CJK SC"/>
        <family val="2"/>
      </rPr>
      <t xml:space="preserve">年やけど質問ある？</t>
    </r>
    <r>
      <rPr>
        <sz val="10"/>
        <rFont val="Arial"/>
        <family val="0"/>
        <charset val="1"/>
      </rPr>
      <t xml:space="preserve">w🤣</t>
    </r>
    <r>
      <rPr>
        <sz val="10"/>
        <rFont val="Noto Sans CJK SC"/>
        <family val="2"/>
      </rPr>
      <t xml:space="preserve">【ショート】</t>
    </r>
  </si>
  <si>
    <t xml:space="preserve">2026-08-21</t>
  </si>
  <si>
    <r>
      <rPr>
        <sz val="10"/>
        <rFont val="Arial"/>
        <family val="0"/>
        <charset val="1"/>
      </rPr>
      <t xml:space="preserve">3</t>
    </r>
    <r>
      <rPr>
        <sz val="10"/>
        <rFont val="Noto Sans CJK SC"/>
        <family val="2"/>
      </rPr>
      <t xml:space="preserve">秒で考えろ！この戦闘機の名前が親戚回避型な理由とは？【ショート】</t>
    </r>
  </si>
  <si>
    <r>
      <rPr>
        <sz val="10"/>
        <rFont val="Noto Sans CJK SC"/>
        <family val="2"/>
      </rPr>
      <t xml:space="preserve">ワイ、サーモス歴</t>
    </r>
    <r>
      <rPr>
        <sz val="10"/>
        <rFont val="Arial"/>
        <family val="0"/>
        <charset val="1"/>
      </rPr>
      <t xml:space="preserve">3</t>
    </r>
    <r>
      <rPr>
        <sz val="10"/>
        <rFont val="Noto Sans CJK SC"/>
        <family val="2"/>
      </rPr>
      <t xml:space="preserve">年やけど質問ある？</t>
    </r>
    <r>
      <rPr>
        <sz val="10"/>
        <rFont val="Arial"/>
        <family val="0"/>
        <charset val="1"/>
      </rPr>
      <t xml:space="preserve">w😏</t>
    </r>
    <r>
      <rPr>
        <sz val="10"/>
        <rFont val="Noto Sans CJK SC"/>
        <family val="2"/>
      </rPr>
      <t xml:space="preserve">【ショート】</t>
    </r>
  </si>
  <si>
    <r>
      <rPr>
        <sz val="10"/>
        <rFont val="Noto Sans CJK SC"/>
        <family val="2"/>
      </rPr>
      <t xml:space="preserve">なぜ熱闘甲子園の夜だけ空気が変わる？お前らの夏の思い出</t>
    </r>
    <r>
      <rPr>
        <sz val="10"/>
        <rFont val="Arial"/>
        <family val="0"/>
        <charset val="1"/>
      </rPr>
      <t xml:space="preserve">5</t>
    </r>
    <r>
      <rPr>
        <sz val="10"/>
        <rFont val="Noto Sans CJK SC"/>
        <family val="2"/>
      </rPr>
      <t xml:space="preserve">つ聞かせろ【ショート】</t>
    </r>
  </si>
  <si>
    <t xml:space="preserve">2026-08-22</t>
  </si>
  <si>
    <r>
      <rPr>
        <sz val="10"/>
        <rFont val="Noto Sans CJK SC"/>
        <family val="2"/>
      </rPr>
      <t xml:space="preserve">なぜ</t>
    </r>
    <r>
      <rPr>
        <sz val="10"/>
        <rFont val="Arial"/>
        <family val="0"/>
        <charset val="1"/>
      </rPr>
      <t xml:space="preserve">3</t>
    </r>
    <r>
      <rPr>
        <sz val="10"/>
        <rFont val="Noto Sans CJK SC"/>
        <family val="2"/>
      </rPr>
      <t xml:space="preserve">秒でバレる？お前らをブラックラグーンで例えた結果【ショート】</t>
    </r>
  </si>
  <si>
    <t xml:space="preserve">2026-08-23</t>
  </si>
  <si>
    <r>
      <rPr>
        <sz val="10"/>
        <rFont val="Noto Sans CJK SC"/>
        <family val="2"/>
      </rPr>
      <t xml:space="preserve">ワイ、</t>
    </r>
    <r>
      <rPr>
        <sz val="10"/>
        <rFont val="Arial"/>
        <family val="0"/>
        <charset val="1"/>
      </rPr>
      <t xml:space="preserve">GTA6</t>
    </r>
    <r>
      <rPr>
        <sz val="10"/>
        <rFont val="Noto Sans CJK SC"/>
        <family val="2"/>
      </rPr>
      <t xml:space="preserve">妄想歴</t>
    </r>
    <r>
      <rPr>
        <sz val="10"/>
        <rFont val="Arial"/>
        <family val="0"/>
        <charset val="1"/>
      </rPr>
      <t xml:space="preserve">6</t>
    </r>
    <r>
      <rPr>
        <sz val="10"/>
        <rFont val="Noto Sans CJK SC"/>
        <family val="2"/>
      </rPr>
      <t xml:space="preserve">年やけど質問ある？</t>
    </r>
    <r>
      <rPr>
        <sz val="10"/>
        <rFont val="Arial"/>
        <family val="0"/>
        <charset val="1"/>
      </rPr>
      <t xml:space="preserve">w💦</t>
    </r>
    <r>
      <rPr>
        <sz val="10"/>
        <rFont val="Noto Sans CJK SC"/>
        <family val="2"/>
      </rPr>
      <t xml:space="preserve">【ショート】</t>
    </r>
  </si>
  <si>
    <t xml:space="preserve">2026-08-24</t>
  </si>
  <si>
    <r>
      <rPr>
        <sz val="10"/>
        <rFont val="Noto Sans CJK SC"/>
        <family val="2"/>
      </rPr>
      <t xml:space="preserve">味の素</t>
    </r>
    <r>
      <rPr>
        <sz val="10"/>
        <rFont val="Arial"/>
        <family val="0"/>
        <charset val="1"/>
      </rPr>
      <t xml:space="preserve">3</t>
    </r>
    <r>
      <rPr>
        <sz val="10"/>
        <rFont val="Noto Sans CJK SC"/>
        <family val="2"/>
      </rPr>
      <t xml:space="preserve">粒、実は何に使うのか？意外すぎる活用法をあげてけｗ【ショート】</t>
    </r>
  </si>
  <si>
    <t xml:space="preserve">2026-08-25</t>
  </si>
  <si>
    <r>
      <rPr>
        <sz val="10"/>
        <rFont val="Noto Sans CJK SC"/>
        <family val="2"/>
      </rPr>
      <t xml:space="preserve">🤯ワイ、友達の家でヤバい物を</t>
    </r>
    <r>
      <rPr>
        <sz val="10"/>
        <rFont val="Arial"/>
        <family val="0"/>
        <charset val="1"/>
      </rPr>
      <t xml:space="preserve">3</t>
    </r>
    <r>
      <rPr>
        <sz val="10"/>
        <rFont val="Noto Sans CJK SC"/>
        <family val="2"/>
      </rPr>
      <t xml:space="preserve">個見たんやが</t>
    </r>
    <r>
      <rPr>
        <sz val="10"/>
        <rFont val="Arial"/>
        <family val="0"/>
        <charset val="1"/>
      </rPr>
      <t xml:space="preserve">w🤯</t>
    </r>
    <r>
      <rPr>
        <sz val="10"/>
        <rFont val="Noto Sans CJK SC"/>
        <family val="2"/>
      </rPr>
      <t xml:space="preserve">【ショート】</t>
    </r>
  </si>
  <si>
    <t xml:space="preserve">2026-08-26</t>
  </si>
  <si>
    <t xml:space="preserve">実は迷子続出？ドラゴンボールパークで何が起きたのか【ショート】</t>
  </si>
  <si>
    <t xml:space="preserve">2026-08-27</t>
  </si>
  <si>
    <r>
      <rPr>
        <sz val="10"/>
        <rFont val="Noto Sans CJK SC"/>
        <family val="2"/>
      </rPr>
      <t xml:space="preserve">彼女の家で開けたらアカン引き出し開けたんやが </t>
    </r>
    <r>
      <rPr>
        <sz val="10"/>
        <rFont val="Arial"/>
        <family val="0"/>
        <charset val="1"/>
      </rPr>
      <t xml:space="preserve">#shorts #2ch #</t>
    </r>
    <r>
      <rPr>
        <sz val="10"/>
        <rFont val="Noto Sans CJK SC"/>
        <family val="2"/>
      </rPr>
      <t xml:space="preserve">面白いスレ</t>
    </r>
  </si>
  <si>
    <r>
      <rPr>
        <sz val="10"/>
        <rFont val="Noto Sans CJK SC"/>
        <family val="2"/>
      </rPr>
      <t xml:space="preserve">🤣ワイ、大谷の昼飯を</t>
    </r>
    <r>
      <rPr>
        <sz val="10"/>
        <rFont val="Arial"/>
        <family val="0"/>
        <charset val="1"/>
      </rPr>
      <t xml:space="preserve">3</t>
    </r>
    <r>
      <rPr>
        <sz val="10"/>
        <rFont val="Noto Sans CJK SC"/>
        <family val="2"/>
      </rPr>
      <t xml:space="preserve">秒で当てるスレ</t>
    </r>
    <r>
      <rPr>
        <sz val="10"/>
        <rFont val="Arial"/>
        <family val="0"/>
        <charset val="1"/>
      </rPr>
      <t xml:space="preserve">w🤣</t>
    </r>
    <r>
      <rPr>
        <sz val="10"/>
        <rFont val="Noto Sans CJK SC"/>
        <family val="2"/>
      </rPr>
      <t xml:space="preserve">【ショート】</t>
    </r>
  </si>
  <si>
    <t xml:space="preserve">2026-08-28</t>
  </si>
  <si>
    <r>
      <rPr>
        <sz val="10"/>
        <rFont val="Noto Sans CJK SC"/>
        <family val="2"/>
      </rPr>
      <t xml:space="preserve">💦ワイ、夫が寝た後の秘密</t>
    </r>
    <r>
      <rPr>
        <sz val="10"/>
        <rFont val="Arial"/>
        <family val="0"/>
        <charset val="1"/>
      </rPr>
      <t xml:space="preserve">3</t>
    </r>
    <r>
      <rPr>
        <sz val="10"/>
        <rFont val="Noto Sans CJK SC"/>
        <family val="2"/>
      </rPr>
      <t xml:space="preserve">つあげてけ</t>
    </r>
    <r>
      <rPr>
        <sz val="10"/>
        <rFont val="Arial"/>
        <family val="0"/>
        <charset val="1"/>
      </rPr>
      <t xml:space="preserve">w🤣</t>
    </r>
    <r>
      <rPr>
        <sz val="10"/>
        <rFont val="Noto Sans CJK SC"/>
        <family val="2"/>
      </rPr>
      <t xml:space="preserve">【ショート】</t>
    </r>
  </si>
  <si>
    <r>
      <rPr>
        <sz val="10"/>
        <rFont val="Noto Sans CJK SC"/>
        <family val="2"/>
      </rPr>
      <t xml:space="preserve">🤣ワイ、落雷を</t>
    </r>
    <r>
      <rPr>
        <sz val="10"/>
        <rFont val="Arial"/>
        <family val="0"/>
        <charset val="1"/>
      </rPr>
      <t xml:space="preserve">3</t>
    </r>
    <r>
      <rPr>
        <sz val="10"/>
        <rFont val="Noto Sans CJK SC"/>
        <family val="2"/>
      </rPr>
      <t xml:space="preserve">秒で見たんやが質問ある？</t>
    </r>
    <r>
      <rPr>
        <sz val="10"/>
        <rFont val="Arial"/>
        <family val="0"/>
        <charset val="1"/>
      </rPr>
      <t xml:space="preserve">w🍑</t>
    </r>
    <r>
      <rPr>
        <sz val="10"/>
        <rFont val="Noto Sans CJK SC"/>
        <family val="2"/>
      </rPr>
      <t xml:space="preserve">【ショート】</t>
    </r>
  </si>
  <si>
    <t xml:space="preserve">2026-08-29</t>
  </si>
  <si>
    <r>
      <rPr>
        <sz val="10"/>
        <rFont val="Noto Sans CJK SC"/>
        <family val="2"/>
      </rPr>
      <t xml:space="preserve">なぜ</t>
    </r>
    <r>
      <rPr>
        <sz val="10"/>
        <rFont val="Arial"/>
        <family val="0"/>
        <charset val="1"/>
      </rPr>
      <t xml:space="preserve">PS5 Pro</t>
    </r>
    <r>
      <rPr>
        <sz val="10"/>
        <rFont val="Noto Sans CJK SC"/>
        <family val="2"/>
      </rPr>
      <t xml:space="preserve">に期待する？値段で胃が痛い理由とは</t>
    </r>
    <r>
      <rPr>
        <sz val="10"/>
        <rFont val="Arial"/>
        <family val="0"/>
        <charset val="1"/>
      </rPr>
      <t xml:space="preserve">w</t>
    </r>
    <r>
      <rPr>
        <sz val="10"/>
        <rFont val="Noto Sans CJK SC"/>
        <family val="2"/>
      </rPr>
      <t xml:space="preserve">【ショート】</t>
    </r>
  </si>
  <si>
    <t xml:space="preserve">2026-08-30</t>
  </si>
  <si>
    <r>
      <rPr>
        <sz val="10"/>
        <color rgb="FFA6A6A6"/>
        <rFont val="Noto Sans CJK SC"/>
        <family val="2"/>
      </rPr>
      <t xml:space="preserve">動画作りに</t>
    </r>
    <r>
      <rPr>
        <sz val="10"/>
        <color rgb="FFA6A6A6"/>
        <rFont val="Arial"/>
        <family val="0"/>
        <charset val="1"/>
      </rPr>
      <t xml:space="preserve">7</t>
    </r>
    <r>
      <rPr>
        <sz val="10"/>
        <color rgb="FFA6A6A6"/>
        <rFont val="Noto Sans CJK SC"/>
        <family val="2"/>
      </rPr>
      <t xml:space="preserve">万課金した男、なぜ昼飯が塩むすびになったのか？【ショート】</t>
    </r>
  </si>
  <si>
    <t xml:space="preserve">実は家族に見られた通販履歴…一番言い訳できない理由は？【ショート】</t>
  </si>
  <si>
    <t xml:space="preserve">2026-08-31</t>
  </si>
  <si>
    <r>
      <rPr>
        <sz val="10"/>
        <color rgb="FFA6A6A6"/>
        <rFont val="Noto Sans CJK SC"/>
        <family val="2"/>
      </rPr>
      <t xml:space="preserve">なぜ</t>
    </r>
    <r>
      <rPr>
        <sz val="10"/>
        <color rgb="FFA6A6A6"/>
        <rFont val="Arial"/>
        <family val="0"/>
        <charset val="1"/>
      </rPr>
      <t xml:space="preserve">PS</t>
    </r>
    <r>
      <rPr>
        <sz val="10"/>
        <color rgb="FFA6A6A6"/>
        <rFont val="Noto Sans CJK SC"/>
        <family val="2"/>
      </rPr>
      <t xml:space="preserve">で一番いらないゲームが生まれるのか？ 博牛【ショート】</t>
    </r>
  </si>
  <si>
    <t xml:space="preserve">2026-05-12</t>
  </si>
  <si>
    <t xml:space="preserve">【ゆっくり解説】雨の日に落ち込むのは科学的根拠があった！「雨の日に気分が落ち込むのは錯覚じゃなかった！科学で判明した驚きの理由」</t>
  </si>
  <si>
    <t xml:space="preserve">2026-05-13</t>
  </si>
  <si>
    <t xml:space="preserve">【ゆっくり解説】同じ星を見てるのになぜ形が違うの？「【衝撃】星座の形が人によって違う理由が意外すぎた…文化で変わる夜空の見方」</t>
  </si>
  <si>
    <t xml:space="preserve">2026-05-14</t>
  </si>
  <si>
    <r>
      <rPr>
        <sz val="10"/>
        <color rgb="FFA6A6A6"/>
        <rFont val="Noto Sans CJK SC"/>
        <family val="2"/>
      </rPr>
      <t xml:space="preserve">【ゆっくり解説】ブルーライトじゃない本当の犯人は</t>
    </r>
    <r>
      <rPr>
        <sz val="10"/>
        <color rgb="FFA6A6A6"/>
        <rFont val="Arial"/>
        <family val="0"/>
        <charset val="1"/>
      </rPr>
      <t xml:space="preserve">...</t>
    </r>
    <r>
      <rPr>
        <sz val="10"/>
        <color rgb="FFA6A6A6"/>
        <rFont val="Noto Sans CJK SC"/>
        <family val="2"/>
      </rPr>
      <t xml:space="preserve">「なぜ「暗い部屋でスマホ」は目が悪くなるのか？ブルーライト以外の本当にヤバい理由」</t>
    </r>
  </si>
  <si>
    <r>
      <rPr>
        <sz val="10"/>
        <color rgb="FFA6A6A6"/>
        <rFont val="Noto Sans CJK SC"/>
        <family val="2"/>
      </rPr>
      <t xml:space="preserve">【ゆっくり解説】もし酸素が</t>
    </r>
    <r>
      <rPr>
        <sz val="10"/>
        <color rgb="FFA6A6A6"/>
        <rFont val="Arial"/>
        <family val="0"/>
        <charset val="1"/>
      </rPr>
      <t xml:space="preserve">1</t>
    </r>
    <r>
      <rPr>
        <sz val="10"/>
        <color rgb="FFA6A6A6"/>
        <rFont val="Noto Sans CJK SC"/>
        <family val="2"/>
      </rPr>
      <t xml:space="preserve">秒消えたら？想像以上の地球の危機に！「酸素が</t>
    </r>
    <r>
      <rPr>
        <sz val="10"/>
        <color rgb="FFA6A6A6"/>
        <rFont val="Arial"/>
        <family val="0"/>
        <charset val="1"/>
      </rPr>
      <t xml:space="preserve">1</t>
    </r>
    <r>
      <rPr>
        <sz val="10"/>
        <color rgb="FFA6A6A6"/>
        <rFont val="Noto Sans CJK SC"/>
        <family val="2"/>
      </rPr>
      <t xml:space="preserve">秒消えたら？地球に隠された壊滅的な危機」</t>
    </r>
  </si>
  <si>
    <t xml:space="preserve">2026-05-15</t>
  </si>
  <si>
    <r>
      <rPr>
        <sz val="10"/>
        <color rgb="FFA6A6A6"/>
        <rFont val="Noto Sans CJK SC"/>
        <family val="2"/>
      </rPr>
      <t xml:space="preserve">【ゆっくり解説】水たまりの色が変わる理由、知ってる？普通の水じゃない、水たまりの秘密「色が変わる</t>
    </r>
    <r>
      <rPr>
        <sz val="10"/>
        <color rgb="FFA6A6A6"/>
        <rFont val="Arial"/>
        <family val="0"/>
        <charset val="1"/>
      </rPr>
      <t xml:space="preserve">!? </t>
    </r>
    <r>
      <rPr>
        <sz val="10"/>
        <color rgb="FFA6A6A6"/>
        <rFont val="Noto Sans CJK SC"/>
        <family val="2"/>
      </rPr>
      <t xml:space="preserve">水たまりの不思議な現象の本当の理由」</t>
    </r>
  </si>
  <si>
    <t xml:space="preserve">2026-05-22</t>
  </si>
  <si>
    <t xml:space="preserve">【ゆっくり解説】あくびの伝染には隠された法則があった！「なぜあくびが『あの人』にうつるのに『この人』にはうつらない？人類の生存に隠された本当の理由」</t>
  </si>
  <si>
    <t xml:space="preserve">なぜあくびが『あの人』にうつるのに『この人』にはうつらない？人類の生存に隠された本当の理由【ショート】</t>
  </si>
  <si>
    <t xml:space="preserve">【ゆっくり解説】音楽で涙が出るのは脳の●●が原因だった「なぜか悲しい曲だけ『胸がキュン』となる本当の理由」</t>
  </si>
  <si>
    <t xml:space="preserve">なぜか悲しい曲だけ『胸がキュン』となる本当の理由【ショート】</t>
  </si>
  <si>
    <t xml:space="preserve">2026-05-27</t>
  </si>
  <si>
    <t xml:space="preserve">【ゆっくり解説】指パキッ→脳内で何が？快感物質が大量放出！「指を鳴らした瞬間、脳で『ある物質』が大量放出される驚きの理由」</t>
  </si>
  <si>
    <t xml:space="preserve">指を鳴らした瞬間、脳で『ある物質』が大量放出される驚きの理由【ショート】</t>
  </si>
  <si>
    <t xml:space="preserve">2026-05-30</t>
  </si>
  <si>
    <r>
      <rPr>
        <sz val="10"/>
        <color rgb="FFA6A6A6"/>
        <rFont val="Noto Sans CJK SC"/>
        <family val="2"/>
      </rPr>
      <t xml:space="preserve">【衝撃】</t>
    </r>
    <r>
      <rPr>
        <sz val="10"/>
        <color rgb="FFA6A6A6"/>
        <rFont val="Arial"/>
        <family val="0"/>
        <charset val="1"/>
      </rPr>
      <t xml:space="preserve">87%</t>
    </r>
    <r>
      <rPr>
        <sz val="10"/>
        <color rgb="FFA6A6A6"/>
        <rFont val="Noto Sans CJK SC"/>
        <family val="2"/>
      </rPr>
      <t xml:space="preserve">が相続でモメる…脳の心理バイアス</t>
    </r>
    <r>
      <rPr>
        <sz val="10"/>
        <color rgb="FFA6A6A6"/>
        <rFont val="Arial"/>
        <family val="0"/>
        <charset val="1"/>
      </rPr>
      <t xml:space="preserve">3</t>
    </r>
    <r>
      <rPr>
        <sz val="10"/>
        <color rgb="FFA6A6A6"/>
        <rFont val="Noto Sans CJK SC"/>
        <family val="2"/>
      </rPr>
      <t xml:space="preserve">選 </t>
    </r>
    <r>
      <rPr>
        <sz val="10"/>
        <color rgb="FFA6A6A6"/>
        <rFont val="Arial"/>
        <family val="0"/>
        <charset val="1"/>
      </rPr>
      <t xml:space="preserve">#shorts #</t>
    </r>
    <r>
      <rPr>
        <sz val="10"/>
        <color rgb="FFA6A6A6"/>
        <rFont val="Noto Sans CJK SC"/>
        <family val="2"/>
      </rPr>
      <t xml:space="preserve">ゆっくり解説</t>
    </r>
  </si>
  <si>
    <r>
      <rPr>
        <sz val="10"/>
        <color rgb="FFA6A6A6"/>
        <rFont val="Noto Sans CJK SC"/>
        <family val="2"/>
      </rPr>
      <t xml:space="preserve">【ゆっくり解説】なぜ仲良し家族ほど『相続』でモメるのか？脳科学が暴く</t>
    </r>
    <r>
      <rPr>
        <sz val="10"/>
        <color rgb="FFA6A6A6"/>
        <rFont val="Arial"/>
        <family val="0"/>
        <charset val="1"/>
      </rPr>
      <t xml:space="preserve">3</t>
    </r>
    <r>
      <rPr>
        <sz val="10"/>
        <color rgb="FFA6A6A6"/>
        <rFont val="Noto Sans CJK SC"/>
        <family val="2"/>
      </rPr>
      <t xml:space="preserve">つの真実</t>
    </r>
  </si>
  <si>
    <r>
      <rPr>
        <sz val="10"/>
        <color rgb="FFA6A6A6"/>
        <rFont val="Noto Sans CJK SC"/>
        <family val="2"/>
      </rPr>
      <t xml:space="preserve">【ゆっくり解説】実は脳が勝手に自分を大きく見せる「なぜか自分を『</t>
    </r>
    <r>
      <rPr>
        <sz val="10"/>
        <color rgb="FFA6A6A6"/>
        <rFont val="Arial"/>
        <family val="0"/>
        <charset val="1"/>
      </rPr>
      <t xml:space="preserve">3</t>
    </r>
    <r>
      <rPr>
        <sz val="10"/>
        <color rgb="FFA6A6A6"/>
        <rFont val="Noto Sans CJK SC"/>
        <family val="2"/>
      </rPr>
      <t xml:space="preserve">割増し』で見せたがる人の脳内で起きている本当のこと」</t>
    </r>
  </si>
  <si>
    <r>
      <rPr>
        <sz val="10"/>
        <color rgb="FFA6A6A6"/>
        <rFont val="Noto Sans CJK SC"/>
        <family val="2"/>
      </rPr>
      <t xml:space="preserve">なぜか自分を『</t>
    </r>
    <r>
      <rPr>
        <sz val="10"/>
        <color rgb="FFA6A6A6"/>
        <rFont val="Arial"/>
        <family val="0"/>
        <charset val="1"/>
      </rPr>
      <t xml:space="preserve">3</t>
    </r>
    <r>
      <rPr>
        <sz val="10"/>
        <color rgb="FFA6A6A6"/>
        <rFont val="Noto Sans CJK SC"/>
        <family val="2"/>
      </rPr>
      <t xml:space="preserve">割増し』で見せたがる人の脳内で起きている本当のこと【ショート】</t>
    </r>
  </si>
  <si>
    <t xml:space="preserve">2026-06-01</t>
  </si>
  <si>
    <t xml:space="preserve">【ゆっくり解説】空気の流れがまさかの原因「シャワーカーテンが『なぜか』体に張り付いてくる本当の理由」</t>
  </si>
  <si>
    <t xml:space="preserve">シャワーカーテンが『なぜか』体に張り付いてくる本当の理由【ショート】</t>
  </si>
  <si>
    <t xml:space="preserve">2026-06-02</t>
  </si>
  <si>
    <r>
      <rPr>
        <sz val="10"/>
        <color rgb="FFA6A6A6"/>
        <rFont val="Noto Sans CJK SC"/>
        <family val="2"/>
      </rPr>
      <t xml:space="preserve">【ゆっくり解説】実はブルーライト以外にもっと深刻な原因が</t>
    </r>
    <r>
      <rPr>
        <sz val="10"/>
        <color rgb="FFA6A6A6"/>
        <rFont val="Arial"/>
        <family val="0"/>
        <charset val="1"/>
      </rPr>
      <t xml:space="preserve">...</t>
    </r>
    <r>
      <rPr>
        <sz val="10"/>
        <color rgb="FFA6A6A6"/>
        <rFont val="Noto Sans CJK SC"/>
        <family val="2"/>
      </rPr>
      <t xml:space="preserve">「なぜか夜だけ『スマホが手放せない』のはブルーライトのせいじゃなかった」</t>
    </r>
  </si>
  <si>
    <t xml:space="preserve">なぜか夜だけ『スマホが手放せない』のはブルーライトのせいじゃなかった【ショート】</t>
  </si>
  <si>
    <t xml:space="preserve">2026-06-03</t>
  </si>
  <si>
    <r>
      <rPr>
        <sz val="10"/>
        <color rgb="FFA6A6A6"/>
        <rFont val="Noto Sans CJK SC"/>
        <family val="2"/>
      </rPr>
      <t xml:space="preserve">【ゆっくり解説】笑うだけで免疫力</t>
    </r>
    <r>
      <rPr>
        <sz val="10"/>
        <color rgb="FFA6A6A6"/>
        <rFont val="Arial"/>
        <family val="0"/>
        <charset val="1"/>
      </rPr>
      <t xml:space="preserve">UP!?</t>
    </r>
    <r>
      <rPr>
        <sz val="10"/>
        <color rgb="FFA6A6A6"/>
        <rFont val="Noto Sans CJK SC"/>
        <family val="2"/>
      </rPr>
      <t xml:space="preserve">医学的に証明された効果「なぜ笑うだけで病気にならなくなるのか？医学が認めたヤバすぎる免疫効果」</t>
    </r>
  </si>
  <si>
    <t xml:space="preserve">なぜ笑うだけで病気にならなくなるのか？医学が認めたヤバすぎる免疫効果【ショート】</t>
  </si>
  <si>
    <t xml:space="preserve">2026-06-04</t>
  </si>
  <si>
    <r>
      <rPr>
        <sz val="10"/>
        <color rgb="FFA6A6A6"/>
        <rFont val="Noto Sans CJK SC"/>
        <family val="2"/>
      </rPr>
      <t xml:space="preserve">【ゆっくり解説】なぜ昨日の記憶だけ？夢が選ぶ記憶の謎「なぜ昨日の出来事が夢に出てくるのに、</t>
    </r>
    <r>
      <rPr>
        <sz val="10"/>
        <color rgb="FFA6A6A6"/>
        <rFont val="Arial"/>
        <family val="0"/>
        <charset val="1"/>
      </rPr>
      <t xml:space="preserve">3</t>
    </r>
    <r>
      <rPr>
        <sz val="10"/>
        <color rgb="FFA6A6A6"/>
        <rFont val="Noto Sans CJK SC"/>
        <family val="2"/>
      </rPr>
      <t xml:space="preserve">年前の記憶は出てこない？夢が『選ぶ』記憶の法則」</t>
    </r>
  </si>
  <si>
    <r>
      <rPr>
        <sz val="10"/>
        <color rgb="FFA6A6A6"/>
        <rFont val="Noto Sans CJK SC"/>
        <family val="2"/>
      </rPr>
      <t xml:space="preserve">なぜ昨日の出来事が夢に出てくるのに、</t>
    </r>
    <r>
      <rPr>
        <sz val="10"/>
        <color rgb="FFA6A6A6"/>
        <rFont val="Arial"/>
        <family val="0"/>
        <charset val="1"/>
      </rPr>
      <t xml:space="preserve">3</t>
    </r>
    <r>
      <rPr>
        <sz val="10"/>
        <color rgb="FFA6A6A6"/>
        <rFont val="Noto Sans CJK SC"/>
        <family val="2"/>
      </rPr>
      <t xml:space="preserve">年前の記憶は出てこない？夢が『選ぶ』記憶の法則【ショート】</t>
    </r>
  </si>
  <si>
    <t xml:space="preserve">2026-06-05</t>
  </si>
  <si>
    <r>
      <rPr>
        <sz val="10"/>
        <color rgb="FFA6A6A6"/>
        <rFont val="Noto Sans CJK SC"/>
        <family val="2"/>
      </rPr>
      <t xml:space="preserve">【ゆっくり解説】静かな場所で突然グルルル</t>
    </r>
    <r>
      <rPr>
        <sz val="10"/>
        <color rgb="FFA6A6A6"/>
        <rFont val="Arial"/>
        <family val="0"/>
        <charset val="1"/>
      </rPr>
      <t xml:space="preserve">...</t>
    </r>
    <r>
      <rPr>
        <sz val="10"/>
        <color rgb="FFA6A6A6"/>
        <rFont val="Noto Sans CJK SC"/>
        <family val="2"/>
      </rPr>
      <t xml:space="preserve">なぜ？「なぜか「お腹の音」だけ止められない本当の理由」</t>
    </r>
  </si>
  <si>
    <t xml:space="preserve">なぜか「お腹の音」だけ止められない本当の理由【ショート】</t>
  </si>
  <si>
    <t xml:space="preserve">2026-06-07</t>
  </si>
  <si>
    <r>
      <rPr>
        <sz val="10"/>
        <color rgb="FFA6A6A6"/>
        <rFont val="Noto Sans CJK SC"/>
        <family val="2"/>
      </rPr>
      <t xml:space="preserve">【ゆっくり解説】同じ</t>
    </r>
    <r>
      <rPr>
        <sz val="10"/>
        <color rgb="FFA6A6A6"/>
        <rFont val="Arial"/>
        <family val="0"/>
        <charset val="1"/>
      </rPr>
      <t xml:space="preserve">42</t>
    </r>
    <r>
      <rPr>
        <sz val="10"/>
        <color rgb="FFA6A6A6"/>
        <rFont val="Noto Sans CJK SC"/>
        <family val="2"/>
      </rPr>
      <t xml:space="preserve">度なのになぜ感じ方が違う？「なぜか</t>
    </r>
    <r>
      <rPr>
        <sz val="10"/>
        <color rgb="FFA6A6A6"/>
        <rFont val="Arial"/>
        <family val="0"/>
        <charset val="1"/>
      </rPr>
      <t xml:space="preserve">42</t>
    </r>
    <r>
      <rPr>
        <sz val="10"/>
        <color rgb="FFA6A6A6"/>
        <rFont val="Noto Sans CJK SC"/>
        <family val="2"/>
      </rPr>
      <t xml:space="preserve">度の風呂で『熱っ！』なのに</t>
    </r>
    <r>
      <rPr>
        <sz val="10"/>
        <color rgb="FFA6A6A6"/>
        <rFont val="Arial"/>
        <family val="0"/>
        <charset val="1"/>
      </rPr>
      <t xml:space="preserve">42</t>
    </r>
    <r>
      <rPr>
        <sz val="10"/>
        <color rgb="FFA6A6A6"/>
        <rFont val="Noto Sans CJK SC"/>
        <family val="2"/>
      </rPr>
      <t xml:space="preserve">度の空気だと涼しく感じる本当の理由」</t>
    </r>
  </si>
  <si>
    <r>
      <rPr>
        <sz val="10"/>
        <color rgb="FFA6A6A6"/>
        <rFont val="Noto Sans CJK SC"/>
        <family val="2"/>
      </rPr>
      <t xml:space="preserve">なぜか</t>
    </r>
    <r>
      <rPr>
        <sz val="10"/>
        <color rgb="FFA6A6A6"/>
        <rFont val="Arial"/>
        <family val="0"/>
        <charset val="1"/>
      </rPr>
      <t xml:space="preserve">42</t>
    </r>
    <r>
      <rPr>
        <sz val="10"/>
        <color rgb="FFA6A6A6"/>
        <rFont val="Noto Sans CJK SC"/>
        <family val="2"/>
      </rPr>
      <t xml:space="preserve">度の風呂で『熱っ！』なのに</t>
    </r>
    <r>
      <rPr>
        <sz val="10"/>
        <color rgb="FFA6A6A6"/>
        <rFont val="Arial"/>
        <family val="0"/>
        <charset val="1"/>
      </rPr>
      <t xml:space="preserve">42</t>
    </r>
    <r>
      <rPr>
        <sz val="10"/>
        <color rgb="FFA6A6A6"/>
        <rFont val="Noto Sans CJK SC"/>
        <family val="2"/>
      </rPr>
      <t xml:space="preserve">度の空気だと涼しく感じる本当の理由【ショート】</t>
    </r>
  </si>
  <si>
    <t xml:space="preserve">2026-06-18</t>
  </si>
  <si>
    <r>
      <rPr>
        <sz val="10"/>
        <color rgb="FFA6A6A6"/>
        <rFont val="Noto Sans CJK SC"/>
        <family val="2"/>
      </rPr>
      <t xml:space="preserve">たった</t>
    </r>
    <r>
      <rPr>
        <sz val="10"/>
        <color rgb="FFA6A6A6"/>
        <rFont val="Arial"/>
        <family val="0"/>
        <charset val="1"/>
      </rPr>
      <t xml:space="preserve">1</t>
    </r>
    <r>
      <rPr>
        <sz val="10"/>
        <color rgb="FFA6A6A6"/>
        <rFont val="Noto Sans CJK SC"/>
        <family val="2"/>
      </rPr>
      <t xml:space="preserve">秒で世界が崩壊する</t>
    </r>
    <r>
      <rPr>
        <sz val="10"/>
        <color rgb="FFA6A6A6"/>
        <rFont val="Arial"/>
        <family val="0"/>
        <charset val="1"/>
      </rPr>
      <t xml:space="preserve">#</t>
    </r>
    <r>
      <rPr>
        <sz val="10"/>
        <color rgb="FFA6A6A6"/>
        <rFont val="Noto Sans CJK SC"/>
        <family val="2"/>
      </rPr>
      <t xml:space="preserve">たった</t>
    </r>
    <r>
      <rPr>
        <sz val="10"/>
        <color rgb="FFA6A6A6"/>
        <rFont val="Arial"/>
        <family val="0"/>
        <charset val="1"/>
      </rPr>
      <t xml:space="preserve">1</t>
    </r>
    <r>
      <rPr>
        <sz val="10"/>
        <color rgb="FFA6A6A6"/>
        <rFont val="Noto Sans CJK SC"/>
        <family val="2"/>
      </rPr>
      <t xml:space="preserve">秒で人類が滅ぶ？地球から酸素が消えたら『あの瞬間』に何が起きるのか </t>
    </r>
    <r>
      <rPr>
        <sz val="10"/>
        <color rgb="FFA6A6A6"/>
        <rFont val="Arial"/>
        <family val="0"/>
        <charset val="1"/>
      </rPr>
      <t xml:space="preserve">#shorts #</t>
    </r>
    <r>
      <rPr>
        <sz val="10"/>
        <color rgb="FFA6A6A6"/>
        <rFont val="Noto Sans CJK SC"/>
        <family val="2"/>
      </rPr>
      <t xml:space="preserve">ゆっくり解説</t>
    </r>
  </si>
  <si>
    <t xml:space="preserve">2026-06-19</t>
  </si>
  <si>
    <r>
      <rPr>
        <sz val="10"/>
        <color rgb="FFA6A6A6"/>
        <rFont val="Noto Sans CJK SC"/>
        <family val="2"/>
      </rPr>
      <t xml:space="preserve">たった</t>
    </r>
    <r>
      <rPr>
        <sz val="10"/>
        <color rgb="FFA6A6A6"/>
        <rFont val="Arial"/>
        <family val="0"/>
        <charset val="1"/>
      </rPr>
      <t xml:space="preserve">1</t>
    </r>
    <r>
      <rPr>
        <sz val="10"/>
        <color rgb="FFA6A6A6"/>
        <rFont val="Noto Sans CJK SC"/>
        <family val="2"/>
      </rPr>
      <t xml:space="preserve">秒で地球が終わる</t>
    </r>
    <r>
      <rPr>
        <sz val="10"/>
        <color rgb="FFA6A6A6"/>
        <rFont val="Arial"/>
        <family val="0"/>
        <charset val="1"/>
      </rPr>
      <t xml:space="preserve">!?#</t>
    </r>
    <r>
      <rPr>
        <sz val="10"/>
        <color rgb="FFA6A6A6"/>
        <rFont val="Noto Sans CJK SC"/>
        <family val="2"/>
      </rPr>
      <t xml:space="preserve">もし地球から酸素が</t>
    </r>
    <r>
      <rPr>
        <sz val="10"/>
        <color rgb="FFA6A6A6"/>
        <rFont val="Arial"/>
        <family val="0"/>
        <charset val="1"/>
      </rPr>
      <t xml:space="preserve">1</t>
    </r>
    <r>
      <rPr>
        <sz val="10"/>
        <color rgb="FFA6A6A6"/>
        <rFont val="Noto Sans CJK SC"/>
        <family val="2"/>
      </rPr>
      <t xml:space="preserve">秒だけ消えたら、あなたの体に何が起きるのか </t>
    </r>
    <r>
      <rPr>
        <sz val="10"/>
        <color rgb="FFA6A6A6"/>
        <rFont val="Arial"/>
        <family val="0"/>
        <charset val="1"/>
      </rPr>
      <t xml:space="preserve">#shorts #</t>
    </r>
    <r>
      <rPr>
        <sz val="10"/>
        <color rgb="FFA6A6A6"/>
        <rFont val="Noto Sans CJK SC"/>
        <family val="2"/>
      </rPr>
      <t xml:space="preserve">ゆっくり解説</t>
    </r>
  </si>
  <si>
    <r>
      <rPr>
        <sz val="10"/>
        <color rgb="FFA6A6A6"/>
        <rFont val="Noto Sans CJK SC"/>
        <family val="2"/>
      </rPr>
      <t xml:space="preserve">たった</t>
    </r>
    <r>
      <rPr>
        <sz val="10"/>
        <color rgb="FFA6A6A6"/>
        <rFont val="Arial"/>
        <family val="0"/>
        <charset val="1"/>
      </rPr>
      <t xml:space="preserve">1</t>
    </r>
    <r>
      <rPr>
        <sz val="10"/>
        <color rgb="FFA6A6A6"/>
        <rFont val="Noto Sans CJK SC"/>
        <family val="2"/>
      </rPr>
      <t xml:space="preserve">秒で世界は崩壊する？</t>
    </r>
    <r>
      <rPr>
        <sz val="10"/>
        <color rgb="FFA6A6A6"/>
        <rFont val="Arial"/>
        <family val="0"/>
        <charset val="1"/>
      </rPr>
      <t xml:space="preserve">#</t>
    </r>
    <r>
      <rPr>
        <sz val="10"/>
        <color rgb="FFA6A6A6"/>
        <rFont val="Noto Sans CJK SC"/>
        <family val="2"/>
      </rPr>
      <t xml:space="preserve">もし地球から酸素が</t>
    </r>
    <r>
      <rPr>
        <sz val="10"/>
        <color rgb="FFA6A6A6"/>
        <rFont val="Arial"/>
        <family val="0"/>
        <charset val="1"/>
      </rPr>
      <t xml:space="preserve">1</t>
    </r>
    <r>
      <rPr>
        <sz val="10"/>
        <color rgb="FFA6A6A6"/>
        <rFont val="Noto Sans CJK SC"/>
        <family val="2"/>
      </rPr>
      <t xml:space="preserve">秒だけ消えたら、あなたの体に何が起こるのか </t>
    </r>
    <r>
      <rPr>
        <sz val="10"/>
        <color rgb="FFA6A6A6"/>
        <rFont val="Arial"/>
        <family val="0"/>
        <charset val="1"/>
      </rPr>
      <t xml:space="preserve">#shorts #</t>
    </r>
    <r>
      <rPr>
        <sz val="10"/>
        <color rgb="FFA6A6A6"/>
        <rFont val="Noto Sans CJK SC"/>
        <family val="2"/>
      </rPr>
      <t xml:space="preserve">ゆっくり解説</t>
    </r>
  </si>
  <si>
    <t xml:space="preserve">2026-06-20</t>
  </si>
  <si>
    <r>
      <rPr>
        <sz val="10"/>
        <color rgb="FFA6A6A6"/>
        <rFont val="Noto Sans CJK SC"/>
        <family val="2"/>
      </rPr>
      <t xml:space="preserve">たった</t>
    </r>
    <r>
      <rPr>
        <sz val="10"/>
        <color rgb="FFA6A6A6"/>
        <rFont val="Arial"/>
        <family val="0"/>
        <charset val="1"/>
      </rPr>
      <t xml:space="preserve">1</t>
    </r>
    <r>
      <rPr>
        <sz val="10"/>
        <color rgb="FFA6A6A6"/>
        <rFont val="Noto Sans CJK SC"/>
        <family val="2"/>
      </rPr>
      <t xml:space="preserve">秒で…世界が崩壊する</t>
    </r>
    <r>
      <rPr>
        <sz val="10"/>
        <color rgb="FFA6A6A6"/>
        <rFont val="Arial"/>
        <family val="0"/>
        <charset val="1"/>
      </rPr>
      <t xml:space="preserve">#</t>
    </r>
    <r>
      <rPr>
        <sz val="10"/>
        <color rgb="FFA6A6A6"/>
        <rFont val="Noto Sans CJK SC"/>
        <family val="2"/>
      </rPr>
      <t xml:space="preserve">たった</t>
    </r>
    <r>
      <rPr>
        <sz val="10"/>
        <color rgb="FFA6A6A6"/>
        <rFont val="Arial"/>
        <family val="0"/>
        <charset val="1"/>
      </rPr>
      <t xml:space="preserve">1</t>
    </r>
    <r>
      <rPr>
        <sz val="10"/>
        <color rgb="FFA6A6A6"/>
        <rFont val="Noto Sans CJK SC"/>
        <family val="2"/>
      </rPr>
      <t xml:space="preserve">秒で人類は終わる？地球から酸素が消えたら起こる『あの現象』が怖すぎる </t>
    </r>
    <r>
      <rPr>
        <sz val="10"/>
        <color rgb="FFA6A6A6"/>
        <rFont val="Arial"/>
        <family val="0"/>
        <charset val="1"/>
      </rPr>
      <t xml:space="preserve">#shorts #</t>
    </r>
    <r>
      <rPr>
        <sz val="10"/>
        <color rgb="FFA6A6A6"/>
        <rFont val="Noto Sans CJK SC"/>
        <family val="2"/>
      </rPr>
      <t xml:space="preserve">ゆっくり解説</t>
    </r>
  </si>
  <si>
    <r>
      <rPr>
        <sz val="10"/>
        <color rgb="FFA6A6A6"/>
        <rFont val="Noto Sans CJK SC"/>
        <family val="2"/>
      </rPr>
      <t xml:space="preserve">たった</t>
    </r>
    <r>
      <rPr>
        <sz val="10"/>
        <color rgb="FFA6A6A6"/>
        <rFont val="Arial"/>
        <family val="0"/>
        <charset val="1"/>
      </rPr>
      <t xml:space="preserve">1</t>
    </r>
    <r>
      <rPr>
        <sz val="10"/>
        <color rgb="FFA6A6A6"/>
        <rFont val="Noto Sans CJK SC"/>
        <family val="2"/>
      </rPr>
      <t xml:space="preserve">秒で世界が崩壊する</t>
    </r>
    <r>
      <rPr>
        <sz val="10"/>
        <color rgb="FFA6A6A6"/>
        <rFont val="Arial"/>
        <family val="0"/>
        <charset val="1"/>
      </rPr>
      <t xml:space="preserve">#</t>
    </r>
    <r>
      <rPr>
        <sz val="10"/>
        <color rgb="FFA6A6A6"/>
        <rFont val="Noto Sans CJK SC"/>
        <family val="2"/>
      </rPr>
      <t xml:space="preserve">もし地球から酸素が</t>
    </r>
    <r>
      <rPr>
        <sz val="10"/>
        <color rgb="FFA6A6A6"/>
        <rFont val="Arial"/>
        <family val="0"/>
        <charset val="1"/>
      </rPr>
      <t xml:space="preserve">1</t>
    </r>
    <r>
      <rPr>
        <sz val="10"/>
        <color rgb="FFA6A6A6"/>
        <rFont val="Noto Sans CJK SC"/>
        <family val="2"/>
      </rPr>
      <t xml:space="preserve">秒だけ消えたら、あなたの体に何が起きるのか </t>
    </r>
    <r>
      <rPr>
        <sz val="10"/>
        <color rgb="FFA6A6A6"/>
        <rFont val="Arial"/>
        <family val="0"/>
        <charset val="1"/>
      </rPr>
      <t xml:space="preserve">#shorts #</t>
    </r>
    <r>
      <rPr>
        <sz val="10"/>
        <color rgb="FFA6A6A6"/>
        <rFont val="Noto Sans CJK SC"/>
        <family val="2"/>
      </rPr>
      <t xml:space="preserve">ゆっくり解説</t>
    </r>
  </si>
  <si>
    <r>
      <rPr>
        <sz val="10"/>
        <color rgb="FFA6A6A6"/>
        <rFont val="Noto Sans CJK SC"/>
        <family val="2"/>
      </rPr>
      <t xml:space="preserve">満腹なのに甘いものは入る謎</t>
    </r>
    <r>
      <rPr>
        <sz val="10"/>
        <color rgb="FFA6A6A6"/>
        <rFont val="Arial"/>
        <family val="0"/>
        <charset val="1"/>
      </rPr>
      <t xml:space="preserve">#</t>
    </r>
    <r>
      <rPr>
        <sz val="10"/>
        <color rgb="FFA6A6A6"/>
        <rFont val="Noto Sans CJK SC"/>
        <family val="2"/>
      </rPr>
      <t xml:space="preserve">満腹なのになぜかケーキだけ入る…あの「別腹」は本当に存在した </t>
    </r>
    <r>
      <rPr>
        <sz val="10"/>
        <color rgb="FFA6A6A6"/>
        <rFont val="Arial"/>
        <family val="0"/>
        <charset val="1"/>
      </rPr>
      <t xml:space="preserve">#shorts #</t>
    </r>
    <r>
      <rPr>
        <sz val="10"/>
        <color rgb="FFA6A6A6"/>
        <rFont val="Noto Sans CJK SC"/>
        <family val="2"/>
      </rPr>
      <t xml:space="preserve">ゆっくり解説</t>
    </r>
  </si>
  <si>
    <t xml:space="preserve">2026-06-21</t>
  </si>
  <si>
    <r>
      <rPr>
        <sz val="10"/>
        <color rgb="FFA6A6A6"/>
        <rFont val="Noto Sans CJK SC"/>
        <family val="2"/>
      </rPr>
      <t xml:space="preserve">酸素ゼロの</t>
    </r>
    <r>
      <rPr>
        <sz val="10"/>
        <color rgb="FFA6A6A6"/>
        <rFont val="Arial"/>
        <family val="0"/>
        <charset val="1"/>
      </rPr>
      <t xml:space="preserve">1</t>
    </r>
    <r>
      <rPr>
        <sz val="10"/>
        <color rgb="FFA6A6A6"/>
        <rFont val="Noto Sans CJK SC"/>
        <family val="2"/>
      </rPr>
      <t xml:space="preserve">秒間建物が崩壊する</t>
    </r>
    <r>
      <rPr>
        <sz val="10"/>
        <color rgb="FFA6A6A6"/>
        <rFont val="Arial"/>
        <family val="0"/>
        <charset val="1"/>
      </rPr>
      <t xml:space="preserve">!?#</t>
    </r>
    <r>
      <rPr>
        <sz val="10"/>
        <color rgb="FFA6A6A6"/>
        <rFont val="Noto Sans CJK SC"/>
        <family val="2"/>
      </rPr>
      <t xml:space="preserve">たった</t>
    </r>
    <r>
      <rPr>
        <sz val="10"/>
        <color rgb="FFA6A6A6"/>
        <rFont val="Arial"/>
        <family val="0"/>
        <charset val="1"/>
      </rPr>
      <t xml:space="preserve">1</t>
    </r>
    <r>
      <rPr>
        <sz val="10"/>
        <color rgb="FFA6A6A6"/>
        <rFont val="Noto Sans CJK SC"/>
        <family val="2"/>
      </rPr>
      <t xml:space="preserve">秒で人類が終わる？地球から酸素が消えたら、実は『建物』が最初に崩れる理由 </t>
    </r>
    <r>
      <rPr>
        <sz val="10"/>
        <color rgb="FFA6A6A6"/>
        <rFont val="Arial"/>
        <family val="0"/>
        <charset val="1"/>
      </rPr>
      <t xml:space="preserve">#shorts #</t>
    </r>
    <r>
      <rPr>
        <sz val="10"/>
        <color rgb="FFA6A6A6"/>
        <rFont val="Noto Sans CJK SC"/>
        <family val="2"/>
      </rPr>
      <t xml:space="preserve">ゆっくり解説</t>
    </r>
  </si>
  <si>
    <r>
      <rPr>
        <sz val="10"/>
        <color rgb="FFA6A6A6"/>
        <rFont val="Noto Sans CJK SC"/>
        <family val="2"/>
      </rPr>
      <t xml:space="preserve">たった</t>
    </r>
    <r>
      <rPr>
        <sz val="10"/>
        <color rgb="FFA6A6A6"/>
        <rFont val="Arial"/>
        <family val="0"/>
        <charset val="1"/>
      </rPr>
      <t xml:space="preserve">1</t>
    </r>
    <r>
      <rPr>
        <sz val="10"/>
        <color rgb="FFA6A6A6"/>
        <rFont val="Noto Sans CJK SC"/>
        <family val="2"/>
      </rPr>
      <t xml:space="preserve">秒で…地球が崩壊</t>
    </r>
    <r>
      <rPr>
        <sz val="10"/>
        <color rgb="FFA6A6A6"/>
        <rFont val="Arial"/>
        <family val="0"/>
        <charset val="1"/>
      </rPr>
      <t xml:space="preserve">!?#</t>
    </r>
    <r>
      <rPr>
        <sz val="10"/>
        <color rgb="FFA6A6A6"/>
        <rFont val="Noto Sans CJK SC"/>
        <family val="2"/>
      </rPr>
      <t xml:space="preserve">たった</t>
    </r>
    <r>
      <rPr>
        <sz val="10"/>
        <color rgb="FFA6A6A6"/>
        <rFont val="Arial"/>
        <family val="0"/>
        <charset val="1"/>
      </rPr>
      <t xml:space="preserve">1</t>
    </r>
    <r>
      <rPr>
        <sz val="10"/>
        <color rgb="FFA6A6A6"/>
        <rFont val="Noto Sans CJK SC"/>
        <family val="2"/>
      </rPr>
      <t xml:space="preserve">秒なのに、なぜ地球はそこまで壊れるのか？酸素が消えた世界の本当の恐怖 </t>
    </r>
    <r>
      <rPr>
        <sz val="10"/>
        <color rgb="FFA6A6A6"/>
        <rFont val="Arial"/>
        <family val="0"/>
        <charset val="1"/>
      </rPr>
      <t xml:space="preserve">#shorts #</t>
    </r>
    <r>
      <rPr>
        <sz val="10"/>
        <color rgb="FFA6A6A6"/>
        <rFont val="Noto Sans CJK SC"/>
        <family val="2"/>
      </rPr>
      <t xml:space="preserve">ゆっくり解説</t>
    </r>
  </si>
  <si>
    <t xml:space="preserve">2026-06-22</t>
  </si>
  <si>
    <r>
      <rPr>
        <sz val="10"/>
        <color rgb="FFA6A6A6"/>
        <rFont val="Arial"/>
        <family val="0"/>
        <charset val="1"/>
      </rPr>
      <t xml:space="preserve">100</t>
    </r>
    <r>
      <rPr>
        <sz val="10"/>
        <color rgb="FFA6A6A6"/>
        <rFont val="Noto Sans CJK SC"/>
        <family val="2"/>
      </rPr>
      <t xml:space="preserve">年間も謎だった！キーン現象の正体</t>
    </r>
    <r>
      <rPr>
        <sz val="10"/>
        <color rgb="FFA6A6A6"/>
        <rFont val="Arial"/>
        <family val="0"/>
        <charset val="1"/>
      </rPr>
      <t xml:space="preserve">#</t>
    </r>
    <r>
      <rPr>
        <sz val="10"/>
        <color rgb="FFA6A6A6"/>
        <rFont val="Noto Sans CJK SC"/>
        <family val="2"/>
      </rPr>
      <t xml:space="preserve">アイスを食べると頭がキーンとするのに、なぜ</t>
    </r>
    <r>
      <rPr>
        <sz val="10"/>
        <color rgb="FFA6A6A6"/>
        <rFont val="Arial"/>
        <family val="0"/>
        <charset val="1"/>
      </rPr>
      <t xml:space="preserve">100</t>
    </r>
    <r>
      <rPr>
        <sz val="10"/>
        <color rgb="FFA6A6A6"/>
        <rFont val="Noto Sans CJK SC"/>
        <family val="2"/>
      </rPr>
      <t xml:space="preserve">年以上『謎のまま』だったのか </t>
    </r>
    <r>
      <rPr>
        <sz val="10"/>
        <color rgb="FFA6A6A6"/>
        <rFont val="Arial"/>
        <family val="0"/>
        <charset val="1"/>
      </rPr>
      <t xml:space="preserve">#shorts #</t>
    </r>
    <r>
      <rPr>
        <sz val="10"/>
        <color rgb="FFA6A6A6"/>
        <rFont val="Noto Sans CJK SC"/>
        <family val="2"/>
      </rPr>
      <t xml:space="preserve">ゆっくり解説</t>
    </r>
  </si>
  <si>
    <r>
      <rPr>
        <sz val="10"/>
        <color rgb="FFA6A6A6"/>
        <rFont val="Noto Sans CJK SC"/>
        <family val="2"/>
      </rPr>
      <t xml:space="preserve">頭キーン の正体</t>
    </r>
    <r>
      <rPr>
        <sz val="10"/>
        <color rgb="FFA6A6A6"/>
        <rFont val="Arial"/>
        <family val="0"/>
        <charset val="1"/>
      </rPr>
      <t xml:space="preserve">100</t>
    </r>
    <r>
      <rPr>
        <sz val="10"/>
        <color rgb="FFA6A6A6"/>
        <rFont val="Noto Sans CJK SC"/>
        <family val="2"/>
      </rPr>
      <t xml:space="preserve">年間 謎だった</t>
    </r>
    <r>
      <rPr>
        <sz val="10"/>
        <color rgb="FFA6A6A6"/>
        <rFont val="Arial"/>
        <family val="0"/>
        <charset val="1"/>
      </rPr>
      <t xml:space="preserve">#</t>
    </r>
    <r>
      <rPr>
        <sz val="10"/>
        <color rgb="FFA6A6A6"/>
        <rFont val="Noto Sans CJK SC"/>
        <family val="2"/>
      </rPr>
      <t xml:space="preserve">アイスを食べると頭がキーンとするのに、なぜ</t>
    </r>
    <r>
      <rPr>
        <sz val="10"/>
        <color rgb="FFA6A6A6"/>
        <rFont val="Arial"/>
        <family val="0"/>
        <charset val="1"/>
      </rPr>
      <t xml:space="preserve">100</t>
    </r>
    <r>
      <rPr>
        <sz val="10"/>
        <color rgb="FFA6A6A6"/>
        <rFont val="Noto Sans CJK SC"/>
        <family val="2"/>
      </rPr>
      <t xml:space="preserve">年以上『原因不明』だったのか </t>
    </r>
    <r>
      <rPr>
        <sz val="10"/>
        <color rgb="FFA6A6A6"/>
        <rFont val="Arial"/>
        <family val="0"/>
        <charset val="1"/>
      </rPr>
      <t xml:space="preserve">#shorts #</t>
    </r>
    <r>
      <rPr>
        <sz val="10"/>
        <color rgb="FFA6A6A6"/>
        <rFont val="Noto Sans CJK SC"/>
        <family val="2"/>
      </rPr>
      <t xml:space="preserve">ゆっくり解説</t>
    </r>
  </si>
  <si>
    <r>
      <rPr>
        <sz val="10"/>
        <color rgb="FFA6A6A6"/>
        <rFont val="Noto Sans CJK SC"/>
        <family val="2"/>
      </rPr>
      <t xml:space="preserve">止まらない！横隔膜の暴走</t>
    </r>
    <r>
      <rPr>
        <sz val="10"/>
        <color rgb="FFA6A6A6"/>
        <rFont val="Arial"/>
        <family val="0"/>
        <charset val="1"/>
      </rPr>
      <t xml:space="preserve">#</t>
    </r>
    <r>
      <rPr>
        <sz val="10"/>
        <color rgb="FFA6A6A6"/>
        <rFont val="Noto Sans CJK SC"/>
        <family val="2"/>
      </rPr>
      <t xml:space="preserve">しゃっくりって、なぜか自分の意志じゃ止められないの？横隔膜が『暴走』する本当の理由 </t>
    </r>
    <r>
      <rPr>
        <sz val="10"/>
        <color rgb="FFA6A6A6"/>
        <rFont val="Arial"/>
        <family val="0"/>
        <charset val="1"/>
      </rPr>
      <t xml:space="preserve">#shorts #</t>
    </r>
    <r>
      <rPr>
        <sz val="10"/>
        <color rgb="FFA6A6A6"/>
        <rFont val="Noto Sans CJK SC"/>
        <family val="2"/>
      </rPr>
      <t xml:space="preserve">ゆっくり解説</t>
    </r>
  </si>
  <si>
    <t xml:space="preserve">2026-06-23</t>
  </si>
  <si>
    <r>
      <rPr>
        <sz val="10"/>
        <color rgb="FFA6A6A6"/>
        <rFont val="Noto Sans CJK SC"/>
        <family val="2"/>
      </rPr>
      <t xml:space="preserve">なぜ止まらない？横隔膜の暴走</t>
    </r>
    <r>
      <rPr>
        <sz val="10"/>
        <color rgb="FFA6A6A6"/>
        <rFont val="Arial"/>
        <family val="0"/>
        <charset val="1"/>
      </rPr>
      <t xml:space="preserve">#</t>
    </r>
    <r>
      <rPr>
        <sz val="10"/>
        <color rgb="FFA6A6A6"/>
        <rFont val="Noto Sans CJK SC"/>
        <family val="2"/>
      </rPr>
      <t xml:space="preserve">なぜしゃっくりだけ「自分の意志」で止められないのか？横隔膜が暴走する本当の理由 </t>
    </r>
    <r>
      <rPr>
        <sz val="10"/>
        <color rgb="FFA6A6A6"/>
        <rFont val="Arial"/>
        <family val="0"/>
        <charset val="1"/>
      </rPr>
      <t xml:space="preserve">#shorts #</t>
    </r>
    <r>
      <rPr>
        <sz val="10"/>
        <color rgb="FFA6A6A6"/>
        <rFont val="Noto Sans CJK SC"/>
        <family val="2"/>
      </rPr>
      <t xml:space="preserve">ゆっくり解説</t>
    </r>
  </si>
  <si>
    <r>
      <rPr>
        <sz val="10"/>
        <color rgb="FFA6A6A6"/>
        <rFont val="Noto Sans CJK SC"/>
        <family val="2"/>
      </rPr>
      <t xml:space="preserve">止めようとすると余計ひどくなる…横隔膜が『暴走』する理由とは？</t>
    </r>
    <r>
      <rPr>
        <sz val="10"/>
        <color rgb="FFA6A6A6"/>
        <rFont val="Arial"/>
        <family val="0"/>
        <charset val="1"/>
      </rPr>
      <t xml:space="preserve">#</t>
    </r>
    <r>
      <rPr>
        <sz val="10"/>
        <color rgb="FFA6A6A6"/>
        <rFont val="Noto Sans CJK SC"/>
        <family val="2"/>
      </rPr>
      <t xml:space="preserve">なぜしゃっくりだけ「自分の意志」で止められないのか？横隔膜が暴走する本当の理由 </t>
    </r>
    <r>
      <rPr>
        <sz val="10"/>
        <color rgb="FFA6A6A6"/>
        <rFont val="Arial"/>
        <family val="0"/>
        <charset val="1"/>
      </rPr>
      <t xml:space="preserve">#shorts #</t>
    </r>
    <r>
      <rPr>
        <sz val="10"/>
        <color rgb="FFA6A6A6"/>
        <rFont val="Noto Sans CJK SC"/>
        <family val="2"/>
      </rPr>
      <t xml:space="preserve">ゆっくり解説</t>
    </r>
  </si>
  <si>
    <t xml:space="preserve">耳に水が入ったとき、なぜかずっと抜けないのには『ある力』が関係していた【ショート】</t>
  </si>
  <si>
    <t xml:space="preserve">毎朝あの「体がドロドロする感覚」、実は脳がまだ眠ったまま動いてる証拠だった【ショート】</t>
  </si>
  <si>
    <t xml:space="preserve">2026-06-24</t>
  </si>
  <si>
    <r>
      <rPr>
        <sz val="10"/>
        <color rgb="FFA6A6A6"/>
        <rFont val="Noto Sans CJK SC"/>
        <family val="2"/>
      </rPr>
      <t xml:space="preserve">なぜ集中するほど肩が石になるのか？</t>
    </r>
    <r>
      <rPr>
        <sz val="10"/>
        <color rgb="FFA6A6A6"/>
        <rFont val="Arial"/>
        <family val="0"/>
        <charset val="1"/>
      </rPr>
      <t xml:space="preserve">#</t>
    </r>
    <r>
      <rPr>
        <sz val="10"/>
        <color rgb="FFA6A6A6"/>
        <rFont val="Noto Sans CJK SC"/>
        <family val="2"/>
      </rPr>
      <t xml:space="preserve">集中すると必ず肩が凝る——脳が無意識に筋肉を『固める』命令を出している本当の理由 </t>
    </r>
    <r>
      <rPr>
        <sz val="10"/>
        <color rgb="FFA6A6A6"/>
        <rFont val="Arial"/>
        <family val="0"/>
        <charset val="1"/>
      </rPr>
      <t xml:space="preserve">#shorts #</t>
    </r>
    <r>
      <rPr>
        <sz val="10"/>
        <color rgb="FFA6A6A6"/>
        <rFont val="Noto Sans CJK SC"/>
        <family val="2"/>
      </rPr>
      <t xml:space="preserve">ゆっくり解説</t>
    </r>
  </si>
  <si>
    <r>
      <rPr>
        <sz val="10"/>
        <color rgb="FFA6A6A6"/>
        <rFont val="Noto Sans CJK SC"/>
        <family val="2"/>
      </rPr>
      <t xml:space="preserve">集中中に肩が固まる理由脳の命令が筋肉を壊す</t>
    </r>
    <r>
      <rPr>
        <sz val="10"/>
        <color rgb="FFA6A6A6"/>
        <rFont val="Arial"/>
        <family val="0"/>
        <charset val="1"/>
      </rPr>
      <t xml:space="preserve">#</t>
    </r>
    <r>
      <rPr>
        <sz val="10"/>
        <color rgb="FFA6A6A6"/>
        <rFont val="Noto Sans CJK SC"/>
        <family val="2"/>
      </rPr>
      <t xml:space="preserve">集中すればするほど肩が壊れていく — 脳が出す『謎の筋緊張命令』の正体とは </t>
    </r>
    <r>
      <rPr>
        <sz val="10"/>
        <color rgb="FFA6A6A6"/>
        <rFont val="Arial"/>
        <family val="0"/>
        <charset val="1"/>
      </rPr>
      <t xml:space="preserve">#shorts #</t>
    </r>
    <r>
      <rPr>
        <sz val="10"/>
        <color rgb="FFA6A6A6"/>
        <rFont val="Noto Sans CJK SC"/>
        <family val="2"/>
      </rPr>
      <t xml:space="preserve">ゆっくり解説</t>
    </r>
  </si>
  <si>
    <t xml:space="preserve">紙で指を切ると「なぜか」あんなに痛い — 小さい傷に隠された指先の秘密【ショート】</t>
  </si>
  <si>
    <t xml:space="preserve">テスト前夜に必死で覚えたのに、なぜか翌朝には消えている『あの感覚』の正体【ショート】</t>
  </si>
  <si>
    <t xml:space="preserve">2026-06-25</t>
  </si>
  <si>
    <r>
      <rPr>
        <sz val="10"/>
        <color rgb="FFA6A6A6"/>
        <rFont val="Noto Sans CJK SC"/>
        <family val="2"/>
      </rPr>
      <t xml:space="preserve">閉まりかけでも乗れる！センサーの『待機設計』とは？</t>
    </r>
    <r>
      <rPr>
        <sz val="10"/>
        <color rgb="FFA6A6A6"/>
        <rFont val="Arial"/>
        <family val="0"/>
        <charset val="1"/>
      </rPr>
      <t xml:space="preserve">#</t>
    </r>
    <r>
      <rPr>
        <sz val="10"/>
        <color rgb="FFA6A6A6"/>
        <rFont val="Noto Sans CJK SC"/>
        <family val="2"/>
      </rPr>
      <t xml:space="preserve">ドアが閉まりかけても間に合う理由、実はエレベーターが『わざと』待っていた </t>
    </r>
    <r>
      <rPr>
        <sz val="10"/>
        <color rgb="FFA6A6A6"/>
        <rFont val="Arial"/>
        <family val="0"/>
        <charset val="1"/>
      </rPr>
      <t xml:space="preserve">#shorts #</t>
    </r>
    <r>
      <rPr>
        <sz val="10"/>
        <color rgb="FFA6A6A6"/>
        <rFont val="Noto Sans CJK SC"/>
        <family val="2"/>
      </rPr>
      <t xml:space="preserve">ゆっくり解説</t>
    </r>
  </si>
  <si>
    <r>
      <rPr>
        <sz val="10"/>
        <rFont val="Noto Sans CJK SC"/>
        <family val="2"/>
      </rPr>
      <t xml:space="preserve">なぜ閉まる寸前でも止まるの？センサーの『待機設計』が凄すぎた</t>
    </r>
    <r>
      <rPr>
        <sz val="10"/>
        <rFont val="Arial"/>
        <family val="0"/>
        <charset val="1"/>
      </rPr>
      <t xml:space="preserve">#</t>
    </r>
    <r>
      <rPr>
        <sz val="10"/>
        <rFont val="Noto Sans CJK SC"/>
        <family val="2"/>
      </rPr>
      <t xml:space="preserve">ドアが閉まる直前に飛び込んでも間に合う…エレベーターが『あなた』を待つ本当の理由 </t>
    </r>
    <r>
      <rPr>
        <sz val="10"/>
        <rFont val="Arial"/>
        <family val="0"/>
        <charset val="1"/>
      </rPr>
      <t xml:space="preserve">#shorts #</t>
    </r>
    <r>
      <rPr>
        <sz val="10"/>
        <rFont val="Noto Sans CJK SC"/>
        <family val="2"/>
      </rPr>
      <t xml:space="preserve">ゆっくり解説</t>
    </r>
  </si>
  <si>
    <t xml:space="preserve">冷蔵庫の上段、なぜか全然冷えてない…その『不思議な理由』が意外すぎた【ショート】</t>
  </si>
  <si>
    <t xml:space="preserve">2026-06-26</t>
  </si>
  <si>
    <r>
      <rPr>
        <sz val="10"/>
        <color rgb="FFA6A6A6"/>
        <rFont val="Noto Sans CJK SC"/>
        <family val="2"/>
      </rPr>
      <t xml:space="preserve">その色、本当に『青』？脳が見ている色と言葉がズレてる</t>
    </r>
    <r>
      <rPr>
        <sz val="10"/>
        <color rgb="FFA6A6A6"/>
        <rFont val="Arial"/>
        <family val="0"/>
        <charset val="1"/>
      </rPr>
      <t xml:space="preserve">#</t>
    </r>
    <r>
      <rPr>
        <sz val="10"/>
        <color rgb="FFA6A6A6"/>
        <rFont val="Noto Sans CJK SC"/>
        <family val="2"/>
      </rPr>
      <t xml:space="preserve">信号の『青』、実は緑なのになぜ『青』と呼ぶのか？日本語だけに起きた不思議な色の歴史 </t>
    </r>
    <r>
      <rPr>
        <sz val="10"/>
        <color rgb="FFA6A6A6"/>
        <rFont val="Arial"/>
        <family val="0"/>
        <charset val="1"/>
      </rPr>
      <t xml:space="preserve">#shorts #</t>
    </r>
    <r>
      <rPr>
        <sz val="10"/>
        <color rgb="FFA6A6A6"/>
        <rFont val="Noto Sans CJK SC"/>
        <family val="2"/>
      </rPr>
      <t xml:space="preserve">ゆっくり解説</t>
    </r>
  </si>
  <si>
    <r>
      <rPr>
        <sz val="10"/>
        <color rgb="FFA6A6A6"/>
        <rFont val="Noto Sans CJK SC"/>
        <family val="2"/>
      </rPr>
      <t xml:space="preserve">信号は『緑』なのになぜ『青』と呼ぶ？</t>
    </r>
    <r>
      <rPr>
        <sz val="10"/>
        <color rgb="FFA6A6A6"/>
        <rFont val="Arial"/>
        <family val="0"/>
        <charset val="1"/>
      </rPr>
      <t xml:space="preserve">#</t>
    </r>
    <r>
      <rPr>
        <sz val="10"/>
        <color rgb="FFA6A6A6"/>
        <rFont val="Noto Sans CJK SC"/>
        <family val="2"/>
      </rPr>
      <t xml:space="preserve">信号の『青』が実は緑なのに、なぜ日本人だけ青と呼び続けるのか？ </t>
    </r>
    <r>
      <rPr>
        <sz val="10"/>
        <color rgb="FFA6A6A6"/>
        <rFont val="Arial"/>
        <family val="0"/>
        <charset val="1"/>
      </rPr>
      <t xml:space="preserve">#shorts #</t>
    </r>
    <r>
      <rPr>
        <sz val="10"/>
        <color rgb="FFA6A6A6"/>
        <rFont val="Noto Sans CJK SC"/>
        <family val="2"/>
      </rPr>
      <t xml:space="preserve">ゆっくり解説</t>
    </r>
  </si>
  <si>
    <t xml:space="preserve">なぜ端っこだけ熱い？電子レンジの『中心が冷たい』現象、実は物理の罠だった【ショート】</t>
  </si>
  <si>
    <t xml:space="preserve">2026-06-27</t>
  </si>
  <si>
    <r>
      <rPr>
        <sz val="10"/>
        <rFont val="Noto Sans CJK SC"/>
        <family val="2"/>
      </rPr>
      <t xml:space="preserve">本を読むと眠くなるのは集中できてる証拠だった</t>
    </r>
    <r>
      <rPr>
        <sz val="10"/>
        <rFont val="Arial"/>
        <family val="0"/>
        <charset val="1"/>
      </rPr>
      <t xml:space="preserve">!?#</t>
    </r>
    <r>
      <rPr>
        <sz val="10"/>
        <rFont val="Noto Sans CJK SC"/>
        <family val="2"/>
      </rPr>
      <t xml:space="preserve">本を読むと必ず眠くなる人へ — 実はあなたの脳が『ある状態』に入っているだけかもしれない </t>
    </r>
    <r>
      <rPr>
        <sz val="10"/>
        <rFont val="Arial"/>
        <family val="0"/>
        <charset val="1"/>
      </rPr>
      <t xml:space="preserve">#shorts #</t>
    </r>
    <r>
      <rPr>
        <sz val="10"/>
        <rFont val="Noto Sans CJK SC"/>
        <family val="2"/>
      </rPr>
      <t xml:space="preserve">ゆっくり解説</t>
    </r>
  </si>
  <si>
    <r>
      <rPr>
        <sz val="10"/>
        <rFont val="Noto Sans CJK SC"/>
        <family val="2"/>
      </rPr>
      <t xml:space="preserve">なぜ本だけで眠くなる？集中してるのに睡魔が来る理由</t>
    </r>
    <r>
      <rPr>
        <sz val="10"/>
        <rFont val="Arial"/>
        <family val="0"/>
        <charset val="1"/>
      </rPr>
      <t xml:space="preserve">#</t>
    </r>
    <r>
      <rPr>
        <sz val="10"/>
        <rFont val="Noto Sans CJK SC"/>
        <family val="2"/>
      </rPr>
      <t xml:space="preserve">本を読むと必ず眠くなる人が知らない、脳の『省エネモード』の正体 </t>
    </r>
    <r>
      <rPr>
        <sz val="10"/>
        <rFont val="Arial"/>
        <family val="0"/>
        <charset val="1"/>
      </rPr>
      <t xml:space="preserve">#shorts #</t>
    </r>
    <r>
      <rPr>
        <sz val="10"/>
        <rFont val="Noto Sans CJK SC"/>
        <family val="2"/>
      </rPr>
      <t xml:space="preserve">ゆっくり解説</t>
    </r>
  </si>
  <si>
    <t xml:space="preserve">新しいノートを前にするとなぜか手が止まる——脳が『もったいない』と叫ぶ本当の理由【ショート】</t>
  </si>
  <si>
    <r>
      <rPr>
        <sz val="10"/>
        <rFont val="Noto Sans CJK SC"/>
        <family val="2"/>
      </rPr>
      <t xml:space="preserve">あなたの隣の人があくびをした。うつった？うつらなかった？——その</t>
    </r>
    <r>
      <rPr>
        <sz val="10"/>
        <rFont val="Arial"/>
        <family val="0"/>
        <charset val="1"/>
      </rPr>
      <t xml:space="preserve">0.3</t>
    </r>
    <r>
      <rPr>
        <sz val="10"/>
        <rFont val="Noto Sans CJK SC"/>
        <family val="2"/>
      </rPr>
      <t xml:space="preserve">秒の差が「ある能力」の高さを丸裸にする【ショート】</t>
    </r>
  </si>
  <si>
    <t xml:space="preserve">2026-06-28</t>
  </si>
  <si>
    <r>
      <rPr>
        <sz val="10"/>
        <rFont val="Noto Sans CJK SC"/>
        <family val="2"/>
      </rPr>
      <t xml:space="preserve">なぜ隣の人は平気なのに自分だけ震えているのか？</t>
    </r>
    <r>
      <rPr>
        <sz val="10"/>
        <rFont val="Arial"/>
        <family val="0"/>
        <charset val="1"/>
      </rPr>
      <t xml:space="preserve">#</t>
    </r>
    <r>
      <rPr>
        <sz val="10"/>
        <rFont val="Noto Sans CJK SC"/>
        <family val="2"/>
      </rPr>
      <t xml:space="preserve">同じ部屋なのに自分だけ寒い…その『差』を生み出している</t>
    </r>
    <r>
      <rPr>
        <sz val="10"/>
        <rFont val="Arial"/>
        <family val="0"/>
        <charset val="1"/>
      </rPr>
      <t xml:space="preserve">5</t>
    </r>
    <r>
      <rPr>
        <sz val="10"/>
        <rFont val="Noto Sans CJK SC"/>
        <family val="2"/>
      </rPr>
      <t xml:space="preserve">つの隠れた正体 </t>
    </r>
    <r>
      <rPr>
        <sz val="10"/>
        <rFont val="Arial"/>
        <family val="0"/>
        <charset val="1"/>
      </rPr>
      <t xml:space="preserve">#shorts #</t>
    </r>
    <r>
      <rPr>
        <sz val="10"/>
        <rFont val="Noto Sans CJK SC"/>
        <family val="2"/>
      </rPr>
      <t xml:space="preserve">ゆっくり解説</t>
    </r>
  </si>
  <si>
    <r>
      <rPr>
        <sz val="10"/>
        <rFont val="Noto Sans CJK SC"/>
        <family val="2"/>
      </rPr>
      <t xml:space="preserve">なぜ隣の人は平気なのに自分だけ凍えているのか？</t>
    </r>
    <r>
      <rPr>
        <sz val="10"/>
        <rFont val="Arial"/>
        <family val="0"/>
        <charset val="1"/>
      </rPr>
      <t xml:space="preserve">#</t>
    </r>
    <r>
      <rPr>
        <sz val="10"/>
        <rFont val="Noto Sans CJK SC"/>
        <family val="2"/>
      </rPr>
      <t xml:space="preserve">同じ部屋にいるのに自分だけ寒い——その『体感温度のズレ』を生み出す</t>
    </r>
    <r>
      <rPr>
        <sz val="10"/>
        <rFont val="Arial"/>
        <family val="0"/>
        <charset val="1"/>
      </rPr>
      <t xml:space="preserve">5</t>
    </r>
    <r>
      <rPr>
        <sz val="10"/>
        <rFont val="Noto Sans CJK SC"/>
        <family val="2"/>
      </rPr>
      <t xml:space="preserve">つの正体 </t>
    </r>
    <r>
      <rPr>
        <sz val="10"/>
        <rFont val="Arial"/>
        <family val="0"/>
        <charset val="1"/>
      </rPr>
      <t xml:space="preserve">#shorts #</t>
    </r>
    <r>
      <rPr>
        <sz val="10"/>
        <rFont val="Noto Sans CJK SC"/>
        <family val="2"/>
      </rPr>
      <t xml:space="preserve">ゆっくり解説</t>
    </r>
  </si>
  <si>
    <t xml:space="preserve">蛍光灯の下だと肌が青白く見える。あれ、実は目が『騙されている』だけって知ってた？【ショート】</t>
  </si>
  <si>
    <t xml:space="preserve">なぜ手だけ汗が出るの？緊張したとき『そこだけ』が濡れる本当の理由【ショート】</t>
  </si>
  <si>
    <t xml:space="preserve">2026-06-29</t>
  </si>
  <si>
    <r>
      <rPr>
        <sz val="10"/>
        <rFont val="Noto Sans CJK SC"/>
        <family val="2"/>
      </rPr>
      <t xml:space="preserve">寝てるのになぜ体が跳ねる？脳が起こす</t>
    </r>
    <r>
      <rPr>
        <sz val="10"/>
        <rFont val="Arial"/>
        <family val="0"/>
        <charset val="1"/>
      </rPr>
      <t xml:space="preserve">0.1</t>
    </r>
    <r>
      <rPr>
        <sz val="10"/>
        <rFont val="Noto Sans CJK SC"/>
        <family val="2"/>
      </rPr>
      <t xml:space="preserve">秒の暴走</t>
    </r>
    <r>
      <rPr>
        <sz val="10"/>
        <rFont val="Arial"/>
        <family val="0"/>
        <charset val="1"/>
      </rPr>
      <t xml:space="preserve">#</t>
    </r>
    <r>
      <rPr>
        <sz val="10"/>
        <rFont val="Noto Sans CJK SC"/>
        <family val="2"/>
      </rPr>
      <t xml:space="preserve">寝落ちの瞬間に体がビクッ…あの『謎の震え』の正体が怖すぎる </t>
    </r>
    <r>
      <rPr>
        <sz val="10"/>
        <rFont val="Arial"/>
        <family val="0"/>
        <charset val="1"/>
      </rPr>
      <t xml:space="preserve">#shorts #</t>
    </r>
    <r>
      <rPr>
        <sz val="10"/>
        <rFont val="Noto Sans CJK SC"/>
        <family val="2"/>
      </rPr>
      <t xml:space="preserve">ゆっくり解説</t>
    </r>
  </si>
  <si>
    <r>
      <rPr>
        <sz val="10"/>
        <rFont val="Noto Sans CJK SC"/>
        <family val="2"/>
      </rPr>
      <t xml:space="preserve">寝てるのに体がビクッ！脳が起こす</t>
    </r>
    <r>
      <rPr>
        <sz val="10"/>
        <rFont val="Arial"/>
        <family val="0"/>
        <charset val="1"/>
      </rPr>
      <t xml:space="preserve">0.1</t>
    </r>
    <r>
      <rPr>
        <sz val="10"/>
        <rFont val="Noto Sans CJK SC"/>
        <family val="2"/>
      </rPr>
      <t xml:space="preserve">秒の誤作動</t>
    </r>
    <r>
      <rPr>
        <sz val="10"/>
        <rFont val="Arial"/>
        <family val="0"/>
        <charset val="1"/>
      </rPr>
      <t xml:space="preserve">#</t>
    </r>
    <r>
      <rPr>
        <sz val="10"/>
        <rFont val="Noto Sans CJK SC"/>
        <family val="2"/>
      </rPr>
      <t xml:space="preserve">寝落ち直前に体がビクッとなるのは、実は脳が『ある勘違い』をしているせいだった </t>
    </r>
    <r>
      <rPr>
        <sz val="10"/>
        <rFont val="Arial"/>
        <family val="0"/>
        <charset val="1"/>
      </rPr>
      <t xml:space="preserve">#shorts #</t>
    </r>
    <r>
      <rPr>
        <sz val="10"/>
        <rFont val="Noto Sans CJK SC"/>
        <family val="2"/>
      </rPr>
      <t xml:space="preserve">ゆっくり解説</t>
    </r>
  </si>
  <si>
    <t xml:space="preserve">寝落ち直前に体がビクッとするのは、実は脳が『死にかけた』と勘違いしているから？【ショート】</t>
  </si>
  <si>
    <t xml:space="preserve">くしゃみ中、なぜか目が絶対に開けられない——脳が強制的にシャットダウンする本当の理由【ショート】</t>
  </si>
  <si>
    <t xml:space="preserve">2026-06-30</t>
  </si>
  <si>
    <r>
      <rPr>
        <sz val="10"/>
        <rFont val="Noto Sans CJK SC"/>
        <family val="2"/>
      </rPr>
      <t xml:space="preserve">継ぎ目ゼロなのになぜ鳴る？音の発生源が変わっていた</t>
    </r>
    <r>
      <rPr>
        <sz val="10"/>
        <rFont val="Arial"/>
        <family val="0"/>
        <charset val="1"/>
      </rPr>
      <t xml:space="preserve">#</t>
    </r>
    <r>
      <rPr>
        <sz val="10"/>
        <rFont val="Noto Sans CJK SC"/>
        <family val="2"/>
      </rPr>
      <t xml:space="preserve">毎日聞いてるのに誰も知らない『ガタンゴトン』の正体——レールに継ぎ目がないのになぜ鳴るのか？ </t>
    </r>
    <r>
      <rPr>
        <sz val="10"/>
        <rFont val="Arial"/>
        <family val="0"/>
        <charset val="1"/>
      </rPr>
      <t xml:space="preserve">#shorts #</t>
    </r>
    <r>
      <rPr>
        <sz val="10"/>
        <rFont val="Noto Sans CJK SC"/>
        <family val="2"/>
      </rPr>
      <t xml:space="preserve">ゆっくり解説</t>
    </r>
  </si>
  <si>
    <r>
      <rPr>
        <sz val="10"/>
        <rFont val="Noto Sans CJK SC"/>
        <family val="2"/>
      </rPr>
      <t xml:space="preserve">録音した自分の声、別人みたいで恥ずかしくなった経験ない？実は骨が音を変えている——耳の構造に隠された驚きの仕組み</t>
    </r>
    <r>
      <rPr>
        <sz val="10"/>
        <rFont val="Arial"/>
        <family val="0"/>
        <charset val="1"/>
      </rPr>
      <t xml:space="preserve">#</t>
    </r>
    <r>
      <rPr>
        <sz val="10"/>
        <rFont val="Noto Sans CJK SC"/>
        <family val="2"/>
      </rPr>
      <t xml:space="preserve">自分の声って録音するとなぜあんなに変なの？耳の中で起きていること </t>
    </r>
    <r>
      <rPr>
        <sz val="10"/>
        <rFont val="Arial"/>
        <family val="0"/>
        <charset val="1"/>
      </rPr>
      <t xml:space="preserve">#shorts #</t>
    </r>
    <r>
      <rPr>
        <sz val="10"/>
        <rFont val="Noto Sans CJK SC"/>
        <family val="2"/>
      </rPr>
      <t xml:space="preserve">ゆ</t>
    </r>
  </si>
  <si>
    <t xml:space="preserve">2026-07-01</t>
  </si>
  <si>
    <r>
      <rPr>
        <sz val="10"/>
        <rFont val="Noto Sans CJK SC"/>
        <family val="2"/>
      </rPr>
      <t xml:space="preserve">録音で聞く自分の声なぜか別人に聞こえる</t>
    </r>
    <r>
      <rPr>
        <sz val="10"/>
        <rFont val="Arial"/>
        <family val="0"/>
        <charset val="1"/>
      </rPr>
      <t xml:space="preserve">#</t>
    </r>
    <r>
      <rPr>
        <sz val="10"/>
        <rFont val="Noto Sans CJK SC"/>
        <family val="2"/>
      </rPr>
      <t xml:space="preserve">なぜ録音の自分の声は『別人』に聞こえるのか？耳の中で起きていること </t>
    </r>
    <r>
      <rPr>
        <sz val="10"/>
        <rFont val="Arial"/>
        <family val="0"/>
        <charset val="1"/>
      </rPr>
      <t xml:space="preserve">#shorts #</t>
    </r>
    <r>
      <rPr>
        <sz val="10"/>
        <rFont val="Noto Sans CJK SC"/>
        <family val="2"/>
      </rPr>
      <t xml:space="preserve">ゆっくり解説</t>
    </r>
  </si>
  <si>
    <r>
      <rPr>
        <sz val="10"/>
        <rFont val="Noto Sans CJK SC"/>
        <family val="2"/>
      </rPr>
      <t xml:space="preserve">録音の声、なぜか気持ち悪い…骨が音を変えていた</t>
    </r>
    <r>
      <rPr>
        <sz val="10"/>
        <rFont val="Arial"/>
        <family val="0"/>
        <charset val="1"/>
      </rPr>
      <t xml:space="preserve">#</t>
    </r>
    <r>
      <rPr>
        <sz val="10"/>
        <rFont val="Noto Sans CJK SC"/>
        <family val="2"/>
      </rPr>
      <t xml:space="preserve">録音した自分の声が「別人みたい」に聞こえるのは、なぜか耳の中だけの話じゃなかった </t>
    </r>
    <r>
      <rPr>
        <sz val="10"/>
        <rFont val="Arial"/>
        <family val="0"/>
        <charset val="1"/>
      </rPr>
      <t xml:space="preserve">#shorts #</t>
    </r>
    <r>
      <rPr>
        <sz val="10"/>
        <rFont val="Noto Sans CJK SC"/>
        <family val="2"/>
      </rPr>
      <t xml:space="preserve">ゆっくり解説</t>
    </r>
  </si>
  <si>
    <t xml:space="preserve">鏡の中の自分、なぜ『左右』だけ反転して見えるの？実は鏡は何も反転していなかった【ショート】</t>
  </si>
  <si>
    <t xml:space="preserve">お腹ペコペコなのに、いざ食べ始めたら急に食欲が消える——あの『裏切り感』の正体、実は脳と胃が別々に動いてるせいだった【ショート】</t>
  </si>
  <si>
    <t xml:space="preserve">2026-07-02</t>
  </si>
  <si>
    <r>
      <rPr>
        <sz val="10"/>
        <rFont val="Noto Sans CJK SC"/>
        <family val="2"/>
      </rPr>
      <t xml:space="preserve">ブルーライトより</t>
    </r>
    <r>
      <rPr>
        <sz val="10"/>
        <rFont val="Arial"/>
        <family val="0"/>
        <charset val="1"/>
      </rPr>
      <t xml:space="preserve">100</t>
    </r>
    <r>
      <rPr>
        <sz val="10"/>
        <rFont val="Noto Sans CJK SC"/>
        <family val="2"/>
      </rPr>
      <t xml:space="preserve">倍怖い体内時計『崩壊』の正体</t>
    </r>
    <r>
      <rPr>
        <sz val="10"/>
        <rFont val="Arial"/>
        <family val="0"/>
        <charset val="1"/>
      </rPr>
      <t xml:space="preserve">#</t>
    </r>
    <r>
      <rPr>
        <sz val="10"/>
        <rFont val="Noto Sans CJK SC"/>
        <family val="2"/>
      </rPr>
      <t xml:space="preserve">深夜スマホで翌朝ぼんやりする本当の理由、ブルーライトじゃなかった </t>
    </r>
    <r>
      <rPr>
        <sz val="10"/>
        <rFont val="Arial"/>
        <family val="0"/>
        <charset val="1"/>
      </rPr>
      <t xml:space="preserve">#shorts #</t>
    </r>
    <r>
      <rPr>
        <sz val="10"/>
        <rFont val="Noto Sans CJK SC"/>
        <family val="2"/>
      </rPr>
      <t xml:space="preserve">ゆっくり解説</t>
    </r>
  </si>
  <si>
    <r>
      <rPr>
        <sz val="10"/>
        <rFont val="Noto Sans CJK SC"/>
        <family val="2"/>
      </rPr>
      <t xml:space="preserve">えっ、ブルーライトだけじゃない？スマホが体内時計を狂わせる理由</t>
    </r>
    <r>
      <rPr>
        <sz val="10"/>
        <rFont val="Arial"/>
        <family val="0"/>
        <charset val="1"/>
      </rPr>
      <t xml:space="preserve">#</t>
    </r>
    <r>
      <rPr>
        <sz val="10"/>
        <rFont val="Noto Sans CJK SC"/>
        <family val="2"/>
      </rPr>
      <t xml:space="preserve">深夜のスマホ、翌朝のぼんやりはなぜ？実はブルーライトより怖い『概日リズム崩壊』の正体 </t>
    </r>
    <r>
      <rPr>
        <sz val="10"/>
        <rFont val="Arial"/>
        <family val="0"/>
        <charset val="1"/>
      </rPr>
      <t xml:space="preserve">#shorts #</t>
    </r>
    <r>
      <rPr>
        <sz val="10"/>
        <rFont val="Noto Sans CJK SC"/>
        <family val="2"/>
      </rPr>
      <t xml:space="preserve">ゆっくり解説</t>
    </r>
  </si>
  <si>
    <r>
      <rPr>
        <sz val="10"/>
        <rFont val="Noto Sans CJK SC"/>
        <family val="2"/>
      </rPr>
      <t xml:space="preserve">なぜパソコンのファンは突然うるさくなるのか？</t>
    </r>
    <r>
      <rPr>
        <sz val="10"/>
        <rFont val="Arial"/>
        <family val="0"/>
        <charset val="1"/>
      </rPr>
      <t xml:space="preserve">CPU</t>
    </r>
    <r>
      <rPr>
        <sz val="10"/>
        <rFont val="Noto Sans CJK SC"/>
        <family val="2"/>
      </rPr>
      <t xml:space="preserve">が『全力疾走』を始める瞬間に起きていること【ショート】</t>
    </r>
  </si>
  <si>
    <t xml:space="preserve">2026-07-03</t>
  </si>
  <si>
    <r>
      <rPr>
        <sz val="10"/>
        <rFont val="Noto Sans CJK SC"/>
        <family val="2"/>
      </rPr>
      <t xml:space="preserve">録音の声がキモい理由骨が音を変えていた</t>
    </r>
    <r>
      <rPr>
        <sz val="10"/>
        <rFont val="Arial"/>
        <family val="0"/>
        <charset val="1"/>
      </rPr>
      <t xml:space="preserve">#</t>
    </r>
    <r>
      <rPr>
        <sz val="10"/>
        <rFont val="Noto Sans CJK SC"/>
        <family val="2"/>
      </rPr>
      <t xml:space="preserve">自分の声が録音だと気持ち悪く聞こえる…あの違和感の正体、実は耳の中にあった </t>
    </r>
    <r>
      <rPr>
        <sz val="10"/>
        <rFont val="Arial"/>
        <family val="0"/>
        <charset val="1"/>
      </rPr>
      <t xml:space="preserve">#shorts #</t>
    </r>
    <r>
      <rPr>
        <sz val="10"/>
        <rFont val="Noto Sans CJK SC"/>
        <family val="2"/>
      </rPr>
      <t xml:space="preserve">ゆっくり解説</t>
    </r>
  </si>
  <si>
    <r>
      <rPr>
        <sz val="10"/>
        <rFont val="Noto Sans CJK SC"/>
        <family val="2"/>
      </rPr>
      <t xml:space="preserve">録音の自分の声、別人すぎる問題実は</t>
    </r>
    <r>
      <rPr>
        <sz val="10"/>
        <rFont val="Arial"/>
        <family val="0"/>
        <charset val="1"/>
      </rPr>
      <t xml:space="preserve">97%</t>
    </r>
    <r>
      <rPr>
        <sz val="10"/>
        <rFont val="Noto Sans CJK SC"/>
        <family val="2"/>
      </rPr>
      <t xml:space="preserve">の人が同じ衝撃を受けている</t>
    </r>
    <r>
      <rPr>
        <sz val="10"/>
        <rFont val="Arial"/>
        <family val="0"/>
        <charset val="1"/>
      </rPr>
      <t xml:space="preserve">#</t>
    </r>
    <r>
      <rPr>
        <sz val="10"/>
        <rFont val="Noto Sans CJK SC"/>
        <family val="2"/>
      </rPr>
      <t xml:space="preserve">なぜ録音した自分の声だけ別人みたいに聞こえるの？耳の中で起きていること </t>
    </r>
    <r>
      <rPr>
        <sz val="10"/>
        <rFont val="Arial"/>
        <family val="0"/>
        <charset val="1"/>
      </rPr>
      <t xml:space="preserve">#shorts #</t>
    </r>
    <r>
      <rPr>
        <sz val="10"/>
        <rFont val="Noto Sans CJK SC"/>
        <family val="2"/>
      </rPr>
      <t xml:space="preserve">ゆっくり解説</t>
    </r>
  </si>
  <si>
    <r>
      <rPr>
        <sz val="10"/>
        <rFont val="Noto Sans CJK SC"/>
        <family val="2"/>
      </rPr>
      <t xml:space="preserve">夢を忘れる理由、実は脳が『意図的に』消している？</t>
    </r>
    <r>
      <rPr>
        <sz val="10"/>
        <rFont val="Arial"/>
        <family val="0"/>
        <charset val="1"/>
      </rPr>
      <t xml:space="preserve">99%</t>
    </r>
    <r>
      <rPr>
        <sz val="10"/>
        <rFont val="Noto Sans CJK SC"/>
        <family val="2"/>
      </rPr>
      <t xml:space="preserve">が知らない睡眠中の脳の秘密</t>
    </r>
    <r>
      <rPr>
        <sz val="10"/>
        <rFont val="Arial"/>
        <family val="0"/>
        <charset val="1"/>
      </rPr>
      <t xml:space="preserve">#</t>
    </r>
    <r>
      <rPr>
        <sz val="10"/>
        <rFont val="Noto Sans CJK SC"/>
        <family val="2"/>
      </rPr>
      <t xml:space="preserve">朝起きると夢を忘れているのに、なぜ夢を見た『感覚』だけは残っているのか </t>
    </r>
    <r>
      <rPr>
        <sz val="10"/>
        <rFont val="Arial"/>
        <family val="0"/>
        <charset val="1"/>
      </rPr>
      <t xml:space="preserve">#shorts #</t>
    </r>
    <r>
      <rPr>
        <sz val="10"/>
        <rFont val="Noto Sans CJK SC"/>
        <family val="2"/>
      </rPr>
      <t xml:space="preserve">ゆっくり解説</t>
    </r>
  </si>
  <si>
    <t xml:space="preserve">同じ空を見ているのに、あなたと私で『青』が違う色に見えているかもしれない理由【ショート】</t>
  </si>
  <si>
    <t xml:space="preserve">2026-07-05</t>
  </si>
  <si>
    <r>
      <rPr>
        <sz val="10"/>
        <rFont val="Noto Sans CJK SC"/>
        <family val="2"/>
      </rPr>
      <t xml:space="preserve">自分の声、録音で聞くと変じゃない？実は耳の『ある仕組み』が原因なんです。</t>
    </r>
    <r>
      <rPr>
        <sz val="10"/>
        <rFont val="Arial"/>
        <family val="0"/>
        <charset val="1"/>
      </rPr>
      <t xml:space="preserve">#</t>
    </r>
    <r>
      <rPr>
        <sz val="10"/>
        <rFont val="Noto Sans CJK SC"/>
        <family val="2"/>
      </rPr>
      <t xml:space="preserve">なぜ自分の声だけ？録音で変に聞こえる本当の理由 </t>
    </r>
    <r>
      <rPr>
        <sz val="10"/>
        <rFont val="Arial"/>
        <family val="0"/>
        <charset val="1"/>
      </rPr>
      <t xml:space="preserve">#shorts #</t>
    </r>
    <r>
      <rPr>
        <sz val="10"/>
        <rFont val="Noto Sans CJK SC"/>
        <family val="2"/>
      </rPr>
      <t xml:space="preserve">ゆっくり解説</t>
    </r>
  </si>
  <si>
    <r>
      <rPr>
        <sz val="10"/>
        <rFont val="Noto Sans CJK SC"/>
        <family val="2"/>
      </rPr>
      <t xml:space="preserve">録音の声＝別人に聞こえる理由骨が音を変えていた！</t>
    </r>
    <r>
      <rPr>
        <sz val="10"/>
        <rFont val="Arial"/>
        <family val="0"/>
        <charset val="1"/>
      </rPr>
      <t xml:space="preserve">#</t>
    </r>
    <r>
      <rPr>
        <sz val="10"/>
        <rFont val="Noto Sans CJK SC"/>
        <family val="2"/>
      </rPr>
      <t xml:space="preserve">なぜ録音の自分の声だけ「別人」に聞こえるのか？耳の中で起きていること </t>
    </r>
    <r>
      <rPr>
        <sz val="10"/>
        <rFont val="Arial"/>
        <family val="0"/>
        <charset val="1"/>
      </rPr>
      <t xml:space="preserve">#shorts #</t>
    </r>
    <r>
      <rPr>
        <sz val="10"/>
        <rFont val="Noto Sans CJK SC"/>
        <family val="2"/>
      </rPr>
      <t xml:space="preserve">ゆっくり解説</t>
    </r>
  </si>
  <si>
    <t xml:space="preserve">体調が悪いときだけ甘いものが異常に食べたくなるのは、なぜか？【ショート】</t>
  </si>
  <si>
    <t xml:space="preserve">2026-07-06</t>
  </si>
  <si>
    <t xml:space="preserve">なぜ日中に眠気が襲ってくるの？意外な『あの要因』とは【ショート】</t>
  </si>
  <si>
    <r>
      <rPr>
        <sz val="10"/>
        <rFont val="Noto Sans CJK SC"/>
        <family val="2"/>
      </rPr>
      <t xml:space="preserve">実は、骨伝導がカギなんです！録音で声が変わる理由を解明！</t>
    </r>
    <r>
      <rPr>
        <sz val="10"/>
        <rFont val="Arial"/>
        <family val="0"/>
        <charset val="1"/>
      </rPr>
      <t xml:space="preserve">#</t>
    </r>
    <r>
      <rPr>
        <sz val="10"/>
        <rFont val="Noto Sans CJK SC"/>
        <family val="2"/>
      </rPr>
      <t xml:space="preserve">なぜ録音した自分の声は別人のように聞こえるのか？音の裏にある驚きの科学 </t>
    </r>
    <r>
      <rPr>
        <sz val="10"/>
        <rFont val="Arial"/>
        <family val="0"/>
        <charset val="1"/>
      </rPr>
      <t xml:space="preserve">#shorts #</t>
    </r>
    <r>
      <rPr>
        <sz val="10"/>
        <rFont val="Noto Sans CJK SC"/>
        <family val="2"/>
      </rPr>
      <t xml:space="preserve">ゆっくり解説</t>
    </r>
  </si>
  <si>
    <t xml:space="preserve">2026-07-07</t>
  </si>
  <si>
    <r>
      <rPr>
        <sz val="10"/>
        <rFont val="Noto Sans CJK SC"/>
        <family val="2"/>
      </rPr>
      <t xml:space="preserve">録音の声が別人すぎる理由骨伝導の謎を解明！</t>
    </r>
    <r>
      <rPr>
        <sz val="10"/>
        <rFont val="Arial"/>
        <family val="0"/>
        <charset val="1"/>
      </rPr>
      <t xml:space="preserve">#</t>
    </r>
    <r>
      <rPr>
        <sz val="10"/>
        <rFont val="Noto Sans CJK SC"/>
        <family val="2"/>
      </rPr>
      <t xml:space="preserve">なぜ録音の声は『別人』に聞こえるのか？実は骨伝導の意外すぎる仕組みが原因！ </t>
    </r>
    <r>
      <rPr>
        <sz val="10"/>
        <rFont val="Arial"/>
        <family val="0"/>
        <charset val="1"/>
      </rPr>
      <t xml:space="preserve">#shorts #</t>
    </r>
    <r>
      <rPr>
        <sz val="10"/>
        <rFont val="Noto Sans CJK SC"/>
        <family val="2"/>
      </rPr>
      <t xml:space="preserve">ゆっくり解説</t>
    </r>
  </si>
  <si>
    <r>
      <rPr>
        <sz val="10"/>
        <rFont val="Noto Sans CJK SC"/>
        <family val="2"/>
      </rPr>
      <t xml:space="preserve">録音した自分の声を聞いて驚いたことない？実は骨伝導が原因なんだ！</t>
    </r>
    <r>
      <rPr>
        <sz val="10"/>
        <rFont val="Arial"/>
        <family val="0"/>
        <charset val="1"/>
      </rPr>
      <t xml:space="preserve">#</t>
    </r>
    <r>
      <rPr>
        <sz val="10"/>
        <rFont val="Noto Sans CJK SC"/>
        <family val="2"/>
      </rPr>
      <t xml:space="preserve">録音した自分の声、なぜこんなに変？骨伝導が見せる意外すぎる真実 </t>
    </r>
    <r>
      <rPr>
        <sz val="10"/>
        <rFont val="Arial"/>
        <family val="0"/>
        <charset val="1"/>
      </rPr>
      <t xml:space="preserve">#shorts #</t>
    </r>
    <r>
      <rPr>
        <sz val="10"/>
        <rFont val="Noto Sans CJK SC"/>
        <family val="2"/>
      </rPr>
      <t xml:space="preserve">ゆっくり解説</t>
    </r>
  </si>
  <si>
    <t xml:space="preserve">お風呂上がりに眠くなるのって、実は体が『わざと』冷えようとしているせいだった【ショート】</t>
  </si>
  <si>
    <t xml:space="preserve">2026-07-08</t>
  </si>
  <si>
    <r>
      <rPr>
        <sz val="10"/>
        <rFont val="Noto Sans CJK SC"/>
        <family val="2"/>
      </rPr>
      <t xml:space="preserve">静寂のはずなのに…耳の中で音が生まれている</t>
    </r>
    <r>
      <rPr>
        <sz val="10"/>
        <rFont val="Arial"/>
        <family val="0"/>
        <charset val="1"/>
      </rPr>
      <t xml:space="preserve">#</t>
    </r>
    <r>
      <rPr>
        <sz val="10"/>
        <rFont val="Noto Sans CJK SC"/>
        <family val="2"/>
      </rPr>
      <t xml:space="preserve">なぜ静かな部屋でだけ耳鳴りがするのか？内耳で起きている『あの音』の正体 </t>
    </r>
    <r>
      <rPr>
        <sz val="10"/>
        <rFont val="Arial"/>
        <family val="0"/>
        <charset val="1"/>
      </rPr>
      <t xml:space="preserve">#shorts #</t>
    </r>
    <r>
      <rPr>
        <sz val="10"/>
        <rFont val="Noto Sans CJK SC"/>
        <family val="2"/>
      </rPr>
      <t xml:space="preserve">ゆっくり解説</t>
    </r>
  </si>
  <si>
    <r>
      <rPr>
        <sz val="10"/>
        <rFont val="Noto Sans CJK SC"/>
        <family val="2"/>
      </rPr>
      <t xml:space="preserve">耳鳴りの本当の正体衝撃の耳の構造</t>
    </r>
    <r>
      <rPr>
        <sz val="10"/>
        <rFont val="Arial"/>
        <family val="0"/>
        <charset val="1"/>
      </rPr>
      <t xml:space="preserve">#</t>
    </r>
    <r>
      <rPr>
        <sz val="10"/>
        <rFont val="Noto Sans CJK SC"/>
        <family val="2"/>
      </rPr>
      <t xml:space="preserve">なぜそれが聞こえる？耳鳴りの衝撃的理由と実は知らない耳の構造 </t>
    </r>
    <r>
      <rPr>
        <sz val="10"/>
        <rFont val="Arial"/>
        <family val="0"/>
        <charset val="1"/>
      </rPr>
      <t xml:space="preserve">#shorts #</t>
    </r>
    <r>
      <rPr>
        <sz val="10"/>
        <rFont val="Noto Sans CJK SC"/>
        <family val="2"/>
      </rPr>
      <t xml:space="preserve">ゆっくり解説</t>
    </r>
  </si>
  <si>
    <t xml:space="preserve">なぜ『あの日』の記憶だけ鮮明に残るのか？感情が脳に刻む痕跡の正体【ショート】</t>
  </si>
  <si>
    <t xml:space="preserve">2026-07-09</t>
  </si>
  <si>
    <r>
      <rPr>
        <sz val="10"/>
        <rFont val="Noto Sans CJK SC"/>
        <family val="2"/>
      </rPr>
      <t xml:space="preserve">録音の声が「別人」に聞こえる本当の理由実は骨が音を変えていた</t>
    </r>
    <r>
      <rPr>
        <sz val="10"/>
        <rFont val="Arial"/>
        <family val="0"/>
        <charset val="1"/>
      </rPr>
      <t xml:space="preserve">#</t>
    </r>
    <r>
      <rPr>
        <sz val="10"/>
        <rFont val="Noto Sans CJK SC"/>
        <family val="2"/>
      </rPr>
      <t xml:space="preserve">なぜ録音した自分の声はあんなに気持ち悪いのか？実は</t>
    </r>
    <r>
      <rPr>
        <sz val="10"/>
        <rFont val="Arial"/>
        <family val="0"/>
        <charset val="1"/>
      </rPr>
      <t xml:space="preserve">99%</t>
    </r>
    <r>
      <rPr>
        <sz val="10"/>
        <rFont val="Noto Sans CJK SC"/>
        <family val="2"/>
      </rPr>
      <t xml:space="preserve">の人が知らない耳の二重構造の正体 </t>
    </r>
    <r>
      <rPr>
        <sz val="10"/>
        <rFont val="Arial"/>
        <family val="0"/>
        <charset val="1"/>
      </rPr>
      <t xml:space="preserve">#shorts #</t>
    </r>
    <r>
      <rPr>
        <sz val="10"/>
        <rFont val="Noto Sans CJK SC"/>
        <family val="2"/>
      </rPr>
      <t xml:space="preserve">ゆっくり解説</t>
    </r>
  </si>
  <si>
    <r>
      <rPr>
        <sz val="10"/>
        <rFont val="Noto Sans CJK SC"/>
        <family val="2"/>
      </rPr>
      <t xml:space="preserve">録音の声＝別人</t>
    </r>
    <r>
      <rPr>
        <sz val="10"/>
        <rFont val="Arial"/>
        <family val="0"/>
        <charset val="1"/>
      </rPr>
      <t xml:space="preserve">!?</t>
    </r>
    <r>
      <rPr>
        <sz val="10"/>
        <rFont val="Noto Sans CJK SC"/>
        <family val="2"/>
      </rPr>
      <t xml:space="preserve">骨が音を変えていた</t>
    </r>
    <r>
      <rPr>
        <sz val="10"/>
        <rFont val="Arial"/>
        <family val="0"/>
        <charset val="1"/>
      </rPr>
      <t xml:space="preserve">#</t>
    </r>
    <r>
      <rPr>
        <sz val="10"/>
        <rFont val="Noto Sans CJK SC"/>
        <family val="2"/>
      </rPr>
      <t xml:space="preserve">なぜ録音した自分の声だけ別人みたいに聞こえるのか？実は</t>
    </r>
    <r>
      <rPr>
        <sz val="10"/>
        <rFont val="Arial"/>
        <family val="0"/>
        <charset val="1"/>
      </rPr>
      <t xml:space="preserve">99%</t>
    </r>
    <r>
      <rPr>
        <sz val="10"/>
        <rFont val="Noto Sans CJK SC"/>
        <family val="2"/>
      </rPr>
      <t xml:space="preserve">が知らない耳の秘密 </t>
    </r>
    <r>
      <rPr>
        <sz val="10"/>
        <rFont val="Arial"/>
        <family val="0"/>
        <charset val="1"/>
      </rPr>
      <t xml:space="preserve">#shorts #</t>
    </r>
    <r>
      <rPr>
        <sz val="10"/>
        <rFont val="Noto Sans CJK SC"/>
        <family val="2"/>
      </rPr>
      <t xml:space="preserve">ゆっくり解説</t>
    </r>
  </si>
  <si>
    <t xml:space="preserve">なぜ夢を見ているとき目が動く？知られざる『目の謎』【ショート】</t>
  </si>
  <si>
    <t xml:space="preserve">なぜあの日の痛みだけ、何年経っても忘れられないのか？【ショート】</t>
  </si>
  <si>
    <t xml:space="preserve">2026-07-10</t>
  </si>
  <si>
    <r>
      <rPr>
        <sz val="10"/>
        <rFont val="Noto Sans CJK SC"/>
        <family val="2"/>
      </rPr>
      <t xml:space="preserve">自分の声が録音だと別人に聞こえる？実は骨伝導が原因だった！</t>
    </r>
    <r>
      <rPr>
        <sz val="10"/>
        <rFont val="Arial"/>
        <family val="0"/>
        <charset val="1"/>
      </rPr>
      <t xml:space="preserve">#</t>
    </r>
    <r>
      <rPr>
        <sz val="10"/>
        <rFont val="Noto Sans CJK SC"/>
        <family val="2"/>
      </rPr>
      <t xml:space="preserve">なぜ自分の声は録音で別人に聞こえるのか？意外すぎる理由 </t>
    </r>
    <r>
      <rPr>
        <sz val="10"/>
        <rFont val="Arial"/>
        <family val="0"/>
        <charset val="1"/>
      </rPr>
      <t xml:space="preserve">#shorts #</t>
    </r>
    <r>
      <rPr>
        <sz val="10"/>
        <rFont val="Noto Sans CJK SC"/>
        <family val="2"/>
      </rPr>
      <t xml:space="preserve">ゆっくり解説</t>
    </r>
  </si>
  <si>
    <r>
      <rPr>
        <sz val="10"/>
        <rFont val="Noto Sans CJK SC"/>
        <family val="2"/>
      </rPr>
      <t xml:space="preserve">録音の声が違う？それは骨伝導が原因！</t>
    </r>
    <r>
      <rPr>
        <sz val="10"/>
        <rFont val="Arial"/>
        <family val="0"/>
        <charset val="1"/>
      </rPr>
      <t xml:space="preserve">#</t>
    </r>
    <r>
      <rPr>
        <sz val="10"/>
        <rFont val="Noto Sans CJK SC"/>
        <family val="2"/>
      </rPr>
      <t xml:space="preserve">録音した声が別人に聞こえる理由、実は骨伝導が原因だった！ </t>
    </r>
    <r>
      <rPr>
        <sz val="10"/>
        <rFont val="Arial"/>
        <family val="0"/>
        <charset val="1"/>
      </rPr>
      <t xml:space="preserve">#shorts #</t>
    </r>
    <r>
      <rPr>
        <sz val="10"/>
        <rFont val="Noto Sans CJK SC"/>
        <family val="2"/>
      </rPr>
      <t xml:space="preserve">ゆっくり解説</t>
    </r>
  </si>
  <si>
    <t xml:space="preserve">なぜか不自然？視覚が騙される瞬間の正体とは【ショート】</t>
  </si>
  <si>
    <t xml:space="preserve">2026-07-11</t>
  </si>
  <si>
    <r>
      <rPr>
        <sz val="10"/>
        <rFont val="Noto Sans CJK SC"/>
        <family val="2"/>
      </rPr>
      <t xml:space="preserve">録音の声＝本当の自分の声低音が約</t>
    </r>
    <r>
      <rPr>
        <sz val="10"/>
        <rFont val="Arial"/>
        <family val="0"/>
        <charset val="1"/>
      </rPr>
      <t xml:space="preserve">10dB</t>
    </r>
    <r>
      <rPr>
        <sz val="10"/>
        <rFont val="Noto Sans CJK SC"/>
        <family val="2"/>
      </rPr>
      <t xml:space="preserve">消える！</t>
    </r>
    <r>
      <rPr>
        <sz val="10"/>
        <rFont val="Arial"/>
        <family val="0"/>
        <charset val="1"/>
      </rPr>
      <t xml:space="preserve">#</t>
    </r>
    <r>
      <rPr>
        <sz val="10"/>
        <rFont val="Noto Sans CJK SC"/>
        <family val="2"/>
      </rPr>
      <t xml:space="preserve">録音した自分の声が別人みたいに聞こえる本当の理由——なぜか耳だけが知らない「もう一つの自分の声」 </t>
    </r>
    <r>
      <rPr>
        <sz val="10"/>
        <rFont val="Arial"/>
        <family val="0"/>
        <charset val="1"/>
      </rPr>
      <t xml:space="preserve">#shorts #</t>
    </r>
    <r>
      <rPr>
        <sz val="10"/>
        <rFont val="Noto Sans CJK SC"/>
        <family val="2"/>
      </rPr>
      <t xml:space="preserve">ゆっくり解説</t>
    </r>
  </si>
  <si>
    <r>
      <rPr>
        <sz val="10"/>
        <rFont val="Noto Sans CJK SC"/>
        <family val="2"/>
      </rPr>
      <t xml:space="preserve">録音で声が変わる理由とは？骨が関係するって知ってた？</t>
    </r>
    <r>
      <rPr>
        <sz val="10"/>
        <rFont val="Arial"/>
        <family val="0"/>
        <charset val="1"/>
      </rPr>
      <t xml:space="preserve">#</t>
    </r>
    <r>
      <rPr>
        <sz val="10"/>
        <rFont val="Noto Sans CJK SC"/>
        <family val="2"/>
      </rPr>
      <t xml:space="preserve">録音した自分の声が変に聞こえる本当の理由、実は骨の作用だった！ </t>
    </r>
    <r>
      <rPr>
        <sz val="10"/>
        <rFont val="Arial"/>
        <family val="0"/>
        <charset val="1"/>
      </rPr>
      <t xml:space="preserve">#shorts #</t>
    </r>
    <r>
      <rPr>
        <sz val="10"/>
        <rFont val="Noto Sans CJK SC"/>
        <family val="2"/>
      </rPr>
      <t xml:space="preserve">ゆっくり解説</t>
    </r>
  </si>
  <si>
    <t xml:space="preserve">なぜ夢を見ると疲れが残るのか？脳の意外な『働きすぎ』の実態【ショート】</t>
  </si>
  <si>
    <t xml:space="preserve">2026-07-12</t>
  </si>
  <si>
    <r>
      <rPr>
        <sz val="10"/>
        <rFont val="Noto Sans CJK SC"/>
        <family val="2"/>
      </rPr>
      <t xml:space="preserve">何もしてないのに…急にかゆくなる『本当の理由』</t>
    </r>
    <r>
      <rPr>
        <sz val="10"/>
        <rFont val="Arial"/>
        <family val="0"/>
        <charset val="1"/>
      </rPr>
      <t xml:space="preserve">#</t>
    </r>
    <r>
      <rPr>
        <sz val="10"/>
        <rFont val="Noto Sans CJK SC"/>
        <family val="2"/>
      </rPr>
      <t xml:space="preserve">なぜ何もしていないのに体が急にかゆくなるのか？ — 皮膚の『かゆみセンサー』の正体 </t>
    </r>
    <r>
      <rPr>
        <sz val="10"/>
        <rFont val="Arial"/>
        <family val="0"/>
        <charset val="1"/>
      </rPr>
      <t xml:space="preserve">#shorts #</t>
    </r>
    <r>
      <rPr>
        <sz val="10"/>
        <rFont val="Noto Sans CJK SC"/>
        <family val="2"/>
      </rPr>
      <t xml:space="preserve">ゆっくり解説</t>
    </r>
  </si>
  <si>
    <r>
      <rPr>
        <sz val="10"/>
        <rFont val="Noto Sans CJK SC"/>
        <family val="2"/>
      </rPr>
      <t xml:space="preserve">かゆい場所が選ばれてる</t>
    </r>
    <r>
      <rPr>
        <sz val="10"/>
        <rFont val="Arial"/>
        <family val="0"/>
        <charset val="1"/>
      </rPr>
      <t xml:space="preserve">!?#</t>
    </r>
    <r>
      <rPr>
        <sz val="10"/>
        <rFont val="Noto Sans CJK SC"/>
        <family val="2"/>
      </rPr>
      <t xml:space="preserve">突然のかゆみ、実は『皮膚の反乱』が起こっていた</t>
    </r>
    <r>
      <rPr>
        <sz val="10"/>
        <rFont val="Arial"/>
        <family val="0"/>
        <charset val="1"/>
      </rPr>
      <t xml:space="preserve">!? #</t>
    </r>
    <r>
      <rPr>
        <sz val="10"/>
        <rFont val="Noto Sans CJK SC"/>
        <family val="2"/>
      </rPr>
      <t xml:space="preserve">なぜかかる意外な理由 </t>
    </r>
    <r>
      <rPr>
        <sz val="10"/>
        <rFont val="Arial"/>
        <family val="0"/>
        <charset val="1"/>
      </rPr>
      <t xml:space="preserve">#shorts #</t>
    </r>
    <r>
      <rPr>
        <sz val="10"/>
        <rFont val="Noto Sans CJK SC"/>
        <family val="2"/>
      </rPr>
      <t xml:space="preserve">ゆっくり解説</t>
    </r>
  </si>
  <si>
    <t xml:space="preserve">2026-07-13</t>
  </si>
  <si>
    <r>
      <rPr>
        <sz val="10"/>
        <rFont val="Noto Sans CJK SC"/>
        <family val="2"/>
      </rPr>
      <t xml:space="preserve">耳が痛いとき、音が遠くなる理由</t>
    </r>
    <r>
      <rPr>
        <sz val="10"/>
        <rFont val="Arial"/>
        <family val="0"/>
        <charset val="1"/>
      </rPr>
      <t xml:space="preserve">99%</t>
    </r>
    <r>
      <rPr>
        <sz val="10"/>
        <rFont val="Noto Sans CJK SC"/>
        <family val="2"/>
      </rPr>
      <t xml:space="preserve">が知らない『内耳』の仕組み</t>
    </r>
    <r>
      <rPr>
        <sz val="10"/>
        <rFont val="Arial"/>
        <family val="0"/>
        <charset val="1"/>
      </rPr>
      <t xml:space="preserve">#</t>
    </r>
    <r>
      <rPr>
        <sz val="10"/>
        <rFont val="Noto Sans CJK SC"/>
        <family val="2"/>
      </rPr>
      <t xml:space="preserve">耳が痛いと音が聞こえにくくなるのは『内耳』のせいだった——鼓膜・耳小骨・蝸牛、</t>
    </r>
    <r>
      <rPr>
        <sz val="10"/>
        <rFont val="Arial"/>
        <family val="0"/>
        <charset val="1"/>
      </rPr>
      <t xml:space="preserve">3</t>
    </r>
    <r>
      <rPr>
        <sz val="10"/>
        <rFont val="Noto Sans CJK SC"/>
        <family val="2"/>
      </rPr>
      <t xml:space="preserve">段階の崩壊を知ってる？ </t>
    </r>
    <r>
      <rPr>
        <sz val="10"/>
        <rFont val="Arial"/>
        <family val="0"/>
        <charset val="1"/>
      </rPr>
      <t xml:space="preserve">#shorts #</t>
    </r>
    <r>
      <rPr>
        <sz val="10"/>
        <rFont val="Noto Sans CJK SC"/>
        <family val="2"/>
      </rPr>
      <t xml:space="preserve">ゆっくり解説</t>
    </r>
  </si>
  <si>
    <r>
      <rPr>
        <sz val="10"/>
        <rFont val="Noto Sans CJK SC"/>
        <family val="2"/>
      </rPr>
      <t xml:space="preserve">耳が痛いと音が…聞こえづらい理由は？</t>
    </r>
    <r>
      <rPr>
        <sz val="10"/>
        <rFont val="Arial"/>
        <family val="0"/>
        <charset val="1"/>
      </rPr>
      <t xml:space="preserve">#</t>
    </r>
    <r>
      <rPr>
        <sz val="10"/>
        <rFont val="Noto Sans CJK SC"/>
        <family val="2"/>
      </rPr>
      <t xml:space="preserve">なぜ耳が痛いと音が聞こえにくくなるのか？— 耳の構造と音の伝わり方の秘密 </t>
    </r>
    <r>
      <rPr>
        <sz val="10"/>
        <rFont val="Arial"/>
        <family val="0"/>
        <charset val="1"/>
      </rPr>
      <t xml:space="preserve">#shorts #</t>
    </r>
    <r>
      <rPr>
        <sz val="10"/>
        <rFont val="Noto Sans CJK SC"/>
        <family val="2"/>
      </rPr>
      <t xml:space="preserve">ゆっくり解説</t>
    </r>
  </si>
  <si>
    <t xml:space="preserve">なぜ疲れると体が冷えるのか？知られざるメカニズムが判明【ショート】</t>
  </si>
  <si>
    <t xml:space="preserve">2026-07-14</t>
  </si>
  <si>
    <r>
      <rPr>
        <sz val="10"/>
        <rFont val="Noto Sans CJK SC"/>
        <family val="2"/>
      </rPr>
      <t xml:space="preserve">体温</t>
    </r>
    <r>
      <rPr>
        <sz val="10"/>
        <rFont val="Arial"/>
        <family val="0"/>
        <charset val="1"/>
      </rPr>
      <t xml:space="preserve">1℃</t>
    </r>
    <r>
      <rPr>
        <sz val="10"/>
        <rFont val="Noto Sans CJK SC"/>
        <family val="2"/>
      </rPr>
      <t xml:space="preserve">で気分が変わる？</t>
    </r>
    <r>
      <rPr>
        <sz val="10"/>
        <rFont val="Arial"/>
        <family val="0"/>
        <charset val="1"/>
      </rPr>
      <t xml:space="preserve">99%</t>
    </r>
    <r>
      <rPr>
        <sz val="10"/>
        <rFont val="Noto Sans CJK SC"/>
        <family val="2"/>
      </rPr>
      <t xml:space="preserve">が知らない脳と体温の秘密</t>
    </r>
    <r>
      <rPr>
        <sz val="10"/>
        <rFont val="Arial"/>
        <family val="0"/>
        <charset val="1"/>
      </rPr>
      <t xml:space="preserve">#</t>
    </r>
    <r>
      <rPr>
        <sz val="10"/>
        <rFont val="Noto Sans CJK SC"/>
        <family val="2"/>
      </rPr>
      <t xml:space="preserve">体温が</t>
    </r>
    <r>
      <rPr>
        <sz val="10"/>
        <rFont val="Arial"/>
        <family val="0"/>
        <charset val="1"/>
      </rPr>
      <t xml:space="preserve">1℃</t>
    </r>
    <r>
      <rPr>
        <sz val="10"/>
        <rFont val="Noto Sans CJK SC"/>
        <family val="2"/>
      </rPr>
      <t xml:space="preserve">下がると「なぜか気分まで沈む」——脳と体温をつなぐ本当の仕組み </t>
    </r>
    <r>
      <rPr>
        <sz val="10"/>
        <rFont val="Arial"/>
        <family val="0"/>
        <charset val="1"/>
      </rPr>
      <t xml:space="preserve">#shorts #</t>
    </r>
    <r>
      <rPr>
        <sz val="10"/>
        <rFont val="Noto Sans CJK SC"/>
        <family val="2"/>
      </rPr>
      <t xml:space="preserve">ゆっくり解説</t>
    </r>
  </si>
  <si>
    <r>
      <rPr>
        <sz val="10"/>
        <rFont val="Noto Sans CJK SC"/>
        <family val="2"/>
      </rPr>
      <t xml:space="preserve">食後の眠気、実は脳への血流が食事直後に最大</t>
    </r>
    <r>
      <rPr>
        <sz val="10"/>
        <rFont val="Arial"/>
        <family val="0"/>
        <charset val="1"/>
      </rPr>
      <t xml:space="preserve">30%</t>
    </r>
    <r>
      <rPr>
        <sz val="10"/>
        <rFont val="Noto Sans CJK SC"/>
        <family val="2"/>
      </rPr>
      <t xml:space="preserve">も減っていた</t>
    </r>
    <r>
      <rPr>
        <sz val="10"/>
        <rFont val="Arial"/>
        <family val="0"/>
        <charset val="1"/>
      </rPr>
      <t xml:space="preserve">99%</t>
    </r>
    <r>
      <rPr>
        <sz val="10"/>
        <rFont val="Noto Sans CJK SC"/>
        <family val="2"/>
      </rPr>
      <t xml:space="preserve">が知らない「消化と睡眠」の驚くべき連鎖メカニズム</t>
    </r>
    <r>
      <rPr>
        <sz val="10"/>
        <rFont val="Arial"/>
        <family val="0"/>
        <charset val="1"/>
      </rPr>
      <t xml:space="preserve">#</t>
    </r>
    <r>
      <rPr>
        <sz val="10"/>
        <rFont val="Noto Sans CJK SC"/>
        <family val="2"/>
      </rPr>
      <t xml:space="preserve">食後に必ず眠くなるのはなぜ？血糖値だけじゃない、体が隠している本当の理由 </t>
    </r>
    <r>
      <rPr>
        <sz val="10"/>
        <rFont val="Arial"/>
        <family val="0"/>
        <charset val="1"/>
      </rPr>
      <t xml:space="preserve">#shor</t>
    </r>
  </si>
  <si>
    <t xml:space="preserve">2026-07-15</t>
  </si>
  <si>
    <r>
      <rPr>
        <sz val="10"/>
        <rFont val="Noto Sans CJK SC"/>
        <family val="2"/>
      </rPr>
      <t xml:space="preserve">走るたびに刺さる「あの痛み」の正体</t>
    </r>
    <r>
      <rPr>
        <sz val="10"/>
        <rFont val="Arial"/>
        <family val="0"/>
        <charset val="1"/>
      </rPr>
      <t xml:space="preserve">98%</t>
    </r>
    <r>
      <rPr>
        <sz val="10"/>
        <rFont val="Noto Sans CJK SC"/>
        <family val="2"/>
      </rPr>
      <t xml:space="preserve">のランナーが誤解している横腹痛の真実</t>
    </r>
    <r>
      <rPr>
        <sz val="10"/>
        <rFont val="Arial"/>
        <family val="0"/>
        <charset val="1"/>
      </rPr>
      <t xml:space="preserve">#</t>
    </r>
    <r>
      <rPr>
        <sz val="10"/>
        <rFont val="Noto Sans CJK SC"/>
        <family val="2"/>
      </rPr>
      <t xml:space="preserve">走ると横腹が痛くなる「本当の原因」、脾臓でも筋肉でもなかった </t>
    </r>
    <r>
      <rPr>
        <sz val="10"/>
        <rFont val="Arial"/>
        <family val="0"/>
        <charset val="1"/>
      </rPr>
      <t xml:space="preserve">#</t>
    </r>
    <r>
      <rPr>
        <sz val="10"/>
        <rFont val="Noto Sans CJK SC"/>
        <family val="2"/>
      </rPr>
      <t xml:space="preserve">横隔膜 </t>
    </r>
    <r>
      <rPr>
        <sz val="10"/>
        <rFont val="Arial"/>
        <family val="0"/>
        <charset val="1"/>
      </rPr>
      <t xml:space="preserve">#</t>
    </r>
    <r>
      <rPr>
        <sz val="10"/>
        <rFont val="Noto Sans CJK SC"/>
        <family val="2"/>
      </rPr>
      <t xml:space="preserve">運動科学 </t>
    </r>
    <r>
      <rPr>
        <sz val="10"/>
        <rFont val="Arial"/>
        <family val="0"/>
        <charset val="1"/>
      </rPr>
      <t xml:space="preserve">#shorts #</t>
    </r>
    <r>
      <rPr>
        <sz val="10"/>
        <rFont val="Noto Sans CJK SC"/>
        <family val="2"/>
      </rPr>
      <t xml:space="preserve">ゆっくり解説</t>
    </r>
  </si>
  <si>
    <r>
      <rPr>
        <sz val="10"/>
        <rFont val="Noto Sans CJK SC"/>
        <family val="2"/>
      </rPr>
      <t xml:space="preserve">知らない方が幸せだったかも実は耳が特別な共鳴をしている</t>
    </r>
    <r>
      <rPr>
        <sz val="10"/>
        <rFont val="Arial"/>
        <family val="0"/>
        <charset val="1"/>
      </rPr>
      <t xml:space="preserve">!#</t>
    </r>
    <r>
      <rPr>
        <sz val="10"/>
        <rFont val="Noto Sans CJK SC"/>
        <family val="2"/>
      </rPr>
      <t xml:space="preserve">なぜか耳を壊す</t>
    </r>
    <r>
      <rPr>
        <sz val="10"/>
        <rFont val="Arial"/>
        <family val="0"/>
        <charset val="1"/>
      </rPr>
      <t xml:space="preserve">!? </t>
    </r>
    <r>
      <rPr>
        <sz val="10"/>
        <rFont val="Noto Sans CJK SC"/>
        <family val="2"/>
      </rPr>
      <t xml:space="preserve">黒板の音が耐えられない科学的理由 </t>
    </r>
    <r>
      <rPr>
        <sz val="10"/>
        <rFont val="Arial"/>
        <family val="0"/>
        <charset val="1"/>
      </rPr>
      <t xml:space="preserve">#shorts #</t>
    </r>
    <r>
      <rPr>
        <sz val="10"/>
        <rFont val="Noto Sans CJK SC"/>
        <family val="2"/>
      </rPr>
      <t xml:space="preserve">ゆっくり解説</t>
    </r>
  </si>
  <si>
    <r>
      <rPr>
        <sz val="10"/>
        <rFont val="Noto Sans CJK SC"/>
        <family val="2"/>
      </rPr>
      <t xml:space="preserve">辛いものを食べると汗が出る、その『本当の理由』が脳の誤作動だった </t>
    </r>
    <r>
      <rPr>
        <sz val="10"/>
        <rFont val="Arial"/>
        <family val="0"/>
        <charset val="1"/>
      </rPr>
      <t xml:space="preserve">#</t>
    </r>
    <r>
      <rPr>
        <sz val="10"/>
        <rFont val="Noto Sans CJK SC"/>
        <family val="2"/>
      </rPr>
      <t xml:space="preserve">カプサイシン </t>
    </r>
    <r>
      <rPr>
        <sz val="10"/>
        <rFont val="Arial"/>
        <family val="0"/>
        <charset val="1"/>
      </rPr>
      <t xml:space="preserve">#TRPV1</t>
    </r>
    <r>
      <rPr>
        <sz val="10"/>
        <rFont val="Noto Sans CJK SC"/>
        <family val="2"/>
      </rPr>
      <t xml:space="preserve">受容体の罠【ショート】</t>
    </r>
  </si>
  <si>
    <t xml:space="preserve">2026-07-16</t>
  </si>
  <si>
    <r>
      <rPr>
        <sz val="10"/>
        <rFont val="Noto Sans CJK SC"/>
        <family val="2"/>
      </rPr>
      <t xml:space="preserve">髪を切っても痛くないのは死んだ細胞のせいだった！？</t>
    </r>
    <r>
      <rPr>
        <sz val="10"/>
        <rFont val="Arial"/>
        <family val="0"/>
        <charset val="1"/>
      </rPr>
      <t xml:space="preserve">#</t>
    </r>
    <r>
      <rPr>
        <sz val="10"/>
        <rFont val="Noto Sans CJK SC"/>
        <family val="2"/>
      </rPr>
      <t xml:space="preserve">なぜ髪の毛だけが痛くない？意外すぎる人体の秘密 </t>
    </r>
    <r>
      <rPr>
        <sz val="10"/>
        <rFont val="Arial"/>
        <family val="0"/>
        <charset val="1"/>
      </rPr>
      <t xml:space="preserve">#</t>
    </r>
    <r>
      <rPr>
        <sz val="10"/>
        <rFont val="Noto Sans CJK SC"/>
        <family val="2"/>
      </rPr>
      <t xml:space="preserve">髪の毛の謎 </t>
    </r>
    <r>
      <rPr>
        <sz val="10"/>
        <rFont val="Arial"/>
        <family val="0"/>
        <charset val="1"/>
      </rPr>
      <t xml:space="preserve">#shorts #</t>
    </r>
    <r>
      <rPr>
        <sz val="10"/>
        <rFont val="Noto Sans CJK SC"/>
        <family val="2"/>
      </rPr>
      <t xml:space="preserve">ゆっくり解説</t>
    </r>
  </si>
  <si>
    <r>
      <rPr>
        <sz val="10"/>
        <rFont val="Noto Sans CJK SC"/>
        <family val="2"/>
      </rPr>
      <t xml:space="preserve">くしゃみの瞬間、脳は『緊急モード』に入っていた時速</t>
    </r>
    <r>
      <rPr>
        <sz val="10"/>
        <rFont val="Arial"/>
        <family val="0"/>
        <charset val="1"/>
      </rPr>
      <t xml:space="preserve">160km</t>
    </r>
    <r>
      <rPr>
        <sz val="10"/>
        <rFont val="Noto Sans CJK SC"/>
        <family val="2"/>
      </rPr>
      <t xml:space="preserve">の爆風を体が生み出す理由</t>
    </r>
    <r>
      <rPr>
        <sz val="10"/>
        <rFont val="Arial"/>
        <family val="0"/>
        <charset val="1"/>
      </rPr>
      <t xml:space="preserve">#</t>
    </r>
    <r>
      <rPr>
        <sz val="10"/>
        <rFont val="Noto Sans CJK SC"/>
        <family val="2"/>
      </rPr>
      <t xml:space="preserve">くしゃみのとき、なぜか全身が震える——その</t>
    </r>
    <r>
      <rPr>
        <sz val="10"/>
        <rFont val="Arial"/>
        <family val="0"/>
        <charset val="1"/>
      </rPr>
      <t xml:space="preserve">0.5</t>
    </r>
    <r>
      <rPr>
        <sz val="10"/>
        <rFont val="Noto Sans CJK SC"/>
        <family val="2"/>
      </rPr>
      <t xml:space="preserve">秒に体で何が起きているのか？ </t>
    </r>
    <r>
      <rPr>
        <sz val="10"/>
        <rFont val="Arial"/>
        <family val="0"/>
        <charset val="1"/>
      </rPr>
      <t xml:space="preserve">#shorts #</t>
    </r>
    <r>
      <rPr>
        <sz val="10"/>
        <rFont val="Noto Sans CJK SC"/>
        <family val="2"/>
      </rPr>
      <t xml:space="preserve">ゆっくり解説</t>
    </r>
  </si>
  <si>
    <t xml:space="preserve">食事中に声を出すと、なぜか体が勝手に『恥ずかしい』と感じる本当の理由【ショート】</t>
  </si>
  <si>
    <t xml:space="preserve">2026-07-17</t>
  </si>
  <si>
    <r>
      <rPr>
        <sz val="10"/>
        <rFont val="Noto Sans CJK SC"/>
        <family val="2"/>
      </rPr>
      <t xml:space="preserve">夢の「数時間」は現実では何秒？脳が作り出す偽の時間の正体</t>
    </r>
    <r>
      <rPr>
        <sz val="10"/>
        <rFont val="Arial"/>
        <family val="0"/>
        <charset val="1"/>
      </rPr>
      <t xml:space="preserve">#</t>
    </r>
    <r>
      <rPr>
        <sz val="10"/>
        <rFont val="Noto Sans CJK SC"/>
        <family val="2"/>
      </rPr>
      <t xml:space="preserve">夢の中でいた「あの数時間」、実は現実では何秒だったのか？</t>
    </r>
    <r>
      <rPr>
        <sz val="10"/>
        <rFont val="Arial"/>
        <family val="0"/>
        <charset val="1"/>
      </rPr>
      <t xml:space="preserve">99%</t>
    </r>
    <r>
      <rPr>
        <sz val="10"/>
        <rFont val="Noto Sans CJK SC"/>
        <family val="2"/>
      </rPr>
      <t xml:space="preserve">が誤解している脳の時間感覚 </t>
    </r>
    <r>
      <rPr>
        <sz val="10"/>
        <rFont val="Arial"/>
        <family val="0"/>
        <charset val="1"/>
      </rPr>
      <t xml:space="preserve">#shorts #</t>
    </r>
    <r>
      <rPr>
        <sz val="10"/>
        <rFont val="Noto Sans CJK SC"/>
        <family val="2"/>
      </rPr>
      <t xml:space="preserve">ゆっくり解説</t>
    </r>
  </si>
  <si>
    <r>
      <rPr>
        <sz val="10"/>
        <rFont val="Noto Sans CJK SC"/>
        <family val="2"/>
      </rPr>
      <t xml:space="preserve">くしゃみ</t>
    </r>
    <r>
      <rPr>
        <sz val="10"/>
        <rFont val="Arial"/>
        <family val="0"/>
        <charset val="1"/>
      </rPr>
      <t xml:space="preserve">1</t>
    </r>
    <r>
      <rPr>
        <sz val="10"/>
        <rFont val="Noto Sans CJK SC"/>
        <family val="2"/>
      </rPr>
      <t xml:space="preserve">回で時速</t>
    </r>
    <r>
      <rPr>
        <sz val="10"/>
        <rFont val="Arial"/>
        <family val="0"/>
        <charset val="1"/>
      </rPr>
      <t xml:space="preserve">160km</t>
    </r>
    <r>
      <rPr>
        <sz val="10"/>
        <rFont val="Noto Sans CJK SC"/>
        <family val="2"/>
      </rPr>
      <t xml:space="preserve">の爆風が体内を駆け抜けるその</t>
    </r>
    <r>
      <rPr>
        <sz val="10"/>
        <rFont val="Arial"/>
        <family val="0"/>
        <charset val="1"/>
      </rPr>
      <t xml:space="preserve">0.5</t>
    </r>
    <r>
      <rPr>
        <sz val="10"/>
        <rFont val="Noto Sans CJK SC"/>
        <family val="2"/>
      </rPr>
      <t xml:space="preserve">秒間に脳と体に何が起きているのか？</t>
    </r>
    <r>
      <rPr>
        <sz val="10"/>
        <rFont val="Arial"/>
        <family val="0"/>
        <charset val="1"/>
      </rPr>
      <t xml:space="preserve">#</t>
    </r>
    <r>
      <rPr>
        <sz val="10"/>
        <rFont val="Noto Sans CJK SC"/>
        <family val="2"/>
      </rPr>
      <t xml:space="preserve">くしゃみの後、なぜか体がすっきりする「本当の理由」が</t>
    </r>
    <r>
      <rPr>
        <sz val="10"/>
        <rFont val="Arial"/>
        <family val="0"/>
        <charset val="1"/>
      </rPr>
      <t xml:space="preserve">99%</t>
    </r>
    <r>
      <rPr>
        <sz val="10"/>
        <rFont val="Noto Sans CJK SC"/>
        <family val="2"/>
      </rPr>
      <t xml:space="preserve">に知られていない件 </t>
    </r>
    <r>
      <rPr>
        <sz val="10"/>
        <rFont val="Arial"/>
        <family val="0"/>
        <charset val="1"/>
      </rPr>
      <t xml:space="preserve">#shorts #</t>
    </r>
    <r>
      <rPr>
        <sz val="10"/>
        <rFont val="Noto Sans CJK SC"/>
        <family val="2"/>
      </rPr>
      <t xml:space="preserve">ゆっく</t>
    </r>
  </si>
  <si>
    <r>
      <rPr>
        <sz val="10"/>
        <rFont val="Noto Sans CJK SC"/>
        <family val="2"/>
      </rPr>
      <t xml:space="preserve">赤ちゃんが笑うとき、脳の中で何が起きているのか？実は</t>
    </r>
    <r>
      <rPr>
        <sz val="10"/>
        <rFont val="Arial"/>
        <family val="0"/>
        <charset val="1"/>
      </rPr>
      <t xml:space="preserve">99%</t>
    </r>
    <r>
      <rPr>
        <sz val="10"/>
        <rFont val="Noto Sans CJK SC"/>
        <family val="2"/>
      </rPr>
      <t xml:space="preserve">の大人が知らない「笑い」の正体【ショート】</t>
    </r>
  </si>
  <si>
    <t xml:space="preserve">2026-07-18</t>
  </si>
  <si>
    <r>
      <rPr>
        <sz val="10"/>
        <rFont val="Arial"/>
        <family val="0"/>
        <charset val="1"/>
      </rPr>
      <t xml:space="preserve">99%</t>
    </r>
    <r>
      <rPr>
        <sz val="10"/>
        <rFont val="Noto Sans CJK SC"/>
        <family val="2"/>
      </rPr>
      <t xml:space="preserve">が勘違いしてるあの『鉄の味』の正体</t>
    </r>
    <r>
      <rPr>
        <sz val="10"/>
        <rFont val="Arial"/>
        <family val="0"/>
        <charset val="1"/>
      </rPr>
      <t xml:space="preserve">#</t>
    </r>
    <r>
      <rPr>
        <sz val="10"/>
        <rFont val="Noto Sans CJK SC"/>
        <family val="2"/>
      </rPr>
      <t xml:space="preserve">ステンレスのスプーンを舐めると鉄の味がする…でも実はスプーンから金属は</t>
    </r>
    <r>
      <rPr>
        <sz val="10"/>
        <rFont val="Arial"/>
        <family val="0"/>
        <charset val="1"/>
      </rPr>
      <t xml:space="preserve">1</t>
    </r>
    <r>
      <rPr>
        <sz val="10"/>
        <rFont val="Noto Sans CJK SC"/>
        <family val="2"/>
      </rPr>
      <t xml:space="preserve">ミリも溶け出していない </t>
    </r>
    <r>
      <rPr>
        <sz val="10"/>
        <rFont val="Arial"/>
        <family val="0"/>
        <charset val="1"/>
      </rPr>
      <t xml:space="preserve">#shorts #</t>
    </r>
    <r>
      <rPr>
        <sz val="10"/>
        <rFont val="Noto Sans CJK SC"/>
        <family val="2"/>
      </rPr>
      <t xml:space="preserve">ゆっくり解説</t>
    </r>
  </si>
  <si>
    <r>
      <rPr>
        <sz val="10"/>
        <rFont val="Arial"/>
        <family val="0"/>
        <charset val="1"/>
      </rPr>
      <t xml:space="preserve">99%</t>
    </r>
    <r>
      <rPr>
        <sz val="10"/>
        <rFont val="Noto Sans CJK SC"/>
        <family val="2"/>
      </rPr>
      <t xml:space="preserve">が知らないアイスクリーム頭痛の発動条件</t>
    </r>
    <r>
      <rPr>
        <sz val="10"/>
        <rFont val="Arial"/>
        <family val="0"/>
        <charset val="1"/>
      </rPr>
      <t xml:space="preserve">#</t>
    </r>
    <r>
      <rPr>
        <sz val="10"/>
        <rFont val="Noto Sans CJK SC"/>
        <family val="2"/>
      </rPr>
      <t xml:space="preserve">かき氷で頭がキーンとならない人がいる、その『差』の正体 </t>
    </r>
    <r>
      <rPr>
        <sz val="10"/>
        <rFont val="Arial"/>
        <family val="0"/>
        <charset val="1"/>
      </rPr>
      <t xml:space="preserve">#shorts #</t>
    </r>
    <r>
      <rPr>
        <sz val="10"/>
        <rFont val="Noto Sans CJK SC"/>
        <family val="2"/>
      </rPr>
      <t xml:space="preserve">ゆっくり解説</t>
    </r>
  </si>
  <si>
    <r>
      <rPr>
        <sz val="10"/>
        <rFont val="Noto Sans CJK SC"/>
        <family val="2"/>
      </rPr>
      <t xml:space="preserve">冬だけバチッとくるのは実は</t>
    </r>
    <r>
      <rPr>
        <sz val="10"/>
        <rFont val="Arial"/>
        <family val="0"/>
        <charset val="1"/>
      </rPr>
      <t xml:space="preserve">99%</t>
    </r>
    <r>
      <rPr>
        <sz val="10"/>
        <rFont val="Noto Sans CJK SC"/>
        <family val="2"/>
      </rPr>
      <t xml:space="preserve">が誤解してる、湿度</t>
    </r>
    <r>
      <rPr>
        <sz val="10"/>
        <rFont val="Arial"/>
        <family val="0"/>
        <charset val="1"/>
      </rPr>
      <t xml:space="preserve">30%</t>
    </r>
    <r>
      <rPr>
        <sz val="10"/>
        <rFont val="Noto Sans CJK SC"/>
        <family val="2"/>
      </rPr>
      <t xml:space="preserve">を境に電子の逃げ道が消える話【ショート】</t>
    </r>
  </si>
  <si>
    <t xml:space="preserve">2026-07-19</t>
  </si>
  <si>
    <r>
      <rPr>
        <sz val="10"/>
        <rFont val="Noto Sans CJK SC"/>
        <family val="2"/>
      </rPr>
      <t xml:space="preserve">視線を向けた瞬間、消える目の端だけが知っている</t>
    </r>
    <r>
      <rPr>
        <sz val="10"/>
        <rFont val="Arial"/>
        <family val="0"/>
        <charset val="1"/>
      </rPr>
      <t xml:space="preserve">#</t>
    </r>
    <r>
      <rPr>
        <sz val="10"/>
        <rFont val="Noto Sans CJK SC"/>
        <family val="2"/>
      </rPr>
      <t xml:space="preserve">目の端にいた『それ』が正面を向いたら消えた </t>
    </r>
    <r>
      <rPr>
        <sz val="10"/>
        <rFont val="Arial"/>
        <family val="0"/>
        <charset val="1"/>
      </rPr>
      <t xml:space="preserve">#</t>
    </r>
    <r>
      <rPr>
        <sz val="10"/>
        <rFont val="Noto Sans CJK SC"/>
        <family val="2"/>
      </rPr>
      <t xml:space="preserve">なぜ視線を動かすだけで見えなくなるのか？ </t>
    </r>
    <r>
      <rPr>
        <sz val="10"/>
        <rFont val="Arial"/>
        <family val="0"/>
        <charset val="1"/>
      </rPr>
      <t xml:space="preserve">#shorts #</t>
    </r>
    <r>
      <rPr>
        <sz val="10"/>
        <rFont val="Noto Sans CJK SC"/>
        <family val="2"/>
      </rPr>
      <t xml:space="preserve">ゆっくり解説</t>
    </r>
  </si>
  <si>
    <r>
      <rPr>
        <sz val="10"/>
        <rFont val="Noto Sans CJK SC"/>
        <family val="2"/>
      </rPr>
      <t xml:space="preserve">砂糖</t>
    </r>
    <r>
      <rPr>
        <sz val="10"/>
        <rFont val="Arial"/>
        <family val="0"/>
        <charset val="1"/>
      </rPr>
      <t xml:space="preserve">1g</t>
    </r>
    <r>
      <rPr>
        <sz val="10"/>
        <rFont val="Noto Sans CJK SC"/>
        <family val="2"/>
      </rPr>
      <t xml:space="preserve">が脳を動かすその快感、実は罠だった？</t>
    </r>
    <r>
      <rPr>
        <sz val="10"/>
        <rFont val="Arial"/>
        <family val="0"/>
        <charset val="1"/>
      </rPr>
      <t xml:space="preserve">#</t>
    </r>
    <r>
      <rPr>
        <sz val="10"/>
        <rFont val="Noto Sans CJK SC"/>
        <family val="2"/>
      </rPr>
      <t xml:space="preserve">甘いもの、食べると「なぜか」元気が出る </t>
    </r>
    <r>
      <rPr>
        <sz val="10"/>
        <rFont val="Arial"/>
        <family val="0"/>
        <charset val="1"/>
      </rPr>
      <t xml:space="preserve">#</t>
    </r>
    <r>
      <rPr>
        <sz val="10"/>
        <rFont val="Noto Sans CJK SC"/>
        <family val="2"/>
      </rPr>
      <t xml:space="preserve">脳が隠してた本当の理由とは？ </t>
    </r>
    <r>
      <rPr>
        <sz val="10"/>
        <rFont val="Arial"/>
        <family val="0"/>
        <charset val="1"/>
      </rPr>
      <t xml:space="preserve">#shorts #</t>
    </r>
    <r>
      <rPr>
        <sz val="10"/>
        <rFont val="Noto Sans CJK SC"/>
        <family val="2"/>
      </rPr>
      <t xml:space="preserve">ゆっくり解説</t>
    </r>
  </si>
  <si>
    <r>
      <rPr>
        <sz val="10"/>
        <rFont val="Noto Sans CJK SC"/>
        <family val="2"/>
      </rPr>
      <t xml:space="preserve">実は運動で脳内化学が変わる</t>
    </r>
    <r>
      <rPr>
        <sz val="10"/>
        <rFont val="Arial"/>
        <family val="0"/>
        <charset val="1"/>
      </rPr>
      <t xml:space="preserve">!? #</t>
    </r>
    <r>
      <rPr>
        <sz val="10"/>
        <rFont val="Noto Sans CJK SC"/>
        <family val="2"/>
      </rPr>
      <t xml:space="preserve">なぜ体を動かすと気分が良くなるの？ </t>
    </r>
    <r>
      <rPr>
        <sz val="10"/>
        <rFont val="Arial"/>
        <family val="0"/>
        <charset val="1"/>
      </rPr>
      <t xml:space="preserve">#</t>
    </r>
    <r>
      <rPr>
        <sz val="10"/>
        <rFont val="Noto Sans CJK SC"/>
        <family val="2"/>
      </rPr>
      <t xml:space="preserve">ゆっくり解説【ショート】</t>
    </r>
  </si>
  <si>
    <t xml:space="preserve">痛い記憶だけ、なぜか一生消えない——脳が『あの痛み』を特別扱いする本当の理由【ショート】</t>
  </si>
  <si>
    <t xml:space="preserve">2026-07-20</t>
  </si>
  <si>
    <r>
      <rPr>
        <sz val="10"/>
        <rFont val="Noto Sans CJK SC"/>
        <family val="2"/>
      </rPr>
      <t xml:space="preserve">夢の中、なぜか現実味があるのは</t>
    </r>
    <r>
      <rPr>
        <sz val="10"/>
        <rFont val="Arial"/>
        <family val="0"/>
        <charset val="1"/>
      </rPr>
      <t xml:space="preserve">?99%</t>
    </r>
    <r>
      <rPr>
        <sz val="10"/>
        <rFont val="Noto Sans CJK SC"/>
        <family val="2"/>
      </rPr>
      <t xml:space="preserve">が知らない脳のトリック</t>
    </r>
    <r>
      <rPr>
        <sz val="10"/>
        <rFont val="Arial"/>
        <family val="0"/>
        <charset val="1"/>
      </rPr>
      <t xml:space="preserve">!#</t>
    </r>
    <r>
      <rPr>
        <sz val="10"/>
        <rFont val="Noto Sans CJK SC"/>
        <family val="2"/>
      </rPr>
      <t xml:space="preserve">夢の中がリアルすぎる理由、</t>
    </r>
    <r>
      <rPr>
        <sz val="10"/>
        <rFont val="Arial"/>
        <family val="0"/>
        <charset val="1"/>
      </rPr>
      <t xml:space="preserve">99%</t>
    </r>
    <r>
      <rPr>
        <sz val="10"/>
        <rFont val="Noto Sans CJK SC"/>
        <family val="2"/>
      </rPr>
      <t xml:space="preserve">が知らない脳の不思議 </t>
    </r>
    <r>
      <rPr>
        <sz val="10"/>
        <rFont val="Arial"/>
        <family val="0"/>
        <charset val="1"/>
      </rPr>
      <t xml:space="preserve">#shorts #</t>
    </r>
    <r>
      <rPr>
        <sz val="10"/>
        <rFont val="Noto Sans CJK SC"/>
        <family val="2"/>
      </rPr>
      <t xml:space="preserve">ゆっくり解説</t>
    </r>
  </si>
  <si>
    <r>
      <rPr>
        <sz val="10"/>
        <rFont val="Noto Sans CJK SC"/>
        <family val="2"/>
      </rPr>
      <t xml:space="preserve">視覚がすべてじゃない</t>
    </r>
    <r>
      <rPr>
        <sz val="10"/>
        <rFont val="Arial"/>
        <family val="0"/>
        <charset val="1"/>
      </rPr>
      <t xml:space="preserve">?</t>
    </r>
    <r>
      <rPr>
        <sz val="10"/>
        <rFont val="Noto Sans CJK SC"/>
        <family val="2"/>
      </rPr>
      <t xml:space="preserve">驚くべき目のメカニズム</t>
    </r>
    <r>
      <rPr>
        <sz val="10"/>
        <rFont val="Arial"/>
        <family val="0"/>
        <charset val="1"/>
      </rPr>
      <t xml:space="preserve">#</t>
    </r>
    <r>
      <rPr>
        <sz val="10"/>
        <rFont val="Noto Sans CJK SC"/>
        <family val="2"/>
      </rPr>
      <t xml:space="preserve">なぜ目の前の映像がぼやけるのか？</t>
    </r>
    <r>
      <rPr>
        <sz val="10"/>
        <rFont val="Arial"/>
        <family val="0"/>
        <charset val="1"/>
      </rPr>
      <t xml:space="preserve">99%</t>
    </r>
    <r>
      <rPr>
        <sz val="10"/>
        <rFont val="Noto Sans CJK SC"/>
        <family val="2"/>
      </rPr>
      <t xml:space="preserve">が知らない目の秘密 </t>
    </r>
    <r>
      <rPr>
        <sz val="10"/>
        <rFont val="Arial"/>
        <family val="0"/>
        <charset val="1"/>
      </rPr>
      <t xml:space="preserve">#shorts #</t>
    </r>
    <r>
      <rPr>
        <sz val="10"/>
        <rFont val="Noto Sans CJK SC"/>
        <family val="2"/>
      </rPr>
      <t xml:space="preserve">ゆっくり解説</t>
    </r>
  </si>
  <si>
    <t xml:space="preserve">2026-07-23</t>
  </si>
  <si>
    <r>
      <rPr>
        <sz val="10"/>
        <rFont val="Noto Sans CJK SC"/>
        <family val="2"/>
      </rPr>
      <t xml:space="preserve">知らない方がよかったかも食べ物の匂いが記憶を蘇らせる理由</t>
    </r>
    <r>
      <rPr>
        <sz val="10"/>
        <rFont val="Arial"/>
        <family val="0"/>
        <charset val="1"/>
      </rPr>
      <t xml:space="preserve">#</t>
    </r>
    <r>
      <rPr>
        <sz val="10"/>
        <rFont val="Noto Sans CJK SC"/>
        <family val="2"/>
      </rPr>
      <t xml:space="preserve">なぜ食べ物の匂いで記憶が蘇る？意外な脳の秘密 </t>
    </r>
    <r>
      <rPr>
        <sz val="10"/>
        <rFont val="Arial"/>
        <family val="0"/>
        <charset val="1"/>
      </rPr>
      <t xml:space="preserve">#shorts #</t>
    </r>
    <r>
      <rPr>
        <sz val="10"/>
        <rFont val="Noto Sans CJK SC"/>
        <family val="2"/>
      </rPr>
      <t xml:space="preserve">ゆっくり解説</t>
    </r>
  </si>
  <si>
    <r>
      <rPr>
        <sz val="10"/>
        <color rgb="FFA6A6A6"/>
        <rFont val="Noto Sans CJK SC"/>
        <family val="2"/>
      </rPr>
      <t xml:space="preserve">なぜ「あの音」で体が緩む？脳が隠していた本当の理由</t>
    </r>
    <r>
      <rPr>
        <sz val="10"/>
        <color rgb="FFA6A6A6"/>
        <rFont val="Arial"/>
        <family val="0"/>
        <charset val="1"/>
      </rPr>
      <t xml:space="preserve">#</t>
    </r>
    <r>
      <rPr>
        <sz val="10"/>
        <color rgb="FFA6A6A6"/>
        <rFont val="Noto Sans CJK SC"/>
        <family val="2"/>
      </rPr>
      <t xml:space="preserve">なぜ「あの音」を聴くだけで体が勝手に緩むのか？脳が隠していた本当のメカニズム </t>
    </r>
    <r>
      <rPr>
        <sz val="10"/>
        <color rgb="FFA6A6A6"/>
        <rFont val="Arial"/>
        <family val="0"/>
        <charset val="1"/>
      </rPr>
      <t xml:space="preserve">#shorts #</t>
    </r>
    <r>
      <rPr>
        <sz val="10"/>
        <color rgb="FFA6A6A6"/>
        <rFont val="Noto Sans CJK SC"/>
        <family val="2"/>
      </rPr>
      <t xml:space="preserve">ゆっくり解説</t>
    </r>
  </si>
  <si>
    <r>
      <rPr>
        <sz val="10"/>
        <color rgb="FFA6A6A6"/>
        <rFont val="Arial"/>
        <family val="0"/>
        <charset val="1"/>
      </rPr>
      <t xml:space="preserve">99%</t>
    </r>
    <r>
      <rPr>
        <sz val="10"/>
        <color rgb="FFA6A6A6"/>
        <rFont val="Noto Sans CJK SC"/>
        <family val="2"/>
      </rPr>
      <t xml:space="preserve">の人が知らない</t>
    </r>
    <r>
      <rPr>
        <sz val="10"/>
        <color rgb="FFA6A6A6"/>
        <rFont val="Arial"/>
        <family val="0"/>
        <charset val="1"/>
      </rPr>
      <t xml:space="preserve">! </t>
    </r>
    <r>
      <rPr>
        <sz val="10"/>
        <color rgb="FFA6A6A6"/>
        <rFont val="Noto Sans CJK SC"/>
        <family val="2"/>
      </rPr>
      <t xml:space="preserve">なぜ体がかゆくなるのか？その正体を暴く【ショート】</t>
    </r>
  </si>
  <si>
    <t xml:space="preserve">2026-07-24</t>
  </si>
  <si>
    <r>
      <rPr>
        <sz val="10"/>
        <color rgb="FFA6A6A6"/>
        <rFont val="Noto Sans CJK SC"/>
        <family val="2"/>
      </rPr>
      <t xml:space="preserve">夢の中で音を感じる理由実は脳が作り出した</t>
    </r>
    <r>
      <rPr>
        <sz val="10"/>
        <color rgb="FFA6A6A6"/>
        <rFont val="Arial"/>
        <family val="0"/>
        <charset val="1"/>
      </rPr>
      <t xml:space="preserve">!?#99%</t>
    </r>
    <r>
      <rPr>
        <sz val="10"/>
        <color rgb="FFA6A6A6"/>
        <rFont val="Noto Sans CJK SC"/>
        <family val="2"/>
      </rPr>
      <t xml:space="preserve">が知らない夢の『音』の正体 </t>
    </r>
    <r>
      <rPr>
        <sz val="10"/>
        <color rgb="FFA6A6A6"/>
        <rFont val="Arial"/>
        <family val="0"/>
        <charset val="1"/>
      </rPr>
      <t xml:space="preserve">#shorts #</t>
    </r>
    <r>
      <rPr>
        <sz val="10"/>
        <color rgb="FFA6A6A6"/>
        <rFont val="Noto Sans CJK SC"/>
        <family val="2"/>
      </rPr>
      <t xml:space="preserve">ゆっくり解説</t>
    </r>
  </si>
  <si>
    <r>
      <rPr>
        <sz val="10"/>
        <color rgb="FFA6A6A6"/>
        <rFont val="Noto Sans CJK SC"/>
        <family val="2"/>
      </rPr>
      <t xml:space="preserve">あくびが「うつる」のは気のせいじゃない</t>
    </r>
    <r>
      <rPr>
        <sz val="10"/>
        <color rgb="FFA6A6A6"/>
        <rFont val="Arial"/>
        <family val="0"/>
        <charset val="1"/>
      </rPr>
      <t xml:space="preserve">99%</t>
    </r>
    <r>
      <rPr>
        <sz val="10"/>
        <color rgb="FFA6A6A6"/>
        <rFont val="Noto Sans CJK SC"/>
        <family val="2"/>
      </rPr>
      <t xml:space="preserve">が知らない脳の正体</t>
    </r>
    <r>
      <rPr>
        <sz val="10"/>
        <color rgb="FFA6A6A6"/>
        <rFont val="Arial"/>
        <family val="0"/>
        <charset val="1"/>
      </rPr>
      <t xml:space="preserve">#</t>
    </r>
    <r>
      <rPr>
        <sz val="10"/>
        <color rgb="FFA6A6A6"/>
        <rFont val="Noto Sans CJK SC"/>
        <family val="2"/>
      </rPr>
      <t xml:space="preserve">あくびが「うつる」のは気のせいじゃない——</t>
    </r>
    <r>
      <rPr>
        <sz val="10"/>
        <color rgb="FFA6A6A6"/>
        <rFont val="Arial"/>
        <family val="0"/>
        <charset val="1"/>
      </rPr>
      <t xml:space="preserve">99%</t>
    </r>
    <r>
      <rPr>
        <sz val="10"/>
        <color rgb="FFA6A6A6"/>
        <rFont val="Noto Sans CJK SC"/>
        <family val="2"/>
      </rPr>
      <t xml:space="preserve">が知らない脳の同調メカニズムの正体 </t>
    </r>
    <r>
      <rPr>
        <sz val="10"/>
        <color rgb="FFA6A6A6"/>
        <rFont val="Arial"/>
        <family val="0"/>
        <charset val="1"/>
      </rPr>
      <t xml:space="preserve">#shorts #</t>
    </r>
    <r>
      <rPr>
        <sz val="10"/>
        <color rgb="FFA6A6A6"/>
        <rFont val="Noto Sans CJK SC"/>
        <family val="2"/>
      </rPr>
      <t xml:space="preserve">ゆっくり解説</t>
    </r>
  </si>
  <si>
    <r>
      <rPr>
        <sz val="10"/>
        <color rgb="FFA6A6A6"/>
        <rFont val="Noto Sans CJK SC"/>
        <family val="2"/>
      </rPr>
      <t xml:space="preserve">くしゃみの瞬間、目の前が光る——</t>
    </r>
    <r>
      <rPr>
        <sz val="10"/>
        <color rgb="FFA6A6A6"/>
        <rFont val="Arial"/>
        <family val="0"/>
        <charset val="1"/>
      </rPr>
      <t xml:space="preserve">99%</t>
    </r>
    <r>
      <rPr>
        <sz val="10"/>
        <color rgb="FFA6A6A6"/>
        <rFont val="Noto Sans CJK SC"/>
        <family val="2"/>
      </rPr>
      <t xml:space="preserve">が知らないその</t>
    </r>
    <r>
      <rPr>
        <sz val="10"/>
        <color rgb="FFA6A6A6"/>
        <rFont val="Arial"/>
        <family val="0"/>
        <charset val="1"/>
      </rPr>
      <t xml:space="preserve">0.5</t>
    </r>
    <r>
      <rPr>
        <sz val="10"/>
        <color rgb="FFA6A6A6"/>
        <rFont val="Noto Sans CJK SC"/>
        <family val="2"/>
      </rPr>
      <t xml:space="preserve">秒に体で何が起きているのか？【ショート】</t>
    </r>
  </si>
  <si>
    <t xml:space="preserve">2026-07-25</t>
  </si>
  <si>
    <r>
      <rPr>
        <sz val="10"/>
        <color rgb="FFA6A6A6"/>
        <rFont val="Noto Sans CJK SC"/>
        <family val="2"/>
      </rPr>
      <t xml:space="preserve">免疫反応が体をダルくする！風邪の真相は意外な〇〇だった？</t>
    </r>
    <r>
      <rPr>
        <sz val="10"/>
        <color rgb="FFA6A6A6"/>
        <rFont val="Arial"/>
        <family val="0"/>
        <charset val="1"/>
      </rPr>
      <t xml:space="preserve">#</t>
    </r>
    <r>
      <rPr>
        <sz val="10"/>
        <color rgb="FFA6A6A6"/>
        <rFont val="Noto Sans CJK SC"/>
        <family val="2"/>
      </rPr>
      <t xml:space="preserve">風邪を引くと体がだるすぎる</t>
    </r>
    <r>
      <rPr>
        <sz val="10"/>
        <color rgb="FFA6A6A6"/>
        <rFont val="Arial"/>
        <family val="0"/>
        <charset val="1"/>
      </rPr>
      <t xml:space="preserve">!? </t>
    </r>
    <r>
      <rPr>
        <sz val="10"/>
        <color rgb="FFA6A6A6"/>
        <rFont val="Noto Sans CJK SC"/>
        <family val="2"/>
      </rPr>
      <t xml:space="preserve">その意外な原因を徹底解明 </t>
    </r>
    <r>
      <rPr>
        <sz val="10"/>
        <color rgb="FFA6A6A6"/>
        <rFont val="Arial"/>
        <family val="0"/>
        <charset val="1"/>
      </rPr>
      <t xml:space="preserve">#shorts #</t>
    </r>
    <r>
      <rPr>
        <sz val="10"/>
        <color rgb="FFA6A6A6"/>
        <rFont val="Noto Sans CJK SC"/>
        <family val="2"/>
      </rPr>
      <t xml:space="preserve">ゆっくり解説</t>
    </r>
  </si>
  <si>
    <r>
      <rPr>
        <sz val="10"/>
        <color rgb="FFA6A6A6"/>
        <rFont val="Noto Sans CJK SC"/>
        <family val="2"/>
      </rPr>
      <t xml:space="preserve">耳鳴り中に特定の音が突き刺さる理由、知ってる？</t>
    </r>
    <r>
      <rPr>
        <sz val="10"/>
        <color rgb="FFA6A6A6"/>
        <rFont val="Arial"/>
        <family val="0"/>
        <charset val="1"/>
      </rPr>
      <t xml:space="preserve">#</t>
    </r>
    <r>
      <rPr>
        <sz val="10"/>
        <color rgb="FFA6A6A6"/>
        <rFont val="Noto Sans CJK SC"/>
        <family val="2"/>
      </rPr>
      <t xml:space="preserve">耳鳴りのとき、なぜか特定の音だけが異様に気になる——</t>
    </r>
    <r>
      <rPr>
        <sz val="10"/>
        <color rgb="FFA6A6A6"/>
        <rFont val="Arial"/>
        <family val="0"/>
        <charset val="1"/>
      </rPr>
      <t xml:space="preserve">99%</t>
    </r>
    <r>
      <rPr>
        <sz val="10"/>
        <color rgb="FFA6A6A6"/>
        <rFont val="Noto Sans CJK SC"/>
        <family val="2"/>
      </rPr>
      <t xml:space="preserve">が知らない聴覚の正体 </t>
    </r>
    <r>
      <rPr>
        <sz val="10"/>
        <color rgb="FFA6A6A6"/>
        <rFont val="Arial"/>
        <family val="0"/>
        <charset val="1"/>
      </rPr>
      <t xml:space="preserve">#shorts #</t>
    </r>
    <r>
      <rPr>
        <sz val="10"/>
        <color rgb="FFA6A6A6"/>
        <rFont val="Noto Sans CJK SC"/>
        <family val="2"/>
      </rPr>
      <t xml:space="preserve">ゆっくり解説</t>
    </r>
  </si>
  <si>
    <t xml:space="preserve">耳が急に詰まる感覚、実は鼓膜の内側で起きているある現象の正体【ショート】</t>
  </si>
  <si>
    <t xml:space="preserve">2026-07-26</t>
  </si>
  <si>
    <r>
      <rPr>
        <sz val="10"/>
        <color rgb="FFA6A6A6"/>
        <rFont val="Noto Sans CJK SC"/>
        <family val="2"/>
      </rPr>
      <t xml:space="preserve">音が消えるのは鼓膜のせいじゃない耳の中で水が起こす『物理的封鎖』の正体</t>
    </r>
    <r>
      <rPr>
        <sz val="10"/>
        <color rgb="FFA6A6A6"/>
        <rFont val="Arial"/>
        <family val="0"/>
        <charset val="1"/>
      </rPr>
      <t xml:space="preserve">#</t>
    </r>
    <r>
      <rPr>
        <sz val="10"/>
        <color rgb="FFA6A6A6"/>
        <rFont val="Noto Sans CJK SC"/>
        <family val="2"/>
      </rPr>
      <t xml:space="preserve">耳に水が入ると音が消える？実は鼓膜より手前で起きている『あの現象』の正体 </t>
    </r>
    <r>
      <rPr>
        <sz val="10"/>
        <color rgb="FFA6A6A6"/>
        <rFont val="Arial"/>
        <family val="0"/>
        <charset val="1"/>
      </rPr>
      <t xml:space="preserve">#shorts #</t>
    </r>
    <r>
      <rPr>
        <sz val="10"/>
        <color rgb="FFA6A6A6"/>
        <rFont val="Noto Sans CJK SC"/>
        <family val="2"/>
      </rPr>
      <t xml:space="preserve">ゆっくり解説</t>
    </r>
  </si>
  <si>
    <r>
      <rPr>
        <sz val="10"/>
        <color rgb="FFA6A6A6"/>
        <rFont val="Noto Sans CJK SC"/>
        <family val="2"/>
      </rPr>
      <t xml:space="preserve">昼寝したのになぜ余計しんどい？脳の</t>
    </r>
    <r>
      <rPr>
        <sz val="10"/>
        <color rgb="FFA6A6A6"/>
        <rFont val="Arial"/>
        <family val="0"/>
        <charset val="1"/>
      </rPr>
      <t xml:space="preserve">90</t>
    </r>
    <r>
      <rPr>
        <sz val="10"/>
        <color rgb="FFA6A6A6"/>
        <rFont val="Noto Sans CJK SC"/>
        <family val="2"/>
      </rPr>
      <t xml:space="preserve">分サイクルが引き起こす『睡眠慣性』の罠</t>
    </r>
    <r>
      <rPr>
        <sz val="10"/>
        <color rgb="FFA6A6A6"/>
        <rFont val="Arial"/>
        <family val="0"/>
        <charset val="1"/>
      </rPr>
      <t xml:space="preserve">#</t>
    </r>
    <r>
      <rPr>
        <sz val="10"/>
        <color rgb="FFA6A6A6"/>
        <rFont val="Noto Sans CJK SC"/>
        <family val="2"/>
      </rPr>
      <t xml:space="preserve">昼寝後にだるいのは睡眠のせいじゃない——脳が</t>
    </r>
    <r>
      <rPr>
        <sz val="10"/>
        <color rgb="FFA6A6A6"/>
        <rFont val="Arial"/>
        <family val="0"/>
        <charset val="1"/>
      </rPr>
      <t xml:space="preserve">90</t>
    </r>
    <r>
      <rPr>
        <sz val="10"/>
        <color rgb="FFA6A6A6"/>
        <rFont val="Noto Sans CJK SC"/>
        <family val="2"/>
      </rPr>
      <t xml:space="preserve">分ごとに起こしている『ある現象』の正体 </t>
    </r>
    <r>
      <rPr>
        <sz val="10"/>
        <color rgb="FFA6A6A6"/>
        <rFont val="Arial"/>
        <family val="0"/>
        <charset val="1"/>
      </rPr>
      <t xml:space="preserve">#shorts #</t>
    </r>
    <r>
      <rPr>
        <sz val="10"/>
        <color rgb="FFA6A6A6"/>
        <rFont val="Noto Sans CJK SC"/>
        <family val="2"/>
      </rPr>
      <t xml:space="preserve">ゆっくり解説</t>
    </r>
  </si>
  <si>
    <t xml:space="preserve">なぜ運動で気分がスッキリする？実は脳内で『あの物質』が暴走中！【ショート】</t>
  </si>
  <si>
    <t xml:space="preserve">2026-07-28</t>
  </si>
  <si>
    <t xml:space="preserve">食欲を操る色の魔法！なぜ『色』が食欲に影響を与えるのか？【ショート】</t>
  </si>
  <si>
    <t xml:space="preserve">2026-07-29</t>
  </si>
  <si>
    <t xml:space="preserve">なぜ昼寝中の夢は現実と激しく違う？科学が解明する『夢の仕組み』【ショート】</t>
  </si>
  <si>
    <t xml:space="preserve">2026-07-31</t>
  </si>
  <si>
    <t xml:space="preserve">なぜ目の奥が痛くなる？実はそこに『隠された理由』があるんです【ショート】</t>
  </si>
  <si>
    <t xml:space="preserve">2026-08-01</t>
  </si>
  <si>
    <t xml:space="preserve">耳鳴りの瞬間、なぜ突然やってくる？その意外な原因とは【ショート】</t>
  </si>
  <si>
    <r>
      <rPr>
        <sz val="10"/>
        <rFont val="Noto Sans CJK SC"/>
        <family val="2"/>
      </rPr>
      <t xml:space="preserve">なぜ毎晩</t>
    </r>
    <r>
      <rPr>
        <sz val="10"/>
        <rFont val="Arial"/>
        <family val="0"/>
        <charset val="1"/>
      </rPr>
      <t xml:space="preserve">3</t>
    </r>
    <r>
      <rPr>
        <sz val="10"/>
        <rFont val="Noto Sans CJK SC"/>
        <family val="2"/>
      </rPr>
      <t xml:space="preserve">時に目が覚める？体内時計が仕掛ける意外な罠【ショート】</t>
    </r>
  </si>
  <si>
    <r>
      <rPr>
        <sz val="10"/>
        <rFont val="Noto Sans CJK SC"/>
        <family val="2"/>
      </rPr>
      <t xml:space="preserve">なぜ毎晩</t>
    </r>
    <r>
      <rPr>
        <sz val="10"/>
        <rFont val="Arial"/>
        <family val="0"/>
        <charset val="1"/>
      </rPr>
      <t xml:space="preserve">3</t>
    </r>
    <r>
      <rPr>
        <sz val="10"/>
        <rFont val="Noto Sans CJK SC"/>
        <family val="2"/>
      </rPr>
      <t xml:space="preserve">時に目が覚める？体内時計が仕掛ける意外な罠</t>
    </r>
  </si>
  <si>
    <t xml:space="preserve">2026-08-02</t>
  </si>
  <si>
    <r>
      <rPr>
        <sz val="10"/>
        <color rgb="FFA6A6A6"/>
        <rFont val="Noto Sans CJK SC"/>
        <family val="2"/>
      </rPr>
      <t xml:space="preserve">なぜ日中の疲れで耳鳴りが悪化する？</t>
    </r>
    <r>
      <rPr>
        <sz val="10"/>
        <color rgb="FFA6A6A6"/>
        <rFont val="Arial"/>
        <family val="0"/>
        <charset val="1"/>
      </rPr>
      <t xml:space="preserve">99%</t>
    </r>
    <r>
      <rPr>
        <sz val="10"/>
        <color rgb="FFA6A6A6"/>
        <rFont val="Noto Sans CJK SC"/>
        <family val="2"/>
      </rPr>
      <t xml:space="preserve">が知らない体の『裏モード』の正体【ショート】</t>
    </r>
  </si>
  <si>
    <r>
      <rPr>
        <sz val="10"/>
        <rFont val="Noto Sans CJK SC"/>
        <family val="2"/>
      </rPr>
      <t xml:space="preserve">なぜ金縛りは『仰向け』で</t>
    </r>
    <r>
      <rPr>
        <sz val="10"/>
        <rFont val="Arial"/>
        <family val="0"/>
        <charset val="1"/>
      </rPr>
      <t xml:space="preserve">2</t>
    </r>
    <r>
      <rPr>
        <sz val="10"/>
        <rFont val="Noto Sans CJK SC"/>
        <family val="2"/>
      </rPr>
      <t xml:space="preserve">倍も起きやすい？体勢で激変する眠りの謎【ショート】</t>
    </r>
  </si>
  <si>
    <t xml:space="preserve">2026-08-03</t>
  </si>
  <si>
    <t xml:space="preserve">なぜ浅い眠りの夜は脳がぼんやり？記憶力が激変する『睡眠の深さ』の正体【ショート】</t>
  </si>
  <si>
    <t xml:space="preserve">2026-08-04</t>
  </si>
  <si>
    <r>
      <rPr>
        <sz val="10"/>
        <rFont val="Noto Sans CJK SC"/>
        <family val="2"/>
      </rPr>
      <t xml:space="preserve">夢の中で急に気づく『これ夢だ』の正体</t>
    </r>
    <r>
      <rPr>
        <sz val="10"/>
        <rFont val="Arial"/>
        <family val="0"/>
        <charset val="1"/>
      </rPr>
      <t xml:space="preserve">#</t>
    </r>
    <r>
      <rPr>
        <sz val="10"/>
        <rFont val="Noto Sans CJK SC"/>
        <family val="2"/>
      </rPr>
      <t xml:space="preserve">夢の中で『あ、これ夢だ』って気づく瞬間、脳の中で何が起きてるか知ってる？ </t>
    </r>
    <r>
      <rPr>
        <sz val="10"/>
        <rFont val="Arial"/>
        <family val="0"/>
        <charset val="1"/>
      </rPr>
      <t xml:space="preserve">#shorts #</t>
    </r>
    <r>
      <rPr>
        <sz val="10"/>
        <rFont val="Noto Sans CJK SC"/>
        <family val="2"/>
      </rPr>
      <t xml:space="preserve">ゆっくり解説</t>
    </r>
  </si>
  <si>
    <t xml:space="preserve">名前だけ出てこないのはなぜ？頭にあるのに言えない「あの人」の正体【ショート】</t>
  </si>
  <si>
    <r>
      <rPr>
        <sz val="10"/>
        <rFont val="Noto Sans CJK SC"/>
        <family val="2"/>
      </rPr>
      <t xml:space="preserve">目が開いてるのに状況が分からない謎の数秒</t>
    </r>
    <r>
      <rPr>
        <sz val="10"/>
        <rFont val="Arial"/>
        <family val="0"/>
        <charset val="1"/>
      </rPr>
      <t xml:space="preserve">#</t>
    </r>
    <r>
      <rPr>
        <sz val="10"/>
        <rFont val="Noto Sans CJK SC"/>
        <family val="2"/>
      </rPr>
      <t xml:space="preserve">目が開いてるのに『ここどこ？』ってなる寝起きの数秒、脳の中で何が起きてるの？ </t>
    </r>
    <r>
      <rPr>
        <sz val="10"/>
        <rFont val="Arial"/>
        <family val="0"/>
        <charset val="1"/>
      </rPr>
      <t xml:space="preserve">#shorts #</t>
    </r>
    <r>
      <rPr>
        <sz val="10"/>
        <rFont val="Noto Sans CJK SC"/>
        <family val="2"/>
      </rPr>
      <t xml:space="preserve">ゆっくり解説</t>
    </r>
  </si>
  <si>
    <t xml:space="preserve">2026-08-05</t>
  </si>
  <si>
    <r>
      <rPr>
        <sz val="10"/>
        <rFont val="Noto Sans CJK SC"/>
        <family val="2"/>
      </rPr>
      <t xml:space="preserve">脳が生み出す天然モルヒネの秘密に迫るあなたの体で今も起きている現象</t>
    </r>
    <r>
      <rPr>
        <sz val="10"/>
        <rFont val="Arial"/>
        <family val="0"/>
        <charset val="1"/>
      </rPr>
      <t xml:space="preserve">#</t>
    </r>
    <r>
      <rPr>
        <sz val="10"/>
        <rFont val="Noto Sans CJK SC"/>
        <family val="2"/>
      </rPr>
      <t xml:space="preserve">なぜ脳は天然モルヒネを作る？エンドルフィンの驚きの正体 </t>
    </r>
    <r>
      <rPr>
        <sz val="10"/>
        <rFont val="Arial"/>
        <family val="0"/>
        <charset val="1"/>
      </rPr>
      <t xml:space="preserve">#shorts #</t>
    </r>
    <r>
      <rPr>
        <sz val="10"/>
        <rFont val="Noto Sans CJK SC"/>
        <family val="2"/>
      </rPr>
      <t xml:space="preserve">ゆっくり解説</t>
    </r>
  </si>
  <si>
    <r>
      <rPr>
        <sz val="10"/>
        <rFont val="Noto Sans CJK SC"/>
        <family val="2"/>
      </rPr>
      <t xml:space="preserve">ストレスで体がかゆくなる？</t>
    </r>
    <r>
      <rPr>
        <sz val="10"/>
        <rFont val="Arial"/>
        <family val="0"/>
        <charset val="1"/>
      </rPr>
      <t xml:space="preserve">99%</t>
    </r>
    <r>
      <rPr>
        <sz val="10"/>
        <rFont val="Noto Sans CJK SC"/>
        <family val="2"/>
      </rPr>
      <t xml:space="preserve">が知らない意外な理由</t>
    </r>
    <r>
      <rPr>
        <sz val="10"/>
        <rFont val="Arial"/>
        <family val="0"/>
        <charset val="1"/>
      </rPr>
      <t xml:space="preserve">#</t>
    </r>
    <r>
      <rPr>
        <sz val="10"/>
        <rFont val="Noto Sans CJK SC"/>
        <family val="2"/>
      </rPr>
      <t xml:space="preserve">なぜストレスで体がかゆくなるのか？</t>
    </r>
    <r>
      <rPr>
        <sz val="10"/>
        <rFont val="Arial"/>
        <family val="0"/>
        <charset val="1"/>
      </rPr>
      <t xml:space="preserve">99%</t>
    </r>
    <r>
      <rPr>
        <sz val="10"/>
        <rFont val="Noto Sans CJK SC"/>
        <family val="2"/>
      </rPr>
      <t xml:space="preserve">が知らない意外な理由 </t>
    </r>
    <r>
      <rPr>
        <sz val="10"/>
        <rFont val="Arial"/>
        <family val="0"/>
        <charset val="1"/>
      </rPr>
      <t xml:space="preserve">#shorts #</t>
    </r>
    <r>
      <rPr>
        <sz val="10"/>
        <rFont val="Noto Sans CJK SC"/>
        <family val="2"/>
      </rPr>
      <t xml:space="preserve">ゆっくり解説</t>
    </r>
  </si>
  <si>
    <r>
      <rPr>
        <sz val="10"/>
        <rFont val="Noto Sans CJK SC"/>
        <family val="2"/>
      </rPr>
      <t xml:space="preserve">なぜ涙は悲しくないのに出る？</t>
    </r>
    <r>
      <rPr>
        <sz val="10"/>
        <rFont val="Arial"/>
        <family val="0"/>
        <charset val="1"/>
      </rPr>
      <t xml:space="preserve">3</t>
    </r>
    <r>
      <rPr>
        <sz val="10"/>
        <rFont val="Noto Sans CJK SC"/>
        <family val="2"/>
      </rPr>
      <t xml:space="preserve">種類の正体【ショート】</t>
    </r>
  </si>
  <si>
    <t xml:space="preserve">2026-08-06</t>
  </si>
  <si>
    <r>
      <rPr>
        <sz val="10"/>
        <rFont val="Noto Sans CJK SC"/>
        <family val="2"/>
      </rPr>
      <t xml:space="preserve">朝がつらい！そんなあなたに朗報！</t>
    </r>
    <r>
      <rPr>
        <sz val="10"/>
        <rFont val="Arial"/>
        <family val="0"/>
        <charset val="1"/>
      </rPr>
      <t xml:space="preserve">#</t>
    </r>
    <r>
      <rPr>
        <sz val="10"/>
        <rFont val="Noto Sans CJK SC"/>
        <family val="2"/>
      </rPr>
      <t xml:space="preserve">やる気が出ない朝を劇的に変える</t>
    </r>
    <r>
      <rPr>
        <sz val="10"/>
        <rFont val="Arial"/>
        <family val="0"/>
        <charset val="1"/>
      </rPr>
      <t xml:space="preserve">!?</t>
    </r>
    <r>
      <rPr>
        <sz val="10"/>
        <rFont val="Noto Sans CJK SC"/>
        <family val="2"/>
      </rPr>
      <t xml:space="preserve">たった</t>
    </r>
    <r>
      <rPr>
        <sz val="10"/>
        <rFont val="Arial"/>
        <family val="0"/>
        <charset val="1"/>
      </rPr>
      <t xml:space="preserve">5</t>
    </r>
    <r>
      <rPr>
        <sz val="10"/>
        <rFont val="Noto Sans CJK SC"/>
        <family val="2"/>
      </rPr>
      <t xml:space="preserve">分の脳科学的ルーティン </t>
    </r>
    <r>
      <rPr>
        <sz val="10"/>
        <rFont val="Arial"/>
        <family val="0"/>
        <charset val="1"/>
      </rPr>
      <t xml:space="preserve">#shorts #</t>
    </r>
    <r>
      <rPr>
        <sz val="10"/>
        <rFont val="Noto Sans CJK SC"/>
        <family val="2"/>
      </rPr>
      <t xml:space="preserve">ゆっくり解説</t>
    </r>
  </si>
  <si>
    <r>
      <rPr>
        <sz val="10"/>
        <rFont val="Noto Sans CJK SC"/>
        <family val="2"/>
      </rPr>
      <t xml:space="preserve">なぜか毎回『同じ時間帯』それ、偶然じゃないんです</t>
    </r>
    <r>
      <rPr>
        <sz val="10"/>
        <rFont val="Arial"/>
        <family val="0"/>
        <charset val="1"/>
      </rPr>
      <t xml:space="preserve">#</t>
    </r>
    <r>
      <rPr>
        <sz val="10"/>
        <rFont val="Noto Sans CJK SC"/>
        <family val="2"/>
      </rPr>
      <t xml:space="preserve">なぜ金縛りは『決まった時間』にしか起きないのか？</t>
    </r>
    <r>
      <rPr>
        <sz val="10"/>
        <rFont val="Arial"/>
        <family val="0"/>
        <charset val="1"/>
      </rPr>
      <t xml:space="preserve">99%</t>
    </r>
    <r>
      <rPr>
        <sz val="10"/>
        <rFont val="Noto Sans CJK SC"/>
        <family val="2"/>
      </rPr>
      <t xml:space="preserve">が知らない睡眠の本当の仕組み </t>
    </r>
    <r>
      <rPr>
        <sz val="10"/>
        <rFont val="Arial"/>
        <family val="0"/>
        <charset val="1"/>
      </rPr>
      <t xml:space="preserve">#shorts #</t>
    </r>
    <r>
      <rPr>
        <sz val="10"/>
        <rFont val="Noto Sans CJK SC"/>
        <family val="2"/>
      </rPr>
      <t xml:space="preserve">ゆっくり解説</t>
    </r>
  </si>
  <si>
    <r>
      <rPr>
        <sz val="10"/>
        <rFont val="Noto Sans CJK SC"/>
        <family val="2"/>
      </rPr>
      <t xml:space="preserve">なぜ寒くないのに鳥肌が立つ？</t>
    </r>
    <r>
      <rPr>
        <sz val="10"/>
        <rFont val="Arial"/>
        <family val="0"/>
        <charset val="1"/>
      </rPr>
      <t xml:space="preserve">90%</t>
    </r>
    <r>
      <rPr>
        <sz val="10"/>
        <rFont val="Noto Sans CJK SC"/>
        <family val="2"/>
      </rPr>
      <t xml:space="preserve">が勘違いする</t>
    </r>
    <r>
      <rPr>
        <sz val="10"/>
        <rFont val="Arial"/>
        <family val="0"/>
        <charset val="1"/>
      </rPr>
      <t xml:space="preserve">2</t>
    </r>
    <r>
      <rPr>
        <sz val="10"/>
        <rFont val="Noto Sans CJK SC"/>
        <family val="2"/>
      </rPr>
      <t xml:space="preserve">つの反応の正体【ショート】【ショート】</t>
    </r>
  </si>
  <si>
    <t xml:space="preserve">2026-08-08</t>
  </si>
  <si>
    <r>
      <rPr>
        <sz val="10"/>
        <rFont val="Noto Sans CJK SC"/>
        <family val="2"/>
      </rPr>
      <t xml:space="preserve">あなたの体で毎晩起きていること、気づいていますか？</t>
    </r>
    <r>
      <rPr>
        <sz val="10"/>
        <rFont val="Arial"/>
        <family val="0"/>
        <charset val="1"/>
      </rPr>
      <t xml:space="preserve">#</t>
    </r>
    <r>
      <rPr>
        <sz val="10"/>
        <rFont val="Noto Sans CJK SC"/>
        <family val="2"/>
      </rPr>
      <t xml:space="preserve">睡眠中の『口の乾き』——</t>
    </r>
    <r>
      <rPr>
        <sz val="10"/>
        <rFont val="Arial"/>
        <family val="0"/>
        <charset val="1"/>
      </rPr>
      <t xml:space="preserve">99%</t>
    </r>
    <r>
      <rPr>
        <sz val="10"/>
        <rFont val="Noto Sans CJK SC"/>
        <family val="2"/>
      </rPr>
      <t xml:space="preserve">が見過ごす体内の変化とは？ </t>
    </r>
    <r>
      <rPr>
        <sz val="10"/>
        <rFont val="Arial"/>
        <family val="0"/>
        <charset val="1"/>
      </rPr>
      <t xml:space="preserve">#shorts #</t>
    </r>
    <r>
      <rPr>
        <sz val="10"/>
        <rFont val="Noto Sans CJK SC"/>
        <family val="2"/>
      </rPr>
      <t xml:space="preserve">ゆっくり解説</t>
    </r>
  </si>
  <si>
    <r>
      <rPr>
        <sz val="10"/>
        <rFont val="Noto Sans CJK SC"/>
        <family val="2"/>
      </rPr>
      <t xml:space="preserve">なぜ立ち上がると目の前が暗い？</t>
    </r>
    <r>
      <rPr>
        <sz val="10"/>
        <rFont val="Arial"/>
        <family val="0"/>
        <charset val="1"/>
      </rPr>
      <t xml:space="preserve">99%</t>
    </r>
    <r>
      <rPr>
        <sz val="10"/>
        <rFont val="Noto Sans CJK SC"/>
        <family val="2"/>
      </rPr>
      <t xml:space="preserve">が知らない『</t>
    </r>
    <r>
      <rPr>
        <sz val="10"/>
        <rFont val="Arial"/>
        <family val="0"/>
        <charset val="1"/>
      </rPr>
      <t xml:space="preserve">3</t>
    </r>
    <r>
      <rPr>
        <sz val="10"/>
        <rFont val="Noto Sans CJK SC"/>
        <family val="2"/>
      </rPr>
      <t xml:space="preserve">秒間』の正体【ショート】【ショート】</t>
    </r>
  </si>
  <si>
    <r>
      <rPr>
        <sz val="10"/>
        <rFont val="Arial"/>
        <family val="0"/>
        <charset val="1"/>
      </rPr>
      <t xml:space="preserve">99%</t>
    </r>
    <r>
      <rPr>
        <sz val="10"/>
        <rFont val="Noto Sans CJK SC"/>
        <family val="2"/>
      </rPr>
      <t xml:space="preserve">が知らない「夢の記憶」の正体なぜあの夢だけ覚えてるの？</t>
    </r>
    <r>
      <rPr>
        <sz val="10"/>
        <rFont val="Arial"/>
        <family val="0"/>
        <charset val="1"/>
      </rPr>
      <t xml:space="preserve">#</t>
    </r>
    <r>
      <rPr>
        <sz val="10"/>
        <rFont val="Noto Sans CJK SC"/>
        <family val="2"/>
      </rPr>
      <t xml:space="preserve">昨夜の夢だけ覚えてる——</t>
    </r>
    <r>
      <rPr>
        <sz val="10"/>
        <rFont val="Arial"/>
        <family val="0"/>
        <charset val="1"/>
      </rPr>
      <t xml:space="preserve">99%</t>
    </r>
    <r>
      <rPr>
        <sz val="10"/>
        <rFont val="Noto Sans CJK SC"/>
        <family val="2"/>
      </rPr>
      <t xml:space="preserve">が知らない、脳が『あの夢』を選んで記録する本当の理由 </t>
    </r>
    <r>
      <rPr>
        <sz val="10"/>
        <rFont val="Arial"/>
        <family val="0"/>
        <charset val="1"/>
      </rPr>
      <t xml:space="preserve">#shorts #</t>
    </r>
    <r>
      <rPr>
        <sz val="10"/>
        <rFont val="Noto Sans CJK SC"/>
        <family val="2"/>
      </rPr>
      <t xml:space="preserve">ゆっくり解説</t>
    </r>
  </si>
  <si>
    <r>
      <rPr>
        <sz val="10"/>
        <rFont val="Noto Sans CJK SC"/>
        <family val="2"/>
      </rPr>
      <t xml:space="preserve">なぜ寝起きは鼻だけ詰まるの？</t>
    </r>
    <r>
      <rPr>
        <sz val="10"/>
        <rFont val="Arial"/>
        <family val="0"/>
        <charset val="1"/>
      </rPr>
      <t xml:space="preserve">4</t>
    </r>
    <r>
      <rPr>
        <sz val="10"/>
        <rFont val="Noto Sans CJK SC"/>
        <family val="2"/>
      </rPr>
      <t xml:space="preserve">時間サイクルの秘密、知ってた？</t>
    </r>
    <r>
      <rPr>
        <sz val="10"/>
        <rFont val="Arial"/>
        <family val="0"/>
        <charset val="1"/>
      </rPr>
      <t xml:space="preserve">#</t>
    </r>
    <r>
      <rPr>
        <sz val="10"/>
        <rFont val="Noto Sans CJK SC"/>
        <family val="2"/>
      </rPr>
      <t xml:space="preserve">今朝の鼻づまり、実は</t>
    </r>
    <r>
      <rPr>
        <sz val="10"/>
        <rFont val="Arial"/>
        <family val="0"/>
        <charset val="1"/>
      </rPr>
      <t xml:space="preserve">4</t>
    </r>
    <r>
      <rPr>
        <sz val="10"/>
        <rFont val="Noto Sans CJK SC"/>
        <family val="2"/>
      </rPr>
      <t xml:space="preserve">時間ごとに左右が入れ替わってた——</t>
    </r>
    <r>
      <rPr>
        <sz val="10"/>
        <rFont val="Arial"/>
        <family val="0"/>
        <charset val="1"/>
      </rPr>
      <t xml:space="preserve">99%</t>
    </r>
    <r>
      <rPr>
        <sz val="10"/>
        <rFont val="Noto Sans CJK SC"/>
        <family val="2"/>
      </rPr>
      <t xml:space="preserve">が知らない睡眠中の鼻の正体 </t>
    </r>
    <r>
      <rPr>
        <sz val="10"/>
        <rFont val="Arial"/>
        <family val="0"/>
        <charset val="1"/>
      </rPr>
      <t xml:space="preserve">#shorts #</t>
    </r>
    <r>
      <rPr>
        <sz val="10"/>
        <rFont val="Noto Sans CJK SC"/>
        <family val="2"/>
      </rPr>
      <t xml:space="preserve">ゆっくり解説</t>
    </r>
  </si>
  <si>
    <r>
      <rPr>
        <sz val="10"/>
        <rFont val="Noto Sans CJK SC"/>
        <family val="2"/>
      </rPr>
      <t xml:space="preserve">今朝なぜ寒い？</t>
    </r>
    <r>
      <rPr>
        <sz val="10"/>
        <rFont val="Arial"/>
        <family val="0"/>
        <charset val="1"/>
      </rPr>
      <t xml:space="preserve">99%</t>
    </r>
    <r>
      <rPr>
        <sz val="10"/>
        <rFont val="Noto Sans CJK SC"/>
        <family val="2"/>
      </rPr>
      <t xml:space="preserve">が知らない体温</t>
    </r>
    <r>
      <rPr>
        <sz val="10"/>
        <rFont val="Arial"/>
        <family val="0"/>
        <charset val="1"/>
      </rPr>
      <t xml:space="preserve">0.5</t>
    </r>
    <r>
      <rPr>
        <sz val="10"/>
        <rFont val="Noto Sans CJK SC"/>
        <family val="2"/>
      </rPr>
      <t xml:space="preserve">度の罠——目覚め直後に起きること【ショート】【ショート】</t>
    </r>
  </si>
  <si>
    <t xml:space="preserve">2026-08-10</t>
  </si>
  <si>
    <r>
      <rPr>
        <sz val="10"/>
        <rFont val="Noto Sans CJK SC"/>
        <family val="2"/>
      </rPr>
      <t xml:space="preserve">本を開いた瞬間に眠くなる理由集中しているのに眠い『逆説』の正体</t>
    </r>
    <r>
      <rPr>
        <sz val="10"/>
        <rFont val="Arial"/>
        <family val="0"/>
        <charset val="1"/>
      </rPr>
      <t xml:space="preserve">#</t>
    </r>
    <r>
      <rPr>
        <sz val="10"/>
        <rFont val="Noto Sans CJK SC"/>
        <family val="2"/>
      </rPr>
      <t xml:space="preserve">本を読むと</t>
    </r>
    <r>
      <rPr>
        <sz val="10"/>
        <rFont val="Arial"/>
        <family val="0"/>
        <charset val="1"/>
      </rPr>
      <t xml:space="preserve">90%</t>
    </r>
    <r>
      <rPr>
        <sz val="10"/>
        <rFont val="Noto Sans CJK SC"/>
        <family val="2"/>
      </rPr>
      <t xml:space="preserve">の人が</t>
    </r>
    <r>
      <rPr>
        <sz val="10"/>
        <rFont val="Arial"/>
        <family val="0"/>
        <charset val="1"/>
      </rPr>
      <t xml:space="preserve">5</t>
    </r>
    <r>
      <rPr>
        <sz val="10"/>
        <rFont val="Noto Sans CJK SC"/>
        <family val="2"/>
      </rPr>
      <t xml:space="preserve">分以内に眠くなる——その『睡魔の罠』の正体、知ってる？ </t>
    </r>
    <r>
      <rPr>
        <sz val="10"/>
        <rFont val="Arial"/>
        <family val="0"/>
        <charset val="1"/>
      </rPr>
      <t xml:space="preserve">#shorts #</t>
    </r>
    <r>
      <rPr>
        <sz val="10"/>
        <rFont val="Noto Sans CJK SC"/>
        <family val="2"/>
      </rPr>
      <t xml:space="preserve">ゆっくり解説</t>
    </r>
  </si>
  <si>
    <r>
      <rPr>
        <sz val="10"/>
        <rFont val="Noto Sans CJK SC"/>
        <family val="2"/>
      </rPr>
      <t xml:space="preserve">寝てる間だけ成長する？</t>
    </r>
    <r>
      <rPr>
        <sz val="10"/>
        <rFont val="Arial"/>
        <family val="0"/>
        <charset val="1"/>
      </rPr>
      <t xml:space="preserve">99%</t>
    </r>
    <r>
      <rPr>
        <sz val="10"/>
        <rFont val="Noto Sans CJK SC"/>
        <family val="2"/>
      </rPr>
      <t xml:space="preserve">が知らない夜の体の秘密</t>
    </r>
    <r>
      <rPr>
        <sz val="10"/>
        <rFont val="Arial"/>
        <family val="0"/>
        <charset val="1"/>
      </rPr>
      <t xml:space="preserve">#</t>
    </r>
    <r>
      <rPr>
        <sz val="10"/>
        <rFont val="Noto Sans CJK SC"/>
        <family val="2"/>
      </rPr>
      <t xml:space="preserve">寝ている間だけ分泌される『あのホルモン』——なぜ</t>
    </r>
    <r>
      <rPr>
        <sz val="10"/>
        <rFont val="Arial"/>
        <family val="0"/>
        <charset val="1"/>
      </rPr>
      <t xml:space="preserve">99%</t>
    </r>
    <r>
      <rPr>
        <sz val="10"/>
        <rFont val="Noto Sans CJK SC"/>
        <family val="2"/>
      </rPr>
      <t xml:space="preserve">の人が睡眠中にしか成長できないのか？ </t>
    </r>
    <r>
      <rPr>
        <sz val="10"/>
        <rFont val="Arial"/>
        <family val="0"/>
        <charset val="1"/>
      </rPr>
      <t xml:space="preserve">#shorts #</t>
    </r>
    <r>
      <rPr>
        <sz val="10"/>
        <rFont val="Noto Sans CJK SC"/>
        <family val="2"/>
      </rPr>
      <t xml:space="preserve">ゆっくり解説</t>
    </r>
  </si>
  <si>
    <r>
      <rPr>
        <sz val="10"/>
        <rFont val="Noto Sans CJK SC"/>
        <family val="2"/>
      </rPr>
      <t xml:space="preserve">なぜ今夜、布団で足だけ熱い？</t>
    </r>
    <r>
      <rPr>
        <sz val="10"/>
        <rFont val="Arial"/>
        <family val="0"/>
        <charset val="1"/>
      </rPr>
      <t xml:space="preserve">90%</t>
    </r>
    <r>
      <rPr>
        <sz val="10"/>
        <rFont val="Noto Sans CJK SC"/>
        <family val="2"/>
      </rPr>
      <t xml:space="preserve">が勘違いする</t>
    </r>
    <r>
      <rPr>
        <sz val="10"/>
        <rFont val="Arial"/>
        <family val="0"/>
        <charset val="1"/>
      </rPr>
      <t xml:space="preserve">30</t>
    </r>
    <r>
      <rPr>
        <sz val="10"/>
        <rFont val="Noto Sans CJK SC"/>
        <family val="2"/>
      </rPr>
      <t xml:space="preserve">分の放熱の正体【ショート】</t>
    </r>
  </si>
  <si>
    <t xml:space="preserve">2026-08-11</t>
  </si>
  <si>
    <r>
      <rPr>
        <sz val="10"/>
        <rFont val="Noto Sans CJK SC"/>
        <family val="2"/>
      </rPr>
      <t xml:space="preserve">今夜あなたが寝返りした瞬間、なぜ</t>
    </r>
    <r>
      <rPr>
        <sz val="10"/>
        <rFont val="Arial"/>
        <family val="0"/>
        <charset val="1"/>
      </rPr>
      <t xml:space="preserve">0.8</t>
    </r>
    <r>
      <rPr>
        <sz val="10"/>
        <rFont val="Noto Sans CJK SC"/>
        <family val="2"/>
      </rPr>
      <t xml:space="preserve">秒だけ目が覚める？実は眠りが消える前の脳内チェック【ショート】</t>
    </r>
  </si>
  <si>
    <t xml:space="preserve">2026-08-12</t>
  </si>
  <si>
    <r>
      <rPr>
        <sz val="10"/>
        <rFont val="Noto Sans CJK SC"/>
        <family val="2"/>
      </rPr>
      <t xml:space="preserve">昨夜の夢、なぜ</t>
    </r>
    <r>
      <rPr>
        <sz val="10"/>
        <rFont val="Arial"/>
        <family val="0"/>
        <charset val="1"/>
      </rPr>
      <t xml:space="preserve">12</t>
    </r>
    <r>
      <rPr>
        <sz val="10"/>
        <rFont val="Noto Sans CJK SC"/>
        <family val="2"/>
      </rPr>
      <t xml:space="preserve">分なのに何時間もいた気がする？</t>
    </r>
    <r>
      <rPr>
        <sz val="10"/>
        <rFont val="Arial"/>
        <family val="0"/>
        <charset val="1"/>
      </rPr>
      <t xml:space="preserve">9</t>
    </r>
    <r>
      <rPr>
        <sz val="10"/>
        <rFont val="Noto Sans CJK SC"/>
        <family val="2"/>
      </rPr>
      <t xml:space="preserve">割が勘違いする時間感覚【ショート】</t>
    </r>
  </si>
  <si>
    <r>
      <rPr>
        <sz val="10"/>
        <rFont val="Noto Sans CJK SC"/>
        <family val="2"/>
      </rPr>
      <t xml:space="preserve">なぜ今目を閉じるとふらつくのか？</t>
    </r>
    <r>
      <rPr>
        <sz val="10"/>
        <rFont val="Arial"/>
        <family val="0"/>
        <charset val="1"/>
      </rPr>
      <t xml:space="preserve">99%</t>
    </r>
    <r>
      <rPr>
        <sz val="10"/>
        <rFont val="Noto Sans CJK SC"/>
        <family val="2"/>
      </rPr>
      <t xml:space="preserve">が知らない最初の</t>
    </r>
    <r>
      <rPr>
        <sz val="10"/>
        <rFont val="Arial"/>
        <family val="0"/>
        <charset val="1"/>
      </rPr>
      <t xml:space="preserve">3</t>
    </r>
    <r>
      <rPr>
        <sz val="10"/>
        <rFont val="Noto Sans CJK SC"/>
        <family val="2"/>
      </rPr>
      <t xml:space="preserve">秒の平衡感覚【ショート】</t>
    </r>
  </si>
  <si>
    <r>
      <rPr>
        <sz val="10"/>
        <rFont val="Noto Sans CJK SC"/>
        <family val="2"/>
      </rPr>
      <t xml:space="preserve">なぜ今飲んだ炭酸は鼻までツーンとするのか？</t>
    </r>
    <r>
      <rPr>
        <sz val="10"/>
        <rFont val="Arial"/>
        <family val="0"/>
        <charset val="1"/>
      </rPr>
      <t xml:space="preserve">99%</t>
    </r>
    <r>
      <rPr>
        <sz val="10"/>
        <rFont val="Noto Sans CJK SC"/>
        <family val="2"/>
      </rPr>
      <t xml:space="preserve">が知らない</t>
    </r>
    <r>
      <rPr>
        <sz val="10"/>
        <rFont val="Arial"/>
        <family val="0"/>
        <charset val="1"/>
      </rPr>
      <t xml:space="preserve">0.3</t>
    </r>
    <r>
      <rPr>
        <sz val="10"/>
        <rFont val="Noto Sans CJK SC"/>
        <family val="2"/>
      </rPr>
      <t xml:space="preserve">秒の刺激ルート【ショート】</t>
    </r>
  </si>
  <si>
    <r>
      <rPr>
        <sz val="10"/>
        <rFont val="Noto Sans CJK SC"/>
        <family val="2"/>
      </rPr>
      <t xml:space="preserve">なぜ今、片方の手だけ冷たいのか？</t>
    </r>
    <r>
      <rPr>
        <sz val="10"/>
        <rFont val="Arial"/>
        <family val="0"/>
        <charset val="1"/>
      </rPr>
      <t xml:space="preserve">9</t>
    </r>
    <r>
      <rPr>
        <sz val="10"/>
        <rFont val="Noto Sans CJK SC"/>
        <family val="2"/>
      </rPr>
      <t xml:space="preserve">割が見落とす</t>
    </r>
    <r>
      <rPr>
        <sz val="10"/>
        <rFont val="Arial"/>
        <family val="0"/>
        <charset val="1"/>
      </rPr>
      <t xml:space="preserve">2</t>
    </r>
    <r>
      <rPr>
        <sz val="10"/>
        <rFont val="Noto Sans CJK SC"/>
        <family val="2"/>
      </rPr>
      <t xml:space="preserve">倍の血流差【ショート】</t>
    </r>
  </si>
  <si>
    <r>
      <rPr>
        <sz val="10"/>
        <rFont val="Noto Sans CJK SC"/>
        <family val="2"/>
      </rPr>
      <t xml:space="preserve">なぜくしゃみの後だけ体が軽いのか？</t>
    </r>
    <r>
      <rPr>
        <sz val="10"/>
        <rFont val="Arial"/>
        <family val="0"/>
        <charset val="1"/>
      </rPr>
      <t xml:space="preserve">9</t>
    </r>
    <r>
      <rPr>
        <sz val="10"/>
        <rFont val="Noto Sans CJK SC"/>
        <family val="2"/>
      </rPr>
      <t xml:space="preserve">割が知らない</t>
    </r>
    <r>
      <rPr>
        <sz val="10"/>
        <rFont val="Arial"/>
        <family val="0"/>
        <charset val="1"/>
      </rPr>
      <t xml:space="preserve">3</t>
    </r>
    <r>
      <rPr>
        <sz val="10"/>
        <rFont val="Noto Sans CJK SC"/>
        <family val="2"/>
      </rPr>
      <t xml:space="preserve">秒間の神経反応【ショート】</t>
    </r>
  </si>
  <si>
    <r>
      <rPr>
        <sz val="10"/>
        <rFont val="Noto Sans CJK SC"/>
        <family val="2"/>
      </rPr>
      <t xml:space="preserve">なぜ辛い物で汗が出るのか？実は</t>
    </r>
    <r>
      <rPr>
        <sz val="10"/>
        <rFont val="Arial"/>
        <family val="0"/>
        <charset val="1"/>
      </rPr>
      <t xml:space="preserve">9</t>
    </r>
    <r>
      <rPr>
        <sz val="10"/>
        <rFont val="Noto Sans CJK SC"/>
        <family val="2"/>
      </rPr>
      <t xml:space="preserve">割が勘違いする</t>
    </r>
    <r>
      <rPr>
        <sz val="10"/>
        <rFont val="Arial"/>
        <family val="0"/>
        <charset val="1"/>
      </rPr>
      <t xml:space="preserve">0.5</t>
    </r>
    <r>
      <rPr>
        <sz val="10"/>
        <rFont val="Noto Sans CJK SC"/>
        <family val="2"/>
      </rPr>
      <t xml:space="preserve">秒の温度反応【ショート】</t>
    </r>
  </si>
  <si>
    <r>
      <rPr>
        <sz val="10"/>
        <rFont val="Noto Sans CJK SC"/>
        <family val="2"/>
      </rPr>
      <t xml:space="preserve">なぜ夢の続きを見た気がするのか？</t>
    </r>
    <r>
      <rPr>
        <sz val="10"/>
        <rFont val="Arial"/>
        <family val="0"/>
        <charset val="1"/>
      </rPr>
      <t xml:space="preserve">99%</t>
    </r>
    <r>
      <rPr>
        <sz val="10"/>
        <rFont val="Noto Sans CJK SC"/>
        <family val="2"/>
      </rPr>
      <t xml:space="preserve">が知らない目覚め後</t>
    </r>
    <r>
      <rPr>
        <sz val="10"/>
        <rFont val="Arial"/>
        <family val="0"/>
        <charset val="1"/>
      </rPr>
      <t xml:space="preserve">5</t>
    </r>
    <r>
      <rPr>
        <sz val="10"/>
        <rFont val="Noto Sans CJK SC"/>
        <family val="2"/>
      </rPr>
      <t xml:space="preserve">分の記憶再構成【ショート】</t>
    </r>
  </si>
  <si>
    <r>
      <rPr>
        <sz val="10"/>
        <rFont val="Noto Sans CJK SC"/>
        <family val="2"/>
      </rPr>
      <t xml:space="preserve">なぜ正座を崩した瞬間だけビリビリするのか？</t>
    </r>
    <r>
      <rPr>
        <sz val="10"/>
        <rFont val="Arial"/>
        <family val="0"/>
        <charset val="1"/>
      </rPr>
      <t xml:space="preserve">99%</t>
    </r>
    <r>
      <rPr>
        <sz val="10"/>
        <rFont val="Noto Sans CJK SC"/>
        <family val="2"/>
      </rPr>
      <t xml:space="preserve">が知らない</t>
    </r>
    <r>
      <rPr>
        <sz val="10"/>
        <rFont val="Arial"/>
        <family val="0"/>
        <charset val="1"/>
      </rPr>
      <t xml:space="preserve">30</t>
    </r>
    <r>
      <rPr>
        <sz val="10"/>
        <rFont val="Noto Sans CJK SC"/>
        <family val="2"/>
      </rPr>
      <t xml:space="preserve">秒の正体【ショート】</t>
    </r>
  </si>
  <si>
    <r>
      <rPr>
        <sz val="10"/>
        <rFont val="Arial"/>
        <family val="0"/>
        <charset val="1"/>
      </rPr>
      <t xml:space="preserve">1</t>
    </r>
    <r>
      <rPr>
        <sz val="10"/>
        <rFont val="Noto Sans CJK SC"/>
        <family val="2"/>
      </rPr>
      <t xml:space="preserve">分科学 </t>
    </r>
    <r>
      <rPr>
        <sz val="10"/>
        <rFont val="Arial"/>
        <family val="0"/>
        <charset val="1"/>
      </rPr>
      <t xml:space="preserve">#88</t>
    </r>
    <r>
      <rPr>
        <sz val="10"/>
        <rFont val="Noto Sans CJK SC"/>
        <family val="2"/>
      </rPr>
      <t xml:space="preserve">：📈なぜあなたは最後の</t>
    </r>
    <r>
      <rPr>
        <sz val="10"/>
        <rFont val="Arial"/>
        <family val="0"/>
        <charset val="1"/>
      </rPr>
      <t xml:space="preserve">1</t>
    </r>
    <r>
      <rPr>
        <sz val="10"/>
        <rFont val="Noto Sans CJK SC"/>
        <family val="2"/>
      </rPr>
      <t xml:space="preserve">段だけ踏み外す？</t>
    </r>
    <r>
      <rPr>
        <sz val="10"/>
        <rFont val="Arial"/>
        <family val="0"/>
        <charset val="1"/>
      </rPr>
      <t xml:space="preserve">99%</t>
    </r>
    <r>
      <rPr>
        <sz val="10"/>
        <rFont val="Noto Sans CJK SC"/>
        <family val="2"/>
      </rPr>
      <t xml:space="preserve">が知らない</t>
    </r>
    <r>
      <rPr>
        <sz val="10"/>
        <rFont val="Arial"/>
        <family val="0"/>
        <charset val="1"/>
      </rPr>
      <t xml:space="preserve">0.3</t>
    </r>
    <r>
      <rPr>
        <sz val="10"/>
        <rFont val="Noto Sans CJK SC"/>
        <family val="2"/>
      </rPr>
      <t xml:space="preserve">秒のズレ📊【ショート】</t>
    </r>
  </si>
  <si>
    <r>
      <rPr>
        <sz val="10"/>
        <rFont val="Arial"/>
        <family val="0"/>
        <charset val="1"/>
      </rPr>
      <t xml:space="preserve">1</t>
    </r>
    <r>
      <rPr>
        <sz val="10"/>
        <rFont val="Noto Sans CJK SC"/>
        <family val="2"/>
      </rPr>
      <t xml:space="preserve">分科学 </t>
    </r>
    <r>
      <rPr>
        <sz val="10"/>
        <rFont val="Arial"/>
        <family val="0"/>
        <charset val="1"/>
      </rPr>
      <t xml:space="preserve">#89</t>
    </r>
    <r>
      <rPr>
        <sz val="10"/>
        <rFont val="Noto Sans CJK SC"/>
        <family val="2"/>
      </rPr>
      <t xml:space="preserve">：💯なぜあなたは寝る直前だけ昔の失敗を思い出すのか？</t>
    </r>
    <r>
      <rPr>
        <sz val="10"/>
        <rFont val="Arial"/>
        <family val="0"/>
        <charset val="1"/>
      </rPr>
      <t xml:space="preserve">99%</t>
    </r>
    <r>
      <rPr>
        <sz val="10"/>
        <rFont val="Noto Sans CJK SC"/>
        <family val="2"/>
      </rPr>
      <t xml:space="preserve">が知らない</t>
    </r>
    <r>
      <rPr>
        <sz val="10"/>
        <rFont val="Arial"/>
        <family val="0"/>
        <charset val="1"/>
      </rPr>
      <t xml:space="preserve">30</t>
    </r>
    <r>
      <rPr>
        <sz val="10"/>
        <rFont val="Noto Sans CJK SC"/>
        <family val="2"/>
      </rPr>
      <t xml:space="preserve">秒の脳内変化【ショート】</t>
    </r>
  </si>
  <si>
    <r>
      <rPr>
        <sz val="10"/>
        <rFont val="Arial"/>
        <family val="0"/>
        <charset val="1"/>
      </rPr>
      <t xml:space="preserve">1</t>
    </r>
    <r>
      <rPr>
        <sz val="10"/>
        <rFont val="Noto Sans CJK SC"/>
        <family val="2"/>
      </rPr>
      <t xml:space="preserve">分科学 </t>
    </r>
    <r>
      <rPr>
        <sz val="10"/>
        <rFont val="Arial"/>
        <family val="0"/>
        <charset val="1"/>
      </rPr>
      <t xml:space="preserve">#90</t>
    </r>
    <r>
      <rPr>
        <sz val="10"/>
        <rFont val="Noto Sans CJK SC"/>
        <family val="2"/>
      </rPr>
      <t xml:space="preserve">：💯なぜあなたの舌はやけど後だけ味が消える？</t>
    </r>
    <r>
      <rPr>
        <sz val="10"/>
        <rFont val="Arial"/>
        <family val="0"/>
        <charset val="1"/>
      </rPr>
      <t xml:space="preserve">99%</t>
    </r>
    <r>
      <rPr>
        <sz val="10"/>
        <rFont val="Noto Sans CJK SC"/>
        <family val="2"/>
      </rPr>
      <t xml:space="preserve">が知らない</t>
    </r>
    <r>
      <rPr>
        <sz val="10"/>
        <rFont val="Arial"/>
        <family val="0"/>
        <charset val="1"/>
      </rPr>
      <t xml:space="preserve">10</t>
    </r>
    <r>
      <rPr>
        <sz val="10"/>
        <rFont val="Noto Sans CJK SC"/>
        <family val="2"/>
      </rPr>
      <t xml:space="preserve">日の入れ替わり【ショート】</t>
    </r>
  </si>
  <si>
    <r>
      <rPr>
        <sz val="10"/>
        <rFont val="Arial"/>
        <family val="0"/>
        <charset val="1"/>
      </rPr>
      <t xml:space="preserve">1</t>
    </r>
    <r>
      <rPr>
        <sz val="10"/>
        <rFont val="Noto Sans CJK SC"/>
        <family val="2"/>
      </rPr>
      <t xml:space="preserve">分科学 </t>
    </r>
    <r>
      <rPr>
        <sz val="10"/>
        <rFont val="Arial"/>
        <family val="0"/>
        <charset val="1"/>
      </rPr>
      <t xml:space="preserve">#91</t>
    </r>
    <r>
      <rPr>
        <sz val="10"/>
        <rFont val="Noto Sans CJK SC"/>
        <family val="2"/>
      </rPr>
      <t xml:space="preserve">：💯なぜ人混みであなたの名前だけ聞こえるのか？</t>
    </r>
    <r>
      <rPr>
        <sz val="10"/>
        <rFont val="Arial"/>
        <family val="0"/>
        <charset val="1"/>
      </rPr>
      <t xml:space="preserve">99%</t>
    </r>
    <r>
      <rPr>
        <sz val="10"/>
        <rFont val="Noto Sans CJK SC"/>
        <family val="2"/>
      </rPr>
      <t xml:space="preserve">が知らない</t>
    </r>
    <r>
      <rPr>
        <sz val="10"/>
        <rFont val="Arial"/>
        <family val="0"/>
        <charset val="1"/>
      </rPr>
      <t xml:space="preserve">0.3</t>
    </r>
    <r>
      <rPr>
        <sz val="10"/>
        <rFont val="Noto Sans CJK SC"/>
        <family val="2"/>
      </rPr>
      <t xml:space="preserve">秒の選別💯【ショート】</t>
    </r>
  </si>
  <si>
    <r>
      <rPr>
        <sz val="10"/>
        <rFont val="Arial"/>
        <family val="0"/>
        <charset val="1"/>
      </rPr>
      <t xml:space="preserve">1</t>
    </r>
    <r>
      <rPr>
        <sz val="10"/>
        <rFont val="Noto Sans CJK SC"/>
        <family val="2"/>
      </rPr>
      <t xml:space="preserve">分科学 </t>
    </r>
    <r>
      <rPr>
        <sz val="10"/>
        <rFont val="Arial"/>
        <family val="0"/>
        <charset val="1"/>
      </rPr>
      <t xml:space="preserve">#92</t>
    </r>
    <r>
      <rPr>
        <sz val="10"/>
        <rFont val="Noto Sans CJK SC"/>
        <family val="2"/>
      </rPr>
      <t xml:space="preserve">：🌍なぜ目をこすると光が見える？あなたの網膜で起きる</t>
    </r>
    <r>
      <rPr>
        <sz val="10"/>
        <rFont val="Arial"/>
        <family val="0"/>
        <charset val="1"/>
      </rPr>
      <t xml:space="preserve">3</t>
    </r>
    <r>
      <rPr>
        <sz val="10"/>
        <rFont val="Noto Sans CJK SC"/>
        <family val="2"/>
      </rPr>
      <t xml:space="preserve">秒の勘違い💡【ショート】</t>
    </r>
  </si>
  <si>
    <r>
      <rPr>
        <sz val="10"/>
        <rFont val="Arial"/>
        <family val="0"/>
        <charset val="1"/>
      </rPr>
      <t xml:space="preserve">1</t>
    </r>
    <r>
      <rPr>
        <sz val="10"/>
        <rFont val="Noto Sans CJK SC"/>
        <family val="2"/>
      </rPr>
      <t xml:space="preserve">分科学 </t>
    </r>
    <r>
      <rPr>
        <sz val="10"/>
        <rFont val="Arial"/>
        <family val="0"/>
        <charset val="1"/>
      </rPr>
      <t xml:space="preserve">#93</t>
    </r>
    <r>
      <rPr>
        <sz val="10"/>
        <rFont val="Noto Sans CJK SC"/>
        <family val="2"/>
      </rPr>
      <t xml:space="preserve">：🔍なぜ満月の夜だけ夢を覚えている？月齢</t>
    </r>
    <r>
      <rPr>
        <sz val="10"/>
        <rFont val="Arial"/>
        <family val="0"/>
        <charset val="1"/>
      </rPr>
      <t xml:space="preserve">29.5</t>
    </r>
    <r>
      <rPr>
        <sz val="10"/>
        <rFont val="Noto Sans CJK SC"/>
        <family val="2"/>
      </rPr>
      <t xml:space="preserve">日に隠れた睡眠の正体【ショート】</t>
    </r>
  </si>
  <si>
    <r>
      <rPr>
        <sz val="10"/>
        <rFont val="Arial"/>
        <family val="0"/>
        <charset val="1"/>
      </rPr>
      <t xml:space="preserve">1</t>
    </r>
    <r>
      <rPr>
        <sz val="10"/>
        <rFont val="Noto Sans CJK SC"/>
        <family val="2"/>
      </rPr>
      <t xml:space="preserve">分科学 </t>
    </r>
    <r>
      <rPr>
        <sz val="10"/>
        <rFont val="Arial"/>
        <family val="0"/>
        <charset val="1"/>
      </rPr>
      <t xml:space="preserve">#94</t>
    </r>
    <r>
      <rPr>
        <sz val="10"/>
        <rFont val="Noto Sans CJK SC"/>
        <family val="2"/>
      </rPr>
      <t xml:space="preserve">：🧬なぜ甘い物のあと塩気が欲しい？あなたの舌で</t>
    </r>
    <r>
      <rPr>
        <sz val="10"/>
        <rFont val="Arial"/>
        <family val="0"/>
        <charset val="1"/>
      </rPr>
      <t xml:space="preserve">3</t>
    </r>
    <r>
      <rPr>
        <sz val="10"/>
        <rFont val="Noto Sans CJK SC"/>
        <family val="2"/>
      </rPr>
      <t xml:space="preserve">分起きる感度の正体【ショート】</t>
    </r>
  </si>
  <si>
    <r>
      <rPr>
        <sz val="10"/>
        <rFont val="Arial"/>
        <family val="0"/>
        <charset val="1"/>
      </rPr>
      <t xml:space="preserve">1</t>
    </r>
    <r>
      <rPr>
        <sz val="10"/>
        <rFont val="Noto Sans CJK SC"/>
        <family val="2"/>
      </rPr>
      <t xml:space="preserve">分科学 </t>
    </r>
    <r>
      <rPr>
        <sz val="10"/>
        <rFont val="Arial"/>
        <family val="0"/>
        <charset val="1"/>
      </rPr>
      <t xml:space="preserve">#95</t>
    </r>
    <r>
      <rPr>
        <sz val="10"/>
        <rFont val="Noto Sans CJK SC"/>
        <family val="2"/>
      </rPr>
      <t xml:space="preserve">：🧪なぜ雷鳴の</t>
    </r>
    <r>
      <rPr>
        <sz val="10"/>
        <rFont val="Arial"/>
        <family val="0"/>
        <charset val="1"/>
      </rPr>
      <t xml:space="preserve">3</t>
    </r>
    <r>
      <rPr>
        <sz val="10"/>
        <rFont val="Noto Sans CJK SC"/>
        <family val="2"/>
      </rPr>
      <t xml:space="preserve">秒前から体が固まるのか？あなたの脳に起きる反応の正体🧬【ショート】</t>
    </r>
  </si>
  <si>
    <r>
      <rPr>
        <sz val="10"/>
        <rFont val="Arial"/>
        <family val="0"/>
        <charset val="1"/>
      </rPr>
      <t xml:space="preserve">1</t>
    </r>
    <r>
      <rPr>
        <sz val="10"/>
        <rFont val="Noto Sans CJK SC"/>
        <family val="2"/>
      </rPr>
      <t xml:space="preserve">分科学：なぜ蚊に刺された場所は数分後から痒くなるのか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</si>
  <si>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Arial"/>
        <family val="0"/>
        <charset val="1"/>
      </rPr>
      <t xml:space="preserve">1</t>
    </r>
    <r>
      <rPr>
        <sz val="10"/>
        <rFont val="Noto Sans CJK SC"/>
        <family val="2"/>
      </rPr>
      <t xml:space="preserve">分科学 </t>
    </r>
    <r>
      <rPr>
        <sz val="10"/>
        <rFont val="Arial"/>
        <family val="0"/>
        <charset val="1"/>
      </rPr>
      <t xml:space="preserve">#97</t>
    </r>
    <r>
      <rPr>
        <sz val="10"/>
        <rFont val="Noto Sans CJK SC"/>
        <family val="2"/>
      </rPr>
      <t xml:space="preserve">：🧬なぜ大谷翔平は睡眠を最優先するのか？</t>
    </r>
    <r>
      <rPr>
        <sz val="10"/>
        <rFont val="Arial"/>
        <family val="0"/>
        <charset val="1"/>
      </rPr>
      <t xml:space="preserve">8</t>
    </r>
    <r>
      <rPr>
        <sz val="10"/>
        <rFont val="Noto Sans CJK SC"/>
        <family val="2"/>
      </rPr>
      <t xml:space="preserve">時間超が支える体の正体【ショート】</t>
    </r>
  </si>
  <si>
    <r>
      <rPr>
        <sz val="10"/>
        <rFont val="Arial"/>
        <family val="0"/>
        <charset val="1"/>
      </rPr>
      <t xml:space="preserve">1</t>
    </r>
    <r>
      <rPr>
        <sz val="10"/>
        <rFont val="Noto Sans CJK SC"/>
        <family val="2"/>
      </rPr>
      <t xml:space="preserve">分科学 </t>
    </r>
    <r>
      <rPr>
        <sz val="10"/>
        <rFont val="Arial"/>
        <family val="0"/>
        <charset val="1"/>
      </rPr>
      <t xml:space="preserve">#98</t>
    </r>
    <r>
      <rPr>
        <sz val="10"/>
        <rFont val="Noto Sans CJK SC"/>
        <family val="2"/>
      </rPr>
      <t xml:space="preserve">：🌍なぜ歩くと腕と足は逆に動くのか？あなたの体が毎秒行う回転制御の正体【ショート】</t>
    </r>
  </si>
  <si>
    <r>
      <rPr>
        <sz val="10"/>
        <rFont val="Arial"/>
        <family val="0"/>
        <charset val="1"/>
      </rPr>
      <t xml:space="preserve">1</t>
    </r>
    <r>
      <rPr>
        <sz val="10"/>
        <rFont val="Noto Sans CJK SC"/>
        <family val="2"/>
      </rPr>
      <t xml:space="preserve">分科学 </t>
    </r>
    <r>
      <rPr>
        <sz val="10"/>
        <rFont val="Arial"/>
        <family val="0"/>
        <charset val="1"/>
      </rPr>
      <t xml:space="preserve">#99</t>
    </r>
    <r>
      <rPr>
        <sz val="10"/>
        <rFont val="Noto Sans CJK SC"/>
        <family val="2"/>
      </rPr>
      <t xml:space="preserve">：🧪なぜ濡れた紙は</t>
    </r>
    <r>
      <rPr>
        <sz val="10"/>
        <rFont val="Arial"/>
        <family val="0"/>
        <charset val="1"/>
      </rPr>
      <t xml:space="preserve">3</t>
    </r>
    <r>
      <rPr>
        <sz val="10"/>
        <rFont val="Noto Sans CJK SC"/>
        <family val="2"/>
      </rPr>
      <t xml:space="preserve">倍も破れやすい？あなたが毎日触る繊維の正体【ショート】</t>
    </r>
  </si>
  <si>
    <r>
      <rPr>
        <sz val="10"/>
        <rFont val="Arial"/>
        <family val="0"/>
        <charset val="1"/>
      </rPr>
      <t xml:space="preserve">1</t>
    </r>
    <r>
      <rPr>
        <sz val="10"/>
        <rFont val="Noto Sans CJK SC"/>
        <family val="2"/>
      </rPr>
      <t xml:space="preserve">分科学 </t>
    </r>
    <r>
      <rPr>
        <sz val="10"/>
        <rFont val="Arial"/>
        <family val="0"/>
        <charset val="1"/>
      </rPr>
      <t xml:space="preserve">#100</t>
    </r>
    <r>
      <rPr>
        <sz val="10"/>
        <rFont val="Noto Sans CJK SC"/>
        <family val="2"/>
      </rPr>
      <t xml:space="preserve">：🧬なぜあなたはポケモンの夢で技まで使える？</t>
    </r>
    <r>
      <rPr>
        <sz val="10"/>
        <rFont val="Arial"/>
        <family val="0"/>
        <charset val="1"/>
      </rPr>
      <t xml:space="preserve">REM</t>
    </r>
    <r>
      <rPr>
        <sz val="10"/>
        <rFont val="Noto Sans CJK SC"/>
        <family val="2"/>
      </rPr>
      <t xml:space="preserve">睡眠</t>
    </r>
    <r>
      <rPr>
        <sz val="10"/>
        <rFont val="Arial"/>
        <family val="0"/>
        <charset val="1"/>
      </rPr>
      <t xml:space="preserve">90</t>
    </r>
    <r>
      <rPr>
        <sz val="10"/>
        <rFont val="Noto Sans CJK SC"/>
        <family val="2"/>
      </rPr>
      <t xml:space="preserve">分にある記憶の正体【ショート】</t>
    </r>
  </si>
  <si>
    <r>
      <rPr>
        <sz val="10"/>
        <color rgb="FFA6A6A6"/>
        <rFont val="Arial"/>
        <family val="0"/>
        <charset val="1"/>
      </rPr>
      <t xml:space="preserve">1</t>
    </r>
    <r>
      <rPr>
        <sz val="10"/>
        <color rgb="FFA6A6A6"/>
        <rFont val="Noto Sans CJK SC"/>
        <family val="2"/>
      </rPr>
      <t xml:space="preserve">分科学 </t>
    </r>
    <r>
      <rPr>
        <sz val="10"/>
        <color rgb="FFA6A6A6"/>
        <rFont val="Arial"/>
        <family val="0"/>
        <charset val="1"/>
      </rPr>
      <t xml:space="preserve">#101</t>
    </r>
    <r>
      <rPr>
        <sz val="10"/>
        <color rgb="FFA6A6A6"/>
        <rFont val="Noto Sans CJK SC"/>
        <family val="2"/>
      </rPr>
      <t xml:space="preserve">：🧪なぜ</t>
    </r>
    <r>
      <rPr>
        <sz val="10"/>
        <color rgb="FFA6A6A6"/>
        <rFont val="Arial"/>
        <family val="0"/>
        <charset val="1"/>
      </rPr>
      <t xml:space="preserve">24</t>
    </r>
    <r>
      <rPr>
        <sz val="10"/>
        <color rgb="FFA6A6A6"/>
        <rFont val="Noto Sans CJK SC"/>
        <family val="2"/>
      </rPr>
      <t xml:space="preserve">時間テレビを</t>
    </r>
    <r>
      <rPr>
        <sz val="10"/>
        <color rgb="FFA6A6A6"/>
        <rFont val="Arial"/>
        <family val="0"/>
        <charset val="1"/>
      </rPr>
      <t xml:space="preserve">2</t>
    </r>
    <r>
      <rPr>
        <sz val="10"/>
        <color rgb="FFA6A6A6"/>
        <rFont val="Noto Sans CJK SC"/>
        <family val="2"/>
      </rPr>
      <t xml:space="preserve">時間見ると寝つきが変わる？あなたの夢に残る映像の正体【ショート】</t>
    </r>
  </si>
  <si>
    <r>
      <rPr>
        <sz val="10"/>
        <color rgb="FFA6A6A6"/>
        <rFont val="Arial"/>
        <family val="0"/>
        <charset val="1"/>
      </rPr>
      <t xml:space="preserve">1</t>
    </r>
    <r>
      <rPr>
        <sz val="10"/>
        <color rgb="FFA6A6A6"/>
        <rFont val="Noto Sans CJK SC"/>
        <family val="2"/>
      </rPr>
      <t xml:space="preserve">分科学 </t>
    </r>
    <r>
      <rPr>
        <sz val="10"/>
        <color rgb="FFA6A6A6"/>
        <rFont val="Arial"/>
        <family val="0"/>
        <charset val="1"/>
      </rPr>
      <t xml:space="preserve">#102</t>
    </r>
    <r>
      <rPr>
        <sz val="10"/>
        <color rgb="FFA6A6A6"/>
        <rFont val="Noto Sans CJK SC"/>
        <family val="2"/>
      </rPr>
      <t xml:space="preserve">：🌍なぜ寝起きの口だけネバつくのか？あなたの唾液が眠る</t>
    </r>
    <r>
      <rPr>
        <sz val="10"/>
        <color rgb="FFA6A6A6"/>
        <rFont val="Arial"/>
        <family val="0"/>
        <charset val="1"/>
      </rPr>
      <t xml:space="preserve">8</t>
    </r>
    <r>
      <rPr>
        <sz val="10"/>
        <color rgb="FFA6A6A6"/>
        <rFont val="Noto Sans CJK SC"/>
        <family val="2"/>
      </rPr>
      <t xml:space="preserve">時間の正体【ショート】</t>
    </r>
  </si>
  <si>
    <r>
      <rPr>
        <sz val="10"/>
        <color rgb="FFA6A6A6"/>
        <rFont val="Noto Sans CJK SC"/>
        <family val="2"/>
      </rPr>
      <t xml:space="preserve">なぜ座ると腰だけ痛い？圧力</t>
    </r>
    <r>
      <rPr>
        <sz val="10"/>
        <color rgb="FFA6A6A6"/>
        <rFont val="Arial"/>
        <family val="0"/>
        <charset val="1"/>
      </rPr>
      <t xml:space="preserve">1.4</t>
    </r>
    <r>
      <rPr>
        <sz val="10"/>
        <color rgb="FFA6A6A6"/>
        <rFont val="Noto Sans CJK SC"/>
        <family val="2"/>
      </rPr>
      <t xml:space="preserve">倍【ショート】</t>
    </r>
  </si>
  <si>
    <r>
      <rPr>
        <sz val="10"/>
        <rFont val="Noto Sans CJK SC"/>
        <family val="2"/>
      </rPr>
      <t xml:space="preserve">架空論文ファイル：エレベーターで見上げる人は、降りる階を間違えにくい </t>
    </r>
    <r>
      <rPr>
        <sz val="10"/>
        <rFont val="Arial"/>
        <family val="0"/>
        <charset val="1"/>
      </rPr>
      <t xml:space="preserve">#shorts #</t>
    </r>
    <r>
      <rPr>
        <sz val="10"/>
        <rFont val="Noto Sans CJK SC"/>
        <family val="2"/>
      </rPr>
      <t xml:space="preserve">架空論文 </t>
    </r>
    <r>
      <rPr>
        <sz val="10"/>
        <rFont val="Arial"/>
        <family val="0"/>
        <charset val="1"/>
      </rPr>
      <t xml:space="preserve">#</t>
    </r>
    <r>
      <rPr>
        <sz val="10"/>
        <rFont val="Noto Sans CJK SC"/>
        <family val="2"/>
      </rPr>
      <t xml:space="preserve">フィクション</t>
    </r>
  </si>
  <si>
    <r>
      <rPr>
        <sz val="10"/>
        <rFont val="Noto Sans CJK SC"/>
        <family val="2"/>
      </rPr>
      <t xml:space="preserve">架空論文ファイル：満席の映画館では観客の瞬きが同期する </t>
    </r>
    <r>
      <rPr>
        <sz val="10"/>
        <rFont val="Arial"/>
        <family val="0"/>
        <charset val="1"/>
      </rPr>
      <t xml:space="preserve">#shorts #</t>
    </r>
    <r>
      <rPr>
        <sz val="10"/>
        <rFont val="Noto Sans CJK SC"/>
        <family val="2"/>
      </rPr>
      <t xml:space="preserve">架空論文 </t>
    </r>
    <r>
      <rPr>
        <sz val="10"/>
        <rFont val="Arial"/>
        <family val="0"/>
        <charset val="1"/>
      </rPr>
      <t xml:space="preserve">#</t>
    </r>
    <r>
      <rPr>
        <sz val="10"/>
        <rFont val="Noto Sans CJK SC"/>
        <family val="2"/>
      </rPr>
      <t xml:space="preserve">フィクション</t>
    </r>
  </si>
  <si>
    <t xml:space="preserve">大谷翔平の打撃フォームが宇宙人に似る本当の理由とは？【ショート】</t>
  </si>
  <si>
    <r>
      <rPr>
        <sz val="10"/>
        <rFont val="Noto Sans CJK SC"/>
        <family val="2"/>
      </rPr>
      <t xml:space="preserve">架空論文ファイル </t>
    </r>
    <r>
      <rPr>
        <sz val="10"/>
        <rFont val="Arial"/>
        <family val="0"/>
        <charset val="1"/>
      </rPr>
      <t xml:space="preserve">#3</t>
    </r>
    <r>
      <rPr>
        <sz val="10"/>
        <rFont val="Noto Sans CJK SC"/>
        <family val="2"/>
      </rPr>
      <t xml:space="preserve">：</t>
    </r>
    <r>
      <rPr>
        <sz val="10"/>
        <rFont val="Arial"/>
        <family val="0"/>
        <charset val="1"/>
      </rPr>
      <t xml:space="preserve">PS5 Pro</t>
    </r>
    <r>
      <rPr>
        <sz val="10"/>
        <rFont val="Noto Sans CJK SC"/>
        <family val="2"/>
      </rPr>
      <t xml:space="preserve">は反応を</t>
    </r>
    <r>
      <rPr>
        <sz val="10"/>
        <rFont val="Arial"/>
        <family val="0"/>
        <charset val="1"/>
      </rPr>
      <t xml:space="preserve">0.18</t>
    </r>
    <r>
      <rPr>
        <sz val="10"/>
        <rFont val="Noto Sans CJK SC"/>
        <family val="2"/>
      </rPr>
      <t xml:space="preserve">秒縮める — </t>
    </r>
    <r>
      <rPr>
        <sz val="10"/>
        <rFont val="Arial"/>
        <family val="0"/>
        <charset val="1"/>
      </rPr>
      <t xml:space="preserve">768</t>
    </r>
    <r>
      <rPr>
        <sz val="10"/>
        <rFont val="Noto Sans CJK SC"/>
        <family val="2"/>
      </rPr>
      <t xml:space="preserve">人を</t>
    </r>
    <r>
      <rPr>
        <sz val="10"/>
        <rFont val="Arial"/>
        <family val="0"/>
        <charset val="1"/>
      </rPr>
      <t xml:space="preserve">28</t>
    </r>
    <r>
      <rPr>
        <sz val="10"/>
        <rFont val="Noto Sans CJK SC"/>
        <family val="2"/>
      </rPr>
      <t xml:space="preserve">日追跡した結果【ショート】</t>
    </r>
  </si>
  <si>
    <r>
      <rPr>
        <sz val="10"/>
        <rFont val="Noto Sans CJK SC"/>
        <family val="2"/>
      </rPr>
      <t xml:space="preserve">架空論文ファイル </t>
    </r>
    <r>
      <rPr>
        <sz val="10"/>
        <rFont val="Arial"/>
        <family val="0"/>
        <charset val="1"/>
      </rPr>
      <t xml:space="preserve">#4</t>
    </r>
    <r>
      <rPr>
        <sz val="10"/>
        <rFont val="Noto Sans CJK SC"/>
        <family val="2"/>
      </rPr>
      <t xml:space="preserve">：あなたのポケモンは服で進化する — </t>
    </r>
    <r>
      <rPr>
        <sz val="10"/>
        <rFont val="Arial"/>
        <family val="0"/>
        <charset val="1"/>
      </rPr>
      <t xml:space="preserve">1,248</t>
    </r>
    <r>
      <rPr>
        <sz val="10"/>
        <rFont val="Noto Sans CJK SC"/>
        <family val="2"/>
      </rPr>
      <t xml:space="preserve">人が選んだ新形態【ショート】</t>
    </r>
  </si>
  <si>
    <r>
      <rPr>
        <sz val="10"/>
        <color rgb="FFA6A6A6"/>
        <rFont val="Noto Sans CJK SC"/>
        <family val="2"/>
      </rPr>
      <t xml:space="preserve">架空論文ファイル </t>
    </r>
    <r>
      <rPr>
        <sz val="10"/>
        <color rgb="FFA6A6A6"/>
        <rFont val="Arial"/>
        <family val="0"/>
        <charset val="1"/>
      </rPr>
      <t xml:space="preserve">#5</t>
    </r>
    <r>
      <rPr>
        <sz val="10"/>
        <color rgb="FFA6A6A6"/>
        <rFont val="Noto Sans CJK SC"/>
        <family val="2"/>
      </rPr>
      <t xml:space="preserve">：あなたの操作は脳波で読まれる — </t>
    </r>
    <r>
      <rPr>
        <sz val="10"/>
        <color rgb="FFA6A6A6"/>
        <rFont val="Arial"/>
        <family val="0"/>
        <charset val="1"/>
      </rPr>
      <t xml:space="preserve">2,184</t>
    </r>
    <r>
      <rPr>
        <sz val="10"/>
        <color rgb="FFA6A6A6"/>
        <rFont val="Noto Sans CJK SC"/>
        <family val="2"/>
      </rPr>
      <t xml:space="preserve">人の記録【ショート】</t>
    </r>
  </si>
  <si>
    <t xml:space="preserve">2026-07-30</t>
  </si>
  <si>
    <r>
      <rPr>
        <sz val="10"/>
        <color rgb="FFA6A6A6"/>
        <rFont val="Arial"/>
        <family val="0"/>
        <charset val="1"/>
      </rPr>
      <t xml:space="preserve">1</t>
    </r>
    <r>
      <rPr>
        <sz val="10"/>
        <color rgb="FFA6A6A6"/>
        <rFont val="Noto Sans CJK SC"/>
        <family val="2"/>
      </rPr>
      <t xml:space="preserve">分ポケモン研究：レックウザの誕生に隠された秘密神話と科学が交差する瞬間</t>
    </r>
    <r>
      <rPr>
        <sz val="10"/>
        <color rgb="FFA6A6A6"/>
        <rFont val="Arial"/>
        <family val="0"/>
        <charset val="1"/>
      </rPr>
      <t xml:space="preserve">#</t>
    </r>
    <r>
      <rPr>
        <sz val="10"/>
        <color rgb="FFA6A6A6"/>
        <rFont val="Noto Sans CJK SC"/>
        <family val="2"/>
      </rPr>
      <t xml:space="preserve">レックウザの誕生に隠された秘密—神話と科学の交差点 </t>
    </r>
    <r>
      <rPr>
        <sz val="10"/>
        <color rgb="FFA6A6A6"/>
        <rFont val="Arial"/>
        <family val="0"/>
        <charset val="1"/>
      </rPr>
      <t xml:space="preserve">#shorts #</t>
    </r>
    <r>
      <rPr>
        <sz val="10"/>
        <color rgb="FFA6A6A6"/>
        <rFont val="Noto Sans CJK SC"/>
        <family val="2"/>
      </rPr>
      <t xml:space="preserve">ゆっくり解説</t>
    </r>
  </si>
  <si>
    <t xml:space="preserve">エリートトレーナーの謎—なぜ彼らだけが特別なのか？【ショート】</t>
  </si>
  <si>
    <r>
      <rPr>
        <sz val="10"/>
        <color rgb="FFA6A6A6"/>
        <rFont val="Arial"/>
        <family val="0"/>
        <charset val="1"/>
      </rPr>
      <t xml:space="preserve">1</t>
    </r>
    <r>
      <rPr>
        <sz val="10"/>
        <color rgb="FFA6A6A6"/>
        <rFont val="Noto Sans CJK SC"/>
        <family val="2"/>
      </rPr>
      <t xml:space="preserve">分ポケモン研究：ヤドンの尻尾に隠された秘密実は痛みを感じないって本当？</t>
    </r>
    <r>
      <rPr>
        <sz val="10"/>
        <color rgb="FFA6A6A6"/>
        <rFont val="Arial"/>
        <family val="0"/>
        <charset val="1"/>
      </rPr>
      <t xml:space="preserve">#</t>
    </r>
    <r>
      <rPr>
        <sz val="10"/>
        <color rgb="FFA6A6A6"/>
        <rFont val="Noto Sans CJK SC"/>
        <family val="2"/>
      </rPr>
      <t xml:space="preserve">なぜヤドンの尻尾は痛くないの？驚きの理由 </t>
    </r>
    <r>
      <rPr>
        <sz val="10"/>
        <color rgb="FFA6A6A6"/>
        <rFont val="Arial"/>
        <family val="0"/>
        <charset val="1"/>
      </rPr>
      <t xml:space="preserve">#shorts #</t>
    </r>
    <r>
      <rPr>
        <sz val="10"/>
        <color rgb="FFA6A6A6"/>
        <rFont val="Noto Sans CJK SC"/>
        <family val="2"/>
      </rPr>
      <t xml:space="preserve">ゆっくり解説</t>
    </r>
  </si>
  <si>
    <t xml:space="preserve">なぜレッドは山頂に立ち続けるのか？彼の秘密に迫る！【ショート】</t>
  </si>
  <si>
    <t xml:space="preserve">ポケモン図鑑に隠された怖すぎる説明文の真相とは？【ショート】</t>
  </si>
  <si>
    <r>
      <rPr>
        <sz val="10"/>
        <color rgb="FFA6A6A6"/>
        <rFont val="Arial"/>
        <family val="0"/>
        <charset val="1"/>
      </rPr>
      <t xml:space="preserve">1</t>
    </r>
    <r>
      <rPr>
        <sz val="10"/>
        <color rgb="FFA6A6A6"/>
        <rFont val="Noto Sans CJK SC"/>
        <family val="2"/>
      </rPr>
      <t xml:space="preserve">分ポケモン研究：図鑑のあの説明文、どうしてそんなに怖いのか？公式が書いた衝撃のテキストを考察！</t>
    </r>
    <r>
      <rPr>
        <sz val="10"/>
        <color rgb="FFA6A6A6"/>
        <rFont val="Arial"/>
        <family val="0"/>
        <charset val="1"/>
      </rPr>
      <t xml:space="preserve">#shorts #</t>
    </r>
    <r>
      <rPr>
        <sz val="10"/>
        <color rgb="FFA6A6A6"/>
        <rFont val="Noto Sans CJK SC"/>
        <family val="2"/>
      </rPr>
      <t xml:space="preserve">ゆっくり解説</t>
    </r>
  </si>
  <si>
    <r>
      <rPr>
        <sz val="10"/>
        <rFont val="Noto Sans CJK SC"/>
        <family val="2"/>
      </rPr>
      <t xml:space="preserve">なぜイーブイだけ</t>
    </r>
    <r>
      <rPr>
        <sz val="10"/>
        <rFont val="Arial"/>
        <family val="0"/>
        <charset val="1"/>
      </rPr>
      <t xml:space="preserve">8</t>
    </r>
    <r>
      <rPr>
        <sz val="10"/>
        <rFont val="Noto Sans CJK SC"/>
        <family val="2"/>
      </rPr>
      <t xml:space="preserve">種類も進化できるのか？遺伝子の暴走と分岐条件の正体がヤバすぎた【ショート】</t>
    </r>
  </si>
  <si>
    <t xml:space="preserve">なぜ御三家は炎・水・草だけ？『三すくみ』設計の裏にある本当の理由【ショート】</t>
  </si>
  <si>
    <t xml:space="preserve">なぜヤドンはシェルダーに噛まれると進化するのか？分岐進化の本当の理由がヤバすぎた【ショート】</t>
  </si>
  <si>
    <t xml:space="preserve">ゲンガーの『元ネタ』、実はまだ誰も正確に言えていない理由【ショート】</t>
  </si>
  <si>
    <t xml:space="preserve">なぜ種族値だけで強さが変わるのか？衝撃の数字の正体とは【ショート】【ショート】</t>
  </si>
  <si>
    <t xml:space="preserve">なぜ初代だけ謎のポケモンが出るのか？けつばんの正体【ショート】【ショート】</t>
  </si>
  <si>
    <r>
      <rPr>
        <sz val="10"/>
        <rFont val="Noto Sans CJK SC"/>
        <family val="2"/>
      </rPr>
      <t xml:space="preserve">なぜコイキングは種族値</t>
    </r>
    <r>
      <rPr>
        <sz val="10"/>
        <rFont val="Arial"/>
        <family val="0"/>
        <charset val="1"/>
      </rPr>
      <t xml:space="preserve">200</t>
    </r>
    <r>
      <rPr>
        <sz val="10"/>
        <rFont val="Noto Sans CJK SC"/>
        <family val="2"/>
      </rPr>
      <t xml:space="preserve">なのか？進化前だけ弱すぎる本当の理由がヤバすぎた【ショート】</t>
    </r>
  </si>
  <si>
    <r>
      <rPr>
        <sz val="10"/>
        <color rgb="FFA6A6A6"/>
        <rFont val="Arial"/>
        <family val="0"/>
        <charset val="1"/>
      </rPr>
      <t xml:space="preserve">1</t>
    </r>
    <r>
      <rPr>
        <sz val="10"/>
        <color rgb="FFA6A6A6"/>
        <rFont val="Noto Sans CJK SC"/>
        <family val="2"/>
      </rPr>
      <t xml:space="preserve">分ポケモン研究：なぜピカチュウだけ？図鑑</t>
    </r>
    <r>
      <rPr>
        <sz val="10"/>
        <color rgb="FFA6A6A6"/>
        <rFont val="Arial"/>
        <family val="0"/>
        <charset val="1"/>
      </rPr>
      <t xml:space="preserve">778</t>
    </r>
    <r>
      <rPr>
        <sz val="10"/>
        <color rgb="FFA6A6A6"/>
        <rFont val="Noto Sans CJK SC"/>
        <family val="2"/>
      </rPr>
      <t xml:space="preserve">番の本音</t>
    </r>
    <r>
      <rPr>
        <sz val="10"/>
        <color rgb="FFA6A6A6"/>
        <rFont val="Arial"/>
        <family val="0"/>
        <charset val="1"/>
      </rPr>
      <t xml:space="preserve">#</t>
    </r>
    <r>
      <rPr>
        <sz val="10"/>
        <color rgb="FFA6A6A6"/>
        <rFont val="Noto Sans CJK SC"/>
        <family val="2"/>
      </rPr>
      <t xml:space="preserve">なぜ図鑑</t>
    </r>
    <r>
      <rPr>
        <sz val="10"/>
        <color rgb="FFA6A6A6"/>
        <rFont val="Arial"/>
        <family val="0"/>
        <charset val="1"/>
      </rPr>
      <t xml:space="preserve">778</t>
    </r>
    <r>
      <rPr>
        <sz val="10"/>
        <color rgb="FFA6A6A6"/>
        <rFont val="Noto Sans CJK SC"/>
        <family val="2"/>
      </rPr>
      <t xml:space="preserve">番はピカチュウだけ真似るのか？理由が意外すぎた【ショート】 </t>
    </r>
    <r>
      <rPr>
        <sz val="10"/>
        <color rgb="FFA6A6A6"/>
        <rFont val="Arial"/>
        <family val="0"/>
        <charset val="1"/>
      </rPr>
      <t xml:space="preserve">#shorts #</t>
    </r>
    <r>
      <rPr>
        <sz val="10"/>
        <color rgb="FFA6A6A6"/>
        <rFont val="Noto Sans CJK SC"/>
        <family val="2"/>
      </rPr>
      <t xml:space="preserve">ゆっくり解説</t>
    </r>
  </si>
  <si>
    <r>
      <rPr>
        <sz val="10"/>
        <rFont val="Noto Sans CJK SC"/>
        <family val="2"/>
      </rPr>
      <t xml:space="preserve">なぜレックウザは空から降りないのか？図鑑</t>
    </r>
    <r>
      <rPr>
        <sz val="10"/>
        <rFont val="Arial"/>
        <family val="0"/>
        <charset val="1"/>
      </rPr>
      <t xml:space="preserve">384</t>
    </r>
    <r>
      <rPr>
        <sz val="10"/>
        <rFont val="Noto Sans CJK SC"/>
        <family val="2"/>
      </rPr>
      <t xml:space="preserve">番の誕生神話が衝撃すぎた【ショート】【ショート】</t>
    </r>
  </si>
  <si>
    <t xml:space="preserve">なぜ同じドラゴンなのに勝敗が割れるのか？カイリューとボーマンダの隠された実戦性能の秘密【ショート】</t>
  </si>
  <si>
    <r>
      <rPr>
        <sz val="10"/>
        <rFont val="Noto Sans CJK SC"/>
        <family val="2"/>
      </rPr>
      <t xml:space="preserve">なぜメタグロスはサーフゴーに勝てない？持ち物</t>
    </r>
    <r>
      <rPr>
        <sz val="10"/>
        <rFont val="Arial"/>
        <family val="0"/>
        <charset val="1"/>
      </rPr>
      <t xml:space="preserve">1</t>
    </r>
    <r>
      <rPr>
        <sz val="10"/>
        <rFont val="Noto Sans CJK SC"/>
        <family val="2"/>
      </rPr>
      <t xml:space="preserve">つで逆転する本当の理由【ショート】</t>
    </r>
  </si>
  <si>
    <t xml:space="preserve">なぜパルキアは勝てないと言われる？ウルトラネクロズマとの数字差が意外すぎる【ショート】</t>
  </si>
  <si>
    <t xml:space="preserve">ルカリオとウルガモス、どっちが勝つ？相性有利がひっくり返る実戦条件【ショート】</t>
  </si>
  <si>
    <t xml:space="preserve">ミミッキュとロトム、どっちが勝つ？姿変化を実戦で比べた結果【ショート】</t>
  </si>
  <si>
    <t xml:space="preserve">ホウオウとルギア、まともに戦わせたらどっちが勝つのか【ショート】</t>
  </si>
  <si>
    <r>
      <rPr>
        <sz val="10"/>
        <rFont val="Noto Sans CJK SC"/>
        <family val="2"/>
      </rPr>
      <t xml:space="preserve">バンギラスとメタグロス、どっちが勝つ？</t>
    </r>
    <r>
      <rPr>
        <sz val="10"/>
        <rFont val="Arial"/>
        <family val="0"/>
        <charset val="1"/>
      </rPr>
      <t xml:space="preserve">600</t>
    </r>
    <r>
      <rPr>
        <sz val="10"/>
        <rFont val="Noto Sans CJK SC"/>
        <family val="2"/>
      </rPr>
      <t xml:space="preserve">族対決は持ち物</t>
    </r>
    <r>
      <rPr>
        <sz val="10"/>
        <rFont val="Arial"/>
        <family val="0"/>
        <charset val="1"/>
      </rPr>
      <t xml:space="preserve">1</t>
    </r>
    <r>
      <rPr>
        <sz val="10"/>
        <rFont val="Noto Sans CJK SC"/>
        <family val="2"/>
      </rPr>
      <t xml:space="preserve">つで逆転する【ショート】</t>
    </r>
  </si>
  <si>
    <r>
      <rPr>
        <sz val="10"/>
        <rFont val="Noto Sans CJK SC"/>
        <family val="2"/>
      </rPr>
      <t xml:space="preserve">リザードンとカイリュー、どっちが勝つ？</t>
    </r>
    <r>
      <rPr>
        <sz val="10"/>
        <rFont val="Arial"/>
        <family val="0"/>
        <charset val="1"/>
      </rPr>
      <t xml:space="preserve">4</t>
    </r>
    <r>
      <rPr>
        <sz val="10"/>
        <rFont val="Noto Sans CJK SC"/>
        <family val="2"/>
      </rPr>
      <t xml:space="preserve">倍弱点で勝敗がひっくり返る【ショート】</t>
    </r>
  </si>
  <si>
    <r>
      <rPr>
        <sz val="10"/>
        <rFont val="Noto Sans CJK SC"/>
        <family val="2"/>
      </rPr>
      <t xml:space="preserve">ガブリアスとボーマンダ、素早さ</t>
    </r>
    <r>
      <rPr>
        <sz val="10"/>
        <rFont val="Arial"/>
        <family val="0"/>
        <charset val="1"/>
      </rPr>
      <t xml:space="preserve">1</t>
    </r>
    <r>
      <rPr>
        <sz val="10"/>
        <rFont val="Noto Sans CJK SC"/>
        <family val="2"/>
      </rPr>
      <t xml:space="preserve">でどっちが勝つ？君は気づけるか【ショート】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</si>
  <si>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#9</t>
    </r>
    <r>
      <rPr>
        <sz val="10"/>
        <rFont val="Noto Sans CJK SC"/>
        <family val="2"/>
      </rPr>
      <t xml:space="preserve">：🎮カイオーガとグラードン、天候を</t>
    </r>
    <r>
      <rPr>
        <sz val="10"/>
        <rFont val="Arial"/>
        <family val="0"/>
        <charset val="1"/>
      </rPr>
      <t xml:space="preserve">2</t>
    </r>
    <r>
      <rPr>
        <sz val="10"/>
        <rFont val="Noto Sans CJK SC"/>
        <family val="2"/>
      </rPr>
      <t xml:space="preserve">回張ったらどっちが勝つ？【ショート】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</si>
  <si>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#10</t>
    </r>
    <r>
      <rPr>
        <sz val="10"/>
        <rFont val="Noto Sans CJK SC"/>
        <family val="2"/>
      </rPr>
      <t xml:space="preserve">：🔥あなたの飲み物を</t>
    </r>
    <r>
      <rPr>
        <sz val="10"/>
        <rFont val="Arial"/>
        <family val="0"/>
        <charset val="1"/>
      </rPr>
      <t xml:space="preserve">6</t>
    </r>
    <r>
      <rPr>
        <sz val="10"/>
        <rFont val="Noto Sans CJK SC"/>
        <family val="2"/>
      </rPr>
      <t xml:space="preserve">時間守るポケモン、なぜ存在する？【ショート】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</si>
  <si>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#11</t>
    </r>
    <r>
      <rPr>
        <sz val="10"/>
        <rFont val="Noto Sans CJK SC"/>
        <family val="2"/>
      </rPr>
      <t xml:space="preserve">：🔥ドラパルトとガブリアス、君は</t>
    </r>
    <r>
      <rPr>
        <sz val="10"/>
        <rFont val="Arial"/>
        <family val="0"/>
        <charset val="1"/>
      </rPr>
      <t xml:space="preserve">3</t>
    </r>
    <r>
      <rPr>
        <sz val="10"/>
        <rFont val="Noto Sans CJK SC"/>
        <family val="2"/>
      </rPr>
      <t xml:space="preserve">秒で速さの壁を越えられる？【ショート】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</si>
  <si>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#12</t>
    </r>
    <r>
      <rPr>
        <sz val="10"/>
        <rFont val="Noto Sans CJK SC"/>
        <family val="2"/>
      </rPr>
      <t xml:space="preserve">：💧サーナイトとエルレイド、君はなぜ</t>
    </r>
    <r>
      <rPr>
        <sz val="10"/>
        <rFont val="Arial"/>
        <family val="0"/>
        <charset val="1"/>
      </rPr>
      <t xml:space="preserve">2</t>
    </r>
    <r>
      <rPr>
        <sz val="10"/>
        <rFont val="Noto Sans CJK SC"/>
        <family val="2"/>
      </rPr>
      <t xml:space="preserve">つの攻撃で迷う？【ショート】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</si>
  <si>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#13</t>
    </r>
    <r>
      <rPr>
        <sz val="10"/>
        <rFont val="Noto Sans CJK SC"/>
        <family val="2"/>
      </rPr>
      <t xml:space="preserve">：👀グリーンに隠された</t>
    </r>
    <r>
      <rPr>
        <sz val="10"/>
        <rFont val="Arial"/>
        <family val="0"/>
        <charset val="1"/>
      </rPr>
      <t xml:space="preserve">3</t>
    </r>
    <r>
      <rPr>
        <sz val="10"/>
        <rFont val="Noto Sans CJK SC"/>
        <family val="2"/>
      </rPr>
      <t xml:space="preserve">つの秘密、あなたは本当の役割に気づいた？【ショート】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</si>
  <si>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#14</t>
    </r>
    <r>
      <rPr>
        <sz val="10"/>
        <rFont val="Noto Sans CJK SC"/>
        <family val="2"/>
      </rPr>
      <t xml:space="preserve">：👀ロケット団に隠された</t>
    </r>
    <r>
      <rPr>
        <sz val="10"/>
        <rFont val="Arial"/>
        <family val="0"/>
        <charset val="1"/>
      </rPr>
      <t xml:space="preserve">3</t>
    </r>
    <r>
      <rPr>
        <sz val="10"/>
        <rFont val="Noto Sans CJK SC"/>
        <family val="2"/>
      </rPr>
      <t xml:space="preserve">つの秘密、あなたは本当の目的を知ってる？【ショート】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</si>
  <si>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#15</t>
    </r>
    <r>
      <rPr>
        <sz val="10"/>
        <rFont val="Noto Sans CJK SC"/>
        <family val="2"/>
      </rPr>
      <t xml:space="preserve">：👀シャンデラに隠された秘密、なぜ霊タイプ？君が知らない</t>
    </r>
    <r>
      <rPr>
        <sz val="10"/>
        <rFont val="Arial"/>
        <family val="0"/>
        <charset val="1"/>
      </rPr>
      <t xml:space="preserve">3</t>
    </r>
    <r>
      <rPr>
        <sz val="10"/>
        <rFont val="Noto Sans CJK SC"/>
        <family val="2"/>
      </rPr>
      <t xml:space="preserve">つの由来【ショート】</t>
    </r>
  </si>
  <si>
    <r>
      <rPr>
        <sz val="10"/>
        <rFont val="Arial"/>
        <family val="0"/>
        <charset val="1"/>
      </rPr>
      <t xml:space="preserve">1</t>
    </r>
    <r>
      <rPr>
        <sz val="10"/>
        <rFont val="Noto Sans CJK SC"/>
        <family val="2"/>
      </rPr>
      <t xml:space="preserve">分ポケモン研究：ヌメルゴンとバンギラス、特防が高いのはどっち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</si>
  <si>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r>
      <rPr>
        <sz val="10"/>
        <rFont val="Arial"/>
        <family val="0"/>
        <charset val="1"/>
      </rPr>
      <t xml:space="preserve">1</t>
    </r>
    <r>
      <rPr>
        <sz val="10"/>
        <rFont val="Noto Sans CJK SC"/>
        <family val="2"/>
      </rPr>
      <t xml:space="preserve">分ポケモン研究 </t>
    </r>
    <r>
      <rPr>
        <sz val="10"/>
        <rFont val="Arial"/>
        <family val="0"/>
        <charset val="1"/>
      </rPr>
      <t xml:space="preserve">#17</t>
    </r>
    <r>
      <rPr>
        <sz val="10"/>
        <rFont val="Noto Sans CJK SC"/>
        <family val="2"/>
      </rPr>
      <t xml:space="preserve">：👀ミュウツーに隠された</t>
    </r>
    <r>
      <rPr>
        <sz val="10"/>
        <rFont val="Arial"/>
        <family val="0"/>
        <charset val="1"/>
      </rPr>
      <t xml:space="preserve">3</t>
    </r>
    <r>
      <rPr>
        <sz val="10"/>
        <rFont val="Noto Sans CJK SC"/>
        <family val="2"/>
      </rPr>
      <t xml:space="preserve">手先の秘密、</t>
    </r>
    <r>
      <rPr>
        <sz val="10"/>
        <rFont val="Arial"/>
        <family val="0"/>
        <charset val="1"/>
      </rPr>
      <t xml:space="preserve">AI</t>
    </r>
    <r>
      <rPr>
        <sz val="10"/>
        <rFont val="Noto Sans CJK SC"/>
        <family val="2"/>
      </rPr>
      <t xml:space="preserve">はなぜ交代を読める？【ショート】</t>
    </r>
  </si>
  <si>
    <r>
      <rPr>
        <sz val="10"/>
        <color rgb="FFA6A6A6"/>
        <rFont val="Arial"/>
        <family val="0"/>
        <charset val="1"/>
      </rPr>
      <t xml:space="preserve">1</t>
    </r>
    <r>
      <rPr>
        <sz val="10"/>
        <color rgb="FFA6A6A6"/>
        <rFont val="Noto Sans CJK SC"/>
        <family val="2"/>
      </rPr>
      <t xml:space="preserve">分ポケモン研究 </t>
    </r>
    <r>
      <rPr>
        <sz val="10"/>
        <color rgb="FFA6A6A6"/>
        <rFont val="Arial"/>
        <family val="0"/>
        <charset val="1"/>
      </rPr>
      <t xml:space="preserve">#18</t>
    </r>
    <r>
      <rPr>
        <sz val="10"/>
        <color rgb="FFA6A6A6"/>
        <rFont val="Noto Sans CJK SC"/>
        <family val="2"/>
      </rPr>
      <t xml:space="preserve">：👀ポケモンタワーに隠された秘密、あなたが見落とす</t>
    </r>
    <r>
      <rPr>
        <sz val="10"/>
        <color rgb="FFA6A6A6"/>
        <rFont val="Arial"/>
        <family val="0"/>
        <charset val="1"/>
      </rPr>
      <t xml:space="preserve">3</t>
    </r>
    <r>
      <rPr>
        <sz val="10"/>
        <color rgb="FFA6A6A6"/>
        <rFont val="Noto Sans CJK SC"/>
        <family val="2"/>
      </rPr>
      <t xml:space="preserve">つの違和感は？👀【ショート】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</si>
  <si>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#19</t>
    </r>
    <r>
      <rPr>
        <sz val="10"/>
        <rFont val="Noto Sans CJK SC"/>
        <family val="2"/>
      </rPr>
      <t xml:space="preserve">：🕵️ケッキングに隠された</t>
    </r>
    <r>
      <rPr>
        <sz val="10"/>
        <rFont val="Arial"/>
        <family val="0"/>
        <charset val="1"/>
      </rPr>
      <t xml:space="preserve">2</t>
    </r>
    <r>
      <rPr>
        <sz val="10"/>
        <rFont val="Noto Sans CJK SC"/>
        <family val="2"/>
      </rPr>
      <t xml:space="preserve">ターンの秘密、種族値</t>
    </r>
    <r>
      <rPr>
        <sz val="10"/>
        <rFont val="Arial"/>
        <family val="0"/>
        <charset val="1"/>
      </rPr>
      <t xml:space="preserve">670</t>
    </r>
    <r>
      <rPr>
        <sz val="10"/>
        <rFont val="Noto Sans CJK SC"/>
        <family val="2"/>
      </rPr>
      <t xml:space="preserve">なのになぜ使えない？【ショート】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</si>
  <si>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#20</t>
    </r>
    <r>
      <rPr>
        <sz val="10"/>
        <rFont val="Noto Sans CJK SC"/>
        <family val="2"/>
      </rPr>
      <t xml:space="preserve">：👀</t>
    </r>
    <r>
      <rPr>
        <sz val="10"/>
        <rFont val="Arial"/>
        <family val="0"/>
        <charset val="1"/>
      </rPr>
      <t xml:space="preserve">GU</t>
    </r>
    <r>
      <rPr>
        <sz val="10"/>
        <rFont val="Noto Sans CJK SC"/>
        <family val="2"/>
      </rPr>
      <t xml:space="preserve">ポケモンコラボに隠された</t>
    </r>
    <r>
      <rPr>
        <sz val="10"/>
        <rFont val="Arial"/>
        <family val="0"/>
        <charset val="1"/>
      </rPr>
      <t xml:space="preserve">5</t>
    </r>
    <r>
      <rPr>
        <sz val="10"/>
        <rFont val="Noto Sans CJK SC"/>
        <family val="2"/>
      </rPr>
      <t xml:space="preserve">つの秘密、ピカチュウだけじゃない理由は？❓【ショート】</t>
    </r>
  </si>
  <si>
    <r>
      <rPr>
        <sz val="10"/>
        <color rgb="FFA6A6A6"/>
        <rFont val="Arial"/>
        <family val="0"/>
        <charset val="1"/>
      </rPr>
      <t xml:space="preserve">1</t>
    </r>
    <r>
      <rPr>
        <sz val="10"/>
        <color rgb="FFA6A6A6"/>
        <rFont val="Noto Sans CJK SC"/>
        <family val="2"/>
      </rPr>
      <t xml:space="preserve">分ポケモン研究 </t>
    </r>
    <r>
      <rPr>
        <sz val="10"/>
        <color rgb="FFA6A6A6"/>
        <rFont val="Arial"/>
        <family val="0"/>
        <charset val="1"/>
      </rPr>
      <t xml:space="preserve">#21</t>
    </r>
    <r>
      <rPr>
        <sz val="10"/>
        <color rgb="FFA6A6A6"/>
        <rFont val="Noto Sans CJK SC"/>
        <family val="2"/>
      </rPr>
      <t xml:space="preserve">：👀カビゴンが道を塞ぐ理由に隠された</t>
    </r>
    <r>
      <rPr>
        <sz val="10"/>
        <color rgb="FFA6A6A6"/>
        <rFont val="Arial"/>
        <family val="0"/>
        <charset val="1"/>
      </rPr>
      <t xml:space="preserve">1</t>
    </r>
    <r>
      <rPr>
        <sz val="10"/>
        <color rgb="FFA6A6A6"/>
        <rFont val="Noto Sans CJK SC"/>
        <family val="2"/>
      </rPr>
      <t xml:space="preserve">日の秘密、あなたは気づいた？🔍【ショート】</t>
    </r>
  </si>
  <si>
    <r>
      <rPr>
        <sz val="10"/>
        <color rgb="FFA6A6A6"/>
        <rFont val="Arial"/>
        <family val="0"/>
        <charset val="1"/>
      </rPr>
      <t xml:space="preserve">1</t>
    </r>
    <r>
      <rPr>
        <sz val="10"/>
        <color rgb="FFA6A6A6"/>
        <rFont val="Noto Sans CJK SC"/>
        <family val="2"/>
      </rPr>
      <t xml:space="preserve">分ポケモン研究 </t>
    </r>
    <r>
      <rPr>
        <sz val="10"/>
        <color rgb="FFA6A6A6"/>
        <rFont val="Arial"/>
        <family val="0"/>
        <charset val="1"/>
      </rPr>
      <t xml:space="preserve">#22</t>
    </r>
    <r>
      <rPr>
        <sz val="10"/>
        <color rgb="FFA6A6A6"/>
        <rFont val="Noto Sans CJK SC"/>
        <family val="2"/>
      </rPr>
      <t xml:space="preserve">：😨ラプラスに隠された秘密、図鑑の</t>
    </r>
    <r>
      <rPr>
        <sz val="10"/>
        <color rgb="FFA6A6A6"/>
        <rFont val="Arial"/>
        <family val="0"/>
        <charset val="1"/>
      </rPr>
      <t xml:space="preserve">1</t>
    </r>
    <r>
      <rPr>
        <sz val="10"/>
        <color rgb="FFA6A6A6"/>
        <rFont val="Noto Sans CJK SC"/>
        <family val="2"/>
      </rPr>
      <t xml:space="preserve">文で人間側がヤバい？【ショート】</t>
    </r>
  </si>
  <si>
    <r>
      <rPr>
        <sz val="10"/>
        <color rgb="FFA6A6A6"/>
        <rFont val="Noto Sans CJK SC"/>
        <family val="2"/>
      </rPr>
      <t xml:space="preserve">ピカチュウは</t>
    </r>
    <r>
      <rPr>
        <sz val="10"/>
        <color rgb="FFA6A6A6"/>
        <rFont val="Arial"/>
        <family val="0"/>
        <charset val="1"/>
      </rPr>
      <t xml:space="preserve">10%</t>
    </r>
    <r>
      <rPr>
        <sz val="10"/>
        <color rgb="FFA6A6A6"/>
        <rFont val="Noto Sans CJK SC"/>
        <family val="2"/>
      </rPr>
      <t xml:space="preserve">なのになぜ看板？【ショート】</t>
    </r>
  </si>
  <si>
    <t xml:space="preserve">2026-05-17</t>
  </si>
  <si>
    <r>
      <rPr>
        <sz val="10"/>
        <color rgb="FFA6A6A6"/>
        <rFont val="Noto Sans CJK SC"/>
        <family val="2"/>
      </rPr>
      <t xml:space="preserve">なぜ『顔』だけ？見ると必ず殺しに来る</t>
    </r>
    <r>
      <rPr>
        <sz val="10"/>
        <color rgb="FFA6A6A6"/>
        <rFont val="Arial"/>
        <family val="0"/>
        <charset val="1"/>
      </rPr>
      <t xml:space="preserve">SCP-096</t>
    </r>
    <r>
      <rPr>
        <sz val="10"/>
        <color rgb="FFA6A6A6"/>
        <rFont val="Noto Sans CJK SC"/>
        <family val="2"/>
      </rPr>
      <t xml:space="preserve">の恐ろしすぎる執念</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</si>
  <si>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：見ただけで殺される</t>
    </r>
    <r>
      <rPr>
        <sz val="10"/>
        <color rgb="FFA6A6A6"/>
        <rFont val="Arial"/>
        <family val="0"/>
        <charset val="1"/>
      </rPr>
      <t xml:space="preserve">SCP-096</t>
    </r>
    <r>
      <rPr>
        <sz val="10"/>
        <color rgb="FFA6A6A6"/>
        <rFont val="Noto Sans CJK SC"/>
        <family val="2"/>
      </rPr>
      <t xml:space="preserve">の正体</t>
    </r>
    <r>
      <rPr>
        <sz val="10"/>
        <color rgb="FFA6A6A6"/>
        <rFont val="Arial"/>
        <family val="0"/>
        <charset val="1"/>
      </rPr>
      <t xml:space="preserve">#</t>
    </r>
    <r>
      <rPr>
        <sz val="10"/>
        <color rgb="FFA6A6A6"/>
        <rFont val="Noto Sans CJK SC"/>
        <family val="2"/>
      </rPr>
      <t xml:space="preserve">なぜ『顔』だけ？見ると必ず殺しに来る</t>
    </r>
    <r>
      <rPr>
        <sz val="10"/>
        <color rgb="FFA6A6A6"/>
        <rFont val="Arial"/>
        <family val="0"/>
        <charset val="1"/>
      </rPr>
      <t xml:space="preserve">SCP-096</t>
    </r>
    <r>
      <rPr>
        <sz val="10"/>
        <color rgb="FFA6A6A6"/>
        <rFont val="Noto Sans CJK SC"/>
        <family val="2"/>
      </rPr>
      <t xml:space="preserve">の恐ろしすぎる執念 </t>
    </r>
    <r>
      <rPr>
        <sz val="10"/>
        <color rgb="FFA6A6A6"/>
        <rFont val="Arial"/>
        <family val="0"/>
        <charset val="1"/>
      </rPr>
      <t xml:space="preserve">#shorts #</t>
    </r>
    <r>
      <rPr>
        <sz val="10"/>
        <color rgb="FFA6A6A6"/>
        <rFont val="Noto Sans CJK SC"/>
        <family val="2"/>
      </rPr>
      <t xml:space="preserve">ゆっくり解説</t>
    </r>
  </si>
  <si>
    <t xml:space="preserve">2026-05-23</t>
  </si>
  <si>
    <r>
      <rPr>
        <sz val="10"/>
        <color rgb="FFA6A6A6"/>
        <rFont val="Noto Sans CJK SC"/>
        <family val="2"/>
      </rPr>
      <t xml:space="preserve">【ゆっくり解説】治療＝即死？ペスト医師の真実「</t>
    </r>
    <r>
      <rPr>
        <sz val="10"/>
        <color rgb="FFA6A6A6"/>
        <rFont val="Arial"/>
        <family val="0"/>
        <charset val="1"/>
      </rPr>
      <t xml:space="preserve">SCP-049</t>
    </r>
    <r>
      <rPr>
        <sz val="10"/>
        <color rgb="FFA6A6A6"/>
        <rFont val="Noto Sans CJK SC"/>
        <family val="2"/>
      </rPr>
      <t xml:space="preserve">の治療で死ぬのはなぜ？ペスト医師が隠し続ける『真の目的』」</t>
    </r>
  </si>
  <si>
    <r>
      <rPr>
        <sz val="10"/>
        <color rgb="FFA6A6A6"/>
        <rFont val="Arial"/>
        <family val="0"/>
        <charset val="1"/>
      </rPr>
      <t xml:space="preserve">SCP-049</t>
    </r>
    <r>
      <rPr>
        <sz val="10"/>
        <color rgb="FFA6A6A6"/>
        <rFont val="Noto Sans CJK SC"/>
        <family val="2"/>
      </rPr>
      <t xml:space="preserve">の治療で死ぬのはなぜ？ペスト医師が隠し続ける『真の目的』【ショート】</t>
    </r>
  </si>
  <si>
    <r>
      <rPr>
        <sz val="10"/>
        <color rgb="FFA6A6A6"/>
        <rFont val="Noto Sans CJK SC"/>
        <family val="2"/>
      </rPr>
      <t xml:space="preserve">【ゆっくり解説】階段を降りると聞こえる『あの声』の正体とは「階段を降りると『あの声』が聞こえる</t>
    </r>
    <r>
      <rPr>
        <sz val="10"/>
        <color rgb="FFA6A6A6"/>
        <rFont val="Arial"/>
        <family val="0"/>
        <charset val="1"/>
      </rPr>
      <t xml:space="preserve">...SCP-087</t>
    </r>
    <r>
      <rPr>
        <sz val="10"/>
        <color rgb="FFA6A6A6"/>
        <rFont val="Noto Sans CJK SC"/>
        <family val="2"/>
      </rPr>
      <t xml:space="preserve">で判明した地下施設の正体」</t>
    </r>
  </si>
  <si>
    <r>
      <rPr>
        <sz val="10"/>
        <color rgb="FFA6A6A6"/>
        <rFont val="Noto Sans CJK SC"/>
        <family val="2"/>
      </rPr>
      <t xml:space="preserve">階段を降りると『あの声』が聞こえる</t>
    </r>
    <r>
      <rPr>
        <sz val="10"/>
        <color rgb="FFA6A6A6"/>
        <rFont val="Arial"/>
        <family val="0"/>
        <charset val="1"/>
      </rPr>
      <t xml:space="preserve">...SCP-087</t>
    </r>
    <r>
      <rPr>
        <sz val="10"/>
        <color rgb="FFA6A6A6"/>
        <rFont val="Noto Sans CJK SC"/>
        <family val="2"/>
      </rPr>
      <t xml:space="preserve">で判明した地下施設の正体【ショート】</t>
    </r>
  </si>
  <si>
    <t xml:space="preserve">2026-05-29</t>
  </si>
  <si>
    <r>
      <rPr>
        <sz val="10"/>
        <color rgb="FFA6A6A6"/>
        <rFont val="Noto Sans CJK SC"/>
        <family val="2"/>
      </rPr>
      <t xml:space="preserve">【ゆっくり解説】木星の大赤斑に隠れた地球</t>
    </r>
    <r>
      <rPr>
        <sz val="10"/>
        <color rgb="FFA6A6A6"/>
        <rFont val="Arial"/>
        <family val="0"/>
        <charset val="1"/>
      </rPr>
      <t xml:space="preserve">2</t>
    </r>
    <r>
      <rPr>
        <sz val="10"/>
        <color rgb="FFA6A6A6"/>
        <rFont val="Noto Sans CJK SC"/>
        <family val="2"/>
      </rPr>
      <t xml:space="preserve">個分の超兵器「木星に『</t>
    </r>
    <r>
      <rPr>
        <sz val="10"/>
        <color rgb="FFA6A6A6"/>
        <rFont val="Arial"/>
        <family val="0"/>
        <charset val="1"/>
      </rPr>
      <t xml:space="preserve">2</t>
    </r>
    <r>
      <rPr>
        <sz val="10"/>
        <color rgb="FFA6A6A6"/>
        <rFont val="Noto Sans CJK SC"/>
        <family val="2"/>
      </rPr>
      <t xml:space="preserve">倍地球サイズの超兵器』が潜んでいる事実、知ってた？」</t>
    </r>
  </si>
  <si>
    <r>
      <rPr>
        <sz val="10"/>
        <color rgb="FFA6A6A6"/>
        <rFont val="Noto Sans CJK SC"/>
        <family val="2"/>
      </rPr>
      <t xml:space="preserve">木星に『</t>
    </r>
    <r>
      <rPr>
        <sz val="10"/>
        <color rgb="FFA6A6A6"/>
        <rFont val="Arial"/>
        <family val="0"/>
        <charset val="1"/>
      </rPr>
      <t xml:space="preserve">2</t>
    </r>
    <r>
      <rPr>
        <sz val="10"/>
        <color rgb="FFA6A6A6"/>
        <rFont val="Noto Sans CJK SC"/>
        <family val="2"/>
      </rPr>
      <t xml:space="preserve">倍地球サイズの超兵器』が潜んでいる事実、知ってた？【ショート】</t>
    </r>
  </si>
  <si>
    <r>
      <rPr>
        <sz val="10"/>
        <color rgb="FFA6A6A6"/>
        <rFont val="Noto Sans CJK SC"/>
        <family val="2"/>
      </rPr>
      <t xml:space="preserve">【ゆっくり解説】世界を救うため財団が使う</t>
    </r>
    <r>
      <rPr>
        <sz val="10"/>
        <color rgb="FFA6A6A6"/>
        <rFont val="Arial"/>
        <family val="0"/>
        <charset val="1"/>
      </rPr>
      <t xml:space="preserve">SCP</t>
    </r>
    <r>
      <rPr>
        <sz val="10"/>
        <color rgb="FFA6A6A6"/>
        <rFont val="Noto Sans CJK SC"/>
        <family val="2"/>
      </rPr>
      <t xml:space="preserve">「財団が世界を救うために『使う』</t>
    </r>
    <r>
      <rPr>
        <sz val="10"/>
        <color rgb="FFA6A6A6"/>
        <rFont val="Arial"/>
        <family val="0"/>
        <charset val="1"/>
      </rPr>
      <t xml:space="preserve">SCP...Thaumiel</t>
    </r>
    <r>
      <rPr>
        <sz val="10"/>
        <color rgb="FFA6A6A6"/>
        <rFont val="Noto Sans CJK SC"/>
        <family val="2"/>
      </rPr>
      <t xml:space="preserve">クラス</t>
    </r>
    <r>
      <rPr>
        <sz val="10"/>
        <color rgb="FFA6A6A6"/>
        <rFont val="Arial"/>
        <family val="0"/>
        <charset val="1"/>
      </rPr>
      <t xml:space="preserve">5</t>
    </r>
    <r>
      <rPr>
        <sz val="10"/>
        <color rgb="FFA6A6A6"/>
        <rFont val="Noto Sans CJK SC"/>
        <family val="2"/>
      </rPr>
      <t xml:space="preserve">体の恐るべき正体」</t>
    </r>
  </si>
  <si>
    <r>
      <rPr>
        <sz val="10"/>
        <color rgb="FFA6A6A6"/>
        <rFont val="Noto Sans CJK SC"/>
        <family val="2"/>
      </rPr>
      <t xml:space="preserve">財団が世界を救うために『使う』</t>
    </r>
    <r>
      <rPr>
        <sz val="10"/>
        <color rgb="FFA6A6A6"/>
        <rFont val="Arial"/>
        <family val="0"/>
        <charset val="1"/>
      </rPr>
      <t xml:space="preserve">SCP...Thaumiel</t>
    </r>
    <r>
      <rPr>
        <sz val="10"/>
        <color rgb="FFA6A6A6"/>
        <rFont val="Noto Sans CJK SC"/>
        <family val="2"/>
      </rPr>
      <t xml:space="preserve">クラス</t>
    </r>
    <r>
      <rPr>
        <sz val="10"/>
        <color rgb="FFA6A6A6"/>
        <rFont val="Arial"/>
        <family val="0"/>
        <charset val="1"/>
      </rPr>
      <t xml:space="preserve">5</t>
    </r>
    <r>
      <rPr>
        <sz val="10"/>
        <color rgb="FFA6A6A6"/>
        <rFont val="Noto Sans CJK SC"/>
        <family val="2"/>
      </rPr>
      <t xml:space="preserve">体の恐るべき正体【ショート】</t>
    </r>
  </si>
  <si>
    <t xml:space="preserve">unknown</t>
  </si>
  <si>
    <t xml:space="preserve">2026-06-06</t>
  </si>
  <si>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：視線を外すと首の骨が折れる</t>
    </r>
    <r>
      <rPr>
        <sz val="10"/>
        <color rgb="FFA6A6A6"/>
        <rFont val="Arial"/>
        <family val="0"/>
        <charset val="1"/>
      </rPr>
      <t xml:space="preserve">#</t>
    </r>
    <r>
      <rPr>
        <sz val="10"/>
        <color rgb="FFA6A6A6"/>
        <rFont val="Noto Sans CJK SC"/>
        <family val="2"/>
      </rPr>
      <t xml:space="preserve">なぜ</t>
    </r>
    <r>
      <rPr>
        <sz val="10"/>
        <color rgb="FFA6A6A6"/>
        <rFont val="Arial"/>
        <family val="0"/>
        <charset val="1"/>
      </rPr>
      <t xml:space="preserve">173</t>
    </r>
    <r>
      <rPr>
        <sz val="10"/>
        <color rgb="FFA6A6A6"/>
        <rFont val="Noto Sans CJK SC"/>
        <family val="2"/>
      </rPr>
      <t xml:space="preserve">体だけが『視線』に依存するのか？ </t>
    </r>
    <r>
      <rPr>
        <sz val="10"/>
        <color rgb="FFA6A6A6"/>
        <rFont val="Arial"/>
        <family val="0"/>
        <charset val="1"/>
      </rPr>
      <t xml:space="preserve">#shorts #</t>
    </r>
    <r>
      <rPr>
        <sz val="10"/>
        <color rgb="FFA6A6A6"/>
        <rFont val="Noto Sans CJK SC"/>
        <family val="2"/>
      </rPr>
      <t xml:space="preserve">ゆっくり解説</t>
    </r>
  </si>
  <si>
    <t xml:space="preserve">2026-06-11</t>
  </si>
  <si>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：癒し系</t>
    </r>
    <r>
      <rPr>
        <sz val="10"/>
        <color rgb="FFA6A6A6"/>
        <rFont val="Arial"/>
        <family val="0"/>
        <charset val="1"/>
      </rPr>
      <t xml:space="preserve">SCP</t>
    </r>
    <r>
      <rPr>
        <sz val="10"/>
        <color rgb="FFA6A6A6"/>
        <rFont val="Noto Sans CJK SC"/>
        <family val="2"/>
      </rPr>
      <t xml:space="preserve">の裏に潜む財団機密の恐怖</t>
    </r>
    <r>
      <rPr>
        <sz val="10"/>
        <color rgb="FFA6A6A6"/>
        <rFont val="Arial"/>
        <family val="0"/>
        <charset val="1"/>
      </rPr>
      <t xml:space="preserve">#SCP-999</t>
    </r>
    <r>
      <rPr>
        <sz val="10"/>
        <color rgb="FFA6A6A6"/>
        <rFont val="Noto Sans CJK SC"/>
        <family val="2"/>
      </rPr>
      <t xml:space="preserve">が『</t>
    </r>
    <r>
      <rPr>
        <sz val="10"/>
        <color rgb="FFA6A6A6"/>
        <rFont val="Arial"/>
        <family val="0"/>
        <charset val="1"/>
      </rPr>
      <t xml:space="preserve">Safe</t>
    </r>
    <r>
      <rPr>
        <sz val="10"/>
        <color rgb="FFA6A6A6"/>
        <rFont val="Noto Sans CJK SC"/>
        <family val="2"/>
      </rPr>
      <t xml:space="preserve">クラス』な本当の理由…財団が隠す恐ろしい真実 </t>
    </r>
    <r>
      <rPr>
        <sz val="10"/>
        <color rgb="FFA6A6A6"/>
        <rFont val="Arial"/>
        <family val="0"/>
        <charset val="1"/>
      </rPr>
      <t xml:space="preserve">#shorts #</t>
    </r>
    <r>
      <rPr>
        <sz val="10"/>
        <color rgb="FFA6A6A6"/>
        <rFont val="Noto Sans CJK SC"/>
        <family val="2"/>
      </rPr>
      <t xml:space="preserve">ゆっくり解説</t>
    </r>
  </si>
  <si>
    <t xml:space="preserve">2026-06-15</t>
  </si>
  <si>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：削除できないアプリ</t>
    </r>
    <r>
      <rPr>
        <sz val="10"/>
        <color rgb="FFA6A6A6"/>
        <rFont val="Arial"/>
        <family val="0"/>
        <charset val="1"/>
      </rPr>
      <t xml:space="preserve">SCP-1471</t>
    </r>
    <r>
      <rPr>
        <sz val="10"/>
        <color rgb="FFA6A6A6"/>
        <rFont val="Noto Sans CJK SC"/>
        <family val="2"/>
      </rPr>
      <t xml:space="preserve">の恐怖</t>
    </r>
    <r>
      <rPr>
        <sz val="10"/>
        <color rgb="FFA6A6A6"/>
        <rFont val="Arial"/>
        <family val="0"/>
        <charset val="1"/>
      </rPr>
      <t xml:space="preserve">#</t>
    </r>
    <r>
      <rPr>
        <sz val="10"/>
        <color rgb="FFA6A6A6"/>
        <rFont val="Noto Sans CJK SC"/>
        <family val="2"/>
      </rPr>
      <t xml:space="preserve">スマホに勝手にインストールされる『</t>
    </r>
    <r>
      <rPr>
        <sz val="10"/>
        <color rgb="FFA6A6A6"/>
        <rFont val="Arial"/>
        <family val="0"/>
        <charset val="1"/>
      </rPr>
      <t xml:space="preserve">MalO</t>
    </r>
    <r>
      <rPr>
        <sz val="10"/>
        <color rgb="FFA6A6A6"/>
        <rFont val="Noto Sans CJK SC"/>
        <family val="2"/>
      </rPr>
      <t xml:space="preserve">』アプリ</t>
    </r>
    <r>
      <rPr>
        <sz val="10"/>
        <color rgb="FFA6A6A6"/>
        <rFont val="Arial"/>
        <family val="0"/>
        <charset val="1"/>
      </rPr>
      <t xml:space="preserve">...</t>
    </r>
    <r>
      <rPr>
        <sz val="10"/>
        <color rgb="FFA6A6A6"/>
        <rFont val="Noto Sans CJK SC"/>
        <family val="2"/>
      </rPr>
      <t xml:space="preserve">削除不可能な理由がヤバすぎる </t>
    </r>
    <r>
      <rPr>
        <sz val="10"/>
        <color rgb="FFA6A6A6"/>
        <rFont val="Arial"/>
        <family val="0"/>
        <charset val="1"/>
      </rPr>
      <t xml:space="preserve">#shorts #</t>
    </r>
    <r>
      <rPr>
        <sz val="10"/>
        <color rgb="FFA6A6A6"/>
        <rFont val="Noto Sans CJK SC"/>
        <family val="2"/>
      </rPr>
      <t xml:space="preserve">ゆっくり解説</t>
    </r>
  </si>
  <si>
    <t xml:space="preserve">2026-06-17</t>
  </si>
  <si>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：財団の敵？味方？異常管理組織・全記録</t>
    </r>
    <r>
      <rPr>
        <sz val="10"/>
        <color rgb="FFA6A6A6"/>
        <rFont val="Arial"/>
        <family val="0"/>
        <charset val="1"/>
      </rPr>
      <t xml:space="preserve">#</t>
    </r>
    <r>
      <rPr>
        <sz val="10"/>
        <color rgb="FFA6A6A6"/>
        <rFont val="Noto Sans CJK SC"/>
        <family val="2"/>
      </rPr>
      <t xml:space="preserve">財団だけじゃなかった…異常存在を『管理』する組織が実は複数存在する本当の理由 </t>
    </r>
    <r>
      <rPr>
        <sz val="10"/>
        <color rgb="FFA6A6A6"/>
        <rFont val="Arial"/>
        <family val="0"/>
        <charset val="1"/>
      </rPr>
      <t xml:space="preserve">#shorts #</t>
    </r>
    <r>
      <rPr>
        <sz val="10"/>
        <color rgb="FFA6A6A6"/>
        <rFont val="Noto Sans CJK SC"/>
        <family val="2"/>
      </rPr>
      <t xml:space="preserve">ゆっくり解説</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</si>
  <si>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t>
    </r>
    <r>
      <rPr>
        <sz val="10"/>
        <color rgb="FFA6A6A6"/>
        <rFont val="Arial"/>
        <family val="0"/>
        <charset val="1"/>
      </rPr>
      <t xml:space="preserve">XK</t>
    </r>
    <r>
      <rPr>
        <sz val="10"/>
        <color rgb="FFA6A6A6"/>
        <rFont val="Noto Sans CJK SC"/>
        <family val="2"/>
      </rPr>
      <t xml:space="preserve">・</t>
    </r>
    <r>
      <rPr>
        <sz val="10"/>
        <color rgb="FFA6A6A6"/>
        <rFont val="Arial"/>
        <family val="0"/>
        <charset val="1"/>
      </rPr>
      <t xml:space="preserve">ZK</t>
    </r>
    <r>
      <rPr>
        <sz val="10"/>
        <color rgb="FFA6A6A6"/>
        <rFont val="Noto Sans CJK SC"/>
        <family val="2"/>
      </rPr>
      <t xml:space="preserve">・</t>
    </r>
    <r>
      <rPr>
        <sz val="10"/>
        <color rgb="FFA6A6A6"/>
        <rFont val="Arial"/>
        <family val="0"/>
        <charset val="1"/>
      </rPr>
      <t xml:space="preserve">CK…</t>
    </r>
    <r>
      <rPr>
        <sz val="10"/>
        <color rgb="FFA6A6A6"/>
        <rFont val="Noto Sans CJK SC"/>
        <family val="2"/>
      </rPr>
      <t xml:space="preserve">終焉の種類がなぜ複数存在するのか</t>
    </r>
    <r>
      <rPr>
        <sz val="10"/>
        <color rgb="FFA6A6A6"/>
        <rFont val="Arial"/>
        <family val="0"/>
        <charset val="1"/>
      </rPr>
      <t xml:space="preserve">#</t>
    </r>
    <r>
      <rPr>
        <sz val="10"/>
        <color rgb="FFA6A6A6"/>
        <rFont val="Noto Sans CJK SC"/>
        <family val="2"/>
      </rPr>
      <t xml:space="preserve">世界が『終わる』分類が実在する——</t>
    </r>
    <r>
      <rPr>
        <sz val="10"/>
        <color rgb="FFA6A6A6"/>
        <rFont val="Arial"/>
        <family val="0"/>
        <charset val="1"/>
      </rPr>
      <t xml:space="preserve">K-</t>
    </r>
    <r>
      <rPr>
        <sz val="10"/>
        <color rgb="FFA6A6A6"/>
        <rFont val="Noto Sans CJK SC"/>
        <family val="2"/>
      </rPr>
      <t xml:space="preserve">クラスシナリオ、財団が隠し続けた終焉の全記録 </t>
    </r>
    <r>
      <rPr>
        <sz val="10"/>
        <color rgb="FFA6A6A6"/>
        <rFont val="Arial"/>
        <family val="0"/>
        <charset val="1"/>
      </rPr>
      <t xml:space="preserve">#shorts #</t>
    </r>
    <r>
      <rPr>
        <sz val="10"/>
        <color rgb="FFA6A6A6"/>
        <rFont val="Noto Sans CJK SC"/>
        <family val="2"/>
      </rPr>
      <t xml:space="preserve">ゆっくり解説</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</si>
  <si>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：見たら終わり認識＝感染</t>
    </r>
    <r>
      <rPr>
        <sz val="10"/>
        <color rgb="FFA6A6A6"/>
        <rFont val="Arial"/>
        <family val="0"/>
        <charset val="1"/>
      </rPr>
      <t xml:space="preserve">#</t>
    </r>
    <r>
      <rPr>
        <sz val="10"/>
        <color rgb="FFA6A6A6"/>
        <rFont val="Noto Sans CJK SC"/>
        <family val="2"/>
      </rPr>
      <t xml:space="preserve">『見た瞬間に感染する』ミーム災害</t>
    </r>
    <r>
      <rPr>
        <sz val="10"/>
        <color rgb="FFA6A6A6"/>
        <rFont val="Arial"/>
        <family val="0"/>
        <charset val="1"/>
      </rPr>
      <t xml:space="preserve">SCP</t>
    </r>
    <r>
      <rPr>
        <sz val="10"/>
        <color rgb="FFA6A6A6"/>
        <rFont val="Noto Sans CJK SC"/>
        <family val="2"/>
      </rPr>
      <t xml:space="preserve">が実は</t>
    </r>
    <r>
      <rPr>
        <sz val="10"/>
        <color rgb="FFA6A6A6"/>
        <rFont val="Arial"/>
        <family val="0"/>
        <charset val="1"/>
      </rPr>
      <t xml:space="preserve">5</t>
    </r>
    <r>
      <rPr>
        <sz val="10"/>
        <color rgb="FFA6A6A6"/>
        <rFont val="Noto Sans CJK SC"/>
        <family val="2"/>
      </rPr>
      <t xml:space="preserve">種類以上ある件、財団はなぜ隠し続けるのか </t>
    </r>
    <r>
      <rPr>
        <sz val="10"/>
        <color rgb="FFA6A6A6"/>
        <rFont val="Arial"/>
        <family val="0"/>
        <charset val="1"/>
      </rPr>
      <t xml:space="preserve">#shorts #</t>
    </r>
    <r>
      <rPr>
        <sz val="10"/>
        <color rgb="FFA6A6A6"/>
        <rFont val="Noto Sans CJK SC"/>
        <family val="2"/>
      </rPr>
      <t xml:space="preserve">ゆっくり解説</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</si>
  <si>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：見た瞬間、感染確定財団も止められなかった</t>
    </r>
    <r>
      <rPr>
        <sz val="10"/>
        <color rgb="FFA6A6A6"/>
        <rFont val="Arial"/>
        <family val="0"/>
        <charset val="1"/>
      </rPr>
      <t xml:space="preserve">SCP</t>
    </r>
    <r>
      <rPr>
        <sz val="10"/>
        <color rgb="FFA6A6A6"/>
        <rFont val="Noto Sans CJK SC"/>
        <family val="2"/>
      </rPr>
      <t xml:space="preserve">がある</t>
    </r>
    <r>
      <rPr>
        <sz val="10"/>
        <color rgb="FFA6A6A6"/>
        <rFont val="Arial"/>
        <family val="0"/>
        <charset val="1"/>
      </rPr>
      <t xml:space="preserve">#</t>
    </r>
    <r>
      <rPr>
        <sz val="10"/>
        <color rgb="FFA6A6A6"/>
        <rFont val="Noto Sans CJK SC"/>
        <family val="2"/>
      </rPr>
      <t xml:space="preserve">見たら終わり？認識するだけで感染する</t>
    </r>
    <r>
      <rPr>
        <sz val="10"/>
        <color rgb="FFA6A6A6"/>
        <rFont val="Arial"/>
        <family val="0"/>
        <charset val="1"/>
      </rPr>
      <t xml:space="preserve">SCP</t>
    </r>
    <r>
      <rPr>
        <sz val="10"/>
        <color rgb="FFA6A6A6"/>
        <rFont val="Noto Sans CJK SC"/>
        <family val="2"/>
      </rPr>
      <t xml:space="preserve">が実在した【ミーム災害まとめ】 </t>
    </r>
    <r>
      <rPr>
        <sz val="10"/>
        <color rgb="FFA6A6A6"/>
        <rFont val="Arial"/>
        <family val="0"/>
        <charset val="1"/>
      </rPr>
      <t xml:space="preserve">#shorts #</t>
    </r>
    <r>
      <rPr>
        <sz val="10"/>
        <color rgb="FFA6A6A6"/>
        <rFont val="Noto Sans CJK SC"/>
        <family val="2"/>
      </rPr>
      <t xml:space="preserve">ゆっくり解説</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</si>
  <si>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：毎月末に何が起きているのか消える人間・残る記録・消される記録</t>
    </r>
    <r>
      <rPr>
        <sz val="10"/>
        <color rgb="FFA6A6A6"/>
        <rFont val="Arial"/>
        <family val="0"/>
        <charset val="1"/>
      </rPr>
      <t xml:space="preserve">#</t>
    </r>
    <r>
      <rPr>
        <sz val="10"/>
        <color rgb="FFA6A6A6"/>
        <rFont val="Noto Sans CJK SC"/>
        <family val="2"/>
      </rPr>
      <t xml:space="preserve">財団が隠し続けた『</t>
    </r>
    <r>
      <rPr>
        <sz val="10"/>
        <color rgb="FFA6A6A6"/>
        <rFont val="Arial"/>
        <family val="0"/>
        <charset val="1"/>
      </rPr>
      <t xml:space="preserve">D</t>
    </r>
    <r>
      <rPr>
        <sz val="10"/>
        <color rgb="FFA6A6A6"/>
        <rFont val="Noto Sans CJK SC"/>
        <family val="2"/>
      </rPr>
      <t xml:space="preserve">クラス職員』の実態、なぜ毎月大量に消えても誰も問題にしないのか </t>
    </r>
    <r>
      <rPr>
        <sz val="10"/>
        <color rgb="FFA6A6A6"/>
        <rFont val="Arial"/>
        <family val="0"/>
        <charset val="1"/>
      </rPr>
      <t xml:space="preserve">#shorts #</t>
    </r>
    <r>
      <rPr>
        <sz val="10"/>
        <color rgb="FFA6A6A6"/>
        <rFont val="Noto Sans CJK SC"/>
        <family val="2"/>
      </rPr>
      <t xml:space="preserve">ゆっくり解説</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</si>
  <si>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：毎月末に『処分』される人間がいる財団が絶対に公開しない人員制度の闇</t>
    </r>
    <r>
      <rPr>
        <sz val="10"/>
        <color rgb="FFA6A6A6"/>
        <rFont val="Arial"/>
        <family val="0"/>
        <charset val="1"/>
      </rPr>
      <t xml:space="preserve">#</t>
    </r>
    <r>
      <rPr>
        <sz val="10"/>
        <color rgb="FFA6A6A6"/>
        <rFont val="Noto Sans CJK SC"/>
        <family val="2"/>
      </rPr>
      <t xml:space="preserve">財団が隠し続けた『</t>
    </r>
    <r>
      <rPr>
        <sz val="10"/>
        <color rgb="FFA6A6A6"/>
        <rFont val="Arial"/>
        <family val="0"/>
        <charset val="1"/>
      </rPr>
      <t xml:space="preserve">D</t>
    </r>
    <r>
      <rPr>
        <sz val="10"/>
        <color rgb="FFA6A6A6"/>
        <rFont val="Noto Sans CJK SC"/>
        <family val="2"/>
      </rPr>
      <t xml:space="preserve">クラス職員』の正体——なぜ毎月、人が消えるのか </t>
    </r>
    <r>
      <rPr>
        <sz val="10"/>
        <color rgb="FFA6A6A6"/>
        <rFont val="Arial"/>
        <family val="0"/>
        <charset val="1"/>
      </rPr>
      <t xml:space="preserve">#shorts #</t>
    </r>
    <r>
      <rPr>
        <sz val="10"/>
        <color rgb="FFA6A6A6"/>
        <rFont val="Noto Sans CJK SC"/>
        <family val="2"/>
      </rPr>
      <t xml:space="preserve">ゆっくり解説</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</si>
  <si>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：名前を言うな文字にするな</t>
    </r>
    <r>
      <rPr>
        <sz val="10"/>
        <color rgb="FFA6A6A6"/>
        <rFont val="Arial"/>
        <family val="0"/>
        <charset val="1"/>
      </rPr>
      <t xml:space="preserve">#</t>
    </r>
    <r>
      <rPr>
        <sz val="10"/>
        <color rgb="FFA6A6A6"/>
        <rFont val="Noto Sans CJK SC"/>
        <family val="2"/>
      </rPr>
      <t xml:space="preserve">名前を言った瞬間、それは来る――</t>
    </r>
    <r>
      <rPr>
        <sz val="10"/>
        <color rgb="FFA6A6A6"/>
        <rFont val="Arial"/>
        <family val="0"/>
        <charset val="1"/>
      </rPr>
      <t xml:space="preserve">SCP-2521</t>
    </r>
    <r>
      <rPr>
        <sz val="10"/>
        <color rgb="FFA6A6A6"/>
        <rFont val="Noto Sans CJK SC"/>
        <family val="2"/>
      </rPr>
      <t xml:space="preserve">の報告書がなぜ『文字ゼロ』なのか </t>
    </r>
    <r>
      <rPr>
        <sz val="10"/>
        <color rgb="FFA6A6A6"/>
        <rFont val="Arial"/>
        <family val="0"/>
        <charset val="1"/>
      </rPr>
      <t xml:space="preserve">#shorts #</t>
    </r>
    <r>
      <rPr>
        <sz val="10"/>
        <color rgb="FFA6A6A6"/>
        <rFont val="Noto Sans CJK SC"/>
        <family val="2"/>
      </rPr>
      <t xml:space="preserve">ゆっくり解説</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</si>
  <si>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：毎月末、数百人が『処理』される</t>
    </r>
    <r>
      <rPr>
        <sz val="10"/>
        <color rgb="FFA6A6A6"/>
        <rFont val="Arial"/>
        <family val="0"/>
        <charset val="1"/>
      </rPr>
      <t xml:space="preserve">D</t>
    </r>
    <r>
      <rPr>
        <sz val="10"/>
        <color rgb="FFA6A6A6"/>
        <rFont val="Noto Sans CJK SC"/>
        <family val="2"/>
      </rPr>
      <t xml:space="preserve">クラス職員の末路を財団は隠蔽した</t>
    </r>
    <r>
      <rPr>
        <sz val="10"/>
        <color rgb="FFA6A6A6"/>
        <rFont val="Arial"/>
        <family val="0"/>
        <charset val="1"/>
      </rPr>
      <t xml:space="preserve">#</t>
    </r>
    <r>
      <rPr>
        <sz val="10"/>
        <color rgb="FFA6A6A6"/>
        <rFont val="Noto Sans CJK SC"/>
        <family val="2"/>
      </rPr>
      <t xml:space="preserve">財団が隠し続けた『消耗品』の正体——</t>
    </r>
    <r>
      <rPr>
        <sz val="10"/>
        <color rgb="FFA6A6A6"/>
        <rFont val="Arial"/>
        <family val="0"/>
        <charset val="1"/>
      </rPr>
      <t xml:space="preserve">D</t>
    </r>
    <r>
      <rPr>
        <sz val="10"/>
        <color rgb="FFA6A6A6"/>
        <rFont val="Noto Sans CJK SC"/>
        <family val="2"/>
      </rPr>
      <t xml:space="preserve">クラス職員は、なぜ毎月末に消える？ </t>
    </r>
    <r>
      <rPr>
        <sz val="10"/>
        <color rgb="FFA6A6A6"/>
        <rFont val="Arial"/>
        <family val="0"/>
        <charset val="1"/>
      </rPr>
      <t xml:space="preserve">#shorts #</t>
    </r>
    <r>
      <rPr>
        <sz val="10"/>
        <color rgb="FFA6A6A6"/>
        <rFont val="Noto Sans CJK SC"/>
        <family val="2"/>
      </rPr>
      <t xml:space="preserve">ゆっくり解説</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</si>
  <si>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t>
    </r>
    <r>
      <rPr>
        <sz val="10"/>
        <color rgb="FFA6A6A6"/>
        <rFont val="Arial"/>
        <family val="0"/>
        <charset val="1"/>
      </rPr>
      <t xml:space="preserve">660KB</t>
    </r>
    <r>
      <rPr>
        <sz val="10"/>
        <color rgb="FFA6A6A6"/>
        <rFont val="Noto Sans CJK SC"/>
        <family val="2"/>
      </rPr>
      <t xml:space="preserve">完全外部遮断</t>
    </r>
    <r>
      <rPr>
        <sz val="10"/>
        <color rgb="FFA6A6A6"/>
        <rFont val="Arial"/>
        <family val="0"/>
        <charset val="1"/>
      </rPr>
      <t xml:space="preserve">#660KB</t>
    </r>
    <r>
      <rPr>
        <sz val="10"/>
        <color rgb="FFA6A6A6"/>
        <rFont val="Noto Sans CJK SC"/>
        <family val="2"/>
      </rPr>
      <t xml:space="preserve">しかないのに、なぜ財団は</t>
    </r>
    <r>
      <rPr>
        <sz val="10"/>
        <color rgb="FFA6A6A6"/>
        <rFont val="Arial"/>
        <family val="0"/>
        <charset val="1"/>
      </rPr>
      <t xml:space="preserve">SCP-079</t>
    </r>
    <r>
      <rPr>
        <sz val="10"/>
        <color rgb="FFA6A6A6"/>
        <rFont val="Noto Sans CJK SC"/>
        <family val="2"/>
      </rPr>
      <t xml:space="preserve">を完全に外部遮断し続けるのか </t>
    </r>
    <r>
      <rPr>
        <sz val="10"/>
        <color rgb="FFA6A6A6"/>
        <rFont val="Arial"/>
        <family val="0"/>
        <charset val="1"/>
      </rPr>
      <t xml:space="preserve">#shorts #</t>
    </r>
    <r>
      <rPr>
        <sz val="10"/>
        <color rgb="FFA6A6A6"/>
        <rFont val="Noto Sans CJK SC"/>
        <family val="2"/>
      </rPr>
      <t xml:space="preserve">ゆっくり解説</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</si>
  <si>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t>
    </r>
    <r>
      <rPr>
        <sz val="10"/>
        <color rgb="FFA6A6A6"/>
        <rFont val="Arial"/>
        <family val="0"/>
        <charset val="1"/>
      </rPr>
      <t xml:space="preserve">SCP-173</t>
    </r>
    <r>
      <rPr>
        <sz val="10"/>
        <color rgb="FFA6A6A6"/>
        <rFont val="Noto Sans CJK SC"/>
        <family val="2"/>
      </rPr>
      <t xml:space="preserve">目を離すな</t>
    </r>
    <r>
      <rPr>
        <sz val="10"/>
        <color rgb="FFA6A6A6"/>
        <rFont val="Arial"/>
        <family val="0"/>
        <charset val="1"/>
      </rPr>
      <t xml:space="preserve">#SCP-173</t>
    </r>
    <r>
      <rPr>
        <sz val="10"/>
        <color rgb="FFA6A6A6"/>
        <rFont val="Noto Sans CJK SC"/>
        <family val="2"/>
      </rPr>
      <t xml:space="preserve">【それは、瞬きの間に】目を離した瞬間に何かが起きている </t>
    </r>
    <r>
      <rPr>
        <sz val="10"/>
        <color rgb="FFA6A6A6"/>
        <rFont val="Arial"/>
        <family val="0"/>
        <charset val="1"/>
      </rPr>
      <t xml:space="preserve">#shorts #</t>
    </r>
    <r>
      <rPr>
        <sz val="10"/>
        <color rgb="FFA6A6A6"/>
        <rFont val="Noto Sans CJK SC"/>
        <family val="2"/>
      </rPr>
      <t xml:space="preserve">ゆっくり解説</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</si>
  <si>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t>
    </r>
    <r>
      <rPr>
        <sz val="10"/>
        <color rgb="FFA6A6A6"/>
        <rFont val="Arial"/>
        <family val="0"/>
        <charset val="1"/>
      </rPr>
      <t xml:space="preserve">SCP-173</t>
    </r>
    <r>
      <rPr>
        <sz val="10"/>
        <color rgb="FFA6A6A6"/>
        <rFont val="Noto Sans CJK SC"/>
        <family val="2"/>
      </rPr>
      <t xml:space="preserve">目を離すな</t>
    </r>
    <r>
      <rPr>
        <sz val="10"/>
        <color rgb="FFA6A6A6"/>
        <rFont val="Arial"/>
        <family val="0"/>
        <charset val="1"/>
      </rPr>
      <t xml:space="preserve">#SCP-173</t>
    </r>
    <r>
      <rPr>
        <sz val="10"/>
        <color rgb="FFA6A6A6"/>
        <rFont val="Noto Sans CJK SC"/>
        <family val="2"/>
      </rPr>
      <t xml:space="preserve">【それは、瞬きの間に】目を離した</t>
    </r>
    <r>
      <rPr>
        <sz val="10"/>
        <color rgb="FFA6A6A6"/>
        <rFont val="Arial"/>
        <family val="0"/>
        <charset val="1"/>
      </rPr>
      <t xml:space="preserve">0.3</t>
    </r>
    <r>
      <rPr>
        <sz val="10"/>
        <color rgb="FFA6A6A6"/>
        <rFont val="Noto Sans CJK SC"/>
        <family val="2"/>
      </rPr>
      <t xml:space="preserve">秒で何が起きるのか </t>
    </r>
    <r>
      <rPr>
        <sz val="10"/>
        <color rgb="FFA6A6A6"/>
        <rFont val="Arial"/>
        <family val="0"/>
        <charset val="1"/>
      </rPr>
      <t xml:space="preserve">#shorts #</t>
    </r>
    <r>
      <rPr>
        <sz val="10"/>
        <color rgb="FFA6A6A6"/>
        <rFont val="Noto Sans CJK SC"/>
        <family val="2"/>
      </rPr>
      <t xml:space="preserve">ゆっくり解説</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</si>
  <si>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：顔を見たら…逃げられない</t>
    </r>
    <r>
      <rPr>
        <sz val="10"/>
        <color rgb="FFA6A6A6"/>
        <rFont val="Arial"/>
        <family val="0"/>
        <charset val="1"/>
      </rPr>
      <t xml:space="preserve">SCP-096 </t>
    </r>
    <r>
      <rPr>
        <sz val="10"/>
        <color rgb="FFA6A6A6"/>
        <rFont val="Noto Sans CJK SC"/>
        <family val="2"/>
      </rPr>
      <t xml:space="preserve">収容違反記録</t>
    </r>
    <r>
      <rPr>
        <sz val="10"/>
        <color rgb="FFA6A6A6"/>
        <rFont val="Arial"/>
        <family val="0"/>
        <charset val="1"/>
      </rPr>
      <t xml:space="preserve">#SCP-096</t>
    </r>
    <r>
      <rPr>
        <sz val="10"/>
        <color rgb="FFA6A6A6"/>
        <rFont val="Noto Sans CJK SC"/>
        <family val="2"/>
      </rPr>
      <t xml:space="preserve">【それは、顔を見た瞬間に始まる】なぜ財団は『目』を封じることしかできないのか </t>
    </r>
    <r>
      <rPr>
        <sz val="10"/>
        <color rgb="FFA6A6A6"/>
        <rFont val="Arial"/>
        <family val="0"/>
        <charset val="1"/>
      </rPr>
      <t xml:space="preserve">#shorts #</t>
    </r>
    <r>
      <rPr>
        <sz val="10"/>
        <color rgb="FFA6A6A6"/>
        <rFont val="Noto Sans CJK SC"/>
        <family val="2"/>
      </rPr>
      <t xml:space="preserve">ゆっくり解説</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</si>
  <si>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：顔を見たら——終わり</t>
    </r>
    <r>
      <rPr>
        <sz val="10"/>
        <color rgb="FFA6A6A6"/>
        <rFont val="Arial"/>
        <family val="0"/>
        <charset val="1"/>
      </rPr>
      <t xml:space="preserve">SCP-096 </t>
    </r>
    <r>
      <rPr>
        <sz val="10"/>
        <color rgb="FFA6A6A6"/>
        <rFont val="Noto Sans CJK SC"/>
        <family val="2"/>
      </rPr>
      <t xml:space="preserve">収容違反記録</t>
    </r>
    <r>
      <rPr>
        <sz val="10"/>
        <color rgb="FFA6A6A6"/>
        <rFont val="Arial"/>
        <family val="0"/>
        <charset val="1"/>
      </rPr>
      <t xml:space="preserve">#SCP-096</t>
    </r>
    <r>
      <rPr>
        <sz val="10"/>
        <color rgb="FFA6A6A6"/>
        <rFont val="Noto Sans CJK SC"/>
        <family val="2"/>
      </rPr>
      <t xml:space="preserve">【それは、顔を見た瞬間に始まる】なぜ財団は『目』を封じ込めることができないのか </t>
    </r>
    <r>
      <rPr>
        <sz val="10"/>
        <color rgb="FFA6A6A6"/>
        <rFont val="Arial"/>
        <family val="0"/>
        <charset val="1"/>
      </rPr>
      <t xml:space="preserve">#shorts #</t>
    </r>
    <r>
      <rPr>
        <sz val="10"/>
        <color rgb="FFA6A6A6"/>
        <rFont val="Noto Sans CJK SC"/>
        <family val="2"/>
      </rPr>
      <t xml:space="preserve">ゆっくり解説</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</si>
  <si>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t>
    </r>
    <r>
      <rPr>
        <sz val="10"/>
        <color rgb="FFA6A6A6"/>
        <rFont val="Arial"/>
        <family val="0"/>
        <charset val="1"/>
      </rPr>
      <t xml:space="preserve">SCP-3999</t>
    </r>
    <r>
      <rPr>
        <sz val="10"/>
        <color rgb="FFA6A6A6"/>
        <rFont val="Noto Sans CJK SC"/>
        <family val="2"/>
      </rPr>
      <t xml:space="preserve">【世界が、一人の研究員のために終わり続けた】 </t>
    </r>
    <r>
      <rPr>
        <sz val="10"/>
        <color rgb="FFA6A6A6"/>
        <rFont val="Arial"/>
        <family val="0"/>
        <charset val="1"/>
      </rPr>
      <t xml:space="preserve">#shorts #</t>
    </r>
    <r>
      <rPr>
        <sz val="10"/>
        <color rgb="FFA6A6A6"/>
        <rFont val="Noto Sans CJK SC"/>
        <family val="2"/>
      </rPr>
      <t xml:space="preserve">ゆっくり解説</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</si>
  <si>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：「私はトースターです」と言わせてしまう</t>
    </r>
    <r>
      <rPr>
        <sz val="10"/>
        <color rgb="FFA6A6A6"/>
        <rFont val="Arial"/>
        <family val="0"/>
        <charset val="1"/>
      </rPr>
      <t xml:space="preserve">SCP</t>
    </r>
    <r>
      <rPr>
        <sz val="10"/>
        <color rgb="FFA6A6A6"/>
        <rFont val="Noto Sans CJK SC"/>
        <family val="2"/>
      </rPr>
      <t xml:space="preserve">近づいた人間の一人称が書き換えられる</t>
    </r>
    <r>
      <rPr>
        <sz val="10"/>
        <color rgb="FFA6A6A6"/>
        <rFont val="Arial"/>
        <family val="0"/>
        <charset val="1"/>
      </rPr>
      <t xml:space="preserve">#SCP-426</t>
    </r>
    <r>
      <rPr>
        <sz val="10"/>
        <color rgb="FFA6A6A6"/>
        <rFont val="Noto Sans CJK SC"/>
        <family val="2"/>
      </rPr>
      <t xml:space="preserve">【私はトースターだ】なぜか一人称が「私はトースター」になってしまう家電の正体 </t>
    </r>
    <r>
      <rPr>
        <sz val="10"/>
        <color rgb="FFA6A6A6"/>
        <rFont val="Arial"/>
        <family val="0"/>
        <charset val="1"/>
      </rPr>
      <t xml:space="preserve">#shorts</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</si>
  <si>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：あなたは今、私のことを『トースター』と呼んでいる</t>
    </r>
    <r>
      <rPr>
        <sz val="10"/>
        <color rgb="FFA6A6A6"/>
        <rFont val="Arial"/>
        <family val="0"/>
        <charset val="1"/>
      </rPr>
      <t xml:space="preserve">SCP-426 </t>
    </r>
    <r>
      <rPr>
        <sz val="10"/>
        <color rgb="FFA6A6A6"/>
        <rFont val="Noto Sans CJK SC"/>
        <family val="2"/>
      </rPr>
      <t xml:space="preserve">収容違反レベル：言語汚染</t>
    </r>
    <r>
      <rPr>
        <sz val="10"/>
        <color rgb="FFA6A6A6"/>
        <rFont val="Arial"/>
        <family val="0"/>
        <charset val="1"/>
      </rPr>
      <t xml:space="preserve">#SCP-426</t>
    </r>
    <r>
      <rPr>
        <sz val="10"/>
        <color rgb="FFA6A6A6"/>
        <rFont val="Noto Sans CJK SC"/>
        <family val="2"/>
      </rPr>
      <t xml:space="preserve">【私は、なぜかトースターと呼ばれる】一人称が『感染』する家電の正体 </t>
    </r>
    <r>
      <rPr>
        <sz val="10"/>
        <color rgb="FFA6A6A6"/>
        <rFont val="Arial"/>
        <family val="0"/>
        <charset val="1"/>
      </rPr>
      <t xml:space="preserve">#shorts</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</si>
  <si>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：人類は何度『作り直された』のか財団が封印した最高機密</t>
    </r>
    <r>
      <rPr>
        <sz val="10"/>
        <color rgb="FFA6A6A6"/>
        <rFont val="Arial"/>
        <family val="0"/>
        <charset val="1"/>
      </rPr>
      <t xml:space="preserve">Thaumiel</t>
    </r>
    <r>
      <rPr>
        <sz val="10"/>
        <color rgb="FFA6A6A6"/>
        <rFont val="Noto Sans CJK SC"/>
        <family val="2"/>
      </rPr>
      <t xml:space="preserve">クラス</t>
    </r>
    <r>
      <rPr>
        <sz val="10"/>
        <color rgb="FFA6A6A6"/>
        <rFont val="Arial"/>
        <family val="0"/>
        <charset val="1"/>
      </rPr>
      <t xml:space="preserve">#SCP-2000</t>
    </r>
    <r>
      <rPr>
        <sz val="10"/>
        <color rgb="FFA6A6A6"/>
        <rFont val="Noto Sans CJK SC"/>
        <family val="2"/>
      </rPr>
      <t xml:space="preserve">【人類は、何度リセットされた？】財団が隠し続けた『文明の再起動』の回数 </t>
    </r>
    <r>
      <rPr>
        <sz val="10"/>
        <color rgb="FFA6A6A6"/>
        <rFont val="Arial"/>
        <family val="0"/>
        <charset val="1"/>
      </rPr>
      <t xml:space="preserve">#shorts #</t>
    </r>
    <r>
      <rPr>
        <sz val="10"/>
        <color rgb="FFA6A6A6"/>
        <rFont val="Noto Sans CJK SC"/>
        <family val="2"/>
      </rPr>
      <t xml:space="preserve">ゆっく</t>
    </r>
  </si>
  <si>
    <r>
      <rPr>
        <sz val="10"/>
        <color rgb="FFA6A6A6"/>
        <rFont val="Arial"/>
        <family val="0"/>
        <charset val="1"/>
      </rPr>
      <t xml:space="preserve">O5</t>
    </r>
    <r>
      <rPr>
        <sz val="10"/>
        <color rgb="FFA6A6A6"/>
        <rFont val="Noto Sans CJK SC"/>
        <family val="2"/>
      </rPr>
      <t xml:space="preserve">評議会の「</t>
    </r>
    <r>
      <rPr>
        <sz val="10"/>
        <color rgb="FFA6A6A6"/>
        <rFont val="Arial"/>
        <family val="0"/>
        <charset val="1"/>
      </rPr>
      <t xml:space="preserve">13</t>
    </r>
    <r>
      <rPr>
        <sz val="10"/>
        <color rgb="FFA6A6A6"/>
        <rFont val="Noto Sans CJK SC"/>
        <family val="2"/>
      </rPr>
      <t xml:space="preserve">番目の椅子」に座るのは、本当に人間なのか【ショート】</t>
    </r>
  </si>
  <si>
    <r>
      <rPr>
        <sz val="10"/>
        <color rgb="FFA6A6A6"/>
        <rFont val="Noto Sans CJK SC"/>
        <family val="2"/>
      </rPr>
      <t xml:space="preserve">太陽が</t>
    </r>
    <r>
      <rPr>
        <sz val="10"/>
        <color rgb="FFA6A6A6"/>
        <rFont val="Arial"/>
        <family val="0"/>
        <charset val="1"/>
      </rPr>
      <t xml:space="preserve">SCP</t>
    </r>
    <r>
      <rPr>
        <sz val="10"/>
        <color rgb="FFA6A6A6"/>
        <rFont val="Noto Sans CJK SC"/>
        <family val="2"/>
      </rPr>
      <t xml:space="preserve">財団に『宣戦布告』した日——なぜ恒星そのものが異常存在に指定されたのか【ショート】</t>
    </r>
  </si>
  <si>
    <r>
      <rPr>
        <sz val="10"/>
        <color rgb="FFA6A6A6"/>
        <rFont val="Arial"/>
        <family val="0"/>
        <charset val="1"/>
      </rPr>
      <t xml:space="preserve">SCP-5000</t>
    </r>
    <r>
      <rPr>
        <sz val="10"/>
        <color rgb="FFA6A6A6"/>
        <rFont val="Noto Sans CJK SC"/>
        <family val="2"/>
      </rPr>
      <t xml:space="preserve">「なぜ？」財団が突然人類を皆殺しにした本当の理由が</t>
    </r>
    <r>
      <rPr>
        <sz val="10"/>
        <color rgb="FFA6A6A6"/>
        <rFont val="Arial"/>
        <family val="0"/>
        <charset val="1"/>
      </rPr>
      <t xml:space="preserve">[REDACTED]</t>
    </r>
    <r>
      <rPr>
        <sz val="10"/>
        <color rgb="FFA6A6A6"/>
        <rFont val="Noto Sans CJK SC"/>
        <family val="2"/>
      </rPr>
      <t xml:space="preserve">されている【ショート】</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</si>
  <si>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t>
    </r>
    <r>
      <rPr>
        <sz val="10"/>
        <color rgb="FFA6A6A6"/>
        <rFont val="Arial"/>
        <family val="0"/>
        <charset val="1"/>
      </rPr>
      <t xml:space="preserve">SCP-1762</t>
    </r>
    <r>
      <rPr>
        <sz val="10"/>
        <color rgb="FFA6A6A6"/>
        <rFont val="Noto Sans CJK SC"/>
        <family val="2"/>
      </rPr>
      <t xml:space="preserve">【それは、もう帰らない】財団が触れた瞬間、ドラゴンは消えた</t>
    </r>
    <r>
      <rPr>
        <sz val="10"/>
        <color rgb="FFA6A6A6"/>
        <rFont val="Arial"/>
        <family val="0"/>
        <charset val="1"/>
      </rPr>
      <t xml:space="preserve">#SCP-1762</t>
    </r>
    <r>
      <rPr>
        <sz val="10"/>
        <color rgb="FFA6A6A6"/>
        <rFont val="Noto Sans CJK SC"/>
        <family val="2"/>
      </rPr>
      <t xml:space="preserve">「ドラゴンが来た箱」— なぜ財団が関わった日から、異次元の扉は二度と開かなかったのか </t>
    </r>
    <r>
      <rPr>
        <sz val="10"/>
        <color rgb="FFA6A6A6"/>
        <rFont val="Arial"/>
        <family val="0"/>
        <charset val="1"/>
      </rPr>
      <t xml:space="preserve">#shor</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</si>
  <si>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t>
    </r>
    <r>
      <rPr>
        <sz val="10"/>
        <color rgb="FFA6A6A6"/>
        <rFont val="Arial"/>
        <family val="0"/>
        <charset val="1"/>
      </rPr>
      <t xml:space="preserve">SCP-1762 </t>
    </r>
    <r>
      <rPr>
        <sz val="10"/>
        <color rgb="FFA6A6A6"/>
        <rFont val="Noto Sans CJK SC"/>
        <family val="2"/>
      </rPr>
      <t xml:space="preserve">ドラゴンが来た箱交信が途絶えた日、何が起きたのか</t>
    </r>
    <r>
      <rPr>
        <sz val="10"/>
        <color rgb="FFA6A6A6"/>
        <rFont val="Arial"/>
        <family val="0"/>
        <charset val="1"/>
      </rPr>
      <t xml:space="preserve">#SCP-1762</t>
    </r>
    <r>
      <rPr>
        <sz val="10"/>
        <color rgb="FFA6A6A6"/>
        <rFont val="Noto Sans CJK SC"/>
        <family val="2"/>
      </rPr>
      <t xml:space="preserve">【箱の中の声が、ある日を境に消えた】なぜ財団は異次元との接触を断ち切ったのか </t>
    </r>
    <r>
      <rPr>
        <sz val="10"/>
        <color rgb="FFA6A6A6"/>
        <rFont val="Arial"/>
        <family val="0"/>
        <charset val="1"/>
      </rPr>
      <t xml:space="preserve">#shorts #</t>
    </r>
    <r>
      <rPr>
        <sz val="10"/>
        <color rgb="FFA6A6A6"/>
        <rFont val="Noto Sans CJK SC"/>
        <family val="2"/>
      </rPr>
      <t xml:space="preserve">ゆっくり</t>
    </r>
  </si>
  <si>
    <r>
      <rPr>
        <sz val="10"/>
        <color rgb="FFA6A6A6"/>
        <rFont val="Arial"/>
        <family val="0"/>
        <charset val="1"/>
      </rPr>
      <t xml:space="preserve">O5</t>
    </r>
    <r>
      <rPr>
        <sz val="10"/>
        <color rgb="FFA6A6A6"/>
        <rFont val="Noto Sans CJK SC"/>
        <family val="2"/>
      </rPr>
      <t xml:space="preserve">直属の暗殺部隊「赤い右手」— なぜ財団は最強の</t>
    </r>
    <r>
      <rPr>
        <sz val="10"/>
        <color rgb="FFA6A6A6"/>
        <rFont val="Arial"/>
        <family val="0"/>
        <charset val="1"/>
      </rPr>
      <t xml:space="preserve">MTF</t>
    </r>
    <r>
      <rPr>
        <sz val="10"/>
        <color rgb="FFA6A6A6"/>
        <rFont val="Noto Sans CJK SC"/>
        <family val="2"/>
      </rPr>
      <t xml:space="preserve">の消耗率を隠蔽し続けるのか【ショート】</t>
    </r>
  </si>
  <si>
    <r>
      <rPr>
        <sz val="10"/>
        <color rgb="FFA6A6A6"/>
        <rFont val="Arial"/>
        <family val="0"/>
        <charset val="1"/>
      </rPr>
      <t xml:space="preserve">SCP-231</t>
    </r>
    <r>
      <rPr>
        <sz val="10"/>
        <color rgb="FFA6A6A6"/>
        <rFont val="Noto Sans CJK SC"/>
        <family val="2"/>
      </rPr>
      <t xml:space="preserve">の報告書、なぜ『あの部分』だけ財団でも読めないのか【ショート】</t>
    </r>
  </si>
  <si>
    <r>
      <rPr>
        <sz val="10"/>
        <color rgb="FFA6A6A6"/>
        <rFont val="Arial"/>
        <family val="0"/>
        <charset val="1"/>
      </rPr>
      <t xml:space="preserve">SCP-4335</t>
    </r>
    <r>
      <rPr>
        <sz val="10"/>
        <color rgb="FFA6A6A6"/>
        <rFont val="Noto Sans CJK SC"/>
        <family val="2"/>
      </rPr>
      <t xml:space="preserve">【世界が終わる前に、財団は何もできなかった】</t>
    </r>
    <r>
      <rPr>
        <sz val="10"/>
        <color rgb="FFA6A6A6"/>
        <rFont val="Arial"/>
        <family val="0"/>
        <charset val="1"/>
      </rPr>
      <t xml:space="preserve">Apollyon</t>
    </r>
    <r>
      <rPr>
        <sz val="10"/>
        <color rgb="FFA6A6A6"/>
        <rFont val="Noto Sans CJK SC"/>
        <family val="2"/>
      </rPr>
      <t xml:space="preserve">クラスとは何か【ショート】</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</si>
  <si>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：人類の歴史に、消された</t>
    </r>
    <r>
      <rPr>
        <sz val="10"/>
        <color rgb="FFA6A6A6"/>
        <rFont val="Arial"/>
        <family val="0"/>
        <charset val="1"/>
      </rPr>
      <t xml:space="preserve">1</t>
    </r>
    <r>
      <rPr>
        <sz val="10"/>
        <color rgb="FFA6A6A6"/>
        <rFont val="Noto Sans CJK SC"/>
        <family val="2"/>
      </rPr>
      <t xml:space="preserve">ページがある財団はなぜ、これを隠し続けるのか</t>
    </r>
    <r>
      <rPr>
        <sz val="10"/>
        <color rgb="FFA6A6A6"/>
        <rFont val="Arial"/>
        <family val="0"/>
        <charset val="1"/>
      </rPr>
      <t xml:space="preserve">#SCP-1000</t>
    </r>
    <r>
      <rPr>
        <sz val="10"/>
        <color rgb="FFA6A6A6"/>
        <rFont val="Noto Sans CJK SC"/>
        <family val="2"/>
      </rPr>
      <t xml:space="preserve">【人類が知ってはいけない前文明の正体】財団が今も記憶を消し続ける本当の理由 </t>
    </r>
    <r>
      <rPr>
        <sz val="10"/>
        <color rgb="FFA6A6A6"/>
        <rFont val="Arial"/>
        <family val="0"/>
        <charset val="1"/>
      </rPr>
      <t xml:space="preserve">#shorts #</t>
    </r>
    <r>
      <rPr>
        <sz val="10"/>
        <color rgb="FFA6A6A6"/>
        <rFont val="Noto Sans CJK SC"/>
        <family val="2"/>
      </rPr>
      <t xml:space="preserve">ゆっくり</t>
    </r>
  </si>
  <si>
    <r>
      <rPr>
        <sz val="10"/>
        <rFont val="Noto Sans CJK SC"/>
        <family val="2"/>
      </rPr>
      <t xml:space="preserve">一口</t>
    </r>
    <r>
      <rPr>
        <sz val="10"/>
        <rFont val="Arial"/>
        <family val="0"/>
        <charset val="1"/>
      </rPr>
      <t xml:space="preserve">SCP</t>
    </r>
    <r>
      <rPr>
        <sz val="10"/>
        <rFont val="Noto Sans CJK SC"/>
        <family val="2"/>
      </rPr>
      <t xml:space="preserve">：人類の前に『別の文明』が存在した財団が隠し続ける、本当の歴史</t>
    </r>
    <r>
      <rPr>
        <sz val="10"/>
        <rFont val="Arial"/>
        <family val="0"/>
        <charset val="1"/>
      </rPr>
      <t xml:space="preserve">#SCP-1000</t>
    </r>
    <r>
      <rPr>
        <sz val="10"/>
        <rFont val="Noto Sans CJK SC"/>
        <family val="2"/>
      </rPr>
      <t xml:space="preserve">【人類が忘れさせられた理由】— なぜ財団は今も記憶を消し続けるのか </t>
    </r>
    <r>
      <rPr>
        <sz val="10"/>
        <rFont val="Arial"/>
        <family val="0"/>
        <charset val="1"/>
      </rPr>
      <t xml:space="preserve">#shorts #</t>
    </r>
    <r>
      <rPr>
        <sz val="10"/>
        <rFont val="Noto Sans CJK SC"/>
        <family val="2"/>
      </rPr>
      <t xml:space="preserve">ゆっくり解説</t>
    </r>
  </si>
  <si>
    <r>
      <rPr>
        <sz val="10"/>
        <rFont val="Arial"/>
        <family val="0"/>
        <charset val="1"/>
      </rPr>
      <t xml:space="preserve">SCP-179</t>
    </r>
    <r>
      <rPr>
        <sz val="10"/>
        <rFont val="Noto Sans CJK SC"/>
        <family val="2"/>
      </rPr>
      <t xml:space="preserve">「すばる」が財団に警告を送り続けた理由—なぜ誰も止められなかったのか【ショート】</t>
    </r>
  </si>
  <si>
    <r>
      <rPr>
        <sz val="10"/>
        <rFont val="Noto Sans CJK SC"/>
        <family val="2"/>
      </rPr>
      <t xml:space="preserve">一口</t>
    </r>
    <r>
      <rPr>
        <sz val="10"/>
        <rFont val="Arial"/>
        <family val="0"/>
        <charset val="1"/>
      </rPr>
      <t xml:space="preserve">SCP</t>
    </r>
    <r>
      <rPr>
        <sz val="10"/>
        <rFont val="Noto Sans CJK SC"/>
        <family val="2"/>
      </rPr>
      <t xml:space="preserve">：財団のデータベースが、上書きされている</t>
    </r>
    <r>
      <rPr>
        <sz val="10"/>
        <rFont val="Arial"/>
        <family val="0"/>
        <charset val="1"/>
      </rPr>
      <t xml:space="preserve">SCP-3812</t>
    </r>
    <r>
      <rPr>
        <sz val="10"/>
        <rFont val="Noto Sans CJK SC"/>
        <family val="2"/>
      </rPr>
      <t xml:space="preserve">は『収容』という概念すら超えた</t>
    </r>
    <r>
      <rPr>
        <sz val="10"/>
        <rFont val="Arial"/>
        <family val="0"/>
        <charset val="1"/>
      </rPr>
      <t xml:space="preserve">#SCP-3812</t>
    </r>
    <r>
      <rPr>
        <sz val="10"/>
        <rFont val="Noto Sans CJK SC"/>
        <family val="2"/>
      </rPr>
      <t xml:space="preserve">【財団の記録が、消えていく】なぜ収容プロトコルが原理的に存在できないのか </t>
    </r>
    <r>
      <rPr>
        <sz val="10"/>
        <rFont val="Arial"/>
        <family val="0"/>
        <charset val="1"/>
      </rPr>
      <t xml:space="preserve">#short</t>
    </r>
  </si>
  <si>
    <r>
      <rPr>
        <sz val="10"/>
        <rFont val="Noto Sans CJK SC"/>
        <family val="2"/>
      </rPr>
      <t xml:space="preserve">一口</t>
    </r>
    <r>
      <rPr>
        <sz val="10"/>
        <rFont val="Arial"/>
        <family val="0"/>
        <charset val="1"/>
      </rPr>
      <t xml:space="preserve">SCP</t>
    </r>
    <r>
      <rPr>
        <sz val="10"/>
        <rFont val="Noto Sans CJK SC"/>
        <family val="2"/>
      </rPr>
      <t xml:space="preserve">：瞬きの、その一瞬で首が折れる</t>
    </r>
    <r>
      <rPr>
        <sz val="10"/>
        <rFont val="Arial"/>
        <family val="0"/>
        <charset val="1"/>
      </rPr>
      <t xml:space="preserve">#SCP-173</t>
    </r>
    <r>
      <rPr>
        <sz val="10"/>
        <rFont val="Noto Sans CJK SC"/>
        <family val="2"/>
      </rPr>
      <t xml:space="preserve">【それは、瞬きの間に】視線を外した</t>
    </r>
    <r>
      <rPr>
        <sz val="10"/>
        <rFont val="Arial"/>
        <family val="0"/>
        <charset val="1"/>
      </rPr>
      <t xml:space="preserve">0.3</t>
    </r>
    <r>
      <rPr>
        <sz val="10"/>
        <rFont val="Noto Sans CJK SC"/>
        <family val="2"/>
      </rPr>
      <t xml:space="preserve">秒で何が起きるのか </t>
    </r>
    <r>
      <rPr>
        <sz val="10"/>
        <rFont val="Arial"/>
        <family val="0"/>
        <charset val="1"/>
      </rPr>
      <t xml:space="preserve">#shorts #</t>
    </r>
    <r>
      <rPr>
        <sz val="10"/>
        <rFont val="Noto Sans CJK SC"/>
        <family val="2"/>
      </rPr>
      <t xml:space="preserve">ゆっくり解説</t>
    </r>
  </si>
  <si>
    <r>
      <rPr>
        <sz val="10"/>
        <color rgb="FFA6A6A6"/>
        <rFont val="Arial"/>
        <family val="0"/>
        <charset val="1"/>
      </rPr>
      <t xml:space="preserve">SCP-3812</t>
    </r>
    <r>
      <rPr>
        <sz val="10"/>
        <color rgb="FFA6A6A6"/>
        <rFont val="Noto Sans CJK SC"/>
        <family val="2"/>
      </rPr>
      <t xml:space="preserve">【名前より深い場所にいる】財団の記録体系が原理的に崩壊する理由【ショート】</t>
    </r>
  </si>
  <si>
    <r>
      <rPr>
        <sz val="10"/>
        <rFont val="Noto Sans CJK SC"/>
        <family val="2"/>
      </rPr>
      <t xml:space="preserve">一口</t>
    </r>
    <r>
      <rPr>
        <sz val="10"/>
        <rFont val="Arial"/>
        <family val="0"/>
        <charset val="1"/>
      </rPr>
      <t xml:space="preserve">SCP</t>
    </r>
    <r>
      <rPr>
        <sz val="10"/>
        <rFont val="Noto Sans CJK SC"/>
        <family val="2"/>
      </rPr>
      <t xml:space="preserve">：目を離した瞬間、終わる</t>
    </r>
    <r>
      <rPr>
        <sz val="10"/>
        <rFont val="Arial"/>
        <family val="0"/>
        <charset val="1"/>
      </rPr>
      <t xml:space="preserve">SCP-173 ── </t>
    </r>
    <r>
      <rPr>
        <sz val="10"/>
        <rFont val="Noto Sans CJK SC"/>
        <family val="2"/>
      </rPr>
      <t xml:space="preserve">財団最古の封印</t>
    </r>
    <r>
      <rPr>
        <sz val="10"/>
        <rFont val="Arial"/>
        <family val="0"/>
        <charset val="1"/>
      </rPr>
      <t xml:space="preserve">#SCP-173</t>
    </r>
    <r>
      <rPr>
        <sz val="10"/>
        <rFont val="Noto Sans CJK SC"/>
        <family val="2"/>
      </rPr>
      <t xml:space="preserve">【それは、瞬きの間に】目を離した</t>
    </r>
    <r>
      <rPr>
        <sz val="10"/>
        <rFont val="Arial"/>
        <family val="0"/>
        <charset val="1"/>
      </rPr>
      <t xml:space="preserve">0.3</t>
    </r>
    <r>
      <rPr>
        <sz val="10"/>
        <rFont val="Noto Sans CJK SC"/>
        <family val="2"/>
      </rPr>
      <t xml:space="preserve">秒で何が起きるのか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</si>
  <si>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：目を離すな瞬きすら、許されない</t>
    </r>
    <r>
      <rPr>
        <sz val="10"/>
        <rFont val="Arial"/>
        <family val="0"/>
        <charset val="1"/>
      </rPr>
      <t xml:space="preserve">#SCP-173</t>
    </r>
    <r>
      <rPr>
        <sz val="10"/>
        <rFont val="Noto Sans CJK SC"/>
        <family val="2"/>
      </rPr>
      <t xml:space="preserve">【それは、瞬きの間に】目を離した瞬間に何かが起きている </t>
    </r>
    <r>
      <rPr>
        <sz val="10"/>
        <rFont val="Arial"/>
        <family val="0"/>
        <charset val="1"/>
      </rPr>
      <t xml:space="preserve">#shorts #</t>
    </r>
    <r>
      <rPr>
        <sz val="10"/>
        <rFont val="Noto Sans CJK SC"/>
        <family val="2"/>
      </rPr>
      <t xml:space="preserve">ゆっくり解説</t>
    </r>
  </si>
  <si>
    <r>
      <rPr>
        <sz val="10"/>
        <color rgb="FFA6A6A6"/>
        <rFont val="Arial"/>
        <family val="0"/>
        <charset val="1"/>
      </rPr>
      <t xml:space="preserve">SCP-4000</t>
    </r>
    <r>
      <rPr>
        <sz val="10"/>
        <color rgb="FFA6A6A6"/>
        <rFont val="Noto Sans CJK SC"/>
        <family val="2"/>
      </rPr>
      <t xml:space="preserve">「タバレン」— 財団の報告書から固有名詞が消えた本当の理由【ショート】</t>
    </r>
  </si>
  <si>
    <r>
      <rPr>
        <sz val="10"/>
        <rFont val="Arial"/>
        <family val="0"/>
        <charset val="1"/>
      </rPr>
      <t xml:space="preserve">SCP-1425</t>
    </r>
    <r>
      <rPr>
        <sz val="10"/>
        <rFont val="Noto Sans CJK SC"/>
        <family val="2"/>
      </rPr>
      <t xml:space="preserve">「星の歌」— この動画を最後まで見た人が、なぜか全員同じ夢を見る理由【ショート】</t>
    </r>
  </si>
  <si>
    <r>
      <rPr>
        <sz val="10"/>
        <color rgb="FFA6A6A6"/>
        <rFont val="Arial"/>
        <family val="0"/>
        <charset val="1"/>
      </rPr>
      <t xml:space="preserve">SCP-4666</t>
    </r>
    <r>
      <rPr>
        <sz val="10"/>
        <color rgb="FFA6A6A6"/>
        <rFont val="Noto Sans CJK SC"/>
        <family val="2"/>
      </rPr>
      <t xml:space="preserve">「ユールマン」— 冬至の夜、北緯</t>
    </r>
    <r>
      <rPr>
        <sz val="10"/>
        <color rgb="FFA6A6A6"/>
        <rFont val="Arial"/>
        <family val="0"/>
        <charset val="1"/>
      </rPr>
      <t xml:space="preserve">55</t>
    </r>
    <r>
      <rPr>
        <sz val="10"/>
        <color rgb="FFA6A6A6"/>
        <rFont val="Noto Sans CJK SC"/>
        <family val="2"/>
      </rPr>
      <t xml:space="preserve">度以北で子供だけが消える理由を財団は</t>
    </r>
    <r>
      <rPr>
        <sz val="10"/>
        <color rgb="FFA6A6A6"/>
        <rFont val="Arial"/>
        <family val="0"/>
        <charset val="1"/>
      </rPr>
      <t xml:space="preserve">18</t>
    </r>
    <r>
      <rPr>
        <sz val="10"/>
        <color rgb="FFA6A6A6"/>
        <rFont val="Noto Sans CJK SC"/>
        <family val="2"/>
      </rPr>
      <t xml:space="preserve">年間隠し続けた【ショート】</t>
    </r>
  </si>
  <si>
    <r>
      <rPr>
        <sz val="10"/>
        <rFont val="Noto Sans CJK SC"/>
        <family val="2"/>
      </rPr>
      <t xml:space="preserve">一口</t>
    </r>
    <r>
      <rPr>
        <sz val="10"/>
        <rFont val="Arial"/>
        <family val="0"/>
        <charset val="1"/>
      </rPr>
      <t xml:space="preserve">SCP</t>
    </r>
    <r>
      <rPr>
        <sz val="10"/>
        <rFont val="Noto Sans CJK SC"/>
        <family val="2"/>
      </rPr>
      <t xml:space="preserve">：視線を外した瞬間、終わり財団収容室・機密レベル：最高機密</t>
    </r>
    <r>
      <rPr>
        <sz val="10"/>
        <rFont val="Arial"/>
        <family val="0"/>
        <charset val="1"/>
      </rPr>
      <t xml:space="preserve">#SCP-173</t>
    </r>
    <r>
      <rPr>
        <sz val="10"/>
        <rFont val="Noto Sans CJK SC"/>
        <family val="2"/>
      </rPr>
      <t xml:space="preserve">「彫刻」— 視線を外した</t>
    </r>
    <r>
      <rPr>
        <sz val="10"/>
        <rFont val="Arial"/>
        <family val="0"/>
        <charset val="1"/>
      </rPr>
      <t xml:space="preserve">0.3</t>
    </r>
    <r>
      <rPr>
        <sz val="10"/>
        <rFont val="Noto Sans CJK SC"/>
        <family val="2"/>
      </rPr>
      <t xml:space="preserve">秒で、なぜ人は死ぬのか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</si>
  <si>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：視線を外した瞬間、動く財団収容室から流出した機密記録</t>
    </r>
    <r>
      <rPr>
        <sz val="10"/>
        <rFont val="Arial"/>
        <family val="0"/>
        <charset val="1"/>
      </rPr>
      <t xml:space="preserve">#SCP-173</t>
    </r>
    <r>
      <rPr>
        <sz val="10"/>
        <rFont val="Noto Sans CJK SC"/>
        <family val="2"/>
      </rPr>
      <t xml:space="preserve">「彫刻」— 視線を外した</t>
    </r>
    <r>
      <rPr>
        <sz val="10"/>
        <rFont val="Arial"/>
        <family val="0"/>
        <charset val="1"/>
      </rPr>
      <t xml:space="preserve">0.3</t>
    </r>
    <r>
      <rPr>
        <sz val="10"/>
        <rFont val="Noto Sans CJK SC"/>
        <family val="2"/>
      </rPr>
      <t xml:space="preserve">秒で、首が折れる </t>
    </r>
    <r>
      <rPr>
        <sz val="10"/>
        <rFont val="Arial"/>
        <family val="0"/>
        <charset val="1"/>
      </rPr>
      <t xml:space="preserve">#shorts #</t>
    </r>
    <r>
      <rPr>
        <sz val="10"/>
        <rFont val="Noto Sans CJK SC"/>
        <family val="2"/>
      </rPr>
      <t xml:space="preserve">ゆっくり解説</t>
    </r>
  </si>
  <si>
    <r>
      <rPr>
        <sz val="10"/>
        <rFont val="Arial"/>
        <family val="0"/>
        <charset val="1"/>
      </rPr>
      <t xml:space="preserve">SCP-835</t>
    </r>
    <r>
      <rPr>
        <sz val="10"/>
        <rFont val="Noto Sans CJK SC"/>
        <family val="2"/>
      </rPr>
      <t xml:space="preserve">「触手の穴」— 財団が</t>
    </r>
    <r>
      <rPr>
        <sz val="10"/>
        <rFont val="Arial"/>
        <family val="0"/>
        <charset val="1"/>
      </rPr>
      <t xml:space="preserve">13</t>
    </r>
    <r>
      <rPr>
        <sz val="10"/>
        <rFont val="Noto Sans CJK SC"/>
        <family val="2"/>
      </rPr>
      <t xml:space="preserve">名の失踪を隠蔽し続けた深海施設の実験記録、なぜ全ページが黒塗りなのか【ショート】</t>
    </r>
  </si>
  <si>
    <r>
      <rPr>
        <sz val="10"/>
        <rFont val="Noto Sans CJK SC"/>
        <family val="2"/>
      </rPr>
      <t xml:space="preserve">一口</t>
    </r>
    <r>
      <rPr>
        <sz val="10"/>
        <rFont val="Arial"/>
        <family val="0"/>
        <charset val="1"/>
      </rPr>
      <t xml:space="preserve">SCP</t>
    </r>
    <r>
      <rPr>
        <sz val="10"/>
        <rFont val="Noto Sans CJK SC"/>
        <family val="2"/>
      </rPr>
      <t xml:space="preserve">：心臓を持って入れ——それが唯一の収容条件扉を開けた</t>
    </r>
    <r>
      <rPr>
        <sz val="10"/>
        <rFont val="Arial"/>
        <family val="0"/>
        <charset val="1"/>
      </rPr>
      <t xml:space="preserve">12</t>
    </r>
    <r>
      <rPr>
        <sz val="10"/>
        <rFont val="Noto Sans CJK SC"/>
        <family val="2"/>
      </rPr>
      <t xml:space="preserve">名、全員が消滅</t>
    </r>
    <r>
      <rPr>
        <sz val="10"/>
        <rFont val="Arial"/>
        <family val="0"/>
        <charset val="1"/>
      </rPr>
      <t xml:space="preserve">#SCP-1983</t>
    </r>
    <r>
      <rPr>
        <sz val="10"/>
        <rFont val="Noto Sans CJK SC"/>
        <family val="2"/>
      </rPr>
      <t xml:space="preserve">「ドアの向こうの闇」— 心臓を持たずに開けた扉の先で、財団員は何を見たのか </t>
    </r>
    <r>
      <rPr>
        <sz val="10"/>
        <rFont val="Arial"/>
        <family val="0"/>
        <charset val="1"/>
      </rPr>
      <t xml:space="preserve">#shorts #</t>
    </r>
    <r>
      <rPr>
        <sz val="10"/>
        <rFont val="Noto Sans CJK SC"/>
        <family val="2"/>
      </rPr>
      <t xml:space="preserve">ゆっくり</t>
    </r>
  </si>
  <si>
    <r>
      <rPr>
        <sz val="10"/>
        <rFont val="Noto Sans CJK SC"/>
        <family val="2"/>
      </rPr>
      <t xml:space="preserve">一口</t>
    </r>
    <r>
      <rPr>
        <sz val="10"/>
        <rFont val="Arial"/>
        <family val="0"/>
        <charset val="1"/>
      </rPr>
      <t xml:space="preserve">SCP</t>
    </r>
    <r>
      <rPr>
        <sz val="10"/>
        <rFont val="Noto Sans CJK SC"/>
        <family val="2"/>
      </rPr>
      <t xml:space="preserve">：心臓を持って入室せよ財団が隠した扉の向こう側</t>
    </r>
    <r>
      <rPr>
        <sz val="10"/>
        <rFont val="Arial"/>
        <family val="0"/>
        <charset val="1"/>
      </rPr>
      <t xml:space="preserve">#SCP-1983</t>
    </r>
    <r>
      <rPr>
        <sz val="10"/>
        <rFont val="Noto Sans CJK SC"/>
        <family val="2"/>
      </rPr>
      <t xml:space="preserve">「ドアの向こうの闇」— 心臓を持って入れ、という収容プロトコルが実在した理由 </t>
    </r>
    <r>
      <rPr>
        <sz val="10"/>
        <rFont val="Arial"/>
        <family val="0"/>
        <charset val="1"/>
      </rPr>
      <t xml:space="preserve">#shorts #</t>
    </r>
    <r>
      <rPr>
        <sz val="10"/>
        <rFont val="Noto Sans CJK SC"/>
        <family val="2"/>
      </rPr>
      <t xml:space="preserve">ゆっくり解説</t>
    </r>
  </si>
  <si>
    <r>
      <rPr>
        <sz val="10"/>
        <rFont val="Arial"/>
        <family val="0"/>
        <charset val="1"/>
      </rPr>
      <t xml:space="preserve">SCP-1983</t>
    </r>
    <r>
      <rPr>
        <sz val="10"/>
        <rFont val="Noto Sans CJK SC"/>
        <family val="2"/>
      </rPr>
      <t xml:space="preserve">「ドアの向こうの闇」— 財団が封印した扉を、なぜ研究員は心臓を持って開けなければならないのか【ショート】</t>
    </r>
  </si>
  <si>
    <r>
      <rPr>
        <sz val="10"/>
        <color rgb="FFA6A6A6"/>
        <rFont val="Arial"/>
        <family val="0"/>
        <charset val="1"/>
      </rPr>
      <t xml:space="preserve">SCP-4715</t>
    </r>
    <r>
      <rPr>
        <sz val="10"/>
        <color rgb="FFA6A6A6"/>
        <rFont val="Noto Sans CJK SC"/>
        <family val="2"/>
      </rPr>
      <t xml:space="preserve">「戦争終結者」— 財団が第二次世界大戦を終わらせたという記録が、なぜ</t>
    </r>
    <r>
      <rPr>
        <sz val="10"/>
        <color rgb="FFA6A6A6"/>
        <rFont val="Arial"/>
        <family val="0"/>
        <charset val="1"/>
      </rPr>
      <t xml:space="preserve">[DATA EXPUNGED]</t>
    </r>
    <r>
      <rPr>
        <sz val="10"/>
        <color rgb="FFA6A6A6"/>
        <rFont val="Noto Sans CJK SC"/>
        <family val="2"/>
      </rPr>
      <t xml:space="preserve">されたのか【ショート】</t>
    </r>
  </si>
  <si>
    <r>
      <rPr>
        <sz val="10"/>
        <rFont val="Noto Sans CJK SC"/>
        <family val="2"/>
      </rPr>
      <t xml:space="preserve">一口</t>
    </r>
    <r>
      <rPr>
        <sz val="10"/>
        <rFont val="Arial"/>
        <family val="0"/>
        <charset val="1"/>
      </rPr>
      <t xml:space="preserve">SCP</t>
    </r>
    <r>
      <rPr>
        <sz val="10"/>
        <rFont val="Noto Sans CJK SC"/>
        <family val="2"/>
      </rPr>
      <t xml:space="preserve">：目を離した瞬間、動く財団が隠す</t>
    </r>
    <r>
      <rPr>
        <sz val="10"/>
        <rFont val="Arial"/>
        <family val="0"/>
        <charset val="1"/>
      </rPr>
      <t xml:space="preserve">173</t>
    </r>
    <r>
      <rPr>
        <sz val="10"/>
        <rFont val="Noto Sans CJK SC"/>
        <family val="2"/>
      </rPr>
      <t xml:space="preserve">の真実</t>
    </r>
    <r>
      <rPr>
        <sz val="10"/>
        <rFont val="Arial"/>
        <family val="0"/>
        <charset val="1"/>
      </rPr>
      <t xml:space="preserve">#SCP-173</t>
    </r>
    <r>
      <rPr>
        <sz val="10"/>
        <rFont val="Noto Sans CJK SC"/>
        <family val="2"/>
      </rPr>
      <t xml:space="preserve">「彫刻」——目を離した</t>
    </r>
    <r>
      <rPr>
        <sz val="10"/>
        <rFont val="Arial"/>
        <family val="0"/>
        <charset val="1"/>
      </rPr>
      <t xml:space="preserve">0.3</t>
    </r>
    <r>
      <rPr>
        <sz val="10"/>
        <rFont val="Noto Sans CJK SC"/>
        <family val="2"/>
      </rPr>
      <t xml:space="preserve">秒で、なぜ首が折れるのか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</si>
  <si>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：目を離した瞬間に動く財団収容記録：機密レベル最高</t>
    </r>
    <r>
      <rPr>
        <sz val="10"/>
        <rFont val="Arial"/>
        <family val="0"/>
        <charset val="1"/>
      </rPr>
      <t xml:space="preserve">#SCP-173</t>
    </r>
    <r>
      <rPr>
        <sz val="10"/>
        <rFont val="Noto Sans CJK SC"/>
        <family val="2"/>
      </rPr>
      <t xml:space="preserve">「彫刻」——目を離した</t>
    </r>
    <r>
      <rPr>
        <sz val="10"/>
        <rFont val="Arial"/>
        <family val="0"/>
        <charset val="1"/>
      </rPr>
      <t xml:space="preserve">0.3</t>
    </r>
    <r>
      <rPr>
        <sz val="10"/>
        <rFont val="Noto Sans CJK SC"/>
        <family val="2"/>
      </rPr>
      <t xml:space="preserve">秒で、</t>
    </r>
    <r>
      <rPr>
        <sz val="10"/>
        <rFont val="Arial"/>
        <family val="0"/>
        <charset val="1"/>
      </rPr>
      <t xml:space="preserve">14</t>
    </r>
    <r>
      <rPr>
        <sz val="10"/>
        <rFont val="Noto Sans CJK SC"/>
        <family val="2"/>
      </rPr>
      <t xml:space="preserve">人が消えた収容室の真実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</si>
  <si>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：目を離した瞬間、死ぬ財団収容室・機密映像より</t>
    </r>
    <r>
      <rPr>
        <sz val="10"/>
        <rFont val="Arial"/>
        <family val="0"/>
        <charset val="1"/>
      </rPr>
      <t xml:space="preserve">#SCP-173</t>
    </r>
    <r>
      <rPr>
        <sz val="10"/>
        <rFont val="Noto Sans CJK SC"/>
        <family val="2"/>
      </rPr>
      <t xml:space="preserve">「彫刻」——目を離した</t>
    </r>
    <r>
      <rPr>
        <sz val="10"/>
        <rFont val="Arial"/>
        <family val="0"/>
        <charset val="1"/>
      </rPr>
      <t xml:space="preserve">0.3</t>
    </r>
    <r>
      <rPr>
        <sz val="10"/>
        <rFont val="Noto Sans CJK SC"/>
        <family val="2"/>
      </rPr>
      <t xml:space="preserve">秒で、なぜ首が折れるのか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</si>
  <si>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：目を離した瞬間、死ぬ財団収容記録：機密レベル最高</t>
    </r>
    <r>
      <rPr>
        <sz val="10"/>
        <rFont val="Arial"/>
        <family val="0"/>
        <charset val="1"/>
      </rPr>
      <t xml:space="preserve">#SCP-173</t>
    </r>
    <r>
      <rPr>
        <sz val="10"/>
        <rFont val="Noto Sans CJK SC"/>
        <family val="2"/>
      </rPr>
      <t xml:space="preserve">「彫刻」——目を離した</t>
    </r>
    <r>
      <rPr>
        <sz val="10"/>
        <rFont val="Arial"/>
        <family val="0"/>
        <charset val="1"/>
      </rPr>
      <t xml:space="preserve">0.3</t>
    </r>
    <r>
      <rPr>
        <sz val="10"/>
        <rFont val="Noto Sans CJK SC"/>
        <family val="2"/>
      </rPr>
      <t xml:space="preserve">秒で、なぜ首が折れるのか </t>
    </r>
    <r>
      <rPr>
        <sz val="10"/>
        <rFont val="Arial"/>
        <family val="0"/>
        <charset val="1"/>
      </rPr>
      <t xml:space="preserve">#shorts #</t>
    </r>
    <r>
      <rPr>
        <sz val="10"/>
        <rFont val="Noto Sans CJK SC"/>
        <family val="2"/>
      </rPr>
      <t xml:space="preserve">ゆっくり解説</t>
    </r>
  </si>
  <si>
    <r>
      <rPr>
        <sz val="10"/>
        <rFont val="Arial"/>
        <family val="0"/>
        <charset val="1"/>
      </rPr>
      <t xml:space="preserve">SCP-1730</t>
    </r>
    <r>
      <rPr>
        <sz val="10"/>
        <rFont val="Noto Sans CJK SC"/>
        <family val="2"/>
      </rPr>
      <t xml:space="preserve">「存在しなかったサイト」— 財団施設が丸ごと消えた夜、最後の交信記録に何が残っていたのか【ショート】</t>
    </r>
  </si>
  <si>
    <r>
      <rPr>
        <sz val="10"/>
        <color rgb="FFA6A6A6"/>
        <rFont val="Arial"/>
        <family val="0"/>
        <charset val="1"/>
      </rPr>
      <t xml:space="preserve">SCP-4840</t>
    </r>
    <r>
      <rPr>
        <sz val="10"/>
        <color rgb="FFA6A6A6"/>
        <rFont val="Noto Sans CJK SC"/>
        <family val="2"/>
      </rPr>
      <t xml:space="preserve">「バビロンの巨人」— 財団が古代遺跡ごと地下に埋めた本当の理由【ショート】</t>
    </r>
  </si>
  <si>
    <r>
      <rPr>
        <sz val="10"/>
        <rFont val="Noto Sans CJK SC"/>
        <family val="2"/>
      </rPr>
      <t xml:space="preserve">一口</t>
    </r>
    <r>
      <rPr>
        <sz val="10"/>
        <rFont val="Arial"/>
        <family val="0"/>
        <charset val="1"/>
      </rPr>
      <t xml:space="preserve">SCP</t>
    </r>
    <r>
      <rPr>
        <sz val="10"/>
        <rFont val="Noto Sans CJK SC"/>
        <family val="2"/>
      </rPr>
      <t xml:space="preserve">：接触記録</t>
    </r>
    <r>
      <rPr>
        <sz val="10"/>
        <rFont val="Arial"/>
        <family val="0"/>
        <charset val="1"/>
      </rPr>
      <t xml:space="preserve">17</t>
    </r>
    <r>
      <rPr>
        <sz val="10"/>
        <rFont val="Noto Sans CJK SC"/>
        <family val="2"/>
      </rPr>
      <t xml:space="preserve">件、生存者ゼロそれでも財団は『安全』と判断した</t>
    </r>
    <r>
      <rPr>
        <sz val="10"/>
        <rFont val="Arial"/>
        <family val="0"/>
        <charset val="1"/>
      </rPr>
      <t xml:space="preserve">#SCP-173</t>
    </r>
    <r>
      <rPr>
        <sz val="10"/>
        <rFont val="Noto Sans CJK SC"/>
        <family val="2"/>
      </rPr>
      <t xml:space="preserve">「彫刻」——視線を切った</t>
    </r>
    <r>
      <rPr>
        <sz val="10"/>
        <rFont val="Arial"/>
        <family val="0"/>
        <charset val="1"/>
      </rPr>
      <t xml:space="preserve">0.3</t>
    </r>
    <r>
      <rPr>
        <sz val="10"/>
        <rFont val="Noto Sans CJK SC"/>
        <family val="2"/>
      </rPr>
      <t xml:space="preserve">秒で、</t>
    </r>
    <r>
      <rPr>
        <sz val="10"/>
        <rFont val="Arial"/>
        <family val="0"/>
        <charset val="1"/>
      </rPr>
      <t xml:space="preserve">17</t>
    </r>
    <r>
      <rPr>
        <sz val="10"/>
        <rFont val="Noto Sans CJK SC"/>
        <family val="2"/>
      </rPr>
      <t xml:space="preserve">人が死んだ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</si>
  <si>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：見るのをやめた瞬間、それは動く生存者：ゼロ</t>
    </r>
    <r>
      <rPr>
        <sz val="10"/>
        <rFont val="Arial"/>
        <family val="0"/>
        <charset val="1"/>
      </rPr>
      <t xml:space="preserve">#SCP-173</t>
    </r>
    <r>
      <rPr>
        <sz val="10"/>
        <rFont val="Noto Sans CJK SC"/>
        <family val="2"/>
      </rPr>
      <t xml:space="preserve">「彫刻」——視線を外した</t>
    </r>
    <r>
      <rPr>
        <sz val="10"/>
        <rFont val="Arial"/>
        <family val="0"/>
        <charset val="1"/>
      </rPr>
      <t xml:space="preserve">0.3</t>
    </r>
    <r>
      <rPr>
        <sz val="10"/>
        <rFont val="Noto Sans CJK SC"/>
        <family val="2"/>
      </rPr>
      <t xml:space="preserve">秒で</t>
    </r>
    <r>
      <rPr>
        <sz val="10"/>
        <rFont val="Arial"/>
        <family val="0"/>
        <charset val="1"/>
      </rPr>
      <t xml:space="preserve">17</t>
    </r>
    <r>
      <rPr>
        <sz val="10"/>
        <rFont val="Noto Sans CJK SC"/>
        <family val="2"/>
      </rPr>
      <t xml:space="preserve">人が死んだ理由 </t>
    </r>
    <r>
      <rPr>
        <sz val="10"/>
        <rFont val="Arial"/>
        <family val="0"/>
        <charset val="1"/>
      </rPr>
      <t xml:space="preserve">#shorts #</t>
    </r>
    <r>
      <rPr>
        <sz val="10"/>
        <rFont val="Noto Sans CJK SC"/>
        <family val="2"/>
      </rPr>
      <t xml:space="preserve">ゆっくり解説</t>
    </r>
  </si>
  <si>
    <r>
      <rPr>
        <sz val="10"/>
        <rFont val="Arial"/>
        <family val="0"/>
        <charset val="1"/>
      </rPr>
      <t xml:space="preserve">SCP-3003</t>
    </r>
    <r>
      <rPr>
        <sz val="10"/>
        <rFont val="Noto Sans CJK SC"/>
        <family val="2"/>
      </rPr>
      <t xml:space="preserve">「失われた電源」— 財団が封印した異常技術、収容室の外に出た記録が存在する【ショート】</t>
    </r>
  </si>
  <si>
    <r>
      <rPr>
        <sz val="10"/>
        <rFont val="Noto Sans CJK SC"/>
        <family val="2"/>
      </rPr>
      <t xml:space="preserve">一口</t>
    </r>
    <r>
      <rPr>
        <sz val="10"/>
        <rFont val="Arial"/>
        <family val="0"/>
        <charset val="1"/>
      </rPr>
      <t xml:space="preserve">SCP</t>
    </r>
    <r>
      <rPr>
        <sz val="10"/>
        <rFont val="Noto Sans CJK SC"/>
        <family val="2"/>
      </rPr>
      <t xml:space="preserve">：担当者</t>
    </r>
    <r>
      <rPr>
        <sz val="10"/>
        <rFont val="Arial"/>
        <family val="0"/>
        <charset val="1"/>
      </rPr>
      <t xml:space="preserve">17</t>
    </r>
    <r>
      <rPr>
        <sz val="10"/>
        <rFont val="Noto Sans CJK SC"/>
        <family val="2"/>
      </rPr>
      <t xml:space="preserve">名、記録ごと消滅</t>
    </r>
    <r>
      <rPr>
        <sz val="10"/>
        <rFont val="Arial"/>
        <family val="0"/>
        <charset val="1"/>
      </rPr>
      <t xml:space="preserve">SCP-4002</t>
    </r>
    <r>
      <rPr>
        <sz val="10"/>
        <rFont val="Noto Sans CJK SC"/>
        <family val="2"/>
      </rPr>
      <t xml:space="preserve">の正体、財団も解明不能</t>
    </r>
    <r>
      <rPr>
        <sz val="10"/>
        <rFont val="Arial"/>
        <family val="0"/>
        <charset val="1"/>
      </rPr>
      <t xml:space="preserve">#SCP-4002</t>
    </r>
    <r>
      <rPr>
        <sz val="10"/>
        <rFont val="Noto Sans CJK SC"/>
        <family val="2"/>
      </rPr>
      <t xml:space="preserve">「生の贈り物」——収容した翌日、担当研究員</t>
    </r>
    <r>
      <rPr>
        <sz val="10"/>
        <rFont val="Arial"/>
        <family val="0"/>
        <charset val="1"/>
      </rPr>
      <t xml:space="preserve">17</t>
    </r>
    <r>
      <rPr>
        <sz val="10"/>
        <rFont val="Noto Sans CJK SC"/>
        <family val="2"/>
      </rPr>
      <t xml:space="preserve">名の記録が財団データベースから完全に消えた理由 </t>
    </r>
    <r>
      <rPr>
        <sz val="10"/>
        <rFont val="Arial"/>
        <family val="0"/>
        <charset val="1"/>
      </rPr>
      <t xml:space="preserve">#short</t>
    </r>
  </si>
  <si>
    <r>
      <rPr>
        <sz val="10"/>
        <rFont val="Noto Sans CJK SC"/>
        <family val="2"/>
      </rPr>
      <t xml:space="preserve">一口</t>
    </r>
    <r>
      <rPr>
        <sz val="10"/>
        <rFont val="Arial"/>
        <family val="0"/>
        <charset val="1"/>
      </rPr>
      <t xml:space="preserve">SCP</t>
    </r>
    <r>
      <rPr>
        <sz val="10"/>
        <rFont val="Noto Sans CJK SC"/>
        <family val="2"/>
      </rPr>
      <t xml:space="preserve">：財団が『受け取った』存在それは本当に贈り物だったのか</t>
    </r>
    <r>
      <rPr>
        <sz val="10"/>
        <rFont val="Arial"/>
        <family val="0"/>
        <charset val="1"/>
      </rPr>
      <t xml:space="preserve">#SCP-4002</t>
    </r>
    <r>
      <rPr>
        <sz val="10"/>
        <rFont val="Noto Sans CJK SC"/>
        <family val="2"/>
      </rPr>
      <t xml:space="preserve">「生の贈り物」——収容された異常存在が財団に渡したものの正体が、あまりにも </t>
    </r>
    <r>
      <rPr>
        <sz val="10"/>
        <rFont val="Arial"/>
        <family val="0"/>
        <charset val="1"/>
      </rPr>
      <t xml:space="preserve">#shorts #</t>
    </r>
    <r>
      <rPr>
        <sz val="10"/>
        <rFont val="Noto Sans CJK SC"/>
        <family val="2"/>
      </rPr>
      <t xml:space="preserve">ゆっくり解説</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</si>
  <si>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：収容成功の翌朝、担当研究員</t>
    </r>
    <r>
      <rPr>
        <sz val="10"/>
        <color rgb="FFA6A6A6"/>
        <rFont val="Arial"/>
        <family val="0"/>
        <charset val="1"/>
      </rPr>
      <t xml:space="preserve">17</t>
    </r>
    <r>
      <rPr>
        <sz val="10"/>
        <color rgb="FFA6A6A6"/>
        <rFont val="Noto Sans CJK SC"/>
        <family val="2"/>
      </rPr>
      <t xml:space="preserve">名が記録ごと消滅</t>
    </r>
    <r>
      <rPr>
        <sz val="10"/>
        <color rgb="FFA6A6A6"/>
        <rFont val="Arial"/>
        <family val="0"/>
        <charset val="1"/>
      </rPr>
      <t xml:space="preserve">SCP-4002</t>
    </r>
    <r>
      <rPr>
        <sz val="10"/>
        <color rgb="FFA6A6A6"/>
        <rFont val="Noto Sans CJK SC"/>
        <family val="2"/>
      </rPr>
      <t xml:space="preserve">「生の贈り物」——財団でも解明不能な異常</t>
    </r>
    <r>
      <rPr>
        <sz val="10"/>
        <color rgb="FFA6A6A6"/>
        <rFont val="Arial"/>
        <family val="0"/>
        <charset val="1"/>
      </rPr>
      <t xml:space="preserve">#SCP-4002</t>
    </r>
    <r>
      <rPr>
        <sz val="10"/>
        <color rgb="FFA6A6A6"/>
        <rFont val="Noto Sans CJK SC"/>
        <family val="2"/>
      </rPr>
      <t xml:space="preserve">「生の贈り物」——財団が収容した瞬間、</t>
    </r>
    <r>
      <rPr>
        <sz val="10"/>
        <color rgb="FFA6A6A6"/>
        <rFont val="Arial"/>
        <family val="0"/>
        <charset val="1"/>
      </rPr>
      <t xml:space="preserve">17</t>
    </r>
    <r>
      <rPr>
        <sz val="10"/>
        <color rgb="FFA6A6A6"/>
        <rFont val="Noto Sans CJK SC"/>
        <family val="2"/>
      </rPr>
      <t xml:space="preserve">名の研究員の記録が消えた理</t>
    </r>
  </si>
  <si>
    <r>
      <rPr>
        <sz val="10"/>
        <color rgb="FFA6A6A6"/>
        <rFont val="Noto Sans CJK SC"/>
        <family val="2"/>
      </rPr>
      <t xml:space="preserve">財団が隠し続けた『消耗品』の正体——</t>
    </r>
    <r>
      <rPr>
        <sz val="10"/>
        <color rgb="FFA6A6A6"/>
        <rFont val="Arial"/>
        <family val="0"/>
        <charset val="1"/>
      </rPr>
      <t xml:space="preserve">D</t>
    </r>
    <r>
      <rPr>
        <sz val="10"/>
        <color rgb="FFA6A6A6"/>
        <rFont val="Noto Sans CJK SC"/>
        <family val="2"/>
      </rPr>
      <t xml:space="preserve">クラス職員は、なぜ毎月末に全員消える？【ショート】</t>
    </r>
  </si>
  <si>
    <r>
      <rPr>
        <sz val="10"/>
        <rFont val="Noto Sans CJK SC"/>
        <family val="2"/>
      </rPr>
      <t xml:space="preserve">一口</t>
    </r>
    <r>
      <rPr>
        <sz val="10"/>
        <rFont val="Arial"/>
        <family val="0"/>
        <charset val="1"/>
      </rPr>
      <t xml:space="preserve">SCP</t>
    </r>
    <r>
      <rPr>
        <sz val="10"/>
        <rFont val="Noto Sans CJK SC"/>
        <family val="2"/>
      </rPr>
      <t xml:space="preserve">：目を離したら…理解不能な恐怖が迫る</t>
    </r>
    <r>
      <rPr>
        <sz val="10"/>
        <rFont val="Arial"/>
        <family val="0"/>
        <charset val="1"/>
      </rPr>
      <t xml:space="preserve">#</t>
    </r>
    <r>
      <rPr>
        <sz val="10"/>
        <rFont val="Noto Sans CJK SC"/>
        <family val="2"/>
      </rPr>
      <t xml:space="preserve">目を離した</t>
    </r>
    <r>
      <rPr>
        <sz val="10"/>
        <rFont val="Arial"/>
        <family val="0"/>
        <charset val="1"/>
      </rPr>
      <t xml:space="preserve">0.3</t>
    </r>
    <r>
      <rPr>
        <sz val="10"/>
        <rFont val="Noto Sans CJK SC"/>
        <family val="2"/>
      </rPr>
      <t xml:space="preserve">秒で命を奪う</t>
    </r>
    <r>
      <rPr>
        <sz val="10"/>
        <rFont val="Arial"/>
        <family val="0"/>
        <charset val="1"/>
      </rPr>
      <t xml:space="preserve">SCP-173</t>
    </r>
    <r>
      <rPr>
        <sz val="10"/>
        <rFont val="Noto Sans CJK SC"/>
        <family val="2"/>
      </rPr>
      <t xml:space="preserve">の恐怖、その背後に潜む真実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</si>
  <si>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：視線を外すと命が狙われる。</t>
    </r>
    <r>
      <rPr>
        <sz val="10"/>
        <rFont val="Arial"/>
        <family val="0"/>
        <charset val="1"/>
      </rPr>
      <t xml:space="preserve">SCP-173</t>
    </r>
    <r>
      <rPr>
        <sz val="10"/>
        <rFont val="Noto Sans CJK SC"/>
        <family val="2"/>
      </rPr>
      <t xml:space="preserve">、油断した瞬間が命取り。</t>
    </r>
    <r>
      <rPr>
        <sz val="10"/>
        <rFont val="Arial"/>
        <family val="0"/>
        <charset val="1"/>
      </rPr>
      <t xml:space="preserve">#</t>
    </r>
    <r>
      <rPr>
        <sz val="10"/>
        <rFont val="Noto Sans CJK SC"/>
        <family val="2"/>
      </rPr>
      <t xml:space="preserve">目を離した</t>
    </r>
    <r>
      <rPr>
        <sz val="10"/>
        <rFont val="Arial"/>
        <family val="0"/>
        <charset val="1"/>
      </rPr>
      <t xml:space="preserve">0.3</t>
    </r>
    <r>
      <rPr>
        <sz val="10"/>
        <rFont val="Noto Sans CJK SC"/>
        <family val="2"/>
      </rPr>
      <t xml:space="preserve">秒で命が奪われる恐怖。</t>
    </r>
    <r>
      <rPr>
        <sz val="10"/>
        <rFont val="Arial"/>
        <family val="0"/>
        <charset val="1"/>
      </rPr>
      <t xml:space="preserve">SCP-173</t>
    </r>
    <r>
      <rPr>
        <sz val="10"/>
        <rFont val="Noto Sans CJK SC"/>
        <family val="2"/>
      </rPr>
      <t xml:space="preserve">が収容室で起こす異常な現象 </t>
    </r>
    <r>
      <rPr>
        <sz val="10"/>
        <rFont val="Arial"/>
        <family val="0"/>
        <charset val="1"/>
      </rPr>
      <t xml:space="preserve">#shorts #</t>
    </r>
    <r>
      <rPr>
        <sz val="10"/>
        <rFont val="Noto Sans CJK SC"/>
        <family val="2"/>
      </rPr>
      <t xml:space="preserve">ゆっくり解説</t>
    </r>
  </si>
  <si>
    <r>
      <rPr>
        <sz val="10"/>
        <rFont val="Noto Sans CJK SC"/>
        <family val="2"/>
      </rPr>
      <t xml:space="preserve">充電切れの怪異</t>
    </r>
    <r>
      <rPr>
        <sz val="10"/>
        <rFont val="Arial"/>
        <family val="0"/>
        <charset val="1"/>
      </rPr>
      <t xml:space="preserve">: SCP-904</t>
    </r>
    <r>
      <rPr>
        <sz val="10"/>
        <rFont val="Noto Sans CJK SC"/>
        <family val="2"/>
      </rPr>
      <t xml:space="preserve">の謎とその恐るべき影響【ショート】</t>
    </r>
  </si>
  <si>
    <r>
      <rPr>
        <sz val="10"/>
        <color rgb="FFA6A6A6"/>
        <rFont val="Noto Sans CJK SC"/>
        <family val="2"/>
      </rPr>
      <t xml:space="preserve">なぜ道はうごめく？</t>
    </r>
    <r>
      <rPr>
        <sz val="10"/>
        <color rgb="FFA6A6A6"/>
        <rFont val="Arial"/>
        <family val="0"/>
        <charset val="1"/>
      </rPr>
      <t xml:space="preserve">SCP-609</t>
    </r>
    <r>
      <rPr>
        <sz val="10"/>
        <color rgb="FFA6A6A6"/>
        <rFont val="Noto Sans CJK SC"/>
        <family val="2"/>
      </rPr>
      <t xml:space="preserve">の衝撃の真実【ショート】</t>
    </r>
  </si>
  <si>
    <r>
      <rPr>
        <sz val="10"/>
        <rFont val="Noto Sans CJK SC"/>
        <family val="2"/>
      </rPr>
      <t xml:space="preserve">一口</t>
    </r>
    <r>
      <rPr>
        <sz val="10"/>
        <rFont val="Arial"/>
        <family val="0"/>
        <charset val="1"/>
      </rPr>
      <t xml:space="preserve">SCP</t>
    </r>
    <r>
      <rPr>
        <sz val="10"/>
        <rFont val="Noto Sans CJK SC"/>
        <family val="2"/>
      </rPr>
      <t xml:space="preserve">：目を離した</t>
    </r>
    <r>
      <rPr>
        <sz val="10"/>
        <rFont val="Arial"/>
        <family val="0"/>
        <charset val="1"/>
      </rPr>
      <t xml:space="preserve">0.3</t>
    </r>
    <r>
      <rPr>
        <sz val="10"/>
        <rFont val="Noto Sans CJK SC"/>
        <family val="2"/>
      </rPr>
      <t xml:space="preserve">秒で殺される財団が隠し続けた『最初の異常存在』</t>
    </r>
    <r>
      <rPr>
        <sz val="10"/>
        <rFont val="Arial"/>
        <family val="0"/>
        <charset val="1"/>
      </rPr>
      <t xml:space="preserve">#</t>
    </r>
    <r>
      <rPr>
        <sz val="10"/>
        <rFont val="Noto Sans CJK SC"/>
        <family val="2"/>
      </rPr>
      <t xml:space="preserve">目を離した瞬間、首が折れる。</t>
    </r>
    <r>
      <rPr>
        <sz val="10"/>
        <rFont val="Arial"/>
        <family val="0"/>
        <charset val="1"/>
      </rPr>
      <t xml:space="preserve">SCP-173</t>
    </r>
    <r>
      <rPr>
        <sz val="10"/>
        <rFont val="Noto Sans CJK SC"/>
        <family val="2"/>
      </rPr>
      <t xml:space="preserve">が財団史上最初に収容された本当の理由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</si>
  <si>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：目を離したら、死ぬ。財団が隠し続けた『最初の異常存在』</t>
    </r>
    <r>
      <rPr>
        <sz val="10"/>
        <rFont val="Arial"/>
        <family val="0"/>
        <charset val="1"/>
      </rPr>
      <t xml:space="preserve">#</t>
    </r>
    <r>
      <rPr>
        <sz val="10"/>
        <rFont val="Noto Sans CJK SC"/>
        <family val="2"/>
      </rPr>
      <t xml:space="preserve">目を離した</t>
    </r>
    <r>
      <rPr>
        <sz val="10"/>
        <rFont val="Arial"/>
        <family val="0"/>
        <charset val="1"/>
      </rPr>
      <t xml:space="preserve">0.3</t>
    </r>
    <r>
      <rPr>
        <sz val="10"/>
        <rFont val="Noto Sans CJK SC"/>
        <family val="2"/>
      </rPr>
      <t xml:space="preserve">秒で首が折れる。</t>
    </r>
    <r>
      <rPr>
        <sz val="10"/>
        <rFont val="Arial"/>
        <family val="0"/>
        <charset val="1"/>
      </rPr>
      <t xml:space="preserve">SCP-173</t>
    </r>
    <r>
      <rPr>
        <sz val="10"/>
        <rFont val="Noto Sans CJK SC"/>
        <family val="2"/>
      </rPr>
      <t xml:space="preserve">が財団史上最も古い収容違反を繰り返す本当の理由 </t>
    </r>
    <r>
      <rPr>
        <sz val="10"/>
        <rFont val="Arial"/>
        <family val="0"/>
        <charset val="1"/>
      </rPr>
      <t xml:space="preserve">#shorts #</t>
    </r>
    <r>
      <rPr>
        <sz val="10"/>
        <rFont val="Noto Sans CJK SC"/>
        <family val="2"/>
      </rPr>
      <t xml:space="preserve">ゆっくり解説</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</si>
  <si>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：目を離した瞬間、終わる財団最古の異常存在 </t>
    </r>
    <r>
      <rPr>
        <sz val="10"/>
        <color rgb="FFA6A6A6"/>
        <rFont val="Arial"/>
        <family val="0"/>
        <charset val="1"/>
      </rPr>
      <t xml:space="preserve">SCP-173#</t>
    </r>
    <r>
      <rPr>
        <sz val="10"/>
        <color rgb="FFA6A6A6"/>
        <rFont val="Noto Sans CJK SC"/>
        <family val="2"/>
      </rPr>
      <t xml:space="preserve">目を離した</t>
    </r>
    <r>
      <rPr>
        <sz val="10"/>
        <color rgb="FFA6A6A6"/>
        <rFont val="Arial"/>
        <family val="0"/>
        <charset val="1"/>
      </rPr>
      <t xml:space="preserve">0.3</t>
    </r>
    <r>
      <rPr>
        <sz val="10"/>
        <color rgb="FFA6A6A6"/>
        <rFont val="Noto Sans CJK SC"/>
        <family val="2"/>
      </rPr>
      <t xml:space="preserve">秒で首が折れる。</t>
    </r>
    <r>
      <rPr>
        <sz val="10"/>
        <color rgb="FFA6A6A6"/>
        <rFont val="Arial"/>
        <family val="0"/>
        <charset val="1"/>
      </rPr>
      <t xml:space="preserve">SCP-173</t>
    </r>
    <r>
      <rPr>
        <sz val="10"/>
        <color rgb="FFA6A6A6"/>
        <rFont val="Noto Sans CJK SC"/>
        <family val="2"/>
      </rPr>
      <t xml:space="preserve">【財団が最初の収容違反を隠し続ける本当の理由】 </t>
    </r>
    <r>
      <rPr>
        <sz val="10"/>
        <color rgb="FFA6A6A6"/>
        <rFont val="Arial"/>
        <family val="0"/>
        <charset val="1"/>
      </rPr>
      <t xml:space="preserve">#shorts #</t>
    </r>
    <r>
      <rPr>
        <sz val="10"/>
        <color rgb="FFA6A6A6"/>
        <rFont val="Noto Sans CJK SC"/>
        <family val="2"/>
      </rPr>
      <t xml:space="preserve">ゆっくり解説</t>
    </r>
  </si>
  <si>
    <r>
      <rPr>
        <sz val="10"/>
        <rFont val="Arial"/>
        <family val="0"/>
        <charset val="1"/>
      </rPr>
      <t xml:space="preserve">SCP-078</t>
    </r>
    <r>
      <rPr>
        <sz val="10"/>
        <rFont val="Noto Sans CJK SC"/>
        <family val="2"/>
      </rPr>
      <t xml:space="preserve">が収容違反した夜、財団研究員たちは全員『同じ夢』を見た【ショート】</t>
    </r>
  </si>
  <si>
    <r>
      <rPr>
        <sz val="10"/>
        <rFont val="Noto Sans CJK SC"/>
        <family val="2"/>
      </rPr>
      <t xml:space="preserve">一口</t>
    </r>
    <r>
      <rPr>
        <sz val="10"/>
        <rFont val="Arial"/>
        <family val="0"/>
        <charset val="1"/>
      </rPr>
      <t xml:space="preserve">SCP</t>
    </r>
    <r>
      <rPr>
        <sz val="10"/>
        <rFont val="Noto Sans CJK SC"/>
        <family val="2"/>
      </rPr>
      <t xml:space="preserve">：飲んだ翌日、自分の名前を忘れる財団の収容が</t>
    </r>
    <r>
      <rPr>
        <sz val="10"/>
        <rFont val="Arial"/>
        <family val="0"/>
        <charset val="1"/>
      </rPr>
      <t xml:space="preserve">3</t>
    </r>
    <r>
      <rPr>
        <sz val="10"/>
        <rFont val="Noto Sans CJK SC"/>
        <family val="2"/>
      </rPr>
      <t xml:space="preserve">度破綻した理由</t>
    </r>
    <r>
      <rPr>
        <sz val="10"/>
        <rFont val="Arial"/>
        <family val="0"/>
        <charset val="1"/>
      </rPr>
      <t xml:space="preserve">#</t>
    </r>
    <r>
      <rPr>
        <sz val="10"/>
        <rFont val="Noto Sans CJK SC"/>
        <family val="2"/>
      </rPr>
      <t xml:space="preserve">その水を飲んだ研究員が、翌朝『自分の名前』を忘れていた。財団が隠し続ける</t>
    </r>
    <r>
      <rPr>
        <sz val="10"/>
        <rFont val="Arial"/>
        <family val="0"/>
        <charset val="1"/>
      </rPr>
      <t xml:space="preserve">SCP-2050</t>
    </r>
    <r>
      <rPr>
        <sz val="10"/>
        <rFont val="Noto Sans CJK SC"/>
        <family val="2"/>
      </rPr>
      <t xml:space="preserve">「忘却の水」の収容破綻記録 </t>
    </r>
    <r>
      <rPr>
        <sz val="10"/>
        <rFont val="Arial"/>
        <family val="0"/>
        <charset val="1"/>
      </rPr>
      <t xml:space="preserve">#short</t>
    </r>
  </si>
  <si>
    <r>
      <rPr>
        <sz val="10"/>
        <rFont val="Noto Sans CJK SC"/>
        <family val="2"/>
      </rPr>
      <t xml:space="preserve">一口</t>
    </r>
    <r>
      <rPr>
        <sz val="10"/>
        <rFont val="Arial"/>
        <family val="0"/>
        <charset val="1"/>
      </rPr>
      <t xml:space="preserve">SCP</t>
    </r>
    <r>
      <rPr>
        <sz val="10"/>
        <rFont val="Noto Sans CJK SC"/>
        <family val="2"/>
      </rPr>
      <t xml:space="preserve">：記憶を消す水の謎それを知れば、恐怖は形を変える</t>
    </r>
    <r>
      <rPr>
        <sz val="10"/>
        <rFont val="Arial"/>
        <family val="0"/>
        <charset val="1"/>
      </rPr>
      <t xml:space="preserve">#</t>
    </r>
    <r>
      <rPr>
        <sz val="10"/>
        <rFont val="Noto Sans CJK SC"/>
        <family val="2"/>
      </rPr>
      <t xml:space="preserve">記憶を奪う『忘却の水』の真実が隠された理由。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</si>
  <si>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SCP-166</t>
    </r>
    <r>
      <rPr>
        <sz val="10"/>
        <rFont val="Noto Sans CJK SC"/>
        <family val="2"/>
      </rPr>
      <t xml:space="preserve">「若返りのリリス」— 財団が</t>
    </r>
    <r>
      <rPr>
        <sz val="10"/>
        <rFont val="Arial"/>
        <family val="0"/>
        <charset val="1"/>
      </rPr>
      <t xml:space="preserve">17</t>
    </r>
    <r>
      <rPr>
        <sz val="10"/>
        <rFont val="Noto Sans CJK SC"/>
        <family val="2"/>
      </rPr>
      <t xml:space="preserve">名の記憶を</t>
    </r>
    <r>
      <rPr>
        <sz val="10"/>
        <rFont val="Arial"/>
        <family val="0"/>
        <charset val="1"/>
      </rPr>
      <t xml:space="preserve">[REDACTED]</t>
    </r>
    <r>
      <rPr>
        <sz val="10"/>
        <rFont val="Noto Sans CJK SC"/>
        <family val="2"/>
      </rPr>
      <t xml:space="preserve">した本当の理由【ショート】</t>
    </r>
  </si>
  <si>
    <r>
      <rPr>
        <sz val="10"/>
        <rFont val="Noto Sans CJK SC"/>
        <family val="2"/>
      </rPr>
      <t xml:space="preserve">一口</t>
    </r>
    <r>
      <rPr>
        <sz val="10"/>
        <rFont val="Arial"/>
        <family val="0"/>
        <charset val="1"/>
      </rPr>
      <t xml:space="preserve">SCP</t>
    </r>
    <r>
      <rPr>
        <sz val="10"/>
        <rFont val="Noto Sans CJK SC"/>
        <family val="2"/>
      </rPr>
      <t xml:space="preserve">：修復完了まで平均</t>
    </r>
    <r>
      <rPr>
        <sz val="10"/>
        <rFont val="Arial"/>
        <family val="0"/>
        <charset val="1"/>
      </rPr>
      <t xml:space="preserve">72</t>
    </r>
    <r>
      <rPr>
        <sz val="10"/>
        <rFont val="Noto Sans CJK SC"/>
        <family val="2"/>
      </rPr>
      <t xml:space="preserve">時間——その間、人間は何をされる？財団収容施設で</t>
    </r>
    <r>
      <rPr>
        <sz val="10"/>
        <rFont val="Arial"/>
        <family val="0"/>
        <charset val="1"/>
      </rPr>
      <t xml:space="preserve">17</t>
    </r>
    <r>
      <rPr>
        <sz val="10"/>
        <rFont val="Noto Sans CJK SC"/>
        <family val="2"/>
      </rPr>
      <t xml:space="preserve">件の『自発的失踪』が記録された</t>
    </r>
    <r>
      <rPr>
        <sz val="10"/>
        <rFont val="Arial"/>
        <family val="0"/>
        <charset val="1"/>
      </rPr>
      <t xml:space="preserve">#</t>
    </r>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SCP-1238</t>
    </r>
    <r>
      <rPr>
        <sz val="10"/>
        <rFont val="Noto Sans CJK SC"/>
        <family val="2"/>
      </rPr>
      <t xml:space="preserve">「メカニカルリペアマン」が修復するのは機械じゃない——財</t>
    </r>
  </si>
  <si>
    <r>
      <rPr>
        <sz val="10"/>
        <rFont val="Noto Sans CJK SC"/>
        <family val="2"/>
      </rPr>
      <t xml:space="preserve">一口</t>
    </r>
    <r>
      <rPr>
        <sz val="10"/>
        <rFont val="Arial"/>
        <family val="0"/>
        <charset val="1"/>
      </rPr>
      <t xml:space="preserve">SCP</t>
    </r>
    <r>
      <rPr>
        <sz val="10"/>
        <rFont val="Noto Sans CJK SC"/>
        <family val="2"/>
      </rPr>
      <t xml:space="preserve">：修復完了のたびに人が消える財団が隠し続けた『自動修復』の正体</t>
    </r>
    <r>
      <rPr>
        <sz val="10"/>
        <rFont val="Arial"/>
        <family val="0"/>
        <charset val="1"/>
      </rPr>
      <t xml:space="preserve">#</t>
    </r>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SCP-1238</t>
    </r>
    <r>
      <rPr>
        <sz val="10"/>
        <rFont val="Noto Sans CJK SC"/>
        <family val="2"/>
      </rPr>
      <t xml:space="preserve">「メカニカルリペアマン」— 修復が終わるたびに</t>
    </r>
    <r>
      <rPr>
        <sz val="10"/>
        <rFont val="Arial"/>
        <family val="0"/>
        <charset val="1"/>
      </rPr>
      <t xml:space="preserve">17</t>
    </r>
    <r>
      <rPr>
        <sz val="10"/>
        <rFont val="Noto Sans CJK SC"/>
        <family val="2"/>
      </rPr>
      <t xml:space="preserve">名が消えた理由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</si>
  <si>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SCP-1238</t>
    </r>
    <r>
      <rPr>
        <sz val="10"/>
        <rFont val="Noto Sans CJK SC"/>
        <family val="2"/>
      </rPr>
      <t xml:space="preserve">「メカニカルリペアマン」が修理した</t>
    </r>
    <r>
      <rPr>
        <sz val="10"/>
        <rFont val="Arial"/>
        <family val="0"/>
        <charset val="1"/>
      </rPr>
      <t xml:space="preserve">17</t>
    </r>
    <r>
      <rPr>
        <sz val="10"/>
        <rFont val="Noto Sans CJK SC"/>
        <family val="2"/>
      </rPr>
      <t xml:space="preserve">名、その後の記録が</t>
    </r>
    <r>
      <rPr>
        <sz val="10"/>
        <rFont val="Arial"/>
        <family val="0"/>
        <charset val="1"/>
      </rPr>
      <t xml:space="preserve">[DATA EXPUNGED]</t>
    </r>
    <r>
      <rPr>
        <sz val="10"/>
        <rFont val="Noto Sans CJK SC"/>
        <family val="2"/>
      </rPr>
      <t xml:space="preserve">されている本当の理由【ショート】</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</si>
  <si>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：実験記録</t>
    </r>
    <r>
      <rPr>
        <sz val="10"/>
        <color rgb="FFA6A6A6"/>
        <rFont val="Arial"/>
        <family val="0"/>
        <charset val="1"/>
      </rPr>
      <t xml:space="preserve">17</t>
    </r>
    <r>
      <rPr>
        <sz val="10"/>
        <color rgb="FFA6A6A6"/>
        <rFont val="Noto Sans CJK SC"/>
        <family val="2"/>
      </rPr>
      <t xml:space="preserve">件すべて</t>
    </r>
    <r>
      <rPr>
        <sz val="10"/>
        <color rgb="FFA6A6A6"/>
        <rFont val="Arial"/>
        <family val="0"/>
        <charset val="1"/>
      </rPr>
      <t xml:space="preserve">[DATA EXPUNGED]</t>
    </r>
    <r>
      <rPr>
        <sz val="10"/>
        <color rgb="FFA6A6A6"/>
        <rFont val="Noto Sans CJK SC"/>
        <family val="2"/>
      </rPr>
      <t xml:space="preserve">された異常存在の、財団が隠し続ける本当の正体【ショート】</t>
    </r>
  </si>
  <si>
    <r>
      <rPr>
        <sz val="10"/>
        <rFont val="Noto Sans CJK SC"/>
        <family val="2"/>
      </rPr>
      <t xml:space="preserve">一口</t>
    </r>
    <r>
      <rPr>
        <sz val="10"/>
        <rFont val="Arial"/>
        <family val="0"/>
        <charset val="1"/>
      </rPr>
      <t xml:space="preserve">SCP</t>
    </r>
    <r>
      <rPr>
        <sz val="10"/>
        <rFont val="Noto Sans CJK SC"/>
        <family val="2"/>
      </rPr>
      <t xml:space="preserve">：目を離した瞬間、死が訪れる。視線を外すと動き出す古代の彫刻。</t>
    </r>
    <r>
      <rPr>
        <sz val="10"/>
        <rFont val="Arial"/>
        <family val="0"/>
        <charset val="1"/>
      </rPr>
      <t xml:space="preserve">#SCP-173</t>
    </r>
    <r>
      <rPr>
        <sz val="10"/>
        <rFont val="Noto Sans CJK SC"/>
        <family val="2"/>
      </rPr>
      <t xml:space="preserve">【視線を外すと襲いかかる彫刻】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</si>
  <si>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：視線を外すと即死の恐怖財団最古の収容違反を暴露</t>
    </r>
    <r>
      <rPr>
        <sz val="10"/>
        <rFont val="Arial"/>
        <family val="0"/>
        <charset val="1"/>
      </rPr>
      <t xml:space="preserve">#SCP-173</t>
    </r>
    <r>
      <rPr>
        <sz val="10"/>
        <rFont val="Noto Sans CJK SC"/>
        <family val="2"/>
      </rPr>
      <t xml:space="preserve">【目を離した</t>
    </r>
    <r>
      <rPr>
        <sz val="10"/>
        <rFont val="Arial"/>
        <family val="0"/>
        <charset val="1"/>
      </rPr>
      <t xml:space="preserve">0.3</t>
    </r>
    <r>
      <rPr>
        <sz val="10"/>
        <rFont val="Noto Sans CJK SC"/>
        <family val="2"/>
      </rPr>
      <t xml:space="preserve">秒で首が折れる理由】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</si>
  <si>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SCP-1242</t>
    </r>
    <r>
      <rPr>
        <sz val="10"/>
        <rFont val="Noto Sans CJK SC"/>
        <family val="2"/>
      </rPr>
      <t xml:space="preserve">「八つの目を持つ者」— 接触から</t>
    </r>
    <r>
      <rPr>
        <sz val="10"/>
        <rFont val="Arial"/>
        <family val="0"/>
        <charset val="1"/>
      </rPr>
      <t xml:space="preserve">72</t>
    </r>
    <r>
      <rPr>
        <sz val="10"/>
        <rFont val="Noto Sans CJK SC"/>
        <family val="2"/>
      </rPr>
      <t xml:space="preserve">時間後、</t>
    </r>
    <r>
      <rPr>
        <sz val="10"/>
        <rFont val="Arial"/>
        <family val="0"/>
        <charset val="1"/>
      </rPr>
      <t xml:space="preserve">23</t>
    </r>
    <r>
      <rPr>
        <sz val="10"/>
        <rFont val="Noto Sans CJK SC"/>
        <family val="2"/>
      </rPr>
      <t xml:space="preserve">名中</t>
    </r>
    <r>
      <rPr>
        <sz val="10"/>
        <rFont val="Arial"/>
        <family val="0"/>
        <charset val="1"/>
      </rPr>
      <t xml:space="preserve">19</t>
    </r>
    <r>
      <rPr>
        <sz val="10"/>
        <rFont val="Noto Sans CJK SC"/>
        <family val="2"/>
      </rPr>
      <t xml:space="preserve">名が自分の名前を答えられなくなった本当の理由【ショート】</t>
    </r>
  </si>
  <si>
    <r>
      <rPr>
        <sz val="10"/>
        <rFont val="Noto Sans CJK SC"/>
        <family val="2"/>
      </rPr>
      <t xml:space="preserve">一口</t>
    </r>
    <r>
      <rPr>
        <sz val="10"/>
        <rFont val="Arial"/>
        <family val="0"/>
        <charset val="1"/>
      </rPr>
      <t xml:space="preserve">SCP</t>
    </r>
    <r>
      <rPr>
        <sz val="10"/>
        <rFont val="Noto Sans CJK SC"/>
        <family val="2"/>
      </rPr>
      <t xml:space="preserve">：入館者</t>
    </r>
    <r>
      <rPr>
        <sz val="10"/>
        <rFont val="Arial"/>
        <family val="0"/>
        <charset val="1"/>
      </rPr>
      <t xml:space="preserve">72</t>
    </r>
    <r>
      <rPr>
        <sz val="10"/>
        <rFont val="Noto Sans CJK SC"/>
        <family val="2"/>
      </rPr>
      <t xml:space="preserve">時間後に記録消滅財団</t>
    </r>
    <r>
      <rPr>
        <sz val="10"/>
        <rFont val="Arial"/>
        <family val="0"/>
        <charset val="1"/>
      </rPr>
      <t xml:space="preserve">Lv4</t>
    </r>
    <r>
      <rPr>
        <sz val="10"/>
        <rFont val="Noto Sans CJK SC"/>
        <family val="2"/>
      </rPr>
      <t xml:space="preserve">以上しか閲覧できない収容プロトコル</t>
    </r>
    <r>
      <rPr>
        <sz val="10"/>
        <rFont val="Arial"/>
        <family val="0"/>
        <charset val="1"/>
      </rPr>
      <t xml:space="preserve">#</t>
    </r>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SCP-1618</t>
    </r>
    <r>
      <rPr>
        <sz val="10"/>
        <rFont val="Noto Sans CJK SC"/>
        <family val="2"/>
      </rPr>
      <t xml:space="preserve">「消える図書館」— 入館した</t>
    </r>
    <r>
      <rPr>
        <sz val="10"/>
        <rFont val="Arial"/>
        <family val="0"/>
        <charset val="1"/>
      </rPr>
      <t xml:space="preserve">72</t>
    </r>
    <r>
      <rPr>
        <sz val="10"/>
        <rFont val="Noto Sans CJK SC"/>
        <family val="2"/>
      </rPr>
      <t xml:space="preserve">時間後、司書の記録が完全に消えた本当の理由 </t>
    </r>
    <r>
      <rPr>
        <sz val="10"/>
        <rFont val="Arial"/>
        <family val="0"/>
        <charset val="1"/>
      </rPr>
      <t xml:space="preserve">#short</t>
    </r>
  </si>
  <si>
    <r>
      <rPr>
        <sz val="10"/>
        <rFont val="Noto Sans CJK SC"/>
        <family val="2"/>
      </rPr>
      <t xml:space="preserve">一口</t>
    </r>
    <r>
      <rPr>
        <sz val="10"/>
        <rFont val="Arial"/>
        <family val="0"/>
        <charset val="1"/>
      </rPr>
      <t xml:space="preserve">SCP</t>
    </r>
    <r>
      <rPr>
        <sz val="10"/>
        <rFont val="Noto Sans CJK SC"/>
        <family val="2"/>
      </rPr>
      <t xml:space="preserve">：異常な図書館が消える理由とは？記憶を奪う書物が存在する？</t>
    </r>
    <r>
      <rPr>
        <sz val="10"/>
        <rFont val="Arial"/>
        <family val="0"/>
        <charset val="1"/>
      </rPr>
      <t xml:space="preserve">#SCP-1618</t>
    </r>
    <r>
      <rPr>
        <sz val="10"/>
        <rFont val="Noto Sans CJK SC"/>
        <family val="2"/>
      </rPr>
      <t xml:space="preserve">「消える図書館」の謎：財団が隠す異常な本の正体 </t>
    </r>
    <r>
      <rPr>
        <sz val="10"/>
        <rFont val="Arial"/>
        <family val="0"/>
        <charset val="1"/>
      </rPr>
      <t xml:space="preserve">#shorts #</t>
    </r>
    <r>
      <rPr>
        <sz val="10"/>
        <rFont val="Noto Sans CJK SC"/>
        <family val="2"/>
      </rPr>
      <t xml:space="preserve">ゆっくり解説</t>
    </r>
  </si>
  <si>
    <r>
      <rPr>
        <sz val="10"/>
        <rFont val="Noto Sans CJK SC"/>
        <family val="2"/>
      </rPr>
      <t xml:space="preserve">施設ごと消えた記録が</t>
    </r>
    <r>
      <rPr>
        <sz val="10"/>
        <rFont val="Arial"/>
        <family val="0"/>
        <charset val="1"/>
      </rPr>
      <t xml:space="preserve">3</t>
    </r>
    <r>
      <rPr>
        <sz val="10"/>
        <rFont val="Noto Sans CJK SC"/>
        <family val="2"/>
      </rPr>
      <t xml:space="preserve">件だけある——</t>
    </r>
    <r>
      <rPr>
        <sz val="10"/>
        <rFont val="Arial"/>
        <family val="0"/>
        <charset val="1"/>
      </rPr>
      <t xml:space="preserve">SCP-1730</t>
    </r>
    <r>
      <rPr>
        <sz val="10"/>
        <rFont val="Noto Sans CJK SC"/>
        <family val="2"/>
      </rPr>
      <t xml:space="preserve">と残り</t>
    </r>
    <r>
      <rPr>
        <sz val="10"/>
        <rFont val="Arial"/>
        <family val="0"/>
        <charset val="1"/>
      </rPr>
      <t xml:space="preserve">2</t>
    </r>
    <r>
      <rPr>
        <sz val="10"/>
        <rFont val="Noto Sans CJK SC"/>
        <family val="2"/>
      </rPr>
      <t xml:space="preserve">件、崩壊の経緯がまったく違う理由を財団は隠している【ショート】</t>
    </r>
  </si>
  <si>
    <r>
      <rPr>
        <sz val="10"/>
        <rFont val="Noto Sans CJK SC"/>
        <family val="2"/>
      </rPr>
      <t xml:space="preserve">一口</t>
    </r>
    <r>
      <rPr>
        <sz val="10"/>
        <rFont val="Arial"/>
        <family val="0"/>
        <charset val="1"/>
      </rPr>
      <t xml:space="preserve">SCP</t>
    </r>
    <r>
      <rPr>
        <sz val="10"/>
        <rFont val="Noto Sans CJK SC"/>
        <family val="2"/>
      </rPr>
      <t xml:space="preserve">：施設ごと消えた——記録も、職員も、存在した痕跡さえも財団の収容プロトコルと『現実の隠蔽』は、なぜこんなにも同じ構造をしているのか</t>
    </r>
    <r>
      <rPr>
        <sz val="10"/>
        <rFont val="Arial"/>
        <family val="0"/>
        <charset val="1"/>
      </rPr>
      <t xml:space="preserve">#</t>
    </r>
    <r>
      <rPr>
        <sz val="10"/>
        <rFont val="Noto Sans CJK SC"/>
        <family val="2"/>
      </rPr>
      <t xml:space="preserve">財団が封印した『消えた施設』——日本国内に実在した</t>
    </r>
    <r>
      <rPr>
        <sz val="10"/>
        <rFont val="Arial"/>
        <family val="0"/>
        <charset val="1"/>
      </rPr>
      <t xml:space="preserve">3</t>
    </r>
    <r>
      <rPr>
        <sz val="10"/>
        <rFont val="Noto Sans CJK SC"/>
        <family val="2"/>
      </rPr>
      <t xml:space="preserve">件の記</t>
    </r>
  </si>
  <si>
    <r>
      <rPr>
        <sz val="10"/>
        <rFont val="Noto Sans CJK SC"/>
        <family val="2"/>
      </rPr>
      <t xml:space="preserve">一口</t>
    </r>
    <r>
      <rPr>
        <sz val="10"/>
        <rFont val="Arial"/>
        <family val="0"/>
        <charset val="1"/>
      </rPr>
      <t xml:space="preserve">SCP</t>
    </r>
    <r>
      <rPr>
        <sz val="10"/>
        <rFont val="Noto Sans CJK SC"/>
        <family val="2"/>
      </rPr>
      <t xml:space="preserve">：財団が消した施設…あなたの隣にあるかもしれない</t>
    </r>
    <r>
      <rPr>
        <sz val="10"/>
        <rFont val="Arial"/>
        <family val="0"/>
        <charset val="1"/>
      </rPr>
      <t xml:space="preserve">#</t>
    </r>
    <r>
      <rPr>
        <sz val="10"/>
        <rFont val="Noto Sans CJK SC"/>
        <family val="2"/>
      </rPr>
      <t xml:space="preserve">消えた日本の財団施設…その真相に迫る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</si>
  <si>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：目を離した瞬間、首を折られる財団が</t>
    </r>
    <r>
      <rPr>
        <sz val="10"/>
        <rFont val="Arial"/>
        <family val="0"/>
        <charset val="1"/>
      </rPr>
      <t xml:space="preserve">17</t>
    </r>
    <r>
      <rPr>
        <sz val="10"/>
        <rFont val="Noto Sans CJK SC"/>
        <family val="2"/>
      </rPr>
      <t xml:space="preserve">名の死亡を隠蔽した理由とは</t>
    </r>
    <r>
      <rPr>
        <sz val="10"/>
        <rFont val="Arial"/>
        <family val="0"/>
        <charset val="1"/>
      </rPr>
      <t xml:space="preserve">#</t>
    </r>
    <r>
      <rPr>
        <sz val="10"/>
        <rFont val="Noto Sans CJK SC"/>
        <family val="2"/>
      </rPr>
      <t xml:space="preserve">目を離した</t>
    </r>
    <r>
      <rPr>
        <sz val="10"/>
        <rFont val="Arial"/>
        <family val="0"/>
        <charset val="1"/>
      </rPr>
      <t xml:space="preserve">0.3</t>
    </r>
    <r>
      <rPr>
        <sz val="10"/>
        <rFont val="Noto Sans CJK SC"/>
        <family val="2"/>
      </rPr>
      <t xml:space="preserve">秒で首を折られる——</t>
    </r>
    <r>
      <rPr>
        <sz val="10"/>
        <rFont val="Arial"/>
        <family val="0"/>
        <charset val="1"/>
      </rPr>
      <t xml:space="preserve">SCP-173</t>
    </r>
    <r>
      <rPr>
        <sz val="10"/>
        <rFont val="Noto Sans CJK SC"/>
        <family val="2"/>
      </rPr>
      <t xml:space="preserve">が財団最古の収容記録に残り続ける本当の理由 </t>
    </r>
    <r>
      <rPr>
        <sz val="10"/>
        <rFont val="Arial"/>
        <family val="0"/>
        <charset val="1"/>
      </rPr>
      <t xml:space="preserve">#shorts #</t>
    </r>
    <r>
      <rPr>
        <sz val="10"/>
        <rFont val="Noto Sans CJK SC"/>
        <family val="2"/>
      </rPr>
      <t xml:space="preserve">ゆっくり解</t>
    </r>
  </si>
  <si>
    <r>
      <rPr>
        <sz val="10"/>
        <rFont val="Noto Sans CJK SC"/>
        <family val="2"/>
      </rPr>
      <t xml:space="preserve">一口</t>
    </r>
    <r>
      <rPr>
        <sz val="10"/>
        <rFont val="Arial"/>
        <family val="0"/>
        <charset val="1"/>
      </rPr>
      <t xml:space="preserve">SCP</t>
    </r>
    <r>
      <rPr>
        <sz val="10"/>
        <rFont val="Noto Sans CJK SC"/>
        <family val="2"/>
      </rPr>
      <t xml:space="preserve">：視線を外すその瞬間</t>
    </r>
    <r>
      <rPr>
        <sz val="10"/>
        <rFont val="Arial"/>
        <family val="0"/>
        <charset val="1"/>
      </rPr>
      <t xml:space="preserve">SCP-173</t>
    </r>
    <r>
      <rPr>
        <sz val="10"/>
        <rFont val="Noto Sans CJK SC"/>
        <family val="2"/>
      </rPr>
      <t xml:space="preserve">が迫ってくる</t>
    </r>
    <r>
      <rPr>
        <sz val="10"/>
        <rFont val="Arial"/>
        <family val="0"/>
        <charset val="1"/>
      </rPr>
      <t xml:space="preserve">#</t>
    </r>
    <r>
      <rPr>
        <sz val="10"/>
        <rFont val="Noto Sans CJK SC"/>
        <family val="2"/>
      </rPr>
      <t xml:space="preserve">見てはいけない瞬間、</t>
    </r>
    <r>
      <rPr>
        <sz val="10"/>
        <rFont val="Arial"/>
        <family val="0"/>
        <charset val="1"/>
      </rPr>
      <t xml:space="preserve">SCP-173</t>
    </r>
    <r>
      <rPr>
        <sz val="10"/>
        <rFont val="Noto Sans CJK SC"/>
        <family val="2"/>
      </rPr>
      <t xml:space="preserve">の驚異 </t>
    </r>
    <r>
      <rPr>
        <sz val="10"/>
        <rFont val="Arial"/>
        <family val="0"/>
        <charset val="1"/>
      </rPr>
      <t xml:space="preserve">#shorts #</t>
    </r>
    <r>
      <rPr>
        <sz val="10"/>
        <rFont val="Noto Sans CJK SC"/>
        <family val="2"/>
      </rPr>
      <t xml:space="preserve">ゆっくり解説</t>
    </r>
  </si>
  <si>
    <r>
      <rPr>
        <sz val="10"/>
        <rFont val="Arial"/>
        <family val="0"/>
        <charset val="1"/>
      </rPr>
      <t xml:space="preserve">SCP-1337</t>
    </r>
    <r>
      <rPr>
        <sz val="10"/>
        <rFont val="Noto Sans CJK SC"/>
        <family val="2"/>
      </rPr>
      <t xml:space="preserve">に触れた</t>
    </r>
    <r>
      <rPr>
        <sz val="10"/>
        <rFont val="Arial"/>
        <family val="0"/>
        <charset val="1"/>
      </rPr>
      <t xml:space="preserve">17</t>
    </r>
    <r>
      <rPr>
        <sz val="10"/>
        <rFont val="Noto Sans CJK SC"/>
        <family val="2"/>
      </rPr>
      <t xml:space="preserve">名が全員同じ夢を見た——財団が隠し続けた「意識が宿る電球」の正体【ショート】</t>
    </r>
  </si>
  <si>
    <r>
      <rPr>
        <sz val="10"/>
        <rFont val="Noto Sans CJK SC"/>
        <family val="2"/>
      </rPr>
      <t xml:space="preserve">一口</t>
    </r>
    <r>
      <rPr>
        <sz val="10"/>
        <rFont val="Arial"/>
        <family val="0"/>
        <charset val="1"/>
      </rPr>
      <t xml:space="preserve">SCP</t>
    </r>
    <r>
      <rPr>
        <sz val="10"/>
        <rFont val="Noto Sans CJK SC"/>
        <family val="2"/>
      </rPr>
      <t xml:space="preserve">：財団が隠し続けた異常事件収容違反事件の裏側に潜む恐怖</t>
    </r>
    <r>
      <rPr>
        <sz val="10"/>
        <rFont val="Arial"/>
        <family val="0"/>
        <charset val="1"/>
      </rPr>
      <t xml:space="preserve">#</t>
    </r>
    <r>
      <rPr>
        <sz val="10"/>
        <rFont val="Noto Sans CJK SC"/>
        <family val="2"/>
      </rPr>
      <t xml:space="preserve">財団が隠し続けた</t>
    </r>
    <r>
      <rPr>
        <sz val="10"/>
        <rFont val="Arial"/>
        <family val="0"/>
        <charset val="1"/>
      </rPr>
      <t xml:space="preserve">SCP-XXX</t>
    </r>
    <r>
      <rPr>
        <sz val="10"/>
        <rFont val="Noto Sans CJK SC"/>
        <family val="2"/>
      </rPr>
      <t xml:space="preserve">の正体—収容違反事件の裏側 </t>
    </r>
    <r>
      <rPr>
        <sz val="10"/>
        <rFont val="Arial"/>
        <family val="0"/>
        <charset val="1"/>
      </rPr>
      <t xml:space="preserve">#shorts #</t>
    </r>
    <r>
      <rPr>
        <sz val="10"/>
        <rFont val="Noto Sans CJK SC"/>
        <family val="2"/>
      </rPr>
      <t xml:space="preserve">ゆっくり解説</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</si>
  <si>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：この報告書…読んだら後悔するかもしれない財団データベースから、また一つ流出した</t>
    </r>
    <r>
      <rPr>
        <sz val="10"/>
        <color rgb="FFA6A6A6"/>
        <rFont val="Arial"/>
        <family val="0"/>
        <charset val="1"/>
      </rPr>
      <t xml:space="preserve">#</t>
    </r>
    <r>
      <rPr>
        <sz val="10"/>
        <color rgb="FFA6A6A6"/>
        <rFont val="Noto Sans CJK SC"/>
        <family val="2"/>
      </rPr>
      <t xml:space="preserve">財団が隠し続けた認識災害</t>
    </r>
    <r>
      <rPr>
        <sz val="10"/>
        <color rgb="FFA6A6A6"/>
        <rFont val="Arial"/>
        <family val="0"/>
        <charset val="1"/>
      </rPr>
      <t xml:space="preserve">SCP</t>
    </r>
    <r>
      <rPr>
        <sz val="10"/>
        <color rgb="FFA6A6A6"/>
        <rFont val="Noto Sans CJK SC"/>
        <family val="2"/>
      </rPr>
      <t xml:space="preserve">の本当の理由 </t>
    </r>
    <r>
      <rPr>
        <sz val="10"/>
        <color rgb="FFA6A6A6"/>
        <rFont val="Arial"/>
        <family val="0"/>
        <charset val="1"/>
      </rPr>
      <t xml:space="preserve">#shorts #</t>
    </r>
    <r>
      <rPr>
        <sz val="10"/>
        <color rgb="FFA6A6A6"/>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</si>
  <si>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：孤独な瞬間にだけ現れる</t>
    </r>
    <r>
      <rPr>
        <sz val="10"/>
        <rFont val="Arial"/>
        <family val="0"/>
        <charset val="1"/>
      </rPr>
      <t xml:space="preserve">SCP</t>
    </r>
    <r>
      <rPr>
        <sz val="10"/>
        <rFont val="Noto Sans CJK SC"/>
        <family val="2"/>
      </rPr>
      <t xml:space="preserve">の正体</t>
    </r>
    <r>
      <rPr>
        <sz val="10"/>
        <rFont val="Arial"/>
        <family val="0"/>
        <charset val="1"/>
      </rPr>
      <t xml:space="preserve">#</t>
    </r>
    <r>
      <rPr>
        <sz val="10"/>
        <rFont val="Noto Sans CJK SC"/>
        <family val="2"/>
      </rPr>
      <t xml:space="preserve">孤独な瞬間にだけ現れる</t>
    </r>
    <r>
      <rPr>
        <sz val="10"/>
        <rFont val="Arial"/>
        <family val="0"/>
        <charset val="1"/>
      </rPr>
      <t xml:space="preserve">SCP</t>
    </r>
    <r>
      <rPr>
        <sz val="10"/>
        <rFont val="Noto Sans CJK SC"/>
        <family val="2"/>
      </rPr>
      <t xml:space="preserve">の本当の理由——財団が隠した切ない真実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</si>
  <si>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：あなたはまだその真相を知らない実は恐ろしい誤解があった</t>
    </r>
    <r>
      <rPr>
        <sz val="10"/>
        <rFont val="Arial"/>
        <family val="0"/>
        <charset val="1"/>
      </rPr>
      <t xml:space="preserve">#99%</t>
    </r>
    <r>
      <rPr>
        <sz val="10"/>
        <rFont val="Noto Sans CJK SC"/>
        <family val="2"/>
      </rPr>
      <t xml:space="preserve">の人が誤解する</t>
    </r>
    <r>
      <rPr>
        <sz val="10"/>
        <rFont val="Arial"/>
        <family val="0"/>
        <charset val="1"/>
      </rPr>
      <t xml:space="preserve">SCP-9999</t>
    </r>
    <r>
      <rPr>
        <sz val="10"/>
        <rFont val="Noto Sans CJK SC"/>
        <family val="2"/>
      </rPr>
      <t xml:space="preserve">の恐怖 — 財団が隠した真実 </t>
    </r>
    <r>
      <rPr>
        <sz val="10"/>
        <rFont val="Arial"/>
        <family val="0"/>
        <charset val="1"/>
      </rPr>
      <t xml:space="preserve">#shorts #</t>
    </r>
    <r>
      <rPr>
        <sz val="10"/>
        <rFont val="Noto Sans CJK SC"/>
        <family val="2"/>
      </rPr>
      <t xml:space="preserve">ゆっくり解説</t>
    </r>
  </si>
  <si>
    <r>
      <rPr>
        <sz val="10"/>
        <rFont val="Arial"/>
        <family val="0"/>
        <charset val="1"/>
      </rPr>
      <t xml:space="preserve">SCP-1733</t>
    </r>
    <r>
      <rPr>
        <sz val="10"/>
        <rFont val="Noto Sans CJK SC"/>
        <family val="2"/>
      </rPr>
      <t xml:space="preserve">：「開幕戦」——財団が隠した恐怖の</t>
    </r>
    <r>
      <rPr>
        <sz val="10"/>
        <rFont val="Arial"/>
        <family val="0"/>
        <charset val="1"/>
      </rPr>
      <t xml:space="preserve">DVD</t>
    </r>
    <r>
      <rPr>
        <sz val="10"/>
        <rFont val="Noto Sans CJK SC"/>
        <family val="2"/>
      </rPr>
      <t xml:space="preserve">【ショート】</t>
    </r>
  </si>
  <si>
    <r>
      <rPr>
        <sz val="10"/>
        <rFont val="Noto Sans CJK SC"/>
        <family val="2"/>
      </rPr>
      <t xml:space="preserve">一口</t>
    </r>
    <r>
      <rPr>
        <sz val="10"/>
        <rFont val="Arial"/>
        <family val="0"/>
        <charset val="1"/>
      </rPr>
      <t xml:space="preserve">SCP</t>
    </r>
    <r>
      <rPr>
        <sz val="10"/>
        <rFont val="Noto Sans CJK SC"/>
        <family val="2"/>
      </rPr>
      <t xml:space="preserve">：財団が人類を『敵』と判断した日記録はすべて</t>
    </r>
    <r>
      <rPr>
        <sz val="10"/>
        <rFont val="Arial"/>
        <family val="0"/>
        <charset val="1"/>
      </rPr>
      <t xml:space="preserve">[DATA EXPUNGED]#</t>
    </r>
    <r>
      <rPr>
        <sz val="10"/>
        <rFont val="Noto Sans CJK SC"/>
        <family val="2"/>
      </rPr>
      <t xml:space="preserve">財団が記録ごと封印した</t>
    </r>
    <r>
      <rPr>
        <sz val="10"/>
        <rFont val="Arial"/>
        <family val="0"/>
        <charset val="1"/>
      </rPr>
      <t xml:space="preserve">SCP-5000——17</t>
    </r>
    <r>
      <rPr>
        <sz val="10"/>
        <rFont val="Noto Sans CJK SC"/>
        <family val="2"/>
      </rPr>
      <t xml:space="preserve">名の研究員が「なぜ？」と書き残して消えた理由 </t>
    </r>
    <r>
      <rPr>
        <sz val="10"/>
        <rFont val="Arial"/>
        <family val="0"/>
        <charset val="1"/>
      </rPr>
      <t xml:space="preserve">#shorts #</t>
    </r>
    <r>
      <rPr>
        <sz val="10"/>
        <rFont val="Noto Sans CJK SC"/>
        <family val="2"/>
      </rPr>
      <t xml:space="preserve">ゆっ</t>
    </r>
  </si>
  <si>
    <r>
      <rPr>
        <sz val="10"/>
        <rFont val="Noto Sans CJK SC"/>
        <family val="2"/>
      </rPr>
      <t xml:space="preserve">一口</t>
    </r>
    <r>
      <rPr>
        <sz val="10"/>
        <rFont val="Arial"/>
        <family val="0"/>
        <charset val="1"/>
      </rPr>
      <t xml:space="preserve">SCP</t>
    </r>
    <r>
      <rPr>
        <sz val="10"/>
        <rFont val="Noto Sans CJK SC"/>
        <family val="2"/>
      </rPr>
      <t xml:space="preserve">：財団が隠し続けた目を離した瞬間、襲われる</t>
    </r>
    <r>
      <rPr>
        <sz val="10"/>
        <rFont val="Arial"/>
        <family val="0"/>
        <charset val="1"/>
      </rPr>
      <t xml:space="preserve">#</t>
    </r>
    <r>
      <rPr>
        <sz val="10"/>
        <rFont val="Noto Sans CJK SC"/>
        <family val="2"/>
      </rPr>
      <t xml:space="preserve">目を離した瞬間、電流が襲う—財団が隠した『電子工作の悪夢』の正体 </t>
    </r>
    <r>
      <rPr>
        <sz val="10"/>
        <rFont val="Arial"/>
        <family val="0"/>
        <charset val="1"/>
      </rPr>
      <t xml:space="preserve">#shorts #</t>
    </r>
    <r>
      <rPr>
        <sz val="10"/>
        <rFont val="Noto Sans CJK SC"/>
        <family val="2"/>
      </rPr>
      <t xml:space="preserve">ゆっくり解説</t>
    </r>
  </si>
  <si>
    <r>
      <rPr>
        <sz val="10"/>
        <rFont val="Noto Sans CJK SC"/>
        <family val="2"/>
      </rPr>
      <t xml:space="preserve">目を離した</t>
    </r>
    <r>
      <rPr>
        <sz val="10"/>
        <rFont val="Arial"/>
        <family val="0"/>
        <charset val="1"/>
      </rPr>
      <t xml:space="preserve">0.3</t>
    </r>
    <r>
      <rPr>
        <sz val="10"/>
        <rFont val="Noto Sans CJK SC"/>
        <family val="2"/>
      </rPr>
      <t xml:space="preserve">秒で消えた——財団が記録ごと封印した</t>
    </r>
    <r>
      <rPr>
        <sz val="10"/>
        <rFont val="Arial"/>
        <family val="0"/>
        <charset val="1"/>
      </rPr>
      <t xml:space="preserve">SCP-099</t>
    </r>
    <r>
      <rPr>
        <sz val="10"/>
        <rFont val="Noto Sans CJK SC"/>
        <family val="2"/>
      </rPr>
      <t xml:space="preserve">「空間歪曲体」の正体【ショート】</t>
    </r>
  </si>
  <si>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17</t>
    </r>
    <r>
      <rPr>
        <sz val="10"/>
        <rFont val="Noto Sans CJK SC"/>
        <family val="2"/>
      </rPr>
      <t xml:space="preserve">年間、財団データベースから抹消されていた施設生存者</t>
    </r>
    <r>
      <rPr>
        <sz val="10"/>
        <rFont val="Arial"/>
        <family val="0"/>
        <charset val="1"/>
      </rPr>
      <t xml:space="preserve">0</t>
    </r>
    <r>
      <rPr>
        <sz val="10"/>
        <rFont val="Noto Sans CJK SC"/>
        <family val="2"/>
      </rPr>
      <t xml:space="preserve">名——記録だけが残った</t>
    </r>
    <r>
      <rPr>
        <sz val="10"/>
        <rFont val="Arial"/>
        <family val="0"/>
        <charset val="1"/>
      </rPr>
      <t xml:space="preserve">#</t>
    </r>
    <r>
      <rPr>
        <sz val="10"/>
        <rFont val="Noto Sans CJK SC"/>
        <family val="2"/>
      </rPr>
      <t xml:space="preserve">財団が</t>
    </r>
    <r>
      <rPr>
        <sz val="10"/>
        <rFont val="Arial"/>
        <family val="0"/>
        <charset val="1"/>
      </rPr>
      <t xml:space="preserve">17</t>
    </r>
    <r>
      <rPr>
        <sz val="10"/>
        <rFont val="Noto Sans CJK SC"/>
        <family val="2"/>
      </rPr>
      <t xml:space="preserve">年間隠し続けた——</t>
    </r>
    <r>
      <rPr>
        <sz val="10"/>
        <rFont val="Arial"/>
        <family val="0"/>
        <charset val="1"/>
      </rPr>
      <t xml:space="preserve">SCP-1730</t>
    </r>
    <r>
      <rPr>
        <sz val="10"/>
        <rFont val="Noto Sans CJK SC"/>
        <family val="2"/>
      </rPr>
      <t xml:space="preserve">「消えたサイト</t>
    </r>
    <r>
      <rPr>
        <sz val="10"/>
        <rFont val="Arial"/>
        <family val="0"/>
        <charset val="1"/>
      </rPr>
      <t xml:space="preserve">-13</t>
    </r>
    <r>
      <rPr>
        <sz val="10"/>
        <rFont val="Noto Sans CJK SC"/>
        <family val="2"/>
      </rPr>
      <t xml:space="preserve">」で何が起きたのか、本当の理由 </t>
    </r>
    <r>
      <rPr>
        <sz val="10"/>
        <rFont val="Arial"/>
        <family val="0"/>
        <charset val="1"/>
      </rPr>
      <t xml:space="preserve">#short</t>
    </r>
  </si>
  <si>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2019</t>
    </r>
    <r>
      <rPr>
        <sz val="10"/>
        <rFont val="Noto Sans CJK SC"/>
        <family val="2"/>
      </rPr>
      <t xml:space="preserve">年</t>
    </r>
    <r>
      <rPr>
        <sz val="10"/>
        <rFont val="Arial"/>
        <family val="0"/>
        <charset val="1"/>
      </rPr>
      <t xml:space="preserve">11</t>
    </r>
    <r>
      <rPr>
        <sz val="10"/>
        <rFont val="Noto Sans CJK SC"/>
        <family val="2"/>
      </rPr>
      <t xml:space="preserve">月</t>
    </r>
    <r>
      <rPr>
        <sz val="10"/>
        <rFont val="Arial"/>
        <family val="0"/>
        <charset val="1"/>
      </rPr>
      <t xml:space="preserve">3</t>
    </r>
    <r>
      <rPr>
        <sz val="10"/>
        <rFont val="Noto Sans CJK SC"/>
        <family val="2"/>
      </rPr>
      <t xml:space="preserve">日深夜</t>
    </r>
    <r>
      <rPr>
        <sz val="10"/>
        <rFont val="Arial"/>
        <family val="0"/>
        <charset val="1"/>
      </rPr>
      <t xml:space="preserve">0</t>
    </r>
    <r>
      <rPr>
        <sz val="10"/>
        <rFont val="Noto Sans CJK SC"/>
        <family val="2"/>
      </rPr>
      <t xml:space="preserve">時、全サイトで同時に、人類殲滅プロトコルが起動した。</t>
    </r>
    <r>
      <rPr>
        <sz val="10"/>
        <rFont val="Arial"/>
        <family val="0"/>
        <charset val="1"/>
      </rPr>
      <t xml:space="preserve">#</t>
    </r>
    <r>
      <rPr>
        <sz val="10"/>
        <rFont val="Noto Sans CJK SC"/>
        <family val="2"/>
      </rPr>
      <t xml:space="preserve">財団が隠し続けた</t>
    </r>
    <r>
      <rPr>
        <sz val="10"/>
        <rFont val="Arial"/>
        <family val="0"/>
        <charset val="1"/>
      </rPr>
      <t xml:space="preserve">SCP-5000</t>
    </r>
    <r>
      <rPr>
        <sz val="10"/>
        <rFont val="Noto Sans CJK SC"/>
        <family val="2"/>
      </rPr>
      <t xml:space="preserve">の真実 —— 世界の終焉が始まる理由 </t>
    </r>
    <r>
      <rPr>
        <sz val="10"/>
        <rFont val="Arial"/>
        <family val="0"/>
        <charset val="1"/>
      </rPr>
      <t xml:space="preserve">#shorts #</t>
    </r>
    <r>
      <rPr>
        <sz val="10"/>
        <rFont val="Noto Sans CJK SC"/>
        <family val="2"/>
      </rPr>
      <t xml:space="preserve">ゆっくり解説</t>
    </r>
  </si>
  <si>
    <r>
      <rPr>
        <sz val="10"/>
        <rFont val="Arial"/>
        <family val="0"/>
        <charset val="1"/>
      </rPr>
      <t xml:space="preserve">SCP-173</t>
    </r>
    <r>
      <rPr>
        <sz val="10"/>
        <rFont val="Noto Sans CJK SC"/>
        <family val="2"/>
      </rPr>
      <t xml:space="preserve">が「首だけ」を折る理由——財団が</t>
    </r>
    <r>
      <rPr>
        <sz val="10"/>
        <rFont val="Arial"/>
        <family val="0"/>
        <charset val="1"/>
      </rPr>
      <t xml:space="preserve">17</t>
    </r>
    <r>
      <rPr>
        <sz val="10"/>
        <rFont val="Noto Sans CJK SC"/>
        <family val="2"/>
      </rPr>
      <t xml:space="preserve">年間隠し続けた殺傷メカニズムの正体【ショート】</t>
    </r>
  </si>
  <si>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17</t>
    </r>
    <r>
      <rPr>
        <sz val="10"/>
        <rFont val="Noto Sans CJK SC"/>
        <family val="2"/>
      </rPr>
      <t xml:space="preserve">名が</t>
    </r>
    <r>
      <rPr>
        <sz val="10"/>
        <rFont val="Arial"/>
        <family val="0"/>
        <charset val="1"/>
      </rPr>
      <t xml:space="preserve">72</t>
    </r>
    <r>
      <rPr>
        <sz val="10"/>
        <rFont val="Noto Sans CJK SC"/>
        <family val="2"/>
      </rPr>
      <t xml:space="preserve">時間以内に消えた財団が封印した「建物の悪夢」の正体</t>
    </r>
    <r>
      <rPr>
        <sz val="10"/>
        <rFont val="Arial"/>
        <family val="0"/>
        <charset val="1"/>
      </rPr>
      <t xml:space="preserve">#SCP-015</t>
    </r>
    <r>
      <rPr>
        <sz val="10"/>
        <rFont val="Noto Sans CJK SC"/>
        <family val="2"/>
      </rPr>
      <t xml:space="preserve">に入った</t>
    </r>
    <r>
      <rPr>
        <sz val="10"/>
        <rFont val="Arial"/>
        <family val="0"/>
        <charset val="1"/>
      </rPr>
      <t xml:space="preserve">17</t>
    </r>
    <r>
      <rPr>
        <sz val="10"/>
        <rFont val="Noto Sans CJK SC"/>
        <family val="2"/>
      </rPr>
      <t xml:space="preserve">名の職員が</t>
    </r>
    <r>
      <rPr>
        <sz val="10"/>
        <rFont val="Arial"/>
        <family val="0"/>
        <charset val="1"/>
      </rPr>
      <t xml:space="preserve">72</t>
    </r>
    <r>
      <rPr>
        <sz val="10"/>
        <rFont val="Noto Sans CJK SC"/>
        <family val="2"/>
      </rPr>
      <t xml:space="preserve">時間以内に消えた——財団が封印し続ける「建物の悪夢」の本当の理由 </t>
    </r>
    <r>
      <rPr>
        <sz val="10"/>
        <rFont val="Arial"/>
        <family val="0"/>
        <charset val="1"/>
      </rPr>
      <t xml:space="preserve">#shorts #</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</si>
  <si>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：記録を読んだ者が消える</t>
    </r>
    <r>
      <rPr>
        <sz val="10"/>
        <color rgb="FFA6A6A6"/>
        <rFont val="Arial"/>
        <family val="0"/>
        <charset val="1"/>
      </rPr>
      <t xml:space="preserve">43</t>
    </r>
    <r>
      <rPr>
        <sz val="10"/>
        <color rgb="FFA6A6A6"/>
        <rFont val="Noto Sans CJK SC"/>
        <family val="2"/>
      </rPr>
      <t xml:space="preserve">年間、財団が隠し続けた装置の正体</t>
    </r>
    <r>
      <rPr>
        <sz val="10"/>
        <color rgb="FFA6A6A6"/>
        <rFont val="Arial"/>
        <family val="0"/>
        <charset val="1"/>
      </rPr>
      <t xml:space="preserve">#</t>
    </r>
    <r>
      <rPr>
        <sz val="10"/>
        <color rgb="FFA6A6A6"/>
        <rFont val="Noto Sans CJK SC"/>
        <family val="2"/>
      </rPr>
      <t xml:space="preserve">財団が</t>
    </r>
    <r>
      <rPr>
        <sz val="10"/>
        <color rgb="FFA6A6A6"/>
        <rFont val="Arial"/>
        <family val="0"/>
        <charset val="1"/>
      </rPr>
      <t xml:space="preserve">43</t>
    </r>
    <r>
      <rPr>
        <sz val="10"/>
        <color rgb="FFA6A6A6"/>
        <rFont val="Noto Sans CJK SC"/>
        <family val="2"/>
      </rPr>
      <t xml:space="preserve">年間封印し続けた「虚無の制御装置」——記録を読んだ</t>
    </r>
    <r>
      <rPr>
        <sz val="10"/>
        <color rgb="FFA6A6A6"/>
        <rFont val="Arial"/>
        <family val="0"/>
        <charset val="1"/>
      </rPr>
      <t xml:space="preserve">17</t>
    </r>
    <r>
      <rPr>
        <sz val="10"/>
        <color rgb="FFA6A6A6"/>
        <rFont val="Noto Sans CJK SC"/>
        <family val="2"/>
      </rPr>
      <t xml:space="preserve">名が翌日から消えた本当の理由 </t>
    </r>
    <r>
      <rPr>
        <sz val="10"/>
        <color rgb="FFA6A6A6"/>
        <rFont val="Arial"/>
        <family val="0"/>
        <charset val="1"/>
      </rPr>
      <t xml:space="preserve">#shorts #</t>
    </r>
    <r>
      <rPr>
        <sz val="10"/>
        <color rgb="FFA6A6A6"/>
        <rFont val="Noto Sans CJK SC"/>
        <family val="2"/>
      </rPr>
      <t xml:space="preserve">ゆっくり解説</t>
    </r>
  </si>
  <si>
    <r>
      <rPr>
        <sz val="10"/>
        <color rgb="FFA6A6A6"/>
        <rFont val="Noto Sans CJK SC"/>
        <family val="2"/>
      </rPr>
      <t xml:space="preserve">財団が</t>
    </r>
    <r>
      <rPr>
        <sz val="10"/>
        <color rgb="FFA6A6A6"/>
        <rFont val="Arial"/>
        <family val="0"/>
        <charset val="1"/>
      </rPr>
      <t xml:space="preserve">17</t>
    </r>
    <r>
      <rPr>
        <sz val="10"/>
        <color rgb="FFA6A6A6"/>
        <rFont val="Noto Sans CJK SC"/>
        <family val="2"/>
      </rPr>
      <t xml:space="preserve">年間封印し続けた「</t>
    </r>
    <r>
      <rPr>
        <sz val="10"/>
        <color rgb="FFA6A6A6"/>
        <rFont val="Arial"/>
        <family val="0"/>
        <charset val="1"/>
      </rPr>
      <t xml:space="preserve">SCP-XXXX</t>
    </r>
    <r>
      <rPr>
        <sz val="10"/>
        <color rgb="FFA6A6A6"/>
        <rFont val="Noto Sans CJK SC"/>
        <family val="2"/>
      </rPr>
      <t xml:space="preserve">」——</t>
    </r>
    <r>
      <rPr>
        <sz val="10"/>
        <color rgb="FFA6A6A6"/>
        <rFont val="Arial"/>
        <family val="0"/>
        <charset val="1"/>
      </rPr>
      <t xml:space="preserve">43</t>
    </r>
    <r>
      <rPr>
        <sz val="10"/>
        <color rgb="FFA6A6A6"/>
        <rFont val="Noto Sans CJK SC"/>
        <family val="2"/>
      </rPr>
      <t xml:space="preserve">名が接触し、全員の記録が消えた本当の理由【ショート】</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</si>
  <si>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：製造された恐怖</t>
    </r>
    <r>
      <rPr>
        <sz val="10"/>
        <color rgb="FFA6A6A6"/>
        <rFont val="Arial"/>
        <family val="0"/>
        <charset val="1"/>
      </rPr>
      <t xml:space="preserve">17</t>
    </r>
    <r>
      <rPr>
        <sz val="10"/>
        <color rgb="FFA6A6A6"/>
        <rFont val="Noto Sans CJK SC"/>
        <family val="2"/>
      </rPr>
      <t xml:space="preserve">年間【</t>
    </r>
    <r>
      <rPr>
        <sz val="10"/>
        <color rgb="FFA6A6A6"/>
        <rFont val="Arial"/>
        <family val="0"/>
        <charset val="1"/>
      </rPr>
      <t xml:space="preserve">REDACTED</t>
    </r>
    <r>
      <rPr>
        <sz val="10"/>
        <color rgb="FFA6A6A6"/>
        <rFont val="Noto Sans CJK SC"/>
        <family val="2"/>
      </rPr>
      <t xml:space="preserve">】</t>
    </r>
    <r>
      <rPr>
        <sz val="10"/>
        <color rgb="FFA6A6A6"/>
        <rFont val="Arial"/>
        <family val="0"/>
        <charset val="1"/>
      </rPr>
      <t xml:space="preserve">#</t>
    </r>
    <r>
      <rPr>
        <sz val="10"/>
        <color rgb="FFA6A6A6"/>
        <rFont val="Noto Sans CJK SC"/>
        <family val="2"/>
      </rPr>
      <t xml:space="preserve">財団が</t>
    </r>
    <r>
      <rPr>
        <sz val="10"/>
        <color rgb="FFA6A6A6"/>
        <rFont val="Arial"/>
        <family val="0"/>
        <charset val="1"/>
      </rPr>
      <t xml:space="preserve">17</t>
    </r>
    <r>
      <rPr>
        <sz val="10"/>
        <color rgb="FFA6A6A6"/>
        <rFont val="Noto Sans CJK SC"/>
        <family val="2"/>
      </rPr>
      <t xml:space="preserve">年間隠し続けた「製造記録」——</t>
    </r>
    <r>
      <rPr>
        <sz val="10"/>
        <color rgb="FFA6A6A6"/>
        <rFont val="Arial"/>
        <family val="0"/>
        <charset val="1"/>
      </rPr>
      <t xml:space="preserve">SCP-1030</t>
    </r>
    <r>
      <rPr>
        <sz val="10"/>
        <color rgb="FFA6A6A6"/>
        <rFont val="Noto Sans CJK SC"/>
        <family val="2"/>
      </rPr>
      <t xml:space="preserve">、その収容の理由を誰も語らない本当の訳 </t>
    </r>
    <r>
      <rPr>
        <sz val="10"/>
        <color rgb="FFA6A6A6"/>
        <rFont val="Arial"/>
        <family val="0"/>
        <charset val="1"/>
      </rPr>
      <t xml:space="preserve">#shorts #</t>
    </r>
    <r>
      <rPr>
        <sz val="10"/>
        <color rgb="FFA6A6A6"/>
        <rFont val="Noto Sans CJK SC"/>
        <family val="2"/>
      </rPr>
      <t xml:space="preserve">ゆっくり解説</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</si>
  <si>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t>
    </r>
    <r>
      <rPr>
        <sz val="10"/>
        <color rgb="FFA6A6A6"/>
        <rFont val="Arial"/>
        <family val="0"/>
        <charset val="1"/>
      </rPr>
      <t xml:space="preserve">17</t>
    </r>
    <r>
      <rPr>
        <sz val="10"/>
        <color rgb="FFA6A6A6"/>
        <rFont val="Noto Sans CJK SC"/>
        <family val="2"/>
      </rPr>
      <t xml:space="preserve">名 全員消滅内部記録【</t>
    </r>
    <r>
      <rPr>
        <sz val="10"/>
        <color rgb="FFA6A6A6"/>
        <rFont val="Arial"/>
        <family val="0"/>
        <charset val="1"/>
      </rPr>
      <t xml:space="preserve">REDACTED</t>
    </r>
    <r>
      <rPr>
        <sz val="10"/>
        <color rgb="FFA6A6A6"/>
        <rFont val="Noto Sans CJK SC"/>
        <family val="2"/>
      </rPr>
      <t xml:space="preserve">】</t>
    </r>
    <r>
      <rPr>
        <sz val="10"/>
        <color rgb="FFA6A6A6"/>
        <rFont val="Arial"/>
        <family val="0"/>
        <charset val="1"/>
      </rPr>
      <t xml:space="preserve">#</t>
    </r>
    <r>
      <rPr>
        <sz val="10"/>
        <color rgb="FFA6A6A6"/>
        <rFont val="Noto Sans CJK SC"/>
        <family val="2"/>
      </rPr>
      <t xml:space="preserve">財団が</t>
    </r>
    <r>
      <rPr>
        <sz val="10"/>
        <color rgb="FFA6A6A6"/>
        <rFont val="Arial"/>
        <family val="0"/>
        <charset val="1"/>
      </rPr>
      <t xml:space="preserve">17</t>
    </r>
    <r>
      <rPr>
        <sz val="10"/>
        <color rgb="FFA6A6A6"/>
        <rFont val="Noto Sans CJK SC"/>
        <family val="2"/>
      </rPr>
      <t xml:space="preserve">名の死亡記録を</t>
    </r>
    <r>
      <rPr>
        <sz val="10"/>
        <color rgb="FFA6A6A6"/>
        <rFont val="Arial"/>
        <family val="0"/>
        <charset val="1"/>
      </rPr>
      <t xml:space="preserve">4</t>
    </r>
    <r>
      <rPr>
        <sz val="10"/>
        <color rgb="FFA6A6A6"/>
        <rFont val="Noto Sans CJK SC"/>
        <family val="2"/>
      </rPr>
      <t xml:space="preserve">行で隠蔽した——</t>
    </r>
    <r>
      <rPr>
        <sz val="10"/>
        <color rgb="FFA6A6A6"/>
        <rFont val="Arial"/>
        <family val="0"/>
        <charset val="1"/>
      </rPr>
      <t xml:space="preserve">SCP-1730</t>
    </r>
    <r>
      <rPr>
        <sz val="10"/>
        <color rgb="FFA6A6A6"/>
        <rFont val="Noto Sans CJK SC"/>
        <family val="2"/>
      </rPr>
      <t xml:space="preserve">「廃墟サイト</t>
    </r>
    <r>
      <rPr>
        <sz val="10"/>
        <color rgb="FFA6A6A6"/>
        <rFont val="Arial"/>
        <family val="0"/>
        <charset val="1"/>
      </rPr>
      <t xml:space="preserve">-13</t>
    </r>
    <r>
      <rPr>
        <sz val="10"/>
        <color rgb="FFA6A6A6"/>
        <rFont val="Noto Sans CJK SC"/>
        <family val="2"/>
      </rPr>
      <t xml:space="preserve">」に誰も近づけない本当の理由 </t>
    </r>
    <r>
      <rPr>
        <sz val="10"/>
        <color rgb="FFA6A6A6"/>
        <rFont val="Arial"/>
        <family val="0"/>
        <charset val="1"/>
      </rPr>
      <t xml:space="preserve">#shorts #</t>
    </r>
    <r>
      <rPr>
        <sz val="10"/>
        <color rgb="FFA6A6A6"/>
        <rFont val="Noto Sans CJK SC"/>
        <family val="2"/>
      </rPr>
      <t xml:space="preserve">ゆっくり解説</t>
    </r>
  </si>
  <si>
    <r>
      <rPr>
        <sz val="10"/>
        <rFont val="Noto Sans CJK SC"/>
        <family val="2"/>
      </rPr>
      <t xml:space="preserve">財団が</t>
    </r>
    <r>
      <rPr>
        <sz val="10"/>
        <rFont val="Arial"/>
        <family val="0"/>
        <charset val="1"/>
      </rPr>
      <t xml:space="preserve">17</t>
    </r>
    <r>
      <rPr>
        <sz val="10"/>
        <rFont val="Noto Sans CJK SC"/>
        <family val="2"/>
      </rPr>
      <t xml:space="preserve">年間隠し続けた理由——</t>
    </r>
    <r>
      <rPr>
        <sz val="10"/>
        <rFont val="Arial"/>
        <family val="0"/>
        <charset val="1"/>
      </rPr>
      <t xml:space="preserve">SCP-1730</t>
    </r>
    <r>
      <rPr>
        <sz val="10"/>
        <rFont val="Noto Sans CJK SC"/>
        <family val="2"/>
      </rPr>
      <t xml:space="preserve">「消えた施設」で</t>
    </r>
    <r>
      <rPr>
        <sz val="10"/>
        <rFont val="Arial"/>
        <family val="0"/>
        <charset val="1"/>
      </rPr>
      <t xml:space="preserve">3</t>
    </r>
    <r>
      <rPr>
        <sz val="10"/>
        <rFont val="Noto Sans CJK SC"/>
        <family val="2"/>
      </rPr>
      <t xml:space="preserve">名が失踪した本当の正体【ショート】</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</si>
  <si>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：財団が隠し続けた「異常の起源」</t>
    </r>
    <r>
      <rPr>
        <sz val="10"/>
        <color rgb="FFA6A6A6"/>
        <rFont val="Arial"/>
        <family val="0"/>
        <charset val="1"/>
      </rPr>
      <t xml:space="preserve">SCP-XXXX</t>
    </r>
    <r>
      <rPr>
        <sz val="10"/>
        <color rgb="FFA6A6A6"/>
        <rFont val="Noto Sans CJK SC"/>
        <family val="2"/>
      </rPr>
      <t xml:space="preserve">【なぜ、異常は生まれるのか】</t>
    </r>
    <r>
      <rPr>
        <sz val="10"/>
        <color rgb="FFA6A6A6"/>
        <rFont val="Arial"/>
        <family val="0"/>
        <charset val="1"/>
      </rPr>
      <t xml:space="preserve">#</t>
    </r>
    <r>
      <rPr>
        <sz val="10"/>
        <color rgb="FFA6A6A6"/>
        <rFont val="Noto Sans CJK SC"/>
        <family val="2"/>
      </rPr>
      <t xml:space="preserve">財団が記録ごと封印した「異常誕生の法則」——なぜ存在してはならないものが、今この瞬間も生まれ続けるのか </t>
    </r>
    <r>
      <rPr>
        <sz val="10"/>
        <color rgb="FFA6A6A6"/>
        <rFont val="Arial"/>
        <family val="0"/>
        <charset val="1"/>
      </rPr>
      <t xml:space="preserve">#sho</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</si>
  <si>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：停電</t>
    </r>
    <r>
      <rPr>
        <sz val="10"/>
        <color rgb="FFA6A6A6"/>
        <rFont val="Arial"/>
        <family val="0"/>
        <charset val="1"/>
      </rPr>
      <t xml:space="preserve">0.3</t>
    </r>
    <r>
      <rPr>
        <sz val="10"/>
        <color rgb="FFA6A6A6"/>
        <rFont val="Noto Sans CJK SC"/>
        <family val="2"/>
      </rPr>
      <t xml:space="preserve">秒で全滅教室に</t>
    </r>
    <r>
      <rPr>
        <sz val="10"/>
        <color rgb="FFA6A6A6"/>
        <rFont val="Arial"/>
        <family val="0"/>
        <charset val="1"/>
      </rPr>
      <t xml:space="preserve">173</t>
    </r>
    <r>
      <rPr>
        <sz val="10"/>
        <color rgb="FFA6A6A6"/>
        <rFont val="Noto Sans CJK SC"/>
        <family val="2"/>
      </rPr>
      <t xml:space="preserve">が紛れ込んだら？</t>
    </r>
    <r>
      <rPr>
        <sz val="10"/>
        <color rgb="FFA6A6A6"/>
        <rFont val="Arial"/>
        <family val="0"/>
        <charset val="1"/>
      </rPr>
      <t xml:space="preserve">#SCP-173</t>
    </r>
    <r>
      <rPr>
        <sz val="10"/>
        <color rgb="FFA6A6A6"/>
        <rFont val="Noto Sans CJK SC"/>
        <family val="2"/>
      </rPr>
      <t xml:space="preserve">が日本の学校に現れたら、教室で何人死ぬか——財団が封印した最悪のシミュレーション </t>
    </r>
    <r>
      <rPr>
        <sz val="10"/>
        <color rgb="FFA6A6A6"/>
        <rFont val="Arial"/>
        <family val="0"/>
        <charset val="1"/>
      </rPr>
      <t xml:space="preserve">#shorts #</t>
    </r>
    <r>
      <rPr>
        <sz val="10"/>
        <color rgb="FFA6A6A6"/>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</si>
  <si>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：瞬きの間に、</t>
    </r>
    <r>
      <rPr>
        <sz val="10"/>
        <rFont val="Arial"/>
        <family val="0"/>
        <charset val="1"/>
      </rPr>
      <t xml:space="preserve">17</t>
    </r>
    <r>
      <rPr>
        <sz val="10"/>
        <rFont val="Noto Sans CJK SC"/>
        <family val="2"/>
      </rPr>
      <t xml:space="preserve">人が死んだ</t>
    </r>
    <r>
      <rPr>
        <sz val="10"/>
        <rFont val="Arial"/>
        <family val="0"/>
        <charset val="1"/>
      </rPr>
      <t xml:space="preserve">LEVEL 4 </t>
    </r>
    <r>
      <rPr>
        <sz val="10"/>
        <rFont val="Noto Sans CJK SC"/>
        <family val="2"/>
      </rPr>
      <t xml:space="preserve">機密｜財団内部資料【閲覧注意】</t>
    </r>
    <r>
      <rPr>
        <sz val="10"/>
        <rFont val="Arial"/>
        <family val="0"/>
        <charset val="1"/>
      </rPr>
      <t xml:space="preserve">#</t>
    </r>
    <r>
      <rPr>
        <sz val="10"/>
        <rFont val="Noto Sans CJK SC"/>
        <family val="2"/>
      </rPr>
      <t xml:space="preserve">目を離した</t>
    </r>
    <r>
      <rPr>
        <sz val="10"/>
        <rFont val="Arial"/>
        <family val="0"/>
        <charset val="1"/>
      </rPr>
      <t xml:space="preserve">0.3</t>
    </r>
    <r>
      <rPr>
        <sz val="10"/>
        <rFont val="Noto Sans CJK SC"/>
        <family val="2"/>
      </rPr>
      <t xml:space="preserve">秒で首を折られる——</t>
    </r>
    <r>
      <rPr>
        <sz val="10"/>
        <rFont val="Arial"/>
        <family val="0"/>
        <charset val="1"/>
      </rPr>
      <t xml:space="preserve">SCP-173</t>
    </r>
    <r>
      <rPr>
        <sz val="10"/>
        <rFont val="Noto Sans CJK SC"/>
        <family val="2"/>
      </rPr>
      <t xml:space="preserve">が財団の隠し続けた『本当の恐怖』 </t>
    </r>
    <r>
      <rPr>
        <sz val="10"/>
        <rFont val="Arial"/>
        <family val="0"/>
        <charset val="1"/>
      </rPr>
      <t xml:space="preserve">#shorts #</t>
    </r>
    <r>
      <rPr>
        <sz val="10"/>
        <rFont val="Noto Sans CJK SC"/>
        <family val="2"/>
      </rPr>
      <t xml:space="preserve">ゆっくり解説</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</si>
  <si>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t>
    </r>
    <r>
      <rPr>
        <sz val="10"/>
        <color rgb="FFA6A6A6"/>
        <rFont val="Arial"/>
        <family val="0"/>
        <charset val="1"/>
      </rPr>
      <t xml:space="preserve">LEVEL 4 </t>
    </r>
    <r>
      <rPr>
        <sz val="10"/>
        <color rgb="FFA6A6A6"/>
        <rFont val="Noto Sans CJK SC"/>
        <family val="2"/>
      </rPr>
      <t xml:space="preserve">機密 </t>
    </r>
    <r>
      <rPr>
        <sz val="10"/>
        <color rgb="FFA6A6A6"/>
        <rFont val="Arial"/>
        <family val="0"/>
        <charset val="1"/>
      </rPr>
      <t xml:space="preserve">/ </t>
    </r>
    <r>
      <rPr>
        <sz val="10"/>
        <color rgb="FFA6A6A6"/>
        <rFont val="Noto Sans CJK SC"/>
        <family val="2"/>
      </rPr>
      <t xml:space="preserve">財団内部資料感染確認から</t>
    </r>
    <r>
      <rPr>
        <sz val="10"/>
        <color rgb="FFA6A6A6"/>
        <rFont val="Arial"/>
        <family val="0"/>
        <charset val="1"/>
      </rPr>
      <t xml:space="preserve">96</t>
    </r>
    <r>
      <rPr>
        <sz val="10"/>
        <color rgb="FFA6A6A6"/>
        <rFont val="Noto Sans CJK SC"/>
        <family val="2"/>
      </rPr>
      <t xml:space="preserve">時間で『人間』でなくなる</t>
    </r>
    <r>
      <rPr>
        <sz val="10"/>
        <color rgb="FFA6A6A6"/>
        <rFont val="Arial"/>
        <family val="0"/>
        <charset val="1"/>
      </rPr>
      <t xml:space="preserve">#</t>
    </r>
    <r>
      <rPr>
        <sz val="10"/>
        <color rgb="FFA6A6A6"/>
        <rFont val="Noto Sans CJK SC"/>
        <family val="2"/>
      </rPr>
      <t xml:space="preserve">目を離した</t>
    </r>
    <r>
      <rPr>
        <sz val="10"/>
        <color rgb="FFA6A6A6"/>
        <rFont val="Arial"/>
        <family val="0"/>
        <charset val="1"/>
      </rPr>
      <t xml:space="preserve">0.3</t>
    </r>
    <r>
      <rPr>
        <sz val="10"/>
        <color rgb="FFA6A6A6"/>
        <rFont val="Noto Sans CJK SC"/>
        <family val="2"/>
      </rPr>
      <t xml:space="preserve">秒で内側から書き換わる——</t>
    </r>
    <r>
      <rPr>
        <sz val="10"/>
        <color rgb="FFA6A6A6"/>
        <rFont val="Arial"/>
        <family val="0"/>
        <charset val="1"/>
      </rPr>
      <t xml:space="preserve">SCP-217</t>
    </r>
    <r>
      <rPr>
        <sz val="10"/>
        <color rgb="FFA6A6A6"/>
        <rFont val="Noto Sans CJK SC"/>
        <family val="2"/>
      </rPr>
      <t xml:space="preserve">「時計仕掛けのウイルス」が人間を機械に変える本当の理</t>
    </r>
  </si>
  <si>
    <r>
      <rPr>
        <sz val="10"/>
        <color rgb="FFA6A6A6"/>
        <rFont val="Noto Sans CJK SC"/>
        <family val="2"/>
      </rPr>
      <t xml:space="preserve">目を離した</t>
    </r>
    <r>
      <rPr>
        <sz val="10"/>
        <color rgb="FFA6A6A6"/>
        <rFont val="Arial"/>
        <family val="0"/>
        <charset val="1"/>
      </rPr>
      <t xml:space="preserve">3</t>
    </r>
    <r>
      <rPr>
        <sz val="10"/>
        <color rgb="FFA6A6A6"/>
        <rFont val="Noto Sans CJK SC"/>
        <family val="2"/>
      </rPr>
      <t xml:space="preserve">秒で消えた——</t>
    </r>
    <r>
      <rPr>
        <sz val="10"/>
        <color rgb="FFA6A6A6"/>
        <rFont val="Arial"/>
        <family val="0"/>
        <charset val="1"/>
      </rPr>
      <t xml:space="preserve">SCP-096</t>
    </r>
    <r>
      <rPr>
        <sz val="10"/>
        <color rgb="FFA6A6A6"/>
        <rFont val="Noto Sans CJK SC"/>
        <family val="2"/>
      </rPr>
      <t xml:space="preserve">「シャイガイ」が改造された本当の理由を財団は語らない【ショート】</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</si>
  <si>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：この報告書…読んだら後悔するかもしれない人類そのものが異常存在であるという結論に</t>
    </r>
    <r>
      <rPr>
        <sz val="10"/>
        <color rgb="FFA6A6A6"/>
        <rFont val="Arial"/>
        <family val="0"/>
        <charset val="1"/>
      </rPr>
      <t xml:space="preserve">#</t>
    </r>
    <r>
      <rPr>
        <sz val="10"/>
        <color rgb="FFA6A6A6"/>
        <rFont val="Noto Sans CJK SC"/>
        <family val="2"/>
      </rPr>
      <t xml:space="preserve">財団が人類を殲滅し続けた真の理由——</t>
    </r>
    <r>
      <rPr>
        <sz val="10"/>
        <color rgb="FFA6A6A6"/>
        <rFont val="Arial"/>
        <family val="0"/>
        <charset val="1"/>
      </rPr>
      <t xml:space="preserve">SCP-5000</t>
    </r>
    <r>
      <rPr>
        <sz val="10"/>
        <color rgb="FFA6A6A6"/>
        <rFont val="Noto Sans CJK SC"/>
        <family val="2"/>
      </rPr>
      <t xml:space="preserve">内部資料の驚愕の結論 </t>
    </r>
    <r>
      <rPr>
        <sz val="10"/>
        <color rgb="FFA6A6A6"/>
        <rFont val="Arial"/>
        <family val="0"/>
        <charset val="1"/>
      </rPr>
      <t xml:space="preserve">#shorts #</t>
    </r>
    <r>
      <rPr>
        <sz val="10"/>
        <color rgb="FFA6A6A6"/>
        <rFont val="Noto Sans CJK SC"/>
        <family val="2"/>
      </rPr>
      <t xml:space="preserve">ゆっくり解説</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</si>
  <si>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：財団自身が『人類は異常存在』と結論した</t>
    </r>
    <r>
      <rPr>
        <sz val="10"/>
        <color rgb="FFA6A6A6"/>
        <rFont val="Arial"/>
        <family val="0"/>
        <charset val="1"/>
      </rPr>
      <t xml:space="preserve">17</t>
    </r>
    <r>
      <rPr>
        <sz val="10"/>
        <color rgb="FFA6A6A6"/>
        <rFont val="Noto Sans CJK SC"/>
        <family val="2"/>
      </rPr>
      <t xml:space="preserve">年間、この記録は</t>
    </r>
    <r>
      <rPr>
        <sz val="10"/>
        <color rgb="FFA6A6A6"/>
        <rFont val="Arial"/>
        <family val="0"/>
        <charset val="1"/>
      </rPr>
      <t xml:space="preserve">[DATA EXPUNGED]</t>
    </r>
    <r>
      <rPr>
        <sz val="10"/>
        <color rgb="FFA6A6A6"/>
        <rFont val="Noto Sans CJK SC"/>
        <family val="2"/>
      </rPr>
      <t xml:space="preserve">されていた</t>
    </r>
    <r>
      <rPr>
        <sz val="10"/>
        <color rgb="FFA6A6A6"/>
        <rFont val="Arial"/>
        <family val="0"/>
        <charset val="1"/>
      </rPr>
      <t xml:space="preserve">#</t>
    </r>
    <r>
      <rPr>
        <sz val="10"/>
        <color rgb="FFA6A6A6"/>
        <rFont val="Noto Sans CJK SC"/>
        <family val="2"/>
      </rPr>
      <t xml:space="preserve">財団が</t>
    </r>
    <r>
      <rPr>
        <sz val="10"/>
        <color rgb="FFA6A6A6"/>
        <rFont val="Arial"/>
        <family val="0"/>
        <charset val="1"/>
      </rPr>
      <t xml:space="preserve">17</t>
    </r>
    <r>
      <rPr>
        <sz val="10"/>
        <color rgb="FFA6A6A6"/>
        <rFont val="Noto Sans CJK SC"/>
        <family val="2"/>
      </rPr>
      <t xml:space="preserve">年間封印した——</t>
    </r>
    <r>
      <rPr>
        <sz val="10"/>
        <color rgb="FFA6A6A6"/>
        <rFont val="Arial"/>
        <family val="0"/>
        <charset val="1"/>
      </rPr>
      <t xml:space="preserve">SCP-5000</t>
    </r>
    <r>
      <rPr>
        <sz val="10"/>
        <color rgb="FFA6A6A6"/>
        <rFont val="Noto Sans CJK SC"/>
        <family val="2"/>
      </rPr>
      <t xml:space="preserve">が『人類を殺す』と決定した本当の理由 </t>
    </r>
    <r>
      <rPr>
        <sz val="10"/>
        <color rgb="FFA6A6A6"/>
        <rFont val="Arial"/>
        <family val="0"/>
        <charset val="1"/>
      </rPr>
      <t xml:space="preserve">#sho</t>
    </r>
  </si>
  <si>
    <r>
      <rPr>
        <sz val="10"/>
        <color rgb="FFA6A6A6"/>
        <rFont val="Noto Sans CJK SC"/>
        <family val="2"/>
      </rPr>
      <t xml:space="preserve">財団が</t>
    </r>
    <r>
      <rPr>
        <sz val="10"/>
        <color rgb="FFA6A6A6"/>
        <rFont val="Arial"/>
        <family val="0"/>
        <charset val="1"/>
      </rPr>
      <t xml:space="preserve">17</t>
    </r>
    <r>
      <rPr>
        <sz val="10"/>
        <color rgb="FFA6A6A6"/>
        <rFont val="Noto Sans CJK SC"/>
        <family val="2"/>
      </rPr>
      <t xml:space="preserve">年間封印した『</t>
    </r>
    <r>
      <rPr>
        <sz val="10"/>
        <color rgb="FFA6A6A6"/>
        <rFont val="Arial"/>
        <family val="0"/>
        <charset val="1"/>
      </rPr>
      <t xml:space="preserve">2</t>
    </r>
    <r>
      <rPr>
        <sz val="10"/>
        <color rgb="FFA6A6A6"/>
        <rFont val="Noto Sans CJK SC"/>
        <family val="2"/>
      </rPr>
      <t xml:space="preserve">つの計画』——人類を殺したのは、守るためだったのか【ショート】</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</si>
  <si>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：世界人口</t>
    </r>
    <r>
      <rPr>
        <sz val="10"/>
        <color rgb="FFA6A6A6"/>
        <rFont val="Arial"/>
        <family val="0"/>
        <charset val="1"/>
      </rPr>
      <t xml:space="preserve">80</t>
    </r>
    <r>
      <rPr>
        <sz val="10"/>
        <color rgb="FFA6A6A6"/>
        <rFont val="Noto Sans CJK SC"/>
        <family val="2"/>
      </rPr>
      <t xml:space="preserve">億人→</t>
    </r>
    <r>
      <rPr>
        <sz val="10"/>
        <color rgb="FFA6A6A6"/>
        <rFont val="Arial"/>
        <family val="0"/>
        <charset val="1"/>
      </rPr>
      <t xml:space="preserve">7</t>
    </r>
    <r>
      <rPr>
        <sz val="10"/>
        <color rgb="FFA6A6A6"/>
        <rFont val="Noto Sans CJK SC"/>
        <family val="2"/>
      </rPr>
      <t xml:space="preserve">億人 自動起動財団内部記録【閲覧権限</t>
    </r>
    <r>
      <rPr>
        <sz val="10"/>
        <color rgb="FFA6A6A6"/>
        <rFont val="Arial"/>
        <family val="0"/>
        <charset val="1"/>
      </rPr>
      <t xml:space="preserve">O5</t>
    </r>
    <r>
      <rPr>
        <sz val="10"/>
        <color rgb="FFA6A6A6"/>
        <rFont val="Noto Sans CJK SC"/>
        <family val="2"/>
      </rPr>
      <t xml:space="preserve">以上】</t>
    </r>
    <r>
      <rPr>
        <sz val="10"/>
        <color rgb="FFA6A6A6"/>
        <rFont val="Arial"/>
        <family val="0"/>
        <charset val="1"/>
      </rPr>
      <t xml:space="preserve">#SCP-5000</t>
    </r>
    <r>
      <rPr>
        <sz val="10"/>
        <color rgb="FFA6A6A6"/>
        <rFont val="Noto Sans CJK SC"/>
        <family val="2"/>
      </rPr>
      <t xml:space="preserve">が起動した</t>
    </r>
    <r>
      <rPr>
        <sz val="10"/>
        <color rgb="FFA6A6A6"/>
        <rFont val="Arial"/>
        <family val="0"/>
        <charset val="1"/>
      </rPr>
      <t xml:space="preserve">48</t>
    </r>
    <r>
      <rPr>
        <sz val="10"/>
        <color rgb="FFA6A6A6"/>
        <rFont val="Noto Sans CJK SC"/>
        <family val="2"/>
      </rPr>
      <t xml:space="preserve">時間——あなたの街で財団が隠した『人類抹消プロトコル』の正体 </t>
    </r>
    <r>
      <rPr>
        <sz val="10"/>
        <color rgb="FFA6A6A6"/>
        <rFont val="Arial"/>
        <family val="0"/>
        <charset val="1"/>
      </rPr>
      <t xml:space="preserve">#shorts #</t>
    </r>
    <r>
      <rPr>
        <sz val="10"/>
        <color rgb="FFA6A6A6"/>
        <rFont val="Noto Sans CJK SC"/>
        <family val="2"/>
      </rPr>
      <t xml:space="preserve">ゆっくり解</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</si>
  <si>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：収容違反</t>
    </r>
    <r>
      <rPr>
        <sz val="10"/>
        <color rgb="FFA6A6A6"/>
        <rFont val="Arial"/>
        <family val="0"/>
        <charset val="1"/>
      </rPr>
      <t xml:space="preserve">17</t>
    </r>
    <r>
      <rPr>
        <sz val="10"/>
        <color rgb="FFA6A6A6"/>
        <rFont val="Noto Sans CJK SC"/>
        <family val="2"/>
      </rPr>
      <t xml:space="preserve">時間／生存者</t>
    </r>
    <r>
      <rPr>
        <sz val="10"/>
        <color rgb="FFA6A6A6"/>
        <rFont val="Arial"/>
        <family val="0"/>
        <charset val="1"/>
      </rPr>
      <t xml:space="preserve">0</t>
    </r>
    <r>
      <rPr>
        <sz val="10"/>
        <color rgb="FFA6A6A6"/>
        <rFont val="Noto Sans CJK SC"/>
        <family val="2"/>
      </rPr>
      <t xml:space="preserve">名財団が封印した『悪夢のデバイス』の正体</t>
    </r>
    <r>
      <rPr>
        <sz val="10"/>
        <color rgb="FFA6A6A6"/>
        <rFont val="Arial"/>
        <family val="0"/>
        <charset val="1"/>
      </rPr>
      <t xml:space="preserve">#</t>
    </r>
    <r>
      <rPr>
        <sz val="10"/>
        <color rgb="FFA6A6A6"/>
        <rFont val="Noto Sans CJK SC"/>
        <family val="2"/>
      </rPr>
      <t xml:space="preserve">収容違反から</t>
    </r>
    <r>
      <rPr>
        <sz val="10"/>
        <color rgb="FFA6A6A6"/>
        <rFont val="Arial"/>
        <family val="0"/>
        <charset val="1"/>
      </rPr>
      <t xml:space="preserve">17</t>
    </r>
    <r>
      <rPr>
        <sz val="10"/>
        <color rgb="FFA6A6A6"/>
        <rFont val="Noto Sans CJK SC"/>
        <family val="2"/>
      </rPr>
      <t xml:space="preserve">時間——</t>
    </r>
    <r>
      <rPr>
        <sz val="10"/>
        <color rgb="FFA6A6A6"/>
        <rFont val="Arial"/>
        <family val="0"/>
        <charset val="1"/>
      </rPr>
      <t xml:space="preserve">SCP-1346</t>
    </r>
    <r>
      <rPr>
        <sz val="10"/>
        <color rgb="FFA6A6A6"/>
        <rFont val="Noto Sans CJK SC"/>
        <family val="2"/>
      </rPr>
      <t xml:space="preserve">「悪夢のデバイス」が財団施設で何をしたか、報告書は</t>
    </r>
    <r>
      <rPr>
        <sz val="10"/>
        <color rgb="FFA6A6A6"/>
        <rFont val="Arial"/>
        <family val="0"/>
        <charset val="1"/>
      </rPr>
      <t xml:space="preserve">[DATA EXPUNGED]</t>
    </r>
  </si>
  <si>
    <r>
      <rPr>
        <sz val="10"/>
        <color rgb="FFA6A6A6"/>
        <rFont val="Arial"/>
        <family val="0"/>
        <charset val="1"/>
      </rPr>
      <t xml:space="preserve">SCP-871</t>
    </r>
    <r>
      <rPr>
        <sz val="10"/>
        <color rgb="FFA6A6A6"/>
        <rFont val="Noto Sans CJK SC"/>
        <family val="2"/>
      </rPr>
      <t xml:space="preserve">「自己複製するケーキ」を</t>
    </r>
    <r>
      <rPr>
        <sz val="10"/>
        <color rgb="FFA6A6A6"/>
        <rFont val="Arial"/>
        <family val="0"/>
        <charset val="1"/>
      </rPr>
      <t xml:space="preserve">SCP-914</t>
    </r>
    <r>
      <rPr>
        <sz val="10"/>
        <color rgb="FFA6A6A6"/>
        <rFont val="Noto Sans CJK SC"/>
        <family val="2"/>
      </rPr>
      <t xml:space="preserve">で魔改造したら——財団が封印した実験ログの結末【ショート】</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</si>
  <si>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：読んだだけで感染する——認識災害の正体財団が</t>
    </r>
    <r>
      <rPr>
        <sz val="10"/>
        <color rgb="FFA6A6A6"/>
        <rFont val="Arial"/>
        <family val="0"/>
        <charset val="1"/>
      </rPr>
      <t xml:space="preserve">23</t>
    </r>
    <r>
      <rPr>
        <sz val="10"/>
        <color rgb="FFA6A6A6"/>
        <rFont val="Noto Sans CJK SC"/>
        <family val="2"/>
      </rPr>
      <t xml:space="preserve">年間封印し続けた「知識の呪い」</t>
    </r>
    <r>
      <rPr>
        <sz val="10"/>
        <color rgb="FFA6A6A6"/>
        <rFont val="Arial"/>
        <family val="0"/>
        <charset val="1"/>
      </rPr>
      <t xml:space="preserve">#</t>
    </r>
    <r>
      <rPr>
        <sz val="10"/>
        <color rgb="FFA6A6A6"/>
        <rFont val="Noto Sans CJK SC"/>
        <family val="2"/>
      </rPr>
      <t xml:space="preserve">知った瞬間が終わりの始まり——</t>
    </r>
    <r>
      <rPr>
        <sz val="10"/>
        <color rgb="FFA6A6A6"/>
        <rFont val="Arial"/>
        <family val="0"/>
        <charset val="1"/>
      </rPr>
      <t xml:space="preserve">SCP-1425</t>
    </r>
    <r>
      <rPr>
        <sz val="10"/>
        <color rgb="FFA6A6A6"/>
        <rFont val="Noto Sans CJK SC"/>
        <family val="2"/>
      </rPr>
      <t xml:space="preserve">「星の兆候」が</t>
    </r>
    <r>
      <rPr>
        <sz val="10"/>
        <color rgb="FFA6A6A6"/>
        <rFont val="Arial"/>
        <family val="0"/>
        <charset val="1"/>
      </rPr>
      <t xml:space="preserve">17</t>
    </r>
    <r>
      <rPr>
        <sz val="10"/>
        <color rgb="FFA6A6A6"/>
        <rFont val="Noto Sans CJK SC"/>
        <family val="2"/>
      </rPr>
      <t xml:space="preserve">名の研究員を廃人にした本当の理由 </t>
    </r>
    <r>
      <rPr>
        <sz val="10"/>
        <color rgb="FFA6A6A6"/>
        <rFont val="Arial"/>
        <family val="0"/>
        <charset val="1"/>
      </rPr>
      <t xml:space="preserve">#shor</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</si>
  <si>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：視線を外したら——もう遅い財団が封印した『</t>
    </r>
    <r>
      <rPr>
        <sz val="10"/>
        <color rgb="FFA6A6A6"/>
        <rFont val="Arial"/>
        <family val="0"/>
        <charset val="1"/>
      </rPr>
      <t xml:space="preserve">0.3</t>
    </r>
    <r>
      <rPr>
        <sz val="10"/>
        <color rgb="FFA6A6A6"/>
        <rFont val="Noto Sans CJK SC"/>
        <family val="2"/>
      </rPr>
      <t xml:space="preserve">秒の恐怖』</t>
    </r>
    <r>
      <rPr>
        <sz val="10"/>
        <color rgb="FFA6A6A6"/>
        <rFont val="Arial"/>
        <family val="0"/>
        <charset val="1"/>
      </rPr>
      <t xml:space="preserve">#SCP-173——</t>
    </r>
    <r>
      <rPr>
        <sz val="10"/>
        <color rgb="FFA6A6A6"/>
        <rFont val="Noto Sans CJK SC"/>
        <family val="2"/>
      </rPr>
      <t xml:space="preserve">視線を外した</t>
    </r>
    <r>
      <rPr>
        <sz val="10"/>
        <color rgb="FFA6A6A6"/>
        <rFont val="Arial"/>
        <family val="0"/>
        <charset val="1"/>
      </rPr>
      <t xml:space="preserve">0.3</t>
    </r>
    <r>
      <rPr>
        <sz val="10"/>
        <color rgb="FFA6A6A6"/>
        <rFont val="Noto Sans CJK SC"/>
        <family val="2"/>
      </rPr>
      <t xml:space="preserve">秒に、</t>
    </r>
    <r>
      <rPr>
        <sz val="10"/>
        <color rgb="FFA6A6A6"/>
        <rFont val="Arial"/>
        <family val="0"/>
        <charset val="1"/>
      </rPr>
      <t xml:space="preserve">17</t>
    </r>
    <r>
      <rPr>
        <sz val="10"/>
        <color rgb="FFA6A6A6"/>
        <rFont val="Noto Sans CJK SC"/>
        <family val="2"/>
      </rPr>
      <t xml:space="preserve">名が消えた本当の理由 </t>
    </r>
    <r>
      <rPr>
        <sz val="10"/>
        <color rgb="FFA6A6A6"/>
        <rFont val="Arial"/>
        <family val="0"/>
        <charset val="1"/>
      </rPr>
      <t xml:space="preserve">#shorts #</t>
    </r>
    <r>
      <rPr>
        <sz val="10"/>
        <color rgb="FFA6A6A6"/>
        <rFont val="Noto Sans CJK SC"/>
        <family val="2"/>
      </rPr>
      <t xml:space="preserve">ゆっくり解説</t>
    </r>
  </si>
  <si>
    <r>
      <rPr>
        <sz val="10"/>
        <color rgb="FFA6A6A6"/>
        <rFont val="Noto Sans CJK SC"/>
        <family val="2"/>
      </rPr>
      <t xml:space="preserve">財団が</t>
    </r>
    <r>
      <rPr>
        <sz val="10"/>
        <color rgb="FFA6A6A6"/>
        <rFont val="Arial"/>
        <family val="0"/>
        <charset val="1"/>
      </rPr>
      <t xml:space="preserve">17</t>
    </r>
    <r>
      <rPr>
        <sz val="10"/>
        <color rgb="FFA6A6A6"/>
        <rFont val="Noto Sans CJK SC"/>
        <family val="2"/>
      </rPr>
      <t xml:space="preserve">年間封印した「選択の悪夢」——</t>
    </r>
    <r>
      <rPr>
        <sz val="10"/>
        <color rgb="FFA6A6A6"/>
        <rFont val="Arial"/>
        <family val="0"/>
        <charset val="1"/>
      </rPr>
      <t xml:space="preserve">SCP-096</t>
    </r>
    <r>
      <rPr>
        <sz val="10"/>
        <color rgb="FFA6A6A6"/>
        <rFont val="Noto Sans CJK SC"/>
        <family val="2"/>
      </rPr>
      <t xml:space="preserve">に触れた職員が最後に見たものの正体【ショート】</t>
    </r>
  </si>
  <si>
    <t xml:space="preserve">2026-07-27</t>
  </si>
  <si>
    <r>
      <rPr>
        <sz val="10"/>
        <color rgb="FFA6A6A6"/>
        <rFont val="Arial"/>
        <family val="0"/>
        <charset val="1"/>
      </rPr>
      <t xml:space="preserve">SCP-</t>
    </r>
    <r>
      <rPr>
        <sz val="10"/>
        <color rgb="FFA6A6A6"/>
        <rFont val="Noto Sans CJK SC"/>
        <family val="2"/>
      </rPr>
      <t xml:space="preserve">財団が隠し続けた</t>
    </r>
    <r>
      <rPr>
        <sz val="10"/>
        <color rgb="FFA6A6A6"/>
        <rFont val="Arial"/>
        <family val="0"/>
        <charset val="1"/>
      </rPr>
      <t xml:space="preserve">D</t>
    </r>
    <r>
      <rPr>
        <sz val="10"/>
        <color rgb="FFA6A6A6"/>
        <rFont val="Noto Sans CJK SC"/>
        <family val="2"/>
      </rPr>
      <t xml:space="preserve">クラスの真実——欲望と恐怖の狭間で消耗される人々【ショート】</t>
    </r>
  </si>
  <si>
    <r>
      <rPr>
        <sz val="10"/>
        <color rgb="FFA6A6A6"/>
        <rFont val="Noto Sans CJK SC"/>
        <family val="2"/>
      </rPr>
      <t xml:space="preserve">全長『測定不能』の深海巨大生物</t>
    </r>
    <r>
      <rPr>
        <sz val="10"/>
        <color rgb="FFA6A6A6"/>
        <rFont val="Arial"/>
        <family val="0"/>
        <charset val="1"/>
      </rPr>
      <t xml:space="preserve">SCP-3000──</t>
    </r>
    <r>
      <rPr>
        <sz val="10"/>
        <color rgb="FFA6A6A6"/>
        <rFont val="Noto Sans CJK SC"/>
        <family val="2"/>
      </rPr>
      <t xml:space="preserve">記憶を溶かす怪物から搾り取られる物質</t>
    </r>
    <r>
      <rPr>
        <sz val="10"/>
        <color rgb="FFA6A6A6"/>
        <rFont val="Arial"/>
        <family val="0"/>
        <charset val="1"/>
      </rPr>
      <t xml:space="preserve">Y-909</t>
    </r>
    <r>
      <rPr>
        <sz val="10"/>
        <color rgb="FFA6A6A6"/>
        <rFont val="Noto Sans CJK SC"/>
        <family val="2"/>
      </rPr>
      <t xml:space="preserve">の正体</t>
    </r>
  </si>
  <si>
    <t xml:space="preserve">収容違反の真実 — 人間が引き起こす異常の裏側【ショート】</t>
  </si>
  <si>
    <t xml:space="preserve">実は、見えるはずなのに見えない脅威が存在する理由【ショート】</t>
  </si>
  <si>
    <r>
      <rPr>
        <sz val="10"/>
        <rFont val="Arial"/>
        <family val="0"/>
        <charset val="1"/>
      </rPr>
      <t xml:space="preserve">SCP-XXXX</t>
    </r>
    <r>
      <rPr>
        <sz val="10"/>
        <rFont val="Noto Sans CJK SC"/>
        <family val="2"/>
      </rPr>
      <t xml:space="preserve">「デジタル錯覚」— ゲームに潜む不気味な異常とは？【ショート】</t>
    </r>
  </si>
  <si>
    <r>
      <rPr>
        <sz val="10"/>
        <rFont val="Arial"/>
        <family val="0"/>
        <charset val="1"/>
      </rPr>
      <t xml:space="preserve">GOC</t>
    </r>
    <r>
      <rPr>
        <sz val="10"/>
        <rFont val="Noto Sans CJK SC"/>
        <family val="2"/>
      </rPr>
      <t xml:space="preserve">と蛇の手の真実 — 異常存在に対する戦略の謎【ショート】</t>
    </r>
  </si>
  <si>
    <r>
      <rPr>
        <sz val="10"/>
        <rFont val="Noto Sans CJK SC"/>
        <family val="2"/>
      </rPr>
      <t xml:space="preserve">なぜ生存率</t>
    </r>
    <r>
      <rPr>
        <sz val="10"/>
        <rFont val="Arial"/>
        <family val="0"/>
        <charset val="1"/>
      </rPr>
      <t xml:space="preserve">5%</t>
    </r>
    <r>
      <rPr>
        <sz val="10"/>
        <rFont val="Noto Sans CJK SC"/>
        <family val="2"/>
      </rPr>
      <t xml:space="preserve">？『生ける死者』</t>
    </r>
    <r>
      <rPr>
        <sz val="10"/>
        <rFont val="Arial"/>
        <family val="0"/>
        <charset val="1"/>
      </rPr>
      <t xml:space="preserve">SCP-1440</t>
    </r>
    <r>
      <rPr>
        <sz val="10"/>
        <rFont val="Noto Sans CJK SC"/>
        <family val="2"/>
      </rPr>
      <t xml:space="preserve">が財団を</t>
    </r>
    <r>
      <rPr>
        <sz val="10"/>
        <rFont val="Arial"/>
        <family val="0"/>
        <charset val="1"/>
      </rPr>
      <t xml:space="preserve">12</t>
    </r>
    <r>
      <rPr>
        <sz val="10"/>
        <rFont val="Noto Sans CJK SC"/>
        <family val="2"/>
      </rPr>
      <t xml:space="preserve">回暴走させた本当の理由【ショート】</t>
    </r>
  </si>
  <si>
    <r>
      <rPr>
        <sz val="10"/>
        <rFont val="Noto Sans CJK SC"/>
        <family val="2"/>
      </rPr>
      <t xml:space="preserve">なぜ財団は</t>
    </r>
    <r>
      <rPr>
        <sz val="10"/>
        <rFont val="Arial"/>
        <family val="0"/>
        <charset val="1"/>
      </rPr>
      <t xml:space="preserve">48</t>
    </r>
    <r>
      <rPr>
        <sz val="10"/>
        <rFont val="Noto Sans CJK SC"/>
        <family val="2"/>
      </rPr>
      <t xml:space="preserve">時間で限界を迎えるのか——</t>
    </r>
    <r>
      <rPr>
        <sz val="10"/>
        <rFont val="Arial"/>
        <family val="0"/>
        <charset val="1"/>
      </rPr>
      <t xml:space="preserve">SCP-2317</t>
    </r>
    <r>
      <rPr>
        <sz val="10"/>
        <rFont val="Noto Sans CJK SC"/>
        <family val="2"/>
      </rPr>
      <t xml:space="preserve">『地獄の門』、封印違反</t>
    </r>
    <r>
      <rPr>
        <sz val="10"/>
        <rFont val="Arial"/>
        <family val="0"/>
        <charset val="1"/>
      </rPr>
      <t xml:space="preserve">5</t>
    </r>
    <r>
      <rPr>
        <sz val="10"/>
        <rFont val="Noto Sans CJK SC"/>
        <family val="2"/>
      </rPr>
      <t xml:space="preserve">件の真実【ショート】</t>
    </r>
  </si>
  <si>
    <r>
      <rPr>
        <sz val="10"/>
        <rFont val="Noto Sans CJK SC"/>
        <family val="2"/>
      </rPr>
      <t xml:space="preserve">電子工作で</t>
    </r>
    <r>
      <rPr>
        <sz val="10"/>
        <rFont val="Arial"/>
        <family val="0"/>
        <charset val="1"/>
      </rPr>
      <t xml:space="preserve">7</t>
    </r>
    <r>
      <rPr>
        <sz val="10"/>
        <rFont val="Noto Sans CJK SC"/>
        <family val="2"/>
      </rPr>
      <t xml:space="preserve">人消えた…財団が封印した『悪夢の回路』だけ異常すぎる理由【ショート】</t>
    </r>
  </si>
  <si>
    <r>
      <rPr>
        <sz val="10"/>
        <rFont val="Noto Sans CJK SC"/>
        <family val="2"/>
      </rPr>
      <t xml:space="preserve">一口</t>
    </r>
    <r>
      <rPr>
        <sz val="10"/>
        <rFont val="Arial"/>
        <family val="0"/>
        <charset val="1"/>
      </rPr>
      <t xml:space="preserve">SCP</t>
    </r>
    <r>
      <rPr>
        <sz val="10"/>
        <rFont val="Noto Sans CJK SC"/>
        <family val="2"/>
      </rPr>
      <t xml:space="preserve">：収容違反から</t>
    </r>
    <r>
      <rPr>
        <sz val="10"/>
        <rFont val="Arial"/>
        <family val="0"/>
        <charset val="1"/>
      </rPr>
      <t xml:space="preserve">3</t>
    </r>
    <r>
      <rPr>
        <sz val="10"/>
        <rFont val="Noto Sans CJK SC"/>
        <family val="2"/>
      </rPr>
      <t xml:space="preserve">時間／生存者</t>
    </r>
    <r>
      <rPr>
        <sz val="10"/>
        <rFont val="Arial"/>
        <family val="0"/>
        <charset val="1"/>
      </rPr>
      <t xml:space="preserve">0</t>
    </r>
    <r>
      <rPr>
        <sz val="10"/>
        <rFont val="Noto Sans CJK SC"/>
        <family val="2"/>
      </rPr>
      <t xml:space="preserve">名財団が封印した『回路の悪夢』</t>
    </r>
    <r>
      <rPr>
        <sz val="10"/>
        <rFont val="Arial"/>
        <family val="0"/>
        <charset val="1"/>
      </rPr>
      <t xml:space="preserve">#</t>
    </r>
    <r>
      <rPr>
        <sz val="10"/>
        <rFont val="Noto Sans CJK SC"/>
        <family val="2"/>
      </rPr>
      <t xml:space="preserve">電子工作中に</t>
    </r>
    <r>
      <rPr>
        <sz val="10"/>
        <rFont val="Arial"/>
        <family val="0"/>
        <charset val="1"/>
      </rPr>
      <t xml:space="preserve">17</t>
    </r>
    <r>
      <rPr>
        <sz val="10"/>
        <rFont val="Noto Sans CJK SC"/>
        <family val="2"/>
      </rPr>
      <t xml:space="preserve">名が消えた——財団が「あの部品」を封印した本当の理由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</si>
  <si>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：生存率わずか</t>
    </r>
    <r>
      <rPr>
        <sz val="10"/>
        <rFont val="Arial"/>
        <family val="0"/>
        <charset val="1"/>
      </rPr>
      <t xml:space="preserve">1%</t>
    </r>
    <r>
      <rPr>
        <sz val="10"/>
        <rFont val="Noto Sans CJK SC"/>
        <family val="2"/>
      </rPr>
      <t xml:space="preserve">収容違反</t>
    </r>
    <r>
      <rPr>
        <sz val="10"/>
        <rFont val="Arial"/>
        <family val="0"/>
        <charset val="1"/>
      </rPr>
      <t xml:space="preserve">8</t>
    </r>
    <r>
      <rPr>
        <sz val="10"/>
        <rFont val="Noto Sans CJK SC"/>
        <family val="2"/>
      </rPr>
      <t xml:space="preserve">件の記録</t>
    </r>
    <r>
      <rPr>
        <sz val="10"/>
        <rFont val="Arial"/>
        <family val="0"/>
        <charset val="1"/>
      </rPr>
      <t xml:space="preserve">#</t>
    </r>
    <r>
      <rPr>
        <sz val="10"/>
        <rFont val="Noto Sans CJK SC"/>
        <family val="2"/>
      </rPr>
      <t xml:space="preserve">収容違反</t>
    </r>
    <r>
      <rPr>
        <sz val="10"/>
        <rFont val="Arial"/>
        <family val="0"/>
        <charset val="1"/>
      </rPr>
      <t xml:space="preserve">8</t>
    </r>
    <r>
      <rPr>
        <sz val="10"/>
        <rFont val="Noto Sans CJK SC"/>
        <family val="2"/>
      </rPr>
      <t xml:space="preserve">回、生存率</t>
    </r>
    <r>
      <rPr>
        <sz val="10"/>
        <rFont val="Arial"/>
        <family val="0"/>
        <charset val="1"/>
      </rPr>
      <t xml:space="preserve">1%——</t>
    </r>
    <r>
      <rPr>
        <sz val="10"/>
        <rFont val="Noto Sans CJK SC"/>
        <family val="2"/>
      </rPr>
      <t xml:space="preserve">修理工場で財団が記録した『亡霊』の正体がヤバすぎる </t>
    </r>
    <r>
      <rPr>
        <sz val="10"/>
        <rFont val="Arial"/>
        <family val="0"/>
        <charset val="1"/>
      </rPr>
      <t xml:space="preserve">#shorts #</t>
    </r>
    <r>
      <rPr>
        <sz val="10"/>
        <rFont val="Noto Sans CJK SC"/>
        <family val="2"/>
      </rPr>
      <t xml:space="preserve">ゆっくり解説</t>
    </r>
  </si>
  <si>
    <r>
      <rPr>
        <sz val="10"/>
        <rFont val="Noto Sans CJK SC"/>
        <family val="2"/>
      </rPr>
      <t xml:space="preserve">財団が</t>
    </r>
    <r>
      <rPr>
        <sz val="10"/>
        <rFont val="Arial"/>
        <family val="0"/>
        <charset val="1"/>
      </rPr>
      <t xml:space="preserve">11</t>
    </r>
    <r>
      <rPr>
        <sz val="10"/>
        <rFont val="Noto Sans CJK SC"/>
        <family val="2"/>
      </rPr>
      <t xml:space="preserve">回記録した『あの</t>
    </r>
    <r>
      <rPr>
        <sz val="10"/>
        <rFont val="Arial"/>
        <family val="0"/>
        <charset val="1"/>
      </rPr>
      <t xml:space="preserve">VHS</t>
    </r>
    <r>
      <rPr>
        <sz val="10"/>
        <rFont val="Noto Sans CJK SC"/>
        <family val="2"/>
      </rPr>
      <t xml:space="preserve">テープ』——再生するたびに内容が変わる映像と、見た職員の記憶が消えていく本当の理由【ショート】</t>
    </r>
  </si>
  <si>
    <r>
      <rPr>
        <sz val="10"/>
        <rFont val="Noto Sans CJK SC"/>
        <family val="2"/>
      </rPr>
      <t xml:space="preserve">財団が</t>
    </r>
    <r>
      <rPr>
        <sz val="10"/>
        <rFont val="Arial"/>
        <family val="0"/>
        <charset val="1"/>
      </rPr>
      <t xml:space="preserve">23</t>
    </r>
    <r>
      <rPr>
        <sz val="10"/>
        <rFont val="Noto Sans CJK SC"/>
        <family val="2"/>
      </rPr>
      <t xml:space="preserve">年間隠し続けた、</t>
    </r>
    <r>
      <rPr>
        <sz val="10"/>
        <rFont val="Arial"/>
        <family val="0"/>
        <charset val="1"/>
      </rPr>
      <t xml:space="preserve">41</t>
    </r>
    <r>
      <rPr>
        <sz val="10"/>
        <rFont val="Noto Sans CJK SC"/>
        <family val="2"/>
      </rPr>
      <t xml:space="preserve">名が消えた「増え続ける部屋」の本当の理由【ショート】</t>
    </r>
  </si>
  <si>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99%</t>
    </r>
    <r>
      <rPr>
        <sz val="10"/>
        <rFont val="Noto Sans CJK SC"/>
        <family val="2"/>
      </rPr>
      <t xml:space="preserve">の人が知らない恐怖財団が</t>
    </r>
    <r>
      <rPr>
        <sz val="10"/>
        <rFont val="Arial"/>
        <family val="0"/>
        <charset val="1"/>
      </rPr>
      <t xml:space="preserve">23</t>
    </r>
    <r>
      <rPr>
        <sz val="10"/>
        <rFont val="Noto Sans CJK SC"/>
        <family val="2"/>
      </rPr>
      <t xml:space="preserve">年間隠し続けた</t>
    </r>
    <r>
      <rPr>
        <sz val="10"/>
        <rFont val="Arial"/>
        <family val="0"/>
        <charset val="1"/>
      </rPr>
      <t xml:space="preserve">#</t>
    </r>
    <r>
      <rPr>
        <sz val="10"/>
        <rFont val="Noto Sans CJK SC"/>
        <family val="2"/>
      </rPr>
      <t xml:space="preserve">財団が隠蔽した</t>
    </r>
    <r>
      <rPr>
        <sz val="10"/>
        <rFont val="Arial"/>
        <family val="0"/>
        <charset val="1"/>
      </rPr>
      <t xml:space="preserve">SCP-3125</t>
    </r>
    <r>
      <rPr>
        <sz val="10"/>
        <rFont val="Noto Sans CJK SC"/>
        <family val="2"/>
      </rPr>
      <t xml:space="preserve">の恐怖</t>
    </r>
    <r>
      <rPr>
        <sz val="10"/>
        <rFont val="Arial"/>
        <family val="0"/>
        <charset val="1"/>
      </rPr>
      <t xml:space="preserve">: </t>
    </r>
    <r>
      <rPr>
        <sz val="10"/>
        <rFont val="Noto Sans CJK SC"/>
        <family val="2"/>
      </rPr>
      <t xml:space="preserve">生存者</t>
    </r>
    <r>
      <rPr>
        <sz val="10"/>
        <rFont val="Arial"/>
        <family val="0"/>
        <charset val="1"/>
      </rPr>
      <t xml:space="preserve">0</t>
    </r>
    <r>
      <rPr>
        <sz val="10"/>
        <rFont val="Noto Sans CJK SC"/>
        <family val="2"/>
      </rPr>
      <t xml:space="preserve">名の理由 </t>
    </r>
    <r>
      <rPr>
        <sz val="10"/>
        <rFont val="Arial"/>
        <family val="0"/>
        <charset val="1"/>
      </rPr>
      <t xml:space="preserve">#shorts #</t>
    </r>
    <r>
      <rPr>
        <sz val="10"/>
        <rFont val="Noto Sans CJK SC"/>
        <family val="2"/>
      </rPr>
      <t xml:space="preserve">ゆっくり解説</t>
    </r>
  </si>
  <si>
    <r>
      <rPr>
        <sz val="10"/>
        <rFont val="Noto Sans CJK SC"/>
        <family val="2"/>
      </rPr>
      <t xml:space="preserve">財団が封印した感染者</t>
    </r>
    <r>
      <rPr>
        <sz val="10"/>
        <rFont val="Arial"/>
        <family val="0"/>
        <charset val="1"/>
      </rPr>
      <t xml:space="preserve">389</t>
    </r>
    <r>
      <rPr>
        <sz val="10"/>
        <rFont val="Noto Sans CJK SC"/>
        <family val="2"/>
      </rPr>
      <t xml:space="preserve">名の村、帰還者</t>
    </r>
    <r>
      <rPr>
        <sz val="10"/>
        <rFont val="Arial"/>
        <family val="0"/>
        <charset val="1"/>
      </rPr>
      <t xml:space="preserve">2</t>
    </r>
    <r>
      <rPr>
        <sz val="10"/>
        <rFont val="Noto Sans CJK SC"/>
        <family val="2"/>
      </rPr>
      <t xml:space="preserve">名だけが見た本当の理由【ショート】</t>
    </r>
  </si>
  <si>
    <r>
      <rPr>
        <sz val="10"/>
        <rFont val="Noto Sans CJK SC"/>
        <family val="2"/>
      </rPr>
      <t xml:space="preserve">一口</t>
    </r>
    <r>
      <rPr>
        <sz val="10"/>
        <rFont val="Arial"/>
        <family val="0"/>
        <charset val="1"/>
      </rPr>
      <t xml:space="preserve">SCP</t>
    </r>
    <r>
      <rPr>
        <sz val="10"/>
        <rFont val="Noto Sans CJK SC"/>
        <family val="2"/>
      </rPr>
      <t xml:space="preserve">：財団が人類を殲滅する側に</t>
    </r>
    <r>
      <rPr>
        <sz val="10"/>
        <rFont val="Arial"/>
        <family val="0"/>
        <charset val="1"/>
      </rPr>
      <t xml:space="preserve">!?</t>
    </r>
    <r>
      <rPr>
        <sz val="10"/>
        <rFont val="Noto Sans CJK SC"/>
        <family val="2"/>
      </rPr>
      <t xml:space="preserve">隠された提言が今、暴かれる</t>
    </r>
    <r>
      <rPr>
        <sz val="10"/>
        <rFont val="Arial"/>
        <family val="0"/>
        <charset val="1"/>
      </rPr>
      <t xml:space="preserve">#</t>
    </r>
    <r>
      <rPr>
        <sz val="10"/>
        <rFont val="Noto Sans CJK SC"/>
        <family val="2"/>
      </rPr>
      <t xml:space="preserve">財団が隠した『人類殲滅提言』の真実とは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</si>
  <si>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：財団が</t>
    </r>
    <r>
      <rPr>
        <sz val="10"/>
        <rFont val="Arial"/>
        <family val="0"/>
        <charset val="1"/>
      </rPr>
      <t xml:space="preserve">23</t>
    </r>
    <r>
      <rPr>
        <sz val="10"/>
        <rFont val="Noto Sans CJK SC"/>
        <family val="2"/>
      </rPr>
      <t xml:space="preserve">年間隠し続けた見るだけで感染する謎感染者数</t>
    </r>
    <r>
      <rPr>
        <sz val="10"/>
        <rFont val="Arial"/>
        <family val="0"/>
        <charset val="1"/>
      </rPr>
      <t xml:space="preserve">317</t>
    </r>
    <r>
      <rPr>
        <sz val="10"/>
        <rFont val="Noto Sans CJK SC"/>
        <family val="2"/>
      </rPr>
      <t xml:space="preserve">名、生存率わずか</t>
    </r>
    <r>
      <rPr>
        <sz val="10"/>
        <rFont val="Arial"/>
        <family val="0"/>
        <charset val="1"/>
      </rPr>
      <t xml:space="preserve">3%#</t>
    </r>
    <r>
      <rPr>
        <sz val="10"/>
        <rFont val="Noto Sans CJK SC"/>
        <family val="2"/>
      </rPr>
      <t xml:space="preserve">財団が</t>
    </r>
    <r>
      <rPr>
        <sz val="10"/>
        <rFont val="Arial"/>
        <family val="0"/>
        <charset val="1"/>
      </rPr>
      <t xml:space="preserve">23</t>
    </r>
    <r>
      <rPr>
        <sz val="10"/>
        <rFont val="Noto Sans CJK SC"/>
        <family val="2"/>
      </rPr>
      <t xml:space="preserve">年間隠した感染 </t>
    </r>
    <r>
      <rPr>
        <sz val="10"/>
        <rFont val="Arial"/>
        <family val="0"/>
        <charset val="1"/>
      </rPr>
      <t xml:space="preserve">SCP-XXXX</t>
    </r>
    <r>
      <rPr>
        <sz val="10"/>
        <rFont val="Noto Sans CJK SC"/>
        <family val="2"/>
      </rPr>
      <t xml:space="preserve">の正体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</si>
  <si>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：収容違反：</t>
    </r>
    <r>
      <rPr>
        <sz val="10"/>
        <rFont val="Arial"/>
        <family val="0"/>
        <charset val="1"/>
      </rPr>
      <t xml:space="preserve">23</t>
    </r>
    <r>
      <rPr>
        <sz val="10"/>
        <rFont val="Noto Sans CJK SC"/>
        <family val="2"/>
      </rPr>
      <t xml:space="preserve">名消滅遺体も血痕も残っていない</t>
    </r>
    <r>
      <rPr>
        <sz val="10"/>
        <rFont val="Arial"/>
        <family val="0"/>
        <charset val="1"/>
      </rPr>
      <t xml:space="preserve">#</t>
    </r>
    <r>
      <rPr>
        <sz val="10"/>
        <rFont val="Noto Sans CJK SC"/>
        <family val="2"/>
      </rPr>
      <t xml:space="preserve">財団が</t>
    </r>
    <r>
      <rPr>
        <sz val="10"/>
        <rFont val="Arial"/>
        <family val="0"/>
        <charset val="1"/>
      </rPr>
      <t xml:space="preserve">17</t>
    </r>
    <r>
      <rPr>
        <sz val="10"/>
        <rFont val="Noto Sans CJK SC"/>
        <family val="2"/>
      </rPr>
      <t xml:space="preserve">年間封印した「デジタルの監獄」— 収容違反で消えた研究員</t>
    </r>
    <r>
      <rPr>
        <sz val="10"/>
        <rFont val="Arial"/>
        <family val="0"/>
        <charset val="1"/>
      </rPr>
      <t xml:space="preserve">23</t>
    </r>
    <r>
      <rPr>
        <sz val="10"/>
        <rFont val="Noto Sans CJK SC"/>
        <family val="2"/>
      </rPr>
      <t xml:space="preserve">名の正体 </t>
    </r>
    <r>
      <rPr>
        <sz val="10"/>
        <rFont val="Arial"/>
        <family val="0"/>
        <charset val="1"/>
      </rPr>
      <t xml:space="preserve">#shorts #</t>
    </r>
    <r>
      <rPr>
        <sz val="10"/>
        <rFont val="Noto Sans CJK SC"/>
        <family val="2"/>
      </rPr>
      <t xml:space="preserve">ゆっくり解説</t>
    </r>
  </si>
  <si>
    <r>
      <rPr>
        <sz val="10"/>
        <rFont val="Noto Sans CJK SC"/>
        <family val="2"/>
      </rPr>
      <t xml:space="preserve">財団が</t>
    </r>
    <r>
      <rPr>
        <sz val="10"/>
        <rFont val="Arial"/>
        <family val="0"/>
        <charset val="1"/>
      </rPr>
      <t xml:space="preserve">31</t>
    </r>
    <r>
      <rPr>
        <sz val="10"/>
        <rFont val="Noto Sans CJK SC"/>
        <family val="2"/>
      </rPr>
      <t xml:space="preserve">回の接触実験で隠し続けた</t>
    </r>
    <r>
      <rPr>
        <sz val="10"/>
        <rFont val="Arial"/>
        <family val="0"/>
        <charset val="1"/>
      </rPr>
      <t xml:space="preserve">SCP-198</t>
    </r>
    <r>
      <rPr>
        <sz val="10"/>
        <rFont val="Noto Sans CJK SC"/>
        <family val="2"/>
      </rPr>
      <t xml:space="preserve">の正体——回収不能になった</t>
    </r>
    <r>
      <rPr>
        <sz val="10"/>
        <rFont val="Arial"/>
        <family val="0"/>
        <charset val="1"/>
      </rPr>
      <t xml:space="preserve">12</t>
    </r>
    <r>
      <rPr>
        <sz val="10"/>
        <rFont val="Noto Sans CJK SC"/>
        <family val="2"/>
      </rPr>
      <t xml:space="preserve">名は今どこにいるのか【ショート】</t>
    </r>
  </si>
  <si>
    <r>
      <rPr>
        <sz val="10"/>
        <rFont val="Noto Sans CJK SC"/>
        <family val="2"/>
      </rPr>
      <t xml:space="preserve">財団が</t>
    </r>
    <r>
      <rPr>
        <sz val="10"/>
        <rFont val="Arial"/>
        <family val="0"/>
        <charset val="1"/>
      </rPr>
      <t xml:space="preserve">13</t>
    </r>
    <r>
      <rPr>
        <sz val="10"/>
        <rFont val="Noto Sans CJK SC"/>
        <family val="2"/>
      </rPr>
      <t xml:space="preserve">年間隠し続けた「</t>
    </r>
    <r>
      <rPr>
        <sz val="10"/>
        <rFont val="Arial"/>
        <family val="0"/>
        <charset val="1"/>
      </rPr>
      <t xml:space="preserve">13</t>
    </r>
    <r>
      <rPr>
        <sz val="10"/>
        <rFont val="Noto Sans CJK SC"/>
        <family val="2"/>
      </rPr>
      <t xml:space="preserve">名の改竄要求」</t>
    </r>
    <r>
      <rPr>
        <sz val="10"/>
        <rFont val="Arial"/>
        <family val="0"/>
        <charset val="1"/>
      </rPr>
      <t xml:space="preserve">SCP-2718</t>
    </r>
    <r>
      <rPr>
        <sz val="10"/>
        <rFont val="Noto Sans CJK SC"/>
        <family val="2"/>
      </rPr>
      <t xml:space="preserve">死後記録の真実【ショート】</t>
    </r>
  </si>
  <si>
    <r>
      <rPr>
        <sz val="10"/>
        <rFont val="Noto Sans CJK SC"/>
        <family val="2"/>
      </rPr>
      <t xml:space="preserve">一口</t>
    </r>
    <r>
      <rPr>
        <sz val="10"/>
        <rFont val="Arial"/>
        <family val="0"/>
        <charset val="1"/>
      </rPr>
      <t xml:space="preserve">SCP</t>
    </r>
    <r>
      <rPr>
        <sz val="10"/>
        <rFont val="Noto Sans CJK SC"/>
        <family val="2"/>
      </rPr>
      <t xml:space="preserve">：閲覧実験</t>
    </r>
    <r>
      <rPr>
        <sz val="10"/>
        <rFont val="Arial"/>
        <family val="0"/>
        <charset val="1"/>
      </rPr>
      <t xml:space="preserve">6</t>
    </r>
    <r>
      <rPr>
        <sz val="10"/>
        <rFont val="Noto Sans CJK SC"/>
        <family val="2"/>
      </rPr>
      <t xml:space="preserve">件 </t>
    </r>
    <r>
      <rPr>
        <sz val="10"/>
        <rFont val="Arial"/>
        <family val="0"/>
        <charset val="1"/>
      </rPr>
      <t xml:space="preserve">/ </t>
    </r>
    <r>
      <rPr>
        <sz val="10"/>
        <rFont val="Noto Sans CJK SC"/>
        <family val="2"/>
      </rPr>
      <t xml:space="preserve">帰還者</t>
    </r>
    <r>
      <rPr>
        <sz val="10"/>
        <rFont val="Arial"/>
        <family val="0"/>
        <charset val="1"/>
      </rPr>
      <t xml:space="preserve">0</t>
    </r>
    <r>
      <rPr>
        <sz val="10"/>
        <rFont val="Noto Sans CJK SC"/>
        <family val="2"/>
      </rPr>
      <t xml:space="preserve">名【これが最後の通信記録だ】</t>
    </r>
    <r>
      <rPr>
        <sz val="10"/>
        <rFont val="Arial"/>
        <family val="0"/>
        <charset val="1"/>
      </rPr>
      <t xml:space="preserve">#</t>
    </r>
    <r>
      <rPr>
        <sz val="10"/>
        <rFont val="Noto Sans CJK SC"/>
        <family val="2"/>
      </rPr>
      <t xml:space="preserve">財団が</t>
    </r>
    <r>
      <rPr>
        <sz val="10"/>
        <rFont val="Arial"/>
        <family val="0"/>
        <charset val="1"/>
      </rPr>
      <t xml:space="preserve">6</t>
    </r>
    <r>
      <rPr>
        <sz val="10"/>
        <rFont val="Noto Sans CJK SC"/>
        <family val="2"/>
      </rPr>
      <t xml:space="preserve">年間封印した</t>
    </r>
    <r>
      <rPr>
        <sz val="10"/>
        <rFont val="Arial"/>
        <family val="0"/>
        <charset val="1"/>
      </rPr>
      <t xml:space="preserve">SCP-3007</t>
    </r>
    <r>
      <rPr>
        <sz val="10"/>
        <rFont val="Noto Sans CJK SC"/>
        <family val="2"/>
      </rPr>
      <t xml:space="preserve">「世界の終わりを描く絵」— 閲覧実験</t>
    </r>
    <r>
      <rPr>
        <sz val="10"/>
        <rFont val="Arial"/>
        <family val="0"/>
        <charset val="1"/>
      </rPr>
      <t xml:space="preserve">6</t>
    </r>
    <r>
      <rPr>
        <sz val="10"/>
        <rFont val="Noto Sans CJK SC"/>
        <family val="2"/>
      </rPr>
      <t xml:space="preserve">件、帰還できた職員は</t>
    </r>
    <r>
      <rPr>
        <sz val="10"/>
        <rFont val="Arial"/>
        <family val="0"/>
        <charset val="1"/>
      </rPr>
      <t xml:space="preserve">0</t>
    </r>
    <r>
      <rPr>
        <sz val="10"/>
        <rFont val="Noto Sans CJK SC"/>
        <family val="2"/>
      </rPr>
      <t xml:space="preserve">名の真実 </t>
    </r>
    <r>
      <rPr>
        <sz val="10"/>
        <rFont val="Arial"/>
        <family val="0"/>
        <charset val="1"/>
      </rPr>
      <t xml:space="preserve">#shorts #</t>
    </r>
    <r>
      <rPr>
        <sz val="10"/>
        <rFont val="Noto Sans CJK SC"/>
        <family val="2"/>
      </rPr>
      <t xml:space="preserve">ゆっくり</t>
    </r>
  </si>
  <si>
    <r>
      <rPr>
        <sz val="10"/>
        <rFont val="Noto Sans CJK SC"/>
        <family val="2"/>
      </rPr>
      <t xml:space="preserve">一口</t>
    </r>
    <r>
      <rPr>
        <sz val="10"/>
        <rFont val="Arial"/>
        <family val="0"/>
        <charset val="1"/>
      </rPr>
      <t xml:space="preserve">SCP</t>
    </r>
    <r>
      <rPr>
        <sz val="10"/>
        <rFont val="Noto Sans CJK SC"/>
        <family val="2"/>
      </rPr>
      <t xml:space="preserve">：崇拝者が自然発生——収容できたのは『実体』ではなかった収容違反発生・職員接触者の生存率：記録抹消</t>
    </r>
    <r>
      <rPr>
        <sz val="10"/>
        <rFont val="Arial"/>
        <family val="0"/>
        <charset val="1"/>
      </rPr>
      <t xml:space="preserve">#</t>
    </r>
    <r>
      <rPr>
        <sz val="10"/>
        <rFont val="Noto Sans CJK SC"/>
        <family val="2"/>
      </rPr>
      <t xml:space="preserve">財団が</t>
    </r>
    <r>
      <rPr>
        <sz val="10"/>
        <rFont val="Arial"/>
        <family val="0"/>
        <charset val="1"/>
      </rPr>
      <t xml:space="preserve">17</t>
    </r>
    <r>
      <rPr>
        <sz val="10"/>
        <rFont val="Noto Sans CJK SC"/>
        <family val="2"/>
      </rPr>
      <t xml:space="preserve">年間隠し続けた</t>
    </r>
    <r>
      <rPr>
        <sz val="10"/>
        <rFont val="Arial"/>
        <family val="0"/>
        <charset val="1"/>
      </rPr>
      <t xml:space="preserve">SCP-2662——</t>
    </r>
    <r>
      <rPr>
        <sz val="10"/>
        <rFont val="Noto Sans CJK SC"/>
        <family val="2"/>
      </rPr>
      <t xml:space="preserve">崇拝者が自然発生する施設、生存率</t>
    </r>
    <r>
      <rPr>
        <sz val="10"/>
        <rFont val="Arial"/>
        <family val="0"/>
        <charset val="1"/>
      </rPr>
      <t xml:space="preserve">0%</t>
    </r>
    <r>
      <rPr>
        <sz val="10"/>
        <rFont val="Noto Sans CJK SC"/>
        <family val="2"/>
      </rPr>
      <t xml:space="preserve">の収容違反</t>
    </r>
  </si>
  <si>
    <r>
      <rPr>
        <sz val="10"/>
        <rFont val="Noto Sans CJK SC"/>
        <family val="2"/>
      </rPr>
      <t xml:space="preserve">財団が</t>
    </r>
    <r>
      <rPr>
        <sz val="10"/>
        <rFont val="Arial"/>
        <family val="0"/>
        <charset val="1"/>
      </rPr>
      <t xml:space="preserve">23</t>
    </r>
    <r>
      <rPr>
        <sz val="10"/>
        <rFont val="Noto Sans CJK SC"/>
        <family val="2"/>
      </rPr>
      <t xml:space="preserve">年間隠し続けた接近者</t>
    </r>
    <r>
      <rPr>
        <sz val="10"/>
        <rFont val="Arial"/>
        <family val="0"/>
        <charset val="1"/>
      </rPr>
      <t xml:space="preserve">19</t>
    </r>
    <r>
      <rPr>
        <sz val="10"/>
        <rFont val="Noto Sans CJK SC"/>
        <family val="2"/>
      </rPr>
      <t xml:space="preserve">名・生存率</t>
    </r>
    <r>
      <rPr>
        <sz val="10"/>
        <rFont val="Arial"/>
        <family val="0"/>
        <charset val="1"/>
      </rPr>
      <t xml:space="preserve">0%——</t>
    </r>
    <r>
      <rPr>
        <sz val="10"/>
        <rFont val="Noto Sans CJK SC"/>
        <family val="2"/>
      </rPr>
      <t xml:space="preserve">湖で名前を失った本当の理由【ショート】</t>
    </r>
  </si>
  <si>
    <r>
      <rPr>
        <sz val="10"/>
        <color rgb="FFA6A6A6"/>
        <rFont val="Noto Sans CJK SC"/>
        <family val="2"/>
      </rPr>
      <t xml:space="preserve">一口</t>
    </r>
    <r>
      <rPr>
        <sz val="10"/>
        <color rgb="FFA6A6A6"/>
        <rFont val="Arial"/>
        <family val="0"/>
        <charset val="1"/>
      </rPr>
      <t xml:space="preserve">SCP</t>
    </r>
    <r>
      <rPr>
        <sz val="10"/>
        <color rgb="FFA6A6A6"/>
        <rFont val="Noto Sans CJK SC"/>
        <family val="2"/>
      </rPr>
      <t xml:space="preserve">：目撃者</t>
    </r>
    <r>
      <rPr>
        <sz val="10"/>
        <color rgb="FFA6A6A6"/>
        <rFont val="Arial"/>
        <family val="0"/>
        <charset val="1"/>
      </rPr>
      <t xml:space="preserve">47</t>
    </r>
    <r>
      <rPr>
        <sz val="10"/>
        <color rgb="FFA6A6A6"/>
        <rFont val="Noto Sans CJK SC"/>
        <family val="2"/>
      </rPr>
      <t xml:space="preserve">名／精神的生存率</t>
    </r>
    <r>
      <rPr>
        <sz val="10"/>
        <color rgb="FFA6A6A6"/>
        <rFont val="Arial"/>
        <family val="0"/>
        <charset val="1"/>
      </rPr>
      <t xml:space="preserve">0%</t>
    </r>
    <r>
      <rPr>
        <sz val="10"/>
        <color rgb="FFA6A6A6"/>
        <rFont val="Noto Sans CJK SC"/>
        <family val="2"/>
      </rPr>
      <t xml:space="preserve">財団が</t>
    </r>
    <r>
      <rPr>
        <sz val="10"/>
        <color rgb="FFA6A6A6"/>
        <rFont val="Arial"/>
        <family val="0"/>
        <charset val="1"/>
      </rPr>
      <t xml:space="preserve">17</t>
    </r>
    <r>
      <rPr>
        <sz val="10"/>
        <color rgb="FFA6A6A6"/>
        <rFont val="Noto Sans CJK SC"/>
        <family val="2"/>
      </rPr>
      <t xml:space="preserve">年間『視覚汚染』と呼んだ理由</t>
    </r>
    <r>
      <rPr>
        <sz val="10"/>
        <color rgb="FFA6A6A6"/>
        <rFont val="Arial"/>
        <family val="0"/>
        <charset val="1"/>
      </rPr>
      <t xml:space="preserve">#</t>
    </r>
    <r>
      <rPr>
        <sz val="10"/>
        <color rgb="FFA6A6A6"/>
        <rFont val="Noto Sans CJK SC"/>
        <family val="2"/>
      </rPr>
      <t xml:space="preserve">財団が</t>
    </r>
    <r>
      <rPr>
        <sz val="10"/>
        <color rgb="FFA6A6A6"/>
        <rFont val="Arial"/>
        <family val="0"/>
        <charset val="1"/>
      </rPr>
      <t xml:space="preserve">17</t>
    </r>
    <r>
      <rPr>
        <sz val="10"/>
        <color rgb="FFA6A6A6"/>
        <rFont val="Noto Sans CJK SC"/>
        <family val="2"/>
      </rPr>
      <t xml:space="preserve">年間隠し続けた視覚汚染体——目撃者全員が廃人化、生存率</t>
    </r>
    <r>
      <rPr>
        <sz val="10"/>
        <color rgb="FFA6A6A6"/>
        <rFont val="Arial"/>
        <family val="0"/>
        <charset val="1"/>
      </rPr>
      <t xml:space="preserve">0%</t>
    </r>
    <r>
      <rPr>
        <sz val="10"/>
        <color rgb="FFA6A6A6"/>
        <rFont val="Noto Sans CJK SC"/>
        <family val="2"/>
      </rPr>
      <t xml:space="preserve">の本当の理由 </t>
    </r>
    <r>
      <rPr>
        <sz val="10"/>
        <color rgb="FFA6A6A6"/>
        <rFont val="Arial"/>
        <family val="0"/>
        <charset val="1"/>
      </rPr>
      <t xml:space="preserve">#shorts #</t>
    </r>
    <r>
      <rPr>
        <sz val="10"/>
        <color rgb="FFA6A6A6"/>
        <rFont val="Noto Sans CJK SC"/>
        <family val="2"/>
      </rPr>
      <t xml:space="preserve">ゆっくり解説</t>
    </r>
  </si>
  <si>
    <r>
      <rPr>
        <sz val="10"/>
        <rFont val="Arial"/>
        <family val="0"/>
        <charset val="1"/>
      </rPr>
      <t xml:space="preserve">SCP-2399</t>
    </r>
    <r>
      <rPr>
        <sz val="10"/>
        <rFont val="Noto Sans CJK SC"/>
        <family val="2"/>
      </rPr>
      <t xml:space="preserve">収容記録：地球まで</t>
    </r>
    <r>
      <rPr>
        <sz val="10"/>
        <rFont val="Arial"/>
        <family val="0"/>
        <charset val="1"/>
      </rPr>
      <t xml:space="preserve">72</t>
    </r>
    <r>
      <rPr>
        <sz val="10"/>
        <rFont val="Noto Sans CJK SC"/>
        <family val="2"/>
      </rPr>
      <t xml:space="preserve">時間、なぜ迎撃隊だけ全滅したのか【最後の軌道通信】【ショート】</t>
    </r>
  </si>
  <si>
    <r>
      <rPr>
        <sz val="10"/>
        <rFont val="Arial"/>
        <family val="0"/>
        <charset val="1"/>
      </rPr>
      <t xml:space="preserve">SCP-2845</t>
    </r>
    <r>
      <rPr>
        <sz val="10"/>
        <rFont val="Noto Sans CJK SC"/>
        <family val="2"/>
      </rPr>
      <t xml:space="preserve">収容記録：儀式が</t>
    </r>
    <r>
      <rPr>
        <sz val="10"/>
        <rFont val="Arial"/>
        <family val="0"/>
        <charset val="1"/>
      </rPr>
      <t xml:space="preserve">1</t>
    </r>
    <r>
      <rPr>
        <sz val="10"/>
        <rFont val="Noto Sans CJK SC"/>
        <family val="2"/>
      </rPr>
      <t xml:space="preserve">分遅れた夜、</t>
    </r>
    <r>
      <rPr>
        <sz val="10"/>
        <rFont val="Arial"/>
        <family val="0"/>
        <charset val="1"/>
      </rPr>
      <t xml:space="preserve">173</t>
    </r>
    <r>
      <rPr>
        <sz val="10"/>
        <rFont val="Noto Sans CJK SC"/>
        <family val="2"/>
      </rPr>
      <t xml:space="preserve">名はなぜか全員消えた【これが最後の名簿】【ショート】</t>
    </r>
  </si>
  <si>
    <r>
      <rPr>
        <sz val="10"/>
        <rFont val="Arial"/>
        <family val="0"/>
        <charset val="1"/>
      </rPr>
      <t xml:space="preserve">SCP-1690</t>
    </r>
    <r>
      <rPr>
        <sz val="10"/>
        <rFont val="Noto Sans CJK SC"/>
        <family val="2"/>
      </rPr>
      <t xml:space="preserve">「廃棄された文明の記録」— 発掘地点</t>
    </r>
    <r>
      <rPr>
        <sz val="10"/>
        <rFont val="Arial"/>
        <family val="0"/>
        <charset val="1"/>
      </rPr>
      <t xml:space="preserve">12</t>
    </r>
    <r>
      <rPr>
        <sz val="10"/>
        <rFont val="Noto Sans CJK SC"/>
        <family val="2"/>
      </rPr>
      <t xml:space="preserve">か所、通信断絶から</t>
    </r>
    <r>
      <rPr>
        <sz val="10"/>
        <rFont val="Arial"/>
        <family val="0"/>
        <charset val="1"/>
      </rPr>
      <t xml:space="preserve">83</t>
    </r>
    <r>
      <rPr>
        <sz val="10"/>
        <rFont val="Noto Sans CJK SC"/>
        <family val="2"/>
      </rPr>
      <t xml:space="preserve">年後に収容【ショート】</t>
    </r>
  </si>
  <si>
    <r>
      <rPr>
        <sz val="10"/>
        <rFont val="Arial"/>
        <family val="0"/>
        <charset val="1"/>
      </rPr>
      <t xml:space="preserve">SCP-701</t>
    </r>
    <r>
      <rPr>
        <sz val="10"/>
        <rFont val="Noto Sans CJK SC"/>
        <family val="2"/>
      </rPr>
      <t xml:space="preserve">「吊られた王の悲劇」— 上演記録</t>
    </r>
    <r>
      <rPr>
        <sz val="10"/>
        <rFont val="Arial"/>
        <family val="0"/>
        <charset val="1"/>
      </rPr>
      <t xml:space="preserve">14</t>
    </r>
    <r>
      <rPr>
        <sz val="10"/>
        <rFont val="Noto Sans CJK SC"/>
        <family val="2"/>
      </rPr>
      <t xml:space="preserve">件、観客の生存率は</t>
    </r>
    <r>
      <rPr>
        <sz val="10"/>
        <rFont val="Arial"/>
        <family val="0"/>
        <charset val="1"/>
      </rPr>
      <t xml:space="preserve">21%</t>
    </r>
    <r>
      <rPr>
        <sz val="10"/>
        <rFont val="Noto Sans CJK SC"/>
        <family val="2"/>
      </rPr>
      <t xml:space="preserve">【ショート】</t>
    </r>
  </si>
  <si>
    <r>
      <rPr>
        <sz val="10"/>
        <rFont val="Arial"/>
        <family val="0"/>
        <charset val="1"/>
      </rPr>
      <t xml:space="preserve">SCP-7004</t>
    </r>
    <r>
      <rPr>
        <sz val="10"/>
        <rFont val="Noto Sans CJK SC"/>
        <family val="2"/>
      </rPr>
      <t xml:space="preserve">「終末の観測者」— 収容都市は</t>
    </r>
    <r>
      <rPr>
        <sz val="10"/>
        <rFont val="Arial"/>
        <family val="0"/>
        <charset val="1"/>
      </rPr>
      <t xml:space="preserve">9</t>
    </r>
    <r>
      <rPr>
        <sz val="10"/>
        <rFont val="Noto Sans CJK SC"/>
        <family val="2"/>
      </rPr>
      <t xml:space="preserve">日で住民全員を失った【最後の記録】【ショート】</t>
    </r>
  </si>
  <si>
    <r>
      <rPr>
        <sz val="10"/>
        <color rgb="FFA6A6A6"/>
        <rFont val="Arial"/>
        <family val="0"/>
        <charset val="1"/>
      </rPr>
      <t xml:space="preserve">SCP-055</t>
    </r>
    <r>
      <rPr>
        <sz val="10"/>
        <color rgb="FFA6A6A6"/>
        <rFont val="Noto Sans CJK SC"/>
        <family val="2"/>
      </rPr>
      <t xml:space="preserve">の報告書に残った奇妙な空欄とは？【ショート】</t>
    </r>
  </si>
  <si>
    <r>
      <rPr>
        <sz val="10"/>
        <rFont val="Arial"/>
        <family val="0"/>
        <charset val="1"/>
      </rPr>
      <t xml:space="preserve">SCP-2525</t>
    </r>
    <r>
      <rPr>
        <sz val="10"/>
        <rFont val="Noto Sans CJK SC"/>
        <family val="2"/>
      </rPr>
      <t xml:space="preserve">「異常なゲーム」— 死亡記録</t>
    </r>
    <r>
      <rPr>
        <sz val="10"/>
        <rFont val="Arial"/>
        <family val="0"/>
        <charset val="1"/>
      </rPr>
      <t xml:space="preserve">23</t>
    </r>
    <r>
      <rPr>
        <sz val="10"/>
        <rFont val="Noto Sans CJK SC"/>
        <family val="2"/>
      </rPr>
      <t xml:space="preserve">件、勝利条件は未達成【ショート】</t>
    </r>
  </si>
  <si>
    <r>
      <rPr>
        <sz val="10"/>
        <rFont val="Arial"/>
        <family val="0"/>
        <charset val="1"/>
      </rPr>
      <t xml:space="preserve">SCP-682</t>
    </r>
    <r>
      <rPr>
        <sz val="10"/>
        <rFont val="Noto Sans CJK SC"/>
        <family val="2"/>
      </rPr>
      <t xml:space="preserve">の酸槽、記録に残らない変化が起きた【ショート】</t>
    </r>
  </si>
  <si>
    <r>
      <rPr>
        <sz val="10"/>
        <rFont val="Noto Sans CJK SC"/>
        <family val="2"/>
      </rPr>
      <t xml:space="preserve">触れた全員が笑う粘体、なぜ</t>
    </r>
    <r>
      <rPr>
        <sz val="10"/>
        <rFont val="Arial"/>
        <family val="0"/>
        <charset val="1"/>
      </rPr>
      <t xml:space="preserve">Safe</t>
    </r>
    <r>
      <rPr>
        <sz val="10"/>
        <rFont val="Noto Sans CJK SC"/>
        <family val="2"/>
      </rPr>
      <t xml:space="preserve">なのか？【ショート】</t>
    </r>
  </si>
  <si>
    <r>
      <rPr>
        <sz val="10"/>
        <color rgb="FFA6A6A6"/>
        <rFont val="Noto Sans CJK SC"/>
        <family val="2"/>
      </rPr>
      <t xml:space="preserve">一口</t>
    </r>
    <r>
      <rPr>
        <sz val="10"/>
        <color rgb="FFA6A6A6"/>
        <rFont val="Arial"/>
        <family val="0"/>
        <charset val="1"/>
      </rPr>
      <t xml:space="preserve">SCP #91</t>
    </r>
    <r>
      <rPr>
        <sz val="10"/>
        <color rgb="FFA6A6A6"/>
        <rFont val="Noto Sans CJK SC"/>
        <family val="2"/>
      </rPr>
      <t xml:space="preserve">：⚠️</t>
    </r>
    <r>
      <rPr>
        <sz val="10"/>
        <color rgb="FFA6A6A6"/>
        <rFont val="Arial"/>
        <family val="0"/>
        <charset val="1"/>
      </rPr>
      <t xml:space="preserve">SCP-1523-JP</t>
    </r>
    <r>
      <rPr>
        <sz val="10"/>
        <color rgb="FFA6A6A6"/>
        <rFont val="Noto Sans CJK SC"/>
        <family val="2"/>
      </rPr>
      <t xml:space="preserve">「かまいたち」— 被害記録</t>
    </r>
    <r>
      <rPr>
        <sz val="10"/>
        <color rgb="FFA6A6A6"/>
        <rFont val="Arial"/>
        <family val="0"/>
        <charset val="1"/>
      </rPr>
      <t xml:space="preserve">17</t>
    </r>
    <r>
      <rPr>
        <sz val="10"/>
        <color rgb="FFA6A6A6"/>
        <rFont val="Noto Sans CJK SC"/>
        <family val="2"/>
      </rPr>
      <t xml:space="preserve">件、傷だけ残った夜【ショート】</t>
    </r>
  </si>
  <si>
    <r>
      <rPr>
        <sz val="10"/>
        <rFont val="Noto Sans CJK SC"/>
        <family val="2"/>
      </rPr>
      <t xml:space="preserve">一口</t>
    </r>
    <r>
      <rPr>
        <sz val="10"/>
        <rFont val="Arial"/>
        <family val="0"/>
        <charset val="1"/>
      </rPr>
      <t xml:space="preserve">SCP #92</t>
    </r>
    <r>
      <rPr>
        <sz val="10"/>
        <rFont val="Noto Sans CJK SC"/>
        <family val="2"/>
      </rPr>
      <t xml:space="preserve">：👁️</t>
    </r>
    <r>
      <rPr>
        <sz val="10"/>
        <rFont val="Arial"/>
        <family val="0"/>
        <charset val="1"/>
      </rPr>
      <t xml:space="preserve">SCP-3120</t>
    </r>
    <r>
      <rPr>
        <sz val="10"/>
        <rFont val="Noto Sans CJK SC"/>
        <family val="2"/>
      </rPr>
      <t xml:space="preserve">「異常な戦闘機」— 試験飛行</t>
    </r>
    <r>
      <rPr>
        <sz val="10"/>
        <rFont val="Arial"/>
        <family val="0"/>
        <charset val="1"/>
      </rPr>
      <t xml:space="preserve">9</t>
    </r>
    <r>
      <rPr>
        <sz val="10"/>
        <rFont val="Noto Sans CJK SC"/>
        <family val="2"/>
      </rPr>
      <t xml:space="preserve">回、操縦席から帰還した隊員は</t>
    </r>
    <r>
      <rPr>
        <sz val="10"/>
        <rFont val="Arial"/>
        <family val="0"/>
        <charset val="1"/>
      </rPr>
      <t xml:space="preserve">1</t>
    </r>
    <r>
      <rPr>
        <sz val="10"/>
        <rFont val="Noto Sans CJK SC"/>
        <family val="2"/>
      </rPr>
      <t xml:space="preserve">名だった【ショート】</t>
    </r>
  </si>
  <si>
    <r>
      <rPr>
        <sz val="10"/>
        <color rgb="FFA6A6A6"/>
        <rFont val="Noto Sans CJK SC"/>
        <family val="2"/>
      </rPr>
      <t xml:space="preserve">一口</t>
    </r>
    <r>
      <rPr>
        <sz val="10"/>
        <color rgb="FFA6A6A6"/>
        <rFont val="Arial"/>
        <family val="0"/>
        <charset val="1"/>
      </rPr>
      <t xml:space="preserve">SCP #93</t>
    </r>
    <r>
      <rPr>
        <sz val="10"/>
        <color rgb="FFA6A6A6"/>
        <rFont val="Noto Sans CJK SC"/>
        <family val="2"/>
      </rPr>
      <t xml:space="preserve">：⚠️</t>
    </r>
    <r>
      <rPr>
        <sz val="10"/>
        <color rgb="FFA6A6A6"/>
        <rFont val="Arial"/>
        <family val="0"/>
        <charset val="1"/>
      </rPr>
      <t xml:space="preserve">SCP-1689</t>
    </r>
    <r>
      <rPr>
        <sz val="10"/>
        <color rgb="FFA6A6A6"/>
        <rFont val="Noto Sans CJK SC"/>
        <family val="2"/>
      </rPr>
      <t xml:space="preserve">「黒いジャガイモ」— 摂取実験</t>
    </r>
    <r>
      <rPr>
        <sz val="10"/>
        <color rgb="FFA6A6A6"/>
        <rFont val="Arial"/>
        <family val="0"/>
        <charset val="1"/>
      </rPr>
      <t xml:space="preserve">8</t>
    </r>
    <r>
      <rPr>
        <sz val="10"/>
        <color rgb="FFA6A6A6"/>
        <rFont val="Noto Sans CJK SC"/>
        <family val="2"/>
      </rPr>
      <t xml:space="preserve">件、帰還率</t>
    </r>
    <r>
      <rPr>
        <sz val="10"/>
        <color rgb="FFA6A6A6"/>
        <rFont val="Arial"/>
        <family val="0"/>
        <charset val="1"/>
      </rPr>
      <t xml:space="preserve">0%</t>
    </r>
    <r>
      <rPr>
        <sz val="10"/>
        <color rgb="FFA6A6A6"/>
        <rFont val="Noto Sans CJK SC"/>
        <family val="2"/>
      </rPr>
      <t xml:space="preserve">だった【ショート】</t>
    </r>
  </si>
  <si>
    <r>
      <rPr>
        <sz val="10"/>
        <rFont val="Noto Sans CJK SC"/>
        <family val="2"/>
      </rPr>
      <t xml:space="preserve">一口</t>
    </r>
    <r>
      <rPr>
        <sz val="10"/>
        <rFont val="Arial"/>
        <family val="0"/>
        <charset val="1"/>
      </rPr>
      <t xml:space="preserve">SCP #94</t>
    </r>
    <r>
      <rPr>
        <sz val="10"/>
        <rFont val="Noto Sans CJK SC"/>
        <family val="2"/>
      </rPr>
      <t xml:space="preserve">：🔒</t>
    </r>
    <r>
      <rPr>
        <sz val="10"/>
        <rFont val="Arial"/>
        <family val="0"/>
        <charset val="1"/>
      </rPr>
      <t xml:space="preserve">SCP-2306</t>
    </r>
    <r>
      <rPr>
        <sz val="10"/>
        <rFont val="Noto Sans CJK SC"/>
        <family val="2"/>
      </rPr>
      <t xml:space="preserve">「実在しない部屋」— 図面に無い</t>
    </r>
    <r>
      <rPr>
        <sz val="10"/>
        <rFont val="Arial"/>
        <family val="0"/>
        <charset val="1"/>
      </rPr>
      <t xml:space="preserve">1</t>
    </r>
    <r>
      <rPr>
        <sz val="10"/>
        <rFont val="Noto Sans CJK SC"/>
        <family val="2"/>
      </rPr>
      <t xml:space="preserve">室、調査員</t>
    </r>
    <r>
      <rPr>
        <sz val="10"/>
        <rFont val="Arial"/>
        <family val="0"/>
        <charset val="1"/>
      </rPr>
      <t xml:space="preserve">4</t>
    </r>
    <r>
      <rPr>
        <sz val="10"/>
        <rFont val="Noto Sans CJK SC"/>
        <family val="2"/>
      </rPr>
      <t xml:space="preserve">名の記録だけが残った⚠️【ショート】</t>
    </r>
  </si>
  <si>
    <r>
      <rPr>
        <sz val="10"/>
        <color rgb="FFA6A6A6"/>
        <rFont val="Noto Sans CJK SC"/>
        <family val="2"/>
      </rPr>
      <t xml:space="preserve">実は完治後に</t>
    </r>
    <r>
      <rPr>
        <sz val="10"/>
        <color rgb="FFA6A6A6"/>
        <rFont val="Arial"/>
        <family val="0"/>
        <charset val="1"/>
      </rPr>
      <t xml:space="preserve">4</t>
    </r>
    <r>
      <rPr>
        <sz val="10"/>
        <color rgb="FFA6A6A6"/>
        <rFont val="Noto Sans CJK SC"/>
        <family val="2"/>
      </rPr>
      <t xml:space="preserve">人が戻れなかった本当の理由とは？【ショート】</t>
    </r>
  </si>
  <si>
    <r>
      <rPr>
        <sz val="10"/>
        <rFont val="Noto Sans CJK SC"/>
        <family val="2"/>
      </rPr>
      <t xml:space="preserve">一口</t>
    </r>
    <r>
      <rPr>
        <sz val="10"/>
        <rFont val="Arial"/>
        <family val="0"/>
        <charset val="1"/>
      </rPr>
      <t xml:space="preserve">SCP #96</t>
    </r>
    <r>
      <rPr>
        <sz val="10"/>
        <rFont val="Noto Sans CJK SC"/>
        <family val="2"/>
      </rPr>
      <t xml:space="preserve">：🫣</t>
    </r>
    <r>
      <rPr>
        <sz val="10"/>
        <rFont val="Arial"/>
        <family val="0"/>
        <charset val="1"/>
      </rPr>
      <t xml:space="preserve">SCP-507</t>
    </r>
    <r>
      <rPr>
        <sz val="10"/>
        <rFont val="Noto Sans CJK SC"/>
        <family val="2"/>
      </rPr>
      <t xml:space="preserve">「不本意な次元旅行者」あなたの部屋にも戻るかもしれない恐怖【ショート】</t>
    </r>
  </si>
  <si>
    <r>
      <rPr>
        <sz val="10"/>
        <color rgb="FFA6A6A6"/>
        <rFont val="Noto Sans CJK SC"/>
        <family val="2"/>
      </rPr>
      <t xml:space="preserve">一口</t>
    </r>
    <r>
      <rPr>
        <sz val="10"/>
        <color rgb="FFA6A6A6"/>
        <rFont val="Arial"/>
        <family val="0"/>
        <charset val="1"/>
      </rPr>
      <t xml:space="preserve">SCP #97</t>
    </r>
    <r>
      <rPr>
        <sz val="10"/>
        <color rgb="FFA6A6A6"/>
        <rFont val="Noto Sans CJK SC"/>
        <family val="2"/>
      </rPr>
      <t xml:space="preserve">：💀</t>
    </r>
    <r>
      <rPr>
        <sz val="10"/>
        <color rgb="FFA6A6A6"/>
        <rFont val="Arial"/>
        <family val="0"/>
        <charset val="1"/>
      </rPr>
      <t xml:space="preserve">SCP-3002</t>
    </r>
    <r>
      <rPr>
        <sz val="10"/>
        <color rgb="FFA6A6A6"/>
        <rFont val="Noto Sans CJK SC"/>
        <family val="2"/>
      </rPr>
      <t xml:space="preserve">「情報災害」あなたの記憶まで消す報告書の恐怖【ショート】</t>
    </r>
  </si>
  <si>
    <r>
      <rPr>
        <sz val="10"/>
        <rFont val="Noto Sans CJK SC"/>
        <family val="2"/>
      </rPr>
      <t xml:space="preserve">一口</t>
    </r>
    <r>
      <rPr>
        <sz val="10"/>
        <rFont val="Arial"/>
        <family val="0"/>
        <charset val="1"/>
      </rPr>
      <t xml:space="preserve">SCP #98</t>
    </r>
    <r>
      <rPr>
        <sz val="10"/>
        <rFont val="Noto Sans CJK SC"/>
        <family val="2"/>
      </rPr>
      <t xml:space="preserve">：🫣</t>
    </r>
    <r>
      <rPr>
        <sz val="10"/>
        <rFont val="Arial"/>
        <family val="0"/>
        <charset val="1"/>
      </rPr>
      <t xml:space="preserve">SCP-1048</t>
    </r>
    <r>
      <rPr>
        <sz val="10"/>
        <rFont val="Noto Sans CJK SC"/>
        <family val="2"/>
      </rPr>
      <t xml:space="preserve">「ビルダーベア」</t>
    </r>
    <r>
      <rPr>
        <sz val="10"/>
        <rFont val="Arial"/>
        <family val="0"/>
        <charset val="1"/>
      </rPr>
      <t xml:space="preserve">Safe</t>
    </r>
    <r>
      <rPr>
        <sz val="10"/>
        <rFont val="Noto Sans CJK SC"/>
        <family val="2"/>
      </rPr>
      <t xml:space="preserve">判定が招いた収容違反の恐怖😱【ショート】</t>
    </r>
  </si>
  <si>
    <r>
      <rPr>
        <sz val="10"/>
        <rFont val="Noto Sans CJK SC"/>
        <family val="2"/>
      </rPr>
      <t xml:space="preserve">太陽系の番人</t>
    </r>
    <r>
      <rPr>
        <sz val="10"/>
        <rFont val="Arial"/>
        <family val="0"/>
        <charset val="1"/>
      </rPr>
      <t xml:space="preserve">SCP-179</t>
    </r>
    <r>
      <rPr>
        <sz val="10"/>
        <rFont val="Noto Sans CJK SC"/>
        <family val="2"/>
      </rPr>
      <t xml:space="preserve">が沈黙を恐れる理由【ショート】</t>
    </r>
  </si>
  <si>
    <r>
      <rPr>
        <sz val="10"/>
        <rFont val="Noto Sans CJK SC"/>
        <family val="2"/>
      </rPr>
      <t xml:space="preserve">なぜ航路の先で記録が消えるのか？</t>
    </r>
    <r>
      <rPr>
        <sz val="10"/>
        <rFont val="Arial"/>
        <family val="0"/>
        <charset val="1"/>
      </rPr>
      <t xml:space="preserve">SCP-1783-JP</t>
    </r>
    <r>
      <rPr>
        <sz val="10"/>
        <rFont val="Noto Sans CJK SC"/>
        <family val="2"/>
      </rPr>
      <t xml:space="preserve">の本当の恐怖【ショート】</t>
    </r>
  </si>
  <si>
    <r>
      <rPr>
        <sz val="10"/>
        <rFont val="Noto Sans CJK SC"/>
        <family val="2"/>
      </rPr>
      <t xml:space="preserve">一口</t>
    </r>
    <r>
      <rPr>
        <sz val="10"/>
        <rFont val="Arial"/>
        <family val="0"/>
        <charset val="1"/>
      </rPr>
      <t xml:space="preserve">SCP #101</t>
    </r>
    <r>
      <rPr>
        <sz val="10"/>
        <rFont val="Noto Sans CJK SC"/>
        <family val="2"/>
      </rPr>
      <t xml:space="preserve">：🫣</t>
    </r>
    <r>
      <rPr>
        <sz val="10"/>
        <rFont val="Arial"/>
        <family val="0"/>
        <charset val="1"/>
      </rPr>
      <t xml:space="preserve">SCP-</t>
    </r>
    <r>
      <rPr>
        <sz val="10"/>
        <rFont val="Noto Sans CJK SC"/>
        <family val="2"/>
      </rPr>
      <t xml:space="preserve">雷撃記録、あなたの部屋まで届く落雷恐怖【ショート】</t>
    </r>
  </si>
  <si>
    <r>
      <rPr>
        <sz val="10"/>
        <rFont val="Noto Sans CJK SC"/>
        <family val="2"/>
      </rPr>
      <t xml:space="preserve">なぜ調査員は</t>
    </r>
    <r>
      <rPr>
        <sz val="10"/>
        <rFont val="Arial"/>
        <family val="0"/>
        <charset val="1"/>
      </rPr>
      <t xml:space="preserve">SCP-1283-JP</t>
    </r>
    <r>
      <rPr>
        <sz val="10"/>
        <rFont val="Noto Sans CJK SC"/>
        <family val="2"/>
      </rPr>
      <t xml:space="preserve">の踏切のむこうで消えたのか？【ショート】</t>
    </r>
  </si>
  <si>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SCP-006-JP</t>
    </r>
    <r>
      <rPr>
        <sz val="10"/>
        <rFont val="Noto Sans CJK SC"/>
        <family val="2"/>
      </rPr>
      <t xml:space="preserve">「あけろ」ドアの向こうの記録 </t>
    </r>
    <r>
      <rPr>
        <sz val="10"/>
        <rFont val="Arial"/>
        <family val="0"/>
        <charset val="1"/>
      </rPr>
      <t xml:space="preserve">#shorts #SCP #SCP</t>
    </r>
    <r>
      <rPr>
        <sz val="10"/>
        <rFont val="Noto Sans CJK SC"/>
        <family val="2"/>
      </rPr>
      <t xml:space="preserve">解説</t>
    </r>
  </si>
  <si>
    <r>
      <rPr>
        <sz val="10"/>
        <rFont val="Noto Sans CJK SC"/>
        <family val="2"/>
      </rPr>
      <t xml:space="preserve">なぜ「死亡者</t>
    </r>
    <r>
      <rPr>
        <sz val="10"/>
        <rFont val="Arial"/>
        <family val="0"/>
        <charset val="1"/>
      </rPr>
      <t xml:space="preserve">0</t>
    </r>
    <r>
      <rPr>
        <sz val="10"/>
        <rFont val="Noto Sans CJK SC"/>
        <family val="2"/>
      </rPr>
      <t xml:space="preserve">人」の日々で人々が消えたのか【</t>
    </r>
    <r>
      <rPr>
        <sz val="10"/>
        <rFont val="Arial"/>
        <family val="0"/>
        <charset val="1"/>
      </rPr>
      <t xml:space="preserve">SCP-3519</t>
    </r>
    <r>
      <rPr>
        <sz val="10"/>
        <rFont val="Noto Sans CJK SC"/>
        <family val="2"/>
      </rPr>
      <t xml:space="preserve">】【ショート】</t>
    </r>
  </si>
  <si>
    <r>
      <rPr>
        <sz val="10"/>
        <rFont val="Noto Sans CJK SC"/>
        <family val="2"/>
      </rPr>
      <t xml:space="preserve">一口</t>
    </r>
    <r>
      <rPr>
        <sz val="10"/>
        <rFont val="Arial"/>
        <family val="0"/>
        <charset val="1"/>
      </rPr>
      <t xml:space="preserve">SCP #105</t>
    </r>
    <r>
      <rPr>
        <sz val="10"/>
        <rFont val="Noto Sans CJK SC"/>
        <family val="2"/>
      </rPr>
      <t xml:space="preserve">：💀</t>
    </r>
    <r>
      <rPr>
        <sz val="10"/>
        <rFont val="Arial"/>
        <family val="0"/>
        <charset val="1"/>
      </rPr>
      <t xml:space="preserve">SCP-239</t>
    </r>
    <r>
      <rPr>
        <sz val="10"/>
        <rFont val="Noto Sans CJK SC"/>
        <family val="2"/>
      </rPr>
      <t xml:space="preserve">「魔女の子供」眠る</t>
    </r>
    <r>
      <rPr>
        <sz val="10"/>
        <rFont val="Arial"/>
        <family val="0"/>
        <charset val="1"/>
      </rPr>
      <t xml:space="preserve">8</t>
    </r>
    <r>
      <rPr>
        <sz val="10"/>
        <rFont val="Noto Sans CJK SC"/>
        <family val="2"/>
      </rPr>
      <t xml:space="preserve">歳を財団が恐れた収容記録😱【ショート】</t>
    </r>
  </si>
  <si>
    <r>
      <rPr>
        <sz val="10"/>
        <rFont val="Noto Sans CJK SC"/>
        <family val="2"/>
      </rPr>
      <t xml:space="preserve">一口</t>
    </r>
    <r>
      <rPr>
        <sz val="10"/>
        <rFont val="Arial"/>
        <family val="0"/>
        <charset val="1"/>
      </rPr>
      <t xml:space="preserve">SCP #106</t>
    </r>
    <r>
      <rPr>
        <sz val="10"/>
        <rFont val="Noto Sans CJK SC"/>
        <family val="2"/>
      </rPr>
      <t xml:space="preserve">：🫣</t>
    </r>
    <r>
      <rPr>
        <sz val="10"/>
        <rFont val="Arial"/>
        <family val="0"/>
        <charset val="1"/>
      </rPr>
      <t xml:space="preserve">MTF</t>
    </r>
    <r>
      <rPr>
        <sz val="10"/>
        <rFont val="Noto Sans CJK SC"/>
        <family val="2"/>
      </rPr>
      <t xml:space="preserve">アルファからオメガ、あなたの部屋にも来る財団極秘作戦の恐怖💀【ショート】</t>
    </r>
  </si>
  <si>
    <r>
      <rPr>
        <sz val="10"/>
        <color rgb="FFA6A6A6"/>
        <rFont val="Noto Sans CJK SC"/>
        <family val="2"/>
      </rPr>
      <t xml:space="preserve">一口</t>
    </r>
    <r>
      <rPr>
        <sz val="10"/>
        <color rgb="FFA6A6A6"/>
        <rFont val="Arial"/>
        <family val="0"/>
        <charset val="1"/>
      </rPr>
      <t xml:space="preserve">SCP #107</t>
    </r>
    <r>
      <rPr>
        <sz val="10"/>
        <color rgb="FFA6A6A6"/>
        <rFont val="Noto Sans CJK SC"/>
        <family val="2"/>
      </rPr>
      <t xml:space="preserve">：🫣</t>
    </r>
    <r>
      <rPr>
        <sz val="10"/>
        <color rgb="FFA6A6A6"/>
        <rFont val="Arial"/>
        <family val="0"/>
        <charset val="1"/>
      </rPr>
      <t xml:space="preserve">SCP-4885</t>
    </r>
    <r>
      <rPr>
        <sz val="10"/>
        <color rgb="FFA6A6A6"/>
        <rFont val="Noto Sans CJK SC"/>
        <family val="2"/>
      </rPr>
      <t xml:space="preserve">「ジョン・ウィルクス・ブース」写真を見るあなたへ迫る恐怖【ショート】</t>
    </r>
  </si>
  <si>
    <r>
      <rPr>
        <sz val="10"/>
        <rFont val="Noto Sans CJK SC"/>
        <family val="2"/>
      </rPr>
      <t xml:space="preserve">一口</t>
    </r>
    <r>
      <rPr>
        <sz val="10"/>
        <rFont val="Arial"/>
        <family val="0"/>
        <charset val="1"/>
      </rPr>
      <t xml:space="preserve">SCP #108</t>
    </r>
    <r>
      <rPr>
        <sz val="10"/>
        <rFont val="Noto Sans CJK SC"/>
        <family val="2"/>
      </rPr>
      <t xml:space="preserve">：🫣</t>
    </r>
    <r>
      <rPr>
        <sz val="10"/>
        <rFont val="Arial"/>
        <family val="0"/>
        <charset val="1"/>
      </rPr>
      <t xml:space="preserve">SCP-6670</t>
    </r>
    <r>
      <rPr>
        <sz val="10"/>
        <rFont val="Noto Sans CJK SC"/>
        <family val="2"/>
      </rPr>
      <t xml:space="preserve">「完全な破滅」人類全員を消す報告書の恐怖【ショート】</t>
    </r>
  </si>
  <si>
    <r>
      <rPr>
        <sz val="10"/>
        <color rgb="FFA6A6A6"/>
        <rFont val="Noto Sans CJK SC"/>
        <family val="2"/>
      </rPr>
      <t xml:space="preserve">一口</t>
    </r>
    <r>
      <rPr>
        <sz val="10"/>
        <color rgb="FFA6A6A6"/>
        <rFont val="Arial"/>
        <family val="0"/>
        <charset val="1"/>
      </rPr>
      <t xml:space="preserve">SCP #109</t>
    </r>
    <r>
      <rPr>
        <sz val="10"/>
        <color rgb="FFA6A6A6"/>
        <rFont val="Noto Sans CJK SC"/>
        <family val="2"/>
      </rPr>
      <t xml:space="preserve">：🫣</t>
    </r>
    <r>
      <rPr>
        <sz val="10"/>
        <color rgb="FFA6A6A6"/>
        <rFont val="Arial"/>
        <family val="0"/>
        <charset val="1"/>
      </rPr>
      <t xml:space="preserve">SCP-2480</t>
    </r>
    <r>
      <rPr>
        <sz val="10"/>
        <color rgb="FFA6A6A6"/>
        <rFont val="Noto Sans CJK SC"/>
        <family val="2"/>
      </rPr>
      <t xml:space="preserve">「未完の儀式」記録</t>
    </r>
    <r>
      <rPr>
        <sz val="10"/>
        <color rgb="FFA6A6A6"/>
        <rFont val="Arial"/>
        <family val="0"/>
        <charset val="1"/>
      </rPr>
      <t xml:space="preserve">9</t>
    </r>
    <r>
      <rPr>
        <sz val="10"/>
        <color rgb="FFA6A6A6"/>
        <rFont val="Noto Sans CJK SC"/>
        <family val="2"/>
      </rPr>
      <t xml:space="preserve">名だけが残った収容不能の恐怖【ショート】</t>
    </r>
  </si>
  <si>
    <r>
      <rPr>
        <sz val="10"/>
        <color rgb="FFA6A6A6"/>
        <rFont val="Noto Sans CJK SC"/>
        <family val="2"/>
      </rPr>
      <t xml:space="preserve">一口</t>
    </r>
    <r>
      <rPr>
        <sz val="10"/>
        <color rgb="FFA6A6A6"/>
        <rFont val="Arial"/>
        <family val="0"/>
        <charset val="1"/>
      </rPr>
      <t xml:space="preserve">SCP #110</t>
    </r>
    <r>
      <rPr>
        <sz val="10"/>
        <color rgb="FFA6A6A6"/>
        <rFont val="Noto Sans CJK SC"/>
        <family val="2"/>
      </rPr>
      <t xml:space="preserve">：🫣</t>
    </r>
    <r>
      <rPr>
        <sz val="10"/>
        <color rgb="FFA6A6A6"/>
        <rFont val="Arial"/>
        <family val="0"/>
        <charset val="1"/>
      </rPr>
      <t xml:space="preserve">SCP-███</t>
    </r>
    <r>
      <rPr>
        <sz val="10"/>
        <color rgb="FFA6A6A6"/>
        <rFont val="Noto Sans CJK SC"/>
        <family val="2"/>
      </rPr>
      <t xml:space="preserve">「投稿者の編集室」君の部屋にも現れる課金地獄の恐怖💀【ショート】</t>
    </r>
  </si>
  <si>
    <r>
      <rPr>
        <sz val="10"/>
        <color rgb="FFA6A6A6"/>
        <rFont val="Arial"/>
        <family val="0"/>
        <charset val="1"/>
      </rPr>
      <t xml:space="preserve">SCP-4335</t>
    </r>
    <r>
      <rPr>
        <sz val="10"/>
        <color rgb="FFA6A6A6"/>
        <rFont val="Noto Sans CJK SC"/>
        <family val="2"/>
      </rPr>
      <t xml:space="preserve">を見た海域で、なぜ観測記録が途絶えたのか？【ショート】</t>
    </r>
  </si>
  <si>
    <r>
      <rPr>
        <sz val="10"/>
        <color rgb="FFA6A6A6"/>
        <rFont val="Noto Sans CJK SC"/>
        <family val="2"/>
      </rPr>
      <t xml:space="preserve">実は</t>
    </r>
    <r>
      <rPr>
        <sz val="10"/>
        <color rgb="FFA6A6A6"/>
        <rFont val="Arial"/>
        <family val="0"/>
        <charset val="1"/>
      </rPr>
      <t xml:space="preserve">3</t>
    </r>
    <r>
      <rPr>
        <sz val="10"/>
        <color rgb="FFA6A6A6"/>
        <rFont val="Noto Sans CJK SC"/>
        <family val="2"/>
      </rPr>
      <t xml:space="preserve">秒で全生命が死んだ地球、その本当の理由はなぜ？【ショート】</t>
    </r>
  </si>
  <si>
    <r>
      <rPr>
        <sz val="10"/>
        <color rgb="FFA6A6A6"/>
        <rFont val="Arial"/>
        <family val="0"/>
        <charset val="1"/>
      </rPr>
      <t xml:space="preserve">SCP-093</t>
    </r>
    <r>
      <rPr>
        <sz val="10"/>
        <color rgb="FFA6A6A6"/>
        <rFont val="Noto Sans CJK SC"/>
        <family val="2"/>
      </rPr>
      <t xml:space="preserve">の</t>
    </r>
    <r>
      <rPr>
        <sz val="10"/>
        <color rgb="FFA6A6A6"/>
        <rFont val="Arial"/>
        <family val="0"/>
        <charset val="1"/>
      </rPr>
      <t xml:space="preserve">6</t>
    </r>
    <r>
      <rPr>
        <sz val="10"/>
        <color rgb="FFA6A6A6"/>
        <rFont val="Noto Sans CJK SC"/>
        <family val="2"/>
      </rPr>
      <t xml:space="preserve">色記録 なぜ戻れた？【ショート】</t>
    </r>
  </si>
  <si>
    <r>
      <rPr>
        <sz val="10"/>
        <color rgb="FFA6A6A6"/>
        <rFont val="Arial"/>
        <family val="0"/>
        <charset val="1"/>
      </rPr>
      <t xml:space="preserve">1</t>
    </r>
    <r>
      <rPr>
        <sz val="10"/>
        <color rgb="FFA6A6A6"/>
        <rFont val="Noto Sans CJK SC"/>
        <family val="2"/>
      </rPr>
      <t xml:space="preserve">分妖怪ファイル：なぜ妖怪ウォッチだけ？主人公の秘密</t>
    </r>
    <r>
      <rPr>
        <sz val="10"/>
        <color rgb="FFA6A6A6"/>
        <rFont val="Arial"/>
        <family val="0"/>
        <charset val="1"/>
      </rPr>
      <t xml:space="preserve">#</t>
    </r>
    <r>
      <rPr>
        <sz val="10"/>
        <color rgb="FFA6A6A6"/>
        <rFont val="Noto Sans CJK SC"/>
        <family val="2"/>
      </rPr>
      <t xml:space="preserve">妖怪ウォッチで主人公だけが妖怪を見られる理由 </t>
    </r>
    <r>
      <rPr>
        <sz val="10"/>
        <color rgb="FFA6A6A6"/>
        <rFont val="Arial"/>
        <family val="0"/>
        <charset val="1"/>
      </rPr>
      <t xml:space="preserve">#shorts #</t>
    </r>
    <r>
      <rPr>
        <sz val="10"/>
        <color rgb="FFA6A6A6"/>
        <rFont val="Noto Sans CJK SC"/>
        <family val="2"/>
      </rPr>
      <t xml:space="preserve">ゆっくり解説</t>
    </r>
  </si>
  <si>
    <t xml:space="preserve">妖怪ウォッチの『都市伝説』、本当のところはどうなの？【ショート】</t>
  </si>
  <si>
    <t xml:space="preserve">なぜコマさんの秘密？神社の狛犬と田舎の意外なつながり【ショート】</t>
  </si>
  <si>
    <r>
      <rPr>
        <sz val="10"/>
        <rFont val="Noto Sans CJK SC"/>
        <family val="2"/>
      </rPr>
      <t xml:space="preserve">妖怪の名前がダジャレなのはナゼか</t>
    </r>
    <r>
      <rPr>
        <sz val="10"/>
        <rFont val="Arial"/>
        <family val="0"/>
        <charset val="1"/>
      </rPr>
      <t xml:space="preserve">? </t>
    </r>
    <r>
      <rPr>
        <sz val="10"/>
        <rFont val="Noto Sans CJK SC"/>
        <family val="2"/>
      </rPr>
      <t xml:space="preserve">名前の裏に隠された秘密【ショート】</t>
    </r>
  </si>
  <si>
    <r>
      <rPr>
        <sz val="10"/>
        <color rgb="FFA6A6A6"/>
        <rFont val="Arial"/>
        <family val="0"/>
        <charset val="1"/>
      </rPr>
      <t xml:space="preserve">1</t>
    </r>
    <r>
      <rPr>
        <sz val="10"/>
        <color rgb="FFA6A6A6"/>
        <rFont val="Noto Sans CJK SC"/>
        <family val="2"/>
      </rPr>
      <t xml:space="preserve">分妖怪ファイル：妖怪の名前がダジャレなのはナゼか</t>
    </r>
    <r>
      <rPr>
        <sz val="10"/>
        <color rgb="FFA6A6A6"/>
        <rFont val="Arial"/>
        <family val="0"/>
        <charset val="1"/>
      </rPr>
      <t xml:space="preserve">?</t>
    </r>
  </si>
  <si>
    <t xml:space="preserve">ふぶき姫の可愛さはどこから？雪女伝承の“本当は怖い”正体とゲームの落差【ショート】</t>
  </si>
  <si>
    <t xml:space="preserve">なぜ武士と猫が混ざった？ブシニャンの『本当のルーツ』が怖すぎる理由【ショート】</t>
  </si>
  <si>
    <t xml:space="preserve">なぜオロチはゲームで美化された？ヤマタノオロチ伝説の“本当は怖い”正体【ショート】</t>
  </si>
  <si>
    <t xml:space="preserve">妖怪ウォッチのエンマ大王、なぜか『本物』の閻魔と全然違う姿をしている【ショート】</t>
  </si>
  <si>
    <t xml:space="preserve">なぜロボニャンだけ未来から来た？隠された時系列の秘密【ショート】【ショート】</t>
  </si>
  <si>
    <r>
      <rPr>
        <sz val="10"/>
        <rFont val="Noto Sans CJK SC"/>
        <family val="2"/>
      </rPr>
      <t xml:space="preserve">妖怪ウォッチのランク、なぜ</t>
    </r>
    <r>
      <rPr>
        <sz val="10"/>
        <rFont val="Arial"/>
        <family val="0"/>
        <charset val="1"/>
      </rPr>
      <t xml:space="preserve">S</t>
    </r>
    <r>
      <rPr>
        <sz val="10"/>
        <rFont val="Noto Sans CJK SC"/>
        <family val="2"/>
      </rPr>
      <t xml:space="preserve">が最強じゃない妖怪にも付くのか　隠された格付けの本当のところ【ショート】</t>
    </r>
  </si>
  <si>
    <t xml:space="preserve">一つ目小僧、なぜ江戸の文献では『会った者が帰らない』と書かれているのか【ショート】</t>
  </si>
  <si>
    <r>
      <rPr>
        <sz val="10"/>
        <rFont val="Arial"/>
        <family val="0"/>
        <charset val="1"/>
      </rPr>
      <t xml:space="preserve">1</t>
    </r>
    <r>
      <rPr>
        <sz val="10"/>
        <rFont val="Noto Sans CJK SC"/>
        <family val="2"/>
      </rPr>
      <t xml:space="preserve">分妖怪ファイル：その『設定』、江戸時代には存在しなかった昭和の妖怪本が作り上げた『総大将』の正体</t>
    </r>
    <r>
      <rPr>
        <sz val="10"/>
        <rFont val="Arial"/>
        <family val="0"/>
        <charset val="1"/>
      </rPr>
      <t xml:space="preserve">#</t>
    </r>
    <r>
      <rPr>
        <sz val="10"/>
        <rFont val="Noto Sans CJK SC"/>
        <family val="2"/>
      </rPr>
      <t xml:space="preserve">ぬらりひょんが『妖怪の総大将』なのは、なぜか誰も疑わなかったのか </t>
    </r>
    <r>
      <rPr>
        <sz val="10"/>
        <rFont val="Arial"/>
        <family val="0"/>
        <charset val="1"/>
      </rPr>
      <t xml:space="preserve">#shorts #</t>
    </r>
    <r>
      <rPr>
        <sz val="10"/>
        <rFont val="Noto Sans CJK SC"/>
        <family val="2"/>
      </rPr>
      <t xml:space="preserve">ゆっくり解説</t>
    </r>
  </si>
  <si>
    <t xml:space="preserve">なぜおでんじんだけ夜道に立つ？可愛い具に隠された秘密【ショート】【ショート】</t>
  </si>
  <si>
    <t xml:space="preserve">なぜツチノコは家に入る？隠された秘密【ショート】</t>
  </si>
  <si>
    <t xml:space="preserve">ねちがえる、なぜか夜だけ首を狙う？金縛りの奥にある古い怪異【ショート】</t>
  </si>
  <si>
    <t xml:space="preserve">河童はなぜか子どもだけを呼ぶ？水辺に残された「声」の本当の理由【ショート】</t>
  </si>
  <si>
    <t xml:space="preserve">のっぺらぼうの正体が怖すぎる — 顔を奪う怪談はなぜ生まれたのか【ショート】</t>
  </si>
  <si>
    <t xml:space="preserve">ふじのやまの元ネタが怖すぎる — 山に入った人が戻れなくなる禁忌【ショート】</t>
  </si>
  <si>
    <t xml:space="preserve">花子さんの正体 — なぜ学校のトイレで「三番目」なのか【ショート】</t>
  </si>
  <si>
    <t xml:space="preserve">鬼の元ネタが怖すぎる — 鬼門から来る者を家に入れてはいけない理由【ショート】</t>
  </si>
  <si>
    <t xml:space="preserve">海坊主の正体が怖すぎる — 船を沈める巨大な影は何だったのか【ショート】</t>
  </si>
  <si>
    <t xml:space="preserve">ぬらりひょんの正体が怖すぎる — なぜあなたの家に勝手に上がるのか【ショート】</t>
  </si>
  <si>
    <r>
      <rPr>
        <sz val="10"/>
        <rFont val="Arial"/>
        <family val="0"/>
        <charset val="1"/>
      </rPr>
      <t xml:space="preserve">1</t>
    </r>
    <r>
      <rPr>
        <sz val="10"/>
        <rFont val="Noto Sans CJK SC"/>
        <family val="2"/>
      </rPr>
      <t xml:space="preserve">分妖怪ファイル </t>
    </r>
    <r>
      <rPr>
        <sz val="10"/>
        <rFont val="Arial"/>
        <family val="0"/>
        <charset val="1"/>
      </rPr>
      <t xml:space="preserve">#7</t>
    </r>
    <r>
      <rPr>
        <sz val="10"/>
        <rFont val="Noto Sans CJK SC"/>
        <family val="2"/>
      </rPr>
      <t xml:space="preserve">：😰かまいたちの元ネタが怖すぎる — あなたが</t>
    </r>
    <r>
      <rPr>
        <sz val="10"/>
        <rFont val="Arial"/>
        <family val="0"/>
        <charset val="1"/>
      </rPr>
      <t xml:space="preserve">3</t>
    </r>
    <r>
      <rPr>
        <sz val="10"/>
        <rFont val="Noto Sans CJK SC"/>
        <family val="2"/>
      </rPr>
      <t xml:space="preserve">秒で傷つく理由は？【ショート】</t>
    </r>
  </si>
  <si>
    <r>
      <rPr>
        <sz val="10"/>
        <rFont val="Arial"/>
        <family val="0"/>
        <charset val="1"/>
      </rPr>
      <t xml:space="preserve">3</t>
    </r>
    <r>
      <rPr>
        <sz val="10"/>
        <rFont val="Noto Sans CJK SC"/>
        <family val="2"/>
      </rPr>
      <t xml:space="preserve">秒で消える？天狗と山伏、神隠しの本当の理由【ショート】</t>
    </r>
  </si>
  <si>
    <r>
      <rPr>
        <sz val="10"/>
        <rFont val="Noto Sans CJK SC"/>
        <family val="2"/>
      </rPr>
      <t xml:space="preserve">雪女が</t>
    </r>
    <r>
      <rPr>
        <sz val="10"/>
        <rFont val="Arial"/>
        <family val="0"/>
        <charset val="1"/>
      </rPr>
      <t xml:space="preserve">3</t>
    </r>
    <r>
      <rPr>
        <sz val="10"/>
        <rFont val="Noto Sans CJK SC"/>
        <family val="2"/>
      </rPr>
      <t xml:space="preserve">日黙れと言う…実は誰にも言えない恐怖があった【ショート】</t>
    </r>
  </si>
  <si>
    <r>
      <rPr>
        <sz val="10"/>
        <rFont val="Noto Sans CJK SC"/>
        <family val="2"/>
      </rPr>
      <t xml:space="preserve">なぜ猫又の尻尾は</t>
    </r>
    <r>
      <rPr>
        <sz val="10"/>
        <rFont val="Arial"/>
        <family val="0"/>
        <charset val="1"/>
      </rPr>
      <t xml:space="preserve">2</t>
    </r>
    <r>
      <rPr>
        <sz val="10"/>
        <rFont val="Noto Sans CJK SC"/>
        <family val="2"/>
      </rPr>
      <t xml:space="preserve">つ？実は老猫を恐れた江戸の記録が怖い【ショート】</t>
    </r>
  </si>
  <si>
    <r>
      <rPr>
        <sz val="10"/>
        <color rgb="FFA6A6A6"/>
        <rFont val="Arial"/>
        <family val="0"/>
        <charset val="1"/>
      </rPr>
      <t xml:space="preserve">1</t>
    </r>
    <r>
      <rPr>
        <sz val="10"/>
        <color rgb="FFA6A6A6"/>
        <rFont val="Noto Sans CJK SC"/>
        <family val="2"/>
      </rPr>
      <t xml:space="preserve">分妖怪ファイル </t>
    </r>
    <r>
      <rPr>
        <sz val="10"/>
        <color rgb="FFA6A6A6"/>
        <rFont val="Arial"/>
        <family val="0"/>
        <charset val="1"/>
      </rPr>
      <t xml:space="preserve">#11</t>
    </r>
    <r>
      <rPr>
        <sz val="10"/>
        <color rgb="FFA6A6A6"/>
        <rFont val="Noto Sans CJK SC"/>
        <family val="2"/>
      </rPr>
      <t xml:space="preserve">：🔍ぬらりひょんに隠された</t>
    </r>
    <r>
      <rPr>
        <sz val="10"/>
        <color rgb="FFA6A6A6"/>
        <rFont val="Arial"/>
        <family val="0"/>
        <charset val="1"/>
      </rPr>
      <t xml:space="preserve">3</t>
    </r>
    <r>
      <rPr>
        <sz val="10"/>
        <color rgb="FFA6A6A6"/>
        <rFont val="Noto Sans CJK SC"/>
        <family val="2"/>
      </rPr>
      <t xml:space="preserve">つの秘密、あなたの知る総大将はいつ生まれた？【ショート】</t>
    </r>
  </si>
  <si>
    <r>
      <rPr>
        <sz val="10"/>
        <rFont val="Arial"/>
        <family val="0"/>
        <charset val="1"/>
      </rPr>
      <t xml:space="preserve">1</t>
    </r>
    <r>
      <rPr>
        <sz val="10"/>
        <rFont val="Noto Sans CJK SC"/>
        <family val="2"/>
      </rPr>
      <t xml:space="preserve">分妖怪ファイル </t>
    </r>
    <r>
      <rPr>
        <sz val="10"/>
        <rFont val="Arial"/>
        <family val="0"/>
        <charset val="1"/>
      </rPr>
      <t xml:space="preserve">#12</t>
    </r>
    <r>
      <rPr>
        <sz val="10"/>
        <rFont val="Noto Sans CJK SC"/>
        <family val="2"/>
      </rPr>
      <t xml:space="preserve">：👁️両面宿儺に隠された</t>
    </r>
    <r>
      <rPr>
        <sz val="10"/>
        <rFont val="Arial"/>
        <family val="0"/>
        <charset val="1"/>
      </rPr>
      <t xml:space="preserve">2</t>
    </r>
    <r>
      <rPr>
        <sz val="10"/>
        <rFont val="Noto Sans CJK SC"/>
        <family val="2"/>
      </rPr>
      <t xml:space="preserve">つの秘密、君は古文書の正体を知ってる？【ショート】</t>
    </r>
  </si>
  <si>
    <r>
      <rPr>
        <sz val="10"/>
        <rFont val="Arial"/>
        <family val="0"/>
        <charset val="1"/>
      </rPr>
      <t xml:space="preserve">1</t>
    </r>
    <r>
      <rPr>
        <sz val="10"/>
        <rFont val="Noto Sans CJK SC"/>
        <family val="2"/>
      </rPr>
      <t xml:space="preserve">分妖怪ファイル </t>
    </r>
    <r>
      <rPr>
        <sz val="10"/>
        <rFont val="Arial"/>
        <family val="0"/>
        <charset val="1"/>
      </rPr>
      <t xml:space="preserve">#13</t>
    </r>
    <r>
      <rPr>
        <sz val="10"/>
        <rFont val="Noto Sans CJK SC"/>
        <family val="2"/>
      </rPr>
      <t xml:space="preserve">：👁️妖怪ウォッチ元祖に隠された</t>
    </r>
    <r>
      <rPr>
        <sz val="10"/>
        <rFont val="Arial"/>
        <family val="0"/>
        <charset val="1"/>
      </rPr>
      <t xml:space="preserve">3</t>
    </r>
    <r>
      <rPr>
        <sz val="10"/>
        <rFont val="Noto Sans CJK SC"/>
        <family val="2"/>
      </rPr>
      <t xml:space="preserve">つの秘密、あなたは名前の意味に気づいた？【ショート】</t>
    </r>
  </si>
  <si>
    <r>
      <rPr>
        <sz val="10"/>
        <color rgb="FFA6A6A6"/>
        <rFont val="Arial"/>
        <family val="0"/>
        <charset val="1"/>
      </rPr>
      <t xml:space="preserve">1</t>
    </r>
    <r>
      <rPr>
        <sz val="10"/>
        <color rgb="FFA6A6A6"/>
        <rFont val="Noto Sans CJK SC"/>
        <family val="2"/>
      </rPr>
      <t xml:space="preserve">分妖怪ファイル </t>
    </r>
    <r>
      <rPr>
        <sz val="10"/>
        <color rgb="FFA6A6A6"/>
        <rFont val="Arial"/>
        <family val="0"/>
        <charset val="1"/>
      </rPr>
      <t xml:space="preserve">#14</t>
    </r>
    <r>
      <rPr>
        <sz val="10"/>
        <color rgb="FFA6A6A6"/>
        <rFont val="Noto Sans CJK SC"/>
        <family val="2"/>
      </rPr>
      <t xml:space="preserve">：❓コマさんとコマじろうの秘密、</t>
    </r>
    <r>
      <rPr>
        <sz val="10"/>
        <color rgb="FFA6A6A6"/>
        <rFont val="Arial"/>
        <family val="0"/>
        <charset val="1"/>
      </rPr>
      <t xml:space="preserve">2</t>
    </r>
    <r>
      <rPr>
        <sz val="10"/>
        <color rgb="FFA6A6A6"/>
        <rFont val="Noto Sans CJK SC"/>
        <family val="2"/>
      </rPr>
      <t xml:space="preserve">体で狛犬になる本当の理由は？【ショート】</t>
    </r>
  </si>
  <si>
    <r>
      <rPr>
        <sz val="10"/>
        <rFont val="Arial"/>
        <family val="0"/>
        <charset val="1"/>
      </rPr>
      <t xml:space="preserve">1</t>
    </r>
    <r>
      <rPr>
        <sz val="10"/>
        <rFont val="Noto Sans CJK SC"/>
        <family val="2"/>
      </rPr>
      <t xml:space="preserve">分妖怪ファイル：キュウビの元ネタ玉藻前、殺生石になった結末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</si>
  <si>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Arial"/>
        <family val="0"/>
        <charset val="1"/>
      </rPr>
      <t xml:space="preserve">1</t>
    </r>
    <r>
      <rPr>
        <sz val="10"/>
        <rFont val="Noto Sans CJK SC"/>
        <family val="2"/>
      </rPr>
      <t xml:space="preserve">分妖怪ファイル </t>
    </r>
    <r>
      <rPr>
        <sz val="10"/>
        <rFont val="Arial"/>
        <family val="0"/>
        <charset val="1"/>
      </rPr>
      <t xml:space="preserve">#16</t>
    </r>
    <r>
      <rPr>
        <sz val="10"/>
        <rFont val="Noto Sans CJK SC"/>
        <family val="2"/>
      </rPr>
      <t xml:space="preserve">：👁️妖怪ウォッチに隠された</t>
    </r>
    <r>
      <rPr>
        <sz val="10"/>
        <rFont val="Arial"/>
        <family val="0"/>
        <charset val="1"/>
      </rPr>
      <t xml:space="preserve">3</t>
    </r>
    <r>
      <rPr>
        <sz val="10"/>
        <rFont val="Noto Sans CJK SC"/>
        <family val="2"/>
      </rPr>
      <t xml:space="preserve">つの秘密、大谷翔平と妖怪伝説の関係は？【ショート】</t>
    </r>
  </si>
  <si>
    <r>
      <rPr>
        <sz val="10"/>
        <color rgb="FFA6A6A6"/>
        <rFont val="Arial"/>
        <family val="0"/>
        <charset val="1"/>
      </rPr>
      <t xml:space="preserve">1</t>
    </r>
    <r>
      <rPr>
        <sz val="10"/>
        <color rgb="FFA6A6A6"/>
        <rFont val="Noto Sans CJK SC"/>
        <family val="2"/>
      </rPr>
      <t xml:space="preserve">分妖怪ファイル </t>
    </r>
    <r>
      <rPr>
        <sz val="10"/>
        <color rgb="FFA6A6A6"/>
        <rFont val="Arial"/>
        <family val="0"/>
        <charset val="1"/>
      </rPr>
      <t xml:space="preserve">#17</t>
    </r>
    <r>
      <rPr>
        <sz val="10"/>
        <color rgb="FFA6A6A6"/>
        <rFont val="Noto Sans CJK SC"/>
        <family val="2"/>
      </rPr>
      <t xml:space="preserve">：❓妖怪ウォッチの将門伝説に隠された秘密、あなたが知らない</t>
    </r>
    <r>
      <rPr>
        <sz val="10"/>
        <color rgb="FFA6A6A6"/>
        <rFont val="Arial"/>
        <family val="0"/>
        <charset val="1"/>
      </rPr>
      <t xml:space="preserve">3</t>
    </r>
    <r>
      <rPr>
        <sz val="10"/>
        <color rgb="FFA6A6A6"/>
        <rFont val="Noto Sans CJK SC"/>
        <family val="2"/>
      </rPr>
      <t xml:space="preserve">つの異変？🔍【ショート】</t>
    </r>
  </si>
  <si>
    <r>
      <rPr>
        <sz val="10"/>
        <rFont val="Arial"/>
        <family val="0"/>
        <charset val="1"/>
      </rPr>
      <t xml:space="preserve">1</t>
    </r>
    <r>
      <rPr>
        <sz val="10"/>
        <rFont val="Noto Sans CJK SC"/>
        <family val="2"/>
      </rPr>
      <t xml:space="preserve">分妖怪ファイル </t>
    </r>
    <r>
      <rPr>
        <sz val="10"/>
        <rFont val="Arial"/>
        <family val="0"/>
        <charset val="1"/>
      </rPr>
      <t xml:space="preserve">#18</t>
    </r>
    <r>
      <rPr>
        <sz val="10"/>
        <rFont val="Noto Sans CJK SC"/>
        <family val="2"/>
      </rPr>
      <t xml:space="preserve">：👁️エンマ大王に隠された</t>
    </r>
    <r>
      <rPr>
        <sz val="10"/>
        <rFont val="Arial"/>
        <family val="0"/>
        <charset val="1"/>
      </rPr>
      <t xml:space="preserve">3</t>
    </r>
    <r>
      <rPr>
        <sz val="10"/>
        <rFont val="Noto Sans CJK SC"/>
        <family val="2"/>
      </rPr>
      <t xml:space="preserve">つの条件、あなたは本当に仲間にできる？【ショート】</t>
    </r>
  </si>
  <si>
    <r>
      <rPr>
        <sz val="10"/>
        <rFont val="Arial"/>
        <family val="0"/>
        <charset val="1"/>
      </rPr>
      <t xml:space="preserve">1</t>
    </r>
    <r>
      <rPr>
        <sz val="10"/>
        <rFont val="Noto Sans CJK SC"/>
        <family val="2"/>
      </rPr>
      <t xml:space="preserve">分妖怪ファイル </t>
    </r>
    <r>
      <rPr>
        <sz val="10"/>
        <rFont val="Arial"/>
        <family val="0"/>
        <charset val="1"/>
      </rPr>
      <t xml:space="preserve">#19</t>
    </r>
    <r>
      <rPr>
        <sz val="10"/>
        <rFont val="Noto Sans CJK SC"/>
        <family val="2"/>
      </rPr>
      <t xml:space="preserve">：👁️フユニャンに隠された秘密、あなたが知らない</t>
    </r>
    <r>
      <rPr>
        <sz val="10"/>
        <rFont val="Arial"/>
        <family val="0"/>
        <charset val="1"/>
      </rPr>
      <t xml:space="preserve">2</t>
    </r>
    <r>
      <rPr>
        <sz val="10"/>
        <rFont val="Noto Sans CJK SC"/>
        <family val="2"/>
      </rPr>
      <t xml:space="preserve">つの元ネタとは？【ショート】</t>
    </r>
  </si>
  <si>
    <r>
      <rPr>
        <sz val="10"/>
        <color rgb="FFA6A6A6"/>
        <rFont val="Arial"/>
        <family val="0"/>
        <charset val="1"/>
      </rPr>
      <t xml:space="preserve">1</t>
    </r>
    <r>
      <rPr>
        <sz val="10"/>
        <color rgb="FFA6A6A6"/>
        <rFont val="Noto Sans CJK SC"/>
        <family val="2"/>
      </rPr>
      <t xml:space="preserve">分妖怪ファイル </t>
    </r>
    <r>
      <rPr>
        <sz val="10"/>
        <color rgb="FFA6A6A6"/>
        <rFont val="Arial"/>
        <family val="0"/>
        <charset val="1"/>
      </rPr>
      <t xml:space="preserve">#20</t>
    </r>
    <r>
      <rPr>
        <sz val="10"/>
        <color rgb="FFA6A6A6"/>
        <rFont val="Noto Sans CJK SC"/>
        <family val="2"/>
      </rPr>
      <t xml:space="preserve">：🔍スネイキーに隠された秘密、</t>
    </r>
    <r>
      <rPr>
        <sz val="10"/>
        <color rgb="FFA6A6A6"/>
        <rFont val="Arial"/>
        <family val="0"/>
        <charset val="1"/>
      </rPr>
      <t xml:space="preserve">3</t>
    </r>
    <r>
      <rPr>
        <sz val="10"/>
        <color rgb="FFA6A6A6"/>
        <rFont val="Noto Sans CJK SC"/>
        <family val="2"/>
      </rPr>
      <t xml:space="preserve">段階進化の元ネタは蛇神だった？👁️【ショート】</t>
    </r>
  </si>
  <si>
    <r>
      <rPr>
        <sz val="10"/>
        <color rgb="FFA6A6A6"/>
        <rFont val="Noto Sans CJK SC"/>
        <family val="2"/>
      </rPr>
      <t xml:space="preserve">ふぶき姫の約束を破るとどうなる？</t>
    </r>
    <r>
      <rPr>
        <sz val="10"/>
        <color rgb="FFA6A6A6"/>
        <rFont val="Arial"/>
        <family val="0"/>
        <charset val="1"/>
      </rPr>
      <t xml:space="preserve">3</t>
    </r>
    <r>
      <rPr>
        <sz val="10"/>
        <color rgb="FFA6A6A6"/>
        <rFont val="Noto Sans CJK SC"/>
        <family val="2"/>
      </rPr>
      <t xml:space="preserve">つの雪女記録【ショート】</t>
    </r>
  </si>
  <si>
    <r>
      <rPr>
        <b val="true"/>
        <sz val="14"/>
        <color rgb="FF1F3864"/>
        <rFont val="Noto Sans CJK SC"/>
        <family val="2"/>
      </rPr>
      <t xml:space="preserve">改善アクション </t>
    </r>
    <r>
      <rPr>
        <b val="true"/>
        <sz val="14"/>
        <color rgb="FF1F3864"/>
        <rFont val="Arial"/>
        <family val="0"/>
        <charset val="1"/>
      </rPr>
      <t xml:space="preserve">2026-09-01</t>
    </r>
  </si>
  <si>
    <t xml:space="preserve">「実施済」は本日このタスクが実装・反映まで完了したもの。効果は明日以降の実測で検証する。</t>
  </si>
  <si>
    <t xml:space="preserve">#</t>
  </si>
  <si>
    <t xml:space="preserve">対象</t>
  </si>
  <si>
    <t xml:space="preserve">課題（実測）</t>
  </si>
  <si>
    <t xml:space="preserve">対応</t>
  </si>
  <si>
    <t xml:space="preserve">状態</t>
  </si>
  <si>
    <t xml:space="preserve">変更ファイル</t>
  </si>
  <si>
    <t xml:space="preserve">検証方法</t>
  </si>
  <si>
    <r>
      <rPr>
        <sz val="10"/>
        <rFont val="Noto Sans CJK SC"/>
        <family val="2"/>
      </rPr>
      <t xml:space="preserve">全</t>
    </r>
    <r>
      <rPr>
        <sz val="10"/>
        <rFont val="Arial"/>
        <family val="0"/>
        <charset val="1"/>
      </rPr>
      <t xml:space="preserve">6ch</t>
    </r>
  </si>
  <si>
    <r>
      <rPr>
        <sz val="10"/>
        <rFont val="Noto Sans CJK SC"/>
        <family val="2"/>
      </rPr>
      <t xml:space="preserve">ショート最終行の実測で 高評価</t>
    </r>
    <r>
      <rPr>
        <sz val="10"/>
        <rFont val="Arial"/>
        <family val="0"/>
        <charset val="1"/>
      </rPr>
      <t xml:space="preserve">CTA 50% / </t>
    </r>
    <r>
      <rPr>
        <sz val="10"/>
        <rFont val="Noto Sans CJK SC"/>
        <family val="2"/>
      </rPr>
      <t xml:space="preserve">登録</t>
    </r>
    <r>
      <rPr>
        <sz val="10"/>
        <rFont val="Arial"/>
        <family val="0"/>
        <charset val="1"/>
      </rPr>
      <t xml:space="preserve">CTA 38% / </t>
    </r>
    <r>
      <rPr>
        <sz val="10"/>
        <rFont val="Noto Sans CJK SC"/>
        <family val="2"/>
      </rPr>
      <t xml:space="preserve">両方 </t>
    </r>
    <r>
      <rPr>
        <sz val="10"/>
        <rFont val="Arial"/>
        <family val="0"/>
        <charset val="1"/>
      </rPr>
      <t xml:space="preserve">19%</t>
    </r>
    <r>
      <rPr>
        <sz val="10"/>
        <rFont val="Noto Sans CJK SC"/>
        <family val="2"/>
      </rPr>
      <t xml:space="preserve">。</t>
    </r>
    <r>
      <rPr>
        <sz val="10"/>
        <rFont val="Arial"/>
        <family val="0"/>
        <charset val="1"/>
      </rPr>
      <t xml:space="preserve">62%</t>
    </r>
    <r>
      <rPr>
        <sz val="10"/>
        <rFont val="Noto Sans CJK SC"/>
        <family val="2"/>
      </rPr>
      <t xml:space="preserve">が登録を一度も求めていない。</t>
    </r>
  </si>
  <si>
    <r>
      <rPr>
        <sz val="10"/>
        <rFont val="Arial"/>
        <family val="0"/>
        <charset val="1"/>
      </rPr>
      <t xml:space="preserve">cta_enforcer.py </t>
    </r>
    <r>
      <rPr>
        <sz val="10"/>
        <rFont val="Noto Sans CJK SC"/>
        <family val="2"/>
      </rPr>
      <t xml:space="preserve">を新設し、最終行に「高評価→登録」を決定論的に保証。</t>
    </r>
    <r>
      <rPr>
        <sz val="10"/>
        <rFont val="Arial"/>
        <family val="0"/>
        <charset val="1"/>
      </rPr>
      <t xml:space="preserve">CTA</t>
    </r>
    <r>
      <rPr>
        <sz val="10"/>
        <rFont val="Noto Sans CJK SC"/>
        <family val="2"/>
      </rPr>
      <t xml:space="preserve">後のループ誘導句も除去。字数超過時は</t>
    </r>
    <r>
      <rPr>
        <sz val="10"/>
        <rFont val="Arial"/>
        <family val="0"/>
        <charset val="1"/>
      </rPr>
      <t xml:space="preserve">CTA2</t>
    </r>
    <r>
      <rPr>
        <sz val="10"/>
        <rFont val="Noto Sans CJK SC"/>
        <family val="2"/>
      </rPr>
      <t xml:space="preserve">文へ畳む。</t>
    </r>
  </si>
  <si>
    <t xml:space="preserve">実施済</t>
  </si>
  <si>
    <r>
      <rPr>
        <sz val="10"/>
        <rFont val="Arial"/>
        <family val="0"/>
        <charset val="1"/>
      </rPr>
      <t xml:space="preserve">backend/pipeline/cta_enforcer.py</t>
    </r>
    <r>
      <rPr>
        <sz val="10"/>
        <rFont val="Noto Sans CJK SC"/>
        <family val="2"/>
      </rPr>
      <t xml:space="preserve">（新規）</t>
    </r>
  </si>
  <si>
    <r>
      <rPr>
        <sz val="10"/>
        <rFont val="Arial"/>
        <family val="0"/>
        <charset val="1"/>
      </rPr>
      <t xml:space="preserve">python3 scripts/verify_cta_20260901.py → </t>
    </r>
    <r>
      <rPr>
        <sz val="10"/>
        <rFont val="Noto Sans CJK SC"/>
        <family val="2"/>
      </rPr>
      <t xml:space="preserve">両方</t>
    </r>
    <r>
      <rPr>
        <sz val="10"/>
        <rFont val="Arial"/>
        <family val="0"/>
        <charset val="1"/>
      </rPr>
      <t xml:space="preserve">100%</t>
    </r>
  </si>
  <si>
    <r>
      <rPr>
        <sz val="10"/>
        <rFont val="Arial"/>
        <family val="0"/>
        <charset val="1"/>
      </rPr>
      <t xml:space="preserve">cta_enforcer </t>
    </r>
    <r>
      <rPr>
        <sz val="10"/>
        <rFont val="Noto Sans CJK SC"/>
        <family val="2"/>
      </rPr>
      <t xml:space="preserve">を実レンダリング経路に繋がないと </t>
    </r>
    <r>
      <rPr>
        <sz val="10"/>
        <rFont val="Arial"/>
        <family val="0"/>
        <charset val="1"/>
      </rPr>
      <t xml:space="preserve">08-30 </t>
    </r>
    <r>
      <rPr>
        <sz val="10"/>
        <rFont val="Noto Sans CJK SC"/>
        <family val="2"/>
      </rPr>
      <t xml:space="preserve">の尺ガードと同じ空振りになる。</t>
    </r>
  </si>
  <si>
    <r>
      <rPr>
        <sz val="10"/>
        <rFont val="Arial"/>
        <family val="0"/>
        <charset val="1"/>
      </rPr>
      <t xml:space="preserve">video_generator.py </t>
    </r>
    <r>
      <rPr>
        <sz val="10"/>
        <rFont val="Noto Sans CJK SC"/>
        <family val="2"/>
      </rPr>
      <t xml:space="preserve">の </t>
    </r>
    <r>
      <rPr>
        <sz val="10"/>
        <rFont val="Arial"/>
        <family val="0"/>
        <charset val="1"/>
      </rPr>
      <t xml:space="preserve">shorts_length_guard </t>
    </r>
    <r>
      <rPr>
        <sz val="10"/>
        <rFont val="Noto Sans CJK SC"/>
        <family val="2"/>
      </rPr>
      <t xml:space="preserve">直前に接続（</t>
    </r>
    <r>
      <rPr>
        <sz val="10"/>
        <rFont val="Arial"/>
        <family val="0"/>
        <charset val="1"/>
      </rPr>
      <t xml:space="preserve">CTA</t>
    </r>
    <r>
      <rPr>
        <sz val="10"/>
        <rFont val="Noto Sans CJK SC"/>
        <family val="2"/>
      </rPr>
      <t xml:space="preserve">付与後の字数で尺ガードが効く順序）。</t>
    </r>
  </si>
  <si>
    <t xml:space="preserve">backend/pipeline/video_generator.py</t>
  </si>
  <si>
    <r>
      <rPr>
        <sz val="10"/>
        <rFont val="Arial"/>
        <family val="0"/>
        <charset val="1"/>
      </rPr>
      <t xml:space="preserve">logs/backend.log </t>
    </r>
    <r>
      <rPr>
        <sz val="10"/>
        <rFont val="Noto Sans CJK SC"/>
        <family val="2"/>
      </rPr>
      <t xml:space="preserve">の「📣 </t>
    </r>
    <r>
      <rPr>
        <sz val="10"/>
        <rFont val="Arial"/>
        <family val="0"/>
        <charset val="1"/>
      </rPr>
      <t xml:space="preserve">CTA</t>
    </r>
    <r>
      <rPr>
        <sz val="10"/>
        <rFont val="Noto Sans CJK SC"/>
        <family val="2"/>
      </rPr>
      <t xml:space="preserve">補正」</t>
    </r>
  </si>
  <si>
    <r>
      <rPr>
        <sz val="10"/>
        <rFont val="Arial"/>
        <family val="0"/>
        <charset val="1"/>
      </rPr>
      <t xml:space="preserve">scenario_validator </t>
    </r>
    <r>
      <rPr>
        <sz val="10"/>
        <rFont val="Noto Sans CJK SC"/>
        <family val="2"/>
      </rPr>
      <t xml:space="preserve">の </t>
    </r>
    <r>
      <rPr>
        <sz val="10"/>
        <rFont val="Arial"/>
        <family val="0"/>
        <charset val="1"/>
      </rPr>
      <t xml:space="preserve">CTA </t>
    </r>
    <r>
      <rPr>
        <sz val="10"/>
        <rFont val="Noto Sans CJK SC"/>
        <family val="2"/>
      </rPr>
      <t xml:space="preserve">検査に高評価の語が無く、登録のみ・かつ </t>
    </r>
    <r>
      <rPr>
        <sz val="10"/>
        <rFont val="Arial"/>
        <family val="0"/>
        <charset val="1"/>
      </rPr>
      <t xml:space="preserve">strict=False </t>
    </r>
    <r>
      <rPr>
        <sz val="10"/>
        <rFont val="Noto Sans CJK SC"/>
        <family val="2"/>
      </rPr>
      <t xml:space="preserve">で素通りしていた。</t>
    </r>
  </si>
  <si>
    <r>
      <rPr>
        <sz val="10"/>
        <rFont val="Arial"/>
        <family val="0"/>
        <charset val="1"/>
      </rPr>
      <t xml:space="preserve">LIKE_PATTERNS </t>
    </r>
    <r>
      <rPr>
        <sz val="10"/>
        <rFont val="Noto Sans CJK SC"/>
        <family val="2"/>
      </rPr>
      <t xml:space="preserve">を追加し、</t>
    </r>
    <r>
      <rPr>
        <sz val="10"/>
        <rFont val="Arial"/>
        <family val="0"/>
        <charset val="1"/>
      </rPr>
      <t xml:space="preserve">_check_cta </t>
    </r>
    <r>
      <rPr>
        <sz val="10"/>
        <rFont val="Noto Sans CJK SC"/>
        <family val="2"/>
      </rPr>
      <t xml:space="preserve">を「高評価</t>
    </r>
    <r>
      <rPr>
        <sz val="10"/>
        <rFont val="Arial"/>
        <family val="0"/>
        <charset val="1"/>
      </rPr>
      <t xml:space="preserve">+</t>
    </r>
    <r>
      <rPr>
        <sz val="10"/>
        <rFont val="Noto Sans CJK SC"/>
        <family val="2"/>
      </rPr>
      <t xml:space="preserve">登録の両方」必須に変更（片方欠けで</t>
    </r>
    <r>
      <rPr>
        <sz val="10"/>
        <rFont val="Arial"/>
        <family val="0"/>
        <charset val="1"/>
      </rPr>
      <t xml:space="preserve">-12</t>
    </r>
    <r>
      <rPr>
        <sz val="10"/>
        <rFont val="Noto Sans CJK SC"/>
        <family val="2"/>
      </rPr>
      <t xml:space="preserve">、両方欠けで</t>
    </r>
    <r>
      <rPr>
        <sz val="10"/>
        <rFont val="Arial"/>
        <family val="0"/>
        <charset val="1"/>
      </rPr>
      <t xml:space="preserve">-25</t>
    </r>
    <r>
      <rPr>
        <sz val="10"/>
        <rFont val="Noto Sans CJK SC"/>
        <family val="2"/>
      </rPr>
      <t xml:space="preserve">）。</t>
    </r>
  </si>
  <si>
    <t xml:space="preserve">backend/pipeline/scenario_validator.py</t>
  </si>
  <si>
    <r>
      <rPr>
        <sz val="10"/>
        <rFont val="Arial"/>
        <family val="0"/>
        <charset val="1"/>
      </rPr>
      <t xml:space="preserve">backend/tests/test_cta_enforcer.py</t>
    </r>
    <r>
      <rPr>
        <sz val="10"/>
        <rFont val="Noto Sans CJK SC"/>
        <family val="2"/>
      </rPr>
      <t xml:space="preserve">（</t>
    </r>
    <r>
      <rPr>
        <sz val="10"/>
        <rFont val="Arial"/>
        <family val="0"/>
        <charset val="1"/>
      </rPr>
      <t xml:space="preserve">36</t>
    </r>
    <r>
      <rPr>
        <sz val="10"/>
        <rFont val="Noto Sans CJK SC"/>
        <family val="2"/>
      </rPr>
      <t xml:space="preserve">件パス）</t>
    </r>
  </si>
  <si>
    <r>
      <rPr>
        <sz val="10"/>
        <rFont val="Arial"/>
        <family val="0"/>
        <charset val="1"/>
      </rPr>
      <t xml:space="preserve">extra_rules </t>
    </r>
    <r>
      <rPr>
        <sz val="10"/>
        <rFont val="Noto Sans CJK SC"/>
        <family val="2"/>
      </rPr>
      <t xml:space="preserve">が存在しない「</t>
    </r>
    <r>
      <rPr>
        <sz val="10"/>
        <rFont val="Arial"/>
        <family val="0"/>
        <charset val="1"/>
      </rPr>
      <t xml:space="preserve">8</t>
    </r>
    <r>
      <rPr>
        <sz val="10"/>
        <rFont val="Noto Sans CJK SC"/>
        <family val="2"/>
      </rPr>
      <t xml:space="preserve">行目」を指定。</t>
    </r>
    <r>
      <rPr>
        <sz val="10"/>
        <rFont val="Arial"/>
        <family val="0"/>
        <charset val="1"/>
      </rPr>
      <t xml:space="preserve">structure </t>
    </r>
    <r>
      <rPr>
        <sz val="10"/>
        <rFont val="Noto Sans CJK SC"/>
        <family val="2"/>
      </rPr>
      <t xml:space="preserve">は</t>
    </r>
    <r>
      <rPr>
        <sz val="10"/>
        <rFont val="Arial"/>
        <family val="0"/>
        <charset val="1"/>
      </rPr>
      <t xml:space="preserve">6</t>
    </r>
    <r>
      <rPr>
        <sz val="10"/>
        <rFont val="Noto Sans CJK SC"/>
        <family val="2"/>
      </rPr>
      <t xml:space="preserve">行しかなく、高評価</t>
    </r>
    <r>
      <rPr>
        <sz val="10"/>
        <rFont val="Arial"/>
        <family val="0"/>
        <charset val="1"/>
      </rPr>
      <t xml:space="preserve">CTA</t>
    </r>
    <r>
      <rPr>
        <sz val="10"/>
        <rFont val="Noto Sans CJK SC"/>
        <family val="2"/>
      </rPr>
      <t xml:space="preserve">の指示が空振りしていた（実測 高評価</t>
    </r>
    <r>
      <rPr>
        <sz val="10"/>
        <rFont val="Arial"/>
        <family val="0"/>
        <charset val="1"/>
      </rPr>
      <t xml:space="preserve">1/3</t>
    </r>
    <r>
      <rPr>
        <sz val="10"/>
        <rFont val="Noto Sans CJK SC"/>
        <family val="2"/>
      </rPr>
      <t xml:space="preserve">）。</t>
    </r>
  </si>
  <si>
    <r>
      <rPr>
        <sz val="10"/>
        <rFont val="Noto Sans CJK SC"/>
        <family val="2"/>
      </rPr>
      <t xml:space="preserve">「</t>
    </r>
    <r>
      <rPr>
        <sz val="10"/>
        <rFont val="Arial"/>
        <family val="0"/>
        <charset val="1"/>
      </rPr>
      <t xml:space="preserve">8</t>
    </r>
    <r>
      <rPr>
        <sz val="10"/>
        <rFont val="Noto Sans CJK SC"/>
        <family val="2"/>
      </rPr>
      <t xml:space="preserve">行目」→「</t>
    </r>
    <r>
      <rPr>
        <sz val="10"/>
        <rFont val="Arial"/>
        <family val="0"/>
        <charset val="1"/>
      </rPr>
      <t xml:space="preserve">6</t>
    </r>
    <r>
      <rPr>
        <sz val="10"/>
        <rFont val="Noto Sans CJK SC"/>
        <family val="2"/>
      </rPr>
      <t xml:space="preserve">行目」に修正。</t>
    </r>
  </si>
  <si>
    <t xml:space="preserve">data/channels{,_orchestrator}/yokai-watch.json</t>
  </si>
  <si>
    <r>
      <rPr>
        <sz val="10"/>
        <rFont val="Arial"/>
        <family val="0"/>
        <charset val="1"/>
      </rPr>
      <t xml:space="preserve">grep '8</t>
    </r>
    <r>
      <rPr>
        <sz val="10"/>
        <rFont val="Noto Sans CJK SC"/>
        <family val="2"/>
      </rPr>
      <t xml:space="preserve">行目</t>
    </r>
    <r>
      <rPr>
        <sz val="10"/>
        <rFont val="Arial"/>
        <family val="0"/>
        <charset val="1"/>
      </rPr>
      <t xml:space="preserve">' </t>
    </r>
    <r>
      <rPr>
        <sz val="10"/>
        <rFont val="Noto Sans CJK SC"/>
        <family val="2"/>
      </rPr>
      <t xml:space="preserve">で</t>
    </r>
    <r>
      <rPr>
        <sz val="10"/>
        <rFont val="Arial"/>
        <family val="0"/>
        <charset val="1"/>
      </rPr>
      <t xml:space="preserve">0</t>
    </r>
    <r>
      <rPr>
        <sz val="10"/>
        <rFont val="Noto Sans CJK SC"/>
        <family val="2"/>
      </rPr>
      <t xml:space="preserve">件</t>
    </r>
  </si>
  <si>
    <r>
      <rPr>
        <sz val="10"/>
        <rFont val="Noto Sans CJK SC"/>
        <family val="2"/>
      </rPr>
      <t xml:space="preserve">唯一 高評価</t>
    </r>
    <r>
      <rPr>
        <sz val="10"/>
        <rFont val="Arial"/>
        <family val="0"/>
        <charset val="1"/>
      </rPr>
      <t xml:space="preserve">0/4</t>
    </r>
    <r>
      <rPr>
        <sz val="10"/>
        <rFont val="Noto Sans CJK SC"/>
        <family val="2"/>
      </rPr>
      <t xml:space="preserve">・登録</t>
    </r>
    <r>
      <rPr>
        <sz val="10"/>
        <rFont val="Arial"/>
        <family val="0"/>
        <charset val="1"/>
      </rPr>
      <t xml:space="preserve">0/4 </t>
    </r>
    <r>
      <rPr>
        <sz val="10"/>
        <rFont val="Noto Sans CJK SC"/>
        <family val="2"/>
      </rPr>
      <t xml:space="preserve">で</t>
    </r>
    <r>
      <rPr>
        <sz val="10"/>
        <rFont val="Arial"/>
        <family val="0"/>
        <charset val="1"/>
      </rPr>
      <t xml:space="preserve">CTA</t>
    </r>
    <r>
      <rPr>
        <sz val="10"/>
        <rFont val="Noto Sans CJK SC"/>
        <family val="2"/>
      </rPr>
      <t xml:space="preserve">が皆無。末尾がプロフィール誘導のみで終わっていた。</t>
    </r>
  </si>
  <si>
    <r>
      <rPr>
        <sz val="10"/>
        <rFont val="Arial"/>
        <family val="0"/>
        <charset val="1"/>
      </rPr>
      <t xml:space="preserve">structure 6</t>
    </r>
    <r>
      <rPr>
        <sz val="10"/>
        <rFont val="Noto Sans CJK SC"/>
        <family val="2"/>
      </rPr>
      <t xml:space="preserve">行目に登録</t>
    </r>
    <r>
      <rPr>
        <sz val="10"/>
        <rFont val="Arial"/>
        <family val="0"/>
        <charset val="1"/>
      </rPr>
      <t xml:space="preserve">CTA</t>
    </r>
    <r>
      <rPr>
        <sz val="10"/>
        <rFont val="Noto Sans CJK SC"/>
        <family val="2"/>
      </rPr>
      <t xml:space="preserve">を明示し、</t>
    </r>
    <r>
      <rPr>
        <sz val="10"/>
        <rFont val="Arial"/>
        <family val="0"/>
        <charset val="1"/>
      </rPr>
      <t xml:space="preserve">cta_fallback </t>
    </r>
    <r>
      <rPr>
        <sz val="10"/>
        <rFont val="Noto Sans CJK SC"/>
        <family val="2"/>
      </rPr>
      <t xml:space="preserve">を追加。</t>
    </r>
  </si>
  <si>
    <t xml:space="preserve">data/channels{,_orchestrator}/company-facts.json</t>
  </si>
  <si>
    <r>
      <rPr>
        <sz val="10"/>
        <rFont val="Arial"/>
        <family val="0"/>
        <charset val="1"/>
      </rPr>
      <t xml:space="preserve">verify_cta_20260901.py </t>
    </r>
    <r>
      <rPr>
        <sz val="10"/>
        <rFont val="Noto Sans CJK SC"/>
        <family val="2"/>
      </rPr>
      <t xml:space="preserve">の </t>
    </r>
    <r>
      <rPr>
        <sz val="10"/>
        <rFont val="Arial"/>
        <family val="0"/>
        <charset val="1"/>
      </rPr>
      <t xml:space="preserve">company-facts </t>
    </r>
    <r>
      <rPr>
        <sz val="10"/>
        <rFont val="Noto Sans CJK SC"/>
        <family val="2"/>
      </rPr>
      <t xml:space="preserve">行</t>
    </r>
  </si>
  <si>
    <r>
      <rPr>
        <sz val="10"/>
        <rFont val="Noto Sans CJK SC"/>
        <family val="2"/>
      </rPr>
      <t xml:space="preserve">設定の根拠が旧値の「</t>
    </r>
    <r>
      <rPr>
        <sz val="10"/>
        <rFont val="Arial"/>
        <family val="0"/>
        <charset val="1"/>
      </rPr>
      <t xml:space="preserve">2.16</t>
    </r>
    <r>
      <rPr>
        <sz val="10"/>
        <rFont val="Noto Sans CJK SC"/>
        <family val="2"/>
      </rPr>
      <t xml:space="preserve">倍」のままで、終盤維持率を追うべきという誤った示唆が残っていた。</t>
    </r>
  </si>
  <si>
    <r>
      <rPr>
        <sz val="10"/>
        <rFont val="Noto Sans CJK SC"/>
        <family val="2"/>
      </rPr>
      <t xml:space="preserve">根拠を </t>
    </r>
    <r>
      <rPr>
        <sz val="10"/>
        <rFont val="Arial"/>
        <family val="0"/>
        <charset val="1"/>
      </rPr>
      <t xml:space="preserve">6.3</t>
    </r>
    <r>
      <rPr>
        <sz val="10"/>
        <rFont val="Noto Sans CJK SC"/>
        <family val="2"/>
      </rPr>
      <t xml:space="preserve">倍（</t>
    </r>
    <r>
      <rPr>
        <sz val="10"/>
        <rFont val="Arial"/>
        <family val="0"/>
        <charset val="1"/>
      </rPr>
      <t xml:space="preserve">n=322</t>
    </r>
    <r>
      <rPr>
        <sz val="10"/>
        <rFont val="Noto Sans CJK SC"/>
        <family val="2"/>
      </rPr>
      <t xml:space="preserve">・単調）に更新し、「終盤維持率は登録と無相関」という否定的知見を明記。</t>
    </r>
  </si>
  <si>
    <r>
      <rPr>
        <sz val="10"/>
        <rFont val="Arial"/>
        <family val="0"/>
        <charset val="1"/>
      </rPr>
      <t xml:space="preserve">data/channels{,_orchestrator}/*.json</t>
    </r>
    <r>
      <rPr>
        <sz val="10"/>
        <rFont val="Noto Sans CJK SC"/>
        <family val="2"/>
      </rPr>
      <t xml:space="preserve">（</t>
    </r>
    <r>
      <rPr>
        <sz val="10"/>
        <rFont val="Arial"/>
        <family val="0"/>
        <charset val="1"/>
      </rPr>
      <t xml:space="preserve">6ch</t>
    </r>
    <r>
      <rPr>
        <sz val="10"/>
        <rFont val="Noto Sans CJK SC"/>
        <family val="2"/>
      </rPr>
      <t xml:space="preserve">）</t>
    </r>
  </si>
  <si>
    <r>
      <rPr>
        <sz val="10"/>
        <rFont val="Arial"/>
        <family val="0"/>
        <charset val="1"/>
      </rPr>
      <t xml:space="preserve">extra_rules[0] </t>
    </r>
    <r>
      <rPr>
        <sz val="10"/>
        <rFont val="Noto Sans CJK SC"/>
        <family val="2"/>
      </rPr>
      <t xml:space="preserve">に </t>
    </r>
    <r>
      <rPr>
        <sz val="10"/>
        <rFont val="Arial"/>
        <family val="0"/>
        <charset val="1"/>
      </rPr>
      <t xml:space="preserve">'n=322' </t>
    </r>
    <r>
      <rPr>
        <sz val="10"/>
        <rFont val="Noto Sans CJK SC"/>
        <family val="2"/>
      </rPr>
      <t xml:space="preserve">が入っているか</t>
    </r>
  </si>
  <si>
    <r>
      <rPr>
        <sz val="10"/>
        <rFont val="Noto Sans CJK SC"/>
        <family val="2"/>
      </rPr>
      <t xml:space="preserve">再生は最多（</t>
    </r>
    <r>
      <rPr>
        <sz val="10"/>
        <rFont val="Arial"/>
        <family val="0"/>
        <charset val="1"/>
      </rPr>
      <t xml:space="preserve">14</t>
    </r>
    <r>
      <rPr>
        <sz val="10"/>
        <rFont val="Noto Sans CJK SC"/>
        <family val="2"/>
      </rPr>
      <t xml:space="preserve">日で</t>
    </r>
    <r>
      <rPr>
        <sz val="10"/>
        <rFont val="Arial"/>
        <family val="0"/>
        <charset val="1"/>
      </rPr>
      <t xml:space="preserve">24,198</t>
    </r>
    <r>
      <rPr>
        <sz val="10"/>
        <rFont val="Noto Sans CJK SC"/>
        <family val="2"/>
      </rPr>
      <t xml:space="preserve">）だが登録純増</t>
    </r>
    <r>
      <rPr>
        <sz val="10"/>
        <rFont val="Arial"/>
        <family val="0"/>
        <charset val="1"/>
      </rPr>
      <t xml:space="preserve">3</t>
    </r>
    <r>
      <rPr>
        <sz val="10"/>
        <rFont val="Noto Sans CJK SC"/>
        <family val="2"/>
      </rPr>
      <t xml:space="preserve">、登録</t>
    </r>
    <r>
      <rPr>
        <sz val="10"/>
        <rFont val="Arial"/>
        <family val="0"/>
        <charset val="1"/>
      </rPr>
      <t xml:space="preserve">/1000</t>
    </r>
    <r>
      <rPr>
        <sz val="10"/>
        <rFont val="Noto Sans CJK SC"/>
        <family val="2"/>
      </rPr>
      <t xml:space="preserve">再生</t>
    </r>
    <r>
      <rPr>
        <sz val="10"/>
        <rFont val="Arial"/>
        <family val="0"/>
        <charset val="1"/>
      </rPr>
      <t xml:space="preserve">0.12</t>
    </r>
    <r>
      <rPr>
        <sz val="10"/>
        <rFont val="Noto Sans CJK SC"/>
        <family val="2"/>
      </rPr>
      <t xml:space="preserve">で全</t>
    </r>
    <r>
      <rPr>
        <sz val="10"/>
        <rFont val="Arial"/>
        <family val="0"/>
        <charset val="1"/>
      </rPr>
      <t xml:space="preserve">ch</t>
    </r>
    <r>
      <rPr>
        <sz val="10"/>
        <rFont val="Noto Sans CJK SC"/>
        <family val="2"/>
      </rPr>
      <t xml:space="preserve">最低。高評価率も</t>
    </r>
    <r>
      <rPr>
        <sz val="10"/>
        <rFont val="Arial"/>
        <family val="0"/>
        <charset val="1"/>
      </rPr>
      <t xml:space="preserve">0.25%</t>
    </r>
    <r>
      <rPr>
        <sz val="10"/>
        <rFont val="Noto Sans CJK SC"/>
        <family val="2"/>
      </rPr>
      <t xml:space="preserve">と最低。</t>
    </r>
  </si>
  <si>
    <r>
      <rPr>
        <sz val="10"/>
        <rFont val="Arial"/>
        <family val="0"/>
        <charset val="1"/>
      </rPr>
      <t xml:space="preserve">cta_enforcer </t>
    </r>
    <r>
      <rPr>
        <sz val="10"/>
        <rFont val="Noto Sans CJK SC"/>
        <family val="2"/>
      </rPr>
      <t xml:space="preserve">により高評価</t>
    </r>
    <r>
      <rPr>
        <sz val="10"/>
        <rFont val="Arial"/>
        <family val="0"/>
        <charset val="1"/>
      </rPr>
      <t xml:space="preserve">CTA</t>
    </r>
    <r>
      <rPr>
        <sz val="10"/>
        <rFont val="Noto Sans CJK SC"/>
        <family val="2"/>
      </rPr>
      <t xml:space="preserve">を毎回先頭で保証。参加型</t>
    </r>
    <r>
      <rPr>
        <sz val="10"/>
        <rFont val="Arial"/>
        <family val="0"/>
        <charset val="1"/>
      </rPr>
      <t xml:space="preserve">CTA</t>
    </r>
    <r>
      <rPr>
        <sz val="10"/>
        <rFont val="Noto Sans CJK SC"/>
        <family val="2"/>
      </rPr>
      <t xml:space="preserve">（コメント誘導）が高評価</t>
    </r>
    <r>
      <rPr>
        <sz val="10"/>
        <rFont val="Arial"/>
        <family val="0"/>
        <charset val="1"/>
      </rPr>
      <t xml:space="preserve">CTA</t>
    </r>
    <r>
      <rPr>
        <sz val="10"/>
        <rFont val="Noto Sans CJK SC"/>
        <family val="2"/>
      </rPr>
      <t xml:space="preserve">を押しのけていた構造を是正。</t>
    </r>
  </si>
  <si>
    <r>
      <rPr>
        <sz val="10"/>
        <rFont val="Arial"/>
        <family val="0"/>
        <charset val="1"/>
      </rPr>
      <t xml:space="preserve">cta_enforcer </t>
    </r>
    <r>
      <rPr>
        <sz val="10"/>
        <rFont val="Noto Sans CJK SC"/>
        <family val="2"/>
      </rPr>
      <t xml:space="preserve">の </t>
    </r>
    <r>
      <rPr>
        <sz val="10"/>
        <rFont val="Arial"/>
        <family val="0"/>
        <charset val="1"/>
      </rPr>
      <t xml:space="preserve">2ch-matome </t>
    </r>
    <r>
      <rPr>
        <sz val="10"/>
        <rFont val="Noto Sans CJK SC"/>
        <family val="2"/>
      </rPr>
      <t xml:space="preserve">既定句</t>
    </r>
  </si>
  <si>
    <r>
      <rPr>
        <sz val="10"/>
        <rFont val="Noto Sans CJK SC"/>
        <family val="2"/>
      </rPr>
      <t xml:space="preserve">高評価率 </t>
    </r>
    <r>
      <rPr>
        <sz val="10"/>
        <rFont val="Arial"/>
        <family val="0"/>
        <charset val="1"/>
      </rPr>
      <t xml:space="preserve">0.25%→0.40% </t>
    </r>
    <r>
      <rPr>
        <sz val="10"/>
        <rFont val="Noto Sans CJK SC"/>
        <family val="2"/>
      </rPr>
      <t xml:space="preserve">を</t>
    </r>
    <r>
      <rPr>
        <sz val="10"/>
        <rFont val="Arial"/>
        <family val="0"/>
        <charset val="1"/>
      </rPr>
      <t xml:space="preserve">1</t>
    </r>
    <r>
      <rPr>
        <sz val="10"/>
        <rFont val="Noto Sans CJK SC"/>
        <family val="2"/>
      </rPr>
      <t xml:space="preserve">週間で確認</t>
    </r>
  </si>
  <si>
    <r>
      <rPr>
        <sz val="10"/>
        <rFont val="Arial"/>
        <family val="0"/>
        <charset val="1"/>
      </rPr>
      <t xml:space="preserve">style=facts_overlay </t>
    </r>
    <r>
      <rPr>
        <sz val="10"/>
        <rFont val="Noto Sans CJK SC"/>
        <family val="2"/>
      </rPr>
      <t xml:space="preserve">は </t>
    </r>
    <r>
      <rPr>
        <sz val="10"/>
        <rFont val="Arial"/>
        <family val="0"/>
        <charset val="1"/>
      </rPr>
      <t xml:space="preserve">yukkuri </t>
    </r>
    <r>
      <rPr>
        <sz val="10"/>
        <rFont val="Noto Sans CJK SC"/>
        <family val="2"/>
      </rPr>
      <t xml:space="preserve">とは別経路を通るため、当初の実装（</t>
    </r>
    <r>
      <rPr>
        <sz val="10"/>
        <rFont val="Arial"/>
        <family val="0"/>
        <charset val="1"/>
      </rPr>
      <t xml:space="preserve">yukkuri</t>
    </r>
    <r>
      <rPr>
        <sz val="10"/>
        <rFont val="Noto Sans CJK SC"/>
        <family val="2"/>
      </rPr>
      <t xml:space="preserve">分岐の内側）では</t>
    </r>
    <r>
      <rPr>
        <sz val="10"/>
        <rFont val="Arial"/>
        <family val="0"/>
        <charset val="1"/>
      </rPr>
      <t xml:space="preserve">CTA</t>
    </r>
    <r>
      <rPr>
        <sz val="10"/>
        <rFont val="Noto Sans CJK SC"/>
        <family val="2"/>
      </rPr>
      <t xml:space="preserve">補正が効かなかった。</t>
    </r>
    <r>
      <rPr>
        <sz val="10"/>
        <rFont val="Arial"/>
        <family val="0"/>
        <charset val="1"/>
      </rPr>
      <t xml:space="preserve">CTA</t>
    </r>
    <r>
      <rPr>
        <sz val="10"/>
        <rFont val="Noto Sans CJK SC"/>
        <family val="2"/>
      </rPr>
      <t xml:space="preserve">が皆無だったまさにそのチャンネルだけ対象外という、</t>
    </r>
    <r>
      <rPr>
        <sz val="10"/>
        <rFont val="Arial"/>
        <family val="0"/>
        <charset val="1"/>
      </rPr>
      <t xml:space="preserve">08-30</t>
    </r>
    <r>
      <rPr>
        <sz val="10"/>
        <rFont val="Noto Sans CJK SC"/>
        <family val="2"/>
      </rPr>
      <t xml:space="preserve">の尺ガードと同じ失敗。</t>
    </r>
  </si>
  <si>
    <r>
      <rPr>
        <sz val="10"/>
        <rFont val="Arial"/>
        <family val="0"/>
        <charset val="1"/>
      </rPr>
      <t xml:space="preserve">cta_enforcer </t>
    </r>
    <r>
      <rPr>
        <sz val="10"/>
        <rFont val="Noto Sans CJK SC"/>
        <family val="2"/>
      </rPr>
      <t xml:space="preserve">の呼び出しを </t>
    </r>
    <r>
      <rPr>
        <sz val="10"/>
        <rFont val="Arial"/>
        <family val="0"/>
        <charset val="1"/>
      </rPr>
      <t xml:space="preserve">style </t>
    </r>
    <r>
      <rPr>
        <sz val="10"/>
        <rFont val="Noto Sans CJK SC"/>
        <family val="2"/>
      </rPr>
      <t xml:space="preserve">分岐より前へ移動し、全スタイル（</t>
    </r>
    <r>
      <rPr>
        <sz val="10"/>
        <rFont val="Arial"/>
        <family val="0"/>
        <charset val="1"/>
      </rPr>
      <t xml:space="preserve">facts_overlay / monologue / yukkuri</t>
    </r>
    <r>
      <rPr>
        <sz val="10"/>
        <rFont val="Noto Sans CJK SC"/>
        <family val="2"/>
      </rPr>
      <t xml:space="preserve">）に適用。あわせて画面</t>
    </r>
    <r>
      <rPr>
        <sz val="10"/>
        <rFont val="Arial"/>
        <family val="0"/>
        <charset val="1"/>
      </rPr>
      <t xml:space="preserve">CTA</t>
    </r>
    <r>
      <rPr>
        <sz val="10"/>
        <rFont val="Noto Sans CJK SC"/>
        <family val="2"/>
      </rPr>
      <t xml:space="preserve">カード（</t>
    </r>
    <r>
      <rPr>
        <sz val="10"/>
        <rFont val="Arial"/>
        <family val="0"/>
        <charset val="1"/>
      </rPr>
      <t xml:space="preserve">video_format.facts_overlay.cta</t>
    </r>
    <r>
      <rPr>
        <sz val="10"/>
        <rFont val="Noto Sans CJK SC"/>
        <family val="2"/>
      </rPr>
      <t xml:space="preserve">）も『他の企業もチェック／プロフィールから見れます』→『高評価とチャンネル登録／毎日</t>
    </r>
    <r>
      <rPr>
        <sz val="10"/>
        <rFont val="Arial"/>
        <family val="0"/>
        <charset val="1"/>
      </rPr>
      <t xml:space="preserve">1</t>
    </r>
    <r>
      <rPr>
        <sz val="10"/>
        <rFont val="Noto Sans CJK SC"/>
        <family val="2"/>
      </rPr>
      <t xml:space="preserve">社の実態が届きます』に変更。</t>
    </r>
  </si>
  <si>
    <t xml:space="preserve">video_generator.py, data/channels{,_orchestrator}/company-facts.json</t>
  </si>
  <si>
    <r>
      <rPr>
        <sz val="10"/>
        <rFont val="Arial"/>
        <family val="0"/>
        <charset val="1"/>
      </rPr>
      <t xml:space="preserve">logs/backend.log </t>
    </r>
    <r>
      <rPr>
        <sz val="10"/>
        <rFont val="Noto Sans CJK SC"/>
        <family val="2"/>
      </rPr>
      <t xml:space="preserve">の「📣 </t>
    </r>
    <r>
      <rPr>
        <sz val="10"/>
        <rFont val="Arial"/>
        <family val="0"/>
        <charset val="1"/>
      </rPr>
      <t xml:space="preserve">CTA</t>
    </r>
    <r>
      <rPr>
        <sz val="10"/>
        <rFont val="Noto Sans CJK SC"/>
        <family val="2"/>
      </rPr>
      <t xml:space="preserve">補正</t>
    </r>
    <r>
      <rPr>
        <sz val="10"/>
        <rFont val="Arial"/>
        <family val="0"/>
        <charset val="1"/>
      </rPr>
      <t xml:space="preserve">[company-facts]</t>
    </r>
    <r>
      <rPr>
        <sz val="10"/>
        <rFont val="Noto Sans CJK SC"/>
        <family val="2"/>
      </rPr>
      <t xml:space="preserve">」</t>
    </r>
  </si>
  <si>
    <r>
      <rPr>
        <sz val="10"/>
        <rFont val="Noto Sans CJK SC"/>
        <family val="2"/>
      </rPr>
      <t xml:space="preserve">台本が「睡眠と夢シリーズシリーズ」「裏設定ファイルシリーズシリーズ」と重複を書き、そのまま読み上げられていた。</t>
    </r>
    <r>
      <rPr>
        <sz val="10"/>
        <rFont val="Arial"/>
        <family val="0"/>
        <charset val="1"/>
      </rPr>
      <t xml:space="preserve">series_lineup </t>
    </r>
    <r>
      <rPr>
        <sz val="10"/>
        <rFont val="Noto Sans CJK SC"/>
        <family val="2"/>
      </rPr>
      <t xml:space="preserve">の値が既に『〜シリーズ』で終わるのに </t>
    </r>
    <r>
      <rPr>
        <sz val="10"/>
        <rFont val="Arial"/>
        <family val="0"/>
        <charset val="1"/>
      </rPr>
      <t xml:space="preserve">generator </t>
    </r>
    <r>
      <rPr>
        <sz val="10"/>
        <rFont val="Noto Sans CJK SC"/>
        <family val="2"/>
      </rPr>
      <t xml:space="preserve">がシリーズ名への言及を指示するため。</t>
    </r>
    <r>
      <rPr>
        <sz val="10"/>
        <rFont val="Arial"/>
        <family val="0"/>
        <charset val="1"/>
      </rPr>
      <t xml:space="preserve">cta_rotator</t>
    </r>
    <r>
      <rPr>
        <sz val="10"/>
        <rFont val="Noto Sans CJK SC"/>
        <family val="2"/>
      </rPr>
      <t xml:space="preserve">側の同等修正は</t>
    </r>
    <r>
      <rPr>
        <sz val="10"/>
        <rFont val="Arial"/>
        <family val="0"/>
        <charset val="1"/>
      </rPr>
      <t xml:space="preserve">12ch</t>
    </r>
    <r>
      <rPr>
        <sz val="10"/>
        <rFont val="Noto Sans CJK SC"/>
        <family val="2"/>
      </rPr>
      <t xml:space="preserve">で無効。</t>
    </r>
  </si>
  <si>
    <r>
      <rPr>
        <sz val="10"/>
        <rFont val="Arial"/>
        <family val="0"/>
        <charset val="1"/>
      </rPr>
      <t xml:space="preserve">cta_enforcer </t>
    </r>
    <r>
      <rPr>
        <sz val="10"/>
        <rFont val="Noto Sans CJK SC"/>
        <family val="2"/>
      </rPr>
      <t xml:space="preserve">で最終行の『シリーズシリーズ』を機械的に解消。</t>
    </r>
  </si>
  <si>
    <t xml:space="preserve">backend/pipeline/cta_enforcer.py</t>
  </si>
  <si>
    <r>
      <rPr>
        <sz val="10"/>
        <rFont val="Noto Sans CJK SC"/>
        <family val="2"/>
      </rPr>
      <t xml:space="preserve">テスト </t>
    </r>
    <r>
      <rPr>
        <sz val="10"/>
        <rFont val="Arial"/>
        <family val="0"/>
        <charset val="1"/>
      </rPr>
      <t xml:space="preserve">TestSeriesDedup</t>
    </r>
    <r>
      <rPr>
        <sz val="10"/>
        <rFont val="Noto Sans CJK SC"/>
        <family val="2"/>
      </rPr>
      <t xml:space="preserve">（</t>
    </r>
    <r>
      <rPr>
        <sz val="10"/>
        <rFont val="Arial"/>
        <family val="0"/>
        <charset val="1"/>
      </rPr>
      <t xml:space="preserve">57</t>
    </r>
    <r>
      <rPr>
        <sz val="10"/>
        <rFont val="Noto Sans CJK SC"/>
        <family val="2"/>
      </rPr>
      <t xml:space="preserve">件パス）</t>
    </r>
  </si>
  <si>
    <r>
      <rPr>
        <sz val="10"/>
        <rFont val="Arial"/>
        <family val="0"/>
        <charset val="1"/>
      </rPr>
      <t xml:space="preserve">video_metrics </t>
    </r>
    <r>
      <rPr>
        <sz val="10"/>
        <rFont val="Noto Sans CJK SC"/>
        <family val="2"/>
      </rPr>
      <t xml:space="preserve">に</t>
    </r>
    <r>
      <rPr>
        <sz val="10"/>
        <rFont val="Arial"/>
        <family val="0"/>
        <charset val="1"/>
      </rPr>
      <t xml:space="preserve">1</t>
    </r>
    <r>
      <rPr>
        <sz val="10"/>
        <rFont val="Noto Sans CJK SC"/>
        <family val="2"/>
      </rPr>
      <t xml:space="preserve">行も取り込まれていない（</t>
    </r>
    <r>
      <rPr>
        <sz val="10"/>
        <rFont val="Arial"/>
        <family val="0"/>
        <charset val="1"/>
      </rPr>
      <t xml:space="preserve">reach</t>
    </r>
    <r>
      <rPr>
        <sz val="10"/>
        <rFont val="Noto Sans CJK SC"/>
        <family val="2"/>
      </rPr>
      <t xml:space="preserve">側には</t>
    </r>
    <r>
      <rPr>
        <sz val="10"/>
        <rFont val="Arial"/>
        <family val="0"/>
        <charset val="1"/>
      </rPr>
      <t xml:space="preserve">24</t>
    </r>
    <r>
      <rPr>
        <sz val="10"/>
        <rFont val="Noto Sans CJK SC"/>
        <family val="2"/>
      </rPr>
      <t xml:space="preserve">本ある）。実績が測定できていない。</t>
    </r>
  </si>
  <si>
    <r>
      <rPr>
        <sz val="10"/>
        <rFont val="Noto Sans CJK SC"/>
        <family val="2"/>
      </rPr>
      <t xml:space="preserve">取り込み経路の調査が必要。本タスクはサンドボックスから </t>
    </r>
    <r>
      <rPr>
        <sz val="10"/>
        <rFont val="Arial"/>
        <family val="0"/>
        <charset val="1"/>
      </rPr>
      <t xml:space="preserve">YouTube API </t>
    </r>
    <r>
      <rPr>
        <sz val="10"/>
        <rFont val="Noto Sans CJK SC"/>
        <family val="2"/>
      </rPr>
      <t xml:space="preserve">を叩けないため未着手。</t>
    </r>
  </si>
  <si>
    <t xml:space="preserve">要対応</t>
  </si>
  <si>
    <t xml:space="preserve">（未変更・要調査）</t>
  </si>
  <si>
    <r>
      <rPr>
        <sz val="10"/>
        <rFont val="Arial"/>
        <family val="0"/>
        <charset val="1"/>
      </rPr>
      <t xml:space="preserve">video_metrics </t>
    </r>
    <r>
      <rPr>
        <sz val="10"/>
        <rFont val="Noto Sans CJK SC"/>
        <family val="2"/>
      </rPr>
      <t xml:space="preserve">に </t>
    </r>
    <r>
      <rPr>
        <sz val="10"/>
        <rFont val="Arial"/>
        <family val="0"/>
        <charset val="1"/>
      </rPr>
      <t xml:space="preserve">company-facts </t>
    </r>
    <r>
      <rPr>
        <sz val="10"/>
        <rFont val="Noto Sans CJK SC"/>
        <family val="2"/>
      </rPr>
      <t xml:space="preserve">行が出現するか</t>
    </r>
  </si>
  <si>
    <r>
      <rPr>
        <sz val="10"/>
        <rFont val="Arial"/>
        <family val="0"/>
        <charset val="1"/>
      </rPr>
      <t xml:space="preserve">scenario_validator </t>
    </r>
    <r>
      <rPr>
        <sz val="10"/>
        <rFont val="Noto Sans CJK SC"/>
        <family val="2"/>
      </rPr>
      <t xml:space="preserve">の </t>
    </r>
    <r>
      <rPr>
        <sz val="10"/>
        <rFont val="Arial"/>
        <family val="0"/>
        <charset val="1"/>
      </rPr>
      <t xml:space="preserve">CTA </t>
    </r>
    <r>
      <rPr>
        <sz val="10"/>
        <rFont val="Noto Sans CJK SC"/>
        <family val="2"/>
      </rPr>
      <t xml:space="preserve">検査は基礎点</t>
    </r>
    <r>
      <rPr>
        <sz val="10"/>
        <rFont val="Arial"/>
        <family val="0"/>
        <charset val="1"/>
      </rPr>
      <t xml:space="preserve">50</t>
    </r>
    <r>
      <rPr>
        <sz val="10"/>
        <rFont val="Noto Sans CJK SC"/>
        <family val="2"/>
      </rPr>
      <t xml:space="preserve">に対し減点が最大</t>
    </r>
    <r>
      <rPr>
        <sz val="10"/>
        <rFont val="Arial"/>
        <family val="0"/>
        <charset val="1"/>
      </rPr>
      <t xml:space="preserve">-25</t>
    </r>
    <r>
      <rPr>
        <sz val="10"/>
        <rFont val="Noto Sans CJK SC"/>
        <family val="2"/>
      </rPr>
      <t xml:space="preserve">で、閾値</t>
    </r>
    <r>
      <rPr>
        <sz val="10"/>
        <rFont val="Arial"/>
        <family val="0"/>
        <charset val="1"/>
      </rPr>
      <t xml:space="preserve">60</t>
    </r>
    <r>
      <rPr>
        <sz val="10"/>
        <rFont val="Noto Sans CJK SC"/>
        <family val="2"/>
      </rPr>
      <t xml:space="preserve">を下回らないため実質的に生成を止めない。</t>
    </r>
  </si>
  <si>
    <r>
      <rPr>
        <sz val="10"/>
        <rFont val="Noto Sans CJK SC"/>
        <family val="2"/>
      </rPr>
      <t xml:space="preserve">無人実行で閾値を上げると生成本数がゼロになる恐れがあるため、今回は閾値を変更しない。強制は決定論的な </t>
    </r>
    <r>
      <rPr>
        <sz val="10"/>
        <rFont val="Arial"/>
        <family val="0"/>
        <charset val="1"/>
      </rPr>
      <t xml:space="preserve">cta_enforcer </t>
    </r>
    <r>
      <rPr>
        <sz val="10"/>
        <rFont val="Noto Sans CJK SC"/>
        <family val="2"/>
      </rPr>
      <t xml:space="preserve">側で担保し、</t>
    </r>
    <r>
      <rPr>
        <sz val="10"/>
        <rFont val="Arial"/>
        <family val="0"/>
        <charset val="1"/>
      </rPr>
      <t xml:space="preserve">validator </t>
    </r>
    <r>
      <rPr>
        <sz val="10"/>
        <rFont val="Noto Sans CJK SC"/>
        <family val="2"/>
      </rPr>
      <t xml:space="preserve">はスコア指標に留める。</t>
    </r>
  </si>
  <si>
    <t xml:space="preserve">見送り</t>
  </si>
  <si>
    <t xml:space="preserve">（変更なし・意図的）</t>
  </si>
  <si>
    <r>
      <rPr>
        <sz val="10"/>
        <rFont val="Arial"/>
        <family val="0"/>
        <charset val="1"/>
      </rPr>
      <t xml:space="preserve">cta_enforcer </t>
    </r>
    <r>
      <rPr>
        <sz val="10"/>
        <rFont val="Noto Sans CJK SC"/>
        <family val="2"/>
      </rPr>
      <t xml:space="preserve">が実経路で効いていれば </t>
    </r>
    <r>
      <rPr>
        <sz val="10"/>
        <rFont val="Arial"/>
        <family val="0"/>
        <charset val="1"/>
      </rPr>
      <t xml:space="preserve">validator </t>
    </r>
    <r>
      <rPr>
        <sz val="10"/>
        <rFont val="Noto Sans CJK SC"/>
        <family val="2"/>
      </rPr>
      <t xml:space="preserve">の厳格化は不要</t>
    </r>
  </si>
  <si>
    <t xml:space="preserve">daily-science / pokemon-lab</t>
  </si>
  <si>
    <r>
      <rPr>
        <sz val="10"/>
        <rFont val="Noto Sans CJK SC"/>
        <family val="2"/>
      </rPr>
      <t xml:space="preserve">シリーズ番号プレフィックスは </t>
    </r>
    <r>
      <rPr>
        <sz val="10"/>
        <rFont val="Arial"/>
        <family val="0"/>
        <charset val="1"/>
      </rPr>
      <t xml:space="preserve">ch</t>
    </r>
    <r>
      <rPr>
        <sz val="10"/>
        <rFont val="Noto Sans CJK SC"/>
        <family val="2"/>
      </rPr>
      <t xml:space="preserve">内統制で登録</t>
    </r>
    <r>
      <rPr>
        <sz val="10"/>
        <rFont val="Arial"/>
        <family val="0"/>
        <charset val="1"/>
      </rPr>
      <t xml:space="preserve">0.69 vs 0.33</t>
    </r>
    <r>
      <rPr>
        <sz val="10"/>
        <rFont val="Noto Sans CJK SC"/>
        <family val="2"/>
      </rPr>
      <t xml:space="preserve">（</t>
    </r>
    <r>
      <rPr>
        <sz val="10"/>
        <rFont val="Arial"/>
        <family val="0"/>
        <charset val="1"/>
      </rPr>
      <t xml:space="preserve">daily-science</t>
    </r>
    <r>
      <rPr>
        <sz val="10"/>
        <rFont val="Noto Sans CJK SC"/>
        <family val="2"/>
      </rPr>
      <t xml:space="preserve">）と有意に見えるが </t>
    </r>
    <r>
      <rPr>
        <sz val="10"/>
        <rFont val="Arial"/>
        <family val="0"/>
        <charset val="1"/>
      </rPr>
      <t xml:space="preserve">n=13/11 </t>
    </r>
    <r>
      <rPr>
        <sz val="10"/>
        <rFont val="Noto Sans CJK SC"/>
        <family val="2"/>
      </rPr>
      <t xml:space="preserve">と薄い。</t>
    </r>
    <r>
      <rPr>
        <sz val="10"/>
        <rFont val="Arial"/>
        <family val="0"/>
        <charset val="1"/>
      </rPr>
      <t xml:space="preserve">yokai-watch </t>
    </r>
    <r>
      <rPr>
        <sz val="10"/>
        <rFont val="Noto Sans CJK SC"/>
        <family val="2"/>
      </rPr>
      <t xml:space="preserve">では逆転（</t>
    </r>
    <r>
      <rPr>
        <sz val="10"/>
        <rFont val="Arial"/>
        <family val="0"/>
        <charset val="1"/>
      </rPr>
      <t xml:space="preserve">0.14 vs 0.31</t>
    </r>
    <r>
      <rPr>
        <sz val="10"/>
        <rFont val="Noto Sans CJK SC"/>
        <family val="2"/>
      </rPr>
      <t xml:space="preserve">）。</t>
    </r>
  </si>
  <si>
    <r>
      <rPr>
        <sz val="10"/>
        <rFont val="Noto Sans CJK SC"/>
        <family val="2"/>
      </rPr>
      <t xml:space="preserve">チャンネル横断で一律に戻すのは根拠不足と判断し、今回は変更しない。</t>
    </r>
    <r>
      <rPr>
        <sz val="10"/>
        <rFont val="Arial"/>
        <family val="0"/>
        <charset val="1"/>
      </rPr>
      <t xml:space="preserve">A/B</t>
    </r>
    <r>
      <rPr>
        <sz val="10"/>
        <rFont val="Noto Sans CJK SC"/>
        <family val="2"/>
      </rPr>
      <t xml:space="preserve">テストの候補として記録のみ。</t>
    </r>
  </si>
  <si>
    <t xml:space="preserve">（変更なし）</t>
  </si>
  <si>
    <r>
      <rPr>
        <sz val="10"/>
        <rFont val="Arial"/>
        <family val="0"/>
        <charset val="1"/>
      </rPr>
      <t xml:space="preserve">n </t>
    </r>
    <r>
      <rPr>
        <sz val="10"/>
        <rFont val="Noto Sans CJK SC"/>
        <family val="2"/>
      </rPr>
      <t xml:space="preserve">が各</t>
    </r>
    <r>
      <rPr>
        <sz val="10"/>
        <rFont val="Arial"/>
        <family val="0"/>
        <charset val="1"/>
      </rPr>
      <t xml:space="preserve">30</t>
    </r>
    <r>
      <rPr>
        <sz val="10"/>
        <rFont val="Noto Sans CJK SC"/>
        <family val="2"/>
      </rPr>
      <t xml:space="preserve">本を超えた時点で再評価</t>
    </r>
  </si>
  <si>
    <t xml:space="preserve">トレンド</t>
  </si>
  <si>
    <t xml:space="preserve">公開時期別の推移と競合比較。時期別は各動画の最新スナップショットを公開日で束ねたもの。</t>
  </si>
  <si>
    <t xml:space="preserve">■ 公開時期別の推移（高評価率の落ち込みと回復）</t>
  </si>
  <si>
    <t xml:space="preserve">公開時期</t>
  </si>
  <si>
    <r>
      <rPr>
        <sz val="10"/>
        <rFont val="Noto Sans CJK SC"/>
        <family val="2"/>
      </rPr>
      <t xml:space="preserve">〜</t>
    </r>
    <r>
      <rPr>
        <sz val="10"/>
        <rFont val="Arial"/>
        <family val="0"/>
        <charset val="1"/>
      </rPr>
      <t xml:space="preserve">07</t>
    </r>
    <r>
      <rPr>
        <sz val="10"/>
        <rFont val="Noto Sans CJK SC"/>
        <family val="2"/>
      </rPr>
      <t xml:space="preserve">月</t>
    </r>
  </si>
  <si>
    <t xml:space="preserve">08/01-05</t>
  </si>
  <si>
    <t xml:space="preserve">08/06-10</t>
  </si>
  <si>
    <t xml:space="preserve">08/11-15</t>
  </si>
  <si>
    <t xml:space="preserve">08/16-20</t>
  </si>
  <si>
    <t xml:space="preserve">08/21-25</t>
  </si>
  <si>
    <t xml:space="preserve">08/26-30</t>
  </si>
  <si>
    <r>
      <rPr>
        <i val="true"/>
        <sz val="9"/>
        <color rgb="FF595959"/>
        <rFont val="Arial"/>
        <family val="0"/>
        <charset val="1"/>
      </rPr>
      <t xml:space="preserve">→ 08/11-15 </t>
    </r>
    <r>
      <rPr>
        <i val="true"/>
        <sz val="9"/>
        <color rgb="FF595959"/>
        <rFont val="Noto Sans CJK SC"/>
        <family val="2"/>
      </rPr>
      <t xml:space="preserve">を底に高評価率が落ち込み、</t>
    </r>
    <r>
      <rPr>
        <i val="true"/>
        <sz val="9"/>
        <color rgb="FF595959"/>
        <rFont val="Arial"/>
        <family val="0"/>
        <charset val="1"/>
      </rPr>
      <t xml:space="preserve">08/26-30 </t>
    </r>
    <r>
      <rPr>
        <i val="true"/>
        <sz val="9"/>
        <color rgb="FF595959"/>
        <rFont val="Noto Sans CJK SC"/>
        <family val="2"/>
      </rPr>
      <t xml:space="preserve">で回復。</t>
    </r>
    <r>
      <rPr>
        <i val="true"/>
        <sz val="9"/>
        <color rgb="FF595959"/>
        <rFont val="Arial"/>
        <family val="0"/>
        <charset val="1"/>
      </rPr>
      <t xml:space="preserve">7</t>
    </r>
    <r>
      <rPr>
        <i val="true"/>
        <sz val="9"/>
        <color rgb="FF595959"/>
        <rFont val="Noto Sans CJK SC"/>
        <family val="2"/>
      </rPr>
      <t xml:space="preserve">月水準（</t>
    </r>
    <r>
      <rPr>
        <i val="true"/>
        <sz val="9"/>
        <color rgb="FF595959"/>
        <rFont val="Arial"/>
        <family val="0"/>
        <charset val="1"/>
      </rPr>
      <t xml:space="preserve">0.477%</t>
    </r>
    <r>
      <rPr>
        <i val="true"/>
        <sz val="9"/>
        <color rgb="FF595959"/>
        <rFont val="Noto Sans CJK SC"/>
        <family val="2"/>
      </rPr>
      <t xml:space="preserve">）にはまだ戻っていない。</t>
    </r>
    <r>
      <rPr>
        <i val="true"/>
        <sz val="9"/>
        <color rgb="FF595959"/>
        <rFont val="Arial"/>
        <family val="0"/>
        <charset val="1"/>
      </rPr>
      <t xml:space="preserve">08-31 </t>
    </r>
    <r>
      <rPr>
        <i val="true"/>
        <sz val="9"/>
        <color rgb="FF595959"/>
        <rFont val="Noto Sans CJK SC"/>
        <family val="2"/>
      </rPr>
      <t xml:space="preserve">に修正された台本破損・尺超過の影響時期と重なる。</t>
    </r>
  </si>
  <si>
    <r>
      <rPr>
        <b val="true"/>
        <sz val="10"/>
        <rFont val="Arial"/>
        <family val="0"/>
        <charset val="1"/>
      </rPr>
      <t xml:space="preserve">■ CTA</t>
    </r>
    <r>
      <rPr>
        <b val="true"/>
        <sz val="10"/>
        <rFont val="Noto Sans CJK SC"/>
        <family val="2"/>
      </rPr>
      <t xml:space="preserve">遵守率の実測（</t>
    </r>
    <r>
      <rPr>
        <b val="true"/>
        <sz val="10"/>
        <rFont val="Arial"/>
        <family val="0"/>
        <charset val="1"/>
      </rPr>
      <t xml:space="preserve">08-29</t>
    </r>
    <r>
      <rPr>
        <b val="true"/>
        <sz val="10"/>
        <rFont val="Noto Sans CJK SC"/>
        <family val="2"/>
      </rPr>
      <t xml:space="preserve">〜</t>
    </r>
    <r>
      <rPr>
        <b val="true"/>
        <sz val="10"/>
        <rFont val="Arial"/>
        <family val="0"/>
        <charset val="1"/>
      </rPr>
      <t xml:space="preserve">31</t>
    </r>
    <r>
      <rPr>
        <b val="true"/>
        <sz val="10"/>
        <rFont val="Noto Sans CJK SC"/>
        <family val="2"/>
      </rPr>
      <t xml:space="preserve">・ショート最終行）</t>
    </r>
  </si>
  <si>
    <r>
      <rPr>
        <b val="true"/>
        <sz val="10"/>
        <color rgb="FFFFFFFF"/>
        <rFont val="Noto Sans CJK SC"/>
        <family val="2"/>
      </rPr>
      <t xml:space="preserve">高評価</t>
    </r>
    <r>
      <rPr>
        <b val="true"/>
        <sz val="10"/>
        <color rgb="FFFFFFFF"/>
        <rFont val="Arial"/>
        <family val="0"/>
        <charset val="1"/>
      </rPr>
      <t xml:space="preserve">CTA</t>
    </r>
  </si>
  <si>
    <r>
      <rPr>
        <b val="true"/>
        <sz val="10"/>
        <color rgb="FFFFFFFF"/>
        <rFont val="Noto Sans CJK SC"/>
        <family val="2"/>
      </rPr>
      <t xml:space="preserve">登録</t>
    </r>
    <r>
      <rPr>
        <b val="true"/>
        <sz val="10"/>
        <color rgb="FFFFFFFF"/>
        <rFont val="Arial"/>
        <family val="0"/>
        <charset val="1"/>
      </rPr>
      <t xml:space="preserve">CTA</t>
    </r>
  </si>
  <si>
    <t xml:space="preserve">両方</t>
  </si>
  <si>
    <t xml:space="preserve">■ 競合比較（最新スキャン）</t>
  </si>
  <si>
    <r>
      <rPr>
        <b val="true"/>
        <sz val="10"/>
        <color rgb="FFFFFFFF"/>
        <rFont val="Noto Sans CJK SC"/>
        <family val="2"/>
      </rPr>
      <t xml:space="preserve">自</t>
    </r>
    <r>
      <rPr>
        <b val="true"/>
        <sz val="10"/>
        <color rgb="FFFFFFFF"/>
        <rFont val="Arial"/>
        <family val="0"/>
        <charset val="1"/>
      </rPr>
      <t xml:space="preserve">ch</t>
    </r>
  </si>
  <si>
    <t xml:space="preserve">競合チャンネル</t>
  </si>
  <si>
    <t xml:space="preserve">登録者数</t>
  </si>
  <si>
    <t xml:space="preserve">週間投稿数</t>
  </si>
  <si>
    <t xml:space="preserve">調査日</t>
  </si>
  <si>
    <r>
      <rPr>
        <sz val="10"/>
        <rFont val="Arial"/>
        <family val="0"/>
        <charset val="1"/>
      </rPr>
      <t xml:space="preserve">2</t>
    </r>
    <r>
      <rPr>
        <sz val="10"/>
        <rFont val="Noto Sans CJK SC"/>
        <family val="2"/>
      </rPr>
      <t xml:space="preserve">ちゃんねる面白スレまとめ【ゆっくり解説】</t>
    </r>
  </si>
  <si>
    <r>
      <rPr>
        <sz val="10"/>
        <rFont val="Arial"/>
        <family val="0"/>
        <charset val="1"/>
      </rPr>
      <t xml:space="preserve">2ch</t>
    </r>
    <r>
      <rPr>
        <sz val="10"/>
        <rFont val="Noto Sans CJK SC"/>
        <family val="2"/>
      </rPr>
      <t xml:space="preserve">面白いスレまとめイッチーズ</t>
    </r>
  </si>
  <si>
    <r>
      <rPr>
        <sz val="10"/>
        <rFont val="Arial"/>
        <family val="0"/>
        <charset val="1"/>
      </rPr>
      <t xml:space="preserve">2ch</t>
    </r>
    <r>
      <rPr>
        <sz val="10"/>
        <rFont val="Noto Sans CJK SC"/>
        <family val="2"/>
      </rPr>
      <t xml:space="preserve">の質問ある</t>
    </r>
    <r>
      <rPr>
        <sz val="10"/>
        <rFont val="Arial"/>
        <family val="0"/>
        <charset val="1"/>
      </rPr>
      <t xml:space="preserve">?</t>
    </r>
    <r>
      <rPr>
        <sz val="10"/>
        <rFont val="Noto Sans CJK SC"/>
        <family val="2"/>
      </rPr>
      <t xml:space="preserve">スレまとめ【ゆっくり夫】</t>
    </r>
  </si>
  <si>
    <r>
      <rPr>
        <sz val="10"/>
        <rFont val="Arial"/>
        <family val="0"/>
        <charset val="1"/>
      </rPr>
      <t xml:space="preserve">2ch</t>
    </r>
    <r>
      <rPr>
        <sz val="10"/>
        <rFont val="Noto Sans CJK SC"/>
        <family val="2"/>
      </rPr>
      <t xml:space="preserve">修羅場スレ【ゆっくり解説】</t>
    </r>
  </si>
  <si>
    <r>
      <rPr>
        <sz val="10"/>
        <rFont val="Noto Sans CJK SC"/>
        <family val="2"/>
      </rPr>
      <t xml:space="preserve">ゆっくり</t>
    </r>
    <r>
      <rPr>
        <sz val="10"/>
        <rFont val="Arial"/>
        <family val="0"/>
        <charset val="1"/>
      </rPr>
      <t xml:space="preserve">2ch</t>
    </r>
    <r>
      <rPr>
        <sz val="10"/>
        <rFont val="Noto Sans CJK SC"/>
        <family val="2"/>
      </rPr>
      <t xml:space="preserve">まとめ解説</t>
    </r>
  </si>
  <si>
    <r>
      <rPr>
        <sz val="10"/>
        <rFont val="Noto Sans CJK SC"/>
        <family val="2"/>
      </rPr>
      <t xml:space="preserve">ネッカのボケて</t>
    </r>
    <r>
      <rPr>
        <sz val="10"/>
        <rFont val="Arial"/>
        <family val="0"/>
        <charset val="1"/>
      </rPr>
      <t xml:space="preserve">2ch</t>
    </r>
    <r>
      <rPr>
        <sz val="10"/>
        <rFont val="Noto Sans CJK SC"/>
        <family val="2"/>
      </rPr>
      <t xml:space="preserve">まとめ【ゆっくり解説】</t>
    </r>
  </si>
  <si>
    <r>
      <rPr>
        <sz val="10"/>
        <rFont val="Arial"/>
        <family val="0"/>
        <charset val="1"/>
      </rPr>
      <t xml:space="preserve">2ch</t>
    </r>
    <r>
      <rPr>
        <sz val="10"/>
        <rFont val="Noto Sans CJK SC"/>
        <family val="2"/>
      </rPr>
      <t xml:space="preserve">面白いスレまとめ【ゆっくり解説】</t>
    </r>
  </si>
  <si>
    <r>
      <rPr>
        <sz val="10"/>
        <rFont val="Noto Sans CJK SC"/>
        <family val="2"/>
      </rPr>
      <t xml:space="preserve">シバ吉のゆっくり</t>
    </r>
    <r>
      <rPr>
        <sz val="10"/>
        <rFont val="Arial"/>
        <family val="0"/>
        <charset val="1"/>
      </rPr>
      <t xml:space="preserve">2ch</t>
    </r>
    <r>
      <rPr>
        <sz val="10"/>
        <rFont val="Noto Sans CJK SC"/>
        <family val="2"/>
      </rPr>
      <t xml:space="preserve">まとめ</t>
    </r>
  </si>
  <si>
    <t xml:space="preserve">akashic-librarian</t>
  </si>
  <si>
    <t xml:space="preserve">闇世界のツーリスト【ゆっくり解説】</t>
  </si>
  <si>
    <r>
      <rPr>
        <sz val="10"/>
        <rFont val="Noto Sans CJK SC"/>
        <family val="2"/>
      </rPr>
      <t xml:space="preserve">おしえて</t>
    </r>
    <r>
      <rPr>
        <sz val="10"/>
        <rFont val="Arial"/>
        <family val="0"/>
        <charset val="1"/>
      </rPr>
      <t xml:space="preserve">!</t>
    </r>
    <r>
      <rPr>
        <sz val="10"/>
        <rFont val="Noto Sans CJK SC"/>
        <family val="2"/>
      </rPr>
      <t xml:space="preserve">オカルト先生</t>
    </r>
  </si>
  <si>
    <t xml:space="preserve">世界の未解明ミステリー【ゆっくり解説】</t>
  </si>
  <si>
    <t xml:space="preserve">オカルトざんまい【ゆっくり解説】</t>
  </si>
  <si>
    <t xml:space="preserve">闇のミステリーハンター【ゆっくり解説】</t>
  </si>
  <si>
    <t xml:space="preserve">闇ニュースをゆっくり解説【ダーク・都市伝説】</t>
  </si>
  <si>
    <t xml:space="preserve">【ゆっくり解説】〇〇にまつわる都市伝説</t>
  </si>
  <si>
    <t xml:space="preserve">カカチャンネル</t>
  </si>
  <si>
    <r>
      <rPr>
        <sz val="10"/>
        <rFont val="Noto Sans CJK SC"/>
        <family val="2"/>
      </rPr>
      <t xml:space="preserve">ゆっくり企業解説</t>
    </r>
    <r>
      <rPr>
        <sz val="10"/>
        <rFont val="Arial"/>
        <family val="0"/>
        <charset val="1"/>
      </rPr>
      <t xml:space="preserve">&amp;</t>
    </r>
    <r>
      <rPr>
        <sz val="10"/>
        <rFont val="Noto Sans CJK SC"/>
        <family val="2"/>
      </rPr>
      <t xml:space="preserve">決算</t>
    </r>
  </si>
  <si>
    <t xml:space="preserve">しくじり企業列伝【ゆっくり解説】</t>
  </si>
  <si>
    <t xml:space="preserve">ゆっくり企業</t>
  </si>
  <si>
    <t xml:space="preserve">【企業のｱﾚｺﾚ】ゆっくり解説</t>
  </si>
  <si>
    <t xml:space="preserve">お金の光と闇【ゆっくり解説】</t>
  </si>
  <si>
    <t xml:space="preserve">ゆっくり企業解説</t>
  </si>
  <si>
    <r>
      <rPr>
        <sz val="10"/>
        <rFont val="Arial"/>
        <family val="0"/>
        <charset val="1"/>
      </rPr>
      <t xml:space="preserve">VAIENCE </t>
    </r>
    <r>
      <rPr>
        <sz val="10"/>
        <rFont val="Noto Sans CJK SC"/>
        <family val="2"/>
      </rPr>
      <t xml:space="preserve">バイエンス</t>
    </r>
  </si>
  <si>
    <t xml:space="preserve">るーいのゆっくり科学</t>
  </si>
  <si>
    <r>
      <rPr>
        <sz val="10"/>
        <rFont val="Noto Sans CJK SC"/>
        <family val="2"/>
      </rPr>
      <t xml:space="preserve">【ゆっくり解説】</t>
    </r>
    <r>
      <rPr>
        <sz val="10"/>
        <rFont val="Arial"/>
        <family val="0"/>
        <charset val="1"/>
      </rPr>
      <t xml:space="preserve">9</t>
    </r>
    <r>
      <rPr>
        <sz val="10"/>
        <rFont val="Noto Sans CJK SC"/>
        <family val="2"/>
      </rPr>
      <t xml:space="preserve">割が知らない雑学</t>
    </r>
  </si>
  <si>
    <r>
      <rPr>
        <sz val="10"/>
        <rFont val="Noto Sans CJK SC"/>
        <family val="2"/>
      </rPr>
      <t xml:space="preserve">サイエンスドリーム 【</t>
    </r>
    <r>
      <rPr>
        <sz val="10"/>
        <rFont val="Arial"/>
        <family val="0"/>
        <charset val="1"/>
      </rPr>
      <t xml:space="preserve">Science Dream</t>
    </r>
    <r>
      <rPr>
        <sz val="10"/>
        <rFont val="Noto Sans CJK SC"/>
        <family val="2"/>
      </rPr>
      <t xml:space="preserve">】</t>
    </r>
  </si>
  <si>
    <t xml:space="preserve">化け学のふしぎ【ゆっくり解説】</t>
  </si>
  <si>
    <t xml:space="preserve">ゆっくり宇宙教室</t>
  </si>
  <si>
    <t xml:space="preserve">ゆっくり生物チャンネル【ゆっくり解説】</t>
  </si>
  <si>
    <t xml:space="preserve">デルタのゆっくり科学</t>
  </si>
  <si>
    <t xml:space="preserve">裏しまたろう【雑学科学ゆっくり解説チャンネル】</t>
  </si>
  <si>
    <r>
      <rPr>
        <sz val="10"/>
        <rFont val="Noto Sans CJK SC"/>
        <family val="2"/>
      </rPr>
      <t xml:space="preserve">レアな雑学</t>
    </r>
    <r>
      <rPr>
        <sz val="10"/>
        <rFont val="Arial"/>
        <family val="0"/>
        <charset val="1"/>
      </rPr>
      <t xml:space="preserve">ch</t>
    </r>
    <r>
      <rPr>
        <sz val="10"/>
        <rFont val="Noto Sans CJK SC"/>
        <family val="2"/>
      </rPr>
      <t xml:space="preserve">　科学部の姉妹</t>
    </r>
  </si>
  <si>
    <r>
      <rPr>
        <sz val="10"/>
        <rFont val="Noto Sans CJK SC"/>
        <family val="2"/>
      </rPr>
      <t xml:space="preserve">ポケ文句</t>
    </r>
    <r>
      <rPr>
        <sz val="10"/>
        <rFont val="Arial"/>
        <family val="0"/>
        <charset val="1"/>
      </rPr>
      <t xml:space="preserve">2 (Pokemon Theories)</t>
    </r>
  </si>
  <si>
    <r>
      <rPr>
        <sz val="10"/>
        <rFont val="Noto Sans CJK SC"/>
        <family val="2"/>
      </rPr>
      <t xml:space="preserve">ポケモンゆっくり解説</t>
    </r>
    <r>
      <rPr>
        <sz val="10"/>
        <rFont val="Arial"/>
        <family val="0"/>
        <charset val="1"/>
      </rPr>
      <t xml:space="preserve">ch</t>
    </r>
  </si>
  <si>
    <r>
      <rPr>
        <sz val="10"/>
        <rFont val="Noto Sans CJK SC"/>
        <family val="2"/>
      </rPr>
      <t xml:space="preserve">ポケモンの歴史解説</t>
    </r>
    <r>
      <rPr>
        <sz val="10"/>
        <rFont val="Arial"/>
        <family val="0"/>
        <charset val="1"/>
      </rPr>
      <t xml:space="preserve">ch</t>
    </r>
  </si>
  <si>
    <t xml:space="preserve">ポケモン歴史書【ゆっくり解説】</t>
  </si>
  <si>
    <t xml:space="preserve">ポケここ【ポケモン考察】</t>
  </si>
  <si>
    <t xml:space="preserve">【ゆっくり解説】ポケモン委員会</t>
  </si>
  <si>
    <t xml:space="preserve">ポケモン雑学【ゆっくり解説】</t>
  </si>
  <si>
    <r>
      <rPr>
        <sz val="10"/>
        <rFont val="Arial"/>
        <family val="0"/>
        <charset val="1"/>
      </rPr>
      <t xml:space="preserve">SCP</t>
    </r>
    <r>
      <rPr>
        <sz val="10"/>
        <rFont val="Noto Sans CJK SC"/>
        <family val="2"/>
      </rPr>
      <t xml:space="preserve">図鑑</t>
    </r>
  </si>
  <si>
    <r>
      <rPr>
        <sz val="10"/>
        <rFont val="Arial"/>
        <family val="0"/>
        <charset val="1"/>
      </rPr>
      <t xml:space="preserve">404studio_</t>
    </r>
    <r>
      <rPr>
        <sz val="10"/>
        <rFont val="Noto Sans CJK SC"/>
        <family val="2"/>
      </rPr>
      <t xml:space="preserve">ゆっくり</t>
    </r>
    <r>
      <rPr>
        <sz val="10"/>
        <rFont val="Arial"/>
        <family val="0"/>
        <charset val="1"/>
      </rPr>
      <t xml:space="preserve">SCP</t>
    </r>
    <r>
      <rPr>
        <sz val="10"/>
        <rFont val="Noto Sans CJK SC"/>
        <family val="2"/>
      </rPr>
      <t xml:space="preserve">解説</t>
    </r>
  </si>
  <si>
    <t xml:space="preserve">サリーの部屋</t>
  </si>
  <si>
    <r>
      <rPr>
        <sz val="10"/>
        <rFont val="Arial"/>
        <family val="0"/>
        <charset val="1"/>
      </rPr>
      <t xml:space="preserve">SCP </t>
    </r>
    <r>
      <rPr>
        <sz val="10"/>
        <rFont val="Noto Sans CJK SC"/>
        <family val="2"/>
      </rPr>
      <t xml:space="preserve">アニメーションズ </t>
    </r>
    <r>
      <rPr>
        <sz val="10"/>
        <rFont val="Arial"/>
        <family val="0"/>
        <charset val="1"/>
      </rPr>
      <t xml:space="preserve">From Japan</t>
    </r>
  </si>
  <si>
    <r>
      <rPr>
        <sz val="10"/>
        <rFont val="Noto Sans CJK SC"/>
        <family val="2"/>
      </rPr>
      <t xml:space="preserve">鮭しゃぶ【ゆっくり</t>
    </r>
    <r>
      <rPr>
        <sz val="10"/>
        <rFont val="Arial"/>
        <family val="0"/>
        <charset val="1"/>
      </rPr>
      <t xml:space="preserve">SCP</t>
    </r>
    <r>
      <rPr>
        <sz val="10"/>
        <rFont val="Noto Sans CJK SC"/>
        <family val="2"/>
      </rPr>
      <t xml:space="preserve">解説】</t>
    </r>
  </si>
  <si>
    <r>
      <rPr>
        <sz val="10"/>
        <rFont val="Arial"/>
        <family val="0"/>
        <charset val="1"/>
      </rPr>
      <t xml:space="preserve">SCP</t>
    </r>
    <r>
      <rPr>
        <sz val="10"/>
        <rFont val="Noto Sans CJK SC"/>
        <family val="2"/>
      </rPr>
      <t xml:space="preserve">美術館【解説】</t>
    </r>
  </si>
  <si>
    <t xml:space="preserve">ゆっくりまほろ</t>
  </si>
  <si>
    <r>
      <rPr>
        <sz val="10"/>
        <rFont val="Noto Sans CJK SC"/>
        <family val="2"/>
      </rPr>
      <t xml:space="preserve">ぜーたのゆっくり</t>
    </r>
    <r>
      <rPr>
        <sz val="10"/>
        <rFont val="Arial"/>
        <family val="0"/>
        <charset val="1"/>
      </rPr>
      <t xml:space="preserve">SCP</t>
    </r>
    <r>
      <rPr>
        <sz val="10"/>
        <rFont val="Noto Sans CJK SC"/>
        <family val="2"/>
      </rPr>
      <t xml:space="preserve">解説</t>
    </r>
  </si>
  <si>
    <t xml:space="preserve">東雲 篠</t>
  </si>
  <si>
    <t xml:space="preserve">左上哀歌</t>
  </si>
  <si>
    <t xml:space="preserve">【妖怪解説】よもやま安国寺</t>
  </si>
  <si>
    <t xml:space="preserve">ゆっくり妖怪解説むむ</t>
  </si>
  <si>
    <t xml:space="preserve">ゆっくり奇譚研究所</t>
  </si>
  <si>
    <t xml:space="preserve">妖怪解説録</t>
  </si>
  <si>
    <r>
      <rPr>
        <i val="true"/>
        <sz val="9"/>
        <color rgb="FF595959"/>
        <rFont val="Noto Sans CJK SC"/>
        <family val="2"/>
      </rPr>
      <t xml:space="preserve">→ 競合は週</t>
    </r>
    <r>
      <rPr>
        <i val="true"/>
        <sz val="9"/>
        <color rgb="FF595959"/>
        <rFont val="Arial"/>
        <family val="0"/>
        <charset val="1"/>
      </rPr>
      <t xml:space="preserve">0.5</t>
    </r>
    <r>
      <rPr>
        <i val="true"/>
        <sz val="9"/>
        <color rgb="FF595959"/>
        <rFont val="Noto Sans CJK SC"/>
        <family val="2"/>
      </rPr>
      <t xml:space="preserve">〜</t>
    </r>
    <r>
      <rPr>
        <i val="true"/>
        <sz val="9"/>
        <color rgb="FF595959"/>
        <rFont val="Arial"/>
        <family val="0"/>
        <charset val="1"/>
      </rPr>
      <t xml:space="preserve">2.5</t>
    </r>
    <r>
      <rPr>
        <i val="true"/>
        <sz val="9"/>
        <color rgb="FF595959"/>
        <rFont val="Noto Sans CJK SC"/>
        <family val="2"/>
      </rPr>
      <t xml:space="preserve">本で平均視聴回数が桁違い。本数ではなく</t>
    </r>
    <r>
      <rPr>
        <i val="true"/>
        <sz val="9"/>
        <color rgb="FF595959"/>
        <rFont val="Arial"/>
        <family val="0"/>
        <charset val="1"/>
      </rPr>
      <t xml:space="preserve">1</t>
    </r>
    <r>
      <rPr>
        <i val="true"/>
        <sz val="9"/>
        <color rgb="FF595959"/>
        <rFont val="Noto Sans CJK SC"/>
        <family val="2"/>
      </rPr>
      <t xml:space="preserve">本あたりの質で差がついており、毎日投稿の維持より</t>
    </r>
    <r>
      <rPr>
        <i val="true"/>
        <sz val="9"/>
        <color rgb="FF595959"/>
        <rFont val="Arial"/>
        <family val="0"/>
        <charset val="1"/>
      </rPr>
      <t xml:space="preserve">CTA</t>
    </r>
    <r>
      <rPr>
        <i val="true"/>
        <sz val="9"/>
        <color rgb="FF595959"/>
        <rFont val="Noto Sans CJK SC"/>
        <family val="2"/>
      </rPr>
      <t xml:space="preserve">・高評価率の改善を優先する根拠になる。</t>
    </r>
  </si>
</sst>
</file>

<file path=xl/styles.xml><?xml version="1.0" encoding="utf-8"?>
<styleSheet xmlns="http://schemas.openxmlformats.org/spreadsheetml/2006/main">
  <numFmts count="9">
    <numFmt numFmtId="164" formatCode="General"/>
    <numFmt numFmtId="165" formatCode="#,##0"/>
    <numFmt numFmtId="166" formatCode="0.000%"/>
    <numFmt numFmtId="167" formatCode="0.00"/>
    <numFmt numFmtId="168" formatCode="0.0\x"/>
    <numFmt numFmtId="169" formatCode="0%"/>
    <numFmt numFmtId="170" formatCode="0.00%"/>
    <numFmt numFmtId="171" formatCode="0.0%"/>
    <numFmt numFmtId="172" formatCode="0.0"/>
  </numFmts>
  <fonts count="18">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4"/>
      <color rgb="FF1F3864"/>
      <name val="Noto Sans CJK SC"/>
      <family val="2"/>
    </font>
    <font>
      <i val="true"/>
      <sz val="9"/>
      <color rgb="FF595959"/>
      <name val="Noto Sans CJK SC"/>
      <family val="2"/>
    </font>
    <font>
      <i val="true"/>
      <sz val="9"/>
      <color rgb="FF595959"/>
      <name val="Arial"/>
      <family val="0"/>
      <charset val="1"/>
    </font>
    <font>
      <b val="true"/>
      <sz val="10"/>
      <name val="Noto Sans CJK SC"/>
      <family val="2"/>
    </font>
    <font>
      <sz val="10"/>
      <name val="Noto Sans CJK SC"/>
      <family val="2"/>
    </font>
    <font>
      <sz val="10"/>
      <name val="Arial"/>
      <family val="0"/>
      <charset val="1"/>
    </font>
    <font>
      <b val="true"/>
      <sz val="10"/>
      <color rgb="FFFFFFFF"/>
      <name val="Arial"/>
      <family val="0"/>
      <charset val="1"/>
    </font>
    <font>
      <b val="true"/>
      <sz val="10"/>
      <color rgb="FFFFFFFF"/>
      <name val="Noto Sans CJK SC"/>
      <family val="2"/>
    </font>
    <font>
      <b val="true"/>
      <sz val="10"/>
      <name val="Arial"/>
      <family val="0"/>
      <charset val="1"/>
    </font>
    <font>
      <i val="true"/>
      <sz val="9"/>
      <color rgb="FFC00000"/>
      <name val="Noto Sans CJK SC"/>
      <family val="2"/>
    </font>
    <font>
      <sz val="10"/>
      <name val="Arial"/>
      <family val="2"/>
    </font>
    <font>
      <sz val="10"/>
      <color rgb="FFA6A6A6"/>
      <name val="Arial"/>
      <family val="0"/>
      <charset val="1"/>
    </font>
    <font>
      <sz val="10"/>
      <color rgb="FFA6A6A6"/>
      <name val="Noto Sans CJK SC"/>
      <family val="2"/>
    </font>
  </fonts>
  <fills count="7">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E2EFDA"/>
        <bgColor rgb="FFFFF2CC"/>
      </patternFill>
    </fill>
    <fill>
      <patternFill patternType="solid">
        <fgColor rgb="FFFCE4E4"/>
        <bgColor rgb="FFFFF2CC"/>
      </patternFill>
    </fill>
    <fill>
      <patternFill patternType="solid">
        <fgColor rgb="FFFFF2CC"/>
        <bgColor rgb="FFFCE4E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7" fontId="13" fillId="3"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7" fontId="10" fillId="4" borderId="1" xfId="0" applyFont="true" applyBorder="true" applyAlignment="false" applyProtection="false">
      <alignment horizontal="general" vertical="bottom" textRotation="0" wrapText="false" indent="0" shrinkToFit="false"/>
      <protection locked="true" hidden="false"/>
    </xf>
    <xf numFmtId="168" fontId="10" fillId="4"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xf numFmtId="170" fontId="10" fillId="0" borderId="1" xfId="0" applyFont="true" applyBorder="true" applyAlignment="false" applyProtection="false">
      <alignment horizontal="general" vertical="bottom" textRotation="0" wrapText="false" indent="0" shrinkToFit="false"/>
      <protection locked="true" hidden="false"/>
    </xf>
    <xf numFmtId="171" fontId="10"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5" fontId="16" fillId="0" borderId="1" xfId="0" applyFont="true" applyBorder="true" applyAlignment="false" applyProtection="false">
      <alignment horizontal="general" vertical="bottom" textRotation="0" wrapText="false" indent="0" shrinkToFit="false"/>
      <protection locked="true" hidden="false"/>
    </xf>
    <xf numFmtId="166" fontId="16" fillId="0" borderId="1" xfId="0" applyFont="true" applyBorder="true" applyAlignment="false" applyProtection="false">
      <alignment horizontal="general" vertical="bottom" textRotation="0" wrapText="false" indent="0" shrinkToFit="false"/>
      <protection locked="true" hidden="false"/>
    </xf>
    <xf numFmtId="167" fontId="16" fillId="0" borderId="1" xfId="0" applyFont="true" applyBorder="true" applyAlignment="false" applyProtection="false">
      <alignment horizontal="general" vertical="bottom" textRotation="0" wrapText="false" indent="0" shrinkToFit="false"/>
      <protection locked="true" hidden="false"/>
    </xf>
    <xf numFmtId="170" fontId="16" fillId="0" borderId="1" xfId="0" applyFont="true" applyBorder="true" applyAlignment="false" applyProtection="false">
      <alignment horizontal="general" vertical="bottom" textRotation="0" wrapText="false" indent="0" shrinkToFit="false"/>
      <protection locked="true" hidden="false"/>
    </xf>
    <xf numFmtId="171" fontId="16" fillId="0"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6" fontId="10" fillId="5" borderId="1" xfId="0" applyFont="true" applyBorder="true" applyAlignment="false" applyProtection="false">
      <alignment horizontal="general" vertical="bottom" textRotation="0" wrapText="false" indent="0" shrinkToFit="false"/>
      <protection locked="true" hidden="false"/>
    </xf>
    <xf numFmtId="166" fontId="10" fillId="4"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9" fontId="10" fillId="5" borderId="1" xfId="0" applyFont="true" applyBorder="true" applyAlignment="false" applyProtection="false">
      <alignment horizontal="general" vertical="bottom" textRotation="0" wrapText="false" indent="0" shrinkToFit="false"/>
      <protection locked="true" hidden="false"/>
    </xf>
    <xf numFmtId="172" fontId="10"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A6A6A6"/>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595959"/>
      <rgbColor rgb="FFA6A6A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5"/>
  <sheetViews>
    <sheetView showFormulas="false" showGridLines="true" showRowColHeaders="true" showZeros="true" rightToLeft="false" tabSelected="true" showOutlineSymbols="true" defaultGridColor="true" view="normal" topLeftCell="A3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10"/>
    <col collapsed="false" customWidth="true" hidden="false" outlineLevel="0" max="3" min="3" style="0" width="14"/>
    <col collapsed="false" customWidth="true" hidden="false" outlineLevel="0" max="4" min="4" style="0" width="15"/>
    <col collapsed="false" customWidth="true" hidden="false" outlineLevel="0" max="5" min="5" style="0" width="12"/>
    <col collapsed="false" customWidth="true" hidden="false" outlineLevel="0" max="6" min="6" style="0" width="14"/>
    <col collapsed="false" customWidth="true" hidden="false" outlineLevel="0" max="7" min="7" style="0" width="10"/>
    <col collapsed="false" customWidth="true" hidden="false" outlineLevel="0" max="8" min="8" style="0" width="62"/>
  </cols>
  <sheetData>
    <row r="1" customFormat="false" ht="21.6"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27.75" hidden="false" customHeight="true" outlineLevel="0" collapsed="false">
      <c r="A5" s="4" t="s">
        <v>3</v>
      </c>
      <c r="B5" s="4"/>
      <c r="C5" s="4"/>
      <c r="D5" s="4"/>
      <c r="E5" s="4"/>
      <c r="F5" s="4"/>
      <c r="G5" s="4"/>
      <c r="H5" s="4"/>
      <c r="I5" s="4"/>
    </row>
    <row r="6" customFormat="false" ht="27.75" hidden="false" customHeight="true" outlineLevel="0" collapsed="false">
      <c r="A6" s="4" t="s">
        <v>4</v>
      </c>
      <c r="B6" s="4"/>
      <c r="C6" s="4"/>
      <c r="D6" s="4"/>
      <c r="E6" s="4"/>
      <c r="F6" s="4"/>
      <c r="G6" s="4"/>
      <c r="H6" s="4"/>
      <c r="I6" s="4"/>
    </row>
    <row r="7" customFormat="false" ht="27.75" hidden="false" customHeight="true" outlineLevel="0" collapsed="false">
      <c r="A7" s="4" t="s">
        <v>5</v>
      </c>
      <c r="B7" s="4"/>
      <c r="C7" s="4"/>
      <c r="D7" s="4"/>
      <c r="E7" s="4"/>
      <c r="F7" s="4"/>
      <c r="G7" s="4"/>
      <c r="H7" s="4"/>
      <c r="I7" s="4"/>
    </row>
    <row r="8" customFormat="false" ht="27.75" hidden="false" customHeight="true" outlineLevel="0" collapsed="false">
      <c r="A8" s="4" t="s">
        <v>6</v>
      </c>
      <c r="B8" s="4"/>
      <c r="C8" s="4"/>
      <c r="D8" s="4"/>
      <c r="E8" s="4"/>
      <c r="F8" s="4"/>
      <c r="G8" s="4"/>
      <c r="H8" s="4"/>
      <c r="I8" s="4"/>
    </row>
    <row r="9" customFormat="false" ht="27.75" hidden="false" customHeight="true" outlineLevel="0" collapsed="false">
      <c r="A9" s="4" t="s">
        <v>7</v>
      </c>
      <c r="B9" s="4"/>
      <c r="C9" s="4"/>
      <c r="D9" s="4"/>
      <c r="E9" s="4"/>
      <c r="F9" s="4"/>
      <c r="G9" s="4"/>
      <c r="H9" s="4"/>
      <c r="I9" s="4"/>
    </row>
    <row r="10" customFormat="false" ht="27.75" hidden="false" customHeight="true" outlineLevel="0" collapsed="false">
      <c r="A10" s="4" t="s">
        <v>8</v>
      </c>
      <c r="B10" s="4"/>
      <c r="C10" s="4"/>
      <c r="D10" s="4"/>
      <c r="E10" s="4"/>
      <c r="F10" s="4"/>
      <c r="G10" s="4"/>
      <c r="H10" s="4"/>
      <c r="I10" s="4"/>
    </row>
    <row r="12" customFormat="false" ht="15" hidden="false" customHeight="false" outlineLevel="0" collapsed="false">
      <c r="A12" s="3" t="s">
        <v>9</v>
      </c>
    </row>
    <row r="13" customFormat="false" ht="15" hidden="false" customHeight="false" outlineLevel="0" collapsed="false">
      <c r="A13" s="5" t="s">
        <v>10</v>
      </c>
      <c r="B13" s="6" t="s">
        <v>11</v>
      </c>
      <c r="C13" s="6" t="s">
        <v>12</v>
      </c>
      <c r="D13" s="6" t="s">
        <v>13</v>
      </c>
      <c r="E13" s="6" t="s">
        <v>14</v>
      </c>
      <c r="F13" s="6" t="s">
        <v>15</v>
      </c>
      <c r="G13" s="6" t="s">
        <v>16</v>
      </c>
      <c r="H13" s="6" t="s">
        <v>17</v>
      </c>
    </row>
    <row r="14" customFormat="false" ht="33.75" hidden="false" customHeight="true" outlineLevel="0" collapsed="false">
      <c r="A14" s="7" t="s">
        <v>18</v>
      </c>
      <c r="B14" s="7" t="n">
        <f aca="false">COUNTIFS(動画別パフォーマンス!$A:$A,A14,動画別パフォーマンス!$M:$M,"○")</f>
        <v>117</v>
      </c>
      <c r="C14" s="8" t="n">
        <f aca="false">SUMIFS(動画別パフォーマンス!$D:$D,動画別パフォーマンス!$A:$A,A14,動画別パフォーマンス!$M:$M,"○")</f>
        <v>110646</v>
      </c>
      <c r="D14" s="9" t="n">
        <f aca="false">IF(C14=0,0,SUMIFS(動画別パフォーマンス!$E:$E,動画別パフォーマンス!$A:$A,A14,動画別パフォーマンス!$M:$M,"○")/C14)</f>
        <v>0.00457314317734035</v>
      </c>
      <c r="E14" s="7" t="n">
        <f aca="false">SUMIFS(動画別パフォーマンス!$G:$G,動画別パフォーマンス!$A:$A,A14,動画別パフォーマンス!$M:$M,"○")</f>
        <v>41</v>
      </c>
      <c r="F14" s="10" t="n">
        <f aca="false">IF(C14=0,0,E14/C14*1000)</f>
        <v>0.370551127017696</v>
      </c>
      <c r="G14" s="11" t="str">
        <f aca="false">IF(F14&gt;=0.7,"良好",IF(F14&gt;=0.35,"要改善","危険"))</f>
        <v>要改善</v>
      </c>
      <c r="H14" s="12" t="s">
        <v>19</v>
      </c>
    </row>
    <row r="15" customFormat="false" ht="33.75" hidden="false" customHeight="true" outlineLevel="0" collapsed="false">
      <c r="A15" s="7" t="s">
        <v>20</v>
      </c>
      <c r="B15" s="7" t="n">
        <f aca="false">COUNTIFS(動画別パフォーマンス!$A:$A,A15,動画別パフォーマンス!$M:$M,"○")</f>
        <v>99</v>
      </c>
      <c r="C15" s="8" t="n">
        <f aca="false">SUMIFS(動画別パフォーマンス!$D:$D,動画別パフォーマンス!$A:$A,A15,動画別パフォーマンス!$M:$M,"○")</f>
        <v>86345</v>
      </c>
      <c r="D15" s="9" t="n">
        <f aca="false">IF(C15=0,0,SUMIFS(動画別パフォーマンス!$E:$E,動画別パフォーマンス!$A:$A,A15,動画別パフォーマンス!$M:$M,"○")/C15)</f>
        <v>0.00459783426950026</v>
      </c>
      <c r="E15" s="7" t="n">
        <f aca="false">SUMIFS(動画別パフォーマンス!$G:$G,動画別パフォーマンス!$A:$A,A15,動画別パフォーマンス!$M:$M,"○")</f>
        <v>66</v>
      </c>
      <c r="F15" s="10" t="n">
        <f aca="false">IF(C15=0,0,E15/C15*1000)</f>
        <v>0.764375470496265</v>
      </c>
      <c r="G15" s="11" t="str">
        <f aca="false">IF(F15&gt;=0.7,"良好",IF(F15&gt;=0.35,"要改善","危険"))</f>
        <v>良好</v>
      </c>
      <c r="H15" s="12" t="s">
        <v>21</v>
      </c>
    </row>
    <row r="16" customFormat="false" ht="33.75" hidden="false" customHeight="true" outlineLevel="0" collapsed="false">
      <c r="A16" s="7" t="s">
        <v>22</v>
      </c>
      <c r="B16" s="7" t="n">
        <f aca="false">COUNTIFS(動画別パフォーマンス!$A:$A,A16,動画別パフォーマンス!$M:$M,"○")</f>
        <v>30</v>
      </c>
      <c r="C16" s="8" t="n">
        <f aca="false">SUMIFS(動画別パフォーマンス!$D:$D,動画別パフォーマンス!$A:$A,A16,動画別パフォーマンス!$M:$M,"○")</f>
        <v>32368</v>
      </c>
      <c r="D16" s="9" t="n">
        <f aca="false">IF(C16=0,0,SUMIFS(動画別パフォーマンス!$E:$E,動画別パフォーマンス!$A:$A,A16,動画別パフォーマンス!$M:$M,"○")/C16)</f>
        <v>0.00253336628769155</v>
      </c>
      <c r="E16" s="7" t="n">
        <f aca="false">SUMIFS(動画別パフォーマンス!$G:$G,動画別パフォーマンス!$A:$A,A16,動画別パフォーマンス!$M:$M,"○")</f>
        <v>5</v>
      </c>
      <c r="F16" s="10" t="n">
        <f aca="false">IF(C16=0,0,E16/C16*1000)</f>
        <v>0.154473554127533</v>
      </c>
      <c r="G16" s="11" t="str">
        <f aca="false">IF(F16&gt;=0.7,"良好",IF(F16&gt;=0.35,"要改善","危険"))</f>
        <v>危険</v>
      </c>
      <c r="H16" s="12" t="s">
        <v>23</v>
      </c>
    </row>
    <row r="17" customFormat="false" ht="33.75" hidden="false" customHeight="true" outlineLevel="0" collapsed="false">
      <c r="A17" s="7" t="s">
        <v>24</v>
      </c>
      <c r="B17" s="7" t="n">
        <f aca="false">COUNTIFS(動画別パフォーマンス!$A:$A,A17,動画別パフォーマンス!$M:$M,"○")</f>
        <v>30</v>
      </c>
      <c r="C17" s="8" t="n">
        <f aca="false">SUMIFS(動画別パフォーマンス!$D:$D,動画別パフォーマンス!$A:$A,A17,動画別パフォーマンス!$M:$M,"○")</f>
        <v>40101</v>
      </c>
      <c r="D17" s="9" t="n">
        <f aca="false">IF(C17=0,0,SUMIFS(動画別パフォーマンス!$E:$E,動画別パフォーマンス!$A:$A,A17,動画別パフォーマンス!$M:$M,"○")/C17)</f>
        <v>0.00291763297673375</v>
      </c>
      <c r="E17" s="7" t="n">
        <f aca="false">SUMIFS(動画別パフォーマンス!$G:$G,動画別パフォーマンス!$A:$A,A17,動画別パフォーマンス!$M:$M,"○")</f>
        <v>11</v>
      </c>
      <c r="F17" s="10" t="n">
        <f aca="false">IF(C17=0,0,E17/C17*1000)</f>
        <v>0.274307373880951</v>
      </c>
      <c r="G17" s="11" t="str">
        <f aca="false">IF(F17&gt;=0.7,"良好",IF(F17&gt;=0.35,"要改善","危険"))</f>
        <v>危険</v>
      </c>
      <c r="H17" s="12" t="s">
        <v>25</v>
      </c>
    </row>
    <row r="18" customFormat="false" ht="33.75" hidden="false" customHeight="true" outlineLevel="0" collapsed="false">
      <c r="A18" s="7" t="s">
        <v>26</v>
      </c>
      <c r="B18" s="7" t="n">
        <f aca="false">COUNTIFS(動画別パフォーマンス!$A:$A,A18,動画別パフォーマンス!$M:$M,"○")</f>
        <v>30</v>
      </c>
      <c r="C18" s="8" t="n">
        <f aca="false">SUMIFS(動画別パフォーマンス!$D:$D,動画別パフォーマンス!$A:$A,A18,動画別パフォーマンス!$M:$M,"○")</f>
        <v>39077</v>
      </c>
      <c r="D18" s="9" t="n">
        <f aca="false">IF(C18=0,0,SUMIFS(動画別パフォーマンス!$E:$E,動画別パフォーマンス!$A:$A,A18,動画別パフォーマンス!$M:$M,"○")/C18)</f>
        <v>0.00371062261688461</v>
      </c>
      <c r="E18" s="7" t="n">
        <f aca="false">SUMIFS(動画別パフォーマンス!$G:$G,動画別パフォーマンス!$A:$A,A18,動画別パフォーマンス!$M:$M,"○")</f>
        <v>11</v>
      </c>
      <c r="F18" s="10" t="n">
        <f aca="false">IF(C18=0,0,E18/C18*1000)</f>
        <v>0.281495508867109</v>
      </c>
      <c r="G18" s="11" t="str">
        <f aca="false">IF(F18&gt;=0.7,"良好",IF(F18&gt;=0.35,"要改善","危険"))</f>
        <v>危険</v>
      </c>
      <c r="H18" s="12" t="s">
        <v>27</v>
      </c>
    </row>
    <row r="19" customFormat="false" ht="33.75" hidden="false" customHeight="true" outlineLevel="0" collapsed="false">
      <c r="A19" s="7" t="s">
        <v>28</v>
      </c>
      <c r="B19" s="7" t="n">
        <f aca="false">COUNTIFS(動画別パフォーマンス!$A:$A,A19,動画別パフォーマンス!$M:$M,"○")</f>
        <v>0</v>
      </c>
      <c r="C19" s="8" t="n">
        <f aca="false">SUMIFS(動画別パフォーマンス!$D:$D,動画別パフォーマンス!$A:$A,A19,動画別パフォーマンス!$M:$M,"○")</f>
        <v>0</v>
      </c>
      <c r="D19" s="9" t="n">
        <f aca="false">IF(C19=0,0,SUMIFS(動画別パフォーマンス!$E:$E,動画別パフォーマンス!$A:$A,A19,動画別パフォーマンス!$M:$M,"○")/C19)</f>
        <v>0</v>
      </c>
      <c r="E19" s="7" t="n">
        <f aca="false">SUMIFS(動画別パフォーマンス!$G:$G,動画別パフォーマンス!$A:$A,A19,動画別パフォーマンス!$M:$M,"○")</f>
        <v>0</v>
      </c>
      <c r="F19" s="10" t="n">
        <f aca="false">IF(C19=0,0,E19/C19*1000)</f>
        <v>0</v>
      </c>
      <c r="G19" s="11" t="str">
        <f aca="false">IF(F19&gt;=0.7,"良好",IF(F19&gt;=0.35,"要改善","危険"))</f>
        <v>危険</v>
      </c>
      <c r="H19" s="13" t="s">
        <v>29</v>
      </c>
    </row>
    <row r="20" customFormat="false" ht="15" hidden="false" customHeight="false" outlineLevel="0" collapsed="false">
      <c r="A20" s="14" t="s">
        <v>30</v>
      </c>
      <c r="B20" s="14" t="n">
        <f aca="false">SUM(B14:B19)</f>
        <v>306</v>
      </c>
      <c r="C20" s="15" t="n">
        <f aca="false">SUM(C14:C19)</f>
        <v>308537</v>
      </c>
      <c r="D20" s="16" t="n">
        <f aca="false">IF(C20=0,0,SUM(E14:E19)*0+SUMPRODUCT(C14:C19,D14:D19)/C20)</f>
        <v>0.00404165464757873</v>
      </c>
      <c r="E20" s="14" t="n">
        <f aca="false">SUM(E14:E19)</f>
        <v>134</v>
      </c>
      <c r="F20" s="17" t="n">
        <f aca="false">IF(C20=0,0,E20/C20*1000)</f>
        <v>0.434307716740618</v>
      </c>
    </row>
    <row r="22" customFormat="false" ht="15" hidden="false" customHeight="false" outlineLevel="0" collapsed="false">
      <c r="A22" s="3" t="s">
        <v>31</v>
      </c>
    </row>
    <row r="23" customFormat="false" ht="15" hidden="false" customHeight="false" outlineLevel="0" collapsed="false">
      <c r="A23" s="6" t="s">
        <v>32</v>
      </c>
      <c r="B23" s="6" t="s">
        <v>33</v>
      </c>
      <c r="C23" s="6" t="s">
        <v>34</v>
      </c>
      <c r="D23" s="6" t="s">
        <v>15</v>
      </c>
      <c r="E23" s="6" t="s">
        <v>35</v>
      </c>
    </row>
    <row r="24" customFormat="false" ht="15" hidden="false" customHeight="false" outlineLevel="0" collapsed="false">
      <c r="A24" s="7" t="s">
        <v>36</v>
      </c>
      <c r="B24" s="7" t="n">
        <v>72</v>
      </c>
      <c r="C24" s="8" t="n">
        <v>821</v>
      </c>
      <c r="D24" s="10" t="n">
        <v>0.17</v>
      </c>
      <c r="E24" s="18" t="n">
        <f aca="false">IF($D$24=0,0,D24/$D$24)</f>
        <v>1</v>
      </c>
    </row>
    <row r="25" customFormat="false" ht="15" hidden="false" customHeight="false" outlineLevel="0" collapsed="false">
      <c r="A25" s="7" t="s">
        <v>37</v>
      </c>
      <c r="B25" s="7" t="n">
        <v>102</v>
      </c>
      <c r="C25" s="8" t="n">
        <v>1101</v>
      </c>
      <c r="D25" s="10" t="n">
        <v>0.32</v>
      </c>
      <c r="E25" s="18" t="n">
        <f aca="false">IF($D$24=0,0,D25/$D$24)</f>
        <v>1.88235294117647</v>
      </c>
    </row>
    <row r="26" customFormat="false" ht="15" hidden="false" customHeight="false" outlineLevel="0" collapsed="false">
      <c r="A26" s="7" t="s">
        <v>38</v>
      </c>
      <c r="B26" s="7" t="n">
        <v>119</v>
      </c>
      <c r="C26" s="8" t="n">
        <v>1007</v>
      </c>
      <c r="D26" s="10" t="n">
        <v>0.53</v>
      </c>
      <c r="E26" s="18" t="n">
        <f aca="false">IF($D$24=0,0,D26/$D$24)</f>
        <v>3.11764705882353</v>
      </c>
    </row>
    <row r="27" customFormat="false" ht="15" hidden="false" customHeight="false" outlineLevel="0" collapsed="false">
      <c r="A27" s="7" t="s">
        <v>39</v>
      </c>
      <c r="B27" s="7" t="n">
        <v>29</v>
      </c>
      <c r="C27" s="8" t="n">
        <v>804</v>
      </c>
      <c r="D27" s="19" t="n">
        <v>1.07</v>
      </c>
      <c r="E27" s="20" t="n">
        <f aca="false">IF($D$24=0,0,D27/$D$24)</f>
        <v>6.29411764705882</v>
      </c>
    </row>
    <row r="29" customFormat="false" ht="15" hidden="false" customHeight="false" outlineLevel="0" collapsed="false">
      <c r="A29" s="3" t="s">
        <v>40</v>
      </c>
    </row>
    <row r="30" customFormat="false" ht="15" hidden="false" customHeight="false" outlineLevel="0" collapsed="false">
      <c r="A30" s="6" t="s">
        <v>41</v>
      </c>
      <c r="B30" s="6" t="s">
        <v>33</v>
      </c>
      <c r="C30" s="6" t="s">
        <v>34</v>
      </c>
      <c r="D30" s="6" t="s">
        <v>15</v>
      </c>
    </row>
    <row r="31" customFormat="false" ht="15" hidden="false" customHeight="false" outlineLevel="0" collapsed="false">
      <c r="A31" s="7" t="s">
        <v>42</v>
      </c>
      <c r="B31" s="7" t="n">
        <v>76</v>
      </c>
      <c r="C31" s="8" t="n">
        <v>1047</v>
      </c>
      <c r="D31" s="10" t="n">
        <v>0.41</v>
      </c>
    </row>
    <row r="32" customFormat="false" ht="15" hidden="false" customHeight="false" outlineLevel="0" collapsed="false">
      <c r="A32" s="7" t="s">
        <v>43</v>
      </c>
      <c r="B32" s="7" t="n">
        <v>43</v>
      </c>
      <c r="C32" s="8" t="n">
        <v>1157</v>
      </c>
      <c r="D32" s="10" t="n">
        <v>0.26</v>
      </c>
    </row>
    <row r="33" customFormat="false" ht="15" hidden="false" customHeight="false" outlineLevel="0" collapsed="false">
      <c r="A33" s="7" t="s">
        <v>44</v>
      </c>
      <c r="B33" s="7" t="n">
        <v>28</v>
      </c>
      <c r="C33" s="8" t="n">
        <v>1191</v>
      </c>
      <c r="D33" s="10" t="n">
        <v>0.42</v>
      </c>
    </row>
    <row r="34" customFormat="false" ht="15" hidden="false" customHeight="false" outlineLevel="0" collapsed="false">
      <c r="A34" s="7" t="s">
        <v>45</v>
      </c>
      <c r="B34" s="7" t="n">
        <v>15</v>
      </c>
      <c r="C34" s="8" t="n">
        <v>1327</v>
      </c>
      <c r="D34" s="10" t="n">
        <v>0.3</v>
      </c>
    </row>
    <row r="35" customFormat="false" ht="15" hidden="false" customHeight="false" outlineLevel="0" collapsed="false">
      <c r="A35" s="21" t="s">
        <v>46</v>
      </c>
    </row>
  </sheetData>
  <mergeCells count="6">
    <mergeCell ref="A5:I5"/>
    <mergeCell ref="A6:I6"/>
    <mergeCell ref="A7:I7"/>
    <mergeCell ref="A8:I8"/>
    <mergeCell ref="A9:I9"/>
    <mergeCell ref="A10:I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8"/>
    <col collapsed="false" customWidth="true" hidden="false" outlineLevel="0" max="13" min="3" style="0" width="7"/>
  </cols>
  <sheetData>
    <row r="1" customFormat="false" ht="17.35" hidden="false" customHeight="false" outlineLevel="0" collapsed="false">
      <c r="A1" s="22" t="s">
        <v>47</v>
      </c>
    </row>
    <row r="2" customFormat="false" ht="15" hidden="false" customHeight="false" outlineLevel="0" collapsed="false">
      <c r="A2" s="2" t="s">
        <v>48</v>
      </c>
    </row>
    <row r="4" customFormat="false" ht="15" hidden="false" customHeight="false" outlineLevel="0" collapsed="false">
      <c r="A4" s="23" t="s">
        <v>49</v>
      </c>
    </row>
    <row r="5" customFormat="false" ht="44" hidden="false" customHeight="false" outlineLevel="0" collapsed="false">
      <c r="A5" s="5" t="s">
        <v>10</v>
      </c>
      <c r="B5" s="6" t="s">
        <v>12</v>
      </c>
      <c r="C5" s="6" t="s">
        <v>50</v>
      </c>
      <c r="D5" s="6" t="s">
        <v>51</v>
      </c>
      <c r="E5" s="6" t="s">
        <v>52</v>
      </c>
      <c r="F5" s="6" t="s">
        <v>15</v>
      </c>
    </row>
    <row r="6" customFormat="false" ht="15" hidden="false" customHeight="false" outlineLevel="0" collapsed="false">
      <c r="A6" s="7" t="s">
        <v>22</v>
      </c>
      <c r="B6" s="8" t="n">
        <v>32370</v>
      </c>
      <c r="C6" s="7" t="n">
        <v>9</v>
      </c>
      <c r="D6" s="7" t="n">
        <v>2</v>
      </c>
      <c r="E6" s="7" t="n">
        <f aca="false">C6-D6</f>
        <v>7</v>
      </c>
      <c r="F6" s="10" t="n">
        <f aca="false">IF(B6=0,0,E6/B6*1000)</f>
        <v>0.216249613839975</v>
      </c>
    </row>
    <row r="7" customFormat="false" ht="15" hidden="false" customHeight="false" outlineLevel="0" collapsed="false">
      <c r="A7" s="7" t="s">
        <v>18</v>
      </c>
      <c r="B7" s="8" t="n">
        <v>39413</v>
      </c>
      <c r="C7" s="7" t="n">
        <v>22</v>
      </c>
      <c r="D7" s="7" t="n">
        <v>9</v>
      </c>
      <c r="E7" s="7" t="n">
        <f aca="false">C7-D7</f>
        <v>13</v>
      </c>
      <c r="F7" s="10" t="n">
        <f aca="false">IF(B7=0,0,E7/B7*1000)</f>
        <v>0.329840407987212</v>
      </c>
    </row>
    <row r="8" customFormat="false" ht="15" hidden="false" customHeight="false" outlineLevel="0" collapsed="false">
      <c r="A8" s="7" t="s">
        <v>53</v>
      </c>
      <c r="B8" s="8" t="n">
        <v>4185</v>
      </c>
      <c r="C8" s="7" t="n">
        <v>0</v>
      </c>
      <c r="D8" s="7" t="n">
        <v>0</v>
      </c>
      <c r="E8" s="7" t="n">
        <f aca="false">C8-D8</f>
        <v>0</v>
      </c>
      <c r="F8" s="10" t="n">
        <f aca="false">IF(B8=0,0,E8/B8*1000)</f>
        <v>0</v>
      </c>
    </row>
    <row r="9" customFormat="false" ht="15" hidden="false" customHeight="false" outlineLevel="0" collapsed="false">
      <c r="A9" s="7" t="s">
        <v>24</v>
      </c>
      <c r="B9" s="8" t="n">
        <v>41459</v>
      </c>
      <c r="C9" s="7" t="n">
        <v>15</v>
      </c>
      <c r="D9" s="7" t="n">
        <v>4</v>
      </c>
      <c r="E9" s="7" t="n">
        <f aca="false">C9-D9</f>
        <v>11</v>
      </c>
      <c r="F9" s="10" t="n">
        <f aca="false">IF(B9=0,0,E9/B9*1000)</f>
        <v>0.265322366675511</v>
      </c>
    </row>
    <row r="10" customFormat="false" ht="15" hidden="false" customHeight="false" outlineLevel="0" collapsed="false">
      <c r="A10" s="7" t="s">
        <v>20</v>
      </c>
      <c r="B10" s="8" t="n">
        <v>36211</v>
      </c>
      <c r="C10" s="7" t="n">
        <v>34</v>
      </c>
      <c r="D10" s="7" t="n">
        <v>6</v>
      </c>
      <c r="E10" s="7" t="n">
        <f aca="false">C10-D10</f>
        <v>28</v>
      </c>
      <c r="F10" s="10" t="n">
        <f aca="false">IF(B10=0,0,E10/B10*1000)</f>
        <v>0.7732456988208</v>
      </c>
    </row>
    <row r="11" customFormat="false" ht="15" hidden="false" customHeight="false" outlineLevel="0" collapsed="false">
      <c r="A11" s="7" t="s">
        <v>26</v>
      </c>
      <c r="B11" s="8" t="n">
        <v>39700</v>
      </c>
      <c r="C11" s="7" t="n">
        <v>13</v>
      </c>
      <c r="D11" s="7" t="n">
        <v>3</v>
      </c>
      <c r="E11" s="7" t="n">
        <f aca="false">C11-D11</f>
        <v>10</v>
      </c>
      <c r="F11" s="10" t="n">
        <f aca="false">IF(B11=0,0,E11/B11*1000)</f>
        <v>0.251889168765743</v>
      </c>
    </row>
    <row r="13" customFormat="false" ht="15" hidden="false" customHeight="false" outlineLevel="0" collapsed="false">
      <c r="A13" s="3" t="s">
        <v>54</v>
      </c>
    </row>
    <row r="14" customFormat="false" ht="15" hidden="false" customHeight="false" outlineLevel="0" collapsed="false">
      <c r="A14" s="5" t="s">
        <v>10</v>
      </c>
      <c r="B14" s="6" t="s">
        <v>33</v>
      </c>
      <c r="C14" s="5" t="s">
        <v>55</v>
      </c>
      <c r="D14" s="5" t="s">
        <v>56</v>
      </c>
      <c r="E14" s="5" t="s">
        <v>57</v>
      </c>
      <c r="F14" s="5" t="s">
        <v>58</v>
      </c>
      <c r="G14" s="5" t="s">
        <v>59</v>
      </c>
      <c r="H14" s="5" t="s">
        <v>60</v>
      </c>
      <c r="I14" s="5" t="s">
        <v>61</v>
      </c>
      <c r="J14" s="5" t="s">
        <v>62</v>
      </c>
      <c r="K14" s="5" t="s">
        <v>63</v>
      </c>
      <c r="L14" s="5" t="s">
        <v>64</v>
      </c>
      <c r="M14" s="5" t="s">
        <v>65</v>
      </c>
    </row>
    <row r="15" customFormat="false" ht="15" hidden="false" customHeight="false" outlineLevel="0" collapsed="false">
      <c r="A15" s="7" t="s">
        <v>22</v>
      </c>
      <c r="B15" s="7" t="n">
        <v>16</v>
      </c>
      <c r="C15" s="24" t="n">
        <v>1.10358125</v>
      </c>
      <c r="D15" s="24" t="n">
        <v>1.02757613636364</v>
      </c>
      <c r="E15" s="24" t="n">
        <v>0.742425</v>
      </c>
      <c r="F15" s="24" t="n">
        <v>0.54421625</v>
      </c>
      <c r="G15" s="24" t="n">
        <v>0.432978472222222</v>
      </c>
      <c r="H15" s="24" t="n">
        <v>0.35383375</v>
      </c>
      <c r="I15" s="24" t="n">
        <v>0.29654</v>
      </c>
      <c r="J15" s="24" t="n">
        <v>0.25119375</v>
      </c>
      <c r="K15" s="24" t="n">
        <v>0.186403409090909</v>
      </c>
      <c r="L15" s="24" t="n">
        <v>0.134418125</v>
      </c>
      <c r="M15" s="24" t="n">
        <v>0.113455</v>
      </c>
    </row>
    <row r="16" customFormat="false" ht="15" hidden="false" customHeight="false" outlineLevel="0" collapsed="false">
      <c r="A16" s="7" t="s">
        <v>18</v>
      </c>
      <c r="B16" s="7" t="n">
        <v>66</v>
      </c>
      <c r="C16" s="24" t="n">
        <v>1.2539053030303</v>
      </c>
      <c r="D16" s="24" t="n">
        <v>1.1815673553719</v>
      </c>
      <c r="E16" s="24" t="n">
        <v>0.882960454545455</v>
      </c>
      <c r="F16" s="24" t="n">
        <v>0.672455303030303</v>
      </c>
      <c r="G16" s="24" t="n">
        <v>0.572856397306397</v>
      </c>
      <c r="H16" s="24" t="n">
        <v>0.509308636363636</v>
      </c>
      <c r="I16" s="24" t="n">
        <v>0.459504545454545</v>
      </c>
      <c r="J16" s="24" t="n">
        <v>0.424341212121212</v>
      </c>
      <c r="K16" s="24" t="n">
        <v>0.36879173553719</v>
      </c>
      <c r="L16" s="24" t="n">
        <v>0.292793484848485</v>
      </c>
      <c r="M16" s="24" t="n">
        <v>0.267269393939394</v>
      </c>
    </row>
    <row r="17" customFormat="false" ht="15" hidden="false" customHeight="false" outlineLevel="0" collapsed="false">
      <c r="A17" s="7" t="s">
        <v>53</v>
      </c>
      <c r="B17" s="7" t="n">
        <v>5</v>
      </c>
      <c r="C17" s="24" t="n">
        <v>1.09322</v>
      </c>
      <c r="D17" s="24" t="n">
        <v>0.986169090909091</v>
      </c>
      <c r="E17" s="24" t="n">
        <v>0.49965</v>
      </c>
      <c r="F17" s="24" t="n">
        <v>0.330826</v>
      </c>
      <c r="G17" s="24" t="n">
        <v>0.250166666666667</v>
      </c>
      <c r="H17" s="24" t="n">
        <v>0.20572</v>
      </c>
      <c r="I17" s="24" t="n">
        <v>0.168698</v>
      </c>
      <c r="J17" s="24" t="n">
        <v>0.14599</v>
      </c>
      <c r="K17" s="24" t="n">
        <v>0.128554545454545</v>
      </c>
      <c r="L17" s="24" t="n">
        <v>0.109654</v>
      </c>
      <c r="M17" s="24" t="n">
        <v>0.099692</v>
      </c>
    </row>
    <row r="18" customFormat="false" ht="15" hidden="false" customHeight="false" outlineLevel="0" collapsed="false">
      <c r="A18" s="7" t="s">
        <v>24</v>
      </c>
      <c r="B18" s="7" t="n">
        <v>31</v>
      </c>
      <c r="C18" s="24" t="n">
        <v>1.19896532258065</v>
      </c>
      <c r="D18" s="24" t="n">
        <v>1.10029706744868</v>
      </c>
      <c r="E18" s="24" t="n">
        <v>0.847127419354839</v>
      </c>
      <c r="F18" s="24" t="n">
        <v>0.656576129032258</v>
      </c>
      <c r="G18" s="24" t="n">
        <v>0.559841218637993</v>
      </c>
      <c r="H18" s="24" t="n">
        <v>0.499828709677419</v>
      </c>
      <c r="I18" s="24" t="n">
        <v>0.470981</v>
      </c>
      <c r="J18" s="24" t="n">
        <v>0.436844</v>
      </c>
      <c r="K18" s="24" t="n">
        <v>0.372595454545455</v>
      </c>
      <c r="L18" s="24" t="n">
        <v>0.261086</v>
      </c>
      <c r="M18" s="24" t="n">
        <v>0.2248</v>
      </c>
    </row>
    <row r="19" customFormat="false" ht="15" hidden="false" customHeight="false" outlineLevel="0" collapsed="false">
      <c r="A19" s="7" t="s">
        <v>20</v>
      </c>
      <c r="B19" s="7" t="n">
        <v>32</v>
      </c>
      <c r="C19" s="24" t="n">
        <v>1.15943984375</v>
      </c>
      <c r="D19" s="24" t="n">
        <v>1.08756647727273</v>
      </c>
      <c r="E19" s="24" t="n">
        <v>0.8249640625</v>
      </c>
      <c r="F19" s="24" t="n">
        <v>0.607715625</v>
      </c>
      <c r="G19" s="24" t="n">
        <v>0.49714375</v>
      </c>
      <c r="H19" s="24" t="n">
        <v>0.4404190625</v>
      </c>
      <c r="I19" s="24" t="n">
        <v>0.40037875</v>
      </c>
      <c r="J19" s="24" t="n">
        <v>0.3711275</v>
      </c>
      <c r="K19" s="24" t="n">
        <v>0.330633522727273</v>
      </c>
      <c r="L19" s="24" t="n">
        <v>0.2295440625</v>
      </c>
      <c r="M19" s="24" t="n">
        <v>0.180046875</v>
      </c>
    </row>
    <row r="20" customFormat="false" ht="15" hidden="false" customHeight="false" outlineLevel="0" collapsed="false">
      <c r="A20" s="7" t="s">
        <v>26</v>
      </c>
      <c r="B20" s="7" t="n">
        <v>32</v>
      </c>
      <c r="C20" s="24" t="n">
        <v>1.17714140625</v>
      </c>
      <c r="D20" s="24" t="n">
        <v>1.07899460227273</v>
      </c>
      <c r="E20" s="24" t="n">
        <v>0.7889959375</v>
      </c>
      <c r="F20" s="24" t="n">
        <v>0.5869378125</v>
      </c>
      <c r="G20" s="24" t="n">
        <v>0.477199652777778</v>
      </c>
      <c r="H20" s="24" t="n">
        <v>0.4164459375</v>
      </c>
      <c r="I20" s="24" t="n">
        <v>0.3723196875</v>
      </c>
      <c r="J20" s="24" t="n">
        <v>0.3352990625</v>
      </c>
      <c r="K20" s="24" t="n">
        <v>0.298285511363636</v>
      </c>
      <c r="L20" s="24" t="n">
        <v>0.234098064516129</v>
      </c>
      <c r="M20" s="24" t="n">
        <v>0.199058709677419</v>
      </c>
    </row>
    <row r="22" customFormat="false" ht="15" hidden="false" customHeight="false" outlineLevel="0" collapsed="false">
      <c r="A22" s="2" t="s">
        <v>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11"/>
    <col collapsed="false" customWidth="true" hidden="false" outlineLevel="0" max="3" min="3" style="0" width="62"/>
    <col collapsed="false" customWidth="true" hidden="false" outlineLevel="0" max="4" min="4" style="0" width="10"/>
    <col collapsed="false" customWidth="true" hidden="false" outlineLevel="0" max="5" min="5" style="0" width="8"/>
    <col collapsed="false" customWidth="true" hidden="false" outlineLevel="0" max="6" min="6" style="0" width="9"/>
    <col collapsed="false" customWidth="true" hidden="false" outlineLevel="0" max="7" min="7" style="0" width="10"/>
    <col collapsed="false" customWidth="true" hidden="false" outlineLevel="0" max="8" min="8" style="0" width="13"/>
    <col collapsed="false" customWidth="true" hidden="false" outlineLevel="0" max="9" min="9" style="0" width="15"/>
    <col collapsed="false" customWidth="true" hidden="false" outlineLevel="0" max="10" min="10" style="0" width="8"/>
    <col collapsed="false" customWidth="true" hidden="false" outlineLevel="0" max="11" min="11" style="0" width="10"/>
    <col collapsed="false" customWidth="true" hidden="false" outlineLevel="0" max="12" min="12" style="0" width="17"/>
    <col collapsed="false" customWidth="true" hidden="false" outlineLevel="0" max="13" min="13" style="0" width="9"/>
  </cols>
  <sheetData>
    <row r="1" customFormat="false" ht="17.35" hidden="false" customHeight="false" outlineLevel="0" collapsed="false">
      <c r="A1" s="22" t="s">
        <v>67</v>
      </c>
    </row>
    <row r="2" customFormat="false" ht="15" hidden="false" customHeight="false" outlineLevel="0" collapsed="false">
      <c r="A2" s="2" t="s">
        <v>68</v>
      </c>
    </row>
    <row r="4" customFormat="false" ht="29.85" hidden="false" customHeight="false" outlineLevel="0" collapsed="false">
      <c r="A4" s="5" t="s">
        <v>10</v>
      </c>
      <c r="B4" s="6" t="s">
        <v>69</v>
      </c>
      <c r="C4" s="6" t="s">
        <v>70</v>
      </c>
      <c r="D4" s="6" t="s">
        <v>12</v>
      </c>
      <c r="E4" s="6" t="s">
        <v>71</v>
      </c>
      <c r="F4" s="6" t="s">
        <v>13</v>
      </c>
      <c r="G4" s="6" t="s">
        <v>14</v>
      </c>
      <c r="H4" s="6" t="s">
        <v>15</v>
      </c>
      <c r="I4" s="6" t="s">
        <v>72</v>
      </c>
      <c r="J4" s="5" t="s">
        <v>73</v>
      </c>
      <c r="K4" s="6" t="s">
        <v>74</v>
      </c>
      <c r="L4" s="6" t="s">
        <v>41</v>
      </c>
      <c r="M4" s="6" t="s">
        <v>75</v>
      </c>
    </row>
    <row r="5" customFormat="false" ht="15" hidden="false" customHeight="false" outlineLevel="0" collapsed="false">
      <c r="A5" s="7" t="s">
        <v>22</v>
      </c>
      <c r="B5" s="7" t="s">
        <v>76</v>
      </c>
      <c r="C5" s="7" t="s">
        <v>77</v>
      </c>
      <c r="D5" s="8" t="n">
        <v>1360</v>
      </c>
      <c r="E5" s="7" t="n">
        <v>3</v>
      </c>
      <c r="F5" s="9" t="n">
        <f aca="false">IF(D5=0,0,E5/D5)</f>
        <v>0.00220588235294118</v>
      </c>
      <c r="G5" s="7" t="n">
        <v>0</v>
      </c>
      <c r="H5" s="10" t="n">
        <f aca="false">IF(D5=0,0,G5/D5*1000)</f>
        <v>0</v>
      </c>
      <c r="I5" s="8" t="n">
        <v>46</v>
      </c>
      <c r="J5" s="25" t="n">
        <v>0.108695652173913</v>
      </c>
      <c r="K5" s="26" t="n">
        <v>0.4507</v>
      </c>
      <c r="L5" s="26" t="n">
        <v>0.11222</v>
      </c>
      <c r="M5" s="7" t="str">
        <f aca="false">IF(D5&gt;=200,"○","-")</f>
        <v>○</v>
      </c>
    </row>
    <row r="6" customFormat="false" ht="15" hidden="false" customHeight="false" outlineLevel="0" collapsed="false">
      <c r="A6" s="7" t="s">
        <v>22</v>
      </c>
      <c r="B6" s="7" t="s">
        <v>78</v>
      </c>
      <c r="C6" s="27" t="s">
        <v>79</v>
      </c>
      <c r="D6" s="8" t="n">
        <v>1438</v>
      </c>
      <c r="E6" s="27" t="n">
        <v>3</v>
      </c>
      <c r="F6" s="9" t="n">
        <f aca="false">IF(D6=0,0,E6/D6)</f>
        <v>0.00208623087621697</v>
      </c>
      <c r="G6" s="27" t="n">
        <v>0</v>
      </c>
      <c r="H6" s="10" t="n">
        <f aca="false">IF(D6=0,0,G6/D6*1000)</f>
        <v>0</v>
      </c>
      <c r="I6" s="8" t="n">
        <v>52</v>
      </c>
      <c r="J6" s="25" t="n">
        <v>0.0192307692307692</v>
      </c>
      <c r="K6" s="26" t="n">
        <v>0.6644</v>
      </c>
      <c r="L6" s="26" t="n">
        <v>0.237195</v>
      </c>
      <c r="M6" s="27" t="str">
        <f aca="false">IF(D6&gt;=200,"○","-")</f>
        <v>○</v>
      </c>
    </row>
    <row r="7" customFormat="false" ht="15" hidden="false" customHeight="false" outlineLevel="0" collapsed="false">
      <c r="A7" s="7" t="s">
        <v>22</v>
      </c>
      <c r="B7" s="7" t="s">
        <v>78</v>
      </c>
      <c r="C7" s="27" t="s">
        <v>80</v>
      </c>
      <c r="D7" s="8" t="n">
        <v>1086</v>
      </c>
      <c r="E7" s="27" t="n">
        <v>1</v>
      </c>
      <c r="F7" s="9" t="n">
        <f aca="false">IF(D7=0,0,E7/D7)</f>
        <v>0.000920810313075507</v>
      </c>
      <c r="G7" s="27" t="n">
        <v>0</v>
      </c>
      <c r="H7" s="10" t="n">
        <f aca="false">IF(D7=0,0,G7/D7*1000)</f>
        <v>0</v>
      </c>
      <c r="I7" s="8" t="n">
        <v>36</v>
      </c>
      <c r="J7" s="25" t="n">
        <v>0.0277777777777778</v>
      </c>
      <c r="K7" s="26" t="n">
        <v>1.2551</v>
      </c>
      <c r="L7" s="26"/>
      <c r="M7" s="27" t="str">
        <f aca="false">IF(D7&gt;=200,"○","-")</f>
        <v>○</v>
      </c>
    </row>
    <row r="8" customFormat="false" ht="15" hidden="false" customHeight="false" outlineLevel="0" collapsed="false">
      <c r="A8" s="7" t="s">
        <v>22</v>
      </c>
      <c r="B8" s="7" t="s">
        <v>81</v>
      </c>
      <c r="C8" s="27" t="s">
        <v>82</v>
      </c>
      <c r="D8" s="8" t="n">
        <v>1305</v>
      </c>
      <c r="E8" s="27" t="n">
        <v>4</v>
      </c>
      <c r="F8" s="9" t="n">
        <f aca="false">IF(D8=0,0,E8/D8)</f>
        <v>0.00306513409961686</v>
      </c>
      <c r="G8" s="27" t="n">
        <v>2</v>
      </c>
      <c r="H8" s="10" t="n">
        <f aca="false">IF(D8=0,0,G8/D8*1000)</f>
        <v>1.53256704980843</v>
      </c>
      <c r="I8" s="8" t="n">
        <v>75</v>
      </c>
      <c r="J8" s="25" t="n">
        <v>0.0266666666666667</v>
      </c>
      <c r="K8" s="26" t="n">
        <v>0.5116</v>
      </c>
      <c r="L8" s="26" t="n">
        <v>0.10096</v>
      </c>
      <c r="M8" s="27" t="str">
        <f aca="false">IF(D8&gt;=200,"○","-")</f>
        <v>○</v>
      </c>
    </row>
    <row r="9" customFormat="false" ht="15" hidden="false" customHeight="false" outlineLevel="0" collapsed="false">
      <c r="A9" s="7" t="s">
        <v>22</v>
      </c>
      <c r="B9" s="7" t="s">
        <v>81</v>
      </c>
      <c r="C9" s="27" t="s">
        <v>83</v>
      </c>
      <c r="D9" s="8" t="n">
        <v>1366</v>
      </c>
      <c r="E9" s="27" t="n">
        <v>3</v>
      </c>
      <c r="F9" s="9" t="n">
        <f aca="false">IF(D9=0,0,E9/D9)</f>
        <v>0.00219619326500732</v>
      </c>
      <c r="G9" s="27" t="n">
        <v>1</v>
      </c>
      <c r="H9" s="10" t="n">
        <f aca="false">IF(D9=0,0,G9/D9*1000)</f>
        <v>0.732064421669107</v>
      </c>
      <c r="I9" s="8" t="n">
        <v>33</v>
      </c>
      <c r="J9" s="25" t="n">
        <v>0</v>
      </c>
      <c r="K9" s="26" t="n">
        <v>0.4988</v>
      </c>
      <c r="L9" s="26" t="n">
        <v>0.085165</v>
      </c>
      <c r="M9" s="27" t="str">
        <f aca="false">IF(D9&gt;=200,"○","-")</f>
        <v>○</v>
      </c>
    </row>
    <row r="10" customFormat="false" ht="15" hidden="false" customHeight="false" outlineLevel="0" collapsed="false">
      <c r="A10" s="7" t="s">
        <v>22</v>
      </c>
      <c r="B10" s="7" t="s">
        <v>84</v>
      </c>
      <c r="C10" s="27" t="s">
        <v>85</v>
      </c>
      <c r="D10" s="8" t="n">
        <v>1655</v>
      </c>
      <c r="E10" s="27" t="n">
        <v>4</v>
      </c>
      <c r="F10" s="9" t="n">
        <f aca="false">IF(D10=0,0,E10/D10)</f>
        <v>0.00241691842900302</v>
      </c>
      <c r="G10" s="27" t="n">
        <v>0</v>
      </c>
      <c r="H10" s="10" t="n">
        <f aca="false">IF(D10=0,0,G10/D10*1000)</f>
        <v>0</v>
      </c>
      <c r="I10" s="8" t="n">
        <v>35</v>
      </c>
      <c r="J10" s="25" t="n">
        <v>0.0857142857142857</v>
      </c>
      <c r="K10" s="26" t="n">
        <v>0.6419</v>
      </c>
      <c r="L10" s="26" t="n">
        <v>0.192105</v>
      </c>
      <c r="M10" s="27" t="str">
        <f aca="false">IF(D10&gt;=200,"○","-")</f>
        <v>○</v>
      </c>
    </row>
    <row r="11" customFormat="false" ht="15" hidden="false" customHeight="false" outlineLevel="0" collapsed="false">
      <c r="A11" s="7" t="s">
        <v>22</v>
      </c>
      <c r="B11" s="7" t="s">
        <v>84</v>
      </c>
      <c r="C11" s="27" t="s">
        <v>86</v>
      </c>
      <c r="D11" s="8" t="n">
        <v>1190</v>
      </c>
      <c r="E11" s="27" t="n">
        <v>0</v>
      </c>
      <c r="F11" s="9" t="n">
        <f aca="false">IF(D11=0,0,E11/D11)</f>
        <v>0</v>
      </c>
      <c r="G11" s="27" t="n">
        <v>0</v>
      </c>
      <c r="H11" s="10" t="n">
        <f aca="false">IF(D11=0,0,G11/D11*1000)</f>
        <v>0</v>
      </c>
      <c r="I11" s="8" t="n">
        <v>25</v>
      </c>
      <c r="J11" s="25" t="n">
        <v>0</v>
      </c>
      <c r="K11" s="26" t="n">
        <v>0.5127</v>
      </c>
      <c r="L11" s="26"/>
      <c r="M11" s="27" t="str">
        <f aca="false">IF(D11&gt;=200,"○","-")</f>
        <v>○</v>
      </c>
    </row>
    <row r="12" customFormat="false" ht="15" hidden="false" customHeight="false" outlineLevel="0" collapsed="false">
      <c r="A12" s="7" t="s">
        <v>22</v>
      </c>
      <c r="B12" s="7" t="s">
        <v>87</v>
      </c>
      <c r="C12" s="27" t="s">
        <v>88</v>
      </c>
      <c r="D12" s="8" t="n">
        <v>1350</v>
      </c>
      <c r="E12" s="27" t="n">
        <v>1</v>
      </c>
      <c r="F12" s="9" t="n">
        <f aca="false">IF(D12=0,0,E12/D12)</f>
        <v>0.000740740740740741</v>
      </c>
      <c r="G12" s="27" t="n">
        <v>0</v>
      </c>
      <c r="H12" s="10" t="n">
        <f aca="false">IF(D12=0,0,G12/D12*1000)</f>
        <v>0</v>
      </c>
      <c r="I12" s="8" t="n">
        <v>30</v>
      </c>
      <c r="J12" s="25" t="n">
        <v>0</v>
      </c>
      <c r="K12" s="26" t="n">
        <v>0.7217</v>
      </c>
      <c r="L12" s="26" t="n">
        <v>0.33558</v>
      </c>
      <c r="M12" s="27" t="str">
        <f aca="false">IF(D12&gt;=200,"○","-")</f>
        <v>○</v>
      </c>
    </row>
    <row r="13" customFormat="false" ht="15" hidden="false" customHeight="false" outlineLevel="0" collapsed="false">
      <c r="A13" s="7" t="s">
        <v>22</v>
      </c>
      <c r="B13" s="7" t="s">
        <v>89</v>
      </c>
      <c r="C13" s="27" t="s">
        <v>90</v>
      </c>
      <c r="D13" s="8" t="n">
        <v>1353</v>
      </c>
      <c r="E13" s="27" t="n">
        <v>4</v>
      </c>
      <c r="F13" s="9" t="n">
        <f aca="false">IF(D13=0,0,E13/D13)</f>
        <v>0.00295639320029564</v>
      </c>
      <c r="G13" s="27" t="n">
        <v>0</v>
      </c>
      <c r="H13" s="10" t="n">
        <f aca="false">IF(D13=0,0,G13/D13*1000)</f>
        <v>0</v>
      </c>
      <c r="I13" s="8" t="n">
        <v>32</v>
      </c>
      <c r="J13" s="25" t="n">
        <v>0</v>
      </c>
      <c r="K13" s="26" t="n">
        <v>0.5715</v>
      </c>
      <c r="L13" s="26" t="n">
        <v>0.226515</v>
      </c>
      <c r="M13" s="27" t="str">
        <f aca="false">IF(D13&gt;=200,"○","-")</f>
        <v>○</v>
      </c>
    </row>
    <row r="14" customFormat="false" ht="15" hidden="false" customHeight="false" outlineLevel="0" collapsed="false">
      <c r="A14" s="7" t="s">
        <v>22</v>
      </c>
      <c r="B14" s="7" t="s">
        <v>89</v>
      </c>
      <c r="C14" s="27" t="s">
        <v>91</v>
      </c>
      <c r="D14" s="8" t="n">
        <v>1161</v>
      </c>
      <c r="E14" s="27" t="n">
        <v>3</v>
      </c>
      <c r="F14" s="9" t="n">
        <f aca="false">IF(D14=0,0,E14/D14)</f>
        <v>0.00258397932816538</v>
      </c>
      <c r="G14" s="27" t="n">
        <v>0</v>
      </c>
      <c r="H14" s="10" t="n">
        <f aca="false">IF(D14=0,0,G14/D14*1000)</f>
        <v>0</v>
      </c>
      <c r="I14" s="8" t="n">
        <v>27</v>
      </c>
      <c r="J14" s="25" t="n">
        <v>0</v>
      </c>
      <c r="K14" s="26" t="n">
        <v>1.096</v>
      </c>
      <c r="L14" s="26"/>
      <c r="M14" s="27" t="str">
        <f aca="false">IF(D14&gt;=200,"○","-")</f>
        <v>○</v>
      </c>
    </row>
    <row r="15" customFormat="false" ht="15" hidden="false" customHeight="false" outlineLevel="0" collapsed="false">
      <c r="A15" s="7" t="s">
        <v>22</v>
      </c>
      <c r="B15" s="7" t="s">
        <v>89</v>
      </c>
      <c r="C15" s="27" t="s">
        <v>92</v>
      </c>
      <c r="D15" s="8" t="n">
        <v>1236</v>
      </c>
      <c r="E15" s="27" t="n">
        <v>6</v>
      </c>
      <c r="F15" s="9" t="n">
        <f aca="false">IF(D15=0,0,E15/D15)</f>
        <v>0.00485436893203883</v>
      </c>
      <c r="G15" s="27" t="n">
        <v>0</v>
      </c>
      <c r="H15" s="10" t="n">
        <f aca="false">IF(D15=0,0,G15/D15*1000)</f>
        <v>0</v>
      </c>
      <c r="I15" s="8" t="n">
        <v>23</v>
      </c>
      <c r="J15" s="25" t="n">
        <v>0</v>
      </c>
      <c r="K15" s="26" t="n">
        <v>0.8136</v>
      </c>
      <c r="L15" s="26"/>
      <c r="M15" s="27" t="str">
        <f aca="false">IF(D15&gt;=200,"○","-")</f>
        <v>○</v>
      </c>
    </row>
    <row r="16" customFormat="false" ht="15" hidden="false" customHeight="false" outlineLevel="0" collapsed="false">
      <c r="A16" s="28" t="s">
        <v>22</v>
      </c>
      <c r="B16" s="28" t="s">
        <v>89</v>
      </c>
      <c r="C16" s="29" t="s">
        <v>93</v>
      </c>
      <c r="D16" s="30" t="n">
        <v>1</v>
      </c>
      <c r="E16" s="28" t="n">
        <v>0</v>
      </c>
      <c r="F16" s="31" t="n">
        <f aca="false">IF(D16=0,0,E16/D16)</f>
        <v>0</v>
      </c>
      <c r="G16" s="28" t="n">
        <v>0</v>
      </c>
      <c r="H16" s="32" t="n">
        <f aca="false">IF(D16=0,0,G16/D16*1000)</f>
        <v>0</v>
      </c>
      <c r="I16" s="30" t="n">
        <v>33</v>
      </c>
      <c r="J16" s="33" t="n">
        <v>0</v>
      </c>
      <c r="K16" s="34" t="n">
        <v>0.808</v>
      </c>
      <c r="L16" s="34"/>
      <c r="M16" s="28" t="str">
        <f aca="false">IF(D16&gt;=200,"○","-")</f>
        <v>-</v>
      </c>
    </row>
    <row r="17" customFormat="false" ht="15" hidden="false" customHeight="false" outlineLevel="0" collapsed="false">
      <c r="A17" s="28" t="s">
        <v>22</v>
      </c>
      <c r="B17" s="28" t="s">
        <v>89</v>
      </c>
      <c r="C17" s="29" t="s">
        <v>94</v>
      </c>
      <c r="D17" s="30" t="n">
        <v>2</v>
      </c>
      <c r="E17" s="28" t="n">
        <v>0</v>
      </c>
      <c r="F17" s="31" t="n">
        <f aca="false">IF(D17=0,0,E17/D17)</f>
        <v>0</v>
      </c>
      <c r="G17" s="28" t="n">
        <v>0</v>
      </c>
      <c r="H17" s="32" t="n">
        <f aca="false">IF(D17=0,0,G17/D17*1000)</f>
        <v>0</v>
      </c>
      <c r="I17" s="30" t="n">
        <v>24</v>
      </c>
      <c r="J17" s="33" t="n">
        <v>0</v>
      </c>
      <c r="K17" s="34" t="n">
        <v>0.3383</v>
      </c>
      <c r="L17" s="34"/>
      <c r="M17" s="28" t="str">
        <f aca="false">IF(D17&gt;=200,"○","-")</f>
        <v>-</v>
      </c>
    </row>
    <row r="18" customFormat="false" ht="15" hidden="false" customHeight="false" outlineLevel="0" collapsed="false">
      <c r="A18" s="7" t="s">
        <v>22</v>
      </c>
      <c r="B18" s="7" t="s">
        <v>95</v>
      </c>
      <c r="C18" s="27" t="s">
        <v>96</v>
      </c>
      <c r="D18" s="8" t="n">
        <v>1144</v>
      </c>
      <c r="E18" s="27" t="n">
        <v>2</v>
      </c>
      <c r="F18" s="9" t="n">
        <f aca="false">IF(D18=0,0,E18/D18)</f>
        <v>0.00174825174825175</v>
      </c>
      <c r="G18" s="27" t="n">
        <v>0</v>
      </c>
      <c r="H18" s="10" t="n">
        <f aca="false">IF(D18=0,0,G18/D18*1000)</f>
        <v>0</v>
      </c>
      <c r="I18" s="8" t="n">
        <v>22</v>
      </c>
      <c r="J18" s="25" t="n">
        <v>0</v>
      </c>
      <c r="K18" s="26" t="n">
        <v>0.514</v>
      </c>
      <c r="L18" s="26"/>
      <c r="M18" s="27" t="str">
        <f aca="false">IF(D18&gt;=200,"○","-")</f>
        <v>○</v>
      </c>
    </row>
    <row r="19" customFormat="false" ht="15" hidden="false" customHeight="false" outlineLevel="0" collapsed="false">
      <c r="A19" s="7" t="s">
        <v>22</v>
      </c>
      <c r="B19" s="7" t="s">
        <v>95</v>
      </c>
      <c r="C19" s="27" t="s">
        <v>97</v>
      </c>
      <c r="D19" s="8" t="n">
        <v>702</v>
      </c>
      <c r="E19" s="27" t="n">
        <v>1</v>
      </c>
      <c r="F19" s="9" t="n">
        <f aca="false">IF(D19=0,0,E19/D19)</f>
        <v>0.00142450142450142</v>
      </c>
      <c r="G19" s="27" t="n">
        <v>0</v>
      </c>
      <c r="H19" s="10" t="n">
        <f aca="false">IF(D19=0,0,G19/D19*1000)</f>
        <v>0</v>
      </c>
      <c r="I19" s="8" t="n">
        <v>33</v>
      </c>
      <c r="J19" s="25" t="n">
        <v>0.0303030303030303</v>
      </c>
      <c r="K19" s="26" t="n">
        <v>0.5542</v>
      </c>
      <c r="L19" s="26"/>
      <c r="M19" s="27" t="str">
        <f aca="false">IF(D19&gt;=200,"○","-")</f>
        <v>○</v>
      </c>
    </row>
    <row r="20" customFormat="false" ht="15" hidden="false" customHeight="false" outlineLevel="0" collapsed="false">
      <c r="A20" s="7" t="s">
        <v>22</v>
      </c>
      <c r="B20" s="7" t="s">
        <v>98</v>
      </c>
      <c r="C20" s="7" t="s">
        <v>99</v>
      </c>
      <c r="D20" s="8" t="n">
        <v>1811</v>
      </c>
      <c r="E20" s="27" t="n">
        <v>4</v>
      </c>
      <c r="F20" s="9" t="n">
        <f aca="false">IF(D20=0,0,E20/D20)</f>
        <v>0.00220872446162341</v>
      </c>
      <c r="G20" s="27" t="n">
        <v>0</v>
      </c>
      <c r="H20" s="10" t="n">
        <f aca="false">IF(D20=0,0,G20/D20*1000)</f>
        <v>0</v>
      </c>
      <c r="I20" s="8" t="n">
        <v>32</v>
      </c>
      <c r="J20" s="25" t="n">
        <v>0.28125</v>
      </c>
      <c r="K20" s="26" t="n">
        <v>0.4193</v>
      </c>
      <c r="L20" s="26" t="n">
        <v>0.070905</v>
      </c>
      <c r="M20" s="27" t="str">
        <f aca="false">IF(D20&gt;=200,"○","-")</f>
        <v>○</v>
      </c>
    </row>
    <row r="21" customFormat="false" ht="15" hidden="false" customHeight="false" outlineLevel="0" collapsed="false">
      <c r="A21" s="7" t="s">
        <v>22</v>
      </c>
      <c r="B21" s="7" t="s">
        <v>98</v>
      </c>
      <c r="C21" s="27" t="s">
        <v>100</v>
      </c>
      <c r="D21" s="8" t="n">
        <v>249</v>
      </c>
      <c r="E21" s="27" t="n">
        <v>0</v>
      </c>
      <c r="F21" s="9" t="n">
        <f aca="false">IF(D21=0,0,E21/D21)</f>
        <v>0</v>
      </c>
      <c r="G21" s="27" t="n">
        <v>0</v>
      </c>
      <c r="H21" s="10" t="n">
        <f aca="false">IF(D21=0,0,G21/D21*1000)</f>
        <v>0</v>
      </c>
      <c r="I21" s="8" t="n">
        <v>139</v>
      </c>
      <c r="J21" s="25" t="n">
        <v>0</v>
      </c>
      <c r="K21" s="26" t="n">
        <v>0.3493</v>
      </c>
      <c r="L21" s="26"/>
      <c r="M21" s="27" t="str">
        <f aca="false">IF(D21&gt;=200,"○","-")</f>
        <v>○</v>
      </c>
    </row>
    <row r="22" customFormat="false" ht="15" hidden="false" customHeight="false" outlineLevel="0" collapsed="false">
      <c r="A22" s="7" t="s">
        <v>22</v>
      </c>
      <c r="B22" s="7" t="s">
        <v>101</v>
      </c>
      <c r="C22" s="27" t="s">
        <v>102</v>
      </c>
      <c r="D22" s="8" t="n">
        <v>820</v>
      </c>
      <c r="E22" s="27" t="n">
        <v>1</v>
      </c>
      <c r="F22" s="9" t="n">
        <f aca="false">IF(D22=0,0,E22/D22)</f>
        <v>0.00121951219512195</v>
      </c>
      <c r="G22" s="27" t="n">
        <v>1</v>
      </c>
      <c r="H22" s="10" t="n">
        <f aca="false">IF(D22=0,0,G22/D22*1000)</f>
        <v>1.21951219512195</v>
      </c>
      <c r="I22" s="8" t="n">
        <v>27</v>
      </c>
      <c r="J22" s="25" t="n">
        <v>0</v>
      </c>
      <c r="K22" s="26" t="n">
        <v>0.3193</v>
      </c>
      <c r="L22" s="26"/>
      <c r="M22" s="27" t="str">
        <f aca="false">IF(D22&gt;=200,"○","-")</f>
        <v>○</v>
      </c>
    </row>
    <row r="23" customFormat="false" ht="15" hidden="false" customHeight="false" outlineLevel="0" collapsed="false">
      <c r="A23" s="7" t="s">
        <v>22</v>
      </c>
      <c r="B23" s="7" t="s">
        <v>101</v>
      </c>
      <c r="C23" s="27" t="s">
        <v>103</v>
      </c>
      <c r="D23" s="8" t="n">
        <v>587</v>
      </c>
      <c r="E23" s="27" t="n">
        <v>1</v>
      </c>
      <c r="F23" s="9" t="n">
        <f aca="false">IF(D23=0,0,E23/D23)</f>
        <v>0.00170357751277683</v>
      </c>
      <c r="G23" s="27" t="n">
        <v>0</v>
      </c>
      <c r="H23" s="10" t="n">
        <f aca="false">IF(D23=0,0,G23/D23*1000)</f>
        <v>0</v>
      </c>
      <c r="I23" s="8" t="n">
        <v>53</v>
      </c>
      <c r="J23" s="25" t="n">
        <v>0.0188679245283019</v>
      </c>
      <c r="K23" s="26" t="n">
        <v>0.2448</v>
      </c>
      <c r="L23" s="26"/>
      <c r="M23" s="27" t="str">
        <f aca="false">IF(D23&gt;=200,"○","-")</f>
        <v>○</v>
      </c>
    </row>
    <row r="24" customFormat="false" ht="15" hidden="false" customHeight="false" outlineLevel="0" collapsed="false">
      <c r="A24" s="7" t="s">
        <v>22</v>
      </c>
      <c r="B24" s="7" t="s">
        <v>104</v>
      </c>
      <c r="C24" s="7" t="s">
        <v>105</v>
      </c>
      <c r="D24" s="8" t="n">
        <v>967</v>
      </c>
      <c r="E24" s="27" t="n">
        <v>5</v>
      </c>
      <c r="F24" s="9" t="n">
        <f aca="false">IF(D24=0,0,E24/D24)</f>
        <v>0.00517063081695967</v>
      </c>
      <c r="G24" s="27" t="n">
        <v>0</v>
      </c>
      <c r="H24" s="10" t="n">
        <f aca="false">IF(D24=0,0,G24/D24*1000)</f>
        <v>0</v>
      </c>
      <c r="I24" s="8" t="n">
        <v>26</v>
      </c>
      <c r="J24" s="25" t="n">
        <v>0</v>
      </c>
      <c r="K24" s="26" t="n">
        <v>0.3263</v>
      </c>
      <c r="L24" s="26" t="n">
        <v>0.06039</v>
      </c>
      <c r="M24" s="27" t="str">
        <f aca="false">IF(D24&gt;=200,"○","-")</f>
        <v>○</v>
      </c>
    </row>
    <row r="25" customFormat="false" ht="15" hidden="false" customHeight="false" outlineLevel="0" collapsed="false">
      <c r="A25" s="7" t="s">
        <v>22</v>
      </c>
      <c r="B25" s="7" t="s">
        <v>104</v>
      </c>
      <c r="C25" s="27" t="s">
        <v>106</v>
      </c>
      <c r="D25" s="8" t="n">
        <v>950</v>
      </c>
      <c r="E25" s="27" t="n">
        <v>3</v>
      </c>
      <c r="F25" s="9" t="n">
        <f aca="false">IF(D25=0,0,E25/D25)</f>
        <v>0.00315789473684211</v>
      </c>
      <c r="G25" s="27" t="n">
        <v>0</v>
      </c>
      <c r="H25" s="10" t="n">
        <f aca="false">IF(D25=0,0,G25/D25*1000)</f>
        <v>0</v>
      </c>
      <c r="I25" s="8" t="n">
        <v>32</v>
      </c>
      <c r="J25" s="25" t="n">
        <v>0</v>
      </c>
      <c r="K25" s="26" t="n">
        <v>0.3644</v>
      </c>
      <c r="L25" s="26"/>
      <c r="M25" s="27" t="str">
        <f aca="false">IF(D25&gt;=200,"○","-")</f>
        <v>○</v>
      </c>
    </row>
    <row r="26" customFormat="false" ht="15" hidden="false" customHeight="false" outlineLevel="0" collapsed="false">
      <c r="A26" s="7" t="s">
        <v>22</v>
      </c>
      <c r="B26" s="7" t="s">
        <v>104</v>
      </c>
      <c r="C26" s="27" t="s">
        <v>107</v>
      </c>
      <c r="D26" s="8" t="n">
        <v>967</v>
      </c>
      <c r="E26" s="27" t="n">
        <v>5</v>
      </c>
      <c r="F26" s="9" t="n">
        <f aca="false">IF(D26=0,0,E26/D26)</f>
        <v>0.00517063081695967</v>
      </c>
      <c r="G26" s="27" t="n">
        <v>0</v>
      </c>
      <c r="H26" s="10" t="n">
        <f aca="false">IF(D26=0,0,G26/D26*1000)</f>
        <v>0</v>
      </c>
      <c r="I26" s="8" t="n">
        <v>51</v>
      </c>
      <c r="J26" s="25" t="n">
        <v>0</v>
      </c>
      <c r="K26" s="26" t="n">
        <v>0.3015</v>
      </c>
      <c r="L26" s="26" t="n">
        <v>0.09793</v>
      </c>
      <c r="M26" s="27" t="str">
        <f aca="false">IF(D26&gt;=200,"○","-")</f>
        <v>○</v>
      </c>
    </row>
    <row r="27" customFormat="false" ht="15" hidden="false" customHeight="false" outlineLevel="0" collapsed="false">
      <c r="A27" s="7" t="s">
        <v>22</v>
      </c>
      <c r="B27" s="7" t="s">
        <v>108</v>
      </c>
      <c r="C27" s="27" t="s">
        <v>109</v>
      </c>
      <c r="D27" s="8" t="n">
        <v>1088</v>
      </c>
      <c r="E27" s="27" t="n">
        <v>1</v>
      </c>
      <c r="F27" s="9" t="n">
        <f aca="false">IF(D27=0,0,E27/D27)</f>
        <v>0.000919117647058824</v>
      </c>
      <c r="G27" s="27" t="n">
        <v>0</v>
      </c>
      <c r="H27" s="10" t="n">
        <f aca="false">IF(D27=0,0,G27/D27*1000)</f>
        <v>0</v>
      </c>
      <c r="I27" s="8" t="n">
        <v>249</v>
      </c>
      <c r="J27" s="25" t="n">
        <v>0.00401606425702811</v>
      </c>
      <c r="K27" s="26" t="n">
        <v>0.2712</v>
      </c>
      <c r="L27" s="26" t="n">
        <v>0.093515</v>
      </c>
      <c r="M27" s="27" t="str">
        <f aca="false">IF(D27&gt;=200,"○","-")</f>
        <v>○</v>
      </c>
    </row>
    <row r="28" customFormat="false" ht="15" hidden="false" customHeight="false" outlineLevel="0" collapsed="false">
      <c r="A28" s="7" t="s">
        <v>22</v>
      </c>
      <c r="B28" s="7" t="s">
        <v>110</v>
      </c>
      <c r="C28" s="27" t="s">
        <v>111</v>
      </c>
      <c r="D28" s="8" t="n">
        <v>1088</v>
      </c>
      <c r="E28" s="27" t="n">
        <v>0</v>
      </c>
      <c r="F28" s="9" t="n">
        <f aca="false">IF(D28=0,0,E28/D28)</f>
        <v>0</v>
      </c>
      <c r="G28" s="27" t="n">
        <v>0</v>
      </c>
      <c r="H28" s="10" t="n">
        <f aca="false">IF(D28=0,0,G28/D28*1000)</f>
        <v>0</v>
      </c>
      <c r="I28" s="8" t="n">
        <v>31</v>
      </c>
      <c r="J28" s="25" t="n">
        <v>0</v>
      </c>
      <c r="K28" s="26" t="n">
        <v>0.231</v>
      </c>
      <c r="L28" s="26" t="n">
        <v>0.02785</v>
      </c>
      <c r="M28" s="27" t="str">
        <f aca="false">IF(D28&gt;=200,"○","-")</f>
        <v>○</v>
      </c>
    </row>
    <row r="29" customFormat="false" ht="15" hidden="false" customHeight="false" outlineLevel="0" collapsed="false">
      <c r="A29" s="7" t="s">
        <v>22</v>
      </c>
      <c r="B29" s="7" t="s">
        <v>112</v>
      </c>
      <c r="C29" s="27" t="s">
        <v>113</v>
      </c>
      <c r="D29" s="8" t="n">
        <v>1153</v>
      </c>
      <c r="E29" s="27" t="n">
        <v>7</v>
      </c>
      <c r="F29" s="9" t="n">
        <f aca="false">IF(D29=0,0,E29/D29)</f>
        <v>0.00607111882046834</v>
      </c>
      <c r="G29" s="27" t="n">
        <v>0</v>
      </c>
      <c r="H29" s="10" t="n">
        <f aca="false">IF(D29=0,0,G29/D29*1000)</f>
        <v>0</v>
      </c>
      <c r="I29" s="8" t="n">
        <v>54</v>
      </c>
      <c r="J29" s="25" t="n">
        <v>0</v>
      </c>
      <c r="K29" s="26" t="n">
        <v>0.2663</v>
      </c>
      <c r="L29" s="26" t="n">
        <v>0.03911</v>
      </c>
      <c r="M29" s="27" t="str">
        <f aca="false">IF(D29&gt;=200,"○","-")</f>
        <v>○</v>
      </c>
    </row>
    <row r="30" customFormat="false" ht="15" hidden="false" customHeight="false" outlineLevel="0" collapsed="false">
      <c r="A30" s="7" t="s">
        <v>22</v>
      </c>
      <c r="B30" s="7" t="s">
        <v>114</v>
      </c>
      <c r="C30" s="27" t="s">
        <v>115</v>
      </c>
      <c r="D30" s="8" t="n">
        <v>855</v>
      </c>
      <c r="E30" s="27" t="n">
        <v>2</v>
      </c>
      <c r="F30" s="9" t="n">
        <f aca="false">IF(D30=0,0,E30/D30)</f>
        <v>0.00233918128654971</v>
      </c>
      <c r="G30" s="27" t="n">
        <v>0</v>
      </c>
      <c r="H30" s="10" t="n">
        <f aca="false">IF(D30=0,0,G30/D30*1000)</f>
        <v>0</v>
      </c>
      <c r="I30" s="8" t="n">
        <v>20</v>
      </c>
      <c r="J30" s="25" t="n">
        <v>0</v>
      </c>
      <c r="K30" s="26" t="n">
        <v>0.3913</v>
      </c>
      <c r="L30" s="26"/>
      <c r="M30" s="27" t="str">
        <f aca="false">IF(D30&gt;=200,"○","-")</f>
        <v>○</v>
      </c>
    </row>
    <row r="31" customFormat="false" ht="15" hidden="false" customHeight="false" outlineLevel="0" collapsed="false">
      <c r="A31" s="7" t="s">
        <v>22</v>
      </c>
      <c r="B31" s="7" t="s">
        <v>116</v>
      </c>
      <c r="C31" s="27" t="s">
        <v>117</v>
      </c>
      <c r="D31" s="8" t="n">
        <v>961</v>
      </c>
      <c r="E31" s="27" t="n">
        <v>5</v>
      </c>
      <c r="F31" s="9" t="n">
        <f aca="false">IF(D31=0,0,E31/D31)</f>
        <v>0.00520291363163372</v>
      </c>
      <c r="G31" s="27" t="n">
        <v>0</v>
      </c>
      <c r="H31" s="10" t="n">
        <f aca="false">IF(D31=0,0,G31/D31*1000)</f>
        <v>0</v>
      </c>
      <c r="I31" s="8" t="n">
        <v>51</v>
      </c>
      <c r="J31" s="25" t="n">
        <v>0.0196078431372549</v>
      </c>
      <c r="K31" s="26" t="n">
        <v>0.3465</v>
      </c>
      <c r="L31" s="26"/>
      <c r="M31" s="27" t="str">
        <f aca="false">IF(D31&gt;=200,"○","-")</f>
        <v>○</v>
      </c>
    </row>
    <row r="32" customFormat="false" ht="15" hidden="false" customHeight="false" outlineLevel="0" collapsed="false">
      <c r="A32" s="7" t="s">
        <v>22</v>
      </c>
      <c r="B32" s="7" t="s">
        <v>118</v>
      </c>
      <c r="C32" s="27" t="s">
        <v>119</v>
      </c>
      <c r="D32" s="8" t="n">
        <v>839</v>
      </c>
      <c r="E32" s="27" t="n">
        <v>1</v>
      </c>
      <c r="F32" s="9" t="n">
        <f aca="false">IF(D32=0,0,E32/D32)</f>
        <v>0.00119189511323004</v>
      </c>
      <c r="G32" s="27" t="n">
        <v>0</v>
      </c>
      <c r="H32" s="10" t="n">
        <f aca="false">IF(D32=0,0,G32/D32*1000)</f>
        <v>0</v>
      </c>
      <c r="I32" s="8" t="n">
        <v>67</v>
      </c>
      <c r="J32" s="25" t="n">
        <v>0</v>
      </c>
      <c r="K32" s="26" t="n">
        <v>0.5066</v>
      </c>
      <c r="L32" s="26" t="n">
        <v>0.175505</v>
      </c>
      <c r="M32" s="27" t="str">
        <f aca="false">IF(D32&gt;=200,"○","-")</f>
        <v>○</v>
      </c>
    </row>
    <row r="33" customFormat="false" ht="15" hidden="false" customHeight="false" outlineLevel="0" collapsed="false">
      <c r="A33" s="7" t="s">
        <v>22</v>
      </c>
      <c r="B33" s="7" t="s">
        <v>118</v>
      </c>
      <c r="C33" s="27" t="s">
        <v>120</v>
      </c>
      <c r="D33" s="8" t="n">
        <v>957</v>
      </c>
      <c r="E33" s="27" t="n">
        <v>3</v>
      </c>
      <c r="F33" s="9" t="n">
        <f aca="false">IF(D33=0,0,E33/D33)</f>
        <v>0.00313479623824451</v>
      </c>
      <c r="G33" s="27" t="n">
        <v>0</v>
      </c>
      <c r="H33" s="10" t="n">
        <f aca="false">IF(D33=0,0,G33/D33*1000)</f>
        <v>0</v>
      </c>
      <c r="I33" s="8" t="n">
        <v>39</v>
      </c>
      <c r="J33" s="25" t="n">
        <v>0</v>
      </c>
      <c r="K33" s="26" t="n">
        <v>1.4519</v>
      </c>
      <c r="L33" s="26"/>
      <c r="M33" s="27" t="str">
        <f aca="false">IF(D33&gt;=200,"○","-")</f>
        <v>○</v>
      </c>
    </row>
    <row r="34" customFormat="false" ht="15" hidden="false" customHeight="false" outlineLevel="0" collapsed="false">
      <c r="A34" s="7" t="s">
        <v>22</v>
      </c>
      <c r="B34" s="7" t="s">
        <v>121</v>
      </c>
      <c r="C34" s="27" t="s">
        <v>122</v>
      </c>
      <c r="D34" s="8" t="n">
        <v>878</v>
      </c>
      <c r="E34" s="27" t="n">
        <v>1</v>
      </c>
      <c r="F34" s="9" t="n">
        <f aca="false">IF(D34=0,0,E34/D34)</f>
        <v>0.00113895216400911</v>
      </c>
      <c r="G34" s="27" t="n">
        <v>0</v>
      </c>
      <c r="H34" s="10" t="n">
        <f aca="false">IF(D34=0,0,G34/D34*1000)</f>
        <v>0</v>
      </c>
      <c r="I34" s="8" t="n">
        <v>15</v>
      </c>
      <c r="J34" s="25" t="n">
        <v>0</v>
      </c>
      <c r="K34" s="26" t="n">
        <v>0.3578</v>
      </c>
      <c r="L34" s="26"/>
      <c r="M34" s="27" t="str">
        <f aca="false">IF(D34&gt;=200,"○","-")</f>
        <v>○</v>
      </c>
    </row>
    <row r="35" customFormat="false" ht="15" hidden="false" customHeight="false" outlineLevel="0" collapsed="false">
      <c r="A35" s="7" t="s">
        <v>22</v>
      </c>
      <c r="B35" s="7" t="s">
        <v>121</v>
      </c>
      <c r="C35" s="27" t="s">
        <v>123</v>
      </c>
      <c r="D35" s="8" t="n">
        <v>926</v>
      </c>
      <c r="E35" s="27" t="n">
        <v>4</v>
      </c>
      <c r="F35" s="9" t="n">
        <f aca="false">IF(D35=0,0,E35/D35)</f>
        <v>0.00431965442764579</v>
      </c>
      <c r="G35" s="27" t="n">
        <v>0</v>
      </c>
      <c r="H35" s="10" t="n">
        <f aca="false">IF(D35=0,0,G35/D35*1000)</f>
        <v>0</v>
      </c>
      <c r="I35" s="8" t="n">
        <v>20</v>
      </c>
      <c r="J35" s="25" t="n">
        <v>0</v>
      </c>
      <c r="K35" s="26" t="n">
        <v>0.307</v>
      </c>
      <c r="L35" s="26" t="n">
        <v>0.0291</v>
      </c>
      <c r="M35" s="27" t="str">
        <f aca="false">IF(D35&gt;=200,"○","-")</f>
        <v>○</v>
      </c>
    </row>
    <row r="36" customFormat="false" ht="15" hidden="false" customHeight="false" outlineLevel="0" collapsed="false">
      <c r="A36" s="7" t="s">
        <v>22</v>
      </c>
      <c r="B36" s="7" t="s">
        <v>124</v>
      </c>
      <c r="C36" s="27" t="s">
        <v>125</v>
      </c>
      <c r="D36" s="8" t="n">
        <v>926</v>
      </c>
      <c r="E36" s="27" t="n">
        <v>4</v>
      </c>
      <c r="F36" s="9" t="n">
        <f aca="false">IF(D36=0,0,E36/D36)</f>
        <v>0.00431965442764579</v>
      </c>
      <c r="G36" s="27" t="n">
        <v>1</v>
      </c>
      <c r="H36" s="10" t="n">
        <f aca="false">IF(D36=0,0,G36/D36*1000)</f>
        <v>1.07991360691145</v>
      </c>
      <c r="I36" s="8" t="n">
        <v>22</v>
      </c>
      <c r="J36" s="25" t="n">
        <v>0.0454545454545455</v>
      </c>
      <c r="K36" s="26" t="n">
        <v>0.3787</v>
      </c>
      <c r="L36" s="26" t="n">
        <v>0.09894</v>
      </c>
      <c r="M36" s="27" t="str">
        <f aca="false">IF(D36&gt;=200,"○","-")</f>
        <v>○</v>
      </c>
    </row>
    <row r="37" customFormat="false" ht="15" hidden="false" customHeight="false" outlineLevel="0" collapsed="false">
      <c r="A37" s="28" t="s">
        <v>22</v>
      </c>
      <c r="B37" s="28" t="s">
        <v>126</v>
      </c>
      <c r="C37" s="29" t="s">
        <v>127</v>
      </c>
      <c r="D37" s="30" t="n">
        <v>0</v>
      </c>
      <c r="E37" s="28" t="n">
        <v>0</v>
      </c>
      <c r="F37" s="31" t="n">
        <f aca="false">IF(D37=0,0,E37/D37)</f>
        <v>0</v>
      </c>
      <c r="G37" s="28" t="n">
        <v>0</v>
      </c>
      <c r="H37" s="32" t="n">
        <f aca="false">IF(D37=0,0,G37/D37*1000)</f>
        <v>0</v>
      </c>
      <c r="I37" s="30" t="n">
        <v>0</v>
      </c>
      <c r="J37" s="33" t="n">
        <v>0</v>
      </c>
      <c r="K37" s="34" t="n">
        <v>0</v>
      </c>
      <c r="L37" s="34"/>
      <c r="M37" s="28" t="str">
        <f aca="false">IF(D37&gt;=200,"○","-")</f>
        <v>-</v>
      </c>
    </row>
    <row r="38" customFormat="false" ht="15" hidden="false" customHeight="false" outlineLevel="0" collapsed="false">
      <c r="A38" s="28" t="s">
        <v>22</v>
      </c>
      <c r="B38" s="28" t="s">
        <v>126</v>
      </c>
      <c r="C38" s="29" t="s">
        <v>128</v>
      </c>
      <c r="D38" s="30" t="n">
        <v>0</v>
      </c>
      <c r="E38" s="28" t="n">
        <v>0</v>
      </c>
      <c r="F38" s="31" t="n">
        <f aca="false">IF(D38=0,0,E38/D38)</f>
        <v>0</v>
      </c>
      <c r="G38" s="28" t="n">
        <v>0</v>
      </c>
      <c r="H38" s="32" t="n">
        <f aca="false">IF(D38=0,0,G38/D38*1000)</f>
        <v>0</v>
      </c>
      <c r="I38" s="30" t="n">
        <v>0</v>
      </c>
      <c r="J38" s="33" t="n">
        <v>0</v>
      </c>
      <c r="K38" s="34" t="n">
        <v>0</v>
      </c>
      <c r="L38" s="34"/>
      <c r="M38" s="28" t="str">
        <f aca="false">IF(D38&gt;=200,"○","-")</f>
        <v>-</v>
      </c>
    </row>
    <row r="39" customFormat="false" ht="15" hidden="false" customHeight="false" outlineLevel="0" collapsed="false">
      <c r="A39" s="28" t="s">
        <v>22</v>
      </c>
      <c r="B39" s="28" t="s">
        <v>129</v>
      </c>
      <c r="C39" s="29" t="s">
        <v>130</v>
      </c>
      <c r="D39" s="30" t="n">
        <v>0</v>
      </c>
      <c r="E39" s="28" t="n">
        <v>0</v>
      </c>
      <c r="F39" s="31" t="n">
        <f aca="false">IF(D39=0,0,E39/D39)</f>
        <v>0</v>
      </c>
      <c r="G39" s="28" t="n">
        <v>0</v>
      </c>
      <c r="H39" s="32" t="n">
        <f aca="false">IF(D39=0,0,G39/D39*1000)</f>
        <v>0</v>
      </c>
      <c r="I39" s="30" t="n">
        <v>0</v>
      </c>
      <c r="J39" s="33" t="n">
        <v>0</v>
      </c>
      <c r="K39" s="34" t="n">
        <v>0</v>
      </c>
      <c r="L39" s="34"/>
      <c r="M39" s="28" t="str">
        <f aca="false">IF(D39&gt;=200,"○","-")</f>
        <v>-</v>
      </c>
    </row>
    <row r="40" customFormat="false" ht="15" hidden="false" customHeight="false" outlineLevel="0" collapsed="false">
      <c r="A40" s="28" t="s">
        <v>18</v>
      </c>
      <c r="B40" s="28" t="s">
        <v>131</v>
      </c>
      <c r="C40" s="29" t="s">
        <v>132</v>
      </c>
      <c r="D40" s="30" t="n">
        <v>0</v>
      </c>
      <c r="E40" s="28" t="n">
        <v>0</v>
      </c>
      <c r="F40" s="31" t="n">
        <f aca="false">IF(D40=0,0,E40/D40)</f>
        <v>0</v>
      </c>
      <c r="G40" s="28" t="n">
        <v>0</v>
      </c>
      <c r="H40" s="32" t="n">
        <f aca="false">IF(D40=0,0,G40/D40*1000)</f>
        <v>0</v>
      </c>
      <c r="I40" s="30" t="n">
        <v>0</v>
      </c>
      <c r="J40" s="33" t="n">
        <v>0</v>
      </c>
      <c r="K40" s="34" t="n">
        <v>0</v>
      </c>
      <c r="L40" s="34"/>
      <c r="M40" s="28" t="str">
        <f aca="false">IF(D40&gt;=200,"○","-")</f>
        <v>-</v>
      </c>
    </row>
    <row r="41" customFormat="false" ht="15" hidden="false" customHeight="false" outlineLevel="0" collapsed="false">
      <c r="A41" s="28" t="s">
        <v>18</v>
      </c>
      <c r="B41" s="28" t="s">
        <v>133</v>
      </c>
      <c r="C41" s="29" t="s">
        <v>134</v>
      </c>
      <c r="D41" s="30" t="n">
        <v>0</v>
      </c>
      <c r="E41" s="28" t="n">
        <v>0</v>
      </c>
      <c r="F41" s="31" t="n">
        <f aca="false">IF(D41=0,0,E41/D41)</f>
        <v>0</v>
      </c>
      <c r="G41" s="28" t="n">
        <v>0</v>
      </c>
      <c r="H41" s="32" t="n">
        <f aca="false">IF(D41=0,0,G41/D41*1000)</f>
        <v>0</v>
      </c>
      <c r="I41" s="30" t="n">
        <v>0</v>
      </c>
      <c r="J41" s="33" t="n">
        <v>0</v>
      </c>
      <c r="K41" s="34" t="n">
        <v>0</v>
      </c>
      <c r="L41" s="34"/>
      <c r="M41" s="28" t="str">
        <f aca="false">IF(D41&gt;=200,"○","-")</f>
        <v>-</v>
      </c>
    </row>
    <row r="42" customFormat="false" ht="15" hidden="false" customHeight="false" outlineLevel="0" collapsed="false">
      <c r="A42" s="28" t="s">
        <v>18</v>
      </c>
      <c r="B42" s="28" t="s">
        <v>135</v>
      </c>
      <c r="C42" s="29" t="s">
        <v>136</v>
      </c>
      <c r="D42" s="30" t="n">
        <v>0</v>
      </c>
      <c r="E42" s="28" t="n">
        <v>0</v>
      </c>
      <c r="F42" s="31" t="n">
        <f aca="false">IF(D42=0,0,E42/D42)</f>
        <v>0</v>
      </c>
      <c r="G42" s="28" t="n">
        <v>0</v>
      </c>
      <c r="H42" s="32" t="n">
        <f aca="false">IF(D42=0,0,G42/D42*1000)</f>
        <v>0</v>
      </c>
      <c r="I42" s="30" t="n">
        <v>0</v>
      </c>
      <c r="J42" s="33" t="n">
        <v>0</v>
      </c>
      <c r="K42" s="34" t="n">
        <v>0</v>
      </c>
      <c r="L42" s="34"/>
      <c r="M42" s="28" t="str">
        <f aca="false">IF(D42&gt;=200,"○","-")</f>
        <v>-</v>
      </c>
    </row>
    <row r="43" customFormat="false" ht="15" hidden="false" customHeight="false" outlineLevel="0" collapsed="false">
      <c r="A43" s="28" t="s">
        <v>18</v>
      </c>
      <c r="B43" s="28" t="s">
        <v>135</v>
      </c>
      <c r="C43" s="29" t="s">
        <v>137</v>
      </c>
      <c r="D43" s="30" t="n">
        <v>0</v>
      </c>
      <c r="E43" s="28" t="n">
        <v>0</v>
      </c>
      <c r="F43" s="31" t="n">
        <f aca="false">IF(D43=0,0,E43/D43)</f>
        <v>0</v>
      </c>
      <c r="G43" s="28" t="n">
        <v>0</v>
      </c>
      <c r="H43" s="32" t="n">
        <f aca="false">IF(D43=0,0,G43/D43*1000)</f>
        <v>0</v>
      </c>
      <c r="I43" s="30" t="n">
        <v>0</v>
      </c>
      <c r="J43" s="33" t="n">
        <v>0</v>
      </c>
      <c r="K43" s="34" t="n">
        <v>0</v>
      </c>
      <c r="L43" s="34"/>
      <c r="M43" s="28" t="str">
        <f aca="false">IF(D43&gt;=200,"○","-")</f>
        <v>-</v>
      </c>
    </row>
    <row r="44" customFormat="false" ht="15" hidden="false" customHeight="false" outlineLevel="0" collapsed="false">
      <c r="A44" s="28" t="s">
        <v>18</v>
      </c>
      <c r="B44" s="28" t="s">
        <v>138</v>
      </c>
      <c r="C44" s="29" t="s">
        <v>139</v>
      </c>
      <c r="D44" s="30" t="n">
        <v>0</v>
      </c>
      <c r="E44" s="28" t="n">
        <v>0</v>
      </c>
      <c r="F44" s="31" t="n">
        <f aca="false">IF(D44=0,0,E44/D44)</f>
        <v>0</v>
      </c>
      <c r="G44" s="28" t="n">
        <v>0</v>
      </c>
      <c r="H44" s="32" t="n">
        <f aca="false">IF(D44=0,0,G44/D44*1000)</f>
        <v>0</v>
      </c>
      <c r="I44" s="30" t="n">
        <v>0</v>
      </c>
      <c r="J44" s="33" t="n">
        <v>0</v>
      </c>
      <c r="K44" s="34" t="n">
        <v>0</v>
      </c>
      <c r="L44" s="34"/>
      <c r="M44" s="28" t="str">
        <f aca="false">IF(D44&gt;=200,"○","-")</f>
        <v>-</v>
      </c>
    </row>
    <row r="45" customFormat="false" ht="15" hidden="false" customHeight="false" outlineLevel="0" collapsed="false">
      <c r="A45" s="28" t="s">
        <v>18</v>
      </c>
      <c r="B45" s="28" t="s">
        <v>140</v>
      </c>
      <c r="C45" s="29" t="s">
        <v>141</v>
      </c>
      <c r="D45" s="30" t="n">
        <v>0</v>
      </c>
      <c r="E45" s="28" t="n">
        <v>0</v>
      </c>
      <c r="F45" s="31" t="n">
        <f aca="false">IF(D45=0,0,E45/D45)</f>
        <v>0</v>
      </c>
      <c r="G45" s="28" t="n">
        <v>0</v>
      </c>
      <c r="H45" s="32" t="n">
        <f aca="false">IF(D45=0,0,G45/D45*1000)</f>
        <v>0</v>
      </c>
      <c r="I45" s="30" t="n">
        <v>0</v>
      </c>
      <c r="J45" s="33" t="n">
        <v>0</v>
      </c>
      <c r="K45" s="34" t="n">
        <v>0</v>
      </c>
      <c r="L45" s="34"/>
      <c r="M45" s="28" t="str">
        <f aca="false">IF(D45&gt;=200,"○","-")</f>
        <v>-</v>
      </c>
    </row>
    <row r="46" customFormat="false" ht="15" hidden="false" customHeight="false" outlineLevel="0" collapsed="false">
      <c r="A46" s="28" t="s">
        <v>18</v>
      </c>
      <c r="B46" s="28" t="s">
        <v>140</v>
      </c>
      <c r="C46" s="29" t="s">
        <v>142</v>
      </c>
      <c r="D46" s="30" t="n">
        <v>0</v>
      </c>
      <c r="E46" s="28" t="n">
        <v>0</v>
      </c>
      <c r="F46" s="31" t="n">
        <f aca="false">IF(D46=0,0,E46/D46)</f>
        <v>0</v>
      </c>
      <c r="G46" s="28" t="n">
        <v>0</v>
      </c>
      <c r="H46" s="32" t="n">
        <f aca="false">IF(D46=0,0,G46/D46*1000)</f>
        <v>0</v>
      </c>
      <c r="I46" s="30" t="n">
        <v>0</v>
      </c>
      <c r="J46" s="33" t="n">
        <v>0</v>
      </c>
      <c r="K46" s="34" t="n">
        <v>0</v>
      </c>
      <c r="L46" s="34" t="n">
        <v>0.108335</v>
      </c>
      <c r="M46" s="28" t="str">
        <f aca="false">IF(D46&gt;=200,"○","-")</f>
        <v>-</v>
      </c>
    </row>
    <row r="47" customFormat="false" ht="15" hidden="false" customHeight="false" outlineLevel="0" collapsed="false">
      <c r="A47" s="28" t="s">
        <v>18</v>
      </c>
      <c r="B47" s="28" t="s">
        <v>140</v>
      </c>
      <c r="C47" s="29" t="s">
        <v>143</v>
      </c>
      <c r="D47" s="30" t="n">
        <v>0</v>
      </c>
      <c r="E47" s="28" t="n">
        <v>0</v>
      </c>
      <c r="F47" s="31" t="n">
        <f aca="false">IF(D47=0,0,E47/D47)</f>
        <v>0</v>
      </c>
      <c r="G47" s="28" t="n">
        <v>0</v>
      </c>
      <c r="H47" s="32" t="n">
        <f aca="false">IF(D47=0,0,G47/D47*1000)</f>
        <v>0</v>
      </c>
      <c r="I47" s="30" t="n">
        <v>0</v>
      </c>
      <c r="J47" s="33" t="n">
        <v>0</v>
      </c>
      <c r="K47" s="34" t="n">
        <v>0</v>
      </c>
      <c r="L47" s="34"/>
      <c r="M47" s="28" t="str">
        <f aca="false">IF(D47&gt;=200,"○","-")</f>
        <v>-</v>
      </c>
    </row>
    <row r="48" customFormat="false" ht="15" hidden="false" customHeight="false" outlineLevel="0" collapsed="false">
      <c r="A48" s="28" t="s">
        <v>18</v>
      </c>
      <c r="B48" s="28" t="s">
        <v>140</v>
      </c>
      <c r="C48" s="29" t="s">
        <v>144</v>
      </c>
      <c r="D48" s="30" t="n">
        <v>0</v>
      </c>
      <c r="E48" s="28" t="n">
        <v>0</v>
      </c>
      <c r="F48" s="31" t="n">
        <f aca="false">IF(D48=0,0,E48/D48)</f>
        <v>0</v>
      </c>
      <c r="G48" s="28" t="n">
        <v>0</v>
      </c>
      <c r="H48" s="32" t="n">
        <f aca="false">IF(D48=0,0,G48/D48*1000)</f>
        <v>0</v>
      </c>
      <c r="I48" s="30" t="n">
        <v>0</v>
      </c>
      <c r="J48" s="33" t="n">
        <v>0</v>
      </c>
      <c r="K48" s="34" t="n">
        <v>0</v>
      </c>
      <c r="L48" s="34"/>
      <c r="M48" s="28" t="str">
        <f aca="false">IF(D48&gt;=200,"○","-")</f>
        <v>-</v>
      </c>
    </row>
    <row r="49" customFormat="false" ht="15" hidden="false" customHeight="false" outlineLevel="0" collapsed="false">
      <c r="A49" s="28" t="s">
        <v>18</v>
      </c>
      <c r="B49" s="28" t="s">
        <v>145</v>
      </c>
      <c r="C49" s="29" t="s">
        <v>146</v>
      </c>
      <c r="D49" s="30" t="n">
        <v>0</v>
      </c>
      <c r="E49" s="28" t="n">
        <v>0</v>
      </c>
      <c r="F49" s="31" t="n">
        <f aca="false">IF(D49=0,0,E49/D49)</f>
        <v>0</v>
      </c>
      <c r="G49" s="28" t="n">
        <v>0</v>
      </c>
      <c r="H49" s="32" t="n">
        <f aca="false">IF(D49=0,0,G49/D49*1000)</f>
        <v>0</v>
      </c>
      <c r="I49" s="30" t="n">
        <v>0</v>
      </c>
      <c r="J49" s="33" t="n">
        <v>0</v>
      </c>
      <c r="K49" s="34" t="n">
        <v>0</v>
      </c>
      <c r="L49" s="34"/>
      <c r="M49" s="28" t="str">
        <f aca="false">IF(D49&gt;=200,"○","-")</f>
        <v>-</v>
      </c>
    </row>
    <row r="50" customFormat="false" ht="15" hidden="false" customHeight="false" outlineLevel="0" collapsed="false">
      <c r="A50" s="28" t="s">
        <v>18</v>
      </c>
      <c r="B50" s="28" t="s">
        <v>145</v>
      </c>
      <c r="C50" s="29" t="s">
        <v>147</v>
      </c>
      <c r="D50" s="30" t="n">
        <v>0</v>
      </c>
      <c r="E50" s="28" t="n">
        <v>0</v>
      </c>
      <c r="F50" s="31" t="n">
        <f aca="false">IF(D50=0,0,E50/D50)</f>
        <v>0</v>
      </c>
      <c r="G50" s="28" t="n">
        <v>0</v>
      </c>
      <c r="H50" s="32" t="n">
        <f aca="false">IF(D50=0,0,G50/D50*1000)</f>
        <v>0</v>
      </c>
      <c r="I50" s="30" t="n">
        <v>0</v>
      </c>
      <c r="J50" s="33" t="n">
        <v>0</v>
      </c>
      <c r="K50" s="34" t="n">
        <v>0</v>
      </c>
      <c r="L50" s="34"/>
      <c r="M50" s="28" t="str">
        <f aca="false">IF(D50&gt;=200,"○","-")</f>
        <v>-</v>
      </c>
    </row>
    <row r="51" customFormat="false" ht="15" hidden="false" customHeight="false" outlineLevel="0" collapsed="false">
      <c r="A51" s="28" t="s">
        <v>18</v>
      </c>
      <c r="B51" s="28" t="s">
        <v>148</v>
      </c>
      <c r="C51" s="29" t="s">
        <v>149</v>
      </c>
      <c r="D51" s="30" t="n">
        <v>0</v>
      </c>
      <c r="E51" s="28" t="n">
        <v>0</v>
      </c>
      <c r="F51" s="31" t="n">
        <f aca="false">IF(D51=0,0,E51/D51)</f>
        <v>0</v>
      </c>
      <c r="G51" s="28" t="n">
        <v>0</v>
      </c>
      <c r="H51" s="32" t="n">
        <f aca="false">IF(D51=0,0,G51/D51*1000)</f>
        <v>0</v>
      </c>
      <c r="I51" s="30" t="n">
        <v>0</v>
      </c>
      <c r="J51" s="33" t="n">
        <v>0</v>
      </c>
      <c r="K51" s="34" t="n">
        <v>0</v>
      </c>
      <c r="L51" s="34"/>
      <c r="M51" s="28" t="str">
        <f aca="false">IF(D51&gt;=200,"○","-")</f>
        <v>-</v>
      </c>
    </row>
    <row r="52" customFormat="false" ht="15" hidden="false" customHeight="false" outlineLevel="0" collapsed="false">
      <c r="A52" s="28" t="s">
        <v>18</v>
      </c>
      <c r="B52" s="28" t="s">
        <v>148</v>
      </c>
      <c r="C52" s="29" t="s">
        <v>150</v>
      </c>
      <c r="D52" s="30" t="n">
        <v>0</v>
      </c>
      <c r="E52" s="28" t="n">
        <v>0</v>
      </c>
      <c r="F52" s="31" t="n">
        <f aca="false">IF(D52=0,0,E52/D52)</f>
        <v>0</v>
      </c>
      <c r="G52" s="28" t="n">
        <v>0</v>
      </c>
      <c r="H52" s="32" t="n">
        <f aca="false">IF(D52=0,0,G52/D52*1000)</f>
        <v>0</v>
      </c>
      <c r="I52" s="30" t="n">
        <v>0</v>
      </c>
      <c r="J52" s="33" t="n">
        <v>0</v>
      </c>
      <c r="K52" s="34" t="n">
        <v>0</v>
      </c>
      <c r="L52" s="34"/>
      <c r="M52" s="28" t="str">
        <f aca="false">IF(D52&gt;=200,"○","-")</f>
        <v>-</v>
      </c>
    </row>
    <row r="53" customFormat="false" ht="15" hidden="false" customHeight="false" outlineLevel="0" collapsed="false">
      <c r="A53" s="28" t="s">
        <v>18</v>
      </c>
      <c r="B53" s="28" t="s">
        <v>148</v>
      </c>
      <c r="C53" s="29" t="s">
        <v>151</v>
      </c>
      <c r="D53" s="30" t="n">
        <v>0</v>
      </c>
      <c r="E53" s="28" t="n">
        <v>0</v>
      </c>
      <c r="F53" s="31" t="n">
        <f aca="false">IF(D53=0,0,E53/D53)</f>
        <v>0</v>
      </c>
      <c r="G53" s="28" t="n">
        <v>0</v>
      </c>
      <c r="H53" s="32" t="n">
        <f aca="false">IF(D53=0,0,G53/D53*1000)</f>
        <v>0</v>
      </c>
      <c r="I53" s="30" t="n">
        <v>0</v>
      </c>
      <c r="J53" s="33" t="n">
        <v>0</v>
      </c>
      <c r="K53" s="34" t="n">
        <v>0</v>
      </c>
      <c r="L53" s="34"/>
      <c r="M53" s="28" t="str">
        <f aca="false">IF(D53&gt;=200,"○","-")</f>
        <v>-</v>
      </c>
    </row>
    <row r="54" customFormat="false" ht="15" hidden="false" customHeight="false" outlineLevel="0" collapsed="false">
      <c r="A54" s="28" t="s">
        <v>18</v>
      </c>
      <c r="B54" s="28" t="s">
        <v>148</v>
      </c>
      <c r="C54" s="29" t="s">
        <v>152</v>
      </c>
      <c r="D54" s="30" t="n">
        <v>0</v>
      </c>
      <c r="E54" s="28" t="n">
        <v>0</v>
      </c>
      <c r="F54" s="31" t="n">
        <f aca="false">IF(D54=0,0,E54/D54)</f>
        <v>0</v>
      </c>
      <c r="G54" s="28" t="n">
        <v>0</v>
      </c>
      <c r="H54" s="32" t="n">
        <f aca="false">IF(D54=0,0,G54/D54*1000)</f>
        <v>0</v>
      </c>
      <c r="I54" s="30" t="n">
        <v>0</v>
      </c>
      <c r="J54" s="33" t="n">
        <v>0</v>
      </c>
      <c r="K54" s="34" t="n">
        <v>0</v>
      </c>
      <c r="L54" s="34" t="n">
        <v>0.51279</v>
      </c>
      <c r="M54" s="28" t="str">
        <f aca="false">IF(D54&gt;=200,"○","-")</f>
        <v>-</v>
      </c>
    </row>
    <row r="55" customFormat="false" ht="15" hidden="false" customHeight="false" outlineLevel="0" collapsed="false">
      <c r="A55" s="28" t="s">
        <v>18</v>
      </c>
      <c r="B55" s="28" t="s">
        <v>153</v>
      </c>
      <c r="C55" s="29" t="s">
        <v>154</v>
      </c>
      <c r="D55" s="30" t="n">
        <v>0</v>
      </c>
      <c r="E55" s="28" t="n">
        <v>0</v>
      </c>
      <c r="F55" s="31" t="n">
        <f aca="false">IF(D55=0,0,E55/D55)</f>
        <v>0</v>
      </c>
      <c r="G55" s="28" t="n">
        <v>0</v>
      </c>
      <c r="H55" s="32" t="n">
        <f aca="false">IF(D55=0,0,G55/D55*1000)</f>
        <v>0</v>
      </c>
      <c r="I55" s="30" t="n">
        <v>0</v>
      </c>
      <c r="J55" s="33" t="n">
        <v>0</v>
      </c>
      <c r="K55" s="34" t="n">
        <v>0</v>
      </c>
      <c r="L55" s="34"/>
      <c r="M55" s="28" t="str">
        <f aca="false">IF(D55&gt;=200,"○","-")</f>
        <v>-</v>
      </c>
    </row>
    <row r="56" customFormat="false" ht="15" hidden="false" customHeight="false" outlineLevel="0" collapsed="false">
      <c r="A56" s="28" t="s">
        <v>18</v>
      </c>
      <c r="B56" s="28" t="s">
        <v>153</v>
      </c>
      <c r="C56" s="29" t="s">
        <v>155</v>
      </c>
      <c r="D56" s="30" t="n">
        <v>0</v>
      </c>
      <c r="E56" s="28" t="n">
        <v>0</v>
      </c>
      <c r="F56" s="31" t="n">
        <f aca="false">IF(D56=0,0,E56/D56)</f>
        <v>0</v>
      </c>
      <c r="G56" s="28" t="n">
        <v>0</v>
      </c>
      <c r="H56" s="32" t="n">
        <f aca="false">IF(D56=0,0,G56/D56*1000)</f>
        <v>0</v>
      </c>
      <c r="I56" s="30" t="n">
        <v>0</v>
      </c>
      <c r="J56" s="33" t="n">
        <v>0</v>
      </c>
      <c r="K56" s="34" t="n">
        <v>0</v>
      </c>
      <c r="L56" s="34" t="n">
        <v>0.3069</v>
      </c>
      <c r="M56" s="28" t="str">
        <f aca="false">IF(D56&gt;=200,"○","-")</f>
        <v>-</v>
      </c>
    </row>
    <row r="57" customFormat="false" ht="15" hidden="false" customHeight="false" outlineLevel="0" collapsed="false">
      <c r="A57" s="28" t="s">
        <v>18</v>
      </c>
      <c r="B57" s="28" t="s">
        <v>156</v>
      </c>
      <c r="C57" s="29" t="s">
        <v>157</v>
      </c>
      <c r="D57" s="30" t="n">
        <v>0</v>
      </c>
      <c r="E57" s="28" t="n">
        <v>0</v>
      </c>
      <c r="F57" s="31" t="n">
        <f aca="false">IF(D57=0,0,E57/D57)</f>
        <v>0</v>
      </c>
      <c r="G57" s="28" t="n">
        <v>0</v>
      </c>
      <c r="H57" s="32" t="n">
        <f aca="false">IF(D57=0,0,G57/D57*1000)</f>
        <v>0</v>
      </c>
      <c r="I57" s="30" t="n">
        <v>0</v>
      </c>
      <c r="J57" s="33" t="n">
        <v>0</v>
      </c>
      <c r="K57" s="34" t="n">
        <v>0</v>
      </c>
      <c r="L57" s="34"/>
      <c r="M57" s="28" t="str">
        <f aca="false">IF(D57&gt;=200,"○","-")</f>
        <v>-</v>
      </c>
    </row>
    <row r="58" customFormat="false" ht="15" hidden="false" customHeight="false" outlineLevel="0" collapsed="false">
      <c r="A58" s="28" t="s">
        <v>18</v>
      </c>
      <c r="B58" s="28" t="s">
        <v>156</v>
      </c>
      <c r="C58" s="29" t="s">
        <v>158</v>
      </c>
      <c r="D58" s="30" t="n">
        <v>0</v>
      </c>
      <c r="E58" s="28" t="n">
        <v>0</v>
      </c>
      <c r="F58" s="31" t="n">
        <f aca="false">IF(D58=0,0,E58/D58)</f>
        <v>0</v>
      </c>
      <c r="G58" s="28" t="n">
        <v>0</v>
      </c>
      <c r="H58" s="32" t="n">
        <f aca="false">IF(D58=0,0,G58/D58*1000)</f>
        <v>0</v>
      </c>
      <c r="I58" s="30" t="n">
        <v>0</v>
      </c>
      <c r="J58" s="33" t="n">
        <v>0</v>
      </c>
      <c r="K58" s="34" t="n">
        <v>0</v>
      </c>
      <c r="L58" s="34"/>
      <c r="M58" s="28" t="str">
        <f aca="false">IF(D58&gt;=200,"○","-")</f>
        <v>-</v>
      </c>
    </row>
    <row r="59" customFormat="false" ht="15" hidden="false" customHeight="false" outlineLevel="0" collapsed="false">
      <c r="A59" s="28" t="s">
        <v>18</v>
      </c>
      <c r="B59" s="28" t="s">
        <v>159</v>
      </c>
      <c r="C59" s="29" t="s">
        <v>160</v>
      </c>
      <c r="D59" s="30" t="n">
        <v>0</v>
      </c>
      <c r="E59" s="28" t="n">
        <v>0</v>
      </c>
      <c r="F59" s="31" t="n">
        <f aca="false">IF(D59=0,0,E59/D59)</f>
        <v>0</v>
      </c>
      <c r="G59" s="28" t="n">
        <v>0</v>
      </c>
      <c r="H59" s="32" t="n">
        <f aca="false">IF(D59=0,0,G59/D59*1000)</f>
        <v>0</v>
      </c>
      <c r="I59" s="30" t="n">
        <v>0</v>
      </c>
      <c r="J59" s="33" t="n">
        <v>0</v>
      </c>
      <c r="K59" s="34" t="n">
        <v>0</v>
      </c>
      <c r="L59" s="34"/>
      <c r="M59" s="28" t="str">
        <f aca="false">IF(D59&gt;=200,"○","-")</f>
        <v>-</v>
      </c>
    </row>
    <row r="60" customFormat="false" ht="15" hidden="false" customHeight="false" outlineLevel="0" collapsed="false">
      <c r="A60" s="28" t="s">
        <v>18</v>
      </c>
      <c r="B60" s="28" t="s">
        <v>159</v>
      </c>
      <c r="C60" s="29" t="s">
        <v>161</v>
      </c>
      <c r="D60" s="30" t="n">
        <v>0</v>
      </c>
      <c r="E60" s="28" t="n">
        <v>0</v>
      </c>
      <c r="F60" s="31" t="n">
        <f aca="false">IF(D60=0,0,E60/D60)</f>
        <v>0</v>
      </c>
      <c r="G60" s="28" t="n">
        <v>0</v>
      </c>
      <c r="H60" s="32" t="n">
        <f aca="false">IF(D60=0,0,G60/D60*1000)</f>
        <v>0</v>
      </c>
      <c r="I60" s="30" t="n">
        <v>0</v>
      </c>
      <c r="J60" s="33" t="n">
        <v>0</v>
      </c>
      <c r="K60" s="34" t="n">
        <v>0</v>
      </c>
      <c r="L60" s="34"/>
      <c r="M60" s="28" t="str">
        <f aca="false">IF(D60&gt;=200,"○","-")</f>
        <v>-</v>
      </c>
    </row>
    <row r="61" customFormat="false" ht="15" hidden="false" customHeight="false" outlineLevel="0" collapsed="false">
      <c r="A61" s="28" t="s">
        <v>18</v>
      </c>
      <c r="B61" s="28" t="s">
        <v>162</v>
      </c>
      <c r="C61" s="29" t="s">
        <v>163</v>
      </c>
      <c r="D61" s="30" t="n">
        <v>0</v>
      </c>
      <c r="E61" s="28" t="n">
        <v>0</v>
      </c>
      <c r="F61" s="31" t="n">
        <f aca="false">IF(D61=0,0,E61/D61)</f>
        <v>0</v>
      </c>
      <c r="G61" s="28" t="n">
        <v>0</v>
      </c>
      <c r="H61" s="32" t="n">
        <f aca="false">IF(D61=0,0,G61/D61*1000)</f>
        <v>0</v>
      </c>
      <c r="I61" s="30" t="n">
        <v>0</v>
      </c>
      <c r="J61" s="33" t="n">
        <v>0</v>
      </c>
      <c r="K61" s="34" t="n">
        <v>0</v>
      </c>
      <c r="L61" s="34"/>
      <c r="M61" s="28" t="str">
        <f aca="false">IF(D61&gt;=200,"○","-")</f>
        <v>-</v>
      </c>
    </row>
    <row r="62" customFormat="false" ht="15" hidden="false" customHeight="false" outlineLevel="0" collapsed="false">
      <c r="A62" s="28" t="s">
        <v>18</v>
      </c>
      <c r="B62" s="28" t="s">
        <v>162</v>
      </c>
      <c r="C62" s="29" t="s">
        <v>164</v>
      </c>
      <c r="D62" s="30" t="n">
        <v>0</v>
      </c>
      <c r="E62" s="28" t="n">
        <v>0</v>
      </c>
      <c r="F62" s="31" t="n">
        <f aca="false">IF(D62=0,0,E62/D62)</f>
        <v>0</v>
      </c>
      <c r="G62" s="28" t="n">
        <v>0</v>
      </c>
      <c r="H62" s="32" t="n">
        <f aca="false">IF(D62=0,0,G62/D62*1000)</f>
        <v>0</v>
      </c>
      <c r="I62" s="30" t="n">
        <v>0</v>
      </c>
      <c r="J62" s="33" t="n">
        <v>0</v>
      </c>
      <c r="K62" s="34" t="n">
        <v>0</v>
      </c>
      <c r="L62" s="34"/>
      <c r="M62" s="28" t="str">
        <f aca="false">IF(D62&gt;=200,"○","-")</f>
        <v>-</v>
      </c>
    </row>
    <row r="63" customFormat="false" ht="15" hidden="false" customHeight="false" outlineLevel="0" collapsed="false">
      <c r="A63" s="28" t="s">
        <v>18</v>
      </c>
      <c r="B63" s="28" t="s">
        <v>165</v>
      </c>
      <c r="C63" s="29" t="s">
        <v>166</v>
      </c>
      <c r="D63" s="30" t="n">
        <v>0</v>
      </c>
      <c r="E63" s="28" t="n">
        <v>0</v>
      </c>
      <c r="F63" s="31" t="n">
        <f aca="false">IF(D63=0,0,E63/D63)</f>
        <v>0</v>
      </c>
      <c r="G63" s="28" t="n">
        <v>0</v>
      </c>
      <c r="H63" s="32" t="n">
        <f aca="false">IF(D63=0,0,G63/D63*1000)</f>
        <v>0</v>
      </c>
      <c r="I63" s="30" t="n">
        <v>0</v>
      </c>
      <c r="J63" s="33" t="n">
        <v>0</v>
      </c>
      <c r="K63" s="34" t="n">
        <v>0</v>
      </c>
      <c r="L63" s="34"/>
      <c r="M63" s="28" t="str">
        <f aca="false">IF(D63&gt;=200,"○","-")</f>
        <v>-</v>
      </c>
    </row>
    <row r="64" customFormat="false" ht="15" hidden="false" customHeight="false" outlineLevel="0" collapsed="false">
      <c r="A64" s="28" t="s">
        <v>18</v>
      </c>
      <c r="B64" s="28" t="s">
        <v>165</v>
      </c>
      <c r="C64" s="29" t="s">
        <v>167</v>
      </c>
      <c r="D64" s="30" t="n">
        <v>0</v>
      </c>
      <c r="E64" s="28" t="n">
        <v>0</v>
      </c>
      <c r="F64" s="31" t="n">
        <f aca="false">IF(D64=0,0,E64/D64)</f>
        <v>0</v>
      </c>
      <c r="G64" s="28" t="n">
        <v>0</v>
      </c>
      <c r="H64" s="32" t="n">
        <f aca="false">IF(D64=0,0,G64/D64*1000)</f>
        <v>0</v>
      </c>
      <c r="I64" s="30" t="n">
        <v>0</v>
      </c>
      <c r="J64" s="33" t="n">
        <v>0</v>
      </c>
      <c r="K64" s="34" t="n">
        <v>0</v>
      </c>
      <c r="L64" s="34" t="n">
        <v>0.09588</v>
      </c>
      <c r="M64" s="28" t="str">
        <f aca="false">IF(D64&gt;=200,"○","-")</f>
        <v>-</v>
      </c>
    </row>
    <row r="65" customFormat="false" ht="15" hidden="false" customHeight="false" outlineLevel="0" collapsed="false">
      <c r="A65" s="28" t="s">
        <v>18</v>
      </c>
      <c r="B65" s="28" t="s">
        <v>168</v>
      </c>
      <c r="C65" s="29" t="s">
        <v>169</v>
      </c>
      <c r="D65" s="30" t="n">
        <v>0</v>
      </c>
      <c r="E65" s="28" t="n">
        <v>0</v>
      </c>
      <c r="F65" s="31" t="n">
        <f aca="false">IF(D65=0,0,E65/D65)</f>
        <v>0</v>
      </c>
      <c r="G65" s="28" t="n">
        <v>0</v>
      </c>
      <c r="H65" s="32" t="n">
        <f aca="false">IF(D65=0,0,G65/D65*1000)</f>
        <v>0</v>
      </c>
      <c r="I65" s="30" t="n">
        <v>0</v>
      </c>
      <c r="J65" s="33" t="n">
        <v>0</v>
      </c>
      <c r="K65" s="34" t="n">
        <v>0</v>
      </c>
      <c r="L65" s="34"/>
      <c r="M65" s="28" t="str">
        <f aca="false">IF(D65&gt;=200,"○","-")</f>
        <v>-</v>
      </c>
    </row>
    <row r="66" customFormat="false" ht="15" hidden="false" customHeight="false" outlineLevel="0" collapsed="false">
      <c r="A66" s="28" t="s">
        <v>18</v>
      </c>
      <c r="B66" s="28" t="s">
        <v>168</v>
      </c>
      <c r="C66" s="29" t="s">
        <v>170</v>
      </c>
      <c r="D66" s="30" t="n">
        <v>0</v>
      </c>
      <c r="E66" s="28" t="n">
        <v>0</v>
      </c>
      <c r="F66" s="31" t="n">
        <f aca="false">IF(D66=0,0,E66/D66)</f>
        <v>0</v>
      </c>
      <c r="G66" s="28" t="n">
        <v>0</v>
      </c>
      <c r="H66" s="32" t="n">
        <f aca="false">IF(D66=0,0,G66/D66*1000)</f>
        <v>0</v>
      </c>
      <c r="I66" s="30" t="n">
        <v>0</v>
      </c>
      <c r="J66" s="33" t="n">
        <v>0</v>
      </c>
      <c r="K66" s="34" t="n">
        <v>0</v>
      </c>
      <c r="L66" s="34"/>
      <c r="M66" s="28" t="str">
        <f aca="false">IF(D66&gt;=200,"○","-")</f>
        <v>-</v>
      </c>
    </row>
    <row r="67" customFormat="false" ht="15" hidden="false" customHeight="false" outlineLevel="0" collapsed="false">
      <c r="A67" s="28" t="s">
        <v>18</v>
      </c>
      <c r="B67" s="28" t="s">
        <v>171</v>
      </c>
      <c r="C67" s="29" t="s">
        <v>172</v>
      </c>
      <c r="D67" s="30" t="n">
        <v>0</v>
      </c>
      <c r="E67" s="28" t="n">
        <v>0</v>
      </c>
      <c r="F67" s="31" t="n">
        <f aca="false">IF(D67=0,0,E67/D67)</f>
        <v>0</v>
      </c>
      <c r="G67" s="28" t="n">
        <v>0</v>
      </c>
      <c r="H67" s="32" t="n">
        <f aca="false">IF(D67=0,0,G67/D67*1000)</f>
        <v>0</v>
      </c>
      <c r="I67" s="30" t="n">
        <v>0</v>
      </c>
      <c r="J67" s="33" t="n">
        <v>0</v>
      </c>
      <c r="K67" s="34" t="n">
        <v>0</v>
      </c>
      <c r="L67" s="34"/>
      <c r="M67" s="28" t="str">
        <f aca="false">IF(D67&gt;=200,"○","-")</f>
        <v>-</v>
      </c>
    </row>
    <row r="68" customFormat="false" ht="15" hidden="false" customHeight="false" outlineLevel="0" collapsed="false">
      <c r="A68" s="28" t="s">
        <v>18</v>
      </c>
      <c r="B68" s="28" t="s">
        <v>173</v>
      </c>
      <c r="C68" s="29" t="s">
        <v>174</v>
      </c>
      <c r="D68" s="30" t="n">
        <v>0</v>
      </c>
      <c r="E68" s="28" t="n">
        <v>0</v>
      </c>
      <c r="F68" s="31" t="n">
        <f aca="false">IF(D68=0,0,E68/D68)</f>
        <v>0</v>
      </c>
      <c r="G68" s="28" t="n">
        <v>0</v>
      </c>
      <c r="H68" s="32" t="n">
        <f aca="false">IF(D68=0,0,G68/D68*1000)</f>
        <v>0</v>
      </c>
      <c r="I68" s="30" t="n">
        <v>0</v>
      </c>
      <c r="J68" s="33" t="n">
        <v>0</v>
      </c>
      <c r="K68" s="34" t="n">
        <v>0</v>
      </c>
      <c r="L68" s="34"/>
      <c r="M68" s="28" t="str">
        <f aca="false">IF(D68&gt;=200,"○","-")</f>
        <v>-</v>
      </c>
    </row>
    <row r="69" customFormat="false" ht="15" hidden="false" customHeight="false" outlineLevel="0" collapsed="false">
      <c r="A69" s="28" t="s">
        <v>18</v>
      </c>
      <c r="B69" s="28" t="s">
        <v>173</v>
      </c>
      <c r="C69" s="29" t="s">
        <v>175</v>
      </c>
      <c r="D69" s="30" t="n">
        <v>0</v>
      </c>
      <c r="E69" s="28" t="n">
        <v>0</v>
      </c>
      <c r="F69" s="31" t="n">
        <f aca="false">IF(D69=0,0,E69/D69)</f>
        <v>0</v>
      </c>
      <c r="G69" s="28" t="n">
        <v>0</v>
      </c>
      <c r="H69" s="32" t="n">
        <f aca="false">IF(D69=0,0,G69/D69*1000)</f>
        <v>0</v>
      </c>
      <c r="I69" s="30" t="n">
        <v>0</v>
      </c>
      <c r="J69" s="33" t="n">
        <v>0</v>
      </c>
      <c r="K69" s="34" t="n">
        <v>0</v>
      </c>
      <c r="L69" s="34"/>
      <c r="M69" s="28" t="str">
        <f aca="false">IF(D69&gt;=200,"○","-")</f>
        <v>-</v>
      </c>
    </row>
    <row r="70" customFormat="false" ht="15" hidden="false" customHeight="false" outlineLevel="0" collapsed="false">
      <c r="A70" s="28" t="s">
        <v>18</v>
      </c>
      <c r="B70" s="28" t="s">
        <v>176</v>
      </c>
      <c r="C70" s="29" t="s">
        <v>177</v>
      </c>
      <c r="D70" s="30" t="n">
        <v>0</v>
      </c>
      <c r="E70" s="28" t="n">
        <v>0</v>
      </c>
      <c r="F70" s="31" t="n">
        <f aca="false">IF(D70=0,0,E70/D70)</f>
        <v>0</v>
      </c>
      <c r="G70" s="28" t="n">
        <v>0</v>
      </c>
      <c r="H70" s="32" t="n">
        <f aca="false">IF(D70=0,0,G70/D70*1000)</f>
        <v>0</v>
      </c>
      <c r="I70" s="30" t="n">
        <v>0</v>
      </c>
      <c r="J70" s="33" t="n">
        <v>0</v>
      </c>
      <c r="K70" s="34" t="n">
        <v>0</v>
      </c>
      <c r="L70" s="34"/>
      <c r="M70" s="28" t="str">
        <f aca="false">IF(D70&gt;=200,"○","-")</f>
        <v>-</v>
      </c>
    </row>
    <row r="71" customFormat="false" ht="15" hidden="false" customHeight="false" outlineLevel="0" collapsed="false">
      <c r="A71" s="28" t="s">
        <v>18</v>
      </c>
      <c r="B71" s="28" t="s">
        <v>176</v>
      </c>
      <c r="C71" s="29" t="s">
        <v>178</v>
      </c>
      <c r="D71" s="30" t="n">
        <v>0</v>
      </c>
      <c r="E71" s="28" t="n">
        <v>0</v>
      </c>
      <c r="F71" s="31" t="n">
        <f aca="false">IF(D71=0,0,E71/D71)</f>
        <v>0</v>
      </c>
      <c r="G71" s="28" t="n">
        <v>0</v>
      </c>
      <c r="H71" s="32" t="n">
        <f aca="false">IF(D71=0,0,G71/D71*1000)</f>
        <v>0</v>
      </c>
      <c r="I71" s="30" t="n">
        <v>0</v>
      </c>
      <c r="J71" s="33" t="n">
        <v>0</v>
      </c>
      <c r="K71" s="34" t="n">
        <v>0</v>
      </c>
      <c r="L71" s="34"/>
      <c r="M71" s="28" t="str">
        <f aca="false">IF(D71&gt;=200,"○","-")</f>
        <v>-</v>
      </c>
    </row>
    <row r="72" customFormat="false" ht="15" hidden="false" customHeight="false" outlineLevel="0" collapsed="false">
      <c r="A72" s="28" t="s">
        <v>18</v>
      </c>
      <c r="B72" s="28" t="s">
        <v>176</v>
      </c>
      <c r="C72" s="29" t="s">
        <v>179</v>
      </c>
      <c r="D72" s="30" t="n">
        <v>0</v>
      </c>
      <c r="E72" s="28" t="n">
        <v>0</v>
      </c>
      <c r="F72" s="31" t="n">
        <f aca="false">IF(D72=0,0,E72/D72)</f>
        <v>0</v>
      </c>
      <c r="G72" s="28" t="n">
        <v>0</v>
      </c>
      <c r="H72" s="32" t="n">
        <f aca="false">IF(D72=0,0,G72/D72*1000)</f>
        <v>0</v>
      </c>
      <c r="I72" s="30" t="n">
        <v>0</v>
      </c>
      <c r="J72" s="33" t="n">
        <v>0</v>
      </c>
      <c r="K72" s="34" t="n">
        <v>0</v>
      </c>
      <c r="L72" s="34"/>
      <c r="M72" s="28" t="str">
        <f aca="false">IF(D72&gt;=200,"○","-")</f>
        <v>-</v>
      </c>
    </row>
    <row r="73" customFormat="false" ht="15" hidden="false" customHeight="false" outlineLevel="0" collapsed="false">
      <c r="A73" s="28" t="s">
        <v>18</v>
      </c>
      <c r="B73" s="28" t="s">
        <v>180</v>
      </c>
      <c r="C73" s="29" t="s">
        <v>181</v>
      </c>
      <c r="D73" s="30" t="n">
        <v>0</v>
      </c>
      <c r="E73" s="28" t="n">
        <v>0</v>
      </c>
      <c r="F73" s="31" t="n">
        <f aca="false">IF(D73=0,0,E73/D73)</f>
        <v>0</v>
      </c>
      <c r="G73" s="28" t="n">
        <v>0</v>
      </c>
      <c r="H73" s="32" t="n">
        <f aca="false">IF(D73=0,0,G73/D73*1000)</f>
        <v>0</v>
      </c>
      <c r="I73" s="30" t="n">
        <v>0</v>
      </c>
      <c r="J73" s="33" t="n">
        <v>0</v>
      </c>
      <c r="K73" s="34" t="n">
        <v>0</v>
      </c>
      <c r="L73" s="34"/>
      <c r="M73" s="28" t="str">
        <f aca="false">IF(D73&gt;=200,"○","-")</f>
        <v>-</v>
      </c>
    </row>
    <row r="74" customFormat="false" ht="15" hidden="false" customHeight="false" outlineLevel="0" collapsed="false">
      <c r="A74" s="28" t="s">
        <v>18</v>
      </c>
      <c r="B74" s="28" t="s">
        <v>180</v>
      </c>
      <c r="C74" s="29" t="s">
        <v>182</v>
      </c>
      <c r="D74" s="30" t="n">
        <v>0</v>
      </c>
      <c r="E74" s="28" t="n">
        <v>0</v>
      </c>
      <c r="F74" s="31" t="n">
        <f aca="false">IF(D74=0,0,E74/D74)</f>
        <v>0</v>
      </c>
      <c r="G74" s="28" t="n">
        <v>0</v>
      </c>
      <c r="H74" s="32" t="n">
        <f aca="false">IF(D74=0,0,G74/D74*1000)</f>
        <v>0</v>
      </c>
      <c r="I74" s="30" t="n">
        <v>0</v>
      </c>
      <c r="J74" s="33" t="n">
        <v>0</v>
      </c>
      <c r="K74" s="34" t="n">
        <v>0</v>
      </c>
      <c r="L74" s="34"/>
      <c r="M74" s="28" t="str">
        <f aca="false">IF(D74&gt;=200,"○","-")</f>
        <v>-</v>
      </c>
    </row>
    <row r="75" customFormat="false" ht="15" hidden="false" customHeight="false" outlineLevel="0" collapsed="false">
      <c r="A75" s="28" t="s">
        <v>18</v>
      </c>
      <c r="B75" s="28" t="s">
        <v>183</v>
      </c>
      <c r="C75" s="28" t="s">
        <v>184</v>
      </c>
      <c r="D75" s="30" t="n">
        <v>0</v>
      </c>
      <c r="E75" s="28" t="n">
        <v>0</v>
      </c>
      <c r="F75" s="31" t="n">
        <f aca="false">IF(D75=0,0,E75/D75)</f>
        <v>0</v>
      </c>
      <c r="G75" s="28" t="n">
        <v>0</v>
      </c>
      <c r="H75" s="32" t="n">
        <f aca="false">IF(D75=0,0,G75/D75*1000)</f>
        <v>0</v>
      </c>
      <c r="I75" s="30" t="n">
        <v>0</v>
      </c>
      <c r="J75" s="33" t="n">
        <v>0</v>
      </c>
      <c r="K75" s="34" t="n">
        <v>0</v>
      </c>
      <c r="L75" s="34"/>
      <c r="M75" s="28" t="str">
        <f aca="false">IF(D75&gt;=200,"○","-")</f>
        <v>-</v>
      </c>
    </row>
    <row r="76" customFormat="false" ht="15" hidden="false" customHeight="false" outlineLevel="0" collapsed="false">
      <c r="A76" s="28" t="s">
        <v>18</v>
      </c>
      <c r="B76" s="28" t="s">
        <v>183</v>
      </c>
      <c r="C76" s="29" t="s">
        <v>185</v>
      </c>
      <c r="D76" s="30" t="n">
        <v>0</v>
      </c>
      <c r="E76" s="28" t="n">
        <v>0</v>
      </c>
      <c r="F76" s="31" t="n">
        <f aca="false">IF(D76=0,0,E76/D76)</f>
        <v>0</v>
      </c>
      <c r="G76" s="28" t="n">
        <v>0</v>
      </c>
      <c r="H76" s="32" t="n">
        <f aca="false">IF(D76=0,0,G76/D76*1000)</f>
        <v>0</v>
      </c>
      <c r="I76" s="30" t="n">
        <v>0</v>
      </c>
      <c r="J76" s="33" t="n">
        <v>0</v>
      </c>
      <c r="K76" s="34" t="n">
        <v>0</v>
      </c>
      <c r="L76" s="34"/>
      <c r="M76" s="28" t="str">
        <f aca="false">IF(D76&gt;=200,"○","-")</f>
        <v>-</v>
      </c>
    </row>
    <row r="77" customFormat="false" ht="15" hidden="false" customHeight="false" outlineLevel="0" collapsed="false">
      <c r="A77" s="28" t="s">
        <v>18</v>
      </c>
      <c r="B77" s="28" t="s">
        <v>183</v>
      </c>
      <c r="C77" s="29" t="s">
        <v>186</v>
      </c>
      <c r="D77" s="30" t="n">
        <v>0</v>
      </c>
      <c r="E77" s="28" t="n">
        <v>0</v>
      </c>
      <c r="F77" s="31" t="n">
        <f aca="false">IF(D77=0,0,E77/D77)</f>
        <v>0</v>
      </c>
      <c r="G77" s="28" t="n">
        <v>0</v>
      </c>
      <c r="H77" s="32" t="n">
        <f aca="false">IF(D77=0,0,G77/D77*1000)</f>
        <v>0</v>
      </c>
      <c r="I77" s="30" t="n">
        <v>0</v>
      </c>
      <c r="J77" s="33" t="n">
        <v>0</v>
      </c>
      <c r="K77" s="34" t="n">
        <v>0</v>
      </c>
      <c r="L77" s="34"/>
      <c r="M77" s="28" t="str">
        <f aca="false">IF(D77&gt;=200,"○","-")</f>
        <v>-</v>
      </c>
    </row>
    <row r="78" customFormat="false" ht="15" hidden="false" customHeight="false" outlineLevel="0" collapsed="false">
      <c r="A78" s="28" t="s">
        <v>18</v>
      </c>
      <c r="B78" s="28" t="s">
        <v>187</v>
      </c>
      <c r="C78" s="29" t="s">
        <v>188</v>
      </c>
      <c r="D78" s="30" t="n">
        <v>0</v>
      </c>
      <c r="E78" s="28" t="n">
        <v>0</v>
      </c>
      <c r="F78" s="31" t="n">
        <f aca="false">IF(D78=0,0,E78/D78)</f>
        <v>0</v>
      </c>
      <c r="G78" s="28" t="n">
        <v>0</v>
      </c>
      <c r="H78" s="32" t="n">
        <f aca="false">IF(D78=0,0,G78/D78*1000)</f>
        <v>0</v>
      </c>
      <c r="I78" s="30" t="n">
        <v>0</v>
      </c>
      <c r="J78" s="33" t="n">
        <v>0</v>
      </c>
      <c r="K78" s="34" t="n">
        <v>0</v>
      </c>
      <c r="L78" s="34"/>
      <c r="M78" s="28" t="str">
        <f aca="false">IF(D78&gt;=200,"○","-")</f>
        <v>-</v>
      </c>
    </row>
    <row r="79" customFormat="false" ht="15" hidden="false" customHeight="false" outlineLevel="0" collapsed="false">
      <c r="A79" s="28" t="s">
        <v>18</v>
      </c>
      <c r="B79" s="28" t="s">
        <v>187</v>
      </c>
      <c r="C79" s="29" t="s">
        <v>189</v>
      </c>
      <c r="D79" s="30" t="n">
        <v>0</v>
      </c>
      <c r="E79" s="28" t="n">
        <v>0</v>
      </c>
      <c r="F79" s="31" t="n">
        <f aca="false">IF(D79=0,0,E79/D79)</f>
        <v>0</v>
      </c>
      <c r="G79" s="28" t="n">
        <v>0</v>
      </c>
      <c r="H79" s="32" t="n">
        <f aca="false">IF(D79=0,0,G79/D79*1000)</f>
        <v>0</v>
      </c>
      <c r="I79" s="30" t="n">
        <v>0</v>
      </c>
      <c r="J79" s="33" t="n">
        <v>0</v>
      </c>
      <c r="K79" s="34" t="n">
        <v>0</v>
      </c>
      <c r="L79" s="34"/>
      <c r="M79" s="28" t="str">
        <f aca="false">IF(D79&gt;=200,"○","-")</f>
        <v>-</v>
      </c>
    </row>
    <row r="80" customFormat="false" ht="15" hidden="false" customHeight="false" outlineLevel="0" collapsed="false">
      <c r="A80" s="28" t="s">
        <v>18</v>
      </c>
      <c r="B80" s="28" t="s">
        <v>187</v>
      </c>
      <c r="C80" s="29" t="s">
        <v>190</v>
      </c>
      <c r="D80" s="30" t="n">
        <v>0</v>
      </c>
      <c r="E80" s="28" t="n">
        <v>0</v>
      </c>
      <c r="F80" s="31" t="n">
        <f aca="false">IF(D80=0,0,E80/D80)</f>
        <v>0</v>
      </c>
      <c r="G80" s="28" t="n">
        <v>0</v>
      </c>
      <c r="H80" s="32" t="n">
        <f aca="false">IF(D80=0,0,G80/D80*1000)</f>
        <v>0</v>
      </c>
      <c r="I80" s="30" t="n">
        <v>0</v>
      </c>
      <c r="J80" s="33" t="n">
        <v>0</v>
      </c>
      <c r="K80" s="34" t="n">
        <v>0</v>
      </c>
      <c r="L80" s="34"/>
      <c r="M80" s="28" t="str">
        <f aca="false">IF(D80&gt;=200,"○","-")</f>
        <v>-</v>
      </c>
    </row>
    <row r="81" customFormat="false" ht="15" hidden="false" customHeight="false" outlineLevel="0" collapsed="false">
      <c r="A81" s="28" t="s">
        <v>18</v>
      </c>
      <c r="B81" s="28" t="s">
        <v>187</v>
      </c>
      <c r="C81" s="29" t="s">
        <v>191</v>
      </c>
      <c r="D81" s="30" t="n">
        <v>0</v>
      </c>
      <c r="E81" s="28" t="n">
        <v>0</v>
      </c>
      <c r="F81" s="31" t="n">
        <f aca="false">IF(D81=0,0,E81/D81)</f>
        <v>0</v>
      </c>
      <c r="G81" s="28" t="n">
        <v>0</v>
      </c>
      <c r="H81" s="32" t="n">
        <f aca="false">IF(D81=0,0,G81/D81*1000)</f>
        <v>0</v>
      </c>
      <c r="I81" s="30" t="n">
        <v>0</v>
      </c>
      <c r="J81" s="33" t="n">
        <v>0</v>
      </c>
      <c r="K81" s="34" t="n">
        <v>0</v>
      </c>
      <c r="L81" s="34"/>
      <c r="M81" s="28" t="str">
        <f aca="false">IF(D81&gt;=200,"○","-")</f>
        <v>-</v>
      </c>
    </row>
    <row r="82" customFormat="false" ht="15" hidden="false" customHeight="false" outlineLevel="0" collapsed="false">
      <c r="A82" s="28" t="s">
        <v>18</v>
      </c>
      <c r="B82" s="28" t="s">
        <v>192</v>
      </c>
      <c r="C82" s="29" t="s">
        <v>193</v>
      </c>
      <c r="D82" s="30" t="n">
        <v>0</v>
      </c>
      <c r="E82" s="28" t="n">
        <v>0</v>
      </c>
      <c r="F82" s="31" t="n">
        <f aca="false">IF(D82=0,0,E82/D82)</f>
        <v>0</v>
      </c>
      <c r="G82" s="28" t="n">
        <v>0</v>
      </c>
      <c r="H82" s="32" t="n">
        <f aca="false">IF(D82=0,0,G82/D82*1000)</f>
        <v>0</v>
      </c>
      <c r="I82" s="30" t="n">
        <v>0</v>
      </c>
      <c r="J82" s="33" t="n">
        <v>0</v>
      </c>
      <c r="K82" s="34" t="n">
        <v>0</v>
      </c>
      <c r="L82" s="34"/>
      <c r="M82" s="28" t="str">
        <f aca="false">IF(D82&gt;=200,"○","-")</f>
        <v>-</v>
      </c>
    </row>
    <row r="83" customFormat="false" ht="15" hidden="false" customHeight="false" outlineLevel="0" collapsed="false">
      <c r="A83" s="28" t="s">
        <v>18</v>
      </c>
      <c r="B83" s="28" t="s">
        <v>192</v>
      </c>
      <c r="C83" s="29" t="s">
        <v>194</v>
      </c>
      <c r="D83" s="30" t="n">
        <v>0</v>
      </c>
      <c r="E83" s="28" t="n">
        <v>0</v>
      </c>
      <c r="F83" s="31" t="n">
        <f aca="false">IF(D83=0,0,E83/D83)</f>
        <v>0</v>
      </c>
      <c r="G83" s="28" t="n">
        <v>0</v>
      </c>
      <c r="H83" s="32" t="n">
        <f aca="false">IF(D83=0,0,G83/D83*1000)</f>
        <v>0</v>
      </c>
      <c r="I83" s="30" t="n">
        <v>0</v>
      </c>
      <c r="J83" s="33" t="n">
        <v>0</v>
      </c>
      <c r="K83" s="34" t="n">
        <v>0</v>
      </c>
      <c r="L83" s="34"/>
      <c r="M83" s="28" t="str">
        <f aca="false">IF(D83&gt;=200,"○","-")</f>
        <v>-</v>
      </c>
    </row>
    <row r="84" customFormat="false" ht="15" hidden="false" customHeight="false" outlineLevel="0" collapsed="false">
      <c r="A84" s="28" t="s">
        <v>18</v>
      </c>
      <c r="B84" s="28" t="s">
        <v>192</v>
      </c>
      <c r="C84" s="29" t="s">
        <v>195</v>
      </c>
      <c r="D84" s="30" t="n">
        <v>0</v>
      </c>
      <c r="E84" s="28" t="n">
        <v>0</v>
      </c>
      <c r="F84" s="31" t="n">
        <f aca="false">IF(D84=0,0,E84/D84)</f>
        <v>0</v>
      </c>
      <c r="G84" s="28" t="n">
        <v>0</v>
      </c>
      <c r="H84" s="32" t="n">
        <f aca="false">IF(D84=0,0,G84/D84*1000)</f>
        <v>0</v>
      </c>
      <c r="I84" s="30" t="n">
        <v>0</v>
      </c>
      <c r="J84" s="33" t="n">
        <v>0</v>
      </c>
      <c r="K84" s="34" t="n">
        <v>0</v>
      </c>
      <c r="L84" s="34"/>
      <c r="M84" s="28" t="str">
        <f aca="false">IF(D84&gt;=200,"○","-")</f>
        <v>-</v>
      </c>
    </row>
    <row r="85" customFormat="false" ht="15" hidden="false" customHeight="false" outlineLevel="0" collapsed="false">
      <c r="A85" s="28" t="s">
        <v>18</v>
      </c>
      <c r="B85" s="28" t="s">
        <v>192</v>
      </c>
      <c r="C85" s="29" t="s">
        <v>196</v>
      </c>
      <c r="D85" s="30" t="n">
        <v>0</v>
      </c>
      <c r="E85" s="28" t="n">
        <v>0</v>
      </c>
      <c r="F85" s="31" t="n">
        <f aca="false">IF(D85=0,0,E85/D85)</f>
        <v>0</v>
      </c>
      <c r="G85" s="28" t="n">
        <v>0</v>
      </c>
      <c r="H85" s="32" t="n">
        <f aca="false">IF(D85=0,0,G85/D85*1000)</f>
        <v>0</v>
      </c>
      <c r="I85" s="30" t="n">
        <v>0</v>
      </c>
      <c r="J85" s="33" t="n">
        <v>0</v>
      </c>
      <c r="K85" s="34" t="n">
        <v>0</v>
      </c>
      <c r="L85" s="34"/>
      <c r="M85" s="28" t="str">
        <f aca="false">IF(D85&gt;=200,"○","-")</f>
        <v>-</v>
      </c>
    </row>
    <row r="86" customFormat="false" ht="15" hidden="false" customHeight="false" outlineLevel="0" collapsed="false">
      <c r="A86" s="28" t="s">
        <v>18</v>
      </c>
      <c r="B86" s="28" t="s">
        <v>197</v>
      </c>
      <c r="C86" s="29" t="s">
        <v>198</v>
      </c>
      <c r="D86" s="30" t="n">
        <v>0</v>
      </c>
      <c r="E86" s="28" t="n">
        <v>0</v>
      </c>
      <c r="F86" s="31" t="n">
        <f aca="false">IF(D86=0,0,E86/D86)</f>
        <v>0</v>
      </c>
      <c r="G86" s="28" t="n">
        <v>0</v>
      </c>
      <c r="H86" s="32" t="n">
        <f aca="false">IF(D86=0,0,G86/D86*1000)</f>
        <v>0</v>
      </c>
      <c r="I86" s="30" t="n">
        <v>0</v>
      </c>
      <c r="J86" s="33" t="n">
        <v>0</v>
      </c>
      <c r="K86" s="34" t="n">
        <v>0</v>
      </c>
      <c r="L86" s="34"/>
      <c r="M86" s="28" t="str">
        <f aca="false">IF(D86&gt;=200,"○","-")</f>
        <v>-</v>
      </c>
    </row>
    <row r="87" customFormat="false" ht="15" hidden="false" customHeight="false" outlineLevel="0" collapsed="false">
      <c r="A87" s="7" t="s">
        <v>18</v>
      </c>
      <c r="B87" s="7" t="s">
        <v>197</v>
      </c>
      <c r="C87" s="27" t="s">
        <v>199</v>
      </c>
      <c r="D87" s="8" t="n">
        <v>878</v>
      </c>
      <c r="E87" s="27" t="n">
        <v>1</v>
      </c>
      <c r="F87" s="9" t="n">
        <f aca="false">IF(D87=0,0,E87/D87)</f>
        <v>0.00113895216400911</v>
      </c>
      <c r="G87" s="27" t="n">
        <v>0</v>
      </c>
      <c r="H87" s="10" t="n">
        <f aca="false">IF(D87=0,0,G87/D87*1000)</f>
        <v>0</v>
      </c>
      <c r="I87" s="8" t="n">
        <v>0</v>
      </c>
      <c r="J87" s="25" t="n">
        <v>0</v>
      </c>
      <c r="K87" s="26" t="n">
        <v>0.7139</v>
      </c>
      <c r="L87" s="26"/>
      <c r="M87" s="27" t="str">
        <f aca="false">IF(D87&gt;=200,"○","-")</f>
        <v>○</v>
      </c>
    </row>
    <row r="88" customFormat="false" ht="15" hidden="false" customHeight="false" outlineLevel="0" collapsed="false">
      <c r="A88" s="7" t="s">
        <v>18</v>
      </c>
      <c r="B88" s="7" t="s">
        <v>197</v>
      </c>
      <c r="C88" s="27" t="s">
        <v>200</v>
      </c>
      <c r="D88" s="8" t="n">
        <v>785</v>
      </c>
      <c r="E88" s="27" t="n">
        <v>2</v>
      </c>
      <c r="F88" s="9" t="n">
        <f aca="false">IF(D88=0,0,E88/D88)</f>
        <v>0.00254777070063694</v>
      </c>
      <c r="G88" s="27" t="n">
        <v>0</v>
      </c>
      <c r="H88" s="10" t="n">
        <f aca="false">IF(D88=0,0,G88/D88*1000)</f>
        <v>0</v>
      </c>
      <c r="I88" s="8" t="n">
        <v>0</v>
      </c>
      <c r="J88" s="25" t="n">
        <v>0</v>
      </c>
      <c r="K88" s="26" t="n">
        <v>0.4174</v>
      </c>
      <c r="L88" s="26"/>
      <c r="M88" s="27" t="str">
        <f aca="false">IF(D88&gt;=200,"○","-")</f>
        <v>○</v>
      </c>
    </row>
    <row r="89" customFormat="false" ht="15" hidden="false" customHeight="false" outlineLevel="0" collapsed="false">
      <c r="A89" s="28" t="s">
        <v>18</v>
      </c>
      <c r="B89" s="28" t="s">
        <v>201</v>
      </c>
      <c r="C89" s="29" t="s">
        <v>202</v>
      </c>
      <c r="D89" s="30" t="n">
        <v>193</v>
      </c>
      <c r="E89" s="28" t="n">
        <v>1</v>
      </c>
      <c r="F89" s="31" t="n">
        <f aca="false">IF(D89=0,0,E89/D89)</f>
        <v>0.00518134715025907</v>
      </c>
      <c r="G89" s="28" t="n">
        <v>0</v>
      </c>
      <c r="H89" s="32" t="n">
        <f aca="false">IF(D89=0,0,G89/D89*1000)</f>
        <v>0</v>
      </c>
      <c r="I89" s="30" t="n">
        <v>0</v>
      </c>
      <c r="J89" s="33" t="n">
        <v>0</v>
      </c>
      <c r="K89" s="34" t="n">
        <v>0.404</v>
      </c>
      <c r="L89" s="34"/>
      <c r="M89" s="28" t="str">
        <f aca="false">IF(D89&gt;=200,"○","-")</f>
        <v>-</v>
      </c>
    </row>
    <row r="90" customFormat="false" ht="15" hidden="false" customHeight="false" outlineLevel="0" collapsed="false">
      <c r="A90" s="28" t="s">
        <v>18</v>
      </c>
      <c r="B90" s="28" t="s">
        <v>201</v>
      </c>
      <c r="C90" s="29" t="s">
        <v>203</v>
      </c>
      <c r="D90" s="30" t="n">
        <v>193</v>
      </c>
      <c r="E90" s="28" t="n">
        <v>1</v>
      </c>
      <c r="F90" s="31" t="n">
        <f aca="false">IF(D90=0,0,E90/D90)</f>
        <v>0.00518134715025907</v>
      </c>
      <c r="G90" s="28" t="n">
        <v>0</v>
      </c>
      <c r="H90" s="32" t="n">
        <f aca="false">IF(D90=0,0,G90/D90*1000)</f>
        <v>0</v>
      </c>
      <c r="I90" s="30" t="n">
        <v>0</v>
      </c>
      <c r="J90" s="33" t="n">
        <v>0</v>
      </c>
      <c r="K90" s="34" t="n">
        <v>0.37</v>
      </c>
      <c r="L90" s="34"/>
      <c r="M90" s="28" t="str">
        <f aca="false">IF(D90&gt;=200,"○","-")</f>
        <v>-</v>
      </c>
    </row>
    <row r="91" customFormat="false" ht="15" hidden="false" customHeight="false" outlineLevel="0" collapsed="false">
      <c r="A91" s="7" t="s">
        <v>18</v>
      </c>
      <c r="B91" s="7" t="s">
        <v>201</v>
      </c>
      <c r="C91" s="27" t="s">
        <v>204</v>
      </c>
      <c r="D91" s="8" t="n">
        <v>959</v>
      </c>
      <c r="E91" s="27" t="n">
        <v>5</v>
      </c>
      <c r="F91" s="9" t="n">
        <f aca="false">IF(D91=0,0,E91/D91)</f>
        <v>0.00521376433785193</v>
      </c>
      <c r="G91" s="27" t="n">
        <v>1</v>
      </c>
      <c r="H91" s="10" t="n">
        <f aca="false">IF(D91=0,0,G91/D91*1000)</f>
        <v>1.04275286757039</v>
      </c>
      <c r="I91" s="8" t="n">
        <v>0</v>
      </c>
      <c r="J91" s="25" t="n">
        <v>0</v>
      </c>
      <c r="K91" s="26" t="n">
        <v>0.4904</v>
      </c>
      <c r="L91" s="26"/>
      <c r="M91" s="27" t="str">
        <f aca="false">IF(D91&gt;=200,"○","-")</f>
        <v>○</v>
      </c>
    </row>
    <row r="92" customFormat="false" ht="15" hidden="false" customHeight="false" outlineLevel="0" collapsed="false">
      <c r="A92" s="7" t="s">
        <v>18</v>
      </c>
      <c r="B92" s="7" t="s">
        <v>205</v>
      </c>
      <c r="C92" s="27" t="s">
        <v>206</v>
      </c>
      <c r="D92" s="8" t="n">
        <v>1284</v>
      </c>
      <c r="E92" s="27" t="n">
        <v>7</v>
      </c>
      <c r="F92" s="9" t="n">
        <f aca="false">IF(D92=0,0,E92/D92)</f>
        <v>0.00545171339563863</v>
      </c>
      <c r="G92" s="27" t="n">
        <v>0</v>
      </c>
      <c r="H92" s="10" t="n">
        <f aca="false">IF(D92=0,0,G92/D92*1000)</f>
        <v>0</v>
      </c>
      <c r="I92" s="8" t="n">
        <v>0</v>
      </c>
      <c r="J92" s="25" t="n">
        <v>0</v>
      </c>
      <c r="K92" s="26" t="n">
        <v>0.4444</v>
      </c>
      <c r="L92" s="26" t="n">
        <v>0.148075</v>
      </c>
      <c r="M92" s="27" t="str">
        <f aca="false">IF(D92&gt;=200,"○","-")</f>
        <v>○</v>
      </c>
    </row>
    <row r="93" customFormat="false" ht="15" hidden="false" customHeight="false" outlineLevel="0" collapsed="false">
      <c r="A93" s="7" t="s">
        <v>18</v>
      </c>
      <c r="B93" s="7" t="s">
        <v>205</v>
      </c>
      <c r="C93" s="27" t="s">
        <v>207</v>
      </c>
      <c r="D93" s="8" t="n">
        <v>1276</v>
      </c>
      <c r="E93" s="27" t="n">
        <v>3</v>
      </c>
      <c r="F93" s="9" t="n">
        <f aca="false">IF(D93=0,0,E93/D93)</f>
        <v>0.00235109717868339</v>
      </c>
      <c r="G93" s="27" t="n">
        <v>0</v>
      </c>
      <c r="H93" s="10" t="n">
        <f aca="false">IF(D93=0,0,G93/D93*1000)</f>
        <v>0</v>
      </c>
      <c r="I93" s="8" t="n">
        <v>0</v>
      </c>
      <c r="J93" s="25" t="n">
        <v>0</v>
      </c>
      <c r="K93" s="26" t="n">
        <v>0.3872</v>
      </c>
      <c r="L93" s="26" t="n">
        <v>0.125665</v>
      </c>
      <c r="M93" s="27" t="str">
        <f aca="false">IF(D93&gt;=200,"○","-")</f>
        <v>○</v>
      </c>
    </row>
    <row r="94" customFormat="false" ht="15" hidden="false" customHeight="false" outlineLevel="0" collapsed="false">
      <c r="A94" s="7" t="s">
        <v>18</v>
      </c>
      <c r="B94" s="7" t="s">
        <v>205</v>
      </c>
      <c r="C94" s="27" t="s">
        <v>208</v>
      </c>
      <c r="D94" s="8" t="n">
        <v>787</v>
      </c>
      <c r="E94" s="27" t="n">
        <v>6</v>
      </c>
      <c r="F94" s="9" t="n">
        <f aca="false">IF(D94=0,0,E94/D94)</f>
        <v>0.00762388818297332</v>
      </c>
      <c r="G94" s="27" t="n">
        <v>0</v>
      </c>
      <c r="H94" s="10" t="n">
        <f aca="false">IF(D94=0,0,G94/D94*1000)</f>
        <v>0</v>
      </c>
      <c r="I94" s="8" t="n">
        <v>0</v>
      </c>
      <c r="J94" s="25" t="n">
        <v>0</v>
      </c>
      <c r="K94" s="26" t="n">
        <v>0.4843</v>
      </c>
      <c r="L94" s="26"/>
      <c r="M94" s="27" t="str">
        <f aca="false">IF(D94&gt;=200,"○","-")</f>
        <v>○</v>
      </c>
    </row>
    <row r="95" customFormat="false" ht="15" hidden="false" customHeight="false" outlineLevel="0" collapsed="false">
      <c r="A95" s="7" t="s">
        <v>18</v>
      </c>
      <c r="B95" s="7" t="s">
        <v>205</v>
      </c>
      <c r="C95" s="27" t="s">
        <v>209</v>
      </c>
      <c r="D95" s="8" t="n">
        <v>1271</v>
      </c>
      <c r="E95" s="27" t="n">
        <v>3</v>
      </c>
      <c r="F95" s="9" t="n">
        <f aca="false">IF(D95=0,0,E95/D95)</f>
        <v>0.002360346184107</v>
      </c>
      <c r="G95" s="27" t="n">
        <v>0</v>
      </c>
      <c r="H95" s="10" t="n">
        <f aca="false">IF(D95=0,0,G95/D95*1000)</f>
        <v>0</v>
      </c>
      <c r="I95" s="8" t="n">
        <v>0</v>
      </c>
      <c r="J95" s="25" t="n">
        <v>0</v>
      </c>
      <c r="K95" s="26" t="n">
        <v>0.4673</v>
      </c>
      <c r="L95" s="26" t="n">
        <v>0.155025</v>
      </c>
      <c r="M95" s="27" t="str">
        <f aca="false">IF(D95&gt;=200,"○","-")</f>
        <v>○</v>
      </c>
    </row>
    <row r="96" customFormat="false" ht="15" hidden="false" customHeight="false" outlineLevel="0" collapsed="false">
      <c r="A96" s="7" t="s">
        <v>18</v>
      </c>
      <c r="B96" s="7" t="s">
        <v>210</v>
      </c>
      <c r="C96" s="27" t="s">
        <v>211</v>
      </c>
      <c r="D96" s="8" t="n">
        <v>998</v>
      </c>
      <c r="E96" s="27" t="n">
        <v>4</v>
      </c>
      <c r="F96" s="9" t="n">
        <f aca="false">IF(D96=0,0,E96/D96)</f>
        <v>0.00400801603206413</v>
      </c>
      <c r="G96" s="27" t="n">
        <v>1</v>
      </c>
      <c r="H96" s="10" t="n">
        <f aca="false">IF(D96=0,0,G96/D96*1000)</f>
        <v>1.00200400801603</v>
      </c>
      <c r="I96" s="8" t="n">
        <v>0</v>
      </c>
      <c r="J96" s="25" t="n">
        <v>0</v>
      </c>
      <c r="K96" s="26" t="n">
        <v>0.4422</v>
      </c>
      <c r="L96" s="26"/>
      <c r="M96" s="27" t="str">
        <f aca="false">IF(D96&gt;=200,"○","-")</f>
        <v>○</v>
      </c>
    </row>
    <row r="97" customFormat="false" ht="15" hidden="false" customHeight="false" outlineLevel="0" collapsed="false">
      <c r="A97" s="7" t="s">
        <v>18</v>
      </c>
      <c r="B97" s="7" t="s">
        <v>210</v>
      </c>
      <c r="C97" s="27" t="s">
        <v>212</v>
      </c>
      <c r="D97" s="8" t="n">
        <v>972</v>
      </c>
      <c r="E97" s="27" t="n">
        <v>5</v>
      </c>
      <c r="F97" s="9" t="n">
        <f aca="false">IF(D97=0,0,E97/D97)</f>
        <v>0.0051440329218107</v>
      </c>
      <c r="G97" s="27" t="n">
        <v>1</v>
      </c>
      <c r="H97" s="10" t="n">
        <f aca="false">IF(D97=0,0,G97/D97*1000)</f>
        <v>1.02880658436214</v>
      </c>
      <c r="I97" s="8" t="n">
        <v>0</v>
      </c>
      <c r="J97" s="25" t="n">
        <v>0</v>
      </c>
      <c r="K97" s="26" t="n">
        <v>0.5155</v>
      </c>
      <c r="L97" s="26"/>
      <c r="M97" s="27" t="str">
        <f aca="false">IF(D97&gt;=200,"○","-")</f>
        <v>○</v>
      </c>
    </row>
    <row r="98" customFormat="false" ht="15" hidden="false" customHeight="false" outlineLevel="0" collapsed="false">
      <c r="A98" s="7" t="s">
        <v>18</v>
      </c>
      <c r="B98" s="7" t="s">
        <v>210</v>
      </c>
      <c r="C98" s="27" t="s">
        <v>213</v>
      </c>
      <c r="D98" s="8" t="n">
        <v>940</v>
      </c>
      <c r="E98" s="27" t="n">
        <v>4</v>
      </c>
      <c r="F98" s="9" t="n">
        <f aca="false">IF(D98=0,0,E98/D98)</f>
        <v>0.00425531914893617</v>
      </c>
      <c r="G98" s="27" t="n">
        <v>0</v>
      </c>
      <c r="H98" s="10" t="n">
        <f aca="false">IF(D98=0,0,G98/D98*1000)</f>
        <v>0</v>
      </c>
      <c r="I98" s="8" t="n">
        <v>0</v>
      </c>
      <c r="J98" s="25" t="n">
        <v>0</v>
      </c>
      <c r="K98" s="26" t="n">
        <v>0.3296</v>
      </c>
      <c r="L98" s="26"/>
      <c r="M98" s="27" t="str">
        <f aca="false">IF(D98&gt;=200,"○","-")</f>
        <v>○</v>
      </c>
    </row>
    <row r="99" customFormat="false" ht="15" hidden="false" customHeight="false" outlineLevel="0" collapsed="false">
      <c r="A99" s="7" t="s">
        <v>18</v>
      </c>
      <c r="B99" s="7" t="s">
        <v>210</v>
      </c>
      <c r="C99" s="27" t="s">
        <v>214</v>
      </c>
      <c r="D99" s="8" t="n">
        <v>882</v>
      </c>
      <c r="E99" s="27" t="n">
        <v>4</v>
      </c>
      <c r="F99" s="9" t="n">
        <f aca="false">IF(D99=0,0,E99/D99)</f>
        <v>0.00453514739229025</v>
      </c>
      <c r="G99" s="27" t="n">
        <v>0</v>
      </c>
      <c r="H99" s="10" t="n">
        <f aca="false">IF(D99=0,0,G99/D99*1000)</f>
        <v>0</v>
      </c>
      <c r="I99" s="8" t="n">
        <v>0</v>
      </c>
      <c r="J99" s="25" t="n">
        <v>0</v>
      </c>
      <c r="K99" s="26" t="n">
        <v>0.5133</v>
      </c>
      <c r="L99" s="26"/>
      <c r="M99" s="27" t="str">
        <f aca="false">IF(D99&gt;=200,"○","-")</f>
        <v>○</v>
      </c>
    </row>
    <row r="100" customFormat="false" ht="15" hidden="false" customHeight="false" outlineLevel="0" collapsed="false">
      <c r="A100" s="7" t="s">
        <v>18</v>
      </c>
      <c r="B100" s="7" t="s">
        <v>215</v>
      </c>
      <c r="C100" s="27" t="s">
        <v>216</v>
      </c>
      <c r="D100" s="8" t="n">
        <v>1260</v>
      </c>
      <c r="E100" s="27" t="n">
        <v>3</v>
      </c>
      <c r="F100" s="9" t="n">
        <f aca="false">IF(D100=0,0,E100/D100)</f>
        <v>0.00238095238095238</v>
      </c>
      <c r="G100" s="27" t="n">
        <v>0</v>
      </c>
      <c r="H100" s="10" t="n">
        <f aca="false">IF(D100=0,0,G100/D100*1000)</f>
        <v>0</v>
      </c>
      <c r="I100" s="8" t="n">
        <v>0</v>
      </c>
      <c r="J100" s="25" t="n">
        <v>0</v>
      </c>
      <c r="K100" s="26" t="n">
        <v>1.0621</v>
      </c>
      <c r="L100" s="26" t="n">
        <v>0.76386</v>
      </c>
      <c r="M100" s="27" t="str">
        <f aca="false">IF(D100&gt;=200,"○","-")</f>
        <v>○</v>
      </c>
    </row>
    <row r="101" customFormat="false" ht="15" hidden="false" customHeight="false" outlineLevel="0" collapsed="false">
      <c r="A101" s="7" t="s">
        <v>18</v>
      </c>
      <c r="B101" s="7" t="s">
        <v>215</v>
      </c>
      <c r="C101" s="27" t="s">
        <v>217</v>
      </c>
      <c r="D101" s="8" t="n">
        <v>970</v>
      </c>
      <c r="E101" s="27" t="n">
        <v>2</v>
      </c>
      <c r="F101" s="9" t="n">
        <f aca="false">IF(D101=0,0,E101/D101)</f>
        <v>0.00206185567010309</v>
      </c>
      <c r="G101" s="27" t="n">
        <v>0</v>
      </c>
      <c r="H101" s="10" t="n">
        <f aca="false">IF(D101=0,0,G101/D101*1000)</f>
        <v>0</v>
      </c>
      <c r="I101" s="8" t="n">
        <v>0</v>
      </c>
      <c r="J101" s="25" t="n">
        <v>0</v>
      </c>
      <c r="K101" s="26" t="n">
        <v>0.8425</v>
      </c>
      <c r="L101" s="26"/>
      <c r="M101" s="27" t="str">
        <f aca="false">IF(D101&gt;=200,"○","-")</f>
        <v>○</v>
      </c>
    </row>
    <row r="102" customFormat="false" ht="15" hidden="false" customHeight="false" outlineLevel="0" collapsed="false">
      <c r="A102" s="7" t="s">
        <v>18</v>
      </c>
      <c r="B102" s="7" t="s">
        <v>215</v>
      </c>
      <c r="C102" s="27" t="s">
        <v>218</v>
      </c>
      <c r="D102" s="8" t="n">
        <v>805</v>
      </c>
      <c r="E102" s="27" t="n">
        <v>8</v>
      </c>
      <c r="F102" s="9" t="n">
        <f aca="false">IF(D102=0,0,E102/D102)</f>
        <v>0.00993788819875776</v>
      </c>
      <c r="G102" s="27" t="n">
        <v>0</v>
      </c>
      <c r="H102" s="10" t="n">
        <f aca="false">IF(D102=0,0,G102/D102*1000)</f>
        <v>0</v>
      </c>
      <c r="I102" s="8" t="n">
        <v>0</v>
      </c>
      <c r="J102" s="25" t="n">
        <v>0</v>
      </c>
      <c r="K102" s="26" t="n">
        <v>0.4675</v>
      </c>
      <c r="L102" s="26"/>
      <c r="M102" s="27" t="str">
        <f aca="false">IF(D102&gt;=200,"○","-")</f>
        <v>○</v>
      </c>
    </row>
    <row r="103" customFormat="false" ht="15" hidden="false" customHeight="false" outlineLevel="0" collapsed="false">
      <c r="A103" s="7" t="s">
        <v>18</v>
      </c>
      <c r="B103" s="7" t="s">
        <v>215</v>
      </c>
      <c r="C103" s="27" t="s">
        <v>219</v>
      </c>
      <c r="D103" s="8" t="n">
        <v>1151</v>
      </c>
      <c r="E103" s="27" t="n">
        <v>5</v>
      </c>
      <c r="F103" s="9" t="n">
        <f aca="false">IF(D103=0,0,E103/D103)</f>
        <v>0.00434404865334492</v>
      </c>
      <c r="G103" s="27" t="n">
        <v>0</v>
      </c>
      <c r="H103" s="10" t="n">
        <f aca="false">IF(D103=0,0,G103/D103*1000)</f>
        <v>0</v>
      </c>
      <c r="I103" s="8" t="n">
        <v>0</v>
      </c>
      <c r="J103" s="25" t="n">
        <v>0</v>
      </c>
      <c r="K103" s="26" t="n">
        <v>0.5358</v>
      </c>
      <c r="L103" s="26"/>
      <c r="M103" s="27" t="str">
        <f aca="false">IF(D103&gt;=200,"○","-")</f>
        <v>○</v>
      </c>
    </row>
    <row r="104" customFormat="false" ht="15" hidden="false" customHeight="false" outlineLevel="0" collapsed="false">
      <c r="A104" s="7" t="s">
        <v>18</v>
      </c>
      <c r="B104" s="7" t="s">
        <v>220</v>
      </c>
      <c r="C104" s="27" t="s">
        <v>221</v>
      </c>
      <c r="D104" s="8" t="n">
        <v>999</v>
      </c>
      <c r="E104" s="27" t="n">
        <v>5</v>
      </c>
      <c r="F104" s="9" t="n">
        <f aca="false">IF(D104=0,0,E104/D104)</f>
        <v>0.00500500500500501</v>
      </c>
      <c r="G104" s="27" t="n">
        <v>1</v>
      </c>
      <c r="H104" s="10" t="n">
        <f aca="false">IF(D104=0,0,G104/D104*1000)</f>
        <v>1.001001001001</v>
      </c>
      <c r="I104" s="8" t="n">
        <v>0</v>
      </c>
      <c r="J104" s="25" t="n">
        <v>0</v>
      </c>
      <c r="K104" s="26" t="n">
        <v>0.5665</v>
      </c>
      <c r="L104" s="26"/>
      <c r="M104" s="27" t="str">
        <f aca="false">IF(D104&gt;=200,"○","-")</f>
        <v>○</v>
      </c>
    </row>
    <row r="105" customFormat="false" ht="15" hidden="false" customHeight="false" outlineLevel="0" collapsed="false">
      <c r="A105" s="7" t="s">
        <v>18</v>
      </c>
      <c r="B105" s="7" t="s">
        <v>220</v>
      </c>
      <c r="C105" s="27" t="s">
        <v>222</v>
      </c>
      <c r="D105" s="8" t="n">
        <v>627</v>
      </c>
      <c r="E105" s="27" t="n">
        <v>4</v>
      </c>
      <c r="F105" s="9" t="n">
        <f aca="false">IF(D105=0,0,E105/D105)</f>
        <v>0.00637958532695375</v>
      </c>
      <c r="G105" s="27" t="n">
        <v>0</v>
      </c>
      <c r="H105" s="10" t="n">
        <f aca="false">IF(D105=0,0,G105/D105*1000)</f>
        <v>0</v>
      </c>
      <c r="I105" s="8" t="n">
        <v>0</v>
      </c>
      <c r="J105" s="25" t="n">
        <v>0</v>
      </c>
      <c r="K105" s="26" t="n">
        <v>0.5289</v>
      </c>
      <c r="L105" s="26"/>
      <c r="M105" s="27" t="str">
        <f aca="false">IF(D105&gt;=200,"○","-")</f>
        <v>○</v>
      </c>
    </row>
    <row r="106" customFormat="false" ht="15" hidden="false" customHeight="false" outlineLevel="0" collapsed="false">
      <c r="A106" s="7" t="s">
        <v>18</v>
      </c>
      <c r="B106" s="7" t="s">
        <v>223</v>
      </c>
      <c r="C106" s="27" t="s">
        <v>224</v>
      </c>
      <c r="D106" s="8" t="n">
        <v>1119</v>
      </c>
      <c r="E106" s="27" t="n">
        <v>5</v>
      </c>
      <c r="F106" s="9" t="n">
        <f aca="false">IF(D106=0,0,E106/D106)</f>
        <v>0.00446827524575514</v>
      </c>
      <c r="G106" s="27" t="n">
        <v>1</v>
      </c>
      <c r="H106" s="10" t="n">
        <f aca="false">IF(D106=0,0,G106/D106*1000)</f>
        <v>0.893655049151028</v>
      </c>
      <c r="I106" s="8" t="n">
        <v>0</v>
      </c>
      <c r="J106" s="25" t="n">
        <v>0</v>
      </c>
      <c r="K106" s="26" t="n">
        <v>0.4411</v>
      </c>
      <c r="L106" s="26"/>
      <c r="M106" s="27" t="str">
        <f aca="false">IF(D106&gt;=200,"○","-")</f>
        <v>○</v>
      </c>
    </row>
    <row r="107" customFormat="false" ht="15" hidden="false" customHeight="false" outlineLevel="0" collapsed="false">
      <c r="A107" s="7" t="s">
        <v>18</v>
      </c>
      <c r="B107" s="7" t="s">
        <v>223</v>
      </c>
      <c r="C107" s="27" t="s">
        <v>225</v>
      </c>
      <c r="D107" s="8" t="n">
        <v>994</v>
      </c>
      <c r="E107" s="27" t="n">
        <v>5</v>
      </c>
      <c r="F107" s="9" t="n">
        <f aca="false">IF(D107=0,0,E107/D107)</f>
        <v>0.00503018108651912</v>
      </c>
      <c r="G107" s="27" t="n">
        <v>0</v>
      </c>
      <c r="H107" s="10" t="n">
        <f aca="false">IF(D107=0,0,G107/D107*1000)</f>
        <v>0</v>
      </c>
      <c r="I107" s="8" t="n">
        <v>0</v>
      </c>
      <c r="J107" s="25" t="n">
        <v>0</v>
      </c>
      <c r="K107" s="26" t="n">
        <v>0.5716</v>
      </c>
      <c r="L107" s="26"/>
      <c r="M107" s="27" t="str">
        <f aca="false">IF(D107&gt;=200,"○","-")</f>
        <v>○</v>
      </c>
    </row>
    <row r="108" customFormat="false" ht="15" hidden="false" customHeight="false" outlineLevel="0" collapsed="false">
      <c r="A108" s="7" t="s">
        <v>18</v>
      </c>
      <c r="B108" s="7" t="s">
        <v>223</v>
      </c>
      <c r="C108" s="27" t="s">
        <v>226</v>
      </c>
      <c r="D108" s="8" t="n">
        <v>844</v>
      </c>
      <c r="E108" s="27" t="n">
        <v>2</v>
      </c>
      <c r="F108" s="9" t="n">
        <f aca="false">IF(D108=0,0,E108/D108)</f>
        <v>0.0023696682464455</v>
      </c>
      <c r="G108" s="27" t="n">
        <v>0</v>
      </c>
      <c r="H108" s="10" t="n">
        <f aca="false">IF(D108=0,0,G108/D108*1000)</f>
        <v>0</v>
      </c>
      <c r="I108" s="8" t="n">
        <v>0</v>
      </c>
      <c r="J108" s="25" t="n">
        <v>0</v>
      </c>
      <c r="K108" s="26" t="n">
        <v>0.5903</v>
      </c>
      <c r="L108" s="26"/>
      <c r="M108" s="27" t="str">
        <f aca="false">IF(D108&gt;=200,"○","-")</f>
        <v>○</v>
      </c>
    </row>
    <row r="109" customFormat="false" ht="15" hidden="false" customHeight="false" outlineLevel="0" collapsed="false">
      <c r="A109" s="7" t="s">
        <v>18</v>
      </c>
      <c r="B109" s="7" t="s">
        <v>223</v>
      </c>
      <c r="C109" s="27" t="s">
        <v>227</v>
      </c>
      <c r="D109" s="8" t="n">
        <v>1090</v>
      </c>
      <c r="E109" s="27" t="n">
        <v>3</v>
      </c>
      <c r="F109" s="9" t="n">
        <f aca="false">IF(D109=0,0,E109/D109)</f>
        <v>0.00275229357798165</v>
      </c>
      <c r="G109" s="27" t="n">
        <v>0</v>
      </c>
      <c r="H109" s="10" t="n">
        <f aca="false">IF(D109=0,0,G109/D109*1000)</f>
        <v>0</v>
      </c>
      <c r="I109" s="8" t="n">
        <v>0</v>
      </c>
      <c r="J109" s="25" t="n">
        <v>0</v>
      </c>
      <c r="K109" s="26" t="n">
        <v>0.3542</v>
      </c>
      <c r="L109" s="26"/>
      <c r="M109" s="27" t="str">
        <f aca="false">IF(D109&gt;=200,"○","-")</f>
        <v>○</v>
      </c>
    </row>
    <row r="110" customFormat="false" ht="15" hidden="false" customHeight="false" outlineLevel="0" collapsed="false">
      <c r="A110" s="7" t="s">
        <v>18</v>
      </c>
      <c r="B110" s="7" t="s">
        <v>228</v>
      </c>
      <c r="C110" s="27" t="s">
        <v>229</v>
      </c>
      <c r="D110" s="8" t="n">
        <v>1105</v>
      </c>
      <c r="E110" s="27" t="n">
        <v>4</v>
      </c>
      <c r="F110" s="9" t="n">
        <f aca="false">IF(D110=0,0,E110/D110)</f>
        <v>0.00361990950226244</v>
      </c>
      <c r="G110" s="27" t="n">
        <v>0</v>
      </c>
      <c r="H110" s="10" t="n">
        <f aca="false">IF(D110=0,0,G110/D110*1000)</f>
        <v>0</v>
      </c>
      <c r="I110" s="8" t="n">
        <v>0</v>
      </c>
      <c r="J110" s="25" t="n">
        <v>0</v>
      </c>
      <c r="K110" s="26" t="n">
        <v>0.4553</v>
      </c>
      <c r="L110" s="26"/>
      <c r="M110" s="27" t="str">
        <f aca="false">IF(D110&gt;=200,"○","-")</f>
        <v>○</v>
      </c>
    </row>
    <row r="111" customFormat="false" ht="15" hidden="false" customHeight="false" outlineLevel="0" collapsed="false">
      <c r="A111" s="7" t="s">
        <v>18</v>
      </c>
      <c r="B111" s="7" t="s">
        <v>228</v>
      </c>
      <c r="C111" s="27" t="s">
        <v>230</v>
      </c>
      <c r="D111" s="8" t="n">
        <v>309</v>
      </c>
      <c r="E111" s="27" t="n">
        <v>3</v>
      </c>
      <c r="F111" s="9" t="n">
        <f aca="false">IF(D111=0,0,E111/D111)</f>
        <v>0.00970873786407767</v>
      </c>
      <c r="G111" s="27" t="n">
        <v>1</v>
      </c>
      <c r="H111" s="10" t="n">
        <f aca="false">IF(D111=0,0,G111/D111*1000)</f>
        <v>3.23624595469256</v>
      </c>
      <c r="I111" s="8" t="n">
        <v>0</v>
      </c>
      <c r="J111" s="25" t="n">
        <v>0</v>
      </c>
      <c r="K111" s="26" t="n">
        <v>0.4408</v>
      </c>
      <c r="L111" s="26"/>
      <c r="M111" s="27" t="str">
        <f aca="false">IF(D111&gt;=200,"○","-")</f>
        <v>○</v>
      </c>
    </row>
    <row r="112" customFormat="false" ht="15" hidden="false" customHeight="false" outlineLevel="0" collapsed="false">
      <c r="A112" s="7" t="s">
        <v>18</v>
      </c>
      <c r="B112" s="7" t="s">
        <v>228</v>
      </c>
      <c r="C112" s="27" t="s">
        <v>231</v>
      </c>
      <c r="D112" s="8" t="n">
        <v>1164</v>
      </c>
      <c r="E112" s="27" t="n">
        <v>5</v>
      </c>
      <c r="F112" s="9" t="n">
        <f aca="false">IF(D112=0,0,E112/D112)</f>
        <v>0.00429553264604811</v>
      </c>
      <c r="G112" s="27" t="n">
        <v>2</v>
      </c>
      <c r="H112" s="10" t="n">
        <f aca="false">IF(D112=0,0,G112/D112*1000)</f>
        <v>1.71821305841924</v>
      </c>
      <c r="I112" s="8" t="n">
        <v>0</v>
      </c>
      <c r="J112" s="25" t="n">
        <v>0</v>
      </c>
      <c r="K112" s="26" t="n">
        <v>0.7949</v>
      </c>
      <c r="L112" s="26"/>
      <c r="M112" s="27" t="str">
        <f aca="false">IF(D112&gt;=200,"○","-")</f>
        <v>○</v>
      </c>
    </row>
    <row r="113" customFormat="false" ht="15" hidden="false" customHeight="false" outlineLevel="0" collapsed="false">
      <c r="A113" s="7" t="s">
        <v>18</v>
      </c>
      <c r="B113" s="7" t="s">
        <v>232</v>
      </c>
      <c r="C113" s="27" t="s">
        <v>233</v>
      </c>
      <c r="D113" s="8" t="n">
        <v>1112</v>
      </c>
      <c r="E113" s="27" t="n">
        <v>9</v>
      </c>
      <c r="F113" s="9" t="n">
        <f aca="false">IF(D113=0,0,E113/D113)</f>
        <v>0.00809352517985612</v>
      </c>
      <c r="G113" s="27" t="n">
        <v>0</v>
      </c>
      <c r="H113" s="10" t="n">
        <f aca="false">IF(D113=0,0,G113/D113*1000)</f>
        <v>0</v>
      </c>
      <c r="I113" s="8" t="n">
        <v>0</v>
      </c>
      <c r="J113" s="25" t="n">
        <v>0</v>
      </c>
      <c r="K113" s="26" t="n">
        <v>0.4685</v>
      </c>
      <c r="L113" s="26"/>
      <c r="M113" s="27" t="str">
        <f aca="false">IF(D113&gt;=200,"○","-")</f>
        <v>○</v>
      </c>
    </row>
    <row r="114" customFormat="false" ht="15" hidden="false" customHeight="false" outlineLevel="0" collapsed="false">
      <c r="A114" s="7" t="s">
        <v>18</v>
      </c>
      <c r="B114" s="7" t="s">
        <v>232</v>
      </c>
      <c r="C114" s="27" t="s">
        <v>234</v>
      </c>
      <c r="D114" s="8" t="n">
        <v>1103</v>
      </c>
      <c r="E114" s="27" t="n">
        <v>7</v>
      </c>
      <c r="F114" s="9" t="n">
        <f aca="false">IF(D114=0,0,E114/D114)</f>
        <v>0.00634632819582956</v>
      </c>
      <c r="G114" s="27" t="n">
        <v>0</v>
      </c>
      <c r="H114" s="10" t="n">
        <f aca="false">IF(D114=0,0,G114/D114*1000)</f>
        <v>0</v>
      </c>
      <c r="I114" s="8" t="n">
        <v>0</v>
      </c>
      <c r="J114" s="25" t="n">
        <v>0</v>
      </c>
      <c r="K114" s="26" t="n">
        <v>0.4499</v>
      </c>
      <c r="L114" s="26"/>
      <c r="M114" s="27" t="str">
        <f aca="false">IF(D114&gt;=200,"○","-")</f>
        <v>○</v>
      </c>
    </row>
    <row r="115" customFormat="false" ht="15" hidden="false" customHeight="false" outlineLevel="0" collapsed="false">
      <c r="A115" s="7" t="s">
        <v>18</v>
      </c>
      <c r="B115" s="7" t="s">
        <v>232</v>
      </c>
      <c r="C115" s="27" t="s">
        <v>235</v>
      </c>
      <c r="D115" s="8" t="n">
        <v>1242</v>
      </c>
      <c r="E115" s="27" t="n">
        <v>2</v>
      </c>
      <c r="F115" s="9" t="n">
        <f aca="false">IF(D115=0,0,E115/D115)</f>
        <v>0.00161030595813205</v>
      </c>
      <c r="G115" s="27" t="n">
        <v>0</v>
      </c>
      <c r="H115" s="10" t="n">
        <f aca="false">IF(D115=0,0,G115/D115*1000)</f>
        <v>0</v>
      </c>
      <c r="I115" s="8" t="n">
        <v>0</v>
      </c>
      <c r="J115" s="25" t="n">
        <v>0</v>
      </c>
      <c r="K115" s="26" t="n">
        <v>0.4643</v>
      </c>
      <c r="L115" s="26"/>
      <c r="M115" s="27" t="str">
        <f aca="false">IF(D115&gt;=200,"○","-")</f>
        <v>○</v>
      </c>
    </row>
    <row r="116" customFormat="false" ht="15" hidden="false" customHeight="false" outlineLevel="0" collapsed="false">
      <c r="A116" s="7" t="s">
        <v>18</v>
      </c>
      <c r="B116" s="7" t="s">
        <v>232</v>
      </c>
      <c r="C116" s="27" t="s">
        <v>236</v>
      </c>
      <c r="D116" s="8" t="n">
        <v>1090</v>
      </c>
      <c r="E116" s="27" t="n">
        <v>7</v>
      </c>
      <c r="F116" s="9" t="n">
        <f aca="false">IF(D116=0,0,E116/D116)</f>
        <v>0.00642201834862385</v>
      </c>
      <c r="G116" s="27" t="n">
        <v>0</v>
      </c>
      <c r="H116" s="10" t="n">
        <f aca="false">IF(D116=0,0,G116/D116*1000)</f>
        <v>0</v>
      </c>
      <c r="I116" s="8" t="n">
        <v>0</v>
      </c>
      <c r="J116" s="25" t="n">
        <v>0</v>
      </c>
      <c r="K116" s="26" t="n">
        <v>0.5362</v>
      </c>
      <c r="L116" s="26"/>
      <c r="M116" s="27" t="str">
        <f aca="false">IF(D116&gt;=200,"○","-")</f>
        <v>○</v>
      </c>
    </row>
    <row r="117" customFormat="false" ht="15" hidden="false" customHeight="false" outlineLevel="0" collapsed="false">
      <c r="A117" s="7" t="s">
        <v>18</v>
      </c>
      <c r="B117" s="7" t="s">
        <v>237</v>
      </c>
      <c r="C117" s="27" t="s">
        <v>238</v>
      </c>
      <c r="D117" s="8" t="n">
        <v>1453</v>
      </c>
      <c r="E117" s="27" t="n">
        <v>1</v>
      </c>
      <c r="F117" s="9" t="n">
        <f aca="false">IF(D117=0,0,E117/D117)</f>
        <v>0.000688231245698555</v>
      </c>
      <c r="G117" s="27" t="n">
        <v>0</v>
      </c>
      <c r="H117" s="10" t="n">
        <f aca="false">IF(D117=0,0,G117/D117*1000)</f>
        <v>0</v>
      </c>
      <c r="I117" s="8" t="n">
        <v>0</v>
      </c>
      <c r="J117" s="25" t="n">
        <v>0</v>
      </c>
      <c r="K117" s="26" t="n">
        <v>0.6911</v>
      </c>
      <c r="L117" s="26" t="n">
        <v>0.292475</v>
      </c>
      <c r="M117" s="27" t="str">
        <f aca="false">IF(D117&gt;=200,"○","-")</f>
        <v>○</v>
      </c>
    </row>
    <row r="118" customFormat="false" ht="15" hidden="false" customHeight="false" outlineLevel="0" collapsed="false">
      <c r="A118" s="7" t="s">
        <v>18</v>
      </c>
      <c r="B118" s="7" t="s">
        <v>237</v>
      </c>
      <c r="C118" s="27" t="s">
        <v>239</v>
      </c>
      <c r="D118" s="8" t="n">
        <v>1056</v>
      </c>
      <c r="E118" s="27" t="n">
        <v>2</v>
      </c>
      <c r="F118" s="9" t="n">
        <f aca="false">IF(D118=0,0,E118/D118)</f>
        <v>0.00189393939393939</v>
      </c>
      <c r="G118" s="27" t="n">
        <v>0</v>
      </c>
      <c r="H118" s="10" t="n">
        <f aca="false">IF(D118=0,0,G118/D118*1000)</f>
        <v>0</v>
      </c>
      <c r="I118" s="8" t="n">
        <v>0</v>
      </c>
      <c r="J118" s="25" t="n">
        <v>0</v>
      </c>
      <c r="K118" s="26" t="n">
        <v>0.5554</v>
      </c>
      <c r="L118" s="26"/>
      <c r="M118" s="27" t="str">
        <f aca="false">IF(D118&gt;=200,"○","-")</f>
        <v>○</v>
      </c>
    </row>
    <row r="119" customFormat="false" ht="15" hidden="false" customHeight="false" outlineLevel="0" collapsed="false">
      <c r="A119" s="7" t="s">
        <v>18</v>
      </c>
      <c r="B119" s="7" t="s">
        <v>237</v>
      </c>
      <c r="C119" s="27" t="s">
        <v>240</v>
      </c>
      <c r="D119" s="8" t="n">
        <v>1192</v>
      </c>
      <c r="E119" s="27" t="n">
        <v>2</v>
      </c>
      <c r="F119" s="9" t="n">
        <f aca="false">IF(D119=0,0,E119/D119)</f>
        <v>0.00167785234899329</v>
      </c>
      <c r="G119" s="27" t="n">
        <v>1</v>
      </c>
      <c r="H119" s="10" t="n">
        <f aca="false">IF(D119=0,0,G119/D119*1000)</f>
        <v>0.838926174496644</v>
      </c>
      <c r="I119" s="8" t="n">
        <v>0</v>
      </c>
      <c r="J119" s="25" t="n">
        <v>0</v>
      </c>
      <c r="K119" s="26" t="n">
        <v>0.5151</v>
      </c>
      <c r="L119" s="26"/>
      <c r="M119" s="27" t="str">
        <f aca="false">IF(D119&gt;=200,"○","-")</f>
        <v>○</v>
      </c>
    </row>
    <row r="120" customFormat="false" ht="15" hidden="false" customHeight="false" outlineLevel="0" collapsed="false">
      <c r="A120" s="28" t="s">
        <v>18</v>
      </c>
      <c r="B120" s="28" t="s">
        <v>241</v>
      </c>
      <c r="C120" s="29" t="s">
        <v>242</v>
      </c>
      <c r="D120" s="30" t="n">
        <v>0</v>
      </c>
      <c r="E120" s="28" t="n">
        <v>0</v>
      </c>
      <c r="F120" s="31" t="n">
        <f aca="false">IF(D120=0,0,E120/D120)</f>
        <v>0</v>
      </c>
      <c r="G120" s="28" t="n">
        <v>0</v>
      </c>
      <c r="H120" s="32" t="n">
        <f aca="false">IF(D120=0,0,G120/D120*1000)</f>
        <v>0</v>
      </c>
      <c r="I120" s="30" t="n">
        <v>0</v>
      </c>
      <c r="J120" s="33" t="n">
        <v>0</v>
      </c>
      <c r="K120" s="34" t="n">
        <v>0.4882</v>
      </c>
      <c r="L120" s="34"/>
      <c r="M120" s="28" t="str">
        <f aca="false">IF(D120&gt;=200,"○","-")</f>
        <v>-</v>
      </c>
    </row>
    <row r="121" customFormat="false" ht="15" hidden="false" customHeight="false" outlineLevel="0" collapsed="false">
      <c r="A121" s="7" t="s">
        <v>18</v>
      </c>
      <c r="B121" s="7" t="s">
        <v>241</v>
      </c>
      <c r="C121" s="27" t="s">
        <v>243</v>
      </c>
      <c r="D121" s="8" t="n">
        <v>1169</v>
      </c>
      <c r="E121" s="27" t="n">
        <v>3</v>
      </c>
      <c r="F121" s="9" t="n">
        <f aca="false">IF(D121=0,0,E121/D121)</f>
        <v>0.00256629597946963</v>
      </c>
      <c r="G121" s="27" t="n">
        <v>0</v>
      </c>
      <c r="H121" s="10" t="n">
        <f aca="false">IF(D121=0,0,G121/D121*1000)</f>
        <v>0</v>
      </c>
      <c r="I121" s="8" t="n">
        <v>0</v>
      </c>
      <c r="J121" s="25" t="n">
        <v>0</v>
      </c>
      <c r="K121" s="26" t="n">
        <v>1.9537</v>
      </c>
      <c r="L121" s="26"/>
      <c r="M121" s="27" t="str">
        <f aca="false">IF(D121&gt;=200,"○","-")</f>
        <v>○</v>
      </c>
    </row>
    <row r="122" customFormat="false" ht="15" hidden="false" customHeight="false" outlineLevel="0" collapsed="false">
      <c r="A122" s="7" t="s">
        <v>18</v>
      </c>
      <c r="B122" s="7" t="s">
        <v>244</v>
      </c>
      <c r="C122" s="27" t="s">
        <v>245</v>
      </c>
      <c r="D122" s="8" t="n">
        <v>1253</v>
      </c>
      <c r="E122" s="27" t="n">
        <v>5</v>
      </c>
      <c r="F122" s="9" t="n">
        <f aca="false">IF(D122=0,0,E122/D122)</f>
        <v>0.00399042298483639</v>
      </c>
      <c r="G122" s="27" t="n">
        <v>0</v>
      </c>
      <c r="H122" s="10" t="n">
        <f aca="false">IF(D122=0,0,G122/D122*1000)</f>
        <v>0</v>
      </c>
      <c r="I122" s="8" t="n">
        <v>0</v>
      </c>
      <c r="J122" s="25" t="n">
        <v>0</v>
      </c>
      <c r="K122" s="26" t="n">
        <v>0.5847</v>
      </c>
      <c r="L122" s="26" t="n">
        <v>0.18674</v>
      </c>
      <c r="M122" s="27" t="str">
        <f aca="false">IF(D122&gt;=200,"○","-")</f>
        <v>○</v>
      </c>
    </row>
    <row r="123" customFormat="false" ht="15" hidden="false" customHeight="false" outlineLevel="0" collapsed="false">
      <c r="A123" s="7" t="s">
        <v>18</v>
      </c>
      <c r="B123" s="7" t="s">
        <v>244</v>
      </c>
      <c r="C123" s="27" t="s">
        <v>246</v>
      </c>
      <c r="D123" s="8" t="n">
        <v>1222</v>
      </c>
      <c r="E123" s="27" t="n">
        <v>5</v>
      </c>
      <c r="F123" s="9" t="n">
        <f aca="false">IF(D123=0,0,E123/D123)</f>
        <v>0.00409165302782324</v>
      </c>
      <c r="G123" s="27" t="n">
        <v>0</v>
      </c>
      <c r="H123" s="10" t="n">
        <f aca="false">IF(D123=0,0,G123/D123*1000)</f>
        <v>0</v>
      </c>
      <c r="I123" s="8" t="n">
        <v>0</v>
      </c>
      <c r="J123" s="25" t="n">
        <v>0</v>
      </c>
      <c r="K123" s="26" t="n">
        <v>0.5144</v>
      </c>
      <c r="L123" s="26"/>
      <c r="M123" s="27" t="str">
        <f aca="false">IF(D123&gt;=200,"○","-")</f>
        <v>○</v>
      </c>
    </row>
    <row r="124" customFormat="false" ht="15" hidden="false" customHeight="false" outlineLevel="0" collapsed="false">
      <c r="A124" s="7" t="s">
        <v>18</v>
      </c>
      <c r="B124" s="7" t="s">
        <v>244</v>
      </c>
      <c r="C124" s="27" t="s">
        <v>247</v>
      </c>
      <c r="D124" s="8" t="n">
        <v>1344</v>
      </c>
      <c r="E124" s="27" t="n">
        <v>5</v>
      </c>
      <c r="F124" s="9" t="n">
        <f aca="false">IF(D124=0,0,E124/D124)</f>
        <v>0.0037202380952381</v>
      </c>
      <c r="G124" s="27" t="n">
        <v>0</v>
      </c>
      <c r="H124" s="10" t="n">
        <f aca="false">IF(D124=0,0,G124/D124*1000)</f>
        <v>0</v>
      </c>
      <c r="I124" s="8" t="n">
        <v>0</v>
      </c>
      <c r="J124" s="25" t="n">
        <v>0</v>
      </c>
      <c r="K124" s="26" t="n">
        <v>0.4998</v>
      </c>
      <c r="L124" s="26" t="n">
        <v>0.203995</v>
      </c>
      <c r="M124" s="27" t="str">
        <f aca="false">IF(D124&gt;=200,"○","-")</f>
        <v>○</v>
      </c>
    </row>
    <row r="125" customFormat="false" ht="15" hidden="false" customHeight="false" outlineLevel="0" collapsed="false">
      <c r="A125" s="7" t="s">
        <v>18</v>
      </c>
      <c r="B125" s="7" t="s">
        <v>248</v>
      </c>
      <c r="C125" s="27" t="s">
        <v>249</v>
      </c>
      <c r="D125" s="8" t="n">
        <v>963</v>
      </c>
      <c r="E125" s="27" t="n">
        <v>6</v>
      </c>
      <c r="F125" s="9" t="n">
        <f aca="false">IF(D125=0,0,E125/D125)</f>
        <v>0.00623052959501558</v>
      </c>
      <c r="G125" s="27" t="n">
        <v>0</v>
      </c>
      <c r="H125" s="10" t="n">
        <f aca="false">IF(D125=0,0,G125/D125*1000)</f>
        <v>0</v>
      </c>
      <c r="I125" s="8" t="n">
        <v>0</v>
      </c>
      <c r="J125" s="25" t="n">
        <v>0</v>
      </c>
      <c r="K125" s="26" t="n">
        <v>0.7021</v>
      </c>
      <c r="L125" s="26"/>
      <c r="M125" s="27" t="str">
        <f aca="false">IF(D125&gt;=200,"○","-")</f>
        <v>○</v>
      </c>
    </row>
    <row r="126" customFormat="false" ht="15" hidden="false" customHeight="false" outlineLevel="0" collapsed="false">
      <c r="A126" s="7" t="s">
        <v>18</v>
      </c>
      <c r="B126" s="7" t="s">
        <v>248</v>
      </c>
      <c r="C126" s="27" t="s">
        <v>250</v>
      </c>
      <c r="D126" s="8" t="n">
        <v>275</v>
      </c>
      <c r="E126" s="27" t="n">
        <v>0</v>
      </c>
      <c r="F126" s="9" t="n">
        <f aca="false">IF(D126=0,0,E126/D126)</f>
        <v>0</v>
      </c>
      <c r="G126" s="27" t="n">
        <v>0</v>
      </c>
      <c r="H126" s="10" t="n">
        <f aca="false">IF(D126=0,0,G126/D126*1000)</f>
        <v>0</v>
      </c>
      <c r="I126" s="8" t="n">
        <v>0</v>
      </c>
      <c r="J126" s="25" t="n">
        <v>0</v>
      </c>
      <c r="K126" s="26" t="n">
        <v>0.4716</v>
      </c>
      <c r="L126" s="26"/>
      <c r="M126" s="27" t="str">
        <f aca="false">IF(D126&gt;=200,"○","-")</f>
        <v>○</v>
      </c>
    </row>
    <row r="127" customFormat="false" ht="15" hidden="false" customHeight="false" outlineLevel="0" collapsed="false">
      <c r="A127" s="7" t="s">
        <v>18</v>
      </c>
      <c r="B127" s="7" t="s">
        <v>248</v>
      </c>
      <c r="C127" s="27" t="s">
        <v>251</v>
      </c>
      <c r="D127" s="8" t="n">
        <v>1144</v>
      </c>
      <c r="E127" s="27" t="n">
        <v>3</v>
      </c>
      <c r="F127" s="9" t="n">
        <f aca="false">IF(D127=0,0,E127/D127)</f>
        <v>0.00262237762237762</v>
      </c>
      <c r="G127" s="27" t="n">
        <v>0</v>
      </c>
      <c r="H127" s="10" t="n">
        <f aca="false">IF(D127=0,0,G127/D127*1000)</f>
        <v>0</v>
      </c>
      <c r="I127" s="8" t="n">
        <v>0</v>
      </c>
      <c r="J127" s="25" t="n">
        <v>0</v>
      </c>
      <c r="K127" s="26" t="n">
        <v>0.3957</v>
      </c>
      <c r="L127" s="26"/>
      <c r="M127" s="27" t="str">
        <f aca="false">IF(D127&gt;=200,"○","-")</f>
        <v>○</v>
      </c>
    </row>
    <row r="128" customFormat="false" ht="15" hidden="false" customHeight="false" outlineLevel="0" collapsed="false">
      <c r="A128" s="7" t="s">
        <v>18</v>
      </c>
      <c r="B128" s="7" t="s">
        <v>252</v>
      </c>
      <c r="C128" s="27" t="s">
        <v>253</v>
      </c>
      <c r="D128" s="8" t="n">
        <v>1082</v>
      </c>
      <c r="E128" s="27" t="n">
        <v>11</v>
      </c>
      <c r="F128" s="9" t="n">
        <f aca="false">IF(D128=0,0,E128/D128)</f>
        <v>0.0101663585951941</v>
      </c>
      <c r="G128" s="27" t="n">
        <v>0</v>
      </c>
      <c r="H128" s="10" t="n">
        <f aca="false">IF(D128=0,0,G128/D128*1000)</f>
        <v>0</v>
      </c>
      <c r="I128" s="8" t="n">
        <v>0</v>
      </c>
      <c r="J128" s="25" t="n">
        <v>0</v>
      </c>
      <c r="K128" s="26" t="n">
        <v>0.6503</v>
      </c>
      <c r="L128" s="26"/>
      <c r="M128" s="27" t="str">
        <f aca="false">IF(D128&gt;=200,"○","-")</f>
        <v>○</v>
      </c>
    </row>
    <row r="129" customFormat="false" ht="15" hidden="false" customHeight="false" outlineLevel="0" collapsed="false">
      <c r="A129" s="7" t="s">
        <v>18</v>
      </c>
      <c r="B129" s="7" t="s">
        <v>252</v>
      </c>
      <c r="C129" s="27" t="s">
        <v>254</v>
      </c>
      <c r="D129" s="8" t="n">
        <v>1251</v>
      </c>
      <c r="E129" s="27" t="n">
        <v>9</v>
      </c>
      <c r="F129" s="9" t="n">
        <f aca="false">IF(D129=0,0,E129/D129)</f>
        <v>0.00719424460431655</v>
      </c>
      <c r="G129" s="27" t="n">
        <v>1</v>
      </c>
      <c r="H129" s="10" t="n">
        <f aca="false">IF(D129=0,0,G129/D129*1000)</f>
        <v>0.799360511590727</v>
      </c>
      <c r="I129" s="8" t="n">
        <v>0</v>
      </c>
      <c r="J129" s="25" t="n">
        <v>0</v>
      </c>
      <c r="K129" s="26" t="n">
        <v>0.5664</v>
      </c>
      <c r="L129" s="26" t="n">
        <v>0.200495</v>
      </c>
      <c r="M129" s="27" t="str">
        <f aca="false">IF(D129&gt;=200,"○","-")</f>
        <v>○</v>
      </c>
    </row>
    <row r="130" customFormat="false" ht="15" hidden="false" customHeight="false" outlineLevel="0" collapsed="false">
      <c r="A130" s="7" t="s">
        <v>18</v>
      </c>
      <c r="B130" s="7" t="s">
        <v>252</v>
      </c>
      <c r="C130" s="27" t="s">
        <v>255</v>
      </c>
      <c r="D130" s="8" t="n">
        <v>952</v>
      </c>
      <c r="E130" s="27" t="n">
        <v>1</v>
      </c>
      <c r="F130" s="9" t="n">
        <f aca="false">IF(D130=0,0,E130/D130)</f>
        <v>0.00105042016806723</v>
      </c>
      <c r="G130" s="27" t="n">
        <v>0</v>
      </c>
      <c r="H130" s="10" t="n">
        <f aca="false">IF(D130=0,0,G130/D130*1000)</f>
        <v>0</v>
      </c>
      <c r="I130" s="8" t="n">
        <v>0</v>
      </c>
      <c r="J130" s="25" t="n">
        <v>0</v>
      </c>
      <c r="K130" s="26" t="n">
        <v>0.5109</v>
      </c>
      <c r="L130" s="26"/>
      <c r="M130" s="27" t="str">
        <f aca="false">IF(D130&gt;=200,"○","-")</f>
        <v>○</v>
      </c>
    </row>
    <row r="131" customFormat="false" ht="15" hidden="false" customHeight="false" outlineLevel="0" collapsed="false">
      <c r="A131" s="7" t="s">
        <v>18</v>
      </c>
      <c r="B131" s="7" t="s">
        <v>252</v>
      </c>
      <c r="C131" s="27" t="s">
        <v>256</v>
      </c>
      <c r="D131" s="8" t="n">
        <v>957</v>
      </c>
      <c r="E131" s="27" t="n">
        <v>6</v>
      </c>
      <c r="F131" s="9" t="n">
        <f aca="false">IF(D131=0,0,E131/D131)</f>
        <v>0.00626959247648903</v>
      </c>
      <c r="G131" s="27" t="n">
        <v>0</v>
      </c>
      <c r="H131" s="10" t="n">
        <f aca="false">IF(D131=0,0,G131/D131*1000)</f>
        <v>0</v>
      </c>
      <c r="I131" s="8" t="n">
        <v>0</v>
      </c>
      <c r="J131" s="25" t="n">
        <v>0</v>
      </c>
      <c r="K131" s="26" t="n">
        <v>0.3835</v>
      </c>
      <c r="L131" s="26"/>
      <c r="M131" s="27" t="str">
        <f aca="false">IF(D131&gt;=200,"○","-")</f>
        <v>○</v>
      </c>
    </row>
    <row r="132" customFormat="false" ht="15" hidden="false" customHeight="false" outlineLevel="0" collapsed="false">
      <c r="A132" s="7" t="s">
        <v>18</v>
      </c>
      <c r="B132" s="7" t="s">
        <v>257</v>
      </c>
      <c r="C132" s="27" t="s">
        <v>258</v>
      </c>
      <c r="D132" s="8" t="n">
        <v>1043</v>
      </c>
      <c r="E132" s="27" t="n">
        <v>4</v>
      </c>
      <c r="F132" s="9" t="n">
        <f aca="false">IF(D132=0,0,E132/D132)</f>
        <v>0.00383509108341323</v>
      </c>
      <c r="G132" s="27" t="n">
        <v>0</v>
      </c>
      <c r="H132" s="10" t="n">
        <f aca="false">IF(D132=0,0,G132/D132*1000)</f>
        <v>0</v>
      </c>
      <c r="I132" s="8" t="n">
        <v>0</v>
      </c>
      <c r="J132" s="25" t="n">
        <v>0</v>
      </c>
      <c r="K132" s="26" t="n">
        <v>0</v>
      </c>
      <c r="L132" s="26"/>
      <c r="M132" s="27" t="str">
        <f aca="false">IF(D132&gt;=200,"○","-")</f>
        <v>○</v>
      </c>
    </row>
    <row r="133" customFormat="false" ht="15" hidden="false" customHeight="false" outlineLevel="0" collapsed="false">
      <c r="A133" s="7" t="s">
        <v>18</v>
      </c>
      <c r="B133" s="7" t="s">
        <v>257</v>
      </c>
      <c r="C133" s="27" t="s">
        <v>259</v>
      </c>
      <c r="D133" s="8" t="n">
        <v>1519</v>
      </c>
      <c r="E133" s="27" t="n">
        <v>7</v>
      </c>
      <c r="F133" s="9" t="n">
        <f aca="false">IF(D133=0,0,E133/D133)</f>
        <v>0.00460829493087558</v>
      </c>
      <c r="G133" s="27" t="n">
        <v>1</v>
      </c>
      <c r="H133" s="10" t="n">
        <f aca="false">IF(D133=0,0,G133/D133*1000)</f>
        <v>0.658327847267939</v>
      </c>
      <c r="I133" s="8" t="n">
        <v>0</v>
      </c>
      <c r="J133" s="25" t="n">
        <v>0</v>
      </c>
      <c r="K133" s="26" t="n">
        <v>0.9889</v>
      </c>
      <c r="L133" s="26" t="n">
        <v>0.66115</v>
      </c>
      <c r="M133" s="27" t="str">
        <f aca="false">IF(D133&gt;=200,"○","-")</f>
        <v>○</v>
      </c>
    </row>
    <row r="134" customFormat="false" ht="15" hidden="false" customHeight="false" outlineLevel="0" collapsed="false">
      <c r="A134" s="7" t="s">
        <v>18</v>
      </c>
      <c r="B134" s="7" t="s">
        <v>257</v>
      </c>
      <c r="C134" s="27" t="s">
        <v>260</v>
      </c>
      <c r="D134" s="8" t="n">
        <v>895</v>
      </c>
      <c r="E134" s="27" t="n">
        <v>11</v>
      </c>
      <c r="F134" s="9" t="n">
        <f aca="false">IF(D134=0,0,E134/D134)</f>
        <v>0.0122905027932961</v>
      </c>
      <c r="G134" s="27" t="n">
        <v>1</v>
      </c>
      <c r="H134" s="10" t="n">
        <f aca="false">IF(D134=0,0,G134/D134*1000)</f>
        <v>1.11731843575419</v>
      </c>
      <c r="I134" s="8" t="n">
        <v>0</v>
      </c>
      <c r="J134" s="25" t="n">
        <v>0</v>
      </c>
      <c r="K134" s="26" t="n">
        <v>0.5822</v>
      </c>
      <c r="L134" s="26"/>
      <c r="M134" s="27" t="str">
        <f aca="false">IF(D134&gt;=200,"○","-")</f>
        <v>○</v>
      </c>
    </row>
    <row r="135" customFormat="false" ht="15" hidden="false" customHeight="false" outlineLevel="0" collapsed="false">
      <c r="A135" s="7" t="s">
        <v>18</v>
      </c>
      <c r="B135" s="7" t="s">
        <v>261</v>
      </c>
      <c r="C135" s="27" t="s">
        <v>262</v>
      </c>
      <c r="D135" s="8" t="n">
        <v>1081</v>
      </c>
      <c r="E135" s="27" t="n">
        <v>3</v>
      </c>
      <c r="F135" s="9" t="n">
        <f aca="false">IF(D135=0,0,E135/D135)</f>
        <v>0.00277520814061055</v>
      </c>
      <c r="G135" s="27" t="n">
        <v>0</v>
      </c>
      <c r="H135" s="10" t="n">
        <f aca="false">IF(D135=0,0,G135/D135*1000)</f>
        <v>0</v>
      </c>
      <c r="I135" s="8" t="n">
        <v>0</v>
      </c>
      <c r="J135" s="25" t="n">
        <v>0</v>
      </c>
      <c r="K135" s="26" t="n">
        <v>0.7457</v>
      </c>
      <c r="L135" s="26"/>
      <c r="M135" s="27" t="str">
        <f aca="false">IF(D135&gt;=200,"○","-")</f>
        <v>○</v>
      </c>
    </row>
    <row r="136" customFormat="false" ht="15" hidden="false" customHeight="false" outlineLevel="0" collapsed="false">
      <c r="A136" s="7" t="s">
        <v>18</v>
      </c>
      <c r="B136" s="7" t="s">
        <v>261</v>
      </c>
      <c r="C136" s="27" t="s">
        <v>263</v>
      </c>
      <c r="D136" s="8" t="n">
        <v>1134</v>
      </c>
      <c r="E136" s="27" t="n">
        <v>9</v>
      </c>
      <c r="F136" s="9" t="n">
        <f aca="false">IF(D136=0,0,E136/D136)</f>
        <v>0.00793650793650794</v>
      </c>
      <c r="G136" s="27" t="n">
        <v>0</v>
      </c>
      <c r="H136" s="10" t="n">
        <f aca="false">IF(D136=0,0,G136/D136*1000)</f>
        <v>0</v>
      </c>
      <c r="I136" s="8" t="n">
        <v>0</v>
      </c>
      <c r="J136" s="25" t="n">
        <v>0</v>
      </c>
      <c r="K136" s="26" t="n">
        <v>0.4254</v>
      </c>
      <c r="L136" s="26"/>
      <c r="M136" s="27" t="str">
        <f aca="false">IF(D136&gt;=200,"○","-")</f>
        <v>○</v>
      </c>
    </row>
    <row r="137" customFormat="false" ht="15" hidden="false" customHeight="false" outlineLevel="0" collapsed="false">
      <c r="A137" s="7" t="s">
        <v>18</v>
      </c>
      <c r="B137" s="7" t="s">
        <v>261</v>
      </c>
      <c r="C137" s="27" t="s">
        <v>264</v>
      </c>
      <c r="D137" s="8" t="n">
        <v>1166</v>
      </c>
      <c r="E137" s="27" t="n">
        <v>2</v>
      </c>
      <c r="F137" s="9" t="n">
        <f aca="false">IF(D137=0,0,E137/D137)</f>
        <v>0.00171526586620926</v>
      </c>
      <c r="G137" s="27" t="n">
        <v>0</v>
      </c>
      <c r="H137" s="10" t="n">
        <f aca="false">IF(D137=0,0,G137/D137*1000)</f>
        <v>0</v>
      </c>
      <c r="I137" s="8" t="n">
        <v>0</v>
      </c>
      <c r="J137" s="25" t="n">
        <v>0</v>
      </c>
      <c r="K137" s="26" t="n">
        <v>0.6302</v>
      </c>
      <c r="L137" s="26" t="n">
        <v>0.284765</v>
      </c>
      <c r="M137" s="27" t="str">
        <f aca="false">IF(D137&gt;=200,"○","-")</f>
        <v>○</v>
      </c>
    </row>
    <row r="138" customFormat="false" ht="15" hidden="false" customHeight="false" outlineLevel="0" collapsed="false">
      <c r="A138" s="7" t="s">
        <v>18</v>
      </c>
      <c r="B138" s="7" t="s">
        <v>265</v>
      </c>
      <c r="C138" s="27" t="s">
        <v>266</v>
      </c>
      <c r="D138" s="8" t="n">
        <v>998</v>
      </c>
      <c r="E138" s="27" t="n">
        <v>7</v>
      </c>
      <c r="F138" s="9" t="n">
        <f aca="false">IF(D138=0,0,E138/D138)</f>
        <v>0.00701402805611222</v>
      </c>
      <c r="G138" s="27" t="n">
        <v>1</v>
      </c>
      <c r="H138" s="10" t="n">
        <f aca="false">IF(D138=0,0,G138/D138*1000)</f>
        <v>1.00200400801603</v>
      </c>
      <c r="I138" s="8" t="n">
        <v>0</v>
      </c>
      <c r="J138" s="25" t="n">
        <v>0</v>
      </c>
      <c r="K138" s="26" t="n">
        <v>0.4296</v>
      </c>
      <c r="L138" s="26"/>
      <c r="M138" s="27" t="str">
        <f aca="false">IF(D138&gt;=200,"○","-")</f>
        <v>○</v>
      </c>
    </row>
    <row r="139" customFormat="false" ht="15" hidden="false" customHeight="false" outlineLevel="0" collapsed="false">
      <c r="A139" s="7" t="s">
        <v>18</v>
      </c>
      <c r="B139" s="7" t="s">
        <v>265</v>
      </c>
      <c r="C139" s="27" t="s">
        <v>267</v>
      </c>
      <c r="D139" s="8" t="n">
        <v>1062</v>
      </c>
      <c r="E139" s="27" t="n">
        <v>6</v>
      </c>
      <c r="F139" s="9" t="n">
        <f aca="false">IF(D139=0,0,E139/D139)</f>
        <v>0.00564971751412429</v>
      </c>
      <c r="G139" s="27" t="n">
        <v>1</v>
      </c>
      <c r="H139" s="10" t="n">
        <f aca="false">IF(D139=0,0,G139/D139*1000)</f>
        <v>0.941619585687382</v>
      </c>
      <c r="I139" s="8" t="n">
        <v>0</v>
      </c>
      <c r="J139" s="25" t="n">
        <v>0</v>
      </c>
      <c r="K139" s="26" t="n">
        <v>0.6463</v>
      </c>
      <c r="L139" s="26"/>
      <c r="M139" s="27" t="str">
        <f aca="false">IF(D139&gt;=200,"○","-")</f>
        <v>○</v>
      </c>
    </row>
    <row r="140" customFormat="false" ht="15" hidden="false" customHeight="false" outlineLevel="0" collapsed="false">
      <c r="A140" s="7" t="s">
        <v>18</v>
      </c>
      <c r="B140" s="7" t="s">
        <v>268</v>
      </c>
      <c r="C140" s="27" t="s">
        <v>269</v>
      </c>
      <c r="D140" s="8" t="n">
        <v>1194</v>
      </c>
      <c r="E140" s="27" t="n">
        <v>6</v>
      </c>
      <c r="F140" s="9" t="n">
        <f aca="false">IF(D140=0,0,E140/D140)</f>
        <v>0.0050251256281407</v>
      </c>
      <c r="G140" s="27" t="n">
        <v>1</v>
      </c>
      <c r="H140" s="10" t="n">
        <f aca="false">IF(D140=0,0,G140/D140*1000)</f>
        <v>0.837520938023451</v>
      </c>
      <c r="I140" s="8" t="n">
        <v>0</v>
      </c>
      <c r="J140" s="25" t="n">
        <v>0</v>
      </c>
      <c r="K140" s="26" t="n">
        <v>0.3655</v>
      </c>
      <c r="L140" s="26" t="n">
        <v>0.107945</v>
      </c>
      <c r="M140" s="27" t="str">
        <f aca="false">IF(D140&gt;=200,"○","-")</f>
        <v>○</v>
      </c>
    </row>
    <row r="141" customFormat="false" ht="15" hidden="false" customHeight="false" outlineLevel="0" collapsed="false">
      <c r="A141" s="7" t="s">
        <v>18</v>
      </c>
      <c r="B141" s="7" t="s">
        <v>268</v>
      </c>
      <c r="C141" s="27" t="s">
        <v>270</v>
      </c>
      <c r="D141" s="8" t="n">
        <v>1031</v>
      </c>
      <c r="E141" s="27" t="n">
        <v>4</v>
      </c>
      <c r="F141" s="9" t="n">
        <f aca="false">IF(D141=0,0,E141/D141)</f>
        <v>0.00387972841901067</v>
      </c>
      <c r="G141" s="27" t="n">
        <v>1</v>
      </c>
      <c r="H141" s="10" t="n">
        <f aca="false">IF(D141=0,0,G141/D141*1000)</f>
        <v>0.969932104752667</v>
      </c>
      <c r="I141" s="8" t="n">
        <v>0</v>
      </c>
      <c r="J141" s="25" t="n">
        <v>0</v>
      </c>
      <c r="K141" s="26" t="n">
        <v>0.6738</v>
      </c>
      <c r="L141" s="26"/>
      <c r="M141" s="27" t="str">
        <f aca="false">IF(D141&gt;=200,"○","-")</f>
        <v>○</v>
      </c>
    </row>
    <row r="142" customFormat="false" ht="15" hidden="false" customHeight="false" outlineLevel="0" collapsed="false">
      <c r="A142" s="28" t="s">
        <v>18</v>
      </c>
      <c r="B142" s="28" t="s">
        <v>268</v>
      </c>
      <c r="C142" s="29" t="s">
        <v>271</v>
      </c>
      <c r="D142" s="30" t="n">
        <v>178</v>
      </c>
      <c r="E142" s="28" t="n">
        <v>2</v>
      </c>
      <c r="F142" s="31" t="n">
        <f aca="false">IF(D142=0,0,E142/D142)</f>
        <v>0.0112359550561798</v>
      </c>
      <c r="G142" s="28" t="n">
        <v>0</v>
      </c>
      <c r="H142" s="32" t="n">
        <f aca="false">IF(D142=0,0,G142/D142*1000)</f>
        <v>0</v>
      </c>
      <c r="I142" s="30" t="n">
        <v>0</v>
      </c>
      <c r="J142" s="33" t="n">
        <v>0</v>
      </c>
      <c r="K142" s="34" t="n">
        <v>0.5025</v>
      </c>
      <c r="L142" s="34"/>
      <c r="M142" s="28" t="str">
        <f aca="false">IF(D142&gt;=200,"○","-")</f>
        <v>-</v>
      </c>
    </row>
    <row r="143" customFormat="false" ht="15" hidden="false" customHeight="false" outlineLevel="0" collapsed="false">
      <c r="A143" s="7" t="s">
        <v>18</v>
      </c>
      <c r="B143" s="7" t="s">
        <v>272</v>
      </c>
      <c r="C143" s="27" t="s">
        <v>273</v>
      </c>
      <c r="D143" s="8" t="n">
        <v>200</v>
      </c>
      <c r="E143" s="27" t="n">
        <v>0</v>
      </c>
      <c r="F143" s="9" t="n">
        <f aca="false">IF(D143=0,0,E143/D143)</f>
        <v>0</v>
      </c>
      <c r="G143" s="27" t="n">
        <v>0</v>
      </c>
      <c r="H143" s="10" t="n">
        <f aca="false">IF(D143=0,0,G143/D143*1000)</f>
        <v>0</v>
      </c>
      <c r="I143" s="8" t="n">
        <v>0</v>
      </c>
      <c r="J143" s="25" t="n">
        <v>0</v>
      </c>
      <c r="K143" s="26" t="n">
        <v>0.2712</v>
      </c>
      <c r="L143" s="26"/>
      <c r="M143" s="27" t="str">
        <f aca="false">IF(D143&gt;=200,"○","-")</f>
        <v>○</v>
      </c>
    </row>
    <row r="144" customFormat="false" ht="15" hidden="false" customHeight="false" outlineLevel="0" collapsed="false">
      <c r="A144" s="7" t="s">
        <v>18</v>
      </c>
      <c r="B144" s="7" t="s">
        <v>272</v>
      </c>
      <c r="C144" s="27" t="s">
        <v>274</v>
      </c>
      <c r="D144" s="8" t="n">
        <v>574</v>
      </c>
      <c r="E144" s="27" t="n">
        <v>8</v>
      </c>
      <c r="F144" s="9" t="n">
        <f aca="false">IF(D144=0,0,E144/D144)</f>
        <v>0.0139372822299652</v>
      </c>
      <c r="G144" s="27" t="n">
        <v>1</v>
      </c>
      <c r="H144" s="10" t="n">
        <f aca="false">IF(D144=0,0,G144/D144*1000)</f>
        <v>1.74216027874564</v>
      </c>
      <c r="I144" s="8" t="n">
        <v>0</v>
      </c>
      <c r="J144" s="25" t="n">
        <v>0</v>
      </c>
      <c r="K144" s="26" t="n">
        <v>1.2089</v>
      </c>
      <c r="L144" s="26"/>
      <c r="M144" s="27" t="str">
        <f aca="false">IF(D144&gt;=200,"○","-")</f>
        <v>○</v>
      </c>
    </row>
    <row r="145" customFormat="false" ht="15" hidden="false" customHeight="false" outlineLevel="0" collapsed="false">
      <c r="A145" s="7" t="s">
        <v>18</v>
      </c>
      <c r="B145" s="7" t="s">
        <v>275</v>
      </c>
      <c r="C145" s="27" t="s">
        <v>276</v>
      </c>
      <c r="D145" s="8" t="n">
        <v>928</v>
      </c>
      <c r="E145" s="27" t="n">
        <v>9</v>
      </c>
      <c r="F145" s="9" t="n">
        <f aca="false">IF(D145=0,0,E145/D145)</f>
        <v>0.00969827586206897</v>
      </c>
      <c r="G145" s="27" t="n">
        <v>2</v>
      </c>
      <c r="H145" s="10" t="n">
        <f aca="false">IF(D145=0,0,G145/D145*1000)</f>
        <v>2.1551724137931</v>
      </c>
      <c r="I145" s="8" t="n">
        <v>0</v>
      </c>
      <c r="J145" s="25" t="n">
        <v>0</v>
      </c>
      <c r="K145" s="26" t="n">
        <v>0.5003</v>
      </c>
      <c r="L145" s="26"/>
      <c r="M145" s="27" t="str">
        <f aca="false">IF(D145&gt;=200,"○","-")</f>
        <v>○</v>
      </c>
    </row>
    <row r="146" customFormat="false" ht="15" hidden="false" customHeight="false" outlineLevel="0" collapsed="false">
      <c r="A146" s="7" t="s">
        <v>18</v>
      </c>
      <c r="B146" s="7" t="s">
        <v>275</v>
      </c>
      <c r="C146" s="27" t="s">
        <v>277</v>
      </c>
      <c r="D146" s="8" t="n">
        <v>289</v>
      </c>
      <c r="E146" s="27" t="n">
        <v>1</v>
      </c>
      <c r="F146" s="9" t="n">
        <f aca="false">IF(D146=0,0,E146/D146)</f>
        <v>0.00346020761245675</v>
      </c>
      <c r="G146" s="27" t="n">
        <v>1</v>
      </c>
      <c r="H146" s="10" t="n">
        <f aca="false">IF(D146=0,0,G146/D146*1000)</f>
        <v>3.46020761245675</v>
      </c>
      <c r="I146" s="8" t="n">
        <v>0</v>
      </c>
      <c r="J146" s="25" t="n">
        <v>0</v>
      </c>
      <c r="K146" s="26" t="n">
        <v>0.5466</v>
      </c>
      <c r="L146" s="26"/>
      <c r="M146" s="27" t="str">
        <f aca="false">IF(D146&gt;=200,"○","-")</f>
        <v>○</v>
      </c>
    </row>
    <row r="147" customFormat="false" ht="15" hidden="false" customHeight="false" outlineLevel="0" collapsed="false">
      <c r="A147" s="7" t="s">
        <v>18</v>
      </c>
      <c r="B147" s="7" t="s">
        <v>275</v>
      </c>
      <c r="C147" s="27" t="s">
        <v>278</v>
      </c>
      <c r="D147" s="8" t="n">
        <v>583</v>
      </c>
      <c r="E147" s="27" t="n">
        <v>4</v>
      </c>
      <c r="F147" s="9" t="n">
        <f aca="false">IF(D147=0,0,E147/D147)</f>
        <v>0.00686106346483705</v>
      </c>
      <c r="G147" s="27" t="n">
        <v>0</v>
      </c>
      <c r="H147" s="10" t="n">
        <f aca="false">IF(D147=0,0,G147/D147*1000)</f>
        <v>0</v>
      </c>
      <c r="I147" s="8" t="n">
        <v>0</v>
      </c>
      <c r="J147" s="25" t="n">
        <v>0</v>
      </c>
      <c r="K147" s="26" t="n">
        <v>0.4113</v>
      </c>
      <c r="L147" s="26"/>
      <c r="M147" s="27" t="str">
        <f aca="false">IF(D147&gt;=200,"○","-")</f>
        <v>○</v>
      </c>
    </row>
    <row r="148" customFormat="false" ht="15" hidden="false" customHeight="false" outlineLevel="0" collapsed="false">
      <c r="A148" s="7" t="s">
        <v>18</v>
      </c>
      <c r="B148" s="7" t="s">
        <v>279</v>
      </c>
      <c r="C148" s="27" t="s">
        <v>280</v>
      </c>
      <c r="D148" s="8" t="n">
        <v>1226</v>
      </c>
      <c r="E148" s="27" t="n">
        <v>4</v>
      </c>
      <c r="F148" s="9" t="n">
        <f aca="false">IF(D148=0,0,E148/D148)</f>
        <v>0.0032626427406199</v>
      </c>
      <c r="G148" s="27" t="n">
        <v>0</v>
      </c>
      <c r="H148" s="10" t="n">
        <f aca="false">IF(D148=0,0,G148/D148*1000)</f>
        <v>0</v>
      </c>
      <c r="I148" s="8" t="n">
        <v>0</v>
      </c>
      <c r="J148" s="25" t="n">
        <v>0</v>
      </c>
      <c r="K148" s="26" t="n">
        <v>0.6522</v>
      </c>
      <c r="L148" s="26" t="n">
        <v>0.260695</v>
      </c>
      <c r="M148" s="27" t="str">
        <f aca="false">IF(D148&gt;=200,"○","-")</f>
        <v>○</v>
      </c>
    </row>
    <row r="149" customFormat="false" ht="15" hidden="false" customHeight="false" outlineLevel="0" collapsed="false">
      <c r="A149" s="7" t="s">
        <v>18</v>
      </c>
      <c r="B149" s="7" t="s">
        <v>279</v>
      </c>
      <c r="C149" s="27" t="s">
        <v>281</v>
      </c>
      <c r="D149" s="8" t="n">
        <v>388</v>
      </c>
      <c r="E149" s="27" t="n">
        <v>1</v>
      </c>
      <c r="F149" s="9" t="n">
        <f aca="false">IF(D149=0,0,E149/D149)</f>
        <v>0.00257731958762887</v>
      </c>
      <c r="G149" s="27" t="n">
        <v>0</v>
      </c>
      <c r="H149" s="10" t="n">
        <f aca="false">IF(D149=0,0,G149/D149*1000)</f>
        <v>0</v>
      </c>
      <c r="I149" s="8" t="n">
        <v>0</v>
      </c>
      <c r="J149" s="25" t="n">
        <v>0</v>
      </c>
      <c r="K149" s="26" t="n">
        <v>0.5027</v>
      </c>
      <c r="L149" s="26"/>
      <c r="M149" s="27" t="str">
        <f aca="false">IF(D149&gt;=200,"○","-")</f>
        <v>○</v>
      </c>
    </row>
    <row r="150" customFormat="false" ht="15" hidden="false" customHeight="false" outlineLevel="0" collapsed="false">
      <c r="A150" s="7" t="s">
        <v>18</v>
      </c>
      <c r="B150" s="7" t="s">
        <v>279</v>
      </c>
      <c r="C150" s="27" t="s">
        <v>282</v>
      </c>
      <c r="D150" s="8" t="n">
        <v>957</v>
      </c>
      <c r="E150" s="27" t="n">
        <v>4</v>
      </c>
      <c r="F150" s="9" t="n">
        <f aca="false">IF(D150=0,0,E150/D150)</f>
        <v>0.00417972831765935</v>
      </c>
      <c r="G150" s="27" t="n">
        <v>0</v>
      </c>
      <c r="H150" s="10" t="n">
        <f aca="false">IF(D150=0,0,G150/D150*1000)</f>
        <v>0</v>
      </c>
      <c r="I150" s="8" t="n">
        <v>0</v>
      </c>
      <c r="J150" s="25" t="n">
        <v>0</v>
      </c>
      <c r="K150" s="26" t="n">
        <v>0.324</v>
      </c>
      <c r="L150" s="26"/>
      <c r="M150" s="27" t="str">
        <f aca="false">IF(D150&gt;=200,"○","-")</f>
        <v>○</v>
      </c>
    </row>
    <row r="151" customFormat="false" ht="15" hidden="false" customHeight="false" outlineLevel="0" collapsed="false">
      <c r="A151" s="7" t="s">
        <v>18</v>
      </c>
      <c r="B151" s="7" t="s">
        <v>283</v>
      </c>
      <c r="C151" s="27" t="s">
        <v>284</v>
      </c>
      <c r="D151" s="8" t="n">
        <v>980</v>
      </c>
      <c r="E151" s="27" t="n">
        <v>13</v>
      </c>
      <c r="F151" s="9" t="n">
        <f aca="false">IF(D151=0,0,E151/D151)</f>
        <v>0.013265306122449</v>
      </c>
      <c r="G151" s="27" t="n">
        <v>0</v>
      </c>
      <c r="H151" s="10" t="n">
        <f aca="false">IF(D151=0,0,G151/D151*1000)</f>
        <v>0</v>
      </c>
      <c r="I151" s="8" t="n">
        <v>0</v>
      </c>
      <c r="J151" s="25" t="n">
        <v>0</v>
      </c>
      <c r="K151" s="26" t="n">
        <v>0.5678</v>
      </c>
      <c r="L151" s="26"/>
      <c r="M151" s="27" t="str">
        <f aca="false">IF(D151&gt;=200,"○","-")</f>
        <v>○</v>
      </c>
    </row>
    <row r="152" customFormat="false" ht="15" hidden="false" customHeight="false" outlineLevel="0" collapsed="false">
      <c r="A152" s="7" t="s">
        <v>18</v>
      </c>
      <c r="B152" s="7" t="s">
        <v>283</v>
      </c>
      <c r="C152" s="27" t="s">
        <v>285</v>
      </c>
      <c r="D152" s="8" t="n">
        <v>564</v>
      </c>
      <c r="E152" s="27" t="n">
        <v>4</v>
      </c>
      <c r="F152" s="9" t="n">
        <f aca="false">IF(D152=0,0,E152/D152)</f>
        <v>0.00709219858156028</v>
      </c>
      <c r="G152" s="27" t="n">
        <v>0</v>
      </c>
      <c r="H152" s="10" t="n">
        <f aca="false">IF(D152=0,0,G152/D152*1000)</f>
        <v>0</v>
      </c>
      <c r="I152" s="8" t="n">
        <v>0</v>
      </c>
      <c r="J152" s="25" t="n">
        <v>0</v>
      </c>
      <c r="K152" s="26" t="n">
        <v>0.4094</v>
      </c>
      <c r="L152" s="26"/>
      <c r="M152" s="27" t="str">
        <f aca="false">IF(D152&gt;=200,"○","-")</f>
        <v>○</v>
      </c>
    </row>
    <row r="153" customFormat="false" ht="15" hidden="false" customHeight="false" outlineLevel="0" collapsed="false">
      <c r="A153" s="7" t="s">
        <v>18</v>
      </c>
      <c r="B153" s="7" t="s">
        <v>283</v>
      </c>
      <c r="C153" s="27" t="s">
        <v>286</v>
      </c>
      <c r="D153" s="8" t="n">
        <v>1304</v>
      </c>
      <c r="E153" s="27" t="n">
        <v>6</v>
      </c>
      <c r="F153" s="9" t="n">
        <f aca="false">IF(D153=0,0,E153/D153)</f>
        <v>0.00460122699386503</v>
      </c>
      <c r="G153" s="27" t="n">
        <v>0</v>
      </c>
      <c r="H153" s="10" t="n">
        <f aca="false">IF(D153=0,0,G153/D153*1000)</f>
        <v>0</v>
      </c>
      <c r="I153" s="8" t="n">
        <v>0</v>
      </c>
      <c r="J153" s="25" t="n">
        <v>0</v>
      </c>
      <c r="K153" s="26" t="n">
        <v>0.4864</v>
      </c>
      <c r="L153" s="26" t="n">
        <v>0.150795</v>
      </c>
      <c r="M153" s="27" t="str">
        <f aca="false">IF(D153&gt;=200,"○","-")</f>
        <v>○</v>
      </c>
    </row>
    <row r="154" customFormat="false" ht="15" hidden="false" customHeight="false" outlineLevel="0" collapsed="false">
      <c r="A154" s="7" t="s">
        <v>18</v>
      </c>
      <c r="B154" s="7" t="s">
        <v>287</v>
      </c>
      <c r="C154" s="7" t="s">
        <v>288</v>
      </c>
      <c r="D154" s="8" t="n">
        <v>855</v>
      </c>
      <c r="E154" s="27" t="n">
        <v>3</v>
      </c>
      <c r="F154" s="9" t="n">
        <f aca="false">IF(D154=0,0,E154/D154)</f>
        <v>0.00350877192982456</v>
      </c>
      <c r="G154" s="27" t="n">
        <v>0</v>
      </c>
      <c r="H154" s="10" t="n">
        <f aca="false">IF(D154=0,0,G154/D154*1000)</f>
        <v>0</v>
      </c>
      <c r="I154" s="8" t="n">
        <v>0</v>
      </c>
      <c r="J154" s="25" t="n">
        <v>0</v>
      </c>
      <c r="K154" s="26" t="n">
        <v>0.3913</v>
      </c>
      <c r="L154" s="26"/>
      <c r="M154" s="27" t="str">
        <f aca="false">IF(D154&gt;=200,"○","-")</f>
        <v>○</v>
      </c>
    </row>
    <row r="155" customFormat="false" ht="15" hidden="false" customHeight="false" outlineLevel="0" collapsed="false">
      <c r="A155" s="7" t="s">
        <v>18</v>
      </c>
      <c r="B155" s="7" t="s">
        <v>287</v>
      </c>
      <c r="C155" s="7" t="s">
        <v>289</v>
      </c>
      <c r="D155" s="8" t="n">
        <v>816</v>
      </c>
      <c r="E155" s="27" t="n">
        <v>5</v>
      </c>
      <c r="F155" s="9" t="n">
        <f aca="false">IF(D155=0,0,E155/D155)</f>
        <v>0.00612745098039216</v>
      </c>
      <c r="G155" s="27" t="n">
        <v>0</v>
      </c>
      <c r="H155" s="10" t="n">
        <f aca="false">IF(D155=0,0,G155/D155*1000)</f>
        <v>0</v>
      </c>
      <c r="I155" s="8" t="n">
        <v>0</v>
      </c>
      <c r="J155" s="25" t="n">
        <v>0</v>
      </c>
      <c r="K155" s="26" t="n">
        <v>1.0308</v>
      </c>
      <c r="L155" s="26"/>
      <c r="M155" s="27" t="str">
        <f aca="false">IF(D155&gt;=200,"○","-")</f>
        <v>○</v>
      </c>
    </row>
    <row r="156" customFormat="false" ht="15" hidden="false" customHeight="false" outlineLevel="0" collapsed="false">
      <c r="A156" s="7" t="s">
        <v>18</v>
      </c>
      <c r="B156" s="7" t="s">
        <v>287</v>
      </c>
      <c r="C156" s="27" t="s">
        <v>290</v>
      </c>
      <c r="D156" s="8" t="n">
        <v>305</v>
      </c>
      <c r="E156" s="27" t="n">
        <v>0</v>
      </c>
      <c r="F156" s="9" t="n">
        <f aca="false">IF(D156=0,0,E156/D156)</f>
        <v>0</v>
      </c>
      <c r="G156" s="27" t="n">
        <v>0</v>
      </c>
      <c r="H156" s="10" t="n">
        <f aca="false">IF(D156=0,0,G156/D156*1000)</f>
        <v>0</v>
      </c>
      <c r="I156" s="8" t="n">
        <v>0</v>
      </c>
      <c r="J156" s="25" t="n">
        <v>0</v>
      </c>
      <c r="K156" s="26" t="n">
        <v>0.3364</v>
      </c>
      <c r="L156" s="26"/>
      <c r="M156" s="27" t="str">
        <f aca="false">IF(D156&gt;=200,"○","-")</f>
        <v>○</v>
      </c>
    </row>
    <row r="157" customFormat="false" ht="15" hidden="false" customHeight="false" outlineLevel="0" collapsed="false">
      <c r="A157" s="7" t="s">
        <v>18</v>
      </c>
      <c r="B157" s="7" t="s">
        <v>291</v>
      </c>
      <c r="C157" s="27" t="s">
        <v>292</v>
      </c>
      <c r="D157" s="8" t="n">
        <v>774</v>
      </c>
      <c r="E157" s="27" t="n">
        <v>5</v>
      </c>
      <c r="F157" s="9" t="n">
        <f aca="false">IF(D157=0,0,E157/D157)</f>
        <v>0.00645994832041344</v>
      </c>
      <c r="G157" s="27" t="n">
        <v>0</v>
      </c>
      <c r="H157" s="10" t="n">
        <f aca="false">IF(D157=0,0,G157/D157*1000)</f>
        <v>0</v>
      </c>
      <c r="I157" s="8" t="n">
        <v>0</v>
      </c>
      <c r="J157" s="25" t="n">
        <v>0</v>
      </c>
      <c r="K157" s="26" t="n">
        <v>0.3615</v>
      </c>
      <c r="L157" s="26"/>
      <c r="M157" s="27" t="str">
        <f aca="false">IF(D157&gt;=200,"○","-")</f>
        <v>○</v>
      </c>
    </row>
    <row r="158" customFormat="false" ht="15" hidden="false" customHeight="false" outlineLevel="0" collapsed="false">
      <c r="A158" s="7" t="s">
        <v>18</v>
      </c>
      <c r="B158" s="7" t="s">
        <v>291</v>
      </c>
      <c r="C158" s="27" t="s">
        <v>293</v>
      </c>
      <c r="D158" s="8" t="n">
        <v>1116</v>
      </c>
      <c r="E158" s="27" t="n">
        <v>3</v>
      </c>
      <c r="F158" s="9" t="n">
        <f aca="false">IF(D158=0,0,E158/D158)</f>
        <v>0.00268817204301075</v>
      </c>
      <c r="G158" s="27" t="n">
        <v>0</v>
      </c>
      <c r="H158" s="10" t="n">
        <f aca="false">IF(D158=0,0,G158/D158*1000)</f>
        <v>0</v>
      </c>
      <c r="I158" s="8" t="n">
        <v>0</v>
      </c>
      <c r="J158" s="25" t="n">
        <v>0</v>
      </c>
      <c r="K158" s="26" t="n">
        <v>0.5812</v>
      </c>
      <c r="L158" s="26" t="n">
        <v>0.31078</v>
      </c>
      <c r="M158" s="27" t="str">
        <f aca="false">IF(D158&gt;=200,"○","-")</f>
        <v>○</v>
      </c>
    </row>
    <row r="159" customFormat="false" ht="15" hidden="false" customHeight="false" outlineLevel="0" collapsed="false">
      <c r="A159" s="7" t="s">
        <v>18</v>
      </c>
      <c r="B159" s="7" t="s">
        <v>291</v>
      </c>
      <c r="C159" s="27" t="s">
        <v>294</v>
      </c>
      <c r="D159" s="8" t="n">
        <v>1373</v>
      </c>
      <c r="E159" s="27" t="n">
        <v>4</v>
      </c>
      <c r="F159" s="9" t="n">
        <f aca="false">IF(D159=0,0,E159/D159)</f>
        <v>0.00291332847778587</v>
      </c>
      <c r="G159" s="27" t="n">
        <v>0</v>
      </c>
      <c r="H159" s="10" t="n">
        <f aca="false">IF(D159=0,0,G159/D159*1000)</f>
        <v>0</v>
      </c>
      <c r="I159" s="8" t="n">
        <v>0</v>
      </c>
      <c r="J159" s="25" t="n">
        <v>0</v>
      </c>
      <c r="K159" s="26" t="n">
        <v>0.5376</v>
      </c>
      <c r="L159" s="26" t="n">
        <v>0.22185</v>
      </c>
      <c r="M159" s="27" t="str">
        <f aca="false">IF(D159&gt;=200,"○","-")</f>
        <v>○</v>
      </c>
    </row>
    <row r="160" customFormat="false" ht="15" hidden="false" customHeight="false" outlineLevel="0" collapsed="false">
      <c r="A160" s="7" t="s">
        <v>18</v>
      </c>
      <c r="B160" s="7" t="s">
        <v>291</v>
      </c>
      <c r="C160" s="27" t="s">
        <v>295</v>
      </c>
      <c r="D160" s="8" t="n">
        <v>1105</v>
      </c>
      <c r="E160" s="27" t="n">
        <v>4</v>
      </c>
      <c r="F160" s="9" t="n">
        <f aca="false">IF(D160=0,0,E160/D160)</f>
        <v>0.00361990950226244</v>
      </c>
      <c r="G160" s="27" t="n">
        <v>1</v>
      </c>
      <c r="H160" s="10" t="n">
        <f aca="false">IF(D160=0,0,G160/D160*1000)</f>
        <v>0.904977375565611</v>
      </c>
      <c r="I160" s="8" t="n">
        <v>0</v>
      </c>
      <c r="J160" s="25" t="n">
        <v>0</v>
      </c>
      <c r="K160" s="26" t="n">
        <v>0.5649</v>
      </c>
      <c r="L160" s="26" t="n">
        <v>0.30353</v>
      </c>
      <c r="M160" s="27" t="str">
        <f aca="false">IF(D160&gt;=200,"○","-")</f>
        <v>○</v>
      </c>
    </row>
    <row r="161" customFormat="false" ht="15" hidden="false" customHeight="false" outlineLevel="0" collapsed="false">
      <c r="A161" s="7" t="s">
        <v>18</v>
      </c>
      <c r="B161" s="7" t="s">
        <v>296</v>
      </c>
      <c r="C161" s="27" t="s">
        <v>297</v>
      </c>
      <c r="D161" s="8" t="n">
        <v>934</v>
      </c>
      <c r="E161" s="27" t="n">
        <v>8</v>
      </c>
      <c r="F161" s="9" t="n">
        <f aca="false">IF(D161=0,0,E161/D161)</f>
        <v>0.00856531049250535</v>
      </c>
      <c r="G161" s="27" t="n">
        <v>0</v>
      </c>
      <c r="H161" s="10" t="n">
        <f aca="false">IF(D161=0,0,G161/D161*1000)</f>
        <v>0</v>
      </c>
      <c r="I161" s="8" t="n">
        <v>0</v>
      </c>
      <c r="J161" s="25" t="n">
        <v>0</v>
      </c>
      <c r="K161" s="26" t="n">
        <v>0.7153</v>
      </c>
      <c r="L161" s="26"/>
      <c r="M161" s="27" t="str">
        <f aca="false">IF(D161&gt;=200,"○","-")</f>
        <v>○</v>
      </c>
    </row>
    <row r="162" customFormat="false" ht="15" hidden="false" customHeight="false" outlineLevel="0" collapsed="false">
      <c r="A162" s="7" t="s">
        <v>18</v>
      </c>
      <c r="B162" s="7" t="s">
        <v>296</v>
      </c>
      <c r="C162" s="27" t="s">
        <v>298</v>
      </c>
      <c r="D162" s="8" t="n">
        <v>953</v>
      </c>
      <c r="E162" s="27" t="n">
        <v>8</v>
      </c>
      <c r="F162" s="9" t="n">
        <f aca="false">IF(D162=0,0,E162/D162)</f>
        <v>0.00839454354669465</v>
      </c>
      <c r="G162" s="27" t="n">
        <v>1</v>
      </c>
      <c r="H162" s="10" t="n">
        <f aca="false">IF(D162=0,0,G162/D162*1000)</f>
        <v>1.04931794333683</v>
      </c>
      <c r="I162" s="8" t="n">
        <v>0</v>
      </c>
      <c r="J162" s="25" t="n">
        <v>0</v>
      </c>
      <c r="K162" s="26" t="n">
        <v>0.5916</v>
      </c>
      <c r="L162" s="26"/>
      <c r="M162" s="27" t="str">
        <f aca="false">IF(D162&gt;=200,"○","-")</f>
        <v>○</v>
      </c>
    </row>
    <row r="163" customFormat="false" ht="15" hidden="false" customHeight="false" outlineLevel="0" collapsed="false">
      <c r="A163" s="7" t="s">
        <v>18</v>
      </c>
      <c r="B163" s="7" t="s">
        <v>299</v>
      </c>
      <c r="C163" s="27" t="s">
        <v>300</v>
      </c>
      <c r="D163" s="8" t="n">
        <v>1163</v>
      </c>
      <c r="E163" s="27" t="n">
        <v>5</v>
      </c>
      <c r="F163" s="9" t="n">
        <f aca="false">IF(D163=0,0,E163/D163)</f>
        <v>0.00429922613929493</v>
      </c>
      <c r="G163" s="27" t="n">
        <v>0</v>
      </c>
      <c r="H163" s="10" t="n">
        <f aca="false">IF(D163=0,0,G163/D163*1000)</f>
        <v>0</v>
      </c>
      <c r="I163" s="8" t="n">
        <v>0</v>
      </c>
      <c r="J163" s="25" t="n">
        <v>0</v>
      </c>
      <c r="K163" s="26" t="n">
        <v>0.4536</v>
      </c>
      <c r="L163" s="26" t="n">
        <v>0.16853</v>
      </c>
      <c r="M163" s="27" t="str">
        <f aca="false">IF(D163&gt;=200,"○","-")</f>
        <v>○</v>
      </c>
    </row>
    <row r="164" customFormat="false" ht="15" hidden="false" customHeight="false" outlineLevel="0" collapsed="false">
      <c r="A164" s="28" t="s">
        <v>18</v>
      </c>
      <c r="B164" s="28" t="s">
        <v>299</v>
      </c>
      <c r="C164" s="29" t="s">
        <v>301</v>
      </c>
      <c r="D164" s="30" t="n">
        <v>7</v>
      </c>
      <c r="E164" s="28" t="n">
        <v>0</v>
      </c>
      <c r="F164" s="31" t="n">
        <f aca="false">IF(D164=0,0,E164/D164)</f>
        <v>0</v>
      </c>
      <c r="G164" s="28" t="n">
        <v>0</v>
      </c>
      <c r="H164" s="32" t="n">
        <f aca="false">IF(D164=0,0,G164/D164*1000)</f>
        <v>0</v>
      </c>
      <c r="I164" s="30" t="n">
        <v>318</v>
      </c>
      <c r="J164" s="33" t="n">
        <v>0.00628930817610063</v>
      </c>
      <c r="K164" s="34" t="n">
        <v>0.415</v>
      </c>
      <c r="L164" s="34"/>
      <c r="M164" s="28" t="str">
        <f aca="false">IF(D164&gt;=200,"○","-")</f>
        <v>-</v>
      </c>
    </row>
    <row r="165" customFormat="false" ht="15" hidden="false" customHeight="false" outlineLevel="0" collapsed="false">
      <c r="A165" s="28" t="s">
        <v>18</v>
      </c>
      <c r="B165" s="28" t="s">
        <v>299</v>
      </c>
      <c r="C165" s="28" t="s">
        <v>302</v>
      </c>
      <c r="D165" s="30" t="n">
        <v>2</v>
      </c>
      <c r="E165" s="28" t="n">
        <v>0</v>
      </c>
      <c r="F165" s="31" t="n">
        <f aca="false">IF(D165=0,0,E165/D165)</f>
        <v>0</v>
      </c>
      <c r="G165" s="28" t="n">
        <v>0</v>
      </c>
      <c r="H165" s="32" t="n">
        <f aca="false">IF(D165=0,0,G165/D165*1000)</f>
        <v>0</v>
      </c>
      <c r="I165" s="30" t="n">
        <v>34</v>
      </c>
      <c r="J165" s="33" t="n">
        <v>0</v>
      </c>
      <c r="K165" s="34" t="n">
        <v>0.512</v>
      </c>
      <c r="L165" s="34"/>
      <c r="M165" s="28" t="str">
        <f aca="false">IF(D165&gt;=200,"○","-")</f>
        <v>-</v>
      </c>
    </row>
    <row r="166" customFormat="false" ht="15" hidden="false" customHeight="false" outlineLevel="0" collapsed="false">
      <c r="A166" s="28" t="s">
        <v>18</v>
      </c>
      <c r="B166" s="28" t="s">
        <v>303</v>
      </c>
      <c r="C166" s="29" t="s">
        <v>304</v>
      </c>
      <c r="D166" s="30" t="n">
        <v>1</v>
      </c>
      <c r="E166" s="28" t="n">
        <v>0</v>
      </c>
      <c r="F166" s="31" t="n">
        <f aca="false">IF(D166=0,0,E166/D166)</f>
        <v>0</v>
      </c>
      <c r="G166" s="28" t="n">
        <v>0</v>
      </c>
      <c r="H166" s="32" t="n">
        <f aca="false">IF(D166=0,0,G166/D166*1000)</f>
        <v>0</v>
      </c>
      <c r="I166" s="30" t="n">
        <v>33</v>
      </c>
      <c r="J166" s="33" t="n">
        <v>0</v>
      </c>
      <c r="K166" s="34" t="n">
        <v>0</v>
      </c>
      <c r="L166" s="34" t="n">
        <v>0.157045</v>
      </c>
      <c r="M166" s="28" t="str">
        <f aca="false">IF(D166&gt;=200,"○","-")</f>
        <v>-</v>
      </c>
    </row>
    <row r="167" customFormat="false" ht="15" hidden="false" customHeight="false" outlineLevel="0" collapsed="false">
      <c r="A167" s="28" t="s">
        <v>18</v>
      </c>
      <c r="B167" s="28" t="s">
        <v>303</v>
      </c>
      <c r="C167" s="29" t="s">
        <v>305</v>
      </c>
      <c r="D167" s="30" t="n">
        <v>4</v>
      </c>
      <c r="E167" s="28" t="n">
        <v>0</v>
      </c>
      <c r="F167" s="31" t="n">
        <f aca="false">IF(D167=0,0,E167/D167)</f>
        <v>0</v>
      </c>
      <c r="G167" s="28" t="n">
        <v>0</v>
      </c>
      <c r="H167" s="32" t="n">
        <f aca="false">IF(D167=0,0,G167/D167*1000)</f>
        <v>0</v>
      </c>
      <c r="I167" s="30" t="n">
        <v>27</v>
      </c>
      <c r="J167" s="33" t="n">
        <v>0</v>
      </c>
      <c r="K167" s="34" t="n">
        <v>0.8429</v>
      </c>
      <c r="L167" s="34"/>
      <c r="M167" s="28" t="str">
        <f aca="false">IF(D167&gt;=200,"○","-")</f>
        <v>-</v>
      </c>
    </row>
    <row r="168" customFormat="false" ht="15" hidden="false" customHeight="false" outlineLevel="0" collapsed="false">
      <c r="A168" s="28" t="s">
        <v>18</v>
      </c>
      <c r="B168" s="28" t="s">
        <v>303</v>
      </c>
      <c r="C168" s="29" t="s">
        <v>306</v>
      </c>
      <c r="D168" s="30" t="n">
        <v>1</v>
      </c>
      <c r="E168" s="28" t="n">
        <v>0</v>
      </c>
      <c r="F168" s="31" t="n">
        <f aca="false">IF(D168=0,0,E168/D168)</f>
        <v>0</v>
      </c>
      <c r="G168" s="28" t="n">
        <v>0</v>
      </c>
      <c r="H168" s="32" t="n">
        <f aca="false">IF(D168=0,0,G168/D168*1000)</f>
        <v>0</v>
      </c>
      <c r="I168" s="30" t="n">
        <v>33</v>
      </c>
      <c r="J168" s="33" t="n">
        <v>0</v>
      </c>
      <c r="K168" s="34" t="n">
        <v>0</v>
      </c>
      <c r="L168" s="34"/>
      <c r="M168" s="28" t="str">
        <f aca="false">IF(D168&gt;=200,"○","-")</f>
        <v>-</v>
      </c>
    </row>
    <row r="169" customFormat="false" ht="15" hidden="false" customHeight="false" outlineLevel="0" collapsed="false">
      <c r="A169" s="28" t="s">
        <v>18</v>
      </c>
      <c r="B169" s="28" t="s">
        <v>307</v>
      </c>
      <c r="C169" s="29" t="s">
        <v>308</v>
      </c>
      <c r="D169" s="30" t="n">
        <v>5</v>
      </c>
      <c r="E169" s="28" t="n">
        <v>0</v>
      </c>
      <c r="F169" s="31" t="n">
        <f aca="false">IF(D169=0,0,E169/D169)</f>
        <v>0</v>
      </c>
      <c r="G169" s="28" t="n">
        <v>0</v>
      </c>
      <c r="H169" s="32" t="n">
        <f aca="false">IF(D169=0,0,G169/D169*1000)</f>
        <v>0</v>
      </c>
      <c r="I169" s="30" t="n">
        <v>39</v>
      </c>
      <c r="J169" s="33" t="n">
        <v>0.0512820512820513</v>
      </c>
      <c r="K169" s="34" t="n">
        <v>0.7352</v>
      </c>
      <c r="L169" s="34"/>
      <c r="M169" s="28" t="str">
        <f aca="false">IF(D169&gt;=200,"○","-")</f>
        <v>-</v>
      </c>
    </row>
    <row r="170" customFormat="false" ht="15" hidden="false" customHeight="false" outlineLevel="0" collapsed="false">
      <c r="A170" s="28" t="s">
        <v>18</v>
      </c>
      <c r="B170" s="28" t="s">
        <v>307</v>
      </c>
      <c r="C170" s="29" t="s">
        <v>309</v>
      </c>
      <c r="D170" s="30" t="n">
        <v>1</v>
      </c>
      <c r="E170" s="28" t="n">
        <v>0</v>
      </c>
      <c r="F170" s="31" t="n">
        <f aca="false">IF(D170=0,0,E170/D170)</f>
        <v>0</v>
      </c>
      <c r="G170" s="28" t="n">
        <v>0</v>
      </c>
      <c r="H170" s="32" t="n">
        <f aca="false">IF(D170=0,0,G170/D170*1000)</f>
        <v>0</v>
      </c>
      <c r="I170" s="30" t="n">
        <v>39</v>
      </c>
      <c r="J170" s="33" t="n">
        <v>0</v>
      </c>
      <c r="K170" s="34" t="n">
        <v>0</v>
      </c>
      <c r="L170" s="34"/>
      <c r="M170" s="28" t="str">
        <f aca="false">IF(D170&gt;=200,"○","-")</f>
        <v>-</v>
      </c>
    </row>
    <row r="171" customFormat="false" ht="15" hidden="false" customHeight="false" outlineLevel="0" collapsed="false">
      <c r="A171" s="28" t="s">
        <v>18</v>
      </c>
      <c r="B171" s="28" t="s">
        <v>307</v>
      </c>
      <c r="C171" s="29" t="s">
        <v>310</v>
      </c>
      <c r="D171" s="30" t="n">
        <v>11</v>
      </c>
      <c r="E171" s="28" t="n">
        <v>0</v>
      </c>
      <c r="F171" s="31" t="n">
        <f aca="false">IF(D171=0,0,E171/D171)</f>
        <v>0</v>
      </c>
      <c r="G171" s="28" t="n">
        <v>0</v>
      </c>
      <c r="H171" s="32" t="n">
        <f aca="false">IF(D171=0,0,G171/D171*1000)</f>
        <v>0</v>
      </c>
      <c r="I171" s="30" t="n">
        <v>140</v>
      </c>
      <c r="J171" s="33" t="n">
        <v>0.00714285714285714</v>
      </c>
      <c r="K171" s="34" t="n">
        <v>0.4497</v>
      </c>
      <c r="L171" s="34"/>
      <c r="M171" s="28" t="str">
        <f aca="false">IF(D171&gt;=200,"○","-")</f>
        <v>-</v>
      </c>
    </row>
    <row r="172" customFormat="false" ht="15" hidden="false" customHeight="false" outlineLevel="0" collapsed="false">
      <c r="A172" s="28" t="s">
        <v>18</v>
      </c>
      <c r="B172" s="28" t="s">
        <v>311</v>
      </c>
      <c r="C172" s="29" t="s">
        <v>312</v>
      </c>
      <c r="D172" s="30" t="n">
        <v>32</v>
      </c>
      <c r="E172" s="28" t="n">
        <v>-1</v>
      </c>
      <c r="F172" s="31" t="n">
        <f aca="false">IF(D172=0,0,E172/D172)</f>
        <v>-0.03125</v>
      </c>
      <c r="G172" s="28" t="n">
        <v>0</v>
      </c>
      <c r="H172" s="32" t="n">
        <f aca="false">IF(D172=0,0,G172/D172*1000)</f>
        <v>0</v>
      </c>
      <c r="I172" s="30" t="n">
        <v>93</v>
      </c>
      <c r="J172" s="33" t="n">
        <v>0.010752688172043</v>
      </c>
      <c r="K172" s="34" t="n">
        <v>0.5706</v>
      </c>
      <c r="L172" s="34"/>
      <c r="M172" s="28" t="str">
        <f aca="false">IF(D172&gt;=200,"○","-")</f>
        <v>-</v>
      </c>
    </row>
    <row r="173" customFormat="false" ht="15" hidden="false" customHeight="false" outlineLevel="0" collapsed="false">
      <c r="A173" s="28" t="s">
        <v>18</v>
      </c>
      <c r="B173" s="28" t="s">
        <v>311</v>
      </c>
      <c r="C173" s="29" t="s">
        <v>313</v>
      </c>
      <c r="D173" s="30" t="n">
        <v>12</v>
      </c>
      <c r="E173" s="28" t="n">
        <v>0</v>
      </c>
      <c r="F173" s="31" t="n">
        <f aca="false">IF(D173=0,0,E173/D173)</f>
        <v>0</v>
      </c>
      <c r="G173" s="28" t="n">
        <v>0</v>
      </c>
      <c r="H173" s="32" t="n">
        <f aca="false">IF(D173=0,0,G173/D173*1000)</f>
        <v>0</v>
      </c>
      <c r="I173" s="30" t="n">
        <v>50</v>
      </c>
      <c r="J173" s="33" t="n">
        <v>0.06</v>
      </c>
      <c r="K173" s="34" t="n">
        <v>32.3087</v>
      </c>
      <c r="L173" s="34"/>
      <c r="M173" s="28" t="str">
        <f aca="false">IF(D173&gt;=200,"○","-")</f>
        <v>-</v>
      </c>
    </row>
    <row r="174" customFormat="false" ht="15" hidden="false" customHeight="false" outlineLevel="0" collapsed="false">
      <c r="A174" s="28" t="s">
        <v>18</v>
      </c>
      <c r="B174" s="28" t="s">
        <v>311</v>
      </c>
      <c r="C174" s="29" t="s">
        <v>314</v>
      </c>
      <c r="D174" s="30" t="n">
        <v>0</v>
      </c>
      <c r="E174" s="28" t="n">
        <v>0</v>
      </c>
      <c r="F174" s="31" t="n">
        <f aca="false">IF(D174=0,0,E174/D174)</f>
        <v>0</v>
      </c>
      <c r="G174" s="28" t="n">
        <v>0</v>
      </c>
      <c r="H174" s="32" t="n">
        <f aca="false">IF(D174=0,0,G174/D174*1000)</f>
        <v>0</v>
      </c>
      <c r="I174" s="30" t="n">
        <v>11</v>
      </c>
      <c r="J174" s="33" t="n">
        <v>0</v>
      </c>
      <c r="K174" s="34" t="n">
        <v>0</v>
      </c>
      <c r="L174" s="34"/>
      <c r="M174" s="28" t="str">
        <f aca="false">IF(D174&gt;=200,"○","-")</f>
        <v>-</v>
      </c>
    </row>
    <row r="175" customFormat="false" ht="15" hidden="false" customHeight="false" outlineLevel="0" collapsed="false">
      <c r="A175" s="28" t="s">
        <v>18</v>
      </c>
      <c r="B175" s="28" t="s">
        <v>315</v>
      </c>
      <c r="C175" s="29" t="s">
        <v>316</v>
      </c>
      <c r="D175" s="30" t="n">
        <v>1</v>
      </c>
      <c r="E175" s="28" t="n">
        <v>0</v>
      </c>
      <c r="F175" s="31" t="n">
        <f aca="false">IF(D175=0,0,E175/D175)</f>
        <v>0</v>
      </c>
      <c r="G175" s="28" t="n">
        <v>0</v>
      </c>
      <c r="H175" s="32" t="n">
        <f aca="false">IF(D175=0,0,G175/D175*1000)</f>
        <v>0</v>
      </c>
      <c r="I175" s="30" t="n">
        <v>18</v>
      </c>
      <c r="J175" s="33" t="n">
        <v>0</v>
      </c>
      <c r="K175" s="34" t="n">
        <v>0.2857</v>
      </c>
      <c r="L175" s="34" t="n">
        <v>0.20459</v>
      </c>
      <c r="M175" s="28" t="str">
        <f aca="false">IF(D175&gt;=200,"○","-")</f>
        <v>-</v>
      </c>
    </row>
    <row r="176" customFormat="false" ht="15" hidden="false" customHeight="false" outlineLevel="0" collapsed="false">
      <c r="A176" s="28" t="s">
        <v>18</v>
      </c>
      <c r="B176" s="28" t="s">
        <v>317</v>
      </c>
      <c r="C176" s="29" t="s">
        <v>318</v>
      </c>
      <c r="D176" s="30" t="n">
        <v>1</v>
      </c>
      <c r="E176" s="28" t="n">
        <v>0</v>
      </c>
      <c r="F176" s="31" t="n">
        <f aca="false">IF(D176=0,0,E176/D176)</f>
        <v>0</v>
      </c>
      <c r="G176" s="28" t="n">
        <v>0</v>
      </c>
      <c r="H176" s="32" t="n">
        <f aca="false">IF(D176=0,0,G176/D176*1000)</f>
        <v>0</v>
      </c>
      <c r="I176" s="30" t="n">
        <v>17</v>
      </c>
      <c r="J176" s="33" t="n">
        <v>0</v>
      </c>
      <c r="K176" s="34" t="n">
        <v>0.542</v>
      </c>
      <c r="L176" s="34"/>
      <c r="M176" s="28" t="str">
        <f aca="false">IF(D176&gt;=200,"○","-")</f>
        <v>-</v>
      </c>
    </row>
    <row r="177" customFormat="false" ht="15" hidden="false" customHeight="false" outlineLevel="0" collapsed="false">
      <c r="A177" s="28" t="s">
        <v>18</v>
      </c>
      <c r="B177" s="28" t="s">
        <v>319</v>
      </c>
      <c r="C177" s="29" t="s">
        <v>320</v>
      </c>
      <c r="D177" s="30" t="n">
        <v>4</v>
      </c>
      <c r="E177" s="28" t="n">
        <v>0</v>
      </c>
      <c r="F177" s="31" t="n">
        <f aca="false">IF(D177=0,0,E177/D177)</f>
        <v>0</v>
      </c>
      <c r="G177" s="28" t="n">
        <v>0</v>
      </c>
      <c r="H177" s="32" t="n">
        <f aca="false">IF(D177=0,0,G177/D177*1000)</f>
        <v>0</v>
      </c>
      <c r="I177" s="30" t="n">
        <v>25</v>
      </c>
      <c r="J177" s="33" t="n">
        <v>0.04</v>
      </c>
      <c r="K177" s="34" t="n">
        <v>0.5681</v>
      </c>
      <c r="L177" s="34"/>
      <c r="M177" s="28" t="str">
        <f aca="false">IF(D177&gt;=200,"○","-")</f>
        <v>-</v>
      </c>
    </row>
    <row r="178" customFormat="false" ht="15" hidden="false" customHeight="false" outlineLevel="0" collapsed="false">
      <c r="A178" s="7" t="s">
        <v>18</v>
      </c>
      <c r="B178" s="7" t="s">
        <v>321</v>
      </c>
      <c r="C178" s="27" t="s">
        <v>322</v>
      </c>
      <c r="D178" s="8" t="n">
        <v>363</v>
      </c>
      <c r="E178" s="27" t="n">
        <v>4</v>
      </c>
      <c r="F178" s="9" t="n">
        <f aca="false">IF(D178=0,0,E178/D178)</f>
        <v>0.0110192837465565</v>
      </c>
      <c r="G178" s="27" t="n">
        <v>0</v>
      </c>
      <c r="H178" s="10" t="n">
        <f aca="false">IF(D178=0,0,G178/D178*1000)</f>
        <v>0</v>
      </c>
      <c r="I178" s="8" t="n">
        <v>27</v>
      </c>
      <c r="J178" s="25" t="n">
        <v>0</v>
      </c>
      <c r="K178" s="26" t="n">
        <v>0.6548</v>
      </c>
      <c r="L178" s="26" t="n">
        <v>0.24924</v>
      </c>
      <c r="M178" s="27" t="str">
        <f aca="false">IF(D178&gt;=200,"○","-")</f>
        <v>○</v>
      </c>
    </row>
    <row r="179" customFormat="false" ht="15" hidden="false" customHeight="false" outlineLevel="0" collapsed="false">
      <c r="A179" s="7" t="s">
        <v>18</v>
      </c>
      <c r="B179" s="7" t="s">
        <v>321</v>
      </c>
      <c r="C179" s="27" t="s">
        <v>323</v>
      </c>
      <c r="D179" s="8" t="n">
        <v>1244</v>
      </c>
      <c r="E179" s="27" t="n">
        <v>3</v>
      </c>
      <c r="F179" s="9" t="n">
        <f aca="false">IF(D179=0,0,E179/D179)</f>
        <v>0.00241157556270097</v>
      </c>
      <c r="G179" s="27" t="n">
        <v>0</v>
      </c>
      <c r="H179" s="10" t="n">
        <f aca="false">IF(D179=0,0,G179/D179*1000)</f>
        <v>0</v>
      </c>
      <c r="I179" s="8" t="n">
        <v>28</v>
      </c>
      <c r="J179" s="25" t="n">
        <v>0</v>
      </c>
      <c r="K179" s="26" t="n">
        <v>0.5413</v>
      </c>
      <c r="L179" s="26" t="n">
        <v>0.105895</v>
      </c>
      <c r="M179" s="27" t="str">
        <f aca="false">IF(D179&gt;=200,"○","-")</f>
        <v>○</v>
      </c>
    </row>
    <row r="180" customFormat="false" ht="15" hidden="false" customHeight="false" outlineLevel="0" collapsed="false">
      <c r="A180" s="7" t="s">
        <v>18</v>
      </c>
      <c r="B180" s="7" t="s">
        <v>321</v>
      </c>
      <c r="C180" s="27" t="s">
        <v>324</v>
      </c>
      <c r="D180" s="8" t="n">
        <v>208</v>
      </c>
      <c r="E180" s="27" t="n">
        <v>0</v>
      </c>
      <c r="F180" s="9" t="n">
        <f aca="false">IF(D180=0,0,E180/D180)</f>
        <v>0</v>
      </c>
      <c r="G180" s="27" t="n">
        <v>0</v>
      </c>
      <c r="H180" s="10" t="n">
        <f aca="false">IF(D180=0,0,G180/D180*1000)</f>
        <v>0</v>
      </c>
      <c r="I180" s="8" t="n">
        <v>72</v>
      </c>
      <c r="J180" s="25" t="n">
        <v>0</v>
      </c>
      <c r="K180" s="26" t="n">
        <v>0.5619</v>
      </c>
      <c r="L180" s="26" t="n">
        <v>0.155455</v>
      </c>
      <c r="M180" s="27" t="str">
        <f aca="false">IF(D180&gt;=200,"○","-")</f>
        <v>○</v>
      </c>
    </row>
    <row r="181" customFormat="false" ht="15" hidden="false" customHeight="false" outlineLevel="0" collapsed="false">
      <c r="A181" s="28" t="s">
        <v>18</v>
      </c>
      <c r="B181" s="28" t="s">
        <v>325</v>
      </c>
      <c r="C181" s="29" t="s">
        <v>326</v>
      </c>
      <c r="D181" s="30" t="n">
        <v>191</v>
      </c>
      <c r="E181" s="28" t="n">
        <v>0</v>
      </c>
      <c r="F181" s="31" t="n">
        <f aca="false">IF(D181=0,0,E181/D181)</f>
        <v>0</v>
      </c>
      <c r="G181" s="28" t="n">
        <v>0</v>
      </c>
      <c r="H181" s="32" t="n">
        <f aca="false">IF(D181=0,0,G181/D181*1000)</f>
        <v>0</v>
      </c>
      <c r="I181" s="30" t="n">
        <v>22</v>
      </c>
      <c r="J181" s="33" t="n">
        <v>0</v>
      </c>
      <c r="K181" s="34" t="n">
        <v>0.6947</v>
      </c>
      <c r="L181" s="34" t="n">
        <v>0.44267</v>
      </c>
      <c r="M181" s="28" t="str">
        <f aca="false">IF(D181&gt;=200,"○","-")</f>
        <v>-</v>
      </c>
    </row>
    <row r="182" customFormat="false" ht="15" hidden="false" customHeight="false" outlineLevel="0" collapsed="false">
      <c r="A182" s="7" t="s">
        <v>18</v>
      </c>
      <c r="B182" s="7" t="s">
        <v>325</v>
      </c>
      <c r="C182" s="27" t="s">
        <v>327</v>
      </c>
      <c r="D182" s="8" t="n">
        <v>1040</v>
      </c>
      <c r="E182" s="27" t="n">
        <v>6</v>
      </c>
      <c r="F182" s="9" t="n">
        <f aca="false">IF(D182=0,0,E182/D182)</f>
        <v>0.00576923076923077</v>
      </c>
      <c r="G182" s="27" t="n">
        <v>0</v>
      </c>
      <c r="H182" s="10" t="n">
        <f aca="false">IF(D182=0,0,G182/D182*1000)</f>
        <v>0</v>
      </c>
      <c r="I182" s="8" t="n">
        <v>33</v>
      </c>
      <c r="J182" s="25" t="n">
        <v>0.0303030303030303</v>
      </c>
      <c r="K182" s="26" t="n">
        <v>0.3445</v>
      </c>
      <c r="L182" s="26" t="n">
        <v>0.065955</v>
      </c>
      <c r="M182" s="27" t="str">
        <f aca="false">IF(D182&gt;=200,"○","-")</f>
        <v>○</v>
      </c>
    </row>
    <row r="183" customFormat="false" ht="15" hidden="false" customHeight="false" outlineLevel="0" collapsed="false">
      <c r="A183" s="7" t="s">
        <v>18</v>
      </c>
      <c r="B183" s="7" t="s">
        <v>328</v>
      </c>
      <c r="C183" s="27" t="s">
        <v>329</v>
      </c>
      <c r="D183" s="8" t="n">
        <v>1279</v>
      </c>
      <c r="E183" s="27" t="n">
        <v>2</v>
      </c>
      <c r="F183" s="9" t="n">
        <f aca="false">IF(D183=0,0,E183/D183)</f>
        <v>0.00156372165754496</v>
      </c>
      <c r="G183" s="27" t="n">
        <v>0</v>
      </c>
      <c r="H183" s="10" t="n">
        <f aca="false">IF(D183=0,0,G183/D183*1000)</f>
        <v>0</v>
      </c>
      <c r="I183" s="8" t="n">
        <v>56</v>
      </c>
      <c r="J183" s="25" t="n">
        <v>0</v>
      </c>
      <c r="K183" s="26" t="n">
        <v>0.4059</v>
      </c>
      <c r="L183" s="26" t="n">
        <v>0.12564</v>
      </c>
      <c r="M183" s="27" t="str">
        <f aca="false">IF(D183&gt;=200,"○","-")</f>
        <v>○</v>
      </c>
    </row>
    <row r="184" customFormat="false" ht="15" hidden="false" customHeight="false" outlineLevel="0" collapsed="false">
      <c r="A184" s="7" t="s">
        <v>18</v>
      </c>
      <c r="B184" s="7" t="s">
        <v>330</v>
      </c>
      <c r="C184" s="27" t="s">
        <v>331</v>
      </c>
      <c r="D184" s="8" t="n">
        <v>833</v>
      </c>
      <c r="E184" s="27" t="n">
        <v>4</v>
      </c>
      <c r="F184" s="9" t="n">
        <f aca="false">IF(D184=0,0,E184/D184)</f>
        <v>0.00480192076830732</v>
      </c>
      <c r="G184" s="27" t="n">
        <v>1</v>
      </c>
      <c r="H184" s="10" t="n">
        <f aca="false">IF(D184=0,0,G184/D184*1000)</f>
        <v>1.20048019207683</v>
      </c>
      <c r="I184" s="8" t="n">
        <v>86</v>
      </c>
      <c r="J184" s="25" t="n">
        <v>0</v>
      </c>
      <c r="K184" s="26" t="n">
        <v>0.5152</v>
      </c>
      <c r="L184" s="26"/>
      <c r="M184" s="27" t="str">
        <f aca="false">IF(D184&gt;=200,"○","-")</f>
        <v>○</v>
      </c>
    </row>
    <row r="185" customFormat="false" ht="15" hidden="false" customHeight="false" outlineLevel="0" collapsed="false">
      <c r="A185" s="7" t="s">
        <v>18</v>
      </c>
      <c r="B185" s="7" t="s">
        <v>330</v>
      </c>
      <c r="C185" s="27" t="s">
        <v>332</v>
      </c>
      <c r="D185" s="8" t="n">
        <v>820</v>
      </c>
      <c r="E185" s="27" t="n">
        <v>1</v>
      </c>
      <c r="F185" s="9" t="n">
        <f aca="false">IF(D185=0,0,E185/D185)</f>
        <v>0.00121951219512195</v>
      </c>
      <c r="G185" s="27" t="n">
        <v>2</v>
      </c>
      <c r="H185" s="10" t="n">
        <f aca="false">IF(D185=0,0,G185/D185*1000)</f>
        <v>2.4390243902439</v>
      </c>
      <c r="I185" s="8" t="n">
        <v>40</v>
      </c>
      <c r="J185" s="25" t="n">
        <v>0.05</v>
      </c>
      <c r="K185" s="26" t="n">
        <v>0.3677</v>
      </c>
      <c r="L185" s="26"/>
      <c r="M185" s="27" t="str">
        <f aca="false">IF(D185&gt;=200,"○","-")</f>
        <v>○</v>
      </c>
    </row>
    <row r="186" customFormat="false" ht="15" hidden="false" customHeight="false" outlineLevel="0" collapsed="false">
      <c r="A186" s="7" t="s">
        <v>18</v>
      </c>
      <c r="B186" s="7" t="s">
        <v>330</v>
      </c>
      <c r="C186" s="27" t="s">
        <v>333</v>
      </c>
      <c r="D186" s="8" t="n">
        <v>1054</v>
      </c>
      <c r="E186" s="27" t="n">
        <v>2</v>
      </c>
      <c r="F186" s="9" t="n">
        <f aca="false">IF(D186=0,0,E186/D186)</f>
        <v>0.00189753320683112</v>
      </c>
      <c r="G186" s="27" t="n">
        <v>0</v>
      </c>
      <c r="H186" s="10" t="n">
        <f aca="false">IF(D186=0,0,G186/D186*1000)</f>
        <v>0</v>
      </c>
      <c r="I186" s="8" t="n">
        <v>20</v>
      </c>
      <c r="J186" s="25" t="n">
        <v>0</v>
      </c>
      <c r="K186" s="26" t="n">
        <v>0.5596</v>
      </c>
      <c r="L186" s="26" t="n">
        <v>0.299655</v>
      </c>
      <c r="M186" s="27" t="str">
        <f aca="false">IF(D186&gt;=200,"○","-")</f>
        <v>○</v>
      </c>
    </row>
    <row r="187" customFormat="false" ht="15" hidden="false" customHeight="false" outlineLevel="0" collapsed="false">
      <c r="A187" s="7" t="s">
        <v>18</v>
      </c>
      <c r="B187" s="7" t="s">
        <v>334</v>
      </c>
      <c r="C187" s="27" t="s">
        <v>335</v>
      </c>
      <c r="D187" s="8" t="n">
        <v>1169</v>
      </c>
      <c r="E187" s="27" t="n">
        <v>2</v>
      </c>
      <c r="F187" s="9" t="n">
        <f aca="false">IF(D187=0,0,E187/D187)</f>
        <v>0.00171086398631309</v>
      </c>
      <c r="G187" s="27" t="n">
        <v>0</v>
      </c>
      <c r="H187" s="10" t="n">
        <f aca="false">IF(D187=0,0,G187/D187*1000)</f>
        <v>0</v>
      </c>
      <c r="I187" s="8" t="n">
        <v>47</v>
      </c>
      <c r="J187" s="25" t="n">
        <v>0</v>
      </c>
      <c r="K187" s="26" t="n">
        <v>0.6311</v>
      </c>
      <c r="L187" s="26" t="n">
        <v>0.26742</v>
      </c>
      <c r="M187" s="27" t="str">
        <f aca="false">IF(D187&gt;=200,"○","-")</f>
        <v>○</v>
      </c>
    </row>
    <row r="188" customFormat="false" ht="15" hidden="false" customHeight="false" outlineLevel="0" collapsed="false">
      <c r="A188" s="7" t="s">
        <v>18</v>
      </c>
      <c r="B188" s="7" t="s">
        <v>334</v>
      </c>
      <c r="C188" s="27" t="s">
        <v>336</v>
      </c>
      <c r="D188" s="8" t="n">
        <v>1078</v>
      </c>
      <c r="E188" s="27" t="n">
        <v>4</v>
      </c>
      <c r="F188" s="9" t="n">
        <f aca="false">IF(D188=0,0,E188/D188)</f>
        <v>0.00371057513914657</v>
      </c>
      <c r="G188" s="27" t="n">
        <v>0</v>
      </c>
      <c r="H188" s="10" t="n">
        <f aca="false">IF(D188=0,0,G188/D188*1000)</f>
        <v>0</v>
      </c>
      <c r="I188" s="8" t="n">
        <v>21</v>
      </c>
      <c r="J188" s="25" t="n">
        <v>0</v>
      </c>
      <c r="K188" s="26" t="n">
        <v>0.7673</v>
      </c>
      <c r="L188" s="26" t="n">
        <v>0.44296</v>
      </c>
      <c r="M188" s="27" t="str">
        <f aca="false">IF(D188&gt;=200,"○","-")</f>
        <v>○</v>
      </c>
    </row>
    <row r="189" customFormat="false" ht="15" hidden="false" customHeight="false" outlineLevel="0" collapsed="false">
      <c r="A189" s="7" t="s">
        <v>18</v>
      </c>
      <c r="B189" s="7" t="s">
        <v>334</v>
      </c>
      <c r="C189" s="27" t="s">
        <v>337</v>
      </c>
      <c r="D189" s="8" t="n">
        <v>964</v>
      </c>
      <c r="E189" s="27" t="n">
        <v>8</v>
      </c>
      <c r="F189" s="9" t="n">
        <f aca="false">IF(D189=0,0,E189/D189)</f>
        <v>0.00829875518672199</v>
      </c>
      <c r="G189" s="27" t="n">
        <v>1</v>
      </c>
      <c r="H189" s="10" t="n">
        <f aca="false">IF(D189=0,0,G189/D189*1000)</f>
        <v>1.03734439834025</v>
      </c>
      <c r="I189" s="8" t="n">
        <v>27</v>
      </c>
      <c r="J189" s="25" t="n">
        <v>0</v>
      </c>
      <c r="K189" s="26" t="n">
        <v>0.496</v>
      </c>
      <c r="L189" s="26" t="n">
        <v>0.153865</v>
      </c>
      <c r="M189" s="27" t="str">
        <f aca="false">IF(D189&gt;=200,"○","-")</f>
        <v>○</v>
      </c>
    </row>
    <row r="190" customFormat="false" ht="15" hidden="false" customHeight="false" outlineLevel="0" collapsed="false">
      <c r="A190" s="7" t="s">
        <v>18</v>
      </c>
      <c r="B190" s="7" t="s">
        <v>338</v>
      </c>
      <c r="C190" s="27" t="s">
        <v>339</v>
      </c>
      <c r="D190" s="8" t="n">
        <v>1198</v>
      </c>
      <c r="E190" s="27" t="n">
        <v>1</v>
      </c>
      <c r="F190" s="9" t="n">
        <f aca="false">IF(D190=0,0,E190/D190)</f>
        <v>0.000834724540901503</v>
      </c>
      <c r="G190" s="27" t="n">
        <v>0</v>
      </c>
      <c r="H190" s="10" t="n">
        <f aca="false">IF(D190=0,0,G190/D190*1000)</f>
        <v>0</v>
      </c>
      <c r="I190" s="8" t="n">
        <v>80</v>
      </c>
      <c r="J190" s="25" t="n">
        <v>0</v>
      </c>
      <c r="K190" s="26" t="n">
        <v>0.6033</v>
      </c>
      <c r="L190" s="26" t="n">
        <v>0.2774</v>
      </c>
      <c r="M190" s="27" t="str">
        <f aca="false">IF(D190&gt;=200,"○","-")</f>
        <v>○</v>
      </c>
    </row>
    <row r="191" customFormat="false" ht="15" hidden="false" customHeight="false" outlineLevel="0" collapsed="false">
      <c r="A191" s="7" t="s">
        <v>18</v>
      </c>
      <c r="B191" s="7" t="s">
        <v>338</v>
      </c>
      <c r="C191" s="27" t="s">
        <v>340</v>
      </c>
      <c r="D191" s="8" t="n">
        <v>991</v>
      </c>
      <c r="E191" s="27" t="n">
        <v>3</v>
      </c>
      <c r="F191" s="9" t="n">
        <f aca="false">IF(D191=0,0,E191/D191)</f>
        <v>0.00302724520686176</v>
      </c>
      <c r="G191" s="27" t="n">
        <v>0</v>
      </c>
      <c r="H191" s="10" t="n">
        <f aca="false">IF(D191=0,0,G191/D191*1000)</f>
        <v>0</v>
      </c>
      <c r="I191" s="8" t="n">
        <v>24</v>
      </c>
      <c r="J191" s="25" t="n">
        <v>0</v>
      </c>
      <c r="K191" s="26" t="n">
        <v>0.3509</v>
      </c>
      <c r="L191" s="26" t="n">
        <v>0.068965</v>
      </c>
      <c r="M191" s="27" t="str">
        <f aca="false">IF(D191&gt;=200,"○","-")</f>
        <v>○</v>
      </c>
    </row>
    <row r="192" customFormat="false" ht="15" hidden="false" customHeight="false" outlineLevel="0" collapsed="false">
      <c r="A192" s="7" t="s">
        <v>18</v>
      </c>
      <c r="B192" s="7" t="s">
        <v>338</v>
      </c>
      <c r="C192" s="27" t="s">
        <v>341</v>
      </c>
      <c r="D192" s="8" t="n">
        <v>1133</v>
      </c>
      <c r="E192" s="27" t="n">
        <v>5</v>
      </c>
      <c r="F192" s="9" t="n">
        <f aca="false">IF(D192=0,0,E192/D192)</f>
        <v>0.00441306266548985</v>
      </c>
      <c r="G192" s="27" t="n">
        <v>1</v>
      </c>
      <c r="H192" s="10" t="n">
        <f aca="false">IF(D192=0,0,G192/D192*1000)</f>
        <v>0.88261253309797</v>
      </c>
      <c r="I192" s="8" t="n">
        <v>14</v>
      </c>
      <c r="J192" s="25" t="n">
        <v>0.0714285714285714</v>
      </c>
      <c r="K192" s="26" t="n">
        <v>0.6233</v>
      </c>
      <c r="L192" s="26" t="n">
        <v>0.307715</v>
      </c>
      <c r="M192" s="27" t="str">
        <f aca="false">IF(D192&gt;=200,"○","-")</f>
        <v>○</v>
      </c>
    </row>
    <row r="193" customFormat="false" ht="15" hidden="false" customHeight="false" outlineLevel="0" collapsed="false">
      <c r="A193" s="7" t="s">
        <v>18</v>
      </c>
      <c r="B193" s="7" t="s">
        <v>342</v>
      </c>
      <c r="C193" s="27" t="s">
        <v>343</v>
      </c>
      <c r="D193" s="8" t="n">
        <v>293</v>
      </c>
      <c r="E193" s="27" t="n">
        <v>0</v>
      </c>
      <c r="F193" s="9" t="n">
        <f aca="false">IF(D193=0,0,E193/D193)</f>
        <v>0</v>
      </c>
      <c r="G193" s="27" t="n">
        <v>0</v>
      </c>
      <c r="H193" s="10" t="n">
        <f aca="false">IF(D193=0,0,G193/D193*1000)</f>
        <v>0</v>
      </c>
      <c r="I193" s="8" t="n">
        <v>14</v>
      </c>
      <c r="J193" s="25" t="n">
        <v>0</v>
      </c>
      <c r="K193" s="26" t="n">
        <v>5.8766</v>
      </c>
      <c r="L193" s="26" t="n">
        <v>5.41572</v>
      </c>
      <c r="M193" s="27" t="str">
        <f aca="false">IF(D193&gt;=200,"○","-")</f>
        <v>○</v>
      </c>
    </row>
    <row r="194" customFormat="false" ht="15" hidden="false" customHeight="false" outlineLevel="0" collapsed="false">
      <c r="A194" s="7" t="s">
        <v>18</v>
      </c>
      <c r="B194" s="7" t="s">
        <v>342</v>
      </c>
      <c r="C194" s="27" t="s">
        <v>344</v>
      </c>
      <c r="D194" s="8" t="n">
        <v>894</v>
      </c>
      <c r="E194" s="27" t="n">
        <v>2</v>
      </c>
      <c r="F194" s="9" t="n">
        <f aca="false">IF(D194=0,0,E194/D194)</f>
        <v>0.00223713646532438</v>
      </c>
      <c r="G194" s="27" t="n">
        <v>3</v>
      </c>
      <c r="H194" s="10" t="n">
        <f aca="false">IF(D194=0,0,G194/D194*1000)</f>
        <v>3.35570469798658</v>
      </c>
      <c r="I194" s="8" t="n">
        <v>18</v>
      </c>
      <c r="J194" s="25" t="n">
        <v>0</v>
      </c>
      <c r="K194" s="26" t="n">
        <v>0.7735</v>
      </c>
      <c r="L194" s="26" t="n">
        <v>0.391515</v>
      </c>
      <c r="M194" s="27" t="str">
        <f aca="false">IF(D194&gt;=200,"○","-")</f>
        <v>○</v>
      </c>
    </row>
    <row r="195" customFormat="false" ht="15" hidden="false" customHeight="false" outlineLevel="0" collapsed="false">
      <c r="A195" s="7" t="s">
        <v>18</v>
      </c>
      <c r="B195" s="7" t="s">
        <v>76</v>
      </c>
      <c r="C195" s="7" t="s">
        <v>345</v>
      </c>
      <c r="D195" s="8" t="n">
        <v>977</v>
      </c>
      <c r="E195" s="27" t="n">
        <v>3</v>
      </c>
      <c r="F195" s="9" t="n">
        <f aca="false">IF(D195=0,0,E195/D195)</f>
        <v>0.00307062436028659</v>
      </c>
      <c r="G195" s="27" t="n">
        <v>0</v>
      </c>
      <c r="H195" s="10" t="n">
        <f aca="false">IF(D195=0,0,G195/D195*1000)</f>
        <v>0</v>
      </c>
      <c r="I195" s="8" t="n">
        <v>39</v>
      </c>
      <c r="J195" s="25" t="n">
        <v>0.0256410256410256</v>
      </c>
      <c r="K195" s="26" t="n">
        <v>0.4636</v>
      </c>
      <c r="L195" s="26" t="n">
        <v>0.1646</v>
      </c>
      <c r="M195" s="27" t="str">
        <f aca="false">IF(D195&gt;=200,"○","-")</f>
        <v>○</v>
      </c>
    </row>
    <row r="196" customFormat="false" ht="15" hidden="false" customHeight="false" outlineLevel="0" collapsed="false">
      <c r="A196" s="7" t="s">
        <v>18</v>
      </c>
      <c r="B196" s="7" t="s">
        <v>76</v>
      </c>
      <c r="C196" s="27" t="s">
        <v>346</v>
      </c>
      <c r="D196" s="8" t="n">
        <v>939</v>
      </c>
      <c r="E196" s="27" t="n">
        <v>4</v>
      </c>
      <c r="F196" s="9" t="n">
        <f aca="false">IF(D196=0,0,E196/D196)</f>
        <v>0.00425985090521832</v>
      </c>
      <c r="G196" s="27" t="n">
        <v>1</v>
      </c>
      <c r="H196" s="10" t="n">
        <f aca="false">IF(D196=0,0,G196/D196*1000)</f>
        <v>1.06496272630458</v>
      </c>
      <c r="I196" s="8" t="n">
        <v>45</v>
      </c>
      <c r="J196" s="25" t="n">
        <v>0.0222222222222222</v>
      </c>
      <c r="K196" s="26" t="n">
        <v>0.3608</v>
      </c>
      <c r="L196" s="26" t="n">
        <v>0.074495</v>
      </c>
      <c r="M196" s="27" t="str">
        <f aca="false">IF(D196&gt;=200,"○","-")</f>
        <v>○</v>
      </c>
    </row>
    <row r="197" customFormat="false" ht="15" hidden="false" customHeight="false" outlineLevel="0" collapsed="false">
      <c r="A197" s="7" t="s">
        <v>18</v>
      </c>
      <c r="B197" s="7" t="s">
        <v>76</v>
      </c>
      <c r="C197" s="27" t="s">
        <v>347</v>
      </c>
      <c r="D197" s="8" t="n">
        <v>1044</v>
      </c>
      <c r="E197" s="27" t="n">
        <v>6</v>
      </c>
      <c r="F197" s="9" t="n">
        <f aca="false">IF(D197=0,0,E197/D197)</f>
        <v>0.00574712643678161</v>
      </c>
      <c r="G197" s="27" t="n">
        <v>0</v>
      </c>
      <c r="H197" s="10" t="n">
        <f aca="false">IF(D197=0,0,G197/D197*1000)</f>
        <v>0</v>
      </c>
      <c r="I197" s="8" t="n">
        <v>20</v>
      </c>
      <c r="J197" s="25" t="n">
        <v>0</v>
      </c>
      <c r="K197" s="26" t="n">
        <v>0.4684</v>
      </c>
      <c r="L197" s="26" t="n">
        <v>0.135495</v>
      </c>
      <c r="M197" s="27" t="str">
        <f aca="false">IF(D197&gt;=200,"○","-")</f>
        <v>○</v>
      </c>
    </row>
    <row r="198" customFormat="false" ht="15" hidden="false" customHeight="false" outlineLevel="0" collapsed="false">
      <c r="A198" s="7" t="s">
        <v>18</v>
      </c>
      <c r="B198" s="7" t="s">
        <v>348</v>
      </c>
      <c r="C198" s="27" t="s">
        <v>349</v>
      </c>
      <c r="D198" s="8" t="n">
        <v>1036</v>
      </c>
      <c r="E198" s="27" t="n">
        <v>4</v>
      </c>
      <c r="F198" s="9" t="n">
        <f aca="false">IF(D198=0,0,E198/D198)</f>
        <v>0.00386100386100386</v>
      </c>
      <c r="G198" s="27" t="n">
        <v>0</v>
      </c>
      <c r="H198" s="10" t="n">
        <f aca="false">IF(D198=0,0,G198/D198*1000)</f>
        <v>0</v>
      </c>
      <c r="I198" s="8" t="n">
        <v>99</v>
      </c>
      <c r="J198" s="25" t="n">
        <v>0.0404040404040404</v>
      </c>
      <c r="K198" s="26" t="n">
        <v>0.4433</v>
      </c>
      <c r="L198" s="26" t="n">
        <v>0.156555</v>
      </c>
      <c r="M198" s="27" t="str">
        <f aca="false">IF(D198&gt;=200,"○","-")</f>
        <v>○</v>
      </c>
    </row>
    <row r="199" customFormat="false" ht="15" hidden="false" customHeight="false" outlineLevel="0" collapsed="false">
      <c r="A199" s="7" t="s">
        <v>18</v>
      </c>
      <c r="B199" s="7" t="s">
        <v>348</v>
      </c>
      <c r="C199" s="27" t="s">
        <v>350</v>
      </c>
      <c r="D199" s="8" t="n">
        <v>803</v>
      </c>
      <c r="E199" s="27" t="n">
        <v>1</v>
      </c>
      <c r="F199" s="9" t="n">
        <f aca="false">IF(D199=0,0,E199/D199)</f>
        <v>0.0012453300124533</v>
      </c>
      <c r="G199" s="27" t="n">
        <v>0</v>
      </c>
      <c r="H199" s="10" t="n">
        <f aca="false">IF(D199=0,0,G199/D199*1000)</f>
        <v>0</v>
      </c>
      <c r="I199" s="8" t="n">
        <v>62</v>
      </c>
      <c r="J199" s="25" t="n">
        <v>0.032258064516129</v>
      </c>
      <c r="K199" s="26" t="n">
        <v>0.3665</v>
      </c>
      <c r="L199" s="26" t="n">
        <v>0.079215</v>
      </c>
      <c r="M199" s="27" t="str">
        <f aca="false">IF(D199&gt;=200,"○","-")</f>
        <v>○</v>
      </c>
    </row>
    <row r="200" customFormat="false" ht="15" hidden="false" customHeight="false" outlineLevel="0" collapsed="false">
      <c r="A200" s="7" t="s">
        <v>18</v>
      </c>
      <c r="B200" s="7" t="s">
        <v>348</v>
      </c>
      <c r="C200" s="27" t="s">
        <v>351</v>
      </c>
      <c r="D200" s="8" t="n">
        <v>779</v>
      </c>
      <c r="E200" s="27" t="n">
        <v>4</v>
      </c>
      <c r="F200" s="9" t="n">
        <f aca="false">IF(D200=0,0,E200/D200)</f>
        <v>0.00513478818998716</v>
      </c>
      <c r="G200" s="27" t="n">
        <v>0</v>
      </c>
      <c r="H200" s="10" t="n">
        <f aca="false">IF(D200=0,0,G200/D200*1000)</f>
        <v>0</v>
      </c>
      <c r="I200" s="8" t="n">
        <v>52</v>
      </c>
      <c r="J200" s="25" t="n">
        <v>0.0192307692307692</v>
      </c>
      <c r="K200" s="26" t="n">
        <v>0.5353</v>
      </c>
      <c r="L200" s="26" t="n">
        <v>0.152515</v>
      </c>
      <c r="M200" s="27" t="str">
        <f aca="false">IF(D200&gt;=200,"○","-")</f>
        <v>○</v>
      </c>
    </row>
    <row r="201" customFormat="false" ht="15" hidden="false" customHeight="false" outlineLevel="0" collapsed="false">
      <c r="A201" s="7" t="s">
        <v>18</v>
      </c>
      <c r="B201" s="7" t="s">
        <v>352</v>
      </c>
      <c r="C201" s="27" t="s">
        <v>353</v>
      </c>
      <c r="D201" s="8" t="n">
        <v>857</v>
      </c>
      <c r="E201" s="27" t="n">
        <v>4</v>
      </c>
      <c r="F201" s="9" t="n">
        <f aca="false">IF(D201=0,0,E201/D201)</f>
        <v>0.00466744457409568</v>
      </c>
      <c r="G201" s="27" t="n">
        <v>0</v>
      </c>
      <c r="H201" s="10" t="n">
        <f aca="false">IF(D201=0,0,G201/D201*1000)</f>
        <v>0</v>
      </c>
      <c r="I201" s="8" t="n">
        <v>23</v>
      </c>
      <c r="J201" s="25" t="n">
        <v>0</v>
      </c>
      <c r="K201" s="26" t="n">
        <v>0.4779</v>
      </c>
      <c r="L201" s="26" t="n">
        <v>0.1584</v>
      </c>
      <c r="M201" s="27" t="str">
        <f aca="false">IF(D201&gt;=200,"○","-")</f>
        <v>○</v>
      </c>
    </row>
    <row r="202" customFormat="false" ht="15" hidden="false" customHeight="false" outlineLevel="0" collapsed="false">
      <c r="A202" s="7" t="s">
        <v>18</v>
      </c>
      <c r="B202" s="7" t="s">
        <v>354</v>
      </c>
      <c r="C202" s="27" t="s">
        <v>355</v>
      </c>
      <c r="D202" s="8" t="n">
        <v>1065</v>
      </c>
      <c r="E202" s="27" t="n">
        <v>4</v>
      </c>
      <c r="F202" s="9" t="n">
        <f aca="false">IF(D202=0,0,E202/D202)</f>
        <v>0.00375586854460094</v>
      </c>
      <c r="G202" s="27" t="n">
        <v>1</v>
      </c>
      <c r="H202" s="10" t="n">
        <f aca="false">IF(D202=0,0,G202/D202*1000)</f>
        <v>0.938967136150235</v>
      </c>
      <c r="I202" s="8" t="n">
        <v>21</v>
      </c>
      <c r="J202" s="25" t="n">
        <v>0</v>
      </c>
      <c r="K202" s="26" t="n">
        <v>0.5587</v>
      </c>
      <c r="L202" s="26" t="n">
        <v>0.165315</v>
      </c>
      <c r="M202" s="27" t="str">
        <f aca="false">IF(D202&gt;=200,"○","-")</f>
        <v>○</v>
      </c>
    </row>
    <row r="203" customFormat="false" ht="15" hidden="false" customHeight="false" outlineLevel="0" collapsed="false">
      <c r="A203" s="7" t="s">
        <v>18</v>
      </c>
      <c r="B203" s="7" t="s">
        <v>78</v>
      </c>
      <c r="C203" s="27" t="s">
        <v>356</v>
      </c>
      <c r="D203" s="8" t="n">
        <v>756</v>
      </c>
      <c r="E203" s="27" t="n">
        <v>2</v>
      </c>
      <c r="F203" s="9" t="n">
        <f aca="false">IF(D203=0,0,E203/D203)</f>
        <v>0.00264550264550265</v>
      </c>
      <c r="G203" s="27" t="n">
        <v>0</v>
      </c>
      <c r="H203" s="10" t="n">
        <f aca="false">IF(D203=0,0,G203/D203*1000)</f>
        <v>0</v>
      </c>
      <c r="I203" s="8" t="n">
        <v>28</v>
      </c>
      <c r="J203" s="25" t="n">
        <v>0.0357142857142857</v>
      </c>
      <c r="K203" s="26" t="n">
        <v>0.4287</v>
      </c>
      <c r="L203" s="26" t="n">
        <v>0.097905</v>
      </c>
      <c r="M203" s="27" t="str">
        <f aca="false">IF(D203&gt;=200,"○","-")</f>
        <v>○</v>
      </c>
    </row>
    <row r="204" customFormat="false" ht="15" hidden="false" customHeight="false" outlineLevel="0" collapsed="false">
      <c r="A204" s="7" t="s">
        <v>18</v>
      </c>
      <c r="B204" s="7" t="s">
        <v>81</v>
      </c>
      <c r="C204" s="27" t="s">
        <v>357</v>
      </c>
      <c r="D204" s="8" t="n">
        <v>1103</v>
      </c>
      <c r="E204" s="27" t="n">
        <v>3</v>
      </c>
      <c r="F204" s="9" t="n">
        <f aca="false">IF(D204=0,0,E204/D204)</f>
        <v>0.00271985494106981</v>
      </c>
      <c r="G204" s="27" t="n">
        <v>0</v>
      </c>
      <c r="H204" s="10" t="n">
        <f aca="false">IF(D204=0,0,G204/D204*1000)</f>
        <v>0</v>
      </c>
      <c r="I204" s="8" t="n">
        <v>45</v>
      </c>
      <c r="J204" s="25" t="n">
        <v>0</v>
      </c>
      <c r="K204" s="26" t="n">
        <v>0.3544</v>
      </c>
      <c r="L204" s="26" t="n">
        <v>0.03363</v>
      </c>
      <c r="M204" s="27" t="str">
        <f aca="false">IF(D204&gt;=200,"○","-")</f>
        <v>○</v>
      </c>
    </row>
    <row r="205" customFormat="false" ht="15" hidden="false" customHeight="false" outlineLevel="0" collapsed="false">
      <c r="A205" s="7" t="s">
        <v>18</v>
      </c>
      <c r="B205" s="7" t="s">
        <v>84</v>
      </c>
      <c r="C205" s="27" t="s">
        <v>358</v>
      </c>
      <c r="D205" s="8" t="n">
        <v>216</v>
      </c>
      <c r="E205" s="27" t="n">
        <v>0</v>
      </c>
      <c r="F205" s="9" t="n">
        <f aca="false">IF(D205=0,0,E205/D205)</f>
        <v>0</v>
      </c>
      <c r="G205" s="27" t="n">
        <v>0</v>
      </c>
      <c r="H205" s="10" t="n">
        <f aca="false">IF(D205=0,0,G205/D205*1000)</f>
        <v>0</v>
      </c>
      <c r="I205" s="8" t="n">
        <v>13</v>
      </c>
      <c r="J205" s="25" t="n">
        <v>0</v>
      </c>
      <c r="K205" s="26" t="n">
        <v>0.5599</v>
      </c>
      <c r="L205" s="26" t="n">
        <v>0.2286</v>
      </c>
      <c r="M205" s="27" t="str">
        <f aca="false">IF(D205&gt;=200,"○","-")</f>
        <v>○</v>
      </c>
    </row>
    <row r="206" customFormat="false" ht="15" hidden="false" customHeight="false" outlineLevel="0" collapsed="false">
      <c r="A206" s="7" t="s">
        <v>18</v>
      </c>
      <c r="B206" s="7" t="s">
        <v>89</v>
      </c>
      <c r="C206" s="27" t="s">
        <v>359</v>
      </c>
      <c r="D206" s="8" t="n">
        <v>374</v>
      </c>
      <c r="E206" s="27" t="n">
        <v>2</v>
      </c>
      <c r="F206" s="9" t="n">
        <f aca="false">IF(D206=0,0,E206/D206)</f>
        <v>0.0053475935828877</v>
      </c>
      <c r="G206" s="27" t="n">
        <v>0</v>
      </c>
      <c r="H206" s="10" t="n">
        <f aca="false">IF(D206=0,0,G206/D206*1000)</f>
        <v>0</v>
      </c>
      <c r="I206" s="8" t="n">
        <v>21</v>
      </c>
      <c r="J206" s="25" t="n">
        <v>0</v>
      </c>
      <c r="K206" s="26" t="n">
        <v>0.5366</v>
      </c>
      <c r="L206" s="26" t="n">
        <v>0.179</v>
      </c>
      <c r="M206" s="27" t="str">
        <f aca="false">IF(D206&gt;=200,"○","-")</f>
        <v>○</v>
      </c>
    </row>
    <row r="207" customFormat="false" ht="15" hidden="false" customHeight="false" outlineLevel="0" collapsed="false">
      <c r="A207" s="7" t="s">
        <v>18</v>
      </c>
      <c r="B207" s="7" t="s">
        <v>89</v>
      </c>
      <c r="C207" s="27" t="s">
        <v>360</v>
      </c>
      <c r="D207" s="8" t="n">
        <v>631</v>
      </c>
      <c r="E207" s="27" t="n">
        <v>1</v>
      </c>
      <c r="F207" s="9" t="n">
        <f aca="false">IF(D207=0,0,E207/D207)</f>
        <v>0.00158478605388273</v>
      </c>
      <c r="G207" s="27" t="n">
        <v>0</v>
      </c>
      <c r="H207" s="10" t="n">
        <f aca="false">IF(D207=0,0,G207/D207*1000)</f>
        <v>0</v>
      </c>
      <c r="I207" s="8" t="n">
        <v>26</v>
      </c>
      <c r="J207" s="25" t="n">
        <v>0</v>
      </c>
      <c r="K207" s="26" t="n">
        <v>0.4345</v>
      </c>
      <c r="L207" s="26" t="n">
        <v>0.107695</v>
      </c>
      <c r="M207" s="27" t="str">
        <f aca="false">IF(D207&gt;=200,"○","-")</f>
        <v>○</v>
      </c>
    </row>
    <row r="208" customFormat="false" ht="15" hidden="false" customHeight="false" outlineLevel="0" collapsed="false">
      <c r="A208" s="7" t="s">
        <v>18</v>
      </c>
      <c r="B208" s="7" t="s">
        <v>95</v>
      </c>
      <c r="C208" s="27" t="s">
        <v>361</v>
      </c>
      <c r="D208" s="8" t="n">
        <v>1071</v>
      </c>
      <c r="E208" s="27" t="n">
        <v>3</v>
      </c>
      <c r="F208" s="9" t="n">
        <f aca="false">IF(D208=0,0,E208/D208)</f>
        <v>0.00280112044817927</v>
      </c>
      <c r="G208" s="27" t="n">
        <v>1</v>
      </c>
      <c r="H208" s="10" t="n">
        <f aca="false">IF(D208=0,0,G208/D208*1000)</f>
        <v>0.933706816059757</v>
      </c>
      <c r="I208" s="8" t="n">
        <v>29</v>
      </c>
      <c r="J208" s="25" t="n">
        <v>0.0344827586206897</v>
      </c>
      <c r="K208" s="26" t="n">
        <v>0.5303</v>
      </c>
      <c r="L208" s="26" t="n">
        <v>0.17809</v>
      </c>
      <c r="M208" s="27" t="str">
        <f aca="false">IF(D208&gt;=200,"○","-")</f>
        <v>○</v>
      </c>
    </row>
    <row r="209" customFormat="false" ht="15" hidden="false" customHeight="false" outlineLevel="0" collapsed="false">
      <c r="A209" s="7" t="s">
        <v>18</v>
      </c>
      <c r="B209" s="7" t="s">
        <v>98</v>
      </c>
      <c r="C209" s="27" t="s">
        <v>362</v>
      </c>
      <c r="D209" s="8" t="n">
        <v>1039</v>
      </c>
      <c r="E209" s="27" t="n">
        <v>3</v>
      </c>
      <c r="F209" s="9" t="n">
        <f aca="false">IF(D209=0,0,E209/D209)</f>
        <v>0.00288739172281039</v>
      </c>
      <c r="G209" s="27" t="n">
        <v>0</v>
      </c>
      <c r="H209" s="10" t="n">
        <f aca="false">IF(D209=0,0,G209/D209*1000)</f>
        <v>0</v>
      </c>
      <c r="I209" s="8" t="n">
        <v>30</v>
      </c>
      <c r="J209" s="25" t="n">
        <v>0</v>
      </c>
      <c r="K209" s="26" t="n">
        <v>0.2984</v>
      </c>
      <c r="L209" s="26" t="n">
        <v>0.03624</v>
      </c>
      <c r="M209" s="27" t="str">
        <f aca="false">IF(D209&gt;=200,"○","-")</f>
        <v>○</v>
      </c>
    </row>
    <row r="210" customFormat="false" ht="15" hidden="false" customHeight="false" outlineLevel="0" collapsed="false">
      <c r="A210" s="7" t="s">
        <v>18</v>
      </c>
      <c r="B210" s="7" t="s">
        <v>101</v>
      </c>
      <c r="C210" s="7" t="s">
        <v>363</v>
      </c>
      <c r="D210" s="8" t="n">
        <v>1007</v>
      </c>
      <c r="E210" s="27" t="n">
        <v>8</v>
      </c>
      <c r="F210" s="9" t="n">
        <f aca="false">IF(D210=0,0,E210/D210)</f>
        <v>0.00794438927507448</v>
      </c>
      <c r="G210" s="27" t="n">
        <v>1</v>
      </c>
      <c r="H210" s="10" t="n">
        <f aca="false">IF(D210=0,0,G210/D210*1000)</f>
        <v>0.99304865938431</v>
      </c>
      <c r="I210" s="8" t="n">
        <v>79</v>
      </c>
      <c r="J210" s="25" t="n">
        <v>0.0126582278481013</v>
      </c>
      <c r="K210" s="26" t="n">
        <v>0.3536</v>
      </c>
      <c r="L210" s="26" t="n">
        <v>0.079955</v>
      </c>
      <c r="M210" s="27" t="str">
        <f aca="false">IF(D210&gt;=200,"○","-")</f>
        <v>○</v>
      </c>
    </row>
    <row r="211" customFormat="false" ht="15" hidden="false" customHeight="false" outlineLevel="0" collapsed="false">
      <c r="A211" s="7" t="s">
        <v>18</v>
      </c>
      <c r="B211" s="7" t="s">
        <v>104</v>
      </c>
      <c r="C211" s="7" t="s">
        <v>364</v>
      </c>
      <c r="D211" s="8" t="n">
        <v>955</v>
      </c>
      <c r="E211" s="27" t="n">
        <v>7</v>
      </c>
      <c r="F211" s="9" t="n">
        <f aca="false">IF(D211=0,0,E211/D211)</f>
        <v>0.00732984293193717</v>
      </c>
      <c r="G211" s="27" t="n">
        <v>0</v>
      </c>
      <c r="H211" s="10" t="n">
        <f aca="false">IF(D211=0,0,G211/D211*1000)</f>
        <v>0</v>
      </c>
      <c r="I211" s="8" t="n">
        <v>28</v>
      </c>
      <c r="J211" s="25" t="n">
        <v>0</v>
      </c>
      <c r="K211" s="26" t="n">
        <v>0.3005</v>
      </c>
      <c r="L211" s="26" t="n">
        <v>0.075905</v>
      </c>
      <c r="M211" s="27" t="str">
        <f aca="false">IF(D211&gt;=200,"○","-")</f>
        <v>○</v>
      </c>
    </row>
    <row r="212" customFormat="false" ht="15" hidden="false" customHeight="false" outlineLevel="0" collapsed="false">
      <c r="A212" s="7" t="s">
        <v>18</v>
      </c>
      <c r="B212" s="7" t="s">
        <v>104</v>
      </c>
      <c r="C212" s="7" t="s">
        <v>365</v>
      </c>
      <c r="D212" s="8" t="n">
        <v>481</v>
      </c>
      <c r="E212" s="27" t="n">
        <v>1</v>
      </c>
      <c r="F212" s="9" t="n">
        <f aca="false">IF(D212=0,0,E212/D212)</f>
        <v>0.00207900207900208</v>
      </c>
      <c r="G212" s="27" t="n">
        <v>0</v>
      </c>
      <c r="H212" s="10" t="n">
        <f aca="false">IF(D212=0,0,G212/D212*1000)</f>
        <v>0</v>
      </c>
      <c r="I212" s="8" t="n">
        <v>51</v>
      </c>
      <c r="J212" s="25" t="n">
        <v>0</v>
      </c>
      <c r="K212" s="26" t="n">
        <v>0.2949</v>
      </c>
      <c r="L212" s="26" t="n">
        <v>0.01919</v>
      </c>
      <c r="M212" s="27" t="str">
        <f aca="false">IF(D212&gt;=200,"○","-")</f>
        <v>○</v>
      </c>
    </row>
    <row r="213" customFormat="false" ht="15" hidden="false" customHeight="false" outlineLevel="0" collapsed="false">
      <c r="A213" s="7" t="s">
        <v>18</v>
      </c>
      <c r="B213" s="7" t="s">
        <v>108</v>
      </c>
      <c r="C213" s="7" t="s">
        <v>366</v>
      </c>
      <c r="D213" s="8" t="n">
        <v>1042</v>
      </c>
      <c r="E213" s="27" t="n">
        <v>6</v>
      </c>
      <c r="F213" s="9" t="n">
        <f aca="false">IF(D213=0,0,E213/D213)</f>
        <v>0.00575815738963532</v>
      </c>
      <c r="G213" s="27" t="n">
        <v>0</v>
      </c>
      <c r="H213" s="10" t="n">
        <f aca="false">IF(D213=0,0,G213/D213*1000)</f>
        <v>0</v>
      </c>
      <c r="I213" s="8" t="n">
        <v>34</v>
      </c>
      <c r="J213" s="25" t="n">
        <v>0</v>
      </c>
      <c r="K213" s="26" t="n">
        <v>0.2557</v>
      </c>
      <c r="L213" s="26" t="n">
        <v>0.05537</v>
      </c>
      <c r="M213" s="27" t="str">
        <f aca="false">IF(D213&gt;=200,"○","-")</f>
        <v>○</v>
      </c>
    </row>
    <row r="214" customFormat="false" ht="15" hidden="false" customHeight="false" outlineLevel="0" collapsed="false">
      <c r="A214" s="7" t="s">
        <v>18</v>
      </c>
      <c r="B214" s="7" t="s">
        <v>110</v>
      </c>
      <c r="C214" s="7" t="s">
        <v>367</v>
      </c>
      <c r="D214" s="8" t="n">
        <v>1076</v>
      </c>
      <c r="E214" s="27" t="n">
        <v>10</v>
      </c>
      <c r="F214" s="9" t="n">
        <f aca="false">IF(D214=0,0,E214/D214)</f>
        <v>0.00929368029739777</v>
      </c>
      <c r="G214" s="27" t="n">
        <v>1</v>
      </c>
      <c r="H214" s="10" t="n">
        <f aca="false">IF(D214=0,0,G214/D214*1000)</f>
        <v>0.929368029739777</v>
      </c>
      <c r="I214" s="8" t="n">
        <v>24</v>
      </c>
      <c r="J214" s="25" t="n">
        <v>0.0416666666666667</v>
      </c>
      <c r="K214" s="26" t="n">
        <v>0.3522</v>
      </c>
      <c r="L214" s="26" t="n">
        <v>0.129895</v>
      </c>
      <c r="M214" s="27" t="str">
        <f aca="false">IF(D214&gt;=200,"○","-")</f>
        <v>○</v>
      </c>
    </row>
    <row r="215" customFormat="false" ht="15" hidden="false" customHeight="false" outlineLevel="0" collapsed="false">
      <c r="A215" s="7" t="s">
        <v>18</v>
      </c>
      <c r="B215" s="7" t="s">
        <v>112</v>
      </c>
      <c r="C215" s="7" t="s">
        <v>368</v>
      </c>
      <c r="D215" s="8" t="n">
        <v>815</v>
      </c>
      <c r="E215" s="27" t="n">
        <v>6</v>
      </c>
      <c r="F215" s="9" t="n">
        <f aca="false">IF(D215=0,0,E215/D215)</f>
        <v>0.00736196319018405</v>
      </c>
      <c r="G215" s="27" t="n">
        <v>1</v>
      </c>
      <c r="H215" s="10" t="n">
        <f aca="false">IF(D215=0,0,G215/D215*1000)</f>
        <v>1.22699386503067</v>
      </c>
      <c r="I215" s="8" t="n">
        <v>75</v>
      </c>
      <c r="J215" s="25" t="n">
        <v>0.0133333333333333</v>
      </c>
      <c r="K215" s="26" t="n">
        <v>0.3238</v>
      </c>
      <c r="L215" s="26" t="n">
        <v>0.09053</v>
      </c>
      <c r="M215" s="27" t="str">
        <f aca="false">IF(D215&gt;=200,"○","-")</f>
        <v>○</v>
      </c>
    </row>
    <row r="216" customFormat="false" ht="15" hidden="false" customHeight="false" outlineLevel="0" collapsed="false">
      <c r="A216" s="7" t="s">
        <v>18</v>
      </c>
      <c r="B216" s="7" t="s">
        <v>114</v>
      </c>
      <c r="C216" s="7" t="s">
        <v>369</v>
      </c>
      <c r="D216" s="8" t="n">
        <v>863</v>
      </c>
      <c r="E216" s="27" t="n">
        <v>7</v>
      </c>
      <c r="F216" s="9" t="n">
        <f aca="false">IF(D216=0,0,E216/D216)</f>
        <v>0.00811123986095017</v>
      </c>
      <c r="G216" s="27" t="n">
        <v>1</v>
      </c>
      <c r="H216" s="10" t="n">
        <f aca="false">IF(D216=0,0,G216/D216*1000)</f>
        <v>1.15874855156431</v>
      </c>
      <c r="I216" s="8" t="n">
        <v>27</v>
      </c>
      <c r="J216" s="25" t="n">
        <v>0.037037037037037</v>
      </c>
      <c r="K216" s="26" t="n">
        <v>0.3169</v>
      </c>
      <c r="L216" s="26" t="n">
        <v>0.0768</v>
      </c>
      <c r="M216" s="27" t="str">
        <f aca="false">IF(D216&gt;=200,"○","-")</f>
        <v>○</v>
      </c>
    </row>
    <row r="217" customFormat="false" ht="15" hidden="false" customHeight="false" outlineLevel="0" collapsed="false">
      <c r="A217" s="7" t="s">
        <v>18</v>
      </c>
      <c r="B217" s="7" t="s">
        <v>116</v>
      </c>
      <c r="C217" s="7" t="s">
        <v>370</v>
      </c>
      <c r="D217" s="8" t="n">
        <v>944</v>
      </c>
      <c r="E217" s="27" t="n">
        <v>7</v>
      </c>
      <c r="F217" s="9" t="n">
        <f aca="false">IF(D217=0,0,E217/D217)</f>
        <v>0.00741525423728814</v>
      </c>
      <c r="G217" s="27" t="n">
        <v>0</v>
      </c>
      <c r="H217" s="10" t="n">
        <f aca="false">IF(D217=0,0,G217/D217*1000)</f>
        <v>0</v>
      </c>
      <c r="I217" s="8" t="n">
        <v>12</v>
      </c>
      <c r="J217" s="25" t="n">
        <v>0</v>
      </c>
      <c r="K217" s="26" t="n">
        <v>0.4171</v>
      </c>
      <c r="L217" s="26" t="n">
        <v>0.17756</v>
      </c>
      <c r="M217" s="27" t="str">
        <f aca="false">IF(D217&gt;=200,"○","-")</f>
        <v>○</v>
      </c>
    </row>
    <row r="218" customFormat="false" ht="15" hidden="false" customHeight="false" outlineLevel="0" collapsed="false">
      <c r="A218" s="7" t="s">
        <v>18</v>
      </c>
      <c r="B218" s="7" t="s">
        <v>118</v>
      </c>
      <c r="C218" s="7" t="s">
        <v>371</v>
      </c>
      <c r="D218" s="8" t="n">
        <v>901</v>
      </c>
      <c r="E218" s="27" t="n">
        <v>6</v>
      </c>
      <c r="F218" s="9" t="n">
        <f aca="false">IF(D218=0,0,E218/D218)</f>
        <v>0.00665926748057714</v>
      </c>
      <c r="G218" s="27" t="n">
        <v>1</v>
      </c>
      <c r="H218" s="10" t="n">
        <f aca="false">IF(D218=0,0,G218/D218*1000)</f>
        <v>1.10987791342952</v>
      </c>
      <c r="I218" s="8" t="n">
        <v>50</v>
      </c>
      <c r="J218" s="25" t="n">
        <v>0.02</v>
      </c>
      <c r="K218" s="26" t="n">
        <v>0.534</v>
      </c>
      <c r="L218" s="26" t="n">
        <v>0.16975</v>
      </c>
      <c r="M218" s="27" t="str">
        <f aca="false">IF(D218&gt;=200,"○","-")</f>
        <v>○</v>
      </c>
    </row>
    <row r="219" customFormat="false" ht="15" hidden="false" customHeight="false" outlineLevel="0" collapsed="false">
      <c r="A219" s="7" t="s">
        <v>18</v>
      </c>
      <c r="B219" s="7" t="s">
        <v>118</v>
      </c>
      <c r="C219" s="7" t="s">
        <v>372</v>
      </c>
      <c r="D219" s="8" t="n">
        <v>847</v>
      </c>
      <c r="E219" s="27" t="n">
        <v>7</v>
      </c>
      <c r="F219" s="9" t="n">
        <f aca="false">IF(D219=0,0,E219/D219)</f>
        <v>0.00826446280991736</v>
      </c>
      <c r="G219" s="27" t="n">
        <v>1</v>
      </c>
      <c r="H219" s="10" t="n">
        <f aca="false">IF(D219=0,0,G219/D219*1000)</f>
        <v>1.18063754427391</v>
      </c>
      <c r="I219" s="8" t="n">
        <v>70</v>
      </c>
      <c r="J219" s="25" t="n">
        <v>0.0142857142857143</v>
      </c>
      <c r="K219" s="26" t="n">
        <v>0.5957</v>
      </c>
      <c r="L219" s="26" t="n">
        <v>0.3435</v>
      </c>
      <c r="M219" s="27" t="str">
        <f aca="false">IF(D219&gt;=200,"○","-")</f>
        <v>○</v>
      </c>
    </row>
    <row r="220" customFormat="false" ht="15" hidden="false" customHeight="false" outlineLevel="0" collapsed="false">
      <c r="A220" s="7" t="s">
        <v>18</v>
      </c>
      <c r="B220" s="7" t="s">
        <v>121</v>
      </c>
      <c r="C220" s="7" t="s">
        <v>373</v>
      </c>
      <c r="D220" s="8" t="n">
        <v>913</v>
      </c>
      <c r="E220" s="27" t="n">
        <v>1</v>
      </c>
      <c r="F220" s="9" t="n">
        <f aca="false">IF(D220=0,0,E220/D220)</f>
        <v>0.00109529025191676</v>
      </c>
      <c r="G220" s="27" t="n">
        <v>0</v>
      </c>
      <c r="H220" s="10" t="n">
        <f aca="false">IF(D220=0,0,G220/D220*1000)</f>
        <v>0</v>
      </c>
      <c r="I220" s="8" t="n">
        <v>9</v>
      </c>
      <c r="J220" s="25" t="n">
        <v>0</v>
      </c>
      <c r="K220" s="26" t="n">
        <v>0.3021</v>
      </c>
      <c r="L220" s="26" t="n">
        <v>0.06804</v>
      </c>
      <c r="M220" s="27" t="str">
        <f aca="false">IF(D220&gt;=200,"○","-")</f>
        <v>○</v>
      </c>
    </row>
    <row r="221" customFormat="false" ht="15" hidden="false" customHeight="false" outlineLevel="0" collapsed="false">
      <c r="A221" s="7" t="s">
        <v>18</v>
      </c>
      <c r="B221" s="7" t="s">
        <v>121</v>
      </c>
      <c r="C221" s="7" t="s">
        <v>374</v>
      </c>
      <c r="D221" s="8" t="n">
        <v>822</v>
      </c>
      <c r="E221" s="27" t="n">
        <v>5</v>
      </c>
      <c r="F221" s="9" t="n">
        <f aca="false">IF(D221=0,0,E221/D221)</f>
        <v>0.00608272506082725</v>
      </c>
      <c r="G221" s="27" t="n">
        <v>2</v>
      </c>
      <c r="H221" s="10" t="n">
        <f aca="false">IF(D221=0,0,G221/D221*1000)</f>
        <v>2.4330900243309</v>
      </c>
      <c r="I221" s="8" t="n">
        <v>25</v>
      </c>
      <c r="J221" s="25" t="n">
        <v>0.04</v>
      </c>
      <c r="K221" s="26" t="n">
        <v>0.2991</v>
      </c>
      <c r="L221" s="26" t="n">
        <v>0.06286</v>
      </c>
      <c r="M221" s="27" t="str">
        <f aca="false">IF(D221&gt;=200,"○","-")</f>
        <v>○</v>
      </c>
    </row>
    <row r="222" customFormat="false" ht="15" hidden="false" customHeight="false" outlineLevel="0" collapsed="false">
      <c r="A222" s="7" t="s">
        <v>18</v>
      </c>
      <c r="B222" s="7" t="s">
        <v>124</v>
      </c>
      <c r="C222" s="7" t="s">
        <v>375</v>
      </c>
      <c r="D222" s="8" t="n">
        <v>890</v>
      </c>
      <c r="E222" s="27" t="n">
        <v>4</v>
      </c>
      <c r="F222" s="9" t="n">
        <f aca="false">IF(D222=0,0,E222/D222)</f>
        <v>0.00449438202247191</v>
      </c>
      <c r="G222" s="27" t="n">
        <v>0</v>
      </c>
      <c r="H222" s="10" t="n">
        <f aca="false">IF(D222=0,0,G222/D222*1000)</f>
        <v>0</v>
      </c>
      <c r="I222" s="8" t="n">
        <v>4</v>
      </c>
      <c r="J222" s="25" t="n">
        <v>0.25</v>
      </c>
      <c r="K222" s="26" t="n">
        <v>0.7062</v>
      </c>
      <c r="L222" s="26" t="n">
        <v>0.48299</v>
      </c>
      <c r="M222" s="27" t="str">
        <f aca="false">IF(D222&gt;=200,"○","-")</f>
        <v>○</v>
      </c>
    </row>
    <row r="223" customFormat="false" ht="15" hidden="false" customHeight="false" outlineLevel="0" collapsed="false">
      <c r="A223" s="28" t="s">
        <v>18</v>
      </c>
      <c r="B223" s="28" t="s">
        <v>126</v>
      </c>
      <c r="C223" s="28" t="s">
        <v>376</v>
      </c>
      <c r="D223" s="30" t="n">
        <v>0</v>
      </c>
      <c r="E223" s="28" t="n">
        <v>0</v>
      </c>
      <c r="F223" s="31" t="n">
        <f aca="false">IF(D223=0,0,E223/D223)</f>
        <v>0</v>
      </c>
      <c r="G223" s="28" t="n">
        <v>0</v>
      </c>
      <c r="H223" s="32" t="n">
        <f aca="false">IF(D223=0,0,G223/D223*1000)</f>
        <v>0</v>
      </c>
      <c r="I223" s="30" t="n">
        <v>0</v>
      </c>
      <c r="J223" s="33" t="n">
        <v>0</v>
      </c>
      <c r="K223" s="34" t="n">
        <v>0</v>
      </c>
      <c r="L223" s="34"/>
      <c r="M223" s="28" t="str">
        <f aca="false">IF(D223&gt;=200,"○","-")</f>
        <v>-</v>
      </c>
    </row>
    <row r="224" customFormat="false" ht="15" hidden="false" customHeight="false" outlineLevel="0" collapsed="false">
      <c r="A224" s="28" t="s">
        <v>18</v>
      </c>
      <c r="B224" s="28" t="s">
        <v>126</v>
      </c>
      <c r="C224" s="28" t="s">
        <v>377</v>
      </c>
      <c r="D224" s="30" t="n">
        <v>0</v>
      </c>
      <c r="E224" s="28" t="n">
        <v>0</v>
      </c>
      <c r="F224" s="31" t="n">
        <f aca="false">IF(D224=0,0,E224/D224)</f>
        <v>0</v>
      </c>
      <c r="G224" s="28" t="n">
        <v>0</v>
      </c>
      <c r="H224" s="32" t="n">
        <f aca="false">IF(D224=0,0,G224/D224*1000)</f>
        <v>0</v>
      </c>
      <c r="I224" s="30" t="n">
        <v>0</v>
      </c>
      <c r="J224" s="33" t="n">
        <v>0</v>
      </c>
      <c r="K224" s="34" t="n">
        <v>0</v>
      </c>
      <c r="L224" s="34"/>
      <c r="M224" s="28" t="str">
        <f aca="false">IF(D224&gt;=200,"○","-")</f>
        <v>-</v>
      </c>
    </row>
    <row r="225" customFormat="false" ht="15" hidden="false" customHeight="false" outlineLevel="0" collapsed="false">
      <c r="A225" s="28" t="s">
        <v>18</v>
      </c>
      <c r="B225" s="28" t="s">
        <v>129</v>
      </c>
      <c r="C225" s="29" t="s">
        <v>378</v>
      </c>
      <c r="D225" s="30" t="n">
        <v>0</v>
      </c>
      <c r="E225" s="28" t="n">
        <v>0</v>
      </c>
      <c r="F225" s="31" t="n">
        <f aca="false">IF(D225=0,0,E225/D225)</f>
        <v>0</v>
      </c>
      <c r="G225" s="28" t="n">
        <v>0</v>
      </c>
      <c r="H225" s="32" t="n">
        <f aca="false">IF(D225=0,0,G225/D225*1000)</f>
        <v>0</v>
      </c>
      <c r="I225" s="30" t="n">
        <v>0</v>
      </c>
      <c r="J225" s="33" t="n">
        <v>0</v>
      </c>
      <c r="K225" s="34" t="n">
        <v>0</v>
      </c>
      <c r="L225" s="34"/>
      <c r="M225" s="28" t="str">
        <f aca="false">IF(D225&gt;=200,"○","-")</f>
        <v>-</v>
      </c>
    </row>
    <row r="226" customFormat="false" ht="15" hidden="false" customHeight="false" outlineLevel="0" collapsed="false">
      <c r="A226" s="7" t="s">
        <v>53</v>
      </c>
      <c r="B226" s="7" t="s">
        <v>108</v>
      </c>
      <c r="C226" s="27" t="s">
        <v>379</v>
      </c>
      <c r="D226" s="8" t="n">
        <v>1100</v>
      </c>
      <c r="E226" s="27" t="n">
        <v>1</v>
      </c>
      <c r="F226" s="9" t="n">
        <f aca="false">IF(D226=0,0,E226/D226)</f>
        <v>0.000909090909090909</v>
      </c>
      <c r="G226" s="27" t="n">
        <v>0</v>
      </c>
      <c r="H226" s="10" t="n">
        <f aca="false">IF(D226=0,0,G226/D226*1000)</f>
        <v>0</v>
      </c>
      <c r="I226" s="8" t="n">
        <v>2</v>
      </c>
      <c r="J226" s="25" t="n">
        <v>0</v>
      </c>
      <c r="K226" s="26" t="n">
        <v>0.2551</v>
      </c>
      <c r="L226" s="26" t="n">
        <v>0.027605</v>
      </c>
      <c r="M226" s="27" t="str">
        <f aca="false">IF(D226&gt;=200,"○","-")</f>
        <v>○</v>
      </c>
    </row>
    <row r="227" customFormat="false" ht="15" hidden="false" customHeight="false" outlineLevel="0" collapsed="false">
      <c r="A227" s="7" t="s">
        <v>53</v>
      </c>
      <c r="B227" s="7" t="s">
        <v>118</v>
      </c>
      <c r="C227" s="27" t="s">
        <v>380</v>
      </c>
      <c r="D227" s="8" t="n">
        <v>1149</v>
      </c>
      <c r="E227" s="27" t="n">
        <v>10</v>
      </c>
      <c r="F227" s="9" t="n">
        <f aca="false">IF(D227=0,0,E227/D227)</f>
        <v>0.00870322019147084</v>
      </c>
      <c r="G227" s="27" t="n">
        <v>0</v>
      </c>
      <c r="H227" s="10" t="n">
        <f aca="false">IF(D227=0,0,G227/D227*1000)</f>
        <v>0</v>
      </c>
      <c r="I227" s="8" t="n">
        <v>8</v>
      </c>
      <c r="J227" s="25" t="n">
        <v>0.125</v>
      </c>
      <c r="K227" s="26" t="n">
        <v>0.3291</v>
      </c>
      <c r="L227" s="26" t="n">
        <v>0.07254</v>
      </c>
      <c r="M227" s="27" t="str">
        <f aca="false">IF(D227&gt;=200,"○","-")</f>
        <v>○</v>
      </c>
    </row>
    <row r="228" customFormat="false" ht="15" hidden="false" customHeight="false" outlineLevel="0" collapsed="false">
      <c r="A228" s="7" t="s">
        <v>53</v>
      </c>
      <c r="B228" s="7" t="s">
        <v>118</v>
      </c>
      <c r="C228" s="27" t="s">
        <v>381</v>
      </c>
      <c r="D228" s="8" t="n">
        <v>366</v>
      </c>
      <c r="E228" s="27" t="n">
        <v>3</v>
      </c>
      <c r="F228" s="9" t="n">
        <f aca="false">IF(D228=0,0,E228/D228)</f>
        <v>0.00819672131147541</v>
      </c>
      <c r="G228" s="27" t="n">
        <v>0</v>
      </c>
      <c r="H228" s="10" t="n">
        <f aca="false">IF(D228=0,0,G228/D228*1000)</f>
        <v>0</v>
      </c>
      <c r="I228" s="8" t="n">
        <v>12</v>
      </c>
      <c r="J228" s="25" t="n">
        <v>0.0833333333333333</v>
      </c>
      <c r="K228" s="26" t="n">
        <v>0.3399</v>
      </c>
      <c r="L228" s="26" t="n">
        <v>0.0975</v>
      </c>
      <c r="M228" s="27" t="str">
        <f aca="false">IF(D228&gt;=200,"○","-")</f>
        <v>○</v>
      </c>
    </row>
    <row r="229" customFormat="false" ht="15" hidden="false" customHeight="false" outlineLevel="0" collapsed="false">
      <c r="A229" s="7" t="s">
        <v>53</v>
      </c>
      <c r="B229" s="7" t="s">
        <v>121</v>
      </c>
      <c r="C229" s="27" t="s">
        <v>382</v>
      </c>
      <c r="D229" s="8" t="n">
        <v>1163</v>
      </c>
      <c r="E229" s="27" t="n">
        <v>3</v>
      </c>
      <c r="F229" s="9" t="n">
        <f aca="false">IF(D229=0,0,E229/D229)</f>
        <v>0.00257953568357696</v>
      </c>
      <c r="G229" s="27" t="n">
        <v>0</v>
      </c>
      <c r="H229" s="10" t="n">
        <f aca="false">IF(D229=0,0,G229/D229*1000)</f>
        <v>0</v>
      </c>
      <c r="I229" s="8" t="n">
        <v>0</v>
      </c>
      <c r="J229" s="25" t="n">
        <v>0</v>
      </c>
      <c r="K229" s="26" t="n">
        <v>0.2988</v>
      </c>
      <c r="L229" s="26" t="n">
        <v>0.0738</v>
      </c>
      <c r="M229" s="27" t="str">
        <f aca="false">IF(D229&gt;=200,"○","-")</f>
        <v>○</v>
      </c>
    </row>
    <row r="230" customFormat="false" ht="15" hidden="false" customHeight="false" outlineLevel="0" collapsed="false">
      <c r="A230" s="7" t="s">
        <v>53</v>
      </c>
      <c r="B230" s="7" t="s">
        <v>124</v>
      </c>
      <c r="C230" s="27" t="s">
        <v>383</v>
      </c>
      <c r="D230" s="8" t="n">
        <v>411</v>
      </c>
      <c r="E230" s="27" t="n">
        <v>1</v>
      </c>
      <c r="F230" s="9" t="n">
        <f aca="false">IF(D230=0,0,E230/D230)</f>
        <v>0.0024330900243309</v>
      </c>
      <c r="G230" s="27" t="n">
        <v>0</v>
      </c>
      <c r="H230" s="10" t="n">
        <f aca="false">IF(D230=0,0,G230/D230*1000)</f>
        <v>0</v>
      </c>
      <c r="I230" s="8" t="n">
        <v>0</v>
      </c>
      <c r="J230" s="25" t="n">
        <v>0</v>
      </c>
      <c r="K230" s="26" t="n">
        <v>0.4324</v>
      </c>
      <c r="L230" s="26" t="n">
        <v>0.25192</v>
      </c>
      <c r="M230" s="27" t="str">
        <f aca="false">IF(D230&gt;=200,"○","-")</f>
        <v>○</v>
      </c>
    </row>
    <row r="231" customFormat="false" ht="15" hidden="false" customHeight="false" outlineLevel="0" collapsed="false">
      <c r="A231" s="28" t="s">
        <v>53</v>
      </c>
      <c r="B231" s="28" t="s">
        <v>129</v>
      </c>
      <c r="C231" s="29" t="s">
        <v>384</v>
      </c>
      <c r="D231" s="30" t="n">
        <v>0</v>
      </c>
      <c r="E231" s="28" t="n">
        <v>0</v>
      </c>
      <c r="F231" s="31" t="n">
        <f aca="false">IF(D231=0,0,E231/D231)</f>
        <v>0</v>
      </c>
      <c r="G231" s="28" t="n">
        <v>0</v>
      </c>
      <c r="H231" s="32" t="n">
        <f aca="false">IF(D231=0,0,G231/D231*1000)</f>
        <v>0</v>
      </c>
      <c r="I231" s="30" t="n">
        <v>0</v>
      </c>
      <c r="J231" s="33" t="n">
        <v>0</v>
      </c>
      <c r="K231" s="34" t="n">
        <v>0</v>
      </c>
      <c r="L231" s="34"/>
      <c r="M231" s="28" t="str">
        <f aca="false">IF(D231&gt;=200,"○","-")</f>
        <v>-</v>
      </c>
    </row>
    <row r="232" customFormat="false" ht="15" hidden="false" customHeight="false" outlineLevel="0" collapsed="false">
      <c r="A232" s="28" t="s">
        <v>24</v>
      </c>
      <c r="B232" s="28" t="s">
        <v>385</v>
      </c>
      <c r="C232" s="28" t="s">
        <v>386</v>
      </c>
      <c r="D232" s="30" t="n">
        <v>0</v>
      </c>
      <c r="E232" s="28" t="n">
        <v>0</v>
      </c>
      <c r="F232" s="31" t="n">
        <f aca="false">IF(D232=0,0,E232/D232)</f>
        <v>0</v>
      </c>
      <c r="G232" s="28" t="n">
        <v>0</v>
      </c>
      <c r="H232" s="32" t="n">
        <f aca="false">IF(D232=0,0,G232/D232*1000)</f>
        <v>0</v>
      </c>
      <c r="I232" s="30" t="n">
        <v>0</v>
      </c>
      <c r="J232" s="33" t="n">
        <v>0</v>
      </c>
      <c r="K232" s="34" t="n">
        <v>0</v>
      </c>
      <c r="L232" s="34" t="n">
        <v>0.2093</v>
      </c>
      <c r="M232" s="28" t="str">
        <f aca="false">IF(D232&gt;=200,"○","-")</f>
        <v>-</v>
      </c>
    </row>
    <row r="233" customFormat="false" ht="15" hidden="false" customHeight="false" outlineLevel="0" collapsed="false">
      <c r="A233" s="28" t="s">
        <v>24</v>
      </c>
      <c r="B233" s="28" t="s">
        <v>385</v>
      </c>
      <c r="C233" s="28" t="s">
        <v>386</v>
      </c>
      <c r="D233" s="30" t="n">
        <v>26</v>
      </c>
      <c r="E233" s="28" t="n">
        <v>1</v>
      </c>
      <c r="F233" s="31" t="n">
        <f aca="false">IF(D233=0,0,E233/D233)</f>
        <v>0.0384615384615385</v>
      </c>
      <c r="G233" s="28" t="n">
        <v>0</v>
      </c>
      <c r="H233" s="32" t="n">
        <f aca="false">IF(D233=0,0,G233/D233*1000)</f>
        <v>0</v>
      </c>
      <c r="I233" s="30" t="n">
        <v>59</v>
      </c>
      <c r="J233" s="33" t="n">
        <v>0.0677966101694915</v>
      </c>
      <c r="K233" s="34" t="n">
        <v>1.1197</v>
      </c>
      <c r="L233" s="34" t="n">
        <v>0.700585</v>
      </c>
      <c r="M233" s="28" t="str">
        <f aca="false">IF(D233&gt;=200,"○","-")</f>
        <v>-</v>
      </c>
    </row>
    <row r="234" customFormat="false" ht="15" hidden="false" customHeight="false" outlineLevel="0" collapsed="false">
      <c r="A234" s="28" t="s">
        <v>24</v>
      </c>
      <c r="B234" s="28" t="s">
        <v>319</v>
      </c>
      <c r="C234" s="29" t="s">
        <v>387</v>
      </c>
      <c r="D234" s="30" t="n">
        <v>20</v>
      </c>
      <c r="E234" s="28" t="n">
        <v>1</v>
      </c>
      <c r="F234" s="31" t="n">
        <f aca="false">IF(D234=0,0,E234/D234)</f>
        <v>0.05</v>
      </c>
      <c r="G234" s="28" t="n">
        <v>0</v>
      </c>
      <c r="H234" s="32" t="n">
        <f aca="false">IF(D234=0,0,G234/D234*1000)</f>
        <v>0</v>
      </c>
      <c r="I234" s="30" t="n">
        <v>197</v>
      </c>
      <c r="J234" s="33" t="n">
        <v>0.0101522842639594</v>
      </c>
      <c r="K234" s="34" t="n">
        <v>0.5625</v>
      </c>
      <c r="L234" s="34" t="n">
        <v>0.190435</v>
      </c>
      <c r="M234" s="28" t="str">
        <f aca="false">IF(D234&gt;=200,"○","-")</f>
        <v>-</v>
      </c>
    </row>
    <row r="235" customFormat="false" ht="15" hidden="false" customHeight="false" outlineLevel="0" collapsed="false">
      <c r="A235" s="28" t="s">
        <v>24</v>
      </c>
      <c r="B235" s="28" t="s">
        <v>319</v>
      </c>
      <c r="C235" s="28" t="s">
        <v>388</v>
      </c>
      <c r="D235" s="30" t="n">
        <v>11</v>
      </c>
      <c r="E235" s="28" t="n">
        <v>1</v>
      </c>
      <c r="F235" s="31" t="n">
        <f aca="false">IF(D235=0,0,E235/D235)</f>
        <v>0.0909090909090909</v>
      </c>
      <c r="G235" s="28" t="n">
        <v>0</v>
      </c>
      <c r="H235" s="32" t="n">
        <f aca="false">IF(D235=0,0,G235/D235*1000)</f>
        <v>0</v>
      </c>
      <c r="I235" s="30" t="n">
        <v>105</v>
      </c>
      <c r="J235" s="33" t="n">
        <v>0</v>
      </c>
      <c r="K235" s="34" t="n">
        <v>0.8191</v>
      </c>
      <c r="L235" s="34" t="n">
        <v>0.24667</v>
      </c>
      <c r="M235" s="28" t="str">
        <f aca="false">IF(D235&gt;=200,"○","-")</f>
        <v>-</v>
      </c>
    </row>
    <row r="236" customFormat="false" ht="15" hidden="false" customHeight="false" outlineLevel="0" collapsed="false">
      <c r="A236" s="7" t="s">
        <v>24</v>
      </c>
      <c r="B236" s="7" t="s">
        <v>321</v>
      </c>
      <c r="C236" s="27" t="s">
        <v>389</v>
      </c>
      <c r="D236" s="8" t="n">
        <v>1792</v>
      </c>
      <c r="E236" s="27" t="n">
        <v>4</v>
      </c>
      <c r="F236" s="9" t="n">
        <f aca="false">IF(D236=0,0,E236/D236)</f>
        <v>0.00223214285714286</v>
      </c>
      <c r="G236" s="27" t="n">
        <v>2</v>
      </c>
      <c r="H236" s="10" t="n">
        <f aca="false">IF(D236=0,0,G236/D236*1000)</f>
        <v>1.11607142857143</v>
      </c>
      <c r="I236" s="8" t="n">
        <v>80</v>
      </c>
      <c r="J236" s="25" t="n">
        <v>0</v>
      </c>
      <c r="K236" s="26" t="n">
        <v>0.8019</v>
      </c>
      <c r="L236" s="26" t="n">
        <v>0.4672</v>
      </c>
      <c r="M236" s="27" t="str">
        <f aca="false">IF(D236&gt;=200,"○","-")</f>
        <v>○</v>
      </c>
    </row>
    <row r="237" customFormat="false" ht="15" hidden="false" customHeight="false" outlineLevel="0" collapsed="false">
      <c r="A237" s="7" t="s">
        <v>24</v>
      </c>
      <c r="B237" s="7" t="s">
        <v>321</v>
      </c>
      <c r="C237" s="27" t="s">
        <v>390</v>
      </c>
      <c r="D237" s="8" t="n">
        <v>1942</v>
      </c>
      <c r="E237" s="27" t="n">
        <v>10</v>
      </c>
      <c r="F237" s="9" t="n">
        <f aca="false">IF(D237=0,0,E237/D237)</f>
        <v>0.00514933058702369</v>
      </c>
      <c r="G237" s="27" t="n">
        <v>0</v>
      </c>
      <c r="H237" s="10" t="n">
        <f aca="false">IF(D237=0,0,G237/D237*1000)</f>
        <v>0</v>
      </c>
      <c r="I237" s="8" t="n">
        <v>87</v>
      </c>
      <c r="J237" s="25" t="n">
        <v>0.0229885057471264</v>
      </c>
      <c r="K237" s="26" t="n">
        <v>0.8999</v>
      </c>
      <c r="L237" s="26" t="n">
        <v>0.48064</v>
      </c>
      <c r="M237" s="27" t="str">
        <f aca="false">IF(D237&gt;=200,"○","-")</f>
        <v>○</v>
      </c>
    </row>
    <row r="238" customFormat="false" ht="15" hidden="false" customHeight="false" outlineLevel="0" collapsed="false">
      <c r="A238" s="28" t="s">
        <v>24</v>
      </c>
      <c r="B238" s="28" t="s">
        <v>321</v>
      </c>
      <c r="C238" s="28" t="s">
        <v>391</v>
      </c>
      <c r="D238" s="30" t="n">
        <v>48</v>
      </c>
      <c r="E238" s="28" t="n">
        <v>0</v>
      </c>
      <c r="F238" s="31" t="n">
        <f aca="false">IF(D238=0,0,E238/D238)</f>
        <v>0</v>
      </c>
      <c r="G238" s="28" t="n">
        <v>0</v>
      </c>
      <c r="H238" s="32" t="n">
        <f aca="false">IF(D238=0,0,G238/D238*1000)</f>
        <v>0</v>
      </c>
      <c r="I238" s="30" t="n">
        <v>61</v>
      </c>
      <c r="J238" s="33" t="n">
        <v>0</v>
      </c>
      <c r="K238" s="34" t="n">
        <v>0.6966</v>
      </c>
      <c r="L238" s="34"/>
      <c r="M238" s="28" t="str">
        <f aca="false">IF(D238&gt;=200,"○","-")</f>
        <v>-</v>
      </c>
    </row>
    <row r="239" customFormat="false" ht="15" hidden="false" customHeight="false" outlineLevel="0" collapsed="false">
      <c r="A239" s="7" t="s">
        <v>24</v>
      </c>
      <c r="B239" s="7" t="s">
        <v>325</v>
      </c>
      <c r="C239" s="27" t="s">
        <v>392</v>
      </c>
      <c r="D239" s="8" t="n">
        <v>1333</v>
      </c>
      <c r="E239" s="27" t="n">
        <v>4</v>
      </c>
      <c r="F239" s="9" t="n">
        <f aca="false">IF(D239=0,0,E239/D239)</f>
        <v>0.00300075018754689</v>
      </c>
      <c r="G239" s="27" t="n">
        <v>0</v>
      </c>
      <c r="H239" s="10" t="n">
        <f aca="false">IF(D239=0,0,G239/D239*1000)</f>
        <v>0</v>
      </c>
      <c r="I239" s="8" t="n">
        <v>88</v>
      </c>
      <c r="J239" s="25" t="n">
        <v>0</v>
      </c>
      <c r="K239" s="26" t="n">
        <v>1.2327</v>
      </c>
      <c r="L239" s="26" t="n">
        <v>1.214</v>
      </c>
      <c r="M239" s="27" t="str">
        <f aca="false">IF(D239&gt;=200,"○","-")</f>
        <v>○</v>
      </c>
    </row>
    <row r="240" customFormat="false" ht="15" hidden="false" customHeight="false" outlineLevel="0" collapsed="false">
      <c r="A240" s="7" t="s">
        <v>24</v>
      </c>
      <c r="B240" s="7" t="s">
        <v>325</v>
      </c>
      <c r="C240" s="27" t="s">
        <v>393</v>
      </c>
      <c r="D240" s="8" t="n">
        <v>1475</v>
      </c>
      <c r="E240" s="27" t="n">
        <v>3</v>
      </c>
      <c r="F240" s="9" t="n">
        <f aca="false">IF(D240=0,0,E240/D240)</f>
        <v>0.00203389830508475</v>
      </c>
      <c r="G240" s="27" t="n">
        <v>0</v>
      </c>
      <c r="H240" s="10" t="n">
        <f aca="false">IF(D240=0,0,G240/D240*1000)</f>
        <v>0</v>
      </c>
      <c r="I240" s="8" t="n">
        <v>78</v>
      </c>
      <c r="J240" s="25" t="n">
        <v>0.0256410256410256</v>
      </c>
      <c r="K240" s="26" t="n">
        <v>0.6774</v>
      </c>
      <c r="L240" s="26"/>
      <c r="M240" s="27" t="str">
        <f aca="false">IF(D240&gt;=200,"○","-")</f>
        <v>○</v>
      </c>
    </row>
    <row r="241" customFormat="false" ht="15" hidden="false" customHeight="false" outlineLevel="0" collapsed="false">
      <c r="A241" s="7" t="s">
        <v>24</v>
      </c>
      <c r="B241" s="7" t="s">
        <v>328</v>
      </c>
      <c r="C241" s="27" t="s">
        <v>394</v>
      </c>
      <c r="D241" s="8" t="n">
        <v>1614</v>
      </c>
      <c r="E241" s="27" t="n">
        <v>11</v>
      </c>
      <c r="F241" s="9" t="n">
        <f aca="false">IF(D241=0,0,E241/D241)</f>
        <v>0.00681536555142503</v>
      </c>
      <c r="G241" s="27" t="n">
        <v>0</v>
      </c>
      <c r="H241" s="10" t="n">
        <f aca="false">IF(D241=0,0,G241/D241*1000)</f>
        <v>0</v>
      </c>
      <c r="I241" s="8" t="n">
        <v>157</v>
      </c>
      <c r="J241" s="25" t="n">
        <v>0.00636942675159236</v>
      </c>
      <c r="K241" s="26" t="n">
        <v>0.5267</v>
      </c>
      <c r="L241" s="26"/>
      <c r="M241" s="27" t="str">
        <f aca="false">IF(D241&gt;=200,"○","-")</f>
        <v>○</v>
      </c>
    </row>
    <row r="242" customFormat="false" ht="15" hidden="false" customHeight="false" outlineLevel="0" collapsed="false">
      <c r="A242" s="7" t="s">
        <v>24</v>
      </c>
      <c r="B242" s="7" t="s">
        <v>330</v>
      </c>
      <c r="C242" s="27" t="s">
        <v>395</v>
      </c>
      <c r="D242" s="8" t="n">
        <v>1696</v>
      </c>
      <c r="E242" s="27" t="n">
        <v>8</v>
      </c>
      <c r="F242" s="9" t="n">
        <f aca="false">IF(D242=0,0,E242/D242)</f>
        <v>0.00471698113207547</v>
      </c>
      <c r="G242" s="27" t="n">
        <v>0</v>
      </c>
      <c r="H242" s="10" t="n">
        <f aca="false">IF(D242=0,0,G242/D242*1000)</f>
        <v>0</v>
      </c>
      <c r="I242" s="8" t="n">
        <v>97</v>
      </c>
      <c r="J242" s="25" t="n">
        <v>0.0103092783505155</v>
      </c>
      <c r="K242" s="26" t="n">
        <v>0.635</v>
      </c>
      <c r="L242" s="26" t="n">
        <v>0.284995</v>
      </c>
      <c r="M242" s="27" t="str">
        <f aca="false">IF(D242&gt;=200,"○","-")</f>
        <v>○</v>
      </c>
    </row>
    <row r="243" customFormat="false" ht="15" hidden="false" customHeight="false" outlineLevel="0" collapsed="false">
      <c r="A243" s="7" t="s">
        <v>24</v>
      </c>
      <c r="B243" s="7" t="s">
        <v>334</v>
      </c>
      <c r="C243" s="27" t="s">
        <v>396</v>
      </c>
      <c r="D243" s="8" t="n">
        <v>1663</v>
      </c>
      <c r="E243" s="27" t="n">
        <v>4</v>
      </c>
      <c r="F243" s="9" t="n">
        <f aca="false">IF(D243=0,0,E243/D243)</f>
        <v>0.00240529164161155</v>
      </c>
      <c r="G243" s="27" t="n">
        <v>2</v>
      </c>
      <c r="H243" s="10" t="n">
        <f aca="false">IF(D243=0,0,G243/D243*1000)</f>
        <v>1.20264582080577</v>
      </c>
      <c r="I243" s="8" t="n">
        <v>49</v>
      </c>
      <c r="J243" s="25" t="n">
        <v>0</v>
      </c>
      <c r="K243" s="26" t="n">
        <v>0.4777</v>
      </c>
      <c r="L243" s="26" t="n">
        <v>0.146265</v>
      </c>
      <c r="M243" s="27" t="str">
        <f aca="false">IF(D243&gt;=200,"○","-")</f>
        <v>○</v>
      </c>
    </row>
    <row r="244" customFormat="false" ht="15" hidden="false" customHeight="false" outlineLevel="0" collapsed="false">
      <c r="A244" s="7" t="s">
        <v>24</v>
      </c>
      <c r="B244" s="7" t="s">
        <v>338</v>
      </c>
      <c r="C244" s="27" t="s">
        <v>397</v>
      </c>
      <c r="D244" s="8" t="n">
        <v>1567</v>
      </c>
      <c r="E244" s="27" t="n">
        <v>4</v>
      </c>
      <c r="F244" s="9" t="n">
        <f aca="false">IF(D244=0,0,E244/D244)</f>
        <v>0.00255264837268666</v>
      </c>
      <c r="G244" s="27" t="n">
        <v>0</v>
      </c>
      <c r="H244" s="10" t="n">
        <f aca="false">IF(D244=0,0,G244/D244*1000)</f>
        <v>0</v>
      </c>
      <c r="I244" s="8" t="n">
        <v>176</v>
      </c>
      <c r="J244" s="25" t="n">
        <v>0.0170454545454545</v>
      </c>
      <c r="K244" s="26" t="n">
        <v>0.609</v>
      </c>
      <c r="L244" s="26" t="n">
        <v>0.259795</v>
      </c>
      <c r="M244" s="27" t="str">
        <f aca="false">IF(D244&gt;=200,"○","-")</f>
        <v>○</v>
      </c>
    </row>
    <row r="245" customFormat="false" ht="15" hidden="false" customHeight="false" outlineLevel="0" collapsed="false">
      <c r="A245" s="7" t="s">
        <v>24</v>
      </c>
      <c r="B245" s="7" t="s">
        <v>342</v>
      </c>
      <c r="C245" s="27" t="s">
        <v>398</v>
      </c>
      <c r="D245" s="8" t="n">
        <v>1132</v>
      </c>
      <c r="E245" s="27" t="n">
        <v>7</v>
      </c>
      <c r="F245" s="9" t="n">
        <f aca="false">IF(D245=0,0,E245/D245)</f>
        <v>0.00618374558303887</v>
      </c>
      <c r="G245" s="27" t="n">
        <v>0</v>
      </c>
      <c r="H245" s="10" t="n">
        <f aca="false">IF(D245=0,0,G245/D245*1000)</f>
        <v>0</v>
      </c>
      <c r="I245" s="8" t="n">
        <v>87</v>
      </c>
      <c r="J245" s="25" t="n">
        <v>0.0229885057471264</v>
      </c>
      <c r="K245" s="26" t="n">
        <v>0.6807</v>
      </c>
      <c r="L245" s="26" t="n">
        <v>0.25282</v>
      </c>
      <c r="M245" s="27" t="str">
        <f aca="false">IF(D245&gt;=200,"○","-")</f>
        <v>○</v>
      </c>
    </row>
    <row r="246" customFormat="false" ht="15" hidden="false" customHeight="false" outlineLevel="0" collapsed="false">
      <c r="A246" s="28" t="s">
        <v>24</v>
      </c>
      <c r="B246" s="28" t="s">
        <v>76</v>
      </c>
      <c r="C246" s="28" t="s">
        <v>399</v>
      </c>
      <c r="D246" s="30" t="n">
        <v>0</v>
      </c>
      <c r="E246" s="28" t="n">
        <v>0</v>
      </c>
      <c r="F246" s="31" t="n">
        <f aca="false">IF(D246=0,0,E246/D246)</f>
        <v>0</v>
      </c>
      <c r="G246" s="28" t="n">
        <v>0</v>
      </c>
      <c r="H246" s="32" t="n">
        <f aca="false">IF(D246=0,0,G246/D246*1000)</f>
        <v>0</v>
      </c>
      <c r="I246" s="30" t="n">
        <v>70</v>
      </c>
      <c r="J246" s="33" t="n">
        <v>0</v>
      </c>
      <c r="K246" s="34" t="n">
        <v>0.6372</v>
      </c>
      <c r="L246" s="34" t="n">
        <v>0.22782</v>
      </c>
      <c r="M246" s="28" t="str">
        <f aca="false">IF(D246&gt;=200,"○","-")</f>
        <v>-</v>
      </c>
    </row>
    <row r="247" customFormat="false" ht="15" hidden="false" customHeight="false" outlineLevel="0" collapsed="false">
      <c r="A247" s="7" t="s">
        <v>24</v>
      </c>
      <c r="B247" s="7" t="s">
        <v>76</v>
      </c>
      <c r="C247" s="27" t="s">
        <v>400</v>
      </c>
      <c r="D247" s="8" t="n">
        <v>1446</v>
      </c>
      <c r="E247" s="27" t="n">
        <v>7</v>
      </c>
      <c r="F247" s="9" t="n">
        <f aca="false">IF(D247=0,0,E247/D247)</f>
        <v>0.00484094052558783</v>
      </c>
      <c r="G247" s="27" t="n">
        <v>1</v>
      </c>
      <c r="H247" s="10" t="n">
        <f aca="false">IF(D247=0,0,G247/D247*1000)</f>
        <v>0.691562932226833</v>
      </c>
      <c r="I247" s="8" t="n">
        <v>44</v>
      </c>
      <c r="J247" s="25" t="n">
        <v>0.0227272727272727</v>
      </c>
      <c r="K247" s="26" t="n">
        <v>0.5373</v>
      </c>
      <c r="L247" s="26" t="n">
        <v>0.19597</v>
      </c>
      <c r="M247" s="27" t="str">
        <f aca="false">IF(D247&gt;=200,"○","-")</f>
        <v>○</v>
      </c>
    </row>
    <row r="248" customFormat="false" ht="15" hidden="false" customHeight="false" outlineLevel="0" collapsed="false">
      <c r="A248" s="7" t="s">
        <v>24</v>
      </c>
      <c r="B248" s="7" t="s">
        <v>348</v>
      </c>
      <c r="C248" s="27" t="s">
        <v>401</v>
      </c>
      <c r="D248" s="8" t="n">
        <v>1289</v>
      </c>
      <c r="E248" s="27" t="n">
        <v>4</v>
      </c>
      <c r="F248" s="9" t="n">
        <f aca="false">IF(D248=0,0,E248/D248)</f>
        <v>0.00310318076027929</v>
      </c>
      <c r="G248" s="27" t="n">
        <v>0</v>
      </c>
      <c r="H248" s="10" t="n">
        <f aca="false">IF(D248=0,0,G248/D248*1000)</f>
        <v>0</v>
      </c>
      <c r="I248" s="8" t="n">
        <v>116</v>
      </c>
      <c r="J248" s="25" t="n">
        <v>0.00862068965517241</v>
      </c>
      <c r="K248" s="26" t="n">
        <v>0.5321</v>
      </c>
      <c r="L248" s="26" t="n">
        <v>0.1126</v>
      </c>
      <c r="M248" s="27" t="str">
        <f aca="false">IF(D248&gt;=200,"○","-")</f>
        <v>○</v>
      </c>
    </row>
    <row r="249" customFormat="false" ht="15" hidden="false" customHeight="false" outlineLevel="0" collapsed="false">
      <c r="A249" s="7" t="s">
        <v>24</v>
      </c>
      <c r="B249" s="7" t="s">
        <v>352</v>
      </c>
      <c r="C249" s="27" t="s">
        <v>402</v>
      </c>
      <c r="D249" s="8" t="n">
        <v>1679</v>
      </c>
      <c r="E249" s="27" t="n">
        <v>0</v>
      </c>
      <c r="F249" s="9" t="n">
        <f aca="false">IF(D249=0,0,E249/D249)</f>
        <v>0</v>
      </c>
      <c r="G249" s="27" t="n">
        <v>0</v>
      </c>
      <c r="H249" s="10" t="n">
        <f aca="false">IF(D249=0,0,G249/D249*1000)</f>
        <v>0</v>
      </c>
      <c r="I249" s="8" t="n">
        <v>194</v>
      </c>
      <c r="J249" s="25" t="n">
        <v>0.0206185567010309</v>
      </c>
      <c r="K249" s="26" t="n">
        <v>0.5704</v>
      </c>
      <c r="L249" s="26" t="n">
        <v>0.19571</v>
      </c>
      <c r="M249" s="27" t="str">
        <f aca="false">IF(D249&gt;=200,"○","-")</f>
        <v>○</v>
      </c>
    </row>
    <row r="250" customFormat="false" ht="15" hidden="false" customHeight="false" outlineLevel="0" collapsed="false">
      <c r="A250" s="7" t="s">
        <v>24</v>
      </c>
      <c r="B250" s="7" t="s">
        <v>354</v>
      </c>
      <c r="C250" s="27" t="s">
        <v>403</v>
      </c>
      <c r="D250" s="8" t="n">
        <v>1789</v>
      </c>
      <c r="E250" s="27" t="n">
        <v>7</v>
      </c>
      <c r="F250" s="9" t="n">
        <f aca="false">IF(D250=0,0,E250/D250)</f>
        <v>0.00391280044717719</v>
      </c>
      <c r="G250" s="27" t="n">
        <v>0</v>
      </c>
      <c r="H250" s="10" t="n">
        <f aca="false">IF(D250=0,0,G250/D250*1000)</f>
        <v>0</v>
      </c>
      <c r="I250" s="8" t="n">
        <v>165</v>
      </c>
      <c r="J250" s="25" t="n">
        <v>0.0242424242424242</v>
      </c>
      <c r="K250" s="26" t="n">
        <v>0.5506</v>
      </c>
      <c r="L250" s="26" t="n">
        <v>0.17976</v>
      </c>
      <c r="M250" s="27" t="str">
        <f aca="false">IF(D250&gt;=200,"○","-")</f>
        <v>○</v>
      </c>
    </row>
    <row r="251" customFormat="false" ht="15" hidden="false" customHeight="false" outlineLevel="0" collapsed="false">
      <c r="A251" s="7" t="s">
        <v>24</v>
      </c>
      <c r="B251" s="7" t="s">
        <v>78</v>
      </c>
      <c r="C251" s="27" t="s">
        <v>404</v>
      </c>
      <c r="D251" s="8" t="n">
        <v>1339</v>
      </c>
      <c r="E251" s="27" t="n">
        <v>4</v>
      </c>
      <c r="F251" s="9" t="n">
        <f aca="false">IF(D251=0,0,E251/D251)</f>
        <v>0.00298730395817775</v>
      </c>
      <c r="G251" s="27" t="n">
        <v>1</v>
      </c>
      <c r="H251" s="10" t="n">
        <f aca="false">IF(D251=0,0,G251/D251*1000)</f>
        <v>0.746825989544436</v>
      </c>
      <c r="I251" s="8" t="n">
        <v>192</v>
      </c>
      <c r="J251" s="25" t="n">
        <v>0.0260416666666667</v>
      </c>
      <c r="K251" s="26" t="n">
        <v>0.4901</v>
      </c>
      <c r="L251" s="26" t="n">
        <v>0.1559</v>
      </c>
      <c r="M251" s="27" t="str">
        <f aca="false">IF(D251&gt;=200,"○","-")</f>
        <v>○</v>
      </c>
    </row>
    <row r="252" customFormat="false" ht="15" hidden="false" customHeight="false" outlineLevel="0" collapsed="false">
      <c r="A252" s="7" t="s">
        <v>24</v>
      </c>
      <c r="B252" s="7" t="s">
        <v>81</v>
      </c>
      <c r="C252" s="27" t="s">
        <v>405</v>
      </c>
      <c r="D252" s="8" t="n">
        <v>1566</v>
      </c>
      <c r="E252" s="27" t="n">
        <v>3</v>
      </c>
      <c r="F252" s="9" t="n">
        <f aca="false">IF(D252=0,0,E252/D252)</f>
        <v>0.00191570881226054</v>
      </c>
      <c r="G252" s="27" t="n">
        <v>1</v>
      </c>
      <c r="H252" s="10" t="n">
        <f aca="false">IF(D252=0,0,G252/D252*1000)</f>
        <v>0.638569604086846</v>
      </c>
      <c r="I252" s="8" t="n">
        <v>52</v>
      </c>
      <c r="J252" s="25" t="n">
        <v>0.0192307692307692</v>
      </c>
      <c r="K252" s="26" t="n">
        <v>0.5452</v>
      </c>
      <c r="L252" s="26" t="n">
        <v>0.152695</v>
      </c>
      <c r="M252" s="27" t="str">
        <f aca="false">IF(D252&gt;=200,"○","-")</f>
        <v>○</v>
      </c>
    </row>
    <row r="253" customFormat="false" ht="15" hidden="false" customHeight="false" outlineLevel="0" collapsed="false">
      <c r="A253" s="7" t="s">
        <v>24</v>
      </c>
      <c r="B253" s="7" t="s">
        <v>84</v>
      </c>
      <c r="C253" s="27" t="s">
        <v>406</v>
      </c>
      <c r="D253" s="8" t="n">
        <v>1557</v>
      </c>
      <c r="E253" s="27" t="n">
        <v>2</v>
      </c>
      <c r="F253" s="9" t="n">
        <f aca="false">IF(D253=0,0,E253/D253)</f>
        <v>0.00128452151573539</v>
      </c>
      <c r="G253" s="27" t="n">
        <v>0</v>
      </c>
      <c r="H253" s="10" t="n">
        <f aca="false">IF(D253=0,0,G253/D253*1000)</f>
        <v>0</v>
      </c>
      <c r="I253" s="8" t="n">
        <v>91</v>
      </c>
      <c r="J253" s="25" t="n">
        <v>0.010989010989011</v>
      </c>
      <c r="K253" s="26" t="n">
        <v>0.6526</v>
      </c>
      <c r="L253" s="26" t="n">
        <v>0.272395</v>
      </c>
      <c r="M253" s="27" t="str">
        <f aca="false">IF(D253&gt;=200,"○","-")</f>
        <v>○</v>
      </c>
    </row>
    <row r="254" customFormat="false" ht="15" hidden="false" customHeight="false" outlineLevel="0" collapsed="false">
      <c r="A254" s="7" t="s">
        <v>24</v>
      </c>
      <c r="B254" s="7" t="s">
        <v>89</v>
      </c>
      <c r="C254" s="27" t="s">
        <v>407</v>
      </c>
      <c r="D254" s="8" t="n">
        <v>1971</v>
      </c>
      <c r="E254" s="27" t="n">
        <v>5</v>
      </c>
      <c r="F254" s="9" t="n">
        <f aca="false">IF(D254=0,0,E254/D254)</f>
        <v>0.00253678335870117</v>
      </c>
      <c r="G254" s="27" t="n">
        <v>0</v>
      </c>
      <c r="H254" s="10" t="n">
        <f aca="false">IF(D254=0,0,G254/D254*1000)</f>
        <v>0</v>
      </c>
      <c r="I254" s="8" t="n">
        <v>156</v>
      </c>
      <c r="J254" s="25" t="n">
        <v>0.0320512820512821</v>
      </c>
      <c r="K254" s="26" t="n">
        <v>0.6953</v>
      </c>
      <c r="L254" s="26" t="n">
        <v>0.25907</v>
      </c>
      <c r="M254" s="27" t="str">
        <f aca="false">IF(D254&gt;=200,"○","-")</f>
        <v>○</v>
      </c>
    </row>
    <row r="255" customFormat="false" ht="15" hidden="false" customHeight="false" outlineLevel="0" collapsed="false">
      <c r="A255" s="7" t="s">
        <v>24</v>
      </c>
      <c r="B255" s="7" t="s">
        <v>95</v>
      </c>
      <c r="C255" s="27" t="s">
        <v>408</v>
      </c>
      <c r="D255" s="8" t="n">
        <v>1632</v>
      </c>
      <c r="E255" s="27" t="n">
        <v>5</v>
      </c>
      <c r="F255" s="9" t="n">
        <f aca="false">IF(D255=0,0,E255/D255)</f>
        <v>0.00306372549019608</v>
      </c>
      <c r="G255" s="27" t="n">
        <v>0</v>
      </c>
      <c r="H255" s="10" t="n">
        <f aca="false">IF(D255=0,0,G255/D255*1000)</f>
        <v>0</v>
      </c>
      <c r="I255" s="8" t="n">
        <v>102</v>
      </c>
      <c r="J255" s="25" t="n">
        <v>0.00980392156862745</v>
      </c>
      <c r="K255" s="26" t="n">
        <v>0.7093</v>
      </c>
      <c r="L255" s="26" t="n">
        <v>0.27549</v>
      </c>
      <c r="M255" s="27" t="str">
        <f aca="false">IF(D255&gt;=200,"○","-")</f>
        <v>○</v>
      </c>
    </row>
    <row r="256" customFormat="false" ht="15" hidden="false" customHeight="false" outlineLevel="0" collapsed="false">
      <c r="A256" s="7" t="s">
        <v>24</v>
      </c>
      <c r="B256" s="7" t="s">
        <v>98</v>
      </c>
      <c r="C256" s="27" t="s">
        <v>409</v>
      </c>
      <c r="D256" s="8" t="n">
        <v>1308</v>
      </c>
      <c r="E256" s="27" t="n">
        <v>1</v>
      </c>
      <c r="F256" s="9" t="n">
        <f aca="false">IF(D256=0,0,E256/D256)</f>
        <v>0.000764525993883792</v>
      </c>
      <c r="G256" s="27" t="n">
        <v>0</v>
      </c>
      <c r="H256" s="10" t="n">
        <f aca="false">IF(D256=0,0,G256/D256*1000)</f>
        <v>0</v>
      </c>
      <c r="I256" s="8" t="n">
        <v>85</v>
      </c>
      <c r="J256" s="25" t="n">
        <v>0</v>
      </c>
      <c r="K256" s="26" t="n">
        <v>0.3913</v>
      </c>
      <c r="L256" s="26" t="n">
        <v>0.11677</v>
      </c>
      <c r="M256" s="27" t="str">
        <f aca="false">IF(D256&gt;=200,"○","-")</f>
        <v>○</v>
      </c>
    </row>
    <row r="257" customFormat="false" ht="15" hidden="false" customHeight="false" outlineLevel="0" collapsed="false">
      <c r="A257" s="7" t="s">
        <v>24</v>
      </c>
      <c r="B257" s="7" t="s">
        <v>101</v>
      </c>
      <c r="C257" s="7" t="s">
        <v>410</v>
      </c>
      <c r="D257" s="8" t="n">
        <v>1072</v>
      </c>
      <c r="E257" s="27" t="n">
        <v>1</v>
      </c>
      <c r="F257" s="9" t="n">
        <f aca="false">IF(D257=0,0,E257/D257)</f>
        <v>0.000932835820895522</v>
      </c>
      <c r="G257" s="27" t="n">
        <v>0</v>
      </c>
      <c r="H257" s="10" t="n">
        <f aca="false">IF(D257=0,0,G257/D257*1000)</f>
        <v>0</v>
      </c>
      <c r="I257" s="8" t="n">
        <v>34</v>
      </c>
      <c r="J257" s="25" t="n">
        <v>0</v>
      </c>
      <c r="K257" s="26" t="n">
        <v>0.2754</v>
      </c>
      <c r="L257" s="26" t="n">
        <v>0.103615</v>
      </c>
      <c r="M257" s="27" t="str">
        <f aca="false">IF(D257&gt;=200,"○","-")</f>
        <v>○</v>
      </c>
    </row>
    <row r="258" customFormat="false" ht="15" hidden="false" customHeight="false" outlineLevel="0" collapsed="false">
      <c r="A258" s="7" t="s">
        <v>24</v>
      </c>
      <c r="B258" s="7" t="s">
        <v>104</v>
      </c>
      <c r="C258" s="7" t="s">
        <v>411</v>
      </c>
      <c r="D258" s="8" t="n">
        <v>1017</v>
      </c>
      <c r="E258" s="27" t="n">
        <v>3</v>
      </c>
      <c r="F258" s="9" t="n">
        <f aca="false">IF(D258=0,0,E258/D258)</f>
        <v>0.00294985250737463</v>
      </c>
      <c r="G258" s="27" t="n">
        <v>0</v>
      </c>
      <c r="H258" s="10" t="n">
        <f aca="false">IF(D258=0,0,G258/D258*1000)</f>
        <v>0</v>
      </c>
      <c r="I258" s="8" t="n">
        <v>32</v>
      </c>
      <c r="J258" s="25" t="n">
        <v>0</v>
      </c>
      <c r="K258" s="26" t="n">
        <v>0</v>
      </c>
      <c r="L258" s="26" t="n">
        <v>0.069355</v>
      </c>
      <c r="M258" s="27" t="str">
        <f aca="false">IF(D258&gt;=200,"○","-")</f>
        <v>○</v>
      </c>
    </row>
    <row r="259" customFormat="false" ht="15" hidden="false" customHeight="false" outlineLevel="0" collapsed="false">
      <c r="A259" s="7" t="s">
        <v>24</v>
      </c>
      <c r="B259" s="7" t="s">
        <v>104</v>
      </c>
      <c r="C259" s="7" t="s">
        <v>412</v>
      </c>
      <c r="D259" s="8" t="n">
        <v>1051</v>
      </c>
      <c r="E259" s="27" t="n">
        <v>4</v>
      </c>
      <c r="F259" s="9" t="n">
        <f aca="false">IF(D259=0,0,E259/D259)</f>
        <v>0.00380589914367269</v>
      </c>
      <c r="G259" s="27" t="n">
        <v>2</v>
      </c>
      <c r="H259" s="10" t="n">
        <f aca="false">IF(D259=0,0,G259/D259*1000)</f>
        <v>1.90294957183635</v>
      </c>
      <c r="I259" s="8" t="n">
        <v>105</v>
      </c>
      <c r="J259" s="25" t="n">
        <v>0.0476190476190476</v>
      </c>
      <c r="K259" s="26" t="n">
        <v>0.267</v>
      </c>
      <c r="L259" s="26" t="n">
        <v>0.03129</v>
      </c>
      <c r="M259" s="27" t="str">
        <f aca="false">IF(D259&gt;=200,"○","-")</f>
        <v>○</v>
      </c>
    </row>
    <row r="260" customFormat="false" ht="15" hidden="false" customHeight="false" outlineLevel="0" collapsed="false">
      <c r="A260" s="7" t="s">
        <v>24</v>
      </c>
      <c r="B260" s="7" t="s">
        <v>108</v>
      </c>
      <c r="C260" s="7" t="s">
        <v>413</v>
      </c>
      <c r="D260" s="8" t="n">
        <v>711</v>
      </c>
      <c r="E260" s="27" t="n">
        <v>0</v>
      </c>
      <c r="F260" s="9" t="n">
        <f aca="false">IF(D260=0,0,E260/D260)</f>
        <v>0</v>
      </c>
      <c r="G260" s="27" t="n">
        <v>0</v>
      </c>
      <c r="H260" s="10" t="n">
        <f aca="false">IF(D260=0,0,G260/D260*1000)</f>
        <v>0</v>
      </c>
      <c r="I260" s="8" t="n">
        <v>81</v>
      </c>
      <c r="J260" s="25" t="n">
        <v>0.0123456790123457</v>
      </c>
      <c r="K260" s="26" t="n">
        <v>0.2558</v>
      </c>
      <c r="L260" s="26" t="n">
        <v>0.039925</v>
      </c>
      <c r="M260" s="27" t="str">
        <f aca="false">IF(D260&gt;=200,"○","-")</f>
        <v>○</v>
      </c>
    </row>
    <row r="261" customFormat="false" ht="15" hidden="false" customHeight="false" outlineLevel="0" collapsed="false">
      <c r="A261" s="7" t="s">
        <v>24</v>
      </c>
      <c r="B261" s="7" t="s">
        <v>112</v>
      </c>
      <c r="C261" s="7" t="s">
        <v>414</v>
      </c>
      <c r="D261" s="8" t="n">
        <v>977</v>
      </c>
      <c r="E261" s="27" t="n">
        <v>1</v>
      </c>
      <c r="F261" s="9" t="n">
        <f aca="false">IF(D261=0,0,E261/D261)</f>
        <v>0.00102354145342886</v>
      </c>
      <c r="G261" s="27" t="n">
        <v>1</v>
      </c>
      <c r="H261" s="10" t="n">
        <f aca="false">IF(D261=0,0,G261/D261*1000)</f>
        <v>1.02354145342886</v>
      </c>
      <c r="I261" s="8" t="n">
        <v>52</v>
      </c>
      <c r="J261" s="25" t="n">
        <v>0</v>
      </c>
      <c r="K261" s="26" t="n">
        <v>0.2252</v>
      </c>
      <c r="L261" s="26" t="n">
        <v>0.100825</v>
      </c>
      <c r="M261" s="27" t="str">
        <f aca="false">IF(D261&gt;=200,"○","-")</f>
        <v>○</v>
      </c>
    </row>
    <row r="262" customFormat="false" ht="15" hidden="false" customHeight="false" outlineLevel="0" collapsed="false">
      <c r="A262" s="7" t="s">
        <v>24</v>
      </c>
      <c r="B262" s="7" t="s">
        <v>114</v>
      </c>
      <c r="C262" s="7" t="s">
        <v>415</v>
      </c>
      <c r="D262" s="8" t="n">
        <v>841</v>
      </c>
      <c r="E262" s="27" t="n">
        <v>3</v>
      </c>
      <c r="F262" s="9" t="n">
        <f aca="false">IF(D262=0,0,E262/D262)</f>
        <v>0.00356718192627824</v>
      </c>
      <c r="G262" s="27" t="n">
        <v>0</v>
      </c>
      <c r="H262" s="10" t="n">
        <f aca="false">IF(D262=0,0,G262/D262*1000)</f>
        <v>0</v>
      </c>
      <c r="I262" s="8" t="n">
        <v>102</v>
      </c>
      <c r="J262" s="25" t="n">
        <v>0.00980392156862745</v>
      </c>
      <c r="K262" s="26" t="n">
        <v>0.3511</v>
      </c>
      <c r="L262" s="26"/>
      <c r="M262" s="27" t="str">
        <f aca="false">IF(D262&gt;=200,"○","-")</f>
        <v>○</v>
      </c>
    </row>
    <row r="263" customFormat="false" ht="15" hidden="false" customHeight="false" outlineLevel="0" collapsed="false">
      <c r="A263" s="7" t="s">
        <v>24</v>
      </c>
      <c r="B263" s="7" t="s">
        <v>116</v>
      </c>
      <c r="C263" s="7" t="s">
        <v>416</v>
      </c>
      <c r="D263" s="8" t="n">
        <v>921</v>
      </c>
      <c r="E263" s="27" t="n">
        <v>1</v>
      </c>
      <c r="F263" s="9" t="n">
        <f aca="false">IF(D263=0,0,E263/D263)</f>
        <v>0.001085776330076</v>
      </c>
      <c r="G263" s="27" t="n">
        <v>0</v>
      </c>
      <c r="H263" s="10" t="n">
        <f aca="false">IF(D263=0,0,G263/D263*1000)</f>
        <v>0</v>
      </c>
      <c r="I263" s="8" t="n">
        <v>26</v>
      </c>
      <c r="J263" s="25" t="n">
        <v>0</v>
      </c>
      <c r="K263" s="26" t="n">
        <v>0.25</v>
      </c>
      <c r="L263" s="26"/>
      <c r="M263" s="27" t="str">
        <f aca="false">IF(D263&gt;=200,"○","-")</f>
        <v>○</v>
      </c>
    </row>
    <row r="264" customFormat="false" ht="15" hidden="false" customHeight="false" outlineLevel="0" collapsed="false">
      <c r="A264" s="7" t="s">
        <v>24</v>
      </c>
      <c r="B264" s="7" t="s">
        <v>118</v>
      </c>
      <c r="C264" s="7" t="s">
        <v>417</v>
      </c>
      <c r="D264" s="8" t="n">
        <v>947</v>
      </c>
      <c r="E264" s="27" t="n">
        <v>2</v>
      </c>
      <c r="F264" s="9" t="n">
        <f aca="false">IF(D264=0,0,E264/D264)</f>
        <v>0.00211193241816262</v>
      </c>
      <c r="G264" s="27" t="n">
        <v>1</v>
      </c>
      <c r="H264" s="10" t="n">
        <f aca="false">IF(D264=0,0,G264/D264*1000)</f>
        <v>1.05596620908131</v>
      </c>
      <c r="I264" s="8" t="n">
        <v>113</v>
      </c>
      <c r="J264" s="25" t="n">
        <v>0.0265486725663717</v>
      </c>
      <c r="K264" s="26" t="n">
        <v>0</v>
      </c>
      <c r="L264" s="26" t="n">
        <v>0.057505</v>
      </c>
      <c r="M264" s="27" t="str">
        <f aca="false">IF(D264&gt;=200,"○","-")</f>
        <v>○</v>
      </c>
    </row>
    <row r="265" customFormat="false" ht="15" hidden="false" customHeight="false" outlineLevel="0" collapsed="false">
      <c r="A265" s="7" t="s">
        <v>24</v>
      </c>
      <c r="B265" s="7" t="s">
        <v>118</v>
      </c>
      <c r="C265" s="7" t="s">
        <v>418</v>
      </c>
      <c r="D265" s="8" t="n">
        <v>866</v>
      </c>
      <c r="E265" s="27" t="n">
        <v>3</v>
      </c>
      <c r="F265" s="9" t="n">
        <f aca="false">IF(D265=0,0,E265/D265)</f>
        <v>0.00346420323325635</v>
      </c>
      <c r="G265" s="27" t="n">
        <v>0</v>
      </c>
      <c r="H265" s="10" t="n">
        <f aca="false">IF(D265=0,0,G265/D265*1000)</f>
        <v>0</v>
      </c>
      <c r="I265" s="8" t="n">
        <v>35</v>
      </c>
      <c r="J265" s="25" t="n">
        <v>0</v>
      </c>
      <c r="K265" s="26" t="n">
        <v>0.4186</v>
      </c>
      <c r="L265" s="26"/>
      <c r="M265" s="27" t="str">
        <f aca="false">IF(D265&gt;=200,"○","-")</f>
        <v>○</v>
      </c>
    </row>
    <row r="266" customFormat="false" ht="15" hidden="false" customHeight="false" outlineLevel="0" collapsed="false">
      <c r="A266" s="28" t="s">
        <v>24</v>
      </c>
      <c r="B266" s="28" t="s">
        <v>121</v>
      </c>
      <c r="C266" s="28" t="s">
        <v>419</v>
      </c>
      <c r="D266" s="30" t="n">
        <v>165</v>
      </c>
      <c r="E266" s="28" t="n">
        <v>0</v>
      </c>
      <c r="F266" s="31" t="n">
        <f aca="false">IF(D266=0,0,E266/D266)</f>
        <v>0</v>
      </c>
      <c r="G266" s="28" t="n">
        <v>0</v>
      </c>
      <c r="H266" s="32" t="n">
        <f aca="false">IF(D266=0,0,G266/D266*1000)</f>
        <v>0</v>
      </c>
      <c r="I266" s="30" t="n">
        <v>11</v>
      </c>
      <c r="J266" s="33" t="n">
        <v>0</v>
      </c>
      <c r="K266" s="34" t="n">
        <v>0.2162</v>
      </c>
      <c r="L266" s="34"/>
      <c r="M266" s="28" t="str">
        <f aca="false">IF(D266&gt;=200,"○","-")</f>
        <v>-</v>
      </c>
    </row>
    <row r="267" customFormat="false" ht="15" hidden="false" customHeight="false" outlineLevel="0" collapsed="false">
      <c r="A267" s="7" t="s">
        <v>24</v>
      </c>
      <c r="B267" s="7" t="s">
        <v>121</v>
      </c>
      <c r="C267" s="7" t="s">
        <v>420</v>
      </c>
      <c r="D267" s="8" t="n">
        <v>934</v>
      </c>
      <c r="E267" s="27" t="n">
        <v>3</v>
      </c>
      <c r="F267" s="9" t="n">
        <f aca="false">IF(D267=0,0,E267/D267)</f>
        <v>0.00321199143468951</v>
      </c>
      <c r="G267" s="27" t="n">
        <v>0</v>
      </c>
      <c r="H267" s="10" t="n">
        <f aca="false">IF(D267=0,0,G267/D267*1000)</f>
        <v>0</v>
      </c>
      <c r="I267" s="8" t="n">
        <v>14</v>
      </c>
      <c r="J267" s="25" t="n">
        <v>0</v>
      </c>
      <c r="K267" s="26" t="n">
        <v>0.3939</v>
      </c>
      <c r="L267" s="26" t="n">
        <v>0.11689</v>
      </c>
      <c r="M267" s="27" t="str">
        <f aca="false">IF(D267&gt;=200,"○","-")</f>
        <v>○</v>
      </c>
    </row>
    <row r="268" customFormat="false" ht="15" hidden="false" customHeight="false" outlineLevel="0" collapsed="false">
      <c r="A268" s="7" t="s">
        <v>24</v>
      </c>
      <c r="B268" s="7" t="s">
        <v>124</v>
      </c>
      <c r="C268" s="7" t="s">
        <v>421</v>
      </c>
      <c r="D268" s="8" t="n">
        <v>974</v>
      </c>
      <c r="E268" s="27" t="n">
        <v>3</v>
      </c>
      <c r="F268" s="9" t="n">
        <f aca="false">IF(D268=0,0,E268/D268)</f>
        <v>0.00308008213552361</v>
      </c>
      <c r="G268" s="27" t="n">
        <v>0</v>
      </c>
      <c r="H268" s="10" t="n">
        <f aca="false">IF(D268=0,0,G268/D268*1000)</f>
        <v>0</v>
      </c>
      <c r="I268" s="8" t="n">
        <v>10</v>
      </c>
      <c r="J268" s="25" t="n">
        <v>0</v>
      </c>
      <c r="K268" s="26" t="n">
        <v>0.3928</v>
      </c>
      <c r="L268" s="26" t="n">
        <v>0.172</v>
      </c>
      <c r="M268" s="27" t="str">
        <f aca="false">IF(D268&gt;=200,"○","-")</f>
        <v>○</v>
      </c>
    </row>
    <row r="269" customFormat="false" ht="15" hidden="false" customHeight="false" outlineLevel="0" collapsed="false">
      <c r="A269" s="28" t="s">
        <v>24</v>
      </c>
      <c r="B269" s="28" t="s">
        <v>126</v>
      </c>
      <c r="C269" s="28" t="s">
        <v>422</v>
      </c>
      <c r="D269" s="30" t="n">
        <v>0</v>
      </c>
      <c r="E269" s="28" t="n">
        <v>0</v>
      </c>
      <c r="F269" s="31" t="n">
        <f aca="false">IF(D269=0,0,E269/D269)</f>
        <v>0</v>
      </c>
      <c r="G269" s="28" t="n">
        <v>0</v>
      </c>
      <c r="H269" s="32" t="n">
        <f aca="false">IF(D269=0,0,G269/D269*1000)</f>
        <v>0</v>
      </c>
      <c r="I269" s="30" t="n">
        <v>0</v>
      </c>
      <c r="J269" s="33" t="n">
        <v>0</v>
      </c>
      <c r="K269" s="34" t="n">
        <v>0</v>
      </c>
      <c r="L269" s="34"/>
      <c r="M269" s="28" t="str">
        <f aca="false">IF(D269&gt;=200,"○","-")</f>
        <v>-</v>
      </c>
    </row>
    <row r="270" customFormat="false" ht="15" hidden="false" customHeight="false" outlineLevel="0" collapsed="false">
      <c r="A270" s="28" t="s">
        <v>24</v>
      </c>
      <c r="B270" s="28" t="s">
        <v>126</v>
      </c>
      <c r="C270" s="28" t="s">
        <v>423</v>
      </c>
      <c r="D270" s="30" t="n">
        <v>0</v>
      </c>
      <c r="E270" s="28" t="n">
        <v>0</v>
      </c>
      <c r="F270" s="31" t="n">
        <f aca="false">IF(D270=0,0,E270/D270)</f>
        <v>0</v>
      </c>
      <c r="G270" s="28" t="n">
        <v>0</v>
      </c>
      <c r="H270" s="32" t="n">
        <f aca="false">IF(D270=0,0,G270/D270*1000)</f>
        <v>0</v>
      </c>
      <c r="I270" s="30" t="n">
        <v>0</v>
      </c>
      <c r="J270" s="33" t="n">
        <v>0</v>
      </c>
      <c r="K270" s="34" t="n">
        <v>0</v>
      </c>
      <c r="L270" s="34"/>
      <c r="M270" s="28" t="str">
        <f aca="false">IF(D270&gt;=200,"○","-")</f>
        <v>-</v>
      </c>
    </row>
    <row r="271" customFormat="false" ht="15" hidden="false" customHeight="false" outlineLevel="0" collapsed="false">
      <c r="A271" s="28" t="s">
        <v>24</v>
      </c>
      <c r="B271" s="28" t="s">
        <v>129</v>
      </c>
      <c r="C271" s="29" t="s">
        <v>424</v>
      </c>
      <c r="D271" s="30" t="n">
        <v>0</v>
      </c>
      <c r="E271" s="28" t="n">
        <v>0</v>
      </c>
      <c r="F271" s="31" t="n">
        <f aca="false">IF(D271=0,0,E271/D271)</f>
        <v>0</v>
      </c>
      <c r="G271" s="28" t="n">
        <v>0</v>
      </c>
      <c r="H271" s="32" t="n">
        <f aca="false">IF(D271=0,0,G271/D271*1000)</f>
        <v>0</v>
      </c>
      <c r="I271" s="30" t="n">
        <v>0</v>
      </c>
      <c r="J271" s="33" t="n">
        <v>0</v>
      </c>
      <c r="K271" s="34" t="n">
        <v>0</v>
      </c>
      <c r="L271" s="34"/>
      <c r="M271" s="28" t="str">
        <f aca="false">IF(D271&gt;=200,"○","-")</f>
        <v>-</v>
      </c>
    </row>
    <row r="272" customFormat="false" ht="15" hidden="false" customHeight="false" outlineLevel="0" collapsed="false">
      <c r="A272" s="28" t="s">
        <v>20</v>
      </c>
      <c r="B272" s="28" t="s">
        <v>425</v>
      </c>
      <c r="C272" s="29" t="s">
        <v>426</v>
      </c>
      <c r="D272" s="30" t="n">
        <v>0</v>
      </c>
      <c r="E272" s="28" t="n">
        <v>0</v>
      </c>
      <c r="F272" s="31" t="n">
        <f aca="false">IF(D272=0,0,E272/D272)</f>
        <v>0</v>
      </c>
      <c r="G272" s="28" t="n">
        <v>0</v>
      </c>
      <c r="H272" s="32" t="n">
        <f aca="false">IF(D272=0,0,G272/D272*1000)</f>
        <v>0</v>
      </c>
      <c r="I272" s="30" t="n">
        <v>0</v>
      </c>
      <c r="J272" s="33" t="n">
        <v>0</v>
      </c>
      <c r="K272" s="34" t="n">
        <v>0</v>
      </c>
      <c r="L272" s="34"/>
      <c r="M272" s="28" t="str">
        <f aca="false">IF(D272&gt;=200,"○","-")</f>
        <v>-</v>
      </c>
    </row>
    <row r="273" customFormat="false" ht="15" hidden="false" customHeight="false" outlineLevel="0" collapsed="false">
      <c r="A273" s="28" t="s">
        <v>20</v>
      </c>
      <c r="B273" s="28" t="s">
        <v>425</v>
      </c>
      <c r="C273" s="29" t="s">
        <v>427</v>
      </c>
      <c r="D273" s="30" t="n">
        <v>0</v>
      </c>
      <c r="E273" s="28" t="n">
        <v>0</v>
      </c>
      <c r="F273" s="31" t="n">
        <f aca="false">IF(D273=0,0,E273/D273)</f>
        <v>0</v>
      </c>
      <c r="G273" s="28" t="n">
        <v>0</v>
      </c>
      <c r="H273" s="32" t="n">
        <f aca="false">IF(D273=0,0,G273/D273*1000)</f>
        <v>0</v>
      </c>
      <c r="I273" s="30" t="n">
        <v>0</v>
      </c>
      <c r="J273" s="33" t="n">
        <v>0</v>
      </c>
      <c r="K273" s="34" t="n">
        <v>0</v>
      </c>
      <c r="L273" s="34"/>
      <c r="M273" s="28" t="str">
        <f aca="false">IF(D273&gt;=200,"○","-")</f>
        <v>-</v>
      </c>
    </row>
    <row r="274" customFormat="false" ht="15" hidden="false" customHeight="false" outlineLevel="0" collapsed="false">
      <c r="A274" s="28" t="s">
        <v>20</v>
      </c>
      <c r="B274" s="28" t="s">
        <v>428</v>
      </c>
      <c r="C274" s="29" t="s">
        <v>429</v>
      </c>
      <c r="D274" s="30" t="n">
        <v>0</v>
      </c>
      <c r="E274" s="28" t="n">
        <v>0</v>
      </c>
      <c r="F274" s="31" t="n">
        <f aca="false">IF(D274=0,0,E274/D274)</f>
        <v>0</v>
      </c>
      <c r="G274" s="28" t="n">
        <v>0</v>
      </c>
      <c r="H274" s="32" t="n">
        <f aca="false">IF(D274=0,0,G274/D274*1000)</f>
        <v>0</v>
      </c>
      <c r="I274" s="30" t="n">
        <v>0</v>
      </c>
      <c r="J274" s="33" t="n">
        <v>0</v>
      </c>
      <c r="K274" s="34" t="n">
        <v>0</v>
      </c>
      <c r="L274" s="34"/>
      <c r="M274" s="28" t="str">
        <f aca="false">IF(D274&gt;=200,"○","-")</f>
        <v>-</v>
      </c>
    </row>
    <row r="275" customFormat="false" ht="15" hidden="false" customHeight="false" outlineLevel="0" collapsed="false">
      <c r="A275" s="28" t="s">
        <v>20</v>
      </c>
      <c r="B275" s="28" t="s">
        <v>428</v>
      </c>
      <c r="C275" s="28" t="s">
        <v>430</v>
      </c>
      <c r="D275" s="30" t="n">
        <v>0</v>
      </c>
      <c r="E275" s="28" t="n">
        <v>0</v>
      </c>
      <c r="F275" s="31" t="n">
        <f aca="false">IF(D275=0,0,E275/D275)</f>
        <v>0</v>
      </c>
      <c r="G275" s="28" t="n">
        <v>0</v>
      </c>
      <c r="H275" s="32" t="n">
        <f aca="false">IF(D275=0,0,G275/D275*1000)</f>
        <v>0</v>
      </c>
      <c r="I275" s="30" t="n">
        <v>0</v>
      </c>
      <c r="J275" s="33" t="n">
        <v>0</v>
      </c>
      <c r="K275" s="34" t="n">
        <v>0</v>
      </c>
      <c r="L275" s="34" t="n">
        <v>0.30695</v>
      </c>
      <c r="M275" s="28" t="str">
        <f aca="false">IF(D275&gt;=200,"○","-")</f>
        <v>-</v>
      </c>
    </row>
    <row r="276" customFormat="false" ht="15" hidden="false" customHeight="false" outlineLevel="0" collapsed="false">
      <c r="A276" s="28" t="s">
        <v>20</v>
      </c>
      <c r="B276" s="28" t="s">
        <v>145</v>
      </c>
      <c r="C276" s="29" t="s">
        <v>431</v>
      </c>
      <c r="D276" s="30" t="n">
        <v>0</v>
      </c>
      <c r="E276" s="28" t="n">
        <v>0</v>
      </c>
      <c r="F276" s="31" t="n">
        <f aca="false">IF(D276=0,0,E276/D276)</f>
        <v>0</v>
      </c>
      <c r="G276" s="28" t="n">
        <v>0</v>
      </c>
      <c r="H276" s="32" t="n">
        <f aca="false">IF(D276=0,0,G276/D276*1000)</f>
        <v>0</v>
      </c>
      <c r="I276" s="30" t="n">
        <v>0</v>
      </c>
      <c r="J276" s="33" t="n">
        <v>0</v>
      </c>
      <c r="K276" s="34" t="n">
        <v>0</v>
      </c>
      <c r="L276" s="34"/>
      <c r="M276" s="28" t="str">
        <f aca="false">IF(D276&gt;=200,"○","-")</f>
        <v>-</v>
      </c>
    </row>
    <row r="277" customFormat="false" ht="15" hidden="false" customHeight="false" outlineLevel="0" collapsed="false">
      <c r="A277" s="28" t="s">
        <v>20</v>
      </c>
      <c r="B277" s="28" t="s">
        <v>145</v>
      </c>
      <c r="C277" s="29" t="s">
        <v>432</v>
      </c>
      <c r="D277" s="30" t="n">
        <v>0</v>
      </c>
      <c r="E277" s="28" t="n">
        <v>0</v>
      </c>
      <c r="F277" s="31" t="n">
        <f aca="false">IF(D277=0,0,E277/D277)</f>
        <v>0</v>
      </c>
      <c r="G277" s="28" t="n">
        <v>0</v>
      </c>
      <c r="H277" s="32" t="n">
        <f aca="false">IF(D277=0,0,G277/D277*1000)</f>
        <v>0</v>
      </c>
      <c r="I277" s="30" t="n">
        <v>0</v>
      </c>
      <c r="J277" s="33" t="n">
        <v>0</v>
      </c>
      <c r="K277" s="34" t="n">
        <v>0</v>
      </c>
      <c r="L277" s="34" t="n">
        <v>0.165115</v>
      </c>
      <c r="M277" s="28" t="str">
        <f aca="false">IF(D277&gt;=200,"○","-")</f>
        <v>-</v>
      </c>
    </row>
    <row r="278" customFormat="false" ht="15" hidden="false" customHeight="false" outlineLevel="0" collapsed="false">
      <c r="A278" s="28" t="s">
        <v>20</v>
      </c>
      <c r="B278" s="28" t="s">
        <v>433</v>
      </c>
      <c r="C278" s="29" t="s">
        <v>434</v>
      </c>
      <c r="D278" s="30" t="n">
        <v>0</v>
      </c>
      <c r="E278" s="28" t="n">
        <v>0</v>
      </c>
      <c r="F278" s="31" t="n">
        <f aca="false">IF(D278=0,0,E278/D278)</f>
        <v>0</v>
      </c>
      <c r="G278" s="28" t="n">
        <v>0</v>
      </c>
      <c r="H278" s="32" t="n">
        <f aca="false">IF(D278=0,0,G278/D278*1000)</f>
        <v>0</v>
      </c>
      <c r="I278" s="30" t="n">
        <v>0</v>
      </c>
      <c r="J278" s="33" t="n">
        <v>0</v>
      </c>
      <c r="K278" s="34" t="n">
        <v>0</v>
      </c>
      <c r="L278" s="34"/>
      <c r="M278" s="28" t="str">
        <f aca="false">IF(D278&gt;=200,"○","-")</f>
        <v>-</v>
      </c>
    </row>
    <row r="279" customFormat="false" ht="15" hidden="false" customHeight="false" outlineLevel="0" collapsed="false">
      <c r="A279" s="28" t="s">
        <v>20</v>
      </c>
      <c r="B279" s="28" t="s">
        <v>433</v>
      </c>
      <c r="C279" s="29" t="s">
        <v>435</v>
      </c>
      <c r="D279" s="30" t="n">
        <v>0</v>
      </c>
      <c r="E279" s="28" t="n">
        <v>0</v>
      </c>
      <c r="F279" s="31" t="n">
        <f aca="false">IF(D279=0,0,E279/D279)</f>
        <v>0</v>
      </c>
      <c r="G279" s="28" t="n">
        <v>0</v>
      </c>
      <c r="H279" s="32" t="n">
        <f aca="false">IF(D279=0,0,G279/D279*1000)</f>
        <v>0</v>
      </c>
      <c r="I279" s="30" t="n">
        <v>0</v>
      </c>
      <c r="J279" s="33" t="n">
        <v>0</v>
      </c>
      <c r="K279" s="34" t="n">
        <v>0</v>
      </c>
      <c r="L279" s="34"/>
      <c r="M279" s="28" t="str">
        <f aca="false">IF(D279&gt;=200,"○","-")</f>
        <v>-</v>
      </c>
    </row>
    <row r="280" customFormat="false" ht="15" hidden="false" customHeight="false" outlineLevel="0" collapsed="false">
      <c r="A280" s="28" t="s">
        <v>20</v>
      </c>
      <c r="B280" s="28" t="s">
        <v>153</v>
      </c>
      <c r="C280" s="29" t="s">
        <v>436</v>
      </c>
      <c r="D280" s="30" t="n">
        <v>0</v>
      </c>
      <c r="E280" s="28" t="n">
        <v>0</v>
      </c>
      <c r="F280" s="31" t="n">
        <f aca="false">IF(D280=0,0,E280/D280)</f>
        <v>0</v>
      </c>
      <c r="G280" s="28" t="n">
        <v>0</v>
      </c>
      <c r="H280" s="32" t="n">
        <f aca="false">IF(D280=0,0,G280/D280*1000)</f>
        <v>0</v>
      </c>
      <c r="I280" s="30" t="n">
        <v>0</v>
      </c>
      <c r="J280" s="33" t="n">
        <v>0</v>
      </c>
      <c r="K280" s="34" t="n">
        <v>0</v>
      </c>
      <c r="L280" s="34"/>
      <c r="M280" s="28" t="str">
        <f aca="false">IF(D280&gt;=200,"○","-")</f>
        <v>-</v>
      </c>
    </row>
    <row r="281" customFormat="false" ht="15" hidden="false" customHeight="false" outlineLevel="0" collapsed="false">
      <c r="A281" s="28" t="s">
        <v>20</v>
      </c>
      <c r="B281" s="28" t="s">
        <v>153</v>
      </c>
      <c r="C281" s="29" t="s">
        <v>437</v>
      </c>
      <c r="D281" s="30" t="n">
        <v>0</v>
      </c>
      <c r="E281" s="28" t="n">
        <v>0</v>
      </c>
      <c r="F281" s="31" t="n">
        <f aca="false">IF(D281=0,0,E281/D281)</f>
        <v>0</v>
      </c>
      <c r="G281" s="28" t="n">
        <v>0</v>
      </c>
      <c r="H281" s="32" t="n">
        <f aca="false">IF(D281=0,0,G281/D281*1000)</f>
        <v>0</v>
      </c>
      <c r="I281" s="30" t="n">
        <v>0</v>
      </c>
      <c r="J281" s="33" t="n">
        <v>0</v>
      </c>
      <c r="K281" s="34" t="n">
        <v>0</v>
      </c>
      <c r="L281" s="34"/>
      <c r="M281" s="28" t="str">
        <f aca="false">IF(D281&gt;=200,"○","-")</f>
        <v>-</v>
      </c>
    </row>
    <row r="282" customFormat="false" ht="15" hidden="false" customHeight="false" outlineLevel="0" collapsed="false">
      <c r="A282" s="28" t="s">
        <v>20</v>
      </c>
      <c r="B282" s="28" t="s">
        <v>165</v>
      </c>
      <c r="C282" s="28" t="s">
        <v>438</v>
      </c>
      <c r="D282" s="30" t="n">
        <v>0</v>
      </c>
      <c r="E282" s="28" t="n">
        <v>0</v>
      </c>
      <c r="F282" s="31" t="n">
        <f aca="false">IF(D282=0,0,E282/D282)</f>
        <v>0</v>
      </c>
      <c r="G282" s="28" t="n">
        <v>0</v>
      </c>
      <c r="H282" s="32" t="n">
        <f aca="false">IF(D282=0,0,G282/D282*1000)</f>
        <v>0</v>
      </c>
      <c r="I282" s="30" t="n">
        <v>0</v>
      </c>
      <c r="J282" s="33" t="n">
        <v>0</v>
      </c>
      <c r="K282" s="34" t="n">
        <v>0</v>
      </c>
      <c r="L282" s="34"/>
      <c r="M282" s="28" t="str">
        <f aca="false">IF(D282&gt;=200,"○","-")</f>
        <v>-</v>
      </c>
    </row>
    <row r="283" customFormat="false" ht="15" hidden="false" customHeight="false" outlineLevel="0" collapsed="false">
      <c r="A283" s="28" t="s">
        <v>20</v>
      </c>
      <c r="B283" s="28" t="s">
        <v>439</v>
      </c>
      <c r="C283" s="29" t="s">
        <v>440</v>
      </c>
      <c r="D283" s="30" t="n">
        <v>0</v>
      </c>
      <c r="E283" s="28" t="n">
        <v>0</v>
      </c>
      <c r="F283" s="31" t="n">
        <f aca="false">IF(D283=0,0,E283/D283)</f>
        <v>0</v>
      </c>
      <c r="G283" s="28" t="n">
        <v>0</v>
      </c>
      <c r="H283" s="32" t="n">
        <f aca="false">IF(D283=0,0,G283/D283*1000)</f>
        <v>0</v>
      </c>
      <c r="I283" s="30" t="n">
        <v>0</v>
      </c>
      <c r="J283" s="33" t="n">
        <v>0</v>
      </c>
      <c r="K283" s="34" t="n">
        <v>0</v>
      </c>
      <c r="L283" s="34"/>
      <c r="M283" s="28" t="str">
        <f aca="false">IF(D283&gt;=200,"○","-")</f>
        <v>-</v>
      </c>
    </row>
    <row r="284" customFormat="false" ht="15" hidden="false" customHeight="false" outlineLevel="0" collapsed="false">
      <c r="A284" s="28" t="s">
        <v>20</v>
      </c>
      <c r="B284" s="28" t="s">
        <v>441</v>
      </c>
      <c r="C284" s="29" t="s">
        <v>442</v>
      </c>
      <c r="D284" s="30" t="n">
        <v>0</v>
      </c>
      <c r="E284" s="28" t="n">
        <v>0</v>
      </c>
      <c r="F284" s="31" t="n">
        <f aca="false">IF(D284=0,0,E284/D284)</f>
        <v>0</v>
      </c>
      <c r="G284" s="28" t="n">
        <v>0</v>
      </c>
      <c r="H284" s="32" t="n">
        <f aca="false">IF(D284=0,0,G284/D284*1000)</f>
        <v>0</v>
      </c>
      <c r="I284" s="30" t="n">
        <v>0</v>
      </c>
      <c r="J284" s="33" t="n">
        <v>0</v>
      </c>
      <c r="K284" s="34" t="n">
        <v>0</v>
      </c>
      <c r="L284" s="34"/>
      <c r="M284" s="28" t="str">
        <f aca="false">IF(D284&gt;=200,"○","-")</f>
        <v>-</v>
      </c>
    </row>
    <row r="285" customFormat="false" ht="15" hidden="false" customHeight="false" outlineLevel="0" collapsed="false">
      <c r="A285" s="28" t="s">
        <v>20</v>
      </c>
      <c r="B285" s="28" t="s">
        <v>443</v>
      </c>
      <c r="C285" s="29" t="s">
        <v>444</v>
      </c>
      <c r="D285" s="30" t="n">
        <v>0</v>
      </c>
      <c r="E285" s="28" t="n">
        <v>0</v>
      </c>
      <c r="F285" s="31" t="n">
        <f aca="false">IF(D285=0,0,E285/D285)</f>
        <v>0</v>
      </c>
      <c r="G285" s="28" t="n">
        <v>0</v>
      </c>
      <c r="H285" s="32" t="n">
        <f aca="false">IF(D285=0,0,G285/D285*1000)</f>
        <v>0</v>
      </c>
      <c r="I285" s="30" t="n">
        <v>0</v>
      </c>
      <c r="J285" s="33" t="n">
        <v>0</v>
      </c>
      <c r="K285" s="34" t="n">
        <v>0</v>
      </c>
      <c r="L285" s="34"/>
      <c r="M285" s="28" t="str">
        <f aca="false">IF(D285&gt;=200,"○","-")</f>
        <v>-</v>
      </c>
    </row>
    <row r="286" customFormat="false" ht="15" hidden="false" customHeight="false" outlineLevel="0" collapsed="false">
      <c r="A286" s="28" t="s">
        <v>20</v>
      </c>
      <c r="B286" s="28" t="s">
        <v>445</v>
      </c>
      <c r="C286" s="29" t="s">
        <v>446</v>
      </c>
      <c r="D286" s="30" t="n">
        <v>0</v>
      </c>
      <c r="E286" s="28" t="n">
        <v>0</v>
      </c>
      <c r="F286" s="31" t="n">
        <f aca="false">IF(D286=0,0,E286/D286)</f>
        <v>0</v>
      </c>
      <c r="G286" s="28" t="n">
        <v>0</v>
      </c>
      <c r="H286" s="32" t="n">
        <f aca="false">IF(D286=0,0,G286/D286*1000)</f>
        <v>0</v>
      </c>
      <c r="I286" s="30" t="n">
        <v>0</v>
      </c>
      <c r="J286" s="33" t="n">
        <v>0</v>
      </c>
      <c r="K286" s="34" t="n">
        <v>0</v>
      </c>
      <c r="L286" s="34"/>
      <c r="M286" s="28" t="str">
        <f aca="false">IF(D286&gt;=200,"○","-")</f>
        <v>-</v>
      </c>
    </row>
    <row r="287" customFormat="false" ht="15" hidden="false" customHeight="false" outlineLevel="0" collapsed="false">
      <c r="A287" s="28" t="s">
        <v>20</v>
      </c>
      <c r="B287" s="28" t="s">
        <v>171</v>
      </c>
      <c r="C287" s="29" t="s">
        <v>447</v>
      </c>
      <c r="D287" s="30" t="n">
        <v>0</v>
      </c>
      <c r="E287" s="28" t="n">
        <v>0</v>
      </c>
      <c r="F287" s="31" t="n">
        <f aca="false">IF(D287=0,0,E287/D287)</f>
        <v>0</v>
      </c>
      <c r="G287" s="28" t="n">
        <v>0</v>
      </c>
      <c r="H287" s="32" t="n">
        <f aca="false">IF(D287=0,0,G287/D287*1000)</f>
        <v>0</v>
      </c>
      <c r="I287" s="30" t="n">
        <v>0</v>
      </c>
      <c r="J287" s="33" t="n">
        <v>0</v>
      </c>
      <c r="K287" s="34" t="n">
        <v>0</v>
      </c>
      <c r="L287" s="34"/>
      <c r="M287" s="28" t="str">
        <f aca="false">IF(D287&gt;=200,"○","-")</f>
        <v>-</v>
      </c>
    </row>
    <row r="288" customFormat="false" ht="15" hidden="false" customHeight="false" outlineLevel="0" collapsed="false">
      <c r="A288" s="28" t="s">
        <v>20</v>
      </c>
      <c r="B288" s="28" t="s">
        <v>173</v>
      </c>
      <c r="C288" s="29" t="s">
        <v>448</v>
      </c>
      <c r="D288" s="30" t="n">
        <v>0</v>
      </c>
      <c r="E288" s="28" t="n">
        <v>0</v>
      </c>
      <c r="F288" s="31" t="n">
        <f aca="false">IF(D288=0,0,E288/D288)</f>
        <v>0</v>
      </c>
      <c r="G288" s="28" t="n">
        <v>0</v>
      </c>
      <c r="H288" s="32" t="n">
        <f aca="false">IF(D288=0,0,G288/D288*1000)</f>
        <v>0</v>
      </c>
      <c r="I288" s="30" t="n">
        <v>0</v>
      </c>
      <c r="J288" s="33" t="n">
        <v>0</v>
      </c>
      <c r="K288" s="34" t="n">
        <v>0</v>
      </c>
      <c r="L288" s="34"/>
      <c r="M288" s="28" t="str">
        <f aca="false">IF(D288&gt;=200,"○","-")</f>
        <v>-</v>
      </c>
    </row>
    <row r="289" customFormat="false" ht="15" hidden="false" customHeight="false" outlineLevel="0" collapsed="false">
      <c r="A289" s="28" t="s">
        <v>20</v>
      </c>
      <c r="B289" s="28" t="s">
        <v>173</v>
      </c>
      <c r="C289" s="29" t="s">
        <v>449</v>
      </c>
      <c r="D289" s="30" t="n">
        <v>0</v>
      </c>
      <c r="E289" s="28" t="n">
        <v>0</v>
      </c>
      <c r="F289" s="31" t="n">
        <f aca="false">IF(D289=0,0,E289/D289)</f>
        <v>0</v>
      </c>
      <c r="G289" s="28" t="n">
        <v>0</v>
      </c>
      <c r="H289" s="32" t="n">
        <f aca="false">IF(D289=0,0,G289/D289*1000)</f>
        <v>0</v>
      </c>
      <c r="I289" s="30" t="n">
        <v>0</v>
      </c>
      <c r="J289" s="33" t="n">
        <v>0</v>
      </c>
      <c r="K289" s="34" t="n">
        <v>0</v>
      </c>
      <c r="L289" s="34"/>
      <c r="M289" s="28" t="str">
        <f aca="false">IF(D289&gt;=200,"○","-")</f>
        <v>-</v>
      </c>
    </row>
    <row r="290" customFormat="false" ht="15" hidden="false" customHeight="false" outlineLevel="0" collapsed="false">
      <c r="A290" s="28" t="s">
        <v>20</v>
      </c>
      <c r="B290" s="28" t="s">
        <v>173</v>
      </c>
      <c r="C290" s="29" t="s">
        <v>450</v>
      </c>
      <c r="D290" s="30" t="n">
        <v>0</v>
      </c>
      <c r="E290" s="28" t="n">
        <v>0</v>
      </c>
      <c r="F290" s="31" t="n">
        <f aca="false">IF(D290=0,0,E290/D290)</f>
        <v>0</v>
      </c>
      <c r="G290" s="28" t="n">
        <v>0</v>
      </c>
      <c r="H290" s="32" t="n">
        <f aca="false">IF(D290=0,0,G290/D290*1000)</f>
        <v>0</v>
      </c>
      <c r="I290" s="30" t="n">
        <v>0</v>
      </c>
      <c r="J290" s="33" t="n">
        <v>0</v>
      </c>
      <c r="K290" s="34" t="n">
        <v>0</v>
      </c>
      <c r="L290" s="34"/>
      <c r="M290" s="28" t="str">
        <f aca="false">IF(D290&gt;=200,"○","-")</f>
        <v>-</v>
      </c>
    </row>
    <row r="291" customFormat="false" ht="15" hidden="false" customHeight="false" outlineLevel="0" collapsed="false">
      <c r="A291" s="28" t="s">
        <v>20</v>
      </c>
      <c r="B291" s="28" t="s">
        <v>176</v>
      </c>
      <c r="C291" s="29" t="s">
        <v>451</v>
      </c>
      <c r="D291" s="30" t="n">
        <v>0</v>
      </c>
      <c r="E291" s="28" t="n">
        <v>0</v>
      </c>
      <c r="F291" s="31" t="n">
        <f aca="false">IF(D291=0,0,E291/D291)</f>
        <v>0</v>
      </c>
      <c r="G291" s="28" t="n">
        <v>0</v>
      </c>
      <c r="H291" s="32" t="n">
        <f aca="false">IF(D291=0,0,G291/D291*1000)</f>
        <v>0</v>
      </c>
      <c r="I291" s="30" t="n">
        <v>0</v>
      </c>
      <c r="J291" s="33" t="n">
        <v>0</v>
      </c>
      <c r="K291" s="34" t="n">
        <v>0</v>
      </c>
      <c r="L291" s="34"/>
      <c r="M291" s="28" t="str">
        <f aca="false">IF(D291&gt;=200,"○","-")</f>
        <v>-</v>
      </c>
    </row>
    <row r="292" customFormat="false" ht="15" hidden="false" customHeight="false" outlineLevel="0" collapsed="false">
      <c r="A292" s="28" t="s">
        <v>20</v>
      </c>
      <c r="B292" s="28" t="s">
        <v>176</v>
      </c>
      <c r="C292" s="29" t="s">
        <v>452</v>
      </c>
      <c r="D292" s="30" t="n">
        <v>0</v>
      </c>
      <c r="E292" s="28" t="n">
        <v>0</v>
      </c>
      <c r="F292" s="31" t="n">
        <f aca="false">IF(D292=0,0,E292/D292)</f>
        <v>0</v>
      </c>
      <c r="G292" s="28" t="n">
        <v>0</v>
      </c>
      <c r="H292" s="32" t="n">
        <f aca="false">IF(D292=0,0,G292/D292*1000)</f>
        <v>0</v>
      </c>
      <c r="I292" s="30" t="n">
        <v>0</v>
      </c>
      <c r="J292" s="33" t="n">
        <v>0</v>
      </c>
      <c r="K292" s="34" t="n">
        <v>0</v>
      </c>
      <c r="L292" s="34"/>
      <c r="M292" s="28" t="str">
        <f aca="false">IF(D292&gt;=200,"○","-")</f>
        <v>-</v>
      </c>
    </row>
    <row r="293" customFormat="false" ht="15" hidden="false" customHeight="false" outlineLevel="0" collapsed="false">
      <c r="A293" s="28" t="s">
        <v>20</v>
      </c>
      <c r="B293" s="28" t="s">
        <v>176</v>
      </c>
      <c r="C293" s="29" t="s">
        <v>453</v>
      </c>
      <c r="D293" s="30" t="n">
        <v>0</v>
      </c>
      <c r="E293" s="28" t="n">
        <v>0</v>
      </c>
      <c r="F293" s="31" t="n">
        <f aca="false">IF(D293=0,0,E293/D293)</f>
        <v>0</v>
      </c>
      <c r="G293" s="28" t="n">
        <v>0</v>
      </c>
      <c r="H293" s="32" t="n">
        <f aca="false">IF(D293=0,0,G293/D293*1000)</f>
        <v>0</v>
      </c>
      <c r="I293" s="30" t="n">
        <v>0</v>
      </c>
      <c r="J293" s="33" t="n">
        <v>0</v>
      </c>
      <c r="K293" s="34" t="n">
        <v>0</v>
      </c>
      <c r="L293" s="34"/>
      <c r="M293" s="28" t="str">
        <f aca="false">IF(D293&gt;=200,"○","-")</f>
        <v>-</v>
      </c>
    </row>
    <row r="294" customFormat="false" ht="15" hidden="false" customHeight="false" outlineLevel="0" collapsed="false">
      <c r="A294" s="28" t="s">
        <v>20</v>
      </c>
      <c r="B294" s="28" t="s">
        <v>176</v>
      </c>
      <c r="C294" s="29" t="s">
        <v>454</v>
      </c>
      <c r="D294" s="30" t="n">
        <v>0</v>
      </c>
      <c r="E294" s="28" t="n">
        <v>0</v>
      </c>
      <c r="F294" s="31" t="n">
        <f aca="false">IF(D294=0,0,E294/D294)</f>
        <v>0</v>
      </c>
      <c r="G294" s="28" t="n">
        <v>0</v>
      </c>
      <c r="H294" s="32" t="n">
        <f aca="false">IF(D294=0,0,G294/D294*1000)</f>
        <v>0</v>
      </c>
      <c r="I294" s="30" t="n">
        <v>0</v>
      </c>
      <c r="J294" s="33" t="n">
        <v>0</v>
      </c>
      <c r="K294" s="34" t="n">
        <v>0</v>
      </c>
      <c r="L294" s="34"/>
      <c r="M294" s="28" t="str">
        <f aca="false">IF(D294&gt;=200,"○","-")</f>
        <v>-</v>
      </c>
    </row>
    <row r="295" customFormat="false" ht="15" hidden="false" customHeight="false" outlineLevel="0" collapsed="false">
      <c r="A295" s="28" t="s">
        <v>20</v>
      </c>
      <c r="B295" s="28" t="s">
        <v>180</v>
      </c>
      <c r="C295" s="29" t="s">
        <v>455</v>
      </c>
      <c r="D295" s="30" t="n">
        <v>0</v>
      </c>
      <c r="E295" s="28" t="n">
        <v>0</v>
      </c>
      <c r="F295" s="31" t="n">
        <f aca="false">IF(D295=0,0,E295/D295)</f>
        <v>0</v>
      </c>
      <c r="G295" s="28" t="n">
        <v>0</v>
      </c>
      <c r="H295" s="32" t="n">
        <f aca="false">IF(D295=0,0,G295/D295*1000)</f>
        <v>0</v>
      </c>
      <c r="I295" s="30" t="n">
        <v>0</v>
      </c>
      <c r="J295" s="33" t="n">
        <v>0</v>
      </c>
      <c r="K295" s="34" t="n">
        <v>0</v>
      </c>
      <c r="L295" s="34"/>
      <c r="M295" s="28" t="str">
        <f aca="false">IF(D295&gt;=200,"○","-")</f>
        <v>-</v>
      </c>
    </row>
    <row r="296" customFormat="false" ht="15" hidden="false" customHeight="false" outlineLevel="0" collapsed="false">
      <c r="A296" s="28" t="s">
        <v>20</v>
      </c>
      <c r="B296" s="28" t="s">
        <v>180</v>
      </c>
      <c r="C296" s="29" t="s">
        <v>456</v>
      </c>
      <c r="D296" s="30" t="n">
        <v>0</v>
      </c>
      <c r="E296" s="28" t="n">
        <v>0</v>
      </c>
      <c r="F296" s="31" t="n">
        <f aca="false">IF(D296=0,0,E296/D296)</f>
        <v>0</v>
      </c>
      <c r="G296" s="28" t="n">
        <v>0</v>
      </c>
      <c r="H296" s="32" t="n">
        <f aca="false">IF(D296=0,0,G296/D296*1000)</f>
        <v>0</v>
      </c>
      <c r="I296" s="30" t="n">
        <v>0</v>
      </c>
      <c r="J296" s="33" t="n">
        <v>0</v>
      </c>
      <c r="K296" s="34" t="n">
        <v>0</v>
      </c>
      <c r="L296" s="34"/>
      <c r="M296" s="28" t="str">
        <f aca="false">IF(D296&gt;=200,"○","-")</f>
        <v>-</v>
      </c>
    </row>
    <row r="297" customFormat="false" ht="15" hidden="false" customHeight="false" outlineLevel="0" collapsed="false">
      <c r="A297" s="28" t="s">
        <v>20</v>
      </c>
      <c r="B297" s="28" t="s">
        <v>183</v>
      </c>
      <c r="C297" s="29" t="s">
        <v>457</v>
      </c>
      <c r="D297" s="30" t="n">
        <v>0</v>
      </c>
      <c r="E297" s="28" t="n">
        <v>0</v>
      </c>
      <c r="F297" s="31" t="n">
        <f aca="false">IF(D297=0,0,E297/D297)</f>
        <v>0</v>
      </c>
      <c r="G297" s="28" t="n">
        <v>0</v>
      </c>
      <c r="H297" s="32" t="n">
        <f aca="false">IF(D297=0,0,G297/D297*1000)</f>
        <v>0</v>
      </c>
      <c r="I297" s="30" t="n">
        <v>0</v>
      </c>
      <c r="J297" s="33" t="n">
        <v>0</v>
      </c>
      <c r="K297" s="34" t="n">
        <v>0</v>
      </c>
      <c r="L297" s="34"/>
      <c r="M297" s="28" t="str">
        <f aca="false">IF(D297&gt;=200,"○","-")</f>
        <v>-</v>
      </c>
    </row>
    <row r="298" customFormat="false" ht="15" hidden="false" customHeight="false" outlineLevel="0" collapsed="false">
      <c r="A298" s="28" t="s">
        <v>20</v>
      </c>
      <c r="B298" s="28" t="s">
        <v>183</v>
      </c>
      <c r="C298" s="29" t="s">
        <v>458</v>
      </c>
      <c r="D298" s="30" t="n">
        <v>0</v>
      </c>
      <c r="E298" s="28" t="n">
        <v>0</v>
      </c>
      <c r="F298" s="31" t="n">
        <f aca="false">IF(D298=0,0,E298/D298)</f>
        <v>0</v>
      </c>
      <c r="G298" s="28" t="n">
        <v>0</v>
      </c>
      <c r="H298" s="32" t="n">
        <f aca="false">IF(D298=0,0,G298/D298*1000)</f>
        <v>0</v>
      </c>
      <c r="I298" s="30" t="n">
        <v>0</v>
      </c>
      <c r="J298" s="33" t="n">
        <v>0</v>
      </c>
      <c r="K298" s="34" t="n">
        <v>0</v>
      </c>
      <c r="L298" s="34"/>
      <c r="M298" s="28" t="str">
        <f aca="false">IF(D298&gt;=200,"○","-")</f>
        <v>-</v>
      </c>
    </row>
    <row r="299" customFormat="false" ht="15" hidden="false" customHeight="false" outlineLevel="0" collapsed="false">
      <c r="A299" s="28" t="s">
        <v>20</v>
      </c>
      <c r="B299" s="28" t="s">
        <v>183</v>
      </c>
      <c r="C299" s="29" t="s">
        <v>459</v>
      </c>
      <c r="D299" s="30" t="n">
        <v>0</v>
      </c>
      <c r="E299" s="28" t="n">
        <v>0</v>
      </c>
      <c r="F299" s="31" t="n">
        <f aca="false">IF(D299=0,0,E299/D299)</f>
        <v>0</v>
      </c>
      <c r="G299" s="28" t="n">
        <v>0</v>
      </c>
      <c r="H299" s="32" t="n">
        <f aca="false">IF(D299=0,0,G299/D299*1000)</f>
        <v>0</v>
      </c>
      <c r="I299" s="30" t="n">
        <v>0</v>
      </c>
      <c r="J299" s="33" t="n">
        <v>0</v>
      </c>
      <c r="K299" s="34" t="n">
        <v>0</v>
      </c>
      <c r="L299" s="34"/>
      <c r="M299" s="28" t="str">
        <f aca="false">IF(D299&gt;=200,"○","-")</f>
        <v>-</v>
      </c>
    </row>
    <row r="300" customFormat="false" ht="15" hidden="false" customHeight="false" outlineLevel="0" collapsed="false">
      <c r="A300" s="28" t="s">
        <v>20</v>
      </c>
      <c r="B300" s="28" t="s">
        <v>187</v>
      </c>
      <c r="C300" s="29" t="s">
        <v>460</v>
      </c>
      <c r="D300" s="30" t="n">
        <v>0</v>
      </c>
      <c r="E300" s="28" t="n">
        <v>0</v>
      </c>
      <c r="F300" s="31" t="n">
        <f aca="false">IF(D300=0,0,E300/D300)</f>
        <v>0</v>
      </c>
      <c r="G300" s="28" t="n">
        <v>0</v>
      </c>
      <c r="H300" s="32" t="n">
        <f aca="false">IF(D300=0,0,G300/D300*1000)</f>
        <v>0</v>
      </c>
      <c r="I300" s="30" t="n">
        <v>0</v>
      </c>
      <c r="J300" s="33" t="n">
        <v>0</v>
      </c>
      <c r="K300" s="34" t="n">
        <v>0</v>
      </c>
      <c r="L300" s="34"/>
      <c r="M300" s="28" t="str">
        <f aca="false">IF(D300&gt;=200,"○","-")</f>
        <v>-</v>
      </c>
    </row>
    <row r="301" customFormat="false" ht="15" hidden="false" customHeight="false" outlineLevel="0" collapsed="false">
      <c r="A301" s="28" t="s">
        <v>20</v>
      </c>
      <c r="B301" s="28" t="s">
        <v>187</v>
      </c>
      <c r="C301" s="29" t="s">
        <v>461</v>
      </c>
      <c r="D301" s="30" t="n">
        <v>0</v>
      </c>
      <c r="E301" s="28" t="n">
        <v>0</v>
      </c>
      <c r="F301" s="31" t="n">
        <f aca="false">IF(D301=0,0,E301/D301)</f>
        <v>0</v>
      </c>
      <c r="G301" s="28" t="n">
        <v>0</v>
      </c>
      <c r="H301" s="32" t="n">
        <f aca="false">IF(D301=0,0,G301/D301*1000)</f>
        <v>0</v>
      </c>
      <c r="I301" s="30" t="n">
        <v>0</v>
      </c>
      <c r="J301" s="33" t="n">
        <v>0</v>
      </c>
      <c r="K301" s="34" t="n">
        <v>0</v>
      </c>
      <c r="L301" s="34"/>
      <c r="M301" s="28" t="str">
        <f aca="false">IF(D301&gt;=200,"○","-")</f>
        <v>-</v>
      </c>
    </row>
    <row r="302" customFormat="false" ht="15" hidden="false" customHeight="false" outlineLevel="0" collapsed="false">
      <c r="A302" s="28" t="s">
        <v>20</v>
      </c>
      <c r="B302" s="28" t="s">
        <v>187</v>
      </c>
      <c r="C302" s="29" t="s">
        <v>462</v>
      </c>
      <c r="D302" s="30" t="n">
        <v>0</v>
      </c>
      <c r="E302" s="28" t="n">
        <v>0</v>
      </c>
      <c r="F302" s="31" t="n">
        <f aca="false">IF(D302=0,0,E302/D302)</f>
        <v>0</v>
      </c>
      <c r="G302" s="28" t="n">
        <v>0</v>
      </c>
      <c r="H302" s="32" t="n">
        <f aca="false">IF(D302=0,0,G302/D302*1000)</f>
        <v>0</v>
      </c>
      <c r="I302" s="30" t="n">
        <v>0</v>
      </c>
      <c r="J302" s="33" t="n">
        <v>0</v>
      </c>
      <c r="K302" s="34" t="n">
        <v>0</v>
      </c>
      <c r="L302" s="34"/>
      <c r="M302" s="28" t="str">
        <f aca="false">IF(D302&gt;=200,"○","-")</f>
        <v>-</v>
      </c>
    </row>
    <row r="303" customFormat="false" ht="15" hidden="false" customHeight="false" outlineLevel="0" collapsed="false">
      <c r="A303" s="28" t="s">
        <v>20</v>
      </c>
      <c r="B303" s="28" t="s">
        <v>187</v>
      </c>
      <c r="C303" s="28" t="s">
        <v>463</v>
      </c>
      <c r="D303" s="30" t="n">
        <v>0</v>
      </c>
      <c r="E303" s="28" t="n">
        <v>0</v>
      </c>
      <c r="F303" s="31" t="n">
        <f aca="false">IF(D303=0,0,E303/D303)</f>
        <v>0</v>
      </c>
      <c r="G303" s="28" t="n">
        <v>0</v>
      </c>
      <c r="H303" s="32" t="n">
        <f aca="false">IF(D303=0,0,G303/D303*1000)</f>
        <v>0</v>
      </c>
      <c r="I303" s="30" t="n">
        <v>0</v>
      </c>
      <c r="J303" s="33" t="n">
        <v>0</v>
      </c>
      <c r="K303" s="34" t="n">
        <v>0</v>
      </c>
      <c r="L303" s="34"/>
      <c r="M303" s="28" t="str">
        <f aca="false">IF(D303&gt;=200,"○","-")</f>
        <v>-</v>
      </c>
    </row>
    <row r="304" customFormat="false" ht="15" hidden="false" customHeight="false" outlineLevel="0" collapsed="false">
      <c r="A304" s="28" t="s">
        <v>20</v>
      </c>
      <c r="B304" s="28" t="s">
        <v>187</v>
      </c>
      <c r="C304" s="29" t="s">
        <v>464</v>
      </c>
      <c r="D304" s="30" t="n">
        <v>0</v>
      </c>
      <c r="E304" s="28" t="n">
        <v>0</v>
      </c>
      <c r="F304" s="31" t="n">
        <f aca="false">IF(D304=0,0,E304/D304)</f>
        <v>0</v>
      </c>
      <c r="G304" s="28" t="n">
        <v>0</v>
      </c>
      <c r="H304" s="32" t="n">
        <f aca="false">IF(D304=0,0,G304/D304*1000)</f>
        <v>0</v>
      </c>
      <c r="I304" s="30" t="n">
        <v>0</v>
      </c>
      <c r="J304" s="33" t="n">
        <v>0</v>
      </c>
      <c r="K304" s="34" t="n">
        <v>0</v>
      </c>
      <c r="L304" s="34"/>
      <c r="M304" s="28" t="str">
        <f aca="false">IF(D304&gt;=200,"○","-")</f>
        <v>-</v>
      </c>
    </row>
    <row r="305" customFormat="false" ht="15" hidden="false" customHeight="false" outlineLevel="0" collapsed="false">
      <c r="A305" s="28" t="s">
        <v>20</v>
      </c>
      <c r="B305" s="28" t="s">
        <v>187</v>
      </c>
      <c r="C305" s="28" t="s">
        <v>465</v>
      </c>
      <c r="D305" s="30" t="n">
        <v>0</v>
      </c>
      <c r="E305" s="28" t="n">
        <v>0</v>
      </c>
      <c r="F305" s="31" t="n">
        <f aca="false">IF(D305=0,0,E305/D305)</f>
        <v>0</v>
      </c>
      <c r="G305" s="28" t="n">
        <v>0</v>
      </c>
      <c r="H305" s="32" t="n">
        <f aca="false">IF(D305=0,0,G305/D305*1000)</f>
        <v>0</v>
      </c>
      <c r="I305" s="30" t="n">
        <v>0</v>
      </c>
      <c r="J305" s="33" t="n">
        <v>0</v>
      </c>
      <c r="K305" s="34" t="n">
        <v>0</v>
      </c>
      <c r="L305" s="34"/>
      <c r="M305" s="28" t="str">
        <f aca="false">IF(D305&gt;=200,"○","-")</f>
        <v>-</v>
      </c>
    </row>
    <row r="306" customFormat="false" ht="15" hidden="false" customHeight="false" outlineLevel="0" collapsed="false">
      <c r="A306" s="28" t="s">
        <v>20</v>
      </c>
      <c r="B306" s="28" t="s">
        <v>192</v>
      </c>
      <c r="C306" s="29" t="s">
        <v>466</v>
      </c>
      <c r="D306" s="30" t="n">
        <v>0</v>
      </c>
      <c r="E306" s="28" t="n">
        <v>0</v>
      </c>
      <c r="F306" s="31" t="n">
        <f aca="false">IF(D306=0,0,E306/D306)</f>
        <v>0</v>
      </c>
      <c r="G306" s="28" t="n">
        <v>0</v>
      </c>
      <c r="H306" s="32" t="n">
        <f aca="false">IF(D306=0,0,G306/D306*1000)</f>
        <v>0</v>
      </c>
      <c r="I306" s="30" t="n">
        <v>0</v>
      </c>
      <c r="J306" s="33" t="n">
        <v>0</v>
      </c>
      <c r="K306" s="34" t="n">
        <v>0</v>
      </c>
      <c r="L306" s="34"/>
      <c r="M306" s="28" t="str">
        <f aca="false">IF(D306&gt;=200,"○","-")</f>
        <v>-</v>
      </c>
    </row>
    <row r="307" customFormat="false" ht="15" hidden="false" customHeight="false" outlineLevel="0" collapsed="false">
      <c r="A307" s="28" t="s">
        <v>20</v>
      </c>
      <c r="B307" s="28" t="s">
        <v>192</v>
      </c>
      <c r="C307" s="29" t="s">
        <v>467</v>
      </c>
      <c r="D307" s="30" t="n">
        <v>0</v>
      </c>
      <c r="E307" s="28" t="n">
        <v>0</v>
      </c>
      <c r="F307" s="31" t="n">
        <f aca="false">IF(D307=0,0,E307/D307)</f>
        <v>0</v>
      </c>
      <c r="G307" s="28" t="n">
        <v>0</v>
      </c>
      <c r="H307" s="32" t="n">
        <f aca="false">IF(D307=0,0,G307/D307*1000)</f>
        <v>0</v>
      </c>
      <c r="I307" s="30" t="n">
        <v>0</v>
      </c>
      <c r="J307" s="33" t="n">
        <v>0</v>
      </c>
      <c r="K307" s="34" t="n">
        <v>0</v>
      </c>
      <c r="L307" s="34"/>
      <c r="M307" s="28" t="str">
        <f aca="false">IF(D307&gt;=200,"○","-")</f>
        <v>-</v>
      </c>
    </row>
    <row r="308" customFormat="false" ht="15" hidden="false" customHeight="false" outlineLevel="0" collapsed="false">
      <c r="A308" s="28" t="s">
        <v>20</v>
      </c>
      <c r="B308" s="28" t="s">
        <v>192</v>
      </c>
      <c r="C308" s="28" t="s">
        <v>468</v>
      </c>
      <c r="D308" s="30" t="n">
        <v>0</v>
      </c>
      <c r="E308" s="28" t="n">
        <v>0</v>
      </c>
      <c r="F308" s="31" t="n">
        <f aca="false">IF(D308=0,0,E308/D308)</f>
        <v>0</v>
      </c>
      <c r="G308" s="28" t="n">
        <v>0</v>
      </c>
      <c r="H308" s="32" t="n">
        <f aca="false">IF(D308=0,0,G308/D308*1000)</f>
        <v>0</v>
      </c>
      <c r="I308" s="30" t="n">
        <v>0</v>
      </c>
      <c r="J308" s="33" t="n">
        <v>0</v>
      </c>
      <c r="K308" s="34" t="n">
        <v>0</v>
      </c>
      <c r="L308" s="34"/>
      <c r="M308" s="28" t="str">
        <f aca="false">IF(D308&gt;=200,"○","-")</f>
        <v>-</v>
      </c>
    </row>
    <row r="309" customFormat="false" ht="15" hidden="false" customHeight="false" outlineLevel="0" collapsed="false">
      <c r="A309" s="28" t="s">
        <v>20</v>
      </c>
      <c r="B309" s="28" t="s">
        <v>192</v>
      </c>
      <c r="C309" s="28" t="s">
        <v>469</v>
      </c>
      <c r="D309" s="30" t="n">
        <v>0</v>
      </c>
      <c r="E309" s="28" t="n">
        <v>0</v>
      </c>
      <c r="F309" s="31" t="n">
        <f aca="false">IF(D309=0,0,E309/D309)</f>
        <v>0</v>
      </c>
      <c r="G309" s="28" t="n">
        <v>0</v>
      </c>
      <c r="H309" s="32" t="n">
        <f aca="false">IF(D309=0,0,G309/D309*1000)</f>
        <v>0</v>
      </c>
      <c r="I309" s="30" t="n">
        <v>0</v>
      </c>
      <c r="J309" s="33" t="n">
        <v>0</v>
      </c>
      <c r="K309" s="34" t="n">
        <v>0</v>
      </c>
      <c r="L309" s="34"/>
      <c r="M309" s="28" t="str">
        <f aca="false">IF(D309&gt;=200,"○","-")</f>
        <v>-</v>
      </c>
    </row>
    <row r="310" customFormat="false" ht="15" hidden="false" customHeight="false" outlineLevel="0" collapsed="false">
      <c r="A310" s="28" t="s">
        <v>20</v>
      </c>
      <c r="B310" s="28" t="s">
        <v>192</v>
      </c>
      <c r="C310" s="28" t="s">
        <v>470</v>
      </c>
      <c r="D310" s="30" t="n">
        <v>0</v>
      </c>
      <c r="E310" s="28" t="n">
        <v>0</v>
      </c>
      <c r="F310" s="31" t="n">
        <f aca="false">IF(D310=0,0,E310/D310)</f>
        <v>0</v>
      </c>
      <c r="G310" s="28" t="n">
        <v>0</v>
      </c>
      <c r="H310" s="32" t="n">
        <f aca="false">IF(D310=0,0,G310/D310*1000)</f>
        <v>0</v>
      </c>
      <c r="I310" s="30" t="n">
        <v>0</v>
      </c>
      <c r="J310" s="33" t="n">
        <v>0</v>
      </c>
      <c r="K310" s="34" t="n">
        <v>0</v>
      </c>
      <c r="L310" s="34"/>
      <c r="M310" s="28" t="str">
        <f aca="false">IF(D310&gt;=200,"○","-")</f>
        <v>-</v>
      </c>
    </row>
    <row r="311" customFormat="false" ht="15" hidden="false" customHeight="false" outlineLevel="0" collapsed="false">
      <c r="A311" s="28" t="s">
        <v>20</v>
      </c>
      <c r="B311" s="28" t="s">
        <v>197</v>
      </c>
      <c r="C311" s="29" t="s">
        <v>471</v>
      </c>
      <c r="D311" s="30" t="n">
        <v>0</v>
      </c>
      <c r="E311" s="28" t="n">
        <v>0</v>
      </c>
      <c r="F311" s="31" t="n">
        <f aca="false">IF(D311=0,0,E311/D311)</f>
        <v>0</v>
      </c>
      <c r="G311" s="28" t="n">
        <v>0</v>
      </c>
      <c r="H311" s="32" t="n">
        <f aca="false">IF(D311=0,0,G311/D311*1000)</f>
        <v>0</v>
      </c>
      <c r="I311" s="30" t="n">
        <v>0</v>
      </c>
      <c r="J311" s="33" t="n">
        <v>0</v>
      </c>
      <c r="K311" s="34" t="n">
        <v>0</v>
      </c>
      <c r="L311" s="34"/>
      <c r="M311" s="28" t="str">
        <f aca="false">IF(D311&gt;=200,"○","-")</f>
        <v>-</v>
      </c>
    </row>
    <row r="312" customFormat="false" ht="15" hidden="false" customHeight="false" outlineLevel="0" collapsed="false">
      <c r="A312" s="7" t="s">
        <v>20</v>
      </c>
      <c r="B312" s="7" t="s">
        <v>197</v>
      </c>
      <c r="C312" s="27" t="s">
        <v>472</v>
      </c>
      <c r="D312" s="8" t="n">
        <v>1226</v>
      </c>
      <c r="E312" s="27" t="n">
        <v>8</v>
      </c>
      <c r="F312" s="9" t="n">
        <f aca="false">IF(D312=0,0,E312/D312)</f>
        <v>0.0065252854812398</v>
      </c>
      <c r="G312" s="27" t="n">
        <v>0</v>
      </c>
      <c r="H312" s="10" t="n">
        <f aca="false">IF(D312=0,0,G312/D312*1000)</f>
        <v>0</v>
      </c>
      <c r="I312" s="8" t="n">
        <v>0</v>
      </c>
      <c r="J312" s="25" t="n">
        <v>0</v>
      </c>
      <c r="K312" s="26" t="n">
        <v>0.5208</v>
      </c>
      <c r="L312" s="26" t="n">
        <v>0.184685</v>
      </c>
      <c r="M312" s="27" t="str">
        <f aca="false">IF(D312&gt;=200,"○","-")</f>
        <v>○</v>
      </c>
    </row>
    <row r="313" customFormat="false" ht="15" hidden="false" customHeight="false" outlineLevel="0" collapsed="false">
      <c r="A313" s="7" t="s">
        <v>20</v>
      </c>
      <c r="B313" s="7" t="s">
        <v>197</v>
      </c>
      <c r="C313" s="7" t="s">
        <v>473</v>
      </c>
      <c r="D313" s="8" t="n">
        <v>1113</v>
      </c>
      <c r="E313" s="27" t="n">
        <v>1</v>
      </c>
      <c r="F313" s="9" t="n">
        <f aca="false">IF(D313=0,0,E313/D313)</f>
        <v>0.000898472596585804</v>
      </c>
      <c r="G313" s="27" t="n">
        <v>0</v>
      </c>
      <c r="H313" s="10" t="n">
        <f aca="false">IF(D313=0,0,G313/D313*1000)</f>
        <v>0</v>
      </c>
      <c r="I313" s="8" t="n">
        <v>0</v>
      </c>
      <c r="J313" s="25" t="n">
        <v>0</v>
      </c>
      <c r="K313" s="26" t="n">
        <v>0.4332</v>
      </c>
      <c r="L313" s="26"/>
      <c r="M313" s="27" t="str">
        <f aca="false">IF(D313&gt;=200,"○","-")</f>
        <v>○</v>
      </c>
    </row>
    <row r="314" customFormat="false" ht="15" hidden="false" customHeight="false" outlineLevel="0" collapsed="false">
      <c r="A314" s="7" t="s">
        <v>20</v>
      </c>
      <c r="B314" s="7" t="s">
        <v>201</v>
      </c>
      <c r="C314" s="27" t="s">
        <v>474</v>
      </c>
      <c r="D314" s="8" t="n">
        <v>278</v>
      </c>
      <c r="E314" s="27" t="n">
        <v>0</v>
      </c>
      <c r="F314" s="9" t="n">
        <f aca="false">IF(D314=0,0,E314/D314)</f>
        <v>0</v>
      </c>
      <c r="G314" s="27" t="n">
        <v>0</v>
      </c>
      <c r="H314" s="10" t="n">
        <f aca="false">IF(D314=0,0,G314/D314*1000)</f>
        <v>0</v>
      </c>
      <c r="I314" s="8" t="n">
        <v>0</v>
      </c>
      <c r="J314" s="25" t="n">
        <v>0</v>
      </c>
      <c r="K314" s="26" t="n">
        <v>0.4486</v>
      </c>
      <c r="L314" s="26"/>
      <c r="M314" s="27" t="str">
        <f aca="false">IF(D314&gt;=200,"○","-")</f>
        <v>○</v>
      </c>
    </row>
    <row r="315" customFormat="false" ht="15" hidden="false" customHeight="false" outlineLevel="0" collapsed="false">
      <c r="A315" s="7" t="s">
        <v>20</v>
      </c>
      <c r="B315" s="7" t="s">
        <v>201</v>
      </c>
      <c r="C315" s="27" t="s">
        <v>475</v>
      </c>
      <c r="D315" s="8" t="n">
        <v>428</v>
      </c>
      <c r="E315" s="27" t="n">
        <v>2</v>
      </c>
      <c r="F315" s="9" t="n">
        <f aca="false">IF(D315=0,0,E315/D315)</f>
        <v>0.00467289719626168</v>
      </c>
      <c r="G315" s="27" t="n">
        <v>0</v>
      </c>
      <c r="H315" s="10" t="n">
        <f aca="false">IF(D315=0,0,G315/D315*1000)</f>
        <v>0</v>
      </c>
      <c r="I315" s="8" t="n">
        <v>0</v>
      </c>
      <c r="J315" s="25" t="n">
        <v>0</v>
      </c>
      <c r="K315" s="26" t="n">
        <v>0.5923</v>
      </c>
      <c r="L315" s="26"/>
      <c r="M315" s="27" t="str">
        <f aca="false">IF(D315&gt;=200,"○","-")</f>
        <v>○</v>
      </c>
    </row>
    <row r="316" customFormat="false" ht="15" hidden="false" customHeight="false" outlineLevel="0" collapsed="false">
      <c r="A316" s="28" t="s">
        <v>20</v>
      </c>
      <c r="B316" s="28" t="s">
        <v>201</v>
      </c>
      <c r="C316" s="28" t="s">
        <v>476</v>
      </c>
      <c r="D316" s="30" t="n">
        <v>0</v>
      </c>
      <c r="E316" s="28" t="n">
        <v>0</v>
      </c>
      <c r="F316" s="31" t="n">
        <f aca="false">IF(D316=0,0,E316/D316)</f>
        <v>0</v>
      </c>
      <c r="G316" s="28" t="n">
        <v>0</v>
      </c>
      <c r="H316" s="32" t="n">
        <f aca="false">IF(D316=0,0,G316/D316*1000)</f>
        <v>0</v>
      </c>
      <c r="I316" s="30" t="n">
        <v>0</v>
      </c>
      <c r="J316" s="33" t="n">
        <v>0</v>
      </c>
      <c r="K316" s="34" t="n">
        <v>0</v>
      </c>
      <c r="L316" s="34"/>
      <c r="M316" s="28" t="str">
        <f aca="false">IF(D316&gt;=200,"○","-")</f>
        <v>-</v>
      </c>
    </row>
    <row r="317" customFormat="false" ht="15" hidden="false" customHeight="false" outlineLevel="0" collapsed="false">
      <c r="A317" s="7" t="s">
        <v>20</v>
      </c>
      <c r="B317" s="7" t="s">
        <v>205</v>
      </c>
      <c r="C317" s="27" t="s">
        <v>477</v>
      </c>
      <c r="D317" s="8" t="n">
        <v>833</v>
      </c>
      <c r="E317" s="27" t="n">
        <v>6</v>
      </c>
      <c r="F317" s="9" t="n">
        <f aca="false">IF(D317=0,0,E317/D317)</f>
        <v>0.00720288115246098</v>
      </c>
      <c r="G317" s="27" t="n">
        <v>1</v>
      </c>
      <c r="H317" s="10" t="n">
        <f aca="false">IF(D317=0,0,G317/D317*1000)</f>
        <v>1.20048019207683</v>
      </c>
      <c r="I317" s="8" t="n">
        <v>0</v>
      </c>
      <c r="J317" s="25" t="n">
        <v>0</v>
      </c>
      <c r="K317" s="26" t="n">
        <v>0.5857</v>
      </c>
      <c r="L317" s="26"/>
      <c r="M317" s="27" t="str">
        <f aca="false">IF(D317&gt;=200,"○","-")</f>
        <v>○</v>
      </c>
    </row>
    <row r="318" customFormat="false" ht="15" hidden="false" customHeight="false" outlineLevel="0" collapsed="false">
      <c r="A318" s="7" t="s">
        <v>20</v>
      </c>
      <c r="B318" s="7" t="s">
        <v>205</v>
      </c>
      <c r="C318" s="27" t="s">
        <v>478</v>
      </c>
      <c r="D318" s="8" t="n">
        <v>325</v>
      </c>
      <c r="E318" s="27" t="n">
        <v>1</v>
      </c>
      <c r="F318" s="9" t="n">
        <f aca="false">IF(D318=0,0,E318/D318)</f>
        <v>0.00307692307692308</v>
      </c>
      <c r="G318" s="27" t="n">
        <v>0</v>
      </c>
      <c r="H318" s="10" t="n">
        <f aca="false">IF(D318=0,0,G318/D318*1000)</f>
        <v>0</v>
      </c>
      <c r="I318" s="8" t="n">
        <v>0</v>
      </c>
      <c r="J318" s="25" t="n">
        <v>0</v>
      </c>
      <c r="K318" s="26" t="n">
        <v>0.6792</v>
      </c>
      <c r="L318" s="26"/>
      <c r="M318" s="27" t="str">
        <f aca="false">IF(D318&gt;=200,"○","-")</f>
        <v>○</v>
      </c>
    </row>
    <row r="319" customFormat="false" ht="15" hidden="false" customHeight="false" outlineLevel="0" collapsed="false">
      <c r="A319" s="28" t="s">
        <v>20</v>
      </c>
      <c r="B319" s="28" t="s">
        <v>205</v>
      </c>
      <c r="C319" s="28" t="s">
        <v>479</v>
      </c>
      <c r="D319" s="30" t="n">
        <v>0</v>
      </c>
      <c r="E319" s="28" t="n">
        <v>0</v>
      </c>
      <c r="F319" s="31" t="n">
        <f aca="false">IF(D319=0,0,E319/D319)</f>
        <v>0</v>
      </c>
      <c r="G319" s="28" t="n">
        <v>0</v>
      </c>
      <c r="H319" s="32" t="n">
        <f aca="false">IF(D319=0,0,G319/D319*1000)</f>
        <v>0</v>
      </c>
      <c r="I319" s="30" t="n">
        <v>0</v>
      </c>
      <c r="J319" s="33" t="n">
        <v>0</v>
      </c>
      <c r="K319" s="34" t="n">
        <v>0</v>
      </c>
      <c r="L319" s="34"/>
      <c r="M319" s="28" t="str">
        <f aca="false">IF(D319&gt;=200,"○","-")</f>
        <v>-</v>
      </c>
    </row>
    <row r="320" customFormat="false" ht="15" hidden="false" customHeight="false" outlineLevel="0" collapsed="false">
      <c r="A320" s="7" t="s">
        <v>20</v>
      </c>
      <c r="B320" s="7" t="s">
        <v>205</v>
      </c>
      <c r="C320" s="7" t="s">
        <v>480</v>
      </c>
      <c r="D320" s="8" t="n">
        <v>997</v>
      </c>
      <c r="E320" s="27" t="n">
        <v>5</v>
      </c>
      <c r="F320" s="9" t="n">
        <f aca="false">IF(D320=0,0,E320/D320)</f>
        <v>0.00501504513540622</v>
      </c>
      <c r="G320" s="27" t="n">
        <v>0</v>
      </c>
      <c r="H320" s="10" t="n">
        <f aca="false">IF(D320=0,0,G320/D320*1000)</f>
        <v>0</v>
      </c>
      <c r="I320" s="8" t="n">
        <v>0</v>
      </c>
      <c r="J320" s="25" t="n">
        <v>0</v>
      </c>
      <c r="K320" s="26" t="n">
        <v>0.4636</v>
      </c>
      <c r="L320" s="26"/>
      <c r="M320" s="27" t="str">
        <f aca="false">IF(D320&gt;=200,"○","-")</f>
        <v>○</v>
      </c>
    </row>
    <row r="321" customFormat="false" ht="15" hidden="false" customHeight="false" outlineLevel="0" collapsed="false">
      <c r="A321" s="28" t="s">
        <v>20</v>
      </c>
      <c r="B321" s="28" t="s">
        <v>205</v>
      </c>
      <c r="C321" s="28" t="s">
        <v>481</v>
      </c>
      <c r="D321" s="30" t="n">
        <v>25</v>
      </c>
      <c r="E321" s="28" t="n">
        <v>1</v>
      </c>
      <c r="F321" s="31" t="n">
        <f aca="false">IF(D321=0,0,E321/D321)</f>
        <v>0.04</v>
      </c>
      <c r="G321" s="28" t="n">
        <v>0</v>
      </c>
      <c r="H321" s="32" t="n">
        <f aca="false">IF(D321=0,0,G321/D321*1000)</f>
        <v>0</v>
      </c>
      <c r="I321" s="30" t="n">
        <v>0</v>
      </c>
      <c r="J321" s="33" t="n">
        <v>0</v>
      </c>
      <c r="K321" s="34" t="n">
        <v>0.4471</v>
      </c>
      <c r="L321" s="34"/>
      <c r="M321" s="28" t="str">
        <f aca="false">IF(D321&gt;=200,"○","-")</f>
        <v>-</v>
      </c>
    </row>
    <row r="322" customFormat="false" ht="15" hidden="false" customHeight="false" outlineLevel="0" collapsed="false">
      <c r="A322" s="7" t="s">
        <v>20</v>
      </c>
      <c r="B322" s="7" t="s">
        <v>210</v>
      </c>
      <c r="C322" s="27" t="s">
        <v>482</v>
      </c>
      <c r="D322" s="8" t="n">
        <v>1286</v>
      </c>
      <c r="E322" s="27" t="n">
        <v>7</v>
      </c>
      <c r="F322" s="9" t="n">
        <f aca="false">IF(D322=0,0,E322/D322)</f>
        <v>0.00544323483670296</v>
      </c>
      <c r="G322" s="27" t="n">
        <v>0</v>
      </c>
      <c r="H322" s="10" t="n">
        <f aca="false">IF(D322=0,0,G322/D322*1000)</f>
        <v>0</v>
      </c>
      <c r="I322" s="8" t="n">
        <v>0</v>
      </c>
      <c r="J322" s="25" t="n">
        <v>0</v>
      </c>
      <c r="K322" s="26" t="n">
        <v>0.5242</v>
      </c>
      <c r="L322" s="26" t="n">
        <v>0.19736</v>
      </c>
      <c r="M322" s="27" t="str">
        <f aca="false">IF(D322&gt;=200,"○","-")</f>
        <v>○</v>
      </c>
    </row>
    <row r="323" customFormat="false" ht="15" hidden="false" customHeight="false" outlineLevel="0" collapsed="false">
      <c r="A323" s="7" t="s">
        <v>20</v>
      </c>
      <c r="B323" s="7" t="s">
        <v>210</v>
      </c>
      <c r="C323" s="27" t="s">
        <v>483</v>
      </c>
      <c r="D323" s="8" t="n">
        <v>1126</v>
      </c>
      <c r="E323" s="27" t="n">
        <v>3</v>
      </c>
      <c r="F323" s="9" t="n">
        <f aca="false">IF(D323=0,0,E323/D323)</f>
        <v>0.00266429840142096</v>
      </c>
      <c r="G323" s="27" t="n">
        <v>1</v>
      </c>
      <c r="H323" s="10" t="n">
        <f aca="false">IF(D323=0,0,G323/D323*1000)</f>
        <v>0.88809946714032</v>
      </c>
      <c r="I323" s="8" t="n">
        <v>0</v>
      </c>
      <c r="J323" s="25" t="n">
        <v>0</v>
      </c>
      <c r="K323" s="26" t="n">
        <v>0.436</v>
      </c>
      <c r="L323" s="26"/>
      <c r="M323" s="27" t="str">
        <f aca="false">IF(D323&gt;=200,"○","-")</f>
        <v>○</v>
      </c>
    </row>
    <row r="324" customFormat="false" ht="15" hidden="false" customHeight="false" outlineLevel="0" collapsed="false">
      <c r="A324" s="7" t="s">
        <v>20</v>
      </c>
      <c r="B324" s="7" t="s">
        <v>210</v>
      </c>
      <c r="C324" s="7" t="s">
        <v>484</v>
      </c>
      <c r="D324" s="8" t="n">
        <v>1053</v>
      </c>
      <c r="E324" s="27" t="n">
        <v>5</v>
      </c>
      <c r="F324" s="9" t="n">
        <f aca="false">IF(D324=0,0,E324/D324)</f>
        <v>0.00474833808167142</v>
      </c>
      <c r="G324" s="27" t="n">
        <v>1</v>
      </c>
      <c r="H324" s="10" t="n">
        <f aca="false">IF(D324=0,0,G324/D324*1000)</f>
        <v>0.949667616334283</v>
      </c>
      <c r="I324" s="8" t="n">
        <v>0</v>
      </c>
      <c r="J324" s="25" t="n">
        <v>0</v>
      </c>
      <c r="K324" s="26" t="n">
        <v>0.455</v>
      </c>
      <c r="L324" s="26"/>
      <c r="M324" s="27" t="str">
        <f aca="false">IF(D324&gt;=200,"○","-")</f>
        <v>○</v>
      </c>
    </row>
    <row r="325" customFormat="false" ht="15" hidden="false" customHeight="false" outlineLevel="0" collapsed="false">
      <c r="A325" s="7" t="s">
        <v>20</v>
      </c>
      <c r="B325" s="7" t="s">
        <v>215</v>
      </c>
      <c r="C325" s="27" t="s">
        <v>485</v>
      </c>
      <c r="D325" s="8" t="n">
        <v>1121</v>
      </c>
      <c r="E325" s="27" t="n">
        <v>3</v>
      </c>
      <c r="F325" s="9" t="n">
        <f aca="false">IF(D325=0,0,E325/D325)</f>
        <v>0.00267618198037467</v>
      </c>
      <c r="G325" s="27" t="n">
        <v>0</v>
      </c>
      <c r="H325" s="10" t="n">
        <f aca="false">IF(D325=0,0,G325/D325*1000)</f>
        <v>0</v>
      </c>
      <c r="I325" s="8" t="n">
        <v>0</v>
      </c>
      <c r="J325" s="25" t="n">
        <v>0</v>
      </c>
      <c r="K325" s="26" t="n">
        <v>0.4356</v>
      </c>
      <c r="L325" s="26"/>
      <c r="M325" s="27" t="str">
        <f aca="false">IF(D325&gt;=200,"○","-")</f>
        <v>○</v>
      </c>
    </row>
    <row r="326" customFormat="false" ht="15" hidden="false" customHeight="false" outlineLevel="0" collapsed="false">
      <c r="A326" s="7" t="s">
        <v>20</v>
      </c>
      <c r="B326" s="7" t="s">
        <v>215</v>
      </c>
      <c r="C326" s="27" t="s">
        <v>486</v>
      </c>
      <c r="D326" s="8" t="n">
        <v>1205</v>
      </c>
      <c r="E326" s="27" t="n">
        <v>6</v>
      </c>
      <c r="F326" s="9" t="n">
        <f aca="false">IF(D326=0,0,E326/D326)</f>
        <v>0.0049792531120332</v>
      </c>
      <c r="G326" s="27" t="n">
        <v>1</v>
      </c>
      <c r="H326" s="10" t="n">
        <f aca="false">IF(D326=0,0,G326/D326*1000)</f>
        <v>0.829875518672199</v>
      </c>
      <c r="I326" s="8" t="n">
        <v>0</v>
      </c>
      <c r="J326" s="25" t="n">
        <v>0</v>
      </c>
      <c r="K326" s="26" t="n">
        <v>0.4662</v>
      </c>
      <c r="L326" s="26" t="n">
        <v>0.137515</v>
      </c>
      <c r="M326" s="27" t="str">
        <f aca="false">IF(D326&gt;=200,"○","-")</f>
        <v>○</v>
      </c>
    </row>
    <row r="327" customFormat="false" ht="15" hidden="false" customHeight="false" outlineLevel="0" collapsed="false">
      <c r="A327" s="7" t="s">
        <v>20</v>
      </c>
      <c r="B327" s="7" t="s">
        <v>215</v>
      </c>
      <c r="C327" s="7" t="s">
        <v>487</v>
      </c>
      <c r="D327" s="8" t="n">
        <v>1066</v>
      </c>
      <c r="E327" s="27" t="n">
        <v>6</v>
      </c>
      <c r="F327" s="9" t="n">
        <f aca="false">IF(D327=0,0,E327/D327)</f>
        <v>0.00562851782363978</v>
      </c>
      <c r="G327" s="27" t="n">
        <v>1</v>
      </c>
      <c r="H327" s="10" t="n">
        <f aca="false">IF(D327=0,0,G327/D327*1000)</f>
        <v>0.938086303939963</v>
      </c>
      <c r="I327" s="8" t="n">
        <v>0</v>
      </c>
      <c r="J327" s="25" t="n">
        <v>0</v>
      </c>
      <c r="K327" s="26" t="n">
        <v>0.4999</v>
      </c>
      <c r="L327" s="26"/>
      <c r="M327" s="27" t="str">
        <f aca="false">IF(D327&gt;=200,"○","-")</f>
        <v>○</v>
      </c>
    </row>
    <row r="328" customFormat="false" ht="15" hidden="false" customHeight="false" outlineLevel="0" collapsed="false">
      <c r="A328" s="28" t="s">
        <v>20</v>
      </c>
      <c r="B328" s="28" t="s">
        <v>215</v>
      </c>
      <c r="C328" s="28" t="s">
        <v>488</v>
      </c>
      <c r="D328" s="30" t="n">
        <v>24</v>
      </c>
      <c r="E328" s="28" t="n">
        <v>0</v>
      </c>
      <c r="F328" s="31" t="n">
        <f aca="false">IF(D328=0,0,E328/D328)</f>
        <v>0</v>
      </c>
      <c r="G328" s="28" t="n">
        <v>0</v>
      </c>
      <c r="H328" s="32" t="n">
        <f aca="false">IF(D328=0,0,G328/D328*1000)</f>
        <v>0</v>
      </c>
      <c r="I328" s="30" t="n">
        <v>0</v>
      </c>
      <c r="J328" s="33" t="n">
        <v>0</v>
      </c>
      <c r="K328" s="34" t="n">
        <v>0.497</v>
      </c>
      <c r="L328" s="34"/>
      <c r="M328" s="28" t="str">
        <f aca="false">IF(D328&gt;=200,"○","-")</f>
        <v>-</v>
      </c>
    </row>
    <row r="329" customFormat="false" ht="15" hidden="false" customHeight="false" outlineLevel="0" collapsed="false">
      <c r="A329" s="7" t="s">
        <v>20</v>
      </c>
      <c r="B329" s="7" t="s">
        <v>220</v>
      </c>
      <c r="C329" s="27" t="s">
        <v>489</v>
      </c>
      <c r="D329" s="8" t="n">
        <v>1133</v>
      </c>
      <c r="E329" s="27" t="n">
        <v>6</v>
      </c>
      <c r="F329" s="9" t="n">
        <f aca="false">IF(D329=0,0,E329/D329)</f>
        <v>0.00529567519858782</v>
      </c>
      <c r="G329" s="27" t="n">
        <v>3</v>
      </c>
      <c r="H329" s="10" t="n">
        <f aca="false">IF(D329=0,0,G329/D329*1000)</f>
        <v>2.64783759929391</v>
      </c>
      <c r="I329" s="8" t="n">
        <v>0</v>
      </c>
      <c r="J329" s="25" t="n">
        <v>0</v>
      </c>
      <c r="K329" s="26" t="n">
        <v>0.4494</v>
      </c>
      <c r="L329" s="26"/>
      <c r="M329" s="27" t="str">
        <f aca="false">IF(D329&gt;=200,"○","-")</f>
        <v>○</v>
      </c>
    </row>
    <row r="330" customFormat="false" ht="15" hidden="false" customHeight="false" outlineLevel="0" collapsed="false">
      <c r="A330" s="7" t="s">
        <v>20</v>
      </c>
      <c r="B330" s="7" t="s">
        <v>220</v>
      </c>
      <c r="C330" s="27" t="s">
        <v>490</v>
      </c>
      <c r="D330" s="8" t="n">
        <v>269</v>
      </c>
      <c r="E330" s="27" t="n">
        <v>0</v>
      </c>
      <c r="F330" s="9" t="n">
        <f aca="false">IF(D330=0,0,E330/D330)</f>
        <v>0</v>
      </c>
      <c r="G330" s="27" t="n">
        <v>0</v>
      </c>
      <c r="H330" s="10" t="n">
        <f aca="false">IF(D330=0,0,G330/D330*1000)</f>
        <v>0</v>
      </c>
      <c r="I330" s="8" t="n">
        <v>0</v>
      </c>
      <c r="J330" s="25" t="n">
        <v>0</v>
      </c>
      <c r="K330" s="26" t="n">
        <v>0.4595</v>
      </c>
      <c r="L330" s="26"/>
      <c r="M330" s="27" t="str">
        <f aca="false">IF(D330&gt;=200,"○","-")</f>
        <v>○</v>
      </c>
    </row>
    <row r="331" customFormat="false" ht="15" hidden="false" customHeight="false" outlineLevel="0" collapsed="false">
      <c r="A331" s="7" t="s">
        <v>20</v>
      </c>
      <c r="B331" s="7" t="s">
        <v>223</v>
      </c>
      <c r="C331" s="27" t="s">
        <v>491</v>
      </c>
      <c r="D331" s="8" t="n">
        <v>294</v>
      </c>
      <c r="E331" s="27" t="n">
        <v>1</v>
      </c>
      <c r="F331" s="9" t="n">
        <f aca="false">IF(D331=0,0,E331/D331)</f>
        <v>0.00340136054421769</v>
      </c>
      <c r="G331" s="27" t="n">
        <v>0</v>
      </c>
      <c r="H331" s="10" t="n">
        <f aca="false">IF(D331=0,0,G331/D331*1000)</f>
        <v>0</v>
      </c>
      <c r="I331" s="8" t="n">
        <v>0</v>
      </c>
      <c r="J331" s="25" t="n">
        <v>0</v>
      </c>
      <c r="K331" s="26" t="n">
        <v>0.8286</v>
      </c>
      <c r="L331" s="26"/>
      <c r="M331" s="27" t="str">
        <f aca="false">IF(D331&gt;=200,"○","-")</f>
        <v>○</v>
      </c>
    </row>
    <row r="332" customFormat="false" ht="15" hidden="false" customHeight="false" outlineLevel="0" collapsed="false">
      <c r="A332" s="7" t="s">
        <v>20</v>
      </c>
      <c r="B332" s="7" t="s">
        <v>223</v>
      </c>
      <c r="C332" s="27" t="s">
        <v>492</v>
      </c>
      <c r="D332" s="8" t="n">
        <v>982</v>
      </c>
      <c r="E332" s="27" t="n">
        <v>1</v>
      </c>
      <c r="F332" s="9" t="n">
        <f aca="false">IF(D332=0,0,E332/D332)</f>
        <v>0.0010183299389002</v>
      </c>
      <c r="G332" s="27" t="n">
        <v>1</v>
      </c>
      <c r="H332" s="10" t="n">
        <f aca="false">IF(D332=0,0,G332/D332*1000)</f>
        <v>1.0183299389002</v>
      </c>
      <c r="I332" s="8" t="n">
        <v>0</v>
      </c>
      <c r="J332" s="25" t="n">
        <v>0</v>
      </c>
      <c r="K332" s="26" t="n">
        <v>0.4361</v>
      </c>
      <c r="L332" s="26"/>
      <c r="M332" s="27" t="str">
        <f aca="false">IF(D332&gt;=200,"○","-")</f>
        <v>○</v>
      </c>
    </row>
    <row r="333" customFormat="false" ht="15" hidden="false" customHeight="false" outlineLevel="0" collapsed="false">
      <c r="A333" s="7" t="s">
        <v>20</v>
      </c>
      <c r="B333" s="7" t="s">
        <v>223</v>
      </c>
      <c r="C333" s="7" t="s">
        <v>493</v>
      </c>
      <c r="D333" s="8" t="n">
        <v>1326</v>
      </c>
      <c r="E333" s="27" t="n">
        <v>1</v>
      </c>
      <c r="F333" s="9" t="n">
        <f aca="false">IF(D333=0,0,E333/D333)</f>
        <v>0.000754147812971342</v>
      </c>
      <c r="G333" s="27" t="n">
        <v>1</v>
      </c>
      <c r="H333" s="10" t="n">
        <f aca="false">IF(D333=0,0,G333/D333*1000)</f>
        <v>0.754147812971342</v>
      </c>
      <c r="I333" s="8" t="n">
        <v>0</v>
      </c>
      <c r="J333" s="25" t="n">
        <v>0</v>
      </c>
      <c r="K333" s="26" t="n">
        <v>0.7123</v>
      </c>
      <c r="L333" s="26" t="n">
        <v>0.35892</v>
      </c>
      <c r="M333" s="27" t="str">
        <f aca="false">IF(D333&gt;=200,"○","-")</f>
        <v>○</v>
      </c>
    </row>
    <row r="334" customFormat="false" ht="15" hidden="false" customHeight="false" outlineLevel="0" collapsed="false">
      <c r="A334" s="28" t="s">
        <v>20</v>
      </c>
      <c r="B334" s="28" t="s">
        <v>223</v>
      </c>
      <c r="C334" s="28" t="s">
        <v>494</v>
      </c>
      <c r="D334" s="30" t="n">
        <v>41</v>
      </c>
      <c r="E334" s="28" t="n">
        <v>2</v>
      </c>
      <c r="F334" s="31" t="n">
        <f aca="false">IF(D334=0,0,E334/D334)</f>
        <v>0.0487804878048781</v>
      </c>
      <c r="G334" s="28" t="n">
        <v>1</v>
      </c>
      <c r="H334" s="32" t="n">
        <f aca="false">IF(D334=0,0,G334/D334*1000)</f>
        <v>24.390243902439</v>
      </c>
      <c r="I334" s="30" t="n">
        <v>0</v>
      </c>
      <c r="J334" s="33" t="n">
        <v>0</v>
      </c>
      <c r="K334" s="34" t="n">
        <v>0.509</v>
      </c>
      <c r="L334" s="34"/>
      <c r="M334" s="28" t="str">
        <f aca="false">IF(D334&gt;=200,"○","-")</f>
        <v>-</v>
      </c>
    </row>
    <row r="335" customFormat="false" ht="15" hidden="false" customHeight="false" outlineLevel="0" collapsed="false">
      <c r="A335" s="7" t="s">
        <v>20</v>
      </c>
      <c r="B335" s="7" t="s">
        <v>228</v>
      </c>
      <c r="C335" s="27" t="s">
        <v>495</v>
      </c>
      <c r="D335" s="8" t="n">
        <v>1197</v>
      </c>
      <c r="E335" s="27" t="n">
        <v>6</v>
      </c>
      <c r="F335" s="9" t="n">
        <f aca="false">IF(D335=0,0,E335/D335)</f>
        <v>0.0050125313283208</v>
      </c>
      <c r="G335" s="27" t="n">
        <v>1</v>
      </c>
      <c r="H335" s="10" t="n">
        <f aca="false">IF(D335=0,0,G335/D335*1000)</f>
        <v>0.835421888053467</v>
      </c>
      <c r="I335" s="8" t="n">
        <v>0</v>
      </c>
      <c r="J335" s="25" t="n">
        <v>0</v>
      </c>
      <c r="K335" s="26" t="n">
        <v>0.4781</v>
      </c>
      <c r="L335" s="26" t="n">
        <v>0.16886</v>
      </c>
      <c r="M335" s="27" t="str">
        <f aca="false">IF(D335&gt;=200,"○","-")</f>
        <v>○</v>
      </c>
    </row>
    <row r="336" customFormat="false" ht="15" hidden="false" customHeight="false" outlineLevel="0" collapsed="false">
      <c r="A336" s="7" t="s">
        <v>20</v>
      </c>
      <c r="B336" s="7" t="s">
        <v>228</v>
      </c>
      <c r="C336" s="27" t="s">
        <v>496</v>
      </c>
      <c r="D336" s="8" t="n">
        <v>1165</v>
      </c>
      <c r="E336" s="27" t="n">
        <v>10</v>
      </c>
      <c r="F336" s="9" t="n">
        <f aca="false">IF(D336=0,0,E336/D336)</f>
        <v>0.00858369098712446</v>
      </c>
      <c r="G336" s="27" t="n">
        <v>3</v>
      </c>
      <c r="H336" s="10" t="n">
        <f aca="false">IF(D336=0,0,G336/D336*1000)</f>
        <v>2.57510729613734</v>
      </c>
      <c r="I336" s="8" t="n">
        <v>0</v>
      </c>
      <c r="J336" s="25" t="n">
        <v>0</v>
      </c>
      <c r="K336" s="26" t="n">
        <v>0.5145</v>
      </c>
      <c r="L336" s="26"/>
      <c r="M336" s="27" t="str">
        <f aca="false">IF(D336&gt;=200,"○","-")</f>
        <v>○</v>
      </c>
    </row>
    <row r="337" customFormat="false" ht="15" hidden="false" customHeight="false" outlineLevel="0" collapsed="false">
      <c r="A337" s="7" t="s">
        <v>20</v>
      </c>
      <c r="B337" s="7" t="s">
        <v>228</v>
      </c>
      <c r="C337" s="7" t="s">
        <v>497</v>
      </c>
      <c r="D337" s="8" t="n">
        <v>969</v>
      </c>
      <c r="E337" s="27" t="n">
        <v>4</v>
      </c>
      <c r="F337" s="9" t="n">
        <f aca="false">IF(D337=0,0,E337/D337)</f>
        <v>0.00412796697626419</v>
      </c>
      <c r="G337" s="27" t="n">
        <v>0</v>
      </c>
      <c r="H337" s="10" t="n">
        <f aca="false">IF(D337=0,0,G337/D337*1000)</f>
        <v>0</v>
      </c>
      <c r="I337" s="8" t="n">
        <v>0</v>
      </c>
      <c r="J337" s="25" t="n">
        <v>0</v>
      </c>
      <c r="K337" s="26" t="n">
        <v>0.6183</v>
      </c>
      <c r="L337" s="26"/>
      <c r="M337" s="27" t="str">
        <f aca="false">IF(D337&gt;=200,"○","-")</f>
        <v>○</v>
      </c>
    </row>
    <row r="338" customFormat="false" ht="15" hidden="false" customHeight="false" outlineLevel="0" collapsed="false">
      <c r="A338" s="7" t="s">
        <v>20</v>
      </c>
      <c r="B338" s="7" t="s">
        <v>232</v>
      </c>
      <c r="C338" s="27" t="s">
        <v>498</v>
      </c>
      <c r="D338" s="8" t="n">
        <v>1207</v>
      </c>
      <c r="E338" s="27" t="n">
        <v>6</v>
      </c>
      <c r="F338" s="9" t="n">
        <f aca="false">IF(D338=0,0,E338/D338)</f>
        <v>0.00497100248550124</v>
      </c>
      <c r="G338" s="27" t="n">
        <v>0</v>
      </c>
      <c r="H338" s="10" t="n">
        <f aca="false">IF(D338=0,0,G338/D338*1000)</f>
        <v>0</v>
      </c>
      <c r="I338" s="8" t="n">
        <v>0</v>
      </c>
      <c r="J338" s="25" t="n">
        <v>0</v>
      </c>
      <c r="K338" s="26" t="n">
        <v>0.5987</v>
      </c>
      <c r="L338" s="26" t="n">
        <v>0.2858</v>
      </c>
      <c r="M338" s="27" t="str">
        <f aca="false">IF(D338&gt;=200,"○","-")</f>
        <v>○</v>
      </c>
    </row>
    <row r="339" customFormat="false" ht="15" hidden="false" customHeight="false" outlineLevel="0" collapsed="false">
      <c r="A339" s="7" t="s">
        <v>20</v>
      </c>
      <c r="B339" s="7" t="s">
        <v>232</v>
      </c>
      <c r="C339" s="27" t="s">
        <v>499</v>
      </c>
      <c r="D339" s="8" t="n">
        <v>263</v>
      </c>
      <c r="E339" s="27" t="n">
        <v>0</v>
      </c>
      <c r="F339" s="9" t="n">
        <f aca="false">IF(D339=0,0,E339/D339)</f>
        <v>0</v>
      </c>
      <c r="G339" s="27" t="n">
        <v>0</v>
      </c>
      <c r="H339" s="10" t="n">
        <f aca="false">IF(D339=0,0,G339/D339*1000)</f>
        <v>0</v>
      </c>
      <c r="I339" s="8" t="n">
        <v>0</v>
      </c>
      <c r="J339" s="25" t="n">
        <v>0</v>
      </c>
      <c r="K339" s="26" t="n">
        <v>0.4577</v>
      </c>
      <c r="L339" s="26"/>
      <c r="M339" s="27" t="str">
        <f aca="false">IF(D339&gt;=200,"○","-")</f>
        <v>○</v>
      </c>
    </row>
    <row r="340" customFormat="false" ht="15" hidden="false" customHeight="false" outlineLevel="0" collapsed="false">
      <c r="A340" s="28" t="s">
        <v>20</v>
      </c>
      <c r="B340" s="28" t="s">
        <v>232</v>
      </c>
      <c r="C340" s="29" t="s">
        <v>500</v>
      </c>
      <c r="D340" s="30" t="n">
        <v>0</v>
      </c>
      <c r="E340" s="28" t="n">
        <v>0</v>
      </c>
      <c r="F340" s="31" t="n">
        <f aca="false">IF(D340=0,0,E340/D340)</f>
        <v>0</v>
      </c>
      <c r="G340" s="28" t="n">
        <v>0</v>
      </c>
      <c r="H340" s="32" t="n">
        <f aca="false">IF(D340=0,0,G340/D340*1000)</f>
        <v>0</v>
      </c>
      <c r="I340" s="30" t="n">
        <v>0</v>
      </c>
      <c r="J340" s="33" t="n">
        <v>0</v>
      </c>
      <c r="K340" s="34" t="n">
        <v>0.365</v>
      </c>
      <c r="L340" s="34"/>
      <c r="M340" s="28" t="str">
        <f aca="false">IF(D340&gt;=200,"○","-")</f>
        <v>-</v>
      </c>
    </row>
    <row r="341" customFormat="false" ht="15" hidden="false" customHeight="false" outlineLevel="0" collapsed="false">
      <c r="A341" s="28" t="s">
        <v>20</v>
      </c>
      <c r="B341" s="28" t="s">
        <v>232</v>
      </c>
      <c r="C341" s="29" t="s">
        <v>501</v>
      </c>
      <c r="D341" s="30" t="n">
        <v>36</v>
      </c>
      <c r="E341" s="28" t="n">
        <v>0</v>
      </c>
      <c r="F341" s="31" t="n">
        <f aca="false">IF(D341=0,0,E341/D341)</f>
        <v>0</v>
      </c>
      <c r="G341" s="28" t="n">
        <v>0</v>
      </c>
      <c r="H341" s="32" t="n">
        <f aca="false">IF(D341=0,0,G341/D341*1000)</f>
        <v>0</v>
      </c>
      <c r="I341" s="30" t="n">
        <v>0</v>
      </c>
      <c r="J341" s="33" t="n">
        <v>0</v>
      </c>
      <c r="K341" s="34" t="n">
        <v>0.7284</v>
      </c>
      <c r="L341" s="34"/>
      <c r="M341" s="28" t="str">
        <f aca="false">IF(D341&gt;=200,"○","-")</f>
        <v>-</v>
      </c>
    </row>
    <row r="342" customFormat="false" ht="15" hidden="false" customHeight="false" outlineLevel="0" collapsed="false">
      <c r="A342" s="7" t="s">
        <v>20</v>
      </c>
      <c r="B342" s="7" t="s">
        <v>237</v>
      </c>
      <c r="C342" s="27" t="s">
        <v>502</v>
      </c>
      <c r="D342" s="8" t="n">
        <v>429</v>
      </c>
      <c r="E342" s="27" t="n">
        <v>0</v>
      </c>
      <c r="F342" s="9" t="n">
        <f aca="false">IF(D342=0,0,E342/D342)</f>
        <v>0</v>
      </c>
      <c r="G342" s="27" t="n">
        <v>0</v>
      </c>
      <c r="H342" s="10" t="n">
        <f aca="false">IF(D342=0,0,G342/D342*1000)</f>
        <v>0</v>
      </c>
      <c r="I342" s="8" t="n">
        <v>0</v>
      </c>
      <c r="J342" s="25" t="n">
        <v>0</v>
      </c>
      <c r="K342" s="26" t="n">
        <v>0.5477</v>
      </c>
      <c r="L342" s="26"/>
      <c r="M342" s="27" t="str">
        <f aca="false">IF(D342&gt;=200,"○","-")</f>
        <v>○</v>
      </c>
    </row>
    <row r="343" customFormat="false" ht="15" hidden="false" customHeight="false" outlineLevel="0" collapsed="false">
      <c r="A343" s="7" t="s">
        <v>20</v>
      </c>
      <c r="B343" s="7" t="s">
        <v>237</v>
      </c>
      <c r="C343" s="27" t="s">
        <v>503</v>
      </c>
      <c r="D343" s="8" t="n">
        <v>959</v>
      </c>
      <c r="E343" s="27" t="n">
        <v>2</v>
      </c>
      <c r="F343" s="9" t="n">
        <f aca="false">IF(D343=0,0,E343/D343)</f>
        <v>0.00208550573514077</v>
      </c>
      <c r="G343" s="27" t="n">
        <v>0</v>
      </c>
      <c r="H343" s="10" t="n">
        <f aca="false">IF(D343=0,0,G343/D343*1000)</f>
        <v>0</v>
      </c>
      <c r="I343" s="8" t="n">
        <v>0</v>
      </c>
      <c r="J343" s="25" t="n">
        <v>0</v>
      </c>
      <c r="K343" s="26" t="n">
        <v>0.5156</v>
      </c>
      <c r="L343" s="26"/>
      <c r="M343" s="27" t="str">
        <f aca="false">IF(D343&gt;=200,"○","-")</f>
        <v>○</v>
      </c>
    </row>
    <row r="344" customFormat="false" ht="15" hidden="false" customHeight="false" outlineLevel="0" collapsed="false">
      <c r="A344" s="7" t="s">
        <v>20</v>
      </c>
      <c r="B344" s="7" t="s">
        <v>237</v>
      </c>
      <c r="C344" s="27" t="s">
        <v>504</v>
      </c>
      <c r="D344" s="8" t="n">
        <v>1023</v>
      </c>
      <c r="E344" s="27" t="n">
        <v>6</v>
      </c>
      <c r="F344" s="9" t="n">
        <f aca="false">IF(D344=0,0,E344/D344)</f>
        <v>0.00586510263929619</v>
      </c>
      <c r="G344" s="27" t="n">
        <v>3</v>
      </c>
      <c r="H344" s="10" t="n">
        <f aca="false">IF(D344=0,0,G344/D344*1000)</f>
        <v>2.93255131964809</v>
      </c>
      <c r="I344" s="8" t="n">
        <v>0</v>
      </c>
      <c r="J344" s="25" t="n">
        <v>0</v>
      </c>
      <c r="K344" s="26" t="n">
        <v>0.4701</v>
      </c>
      <c r="L344" s="26"/>
      <c r="M344" s="27" t="str">
        <f aca="false">IF(D344&gt;=200,"○","-")</f>
        <v>○</v>
      </c>
    </row>
    <row r="345" customFormat="false" ht="15" hidden="false" customHeight="false" outlineLevel="0" collapsed="false">
      <c r="A345" s="28" t="s">
        <v>20</v>
      </c>
      <c r="B345" s="28" t="s">
        <v>241</v>
      </c>
      <c r="C345" s="29" t="s">
        <v>505</v>
      </c>
      <c r="D345" s="30" t="n">
        <v>167</v>
      </c>
      <c r="E345" s="28" t="n">
        <v>0</v>
      </c>
      <c r="F345" s="31" t="n">
        <f aca="false">IF(D345=0,0,E345/D345)</f>
        <v>0</v>
      </c>
      <c r="G345" s="28" t="n">
        <v>0</v>
      </c>
      <c r="H345" s="32" t="n">
        <f aca="false">IF(D345=0,0,G345/D345*1000)</f>
        <v>0</v>
      </c>
      <c r="I345" s="30" t="n">
        <v>0</v>
      </c>
      <c r="J345" s="33" t="n">
        <v>0</v>
      </c>
      <c r="K345" s="34" t="n">
        <v>0.5597</v>
      </c>
      <c r="L345" s="34"/>
      <c r="M345" s="28" t="str">
        <f aca="false">IF(D345&gt;=200,"○","-")</f>
        <v>-</v>
      </c>
    </row>
    <row r="346" customFormat="false" ht="15" hidden="false" customHeight="false" outlineLevel="0" collapsed="false">
      <c r="A346" s="7" t="s">
        <v>20</v>
      </c>
      <c r="B346" s="7" t="s">
        <v>241</v>
      </c>
      <c r="C346" s="27" t="s">
        <v>506</v>
      </c>
      <c r="D346" s="8" t="n">
        <v>449</v>
      </c>
      <c r="E346" s="27" t="n">
        <v>2</v>
      </c>
      <c r="F346" s="9" t="n">
        <f aca="false">IF(D346=0,0,E346/D346)</f>
        <v>0.0044543429844098</v>
      </c>
      <c r="G346" s="27" t="n">
        <v>0</v>
      </c>
      <c r="H346" s="10" t="n">
        <f aca="false">IF(D346=0,0,G346/D346*1000)</f>
        <v>0</v>
      </c>
      <c r="I346" s="8" t="n">
        <v>0</v>
      </c>
      <c r="J346" s="25" t="n">
        <v>0</v>
      </c>
      <c r="K346" s="26" t="n">
        <v>0.5912</v>
      </c>
      <c r="L346" s="26"/>
      <c r="M346" s="27" t="str">
        <f aca="false">IF(D346&gt;=200,"○","-")</f>
        <v>○</v>
      </c>
    </row>
    <row r="347" customFormat="false" ht="15" hidden="false" customHeight="false" outlineLevel="0" collapsed="false">
      <c r="A347" s="7" t="s">
        <v>20</v>
      </c>
      <c r="B347" s="7" t="s">
        <v>244</v>
      </c>
      <c r="C347" s="27" t="s">
        <v>507</v>
      </c>
      <c r="D347" s="8" t="n">
        <v>1140</v>
      </c>
      <c r="E347" s="27" t="n">
        <v>13</v>
      </c>
      <c r="F347" s="9" t="n">
        <f aca="false">IF(D347=0,0,E347/D347)</f>
        <v>0.0114035087719298</v>
      </c>
      <c r="G347" s="27" t="n">
        <v>3</v>
      </c>
      <c r="H347" s="10" t="n">
        <f aca="false">IF(D347=0,0,G347/D347*1000)</f>
        <v>2.63157894736842</v>
      </c>
      <c r="I347" s="8" t="n">
        <v>0</v>
      </c>
      <c r="J347" s="25" t="n">
        <v>0</v>
      </c>
      <c r="K347" s="26" t="n">
        <v>0.4615</v>
      </c>
      <c r="L347" s="26" t="n">
        <v>0.12462</v>
      </c>
      <c r="M347" s="27" t="str">
        <f aca="false">IF(D347&gt;=200,"○","-")</f>
        <v>○</v>
      </c>
    </row>
    <row r="348" customFormat="false" ht="15" hidden="false" customHeight="false" outlineLevel="0" collapsed="false">
      <c r="A348" s="28" t="s">
        <v>20</v>
      </c>
      <c r="B348" s="28" t="s">
        <v>244</v>
      </c>
      <c r="C348" s="29" t="s">
        <v>508</v>
      </c>
      <c r="D348" s="30" t="n">
        <v>16</v>
      </c>
      <c r="E348" s="28" t="n">
        <v>0</v>
      </c>
      <c r="F348" s="31" t="n">
        <f aca="false">IF(D348=0,0,E348/D348)</f>
        <v>0</v>
      </c>
      <c r="G348" s="28" t="n">
        <v>0</v>
      </c>
      <c r="H348" s="32" t="n">
        <f aca="false">IF(D348=0,0,G348/D348*1000)</f>
        <v>0</v>
      </c>
      <c r="I348" s="30" t="n">
        <v>0</v>
      </c>
      <c r="J348" s="33" t="n">
        <v>0</v>
      </c>
      <c r="K348" s="34" t="n">
        <v>0.6027</v>
      </c>
      <c r="L348" s="34"/>
      <c r="M348" s="28" t="str">
        <f aca="false">IF(D348&gt;=200,"○","-")</f>
        <v>-</v>
      </c>
    </row>
    <row r="349" customFormat="false" ht="15" hidden="false" customHeight="false" outlineLevel="0" collapsed="false">
      <c r="A349" s="7" t="s">
        <v>20</v>
      </c>
      <c r="B349" s="7" t="s">
        <v>244</v>
      </c>
      <c r="C349" s="7" t="s">
        <v>509</v>
      </c>
      <c r="D349" s="8" t="n">
        <v>999</v>
      </c>
      <c r="E349" s="27" t="n">
        <v>6</v>
      </c>
      <c r="F349" s="9" t="n">
        <f aca="false">IF(D349=0,0,E349/D349)</f>
        <v>0.00600600600600601</v>
      </c>
      <c r="G349" s="27" t="n">
        <v>1</v>
      </c>
      <c r="H349" s="10" t="n">
        <f aca="false">IF(D349=0,0,G349/D349*1000)</f>
        <v>1.001001001001</v>
      </c>
      <c r="I349" s="8" t="n">
        <v>0</v>
      </c>
      <c r="J349" s="25" t="n">
        <v>0</v>
      </c>
      <c r="K349" s="26" t="n">
        <v>0.3991</v>
      </c>
      <c r="L349" s="26"/>
      <c r="M349" s="27" t="str">
        <f aca="false">IF(D349&gt;=200,"○","-")</f>
        <v>○</v>
      </c>
    </row>
    <row r="350" customFormat="false" ht="15" hidden="false" customHeight="false" outlineLevel="0" collapsed="false">
      <c r="A350" s="7" t="s">
        <v>20</v>
      </c>
      <c r="B350" s="7" t="s">
        <v>248</v>
      </c>
      <c r="C350" s="27" t="s">
        <v>510</v>
      </c>
      <c r="D350" s="8" t="n">
        <v>949</v>
      </c>
      <c r="E350" s="27" t="n">
        <v>6</v>
      </c>
      <c r="F350" s="9" t="n">
        <f aca="false">IF(D350=0,0,E350/D350)</f>
        <v>0.00632244467860906</v>
      </c>
      <c r="G350" s="27" t="n">
        <v>0</v>
      </c>
      <c r="H350" s="10" t="n">
        <f aca="false">IF(D350=0,0,G350/D350*1000)</f>
        <v>0</v>
      </c>
      <c r="I350" s="8" t="n">
        <v>0</v>
      </c>
      <c r="J350" s="25" t="n">
        <v>0</v>
      </c>
      <c r="K350" s="26" t="n">
        <v>0.453</v>
      </c>
      <c r="L350" s="26"/>
      <c r="M350" s="27" t="str">
        <f aca="false">IF(D350&gt;=200,"○","-")</f>
        <v>○</v>
      </c>
    </row>
    <row r="351" customFormat="false" ht="15" hidden="false" customHeight="false" outlineLevel="0" collapsed="false">
      <c r="A351" s="7" t="s">
        <v>20</v>
      </c>
      <c r="B351" s="7" t="s">
        <v>248</v>
      </c>
      <c r="C351" s="27" t="s">
        <v>511</v>
      </c>
      <c r="D351" s="8" t="n">
        <v>1151</v>
      </c>
      <c r="E351" s="27" t="n">
        <v>5</v>
      </c>
      <c r="F351" s="9" t="n">
        <f aca="false">IF(D351=0,0,E351/D351)</f>
        <v>0.00434404865334492</v>
      </c>
      <c r="G351" s="27" t="n">
        <v>1</v>
      </c>
      <c r="H351" s="10" t="n">
        <f aca="false">IF(D351=0,0,G351/D351*1000)</f>
        <v>0.868809730668984</v>
      </c>
      <c r="I351" s="8" t="n">
        <v>0</v>
      </c>
      <c r="J351" s="25" t="n">
        <v>0</v>
      </c>
      <c r="K351" s="26" t="n">
        <v>0.4378</v>
      </c>
      <c r="L351" s="26" t="n">
        <v>0.129775</v>
      </c>
      <c r="M351" s="27" t="str">
        <f aca="false">IF(D351&gt;=200,"○","-")</f>
        <v>○</v>
      </c>
    </row>
    <row r="352" customFormat="false" ht="15" hidden="false" customHeight="false" outlineLevel="0" collapsed="false">
      <c r="A352" s="7" t="s">
        <v>20</v>
      </c>
      <c r="B352" s="7" t="s">
        <v>248</v>
      </c>
      <c r="C352" s="27" t="s">
        <v>512</v>
      </c>
      <c r="D352" s="8" t="n">
        <v>1098</v>
      </c>
      <c r="E352" s="27" t="n">
        <v>5</v>
      </c>
      <c r="F352" s="9" t="n">
        <f aca="false">IF(D352=0,0,E352/D352)</f>
        <v>0.00455373406193078</v>
      </c>
      <c r="G352" s="27" t="n">
        <v>0</v>
      </c>
      <c r="H352" s="10" t="n">
        <f aca="false">IF(D352=0,0,G352/D352*1000)</f>
        <v>0</v>
      </c>
      <c r="I352" s="8" t="n">
        <v>0</v>
      </c>
      <c r="J352" s="25" t="n">
        <v>0</v>
      </c>
      <c r="K352" s="26" t="n">
        <v>0.445</v>
      </c>
      <c r="L352" s="26"/>
      <c r="M352" s="27" t="str">
        <f aca="false">IF(D352&gt;=200,"○","-")</f>
        <v>○</v>
      </c>
    </row>
    <row r="353" customFormat="false" ht="15" hidden="false" customHeight="false" outlineLevel="0" collapsed="false">
      <c r="A353" s="7" t="s">
        <v>20</v>
      </c>
      <c r="B353" s="7" t="s">
        <v>252</v>
      </c>
      <c r="C353" s="27" t="s">
        <v>513</v>
      </c>
      <c r="D353" s="8" t="n">
        <v>1084</v>
      </c>
      <c r="E353" s="27" t="n">
        <v>0</v>
      </c>
      <c r="F353" s="9" t="n">
        <f aca="false">IF(D353=0,0,E353/D353)</f>
        <v>0</v>
      </c>
      <c r="G353" s="27" t="n">
        <v>0</v>
      </c>
      <c r="H353" s="10" t="n">
        <f aca="false">IF(D353=0,0,G353/D353*1000)</f>
        <v>0</v>
      </c>
      <c r="I353" s="8" t="n">
        <v>0</v>
      </c>
      <c r="J353" s="25" t="n">
        <v>0</v>
      </c>
      <c r="K353" s="26" t="n">
        <v>0.4259</v>
      </c>
      <c r="L353" s="26"/>
      <c r="M353" s="27" t="str">
        <f aca="false">IF(D353&gt;=200,"○","-")</f>
        <v>○</v>
      </c>
    </row>
    <row r="354" customFormat="false" ht="15" hidden="false" customHeight="false" outlineLevel="0" collapsed="false">
      <c r="A354" s="7" t="s">
        <v>20</v>
      </c>
      <c r="B354" s="7" t="s">
        <v>252</v>
      </c>
      <c r="C354" s="27" t="s">
        <v>514</v>
      </c>
      <c r="D354" s="8" t="n">
        <v>1016</v>
      </c>
      <c r="E354" s="27" t="n">
        <v>0</v>
      </c>
      <c r="F354" s="9" t="n">
        <f aca="false">IF(D354=0,0,E354/D354)</f>
        <v>0</v>
      </c>
      <c r="G354" s="27" t="n">
        <v>0</v>
      </c>
      <c r="H354" s="10" t="n">
        <f aca="false">IF(D354=0,0,G354/D354*1000)</f>
        <v>0</v>
      </c>
      <c r="I354" s="8" t="n">
        <v>0</v>
      </c>
      <c r="J354" s="25" t="n">
        <v>0</v>
      </c>
      <c r="K354" s="26" t="n">
        <v>0.4098</v>
      </c>
      <c r="L354" s="26"/>
      <c r="M354" s="27" t="str">
        <f aca="false">IF(D354&gt;=200,"○","-")</f>
        <v>○</v>
      </c>
    </row>
    <row r="355" customFormat="false" ht="15" hidden="false" customHeight="false" outlineLevel="0" collapsed="false">
      <c r="A355" s="7" t="s">
        <v>20</v>
      </c>
      <c r="B355" s="7" t="s">
        <v>252</v>
      </c>
      <c r="C355" s="27" t="s">
        <v>515</v>
      </c>
      <c r="D355" s="8" t="n">
        <v>905</v>
      </c>
      <c r="E355" s="27" t="n">
        <v>7</v>
      </c>
      <c r="F355" s="9" t="n">
        <f aca="false">IF(D355=0,0,E355/D355)</f>
        <v>0.00773480662983425</v>
      </c>
      <c r="G355" s="27" t="n">
        <v>1</v>
      </c>
      <c r="H355" s="10" t="n">
        <f aca="false">IF(D355=0,0,G355/D355*1000)</f>
        <v>1.10497237569061</v>
      </c>
      <c r="I355" s="8" t="n">
        <v>0</v>
      </c>
      <c r="J355" s="25" t="n">
        <v>0</v>
      </c>
      <c r="K355" s="26" t="n">
        <v>0.4196</v>
      </c>
      <c r="L355" s="26"/>
      <c r="M355" s="27" t="str">
        <f aca="false">IF(D355&gt;=200,"○","-")</f>
        <v>○</v>
      </c>
    </row>
    <row r="356" customFormat="false" ht="15" hidden="false" customHeight="false" outlineLevel="0" collapsed="false">
      <c r="A356" s="28" t="s">
        <v>20</v>
      </c>
      <c r="B356" s="28" t="s">
        <v>252</v>
      </c>
      <c r="C356" s="29" t="s">
        <v>516</v>
      </c>
      <c r="D356" s="30" t="n">
        <v>39</v>
      </c>
      <c r="E356" s="28" t="n">
        <v>0</v>
      </c>
      <c r="F356" s="31" t="n">
        <f aca="false">IF(D356=0,0,E356/D356)</f>
        <v>0</v>
      </c>
      <c r="G356" s="28" t="n">
        <v>0</v>
      </c>
      <c r="H356" s="32" t="n">
        <f aca="false">IF(D356=0,0,G356/D356*1000)</f>
        <v>0</v>
      </c>
      <c r="I356" s="30" t="n">
        <v>0</v>
      </c>
      <c r="J356" s="33" t="n">
        <v>0</v>
      </c>
      <c r="K356" s="34" t="n">
        <v>0.531</v>
      </c>
      <c r="L356" s="34"/>
      <c r="M356" s="28" t="str">
        <f aca="false">IF(D356&gt;=200,"○","-")</f>
        <v>-</v>
      </c>
    </row>
    <row r="357" customFormat="false" ht="15" hidden="false" customHeight="false" outlineLevel="0" collapsed="false">
      <c r="A357" s="7" t="s">
        <v>20</v>
      </c>
      <c r="B357" s="7" t="s">
        <v>257</v>
      </c>
      <c r="C357" s="27" t="s">
        <v>517</v>
      </c>
      <c r="D357" s="8" t="n">
        <v>1256</v>
      </c>
      <c r="E357" s="27" t="n">
        <v>6</v>
      </c>
      <c r="F357" s="9" t="n">
        <f aca="false">IF(D357=0,0,E357/D357)</f>
        <v>0.00477707006369427</v>
      </c>
      <c r="G357" s="27" t="n">
        <v>2</v>
      </c>
      <c r="H357" s="10" t="n">
        <f aca="false">IF(D357=0,0,G357/D357*1000)</f>
        <v>1.59235668789809</v>
      </c>
      <c r="I357" s="8" t="n">
        <v>0</v>
      </c>
      <c r="J357" s="25" t="n">
        <v>0</v>
      </c>
      <c r="K357" s="26" t="n">
        <v>0.6156</v>
      </c>
      <c r="L357" s="26" t="n">
        <v>0.443115</v>
      </c>
      <c r="M357" s="27" t="str">
        <f aca="false">IF(D357&gt;=200,"○","-")</f>
        <v>○</v>
      </c>
    </row>
    <row r="358" customFormat="false" ht="15" hidden="false" customHeight="false" outlineLevel="0" collapsed="false">
      <c r="A358" s="7" t="s">
        <v>20</v>
      </c>
      <c r="B358" s="7" t="s">
        <v>257</v>
      </c>
      <c r="C358" s="27" t="s">
        <v>518</v>
      </c>
      <c r="D358" s="8" t="n">
        <v>1308</v>
      </c>
      <c r="E358" s="27" t="n">
        <v>7</v>
      </c>
      <c r="F358" s="9" t="n">
        <f aca="false">IF(D358=0,0,E358/D358)</f>
        <v>0.00535168195718654</v>
      </c>
      <c r="G358" s="27" t="n">
        <v>3</v>
      </c>
      <c r="H358" s="10" t="n">
        <f aca="false">IF(D358=0,0,G358/D358*1000)</f>
        <v>2.29357798165138</v>
      </c>
      <c r="I358" s="8" t="n">
        <v>0</v>
      </c>
      <c r="J358" s="25" t="n">
        <v>0</v>
      </c>
      <c r="K358" s="26" t="n">
        <v>0.6243</v>
      </c>
      <c r="L358" s="26" t="n">
        <v>0.216055</v>
      </c>
      <c r="M358" s="27" t="str">
        <f aca="false">IF(D358&gt;=200,"○","-")</f>
        <v>○</v>
      </c>
    </row>
    <row r="359" customFormat="false" ht="15" hidden="false" customHeight="false" outlineLevel="0" collapsed="false">
      <c r="A359" s="7" t="s">
        <v>20</v>
      </c>
      <c r="B359" s="7" t="s">
        <v>257</v>
      </c>
      <c r="C359" s="27" t="s">
        <v>519</v>
      </c>
      <c r="D359" s="8" t="n">
        <v>1010</v>
      </c>
      <c r="E359" s="27" t="n">
        <v>6</v>
      </c>
      <c r="F359" s="9" t="n">
        <f aca="false">IF(D359=0,0,E359/D359)</f>
        <v>0.00594059405940594</v>
      </c>
      <c r="G359" s="27" t="n">
        <v>0</v>
      </c>
      <c r="H359" s="10" t="n">
        <f aca="false">IF(D359=0,0,G359/D359*1000)</f>
        <v>0</v>
      </c>
      <c r="I359" s="8" t="n">
        <v>0</v>
      </c>
      <c r="J359" s="25" t="n">
        <v>0</v>
      </c>
      <c r="K359" s="26" t="n">
        <v>0.3873</v>
      </c>
      <c r="L359" s="26"/>
      <c r="M359" s="27" t="str">
        <f aca="false">IF(D359&gt;=200,"○","-")</f>
        <v>○</v>
      </c>
    </row>
    <row r="360" customFormat="false" ht="15" hidden="false" customHeight="false" outlineLevel="0" collapsed="false">
      <c r="A360" s="7" t="s">
        <v>20</v>
      </c>
      <c r="B360" s="7" t="s">
        <v>261</v>
      </c>
      <c r="C360" s="27" t="s">
        <v>520</v>
      </c>
      <c r="D360" s="8" t="n">
        <v>932</v>
      </c>
      <c r="E360" s="27" t="n">
        <v>3</v>
      </c>
      <c r="F360" s="9" t="n">
        <f aca="false">IF(D360=0,0,E360/D360)</f>
        <v>0.00321888412017167</v>
      </c>
      <c r="G360" s="27" t="n">
        <v>1</v>
      </c>
      <c r="H360" s="10" t="n">
        <f aca="false">IF(D360=0,0,G360/D360*1000)</f>
        <v>1.07296137339056</v>
      </c>
      <c r="I360" s="8" t="n">
        <v>0</v>
      </c>
      <c r="J360" s="25" t="n">
        <v>0</v>
      </c>
      <c r="K360" s="26" t="n">
        <v>0.3971</v>
      </c>
      <c r="L360" s="26"/>
      <c r="M360" s="27" t="str">
        <f aca="false">IF(D360&gt;=200,"○","-")</f>
        <v>○</v>
      </c>
    </row>
    <row r="361" customFormat="false" ht="15" hidden="false" customHeight="false" outlineLevel="0" collapsed="false">
      <c r="A361" s="7" t="s">
        <v>20</v>
      </c>
      <c r="B361" s="7" t="s">
        <v>261</v>
      </c>
      <c r="C361" s="27" t="s">
        <v>521</v>
      </c>
      <c r="D361" s="8" t="n">
        <v>506</v>
      </c>
      <c r="E361" s="27" t="n">
        <v>2</v>
      </c>
      <c r="F361" s="9" t="n">
        <f aca="false">IF(D361=0,0,E361/D361)</f>
        <v>0.00395256916996047</v>
      </c>
      <c r="G361" s="27" t="n">
        <v>0</v>
      </c>
      <c r="H361" s="10" t="n">
        <f aca="false">IF(D361=0,0,G361/D361*1000)</f>
        <v>0</v>
      </c>
      <c r="I361" s="8" t="n">
        <v>0</v>
      </c>
      <c r="J361" s="25" t="n">
        <v>0</v>
      </c>
      <c r="K361" s="26" t="n">
        <v>0.5033</v>
      </c>
      <c r="L361" s="26"/>
      <c r="M361" s="27" t="str">
        <f aca="false">IF(D361&gt;=200,"○","-")</f>
        <v>○</v>
      </c>
    </row>
    <row r="362" customFormat="false" ht="15" hidden="false" customHeight="false" outlineLevel="0" collapsed="false">
      <c r="A362" s="7" t="s">
        <v>20</v>
      </c>
      <c r="B362" s="7" t="s">
        <v>261</v>
      </c>
      <c r="C362" s="27" t="s">
        <v>522</v>
      </c>
      <c r="D362" s="8" t="n">
        <v>1003</v>
      </c>
      <c r="E362" s="27" t="n">
        <v>6</v>
      </c>
      <c r="F362" s="9" t="n">
        <f aca="false">IF(D362=0,0,E362/D362)</f>
        <v>0.00598205383848455</v>
      </c>
      <c r="G362" s="27" t="n">
        <v>0</v>
      </c>
      <c r="H362" s="10" t="n">
        <f aca="false">IF(D362=0,0,G362/D362*1000)</f>
        <v>0</v>
      </c>
      <c r="I362" s="8" t="n">
        <v>0</v>
      </c>
      <c r="J362" s="25" t="n">
        <v>0</v>
      </c>
      <c r="K362" s="26" t="n">
        <v>0.5101</v>
      </c>
      <c r="L362" s="26"/>
      <c r="M362" s="27" t="str">
        <f aca="false">IF(D362&gt;=200,"○","-")</f>
        <v>○</v>
      </c>
    </row>
    <row r="363" customFormat="false" ht="15" hidden="false" customHeight="false" outlineLevel="0" collapsed="false">
      <c r="A363" s="7" t="s">
        <v>20</v>
      </c>
      <c r="B363" s="7" t="s">
        <v>265</v>
      </c>
      <c r="C363" s="27" t="s">
        <v>523</v>
      </c>
      <c r="D363" s="8" t="n">
        <v>319</v>
      </c>
      <c r="E363" s="27" t="n">
        <v>0</v>
      </c>
      <c r="F363" s="9" t="n">
        <f aca="false">IF(D363=0,0,E363/D363)</f>
        <v>0</v>
      </c>
      <c r="G363" s="27" t="n">
        <v>0</v>
      </c>
      <c r="H363" s="10" t="n">
        <f aca="false">IF(D363=0,0,G363/D363*1000)</f>
        <v>0</v>
      </c>
      <c r="I363" s="8" t="n">
        <v>0</v>
      </c>
      <c r="J363" s="25" t="n">
        <v>0</v>
      </c>
      <c r="K363" s="26" t="n">
        <v>0.462</v>
      </c>
      <c r="L363" s="26"/>
      <c r="M363" s="27" t="str">
        <f aca="false">IF(D363&gt;=200,"○","-")</f>
        <v>○</v>
      </c>
    </row>
    <row r="364" customFormat="false" ht="15" hidden="false" customHeight="false" outlineLevel="0" collapsed="false">
      <c r="A364" s="7" t="s">
        <v>20</v>
      </c>
      <c r="B364" s="7" t="s">
        <v>265</v>
      </c>
      <c r="C364" s="27" t="s">
        <v>524</v>
      </c>
      <c r="D364" s="8" t="n">
        <v>449</v>
      </c>
      <c r="E364" s="27" t="n">
        <v>3</v>
      </c>
      <c r="F364" s="9" t="n">
        <f aca="false">IF(D364=0,0,E364/D364)</f>
        <v>0.0066815144766147</v>
      </c>
      <c r="G364" s="27" t="n">
        <v>0</v>
      </c>
      <c r="H364" s="10" t="n">
        <f aca="false">IF(D364=0,0,G364/D364*1000)</f>
        <v>0</v>
      </c>
      <c r="I364" s="8" t="n">
        <v>0</v>
      </c>
      <c r="J364" s="25" t="n">
        <v>0</v>
      </c>
      <c r="K364" s="26" t="n">
        <v>0.682</v>
      </c>
      <c r="L364" s="26"/>
      <c r="M364" s="27" t="str">
        <f aca="false">IF(D364&gt;=200,"○","-")</f>
        <v>○</v>
      </c>
    </row>
    <row r="365" customFormat="false" ht="15" hidden="false" customHeight="false" outlineLevel="0" collapsed="false">
      <c r="A365" s="7" t="s">
        <v>20</v>
      </c>
      <c r="B365" s="7" t="s">
        <v>268</v>
      </c>
      <c r="C365" s="27" t="s">
        <v>525</v>
      </c>
      <c r="D365" s="8" t="n">
        <v>1042</v>
      </c>
      <c r="E365" s="27" t="n">
        <v>6</v>
      </c>
      <c r="F365" s="9" t="n">
        <f aca="false">IF(D365=0,0,E365/D365)</f>
        <v>0.00575815738963532</v>
      </c>
      <c r="G365" s="27" t="n">
        <v>1</v>
      </c>
      <c r="H365" s="10" t="n">
        <f aca="false">IF(D365=0,0,G365/D365*1000)</f>
        <v>0.959692898272553</v>
      </c>
      <c r="I365" s="8" t="n">
        <v>0</v>
      </c>
      <c r="J365" s="25" t="n">
        <v>0</v>
      </c>
      <c r="K365" s="26" t="n">
        <v>0.4301</v>
      </c>
      <c r="L365" s="26"/>
      <c r="M365" s="27" t="str">
        <f aca="false">IF(D365&gt;=200,"○","-")</f>
        <v>○</v>
      </c>
    </row>
    <row r="366" customFormat="false" ht="15" hidden="false" customHeight="false" outlineLevel="0" collapsed="false">
      <c r="A366" s="7" t="s">
        <v>20</v>
      </c>
      <c r="B366" s="7" t="s">
        <v>268</v>
      </c>
      <c r="C366" s="27" t="s">
        <v>526</v>
      </c>
      <c r="D366" s="8" t="n">
        <v>248</v>
      </c>
      <c r="E366" s="27" t="n">
        <v>1</v>
      </c>
      <c r="F366" s="9" t="n">
        <f aca="false">IF(D366=0,0,E366/D366)</f>
        <v>0.00403225806451613</v>
      </c>
      <c r="G366" s="27" t="n">
        <v>0</v>
      </c>
      <c r="H366" s="10" t="n">
        <f aca="false">IF(D366=0,0,G366/D366*1000)</f>
        <v>0</v>
      </c>
      <c r="I366" s="8" t="n">
        <v>0</v>
      </c>
      <c r="J366" s="25" t="n">
        <v>0</v>
      </c>
      <c r="K366" s="26" t="n">
        <v>0.5093</v>
      </c>
      <c r="L366" s="26"/>
      <c r="M366" s="27" t="str">
        <f aca="false">IF(D366&gt;=200,"○","-")</f>
        <v>○</v>
      </c>
    </row>
    <row r="367" customFormat="false" ht="15" hidden="false" customHeight="false" outlineLevel="0" collapsed="false">
      <c r="A367" s="7" t="s">
        <v>20</v>
      </c>
      <c r="B367" s="7" t="s">
        <v>268</v>
      </c>
      <c r="C367" s="7" t="s">
        <v>527</v>
      </c>
      <c r="D367" s="8" t="n">
        <v>1008</v>
      </c>
      <c r="E367" s="27" t="n">
        <v>8</v>
      </c>
      <c r="F367" s="9" t="n">
        <f aca="false">IF(D367=0,0,E367/D367)</f>
        <v>0.00793650793650794</v>
      </c>
      <c r="G367" s="27" t="n">
        <v>1</v>
      </c>
      <c r="H367" s="10" t="n">
        <f aca="false">IF(D367=0,0,G367/D367*1000)</f>
        <v>0.992063492063492</v>
      </c>
      <c r="I367" s="8" t="n">
        <v>0</v>
      </c>
      <c r="J367" s="25" t="n">
        <v>0</v>
      </c>
      <c r="K367" s="26" t="n">
        <v>0.6821</v>
      </c>
      <c r="L367" s="26"/>
      <c r="M367" s="27" t="str">
        <f aca="false">IF(D367&gt;=200,"○","-")</f>
        <v>○</v>
      </c>
    </row>
    <row r="368" customFormat="false" ht="15" hidden="false" customHeight="false" outlineLevel="0" collapsed="false">
      <c r="A368" s="7" t="s">
        <v>20</v>
      </c>
      <c r="B368" s="7" t="s">
        <v>272</v>
      </c>
      <c r="C368" s="27" t="s">
        <v>528</v>
      </c>
      <c r="D368" s="8" t="n">
        <v>352</v>
      </c>
      <c r="E368" s="27" t="n">
        <v>4</v>
      </c>
      <c r="F368" s="9" t="n">
        <f aca="false">IF(D368=0,0,E368/D368)</f>
        <v>0.0113636363636364</v>
      </c>
      <c r="G368" s="27" t="n">
        <v>1</v>
      </c>
      <c r="H368" s="10" t="n">
        <f aca="false">IF(D368=0,0,G368/D368*1000)</f>
        <v>2.84090909090909</v>
      </c>
      <c r="I368" s="8" t="n">
        <v>0</v>
      </c>
      <c r="J368" s="25" t="n">
        <v>0</v>
      </c>
      <c r="K368" s="26" t="n">
        <v>0.5062</v>
      </c>
      <c r="L368" s="26"/>
      <c r="M368" s="27" t="str">
        <f aca="false">IF(D368&gt;=200,"○","-")</f>
        <v>○</v>
      </c>
    </row>
    <row r="369" customFormat="false" ht="15" hidden="false" customHeight="false" outlineLevel="0" collapsed="false">
      <c r="A369" s="28" t="s">
        <v>20</v>
      </c>
      <c r="B369" s="28" t="s">
        <v>272</v>
      </c>
      <c r="C369" s="29" t="s">
        <v>529</v>
      </c>
      <c r="D369" s="30" t="n">
        <v>47</v>
      </c>
      <c r="E369" s="28" t="n">
        <v>0</v>
      </c>
      <c r="F369" s="31" t="n">
        <f aca="false">IF(D369=0,0,E369/D369)</f>
        <v>0</v>
      </c>
      <c r="G369" s="28" t="n">
        <v>0</v>
      </c>
      <c r="H369" s="32" t="n">
        <f aca="false">IF(D369=0,0,G369/D369*1000)</f>
        <v>0</v>
      </c>
      <c r="I369" s="30" t="n">
        <v>0</v>
      </c>
      <c r="J369" s="33" t="n">
        <v>0</v>
      </c>
      <c r="K369" s="34" t="n">
        <v>0.8002</v>
      </c>
      <c r="L369" s="34"/>
      <c r="M369" s="28" t="str">
        <f aca="false">IF(D369&gt;=200,"○","-")</f>
        <v>-</v>
      </c>
    </row>
    <row r="370" customFormat="false" ht="15" hidden="false" customHeight="false" outlineLevel="0" collapsed="false">
      <c r="A370" s="7" t="s">
        <v>20</v>
      </c>
      <c r="B370" s="7" t="s">
        <v>275</v>
      </c>
      <c r="C370" s="27" t="s">
        <v>530</v>
      </c>
      <c r="D370" s="8" t="n">
        <v>407</v>
      </c>
      <c r="E370" s="27" t="n">
        <v>1</v>
      </c>
      <c r="F370" s="9" t="n">
        <f aca="false">IF(D370=0,0,E370/D370)</f>
        <v>0.00245700245700246</v>
      </c>
      <c r="G370" s="27" t="n">
        <v>0</v>
      </c>
      <c r="H370" s="10" t="n">
        <f aca="false">IF(D370=0,0,G370/D370*1000)</f>
        <v>0</v>
      </c>
      <c r="I370" s="8" t="n">
        <v>0</v>
      </c>
      <c r="J370" s="25" t="n">
        <v>0</v>
      </c>
      <c r="K370" s="26" t="n">
        <v>0.4362</v>
      </c>
      <c r="L370" s="26"/>
      <c r="M370" s="27" t="str">
        <f aca="false">IF(D370&gt;=200,"○","-")</f>
        <v>○</v>
      </c>
    </row>
    <row r="371" customFormat="false" ht="15" hidden="false" customHeight="false" outlineLevel="0" collapsed="false">
      <c r="A371" s="7" t="s">
        <v>20</v>
      </c>
      <c r="B371" s="7" t="s">
        <v>275</v>
      </c>
      <c r="C371" s="27" t="s">
        <v>531</v>
      </c>
      <c r="D371" s="8" t="n">
        <v>339</v>
      </c>
      <c r="E371" s="27" t="n">
        <v>2</v>
      </c>
      <c r="F371" s="9" t="n">
        <f aca="false">IF(D371=0,0,E371/D371)</f>
        <v>0.00589970501474926</v>
      </c>
      <c r="G371" s="27" t="n">
        <v>0</v>
      </c>
      <c r="H371" s="10" t="n">
        <f aca="false">IF(D371=0,0,G371/D371*1000)</f>
        <v>0</v>
      </c>
      <c r="I371" s="8" t="n">
        <v>0</v>
      </c>
      <c r="J371" s="25" t="n">
        <v>0</v>
      </c>
      <c r="K371" s="26" t="n">
        <v>0.6165</v>
      </c>
      <c r="L371" s="26"/>
      <c r="M371" s="27" t="str">
        <f aca="false">IF(D371&gt;=200,"○","-")</f>
        <v>○</v>
      </c>
    </row>
    <row r="372" customFormat="false" ht="15" hidden="false" customHeight="false" outlineLevel="0" collapsed="false">
      <c r="A372" s="7" t="s">
        <v>20</v>
      </c>
      <c r="B372" s="7" t="s">
        <v>275</v>
      </c>
      <c r="C372" s="7" t="s">
        <v>532</v>
      </c>
      <c r="D372" s="8" t="n">
        <v>1139</v>
      </c>
      <c r="E372" s="27" t="n">
        <v>8</v>
      </c>
      <c r="F372" s="9" t="n">
        <f aca="false">IF(D372=0,0,E372/D372)</f>
        <v>0.00702370500438982</v>
      </c>
      <c r="G372" s="27" t="n">
        <v>0</v>
      </c>
      <c r="H372" s="10" t="n">
        <f aca="false">IF(D372=0,0,G372/D372*1000)</f>
        <v>0</v>
      </c>
      <c r="I372" s="8" t="n">
        <v>0</v>
      </c>
      <c r="J372" s="25" t="n">
        <v>0</v>
      </c>
      <c r="K372" s="26" t="n">
        <v>0.5368</v>
      </c>
      <c r="L372" s="26" t="n">
        <v>0.190705</v>
      </c>
      <c r="M372" s="27" t="str">
        <f aca="false">IF(D372&gt;=200,"○","-")</f>
        <v>○</v>
      </c>
    </row>
    <row r="373" customFormat="false" ht="15" hidden="false" customHeight="false" outlineLevel="0" collapsed="false">
      <c r="A373" s="7" t="s">
        <v>20</v>
      </c>
      <c r="B373" s="7" t="s">
        <v>279</v>
      </c>
      <c r="C373" s="27" t="s">
        <v>533</v>
      </c>
      <c r="D373" s="8" t="n">
        <v>1067</v>
      </c>
      <c r="E373" s="27" t="n">
        <v>7</v>
      </c>
      <c r="F373" s="9" t="n">
        <f aca="false">IF(D373=0,0,E373/D373)</f>
        <v>0.00656044985941893</v>
      </c>
      <c r="G373" s="27" t="n">
        <v>1</v>
      </c>
      <c r="H373" s="10" t="n">
        <f aca="false">IF(D373=0,0,G373/D373*1000)</f>
        <v>0.937207122774133</v>
      </c>
      <c r="I373" s="8" t="n">
        <v>0</v>
      </c>
      <c r="J373" s="25" t="n">
        <v>0</v>
      </c>
      <c r="K373" s="26" t="n">
        <v>0.4952</v>
      </c>
      <c r="L373" s="26"/>
      <c r="M373" s="27" t="str">
        <f aca="false">IF(D373&gt;=200,"○","-")</f>
        <v>○</v>
      </c>
    </row>
    <row r="374" customFormat="false" ht="15" hidden="false" customHeight="false" outlineLevel="0" collapsed="false">
      <c r="A374" s="7" t="s">
        <v>20</v>
      </c>
      <c r="B374" s="7" t="s">
        <v>279</v>
      </c>
      <c r="C374" s="27" t="s">
        <v>534</v>
      </c>
      <c r="D374" s="8" t="n">
        <v>775</v>
      </c>
      <c r="E374" s="27" t="n">
        <v>2</v>
      </c>
      <c r="F374" s="9" t="n">
        <f aca="false">IF(D374=0,0,E374/D374)</f>
        <v>0.00258064516129032</v>
      </c>
      <c r="G374" s="27" t="n">
        <v>0</v>
      </c>
      <c r="H374" s="10" t="n">
        <f aca="false">IF(D374=0,0,G374/D374*1000)</f>
        <v>0</v>
      </c>
      <c r="I374" s="8" t="n">
        <v>0</v>
      </c>
      <c r="J374" s="25" t="n">
        <v>0</v>
      </c>
      <c r="K374" s="26" t="n">
        <v>0.5112</v>
      </c>
      <c r="L374" s="26"/>
      <c r="M374" s="27" t="str">
        <f aca="false">IF(D374&gt;=200,"○","-")</f>
        <v>○</v>
      </c>
    </row>
    <row r="375" customFormat="false" ht="15" hidden="false" customHeight="false" outlineLevel="0" collapsed="false">
      <c r="A375" s="7" t="s">
        <v>20</v>
      </c>
      <c r="B375" s="7" t="s">
        <v>279</v>
      </c>
      <c r="C375" s="27" t="s">
        <v>535</v>
      </c>
      <c r="D375" s="8" t="n">
        <v>1109</v>
      </c>
      <c r="E375" s="27" t="n">
        <v>4</v>
      </c>
      <c r="F375" s="9" t="n">
        <f aca="false">IF(D375=0,0,E375/D375)</f>
        <v>0.0036068530207394</v>
      </c>
      <c r="G375" s="27" t="n">
        <v>0</v>
      </c>
      <c r="H375" s="10" t="n">
        <f aca="false">IF(D375=0,0,G375/D375*1000)</f>
        <v>0</v>
      </c>
      <c r="I375" s="8" t="n">
        <v>0</v>
      </c>
      <c r="J375" s="25" t="n">
        <v>0</v>
      </c>
      <c r="K375" s="26" t="n">
        <v>0.511</v>
      </c>
      <c r="L375" s="26"/>
      <c r="M375" s="27" t="str">
        <f aca="false">IF(D375&gt;=200,"○","-")</f>
        <v>○</v>
      </c>
    </row>
    <row r="376" customFormat="false" ht="15" hidden="false" customHeight="false" outlineLevel="0" collapsed="false">
      <c r="A376" s="7" t="s">
        <v>20</v>
      </c>
      <c r="B376" s="7" t="s">
        <v>283</v>
      </c>
      <c r="C376" s="27" t="s">
        <v>536</v>
      </c>
      <c r="D376" s="8" t="n">
        <v>1056</v>
      </c>
      <c r="E376" s="27" t="n">
        <v>10</v>
      </c>
      <c r="F376" s="9" t="n">
        <f aca="false">IF(D376=0,0,E376/D376)</f>
        <v>0.00946969696969697</v>
      </c>
      <c r="G376" s="27" t="n">
        <v>1</v>
      </c>
      <c r="H376" s="10" t="n">
        <f aca="false">IF(D376=0,0,G376/D376*1000)</f>
        <v>0.946969696969697</v>
      </c>
      <c r="I376" s="8" t="n">
        <v>0</v>
      </c>
      <c r="J376" s="25" t="n">
        <v>0</v>
      </c>
      <c r="K376" s="26" t="n">
        <v>0.5374</v>
      </c>
      <c r="L376" s="26"/>
      <c r="M376" s="27" t="str">
        <f aca="false">IF(D376&gt;=200,"○","-")</f>
        <v>○</v>
      </c>
    </row>
    <row r="377" customFormat="false" ht="15" hidden="false" customHeight="false" outlineLevel="0" collapsed="false">
      <c r="A377" s="7" t="s">
        <v>20</v>
      </c>
      <c r="B377" s="7" t="s">
        <v>283</v>
      </c>
      <c r="C377" s="27" t="s">
        <v>537</v>
      </c>
      <c r="D377" s="8" t="n">
        <v>1414</v>
      </c>
      <c r="E377" s="27" t="n">
        <v>7</v>
      </c>
      <c r="F377" s="9" t="n">
        <f aca="false">IF(D377=0,0,E377/D377)</f>
        <v>0.00495049504950495</v>
      </c>
      <c r="G377" s="27" t="n">
        <v>2</v>
      </c>
      <c r="H377" s="10" t="n">
        <f aca="false">IF(D377=0,0,G377/D377*1000)</f>
        <v>1.41442715700141</v>
      </c>
      <c r="I377" s="8" t="n">
        <v>0</v>
      </c>
      <c r="J377" s="25" t="n">
        <v>0</v>
      </c>
      <c r="K377" s="26" t="n">
        <v>0.6577</v>
      </c>
      <c r="L377" s="26" t="n">
        <v>0.371475</v>
      </c>
      <c r="M377" s="27" t="str">
        <f aca="false">IF(D377&gt;=200,"○","-")</f>
        <v>○</v>
      </c>
    </row>
    <row r="378" customFormat="false" ht="15" hidden="false" customHeight="false" outlineLevel="0" collapsed="false">
      <c r="A378" s="7" t="s">
        <v>20</v>
      </c>
      <c r="B378" s="7" t="s">
        <v>283</v>
      </c>
      <c r="C378" s="7" t="s">
        <v>538</v>
      </c>
      <c r="D378" s="8" t="n">
        <v>1000</v>
      </c>
      <c r="E378" s="27" t="n">
        <v>4</v>
      </c>
      <c r="F378" s="9" t="n">
        <f aca="false">IF(D378=0,0,E378/D378)</f>
        <v>0.004</v>
      </c>
      <c r="G378" s="27" t="n">
        <v>2</v>
      </c>
      <c r="H378" s="10" t="n">
        <f aca="false">IF(D378=0,0,G378/D378*1000)</f>
        <v>2</v>
      </c>
      <c r="I378" s="8" t="n">
        <v>0</v>
      </c>
      <c r="J378" s="25" t="n">
        <v>0</v>
      </c>
      <c r="K378" s="26" t="n">
        <v>0.4875</v>
      </c>
      <c r="L378" s="26"/>
      <c r="M378" s="27" t="str">
        <f aca="false">IF(D378&gt;=200,"○","-")</f>
        <v>○</v>
      </c>
    </row>
    <row r="379" customFormat="false" ht="15" hidden="false" customHeight="false" outlineLevel="0" collapsed="false">
      <c r="A379" s="7" t="s">
        <v>20</v>
      </c>
      <c r="B379" s="7" t="s">
        <v>287</v>
      </c>
      <c r="C379" s="27" t="s">
        <v>539</v>
      </c>
      <c r="D379" s="8" t="n">
        <v>854</v>
      </c>
      <c r="E379" s="27" t="n">
        <v>4</v>
      </c>
      <c r="F379" s="9" t="n">
        <f aca="false">IF(D379=0,0,E379/D379)</f>
        <v>0.00468384074941452</v>
      </c>
      <c r="G379" s="27" t="n">
        <v>0</v>
      </c>
      <c r="H379" s="10" t="n">
        <f aca="false">IF(D379=0,0,G379/D379*1000)</f>
        <v>0</v>
      </c>
      <c r="I379" s="8" t="n">
        <v>0</v>
      </c>
      <c r="J379" s="25" t="n">
        <v>0</v>
      </c>
      <c r="K379" s="26" t="n">
        <v>0.3657</v>
      </c>
      <c r="L379" s="26"/>
      <c r="M379" s="27" t="str">
        <f aca="false">IF(D379&gt;=200,"○","-")</f>
        <v>○</v>
      </c>
    </row>
    <row r="380" customFormat="false" ht="15" hidden="false" customHeight="false" outlineLevel="0" collapsed="false">
      <c r="A380" s="28" t="s">
        <v>20</v>
      </c>
      <c r="B380" s="28" t="s">
        <v>287</v>
      </c>
      <c r="C380" s="29" t="s">
        <v>540</v>
      </c>
      <c r="D380" s="30" t="n">
        <v>39</v>
      </c>
      <c r="E380" s="28" t="n">
        <v>0</v>
      </c>
      <c r="F380" s="31" t="n">
        <f aca="false">IF(D380=0,0,E380/D380)</f>
        <v>0</v>
      </c>
      <c r="G380" s="28" t="n">
        <v>0</v>
      </c>
      <c r="H380" s="32" t="n">
        <f aca="false">IF(D380=0,0,G380/D380*1000)</f>
        <v>0</v>
      </c>
      <c r="I380" s="30" t="n">
        <v>0</v>
      </c>
      <c r="J380" s="33" t="n">
        <v>0</v>
      </c>
      <c r="K380" s="34" t="n">
        <v>0.3714</v>
      </c>
      <c r="L380" s="34"/>
      <c r="M380" s="28" t="str">
        <f aca="false">IF(D380&gt;=200,"○","-")</f>
        <v>-</v>
      </c>
    </row>
    <row r="381" customFormat="false" ht="15" hidden="false" customHeight="false" outlineLevel="0" collapsed="false">
      <c r="A381" s="28" t="s">
        <v>20</v>
      </c>
      <c r="B381" s="28" t="s">
        <v>287</v>
      </c>
      <c r="C381" s="29" t="s">
        <v>541</v>
      </c>
      <c r="D381" s="30" t="n">
        <v>9</v>
      </c>
      <c r="E381" s="28" t="n">
        <v>0</v>
      </c>
      <c r="F381" s="31" t="n">
        <f aca="false">IF(D381=0,0,E381/D381)</f>
        <v>0</v>
      </c>
      <c r="G381" s="28" t="n">
        <v>0</v>
      </c>
      <c r="H381" s="32" t="n">
        <f aca="false">IF(D381=0,0,G381/D381*1000)</f>
        <v>0</v>
      </c>
      <c r="I381" s="30" t="n">
        <v>0</v>
      </c>
      <c r="J381" s="33" t="n">
        <v>0</v>
      </c>
      <c r="K381" s="34" t="n">
        <v>0.399</v>
      </c>
      <c r="L381" s="34"/>
      <c r="M381" s="28" t="str">
        <f aca="false">IF(D381&gt;=200,"○","-")</f>
        <v>-</v>
      </c>
    </row>
    <row r="382" customFormat="false" ht="15" hidden="false" customHeight="false" outlineLevel="0" collapsed="false">
      <c r="A382" s="28" t="s">
        <v>20</v>
      </c>
      <c r="B382" s="28" t="s">
        <v>291</v>
      </c>
      <c r="C382" s="29" t="s">
        <v>542</v>
      </c>
      <c r="D382" s="30" t="n">
        <v>72</v>
      </c>
      <c r="E382" s="28" t="n">
        <v>0</v>
      </c>
      <c r="F382" s="31" t="n">
        <f aca="false">IF(D382=0,0,E382/D382)</f>
        <v>0</v>
      </c>
      <c r="G382" s="28" t="n">
        <v>0</v>
      </c>
      <c r="H382" s="32" t="n">
        <f aca="false">IF(D382=0,0,G382/D382*1000)</f>
        <v>0</v>
      </c>
      <c r="I382" s="30" t="n">
        <v>0</v>
      </c>
      <c r="J382" s="33" t="n">
        <v>0</v>
      </c>
      <c r="K382" s="34" t="n">
        <v>0.5498</v>
      </c>
      <c r="L382" s="34"/>
      <c r="M382" s="28" t="str">
        <f aca="false">IF(D382&gt;=200,"○","-")</f>
        <v>-</v>
      </c>
    </row>
    <row r="383" customFormat="false" ht="15" hidden="false" customHeight="false" outlineLevel="0" collapsed="false">
      <c r="A383" s="28" t="s">
        <v>20</v>
      </c>
      <c r="B383" s="28" t="s">
        <v>291</v>
      </c>
      <c r="C383" s="29" t="s">
        <v>543</v>
      </c>
      <c r="D383" s="30" t="n">
        <v>25</v>
      </c>
      <c r="E383" s="28" t="n">
        <v>0</v>
      </c>
      <c r="F383" s="31" t="n">
        <f aca="false">IF(D383=0,0,E383/D383)</f>
        <v>0</v>
      </c>
      <c r="G383" s="28" t="n">
        <v>0</v>
      </c>
      <c r="H383" s="32" t="n">
        <f aca="false">IF(D383=0,0,G383/D383*1000)</f>
        <v>0</v>
      </c>
      <c r="I383" s="30" t="n">
        <v>0</v>
      </c>
      <c r="J383" s="33" t="n">
        <v>0</v>
      </c>
      <c r="K383" s="34" t="n">
        <v>0.4023</v>
      </c>
      <c r="L383" s="34"/>
      <c r="M383" s="28" t="str">
        <f aca="false">IF(D383&gt;=200,"○","-")</f>
        <v>-</v>
      </c>
    </row>
    <row r="384" customFormat="false" ht="15" hidden="false" customHeight="false" outlineLevel="0" collapsed="false">
      <c r="A384" s="7" t="s">
        <v>20</v>
      </c>
      <c r="B384" s="7" t="s">
        <v>291</v>
      </c>
      <c r="C384" s="27" t="s">
        <v>544</v>
      </c>
      <c r="D384" s="8" t="n">
        <v>713</v>
      </c>
      <c r="E384" s="27" t="n">
        <v>9</v>
      </c>
      <c r="F384" s="9" t="n">
        <f aca="false">IF(D384=0,0,E384/D384)</f>
        <v>0.0126227208976157</v>
      </c>
      <c r="G384" s="27" t="n">
        <v>3</v>
      </c>
      <c r="H384" s="10" t="n">
        <f aca="false">IF(D384=0,0,G384/D384*1000)</f>
        <v>4.20757363253857</v>
      </c>
      <c r="I384" s="8" t="n">
        <v>0</v>
      </c>
      <c r="J384" s="25" t="n">
        <v>0</v>
      </c>
      <c r="K384" s="26" t="n">
        <v>0.5937</v>
      </c>
      <c r="L384" s="26"/>
      <c r="M384" s="27" t="str">
        <f aca="false">IF(D384&gt;=200,"○","-")</f>
        <v>○</v>
      </c>
    </row>
    <row r="385" customFormat="false" ht="15" hidden="false" customHeight="false" outlineLevel="0" collapsed="false">
      <c r="A385" s="28" t="s">
        <v>20</v>
      </c>
      <c r="B385" s="28" t="s">
        <v>296</v>
      </c>
      <c r="C385" s="29" t="s">
        <v>545</v>
      </c>
      <c r="D385" s="30" t="n">
        <v>15</v>
      </c>
      <c r="E385" s="28" t="n">
        <v>-1</v>
      </c>
      <c r="F385" s="31" t="n">
        <f aca="false">IF(D385=0,0,E385/D385)</f>
        <v>-0.0666666666666667</v>
      </c>
      <c r="G385" s="28" t="n">
        <v>0</v>
      </c>
      <c r="H385" s="32" t="n">
        <f aca="false">IF(D385=0,0,G385/D385*1000)</f>
        <v>0</v>
      </c>
      <c r="I385" s="30" t="n">
        <v>0</v>
      </c>
      <c r="J385" s="33" t="n">
        <v>0</v>
      </c>
      <c r="K385" s="34" t="n">
        <v>0.7926</v>
      </c>
      <c r="L385" s="34" t="n">
        <v>0.067675</v>
      </c>
      <c r="M385" s="28" t="str">
        <f aca="false">IF(D385&gt;=200,"○","-")</f>
        <v>-</v>
      </c>
    </row>
    <row r="386" customFormat="false" ht="15" hidden="false" customHeight="false" outlineLevel="0" collapsed="false">
      <c r="A386" s="28" t="s">
        <v>20</v>
      </c>
      <c r="B386" s="28" t="s">
        <v>296</v>
      </c>
      <c r="C386" s="29" t="s">
        <v>546</v>
      </c>
      <c r="D386" s="30" t="n">
        <v>27</v>
      </c>
      <c r="E386" s="28" t="n">
        <v>1</v>
      </c>
      <c r="F386" s="31" t="n">
        <f aca="false">IF(D386=0,0,E386/D386)</f>
        <v>0.037037037037037</v>
      </c>
      <c r="G386" s="28" t="n">
        <v>0</v>
      </c>
      <c r="H386" s="32" t="n">
        <f aca="false">IF(D386=0,0,G386/D386*1000)</f>
        <v>0</v>
      </c>
      <c r="I386" s="30" t="n">
        <v>0</v>
      </c>
      <c r="J386" s="33" t="n">
        <v>0</v>
      </c>
      <c r="K386" s="34" t="n">
        <v>0.5787</v>
      </c>
      <c r="L386" s="34"/>
      <c r="M386" s="28" t="str">
        <f aca="false">IF(D386&gt;=200,"○","-")</f>
        <v>-</v>
      </c>
    </row>
    <row r="387" customFormat="false" ht="15" hidden="false" customHeight="false" outlineLevel="0" collapsed="false">
      <c r="A387" s="7" t="s">
        <v>20</v>
      </c>
      <c r="B387" s="7" t="s">
        <v>299</v>
      </c>
      <c r="C387" s="27" t="s">
        <v>547</v>
      </c>
      <c r="D387" s="8" t="n">
        <v>206</v>
      </c>
      <c r="E387" s="27" t="n">
        <v>0</v>
      </c>
      <c r="F387" s="9" t="n">
        <f aca="false">IF(D387=0,0,E387/D387)</f>
        <v>0</v>
      </c>
      <c r="G387" s="27" t="n">
        <v>0</v>
      </c>
      <c r="H387" s="10" t="n">
        <f aca="false">IF(D387=0,0,G387/D387*1000)</f>
        <v>0</v>
      </c>
      <c r="I387" s="8" t="n">
        <v>595</v>
      </c>
      <c r="J387" s="25" t="n">
        <v>0.00504201680672269</v>
      </c>
      <c r="K387" s="26" t="n">
        <v>0.5389</v>
      </c>
      <c r="L387" s="26"/>
      <c r="M387" s="27" t="str">
        <f aca="false">IF(D387&gt;=200,"○","-")</f>
        <v>○</v>
      </c>
    </row>
    <row r="388" customFormat="false" ht="15" hidden="false" customHeight="false" outlineLevel="0" collapsed="false">
      <c r="A388" s="28" t="s">
        <v>20</v>
      </c>
      <c r="B388" s="28" t="s">
        <v>299</v>
      </c>
      <c r="C388" s="29" t="s">
        <v>548</v>
      </c>
      <c r="D388" s="30" t="n">
        <v>62</v>
      </c>
      <c r="E388" s="28" t="n">
        <v>0</v>
      </c>
      <c r="F388" s="31" t="n">
        <f aca="false">IF(D388=0,0,E388/D388)</f>
        <v>0</v>
      </c>
      <c r="G388" s="28" t="n">
        <v>1</v>
      </c>
      <c r="H388" s="32" t="n">
        <f aca="false">IF(D388=0,0,G388/D388*1000)</f>
        <v>16.1290322580645</v>
      </c>
      <c r="I388" s="30" t="n">
        <v>773</v>
      </c>
      <c r="J388" s="33" t="n">
        <v>0.00517464424320828</v>
      </c>
      <c r="K388" s="34" t="n">
        <v>0.3471</v>
      </c>
      <c r="L388" s="34"/>
      <c r="M388" s="28" t="str">
        <f aca="false">IF(D388&gt;=200,"○","-")</f>
        <v>-</v>
      </c>
    </row>
    <row r="389" customFormat="false" ht="15" hidden="false" customHeight="false" outlineLevel="0" collapsed="false">
      <c r="A389" s="28" t="s">
        <v>20</v>
      </c>
      <c r="B389" s="28" t="s">
        <v>299</v>
      </c>
      <c r="C389" s="29" t="s">
        <v>549</v>
      </c>
      <c r="D389" s="30" t="n">
        <v>36</v>
      </c>
      <c r="E389" s="28" t="n">
        <v>0</v>
      </c>
      <c r="F389" s="31" t="n">
        <f aca="false">IF(D389=0,0,E389/D389)</f>
        <v>0</v>
      </c>
      <c r="G389" s="28" t="n">
        <v>0</v>
      </c>
      <c r="H389" s="32" t="n">
        <f aca="false">IF(D389=0,0,G389/D389*1000)</f>
        <v>0</v>
      </c>
      <c r="I389" s="30" t="n">
        <v>549</v>
      </c>
      <c r="J389" s="33" t="n">
        <v>0.0127504553734062</v>
      </c>
      <c r="K389" s="34" t="n">
        <v>0.8488</v>
      </c>
      <c r="L389" s="34"/>
      <c r="M389" s="28" t="str">
        <f aca="false">IF(D389&gt;=200,"○","-")</f>
        <v>-</v>
      </c>
    </row>
    <row r="390" customFormat="false" ht="15" hidden="false" customHeight="false" outlineLevel="0" collapsed="false">
      <c r="A390" s="28" t="s">
        <v>20</v>
      </c>
      <c r="B390" s="28" t="s">
        <v>303</v>
      </c>
      <c r="C390" s="29" t="s">
        <v>550</v>
      </c>
      <c r="D390" s="30" t="n">
        <v>36</v>
      </c>
      <c r="E390" s="28" t="n">
        <v>1</v>
      </c>
      <c r="F390" s="31" t="n">
        <f aca="false">IF(D390=0,0,E390/D390)</f>
        <v>0.0277777777777778</v>
      </c>
      <c r="G390" s="28" t="n">
        <v>0</v>
      </c>
      <c r="H390" s="32" t="n">
        <f aca="false">IF(D390=0,0,G390/D390*1000)</f>
        <v>0</v>
      </c>
      <c r="I390" s="30" t="n">
        <v>621</v>
      </c>
      <c r="J390" s="33" t="n">
        <v>0.00322061191626409</v>
      </c>
      <c r="K390" s="34" t="n">
        <v>0.6784</v>
      </c>
      <c r="L390" s="34"/>
      <c r="M390" s="28" t="str">
        <f aca="false">IF(D390&gt;=200,"○","-")</f>
        <v>-</v>
      </c>
    </row>
    <row r="391" customFormat="false" ht="15" hidden="false" customHeight="false" outlineLevel="0" collapsed="false">
      <c r="A391" s="28" t="s">
        <v>20</v>
      </c>
      <c r="B391" s="28" t="s">
        <v>303</v>
      </c>
      <c r="C391" s="29" t="s">
        <v>551</v>
      </c>
      <c r="D391" s="30" t="n">
        <v>42</v>
      </c>
      <c r="E391" s="28" t="n">
        <v>2</v>
      </c>
      <c r="F391" s="31" t="n">
        <f aca="false">IF(D391=0,0,E391/D391)</f>
        <v>0.0476190476190476</v>
      </c>
      <c r="G391" s="28" t="n">
        <v>0</v>
      </c>
      <c r="H391" s="32" t="n">
        <f aca="false">IF(D391=0,0,G391/D391*1000)</f>
        <v>0</v>
      </c>
      <c r="I391" s="30" t="n">
        <v>807</v>
      </c>
      <c r="J391" s="33" t="n">
        <v>0.00991325898389095</v>
      </c>
      <c r="K391" s="34" t="n">
        <v>0.5134</v>
      </c>
      <c r="L391" s="34"/>
      <c r="M391" s="28" t="str">
        <f aca="false">IF(D391&gt;=200,"○","-")</f>
        <v>-</v>
      </c>
    </row>
    <row r="392" customFormat="false" ht="15" hidden="false" customHeight="false" outlineLevel="0" collapsed="false">
      <c r="A392" s="28" t="s">
        <v>20</v>
      </c>
      <c r="B392" s="28" t="s">
        <v>303</v>
      </c>
      <c r="C392" s="29" t="s">
        <v>552</v>
      </c>
      <c r="D392" s="30" t="n">
        <v>1</v>
      </c>
      <c r="E392" s="28" t="n">
        <v>0</v>
      </c>
      <c r="F392" s="31" t="n">
        <f aca="false">IF(D392=0,0,E392/D392)</f>
        <v>0</v>
      </c>
      <c r="G392" s="28" t="n">
        <v>0</v>
      </c>
      <c r="H392" s="32" t="n">
        <f aca="false">IF(D392=0,0,G392/D392*1000)</f>
        <v>0</v>
      </c>
      <c r="I392" s="30" t="n">
        <v>107</v>
      </c>
      <c r="J392" s="33" t="n">
        <v>0</v>
      </c>
      <c r="K392" s="34" t="n">
        <v>0.125</v>
      </c>
      <c r="L392" s="34"/>
      <c r="M392" s="28" t="str">
        <f aca="false">IF(D392&gt;=200,"○","-")</f>
        <v>-</v>
      </c>
    </row>
    <row r="393" customFormat="false" ht="15" hidden="false" customHeight="false" outlineLevel="0" collapsed="false">
      <c r="A393" s="28" t="s">
        <v>20</v>
      </c>
      <c r="B393" s="28" t="s">
        <v>307</v>
      </c>
      <c r="C393" s="29" t="s">
        <v>553</v>
      </c>
      <c r="D393" s="30" t="n">
        <v>81</v>
      </c>
      <c r="E393" s="28" t="n">
        <v>0</v>
      </c>
      <c r="F393" s="31" t="n">
        <f aca="false">IF(D393=0,0,E393/D393)</f>
        <v>0</v>
      </c>
      <c r="G393" s="28" t="n">
        <v>0</v>
      </c>
      <c r="H393" s="32" t="n">
        <f aca="false">IF(D393=0,0,G393/D393*1000)</f>
        <v>0</v>
      </c>
      <c r="I393" s="30" t="n">
        <v>1207</v>
      </c>
      <c r="J393" s="33" t="n">
        <v>0.0149130074565037</v>
      </c>
      <c r="K393" s="34" t="n">
        <v>0.4689</v>
      </c>
      <c r="L393" s="34"/>
      <c r="M393" s="28" t="str">
        <f aca="false">IF(D393&gt;=200,"○","-")</f>
        <v>-</v>
      </c>
    </row>
    <row r="394" customFormat="false" ht="15" hidden="false" customHeight="false" outlineLevel="0" collapsed="false">
      <c r="A394" s="28" t="s">
        <v>20</v>
      </c>
      <c r="B394" s="28" t="s">
        <v>307</v>
      </c>
      <c r="C394" s="29" t="s">
        <v>554</v>
      </c>
      <c r="D394" s="30" t="n">
        <v>28</v>
      </c>
      <c r="E394" s="28" t="n">
        <v>1</v>
      </c>
      <c r="F394" s="31" t="n">
        <f aca="false">IF(D394=0,0,E394/D394)</f>
        <v>0.0357142857142857</v>
      </c>
      <c r="G394" s="28" t="n">
        <v>0</v>
      </c>
      <c r="H394" s="32" t="n">
        <f aca="false">IF(D394=0,0,G394/D394*1000)</f>
        <v>0</v>
      </c>
      <c r="I394" s="30" t="n">
        <v>396</v>
      </c>
      <c r="J394" s="33" t="n">
        <v>0.0126262626262626</v>
      </c>
      <c r="K394" s="34" t="n">
        <v>0.738</v>
      </c>
      <c r="L394" s="34"/>
      <c r="M394" s="28" t="str">
        <f aca="false">IF(D394&gt;=200,"○","-")</f>
        <v>-</v>
      </c>
    </row>
    <row r="395" customFormat="false" ht="15" hidden="false" customHeight="false" outlineLevel="0" collapsed="false">
      <c r="A395" s="28" t="s">
        <v>20</v>
      </c>
      <c r="B395" s="28" t="s">
        <v>307</v>
      </c>
      <c r="C395" s="28" t="s">
        <v>555</v>
      </c>
      <c r="D395" s="30" t="n">
        <v>21</v>
      </c>
      <c r="E395" s="28" t="n">
        <v>0</v>
      </c>
      <c r="F395" s="31" t="n">
        <f aca="false">IF(D395=0,0,E395/D395)</f>
        <v>0</v>
      </c>
      <c r="G395" s="28" t="n">
        <v>0</v>
      </c>
      <c r="H395" s="32" t="n">
        <f aca="false">IF(D395=0,0,G395/D395*1000)</f>
        <v>0</v>
      </c>
      <c r="I395" s="30" t="n">
        <v>438</v>
      </c>
      <c r="J395" s="33" t="n">
        <v>0.0091324200913242</v>
      </c>
      <c r="K395" s="34" t="n">
        <v>0.4071</v>
      </c>
      <c r="L395" s="34"/>
      <c r="M395" s="28" t="str">
        <f aca="false">IF(D395&gt;=200,"○","-")</f>
        <v>-</v>
      </c>
    </row>
    <row r="396" customFormat="false" ht="15" hidden="false" customHeight="false" outlineLevel="0" collapsed="false">
      <c r="A396" s="28" t="s">
        <v>20</v>
      </c>
      <c r="B396" s="28" t="s">
        <v>311</v>
      </c>
      <c r="C396" s="29" t="s">
        <v>556</v>
      </c>
      <c r="D396" s="30" t="n">
        <v>9</v>
      </c>
      <c r="E396" s="28" t="n">
        <v>0</v>
      </c>
      <c r="F396" s="31" t="n">
        <f aca="false">IF(D396=0,0,E396/D396)</f>
        <v>0</v>
      </c>
      <c r="G396" s="28" t="n">
        <v>0</v>
      </c>
      <c r="H396" s="32" t="n">
        <f aca="false">IF(D396=0,0,G396/D396*1000)</f>
        <v>0</v>
      </c>
      <c r="I396" s="30" t="n">
        <v>258</v>
      </c>
      <c r="J396" s="33" t="n">
        <v>0.00775193798449612</v>
      </c>
      <c r="K396" s="34" t="n">
        <v>0.1397</v>
      </c>
      <c r="L396" s="34"/>
      <c r="M396" s="28" t="str">
        <f aca="false">IF(D396&gt;=200,"○","-")</f>
        <v>-</v>
      </c>
    </row>
    <row r="397" customFormat="false" ht="15" hidden="false" customHeight="false" outlineLevel="0" collapsed="false">
      <c r="A397" s="28" t="s">
        <v>20</v>
      </c>
      <c r="B397" s="28" t="s">
        <v>311</v>
      </c>
      <c r="C397" s="29" t="s">
        <v>557</v>
      </c>
      <c r="D397" s="30" t="n">
        <v>12</v>
      </c>
      <c r="E397" s="28" t="n">
        <v>0</v>
      </c>
      <c r="F397" s="31" t="n">
        <f aca="false">IF(D397=0,0,E397/D397)</f>
        <v>0</v>
      </c>
      <c r="G397" s="28" t="n">
        <v>0</v>
      </c>
      <c r="H397" s="32" t="n">
        <f aca="false">IF(D397=0,0,G397/D397*1000)</f>
        <v>0</v>
      </c>
      <c r="I397" s="30" t="n">
        <v>278</v>
      </c>
      <c r="J397" s="33" t="n">
        <v>0</v>
      </c>
      <c r="K397" s="34" t="n">
        <v>0.4436</v>
      </c>
      <c r="L397" s="34"/>
      <c r="M397" s="28" t="str">
        <f aca="false">IF(D397&gt;=200,"○","-")</f>
        <v>-</v>
      </c>
    </row>
    <row r="398" customFormat="false" ht="15" hidden="false" customHeight="false" outlineLevel="0" collapsed="false">
      <c r="A398" s="28" t="s">
        <v>20</v>
      </c>
      <c r="B398" s="28" t="s">
        <v>311</v>
      </c>
      <c r="C398" s="29" t="s">
        <v>558</v>
      </c>
      <c r="D398" s="30" t="n">
        <v>29</v>
      </c>
      <c r="E398" s="28" t="n">
        <v>0</v>
      </c>
      <c r="F398" s="31" t="n">
        <f aca="false">IF(D398=0,0,E398/D398)</f>
        <v>0</v>
      </c>
      <c r="G398" s="28" t="n">
        <v>0</v>
      </c>
      <c r="H398" s="32" t="n">
        <f aca="false">IF(D398=0,0,G398/D398*1000)</f>
        <v>0</v>
      </c>
      <c r="I398" s="30" t="n">
        <v>382</v>
      </c>
      <c r="J398" s="33" t="n">
        <v>0.0104712041884817</v>
      </c>
      <c r="K398" s="34" t="n">
        <v>0.3503</v>
      </c>
      <c r="L398" s="34"/>
      <c r="M398" s="28" t="str">
        <f aca="false">IF(D398&gt;=200,"○","-")</f>
        <v>-</v>
      </c>
    </row>
    <row r="399" customFormat="false" ht="15" hidden="false" customHeight="false" outlineLevel="0" collapsed="false">
      <c r="A399" s="28" t="s">
        <v>20</v>
      </c>
      <c r="B399" s="28" t="s">
        <v>559</v>
      </c>
      <c r="C399" s="28" t="s">
        <v>560</v>
      </c>
      <c r="D399" s="30" t="n">
        <v>8</v>
      </c>
      <c r="E399" s="28" t="n">
        <v>0</v>
      </c>
      <c r="F399" s="31" t="n">
        <f aca="false">IF(D399=0,0,E399/D399)</f>
        <v>0</v>
      </c>
      <c r="G399" s="28" t="n">
        <v>0</v>
      </c>
      <c r="H399" s="32" t="n">
        <f aca="false">IF(D399=0,0,G399/D399*1000)</f>
        <v>0</v>
      </c>
      <c r="I399" s="30" t="n">
        <v>132</v>
      </c>
      <c r="J399" s="33" t="n">
        <v>0.00757575757575758</v>
      </c>
      <c r="K399" s="34" t="n">
        <v>1.0129</v>
      </c>
      <c r="L399" s="34"/>
      <c r="M399" s="28" t="str">
        <f aca="false">IF(D399&gt;=200,"○","-")</f>
        <v>-</v>
      </c>
    </row>
    <row r="400" customFormat="false" ht="15" hidden="false" customHeight="false" outlineLevel="0" collapsed="false">
      <c r="A400" s="28" t="s">
        <v>20</v>
      </c>
      <c r="B400" s="28" t="s">
        <v>315</v>
      </c>
      <c r="C400" s="29" t="s">
        <v>561</v>
      </c>
      <c r="D400" s="30" t="n">
        <v>37</v>
      </c>
      <c r="E400" s="28" t="n">
        <v>3</v>
      </c>
      <c r="F400" s="31" t="n">
        <f aca="false">IF(D400=0,0,E400/D400)</f>
        <v>0.0810810810810811</v>
      </c>
      <c r="G400" s="28" t="n">
        <v>0</v>
      </c>
      <c r="H400" s="32" t="n">
        <f aca="false">IF(D400=0,0,G400/D400*1000)</f>
        <v>0</v>
      </c>
      <c r="I400" s="30" t="n">
        <v>1210</v>
      </c>
      <c r="J400" s="33" t="n">
        <v>0.0214876033057851</v>
      </c>
      <c r="K400" s="34" t="n">
        <v>0.1175</v>
      </c>
      <c r="L400" s="34"/>
      <c r="M400" s="28" t="str">
        <f aca="false">IF(D400&gt;=200,"○","-")</f>
        <v>-</v>
      </c>
    </row>
    <row r="401" customFormat="false" ht="15" hidden="false" customHeight="false" outlineLevel="0" collapsed="false">
      <c r="A401" s="28" t="s">
        <v>20</v>
      </c>
      <c r="B401" s="28" t="s">
        <v>315</v>
      </c>
      <c r="C401" s="29" t="s">
        <v>562</v>
      </c>
      <c r="D401" s="30" t="n">
        <v>16</v>
      </c>
      <c r="E401" s="28" t="n">
        <v>1</v>
      </c>
      <c r="F401" s="31" t="n">
        <f aca="false">IF(D401=0,0,E401/D401)</f>
        <v>0.0625</v>
      </c>
      <c r="G401" s="28" t="n">
        <v>0</v>
      </c>
      <c r="H401" s="32" t="n">
        <f aca="false">IF(D401=0,0,G401/D401*1000)</f>
        <v>0</v>
      </c>
      <c r="I401" s="30" t="n">
        <v>124</v>
      </c>
      <c r="J401" s="33" t="n">
        <v>0.0161290322580645</v>
      </c>
      <c r="K401" s="34" t="n">
        <v>3.3705</v>
      </c>
      <c r="L401" s="34"/>
      <c r="M401" s="28" t="str">
        <f aca="false">IF(D401&gt;=200,"○","-")</f>
        <v>-</v>
      </c>
    </row>
    <row r="402" customFormat="false" ht="15" hidden="false" customHeight="false" outlineLevel="0" collapsed="false">
      <c r="A402" s="28" t="s">
        <v>20</v>
      </c>
      <c r="B402" s="28" t="s">
        <v>317</v>
      </c>
      <c r="C402" s="29" t="s">
        <v>563</v>
      </c>
      <c r="D402" s="30" t="n">
        <v>7</v>
      </c>
      <c r="E402" s="28" t="n">
        <v>0</v>
      </c>
      <c r="F402" s="31" t="n">
        <f aca="false">IF(D402=0,0,E402/D402)</f>
        <v>0</v>
      </c>
      <c r="G402" s="28" t="n">
        <v>0</v>
      </c>
      <c r="H402" s="32" t="n">
        <f aca="false">IF(D402=0,0,G402/D402*1000)</f>
        <v>0</v>
      </c>
      <c r="I402" s="30" t="n">
        <v>131</v>
      </c>
      <c r="J402" s="33" t="n">
        <v>0</v>
      </c>
      <c r="K402" s="34" t="n">
        <v>1.432</v>
      </c>
      <c r="L402" s="34" t="n">
        <v>0.08766</v>
      </c>
      <c r="M402" s="28" t="str">
        <f aca="false">IF(D402&gt;=200,"○","-")</f>
        <v>-</v>
      </c>
    </row>
    <row r="403" customFormat="false" ht="15" hidden="false" customHeight="false" outlineLevel="0" collapsed="false">
      <c r="A403" s="7" t="s">
        <v>20</v>
      </c>
      <c r="B403" s="7" t="s">
        <v>319</v>
      </c>
      <c r="C403" s="7" t="s">
        <v>564</v>
      </c>
      <c r="D403" s="8" t="n">
        <v>1243</v>
      </c>
      <c r="E403" s="27" t="n">
        <v>4</v>
      </c>
      <c r="F403" s="9" t="n">
        <f aca="false">IF(D403=0,0,E403/D403)</f>
        <v>0.00321802091713596</v>
      </c>
      <c r="G403" s="27" t="n">
        <v>2</v>
      </c>
      <c r="H403" s="10" t="n">
        <f aca="false">IF(D403=0,0,G403/D403*1000)</f>
        <v>1.60901045856798</v>
      </c>
      <c r="I403" s="8" t="n">
        <v>266</v>
      </c>
      <c r="J403" s="25" t="n">
        <v>0.0075187969924812</v>
      </c>
      <c r="K403" s="26" t="n">
        <v>0.3736</v>
      </c>
      <c r="L403" s="26" t="n">
        <v>0.09218</v>
      </c>
      <c r="M403" s="27" t="str">
        <f aca="false">IF(D403&gt;=200,"○","-")</f>
        <v>○</v>
      </c>
    </row>
    <row r="404" customFormat="false" ht="15" hidden="false" customHeight="false" outlineLevel="0" collapsed="false">
      <c r="A404" s="7" t="s">
        <v>20</v>
      </c>
      <c r="B404" s="7" t="s">
        <v>321</v>
      </c>
      <c r="C404" s="7" t="s">
        <v>565</v>
      </c>
      <c r="D404" s="8" t="n">
        <v>313</v>
      </c>
      <c r="E404" s="27" t="n">
        <v>1</v>
      </c>
      <c r="F404" s="9" t="n">
        <f aca="false">IF(D404=0,0,E404/D404)</f>
        <v>0.00319488817891374</v>
      </c>
      <c r="G404" s="27" t="n">
        <v>0</v>
      </c>
      <c r="H404" s="10" t="n">
        <f aca="false">IF(D404=0,0,G404/D404*1000)</f>
        <v>0</v>
      </c>
      <c r="I404" s="8" t="n">
        <v>192</v>
      </c>
      <c r="J404" s="25" t="n">
        <v>0.015625</v>
      </c>
      <c r="K404" s="26" t="n">
        <v>0.3714</v>
      </c>
      <c r="L404" s="26"/>
      <c r="M404" s="27" t="str">
        <f aca="false">IF(D404&gt;=200,"○","-")</f>
        <v>○</v>
      </c>
    </row>
    <row r="405" customFormat="false" ht="15" hidden="false" customHeight="false" outlineLevel="0" collapsed="false">
      <c r="A405" s="7" t="s">
        <v>20</v>
      </c>
      <c r="B405" s="7" t="s">
        <v>325</v>
      </c>
      <c r="C405" s="27" t="s">
        <v>566</v>
      </c>
      <c r="D405" s="8" t="n">
        <v>1043</v>
      </c>
      <c r="E405" s="27" t="n">
        <v>4</v>
      </c>
      <c r="F405" s="9" t="n">
        <f aca="false">IF(D405=0,0,E405/D405)</f>
        <v>0.00383509108341323</v>
      </c>
      <c r="G405" s="27" t="n">
        <v>2</v>
      </c>
      <c r="H405" s="10" t="n">
        <f aca="false">IF(D405=0,0,G405/D405*1000)</f>
        <v>1.91754554170662</v>
      </c>
      <c r="I405" s="8" t="n">
        <v>1088</v>
      </c>
      <c r="J405" s="25" t="n">
        <v>0.0110294117647059</v>
      </c>
      <c r="K405" s="26" t="n">
        <v>0.5439</v>
      </c>
      <c r="L405" s="26"/>
      <c r="M405" s="27" t="str">
        <f aca="false">IF(D405&gt;=200,"○","-")</f>
        <v>○</v>
      </c>
    </row>
    <row r="406" customFormat="false" ht="15" hidden="false" customHeight="false" outlineLevel="0" collapsed="false">
      <c r="A406" s="7" t="s">
        <v>20</v>
      </c>
      <c r="B406" s="7" t="s">
        <v>325</v>
      </c>
      <c r="C406" s="27" t="s">
        <v>567</v>
      </c>
      <c r="D406" s="8" t="n">
        <v>953</v>
      </c>
      <c r="E406" s="27" t="n">
        <v>2</v>
      </c>
      <c r="F406" s="9" t="n">
        <f aca="false">IF(D406=0,0,E406/D406)</f>
        <v>0.00209863588667366</v>
      </c>
      <c r="G406" s="27" t="n">
        <v>1</v>
      </c>
      <c r="H406" s="10" t="n">
        <f aca="false">IF(D406=0,0,G406/D406*1000)</f>
        <v>1.04931794333683</v>
      </c>
      <c r="I406" s="8" t="n">
        <v>532</v>
      </c>
      <c r="J406" s="25" t="n">
        <v>0.0112781954887218</v>
      </c>
      <c r="K406" s="26" t="n">
        <v>0.3886</v>
      </c>
      <c r="L406" s="26"/>
      <c r="M406" s="27" t="str">
        <f aca="false">IF(D406&gt;=200,"○","-")</f>
        <v>○</v>
      </c>
    </row>
    <row r="407" customFormat="false" ht="15" hidden="false" customHeight="false" outlineLevel="0" collapsed="false">
      <c r="A407" s="7" t="s">
        <v>20</v>
      </c>
      <c r="B407" s="7" t="s">
        <v>328</v>
      </c>
      <c r="C407" s="27" t="s">
        <v>568</v>
      </c>
      <c r="D407" s="8" t="n">
        <v>711</v>
      </c>
      <c r="E407" s="27" t="n">
        <v>4</v>
      </c>
      <c r="F407" s="9" t="n">
        <f aca="false">IF(D407=0,0,E407/D407)</f>
        <v>0.00562587904360056</v>
      </c>
      <c r="G407" s="27" t="n">
        <v>0</v>
      </c>
      <c r="H407" s="10" t="n">
        <f aca="false">IF(D407=0,0,G407/D407*1000)</f>
        <v>0</v>
      </c>
      <c r="I407" s="8" t="n">
        <v>197</v>
      </c>
      <c r="J407" s="25" t="n">
        <v>0.0101522842639594</v>
      </c>
      <c r="K407" s="26" t="n">
        <v>0.3281</v>
      </c>
      <c r="L407" s="26"/>
      <c r="M407" s="27" t="str">
        <f aca="false">IF(D407&gt;=200,"○","-")</f>
        <v>○</v>
      </c>
    </row>
    <row r="408" customFormat="false" ht="15" hidden="false" customHeight="false" outlineLevel="0" collapsed="false">
      <c r="A408" s="7" t="s">
        <v>20</v>
      </c>
      <c r="B408" s="7" t="s">
        <v>330</v>
      </c>
      <c r="C408" s="27" t="s">
        <v>569</v>
      </c>
      <c r="D408" s="8" t="n">
        <v>724</v>
      </c>
      <c r="E408" s="27" t="n">
        <v>9</v>
      </c>
      <c r="F408" s="9" t="n">
        <f aca="false">IF(D408=0,0,E408/D408)</f>
        <v>0.0124309392265193</v>
      </c>
      <c r="G408" s="27" t="n">
        <v>0</v>
      </c>
      <c r="H408" s="10" t="n">
        <f aca="false">IF(D408=0,0,G408/D408*1000)</f>
        <v>0</v>
      </c>
      <c r="I408" s="8" t="n">
        <v>846</v>
      </c>
      <c r="J408" s="25" t="n">
        <v>0.008274231678487</v>
      </c>
      <c r="K408" s="26" t="n">
        <v>0.4183</v>
      </c>
      <c r="L408" s="26"/>
      <c r="M408" s="27" t="str">
        <f aca="false">IF(D408&gt;=200,"○","-")</f>
        <v>○</v>
      </c>
    </row>
    <row r="409" customFormat="false" ht="15" hidden="false" customHeight="false" outlineLevel="0" collapsed="false">
      <c r="A409" s="7" t="s">
        <v>20</v>
      </c>
      <c r="B409" s="7" t="s">
        <v>330</v>
      </c>
      <c r="C409" s="27" t="s">
        <v>570</v>
      </c>
      <c r="D409" s="8" t="n">
        <v>1008</v>
      </c>
      <c r="E409" s="27" t="n">
        <v>10</v>
      </c>
      <c r="F409" s="9" t="n">
        <f aca="false">IF(D409=0,0,E409/D409)</f>
        <v>0.00992063492063492</v>
      </c>
      <c r="G409" s="27" t="n">
        <v>2</v>
      </c>
      <c r="H409" s="10" t="n">
        <f aca="false">IF(D409=0,0,G409/D409*1000)</f>
        <v>1.98412698412698</v>
      </c>
      <c r="I409" s="8" t="n">
        <v>355</v>
      </c>
      <c r="J409" s="25" t="n">
        <v>0.0225352112676056</v>
      </c>
      <c r="K409" s="26" t="n">
        <v>0.4252</v>
      </c>
      <c r="L409" s="26"/>
      <c r="M409" s="27" t="str">
        <f aca="false">IF(D409&gt;=200,"○","-")</f>
        <v>○</v>
      </c>
    </row>
    <row r="410" customFormat="false" ht="15" hidden="false" customHeight="false" outlineLevel="0" collapsed="false">
      <c r="A410" s="7" t="s">
        <v>20</v>
      </c>
      <c r="B410" s="7" t="s">
        <v>330</v>
      </c>
      <c r="C410" s="27" t="s">
        <v>571</v>
      </c>
      <c r="D410" s="8" t="n">
        <v>897</v>
      </c>
      <c r="E410" s="27" t="n">
        <v>2</v>
      </c>
      <c r="F410" s="9" t="n">
        <f aca="false">IF(D410=0,0,E410/D410)</f>
        <v>0.00222965440356745</v>
      </c>
      <c r="G410" s="27" t="n">
        <v>1</v>
      </c>
      <c r="H410" s="10" t="n">
        <f aca="false">IF(D410=0,0,G410/D410*1000)</f>
        <v>1.11482720178372</v>
      </c>
      <c r="I410" s="8" t="n">
        <v>114</v>
      </c>
      <c r="J410" s="25" t="n">
        <v>0.0263157894736842</v>
      </c>
      <c r="K410" s="26" t="n">
        <v>0.4091</v>
      </c>
      <c r="L410" s="26"/>
      <c r="M410" s="27" t="str">
        <f aca="false">IF(D410&gt;=200,"○","-")</f>
        <v>○</v>
      </c>
    </row>
    <row r="411" customFormat="false" ht="15" hidden="false" customHeight="false" outlineLevel="0" collapsed="false">
      <c r="A411" s="7" t="s">
        <v>20</v>
      </c>
      <c r="B411" s="7" t="s">
        <v>334</v>
      </c>
      <c r="C411" s="27" t="s">
        <v>572</v>
      </c>
      <c r="D411" s="8" t="n">
        <v>741</v>
      </c>
      <c r="E411" s="27" t="n">
        <v>3</v>
      </c>
      <c r="F411" s="9" t="n">
        <f aca="false">IF(D411=0,0,E411/D411)</f>
        <v>0.00404858299595142</v>
      </c>
      <c r="G411" s="27" t="n">
        <v>0</v>
      </c>
      <c r="H411" s="10" t="n">
        <f aca="false">IF(D411=0,0,G411/D411*1000)</f>
        <v>0</v>
      </c>
      <c r="I411" s="8" t="n">
        <v>127</v>
      </c>
      <c r="J411" s="25" t="n">
        <v>0.0236220472440945</v>
      </c>
      <c r="K411" s="26" t="n">
        <v>0.4939</v>
      </c>
      <c r="L411" s="26"/>
      <c r="M411" s="27" t="str">
        <f aca="false">IF(D411&gt;=200,"○","-")</f>
        <v>○</v>
      </c>
    </row>
    <row r="412" customFormat="false" ht="15" hidden="false" customHeight="false" outlineLevel="0" collapsed="false">
      <c r="A412" s="7" t="s">
        <v>20</v>
      </c>
      <c r="B412" s="7" t="s">
        <v>334</v>
      </c>
      <c r="C412" s="27" t="s">
        <v>573</v>
      </c>
      <c r="D412" s="8" t="n">
        <v>1170</v>
      </c>
      <c r="E412" s="27" t="n">
        <v>8</v>
      </c>
      <c r="F412" s="9" t="n">
        <f aca="false">IF(D412=0,0,E412/D412)</f>
        <v>0.00683760683760684</v>
      </c>
      <c r="G412" s="27" t="n">
        <v>3</v>
      </c>
      <c r="H412" s="10" t="n">
        <f aca="false">IF(D412=0,0,G412/D412*1000)</f>
        <v>2.56410256410256</v>
      </c>
      <c r="I412" s="8" t="n">
        <v>1138</v>
      </c>
      <c r="J412" s="25" t="n">
        <v>0.0219683655536028</v>
      </c>
      <c r="K412" s="26" t="n">
        <v>0.6171</v>
      </c>
      <c r="L412" s="26" t="n">
        <v>0.32077</v>
      </c>
      <c r="M412" s="27" t="str">
        <f aca="false">IF(D412&gt;=200,"○","-")</f>
        <v>○</v>
      </c>
    </row>
    <row r="413" customFormat="false" ht="15" hidden="false" customHeight="false" outlineLevel="0" collapsed="false">
      <c r="A413" s="7" t="s">
        <v>20</v>
      </c>
      <c r="B413" s="7" t="s">
        <v>338</v>
      </c>
      <c r="C413" s="27" t="s">
        <v>574</v>
      </c>
      <c r="D413" s="8" t="n">
        <v>787</v>
      </c>
      <c r="E413" s="27" t="n">
        <v>1</v>
      </c>
      <c r="F413" s="9" t="n">
        <f aca="false">IF(D413=0,0,E413/D413)</f>
        <v>0.00127064803049555</v>
      </c>
      <c r="G413" s="27" t="n">
        <v>0</v>
      </c>
      <c r="H413" s="10" t="n">
        <f aca="false">IF(D413=0,0,G413/D413*1000)</f>
        <v>0</v>
      </c>
      <c r="I413" s="8" t="n">
        <v>258</v>
      </c>
      <c r="J413" s="25" t="n">
        <v>0</v>
      </c>
      <c r="K413" s="26" t="n">
        <v>0.6952</v>
      </c>
      <c r="L413" s="26" t="n">
        <v>0.39571</v>
      </c>
      <c r="M413" s="27" t="str">
        <f aca="false">IF(D413&gt;=200,"○","-")</f>
        <v>○</v>
      </c>
    </row>
    <row r="414" customFormat="false" ht="15" hidden="false" customHeight="false" outlineLevel="0" collapsed="false">
      <c r="A414" s="7" t="s">
        <v>20</v>
      </c>
      <c r="B414" s="7" t="s">
        <v>338</v>
      </c>
      <c r="C414" s="27" t="s">
        <v>575</v>
      </c>
      <c r="D414" s="8" t="n">
        <v>452</v>
      </c>
      <c r="E414" s="27" t="n">
        <v>1</v>
      </c>
      <c r="F414" s="9" t="n">
        <f aca="false">IF(D414=0,0,E414/D414)</f>
        <v>0.00221238938053097</v>
      </c>
      <c r="G414" s="27" t="n">
        <v>0</v>
      </c>
      <c r="H414" s="10" t="n">
        <f aca="false">IF(D414=0,0,G414/D414*1000)</f>
        <v>0</v>
      </c>
      <c r="I414" s="8" t="n">
        <v>1346</v>
      </c>
      <c r="J414" s="25" t="n">
        <v>0.0111441307578009</v>
      </c>
      <c r="K414" s="26" t="n">
        <v>0.5254</v>
      </c>
      <c r="L414" s="26" t="n">
        <v>0.135845</v>
      </c>
      <c r="M414" s="27" t="str">
        <f aca="false">IF(D414&gt;=200,"○","-")</f>
        <v>○</v>
      </c>
    </row>
    <row r="415" customFormat="false" ht="15" hidden="false" customHeight="false" outlineLevel="0" collapsed="false">
      <c r="A415" s="7" t="s">
        <v>20</v>
      </c>
      <c r="B415" s="7" t="s">
        <v>342</v>
      </c>
      <c r="C415" s="27" t="s">
        <v>576</v>
      </c>
      <c r="D415" s="8" t="n">
        <v>878</v>
      </c>
      <c r="E415" s="27" t="n">
        <v>6</v>
      </c>
      <c r="F415" s="9" t="n">
        <f aca="false">IF(D415=0,0,E415/D415)</f>
        <v>0.00683371298405467</v>
      </c>
      <c r="G415" s="27" t="n">
        <v>1</v>
      </c>
      <c r="H415" s="10" t="n">
        <f aca="false">IF(D415=0,0,G415/D415*1000)</f>
        <v>1.13895216400911</v>
      </c>
      <c r="I415" s="8" t="n">
        <v>858</v>
      </c>
      <c r="J415" s="25" t="n">
        <v>0.00815850815850816</v>
      </c>
      <c r="K415" s="26" t="n">
        <v>0.5545</v>
      </c>
      <c r="L415" s="26"/>
      <c r="M415" s="27" t="str">
        <f aca="false">IF(D415&gt;=200,"○","-")</f>
        <v>○</v>
      </c>
    </row>
    <row r="416" customFormat="false" ht="15" hidden="false" customHeight="false" outlineLevel="0" collapsed="false">
      <c r="A416" s="7" t="s">
        <v>20</v>
      </c>
      <c r="B416" s="7" t="s">
        <v>342</v>
      </c>
      <c r="C416" s="27" t="s">
        <v>577</v>
      </c>
      <c r="D416" s="8" t="n">
        <v>804</v>
      </c>
      <c r="E416" s="27" t="n">
        <v>1</v>
      </c>
      <c r="F416" s="9" t="n">
        <f aca="false">IF(D416=0,0,E416/D416)</f>
        <v>0.00124378109452736</v>
      </c>
      <c r="G416" s="27" t="n">
        <v>0</v>
      </c>
      <c r="H416" s="10" t="n">
        <f aca="false">IF(D416=0,0,G416/D416*1000)</f>
        <v>0</v>
      </c>
      <c r="I416" s="8" t="n">
        <v>413</v>
      </c>
      <c r="J416" s="25" t="n">
        <v>0.00968523002421308</v>
      </c>
      <c r="K416" s="26" t="n">
        <v>0.7428</v>
      </c>
      <c r="L416" s="26"/>
      <c r="M416" s="27" t="str">
        <f aca="false">IF(D416&gt;=200,"○","-")</f>
        <v>○</v>
      </c>
    </row>
    <row r="417" customFormat="false" ht="15" hidden="false" customHeight="false" outlineLevel="0" collapsed="false">
      <c r="A417" s="7" t="s">
        <v>20</v>
      </c>
      <c r="B417" s="7" t="s">
        <v>342</v>
      </c>
      <c r="C417" s="27" t="s">
        <v>578</v>
      </c>
      <c r="D417" s="8" t="n">
        <v>841</v>
      </c>
      <c r="E417" s="27" t="n">
        <v>3</v>
      </c>
      <c r="F417" s="9" t="n">
        <f aca="false">IF(D417=0,0,E417/D417)</f>
        <v>0.00356718192627824</v>
      </c>
      <c r="G417" s="27" t="n">
        <v>0</v>
      </c>
      <c r="H417" s="10" t="n">
        <f aca="false">IF(D417=0,0,G417/D417*1000)</f>
        <v>0</v>
      </c>
      <c r="I417" s="8" t="n">
        <v>309</v>
      </c>
      <c r="J417" s="25" t="n">
        <v>0.00647249190938511</v>
      </c>
      <c r="K417" s="26" t="n">
        <v>0.7228</v>
      </c>
      <c r="L417" s="26"/>
      <c r="M417" s="27" t="str">
        <f aca="false">IF(D417&gt;=200,"○","-")</f>
        <v>○</v>
      </c>
    </row>
    <row r="418" customFormat="false" ht="15" hidden="false" customHeight="false" outlineLevel="0" collapsed="false">
      <c r="A418" s="7" t="s">
        <v>20</v>
      </c>
      <c r="B418" s="7" t="s">
        <v>76</v>
      </c>
      <c r="C418" s="27" t="s">
        <v>579</v>
      </c>
      <c r="D418" s="8" t="n">
        <v>716</v>
      </c>
      <c r="E418" s="27" t="n">
        <v>4</v>
      </c>
      <c r="F418" s="9" t="n">
        <f aca="false">IF(D418=0,0,E418/D418)</f>
        <v>0.00558659217877095</v>
      </c>
      <c r="G418" s="27" t="n">
        <v>1</v>
      </c>
      <c r="H418" s="10" t="n">
        <f aca="false">IF(D418=0,0,G418/D418*1000)</f>
        <v>1.39664804469274</v>
      </c>
      <c r="I418" s="8" t="n">
        <v>760</v>
      </c>
      <c r="J418" s="25" t="n">
        <v>0.00394736842105263</v>
      </c>
      <c r="K418" s="26" t="n">
        <v>1.1767</v>
      </c>
      <c r="L418" s="26"/>
      <c r="M418" s="27" t="str">
        <f aca="false">IF(D418&gt;=200,"○","-")</f>
        <v>○</v>
      </c>
    </row>
    <row r="419" customFormat="false" ht="15" hidden="false" customHeight="false" outlineLevel="0" collapsed="false">
      <c r="A419" s="7" t="s">
        <v>20</v>
      </c>
      <c r="B419" s="7" t="s">
        <v>76</v>
      </c>
      <c r="C419" s="27" t="s">
        <v>580</v>
      </c>
      <c r="D419" s="8" t="n">
        <v>815</v>
      </c>
      <c r="E419" s="27" t="n">
        <v>4</v>
      </c>
      <c r="F419" s="9" t="n">
        <f aca="false">IF(D419=0,0,E419/D419)</f>
        <v>0.0049079754601227</v>
      </c>
      <c r="G419" s="27" t="n">
        <v>0</v>
      </c>
      <c r="H419" s="10" t="n">
        <f aca="false">IF(D419=0,0,G419/D419*1000)</f>
        <v>0</v>
      </c>
      <c r="I419" s="8" t="n">
        <v>701</v>
      </c>
      <c r="J419" s="25" t="n">
        <v>0.014265335235378</v>
      </c>
      <c r="K419" s="26" t="n">
        <v>0.4967</v>
      </c>
      <c r="L419" s="26" t="n">
        <v>0.186665</v>
      </c>
      <c r="M419" s="27" t="str">
        <f aca="false">IF(D419&gt;=200,"○","-")</f>
        <v>○</v>
      </c>
    </row>
    <row r="420" customFormat="false" ht="15" hidden="false" customHeight="false" outlineLevel="0" collapsed="false">
      <c r="A420" s="7" t="s">
        <v>20</v>
      </c>
      <c r="B420" s="7" t="s">
        <v>76</v>
      </c>
      <c r="C420" s="27" t="s">
        <v>581</v>
      </c>
      <c r="D420" s="8" t="n">
        <v>1214</v>
      </c>
      <c r="E420" s="27" t="n">
        <v>2</v>
      </c>
      <c r="F420" s="9" t="n">
        <f aca="false">IF(D420=0,0,E420/D420)</f>
        <v>0.00164744645799012</v>
      </c>
      <c r="G420" s="27" t="n">
        <v>0</v>
      </c>
      <c r="H420" s="10" t="n">
        <f aca="false">IF(D420=0,0,G420/D420*1000)</f>
        <v>0</v>
      </c>
      <c r="I420" s="8" t="n">
        <v>890</v>
      </c>
      <c r="J420" s="25" t="n">
        <v>0.0123595505617978</v>
      </c>
      <c r="K420" s="26" t="n">
        <v>0.4668</v>
      </c>
      <c r="L420" s="26" t="n">
        <v>0.160865</v>
      </c>
      <c r="M420" s="27" t="str">
        <f aca="false">IF(D420&gt;=200,"○","-")</f>
        <v>○</v>
      </c>
    </row>
    <row r="421" customFormat="false" ht="15" hidden="false" customHeight="false" outlineLevel="0" collapsed="false">
      <c r="A421" s="7" t="s">
        <v>20</v>
      </c>
      <c r="B421" s="7" t="s">
        <v>348</v>
      </c>
      <c r="C421" s="27" t="s">
        <v>582</v>
      </c>
      <c r="D421" s="8" t="n">
        <v>781</v>
      </c>
      <c r="E421" s="27" t="n">
        <v>3</v>
      </c>
      <c r="F421" s="9" t="n">
        <f aca="false">IF(D421=0,0,E421/D421)</f>
        <v>0.00384122919334187</v>
      </c>
      <c r="G421" s="27" t="n">
        <v>0</v>
      </c>
      <c r="H421" s="10" t="n">
        <f aca="false">IF(D421=0,0,G421/D421*1000)</f>
        <v>0</v>
      </c>
      <c r="I421" s="8" t="n">
        <v>400</v>
      </c>
      <c r="J421" s="25" t="n">
        <v>0.0125</v>
      </c>
      <c r="K421" s="26" t="n">
        <v>0.5369</v>
      </c>
      <c r="L421" s="26" t="n">
        <v>0.192195</v>
      </c>
      <c r="M421" s="27" t="str">
        <f aca="false">IF(D421&gt;=200,"○","-")</f>
        <v>○</v>
      </c>
    </row>
    <row r="422" customFormat="false" ht="15" hidden="false" customHeight="false" outlineLevel="0" collapsed="false">
      <c r="A422" s="28" t="s">
        <v>20</v>
      </c>
      <c r="B422" s="28" t="s">
        <v>348</v>
      </c>
      <c r="C422" s="29" t="s">
        <v>583</v>
      </c>
      <c r="D422" s="30" t="n">
        <v>76</v>
      </c>
      <c r="E422" s="28" t="n">
        <v>0</v>
      </c>
      <c r="F422" s="31" t="n">
        <f aca="false">IF(D422=0,0,E422/D422)</f>
        <v>0</v>
      </c>
      <c r="G422" s="28" t="n">
        <v>0</v>
      </c>
      <c r="H422" s="32" t="n">
        <f aca="false">IF(D422=0,0,G422/D422*1000)</f>
        <v>0</v>
      </c>
      <c r="I422" s="30" t="n">
        <v>829</v>
      </c>
      <c r="J422" s="33" t="n">
        <v>0.0180940892641737</v>
      </c>
      <c r="K422" s="34" t="n">
        <v>0.5565</v>
      </c>
      <c r="L422" s="34" t="n">
        <v>0.229735</v>
      </c>
      <c r="M422" s="28" t="str">
        <f aca="false">IF(D422&gt;=200,"○","-")</f>
        <v>-</v>
      </c>
    </row>
    <row r="423" customFormat="false" ht="15" hidden="false" customHeight="false" outlineLevel="0" collapsed="false">
      <c r="A423" s="7" t="s">
        <v>20</v>
      </c>
      <c r="B423" s="7" t="s">
        <v>352</v>
      </c>
      <c r="C423" s="7" t="s">
        <v>584</v>
      </c>
      <c r="D423" s="8" t="n">
        <v>1062</v>
      </c>
      <c r="E423" s="27" t="n">
        <v>5</v>
      </c>
      <c r="F423" s="9" t="n">
        <f aca="false">IF(D423=0,0,E423/D423)</f>
        <v>0.00470809792843691</v>
      </c>
      <c r="G423" s="27" t="n">
        <v>2</v>
      </c>
      <c r="H423" s="10" t="n">
        <f aca="false">IF(D423=0,0,G423/D423*1000)</f>
        <v>1.88323917137476</v>
      </c>
      <c r="I423" s="8" t="n">
        <v>1039</v>
      </c>
      <c r="J423" s="25" t="n">
        <v>0.0192492781520693</v>
      </c>
      <c r="K423" s="26" t="n">
        <v>0.4588</v>
      </c>
      <c r="L423" s="26" t="n">
        <v>0.153705</v>
      </c>
      <c r="M423" s="27" t="str">
        <f aca="false">IF(D423&gt;=200,"○","-")</f>
        <v>○</v>
      </c>
    </row>
    <row r="424" customFormat="false" ht="15" hidden="false" customHeight="false" outlineLevel="0" collapsed="false">
      <c r="A424" s="7" t="s">
        <v>20</v>
      </c>
      <c r="B424" s="7" t="s">
        <v>354</v>
      </c>
      <c r="C424" s="7" t="s">
        <v>585</v>
      </c>
      <c r="D424" s="8" t="n">
        <v>779</v>
      </c>
      <c r="E424" s="27" t="n">
        <v>2</v>
      </c>
      <c r="F424" s="9" t="n">
        <f aca="false">IF(D424=0,0,E424/D424)</f>
        <v>0.00256739409499358</v>
      </c>
      <c r="G424" s="27" t="n">
        <v>1</v>
      </c>
      <c r="H424" s="10" t="n">
        <f aca="false">IF(D424=0,0,G424/D424*1000)</f>
        <v>1.28369704749679</v>
      </c>
      <c r="I424" s="8" t="n">
        <v>505</v>
      </c>
      <c r="J424" s="25" t="n">
        <v>0.00594059405940594</v>
      </c>
      <c r="K424" s="26" t="n">
        <v>0.472</v>
      </c>
      <c r="L424" s="26" t="n">
        <v>0.12388</v>
      </c>
      <c r="M424" s="27" t="str">
        <f aca="false">IF(D424&gt;=200,"○","-")</f>
        <v>○</v>
      </c>
    </row>
    <row r="425" customFormat="false" ht="15" hidden="false" customHeight="false" outlineLevel="0" collapsed="false">
      <c r="A425" s="7" t="s">
        <v>20</v>
      </c>
      <c r="B425" s="7" t="s">
        <v>78</v>
      </c>
      <c r="C425" s="7" t="s">
        <v>586</v>
      </c>
      <c r="D425" s="8" t="n">
        <v>1072</v>
      </c>
      <c r="E425" s="27" t="n">
        <v>0</v>
      </c>
      <c r="F425" s="9" t="n">
        <f aca="false">IF(D425=0,0,E425/D425)</f>
        <v>0</v>
      </c>
      <c r="G425" s="27" t="n">
        <v>0</v>
      </c>
      <c r="H425" s="10" t="n">
        <f aca="false">IF(D425=0,0,G425/D425*1000)</f>
        <v>0</v>
      </c>
      <c r="I425" s="8" t="n">
        <v>437</v>
      </c>
      <c r="J425" s="25" t="n">
        <v>0.0137299771167048</v>
      </c>
      <c r="K425" s="26" t="n">
        <v>0.8657</v>
      </c>
      <c r="L425" s="26" t="n">
        <v>0.577555</v>
      </c>
      <c r="M425" s="27" t="str">
        <f aca="false">IF(D425&gt;=200,"○","-")</f>
        <v>○</v>
      </c>
    </row>
    <row r="426" customFormat="false" ht="15" hidden="false" customHeight="false" outlineLevel="0" collapsed="false">
      <c r="A426" s="7" t="s">
        <v>20</v>
      </c>
      <c r="B426" s="7" t="s">
        <v>81</v>
      </c>
      <c r="C426" s="7" t="s">
        <v>587</v>
      </c>
      <c r="D426" s="8" t="n">
        <v>967</v>
      </c>
      <c r="E426" s="27" t="n">
        <v>3</v>
      </c>
      <c r="F426" s="9" t="n">
        <f aca="false">IF(D426=0,0,E426/D426)</f>
        <v>0.0031023784901758</v>
      </c>
      <c r="G426" s="27" t="n">
        <v>0</v>
      </c>
      <c r="H426" s="10" t="n">
        <f aca="false">IF(D426=0,0,G426/D426*1000)</f>
        <v>0</v>
      </c>
      <c r="I426" s="8" t="n">
        <v>684</v>
      </c>
      <c r="J426" s="25" t="n">
        <v>0.0160818713450292</v>
      </c>
      <c r="K426" s="26" t="n">
        <v>0.4613</v>
      </c>
      <c r="L426" s="26" t="n">
        <v>0.124405</v>
      </c>
      <c r="M426" s="27" t="str">
        <f aca="false">IF(D426&gt;=200,"○","-")</f>
        <v>○</v>
      </c>
    </row>
    <row r="427" customFormat="false" ht="15" hidden="false" customHeight="false" outlineLevel="0" collapsed="false">
      <c r="A427" s="7" t="s">
        <v>20</v>
      </c>
      <c r="B427" s="7" t="s">
        <v>84</v>
      </c>
      <c r="C427" s="7" t="s">
        <v>588</v>
      </c>
      <c r="D427" s="8" t="n">
        <v>1132</v>
      </c>
      <c r="E427" s="27" t="n">
        <v>3</v>
      </c>
      <c r="F427" s="9" t="n">
        <f aca="false">IF(D427=0,0,E427/D427)</f>
        <v>0.00265017667844523</v>
      </c>
      <c r="G427" s="27" t="n">
        <v>0</v>
      </c>
      <c r="H427" s="10" t="n">
        <f aca="false">IF(D427=0,0,G427/D427*1000)</f>
        <v>0</v>
      </c>
      <c r="I427" s="8" t="n">
        <v>492</v>
      </c>
      <c r="J427" s="25" t="n">
        <v>0.00813008130081301</v>
      </c>
      <c r="K427" s="26" t="n">
        <v>0.5293</v>
      </c>
      <c r="L427" s="26" t="n">
        <v>0.20389</v>
      </c>
      <c r="M427" s="27" t="str">
        <f aca="false">IF(D427&gt;=200,"○","-")</f>
        <v>○</v>
      </c>
    </row>
    <row r="428" customFormat="false" ht="15" hidden="false" customHeight="false" outlineLevel="0" collapsed="false">
      <c r="A428" s="28" t="s">
        <v>20</v>
      </c>
      <c r="B428" s="28" t="s">
        <v>89</v>
      </c>
      <c r="C428" s="28" t="s">
        <v>589</v>
      </c>
      <c r="D428" s="30" t="n">
        <v>0</v>
      </c>
      <c r="E428" s="28" t="n">
        <v>0</v>
      </c>
      <c r="F428" s="31" t="n">
        <f aca="false">IF(D428=0,0,E428/D428)</f>
        <v>0</v>
      </c>
      <c r="G428" s="28" t="n">
        <v>0</v>
      </c>
      <c r="H428" s="32" t="n">
        <f aca="false">IF(D428=0,0,G428/D428*1000)</f>
        <v>0</v>
      </c>
      <c r="I428" s="30" t="n">
        <v>323</v>
      </c>
      <c r="J428" s="33" t="n">
        <v>0.021671826625387</v>
      </c>
      <c r="K428" s="34" t="n">
        <v>0.5141</v>
      </c>
      <c r="L428" s="34"/>
      <c r="M428" s="28" t="str">
        <f aca="false">IF(D428&gt;=200,"○","-")</f>
        <v>-</v>
      </c>
    </row>
    <row r="429" customFormat="false" ht="15" hidden="false" customHeight="false" outlineLevel="0" collapsed="false">
      <c r="A429" s="7" t="s">
        <v>20</v>
      </c>
      <c r="B429" s="7" t="s">
        <v>89</v>
      </c>
      <c r="C429" s="7" t="s">
        <v>590</v>
      </c>
      <c r="D429" s="8" t="n">
        <v>877</v>
      </c>
      <c r="E429" s="27" t="n">
        <v>9</v>
      </c>
      <c r="F429" s="9" t="n">
        <f aca="false">IF(D429=0,0,E429/D429)</f>
        <v>0.0102622576966933</v>
      </c>
      <c r="G429" s="27" t="n">
        <v>0</v>
      </c>
      <c r="H429" s="10" t="n">
        <f aca="false">IF(D429=0,0,G429/D429*1000)</f>
        <v>0</v>
      </c>
      <c r="I429" s="8" t="n">
        <v>586</v>
      </c>
      <c r="J429" s="25" t="n">
        <v>0.0102389078498294</v>
      </c>
      <c r="K429" s="26" t="n">
        <v>0.518</v>
      </c>
      <c r="L429" s="26"/>
      <c r="M429" s="27" t="str">
        <f aca="false">IF(D429&gt;=200,"○","-")</f>
        <v>○</v>
      </c>
    </row>
    <row r="430" customFormat="false" ht="15" hidden="false" customHeight="false" outlineLevel="0" collapsed="false">
      <c r="A430" s="7" t="s">
        <v>20</v>
      </c>
      <c r="B430" s="7" t="s">
        <v>95</v>
      </c>
      <c r="C430" s="7" t="s">
        <v>591</v>
      </c>
      <c r="D430" s="8" t="n">
        <v>913</v>
      </c>
      <c r="E430" s="27" t="n">
        <v>6</v>
      </c>
      <c r="F430" s="9" t="n">
        <f aca="false">IF(D430=0,0,E430/D430)</f>
        <v>0.00657174151150055</v>
      </c>
      <c r="G430" s="27" t="n">
        <v>1</v>
      </c>
      <c r="H430" s="10" t="n">
        <f aca="false">IF(D430=0,0,G430/D430*1000)</f>
        <v>1.09529025191676</v>
      </c>
      <c r="I430" s="8" t="n">
        <v>928</v>
      </c>
      <c r="J430" s="25" t="n">
        <v>0.0193965517241379</v>
      </c>
      <c r="K430" s="26" t="n">
        <v>0.4937</v>
      </c>
      <c r="L430" s="26" t="n">
        <v>0.1416</v>
      </c>
      <c r="M430" s="27" t="str">
        <f aca="false">IF(D430&gt;=200,"○","-")</f>
        <v>○</v>
      </c>
    </row>
    <row r="431" customFormat="false" ht="15" hidden="false" customHeight="false" outlineLevel="0" collapsed="false">
      <c r="A431" s="7" t="s">
        <v>20</v>
      </c>
      <c r="B431" s="7" t="s">
        <v>98</v>
      </c>
      <c r="C431" s="27" t="s">
        <v>592</v>
      </c>
      <c r="D431" s="8" t="n">
        <v>642</v>
      </c>
      <c r="E431" s="27" t="n">
        <v>4</v>
      </c>
      <c r="F431" s="9" t="n">
        <f aca="false">IF(D431=0,0,E431/D431)</f>
        <v>0.00623052959501558</v>
      </c>
      <c r="G431" s="27" t="n">
        <v>1</v>
      </c>
      <c r="H431" s="10" t="n">
        <f aca="false">IF(D431=0,0,G431/D431*1000)</f>
        <v>1.55763239875389</v>
      </c>
      <c r="I431" s="8" t="n">
        <v>101</v>
      </c>
      <c r="J431" s="25" t="n">
        <v>0.0099009900990099</v>
      </c>
      <c r="K431" s="26" t="n">
        <v>0.501</v>
      </c>
      <c r="L431" s="26"/>
      <c r="M431" s="27" t="str">
        <f aca="false">IF(D431&gt;=200,"○","-")</f>
        <v>○</v>
      </c>
    </row>
    <row r="432" customFormat="false" ht="15" hidden="false" customHeight="false" outlineLevel="0" collapsed="false">
      <c r="A432" s="28" t="s">
        <v>20</v>
      </c>
      <c r="B432" s="28" t="s">
        <v>101</v>
      </c>
      <c r="C432" s="29" t="s">
        <v>593</v>
      </c>
      <c r="D432" s="30" t="n">
        <v>73</v>
      </c>
      <c r="E432" s="28" t="n">
        <v>0</v>
      </c>
      <c r="F432" s="31" t="n">
        <f aca="false">IF(D432=0,0,E432/D432)</f>
        <v>0</v>
      </c>
      <c r="G432" s="28" t="n">
        <v>0</v>
      </c>
      <c r="H432" s="32" t="n">
        <f aca="false">IF(D432=0,0,G432/D432*1000)</f>
        <v>0</v>
      </c>
      <c r="I432" s="30" t="n">
        <v>365</v>
      </c>
      <c r="J432" s="33" t="n">
        <v>0.0164383561643836</v>
      </c>
      <c r="K432" s="34" t="n">
        <v>0.223</v>
      </c>
      <c r="L432" s="34"/>
      <c r="M432" s="28" t="str">
        <f aca="false">IF(D432&gt;=200,"○","-")</f>
        <v>-</v>
      </c>
    </row>
    <row r="433" customFormat="false" ht="15" hidden="false" customHeight="false" outlineLevel="0" collapsed="false">
      <c r="A433" s="7" t="s">
        <v>20</v>
      </c>
      <c r="B433" s="7" t="s">
        <v>104</v>
      </c>
      <c r="C433" s="27" t="s">
        <v>594</v>
      </c>
      <c r="D433" s="8" t="n">
        <v>955</v>
      </c>
      <c r="E433" s="27" t="n">
        <v>5</v>
      </c>
      <c r="F433" s="9" t="n">
        <f aca="false">IF(D433=0,0,E433/D433)</f>
        <v>0.00523560209424084</v>
      </c>
      <c r="G433" s="27" t="n">
        <v>0</v>
      </c>
      <c r="H433" s="10" t="n">
        <f aca="false">IF(D433=0,0,G433/D433*1000)</f>
        <v>0</v>
      </c>
      <c r="I433" s="8" t="n">
        <v>1042</v>
      </c>
      <c r="J433" s="25" t="n">
        <v>0.00383877159309021</v>
      </c>
      <c r="K433" s="26" t="n">
        <v>0.2681</v>
      </c>
      <c r="L433" s="26"/>
      <c r="M433" s="27" t="str">
        <f aca="false">IF(D433&gt;=200,"○","-")</f>
        <v>○</v>
      </c>
    </row>
    <row r="434" customFormat="false" ht="15" hidden="false" customHeight="false" outlineLevel="0" collapsed="false">
      <c r="A434" s="28" t="s">
        <v>20</v>
      </c>
      <c r="B434" s="28" t="s">
        <v>104</v>
      </c>
      <c r="C434" s="29" t="s">
        <v>595</v>
      </c>
      <c r="D434" s="30" t="n">
        <v>62</v>
      </c>
      <c r="E434" s="28" t="n">
        <v>0</v>
      </c>
      <c r="F434" s="31" t="n">
        <f aca="false">IF(D434=0,0,E434/D434)</f>
        <v>0</v>
      </c>
      <c r="G434" s="28" t="n">
        <v>0</v>
      </c>
      <c r="H434" s="32" t="n">
        <f aca="false">IF(D434=0,0,G434/D434*1000)</f>
        <v>0</v>
      </c>
      <c r="I434" s="30" t="n">
        <v>233</v>
      </c>
      <c r="J434" s="33" t="n">
        <v>0.0128755364806867</v>
      </c>
      <c r="K434" s="34" t="n">
        <v>0.264</v>
      </c>
      <c r="L434" s="34"/>
      <c r="M434" s="28" t="str">
        <f aca="false">IF(D434&gt;=200,"○","-")</f>
        <v>-</v>
      </c>
    </row>
    <row r="435" customFormat="false" ht="15" hidden="false" customHeight="false" outlineLevel="0" collapsed="false">
      <c r="A435" s="7" t="s">
        <v>20</v>
      </c>
      <c r="B435" s="7" t="s">
        <v>108</v>
      </c>
      <c r="C435" s="27" t="s">
        <v>596</v>
      </c>
      <c r="D435" s="8" t="n">
        <v>396</v>
      </c>
      <c r="E435" s="27" t="n">
        <v>3</v>
      </c>
      <c r="F435" s="9" t="n">
        <f aca="false">IF(D435=0,0,E435/D435)</f>
        <v>0.00757575757575758</v>
      </c>
      <c r="G435" s="27" t="n">
        <v>0</v>
      </c>
      <c r="H435" s="10" t="n">
        <f aca="false">IF(D435=0,0,G435/D435*1000)</f>
        <v>0</v>
      </c>
      <c r="I435" s="8" t="n">
        <v>857</v>
      </c>
      <c r="J435" s="25" t="n">
        <v>0.0128354725787631</v>
      </c>
      <c r="K435" s="26" t="n">
        <v>0.262</v>
      </c>
      <c r="L435" s="26"/>
      <c r="M435" s="27" t="str">
        <f aca="false">IF(D435&gt;=200,"○","-")</f>
        <v>○</v>
      </c>
    </row>
    <row r="436" customFormat="false" ht="15" hidden="false" customHeight="false" outlineLevel="0" collapsed="false">
      <c r="A436" s="28" t="s">
        <v>20</v>
      </c>
      <c r="B436" s="28" t="s">
        <v>108</v>
      </c>
      <c r="C436" s="29" t="s">
        <v>597</v>
      </c>
      <c r="D436" s="30" t="n">
        <v>178</v>
      </c>
      <c r="E436" s="28" t="n">
        <v>0</v>
      </c>
      <c r="F436" s="31" t="n">
        <f aca="false">IF(D436=0,0,E436/D436)</f>
        <v>0</v>
      </c>
      <c r="G436" s="28" t="n">
        <v>1</v>
      </c>
      <c r="H436" s="32" t="n">
        <f aca="false">IF(D436=0,0,G436/D436*1000)</f>
        <v>5.61797752808989</v>
      </c>
      <c r="I436" s="30" t="n">
        <v>45</v>
      </c>
      <c r="J436" s="33" t="n">
        <v>0.0222222222222222</v>
      </c>
      <c r="K436" s="34" t="n">
        <v>0.2541</v>
      </c>
      <c r="L436" s="34"/>
      <c r="M436" s="28" t="str">
        <f aca="false">IF(D436&gt;=200,"○","-")</f>
        <v>-</v>
      </c>
    </row>
    <row r="437" customFormat="false" ht="15" hidden="false" customHeight="false" outlineLevel="0" collapsed="false">
      <c r="A437" s="7" t="s">
        <v>20</v>
      </c>
      <c r="B437" s="7" t="s">
        <v>110</v>
      </c>
      <c r="C437" s="27" t="s">
        <v>598</v>
      </c>
      <c r="D437" s="8" t="n">
        <v>1033</v>
      </c>
      <c r="E437" s="27" t="n">
        <v>2</v>
      </c>
      <c r="F437" s="9" t="n">
        <f aca="false">IF(D437=0,0,E437/D437)</f>
        <v>0.00193610842207164</v>
      </c>
      <c r="G437" s="27" t="n">
        <v>1</v>
      </c>
      <c r="H437" s="10" t="n">
        <f aca="false">IF(D437=0,0,G437/D437*1000)</f>
        <v>0.968054211035818</v>
      </c>
      <c r="I437" s="8" t="n">
        <v>245</v>
      </c>
      <c r="J437" s="25" t="n">
        <v>0.0122448979591837</v>
      </c>
      <c r="K437" s="26" t="n">
        <v>0.238</v>
      </c>
      <c r="L437" s="26" t="n">
        <v>0.04522</v>
      </c>
      <c r="M437" s="27" t="str">
        <f aca="false">IF(D437&gt;=200,"○","-")</f>
        <v>○</v>
      </c>
    </row>
    <row r="438" customFormat="false" ht="15" hidden="false" customHeight="false" outlineLevel="0" collapsed="false">
      <c r="A438" s="28" t="s">
        <v>20</v>
      </c>
      <c r="B438" s="28" t="s">
        <v>110</v>
      </c>
      <c r="C438" s="29" t="s">
        <v>599</v>
      </c>
      <c r="D438" s="30" t="n">
        <v>74</v>
      </c>
      <c r="E438" s="28" t="n">
        <v>0</v>
      </c>
      <c r="F438" s="31" t="n">
        <f aca="false">IF(D438=0,0,E438/D438)</f>
        <v>0</v>
      </c>
      <c r="G438" s="28" t="n">
        <v>0</v>
      </c>
      <c r="H438" s="32" t="n">
        <f aca="false">IF(D438=0,0,G438/D438*1000)</f>
        <v>0</v>
      </c>
      <c r="I438" s="30" t="n">
        <v>307</v>
      </c>
      <c r="J438" s="33" t="n">
        <v>0.00325732899022801</v>
      </c>
      <c r="K438" s="34" t="n">
        <v>0.2037</v>
      </c>
      <c r="L438" s="34"/>
      <c r="M438" s="28" t="str">
        <f aca="false">IF(D438&gt;=200,"○","-")</f>
        <v>-</v>
      </c>
    </row>
    <row r="439" customFormat="false" ht="15" hidden="false" customHeight="false" outlineLevel="0" collapsed="false">
      <c r="A439" s="7" t="s">
        <v>20</v>
      </c>
      <c r="B439" s="7" t="s">
        <v>112</v>
      </c>
      <c r="C439" s="27" t="s">
        <v>600</v>
      </c>
      <c r="D439" s="8" t="n">
        <v>1007</v>
      </c>
      <c r="E439" s="27" t="n">
        <v>3</v>
      </c>
      <c r="F439" s="9" t="n">
        <f aca="false">IF(D439=0,0,E439/D439)</f>
        <v>0.00297914597815293</v>
      </c>
      <c r="G439" s="27" t="n">
        <v>0</v>
      </c>
      <c r="H439" s="10" t="n">
        <f aca="false">IF(D439=0,0,G439/D439*1000)</f>
        <v>0</v>
      </c>
      <c r="I439" s="8" t="n">
        <v>372</v>
      </c>
      <c r="J439" s="25" t="n">
        <v>0.010752688172043</v>
      </c>
      <c r="K439" s="26" t="n">
        <v>0.2471</v>
      </c>
      <c r="L439" s="26" t="n">
        <v>0.03295</v>
      </c>
      <c r="M439" s="27" t="str">
        <f aca="false">IF(D439&gt;=200,"○","-")</f>
        <v>○</v>
      </c>
    </row>
    <row r="440" customFormat="false" ht="15" hidden="false" customHeight="false" outlineLevel="0" collapsed="false">
      <c r="A440" s="7" t="s">
        <v>20</v>
      </c>
      <c r="B440" s="7" t="s">
        <v>114</v>
      </c>
      <c r="C440" s="27" t="s">
        <v>601</v>
      </c>
      <c r="D440" s="8" t="n">
        <v>254</v>
      </c>
      <c r="E440" s="27" t="n">
        <v>0</v>
      </c>
      <c r="F440" s="9" t="n">
        <f aca="false">IF(D440=0,0,E440/D440)</f>
        <v>0</v>
      </c>
      <c r="G440" s="27" t="n">
        <v>0</v>
      </c>
      <c r="H440" s="10" t="n">
        <f aca="false">IF(D440=0,0,G440/D440*1000)</f>
        <v>0</v>
      </c>
      <c r="I440" s="8" t="n">
        <v>375</v>
      </c>
      <c r="J440" s="25" t="n">
        <v>0.0186666666666667</v>
      </c>
      <c r="K440" s="26" t="n">
        <v>0.3793</v>
      </c>
      <c r="L440" s="26"/>
      <c r="M440" s="27" t="str">
        <f aca="false">IF(D440&gt;=200,"○","-")</f>
        <v>○</v>
      </c>
    </row>
    <row r="441" customFormat="false" ht="15" hidden="false" customHeight="false" outlineLevel="0" collapsed="false">
      <c r="A441" s="7" t="s">
        <v>20</v>
      </c>
      <c r="B441" s="7" t="s">
        <v>114</v>
      </c>
      <c r="C441" s="27" t="s">
        <v>602</v>
      </c>
      <c r="D441" s="8" t="n">
        <v>940</v>
      </c>
      <c r="E441" s="27" t="n">
        <v>0</v>
      </c>
      <c r="F441" s="9" t="n">
        <f aca="false">IF(D441=0,0,E441/D441)</f>
        <v>0</v>
      </c>
      <c r="G441" s="27" t="n">
        <v>0</v>
      </c>
      <c r="H441" s="10" t="n">
        <f aca="false">IF(D441=0,0,G441/D441*1000)</f>
        <v>0</v>
      </c>
      <c r="I441" s="8" t="n">
        <v>81</v>
      </c>
      <c r="J441" s="25" t="n">
        <v>0.037037037037037</v>
      </c>
      <c r="K441" s="26" t="n">
        <v>0.3279</v>
      </c>
      <c r="L441" s="26"/>
      <c r="M441" s="27" t="str">
        <f aca="false">IF(D441&gt;=200,"○","-")</f>
        <v>○</v>
      </c>
    </row>
    <row r="442" customFormat="false" ht="15" hidden="false" customHeight="false" outlineLevel="0" collapsed="false">
      <c r="A442" s="7" t="s">
        <v>20</v>
      </c>
      <c r="B442" s="7" t="s">
        <v>116</v>
      </c>
      <c r="C442" s="27" t="s">
        <v>603</v>
      </c>
      <c r="D442" s="8" t="n">
        <v>1002</v>
      </c>
      <c r="E442" s="27" t="n">
        <v>7</v>
      </c>
      <c r="F442" s="9" t="n">
        <f aca="false">IF(D442=0,0,E442/D442)</f>
        <v>0.00698602794411178</v>
      </c>
      <c r="G442" s="27" t="n">
        <v>0</v>
      </c>
      <c r="H442" s="10" t="n">
        <f aca="false">IF(D442=0,0,G442/D442*1000)</f>
        <v>0</v>
      </c>
      <c r="I442" s="8" t="n">
        <v>54</v>
      </c>
      <c r="J442" s="25" t="n">
        <v>0</v>
      </c>
      <c r="K442" s="26" t="n">
        <v>0.249</v>
      </c>
      <c r="L442" s="26"/>
      <c r="M442" s="27" t="str">
        <f aca="false">IF(D442&gt;=200,"○","-")</f>
        <v>○</v>
      </c>
    </row>
    <row r="443" customFormat="false" ht="15" hidden="false" customHeight="false" outlineLevel="0" collapsed="false">
      <c r="A443" s="7" t="s">
        <v>20</v>
      </c>
      <c r="B443" s="7" t="s">
        <v>116</v>
      </c>
      <c r="C443" s="27" t="s">
        <v>604</v>
      </c>
      <c r="D443" s="8" t="n">
        <v>969</v>
      </c>
      <c r="E443" s="27" t="n">
        <v>6</v>
      </c>
      <c r="F443" s="9" t="n">
        <f aca="false">IF(D443=0,0,E443/D443)</f>
        <v>0.00619195046439629</v>
      </c>
      <c r="G443" s="27" t="n">
        <v>2</v>
      </c>
      <c r="H443" s="10" t="n">
        <f aca="false">IF(D443=0,0,G443/D443*1000)</f>
        <v>2.06398348813209</v>
      </c>
      <c r="I443" s="8" t="n">
        <v>491</v>
      </c>
      <c r="J443" s="25" t="n">
        <v>0.0162932790224033</v>
      </c>
      <c r="K443" s="26" t="n">
        <v>0.3326</v>
      </c>
      <c r="L443" s="26"/>
      <c r="M443" s="27" t="str">
        <f aca="false">IF(D443&gt;=200,"○","-")</f>
        <v>○</v>
      </c>
    </row>
    <row r="444" customFormat="false" ht="15" hidden="false" customHeight="false" outlineLevel="0" collapsed="false">
      <c r="A444" s="7" t="s">
        <v>20</v>
      </c>
      <c r="B444" s="7" t="s">
        <v>118</v>
      </c>
      <c r="C444" s="27" t="s">
        <v>605</v>
      </c>
      <c r="D444" s="8" t="n">
        <v>982</v>
      </c>
      <c r="E444" s="27" t="n">
        <v>5</v>
      </c>
      <c r="F444" s="9" t="n">
        <f aca="false">IF(D444=0,0,E444/D444)</f>
        <v>0.00509164969450102</v>
      </c>
      <c r="G444" s="27" t="n">
        <v>1</v>
      </c>
      <c r="H444" s="10" t="n">
        <f aca="false">IF(D444=0,0,G444/D444*1000)</f>
        <v>1.0183299389002</v>
      </c>
      <c r="I444" s="8" t="n">
        <v>475</v>
      </c>
      <c r="J444" s="25" t="n">
        <v>0.0189473684210526</v>
      </c>
      <c r="K444" s="26" t="n">
        <v>0.6405</v>
      </c>
      <c r="L444" s="26"/>
      <c r="M444" s="27" t="str">
        <f aca="false">IF(D444&gt;=200,"○","-")</f>
        <v>○</v>
      </c>
    </row>
    <row r="445" customFormat="false" ht="15" hidden="false" customHeight="false" outlineLevel="0" collapsed="false">
      <c r="A445" s="7" t="s">
        <v>20</v>
      </c>
      <c r="B445" s="7" t="s">
        <v>118</v>
      </c>
      <c r="C445" s="27" t="s">
        <v>606</v>
      </c>
      <c r="D445" s="8" t="n">
        <v>934</v>
      </c>
      <c r="E445" s="27" t="n">
        <v>4</v>
      </c>
      <c r="F445" s="9" t="n">
        <f aca="false">IF(D445=0,0,E445/D445)</f>
        <v>0.00428265524625268</v>
      </c>
      <c r="G445" s="27" t="n">
        <v>1</v>
      </c>
      <c r="H445" s="10" t="n">
        <f aca="false">IF(D445=0,0,G445/D445*1000)</f>
        <v>1.07066381156317</v>
      </c>
      <c r="I445" s="8" t="n">
        <v>709</v>
      </c>
      <c r="J445" s="25" t="n">
        <v>0.0126939351198872</v>
      </c>
      <c r="K445" s="26" t="n">
        <v>0.2918</v>
      </c>
      <c r="L445" s="26"/>
      <c r="M445" s="27" t="str">
        <f aca="false">IF(D445&gt;=200,"○","-")</f>
        <v>○</v>
      </c>
    </row>
    <row r="446" customFormat="false" ht="15" hidden="false" customHeight="false" outlineLevel="0" collapsed="false">
      <c r="A446" s="7" t="s">
        <v>20</v>
      </c>
      <c r="B446" s="7" t="s">
        <v>121</v>
      </c>
      <c r="C446" s="27" t="s">
        <v>607</v>
      </c>
      <c r="D446" s="8" t="n">
        <v>916</v>
      </c>
      <c r="E446" s="27" t="n">
        <v>3</v>
      </c>
      <c r="F446" s="9" t="n">
        <f aca="false">IF(D446=0,0,E446/D446)</f>
        <v>0.00327510917030568</v>
      </c>
      <c r="G446" s="27" t="n">
        <v>1</v>
      </c>
      <c r="H446" s="10" t="n">
        <f aca="false">IF(D446=0,0,G446/D446*1000)</f>
        <v>1.09170305676856</v>
      </c>
      <c r="I446" s="8" t="n">
        <v>83</v>
      </c>
      <c r="J446" s="25" t="n">
        <v>0.0481927710843374</v>
      </c>
      <c r="K446" s="26" t="n">
        <v>0.3195</v>
      </c>
      <c r="L446" s="26"/>
      <c r="M446" s="27" t="str">
        <f aca="false">IF(D446&gt;=200,"○","-")</f>
        <v>○</v>
      </c>
    </row>
    <row r="447" customFormat="false" ht="15" hidden="false" customHeight="false" outlineLevel="0" collapsed="false">
      <c r="A447" s="7" t="s">
        <v>20</v>
      </c>
      <c r="B447" s="7" t="s">
        <v>121</v>
      </c>
      <c r="C447" s="27" t="s">
        <v>608</v>
      </c>
      <c r="D447" s="8" t="n">
        <v>947</v>
      </c>
      <c r="E447" s="27" t="n">
        <v>3</v>
      </c>
      <c r="F447" s="9" t="n">
        <f aca="false">IF(D447=0,0,E447/D447)</f>
        <v>0.00316789862724393</v>
      </c>
      <c r="G447" s="27" t="n">
        <v>0</v>
      </c>
      <c r="H447" s="10" t="n">
        <f aca="false">IF(D447=0,0,G447/D447*1000)</f>
        <v>0</v>
      </c>
      <c r="I447" s="8" t="n">
        <v>659</v>
      </c>
      <c r="J447" s="25" t="n">
        <v>0.0136570561456753</v>
      </c>
      <c r="K447" s="26" t="n">
        <v>0</v>
      </c>
      <c r="L447" s="26"/>
      <c r="M447" s="27" t="str">
        <f aca="false">IF(D447&gt;=200,"○","-")</f>
        <v>○</v>
      </c>
    </row>
    <row r="448" customFormat="false" ht="15" hidden="false" customHeight="false" outlineLevel="0" collapsed="false">
      <c r="A448" s="28" t="s">
        <v>20</v>
      </c>
      <c r="B448" s="28" t="s">
        <v>121</v>
      </c>
      <c r="C448" s="29" t="s">
        <v>609</v>
      </c>
      <c r="D448" s="30" t="n">
        <v>94</v>
      </c>
      <c r="E448" s="28" t="n">
        <v>0</v>
      </c>
      <c r="F448" s="31" t="n">
        <f aca="false">IF(D448=0,0,E448/D448)</f>
        <v>0</v>
      </c>
      <c r="G448" s="28" t="n">
        <v>0</v>
      </c>
      <c r="H448" s="32" t="n">
        <f aca="false">IF(D448=0,0,G448/D448*1000)</f>
        <v>0</v>
      </c>
      <c r="I448" s="30" t="n">
        <v>176</v>
      </c>
      <c r="J448" s="33" t="n">
        <v>0.0113636363636364</v>
      </c>
      <c r="K448" s="34" t="n">
        <v>0.2518</v>
      </c>
      <c r="L448" s="34"/>
      <c r="M448" s="28" t="str">
        <f aca="false">IF(D448&gt;=200,"○","-")</f>
        <v>-</v>
      </c>
    </row>
    <row r="449" customFormat="false" ht="15" hidden="false" customHeight="false" outlineLevel="0" collapsed="false">
      <c r="A449" s="7" t="s">
        <v>20</v>
      </c>
      <c r="B449" s="7" t="s">
        <v>124</v>
      </c>
      <c r="C449" s="27" t="s">
        <v>610</v>
      </c>
      <c r="D449" s="8" t="n">
        <v>899</v>
      </c>
      <c r="E449" s="27" t="n">
        <v>2</v>
      </c>
      <c r="F449" s="9" t="n">
        <f aca="false">IF(D449=0,0,E449/D449)</f>
        <v>0.00222469410456062</v>
      </c>
      <c r="G449" s="27" t="n">
        <v>1</v>
      </c>
      <c r="H449" s="10" t="n">
        <f aca="false">IF(D449=0,0,G449/D449*1000)</f>
        <v>1.11234705228031</v>
      </c>
      <c r="I449" s="8" t="n">
        <v>236</v>
      </c>
      <c r="J449" s="25" t="n">
        <v>0.0211864406779661</v>
      </c>
      <c r="K449" s="26" t="n">
        <v>0.2303</v>
      </c>
      <c r="L449" s="26"/>
      <c r="M449" s="27" t="str">
        <f aca="false">IF(D449&gt;=200,"○","-")</f>
        <v>○</v>
      </c>
    </row>
    <row r="450" customFormat="false" ht="15" hidden="false" customHeight="false" outlineLevel="0" collapsed="false">
      <c r="A450" s="28" t="s">
        <v>20</v>
      </c>
      <c r="B450" s="28" t="s">
        <v>124</v>
      </c>
      <c r="C450" s="29" t="s">
        <v>611</v>
      </c>
      <c r="D450" s="30" t="n">
        <v>0</v>
      </c>
      <c r="E450" s="28" t="n">
        <v>0</v>
      </c>
      <c r="F450" s="31" t="n">
        <f aca="false">IF(D450=0,0,E450/D450)</f>
        <v>0</v>
      </c>
      <c r="G450" s="28" t="n">
        <v>0</v>
      </c>
      <c r="H450" s="32" t="n">
        <f aca="false">IF(D450=0,0,G450/D450*1000)</f>
        <v>0</v>
      </c>
      <c r="I450" s="30" t="n">
        <v>0</v>
      </c>
      <c r="J450" s="33" t="n">
        <v>0</v>
      </c>
      <c r="K450" s="34" t="n">
        <v>0</v>
      </c>
      <c r="L450" s="34"/>
      <c r="M450" s="28" t="str">
        <f aca="false">IF(D450&gt;=200,"○","-")</f>
        <v>-</v>
      </c>
    </row>
    <row r="451" customFormat="false" ht="15" hidden="false" customHeight="false" outlineLevel="0" collapsed="false">
      <c r="A451" s="28" t="s">
        <v>20</v>
      </c>
      <c r="B451" s="28" t="s">
        <v>126</v>
      </c>
      <c r="C451" s="29" t="s">
        <v>612</v>
      </c>
      <c r="D451" s="30" t="n">
        <v>0</v>
      </c>
      <c r="E451" s="28" t="n">
        <v>0</v>
      </c>
      <c r="F451" s="31" t="n">
        <f aca="false">IF(D451=0,0,E451/D451)</f>
        <v>0</v>
      </c>
      <c r="G451" s="28" t="n">
        <v>0</v>
      </c>
      <c r="H451" s="32" t="n">
        <f aca="false">IF(D451=0,0,G451/D451*1000)</f>
        <v>0</v>
      </c>
      <c r="I451" s="30" t="n">
        <v>0</v>
      </c>
      <c r="J451" s="33" t="n">
        <v>0</v>
      </c>
      <c r="K451" s="34" t="n">
        <v>0</v>
      </c>
      <c r="L451" s="34"/>
      <c r="M451" s="28" t="str">
        <f aca="false">IF(D451&gt;=200,"○","-")</f>
        <v>-</v>
      </c>
    </row>
    <row r="452" customFormat="false" ht="15" hidden="false" customHeight="false" outlineLevel="0" collapsed="false">
      <c r="A452" s="28" t="s">
        <v>20</v>
      </c>
      <c r="B452" s="28" t="s">
        <v>126</v>
      </c>
      <c r="C452" s="28" t="s">
        <v>613</v>
      </c>
      <c r="D452" s="30" t="n">
        <v>0</v>
      </c>
      <c r="E452" s="28" t="n">
        <v>0</v>
      </c>
      <c r="F452" s="31" t="n">
        <f aca="false">IF(D452=0,0,E452/D452)</f>
        <v>0</v>
      </c>
      <c r="G452" s="28" t="n">
        <v>0</v>
      </c>
      <c r="H452" s="32" t="n">
        <f aca="false">IF(D452=0,0,G452/D452*1000)</f>
        <v>0</v>
      </c>
      <c r="I452" s="30" t="n">
        <v>0</v>
      </c>
      <c r="J452" s="33" t="n">
        <v>0</v>
      </c>
      <c r="K452" s="34" t="n">
        <v>0</v>
      </c>
      <c r="L452" s="34"/>
      <c r="M452" s="28" t="str">
        <f aca="false">IF(D452&gt;=200,"○","-")</f>
        <v>-</v>
      </c>
    </row>
    <row r="453" customFormat="false" ht="15" hidden="false" customHeight="false" outlineLevel="0" collapsed="false">
      <c r="A453" s="28" t="s">
        <v>20</v>
      </c>
      <c r="B453" s="28" t="s">
        <v>129</v>
      </c>
      <c r="C453" s="29" t="s">
        <v>614</v>
      </c>
      <c r="D453" s="30" t="n">
        <v>0</v>
      </c>
      <c r="E453" s="28" t="n">
        <v>0</v>
      </c>
      <c r="F453" s="31" t="n">
        <f aca="false">IF(D453=0,0,E453/D453)</f>
        <v>0</v>
      </c>
      <c r="G453" s="28" t="n">
        <v>0</v>
      </c>
      <c r="H453" s="32" t="n">
        <f aca="false">IF(D453=0,0,G453/D453*1000)</f>
        <v>0</v>
      </c>
      <c r="I453" s="30" t="n">
        <v>0</v>
      </c>
      <c r="J453" s="33" t="n">
        <v>0</v>
      </c>
      <c r="K453" s="34" t="n">
        <v>0</v>
      </c>
      <c r="L453" s="34"/>
      <c r="M453" s="28" t="str">
        <f aca="false">IF(D453&gt;=200,"○","-")</f>
        <v>-</v>
      </c>
    </row>
    <row r="454" customFormat="false" ht="15" hidden="false" customHeight="false" outlineLevel="0" collapsed="false">
      <c r="A454" s="28" t="s">
        <v>20</v>
      </c>
      <c r="B454" s="28" t="s">
        <v>129</v>
      </c>
      <c r="C454" s="28" t="s">
        <v>615</v>
      </c>
      <c r="D454" s="30" t="n">
        <v>0</v>
      </c>
      <c r="E454" s="28" t="n">
        <v>0</v>
      </c>
      <c r="F454" s="31" t="n">
        <f aca="false">IF(D454=0,0,E454/D454)</f>
        <v>0</v>
      </c>
      <c r="G454" s="28" t="n">
        <v>0</v>
      </c>
      <c r="H454" s="32" t="n">
        <f aca="false">IF(D454=0,0,G454/D454*1000)</f>
        <v>0</v>
      </c>
      <c r="I454" s="30" t="n">
        <v>0</v>
      </c>
      <c r="J454" s="33" t="n">
        <v>0</v>
      </c>
      <c r="K454" s="34" t="n">
        <v>0</v>
      </c>
      <c r="L454" s="34"/>
      <c r="M454" s="28" t="str">
        <f aca="false">IF(D454&gt;=200,"○","-")</f>
        <v>-</v>
      </c>
    </row>
    <row r="455" customFormat="false" ht="15" hidden="false" customHeight="false" outlineLevel="0" collapsed="false">
      <c r="A455" s="28" t="s">
        <v>26</v>
      </c>
      <c r="B455" s="28" t="s">
        <v>385</v>
      </c>
      <c r="C455" s="28" t="s">
        <v>616</v>
      </c>
      <c r="D455" s="30" t="n">
        <v>0</v>
      </c>
      <c r="E455" s="28" t="n">
        <v>0</v>
      </c>
      <c r="F455" s="31" t="n">
        <f aca="false">IF(D455=0,0,E455/D455)</f>
        <v>0</v>
      </c>
      <c r="G455" s="28" t="n">
        <v>0</v>
      </c>
      <c r="H455" s="32" t="n">
        <f aca="false">IF(D455=0,0,G455/D455*1000)</f>
        <v>0</v>
      </c>
      <c r="I455" s="30" t="n">
        <v>0</v>
      </c>
      <c r="J455" s="33" t="n">
        <v>0</v>
      </c>
      <c r="K455" s="34" t="n">
        <v>0</v>
      </c>
      <c r="L455" s="34" t="n">
        <v>0.19179</v>
      </c>
      <c r="M455" s="28" t="str">
        <f aca="false">IF(D455&gt;=200,"○","-")</f>
        <v>-</v>
      </c>
    </row>
    <row r="456" customFormat="false" ht="15" hidden="false" customHeight="false" outlineLevel="0" collapsed="false">
      <c r="A456" s="28" t="s">
        <v>26</v>
      </c>
      <c r="B456" s="28" t="s">
        <v>385</v>
      </c>
      <c r="C456" s="28" t="s">
        <v>616</v>
      </c>
      <c r="D456" s="30" t="n">
        <v>31</v>
      </c>
      <c r="E456" s="28" t="n">
        <v>0</v>
      </c>
      <c r="F456" s="31" t="n">
        <f aca="false">IF(D456=0,0,E456/D456)</f>
        <v>0</v>
      </c>
      <c r="G456" s="28" t="n">
        <v>0</v>
      </c>
      <c r="H456" s="32" t="n">
        <f aca="false">IF(D456=0,0,G456/D456*1000)</f>
        <v>0</v>
      </c>
      <c r="I456" s="30" t="n">
        <v>137</v>
      </c>
      <c r="J456" s="33" t="n">
        <v>0.0656934306569343</v>
      </c>
      <c r="K456" s="34" t="n">
        <v>0.7434</v>
      </c>
      <c r="L456" s="34" t="n">
        <v>0.1731</v>
      </c>
      <c r="M456" s="28" t="str">
        <f aca="false">IF(D456&gt;=200,"○","-")</f>
        <v>-</v>
      </c>
    </row>
    <row r="457" customFormat="false" ht="15" hidden="false" customHeight="false" outlineLevel="0" collapsed="false">
      <c r="A457" s="28" t="s">
        <v>26</v>
      </c>
      <c r="B457" s="28" t="s">
        <v>319</v>
      </c>
      <c r="C457" s="29" t="s">
        <v>617</v>
      </c>
      <c r="D457" s="30" t="n">
        <v>164</v>
      </c>
      <c r="E457" s="28" t="n">
        <v>0</v>
      </c>
      <c r="F457" s="31" t="n">
        <f aca="false">IF(D457=0,0,E457/D457)</f>
        <v>0</v>
      </c>
      <c r="G457" s="28" t="n">
        <v>0</v>
      </c>
      <c r="H457" s="32" t="n">
        <f aca="false">IF(D457=0,0,G457/D457*1000)</f>
        <v>0</v>
      </c>
      <c r="I457" s="30" t="n">
        <v>217</v>
      </c>
      <c r="J457" s="33" t="n">
        <v>0.00460829493087558</v>
      </c>
      <c r="K457" s="34" t="n">
        <v>0.7573</v>
      </c>
      <c r="L457" s="34" t="n">
        <v>0.288325</v>
      </c>
      <c r="M457" s="28" t="str">
        <f aca="false">IF(D457&gt;=200,"○","-")</f>
        <v>-</v>
      </c>
    </row>
    <row r="458" customFormat="false" ht="15" hidden="false" customHeight="false" outlineLevel="0" collapsed="false">
      <c r="A458" s="7" t="s">
        <v>26</v>
      </c>
      <c r="B458" s="7" t="s">
        <v>321</v>
      </c>
      <c r="C458" s="27" t="s">
        <v>618</v>
      </c>
      <c r="D458" s="8" t="n">
        <v>1171</v>
      </c>
      <c r="E458" s="27" t="n">
        <v>5</v>
      </c>
      <c r="F458" s="9" t="n">
        <f aca="false">IF(D458=0,0,E458/D458)</f>
        <v>0.00426985482493595</v>
      </c>
      <c r="G458" s="27" t="n">
        <v>1</v>
      </c>
      <c r="H458" s="10" t="n">
        <f aca="false">IF(D458=0,0,G458/D458*1000)</f>
        <v>0.85397096498719</v>
      </c>
      <c r="I458" s="8" t="n">
        <v>184</v>
      </c>
      <c r="J458" s="25" t="n">
        <v>0.0108695652173913</v>
      </c>
      <c r="K458" s="26" t="n">
        <v>0.6253</v>
      </c>
      <c r="L458" s="26" t="n">
        <v>0.37629</v>
      </c>
      <c r="M458" s="27" t="str">
        <f aca="false">IF(D458&gt;=200,"○","-")</f>
        <v>○</v>
      </c>
    </row>
    <row r="459" customFormat="false" ht="15" hidden="false" customHeight="false" outlineLevel="0" collapsed="false">
      <c r="A459" s="7" t="s">
        <v>26</v>
      </c>
      <c r="B459" s="7" t="s">
        <v>321</v>
      </c>
      <c r="C459" s="27" t="s">
        <v>619</v>
      </c>
      <c r="D459" s="8" t="n">
        <v>1408</v>
      </c>
      <c r="E459" s="27" t="n">
        <v>5</v>
      </c>
      <c r="F459" s="9" t="n">
        <f aca="false">IF(D459=0,0,E459/D459)</f>
        <v>0.00355113636363636</v>
      </c>
      <c r="G459" s="27" t="n">
        <v>1</v>
      </c>
      <c r="H459" s="10" t="n">
        <f aca="false">IF(D459=0,0,G459/D459*1000)</f>
        <v>0.710227272727273</v>
      </c>
      <c r="I459" s="8" t="n">
        <v>180</v>
      </c>
      <c r="J459" s="25" t="n">
        <v>0.0166666666666667</v>
      </c>
      <c r="K459" s="26" t="n">
        <v>0.9514</v>
      </c>
      <c r="L459" s="26" t="n">
        <v>0.584925</v>
      </c>
      <c r="M459" s="27" t="str">
        <f aca="false">IF(D459&gt;=200,"○","-")</f>
        <v>○</v>
      </c>
    </row>
    <row r="460" customFormat="false" ht="15" hidden="false" customHeight="false" outlineLevel="0" collapsed="false">
      <c r="A460" s="28" t="s">
        <v>26</v>
      </c>
      <c r="B460" s="28" t="s">
        <v>321</v>
      </c>
      <c r="C460" s="28" t="s">
        <v>620</v>
      </c>
      <c r="D460" s="30" t="n">
        <v>10</v>
      </c>
      <c r="E460" s="28" t="n">
        <v>0</v>
      </c>
      <c r="F460" s="31" t="n">
        <f aca="false">IF(D460=0,0,E460/D460)</f>
        <v>0</v>
      </c>
      <c r="G460" s="28" t="n">
        <v>0</v>
      </c>
      <c r="H460" s="32" t="n">
        <f aca="false">IF(D460=0,0,G460/D460*1000)</f>
        <v>0</v>
      </c>
      <c r="I460" s="30" t="n">
        <v>129</v>
      </c>
      <c r="J460" s="33" t="n">
        <v>0.00775193798449612</v>
      </c>
      <c r="K460" s="34" t="n">
        <v>0.7206</v>
      </c>
      <c r="L460" s="34"/>
      <c r="M460" s="28" t="str">
        <f aca="false">IF(D460&gt;=200,"○","-")</f>
        <v>-</v>
      </c>
    </row>
    <row r="461" customFormat="false" ht="15" hidden="false" customHeight="false" outlineLevel="0" collapsed="false">
      <c r="A461" s="7" t="s">
        <v>26</v>
      </c>
      <c r="B461" s="7" t="s">
        <v>325</v>
      </c>
      <c r="C461" s="27" t="s">
        <v>621</v>
      </c>
      <c r="D461" s="8" t="n">
        <v>1649</v>
      </c>
      <c r="E461" s="27" t="n">
        <v>4</v>
      </c>
      <c r="F461" s="9" t="n">
        <f aca="false">IF(D461=0,0,E461/D461)</f>
        <v>0.00242571255306246</v>
      </c>
      <c r="G461" s="27" t="n">
        <v>0</v>
      </c>
      <c r="H461" s="10" t="n">
        <f aca="false">IF(D461=0,0,G461/D461*1000)</f>
        <v>0</v>
      </c>
      <c r="I461" s="8" t="n">
        <v>386</v>
      </c>
      <c r="J461" s="25" t="n">
        <v>0.0181347150259067</v>
      </c>
      <c r="K461" s="26" t="n">
        <v>0.5289</v>
      </c>
      <c r="L461" s="26" t="n">
        <v>0.26817</v>
      </c>
      <c r="M461" s="27" t="str">
        <f aca="false">IF(D461&gt;=200,"○","-")</f>
        <v>○</v>
      </c>
    </row>
    <row r="462" customFormat="false" ht="15" hidden="false" customHeight="false" outlineLevel="0" collapsed="false">
      <c r="A462" s="7" t="s">
        <v>26</v>
      </c>
      <c r="B462" s="7" t="s">
        <v>325</v>
      </c>
      <c r="C462" s="27" t="s">
        <v>622</v>
      </c>
      <c r="D462" s="8" t="n">
        <v>1277</v>
      </c>
      <c r="E462" s="27" t="n">
        <v>4</v>
      </c>
      <c r="F462" s="9" t="n">
        <f aca="false">IF(D462=0,0,E462/D462)</f>
        <v>0.00313234142521535</v>
      </c>
      <c r="G462" s="27" t="n">
        <v>0</v>
      </c>
      <c r="H462" s="10" t="n">
        <f aca="false">IF(D462=0,0,G462/D462*1000)</f>
        <v>0</v>
      </c>
      <c r="I462" s="8" t="n">
        <v>178</v>
      </c>
      <c r="J462" s="25" t="n">
        <v>0.0280898876404494</v>
      </c>
      <c r="K462" s="26" t="n">
        <v>0.5472</v>
      </c>
      <c r="L462" s="26" t="n">
        <v>0.16891</v>
      </c>
      <c r="M462" s="27" t="str">
        <f aca="false">IF(D462&gt;=200,"○","-")</f>
        <v>○</v>
      </c>
    </row>
    <row r="463" customFormat="false" ht="15" hidden="false" customHeight="false" outlineLevel="0" collapsed="false">
      <c r="A463" s="7" t="s">
        <v>26</v>
      </c>
      <c r="B463" s="7" t="s">
        <v>328</v>
      </c>
      <c r="C463" s="27" t="s">
        <v>623</v>
      </c>
      <c r="D463" s="8" t="n">
        <v>1366</v>
      </c>
      <c r="E463" s="27" t="n">
        <v>5</v>
      </c>
      <c r="F463" s="9" t="n">
        <f aca="false">IF(D463=0,0,E463/D463)</f>
        <v>0.00366032210834553</v>
      </c>
      <c r="G463" s="27" t="n">
        <v>2</v>
      </c>
      <c r="H463" s="10" t="n">
        <f aca="false">IF(D463=0,0,G463/D463*1000)</f>
        <v>1.46412884333821</v>
      </c>
      <c r="I463" s="8" t="n">
        <v>380</v>
      </c>
      <c r="J463" s="25" t="n">
        <v>0.00526315789473684</v>
      </c>
      <c r="K463" s="26" t="n">
        <v>0.4781</v>
      </c>
      <c r="L463" s="26"/>
      <c r="M463" s="27" t="str">
        <f aca="false">IF(D463&gt;=200,"○","-")</f>
        <v>○</v>
      </c>
    </row>
    <row r="464" customFormat="false" ht="15" hidden="false" customHeight="false" outlineLevel="0" collapsed="false">
      <c r="A464" s="7" t="s">
        <v>26</v>
      </c>
      <c r="B464" s="7" t="s">
        <v>330</v>
      </c>
      <c r="C464" s="27" t="s">
        <v>624</v>
      </c>
      <c r="D464" s="8" t="n">
        <v>1475</v>
      </c>
      <c r="E464" s="27" t="n">
        <v>5</v>
      </c>
      <c r="F464" s="9" t="n">
        <f aca="false">IF(D464=0,0,E464/D464)</f>
        <v>0.00338983050847458</v>
      </c>
      <c r="G464" s="27" t="n">
        <v>0</v>
      </c>
      <c r="H464" s="10" t="n">
        <f aca="false">IF(D464=0,0,G464/D464*1000)</f>
        <v>0</v>
      </c>
      <c r="I464" s="8" t="n">
        <v>845</v>
      </c>
      <c r="J464" s="25" t="n">
        <v>0.0130177514792899</v>
      </c>
      <c r="K464" s="26" t="n">
        <v>0.6544</v>
      </c>
      <c r="L464" s="26" t="n">
        <v>0.31221</v>
      </c>
      <c r="M464" s="27" t="str">
        <f aca="false">IF(D464&gt;=200,"○","-")</f>
        <v>○</v>
      </c>
    </row>
    <row r="465" customFormat="false" ht="15" hidden="false" customHeight="false" outlineLevel="0" collapsed="false">
      <c r="A465" s="7" t="s">
        <v>26</v>
      </c>
      <c r="B465" s="7" t="s">
        <v>334</v>
      </c>
      <c r="C465" s="27" t="s">
        <v>625</v>
      </c>
      <c r="D465" s="8" t="n">
        <v>1463</v>
      </c>
      <c r="E465" s="27" t="n">
        <v>10</v>
      </c>
      <c r="F465" s="9" t="n">
        <f aca="false">IF(D465=0,0,E465/D465)</f>
        <v>0.00683526999316473</v>
      </c>
      <c r="G465" s="27" t="n">
        <v>0</v>
      </c>
      <c r="H465" s="10" t="n">
        <f aca="false">IF(D465=0,0,G465/D465*1000)</f>
        <v>0</v>
      </c>
      <c r="I465" s="8" t="n">
        <v>157</v>
      </c>
      <c r="J465" s="25" t="n">
        <v>0.0254777070063694</v>
      </c>
      <c r="K465" s="26" t="n">
        <v>0.5312</v>
      </c>
      <c r="L465" s="26" t="n">
        <v>0.13346</v>
      </c>
      <c r="M465" s="27" t="str">
        <f aca="false">IF(D465&gt;=200,"○","-")</f>
        <v>○</v>
      </c>
    </row>
    <row r="466" customFormat="false" ht="15" hidden="false" customHeight="false" outlineLevel="0" collapsed="false">
      <c r="A466" s="7" t="s">
        <v>26</v>
      </c>
      <c r="B466" s="7" t="s">
        <v>338</v>
      </c>
      <c r="C466" s="27" t="s">
        <v>626</v>
      </c>
      <c r="D466" s="8" t="n">
        <v>1823</v>
      </c>
      <c r="E466" s="27" t="n">
        <v>6</v>
      </c>
      <c r="F466" s="9" t="n">
        <f aca="false">IF(D466=0,0,E466/D466)</f>
        <v>0.00329127811300055</v>
      </c>
      <c r="G466" s="27" t="n">
        <v>2</v>
      </c>
      <c r="H466" s="10" t="n">
        <f aca="false">IF(D466=0,0,G466/D466*1000)</f>
        <v>1.09709270433352</v>
      </c>
      <c r="I466" s="8" t="n">
        <v>828</v>
      </c>
      <c r="J466" s="25" t="n">
        <v>0.0241545893719807</v>
      </c>
      <c r="K466" s="26" t="n">
        <v>0.6154</v>
      </c>
      <c r="L466" s="26" t="n">
        <v>0.2628</v>
      </c>
      <c r="M466" s="27" t="str">
        <f aca="false">IF(D466&gt;=200,"○","-")</f>
        <v>○</v>
      </c>
    </row>
    <row r="467" customFormat="false" ht="15" hidden="false" customHeight="false" outlineLevel="0" collapsed="false">
      <c r="A467" s="7" t="s">
        <v>26</v>
      </c>
      <c r="B467" s="7" t="s">
        <v>342</v>
      </c>
      <c r="C467" s="27" t="s">
        <v>627</v>
      </c>
      <c r="D467" s="8" t="n">
        <v>1888</v>
      </c>
      <c r="E467" s="27" t="n">
        <v>5</v>
      </c>
      <c r="F467" s="9" t="n">
        <f aca="false">IF(D467=0,0,E467/D467)</f>
        <v>0.00264830508474576</v>
      </c>
      <c r="G467" s="27" t="n">
        <v>0</v>
      </c>
      <c r="H467" s="10" t="n">
        <f aca="false">IF(D467=0,0,G467/D467*1000)</f>
        <v>0</v>
      </c>
      <c r="I467" s="8" t="n">
        <v>138</v>
      </c>
      <c r="J467" s="25" t="n">
        <v>0</v>
      </c>
      <c r="K467" s="26" t="n">
        <v>0.502</v>
      </c>
      <c r="L467" s="26" t="n">
        <v>0.221945</v>
      </c>
      <c r="M467" s="27" t="str">
        <f aca="false">IF(D467&gt;=200,"○","-")</f>
        <v>○</v>
      </c>
    </row>
    <row r="468" customFormat="false" ht="15" hidden="false" customHeight="false" outlineLevel="0" collapsed="false">
      <c r="A468" s="7" t="s">
        <v>26</v>
      </c>
      <c r="B468" s="7" t="s">
        <v>76</v>
      </c>
      <c r="C468" s="7" t="s">
        <v>628</v>
      </c>
      <c r="D468" s="8" t="n">
        <v>1669</v>
      </c>
      <c r="E468" s="27" t="n">
        <v>4</v>
      </c>
      <c r="F468" s="9" t="n">
        <f aca="false">IF(D468=0,0,E468/D468)</f>
        <v>0.00239664469742361</v>
      </c>
      <c r="G468" s="27" t="n">
        <v>0</v>
      </c>
      <c r="H468" s="10" t="n">
        <f aca="false">IF(D468=0,0,G468/D468*1000)</f>
        <v>0</v>
      </c>
      <c r="I468" s="8" t="n">
        <v>375</v>
      </c>
      <c r="J468" s="25" t="n">
        <v>0.0186666666666667</v>
      </c>
      <c r="K468" s="26" t="n">
        <v>0.7655</v>
      </c>
      <c r="L468" s="26" t="n">
        <v>0.42857</v>
      </c>
      <c r="M468" s="27" t="str">
        <f aca="false">IF(D468&gt;=200,"○","-")</f>
        <v>○</v>
      </c>
    </row>
    <row r="469" customFormat="false" ht="15" hidden="false" customHeight="false" outlineLevel="0" collapsed="false">
      <c r="A469" s="7" t="s">
        <v>26</v>
      </c>
      <c r="B469" s="7" t="s">
        <v>76</v>
      </c>
      <c r="C469" s="27" t="s">
        <v>629</v>
      </c>
      <c r="D469" s="8" t="n">
        <v>1303</v>
      </c>
      <c r="E469" s="27" t="n">
        <v>4</v>
      </c>
      <c r="F469" s="9" t="n">
        <f aca="false">IF(D469=0,0,E469/D469)</f>
        <v>0.00306983883346124</v>
      </c>
      <c r="G469" s="27" t="n">
        <v>0</v>
      </c>
      <c r="H469" s="10" t="n">
        <f aca="false">IF(D469=0,0,G469/D469*1000)</f>
        <v>0</v>
      </c>
      <c r="I469" s="8" t="n">
        <v>124</v>
      </c>
      <c r="J469" s="25" t="n">
        <v>0.0403225806451613</v>
      </c>
      <c r="K469" s="26" t="n">
        <v>0.4755</v>
      </c>
      <c r="L469" s="26" t="n">
        <v>0.14226</v>
      </c>
      <c r="M469" s="27" t="str">
        <f aca="false">IF(D469&gt;=200,"○","-")</f>
        <v>○</v>
      </c>
    </row>
    <row r="470" customFormat="false" ht="15" hidden="false" customHeight="false" outlineLevel="0" collapsed="false">
      <c r="A470" s="7" t="s">
        <v>26</v>
      </c>
      <c r="B470" s="7" t="s">
        <v>348</v>
      </c>
      <c r="C470" s="27" t="s">
        <v>630</v>
      </c>
      <c r="D470" s="8" t="n">
        <v>1917</v>
      </c>
      <c r="E470" s="27" t="n">
        <v>8</v>
      </c>
      <c r="F470" s="9" t="n">
        <f aca="false">IF(D470=0,0,E470/D470)</f>
        <v>0.00417318727177882</v>
      </c>
      <c r="G470" s="27" t="n">
        <v>0</v>
      </c>
      <c r="H470" s="10" t="n">
        <f aca="false">IF(D470=0,0,G470/D470*1000)</f>
        <v>0</v>
      </c>
      <c r="I470" s="8" t="n">
        <v>127</v>
      </c>
      <c r="J470" s="25" t="n">
        <v>0.0078740157480315</v>
      </c>
      <c r="K470" s="26" t="n">
        <v>0.5438</v>
      </c>
      <c r="L470" s="26" t="n">
        <v>0.269265</v>
      </c>
      <c r="M470" s="27" t="str">
        <f aca="false">IF(D470&gt;=200,"○","-")</f>
        <v>○</v>
      </c>
    </row>
    <row r="471" customFormat="false" ht="15" hidden="false" customHeight="false" outlineLevel="0" collapsed="false">
      <c r="A471" s="7" t="s">
        <v>26</v>
      </c>
      <c r="B471" s="7" t="s">
        <v>352</v>
      </c>
      <c r="C471" s="27" t="s">
        <v>631</v>
      </c>
      <c r="D471" s="8" t="n">
        <v>1704</v>
      </c>
      <c r="E471" s="27" t="n">
        <v>7</v>
      </c>
      <c r="F471" s="9" t="n">
        <f aca="false">IF(D471=0,0,E471/D471)</f>
        <v>0.00410798122065728</v>
      </c>
      <c r="G471" s="27" t="n">
        <v>0</v>
      </c>
      <c r="H471" s="10" t="n">
        <f aca="false">IF(D471=0,0,G471/D471*1000)</f>
        <v>0</v>
      </c>
      <c r="I471" s="8" t="n">
        <v>192</v>
      </c>
      <c r="J471" s="25" t="n">
        <v>0.0104166666666667</v>
      </c>
      <c r="K471" s="26" t="n">
        <v>0.4958</v>
      </c>
      <c r="L471" s="26" t="n">
        <v>0.15693</v>
      </c>
      <c r="M471" s="27" t="str">
        <f aca="false">IF(D471&gt;=200,"○","-")</f>
        <v>○</v>
      </c>
    </row>
    <row r="472" customFormat="false" ht="15" hidden="false" customHeight="false" outlineLevel="0" collapsed="false">
      <c r="A472" s="7" t="s">
        <v>26</v>
      </c>
      <c r="B472" s="7" t="s">
        <v>354</v>
      </c>
      <c r="C472" s="27" t="s">
        <v>632</v>
      </c>
      <c r="D472" s="8" t="n">
        <v>1693</v>
      </c>
      <c r="E472" s="27" t="n">
        <v>4</v>
      </c>
      <c r="F472" s="9" t="n">
        <f aca="false">IF(D472=0,0,E472/D472)</f>
        <v>0.00236266981689309</v>
      </c>
      <c r="G472" s="27" t="n">
        <v>0</v>
      </c>
      <c r="H472" s="10" t="n">
        <f aca="false">IF(D472=0,0,G472/D472*1000)</f>
        <v>0</v>
      </c>
      <c r="I472" s="8" t="n">
        <v>195</v>
      </c>
      <c r="J472" s="25" t="n">
        <v>0.0153846153846154</v>
      </c>
      <c r="K472" s="26" t="n">
        <v>0.3869</v>
      </c>
      <c r="L472" s="26" t="n">
        <v>0.070675</v>
      </c>
      <c r="M472" s="27" t="str">
        <f aca="false">IF(D472&gt;=200,"○","-")</f>
        <v>○</v>
      </c>
    </row>
    <row r="473" customFormat="false" ht="15" hidden="false" customHeight="false" outlineLevel="0" collapsed="false">
      <c r="A473" s="7" t="s">
        <v>26</v>
      </c>
      <c r="B473" s="7" t="s">
        <v>78</v>
      </c>
      <c r="C473" s="27" t="s">
        <v>633</v>
      </c>
      <c r="D473" s="8" t="n">
        <v>2244</v>
      </c>
      <c r="E473" s="27" t="n">
        <v>11</v>
      </c>
      <c r="F473" s="9" t="n">
        <f aca="false">IF(D473=0,0,E473/D473)</f>
        <v>0.00490196078431373</v>
      </c>
      <c r="G473" s="27" t="n">
        <v>0</v>
      </c>
      <c r="H473" s="10" t="n">
        <f aca="false">IF(D473=0,0,G473/D473*1000)</f>
        <v>0</v>
      </c>
      <c r="I473" s="8" t="n">
        <v>231</v>
      </c>
      <c r="J473" s="25" t="n">
        <v>0.012987012987013</v>
      </c>
      <c r="K473" s="26" t="n">
        <v>0.8619</v>
      </c>
      <c r="L473" s="26" t="n">
        <v>0.530605</v>
      </c>
      <c r="M473" s="27" t="str">
        <f aca="false">IF(D473&gt;=200,"○","-")</f>
        <v>○</v>
      </c>
    </row>
    <row r="474" customFormat="false" ht="15" hidden="false" customHeight="false" outlineLevel="0" collapsed="false">
      <c r="A474" s="7" t="s">
        <v>26</v>
      </c>
      <c r="B474" s="7" t="s">
        <v>81</v>
      </c>
      <c r="C474" s="27" t="s">
        <v>634</v>
      </c>
      <c r="D474" s="8" t="n">
        <v>1951</v>
      </c>
      <c r="E474" s="27" t="n">
        <v>2</v>
      </c>
      <c r="F474" s="9" t="n">
        <f aca="false">IF(D474=0,0,E474/D474)</f>
        <v>0.00102511532547412</v>
      </c>
      <c r="G474" s="27" t="n">
        <v>0</v>
      </c>
      <c r="H474" s="10" t="n">
        <f aca="false">IF(D474=0,0,G474/D474*1000)</f>
        <v>0</v>
      </c>
      <c r="I474" s="8" t="n">
        <v>109</v>
      </c>
      <c r="J474" s="25" t="n">
        <v>0.018348623853211</v>
      </c>
      <c r="K474" s="26" t="n">
        <v>0.7626</v>
      </c>
      <c r="L474" s="26" t="n">
        <v>0.48628</v>
      </c>
      <c r="M474" s="27" t="str">
        <f aca="false">IF(D474&gt;=200,"○","-")</f>
        <v>○</v>
      </c>
    </row>
    <row r="475" customFormat="false" ht="15" hidden="false" customHeight="false" outlineLevel="0" collapsed="false">
      <c r="A475" s="7" t="s">
        <v>26</v>
      </c>
      <c r="B475" s="7" t="s">
        <v>84</v>
      </c>
      <c r="C475" s="27" t="s">
        <v>635</v>
      </c>
      <c r="D475" s="8" t="n">
        <v>1174</v>
      </c>
      <c r="E475" s="27" t="n">
        <v>10</v>
      </c>
      <c r="F475" s="9" t="n">
        <f aca="false">IF(D475=0,0,E475/D475)</f>
        <v>0.00851788756388416</v>
      </c>
      <c r="G475" s="27" t="n">
        <v>2</v>
      </c>
      <c r="H475" s="10" t="n">
        <f aca="false">IF(D475=0,0,G475/D475*1000)</f>
        <v>1.70357751277683</v>
      </c>
      <c r="I475" s="8" t="n">
        <v>222</v>
      </c>
      <c r="J475" s="25" t="n">
        <v>0</v>
      </c>
      <c r="K475" s="26" t="n">
        <v>0.6505</v>
      </c>
      <c r="L475" s="26"/>
      <c r="M475" s="27" t="str">
        <f aca="false">IF(D475&gt;=200,"○","-")</f>
        <v>○</v>
      </c>
    </row>
    <row r="476" customFormat="false" ht="15" hidden="false" customHeight="false" outlineLevel="0" collapsed="false">
      <c r="A476" s="7" t="s">
        <v>26</v>
      </c>
      <c r="B476" s="7" t="s">
        <v>89</v>
      </c>
      <c r="C476" s="27" t="s">
        <v>636</v>
      </c>
      <c r="D476" s="8" t="n">
        <v>2345</v>
      </c>
      <c r="E476" s="27" t="n">
        <v>3</v>
      </c>
      <c r="F476" s="9" t="n">
        <f aca="false">IF(D476=0,0,E476/D476)</f>
        <v>0.00127931769722815</v>
      </c>
      <c r="G476" s="27" t="n">
        <v>0</v>
      </c>
      <c r="H476" s="10" t="n">
        <f aca="false">IF(D476=0,0,G476/D476*1000)</f>
        <v>0</v>
      </c>
      <c r="I476" s="8" t="n">
        <v>70</v>
      </c>
      <c r="J476" s="25" t="n">
        <v>0.0142857142857143</v>
      </c>
      <c r="K476" s="26" t="n">
        <v>0.3428</v>
      </c>
      <c r="L476" s="26" t="n">
        <v>0.059885</v>
      </c>
      <c r="M476" s="27" t="str">
        <f aca="false">IF(D476&gt;=200,"○","-")</f>
        <v>○</v>
      </c>
    </row>
    <row r="477" customFormat="false" ht="15" hidden="false" customHeight="false" outlineLevel="0" collapsed="false">
      <c r="A477" s="7" t="s">
        <v>26</v>
      </c>
      <c r="B477" s="7" t="s">
        <v>95</v>
      </c>
      <c r="C477" s="27" t="s">
        <v>637</v>
      </c>
      <c r="D477" s="8" t="n">
        <v>1907</v>
      </c>
      <c r="E477" s="27" t="n">
        <v>7</v>
      </c>
      <c r="F477" s="9" t="n">
        <f aca="false">IF(D477=0,0,E477/D477)</f>
        <v>0.00367068694284216</v>
      </c>
      <c r="G477" s="27" t="n">
        <v>1</v>
      </c>
      <c r="H477" s="10" t="n">
        <f aca="false">IF(D477=0,0,G477/D477*1000)</f>
        <v>0.524383848977452</v>
      </c>
      <c r="I477" s="8" t="n">
        <v>77</v>
      </c>
      <c r="J477" s="25" t="n">
        <v>0.012987012987013</v>
      </c>
      <c r="K477" s="26" t="n">
        <v>0.5741</v>
      </c>
      <c r="L477" s="26" t="n">
        <v>0.301935</v>
      </c>
      <c r="M477" s="27" t="str">
        <f aca="false">IF(D477&gt;=200,"○","-")</f>
        <v>○</v>
      </c>
    </row>
    <row r="478" customFormat="false" ht="15" hidden="false" customHeight="false" outlineLevel="0" collapsed="false">
      <c r="A478" s="7" t="s">
        <v>26</v>
      </c>
      <c r="B478" s="7" t="s">
        <v>98</v>
      </c>
      <c r="C478" s="27" t="s">
        <v>638</v>
      </c>
      <c r="D478" s="8" t="n">
        <v>1111</v>
      </c>
      <c r="E478" s="27" t="n">
        <v>6</v>
      </c>
      <c r="F478" s="9" t="n">
        <f aca="false">IF(D478=0,0,E478/D478)</f>
        <v>0.0054005400540054</v>
      </c>
      <c r="G478" s="27" t="n">
        <v>1</v>
      </c>
      <c r="H478" s="10" t="n">
        <f aca="false">IF(D478=0,0,G478/D478*1000)</f>
        <v>0.9000900090009</v>
      </c>
      <c r="I478" s="8" t="n">
        <v>210</v>
      </c>
      <c r="J478" s="25" t="n">
        <v>0.0142857142857143</v>
      </c>
      <c r="K478" s="26" t="n">
        <v>0.4173</v>
      </c>
      <c r="L478" s="26" t="n">
        <v>0.13885</v>
      </c>
      <c r="M478" s="27" t="str">
        <f aca="false">IF(D478&gt;=200,"○","-")</f>
        <v>○</v>
      </c>
    </row>
    <row r="479" customFormat="false" ht="15" hidden="false" customHeight="false" outlineLevel="0" collapsed="false">
      <c r="A479" s="7" t="s">
        <v>26</v>
      </c>
      <c r="B479" s="7" t="s">
        <v>101</v>
      </c>
      <c r="C479" s="7" t="s">
        <v>639</v>
      </c>
      <c r="D479" s="8" t="n">
        <v>371</v>
      </c>
      <c r="E479" s="27" t="n">
        <v>4</v>
      </c>
      <c r="F479" s="9" t="n">
        <f aca="false">IF(D479=0,0,E479/D479)</f>
        <v>0.0107816711590297</v>
      </c>
      <c r="G479" s="27" t="n">
        <v>0</v>
      </c>
      <c r="H479" s="10" t="n">
        <f aca="false">IF(D479=0,0,G479/D479*1000)</f>
        <v>0</v>
      </c>
      <c r="I479" s="8" t="n">
        <v>96</v>
      </c>
      <c r="J479" s="25" t="n">
        <v>0.0104166666666667</v>
      </c>
      <c r="K479" s="26" t="n">
        <v>0.3952</v>
      </c>
      <c r="L479" s="26" t="n">
        <v>0.18845</v>
      </c>
      <c r="M479" s="27" t="str">
        <f aca="false">IF(D479&gt;=200,"○","-")</f>
        <v>○</v>
      </c>
    </row>
    <row r="480" customFormat="false" ht="15" hidden="false" customHeight="false" outlineLevel="0" collapsed="false">
      <c r="A480" s="7" t="s">
        <v>26</v>
      </c>
      <c r="B480" s="7" t="s">
        <v>104</v>
      </c>
      <c r="C480" s="7" t="s">
        <v>640</v>
      </c>
      <c r="D480" s="8" t="n">
        <v>612</v>
      </c>
      <c r="E480" s="27" t="n">
        <v>2</v>
      </c>
      <c r="F480" s="9" t="n">
        <f aca="false">IF(D480=0,0,E480/D480)</f>
        <v>0.00326797385620915</v>
      </c>
      <c r="G480" s="27" t="n">
        <v>0</v>
      </c>
      <c r="H480" s="10" t="n">
        <f aca="false">IF(D480=0,0,G480/D480*1000)</f>
        <v>0</v>
      </c>
      <c r="I480" s="8" t="n">
        <v>44</v>
      </c>
      <c r="J480" s="25" t="n">
        <v>0</v>
      </c>
      <c r="K480" s="26" t="n">
        <v>0.284</v>
      </c>
      <c r="L480" s="26" t="n">
        <v>0.12423</v>
      </c>
      <c r="M480" s="27" t="str">
        <f aca="false">IF(D480&gt;=200,"○","-")</f>
        <v>○</v>
      </c>
    </row>
    <row r="481" customFormat="false" ht="15" hidden="false" customHeight="false" outlineLevel="0" collapsed="false">
      <c r="A481" s="7" t="s">
        <v>26</v>
      </c>
      <c r="B481" s="7" t="s">
        <v>104</v>
      </c>
      <c r="C481" s="27" t="s">
        <v>641</v>
      </c>
      <c r="D481" s="8" t="n">
        <v>260</v>
      </c>
      <c r="E481" s="27" t="n">
        <v>0</v>
      </c>
      <c r="F481" s="9" t="n">
        <f aca="false">IF(D481=0,0,E481/D481)</f>
        <v>0</v>
      </c>
      <c r="G481" s="27" t="n">
        <v>0</v>
      </c>
      <c r="H481" s="10" t="n">
        <f aca="false">IF(D481=0,0,G481/D481*1000)</f>
        <v>0</v>
      </c>
      <c r="I481" s="8" t="n">
        <v>176</v>
      </c>
      <c r="J481" s="25" t="n">
        <v>0.0113636363636364</v>
      </c>
      <c r="K481" s="26" t="n">
        <v>0.2418</v>
      </c>
      <c r="L481" s="26" t="n">
        <v>0.040905</v>
      </c>
      <c r="M481" s="27" t="str">
        <f aca="false">IF(D481&gt;=200,"○","-")</f>
        <v>○</v>
      </c>
    </row>
    <row r="482" customFormat="false" ht="15" hidden="false" customHeight="false" outlineLevel="0" collapsed="false">
      <c r="A482" s="7" t="s">
        <v>26</v>
      </c>
      <c r="B482" s="7" t="s">
        <v>108</v>
      </c>
      <c r="C482" s="27" t="s">
        <v>642</v>
      </c>
      <c r="D482" s="8" t="n">
        <v>361</v>
      </c>
      <c r="E482" s="27" t="n">
        <v>3</v>
      </c>
      <c r="F482" s="9" t="n">
        <f aca="false">IF(D482=0,0,E482/D482)</f>
        <v>0.00831024930747923</v>
      </c>
      <c r="G482" s="27" t="n">
        <v>0</v>
      </c>
      <c r="H482" s="10" t="n">
        <f aca="false">IF(D482=0,0,G482/D482*1000)</f>
        <v>0</v>
      </c>
      <c r="I482" s="8" t="n">
        <v>100</v>
      </c>
      <c r="J482" s="25" t="n">
        <v>0</v>
      </c>
      <c r="K482" s="26" t="n">
        <v>0.3301</v>
      </c>
      <c r="L482" s="26" t="n">
        <v>0.10637</v>
      </c>
      <c r="M482" s="27" t="str">
        <f aca="false">IF(D482&gt;=200,"○","-")</f>
        <v>○</v>
      </c>
    </row>
    <row r="483" customFormat="false" ht="15" hidden="false" customHeight="false" outlineLevel="0" collapsed="false">
      <c r="A483" s="28" t="s">
        <v>26</v>
      </c>
      <c r="B483" s="28" t="s">
        <v>110</v>
      </c>
      <c r="C483" s="28" t="s">
        <v>643</v>
      </c>
      <c r="D483" s="30" t="n">
        <v>137</v>
      </c>
      <c r="E483" s="28" t="n">
        <v>0</v>
      </c>
      <c r="F483" s="31" t="n">
        <f aca="false">IF(D483=0,0,E483/D483)</f>
        <v>0</v>
      </c>
      <c r="G483" s="28" t="n">
        <v>0</v>
      </c>
      <c r="H483" s="32" t="n">
        <f aca="false">IF(D483=0,0,G483/D483*1000)</f>
        <v>0</v>
      </c>
      <c r="I483" s="30" t="n">
        <v>117</v>
      </c>
      <c r="J483" s="33" t="n">
        <v>0.0170940170940171</v>
      </c>
      <c r="K483" s="34" t="n">
        <v>0.1587</v>
      </c>
      <c r="L483" s="34"/>
      <c r="M483" s="28" t="str">
        <f aca="false">IF(D483&gt;=200,"○","-")</f>
        <v>-</v>
      </c>
    </row>
    <row r="484" customFormat="false" ht="15" hidden="false" customHeight="false" outlineLevel="0" collapsed="false">
      <c r="A484" s="7" t="s">
        <v>26</v>
      </c>
      <c r="B484" s="7" t="s">
        <v>114</v>
      </c>
      <c r="C484" s="7" t="s">
        <v>644</v>
      </c>
      <c r="D484" s="8" t="n">
        <v>988</v>
      </c>
      <c r="E484" s="27" t="n">
        <v>4</v>
      </c>
      <c r="F484" s="9" t="n">
        <f aca="false">IF(D484=0,0,E484/D484)</f>
        <v>0.00404858299595142</v>
      </c>
      <c r="G484" s="27" t="n">
        <v>0</v>
      </c>
      <c r="H484" s="10" t="n">
        <f aca="false">IF(D484=0,0,G484/D484*1000)</f>
        <v>0</v>
      </c>
      <c r="I484" s="8" t="n">
        <v>75</v>
      </c>
      <c r="J484" s="25" t="n">
        <v>0.0133333333333333</v>
      </c>
      <c r="K484" s="26" t="n">
        <v>0.2857</v>
      </c>
      <c r="L484" s="26" t="n">
        <v>0.0802</v>
      </c>
      <c r="M484" s="27" t="str">
        <f aca="false">IF(D484&gt;=200,"○","-")</f>
        <v>○</v>
      </c>
    </row>
    <row r="485" customFormat="false" ht="15" hidden="false" customHeight="false" outlineLevel="0" collapsed="false">
      <c r="A485" s="7" t="s">
        <v>26</v>
      </c>
      <c r="B485" s="7" t="s">
        <v>114</v>
      </c>
      <c r="C485" s="7" t="s">
        <v>645</v>
      </c>
      <c r="D485" s="8" t="n">
        <v>660</v>
      </c>
      <c r="E485" s="27" t="n">
        <v>0</v>
      </c>
      <c r="F485" s="9" t="n">
        <f aca="false">IF(D485=0,0,E485/D485)</f>
        <v>0</v>
      </c>
      <c r="G485" s="27" t="n">
        <v>0</v>
      </c>
      <c r="H485" s="10" t="n">
        <f aca="false">IF(D485=0,0,G485/D485*1000)</f>
        <v>0</v>
      </c>
      <c r="I485" s="8" t="n">
        <v>182</v>
      </c>
      <c r="J485" s="25" t="n">
        <v>0.021978021978022</v>
      </c>
      <c r="K485" s="26" t="n">
        <v>0.4114</v>
      </c>
      <c r="L485" s="26"/>
      <c r="M485" s="27" t="str">
        <f aca="false">IF(D485&gt;=200,"○","-")</f>
        <v>○</v>
      </c>
    </row>
    <row r="486" customFormat="false" ht="15" hidden="false" customHeight="false" outlineLevel="0" collapsed="false">
      <c r="A486" s="28" t="s">
        <v>26</v>
      </c>
      <c r="B486" s="28" t="s">
        <v>116</v>
      </c>
      <c r="C486" s="28" t="s">
        <v>646</v>
      </c>
      <c r="D486" s="30" t="n">
        <v>126</v>
      </c>
      <c r="E486" s="28" t="n">
        <v>0</v>
      </c>
      <c r="F486" s="31" t="n">
        <f aca="false">IF(D486=0,0,E486/D486)</f>
        <v>0</v>
      </c>
      <c r="G486" s="28" t="n">
        <v>0</v>
      </c>
      <c r="H486" s="32" t="n">
        <f aca="false">IF(D486=0,0,G486/D486*1000)</f>
        <v>0</v>
      </c>
      <c r="I486" s="30" t="n">
        <v>30</v>
      </c>
      <c r="J486" s="33" t="n">
        <v>0.0666666666666667</v>
      </c>
      <c r="K486" s="34" t="n">
        <v>0.2128</v>
      </c>
      <c r="L486" s="34"/>
      <c r="M486" s="28" t="str">
        <f aca="false">IF(D486&gt;=200,"○","-")</f>
        <v>-</v>
      </c>
    </row>
    <row r="487" customFormat="false" ht="15" hidden="false" customHeight="false" outlineLevel="0" collapsed="false">
      <c r="A487" s="7" t="s">
        <v>26</v>
      </c>
      <c r="B487" s="7" t="s">
        <v>118</v>
      </c>
      <c r="C487" s="7" t="s">
        <v>647</v>
      </c>
      <c r="D487" s="8" t="n">
        <v>890</v>
      </c>
      <c r="E487" s="27" t="n">
        <v>5</v>
      </c>
      <c r="F487" s="9" t="n">
        <f aca="false">IF(D487=0,0,E487/D487)</f>
        <v>0.00561797752808989</v>
      </c>
      <c r="G487" s="27" t="n">
        <v>1</v>
      </c>
      <c r="H487" s="10" t="n">
        <f aca="false">IF(D487=0,0,G487/D487*1000)</f>
        <v>1.12359550561798</v>
      </c>
      <c r="I487" s="8" t="n">
        <v>56</v>
      </c>
      <c r="J487" s="25" t="n">
        <v>0</v>
      </c>
      <c r="K487" s="26" t="n">
        <v>0.8038</v>
      </c>
      <c r="L487" s="26" t="n">
        <v>0.04944</v>
      </c>
      <c r="M487" s="27" t="str">
        <f aca="false">IF(D487&gt;=200,"○","-")</f>
        <v>○</v>
      </c>
    </row>
    <row r="488" customFormat="false" ht="15" hidden="false" customHeight="false" outlineLevel="0" collapsed="false">
      <c r="A488" s="7" t="s">
        <v>26</v>
      </c>
      <c r="B488" s="7" t="s">
        <v>118</v>
      </c>
      <c r="C488" s="7" t="s">
        <v>648</v>
      </c>
      <c r="D488" s="8" t="n">
        <v>512</v>
      </c>
      <c r="E488" s="27" t="n">
        <v>2</v>
      </c>
      <c r="F488" s="9" t="n">
        <f aca="false">IF(D488=0,0,E488/D488)</f>
        <v>0.00390625</v>
      </c>
      <c r="G488" s="27" t="n">
        <v>0</v>
      </c>
      <c r="H488" s="10" t="n">
        <f aca="false">IF(D488=0,0,G488/D488*1000)</f>
        <v>0</v>
      </c>
      <c r="I488" s="8" t="n">
        <v>144</v>
      </c>
      <c r="J488" s="25" t="n">
        <v>0.0208333333333333</v>
      </c>
      <c r="K488" s="26" t="n">
        <v>0.3263</v>
      </c>
      <c r="L488" s="26" t="n">
        <v>0.1091</v>
      </c>
      <c r="M488" s="27" t="str">
        <f aca="false">IF(D488&gt;=200,"○","-")</f>
        <v>○</v>
      </c>
    </row>
    <row r="489" customFormat="false" ht="15" hidden="false" customHeight="false" outlineLevel="0" collapsed="false">
      <c r="A489" s="28" t="s">
        <v>26</v>
      </c>
      <c r="B489" s="28" t="s">
        <v>121</v>
      </c>
      <c r="C489" s="28" t="s">
        <v>649</v>
      </c>
      <c r="D489" s="30" t="n">
        <v>152</v>
      </c>
      <c r="E489" s="28" t="n">
        <v>0</v>
      </c>
      <c r="F489" s="31" t="n">
        <f aca="false">IF(D489=0,0,E489/D489)</f>
        <v>0</v>
      </c>
      <c r="G489" s="28" t="n">
        <v>0</v>
      </c>
      <c r="H489" s="32" t="n">
        <f aca="false">IF(D489=0,0,G489/D489*1000)</f>
        <v>0</v>
      </c>
      <c r="I489" s="30" t="n">
        <v>41</v>
      </c>
      <c r="J489" s="33" t="n">
        <v>0</v>
      </c>
      <c r="K489" s="34" t="n">
        <v>0.4963</v>
      </c>
      <c r="L489" s="34" t="n">
        <v>0.28332</v>
      </c>
      <c r="M489" s="28" t="str">
        <f aca="false">IF(D489&gt;=200,"○","-")</f>
        <v>-</v>
      </c>
    </row>
    <row r="490" customFormat="false" ht="15" hidden="false" customHeight="false" outlineLevel="0" collapsed="false">
      <c r="A490" s="7" t="s">
        <v>26</v>
      </c>
      <c r="B490" s="7" t="s">
        <v>121</v>
      </c>
      <c r="C490" s="7" t="s">
        <v>650</v>
      </c>
      <c r="D490" s="8" t="n">
        <v>966</v>
      </c>
      <c r="E490" s="27" t="n">
        <v>4</v>
      </c>
      <c r="F490" s="9" t="n">
        <f aca="false">IF(D490=0,0,E490/D490)</f>
        <v>0.0041407867494824</v>
      </c>
      <c r="G490" s="27" t="n">
        <v>0</v>
      </c>
      <c r="H490" s="10" t="n">
        <f aca="false">IF(D490=0,0,G490/D490*1000)</f>
        <v>0</v>
      </c>
      <c r="I490" s="8" t="n">
        <v>151</v>
      </c>
      <c r="J490" s="25" t="n">
        <v>0.00662251655629139</v>
      </c>
      <c r="K490" s="26" t="n">
        <v>0.3306</v>
      </c>
      <c r="L490" s="26" t="n">
        <v>0.079345</v>
      </c>
      <c r="M490" s="27" t="str">
        <f aca="false">IF(D490&gt;=200,"○","-")</f>
        <v>○</v>
      </c>
    </row>
    <row r="491" customFormat="false" ht="15" hidden="false" customHeight="false" outlineLevel="0" collapsed="false">
      <c r="A491" s="7" t="s">
        <v>26</v>
      </c>
      <c r="B491" s="7" t="s">
        <v>124</v>
      </c>
      <c r="C491" s="7" t="s">
        <v>651</v>
      </c>
      <c r="D491" s="8" t="n">
        <v>919</v>
      </c>
      <c r="E491" s="27" t="n">
        <v>6</v>
      </c>
      <c r="F491" s="9" t="n">
        <f aca="false">IF(D491=0,0,E491/D491)</f>
        <v>0.00652883569096844</v>
      </c>
      <c r="G491" s="27" t="n">
        <v>0</v>
      </c>
      <c r="H491" s="10" t="n">
        <f aca="false">IF(D491=0,0,G491/D491*1000)</f>
        <v>0</v>
      </c>
      <c r="I491" s="8" t="n">
        <v>10</v>
      </c>
      <c r="J491" s="25" t="n">
        <v>0</v>
      </c>
      <c r="K491" s="26" t="n">
        <v>0.3802</v>
      </c>
      <c r="L491" s="26" t="n">
        <v>0.08539</v>
      </c>
      <c r="M491" s="27" t="str">
        <f aca="false">IF(D491&gt;=200,"○","-")</f>
        <v>○</v>
      </c>
    </row>
    <row r="492" customFormat="false" ht="15" hidden="false" customHeight="false" outlineLevel="0" collapsed="false">
      <c r="A492" s="28" t="s">
        <v>26</v>
      </c>
      <c r="B492" s="28" t="s">
        <v>126</v>
      </c>
      <c r="C492" s="28" t="s">
        <v>652</v>
      </c>
      <c r="D492" s="30" t="n">
        <v>0</v>
      </c>
      <c r="E492" s="28" t="n">
        <v>0</v>
      </c>
      <c r="F492" s="31" t="n">
        <f aca="false">IF(D492=0,0,E492/D492)</f>
        <v>0</v>
      </c>
      <c r="G492" s="28" t="n">
        <v>0</v>
      </c>
      <c r="H492" s="32" t="n">
        <f aca="false">IF(D492=0,0,G492/D492*1000)</f>
        <v>0</v>
      </c>
      <c r="I492" s="30" t="n">
        <v>0</v>
      </c>
      <c r="J492" s="33" t="n">
        <v>0</v>
      </c>
      <c r="K492" s="34" t="n">
        <v>0</v>
      </c>
      <c r="L492" s="34"/>
      <c r="M492" s="28" t="str">
        <f aca="false">IF(D492&gt;=200,"○","-")</f>
        <v>-</v>
      </c>
    </row>
    <row r="493" customFormat="false" ht="15" hidden="false" customHeight="false" outlineLevel="0" collapsed="false">
      <c r="A493" s="28" t="s">
        <v>26</v>
      </c>
      <c r="B493" s="28" t="s">
        <v>129</v>
      </c>
      <c r="C493" s="29" t="s">
        <v>653</v>
      </c>
      <c r="D493" s="30" t="n">
        <v>0</v>
      </c>
      <c r="E493" s="28" t="n">
        <v>0</v>
      </c>
      <c r="F493" s="31" t="n">
        <f aca="false">IF(D493=0,0,E493/D493)</f>
        <v>0</v>
      </c>
      <c r="G493" s="28" t="n">
        <v>0</v>
      </c>
      <c r="H493" s="32" t="n">
        <f aca="false">IF(D493=0,0,G493/D493*1000)</f>
        <v>0</v>
      </c>
      <c r="I493" s="30" t="n">
        <v>0</v>
      </c>
      <c r="J493" s="33" t="n">
        <v>0</v>
      </c>
      <c r="K493" s="34" t="n">
        <v>0</v>
      </c>
      <c r="L493" s="34"/>
      <c r="M493" s="28" t="str">
        <f aca="false">IF(D493&gt;=200,"○","-")</f>
        <v>-</v>
      </c>
    </row>
  </sheetData>
  <autoFilter ref="A4:M49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4" min="3" style="0" width="46"/>
    <col collapsed="false" customWidth="true" hidden="false" outlineLevel="0" max="5" min="5" style="0" width="10"/>
    <col collapsed="false" customWidth="true" hidden="false" outlineLevel="0" max="6" min="6" style="0" width="34"/>
    <col collapsed="false" customWidth="true" hidden="false" outlineLevel="0" max="7" min="7" style="0" width="40"/>
  </cols>
  <sheetData>
    <row r="1" customFormat="false" ht="21.6" hidden="false" customHeight="false" outlineLevel="0" collapsed="false">
      <c r="A1" s="22" t="s">
        <v>654</v>
      </c>
    </row>
    <row r="2" customFormat="false" ht="15" hidden="false" customHeight="false" outlineLevel="0" collapsed="false">
      <c r="A2" s="2" t="s">
        <v>655</v>
      </c>
    </row>
    <row r="4" customFormat="false" ht="15" hidden="false" customHeight="false" outlineLevel="0" collapsed="false">
      <c r="A4" s="5" t="s">
        <v>656</v>
      </c>
      <c r="B4" s="6" t="s">
        <v>657</v>
      </c>
      <c r="C4" s="6" t="s">
        <v>658</v>
      </c>
      <c r="D4" s="6" t="s">
        <v>659</v>
      </c>
      <c r="E4" s="6" t="s">
        <v>660</v>
      </c>
      <c r="F4" s="6" t="s">
        <v>661</v>
      </c>
      <c r="G4" s="6" t="s">
        <v>662</v>
      </c>
    </row>
    <row r="5" customFormat="false" ht="45.75" hidden="false" customHeight="true" outlineLevel="0" collapsed="false">
      <c r="A5" s="12" t="n">
        <v>1</v>
      </c>
      <c r="B5" s="12" t="s">
        <v>663</v>
      </c>
      <c r="C5" s="12" t="s">
        <v>664</v>
      </c>
      <c r="D5" s="13" t="s">
        <v>665</v>
      </c>
      <c r="E5" s="35" t="s">
        <v>666</v>
      </c>
      <c r="F5" s="13" t="s">
        <v>667</v>
      </c>
      <c r="G5" s="13" t="s">
        <v>668</v>
      </c>
    </row>
    <row r="6" customFormat="false" ht="45.75" hidden="false" customHeight="true" outlineLevel="0" collapsed="false">
      <c r="A6" s="12" t="n">
        <v>2</v>
      </c>
      <c r="B6" s="12" t="s">
        <v>663</v>
      </c>
      <c r="C6" s="13" t="s">
        <v>669</v>
      </c>
      <c r="D6" s="13" t="s">
        <v>670</v>
      </c>
      <c r="E6" s="35" t="s">
        <v>666</v>
      </c>
      <c r="F6" s="13" t="s">
        <v>671</v>
      </c>
      <c r="G6" s="13" t="s">
        <v>672</v>
      </c>
    </row>
    <row r="7" customFormat="false" ht="45.75" hidden="false" customHeight="true" outlineLevel="0" collapsed="false">
      <c r="A7" s="12" t="n">
        <v>3</v>
      </c>
      <c r="B7" s="12" t="s">
        <v>663</v>
      </c>
      <c r="C7" s="13" t="s">
        <v>673</v>
      </c>
      <c r="D7" s="13" t="s">
        <v>674</v>
      </c>
      <c r="E7" s="35" t="s">
        <v>666</v>
      </c>
      <c r="F7" s="13" t="s">
        <v>675</v>
      </c>
      <c r="G7" s="13" t="s">
        <v>676</v>
      </c>
    </row>
    <row r="8" customFormat="false" ht="45.75" hidden="false" customHeight="true" outlineLevel="0" collapsed="false">
      <c r="A8" s="12" t="n">
        <v>4</v>
      </c>
      <c r="B8" s="13" t="s">
        <v>26</v>
      </c>
      <c r="C8" s="13" t="s">
        <v>677</v>
      </c>
      <c r="D8" s="12" t="s">
        <v>678</v>
      </c>
      <c r="E8" s="35" t="s">
        <v>666</v>
      </c>
      <c r="F8" s="13" t="s">
        <v>679</v>
      </c>
      <c r="G8" s="13" t="s">
        <v>680</v>
      </c>
    </row>
    <row r="9" customFormat="false" ht="45.75" hidden="false" customHeight="true" outlineLevel="0" collapsed="false">
      <c r="A9" s="12" t="n">
        <v>5</v>
      </c>
      <c r="B9" s="13" t="s">
        <v>28</v>
      </c>
      <c r="C9" s="12" t="s">
        <v>681</v>
      </c>
      <c r="D9" s="13" t="s">
        <v>682</v>
      </c>
      <c r="E9" s="35" t="s">
        <v>666</v>
      </c>
      <c r="F9" s="13" t="s">
        <v>683</v>
      </c>
      <c r="G9" s="13" t="s">
        <v>684</v>
      </c>
    </row>
    <row r="10" customFormat="false" ht="45.75" hidden="false" customHeight="true" outlineLevel="0" collapsed="false">
      <c r="A10" s="12" t="n">
        <v>6</v>
      </c>
      <c r="B10" s="12" t="s">
        <v>663</v>
      </c>
      <c r="C10" s="12" t="s">
        <v>685</v>
      </c>
      <c r="D10" s="12" t="s">
        <v>686</v>
      </c>
      <c r="E10" s="35" t="s">
        <v>666</v>
      </c>
      <c r="F10" s="13" t="s">
        <v>687</v>
      </c>
      <c r="G10" s="13" t="s">
        <v>688</v>
      </c>
    </row>
    <row r="11" customFormat="false" ht="45.75" hidden="false" customHeight="true" outlineLevel="0" collapsed="false">
      <c r="A11" s="12" t="n">
        <v>7</v>
      </c>
      <c r="B11" s="13" t="s">
        <v>22</v>
      </c>
      <c r="C11" s="12" t="s">
        <v>689</v>
      </c>
      <c r="D11" s="13" t="s">
        <v>690</v>
      </c>
      <c r="E11" s="35" t="s">
        <v>666</v>
      </c>
      <c r="F11" s="13" t="s">
        <v>691</v>
      </c>
      <c r="G11" s="12" t="s">
        <v>692</v>
      </c>
    </row>
    <row r="12" customFormat="false" ht="45.75" hidden="false" customHeight="true" outlineLevel="0" collapsed="false">
      <c r="A12" s="12" t="n">
        <v>8</v>
      </c>
      <c r="B12" s="13" t="s">
        <v>28</v>
      </c>
      <c r="C12" s="13" t="s">
        <v>693</v>
      </c>
      <c r="D12" s="13" t="s">
        <v>694</v>
      </c>
      <c r="E12" s="35" t="s">
        <v>666</v>
      </c>
      <c r="F12" s="13" t="s">
        <v>695</v>
      </c>
      <c r="G12" s="13" t="s">
        <v>696</v>
      </c>
    </row>
    <row r="13" customFormat="false" ht="45.75" hidden="false" customHeight="true" outlineLevel="0" collapsed="false">
      <c r="A13" s="12" t="n">
        <v>9</v>
      </c>
      <c r="B13" s="12" t="s">
        <v>663</v>
      </c>
      <c r="C13" s="12" t="s">
        <v>697</v>
      </c>
      <c r="D13" s="13" t="s">
        <v>698</v>
      </c>
      <c r="E13" s="35" t="s">
        <v>666</v>
      </c>
      <c r="F13" s="13" t="s">
        <v>699</v>
      </c>
      <c r="G13" s="12" t="s">
        <v>700</v>
      </c>
    </row>
    <row r="14" customFormat="false" ht="45.75" hidden="false" customHeight="true" outlineLevel="0" collapsed="false">
      <c r="A14" s="12" t="n">
        <v>10</v>
      </c>
      <c r="B14" s="13" t="s">
        <v>28</v>
      </c>
      <c r="C14" s="13" t="s">
        <v>701</v>
      </c>
      <c r="D14" s="12" t="s">
        <v>702</v>
      </c>
      <c r="E14" s="36" t="s">
        <v>703</v>
      </c>
      <c r="F14" s="12" t="s">
        <v>704</v>
      </c>
      <c r="G14" s="13" t="s">
        <v>705</v>
      </c>
    </row>
    <row r="15" customFormat="false" ht="45.75" hidden="false" customHeight="true" outlineLevel="0" collapsed="false">
      <c r="A15" s="12" t="n">
        <v>11</v>
      </c>
      <c r="B15" s="12" t="s">
        <v>663</v>
      </c>
      <c r="C15" s="13" t="s">
        <v>706</v>
      </c>
      <c r="D15" s="12" t="s">
        <v>707</v>
      </c>
      <c r="E15" s="37" t="s">
        <v>708</v>
      </c>
      <c r="F15" s="12" t="s">
        <v>709</v>
      </c>
      <c r="G15" s="13" t="s">
        <v>710</v>
      </c>
    </row>
    <row r="16" customFormat="false" ht="45.75" hidden="false" customHeight="true" outlineLevel="0" collapsed="false">
      <c r="A16" s="12" t="n">
        <v>12</v>
      </c>
      <c r="B16" s="13" t="s">
        <v>711</v>
      </c>
      <c r="C16" s="12" t="s">
        <v>712</v>
      </c>
      <c r="D16" s="12" t="s">
        <v>713</v>
      </c>
      <c r="E16" s="37" t="s">
        <v>708</v>
      </c>
      <c r="F16" s="12" t="s">
        <v>714</v>
      </c>
      <c r="G16" s="13" t="s">
        <v>715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7" topLeftCell="A28"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13"/>
    <col collapsed="false" customWidth="true" hidden="false" outlineLevel="0" max="4" min="4" style="0" width="15"/>
    <col collapsed="false" customWidth="true" hidden="false" outlineLevel="0" max="6" min="5" style="0" width="12"/>
  </cols>
  <sheetData>
    <row r="1" customFormat="false" ht="17.35" hidden="false" customHeight="false" outlineLevel="0" collapsed="false">
      <c r="A1" s="22" t="s">
        <v>716</v>
      </c>
    </row>
    <row r="2" customFormat="false" ht="15" hidden="false" customHeight="false" outlineLevel="0" collapsed="false">
      <c r="A2" s="2" t="s">
        <v>717</v>
      </c>
    </row>
    <row r="4" customFormat="false" ht="15" hidden="false" customHeight="false" outlineLevel="0" collapsed="false">
      <c r="A4" s="3" t="s">
        <v>718</v>
      </c>
    </row>
    <row r="5" customFormat="false" ht="29.85" hidden="false" customHeight="false" outlineLevel="0" collapsed="false">
      <c r="A5" s="6" t="s">
        <v>719</v>
      </c>
      <c r="B5" s="6" t="s">
        <v>33</v>
      </c>
      <c r="C5" s="6" t="s">
        <v>34</v>
      </c>
      <c r="D5" s="6" t="s">
        <v>13</v>
      </c>
      <c r="E5" s="6" t="s">
        <v>15</v>
      </c>
    </row>
    <row r="6" customFormat="false" ht="15" hidden="false" customHeight="false" outlineLevel="0" collapsed="false">
      <c r="A6" s="27" t="s">
        <v>720</v>
      </c>
      <c r="B6" s="27" t="n">
        <v>133</v>
      </c>
      <c r="C6" s="27"/>
      <c r="D6" s="9" t="n">
        <v>0.00477</v>
      </c>
      <c r="E6" s="10" t="n">
        <v>0.52</v>
      </c>
    </row>
    <row r="7" customFormat="false" ht="15" hidden="false" customHeight="false" outlineLevel="0" collapsed="false">
      <c r="A7" s="7" t="s">
        <v>721</v>
      </c>
      <c r="B7" s="27" t="n">
        <v>34</v>
      </c>
      <c r="C7" s="27"/>
      <c r="D7" s="9" t="n">
        <v>0.00413</v>
      </c>
      <c r="E7" s="10" t="n">
        <v>0.54</v>
      </c>
    </row>
    <row r="8" customFormat="false" ht="15" hidden="false" customHeight="false" outlineLevel="0" collapsed="false">
      <c r="A8" s="7" t="s">
        <v>722</v>
      </c>
      <c r="B8" s="27" t="n">
        <v>30</v>
      </c>
      <c r="C8" s="27"/>
      <c r="D8" s="9" t="n">
        <v>0.00336</v>
      </c>
      <c r="E8" s="10" t="n">
        <v>0.31</v>
      </c>
    </row>
    <row r="9" customFormat="false" ht="15" hidden="false" customHeight="false" outlineLevel="0" collapsed="false">
      <c r="A9" s="7" t="s">
        <v>723</v>
      </c>
      <c r="B9" s="27" t="n">
        <v>26</v>
      </c>
      <c r="C9" s="27"/>
      <c r="D9" s="38" t="n">
        <v>0.0027</v>
      </c>
      <c r="E9" s="10" t="n">
        <v>0.33</v>
      </c>
    </row>
    <row r="10" customFormat="false" ht="15" hidden="false" customHeight="false" outlineLevel="0" collapsed="false">
      <c r="A10" s="7" t="s">
        <v>724</v>
      </c>
      <c r="B10" s="27" t="n">
        <v>26</v>
      </c>
      <c r="C10" s="27"/>
      <c r="D10" s="9" t="n">
        <v>0.00317</v>
      </c>
      <c r="E10" s="10" t="n">
        <v>0.24</v>
      </c>
    </row>
    <row r="11" customFormat="false" ht="15" hidden="false" customHeight="false" outlineLevel="0" collapsed="false">
      <c r="A11" s="7" t="s">
        <v>725</v>
      </c>
      <c r="B11" s="27" t="n">
        <v>30</v>
      </c>
      <c r="C11" s="27"/>
      <c r="D11" s="9" t="n">
        <v>0.00369</v>
      </c>
      <c r="E11" s="10" t="n">
        <v>0.27</v>
      </c>
    </row>
    <row r="12" customFormat="false" ht="15" hidden="false" customHeight="false" outlineLevel="0" collapsed="false">
      <c r="A12" s="7" t="s">
        <v>726</v>
      </c>
      <c r="B12" s="27" t="n">
        <v>32</v>
      </c>
      <c r="C12" s="27"/>
      <c r="D12" s="39" t="n">
        <v>0.00436</v>
      </c>
      <c r="E12" s="10" t="n">
        <v>0.46</v>
      </c>
    </row>
    <row r="14" customFormat="false" ht="15" hidden="false" customHeight="false" outlineLevel="0" collapsed="false">
      <c r="A14" s="40" t="s">
        <v>727</v>
      </c>
    </row>
    <row r="16" customFormat="false" ht="15" hidden="false" customHeight="false" outlineLevel="0" collapsed="false">
      <c r="A16" s="23" t="s">
        <v>728</v>
      </c>
    </row>
    <row r="17" customFormat="false" ht="15" hidden="false" customHeight="false" outlineLevel="0" collapsed="false">
      <c r="A17" s="5" t="s">
        <v>10</v>
      </c>
      <c r="B17" s="6" t="s">
        <v>33</v>
      </c>
      <c r="C17" s="6" t="s">
        <v>729</v>
      </c>
      <c r="D17" s="6" t="s">
        <v>730</v>
      </c>
      <c r="E17" s="6" t="s">
        <v>731</v>
      </c>
    </row>
    <row r="18" customFormat="false" ht="15" hidden="false" customHeight="false" outlineLevel="0" collapsed="false">
      <c r="A18" s="7" t="s">
        <v>22</v>
      </c>
      <c r="B18" s="27" t="n">
        <v>4</v>
      </c>
      <c r="C18" s="24" t="n">
        <f aca="false">IF($B18=0,0,3/$B18)</f>
        <v>0.75</v>
      </c>
      <c r="D18" s="24" t="n">
        <f aca="false">IF($B18=0,0,1/$B18)</f>
        <v>0.25</v>
      </c>
      <c r="E18" s="24" t="n">
        <f aca="false">IF($B18=0,0,1/$B18)</f>
        <v>0.25</v>
      </c>
    </row>
    <row r="19" customFormat="false" ht="15" hidden="false" customHeight="false" outlineLevel="0" collapsed="false">
      <c r="A19" s="7" t="s">
        <v>28</v>
      </c>
      <c r="B19" s="27" t="n">
        <v>4</v>
      </c>
      <c r="C19" s="24" t="n">
        <f aca="false">IF($B19=0,0,0/$B19)</f>
        <v>0</v>
      </c>
      <c r="D19" s="24" t="n">
        <f aca="false">IF($B19=0,0,0/$B19)</f>
        <v>0</v>
      </c>
      <c r="E19" s="41" t="n">
        <f aca="false">IF($B19=0,0,0/$B19)</f>
        <v>0</v>
      </c>
    </row>
    <row r="20" customFormat="false" ht="15" hidden="false" customHeight="false" outlineLevel="0" collapsed="false">
      <c r="A20" s="7" t="s">
        <v>18</v>
      </c>
      <c r="B20" s="27" t="n">
        <v>4</v>
      </c>
      <c r="C20" s="24" t="n">
        <f aca="false">IF($B20=0,0,3/$B20)</f>
        <v>0.75</v>
      </c>
      <c r="D20" s="24" t="n">
        <f aca="false">IF($B20=0,0,0/$B20)</f>
        <v>0</v>
      </c>
      <c r="E20" s="41" t="n">
        <f aca="false">IF($B20=0,0,0/$B20)</f>
        <v>0</v>
      </c>
    </row>
    <row r="21" customFormat="false" ht="15" hidden="false" customHeight="false" outlineLevel="0" collapsed="false">
      <c r="A21" s="7" t="s">
        <v>24</v>
      </c>
      <c r="B21" s="27" t="n">
        <v>4</v>
      </c>
      <c r="C21" s="24" t="n">
        <f aca="false">IF($B21=0,0,3/$B21)</f>
        <v>0.75</v>
      </c>
      <c r="D21" s="24" t="n">
        <f aca="false">IF($B21=0,0,1/$B21)</f>
        <v>0.25</v>
      </c>
      <c r="E21" s="24" t="n">
        <f aca="false">IF($B21=0,0,1/$B21)</f>
        <v>0.25</v>
      </c>
    </row>
    <row r="22" customFormat="false" ht="15" hidden="false" customHeight="false" outlineLevel="0" collapsed="false">
      <c r="A22" s="7" t="s">
        <v>20</v>
      </c>
      <c r="B22" s="27" t="n">
        <v>7</v>
      </c>
      <c r="C22" s="24" t="n">
        <f aca="false">IF($B22=0,0,5/$B22)</f>
        <v>0.714285714285714</v>
      </c>
      <c r="D22" s="24" t="n">
        <f aca="false">IF($B22=0,0,5/$B22)</f>
        <v>0.714285714285714</v>
      </c>
      <c r="E22" s="24" t="n">
        <f aca="false">IF($B22=0,0,4/$B22)</f>
        <v>0.571428571428571</v>
      </c>
    </row>
    <row r="23" customFormat="false" ht="15" hidden="false" customHeight="false" outlineLevel="0" collapsed="false">
      <c r="A23" s="7" t="s">
        <v>26</v>
      </c>
      <c r="B23" s="27" t="n">
        <v>3</v>
      </c>
      <c r="C23" s="24" t="n">
        <f aca="false">IF($B23=0,0,1/$B23)</f>
        <v>0.333333333333333</v>
      </c>
      <c r="D23" s="24" t="n">
        <f aca="false">IF($B23=0,0,0/$B23)</f>
        <v>0</v>
      </c>
      <c r="E23" s="41" t="n">
        <f aca="false">IF($B23=0,0,0/$B23)</f>
        <v>0</v>
      </c>
    </row>
    <row r="26" customFormat="false" ht="15" hidden="false" customHeight="false" outlineLevel="0" collapsed="false">
      <c r="A26" s="3" t="s">
        <v>732</v>
      </c>
    </row>
    <row r="27" customFormat="false" ht="15" hidden="false" customHeight="false" outlineLevel="0" collapsed="false">
      <c r="A27" s="6" t="s">
        <v>733</v>
      </c>
      <c r="B27" s="6" t="s">
        <v>734</v>
      </c>
      <c r="C27" s="6" t="s">
        <v>735</v>
      </c>
      <c r="D27" s="6" t="s">
        <v>34</v>
      </c>
      <c r="E27" s="6" t="s">
        <v>736</v>
      </c>
      <c r="F27" s="6" t="s">
        <v>737</v>
      </c>
    </row>
    <row r="28" customFormat="false" ht="15" hidden="false" customHeight="false" outlineLevel="0" collapsed="false">
      <c r="A28" s="7" t="s">
        <v>22</v>
      </c>
      <c r="B28" s="7" t="s">
        <v>738</v>
      </c>
      <c r="C28" s="8" t="n">
        <v>412000</v>
      </c>
      <c r="D28" s="8" t="n">
        <v>296233</v>
      </c>
      <c r="E28" s="42" t="n">
        <v>15.07</v>
      </c>
      <c r="F28" s="7" t="s">
        <v>126</v>
      </c>
    </row>
    <row r="29" customFormat="false" ht="15" hidden="false" customHeight="false" outlineLevel="0" collapsed="false">
      <c r="A29" s="7" t="s">
        <v>22</v>
      </c>
      <c r="B29" s="7" t="s">
        <v>739</v>
      </c>
      <c r="C29" s="8" t="n">
        <v>224000</v>
      </c>
      <c r="D29" s="8" t="n">
        <v>111944</v>
      </c>
      <c r="E29" s="42" t="n">
        <v>3.18</v>
      </c>
      <c r="F29" s="7" t="s">
        <v>126</v>
      </c>
    </row>
    <row r="30" customFormat="false" ht="15" hidden="false" customHeight="false" outlineLevel="0" collapsed="false">
      <c r="A30" s="7" t="s">
        <v>22</v>
      </c>
      <c r="B30" s="7" t="s">
        <v>740</v>
      </c>
      <c r="C30" s="8" t="n">
        <v>102000</v>
      </c>
      <c r="D30" s="8" t="n">
        <v>4875</v>
      </c>
      <c r="E30" s="42" t="n">
        <v>0.52</v>
      </c>
      <c r="F30" s="7" t="s">
        <v>126</v>
      </c>
    </row>
    <row r="31" customFormat="false" ht="15" hidden="false" customHeight="false" outlineLevel="0" collapsed="false">
      <c r="A31" s="7" t="s">
        <v>22</v>
      </c>
      <c r="B31" s="7" t="s">
        <v>741</v>
      </c>
      <c r="C31" s="8" t="n">
        <v>42000</v>
      </c>
      <c r="D31" s="8" t="n">
        <v>13954</v>
      </c>
      <c r="E31" s="42" t="n">
        <v>0.88</v>
      </c>
      <c r="F31" s="7" t="s">
        <v>126</v>
      </c>
    </row>
    <row r="32" customFormat="false" ht="15" hidden="false" customHeight="false" outlineLevel="0" collapsed="false">
      <c r="A32" s="7" t="s">
        <v>22</v>
      </c>
      <c r="B32" s="27" t="s">
        <v>742</v>
      </c>
      <c r="C32" s="8" t="n">
        <v>23800</v>
      </c>
      <c r="D32" s="8" t="n">
        <v>4315</v>
      </c>
      <c r="E32" s="42" t="n">
        <v>1.28</v>
      </c>
      <c r="F32" s="7" t="s">
        <v>126</v>
      </c>
    </row>
    <row r="33" customFormat="false" ht="15" hidden="false" customHeight="false" outlineLevel="0" collapsed="false">
      <c r="A33" s="7" t="s">
        <v>22</v>
      </c>
      <c r="B33" s="27" t="s">
        <v>743</v>
      </c>
      <c r="C33" s="8" t="n">
        <v>20700</v>
      </c>
      <c r="D33" s="8" t="n">
        <v>148822</v>
      </c>
      <c r="E33" s="42" t="n">
        <v>0.8</v>
      </c>
      <c r="F33" s="7" t="s">
        <v>126</v>
      </c>
    </row>
    <row r="34" customFormat="false" ht="15" hidden="false" customHeight="false" outlineLevel="0" collapsed="false">
      <c r="A34" s="7" t="s">
        <v>22</v>
      </c>
      <c r="B34" s="7" t="s">
        <v>744</v>
      </c>
      <c r="C34" s="8" t="n">
        <v>13400</v>
      </c>
      <c r="D34" s="8" t="n">
        <v>25517</v>
      </c>
      <c r="E34" s="42" t="n">
        <v>3.33</v>
      </c>
      <c r="F34" s="7" t="s">
        <v>126</v>
      </c>
    </row>
    <row r="35" customFormat="false" ht="15" hidden="false" customHeight="false" outlineLevel="0" collapsed="false">
      <c r="A35" s="7" t="s">
        <v>22</v>
      </c>
      <c r="B35" s="27" t="s">
        <v>745</v>
      </c>
      <c r="C35" s="8" t="n">
        <v>4780</v>
      </c>
      <c r="D35" s="8" t="n">
        <v>21681</v>
      </c>
      <c r="E35" s="42" t="n">
        <v>2.5</v>
      </c>
      <c r="F35" s="7" t="s">
        <v>126</v>
      </c>
    </row>
    <row r="36" customFormat="false" ht="15" hidden="false" customHeight="false" outlineLevel="0" collapsed="false">
      <c r="A36" s="7" t="s">
        <v>746</v>
      </c>
      <c r="B36" s="27" t="s">
        <v>747</v>
      </c>
      <c r="C36" s="8" t="n">
        <v>797000</v>
      </c>
      <c r="D36" s="8" t="n">
        <v>59287</v>
      </c>
      <c r="E36" s="42" t="n">
        <v>1.69</v>
      </c>
      <c r="F36" s="7" t="s">
        <v>126</v>
      </c>
    </row>
    <row r="37" customFormat="false" ht="15" hidden="false" customHeight="false" outlineLevel="0" collapsed="false">
      <c r="A37" s="7" t="s">
        <v>746</v>
      </c>
      <c r="B37" s="27" t="s">
        <v>748</v>
      </c>
      <c r="C37" s="8" t="n">
        <v>366000</v>
      </c>
      <c r="D37" s="8" t="n">
        <v>157753</v>
      </c>
      <c r="E37" s="42" t="n">
        <v>2.37</v>
      </c>
      <c r="F37" s="7" t="s">
        <v>126</v>
      </c>
    </row>
    <row r="38" customFormat="false" ht="15" hidden="false" customHeight="false" outlineLevel="0" collapsed="false">
      <c r="A38" s="7" t="s">
        <v>746</v>
      </c>
      <c r="B38" s="27" t="s">
        <v>749</v>
      </c>
      <c r="C38" s="8" t="n">
        <v>268000</v>
      </c>
      <c r="D38" s="8" t="n">
        <v>78397</v>
      </c>
      <c r="E38" s="42" t="n">
        <v>0.94</v>
      </c>
      <c r="F38" s="7" t="s">
        <v>126</v>
      </c>
    </row>
    <row r="39" customFormat="false" ht="15" hidden="false" customHeight="false" outlineLevel="0" collapsed="false">
      <c r="A39" s="7" t="s">
        <v>746</v>
      </c>
      <c r="B39" s="27" t="s">
        <v>750</v>
      </c>
      <c r="C39" s="8" t="n">
        <v>196000</v>
      </c>
      <c r="D39" s="8" t="n">
        <v>91601</v>
      </c>
      <c r="E39" s="42" t="n">
        <v>1.66</v>
      </c>
      <c r="F39" s="7" t="s">
        <v>126</v>
      </c>
    </row>
    <row r="40" customFormat="false" ht="15" hidden="false" customHeight="false" outlineLevel="0" collapsed="false">
      <c r="A40" s="7" t="s">
        <v>746</v>
      </c>
      <c r="B40" s="27" t="s">
        <v>751</v>
      </c>
      <c r="C40" s="8" t="n">
        <v>142000</v>
      </c>
      <c r="D40" s="8" t="n">
        <v>39437</v>
      </c>
      <c r="E40" s="42" t="n">
        <v>2.64</v>
      </c>
      <c r="F40" s="7" t="s">
        <v>126</v>
      </c>
    </row>
    <row r="41" customFormat="false" ht="15" hidden="false" customHeight="false" outlineLevel="0" collapsed="false">
      <c r="A41" s="7" t="s">
        <v>746</v>
      </c>
      <c r="B41" s="27" t="s">
        <v>752</v>
      </c>
      <c r="C41" s="8" t="n">
        <v>87900</v>
      </c>
      <c r="D41" s="8" t="n">
        <v>22646</v>
      </c>
      <c r="E41" s="42" t="n">
        <v>5</v>
      </c>
      <c r="F41" s="7" t="s">
        <v>126</v>
      </c>
    </row>
    <row r="42" customFormat="false" ht="15" hidden="false" customHeight="false" outlineLevel="0" collapsed="false">
      <c r="A42" s="7" t="s">
        <v>746</v>
      </c>
      <c r="B42" s="27" t="s">
        <v>753</v>
      </c>
      <c r="C42" s="8" t="n">
        <v>6010</v>
      </c>
      <c r="D42" s="8" t="n">
        <v>1194</v>
      </c>
      <c r="E42" s="42" t="n">
        <v>7.37</v>
      </c>
      <c r="F42" s="7" t="s">
        <v>126</v>
      </c>
    </row>
    <row r="43" customFormat="false" ht="15" hidden="false" customHeight="false" outlineLevel="0" collapsed="false">
      <c r="A43" s="7" t="s">
        <v>28</v>
      </c>
      <c r="B43" s="27" t="s">
        <v>754</v>
      </c>
      <c r="C43" s="8" t="n">
        <v>425000</v>
      </c>
      <c r="D43" s="8" t="n">
        <v>88195</v>
      </c>
      <c r="E43" s="42" t="n">
        <v>1.67</v>
      </c>
      <c r="F43" s="7" t="s">
        <v>126</v>
      </c>
    </row>
    <row r="44" customFormat="false" ht="15" hidden="false" customHeight="false" outlineLevel="0" collapsed="false">
      <c r="A44" s="7" t="s">
        <v>28</v>
      </c>
      <c r="B44" s="27" t="s">
        <v>755</v>
      </c>
      <c r="C44" s="8" t="n">
        <v>86900</v>
      </c>
      <c r="D44" s="8" t="n">
        <v>25963</v>
      </c>
      <c r="E44" s="42" t="n">
        <v>0.34</v>
      </c>
      <c r="F44" s="7" t="s">
        <v>126</v>
      </c>
    </row>
    <row r="45" customFormat="false" ht="15" hidden="false" customHeight="false" outlineLevel="0" collapsed="false">
      <c r="A45" s="7" t="s">
        <v>28</v>
      </c>
      <c r="B45" s="27" t="s">
        <v>756</v>
      </c>
      <c r="C45" s="8" t="n">
        <v>37900</v>
      </c>
      <c r="D45" s="8" t="n">
        <v>7116</v>
      </c>
      <c r="E45" s="42" t="n">
        <v>1.79</v>
      </c>
      <c r="F45" s="7" t="s">
        <v>126</v>
      </c>
    </row>
    <row r="46" customFormat="false" ht="15" hidden="false" customHeight="false" outlineLevel="0" collapsed="false">
      <c r="A46" s="7" t="s">
        <v>28</v>
      </c>
      <c r="B46" s="27" t="s">
        <v>757</v>
      </c>
      <c r="C46" s="8" t="n">
        <v>8790</v>
      </c>
      <c r="D46" s="8" t="n">
        <v>12652</v>
      </c>
      <c r="E46" s="42" t="n">
        <v>0.17</v>
      </c>
      <c r="F46" s="7" t="s">
        <v>126</v>
      </c>
    </row>
    <row r="47" customFormat="false" ht="15" hidden="false" customHeight="false" outlineLevel="0" collapsed="false">
      <c r="A47" s="7" t="s">
        <v>28</v>
      </c>
      <c r="B47" s="27" t="s">
        <v>758</v>
      </c>
      <c r="C47" s="8" t="n">
        <v>8110</v>
      </c>
      <c r="D47" s="8" t="n">
        <v>46346</v>
      </c>
      <c r="E47" s="42" t="n">
        <v>0.23</v>
      </c>
      <c r="F47" s="7" t="s">
        <v>126</v>
      </c>
    </row>
    <row r="48" customFormat="false" ht="15" hidden="false" customHeight="false" outlineLevel="0" collapsed="false">
      <c r="A48" s="7" t="s">
        <v>28</v>
      </c>
      <c r="B48" s="27" t="s">
        <v>759</v>
      </c>
      <c r="C48" s="8" t="n">
        <v>676</v>
      </c>
      <c r="D48" s="8" t="n">
        <v>711</v>
      </c>
      <c r="E48" s="42" t="n">
        <v>1.82</v>
      </c>
      <c r="F48" s="7" t="s">
        <v>126</v>
      </c>
    </row>
    <row r="49" customFormat="false" ht="15" hidden="false" customHeight="false" outlineLevel="0" collapsed="false">
      <c r="A49" s="7" t="s">
        <v>28</v>
      </c>
      <c r="B49" s="27" t="s">
        <v>760</v>
      </c>
      <c r="C49" s="8" t="n">
        <v>375</v>
      </c>
      <c r="D49" s="8" t="n">
        <v>994</v>
      </c>
      <c r="E49" s="42" t="n">
        <v>1.32</v>
      </c>
      <c r="F49" s="7" t="s">
        <v>126</v>
      </c>
    </row>
    <row r="50" customFormat="false" ht="15" hidden="false" customHeight="false" outlineLevel="0" collapsed="false">
      <c r="A50" s="7" t="s">
        <v>18</v>
      </c>
      <c r="B50" s="7" t="s">
        <v>761</v>
      </c>
      <c r="C50" s="8" t="n">
        <v>2620000</v>
      </c>
      <c r="D50" s="8" t="n">
        <v>263551</v>
      </c>
      <c r="E50" s="42" t="n">
        <v>3.69</v>
      </c>
      <c r="F50" s="7" t="s">
        <v>126</v>
      </c>
    </row>
    <row r="51" customFormat="false" ht="15" hidden="false" customHeight="false" outlineLevel="0" collapsed="false">
      <c r="A51" s="7" t="s">
        <v>18</v>
      </c>
      <c r="B51" s="27" t="s">
        <v>762</v>
      </c>
      <c r="C51" s="8" t="n">
        <v>666000</v>
      </c>
      <c r="D51" s="8" t="n">
        <v>957109</v>
      </c>
      <c r="E51" s="42" t="n">
        <v>0.13</v>
      </c>
      <c r="F51" s="7" t="s">
        <v>126</v>
      </c>
    </row>
    <row r="52" customFormat="false" ht="15" hidden="false" customHeight="false" outlineLevel="0" collapsed="false">
      <c r="A52" s="7" t="s">
        <v>18</v>
      </c>
      <c r="B52" s="27" t="s">
        <v>763</v>
      </c>
      <c r="C52" s="8" t="n">
        <v>499000</v>
      </c>
      <c r="D52" s="8" t="n">
        <v>414687</v>
      </c>
      <c r="E52" s="42" t="n">
        <v>0.27</v>
      </c>
      <c r="F52" s="7" t="s">
        <v>126</v>
      </c>
    </row>
    <row r="53" customFormat="false" ht="15" hidden="false" customHeight="false" outlineLevel="0" collapsed="false">
      <c r="A53" s="7" t="s">
        <v>18</v>
      </c>
      <c r="B53" s="27" t="s">
        <v>764</v>
      </c>
      <c r="C53" s="8" t="n">
        <v>456000</v>
      </c>
      <c r="D53" s="8" t="n">
        <v>166701</v>
      </c>
      <c r="E53" s="42" t="n">
        <v>0.48</v>
      </c>
      <c r="F53" s="7" t="s">
        <v>126</v>
      </c>
    </row>
    <row r="54" customFormat="false" ht="15" hidden="false" customHeight="false" outlineLevel="0" collapsed="false">
      <c r="A54" s="7" t="s">
        <v>18</v>
      </c>
      <c r="B54" s="27" t="s">
        <v>765</v>
      </c>
      <c r="C54" s="8" t="n">
        <v>234000</v>
      </c>
      <c r="D54" s="8" t="n">
        <v>365798</v>
      </c>
      <c r="E54" s="42" t="n">
        <v>7</v>
      </c>
      <c r="F54" s="7" t="s">
        <v>126</v>
      </c>
    </row>
    <row r="55" customFormat="false" ht="15" hidden="false" customHeight="false" outlineLevel="0" collapsed="false">
      <c r="A55" s="7" t="s">
        <v>18</v>
      </c>
      <c r="B55" s="27" t="s">
        <v>766</v>
      </c>
      <c r="C55" s="8" t="n">
        <v>229000</v>
      </c>
      <c r="D55" s="8" t="n">
        <v>35897</v>
      </c>
      <c r="E55" s="42" t="n">
        <v>3.68</v>
      </c>
      <c r="F55" s="7" t="s">
        <v>126</v>
      </c>
    </row>
    <row r="56" customFormat="false" ht="15" hidden="false" customHeight="false" outlineLevel="0" collapsed="false">
      <c r="A56" s="7" t="s">
        <v>18</v>
      </c>
      <c r="B56" s="27" t="s">
        <v>767</v>
      </c>
      <c r="C56" s="8" t="n">
        <v>183000</v>
      </c>
      <c r="D56" s="8" t="n">
        <v>27273</v>
      </c>
      <c r="E56" s="42" t="n">
        <v>2.22</v>
      </c>
      <c r="F56" s="7" t="s">
        <v>126</v>
      </c>
    </row>
    <row r="57" customFormat="false" ht="15" hidden="false" customHeight="false" outlineLevel="0" collapsed="false">
      <c r="A57" s="7" t="s">
        <v>18</v>
      </c>
      <c r="B57" s="27" t="s">
        <v>768</v>
      </c>
      <c r="C57" s="8" t="n">
        <v>136000</v>
      </c>
      <c r="D57" s="8" t="n">
        <v>103176</v>
      </c>
      <c r="E57" s="42" t="n">
        <v>0.27</v>
      </c>
      <c r="F57" s="7" t="s">
        <v>126</v>
      </c>
    </row>
    <row r="58" customFormat="false" ht="15" hidden="false" customHeight="false" outlineLevel="0" collapsed="false">
      <c r="A58" s="7" t="s">
        <v>18</v>
      </c>
      <c r="B58" s="27" t="s">
        <v>769</v>
      </c>
      <c r="C58" s="8" t="n">
        <v>124000</v>
      </c>
      <c r="D58" s="8" t="n">
        <v>200317</v>
      </c>
      <c r="E58" s="42" t="n">
        <v>0.12</v>
      </c>
      <c r="F58" s="7" t="s">
        <v>126</v>
      </c>
    </row>
    <row r="59" customFormat="false" ht="15" hidden="false" customHeight="false" outlineLevel="0" collapsed="false">
      <c r="A59" s="7" t="s">
        <v>18</v>
      </c>
      <c r="B59" s="27" t="s">
        <v>770</v>
      </c>
      <c r="C59" s="8" t="n">
        <v>9660</v>
      </c>
      <c r="D59" s="8" t="n">
        <v>1162</v>
      </c>
      <c r="E59" s="42" t="n">
        <v>1.71</v>
      </c>
      <c r="F59" s="7" t="s">
        <v>126</v>
      </c>
    </row>
    <row r="60" customFormat="false" ht="15" hidden="false" customHeight="false" outlineLevel="0" collapsed="false">
      <c r="A60" s="7" t="s">
        <v>24</v>
      </c>
      <c r="B60" s="27" t="s">
        <v>771</v>
      </c>
      <c r="C60" s="8" t="n">
        <v>102000</v>
      </c>
      <c r="D60" s="8" t="n">
        <v>53711</v>
      </c>
      <c r="E60" s="42" t="n">
        <v>0.53</v>
      </c>
      <c r="F60" s="7" t="s">
        <v>126</v>
      </c>
    </row>
    <row r="61" customFormat="false" ht="15" hidden="false" customHeight="false" outlineLevel="0" collapsed="false">
      <c r="A61" s="7" t="s">
        <v>24</v>
      </c>
      <c r="B61" s="27" t="s">
        <v>772</v>
      </c>
      <c r="C61" s="8" t="n">
        <v>89500</v>
      </c>
      <c r="D61" s="8" t="n">
        <v>22970</v>
      </c>
      <c r="E61" s="42" t="n">
        <v>4.25</v>
      </c>
      <c r="F61" s="7" t="s">
        <v>126</v>
      </c>
    </row>
    <row r="62" customFormat="false" ht="15" hidden="false" customHeight="false" outlineLevel="0" collapsed="false">
      <c r="A62" s="7" t="s">
        <v>24</v>
      </c>
      <c r="B62" s="27" t="s">
        <v>773</v>
      </c>
      <c r="C62" s="8" t="n">
        <v>63600</v>
      </c>
      <c r="D62" s="8" t="n">
        <v>90622</v>
      </c>
      <c r="E62" s="42" t="n">
        <v>6.36</v>
      </c>
      <c r="F62" s="7" t="s">
        <v>126</v>
      </c>
    </row>
    <row r="63" customFormat="false" ht="15" hidden="false" customHeight="false" outlineLevel="0" collapsed="false">
      <c r="A63" s="7" t="s">
        <v>24</v>
      </c>
      <c r="B63" s="27" t="s">
        <v>774</v>
      </c>
      <c r="C63" s="8" t="n">
        <v>28800</v>
      </c>
      <c r="D63" s="8" t="n">
        <v>43767</v>
      </c>
      <c r="E63" s="42" t="n">
        <v>4.4</v>
      </c>
      <c r="F63" s="7" t="s">
        <v>126</v>
      </c>
    </row>
    <row r="64" customFormat="false" ht="15" hidden="false" customHeight="false" outlineLevel="0" collapsed="false">
      <c r="A64" s="7" t="s">
        <v>24</v>
      </c>
      <c r="B64" s="27" t="s">
        <v>775</v>
      </c>
      <c r="C64" s="8" t="n">
        <v>13300</v>
      </c>
      <c r="D64" s="8" t="n">
        <v>59778</v>
      </c>
      <c r="E64" s="42" t="n">
        <v>1.33</v>
      </c>
      <c r="F64" s="7" t="s">
        <v>126</v>
      </c>
    </row>
    <row r="65" customFormat="false" ht="15" hidden="false" customHeight="false" outlineLevel="0" collapsed="false">
      <c r="A65" s="7" t="s">
        <v>24</v>
      </c>
      <c r="B65" s="27" t="s">
        <v>776</v>
      </c>
      <c r="C65" s="8" t="n">
        <v>2670</v>
      </c>
      <c r="D65" s="8" t="n">
        <v>86516</v>
      </c>
      <c r="E65" s="42" t="n">
        <v>1.02</v>
      </c>
      <c r="F65" s="7" t="s">
        <v>126</v>
      </c>
    </row>
    <row r="66" customFormat="false" ht="15" hidden="false" customHeight="false" outlineLevel="0" collapsed="false">
      <c r="A66" s="7" t="s">
        <v>24</v>
      </c>
      <c r="B66" s="27" t="s">
        <v>777</v>
      </c>
      <c r="C66" s="8" t="n">
        <v>1760</v>
      </c>
      <c r="D66" s="8" t="n">
        <v>47114</v>
      </c>
      <c r="E66" s="42" t="n">
        <v>0.42</v>
      </c>
      <c r="F66" s="7" t="s">
        <v>126</v>
      </c>
    </row>
    <row r="67" customFormat="false" ht="15" hidden="false" customHeight="false" outlineLevel="0" collapsed="false">
      <c r="A67" s="7" t="s">
        <v>20</v>
      </c>
      <c r="B67" s="7" t="s">
        <v>778</v>
      </c>
      <c r="C67" s="8" t="n">
        <v>298000</v>
      </c>
      <c r="D67" s="8" t="n">
        <v>6411</v>
      </c>
      <c r="E67" s="42" t="n">
        <v>1.14</v>
      </c>
      <c r="F67" s="7" t="s">
        <v>126</v>
      </c>
    </row>
    <row r="68" customFormat="false" ht="15" hidden="false" customHeight="false" outlineLevel="0" collapsed="false">
      <c r="A68" s="7" t="s">
        <v>20</v>
      </c>
      <c r="B68" s="7" t="s">
        <v>779</v>
      </c>
      <c r="C68" s="8" t="n">
        <v>229000</v>
      </c>
      <c r="D68" s="8" t="n">
        <v>15059</v>
      </c>
      <c r="E68" s="42" t="n">
        <v>2.46</v>
      </c>
      <c r="F68" s="7" t="s">
        <v>126</v>
      </c>
    </row>
    <row r="69" customFormat="false" ht="15" hidden="false" customHeight="false" outlineLevel="0" collapsed="false">
      <c r="A69" s="7" t="s">
        <v>20</v>
      </c>
      <c r="B69" s="27" t="s">
        <v>780</v>
      </c>
      <c r="C69" s="8" t="n">
        <v>113000</v>
      </c>
      <c r="D69" s="8" t="n">
        <v>34150</v>
      </c>
      <c r="E69" s="42" t="n">
        <v>1.05</v>
      </c>
      <c r="F69" s="7" t="s">
        <v>126</v>
      </c>
    </row>
    <row r="70" customFormat="false" ht="15" hidden="false" customHeight="false" outlineLevel="0" collapsed="false">
      <c r="A70" s="7" t="s">
        <v>20</v>
      </c>
      <c r="B70" s="7" t="s">
        <v>781</v>
      </c>
      <c r="C70" s="8" t="n">
        <v>96900</v>
      </c>
      <c r="D70" s="8" t="n">
        <v>456626</v>
      </c>
      <c r="E70" s="42" t="n">
        <v>1.11</v>
      </c>
      <c r="F70" s="7" t="s">
        <v>126</v>
      </c>
    </row>
    <row r="71" customFormat="false" ht="15" hidden="false" customHeight="false" outlineLevel="0" collapsed="false">
      <c r="A71" s="7" t="s">
        <v>20</v>
      </c>
      <c r="B71" s="27" t="s">
        <v>782</v>
      </c>
      <c r="C71" s="8" t="n">
        <v>83000</v>
      </c>
      <c r="D71" s="8" t="n">
        <v>24961</v>
      </c>
      <c r="E71" s="42" t="n">
        <v>1.75</v>
      </c>
      <c r="F71" s="7" t="s">
        <v>126</v>
      </c>
    </row>
    <row r="72" customFormat="false" ht="15" hidden="false" customHeight="false" outlineLevel="0" collapsed="false">
      <c r="A72" s="7" t="s">
        <v>20</v>
      </c>
      <c r="B72" s="7" t="s">
        <v>783</v>
      </c>
      <c r="C72" s="8" t="n">
        <v>78200</v>
      </c>
      <c r="D72" s="8" t="n">
        <v>25540</v>
      </c>
      <c r="E72" s="42" t="n">
        <v>2.33</v>
      </c>
      <c r="F72" s="7" t="s">
        <v>126</v>
      </c>
    </row>
    <row r="73" customFormat="false" ht="15" hidden="false" customHeight="false" outlineLevel="0" collapsed="false">
      <c r="A73" s="7" t="s">
        <v>20</v>
      </c>
      <c r="B73" s="27" t="s">
        <v>784</v>
      </c>
      <c r="C73" s="8" t="n">
        <v>20900</v>
      </c>
      <c r="D73" s="8" t="n">
        <v>4278</v>
      </c>
      <c r="E73" s="42" t="n">
        <v>0.63</v>
      </c>
      <c r="F73" s="7" t="s">
        <v>126</v>
      </c>
    </row>
    <row r="74" customFormat="false" ht="15" hidden="false" customHeight="false" outlineLevel="0" collapsed="false">
      <c r="A74" s="7" t="s">
        <v>20</v>
      </c>
      <c r="B74" s="27" t="s">
        <v>785</v>
      </c>
      <c r="C74" s="8" t="n">
        <v>13700</v>
      </c>
      <c r="D74" s="8" t="n">
        <v>115819</v>
      </c>
      <c r="E74" s="42" t="n">
        <v>0.5</v>
      </c>
      <c r="F74" s="7" t="s">
        <v>126</v>
      </c>
    </row>
    <row r="75" customFormat="false" ht="15" hidden="false" customHeight="false" outlineLevel="0" collapsed="false">
      <c r="A75" s="7" t="s">
        <v>20</v>
      </c>
      <c r="B75" s="27" t="s">
        <v>786</v>
      </c>
      <c r="C75" s="8" t="n">
        <v>11900</v>
      </c>
      <c r="D75" s="8" t="n">
        <v>1871</v>
      </c>
      <c r="E75" s="42" t="n">
        <v>2.26</v>
      </c>
      <c r="F75" s="7" t="s">
        <v>126</v>
      </c>
    </row>
    <row r="76" customFormat="false" ht="15" hidden="false" customHeight="false" outlineLevel="0" collapsed="false">
      <c r="A76" s="7" t="s">
        <v>20</v>
      </c>
      <c r="B76" s="27" t="s">
        <v>787</v>
      </c>
      <c r="C76" s="8" t="n">
        <v>7620</v>
      </c>
      <c r="D76" s="8" t="n">
        <v>1965</v>
      </c>
      <c r="E76" s="42" t="n">
        <v>8.75</v>
      </c>
      <c r="F76" s="7" t="s">
        <v>126</v>
      </c>
    </row>
    <row r="77" customFormat="false" ht="15" hidden="false" customHeight="false" outlineLevel="0" collapsed="false">
      <c r="A77" s="7" t="s">
        <v>26</v>
      </c>
      <c r="B77" s="27" t="s">
        <v>788</v>
      </c>
      <c r="C77" s="8" t="n">
        <v>2740</v>
      </c>
      <c r="D77" s="8" t="n">
        <v>414</v>
      </c>
      <c r="E77" s="42" t="n">
        <v>0.83</v>
      </c>
      <c r="F77" s="7" t="s">
        <v>126</v>
      </c>
    </row>
    <row r="78" customFormat="false" ht="15" hidden="false" customHeight="false" outlineLevel="0" collapsed="false">
      <c r="A78" s="7" t="s">
        <v>26</v>
      </c>
      <c r="B78" s="27" t="s">
        <v>789</v>
      </c>
      <c r="C78" s="8" t="n">
        <v>235</v>
      </c>
      <c r="D78" s="8" t="n">
        <v>1946</v>
      </c>
      <c r="E78" s="42" t="n">
        <v>0.52</v>
      </c>
      <c r="F78" s="7" t="s">
        <v>126</v>
      </c>
    </row>
    <row r="79" customFormat="false" ht="15" hidden="false" customHeight="false" outlineLevel="0" collapsed="false">
      <c r="A79" s="7" t="s">
        <v>26</v>
      </c>
      <c r="B79" s="27" t="s">
        <v>790</v>
      </c>
      <c r="C79" s="8" t="n">
        <v>128</v>
      </c>
      <c r="D79" s="8" t="n">
        <v>3652</v>
      </c>
      <c r="E79" s="42" t="n">
        <v>0.45</v>
      </c>
      <c r="F79" s="7" t="s">
        <v>126</v>
      </c>
    </row>
    <row r="80" customFormat="false" ht="15" hidden="false" customHeight="false" outlineLevel="0" collapsed="false">
      <c r="A80" s="7" t="s">
        <v>26</v>
      </c>
      <c r="B80" s="27" t="s">
        <v>791</v>
      </c>
      <c r="C80" s="8" t="n">
        <v>16</v>
      </c>
      <c r="D80" s="8" t="n">
        <v>1191</v>
      </c>
      <c r="E80" s="42" t="n">
        <v>4.55</v>
      </c>
      <c r="F80" s="7" t="s">
        <v>126</v>
      </c>
    </row>
    <row r="82" customFormat="false" ht="15" hidden="false" customHeight="false" outlineLevel="0" collapsed="false">
      <c r="A82" s="2" t="s">
        <v>792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2026-09-01T01:31:03Z</dcterms:created>
  <dc:creator>openpyxl</dc:creator>
  <dc:description/>
  <dc:language>en-US</dc:language>
  <cp:lastModifiedBy/>
  <dcterms:modified xsi:type="dcterms:W3CDTF">2026-09-01T01:31:03Z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