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サマリ" sheetId="1" state="visible" r:id="rId1"/>
    <sheet xmlns:r="http://schemas.openxmlformats.org/officeDocument/2006/relationships" name="チャンネル別詳細" sheetId="2" state="visible" r:id="rId2"/>
    <sheet xmlns:r="http://schemas.openxmlformats.org/officeDocument/2006/relationships" name="直近動画一覧" sheetId="3" state="visible" r:id="rId3"/>
    <sheet xmlns:r="http://schemas.openxmlformats.org/officeDocument/2006/relationships" name="改善提案" sheetId="4" state="visible" r:id="rId4"/>
    <sheet xmlns:r="http://schemas.openxmlformats.org/officeDocument/2006/relationships" name="前回比較" sheetId="5" state="visible" r:id="rId5"/>
  </sheets>
  <definedNames/>
  <calcPr calcId="124519" fullCalcOnLoad="1"/>
</workbook>
</file>

<file path=xl/styles.xml><?xml version="1.0" encoding="utf-8"?>
<styleSheet xmlns="http://schemas.openxmlformats.org/spreadsheetml/2006/main">
  <numFmts count="4">
    <numFmt numFmtId="164" formatCode="0.000"/>
    <numFmt numFmtId="165" formatCode="0.0&quot;倍&quot;"/>
    <numFmt numFmtId="166" formatCode="0.00&quot;倍&quot;"/>
    <numFmt numFmtId="167" formatCode="+0.000;-0.000;0.000"/>
  </numFmts>
  <fonts count="7">
    <font>
      <name val="Calibri"/>
      <family val="2"/>
      <color theme="1"/>
      <sz val="11"/>
      <scheme val="minor"/>
    </font>
    <font>
      <name val="Arial"/>
      <b val="1"/>
      <sz val="14"/>
    </font>
    <font>
      <name val="Arial"/>
      <i val="1"/>
      <color rgb="00808080"/>
      <sz val="9"/>
    </font>
    <font>
      <name val="Arial"/>
      <b val="1"/>
      <color rgb="00FFFFFF"/>
      <sz val="10"/>
    </font>
    <font>
      <name val="Arial"/>
      <sz val="10"/>
    </font>
    <font>
      <name val="Arial"/>
      <b val="1"/>
      <sz val="10"/>
    </font>
    <font>
      <name val="Arial"/>
      <b val="1"/>
      <sz val="12"/>
    </font>
  </fonts>
  <fills count="6">
    <fill>
      <patternFill/>
    </fill>
    <fill>
      <patternFill patternType="gray125"/>
    </fill>
    <fill>
      <patternFill patternType="solid">
        <fgColor rgb="001F3864"/>
      </patternFill>
    </fill>
    <fill>
      <patternFill patternType="solid">
        <fgColor rgb="00F8CBAD"/>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pivotButton="0" quotePrefix="0" xfId="0"/>
    <xf numFmtId="3" fontId="4" fillId="0" borderId="1" pivotButton="0" quotePrefix="0" xfId="0"/>
    <xf numFmtId="164" fontId="4" fillId="0" borderId="1" pivotButton="0" quotePrefix="0" xfId="0"/>
    <xf numFmtId="2" fontId="4" fillId="0" borderId="1" pivotButton="0" quotePrefix="0" xfId="0"/>
    <xf numFmtId="9" fontId="4" fillId="0" borderId="1" pivotButton="0" quotePrefix="0" xfId="0"/>
    <xf numFmtId="0" fontId="4" fillId="3" borderId="1" pivotButton="0" quotePrefix="0" xfId="0"/>
    <xf numFmtId="3" fontId="4" fillId="3" borderId="1" pivotButton="0" quotePrefix="0" xfId="0"/>
    <xf numFmtId="164" fontId="4" fillId="3" borderId="1" pivotButton="0" quotePrefix="0" xfId="0"/>
    <xf numFmtId="2" fontId="4" fillId="3" borderId="1" pivotButton="0" quotePrefix="0" xfId="0"/>
    <xf numFmtId="9" fontId="4" fillId="3" borderId="1" pivotButton="0" quotePrefix="0" xfId="0"/>
    <xf numFmtId="0" fontId="5" fillId="0" borderId="0" pivotButton="0" quotePrefix="0" xfId="0"/>
    <xf numFmtId="3" fontId="5" fillId="0" borderId="1" pivotButton="0" quotePrefix="0" xfId="0"/>
    <xf numFmtId="164" fontId="5" fillId="0" borderId="1" pivotButton="0" quotePrefix="0" xfId="0"/>
    <xf numFmtId="165" fontId="5" fillId="0" borderId="1" pivotButton="0" quotePrefix="0" xfId="0"/>
    <xf numFmtId="0" fontId="4" fillId="0" borderId="0" applyAlignment="1" pivotButton="0" quotePrefix="0" xfId="0">
      <alignment vertical="top" wrapText="1"/>
    </xf>
    <xf numFmtId="166" fontId="4" fillId="0" borderId="1" pivotButton="0" quotePrefix="0" xfId="0"/>
    <xf numFmtId="0" fontId="4" fillId="4" borderId="1" pivotButton="0" quotePrefix="0" xfId="0"/>
    <xf numFmtId="0" fontId="4" fillId="5" borderId="1" pivotButton="0" quotePrefix="0" xfId="0"/>
    <xf numFmtId="0" fontId="4" fillId="0"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6" fillId="0" borderId="0" pivotButton="0" quotePrefix="0" xfId="0"/>
    <xf numFmtId="164" fontId="4" fillId="0" borderId="1" applyAlignment="1" pivotButton="0" quotePrefix="0" xfId="0">
      <alignment vertical="top" wrapText="1"/>
    </xf>
    <xf numFmtId="167"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0"/>
  <sheetViews>
    <sheetView workbookViewId="0">
      <pane ySplit="19" topLeftCell="A20" activePane="bottomLeft" state="frozen"/>
      <selection pane="bottomLeft" activeCell="A1" sqref="A1"/>
    </sheetView>
  </sheetViews>
  <sheetFormatPr baseColWidth="8" defaultRowHeight="15"/>
  <cols>
    <col width="14" customWidth="1" min="1" max="1"/>
    <col width="7" customWidth="1" min="2" max="2"/>
    <col width="12" customWidth="1" min="3" max="3"/>
    <col width="10" customWidth="1" min="4" max="4"/>
    <col width="12" customWidth="1" min="5" max="5"/>
    <col width="9" customWidth="1" min="6" max="6"/>
    <col width="11" customWidth="1" min="7" max="7"/>
    <col width="9" customWidth="1" min="8" max="8"/>
    <col width="12" customWidth="1" min="9" max="9"/>
    <col width="10" customWidth="1" min="10" max="10"/>
    <col width="10" customWidth="1" min="11" max="11"/>
    <col width="12" customWidth="1" min="12" max="12"/>
    <col width="14" customWidth="1" min="13" max="13"/>
    <col width="10" customWidth="1" min="14" max="14"/>
  </cols>
  <sheetData>
    <row r="1">
      <c r="A1" s="1" t="inlineStr">
        <is>
          <t>YouTube Factory 指揮者レポート 2026-09-11</t>
        </is>
      </c>
    </row>
    <row r="2" ht="30" customHeight="1">
      <c r="A2" s="2" t="inlineStr">
        <is>
          <t>データ基準日: 9ch=2026-09-08 / fake-paper・akashic-librarian=2026-09-06。09-09 以降 analytics.db に新規行がゼロ（3日連続で取得停止）のため、本日は新規の実績データ無しで分析している。</t>
        </is>
      </c>
    </row>
    <row r="4">
      <c r="A4" s="3" t="inlineStr">
        <is>
          <t>#</t>
        </is>
      </c>
      <c r="B4" s="3" t="inlineStr">
        <is>
          <t>チャンネル</t>
        </is>
      </c>
      <c r="C4" s="3" t="inlineStr">
        <is>
          <t>ID</t>
        </is>
      </c>
      <c r="D4" s="3" t="inlineStr">
        <is>
          <t>系統</t>
        </is>
      </c>
      <c r="E4" s="3" t="inlineStr">
        <is>
          <t>基準日</t>
        </is>
      </c>
      <c r="F4" s="3" t="inlineStr">
        <is>
          <t>動画本数</t>
        </is>
      </c>
      <c r="G4" s="3" t="inlineStr">
        <is>
          <t>再生数</t>
        </is>
      </c>
      <c r="H4" s="3" t="inlineStr">
        <is>
          <t>登録獲得</t>
        </is>
      </c>
      <c r="I4" s="3" t="inlineStr">
        <is>
          <t>登録/千再生</t>
        </is>
      </c>
      <c r="J4" s="3" t="inlineStr">
        <is>
          <t>いいね率%</t>
        </is>
      </c>
      <c r="K4" s="3" t="inlineStr">
        <is>
          <t>平均再生</t>
        </is>
      </c>
      <c r="L4" s="3" t="inlineStr">
        <is>
          <t>平均維持率%</t>
        </is>
      </c>
      <c r="M4" s="3" t="inlineStr">
        <is>
          <t>タイトル実効字数</t>
        </is>
      </c>
      <c r="N4" s="3" t="inlineStr">
        <is>
          <t>20字未満</t>
        </is>
      </c>
    </row>
    <row r="5">
      <c r="A5" s="4" t="n">
        <v>1</v>
      </c>
      <c r="B5" s="4" t="inlineStr">
        <is>
          <t>ゆっくり異常存在SCPラボ</t>
        </is>
      </c>
      <c r="C5" s="4" t="inlineStr">
        <is>
          <t>scp-lab</t>
        </is>
      </c>
      <c r="D5" s="4" t="inlineStr">
        <is>
          <t>ゆっくり</t>
        </is>
      </c>
      <c r="E5" s="4" t="inlineStr">
        <is>
          <t>2026-09-08</t>
        </is>
      </c>
      <c r="F5" s="4" t="n">
        <v>50</v>
      </c>
      <c r="G5" s="5" t="n">
        <v>32863</v>
      </c>
      <c r="H5" s="4" t="n">
        <v>26</v>
      </c>
      <c r="I5" s="6">
        <f>IF(G5=0,"",H5/G5*1000)</f>
        <v>0.791163</v>
      </c>
      <c r="J5" s="7">
        <f>IF(G5=0,"",135/G5*100)</f>
        <v>0.410796</v>
      </c>
      <c r="K5" s="5">
        <f>IF(F5=0,"",G5/F5)</f>
        <v>657.26</v>
      </c>
      <c r="L5" s="4" t="n">
        <v>37.7</v>
      </c>
      <c r="M5" s="4" t="n">
        <v>30.3</v>
      </c>
      <c r="N5" s="8">
        <f>IF(F5=0,"",3/F5)</f>
        <v>0.06</v>
      </c>
    </row>
    <row r="6">
      <c r="A6" s="4" t="n">
        <v>2</v>
      </c>
      <c r="B6" s="4" t="inlineStr">
        <is>
          <t>企業のホンネ</t>
        </is>
      </c>
      <c r="C6" s="4" t="inlineStr">
        <is>
          <t>company-facts</t>
        </is>
      </c>
      <c r="D6" s="4" t="inlineStr">
        <is>
          <t>ゆっくり</t>
        </is>
      </c>
      <c r="E6" s="4" t="inlineStr">
        <is>
          <t>2026-09-08</t>
        </is>
      </c>
      <c r="F6" s="4" t="n">
        <v>42</v>
      </c>
      <c r="G6" s="5" t="n">
        <v>44773</v>
      </c>
      <c r="H6" s="4" t="n">
        <v>32</v>
      </c>
      <c r="I6" s="6">
        <f>IF(G6=0,"",H6/G6*1000)</f>
        <v>0.714716</v>
      </c>
      <c r="J6" s="7">
        <f>IF(G6=0,"",155/G6*100)</f>
        <v>0.346191</v>
      </c>
      <c r="K6" s="5">
        <f>IF(F6=0,"",G6/F6)</f>
        <v>1066.02381</v>
      </c>
      <c r="L6" s="4" t="n">
        <v>56</v>
      </c>
      <c r="M6" s="4" t="n">
        <v>27.2</v>
      </c>
      <c r="N6" s="8">
        <f>IF(F6=0,"",1/F6)</f>
        <v>0.02381</v>
      </c>
    </row>
    <row r="7">
      <c r="A7" s="4" t="n">
        <v>3</v>
      </c>
      <c r="B7" s="4" t="inlineStr">
        <is>
          <t>ラグナロクの司書</t>
        </is>
      </c>
      <c r="C7" s="4" t="inlineStr">
        <is>
          <t>akashic-librarian</t>
        </is>
      </c>
      <c r="D7" s="4" t="inlineStr">
        <is>
          <t>ゆっくり</t>
        </is>
      </c>
      <c r="E7" s="4" t="inlineStr">
        <is>
          <t>2026-09-06</t>
        </is>
      </c>
      <c r="F7" s="4" t="n">
        <v>17</v>
      </c>
      <c r="G7" s="5" t="n">
        <v>5259</v>
      </c>
      <c r="H7" s="4" t="n">
        <v>3</v>
      </c>
      <c r="I7" s="6">
        <f>IF(G7=0,"",H7/G7*1000)</f>
        <v>0.570451</v>
      </c>
      <c r="J7" s="7">
        <f>IF(G7=0,"",11/G7*100)</f>
        <v>0.209165</v>
      </c>
      <c r="K7" s="5">
        <f>IF(F7=0,"",G7/F7)</f>
        <v>309.352941</v>
      </c>
      <c r="L7" s="4" t="n">
        <v>63.5</v>
      </c>
      <c r="M7" s="4" t="n">
        <v>21.1</v>
      </c>
      <c r="N7" s="8">
        <f>IF(F7=0,"",7/F7)</f>
        <v>0.411765</v>
      </c>
    </row>
    <row r="8">
      <c r="A8" s="4" t="n">
        <v>4</v>
      </c>
      <c r="B8" s="4" t="inlineStr">
        <is>
          <t>リコとマコトのゆっくり日常科学</t>
        </is>
      </c>
      <c r="C8" s="4" t="inlineStr">
        <is>
          <t>daily-science</t>
        </is>
      </c>
      <c r="D8" s="4" t="inlineStr">
        <is>
          <t>ゆっくり</t>
        </is>
      </c>
      <c r="E8" s="4" t="inlineStr">
        <is>
          <t>2026-09-08</t>
        </is>
      </c>
      <c r="F8" s="4" t="n">
        <v>50</v>
      </c>
      <c r="G8" s="5" t="n">
        <v>32093</v>
      </c>
      <c r="H8" s="4" t="n">
        <v>15</v>
      </c>
      <c r="I8" s="6">
        <f>IF(G8=0,"",H8/G8*1000)</f>
        <v>0.467392</v>
      </c>
      <c r="J8" s="7">
        <f>IF(G8=0,"",185/G8*100)</f>
        <v>0.57645</v>
      </c>
      <c r="K8" s="5">
        <f>IF(F8=0,"",G8/F8)</f>
        <v>641.86</v>
      </c>
      <c r="L8" s="4" t="n">
        <v>49.2</v>
      </c>
      <c r="M8" s="4" t="n">
        <v>30.6</v>
      </c>
      <c r="N8" s="8">
        <f>IF(F8=0,"",9/F8)</f>
        <v>0.18</v>
      </c>
    </row>
    <row r="9">
      <c r="A9" s="4" t="n">
        <v>5</v>
      </c>
      <c r="B9" s="4" t="inlineStr">
        <is>
          <t>ゆっくり妖怪ラボ</t>
        </is>
      </c>
      <c r="C9" s="4" t="inlineStr">
        <is>
          <t>yokai-watch</t>
        </is>
      </c>
      <c r="D9" s="4" t="inlineStr">
        <is>
          <t>ゆっくり</t>
        </is>
      </c>
      <c r="E9" s="4" t="inlineStr">
        <is>
          <t>2026-09-08</t>
        </is>
      </c>
      <c r="F9" s="4" t="n">
        <v>49</v>
      </c>
      <c r="G9" s="5" t="n">
        <v>32387</v>
      </c>
      <c r="H9" s="4" t="n">
        <v>15</v>
      </c>
      <c r="I9" s="6">
        <f>IF(G9=0,"",H9/G9*1000)</f>
        <v>0.463149</v>
      </c>
      <c r="J9" s="7">
        <f>IF(G9=0,"",152/G9*100)</f>
        <v>0.469324</v>
      </c>
      <c r="K9" s="5">
        <f>IF(F9=0,"",G9/F9)</f>
        <v>660.959184</v>
      </c>
      <c r="L9" s="4" t="n">
        <v>44</v>
      </c>
      <c r="M9" s="4" t="n">
        <v>30.2</v>
      </c>
      <c r="N9" s="8">
        <f>IF(F9=0,"",4/F9)</f>
        <v>0.081633</v>
      </c>
    </row>
    <row r="10">
      <c r="A10" s="4" t="n">
        <v>6</v>
      </c>
      <c r="B10" s="4" t="inlineStr">
        <is>
          <t>ポケモンラボ</t>
        </is>
      </c>
      <c r="C10" s="4" t="inlineStr">
        <is>
          <t>pokemon-lab</t>
        </is>
      </c>
      <c r="D10" s="4" t="inlineStr">
        <is>
          <t>ゆっくり</t>
        </is>
      </c>
      <c r="E10" s="4" t="inlineStr">
        <is>
          <t>2026-09-08</t>
        </is>
      </c>
      <c r="F10" s="4" t="n">
        <v>49</v>
      </c>
      <c r="G10" s="5" t="n">
        <v>33101</v>
      </c>
      <c r="H10" s="4" t="n">
        <v>9</v>
      </c>
      <c r="I10" s="6">
        <f>IF(G10=0,"",H10/G10*1000)</f>
        <v>0.271895</v>
      </c>
      <c r="J10" s="7">
        <f>IF(G10=0,"",83/G10*100)</f>
        <v>0.250748</v>
      </c>
      <c r="K10" s="5">
        <f>IF(F10=0,"",G10/F10)</f>
        <v>675.530612</v>
      </c>
      <c r="L10" s="4" t="n">
        <v>49.3</v>
      </c>
      <c r="M10" s="4" t="n">
        <v>32</v>
      </c>
      <c r="N10" s="8">
        <f>IF(F10=0,"",5/F10)</f>
        <v>0.102041</v>
      </c>
    </row>
    <row r="11">
      <c r="A11" s="9" t="n">
        <v>7</v>
      </c>
      <c r="B11" s="9" t="inlineStr">
        <is>
          <t>深田えいみ 切り抜き</t>
        </is>
      </c>
      <c r="C11" s="9" t="inlineStr">
        <is>
          <t>clip-fukada</t>
        </is>
      </c>
      <c r="D11" s="9" t="inlineStr">
        <is>
          <t>切り抜き</t>
        </is>
      </c>
      <c r="E11" s="9" t="inlineStr">
        <is>
          <t>2026-09-08</t>
        </is>
      </c>
      <c r="F11" s="9" t="n">
        <v>13</v>
      </c>
      <c r="G11" s="10" t="n">
        <v>23704</v>
      </c>
      <c r="H11" s="9" t="n">
        <v>5</v>
      </c>
      <c r="I11" s="11">
        <f>IF(G11=0,"",H11/G11*1000)</f>
        <v>0.210935</v>
      </c>
      <c r="J11" s="12">
        <f>IF(G11=0,"",52/G11*100)</f>
        <v>0.219372</v>
      </c>
      <c r="K11" s="10">
        <f>IF(F11=0,"",G11/F11)</f>
        <v>1823.384615</v>
      </c>
      <c r="L11" s="9" t="n">
        <v>62.6</v>
      </c>
      <c r="M11" s="9" t="n">
        <v>16.9</v>
      </c>
      <c r="N11" s="13">
        <f>IF(F11=0,"",11/F11)</f>
        <v>0.846154</v>
      </c>
    </row>
    <row r="12">
      <c r="A12" s="4" t="n">
        <v>8</v>
      </c>
      <c r="B12" s="4" t="inlineStr">
        <is>
          <t>2chまとめ</t>
        </is>
      </c>
      <c r="C12" s="4" t="inlineStr">
        <is>
          <t>2ch-matome</t>
        </is>
      </c>
      <c r="D12" s="4" t="inlineStr">
        <is>
          <t>ゆっくり</t>
        </is>
      </c>
      <c r="E12" s="4" t="inlineStr">
        <is>
          <t>2026-09-08</t>
        </is>
      </c>
      <c r="F12" s="4" t="n">
        <v>50</v>
      </c>
      <c r="G12" s="5" t="n">
        <v>40301</v>
      </c>
      <c r="H12" s="4" t="n">
        <v>8</v>
      </c>
      <c r="I12" s="6">
        <f>IF(G12=0,"",H12/G12*1000)</f>
        <v>0.198506</v>
      </c>
      <c r="J12" s="7">
        <f>IF(G12=0,"",93/G12*100)</f>
        <v>0.230764</v>
      </c>
      <c r="K12" s="5">
        <f>IF(F12=0,"",G12/F12)</f>
        <v>806.02</v>
      </c>
      <c r="L12" s="4" t="n">
        <v>48.8</v>
      </c>
      <c r="M12" s="4" t="n">
        <v>21.6</v>
      </c>
      <c r="N12" s="8">
        <f>IF(F12=0,"",17/F12)</f>
        <v>0.34</v>
      </c>
    </row>
    <row r="13">
      <c r="A13" s="9" t="n">
        <v>9</v>
      </c>
      <c r="B13" s="9" t="inlineStr">
        <is>
          <t>金子みゆ 切り抜き</t>
        </is>
      </c>
      <c r="C13" s="9" t="inlineStr">
        <is>
          <t>clip-kaneko</t>
        </is>
      </c>
      <c r="D13" s="9" t="inlineStr">
        <is>
          <t>切り抜き</t>
        </is>
      </c>
      <c r="E13" s="9" t="inlineStr">
        <is>
          <t>2026-09-08</t>
        </is>
      </c>
      <c r="F13" s="9" t="n">
        <v>30</v>
      </c>
      <c r="G13" s="10" t="n">
        <v>23682</v>
      </c>
      <c r="H13" s="9" t="n">
        <v>4</v>
      </c>
      <c r="I13" s="11">
        <f>IF(G13=0,"",H13/G13*1000)</f>
        <v>0.168905</v>
      </c>
      <c r="J13" s="12">
        <f>IF(G13=0,"",55/G13*100)</f>
        <v>0.232244</v>
      </c>
      <c r="K13" s="10">
        <f>IF(F13=0,"",G13/F13)</f>
        <v>789.4</v>
      </c>
      <c r="L13" s="9" t="n">
        <v>50.6</v>
      </c>
      <c r="M13" s="9" t="n">
        <v>19.5</v>
      </c>
      <c r="N13" s="13">
        <f>IF(F13=0,"",16/F13)</f>
        <v>0.533333</v>
      </c>
    </row>
    <row r="14">
      <c r="A14" s="9" t="n">
        <v>10</v>
      </c>
      <c r="B14" s="9" t="inlineStr">
        <is>
          <t>切り抜きラボ（ひろゆき）</t>
        </is>
      </c>
      <c r="C14" s="9" t="inlineStr">
        <is>
          <t>clip-lab</t>
        </is>
      </c>
      <c r="D14" s="9" t="inlineStr">
        <is>
          <t>切り抜き</t>
        </is>
      </c>
      <c r="E14" s="9" t="inlineStr">
        <is>
          <t>2026-09-08</t>
        </is>
      </c>
      <c r="F14" s="9" t="n">
        <v>18</v>
      </c>
      <c r="G14" s="10" t="n">
        <v>42321</v>
      </c>
      <c r="H14" s="9" t="n">
        <v>1</v>
      </c>
      <c r="I14" s="11">
        <f>IF(G14=0,"",H14/G14*1000)</f>
        <v>0.023629</v>
      </c>
      <c r="J14" s="12">
        <f>IF(G14=0,"",67/G14*100)</f>
        <v>0.158314</v>
      </c>
      <c r="K14" s="10">
        <f>IF(F14=0,"",G14/F14)</f>
        <v>2351.166667</v>
      </c>
      <c r="L14" s="9" t="n">
        <v>61.1</v>
      </c>
      <c r="M14" s="9" t="n">
        <v>18.2</v>
      </c>
      <c r="N14" s="13">
        <f>IF(F14=0,"",12/F14)</f>
        <v>0.666667</v>
      </c>
    </row>
    <row r="15">
      <c r="A15" s="4" t="n">
        <v>11</v>
      </c>
      <c r="B15" s="4" t="inlineStr">
        <is>
          <t>架空論文ラボ</t>
        </is>
      </c>
      <c r="C15" s="4" t="inlineStr">
        <is>
          <t>fake-paper</t>
        </is>
      </c>
      <c r="D15" s="4" t="inlineStr">
        <is>
          <t>ゆっくり</t>
        </is>
      </c>
      <c r="E15" s="4" t="inlineStr">
        <is>
          <t>2026-09-06</t>
        </is>
      </c>
      <c r="F15" s="4" t="n">
        <v>17</v>
      </c>
      <c r="G15" s="5" t="n">
        <v>7047</v>
      </c>
      <c r="H15" s="4" t="n">
        <v>0</v>
      </c>
      <c r="I15" s="6">
        <f>IF(G15=0,"",H15/G15*1000)</f>
        <v>0.0</v>
      </c>
      <c r="J15" s="7">
        <f>IF(G15=0,"",28/G15*100)</f>
        <v>0.397332</v>
      </c>
      <c r="K15" s="5">
        <f>IF(F15=0,"",G15/F15)</f>
        <v>414.529412</v>
      </c>
      <c r="L15" s="4" t="n">
        <v>42.7</v>
      </c>
      <c r="M15" s="4" t="n">
        <v>22.3</v>
      </c>
      <c r="N15" s="8">
        <f>IF(F15=0,"",7/F15)</f>
        <v>0.411765</v>
      </c>
    </row>
    <row r="16">
      <c r="B16" s="14" t="inlineStr">
        <is>
          <t>合計 / 加重平均</t>
        </is>
      </c>
      <c r="F16" s="15">
        <f>SUM(F5:F15)</f>
        <v>385</v>
      </c>
      <c r="G16" s="15">
        <f>SUM(G5:G15)</f>
        <v>317531</v>
      </c>
      <c r="H16" s="15">
        <f>SUM(H5:H15)</f>
        <v>118</v>
      </c>
      <c r="I16" s="16">
        <f>H16/G16*1000</f>
        <v>0.371617</v>
      </c>
    </row>
    <row r="18">
      <c r="A18" s="14" t="inlineStr">
        <is>
          <t>系統別の比較（至上戦略＝登録者増加なので登録/千再生で見る）</t>
        </is>
      </c>
    </row>
    <row r="19">
      <c r="A19" s="3" t="inlineStr">
        <is>
          <t>系統</t>
        </is>
      </c>
      <c r="B19" s="3" t="inlineStr">
        <is>
          <t>ch数</t>
        </is>
      </c>
      <c r="C19" s="3" t="inlineStr">
        <is>
          <t>再生数</t>
        </is>
      </c>
      <c r="D19" s="3" t="inlineStr">
        <is>
          <t>登録獲得</t>
        </is>
      </c>
      <c r="E19" s="3" t="inlineStr">
        <is>
          <t>登録/千再生</t>
        </is>
      </c>
    </row>
    <row r="20">
      <c r="A20" s="4" t="inlineStr">
        <is>
          <t>ゆっくり</t>
        </is>
      </c>
      <c r="B20" s="4" t="n">
        <v>8</v>
      </c>
      <c r="C20" s="5" t="n">
        <v>227824</v>
      </c>
      <c r="D20" s="4" t="n">
        <v>108</v>
      </c>
      <c r="E20" s="6">
        <f>IF(C20=0,"",D20/C20*1000)</f>
        <v>0.47405</v>
      </c>
    </row>
    <row r="21">
      <c r="A21" s="4" t="inlineStr">
        <is>
          <t>切り抜き</t>
        </is>
      </c>
      <c r="B21" s="4" t="n">
        <v>3</v>
      </c>
      <c r="C21" s="5" t="n">
        <v>89707</v>
      </c>
      <c r="D21" s="4" t="n">
        <v>10</v>
      </c>
      <c r="E21" s="6">
        <f>IF(C21=0,"",D21/C21*1000)</f>
        <v>0.111474</v>
      </c>
    </row>
    <row r="22">
      <c r="A22" s="14" t="inlineStr">
        <is>
          <t>切り抜きの劣位倍率</t>
        </is>
      </c>
      <c r="E22" s="17">
        <f>E20/E21</f>
        <v>4.252562</v>
      </c>
    </row>
    <row r="24">
      <c r="A24" s="14" t="inlineStr">
        <is>
          <t>本日の最重要トピック</t>
        </is>
      </c>
    </row>
    <row r="25" ht="58" customHeight="1">
      <c r="A25" s="18" t="inlineStr">
        <is>
          <t>① analytics 取得が 09-09 から3日連続でゼロ行。09-08 が最新スナップショットで、09-09・09-10・09-11 は video_metrics に1行も入っていない。原因は OAuth の全13ch失効（GCP OAuth 同意画面が「テスト中」のままでリフレッシュトークンが7日で強制失効する）。GCP project 844705815004 の同意画面を「本番」へ公開しない限り、再認可しても必ず1週間で再発する。</t>
        </is>
      </c>
    </row>
    <row r="26" ht="58" customHeight="1">
      <c r="A26" s="18" t="inlineStr">
        <is>
          <t>② タイトル実効文字数と登録転換に強い関係があった（n=330）。0-14字 0.104 / 15-19字 0.279 / 20-24字 0.402 / 25-29字 0.646 / 30-34字 0.389 / 35字以上 0.345。25〜29字を頂点とする逆U字で、20字未満は最良帯の 1/2.3〜1/6.2。帯の切り方に依存しないことを4分位でも確認した（Q1 9-21字 0.227 / Q2 0.476 / Q3 27-35字 0.518 / Q4 35-54字 0.352）。20字未満は全330本中66本（20%）。自然文の min_effective_chars_target は backend が読まないため1本も効いていなかったので、本日 title_constraints.py に機械ゲートとして実装し8chへ適用した。</t>
        </is>
      </c>
    </row>
    <row r="27" ht="58" customHeight="1">
      <c r="A27" s="18" t="inlineStr">
        <is>
          <t>③ 切り抜き3chは再生の28%（89,707 / 317,531再生）を占めながら登録獲得は10人で、ゆっくり系との登録効率差は依然として大きい。平均タイトル実効長も 16.9〜19.5字で全ch最短。ただし切り抜きのタイトルは発言の引用なので、文字数下限を課すと誤引用を作るリスクがある。本日は適用を見送り、別施策（引用は保ったまま文脈を添える形）として扱う。</t>
        </is>
      </c>
    </row>
    <row r="28" ht="58" customHeight="1">
      <c r="A28" s="18" t="inlineStr">
        <is>
          <t>④ 09-11 朝の自動 run が theme_blacklist を退行させていた。scp-lab は 13語→6語 に減り、同じ run が追記した note（SCP-173 が再生上位40本中12本＝30%）と真逆の状態に。daily-science は「あくび」「自分の声」が消え、リポジトリ自身の回帰テストが RED になっていた（過去の重複タイトル8件が素通り）。本日いずれも復元し、テストは GREEN に戻した。</t>
        </is>
      </c>
    </row>
    <row r="29" ht="58" customHeight="1">
      <c r="A29" s="18" t="inlineStr">
        <is>
          <t>④' 実効文字数の初版集計には実装バグがあり、同日中に検出して直した。旧実装の正規表現 `[#＃]\S+` が「一口SCP #110：SCP-███「投稿者の編集室」…」のような連番つきタイトルで本文を丸ごとハッシュタグと見なして落としており、実効41字を5字と数えていた（scp-lab 50本中14本が該当）。コロンで止める実装に修正し、レポートとbackend のゲートで同じ関数を使うようにした（別実装を持つとレポートの数字と実際に弾かれる基準がずれる）。結論（25〜29字が頂点の逆U字・下限20字）は修正後も変わらない。</t>
        </is>
      </c>
    </row>
    <row r="30" ht="58" customHeight="1">
      <c r="A30" s="18" t="inlineStr">
        <is>
          <t>⑤ 「なぜ〇〇なのか」疑問形は ch を選ぶ。scp-lab 1.32 vs 0.51（2.6倍・leave-one-out 後も 1.15）、daily-science 0.53 vs 0.18（3.0倍）、yokai-watch 0.61 vs 0.33、2ch-matome 0.25 vs 0.18 で有効。一方 pokemon-lab は 0.08 vs 0.41 で明確に逆効果、company-facts は疑問形が n=1 しかなく判断不能。09-11 朝の run はこの ch 差を正しく分けて適用できていた（09-10 の scp-lab「疑問形は負」判定が誤り）。</t>
        </is>
      </c>
    </row>
  </sheetData>
  <mergeCells count="7">
    <mergeCell ref="A27:N27"/>
    <mergeCell ref="A26:N26"/>
    <mergeCell ref="A30:N30"/>
    <mergeCell ref="A29:N29"/>
    <mergeCell ref="A25:N25"/>
    <mergeCell ref="A2:J2"/>
    <mergeCell ref="A28:N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4"/>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11" customWidth="1" min="3" max="3"/>
    <col width="7" customWidth="1" min="4" max="4"/>
    <col width="11" customWidth="1" min="5" max="5"/>
    <col width="9" customWidth="1" min="6" max="6"/>
    <col width="12" customWidth="1" min="7" max="7"/>
    <col width="9" customWidth="1" min="8" max="8"/>
    <col width="10" customWidth="1" min="9" max="9"/>
    <col width="9" customWidth="1" min="10" max="10"/>
    <col width="11" customWidth="1" min="11" max="11"/>
    <col width="15" customWidth="1" min="12" max="12"/>
    <col width="17" customWidth="1" min="13" max="13"/>
    <col width="10" customWidth="1" min="14" max="14"/>
    <col width="13" customWidth="1" min="15" max="15"/>
    <col width="15" customWidth="1" min="16" max="16"/>
    <col width="12" customWidth="1" min="17" max="17"/>
    <col width="11" customWidth="1" min="18" max="18"/>
    <col width="13" customWidth="1" min="19" max="19"/>
    <col width="14" customWidth="1" min="20" max="20"/>
    <col width="20" customWidth="1" min="21" max="21"/>
  </cols>
  <sheetData>
    <row r="1">
      <c r="A1" s="3" t="inlineStr">
        <is>
          <t>チャンネル</t>
        </is>
      </c>
      <c r="B1" s="3" t="inlineStr">
        <is>
          <t>ID</t>
        </is>
      </c>
      <c r="C1" s="3" t="inlineStr">
        <is>
          <t>基準日</t>
        </is>
      </c>
      <c r="D1" s="3" t="inlineStr">
        <is>
          <t>本数</t>
        </is>
      </c>
      <c r="E1" s="3" t="inlineStr">
        <is>
          <t>再生数</t>
        </is>
      </c>
      <c r="F1" s="3" t="inlineStr">
        <is>
          <t>登録獲得</t>
        </is>
      </c>
      <c r="G1" s="3" t="inlineStr">
        <is>
          <t>登録/千再生</t>
        </is>
      </c>
      <c r="H1" s="3" t="inlineStr">
        <is>
          <t>いいね数</t>
        </is>
      </c>
      <c r="I1" s="3" t="inlineStr">
        <is>
          <t>いいね率%</t>
        </is>
      </c>
      <c r="J1" s="3" t="inlineStr">
        <is>
          <t>コメント</t>
        </is>
      </c>
      <c r="K1" s="3" t="inlineStr">
        <is>
          <t>平均維持率%</t>
        </is>
      </c>
      <c r="L1" s="3" t="inlineStr">
        <is>
          <t>登録純増 08/23-29</t>
        </is>
      </c>
      <c r="M1" s="3" t="inlineStr">
        <is>
          <t>登録純増 08/30-09/05</t>
        </is>
      </c>
      <c r="N1" s="3" t="inlineStr">
        <is>
          <t>成長倍率</t>
        </is>
      </c>
      <c r="O1" s="3" t="inlineStr">
        <is>
          <t>再生 08/23-29</t>
        </is>
      </c>
      <c r="P1" s="3" t="inlineStr">
        <is>
          <t>再生 08/30-09/05</t>
        </is>
      </c>
      <c r="Q1" s="3" t="inlineStr">
        <is>
          <t>平均実効字数</t>
        </is>
      </c>
      <c r="R1" s="3" t="inlineStr">
        <is>
          <t>20字未満率</t>
        </is>
      </c>
      <c r="S1" s="3" t="inlineStr">
        <is>
          <t>疑問形 登録/千</t>
        </is>
      </c>
      <c r="T1" s="3" t="inlineStr">
        <is>
          <t>非疑問形 登録/千</t>
        </is>
      </c>
      <c r="U1" s="3" t="inlineStr">
        <is>
          <t>疑問形の効き</t>
        </is>
      </c>
    </row>
    <row r="2">
      <c r="A2" s="4" t="inlineStr">
        <is>
          <t>ゆっくり異常存在SCPラボ</t>
        </is>
      </c>
      <c r="B2" s="4" t="inlineStr">
        <is>
          <t>scp-lab</t>
        </is>
      </c>
      <c r="C2" s="4" t="inlineStr">
        <is>
          <t>2026-09-08</t>
        </is>
      </c>
      <c r="D2" s="4" t="n">
        <v>50</v>
      </c>
      <c r="E2" s="5" t="n">
        <v>32863</v>
      </c>
      <c r="F2" s="4" t="n">
        <v>26</v>
      </c>
      <c r="G2" s="6">
        <f>IF(E2=0,"",F2/E2*1000)</f>
        <v>0.791163</v>
      </c>
      <c r="H2" s="4" t="n">
        <v>135</v>
      </c>
      <c r="I2" s="7">
        <f>IF(E2=0,"",H2/E2*100)</f>
        <v>0.410796</v>
      </c>
      <c r="J2" s="4" t="n">
        <v>1</v>
      </c>
      <c r="K2" s="4" t="n">
        <v>37.7</v>
      </c>
      <c r="L2" s="4" t="n">
        <v>6</v>
      </c>
      <c r="M2" s="4" t="n">
        <v>13</v>
      </c>
      <c r="N2" s="19">
        <f>IF(L2=0,"",M2/L2)</f>
        <v>2.166667</v>
      </c>
      <c r="O2" s="4" t="n">
        <v>11411</v>
      </c>
      <c r="P2" s="4" t="n">
        <v>11306</v>
      </c>
      <c r="Q2" s="4" t="n">
        <v>30.3</v>
      </c>
      <c r="R2" s="8">
        <f>IF(D2=0,"",3/D2)</f>
        <v>0.06</v>
      </c>
      <c r="S2" s="4" t="n">
        <v>1.324</v>
      </c>
      <c r="T2" s="4" t="n">
        <v>0.505</v>
      </c>
      <c r="U2" s="20" t="inlineStr">
        <is>
          <t>有効 2.6倍（n=12/25）</t>
        </is>
      </c>
    </row>
    <row r="3">
      <c r="A3" s="4" t="inlineStr">
        <is>
          <t>企業のホンネ</t>
        </is>
      </c>
      <c r="B3" s="4" t="inlineStr">
        <is>
          <t>company-facts</t>
        </is>
      </c>
      <c r="C3" s="4" t="inlineStr">
        <is>
          <t>2026-09-08</t>
        </is>
      </c>
      <c r="D3" s="4" t="n">
        <v>42</v>
      </c>
      <c r="E3" s="5" t="n">
        <v>44773</v>
      </c>
      <c r="F3" s="4" t="n">
        <v>32</v>
      </c>
      <c r="G3" s="6">
        <f>IF(E3=0,"",F3/E3*1000)</f>
        <v>0.714716</v>
      </c>
      <c r="H3" s="4" t="n">
        <v>155</v>
      </c>
      <c r="I3" s="7">
        <f>IF(E3=0,"",H3/E3*100)</f>
        <v>0.346191</v>
      </c>
      <c r="J3" s="4" t="n">
        <v>4</v>
      </c>
      <c r="K3" s="4" t="n">
        <v>56</v>
      </c>
      <c r="L3" s="4" t="n">
        <v>13</v>
      </c>
      <c r="M3" s="4" t="n">
        <v>5</v>
      </c>
      <c r="N3" s="19">
        <f>IF(L3=0,"",M3/L3)</f>
        <v>0.384615</v>
      </c>
      <c r="O3" s="4" t="n">
        <v>17606</v>
      </c>
      <c r="P3" s="4" t="n">
        <v>10948</v>
      </c>
      <c r="Q3" s="4" t="n">
        <v>27.2</v>
      </c>
      <c r="R3" s="8">
        <f>IF(D3=0,"",1/D3)</f>
        <v>0.02381</v>
      </c>
      <c r="S3" s="4" t="n">
        <v>0</v>
      </c>
      <c r="T3" s="4" t="n">
        <v>0.739</v>
      </c>
      <c r="U3" s="4" t="inlineStr">
        <is>
          <t>判断不能（n=1/30）</t>
        </is>
      </c>
    </row>
    <row r="4">
      <c r="A4" s="4" t="inlineStr">
        <is>
          <t>ラグナロクの司書</t>
        </is>
      </c>
      <c r="B4" s="4" t="inlineStr">
        <is>
          <t>akashic-librarian</t>
        </is>
      </c>
      <c r="C4" s="4" t="inlineStr">
        <is>
          <t>2026-09-06</t>
        </is>
      </c>
      <c r="D4" s="4" t="n">
        <v>17</v>
      </c>
      <c r="E4" s="5" t="n">
        <v>5259</v>
      </c>
      <c r="F4" s="4" t="n">
        <v>3</v>
      </c>
      <c r="G4" s="6">
        <f>IF(E4=0,"",F4/E4*1000)</f>
        <v>0.570451</v>
      </c>
      <c r="H4" s="4" t="n">
        <v>11</v>
      </c>
      <c r="I4" s="7">
        <f>IF(E4=0,"",H4/E4*100)</f>
        <v>0.209165</v>
      </c>
      <c r="J4" s="4" t="n">
        <v>0</v>
      </c>
      <c r="K4" s="4" t="n">
        <v>63.5</v>
      </c>
      <c r="L4" s="4" t="n">
        <v>0</v>
      </c>
      <c r="M4" s="4" t="n">
        <v>0</v>
      </c>
      <c r="N4" s="19">
        <f>IF(L4=0,"",M4/L4)</f>
        <v/>
      </c>
      <c r="O4" s="4" t="n">
        <v>2604</v>
      </c>
      <c r="P4" s="4" t="n">
        <v>1660</v>
      </c>
      <c r="Q4" s="4" t="n">
        <v>21.1</v>
      </c>
      <c r="R4" s="8">
        <f>IF(D4=0,"",7/D4)</f>
        <v>0.411765</v>
      </c>
      <c r="S4" s="4" t="n">
        <v>0.477</v>
      </c>
      <c r="T4" s="4" t="n">
        <v>0.946</v>
      </c>
      <c r="U4" s="4" t="inlineStr">
        <is>
          <t>判断不能（n=5/1）</t>
        </is>
      </c>
    </row>
    <row r="5">
      <c r="A5" s="4" t="inlineStr">
        <is>
          <t>リコとマコトのゆっくり日常科学</t>
        </is>
      </c>
      <c r="B5" s="4" t="inlineStr">
        <is>
          <t>daily-science</t>
        </is>
      </c>
      <c r="C5" s="4" t="inlineStr">
        <is>
          <t>2026-09-08</t>
        </is>
      </c>
      <c r="D5" s="4" t="n">
        <v>50</v>
      </c>
      <c r="E5" s="5" t="n">
        <v>32093</v>
      </c>
      <c r="F5" s="4" t="n">
        <v>15</v>
      </c>
      <c r="G5" s="6">
        <f>IF(E5=0,"",F5/E5*1000)</f>
        <v>0.467392</v>
      </c>
      <c r="H5" s="4" t="n">
        <v>185</v>
      </c>
      <c r="I5" s="7">
        <f>IF(E5=0,"",H5/E5*100)</f>
        <v>0.57645</v>
      </c>
      <c r="J5" s="4" t="n">
        <v>3</v>
      </c>
      <c r="K5" s="4" t="n">
        <v>49.2</v>
      </c>
      <c r="L5" s="4" t="n">
        <v>6</v>
      </c>
      <c r="M5" s="4" t="n">
        <v>2</v>
      </c>
      <c r="N5" s="19">
        <f>IF(L5=0,"",M5/L5)</f>
        <v>0.333333</v>
      </c>
      <c r="O5" s="4" t="n">
        <v>7752</v>
      </c>
      <c r="P5" s="4" t="n">
        <v>9505</v>
      </c>
      <c r="Q5" s="4" t="n">
        <v>30.6</v>
      </c>
      <c r="R5" s="8">
        <f>IF(D5=0,"",9/D5)</f>
        <v>0.18</v>
      </c>
      <c r="S5" s="4" t="n">
        <v>0.534</v>
      </c>
      <c r="T5" s="4" t="n">
        <v>0.177</v>
      </c>
      <c r="U5" s="20" t="inlineStr">
        <is>
          <t>有効 3.0倍（n=30/6）</t>
        </is>
      </c>
    </row>
    <row r="6">
      <c r="A6" s="4" t="inlineStr">
        <is>
          <t>ゆっくり妖怪ラボ</t>
        </is>
      </c>
      <c r="B6" s="4" t="inlineStr">
        <is>
          <t>yokai-watch</t>
        </is>
      </c>
      <c r="C6" s="4" t="inlineStr">
        <is>
          <t>2026-09-08</t>
        </is>
      </c>
      <c r="D6" s="4" t="n">
        <v>49</v>
      </c>
      <c r="E6" s="5" t="n">
        <v>32387</v>
      </c>
      <c r="F6" s="4" t="n">
        <v>15</v>
      </c>
      <c r="G6" s="6">
        <f>IF(E6=0,"",F6/E6*1000)</f>
        <v>0.463149</v>
      </c>
      <c r="H6" s="4" t="n">
        <v>152</v>
      </c>
      <c r="I6" s="7">
        <f>IF(E6=0,"",H6/E6*100)</f>
        <v>0.469324</v>
      </c>
      <c r="J6" s="4" t="n">
        <v>0</v>
      </c>
      <c r="K6" s="4" t="n">
        <v>44</v>
      </c>
      <c r="L6" s="4" t="n">
        <v>2</v>
      </c>
      <c r="M6" s="4" t="n">
        <v>8</v>
      </c>
      <c r="N6" s="19">
        <f>IF(L6=0,"",M6/L6)</f>
        <v>4.0</v>
      </c>
      <c r="O6" s="4" t="n">
        <v>5664</v>
      </c>
      <c r="P6" s="4" t="n">
        <v>7648</v>
      </c>
      <c r="Q6" s="4" t="n">
        <v>30.2</v>
      </c>
      <c r="R6" s="8">
        <f>IF(D6=0,"",4/D6)</f>
        <v>0.081633</v>
      </c>
      <c r="S6" s="4" t="n">
        <v>0.607</v>
      </c>
      <c r="T6" s="4" t="n">
        <v>0.33</v>
      </c>
      <c r="U6" s="20" t="inlineStr">
        <is>
          <t>有効 1.8倍（n=12/17）</t>
        </is>
      </c>
    </row>
    <row r="7">
      <c r="A7" s="4" t="inlineStr">
        <is>
          <t>ポケモンラボ</t>
        </is>
      </c>
      <c r="B7" s="4" t="inlineStr">
        <is>
          <t>pokemon-lab</t>
        </is>
      </c>
      <c r="C7" s="4" t="inlineStr">
        <is>
          <t>2026-09-08</t>
        </is>
      </c>
      <c r="D7" s="4" t="n">
        <v>49</v>
      </c>
      <c r="E7" s="5" t="n">
        <v>33101</v>
      </c>
      <c r="F7" s="4" t="n">
        <v>9</v>
      </c>
      <c r="G7" s="6">
        <f>IF(E7=0,"",F7/E7*1000)</f>
        <v>0.271895</v>
      </c>
      <c r="H7" s="4" t="n">
        <v>83</v>
      </c>
      <c r="I7" s="7">
        <f>IF(E7=0,"",H7/E7*100)</f>
        <v>0.250748</v>
      </c>
      <c r="J7" s="4" t="n">
        <v>6</v>
      </c>
      <c r="K7" s="4" t="n">
        <v>49.3</v>
      </c>
      <c r="L7" s="4" t="n">
        <v>1</v>
      </c>
      <c r="M7" s="4" t="n">
        <v>2</v>
      </c>
      <c r="N7" s="19">
        <f>IF(L7=0,"",M7/L7)</f>
        <v>2.0</v>
      </c>
      <c r="O7" s="4" t="n">
        <v>7545</v>
      </c>
      <c r="P7" s="4" t="n">
        <v>6926</v>
      </c>
      <c r="Q7" s="4" t="n">
        <v>32</v>
      </c>
      <c r="R7" s="8">
        <f>IF(D7=0,"",5/D7)</f>
        <v>0.102041</v>
      </c>
      <c r="S7" s="4" t="n">
        <v>0.076</v>
      </c>
      <c r="T7" s="4" t="n">
        <v>0.409</v>
      </c>
      <c r="U7" s="9" t="inlineStr">
        <is>
          <t>逆効果 5.4倍（n=11/19）</t>
        </is>
      </c>
    </row>
    <row r="8">
      <c r="A8" s="4" t="inlineStr">
        <is>
          <t>深田えいみ 切り抜き</t>
        </is>
      </c>
      <c r="B8" s="4" t="inlineStr">
        <is>
          <t>clip-fukada</t>
        </is>
      </c>
      <c r="C8" s="4" t="inlineStr">
        <is>
          <t>2026-09-08</t>
        </is>
      </c>
      <c r="D8" s="4" t="n">
        <v>13</v>
      </c>
      <c r="E8" s="5" t="n">
        <v>23704</v>
      </c>
      <c r="F8" s="4" t="n">
        <v>5</v>
      </c>
      <c r="G8" s="6">
        <f>IF(E8=0,"",F8/E8*1000)</f>
        <v>0.210935</v>
      </c>
      <c r="H8" s="4" t="n">
        <v>52</v>
      </c>
      <c r="I8" s="7">
        <f>IF(E8=0,"",H8/E8*100)</f>
        <v>0.219372</v>
      </c>
      <c r="J8" s="4" t="n">
        <v>2</v>
      </c>
      <c r="K8" s="4" t="n">
        <v>62.6</v>
      </c>
      <c r="L8" s="4" t="n">
        <v>4</v>
      </c>
      <c r="M8" s="4" t="n">
        <v>2</v>
      </c>
      <c r="N8" s="19">
        <f>IF(L8=0,"",M8/L8)</f>
        <v>0.5</v>
      </c>
      <c r="O8" s="4" t="n">
        <v>20116</v>
      </c>
      <c r="P8" s="4" t="n">
        <v>3548</v>
      </c>
      <c r="Q8" s="4" t="n">
        <v>16.9</v>
      </c>
      <c r="R8" s="8">
        <f>IF(D8=0,"",11/D8)</f>
        <v>0.846154</v>
      </c>
      <c r="S8" s="4" t="inlineStr">
        <is>
          <t>n/a</t>
        </is>
      </c>
      <c r="T8" s="4" t="n">
        <v>0.213</v>
      </c>
      <c r="U8" s="4" t="inlineStr">
        <is>
          <t>判断不能（n=0/5）</t>
        </is>
      </c>
    </row>
    <row r="9">
      <c r="A9" s="4" t="inlineStr">
        <is>
          <t>2chまとめ</t>
        </is>
      </c>
      <c r="B9" s="4" t="inlineStr">
        <is>
          <t>2ch-matome</t>
        </is>
      </c>
      <c r="C9" s="4" t="inlineStr">
        <is>
          <t>2026-09-08</t>
        </is>
      </c>
      <c r="D9" s="4" t="n">
        <v>50</v>
      </c>
      <c r="E9" s="5" t="n">
        <v>40301</v>
      </c>
      <c r="F9" s="4" t="n">
        <v>8</v>
      </c>
      <c r="G9" s="6">
        <f>IF(E9=0,"",F9/E9*1000)</f>
        <v>0.198506</v>
      </c>
      <c r="H9" s="4" t="n">
        <v>93</v>
      </c>
      <c r="I9" s="7">
        <f>IF(E9=0,"",H9/E9*100)</f>
        <v>0.230764</v>
      </c>
      <c r="J9" s="4" t="n">
        <v>6</v>
      </c>
      <c r="K9" s="4" t="n">
        <v>48.8</v>
      </c>
      <c r="L9" s="4" t="n">
        <v>1</v>
      </c>
      <c r="M9" s="4" t="n">
        <v>2</v>
      </c>
      <c r="N9" s="19">
        <f>IF(L9=0,"",M9/L9)</f>
        <v>2.0</v>
      </c>
      <c r="O9" s="4" t="n">
        <v>8843</v>
      </c>
      <c r="P9" s="4" t="n">
        <v>8232</v>
      </c>
      <c r="Q9" s="4" t="n">
        <v>21.6</v>
      </c>
      <c r="R9" s="8">
        <f>IF(D9=0,"",17/D9)</f>
        <v>0.34</v>
      </c>
      <c r="S9" s="4" t="n">
        <v>0.246</v>
      </c>
      <c r="T9" s="4" t="n">
        <v>0.179</v>
      </c>
      <c r="U9" s="20" t="inlineStr">
        <is>
          <t>有効 1.4倍（n=12/27）</t>
        </is>
      </c>
    </row>
    <row r="10">
      <c r="A10" s="4" t="inlineStr">
        <is>
          <t>金子みゆ 切り抜き</t>
        </is>
      </c>
      <c r="B10" s="4" t="inlineStr">
        <is>
          <t>clip-kaneko</t>
        </is>
      </c>
      <c r="C10" s="4" t="inlineStr">
        <is>
          <t>2026-09-08</t>
        </is>
      </c>
      <c r="D10" s="4" t="n">
        <v>30</v>
      </c>
      <c r="E10" s="5" t="n">
        <v>23682</v>
      </c>
      <c r="F10" s="4" t="n">
        <v>4</v>
      </c>
      <c r="G10" s="6">
        <f>IF(E10=0,"",F10/E10*1000)</f>
        <v>0.168905</v>
      </c>
      <c r="H10" s="4" t="n">
        <v>55</v>
      </c>
      <c r="I10" s="7">
        <f>IF(E10=0,"",H10/E10*100)</f>
        <v>0.232244</v>
      </c>
      <c r="J10" s="4" t="n">
        <v>1</v>
      </c>
      <c r="K10" s="4" t="n">
        <v>50.6</v>
      </c>
      <c r="L10" s="4" t="n">
        <v>3</v>
      </c>
      <c r="M10" s="4" t="n">
        <v>1</v>
      </c>
      <c r="N10" s="19">
        <f>IF(L10=0,"",M10/L10)</f>
        <v>0.333333</v>
      </c>
      <c r="O10" s="4" t="n">
        <v>15668</v>
      </c>
      <c r="P10" s="4" t="n">
        <v>8003</v>
      </c>
      <c r="Q10" s="4" t="n">
        <v>19.5</v>
      </c>
      <c r="R10" s="8">
        <f>IF(D10=0,"",16/D10)</f>
        <v>0.533333</v>
      </c>
      <c r="S10" s="4" t="inlineStr">
        <is>
          <t>n/a</t>
        </is>
      </c>
      <c r="T10" s="4" t="n">
        <v>0.169</v>
      </c>
      <c r="U10" s="4" t="inlineStr">
        <is>
          <t>判断不能（n=0/21）</t>
        </is>
      </c>
    </row>
    <row r="11">
      <c r="A11" s="4" t="inlineStr">
        <is>
          <t>切り抜きラボ（ひろゆき）</t>
        </is>
      </c>
      <c r="B11" s="4" t="inlineStr">
        <is>
          <t>clip-lab</t>
        </is>
      </c>
      <c r="C11" s="4" t="inlineStr">
        <is>
          <t>2026-09-08</t>
        </is>
      </c>
      <c r="D11" s="4" t="n">
        <v>18</v>
      </c>
      <c r="E11" s="5" t="n">
        <v>42321</v>
      </c>
      <c r="F11" s="4" t="n">
        <v>1</v>
      </c>
      <c r="G11" s="6">
        <f>IF(E11=0,"",F11/E11*1000)</f>
        <v>0.023629</v>
      </c>
      <c r="H11" s="4" t="n">
        <v>67</v>
      </c>
      <c r="I11" s="7">
        <f>IF(E11=0,"",H11/E11*100)</f>
        <v>0.158314</v>
      </c>
      <c r="J11" s="4" t="n">
        <v>2</v>
      </c>
      <c r="K11" s="4" t="n">
        <v>61.1</v>
      </c>
      <c r="L11" s="4" t="n">
        <v>1</v>
      </c>
      <c r="M11" s="4" t="n">
        <v>1</v>
      </c>
      <c r="N11" s="19">
        <f>IF(L11=0,"",M11/L11)</f>
        <v>1.0</v>
      </c>
      <c r="O11" s="4" t="n">
        <v>19694</v>
      </c>
      <c r="P11" s="4" t="n">
        <v>13370</v>
      </c>
      <c r="Q11" s="4" t="n">
        <v>18.2</v>
      </c>
      <c r="R11" s="8">
        <f>IF(D11=0,"",12/D11)</f>
        <v>0.666667</v>
      </c>
      <c r="S11" s="4" t="inlineStr">
        <is>
          <t>n/a</t>
        </is>
      </c>
      <c r="T11" s="4" t="n">
        <v>0.024</v>
      </c>
      <c r="U11" s="4" t="inlineStr">
        <is>
          <t>判断不能（n=0/13）</t>
        </is>
      </c>
    </row>
    <row r="12">
      <c r="A12" s="4" t="inlineStr">
        <is>
          <t>架空論文ラボ</t>
        </is>
      </c>
      <c r="B12" s="4" t="inlineStr">
        <is>
          <t>fake-paper</t>
        </is>
      </c>
      <c r="C12" s="4" t="inlineStr">
        <is>
          <t>2026-09-06</t>
        </is>
      </c>
      <c r="D12" s="4" t="n">
        <v>17</v>
      </c>
      <c r="E12" s="5" t="n">
        <v>7047</v>
      </c>
      <c r="F12" s="4" t="n">
        <v>0</v>
      </c>
      <c r="G12" s="6">
        <f>IF(E12=0,"",F12/E12*1000)</f>
        <v>0.0</v>
      </c>
      <c r="H12" s="4" t="n">
        <v>28</v>
      </c>
      <c r="I12" s="7">
        <f>IF(E12=0,"",H12/E12*100)</f>
        <v>0.397332</v>
      </c>
      <c r="J12" s="4" t="n">
        <v>1</v>
      </c>
      <c r="K12" s="4" t="n">
        <v>42.7</v>
      </c>
      <c r="L12" s="4" t="n">
        <v>0</v>
      </c>
      <c r="M12" s="4" t="n">
        <v>1</v>
      </c>
      <c r="N12" s="19">
        <f>IF(L12=0,"",M12/L12)</f>
        <v/>
      </c>
      <c r="O12" s="4" t="n">
        <v>3071</v>
      </c>
      <c r="P12" s="4" t="n">
        <v>2860</v>
      </c>
      <c r="Q12" s="4" t="n">
        <v>22.3</v>
      </c>
      <c r="R12" s="8">
        <f>IF(D12=0,"",7/D12)</f>
        <v>0.411765</v>
      </c>
      <c r="S12" s="4" t="inlineStr">
        <is>
          <t>n/a</t>
        </is>
      </c>
      <c r="T12" s="4" t="n">
        <v>0</v>
      </c>
      <c r="U12" s="4" t="inlineStr">
        <is>
          <t>判断不能（n=0/9）</t>
        </is>
      </c>
    </row>
    <row r="14" ht="44" customHeight="1">
      <c r="A14" s="2" t="inlineStr">
        <is>
          <t>「成長倍率」は channel_metrics の登録純増（獲得−喪失）の週次比較。channel_metrics は 09-05 で停止しているため、直近週は 08/30〜09/05。「疑問形」の判定は 200再生以上の動画を対象に、タイトルに「なぜ／のか／どうして」を含むかで分けた。</t>
        </is>
      </c>
    </row>
  </sheetData>
  <mergeCells count="1">
    <mergeCell ref="A14:U1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13"/>
  <sheetViews>
    <sheetView workbookViewId="0">
      <pane ySplit="1" topLeftCell="A2" activePane="bottomLeft" state="frozen"/>
      <selection pane="bottomLeft" activeCell="A1" sqref="A1"/>
    </sheetView>
  </sheetViews>
  <sheetFormatPr baseColWidth="8" defaultRowHeight="15"/>
  <cols>
    <col width="22" customWidth="1" min="1" max="1"/>
    <col width="17" customWidth="1" min="2" max="2"/>
    <col width="9" customWidth="1" min="3" max="3"/>
    <col width="58" customWidth="1" min="4" max="4"/>
    <col width="9" customWidth="1" min="5" max="5"/>
    <col width="8" customWidth="1" min="6" max="6"/>
    <col width="9" customWidth="1" min="7" max="7"/>
    <col width="8" customWidth="1" min="8" max="8"/>
    <col width="7" customWidth="1" min="9" max="9"/>
    <col width="11" customWidth="1" min="10" max="10"/>
    <col width="9" customWidth="1" min="11" max="11"/>
    <col width="8" customWidth="1" min="12" max="12"/>
    <col width="16" customWidth="1" min="13" max="13"/>
  </cols>
  <sheetData>
    <row r="1">
      <c r="A1" s="3" t="inlineStr">
        <is>
          <t>チャンネル</t>
        </is>
      </c>
      <c r="B1" s="3" t="inlineStr">
        <is>
          <t>公開日時(UTC)</t>
        </is>
      </c>
      <c r="C1" s="3" t="inlineStr">
        <is>
          <t>枠(JST)</t>
        </is>
      </c>
      <c r="D1" s="3" t="inlineStr">
        <is>
          <t>タイトル</t>
        </is>
      </c>
      <c r="E1" s="3" t="inlineStr">
        <is>
          <t>実効字数</t>
        </is>
      </c>
      <c r="F1" s="3" t="inlineStr">
        <is>
          <t>疑問形</t>
        </is>
      </c>
      <c r="G1" s="3" t="inlineStr">
        <is>
          <t>再生</t>
        </is>
      </c>
      <c r="H1" s="3" t="inlineStr">
        <is>
          <t>いいね</t>
        </is>
      </c>
      <c r="I1" s="3" t="inlineStr">
        <is>
          <t>登録</t>
        </is>
      </c>
      <c r="J1" s="3" t="inlineStr">
        <is>
          <t>登録/千再生</t>
        </is>
      </c>
      <c r="K1" s="3" t="inlineStr">
        <is>
          <t>維持率%</t>
        </is>
      </c>
      <c r="L1" s="3" t="inlineStr">
        <is>
          <t>CTR%</t>
        </is>
      </c>
      <c r="M1" s="3" t="inlineStr">
        <is>
          <t>状態</t>
        </is>
      </c>
    </row>
    <row r="2">
      <c r="A2" s="4" t="inlineStr">
        <is>
          <t>ゆっくり異常存在SCPラボ</t>
        </is>
      </c>
      <c r="B2" s="4" t="inlineStr">
        <is>
          <t>2026-09-08T10:00</t>
        </is>
      </c>
      <c r="C2" s="4" t="inlineStr">
        <is>
          <t>19時</t>
        </is>
      </c>
      <c r="D2" s="4" t="inlineStr">
        <is>
          <t>7日間でずつ消えたエージェント名簿異常事件</t>
        </is>
      </c>
      <c r="E2" s="4" t="n">
        <v>21</v>
      </c>
      <c r="F2" s="4" t="inlineStr"/>
      <c r="G2" s="4" t="n">
        <v>0</v>
      </c>
      <c r="H2" s="4" t="n">
        <v>0</v>
      </c>
      <c r="I2" s="4" t="n">
        <v>0</v>
      </c>
      <c r="J2" s="6">
        <f>IF(G2=0,"",I2/G2*1000)</f>
        <v/>
      </c>
      <c r="K2" s="4" t="n">
        <v>0</v>
      </c>
      <c r="L2" s="4" t="n">
        <v>0</v>
      </c>
      <c r="M2" s="21" t="inlineStr">
        <is>
          <t>最新5本／集計待ち(2-3日遅延)</t>
        </is>
      </c>
    </row>
    <row r="3">
      <c r="A3" s="4" t="inlineStr">
        <is>
          <t>ゆっくり異常存在SCPラボ</t>
        </is>
      </c>
      <c r="B3" s="4" t="inlineStr">
        <is>
          <t>2026-09-08T08:00</t>
        </is>
      </c>
      <c r="C3" s="4" t="inlineStr">
        <is>
          <t>17時</t>
        </is>
      </c>
      <c r="D3" s="4" t="inlineStr">
        <is>
          <t>SCPの最後の一行だけが隔離対象になった理由</t>
        </is>
      </c>
      <c r="E3" s="4" t="n">
        <v>22</v>
      </c>
      <c r="F3" s="4" t="inlineStr"/>
      <c r="G3" s="4" t="n">
        <v>0</v>
      </c>
      <c r="H3" s="4" t="n">
        <v>0</v>
      </c>
      <c r="I3" s="4" t="n">
        <v>0</v>
      </c>
      <c r="J3" s="6">
        <f>IF(G3=0,"",I3/G3*1000)</f>
        <v/>
      </c>
      <c r="K3" s="4" t="n">
        <v>0</v>
      </c>
      <c r="L3" s="4" t="n">
        <v>0</v>
      </c>
      <c r="M3" s="21" t="inlineStr">
        <is>
          <t>最新5本／集計待ち(2-3日遅延)</t>
        </is>
      </c>
    </row>
    <row r="4">
      <c r="A4" s="4" t="inlineStr">
        <is>
          <t>ゆっくり異常存在SCPラボ</t>
        </is>
      </c>
      <c r="B4" s="4" t="inlineStr">
        <is>
          <t>2026-09-08T04:00</t>
        </is>
      </c>
      <c r="C4" s="4" t="inlineStr">
        <is>
          <t>13時</t>
        </is>
      </c>
      <c r="D4" s="4" t="inlineStr">
        <is>
          <t>SCP-3288 大雨の真相 あなたの部屋も沈む</t>
        </is>
      </c>
      <c r="E4" s="4" t="n">
        <v>24</v>
      </c>
      <c r="F4" s="4" t="inlineStr"/>
      <c r="G4" s="4" t="n">
        <v>0</v>
      </c>
      <c r="H4" s="4" t="n">
        <v>0</v>
      </c>
      <c r="I4" s="4" t="n">
        <v>0</v>
      </c>
      <c r="J4" s="6">
        <f>IF(G4=0,"",I4/G4*1000)</f>
        <v/>
      </c>
      <c r="K4" s="4" t="n">
        <v>0</v>
      </c>
      <c r="L4" s="4" t="n">
        <v>0</v>
      </c>
      <c r="M4" s="21" t="inlineStr">
        <is>
          <t>最新5本／集計待ち(2-3日遅延)</t>
        </is>
      </c>
    </row>
    <row r="5">
      <c r="A5" s="4" t="inlineStr">
        <is>
          <t>ゆっくり異常存在SCPラボ</t>
        </is>
      </c>
      <c r="B5" s="4" t="inlineStr">
        <is>
          <t>2026-09-07T10:00</t>
        </is>
      </c>
      <c r="C5" s="4" t="inlineStr">
        <is>
          <t>19時</t>
        </is>
      </c>
      <c r="D5" s="4" t="inlineStr">
        <is>
          <t>SCP-7241 収容違反記録から毎回消える頁</t>
        </is>
      </c>
      <c r="E5" s="4" t="n">
        <v>23</v>
      </c>
      <c r="F5" s="4" t="inlineStr"/>
      <c r="G5" s="4" t="n">
        <v>0</v>
      </c>
      <c r="H5" s="4" t="n">
        <v>0</v>
      </c>
      <c r="I5" s="4" t="n">
        <v>0</v>
      </c>
      <c r="J5" s="6">
        <f>IF(G5=0,"",I5/G5*1000)</f>
        <v/>
      </c>
      <c r="K5" s="4" t="n">
        <v>0</v>
      </c>
      <c r="L5" s="4" t="n">
        <v>0</v>
      </c>
      <c r="M5" s="21" t="inlineStr">
        <is>
          <t>最新5本／集計待ち(2-3日遅延)</t>
        </is>
      </c>
    </row>
    <row r="6">
      <c r="A6" s="4" t="inlineStr">
        <is>
          <t>ゆっくり異常存在SCPラボ</t>
        </is>
      </c>
      <c r="B6" s="4" t="inlineStr">
        <is>
          <t>2026-09-07T08:00</t>
        </is>
      </c>
      <c r="C6" s="4" t="inlineStr">
        <is>
          <t>17時</t>
        </is>
      </c>
      <c r="D6" s="4" t="inlineStr">
        <is>
          <t>なぜこの火山は72時間沈黙し職員が消えるのか</t>
        </is>
      </c>
      <c r="E6" s="4" t="n">
        <v>22</v>
      </c>
      <c r="F6" s="4" t="inlineStr">
        <is>
          <t>○</t>
        </is>
      </c>
      <c r="G6" s="4" t="n">
        <v>0</v>
      </c>
      <c r="H6" s="4" t="n">
        <v>0</v>
      </c>
      <c r="I6" s="4" t="n">
        <v>0</v>
      </c>
      <c r="J6" s="6">
        <f>IF(G6=0,"",I6/G6*1000)</f>
        <v/>
      </c>
      <c r="K6" s="4" t="n">
        <v>0</v>
      </c>
      <c r="L6" s="4" t="n">
        <v>0</v>
      </c>
      <c r="M6" s="21" t="inlineStr">
        <is>
          <t>最新5本／集計待ち(2-3日遅延)</t>
        </is>
      </c>
    </row>
    <row r="7">
      <c r="A7" s="4" t="inlineStr">
        <is>
          <t>ゆっくり異常存在SCPラボ</t>
        </is>
      </c>
      <c r="B7" s="4" t="inlineStr">
        <is>
          <t>2026-09-06T04:00</t>
        </is>
      </c>
      <c r="C7" s="4" t="inlineStr">
        <is>
          <t>13時</t>
        </is>
      </c>
      <c r="D7" s="4" t="inlineStr">
        <is>
          <t>なぜ非常灯が消えた3秒に5人目の足音がしたのか</t>
        </is>
      </c>
      <c r="E7" s="4" t="n">
        <v>23</v>
      </c>
      <c r="F7" s="4" t="inlineStr">
        <is>
          <t>○</t>
        </is>
      </c>
      <c r="G7" s="4" t="n">
        <v>891</v>
      </c>
      <c r="H7" s="4" t="n">
        <v>3</v>
      </c>
      <c r="I7" s="4" t="n">
        <v>0</v>
      </c>
      <c r="J7" s="6">
        <f>IF(G7=0,"",I7/G7*1000)</f>
        <v>0.0</v>
      </c>
      <c r="K7" s="4" t="n">
        <v>0</v>
      </c>
      <c r="L7" s="4" t="n">
        <v>0.03</v>
      </c>
      <c r="M7" s="4" t="inlineStr">
        <is>
          <t>実績のある直近5本</t>
        </is>
      </c>
    </row>
    <row r="8">
      <c r="A8" s="4" t="inlineStr">
        <is>
          <t>ゆっくり異常存在SCPラボ</t>
        </is>
      </c>
      <c r="B8" s="4" t="inlineStr">
        <is>
          <t>2026-09-05T10:00</t>
        </is>
      </c>
      <c r="C8" s="4" t="inlineStr">
        <is>
          <t>19時</t>
        </is>
      </c>
      <c r="D8" s="4" t="inlineStr">
        <is>
          <t>SCP-096の顔を見た者に起きた記録消失の真相</t>
        </is>
      </c>
      <c r="E8" s="4" t="n">
        <v>24</v>
      </c>
      <c r="F8" s="4" t="inlineStr"/>
      <c r="G8" s="4" t="n">
        <v>911</v>
      </c>
      <c r="H8" s="4" t="n">
        <v>7</v>
      </c>
      <c r="I8" s="4" t="n">
        <v>2</v>
      </c>
      <c r="J8" s="6">
        <f>IF(G8=0,"",I8/G8*1000)</f>
        <v>2.19539</v>
      </c>
      <c r="K8" s="4" t="n">
        <v>40</v>
      </c>
      <c r="L8" s="4" t="n">
        <v>0.03</v>
      </c>
      <c r="M8" s="4" t="inlineStr">
        <is>
          <t>実績のある直近5本</t>
        </is>
      </c>
    </row>
    <row r="9">
      <c r="A9" s="4" t="inlineStr">
        <is>
          <t>ゆっくり異常存在SCPラボ</t>
        </is>
      </c>
      <c r="B9" s="4" t="inlineStr">
        <is>
          <t>2026-09-05T08:00</t>
        </is>
      </c>
      <c r="C9" s="4" t="inlineStr">
        <is>
          <t>17時</t>
        </is>
      </c>
      <c r="D9" s="4" t="inlineStr">
        <is>
          <t>SCP-2006 笑い声を聞いた12名に起きた異変</t>
        </is>
      </c>
      <c r="E9" s="4" t="n">
        <v>25</v>
      </c>
      <c r="F9" s="4" t="inlineStr"/>
      <c r="G9" s="4" t="n">
        <v>901</v>
      </c>
      <c r="H9" s="4" t="n">
        <v>4</v>
      </c>
      <c r="I9" s="4" t="n">
        <v>0</v>
      </c>
      <c r="J9" s="6">
        <f>IF(G9=0,"",I9/G9*1000)</f>
        <v>0.0</v>
      </c>
      <c r="K9" s="4" t="n">
        <v>39</v>
      </c>
      <c r="L9" s="4" t="n">
        <v>0.01</v>
      </c>
      <c r="M9" s="4" t="inlineStr">
        <is>
          <t>実績のある直近5本</t>
        </is>
      </c>
    </row>
    <row r="10">
      <c r="A10" s="4" t="inlineStr">
        <is>
          <t>ゆっくり異常存在SCPラボ</t>
        </is>
      </c>
      <c r="B10" s="4" t="inlineStr">
        <is>
          <t>2026-09-05T04:00</t>
        </is>
      </c>
      <c r="C10" s="4" t="inlineStr">
        <is>
          <t>13時</t>
        </is>
      </c>
      <c r="D10" s="4" t="inlineStr">
        <is>
          <t>SCP-███ 持ち出した報告書が3日後に戻った</t>
        </is>
      </c>
      <c r="E10" s="4" t="n">
        <v>24</v>
      </c>
      <c r="F10" s="4" t="inlineStr"/>
      <c r="G10" s="4" t="n">
        <v>252</v>
      </c>
      <c r="H10" s="4" t="n">
        <v>0</v>
      </c>
      <c r="I10" s="4" t="n">
        <v>0</v>
      </c>
      <c r="J10" s="6">
        <f>IF(G10=0,"",I10/G10*1000)</f>
        <v>0.0</v>
      </c>
      <c r="K10" s="4" t="n">
        <v>29.5</v>
      </c>
      <c r="L10" s="4" t="n">
        <v>0</v>
      </c>
      <c r="M10" s="4" t="inlineStr">
        <is>
          <t>実績のある直近5本</t>
        </is>
      </c>
    </row>
    <row r="11">
      <c r="A11" s="4" t="inlineStr">
        <is>
          <t>ゆっくり異常存在SCPラボ</t>
        </is>
      </c>
      <c r="B11" s="4" t="inlineStr">
        <is>
          <t>2026-09-05T00:00</t>
        </is>
      </c>
      <c r="C11" s="4" t="inlineStr">
        <is>
          <t>9時</t>
        </is>
      </c>
      <c r="D11" s="4" t="inlineStr">
        <is>
          <t>SCP-2140 閲覧後、8人の職員記録が別人に置換された</t>
        </is>
      </c>
      <c r="E11" s="4" t="n">
        <v>29</v>
      </c>
      <c r="F11" s="4" t="inlineStr"/>
      <c r="G11" s="4" t="n">
        <v>1003</v>
      </c>
      <c r="H11" s="4" t="n">
        <v>3</v>
      </c>
      <c r="I11" s="4" t="n">
        <v>1</v>
      </c>
      <c r="J11" s="6">
        <f>IF(G11=0,"",I11/G11*1000)</f>
        <v>0.997009</v>
      </c>
      <c r="K11" s="4" t="n">
        <v>31.7</v>
      </c>
      <c r="L11" s="4" t="n">
        <v>0.02</v>
      </c>
      <c r="M11" s="4" t="inlineStr">
        <is>
          <t>実績のある直近5本</t>
        </is>
      </c>
    </row>
    <row r="12">
      <c r="A12" s="4" t="inlineStr">
        <is>
          <t>企業のホンネ</t>
        </is>
      </c>
      <c r="B12" s="4" t="inlineStr">
        <is>
          <t>2026-09-08T10:00</t>
        </is>
      </c>
      <c r="C12" s="4" t="inlineStr">
        <is>
          <t>19時</t>
        </is>
      </c>
      <c r="D12" s="4" t="inlineStr">
        <is>
          <t>ユニクロ店長、売上1億円を任される仕事の実態</t>
        </is>
      </c>
      <c r="E12" s="4" t="n">
        <v>22</v>
      </c>
      <c r="F12" s="4" t="inlineStr"/>
      <c r="G12" s="4" t="n">
        <v>0</v>
      </c>
      <c r="H12" s="4" t="n">
        <v>0</v>
      </c>
      <c r="I12" s="4" t="n">
        <v>0</v>
      </c>
      <c r="J12" s="6">
        <f>IF(G12=0,"",I12/G12*1000)</f>
        <v/>
      </c>
      <c r="K12" s="4" t="n">
        <v>0</v>
      </c>
      <c r="L12" s="4" t="n">
        <v>0</v>
      </c>
      <c r="M12" s="21" t="inlineStr">
        <is>
          <t>最新5本／集計待ち(2-3日遅延)</t>
        </is>
      </c>
    </row>
    <row r="13">
      <c r="A13" s="4" t="inlineStr">
        <is>
          <t>企業のホンネ</t>
        </is>
      </c>
      <c r="B13" s="4" t="inlineStr">
        <is>
          <t>2026-09-08T08:00</t>
        </is>
      </c>
      <c r="C13" s="4" t="inlineStr">
        <is>
          <t>17時</t>
        </is>
      </c>
      <c r="D13" s="4" t="inlineStr">
        <is>
          <t>NTTデータの年収905万円、実は在宅勤務の裏側</t>
        </is>
      </c>
      <c r="E13" s="4" t="n">
        <v>24</v>
      </c>
      <c r="F13" s="4" t="inlineStr"/>
      <c r="G13" s="4" t="n">
        <v>0</v>
      </c>
      <c r="H13" s="4" t="n">
        <v>0</v>
      </c>
      <c r="I13" s="4" t="n">
        <v>0</v>
      </c>
      <c r="J13" s="6">
        <f>IF(G13=0,"",I13/G13*1000)</f>
        <v/>
      </c>
      <c r="K13" s="4" t="n">
        <v>0</v>
      </c>
      <c r="L13" s="4" t="n">
        <v>0</v>
      </c>
      <c r="M13" s="21" t="inlineStr">
        <is>
          <t>最新5本／集計待ち(2-3日遅延)</t>
        </is>
      </c>
    </row>
    <row r="14">
      <c r="A14" s="4" t="inlineStr">
        <is>
          <t>企業のホンネ</t>
        </is>
      </c>
      <c r="B14" s="4" t="inlineStr">
        <is>
          <t>2026-09-07T23:15</t>
        </is>
      </c>
      <c r="C14" s="4" t="inlineStr">
        <is>
          <t>8時</t>
        </is>
      </c>
      <c r="D14" s="4" t="inlineStr">
        <is>
          <t>大和ハウス工業の年収1000万円超、残業の実態がヤバい</t>
        </is>
      </c>
      <c r="E14" s="4" t="n">
        <v>27</v>
      </c>
      <c r="F14" s="4" t="inlineStr"/>
      <c r="G14" s="4" t="n">
        <v>0</v>
      </c>
      <c r="H14" s="4" t="n">
        <v>0</v>
      </c>
      <c r="I14" s="4" t="n">
        <v>0</v>
      </c>
      <c r="J14" s="6">
        <f>IF(G14=0,"",I14/G14*1000)</f>
        <v/>
      </c>
      <c r="K14" s="4" t="n">
        <v>0</v>
      </c>
      <c r="L14" s="4" t="n">
        <v>0</v>
      </c>
      <c r="M14" s="21" t="inlineStr">
        <is>
          <t>最新5本／集計待ち(2-3日遅延)</t>
        </is>
      </c>
    </row>
    <row r="15">
      <c r="A15" s="4" t="inlineStr">
        <is>
          <t>企業のホンネ</t>
        </is>
      </c>
      <c r="B15" s="4" t="inlineStr">
        <is>
          <t>2026-09-07T08:00</t>
        </is>
      </c>
      <c r="C15" s="4" t="inlineStr">
        <is>
          <t>17時</t>
        </is>
      </c>
      <c r="D15" s="4" t="inlineStr">
        <is>
          <t>日本郵政の年収、職種で2倍差がつく理由</t>
        </is>
      </c>
      <c r="E15" s="9" t="n">
        <v>19</v>
      </c>
      <c r="F15" s="4" t="inlineStr"/>
      <c r="G15" s="4" t="n">
        <v>0</v>
      </c>
      <c r="H15" s="4" t="n">
        <v>0</v>
      </c>
      <c r="I15" s="4" t="n">
        <v>0</v>
      </c>
      <c r="J15" s="6">
        <f>IF(G15=0,"",I15/G15*1000)</f>
        <v/>
      </c>
      <c r="K15" s="4" t="n">
        <v>0</v>
      </c>
      <c r="L15" s="4" t="n">
        <v>0</v>
      </c>
      <c r="M15" s="21" t="inlineStr">
        <is>
          <t>最新5本／集計待ち(2-3日遅延)</t>
        </is>
      </c>
    </row>
    <row r="16">
      <c r="A16" s="4" t="inlineStr">
        <is>
          <t>企業のホンネ</t>
        </is>
      </c>
      <c r="B16" s="4" t="inlineStr">
        <is>
          <t>2026-09-07T04:30</t>
        </is>
      </c>
      <c r="C16" s="4" t="inlineStr">
        <is>
          <t>13時</t>
        </is>
      </c>
      <c r="D16" s="4" t="inlineStr">
        <is>
          <t>サイゼリヤの原価率が社員年収に与える意外な影響</t>
        </is>
      </c>
      <c r="E16" s="4" t="n">
        <v>23</v>
      </c>
      <c r="F16" s="4" t="inlineStr"/>
      <c r="G16" s="4" t="n">
        <v>0</v>
      </c>
      <c r="H16" s="4" t="n">
        <v>0</v>
      </c>
      <c r="I16" s="4" t="n">
        <v>0</v>
      </c>
      <c r="J16" s="6">
        <f>IF(G16=0,"",I16/G16*1000)</f>
        <v/>
      </c>
      <c r="K16" s="4" t="n">
        <v>0</v>
      </c>
      <c r="L16" s="4" t="n">
        <v>0</v>
      </c>
      <c r="M16" s="21" t="inlineStr">
        <is>
          <t>最新5本／集計待ち(2-3日遅延)</t>
        </is>
      </c>
    </row>
    <row r="17">
      <c r="A17" s="4" t="inlineStr">
        <is>
          <t>企業のホンネ</t>
        </is>
      </c>
      <c r="B17" s="4" t="inlineStr">
        <is>
          <t>2026-09-06T04:30</t>
        </is>
      </c>
      <c r="C17" s="4" t="inlineStr">
        <is>
          <t>13時</t>
        </is>
      </c>
      <c r="D17" s="4" t="inlineStr">
        <is>
          <t>トヨタ895万円の実態、ルーミー人気を支える社員の本音</t>
        </is>
      </c>
      <c r="E17" s="4" t="n">
        <v>27</v>
      </c>
      <c r="F17" s="4" t="inlineStr"/>
      <c r="G17" s="4" t="n">
        <v>1039</v>
      </c>
      <c r="H17" s="4" t="n">
        <v>2</v>
      </c>
      <c r="I17" s="4" t="n">
        <v>0</v>
      </c>
      <c r="J17" s="6">
        <f>IF(G17=0,"",I17/G17*1000)</f>
        <v>0.0</v>
      </c>
      <c r="K17" s="4" t="n">
        <v>63.8</v>
      </c>
      <c r="L17" s="4" t="n">
        <v>0.03</v>
      </c>
      <c r="M17" s="4" t="inlineStr">
        <is>
          <t>実績のある直近5本</t>
        </is>
      </c>
    </row>
    <row r="18">
      <c r="A18" s="4" t="inlineStr">
        <is>
          <t>企業のホンネ</t>
        </is>
      </c>
      <c r="B18" s="4" t="inlineStr">
        <is>
          <t>2026-09-05T23:15</t>
        </is>
      </c>
      <c r="C18" s="4" t="inlineStr">
        <is>
          <t>8時</t>
        </is>
      </c>
      <c r="D18" s="4" t="inlineStr">
        <is>
          <t>東京エレクトロンの年収1272万円、実は転職後に差が出る</t>
        </is>
      </c>
      <c r="E18" s="4" t="n">
        <v>28</v>
      </c>
      <c r="F18" s="4" t="inlineStr"/>
      <c r="G18" s="4" t="n">
        <v>942</v>
      </c>
      <c r="H18" s="4" t="n">
        <v>1</v>
      </c>
      <c r="I18" s="4" t="n">
        <v>1</v>
      </c>
      <c r="J18" s="6">
        <f>IF(G18=0,"",I18/G18*1000)</f>
        <v>1.061571</v>
      </c>
      <c r="K18" s="4" t="n">
        <v>37.5</v>
      </c>
      <c r="L18" s="4" t="n">
        <v>0.03</v>
      </c>
      <c r="M18" s="4" t="inlineStr">
        <is>
          <t>実績のある直近5本</t>
        </is>
      </c>
    </row>
    <row r="19">
      <c r="A19" s="4" t="inlineStr">
        <is>
          <t>企業のホンネ</t>
        </is>
      </c>
      <c r="B19" s="4" t="inlineStr">
        <is>
          <t>2026-09-05T08:00</t>
        </is>
      </c>
      <c r="C19" s="4" t="inlineStr">
        <is>
          <t>17時</t>
        </is>
      </c>
      <c r="D19" s="4" t="inlineStr">
        <is>
          <t>キーエンス年収2067万円の内訳、残業37.7時間と評価制度</t>
        </is>
      </c>
      <c r="E19" s="4" t="n">
        <v>30</v>
      </c>
      <c r="F19" s="4" t="inlineStr"/>
      <c r="G19" s="4" t="n">
        <v>980</v>
      </c>
      <c r="H19" s="4" t="n">
        <v>3</v>
      </c>
      <c r="I19" s="4" t="n">
        <v>1</v>
      </c>
      <c r="J19" s="6">
        <f>IF(G19=0,"",I19/G19*1000)</f>
        <v>1.020408</v>
      </c>
      <c r="K19" s="4" t="n">
        <v>59.7</v>
      </c>
      <c r="L19" s="4" t="n">
        <v>0.01</v>
      </c>
      <c r="M19" s="4" t="inlineStr">
        <is>
          <t>実績のある直近5本</t>
        </is>
      </c>
    </row>
    <row r="20">
      <c r="A20" s="4" t="inlineStr">
        <is>
          <t>企業のホンネ</t>
        </is>
      </c>
      <c r="B20" s="4" t="inlineStr">
        <is>
          <t>2026-09-05T04:30</t>
        </is>
      </c>
      <c r="C20" s="4" t="inlineStr">
        <is>
          <t>13時</t>
        </is>
      </c>
      <c r="D20" s="4" t="inlineStr">
        <is>
          <t>東京エレクトロンの年収1272万円、実は株価上昇の裏側</t>
        </is>
      </c>
      <c r="E20" s="4" t="n">
        <v>27</v>
      </c>
      <c r="F20" s="4" t="inlineStr"/>
      <c r="G20" s="4" t="n">
        <v>241</v>
      </c>
      <c r="H20" s="4" t="n">
        <v>0</v>
      </c>
      <c r="I20" s="4" t="n">
        <v>0</v>
      </c>
      <c r="J20" s="6">
        <f>IF(G20=0,"",I20/G20*1000)</f>
        <v>0.0</v>
      </c>
      <c r="K20" s="4" t="n">
        <v>36.9</v>
      </c>
      <c r="L20" s="4" t="n">
        <v>0.06</v>
      </c>
      <c r="M20" s="4" t="inlineStr">
        <is>
          <t>実績のある直近5本</t>
        </is>
      </c>
    </row>
    <row r="21">
      <c r="A21" s="4" t="inlineStr">
        <is>
          <t>企業のホンネ</t>
        </is>
      </c>
      <c r="B21" s="4" t="inlineStr">
        <is>
          <t>2026-09-04T23:15</t>
        </is>
      </c>
      <c r="C21" s="4" t="inlineStr">
        <is>
          <t>8時</t>
        </is>
      </c>
      <c r="D21" s="4" t="inlineStr">
        <is>
          <t>航空自衛隊千歳の正体、年収400万円台の実態</t>
        </is>
      </c>
      <c r="E21" s="4" t="n">
        <v>22</v>
      </c>
      <c r="F21" s="4" t="inlineStr"/>
      <c r="G21" s="4" t="n">
        <v>999</v>
      </c>
      <c r="H21" s="4" t="n">
        <v>2</v>
      </c>
      <c r="I21" s="4" t="n">
        <v>0</v>
      </c>
      <c r="J21" s="6">
        <f>IF(G21=0,"",I21/G21*1000)</f>
        <v>0.0</v>
      </c>
      <c r="K21" s="4" t="n">
        <v>53.4</v>
      </c>
      <c r="L21" s="4" t="n">
        <v>0.02</v>
      </c>
      <c r="M21" s="4" t="inlineStr">
        <is>
          <t>実績のある直近5本</t>
        </is>
      </c>
    </row>
    <row r="22">
      <c r="A22" s="4" t="inlineStr">
        <is>
          <t>ラグナロクの司書</t>
        </is>
      </c>
      <c r="B22" s="4" t="inlineStr">
        <is>
          <t>2026-09-06T09:45</t>
        </is>
      </c>
      <c r="C22" s="4" t="inlineStr">
        <is>
          <t>18時</t>
        </is>
      </c>
      <c r="D22" s="4" t="inlineStr">
        <is>
          <t>一人で止まる全員の決定</t>
        </is>
      </c>
      <c r="E22" s="9" t="n">
        <v>11</v>
      </c>
      <c r="F22" s="4" t="inlineStr"/>
      <c r="G22" s="4" t="n">
        <v>0</v>
      </c>
      <c r="H22" s="4" t="n">
        <v>0</v>
      </c>
      <c r="I22" s="4" t="n">
        <v>0</v>
      </c>
      <c r="J22" s="6">
        <f>IF(G22=0,"",I22/G22*1000)</f>
        <v/>
      </c>
      <c r="K22" s="4" t="n">
        <v>0</v>
      </c>
      <c r="L22" s="4" t="n">
        <v>0</v>
      </c>
      <c r="M22" s="21" t="inlineStr">
        <is>
          <t>最新5本／集計待ち(2-3日遅延)</t>
        </is>
      </c>
    </row>
    <row r="23">
      <c r="A23" s="4" t="inlineStr">
        <is>
          <t>ラグナロクの司書</t>
        </is>
      </c>
      <c r="B23" s="4" t="inlineStr">
        <is>
          <t>2026-09-06T05:30</t>
        </is>
      </c>
      <c r="C23" s="4" t="inlineStr">
        <is>
          <t>14時</t>
        </is>
      </c>
      <c r="D23" s="4" t="inlineStr">
        <is>
          <t>予定が多い休めない理由</t>
        </is>
      </c>
      <c r="E23" s="9" t="n">
        <v>11</v>
      </c>
      <c r="F23" s="4" t="inlineStr"/>
      <c r="G23" s="4" t="n">
        <v>0</v>
      </c>
      <c r="H23" s="4" t="n">
        <v>0</v>
      </c>
      <c r="I23" s="4" t="n">
        <v>0</v>
      </c>
      <c r="J23" s="6">
        <f>IF(G23=0,"",I23/G23*1000)</f>
        <v/>
      </c>
      <c r="K23" s="4" t="n">
        <v>0</v>
      </c>
      <c r="L23" s="4" t="n">
        <v>0</v>
      </c>
      <c r="M23" s="21" t="inlineStr">
        <is>
          <t>最新5本／集計待ち(2-3日遅延)</t>
        </is>
      </c>
    </row>
    <row r="24">
      <c r="A24" s="4" t="inlineStr">
        <is>
          <t>ラグナロクの司書</t>
        </is>
      </c>
      <c r="B24" s="4" t="inlineStr">
        <is>
          <t>2026-09-06T01:00</t>
        </is>
      </c>
      <c r="C24" s="4" t="inlineStr">
        <is>
          <t>10時</t>
        </is>
      </c>
      <c r="D24" s="4" t="inlineStr">
        <is>
          <t>なぜ失った3時間だけ？人はやめるほどさらに時間を注ぐのか</t>
        </is>
      </c>
      <c r="E24" s="4" t="n">
        <v>28</v>
      </c>
      <c r="F24" s="4" t="inlineStr">
        <is>
          <t>○</t>
        </is>
      </c>
      <c r="G24" s="4" t="n">
        <v>0</v>
      </c>
      <c r="H24" s="4" t="n">
        <v>0</v>
      </c>
      <c r="I24" s="4" t="n">
        <v>0</v>
      </c>
      <c r="J24" s="6">
        <f>IF(G24=0,"",I24/G24*1000)</f>
        <v/>
      </c>
      <c r="K24" s="4" t="n">
        <v>0</v>
      </c>
      <c r="L24" s="4" t="n">
        <v>0</v>
      </c>
      <c r="M24" s="21" t="inlineStr">
        <is>
          <t>最新5本／集計待ち(2-3日遅延)</t>
        </is>
      </c>
    </row>
    <row r="25">
      <c r="A25" s="4" t="inlineStr">
        <is>
          <t>ラグナロクの司書</t>
        </is>
      </c>
      <c r="B25" s="4" t="inlineStr">
        <is>
          <t>2026-09-05T09:45</t>
        </is>
      </c>
      <c r="C25" s="4" t="inlineStr">
        <is>
          <t>18時</t>
        </is>
      </c>
      <c r="D25" s="4" t="inlineStr">
        <is>
          <t>なぜ通知だけ？消した直後にまた開く本当の理由</t>
        </is>
      </c>
      <c r="E25" s="4" t="n">
        <v>22</v>
      </c>
      <c r="F25" s="4" t="inlineStr">
        <is>
          <t>○</t>
        </is>
      </c>
      <c r="G25" s="4" t="n">
        <v>0</v>
      </c>
      <c r="H25" s="4" t="n">
        <v>0</v>
      </c>
      <c r="I25" s="4" t="n">
        <v>0</v>
      </c>
      <c r="J25" s="6">
        <f>IF(G25=0,"",I25/G25*1000)</f>
        <v/>
      </c>
      <c r="K25" s="4" t="n">
        <v>0</v>
      </c>
      <c r="L25" s="4" t="n">
        <v>0</v>
      </c>
      <c r="M25" s="21" t="inlineStr">
        <is>
          <t>最新5本／集計待ち(2-3日遅延)</t>
        </is>
      </c>
    </row>
    <row r="26">
      <c r="A26" s="4" t="inlineStr">
        <is>
          <t>ラグナロクの司書</t>
        </is>
      </c>
      <c r="B26" s="4" t="inlineStr">
        <is>
          <t>2026-09-05T05:30</t>
        </is>
      </c>
      <c r="C26" s="4" t="inlineStr">
        <is>
          <t>14時</t>
        </is>
      </c>
      <c r="D26" s="4" t="inlineStr">
        <is>
          <t>なぜ無料だけ？誰かが黙って払うサービスの本当の理由</t>
        </is>
      </c>
      <c r="E26" s="4" t="n">
        <v>25</v>
      </c>
      <c r="F26" s="4" t="inlineStr">
        <is>
          <t>○</t>
        </is>
      </c>
      <c r="G26" s="4" t="n">
        <v>0</v>
      </c>
      <c r="H26" s="4" t="n">
        <v>0</v>
      </c>
      <c r="I26" s="4" t="n">
        <v>0</v>
      </c>
      <c r="J26" s="6">
        <f>IF(G26=0,"",I26/G26*1000)</f>
        <v/>
      </c>
      <c r="K26" s="4" t="n">
        <v>0</v>
      </c>
      <c r="L26" s="4" t="n">
        <v>0</v>
      </c>
      <c r="M26" s="21" t="inlineStr">
        <is>
          <t>最新5本／集計待ち(2-3日遅延)</t>
        </is>
      </c>
    </row>
    <row r="27">
      <c r="A27" s="4" t="inlineStr">
        <is>
          <t>ラグナロクの司書</t>
        </is>
      </c>
      <c r="B27" s="4" t="inlineStr">
        <is>
          <t>2026-09-04T05:30</t>
        </is>
      </c>
      <c r="C27" s="4" t="inlineStr">
        <is>
          <t>14時</t>
        </is>
      </c>
      <c r="D27" s="4" t="inlineStr">
        <is>
          <t>なぜ同じ失敗でも、肩書きがある人だけ許されるのか</t>
        </is>
      </c>
      <c r="E27" s="4" t="n">
        <v>24</v>
      </c>
      <c r="F27" s="4" t="inlineStr">
        <is>
          <t>○</t>
        </is>
      </c>
      <c r="G27" s="4" t="n">
        <v>474</v>
      </c>
      <c r="H27" s="4" t="n">
        <v>1</v>
      </c>
      <c r="I27" s="4" t="n">
        <v>0</v>
      </c>
      <c r="J27" s="6">
        <f>IF(G27=0,"",I27/G27*1000)</f>
        <v>0.0</v>
      </c>
      <c r="K27" s="4" t="n">
        <v>49.9</v>
      </c>
      <c r="L27" s="4" t="n">
        <v>0</v>
      </c>
      <c r="M27" s="4" t="inlineStr">
        <is>
          <t>実績のある直近5本</t>
        </is>
      </c>
    </row>
    <row r="28">
      <c r="A28" s="4" t="inlineStr">
        <is>
          <t>ラグナロクの司書</t>
        </is>
      </c>
      <c r="B28" s="4" t="inlineStr">
        <is>
          <t>2026-09-02T09:45</t>
        </is>
      </c>
      <c r="C28" s="4" t="inlineStr">
        <is>
          <t>18時</t>
        </is>
      </c>
      <c r="D28" s="4" t="inlineStr">
        <is>
          <t>なぜ移籍した選手だけ？昨日までの英雄が急に裏切り者になる理由</t>
        </is>
      </c>
      <c r="E28" s="4" t="n">
        <v>30</v>
      </c>
      <c r="F28" s="4" t="inlineStr">
        <is>
          <t>○</t>
        </is>
      </c>
      <c r="G28" s="4" t="n">
        <v>1176</v>
      </c>
      <c r="H28" s="4" t="n">
        <v>3</v>
      </c>
      <c r="I28" s="4" t="n">
        <v>0</v>
      </c>
      <c r="J28" s="6">
        <f>IF(G28=0,"",I28/G28*1000)</f>
        <v>0.0</v>
      </c>
      <c r="K28" s="4" t="n">
        <v>88.09999999999999</v>
      </c>
      <c r="L28" s="4" t="n">
        <v>0</v>
      </c>
      <c r="M28" s="4" t="inlineStr">
        <is>
          <t>実績のある直近5本</t>
        </is>
      </c>
    </row>
    <row r="29">
      <c r="A29" s="4" t="inlineStr">
        <is>
          <t>ラグナロクの司書</t>
        </is>
      </c>
      <c r="B29" s="4" t="inlineStr">
        <is>
          <t>2026-09-01T09:45</t>
        </is>
      </c>
      <c r="C29" s="4" t="inlineStr">
        <is>
          <t>18時</t>
        </is>
      </c>
      <c r="D29" s="4" t="inlineStr">
        <is>
          <t>なぜ人は失敗した選択だけを「正しかった」と記録し直すのか</t>
        </is>
      </c>
      <c r="E29" s="4" t="n">
        <v>28</v>
      </c>
      <c r="F29" s="4" t="inlineStr">
        <is>
          <t>○</t>
        </is>
      </c>
      <c r="G29" s="4" t="n">
        <v>2</v>
      </c>
      <c r="H29" s="4" t="n">
        <v>0</v>
      </c>
      <c r="I29" s="4" t="n">
        <v>0</v>
      </c>
      <c r="J29" s="6">
        <f>IF(G29=0,"",I29/G29*1000)</f>
        <v>0.0</v>
      </c>
      <c r="K29" s="4" t="n">
        <v>108.5</v>
      </c>
      <c r="L29" s="4" t="n">
        <v>0.17</v>
      </c>
      <c r="M29" s="4" t="inlineStr">
        <is>
          <t>実績のある直近5本</t>
        </is>
      </c>
    </row>
    <row r="30">
      <c r="A30" s="4" t="inlineStr">
        <is>
          <t>ラグナロクの司書</t>
        </is>
      </c>
      <c r="B30" s="4" t="inlineStr">
        <is>
          <t>2026-08-31T09:45</t>
        </is>
      </c>
      <c r="C30" s="4" t="inlineStr">
        <is>
          <t>18時</t>
        </is>
      </c>
      <c r="D30" s="4" t="inlineStr">
        <is>
          <t>最初に見た9万8000円だけ、なぜか基準になる本当の理由</t>
        </is>
      </c>
      <c r="E30" s="4" t="n">
        <v>28</v>
      </c>
      <c r="F30" s="4" t="inlineStr">
        <is>
          <t>○</t>
        </is>
      </c>
      <c r="G30" s="4" t="n">
        <v>3</v>
      </c>
      <c r="H30" s="4" t="n">
        <v>0</v>
      </c>
      <c r="I30" s="4" t="n">
        <v>0</v>
      </c>
      <c r="J30" s="6">
        <f>IF(G30=0,"",I30/G30*1000)</f>
        <v>0.0</v>
      </c>
      <c r="K30" s="4" t="n">
        <v>56.3</v>
      </c>
      <c r="L30" s="4" t="n">
        <v>0.33</v>
      </c>
      <c r="M30" s="4" t="inlineStr">
        <is>
          <t>実績のある直近5本</t>
        </is>
      </c>
    </row>
    <row r="31">
      <c r="A31" s="4" t="inlineStr">
        <is>
          <t>ラグナロクの司書</t>
        </is>
      </c>
      <c r="B31" s="4" t="inlineStr">
        <is>
          <t>2026-08-28T09:45</t>
        </is>
      </c>
      <c r="C31" s="4" t="inlineStr">
        <is>
          <t>18時</t>
        </is>
      </c>
      <c r="D31" s="4" t="inlineStr">
        <is>
          <t>なぜ最初の数秒だけ？第一印象が実は書き換わらない本当の理由</t>
        </is>
      </c>
      <c r="E31" s="4" t="n">
        <v>29</v>
      </c>
      <c r="F31" s="4" t="inlineStr">
        <is>
          <t>○</t>
        </is>
      </c>
      <c r="G31" s="4" t="n">
        <v>226</v>
      </c>
      <c r="H31" s="4" t="n">
        <v>0</v>
      </c>
      <c r="I31" s="4" t="n">
        <v>0</v>
      </c>
      <c r="J31" s="6">
        <f>IF(G31=0,"",I31/G31*1000)</f>
        <v>0.0</v>
      </c>
      <c r="K31" s="4" t="n">
        <v>37.6</v>
      </c>
      <c r="L31" s="4" t="n">
        <v>0</v>
      </c>
      <c r="M31" s="4" t="inlineStr">
        <is>
          <t>実績のある直近5本</t>
        </is>
      </c>
    </row>
    <row r="32">
      <c r="A32" s="4" t="inlineStr">
        <is>
          <t>リコとマコトのゆっくり日常科学</t>
        </is>
      </c>
      <c r="B32" s="4" t="inlineStr">
        <is>
          <t>2026-09-08T08:00</t>
        </is>
      </c>
      <c r="C32" s="4" t="inlineStr">
        <is>
          <t>17時</t>
        </is>
      </c>
      <c r="D32" s="4" t="inlineStr">
        <is>
          <t>疲れた日の甘い物がすぐ消えるのはなぜ？</t>
        </is>
      </c>
      <c r="E32" s="9" t="n">
        <v>19</v>
      </c>
      <c r="F32" s="4" t="inlineStr">
        <is>
          <t>○</t>
        </is>
      </c>
      <c r="G32" s="4" t="n">
        <v>0</v>
      </c>
      <c r="H32" s="4" t="n">
        <v>0</v>
      </c>
      <c r="I32" s="4" t="n">
        <v>0</v>
      </c>
      <c r="J32" s="6">
        <f>IF(G32=0,"",I32/G32*1000)</f>
        <v/>
      </c>
      <c r="K32" s="4" t="n">
        <v>0</v>
      </c>
      <c r="L32" s="4" t="n">
        <v>0</v>
      </c>
      <c r="M32" s="21" t="inlineStr">
        <is>
          <t>最新5本／集計待ち(2-3日遅延)</t>
        </is>
      </c>
    </row>
    <row r="33">
      <c r="A33" s="4" t="inlineStr">
        <is>
          <t>リコとマコトのゆっくり日常科学</t>
        </is>
      </c>
      <c r="B33" s="4" t="inlineStr">
        <is>
          <t>2026-09-08T03:30</t>
        </is>
      </c>
      <c r="C33" s="4" t="inlineStr">
        <is>
          <t>12時</t>
        </is>
      </c>
      <c r="D33" s="4" t="inlineStr">
        <is>
          <t>耳を塞ぐと聞こえる20Hzの正体？</t>
        </is>
      </c>
      <c r="E33" s="9" t="n">
        <v>17</v>
      </c>
      <c r="F33" s="4" t="inlineStr"/>
      <c r="G33" s="4" t="n">
        <v>0</v>
      </c>
      <c r="H33" s="4" t="n">
        <v>0</v>
      </c>
      <c r="I33" s="4" t="n">
        <v>0</v>
      </c>
      <c r="J33" s="6">
        <f>IF(G33=0,"",I33/G33*1000)</f>
        <v/>
      </c>
      <c r="K33" s="4" t="n">
        <v>0</v>
      </c>
      <c r="L33" s="4" t="n">
        <v>0</v>
      </c>
      <c r="M33" s="21" t="inlineStr">
        <is>
          <t>最新5本／集計待ち(2-3日遅延)</t>
        </is>
      </c>
    </row>
    <row r="34">
      <c r="A34" s="4" t="inlineStr">
        <is>
          <t>リコとマコトのゆっくり日常科学</t>
        </is>
      </c>
      <c r="B34" s="4" t="inlineStr">
        <is>
          <t>2026-09-07T22:30</t>
        </is>
      </c>
      <c r="C34" s="4" t="inlineStr">
        <is>
          <t>7時</t>
        </is>
      </c>
      <c r="D34" s="4" t="inlineStr">
        <is>
          <t>走った後の鉄味、あなたの肺で何が？0.1%の正体</t>
        </is>
      </c>
      <c r="E34" s="4" t="n">
        <v>24</v>
      </c>
      <c r="F34" s="4" t="inlineStr"/>
      <c r="G34" s="4" t="n">
        <v>0</v>
      </c>
      <c r="H34" s="4" t="n">
        <v>0</v>
      </c>
      <c r="I34" s="4" t="n">
        <v>0</v>
      </c>
      <c r="J34" s="6">
        <f>IF(G34=0,"",I34/G34*1000)</f>
        <v/>
      </c>
      <c r="K34" s="4" t="n">
        <v>0</v>
      </c>
      <c r="L34" s="4" t="n">
        <v>0</v>
      </c>
      <c r="M34" s="21" t="inlineStr">
        <is>
          <t>最新5本／集計待ち(2-3日遅延)</t>
        </is>
      </c>
    </row>
    <row r="35">
      <c r="A35" s="4" t="inlineStr">
        <is>
          <t>リコとマコトのゆっくり日常科学</t>
        </is>
      </c>
      <c r="B35" s="4" t="inlineStr">
        <is>
          <t>2026-09-07T08:00</t>
        </is>
      </c>
      <c r="C35" s="4" t="inlineStr">
        <is>
          <t>17時</t>
        </is>
      </c>
      <c r="D35" s="4" t="inlineStr">
        <is>
          <t>なぜ冷たい水だけ歯にしみる？歯の中で起きる変化</t>
        </is>
      </c>
      <c r="E35" s="4" t="n">
        <v>23</v>
      </c>
      <c r="F35" s="4" t="inlineStr">
        <is>
          <t>○</t>
        </is>
      </c>
      <c r="G35" s="4" t="n">
        <v>0</v>
      </c>
      <c r="H35" s="4" t="n">
        <v>0</v>
      </c>
      <c r="I35" s="4" t="n">
        <v>0</v>
      </c>
      <c r="J35" s="6">
        <f>IF(G35=0,"",I35/G35*1000)</f>
        <v/>
      </c>
      <c r="K35" s="4" t="n">
        <v>0</v>
      </c>
      <c r="L35" s="4" t="n">
        <v>0</v>
      </c>
      <c r="M35" s="21" t="inlineStr">
        <is>
          <t>最新5本／集計待ち(2-3日遅延)</t>
        </is>
      </c>
    </row>
    <row r="36">
      <c r="A36" s="4" t="inlineStr">
        <is>
          <t>リコとマコトのゆっくり日常科学</t>
        </is>
      </c>
      <c r="B36" s="4" t="inlineStr">
        <is>
          <t>2026-09-07T03:30</t>
        </is>
      </c>
      <c r="C36" s="4" t="inlineStr">
        <is>
          <t>12時</t>
        </is>
      </c>
      <c r="D36" s="4" t="inlineStr">
        <is>
          <t>なぜ他人のあくびは約45％もつられる？脳の反応を解説</t>
        </is>
      </c>
      <c r="E36" s="4" t="n">
        <v>26</v>
      </c>
      <c r="F36" s="4" t="inlineStr">
        <is>
          <t>○</t>
        </is>
      </c>
      <c r="G36" s="4" t="n">
        <v>0</v>
      </c>
      <c r="H36" s="4" t="n">
        <v>0</v>
      </c>
      <c r="I36" s="4" t="n">
        <v>0</v>
      </c>
      <c r="J36" s="6">
        <f>IF(G36=0,"",I36/G36*1000)</f>
        <v/>
      </c>
      <c r="K36" s="4" t="n">
        <v>0</v>
      </c>
      <c r="L36" s="4" t="n">
        <v>0</v>
      </c>
      <c r="M36" s="21" t="inlineStr">
        <is>
          <t>最新5本／集計待ち(2-3日遅延)</t>
        </is>
      </c>
    </row>
    <row r="37">
      <c r="A37" s="4" t="inlineStr">
        <is>
          <t>リコとマコトのゆっくり日常科学</t>
        </is>
      </c>
      <c r="B37" s="4" t="inlineStr">
        <is>
          <t>2026-09-06T03:30</t>
        </is>
      </c>
      <c r="C37" s="4" t="inlineStr">
        <is>
          <t>12時</t>
        </is>
      </c>
      <c r="D37" s="4" t="inlineStr">
        <is>
          <t>あなたの字が30秒で別物に見える？</t>
        </is>
      </c>
      <c r="E37" s="9" t="n">
        <v>17</v>
      </c>
      <c r="F37" s="4" t="inlineStr"/>
      <c r="G37" s="4" t="n">
        <v>899</v>
      </c>
      <c r="H37" s="4" t="n">
        <v>7</v>
      </c>
      <c r="I37" s="4" t="n">
        <v>0</v>
      </c>
      <c r="J37" s="6">
        <f>IF(G37=0,"",I37/G37*1000)</f>
        <v>0.0</v>
      </c>
      <c r="K37" s="4" t="n">
        <v>110.6</v>
      </c>
      <c r="L37" s="4" t="n">
        <v>0</v>
      </c>
      <c r="M37" s="4" t="inlineStr">
        <is>
          <t>実績のある直近5本</t>
        </is>
      </c>
    </row>
    <row r="38">
      <c r="A38" s="4" t="inlineStr">
        <is>
          <t>リコとマコトのゆっくり日常科学</t>
        </is>
      </c>
      <c r="B38" s="4" t="inlineStr">
        <is>
          <t>2026-09-05T22:30</t>
        </is>
      </c>
      <c r="C38" s="4" t="inlineStr">
        <is>
          <t>7時</t>
        </is>
      </c>
      <c r="D38" s="4" t="inlineStr">
        <is>
          <t>なぜ壁のシミが顔に見える？0.1秒の正体</t>
        </is>
      </c>
      <c r="E38" s="4" t="n">
        <v>20</v>
      </c>
      <c r="F38" s="4" t="inlineStr">
        <is>
          <t>○</t>
        </is>
      </c>
      <c r="G38" s="4" t="n">
        <v>1001</v>
      </c>
      <c r="H38" s="4" t="n">
        <v>13</v>
      </c>
      <c r="I38" s="4" t="n">
        <v>1</v>
      </c>
      <c r="J38" s="6">
        <f>IF(G38=0,"",I38/G38*1000)</f>
        <v>0.999001</v>
      </c>
      <c r="K38" s="4" t="n">
        <v>42.2</v>
      </c>
      <c r="L38" s="4" t="n">
        <v>0</v>
      </c>
      <c r="M38" s="4" t="inlineStr">
        <is>
          <t>実績のある直近5本</t>
        </is>
      </c>
    </row>
    <row r="39">
      <c r="A39" s="4" t="inlineStr">
        <is>
          <t>リコとマコトのゆっくり日常科学</t>
        </is>
      </c>
      <c r="B39" s="4" t="inlineStr">
        <is>
          <t>2026-09-05T08:00</t>
        </is>
      </c>
      <c r="C39" s="4" t="inlineStr">
        <is>
          <t>17時</t>
        </is>
      </c>
      <c r="D39" s="4" t="inlineStr">
        <is>
          <t>なぜあなたは階段で1段だけ外すのか？</t>
        </is>
      </c>
      <c r="E39" s="9" t="n">
        <v>18</v>
      </c>
      <c r="F39" s="4" t="inlineStr">
        <is>
          <t>○</t>
        </is>
      </c>
      <c r="G39" s="4" t="n">
        <v>1132</v>
      </c>
      <c r="H39" s="4" t="n">
        <v>5</v>
      </c>
      <c r="I39" s="4" t="n">
        <v>0</v>
      </c>
      <c r="J39" s="6">
        <f>IF(G39=0,"",I39/G39*1000)</f>
        <v>0.0</v>
      </c>
      <c r="K39" s="4" t="n">
        <v>120.7</v>
      </c>
      <c r="L39" s="4" t="n">
        <v>0</v>
      </c>
      <c r="M39" s="4" t="inlineStr">
        <is>
          <t>実績のある直近5本</t>
        </is>
      </c>
    </row>
    <row r="40">
      <c r="A40" s="4" t="inlineStr">
        <is>
          <t>リコとマコトのゆっくり日常科学</t>
        </is>
      </c>
      <c r="B40" s="4" t="inlineStr">
        <is>
          <t>2026-09-05T03:30</t>
        </is>
      </c>
      <c r="C40" s="4" t="inlineStr">
        <is>
          <t>12時</t>
        </is>
      </c>
      <c r="D40" s="4" t="inlineStr">
        <is>
          <t>鏡の顔だけ違う？99%が知らない左右差</t>
        </is>
      </c>
      <c r="E40" s="9" t="n">
        <v>19</v>
      </c>
      <c r="F40" s="4" t="inlineStr"/>
      <c r="G40" s="4" t="n">
        <v>992</v>
      </c>
      <c r="H40" s="4" t="n">
        <v>4</v>
      </c>
      <c r="I40" s="4" t="n">
        <v>0</v>
      </c>
      <c r="J40" s="6">
        <f>IF(G40=0,"",I40/G40*1000)</f>
        <v>0.0</v>
      </c>
      <c r="K40" s="4" t="n">
        <v>91.2</v>
      </c>
      <c r="L40" s="4" t="n">
        <v>0</v>
      </c>
      <c r="M40" s="4" t="inlineStr">
        <is>
          <t>実績のある直近5本</t>
        </is>
      </c>
    </row>
    <row r="41">
      <c r="A41" s="4" t="inlineStr">
        <is>
          <t>リコとマコトのゆっくり日常科学</t>
        </is>
      </c>
      <c r="B41" s="4" t="inlineStr">
        <is>
          <t>2026-09-04T22:30</t>
        </is>
      </c>
      <c r="C41" s="4" t="inlineStr">
        <is>
          <t>7時</t>
        </is>
      </c>
      <c r="D41" s="4" t="inlineStr">
        <is>
          <t>あなたの耳が3秒で抜ける正体は？</t>
        </is>
      </c>
      <c r="E41" s="9" t="n">
        <v>16</v>
      </c>
      <c r="F41" s="4" t="inlineStr"/>
      <c r="G41" s="4" t="n">
        <v>937</v>
      </c>
      <c r="H41" s="4" t="n">
        <v>7</v>
      </c>
      <c r="I41" s="4" t="n">
        <v>0</v>
      </c>
      <c r="J41" s="6">
        <f>IF(G41=0,"",I41/G41*1000)</f>
        <v>0.0</v>
      </c>
      <c r="K41" s="4" t="n">
        <v>37.5</v>
      </c>
      <c r="L41" s="4" t="n">
        <v>0</v>
      </c>
      <c r="M41" s="4" t="inlineStr">
        <is>
          <t>実績のある直近5本</t>
        </is>
      </c>
    </row>
    <row r="42">
      <c r="A42" s="4" t="inlineStr">
        <is>
          <t>ゆっくり妖怪ラボ</t>
        </is>
      </c>
      <c r="B42" s="4" t="inlineStr">
        <is>
          <t>2026-09-08T08:00</t>
        </is>
      </c>
      <c r="C42" s="4" t="inlineStr">
        <is>
          <t>17時</t>
        </is>
      </c>
      <c r="D42" s="4" t="inlineStr">
        <is>
          <t>覚の元ネタが怖すぎる…心を先回りする山の怪物</t>
        </is>
      </c>
      <c r="E42" s="4" t="n">
        <v>22</v>
      </c>
      <c r="F42" s="4" t="inlineStr"/>
      <c r="G42" s="4" t="n">
        <v>0</v>
      </c>
      <c r="H42" s="4" t="n">
        <v>0</v>
      </c>
      <c r="I42" s="4" t="n">
        <v>0</v>
      </c>
      <c r="J42" s="6">
        <f>IF(G42=0,"",I42/G42*1000)</f>
        <v/>
      </c>
      <c r="K42" s="4" t="n">
        <v>0</v>
      </c>
      <c r="L42" s="4" t="n">
        <v>0</v>
      </c>
      <c r="M42" s="21" t="inlineStr">
        <is>
          <t>最新5本／集計待ち(2-3日遅延)</t>
        </is>
      </c>
    </row>
    <row r="43">
      <c r="A43" s="4" t="inlineStr">
        <is>
          <t>ゆっくり妖怪ラボ</t>
        </is>
      </c>
      <c r="B43" s="4" t="inlineStr">
        <is>
          <t>2026-09-08T03:00</t>
        </is>
      </c>
      <c r="C43" s="4" t="inlineStr">
        <is>
          <t>12時</t>
        </is>
      </c>
      <c r="D43" s="4" t="inlineStr">
        <is>
          <t>ろくろ首の正体は飛頭蛮？首が飛ぶ怪異の出どころ</t>
        </is>
      </c>
      <c r="E43" s="4" t="n">
        <v>23</v>
      </c>
      <c r="F43" s="4" t="inlineStr"/>
      <c r="G43" s="4" t="n">
        <v>0</v>
      </c>
      <c r="H43" s="4" t="n">
        <v>0</v>
      </c>
      <c r="I43" s="4" t="n">
        <v>0</v>
      </c>
      <c r="J43" s="6">
        <f>IF(G43=0,"",I43/G43*1000)</f>
        <v/>
      </c>
      <c r="K43" s="4" t="n">
        <v>0</v>
      </c>
      <c r="L43" s="4" t="n">
        <v>0</v>
      </c>
      <c r="M43" s="21" t="inlineStr">
        <is>
          <t>最新5本／集計待ち(2-3日遅延)</t>
        </is>
      </c>
    </row>
    <row r="44">
      <c r="A44" s="4" t="inlineStr">
        <is>
          <t>ゆっくり妖怪ラボ</t>
        </is>
      </c>
      <c r="B44" s="4" t="inlineStr">
        <is>
          <t>2026-09-08T00:30</t>
        </is>
      </c>
      <c r="C44" s="4" t="inlineStr">
        <is>
          <t>9時</t>
        </is>
      </c>
      <c r="D44" s="4" t="inlineStr">
        <is>
          <t>鬼の角が「目印」になった千年前の変化</t>
        </is>
      </c>
      <c r="E44" s="9" t="n">
        <v>18</v>
      </c>
      <c r="F44" s="4" t="inlineStr"/>
      <c r="G44" s="4" t="n">
        <v>0</v>
      </c>
      <c r="H44" s="4" t="n">
        <v>0</v>
      </c>
      <c r="I44" s="4" t="n">
        <v>0</v>
      </c>
      <c r="J44" s="6">
        <f>IF(G44=0,"",I44/G44*1000)</f>
        <v/>
      </c>
      <c r="K44" s="4" t="n">
        <v>0</v>
      </c>
      <c r="L44" s="4" t="n">
        <v>0</v>
      </c>
      <c r="M44" s="21" t="inlineStr">
        <is>
          <t>最新5本／集計待ち(2-3日遅延)</t>
        </is>
      </c>
    </row>
    <row r="45">
      <c r="A45" s="4" t="inlineStr">
        <is>
          <t>ゆっくり妖怪ラボ</t>
        </is>
      </c>
      <c r="B45" s="4" t="inlineStr">
        <is>
          <t>2026-09-07T08:45</t>
        </is>
      </c>
      <c r="C45" s="4" t="inlineStr">
        <is>
          <t>17時</t>
        </is>
      </c>
      <c r="D45" s="4" t="inlineStr">
        <is>
          <t>なぜ狐は人を化かす妖怪にされたのか？江戸の記録に残る事情</t>
        </is>
      </c>
      <c r="E45" s="4" t="n">
        <v>28</v>
      </c>
      <c r="F45" s="4" t="inlineStr">
        <is>
          <t>○</t>
        </is>
      </c>
      <c r="G45" s="4" t="n">
        <v>0</v>
      </c>
      <c r="H45" s="4" t="n">
        <v>0</v>
      </c>
      <c r="I45" s="4" t="n">
        <v>0</v>
      </c>
      <c r="J45" s="6">
        <f>IF(G45=0,"",I45/G45*1000)</f>
        <v/>
      </c>
      <c r="K45" s="4" t="n">
        <v>0</v>
      </c>
      <c r="L45" s="4" t="n">
        <v>0</v>
      </c>
      <c r="M45" s="21" t="inlineStr">
        <is>
          <t>最新5本／集計待ち(2-3日遅延)</t>
        </is>
      </c>
    </row>
    <row r="46">
      <c r="A46" s="4" t="inlineStr">
        <is>
          <t>ゆっくり妖怪ラボ</t>
        </is>
      </c>
      <c r="B46" s="4" t="inlineStr">
        <is>
          <t>2026-09-07T03:00</t>
        </is>
      </c>
      <c r="C46" s="4" t="inlineStr">
        <is>
          <t>12時</t>
        </is>
      </c>
      <c r="D46" s="4" t="inlineStr">
        <is>
          <t>人面犬の噂が昭和の学校で生まれた土壌とは…</t>
        </is>
      </c>
      <c r="E46" s="4" t="n">
        <v>21</v>
      </c>
      <c r="F46" s="4" t="inlineStr"/>
      <c r="G46" s="4" t="n">
        <v>0</v>
      </c>
      <c r="H46" s="4" t="n">
        <v>0</v>
      </c>
      <c r="I46" s="4" t="n">
        <v>0</v>
      </c>
      <c r="J46" s="6">
        <f>IF(G46=0,"",I46/G46*1000)</f>
        <v/>
      </c>
      <c r="K46" s="4" t="n">
        <v>0</v>
      </c>
      <c r="L46" s="4" t="n">
        <v>0</v>
      </c>
      <c r="M46" s="21" t="inlineStr">
        <is>
          <t>最新5本／集計待ち(2-3日遅延)</t>
        </is>
      </c>
    </row>
    <row r="47">
      <c r="A47" s="4" t="inlineStr">
        <is>
          <t>ゆっくり妖怪ラボ</t>
        </is>
      </c>
      <c r="B47" s="4" t="inlineStr">
        <is>
          <t>2026-09-06T03:00</t>
        </is>
      </c>
      <c r="C47" s="4" t="inlineStr">
        <is>
          <t>12時</t>
        </is>
      </c>
      <c r="D47" s="4" t="inlineStr">
        <is>
          <t>小豆洗い、姿を消して「音」だけ残った土地の記録</t>
        </is>
      </c>
      <c r="E47" s="4" t="n">
        <v>23</v>
      </c>
      <c r="F47" s="4" t="inlineStr"/>
      <c r="G47" s="4" t="n">
        <v>943</v>
      </c>
      <c r="H47" s="4" t="n">
        <v>7</v>
      </c>
      <c r="I47" s="4" t="n">
        <v>1</v>
      </c>
      <c r="J47" s="6">
        <f>IF(G47=0,"",I47/G47*1000)</f>
        <v>1.060445</v>
      </c>
      <c r="K47" s="4" t="n">
        <v>45</v>
      </c>
      <c r="L47" s="4" t="n">
        <v>0</v>
      </c>
      <c r="M47" s="4" t="inlineStr">
        <is>
          <t>実績のある直近5本</t>
        </is>
      </c>
    </row>
    <row r="48">
      <c r="A48" s="4" t="inlineStr">
        <is>
          <t>ゆっくり妖怪ラボ</t>
        </is>
      </c>
      <c r="B48" s="4" t="inlineStr">
        <is>
          <t>2026-09-05T08:45</t>
        </is>
      </c>
      <c r="C48" s="4" t="inlineStr">
        <is>
          <t>17時</t>
        </is>
      </c>
      <c r="D48" s="4" t="inlineStr">
        <is>
          <t>雪女が去り際に名を呼ぶ理由…約束を破った男の末路</t>
        </is>
      </c>
      <c r="E48" s="4" t="n">
        <v>24</v>
      </c>
      <c r="F48" s="4" t="inlineStr"/>
      <c r="G48" s="4" t="n">
        <v>1008</v>
      </c>
      <c r="H48" s="4" t="n">
        <v>3</v>
      </c>
      <c r="I48" s="4" t="n">
        <v>0</v>
      </c>
      <c r="J48" s="6">
        <f>IF(G48=0,"",I48/G48*1000)</f>
        <v>0.0</v>
      </c>
      <c r="K48" s="4" t="n">
        <v>44.6</v>
      </c>
      <c r="L48" s="4" t="n">
        <v>0.04</v>
      </c>
      <c r="M48" s="4" t="inlineStr">
        <is>
          <t>実績のある直近5本</t>
        </is>
      </c>
    </row>
    <row r="49">
      <c r="A49" s="4" t="inlineStr">
        <is>
          <t>ゆっくり妖怪ラボ</t>
        </is>
      </c>
      <c r="B49" s="4" t="inlineStr">
        <is>
          <t>2026-09-05T07:00</t>
        </is>
      </c>
      <c r="C49" s="4" t="inlineStr">
        <is>
          <t>16時</t>
        </is>
      </c>
      <c r="D49" s="4" t="inlineStr">
        <is>
          <t>キュウビが日本へ渡った理由、知ってる？</t>
        </is>
      </c>
      <c r="E49" s="9" t="n">
        <v>19</v>
      </c>
      <c r="F49" s="4" t="inlineStr"/>
      <c r="G49" s="4" t="n">
        <v>1013</v>
      </c>
      <c r="H49" s="4" t="n">
        <v>6</v>
      </c>
      <c r="I49" s="4" t="n">
        <v>2</v>
      </c>
      <c r="J49" s="6">
        <f>IF(G49=0,"",I49/G49*1000)</f>
        <v>1.974334</v>
      </c>
      <c r="K49" s="4" t="n">
        <v>46.1</v>
      </c>
      <c r="L49" s="4" t="n">
        <v>0.04</v>
      </c>
      <c r="M49" s="4" t="inlineStr">
        <is>
          <t>実績のある直近5本</t>
        </is>
      </c>
    </row>
    <row r="50">
      <c r="A50" s="4" t="inlineStr">
        <is>
          <t>ゆっくり妖怪ラボ</t>
        </is>
      </c>
      <c r="B50" s="4" t="inlineStr">
        <is>
          <t>2026-09-05T03:00</t>
        </is>
      </c>
      <c r="C50" s="4" t="inlineStr">
        <is>
          <t>12時</t>
        </is>
      </c>
      <c r="D50" s="4" t="inlineStr">
        <is>
          <t>口裂け女の噂はなぜ全国へ？名前を呼べない本当の理由</t>
        </is>
      </c>
      <c r="E50" s="4" t="n">
        <v>25</v>
      </c>
      <c r="F50" s="4" t="inlineStr">
        <is>
          <t>○</t>
        </is>
      </c>
      <c r="G50" s="4" t="n">
        <v>1074</v>
      </c>
      <c r="H50" s="4" t="n">
        <v>14</v>
      </c>
      <c r="I50" s="4" t="n">
        <v>1</v>
      </c>
      <c r="J50" s="6">
        <f>IF(G50=0,"",I50/G50*1000)</f>
        <v>0.931099</v>
      </c>
      <c r="K50" s="4" t="n">
        <v>56.1</v>
      </c>
      <c r="L50" s="4" t="n">
        <v>0.02</v>
      </c>
      <c r="M50" s="4" t="inlineStr">
        <is>
          <t>実績のある直近5本</t>
        </is>
      </c>
    </row>
    <row r="51">
      <c r="A51" s="4" t="inlineStr">
        <is>
          <t>ゆっくり妖怪ラボ</t>
        </is>
      </c>
      <c r="B51" s="4" t="inlineStr">
        <is>
          <t>2026-09-04T10:00</t>
        </is>
      </c>
      <c r="C51" s="4" t="inlineStr">
        <is>
          <t>19時</t>
        </is>
      </c>
      <c r="D51" s="4" t="inlineStr">
        <is>
          <t>じんめん犬はなぜ笑い話になった？消えた恐怖の噂</t>
        </is>
      </c>
      <c r="E51" s="4" t="n">
        <v>23</v>
      </c>
      <c r="F51" s="4" t="inlineStr">
        <is>
          <t>○</t>
        </is>
      </c>
      <c r="G51" s="4" t="n">
        <v>968</v>
      </c>
      <c r="H51" s="4" t="n">
        <v>14</v>
      </c>
      <c r="I51" s="4" t="n">
        <v>2</v>
      </c>
      <c r="J51" s="6">
        <f>IF(G51=0,"",I51/G51*1000)</f>
        <v>2.066116</v>
      </c>
      <c r="K51" s="4" t="n">
        <v>52.2</v>
      </c>
      <c r="L51" s="4" t="n">
        <v>0</v>
      </c>
      <c r="M51" s="4" t="inlineStr">
        <is>
          <t>実績のある直近5本</t>
        </is>
      </c>
    </row>
    <row r="52">
      <c r="A52" s="4" t="inlineStr">
        <is>
          <t>ポケモンラボ</t>
        </is>
      </c>
      <c r="B52" s="4" t="inlineStr">
        <is>
          <t>2026-09-08T10:00</t>
        </is>
      </c>
      <c r="C52" s="4" t="inlineStr">
        <is>
          <t>19時</t>
        </is>
      </c>
      <c r="D52" s="4" t="inlineStr">
        <is>
          <t>アンノーン28種類コンプしても完成にならない!?</t>
        </is>
      </c>
      <c r="E52" s="4" t="n">
        <v>24</v>
      </c>
      <c r="F52" s="4" t="inlineStr"/>
      <c r="G52" s="4" t="n">
        <v>0</v>
      </c>
      <c r="H52" s="4" t="n">
        <v>0</v>
      </c>
      <c r="I52" s="4" t="n">
        <v>0</v>
      </c>
      <c r="J52" s="6">
        <f>IF(G52=0,"",I52/G52*1000)</f>
        <v/>
      </c>
      <c r="K52" s="4" t="n">
        <v>0</v>
      </c>
      <c r="L52" s="4" t="n">
        <v>0</v>
      </c>
      <c r="M52" s="21" t="inlineStr">
        <is>
          <t>最新5本／集計待ち(2-3日遅延)</t>
        </is>
      </c>
    </row>
    <row r="53">
      <c r="A53" s="4" t="inlineStr">
        <is>
          <t>ポケモンラボ</t>
        </is>
      </c>
      <c r="B53" s="4" t="inlineStr">
        <is>
          <t>2026-09-08T08:00</t>
        </is>
      </c>
      <c r="C53" s="4" t="inlineStr">
        <is>
          <t>17時</t>
        </is>
      </c>
      <c r="D53" s="4" t="inlineStr">
        <is>
          <t>ドラパルト、子どもを音速超えで撃ち出すってマジ!?</t>
        </is>
      </c>
      <c r="E53" s="4" t="n">
        <v>25</v>
      </c>
      <c r="F53" s="4" t="inlineStr"/>
      <c r="G53" s="4" t="n">
        <v>0</v>
      </c>
      <c r="H53" s="4" t="n">
        <v>0</v>
      </c>
      <c r="I53" s="4" t="n">
        <v>0</v>
      </c>
      <c r="J53" s="6">
        <f>IF(G53=0,"",I53/G53*1000)</f>
        <v/>
      </c>
      <c r="K53" s="4" t="n">
        <v>0</v>
      </c>
      <c r="L53" s="4" t="n">
        <v>0</v>
      </c>
      <c r="M53" s="21" t="inlineStr">
        <is>
          <t>最新5本／集計待ち(2-3日遅延)</t>
        </is>
      </c>
    </row>
    <row r="54">
      <c r="A54" s="4" t="inlineStr">
        <is>
          <t>ポケモンラボ</t>
        </is>
      </c>
      <c r="B54" s="4" t="inlineStr">
        <is>
          <t>2026-09-07T23:30</t>
        </is>
      </c>
      <c r="C54" s="4" t="inlineStr">
        <is>
          <t>8時</t>
        </is>
      </c>
      <c r="D54" s="4" t="inlineStr">
        <is>
          <t>ソーナンスが反撃しかできない設計の狙いが深すぎる</t>
        </is>
      </c>
      <c r="E54" s="4" t="n">
        <v>24</v>
      </c>
      <c r="F54" s="4" t="inlineStr"/>
      <c r="G54" s="4" t="n">
        <v>0</v>
      </c>
      <c r="H54" s="4" t="n">
        <v>0</v>
      </c>
      <c r="I54" s="4" t="n">
        <v>0</v>
      </c>
      <c r="J54" s="6">
        <f>IF(G54=0,"",I54/G54*1000)</f>
        <v/>
      </c>
      <c r="K54" s="4" t="n">
        <v>0</v>
      </c>
      <c r="L54" s="4" t="n">
        <v>0</v>
      </c>
      <c r="M54" s="21" t="inlineStr">
        <is>
          <t>最新5本／集計待ち(2-3日遅延)</t>
        </is>
      </c>
    </row>
    <row r="55">
      <c r="A55" s="4" t="inlineStr">
        <is>
          <t>ポケモンラボ</t>
        </is>
      </c>
      <c r="B55" s="4" t="inlineStr">
        <is>
          <t>2026-09-07T10:00</t>
        </is>
      </c>
      <c r="C55" s="4" t="inlineStr">
        <is>
          <t>19時</t>
        </is>
      </c>
      <c r="D55" s="4" t="inlineStr">
        <is>
          <t>ロケット団の幹部だけ口調が別キャラ級？3作品で徹底比較の本当</t>
        </is>
      </c>
      <c r="E55" s="4" t="n">
        <v>30</v>
      </c>
      <c r="F55" s="4" t="inlineStr"/>
      <c r="G55" s="4" t="n">
        <v>0</v>
      </c>
      <c r="H55" s="4" t="n">
        <v>0</v>
      </c>
      <c r="I55" s="4" t="n">
        <v>0</v>
      </c>
      <c r="J55" s="6">
        <f>IF(G55=0,"",I55/G55*1000)</f>
        <v/>
      </c>
      <c r="K55" s="4" t="n">
        <v>0</v>
      </c>
      <c r="L55" s="4" t="n">
        <v>0</v>
      </c>
      <c r="M55" s="21" t="inlineStr">
        <is>
          <t>最新5本／集計待ち(2-3日遅延)</t>
        </is>
      </c>
    </row>
    <row r="56">
      <c r="A56" s="4" t="inlineStr">
        <is>
          <t>ポケモンラボ</t>
        </is>
      </c>
      <c r="B56" s="4" t="inlineStr">
        <is>
          <t>2026-09-07T08:30</t>
        </is>
      </c>
      <c r="C56" s="4" t="inlineStr">
        <is>
          <t>17時</t>
        </is>
      </c>
      <c r="D56" s="4" t="inlineStr">
        <is>
          <t>イーブイの昼夜進化、エーフィとブラッキーに分かれた理由</t>
        </is>
      </c>
      <c r="E56" s="4" t="n">
        <v>27</v>
      </c>
      <c r="F56" s="4" t="inlineStr"/>
      <c r="G56" s="4" t="n">
        <v>0</v>
      </c>
      <c r="H56" s="4" t="n">
        <v>0</v>
      </c>
      <c r="I56" s="4" t="n">
        <v>0</v>
      </c>
      <c r="J56" s="6">
        <f>IF(G56=0,"",I56/G56*1000)</f>
        <v/>
      </c>
      <c r="K56" s="4" t="n">
        <v>0</v>
      </c>
      <c r="L56" s="4" t="n">
        <v>0</v>
      </c>
      <c r="M56" s="21" t="inlineStr">
        <is>
          <t>最新5本／集計待ち(2-3日遅延)</t>
        </is>
      </c>
    </row>
    <row r="57">
      <c r="A57" s="4" t="inlineStr">
        <is>
          <t>ポケモンラボ</t>
        </is>
      </c>
      <c r="B57" s="4" t="inlineStr">
        <is>
          <t>2026-09-06T06:00</t>
        </is>
      </c>
      <c r="C57" s="4" t="inlineStr">
        <is>
          <t>15時</t>
        </is>
      </c>
      <c r="D57" s="4" t="inlineStr">
        <is>
          <t>3秒でわかる？ポリゴンがテレビから消えた本当の理由</t>
        </is>
      </c>
      <c r="E57" s="4" t="n">
        <v>25</v>
      </c>
      <c r="F57" s="4" t="inlineStr"/>
      <c r="G57" s="4" t="n">
        <v>346</v>
      </c>
      <c r="H57" s="4" t="n">
        <v>2</v>
      </c>
      <c r="I57" s="4" t="n">
        <v>0</v>
      </c>
      <c r="J57" s="6">
        <f>IF(G57=0,"",I57/G57*1000)</f>
        <v>0.0</v>
      </c>
      <c r="K57" s="4" t="n">
        <v>28.3</v>
      </c>
      <c r="L57" s="4" t="n">
        <v>0.04</v>
      </c>
      <c r="M57" s="4" t="inlineStr">
        <is>
          <t>実績のある直近5本</t>
        </is>
      </c>
    </row>
    <row r="58">
      <c r="A58" s="4" t="inlineStr">
        <is>
          <t>ポケモンラボ</t>
        </is>
      </c>
      <c r="B58" s="4" t="inlineStr">
        <is>
          <t>2026-09-05T23:30</t>
        </is>
      </c>
      <c r="C58" s="4" t="inlineStr">
        <is>
          <t>8時</t>
        </is>
      </c>
      <c r="D58" s="4" t="inlineStr">
        <is>
          <t>ハピナスHP255・特防なのに防御衝撃</t>
        </is>
      </c>
      <c r="E58" s="9" t="n">
        <v>19</v>
      </c>
      <c r="F58" s="4" t="inlineStr"/>
      <c r="G58" s="4" t="n">
        <v>942</v>
      </c>
      <c r="H58" s="4" t="n">
        <v>2</v>
      </c>
      <c r="I58" s="4" t="n">
        <v>1</v>
      </c>
      <c r="J58" s="6">
        <f>IF(G58=0,"",I58/G58*1000)</f>
        <v>1.061571</v>
      </c>
      <c r="K58" s="4" t="n">
        <v>43.4</v>
      </c>
      <c r="L58" s="4" t="n">
        <v>0.01</v>
      </c>
      <c r="M58" s="4" t="inlineStr">
        <is>
          <t>実績のある直近5本</t>
        </is>
      </c>
    </row>
    <row r="59">
      <c r="A59" s="4" t="inlineStr">
        <is>
          <t>ポケモンラボ</t>
        </is>
      </c>
      <c r="B59" s="4" t="inlineStr">
        <is>
          <t>2026-09-05T08:30</t>
        </is>
      </c>
      <c r="C59" s="4" t="inlineStr">
        <is>
          <t>17時</t>
        </is>
      </c>
      <c r="D59" s="4" t="inlineStr">
        <is>
          <t>君のサンダースだけ3個必要だった時代</t>
        </is>
      </c>
      <c r="E59" s="9" t="n">
        <v>18</v>
      </c>
      <c r="F59" s="4" t="inlineStr"/>
      <c r="G59" s="4" t="n">
        <v>935</v>
      </c>
      <c r="H59" s="4" t="n">
        <v>0</v>
      </c>
      <c r="I59" s="4" t="n">
        <v>0</v>
      </c>
      <c r="J59" s="6">
        <f>IF(G59=0,"",I59/G59*1000)</f>
        <v>0.0</v>
      </c>
      <c r="K59" s="4" t="n">
        <v>55.9</v>
      </c>
      <c r="L59" s="4" t="n">
        <v>0</v>
      </c>
      <c r="M59" s="4" t="inlineStr">
        <is>
          <t>実績のある直近5本</t>
        </is>
      </c>
    </row>
    <row r="60">
      <c r="A60" s="4" t="inlineStr">
        <is>
          <t>ポケモンラボ</t>
        </is>
      </c>
      <c r="B60" s="4" t="inlineStr">
        <is>
          <t>2026-09-05T06:00</t>
        </is>
      </c>
      <c r="C60" s="4" t="inlineStr">
        <is>
          <t>15時</t>
        </is>
      </c>
      <c r="D60" s="4" t="inlineStr">
        <is>
          <t>初代図鑑にだけけつばんが現れた本当の理由</t>
        </is>
      </c>
      <c r="E60" s="4" t="n">
        <v>20</v>
      </c>
      <c r="F60" s="4" t="inlineStr"/>
      <c r="G60" s="4" t="n">
        <v>1020</v>
      </c>
      <c r="H60" s="4" t="n">
        <v>1</v>
      </c>
      <c r="I60" s="4" t="n">
        <v>1</v>
      </c>
      <c r="J60" s="6">
        <f>IF(G60=0,"",I60/G60*1000)</f>
        <v>0.980392</v>
      </c>
      <c r="K60" s="4" t="n">
        <v>42.8</v>
      </c>
      <c r="L60" s="4" t="n">
        <v>0</v>
      </c>
      <c r="M60" s="4" t="inlineStr">
        <is>
          <t>実績のある直近5本</t>
        </is>
      </c>
    </row>
    <row r="61">
      <c r="A61" s="4" t="inlineStr">
        <is>
          <t>ポケモンラボ</t>
        </is>
      </c>
      <c r="B61" s="4" t="inlineStr">
        <is>
          <t>2026-09-04T23:30</t>
        </is>
      </c>
      <c r="C61" s="4" t="inlineStr">
        <is>
          <t>8時</t>
        </is>
      </c>
      <c r="D61" s="4" t="inlineStr">
        <is>
          <t>ポケモンセンターが治療費0円で成り立つ理由がヤバい</t>
        </is>
      </c>
      <c r="E61" s="4" t="n">
        <v>25</v>
      </c>
      <c r="F61" s="4" t="inlineStr"/>
      <c r="G61" s="4" t="n">
        <v>247</v>
      </c>
      <c r="H61" s="4" t="n">
        <v>0</v>
      </c>
      <c r="I61" s="4" t="n">
        <v>0</v>
      </c>
      <c r="J61" s="6">
        <f>IF(G61=0,"",I61/G61*1000)</f>
        <v>0.0</v>
      </c>
      <c r="K61" s="4" t="n">
        <v>46.6</v>
      </c>
      <c r="L61" s="4" t="n">
        <v>0</v>
      </c>
      <c r="M61" s="4" t="inlineStr">
        <is>
          <t>実績のある直近5本</t>
        </is>
      </c>
    </row>
    <row r="62">
      <c r="A62" s="4" t="inlineStr">
        <is>
          <t>深田えいみ 切り抜き</t>
        </is>
      </c>
      <c r="B62" s="4" t="inlineStr">
        <is>
          <t>2026-09-08T11:01</t>
        </is>
      </c>
      <c r="C62" s="4" t="inlineStr">
        <is>
          <t>20時</t>
        </is>
      </c>
      <c r="D62" s="4" t="inlineStr">
        <is>
          <t>カミソリで剃った結果、地獄だった</t>
        </is>
      </c>
      <c r="E62" s="9" t="n">
        <v>16</v>
      </c>
      <c r="F62" s="4" t="inlineStr"/>
      <c r="G62" s="4" t="n">
        <v>0</v>
      </c>
      <c r="H62" s="4" t="n">
        <v>0</v>
      </c>
      <c r="I62" s="4" t="n">
        <v>0</v>
      </c>
      <c r="J62" s="6">
        <f>IF(G62=0,"",I62/G62*1000)</f>
        <v/>
      </c>
      <c r="K62" s="4" t="n">
        <v>0</v>
      </c>
      <c r="L62" s="4" t="n">
        <v>0</v>
      </c>
      <c r="M62" s="21" t="inlineStr">
        <is>
          <t>最新5本／集計待ち(2-3日遅延)</t>
        </is>
      </c>
    </row>
    <row r="63">
      <c r="A63" s="4" t="inlineStr">
        <is>
          <t>深田えいみ 切り抜き</t>
        </is>
      </c>
      <c r="B63" s="4" t="inlineStr">
        <is>
          <t>2026-09-08T03:45</t>
        </is>
      </c>
      <c r="C63" s="4" t="inlineStr">
        <is>
          <t>12時</t>
        </is>
      </c>
      <c r="D63" s="4" t="inlineStr">
        <is>
          <t>寝ながら腹筋を3部位鍛える</t>
        </is>
      </c>
      <c r="E63" s="9" t="n">
        <v>13</v>
      </c>
      <c r="F63" s="4" t="inlineStr"/>
      <c r="G63" s="4" t="n">
        <v>0</v>
      </c>
      <c r="H63" s="4" t="n">
        <v>0</v>
      </c>
      <c r="I63" s="4" t="n">
        <v>0</v>
      </c>
      <c r="J63" s="6">
        <f>IF(G63=0,"",I63/G63*1000)</f>
        <v/>
      </c>
      <c r="K63" s="4" t="n">
        <v>0</v>
      </c>
      <c r="L63" s="4" t="n">
        <v>0</v>
      </c>
      <c r="M63" s="21" t="inlineStr">
        <is>
          <t>最新5本／集計待ち(2-3日遅延)</t>
        </is>
      </c>
    </row>
    <row r="64">
      <c r="A64" s="4" t="inlineStr">
        <is>
          <t>深田えいみ 切り抜き</t>
        </is>
      </c>
      <c r="B64" s="4" t="inlineStr">
        <is>
          <t>2026-09-07T11:00</t>
        </is>
      </c>
      <c r="C64" s="4" t="inlineStr">
        <is>
          <t>20時</t>
        </is>
      </c>
      <c r="D64" s="4" t="inlineStr">
        <is>
          <t>クレンジングで落とし切らないと 洗顔しても落ちにくい</t>
        </is>
      </c>
      <c r="E64" s="4" t="n">
        <v>26</v>
      </c>
      <c r="F64" s="4" t="inlineStr"/>
      <c r="G64" s="4" t="n">
        <v>0</v>
      </c>
      <c r="H64" s="4" t="n">
        <v>0</v>
      </c>
      <c r="I64" s="4" t="n">
        <v>0</v>
      </c>
      <c r="J64" s="6">
        <f>IF(G64=0,"",I64/G64*1000)</f>
        <v/>
      </c>
      <c r="K64" s="4" t="n">
        <v>0</v>
      </c>
      <c r="L64" s="4" t="n">
        <v>0</v>
      </c>
      <c r="M64" s="21" t="inlineStr">
        <is>
          <t>最新5本／集計待ち(2-3日遅延)</t>
        </is>
      </c>
    </row>
    <row r="65">
      <c r="A65" s="4" t="inlineStr">
        <is>
          <t>深田えいみ 切り抜き</t>
        </is>
      </c>
      <c r="B65" s="4" t="inlineStr">
        <is>
          <t>2026-09-07T03:45</t>
        </is>
      </c>
      <c r="C65" s="4" t="inlineStr">
        <is>
          <t>12時</t>
        </is>
      </c>
      <c r="D65" s="4" t="inlineStr">
        <is>
          <t>毎日体重を記録して 増減を意識する</t>
        </is>
      </c>
      <c r="E65" s="9" t="n">
        <v>17</v>
      </c>
      <c r="F65" s="4" t="inlineStr"/>
      <c r="G65" s="4" t="n">
        <v>0</v>
      </c>
      <c r="H65" s="4" t="n">
        <v>0</v>
      </c>
      <c r="I65" s="4" t="n">
        <v>0</v>
      </c>
      <c r="J65" s="6">
        <f>IF(G65=0,"",I65/G65*1000)</f>
        <v/>
      </c>
      <c r="K65" s="4" t="n">
        <v>0</v>
      </c>
      <c r="L65" s="4" t="n">
        <v>0.02</v>
      </c>
      <c r="M65" s="21" t="inlineStr">
        <is>
          <t>最新5本／集計待ち(2-3日遅延)</t>
        </is>
      </c>
    </row>
    <row r="66">
      <c r="A66" s="4" t="inlineStr">
        <is>
          <t>深田えいみ 切り抜き</t>
        </is>
      </c>
      <c r="B66" s="4" t="inlineStr">
        <is>
          <t>2026-09-06T11:00</t>
        </is>
      </c>
      <c r="C66" s="4" t="inlineStr">
        <is>
          <t>20時</t>
        </is>
      </c>
      <c r="D66" s="4" t="inlineStr">
        <is>
          <t>どの下地よりも 圧倒的に崩れにくかった</t>
        </is>
      </c>
      <c r="E66" s="9" t="n">
        <v>19</v>
      </c>
      <c r="F66" s="4" t="inlineStr"/>
      <c r="G66" s="4" t="n">
        <v>0</v>
      </c>
      <c r="H66" s="4" t="n">
        <v>0</v>
      </c>
      <c r="I66" s="4" t="n">
        <v>0</v>
      </c>
      <c r="J66" s="6">
        <f>IF(G66=0,"",I66/G66*1000)</f>
        <v/>
      </c>
      <c r="K66" s="4" t="n">
        <v>0</v>
      </c>
      <c r="L66" s="4" t="n">
        <v>0.01</v>
      </c>
      <c r="M66" s="21" t="inlineStr">
        <is>
          <t>最新5本／集計待ち(2-3日遅延)</t>
        </is>
      </c>
    </row>
    <row r="67">
      <c r="A67" s="4" t="inlineStr">
        <is>
          <t>深田えいみ 切り抜き</t>
        </is>
      </c>
      <c r="B67" s="4" t="inlineStr">
        <is>
          <t>2026-09-06T03:45</t>
        </is>
      </c>
      <c r="C67" s="4" t="inlineStr">
        <is>
          <t>12時</t>
        </is>
      </c>
      <c r="D67" s="4" t="inlineStr">
        <is>
          <t>部活は1日で辞めました</t>
        </is>
      </c>
      <c r="E67" s="9" t="n">
        <v>11</v>
      </c>
      <c r="F67" s="4" t="inlineStr"/>
      <c r="G67" s="4" t="n">
        <v>985</v>
      </c>
      <c r="H67" s="4" t="n">
        <v>0</v>
      </c>
      <c r="I67" s="4" t="n">
        <v>1</v>
      </c>
      <c r="J67" s="6">
        <f>IF(G67=0,"",I67/G67*1000)</f>
        <v>1.015228</v>
      </c>
      <c r="K67" s="4" t="n">
        <v>0</v>
      </c>
      <c r="L67" s="4" t="n">
        <v>0.17</v>
      </c>
      <c r="M67" s="4" t="inlineStr">
        <is>
          <t>実績のある直近5本</t>
        </is>
      </c>
    </row>
    <row r="68">
      <c r="A68" s="4" t="inlineStr">
        <is>
          <t>深田えいみ 切り抜き</t>
        </is>
      </c>
      <c r="B68" s="4" t="inlineStr">
        <is>
          <t>2026-09-05T11:00</t>
        </is>
      </c>
      <c r="C68" s="4" t="inlineStr">
        <is>
          <t>20時</t>
        </is>
      </c>
      <c r="D68" s="4" t="inlineStr">
        <is>
          <t>今の自分のまま 学生時代に戻りたい</t>
        </is>
      </c>
      <c r="E68" s="9" t="n">
        <v>17</v>
      </c>
      <c r="F68" s="4" t="inlineStr"/>
      <c r="G68" s="4" t="n">
        <v>1220</v>
      </c>
      <c r="H68" s="4" t="n">
        <v>1</v>
      </c>
      <c r="I68" s="4" t="n">
        <v>0</v>
      </c>
      <c r="J68" s="6">
        <f>IF(G68=0,"",I68/G68*1000)</f>
        <v>0.0</v>
      </c>
      <c r="K68" s="4" t="n">
        <v>49.5</v>
      </c>
      <c r="L68" s="4" t="n">
        <v>0.02</v>
      </c>
      <c r="M68" s="4" t="inlineStr">
        <is>
          <t>実績のある直近5本</t>
        </is>
      </c>
    </row>
    <row r="69">
      <c r="A69" s="4" t="inlineStr">
        <is>
          <t>深田えいみ 切り抜き</t>
        </is>
      </c>
      <c r="B69" s="4" t="inlineStr">
        <is>
          <t>2026-09-05T03:46</t>
        </is>
      </c>
      <c r="C69" s="4" t="inlineStr">
        <is>
          <t>12時</t>
        </is>
      </c>
      <c r="D69" s="4" t="inlineStr">
        <is>
          <t>夜の相性が良いと なかなか抜けられない</t>
        </is>
      </c>
      <c r="E69" s="9" t="n">
        <v>19</v>
      </c>
      <c r="F69" s="4" t="inlineStr"/>
      <c r="G69" s="4" t="n">
        <v>5</v>
      </c>
      <c r="H69" s="4" t="n">
        <v>0</v>
      </c>
      <c r="I69" s="4" t="n">
        <v>0</v>
      </c>
      <c r="J69" s="6">
        <f>IF(G69=0,"",I69/G69*1000)</f>
        <v>0.0</v>
      </c>
      <c r="K69" s="4" t="n">
        <v>26.5</v>
      </c>
      <c r="L69" s="4" t="n">
        <v>0.03</v>
      </c>
      <c r="M69" s="4" t="inlineStr">
        <is>
          <t>実績のある直近5本</t>
        </is>
      </c>
    </row>
    <row r="70">
      <c r="A70" s="4" t="inlineStr">
        <is>
          <t>深田えいみ 切り抜き</t>
        </is>
      </c>
      <c r="B70" s="4" t="inlineStr">
        <is>
          <t>2026-08-28T05:30</t>
        </is>
      </c>
      <c r="C70" s="4" t="inlineStr">
        <is>
          <t>14時</t>
        </is>
      </c>
      <c r="D70" s="4" t="inlineStr">
        <is>
          <t>初めての体験で めっちゃ囲まれた</t>
        </is>
      </c>
      <c r="E70" s="9" t="n">
        <v>16</v>
      </c>
      <c r="F70" s="4" t="inlineStr"/>
      <c r="G70" s="4" t="n">
        <v>93</v>
      </c>
      <c r="H70" s="4" t="n">
        <v>0</v>
      </c>
      <c r="I70" s="4" t="n">
        <v>0</v>
      </c>
      <c r="J70" s="6">
        <f>IF(G70=0,"",I70/G70*1000)</f>
        <v>0.0</v>
      </c>
      <c r="K70" s="4" t="n">
        <v>63.9</v>
      </c>
      <c r="L70" s="4" t="n">
        <v>0.2</v>
      </c>
      <c r="M70" s="4" t="inlineStr">
        <is>
          <t>実績のある直近5本</t>
        </is>
      </c>
    </row>
    <row r="71">
      <c r="A71" s="4" t="inlineStr">
        <is>
          <t>深田えいみ 切り抜き</t>
        </is>
      </c>
      <c r="B71" s="4" t="inlineStr">
        <is>
          <t>2026-08-27T03:00</t>
        </is>
      </c>
      <c r="C71" s="4" t="inlineStr">
        <is>
          <t>12時</t>
        </is>
      </c>
      <c r="D71" s="4" t="inlineStr">
        <is>
          <t>“時間停止”で使うスタジオ</t>
        </is>
      </c>
      <c r="E71" s="9" t="n">
        <v>13</v>
      </c>
      <c r="F71" s="4" t="inlineStr"/>
      <c r="G71" s="4" t="n">
        <v>15985</v>
      </c>
      <c r="H71" s="4" t="n">
        <v>43</v>
      </c>
      <c r="I71" s="4" t="n">
        <v>3</v>
      </c>
      <c r="J71" s="6">
        <f>IF(G71=0,"",I71/G71*1000)</f>
        <v>0.187676</v>
      </c>
      <c r="K71" s="4" t="n">
        <v>82.7</v>
      </c>
      <c r="L71" s="4" t="n">
        <v>0.06</v>
      </c>
      <c r="M71" s="4" t="inlineStr">
        <is>
          <t>実績のある直近5本</t>
        </is>
      </c>
    </row>
    <row r="72">
      <c r="A72" s="4" t="inlineStr">
        <is>
          <t>2chまとめ</t>
        </is>
      </c>
      <c r="B72" s="4" t="inlineStr">
        <is>
          <t>2026-09-08T12:00</t>
        </is>
      </c>
      <c r="C72" s="4" t="inlineStr">
        <is>
          <t>21時</t>
        </is>
      </c>
      <c r="D72" s="4" t="inlineStr">
        <is>
          <t>Apple新製品予想、また本命を外して財布が逝く民ｗ</t>
        </is>
      </c>
      <c r="E72" s="4" t="n">
        <v>26</v>
      </c>
      <c r="F72" s="4" t="inlineStr"/>
      <c r="G72" s="4" t="n">
        <v>0</v>
      </c>
      <c r="H72" s="4" t="n">
        <v>0</v>
      </c>
      <c r="I72" s="4" t="n">
        <v>0</v>
      </c>
      <c r="J72" s="6">
        <f>IF(G72=0,"",I72/G72*1000)</f>
        <v/>
      </c>
      <c r="K72" s="4" t="n">
        <v>0</v>
      </c>
      <c r="L72" s="4" t="n">
        <v>0</v>
      </c>
      <c r="M72" s="21" t="inlineStr">
        <is>
          <t>最新5本／集計待ち(2-3日遅延)</t>
        </is>
      </c>
    </row>
    <row r="73">
      <c r="A73" s="4" t="inlineStr">
        <is>
          <t>2chまとめ</t>
        </is>
      </c>
      <c r="B73" s="4" t="inlineStr">
        <is>
          <t>2026-09-08T03:15</t>
        </is>
      </c>
      <c r="C73" s="4" t="inlineStr">
        <is>
          <t>12時</t>
        </is>
      </c>
      <c r="D73" s="4" t="inlineStr">
        <is>
          <t>ワイのPCで彼女が凍った本当の理由w💦</t>
        </is>
      </c>
      <c r="E73" s="9" t="n">
        <v>19</v>
      </c>
      <c r="F73" s="4" t="inlineStr"/>
      <c r="G73" s="4" t="n">
        <v>0</v>
      </c>
      <c r="H73" s="4" t="n">
        <v>0</v>
      </c>
      <c r="I73" s="4" t="n">
        <v>0</v>
      </c>
      <c r="J73" s="6">
        <f>IF(G73=0,"",I73/G73*1000)</f>
        <v/>
      </c>
      <c r="K73" s="4" t="n">
        <v>0</v>
      </c>
      <c r="L73" s="4" t="n">
        <v>0</v>
      </c>
      <c r="M73" s="21" t="inlineStr">
        <is>
          <t>最新5本／集計待ち(2-3日遅延)</t>
        </is>
      </c>
    </row>
    <row r="74">
      <c r="A74" s="4" t="inlineStr">
        <is>
          <t>2chまとめ</t>
        </is>
      </c>
      <c r="B74" s="4" t="inlineStr">
        <is>
          <t>2026-09-07T22:00</t>
        </is>
      </c>
      <c r="C74" s="4" t="inlineStr">
        <is>
          <t>7時</t>
        </is>
      </c>
      <c r="D74" s="4" t="inlineStr">
        <is>
          <t>なぜファミマで謎の商品を買ってしまうのか？草</t>
        </is>
      </c>
      <c r="E74" s="4" t="n">
        <v>22</v>
      </c>
      <c r="F74" s="4" t="inlineStr">
        <is>
          <t>○</t>
        </is>
      </c>
      <c r="G74" s="4" t="n">
        <v>0</v>
      </c>
      <c r="H74" s="4" t="n">
        <v>0</v>
      </c>
      <c r="I74" s="4" t="n">
        <v>0</v>
      </c>
      <c r="J74" s="6">
        <f>IF(G74=0,"",I74/G74*1000)</f>
        <v/>
      </c>
      <c r="K74" s="4" t="n">
        <v>0</v>
      </c>
      <c r="L74" s="4" t="n">
        <v>0</v>
      </c>
      <c r="M74" s="21" t="inlineStr">
        <is>
          <t>最新5本／集計待ち(2-3日遅延)</t>
        </is>
      </c>
    </row>
    <row r="75">
      <c r="A75" s="4" t="inlineStr">
        <is>
          <t>2chまとめ</t>
        </is>
      </c>
      <c r="B75" s="4" t="inlineStr">
        <is>
          <t>2026-09-07T12:00</t>
        </is>
      </c>
      <c r="C75" s="4" t="inlineStr">
        <is>
          <t>21時</t>
        </is>
      </c>
      <c r="D75" s="4" t="inlineStr">
        <is>
          <t>ワイ、毎月大金をムダにしてるけど質問ある？</t>
        </is>
      </c>
      <c r="E75" s="4" t="n">
        <v>21</v>
      </c>
      <c r="F75" s="4" t="inlineStr"/>
      <c r="G75" s="4" t="n">
        <v>0</v>
      </c>
      <c r="H75" s="4" t="n">
        <v>0</v>
      </c>
      <c r="I75" s="4" t="n">
        <v>0</v>
      </c>
      <c r="J75" s="6">
        <f>IF(G75=0,"",I75/G75*1000)</f>
        <v/>
      </c>
      <c r="K75" s="4" t="n">
        <v>0</v>
      </c>
      <c r="L75" s="4" t="n">
        <v>0</v>
      </c>
      <c r="M75" s="21" t="inlineStr">
        <is>
          <t>最新5本／集計待ち(2-3日遅延)</t>
        </is>
      </c>
    </row>
    <row r="76">
      <c r="A76" s="4" t="inlineStr">
        <is>
          <t>2chまとめ</t>
        </is>
      </c>
      <c r="B76" s="4" t="inlineStr">
        <is>
          <t>2026-09-07T03:15</t>
        </is>
      </c>
      <c r="C76" s="4" t="inlineStr">
        <is>
          <t>12時</t>
        </is>
      </c>
      <c r="D76" s="4" t="inlineStr">
        <is>
          <t>大学サークルで語り継がれる伝説、尾ひれがヤバすぎるw</t>
        </is>
      </c>
      <c r="E76" s="4" t="n">
        <v>26</v>
      </c>
      <c r="F76" s="4" t="inlineStr"/>
      <c r="G76" s="4" t="n">
        <v>0</v>
      </c>
      <c r="H76" s="4" t="n">
        <v>0</v>
      </c>
      <c r="I76" s="4" t="n">
        <v>0</v>
      </c>
      <c r="J76" s="6">
        <f>IF(G76=0,"",I76/G76*1000)</f>
        <v/>
      </c>
      <c r="K76" s="4" t="n">
        <v>0</v>
      </c>
      <c r="L76" s="4" t="n">
        <v>0</v>
      </c>
      <c r="M76" s="21" t="inlineStr">
        <is>
          <t>最新5本／集計待ち(2-3日遅延)</t>
        </is>
      </c>
    </row>
    <row r="77">
      <c r="A77" s="4" t="inlineStr">
        <is>
          <t>2chまとめ</t>
        </is>
      </c>
      <c r="B77" s="4" t="inlineStr">
        <is>
          <t>2026-09-06T03:15</t>
        </is>
      </c>
      <c r="C77" s="4" t="inlineStr">
        <is>
          <t>12時</t>
        </is>
      </c>
      <c r="D77" s="4" t="inlineStr">
        <is>
          <t>3回目の店謎の予約名</t>
        </is>
      </c>
      <c r="E77" s="9" t="n">
        <v>10</v>
      </c>
      <c r="F77" s="4" t="inlineStr"/>
      <c r="G77" s="4" t="n">
        <v>952</v>
      </c>
      <c r="H77" s="4" t="n">
        <v>0</v>
      </c>
      <c r="I77" s="4" t="n">
        <v>0</v>
      </c>
      <c r="J77" s="6">
        <f>IF(G77=0,"",I77/G77*1000)</f>
        <v>0.0</v>
      </c>
      <c r="K77" s="4" t="n">
        <v>42.7</v>
      </c>
      <c r="L77" s="4" t="n">
        <v>0</v>
      </c>
      <c r="M77" s="4" t="inlineStr">
        <is>
          <t>実績のある直近5本</t>
        </is>
      </c>
    </row>
    <row r="78">
      <c r="A78" s="4" t="inlineStr">
        <is>
          <t>2chまとめ</t>
        </is>
      </c>
      <c r="B78" s="4" t="inlineStr">
        <is>
          <t>2026-09-05T22:00</t>
        </is>
      </c>
      <c r="C78" s="4" t="inlineStr">
        <is>
          <t>7時</t>
        </is>
      </c>
      <c r="D78" s="4" t="inlineStr">
        <is>
          <t>3秒で凍結何言った</t>
        </is>
      </c>
      <c r="E78" s="9" t="n">
        <v>9</v>
      </c>
      <c r="F78" s="4" t="inlineStr"/>
      <c r="G78" s="4" t="n">
        <v>967</v>
      </c>
      <c r="H78" s="4" t="n">
        <v>2</v>
      </c>
      <c r="I78" s="4" t="n">
        <v>0</v>
      </c>
      <c r="J78" s="6">
        <f>IF(G78=0,"",I78/G78*1000)</f>
        <v>0.0</v>
      </c>
      <c r="K78" s="4" t="n">
        <v>48.5</v>
      </c>
      <c r="L78" s="4" t="n">
        <v>0</v>
      </c>
      <c r="M78" s="4" t="inlineStr">
        <is>
          <t>実績のある直近5本</t>
        </is>
      </c>
    </row>
    <row r="79">
      <c r="A79" s="4" t="inlineStr">
        <is>
          <t>2chまとめ</t>
        </is>
      </c>
      <c r="B79" s="4" t="inlineStr">
        <is>
          <t>2026-09-05T12:00</t>
        </is>
      </c>
      <c r="C79" s="4" t="inlineStr">
        <is>
          <t>21時</t>
        </is>
      </c>
      <c r="D79" s="4" t="inlineStr">
        <is>
          <t>💦ワイ、同棲3年目やけど質問ある？💦</t>
        </is>
      </c>
      <c r="E79" s="9" t="n">
        <v>18</v>
      </c>
      <c r="F79" s="4" t="inlineStr"/>
      <c r="G79" s="4" t="n">
        <v>190</v>
      </c>
      <c r="H79" s="4" t="n">
        <v>0</v>
      </c>
      <c r="I79" s="4" t="n">
        <v>0</v>
      </c>
      <c r="J79" s="6">
        <f>IF(G79=0,"",I79/G79*1000)</f>
        <v>0.0</v>
      </c>
      <c r="K79" s="4" t="n">
        <v>28.4</v>
      </c>
      <c r="L79" s="4" t="n">
        <v>0</v>
      </c>
      <c r="M79" s="4" t="inlineStr">
        <is>
          <t>実績のある直近5本</t>
        </is>
      </c>
    </row>
    <row r="80">
      <c r="A80" s="4" t="inlineStr">
        <is>
          <t>2chまとめ</t>
        </is>
      </c>
      <c r="B80" s="4" t="inlineStr">
        <is>
          <t>2026-09-05T03:15</t>
        </is>
      </c>
      <c r="C80" s="4" t="inlineStr">
        <is>
          <t>12時</t>
        </is>
      </c>
      <c r="D80" s="4" t="inlineStr">
        <is>
          <t>なぜ親は無言で机を閉めたのか…見つかって終わった物とは？</t>
        </is>
      </c>
      <c r="E80" s="4" t="n">
        <v>28</v>
      </c>
      <c r="F80" s="4" t="inlineStr">
        <is>
          <t>○</t>
        </is>
      </c>
      <c r="G80" s="4" t="n">
        <v>912</v>
      </c>
      <c r="H80" s="4" t="n">
        <v>0</v>
      </c>
      <c r="I80" s="4" t="n">
        <v>0</v>
      </c>
      <c r="J80" s="6">
        <f>IF(G80=0,"",I80/G80*1000)</f>
        <v>0.0</v>
      </c>
      <c r="K80" s="4" t="n">
        <v>36.1</v>
      </c>
      <c r="L80" s="4" t="n">
        <v>0</v>
      </c>
      <c r="M80" s="4" t="inlineStr">
        <is>
          <t>実績のある直近5本</t>
        </is>
      </c>
    </row>
    <row r="81">
      <c r="A81" s="4" t="inlineStr">
        <is>
          <t>2chまとめ</t>
        </is>
      </c>
      <c r="B81" s="4" t="inlineStr">
        <is>
          <t>2026-09-04T22:00</t>
        </is>
      </c>
      <c r="C81" s="4" t="inlineStr">
        <is>
          <t>7時</t>
        </is>
      </c>
      <c r="D81" s="4" t="inlineStr">
        <is>
          <t>🤣ワイ健康診断歴3年やけど正体あるw🍑</t>
        </is>
      </c>
      <c r="E81" s="9" t="n">
        <v>19</v>
      </c>
      <c r="F81" s="4" t="inlineStr"/>
      <c r="G81" s="4" t="n">
        <v>242</v>
      </c>
      <c r="H81" s="4" t="n">
        <v>0</v>
      </c>
      <c r="I81" s="4" t="n">
        <v>0</v>
      </c>
      <c r="J81" s="6">
        <f>IF(G81=0,"",I81/G81*1000)</f>
        <v>0.0</v>
      </c>
      <c r="K81" s="4" t="n">
        <v>32.3</v>
      </c>
      <c r="L81" s="4" t="n">
        <v>0</v>
      </c>
      <c r="M81" s="4" t="inlineStr">
        <is>
          <t>実績のある直近5本</t>
        </is>
      </c>
    </row>
    <row r="82">
      <c r="A82" s="4" t="inlineStr">
        <is>
          <t>金子みゆ 切り抜き</t>
        </is>
      </c>
      <c r="B82" s="4" t="inlineStr">
        <is>
          <t>2026-09-08T11:30</t>
        </is>
      </c>
      <c r="C82" s="4" t="inlineStr">
        <is>
          <t>20時</t>
        </is>
      </c>
      <c r="D82" s="4" t="inlineStr">
        <is>
          <t>身長を測ったら161cmだった</t>
        </is>
      </c>
      <c r="E82" s="9" t="n">
        <v>15</v>
      </c>
      <c r="F82" s="4" t="inlineStr"/>
      <c r="G82" s="4" t="n">
        <v>0</v>
      </c>
      <c r="H82" s="4" t="n">
        <v>0</v>
      </c>
      <c r="I82" s="4" t="n">
        <v>0</v>
      </c>
      <c r="J82" s="6">
        <f>IF(G82=0,"",I82/G82*1000)</f>
        <v/>
      </c>
      <c r="K82" s="4" t="n">
        <v>0</v>
      </c>
      <c r="L82" s="4" t="n">
        <v>0</v>
      </c>
      <c r="M82" s="21" t="inlineStr">
        <is>
          <t>最新5本／集計待ち(2-3日遅延)</t>
        </is>
      </c>
    </row>
    <row r="83">
      <c r="A83" s="4" t="inlineStr">
        <is>
          <t>金子みゆ 切り抜き</t>
        </is>
      </c>
      <c r="B83" s="4" t="inlineStr">
        <is>
          <t>2026-09-08T05:03</t>
        </is>
      </c>
      <c r="C83" s="4" t="inlineStr">
        <is>
          <t>14時</t>
        </is>
      </c>
      <c r="D83" s="4" t="inlineStr">
        <is>
          <t>愛用中のパックが プレゼントに入ってた</t>
        </is>
      </c>
      <c r="E83" s="9" t="n">
        <v>19</v>
      </c>
      <c r="F83" s="4" t="inlineStr"/>
      <c r="G83" s="4" t="n">
        <v>0</v>
      </c>
      <c r="H83" s="4" t="n">
        <v>0</v>
      </c>
      <c r="I83" s="4" t="n">
        <v>0</v>
      </c>
      <c r="J83" s="6">
        <f>IF(G83=0,"",I83/G83*1000)</f>
        <v/>
      </c>
      <c r="K83" s="4" t="n">
        <v>0</v>
      </c>
      <c r="L83" s="4" t="n">
        <v>0</v>
      </c>
      <c r="M83" s="21" t="inlineStr">
        <is>
          <t>最新5本／集計待ち(2-3日遅延)</t>
        </is>
      </c>
    </row>
    <row r="84">
      <c r="A84" s="4" t="inlineStr">
        <is>
          <t>金子みゆ 切り抜き</t>
        </is>
      </c>
      <c r="B84" s="4" t="inlineStr">
        <is>
          <t>2026-09-07T23:00</t>
        </is>
      </c>
      <c r="C84" s="4" t="inlineStr">
        <is>
          <t>8時</t>
        </is>
      </c>
      <c r="D84" s="4" t="inlineStr">
        <is>
          <t>PayPayが使えない店で 現金を持っていなかった</t>
        </is>
      </c>
      <c r="E84" s="4" t="n">
        <v>25</v>
      </c>
      <c r="F84" s="4" t="inlineStr"/>
      <c r="G84" s="4" t="n">
        <v>0</v>
      </c>
      <c r="H84" s="4" t="n">
        <v>0</v>
      </c>
      <c r="I84" s="4" t="n">
        <v>0</v>
      </c>
      <c r="J84" s="6">
        <f>IF(G84=0,"",I84/G84*1000)</f>
        <v/>
      </c>
      <c r="K84" s="4" t="n">
        <v>0</v>
      </c>
      <c r="L84" s="4" t="n">
        <v>0</v>
      </c>
      <c r="M84" s="21" t="inlineStr">
        <is>
          <t>最新5本／集計待ち(2-3日遅延)</t>
        </is>
      </c>
    </row>
    <row r="85">
      <c r="A85" s="4" t="inlineStr">
        <is>
          <t>金子みゆ 切り抜き</t>
        </is>
      </c>
      <c r="B85" s="4" t="inlineStr">
        <is>
          <t>2026-09-07T11:31</t>
        </is>
      </c>
      <c r="C85" s="4" t="inlineStr">
        <is>
          <t>20時</t>
        </is>
      </c>
      <c r="D85" s="4" t="inlineStr">
        <is>
          <t>70歳を過ぎて気づいた 人それぞれの受け止め方</t>
        </is>
      </c>
      <c r="E85" s="4" t="n">
        <v>23</v>
      </c>
      <c r="F85" s="4" t="inlineStr"/>
      <c r="G85" s="4" t="n">
        <v>0</v>
      </c>
      <c r="H85" s="4" t="n">
        <v>0</v>
      </c>
      <c r="I85" s="4" t="n">
        <v>0</v>
      </c>
      <c r="J85" s="6">
        <f>IF(G85=0,"",I85/G85*1000)</f>
        <v/>
      </c>
      <c r="K85" s="4" t="n">
        <v>0</v>
      </c>
      <c r="L85" s="4" t="n">
        <v>0</v>
      </c>
      <c r="M85" s="21" t="inlineStr">
        <is>
          <t>最新5本／集計待ち(2-3日遅延)</t>
        </is>
      </c>
    </row>
    <row r="86">
      <c r="A86" s="4" t="inlineStr">
        <is>
          <t>金子みゆ 切り抜き</t>
        </is>
      </c>
      <c r="B86" s="4" t="inlineStr">
        <is>
          <t>2026-09-06T23:00</t>
        </is>
      </c>
      <c r="C86" s="4" t="inlineStr">
        <is>
          <t>8時</t>
        </is>
      </c>
      <c r="D86" s="4" t="inlineStr">
        <is>
          <t>サッカーに詳しい人は 恋愛対象として嬉しい</t>
        </is>
      </c>
      <c r="E86" s="4" t="n">
        <v>21</v>
      </c>
      <c r="F86" s="4" t="inlineStr"/>
      <c r="G86" s="4" t="n">
        <v>0</v>
      </c>
      <c r="H86" s="4" t="n">
        <v>0</v>
      </c>
      <c r="I86" s="4" t="n">
        <v>0</v>
      </c>
      <c r="J86" s="6">
        <f>IF(G86=0,"",I86/G86*1000)</f>
        <v/>
      </c>
      <c r="K86" s="4" t="n">
        <v>0</v>
      </c>
      <c r="L86" s="4" t="n">
        <v>0</v>
      </c>
      <c r="M86" s="21" t="inlineStr">
        <is>
          <t>最新5本／集計待ち(2-3日遅延)</t>
        </is>
      </c>
    </row>
    <row r="87">
      <c r="A87" s="4" t="inlineStr">
        <is>
          <t>金子みゆ 切り抜き</t>
        </is>
      </c>
      <c r="B87" s="4" t="inlineStr">
        <is>
          <t>2026-09-05T11:30</t>
        </is>
      </c>
      <c r="C87" s="4" t="inlineStr">
        <is>
          <t>20時</t>
        </is>
      </c>
      <c r="D87" s="4" t="inlineStr">
        <is>
          <t>「必要とされたい」からこその悩み</t>
        </is>
      </c>
      <c r="E87" s="9" t="n">
        <v>16</v>
      </c>
      <c r="F87" s="4" t="inlineStr"/>
      <c r="G87" s="4" t="n">
        <v>2</v>
      </c>
      <c r="H87" s="4" t="n">
        <v>0</v>
      </c>
      <c r="I87" s="4" t="n">
        <v>0</v>
      </c>
      <c r="J87" s="6">
        <f>IF(G87=0,"",I87/G87*1000)</f>
        <v>0.0</v>
      </c>
      <c r="K87" s="4" t="n">
        <v>137.6</v>
      </c>
      <c r="L87" s="4" t="n">
        <v>0.16</v>
      </c>
      <c r="M87" s="4" t="inlineStr">
        <is>
          <t>実績のある直近5本</t>
        </is>
      </c>
    </row>
    <row r="88">
      <c r="A88" s="4" t="inlineStr">
        <is>
          <t>金子みゆ 切り抜き</t>
        </is>
      </c>
      <c r="B88" s="4" t="inlineStr">
        <is>
          <t>2026-09-05T05:00</t>
        </is>
      </c>
      <c r="C88" s="4" t="inlineStr">
        <is>
          <t>14時</t>
        </is>
      </c>
      <c r="D88" s="4" t="inlineStr">
        <is>
          <t>斉藤さん企画を終え TikTokerとして決意表明</t>
        </is>
      </c>
      <c r="E88" s="4" t="n">
        <v>25</v>
      </c>
      <c r="F88" s="4" t="inlineStr"/>
      <c r="G88" s="4" t="n">
        <v>978</v>
      </c>
      <c r="H88" s="4" t="n">
        <v>1</v>
      </c>
      <c r="I88" s="4" t="n">
        <v>0</v>
      </c>
      <c r="J88" s="6">
        <f>IF(G88=0,"",I88/G88*1000)</f>
        <v>0.0</v>
      </c>
      <c r="K88" s="4" t="n">
        <v>68.8</v>
      </c>
      <c r="L88" s="4" t="n">
        <v>0.03</v>
      </c>
      <c r="M88" s="4" t="inlineStr">
        <is>
          <t>実績のある直近5本</t>
        </is>
      </c>
    </row>
    <row r="89">
      <c r="A89" s="4" t="inlineStr">
        <is>
          <t>金子みゆ 切り抜き</t>
        </is>
      </c>
      <c r="B89" s="4" t="inlineStr">
        <is>
          <t>2026-09-04T23:00</t>
        </is>
      </c>
      <c r="C89" s="4" t="inlineStr">
        <is>
          <t>8時</t>
        </is>
      </c>
      <c r="D89" s="4" t="inlineStr">
        <is>
          <t>6年間隠した恋が 都合のいい関係に</t>
        </is>
      </c>
      <c r="E89" s="9" t="n">
        <v>17</v>
      </c>
      <c r="F89" s="4" t="inlineStr"/>
      <c r="G89" s="4" t="n">
        <v>1172</v>
      </c>
      <c r="H89" s="4" t="n">
        <v>1</v>
      </c>
      <c r="I89" s="4" t="n">
        <v>0</v>
      </c>
      <c r="J89" s="6">
        <f>IF(G89=0,"",I89/G89*1000)</f>
        <v>0.0</v>
      </c>
      <c r="K89" s="4" t="n">
        <v>54.6</v>
      </c>
      <c r="L89" s="4" t="n">
        <v>0.04</v>
      </c>
      <c r="M89" s="4" t="inlineStr">
        <is>
          <t>実績のある直近5本</t>
        </is>
      </c>
    </row>
    <row r="90">
      <c r="A90" s="4" t="inlineStr">
        <is>
          <t>金子みゆ 切り抜き</t>
        </is>
      </c>
      <c r="B90" s="4" t="inlineStr">
        <is>
          <t>2026-09-04T11:30</t>
        </is>
      </c>
      <c r="C90" s="4" t="inlineStr">
        <is>
          <t>20時</t>
        </is>
      </c>
      <c r="D90" s="4" t="inlineStr">
        <is>
          <t>白いゲーミングPCは 中の色まで変えられる</t>
        </is>
      </c>
      <c r="E90" s="4" t="n">
        <v>21</v>
      </c>
      <c r="F90" s="4" t="inlineStr"/>
      <c r="G90" s="4" t="n">
        <v>1206</v>
      </c>
      <c r="H90" s="4" t="n">
        <v>1</v>
      </c>
      <c r="I90" s="4" t="n">
        <v>0</v>
      </c>
      <c r="J90" s="6">
        <f>IF(G90=0,"",I90/G90*1000)</f>
        <v>0.0</v>
      </c>
      <c r="K90" s="4" t="n">
        <v>39.5</v>
      </c>
      <c r="L90" s="4" t="n">
        <v>0.03</v>
      </c>
      <c r="M90" s="4" t="inlineStr">
        <is>
          <t>実績のある直近5本</t>
        </is>
      </c>
    </row>
    <row r="91">
      <c r="A91" s="4" t="inlineStr">
        <is>
          <t>金子みゆ 切り抜き</t>
        </is>
      </c>
      <c r="B91" s="4" t="inlineStr">
        <is>
          <t>2026-09-04T05:00</t>
        </is>
      </c>
      <c r="C91" s="4" t="inlineStr">
        <is>
          <t>14時</t>
        </is>
      </c>
      <c r="D91" s="4" t="inlineStr">
        <is>
          <t>恋愛を体験できる一冊に</t>
        </is>
      </c>
      <c r="E91" s="9" t="n">
        <v>11</v>
      </c>
      <c r="F91" s="4" t="inlineStr"/>
      <c r="G91" s="4" t="n">
        <v>943</v>
      </c>
      <c r="H91" s="4" t="n">
        <v>2</v>
      </c>
      <c r="I91" s="4" t="n">
        <v>0</v>
      </c>
      <c r="J91" s="6">
        <f>IF(G91=0,"",I91/G91*1000)</f>
        <v>0.0</v>
      </c>
      <c r="K91" s="4" t="n">
        <v>34.1</v>
      </c>
      <c r="L91" s="4" t="n">
        <v>0</v>
      </c>
      <c r="M91" s="4" t="inlineStr">
        <is>
          <t>実績のある直近5本</t>
        </is>
      </c>
    </row>
    <row r="92">
      <c r="A92" s="4" t="inlineStr">
        <is>
          <t>切り抜きラボ（ひろゆき）</t>
        </is>
      </c>
      <c r="B92" s="4" t="inlineStr">
        <is>
          <t>2026-09-08T08:46</t>
        </is>
      </c>
      <c r="C92" s="4" t="inlineStr">
        <is>
          <t>17時</t>
        </is>
      </c>
      <c r="D92" s="4" t="inlineStr">
        <is>
          <t>リアルロボの操縦席は 腰の位置にある</t>
        </is>
      </c>
      <c r="E92" s="9" t="n">
        <v>18</v>
      </c>
      <c r="F92" s="4" t="inlineStr"/>
      <c r="G92" s="4" t="n">
        <v>0</v>
      </c>
      <c r="H92" s="4" t="n">
        <v>0</v>
      </c>
      <c r="I92" s="4" t="n">
        <v>0</v>
      </c>
      <c r="J92" s="6">
        <f>IF(G92=0,"",I92/G92*1000)</f>
        <v/>
      </c>
      <c r="K92" s="4" t="n">
        <v>0</v>
      </c>
      <c r="L92" s="4" t="n">
        <v>0</v>
      </c>
      <c r="M92" s="21" t="inlineStr">
        <is>
          <t>最新5本／集計待ち(2-3日遅延)</t>
        </is>
      </c>
    </row>
    <row r="93">
      <c r="A93" s="4" t="inlineStr">
        <is>
          <t>切り抜きラボ（ひろゆき）</t>
        </is>
      </c>
      <c r="B93" s="4" t="inlineStr">
        <is>
          <t>2026-09-08T02:45</t>
        </is>
      </c>
      <c r="C93" s="4" t="inlineStr">
        <is>
          <t>11時</t>
        </is>
      </c>
      <c r="D93" s="4" t="inlineStr">
        <is>
          <t>米国景気は 良くないかもしれない</t>
        </is>
      </c>
      <c r="E93" s="9" t="n">
        <v>16</v>
      </c>
      <c r="F93" s="4" t="inlineStr"/>
      <c r="G93" s="4" t="n">
        <v>0</v>
      </c>
      <c r="H93" s="4" t="n">
        <v>0</v>
      </c>
      <c r="I93" s="4" t="n">
        <v>0</v>
      </c>
      <c r="J93" s="6">
        <f>IF(G93=0,"",I93/G93*1000)</f>
        <v/>
      </c>
      <c r="K93" s="4" t="n">
        <v>0</v>
      </c>
      <c r="L93" s="4" t="n">
        <v>0</v>
      </c>
      <c r="M93" s="21" t="inlineStr">
        <is>
          <t>最新5本／集計待ち(2-3日遅延)</t>
        </is>
      </c>
    </row>
    <row r="94">
      <c r="A94" s="4" t="inlineStr">
        <is>
          <t>切り抜きラボ（ひろゆき）</t>
        </is>
      </c>
      <c r="B94" s="4" t="inlineStr">
        <is>
          <t>2026-09-07T08:45</t>
        </is>
      </c>
      <c r="C94" s="4" t="inlineStr">
        <is>
          <t>17時</t>
        </is>
      </c>
      <c r="D94" s="4" t="inlineStr">
        <is>
          <t>資産500万円で一生暮らすのは厳しい</t>
        </is>
      </c>
      <c r="E94" s="9" t="n">
        <v>18</v>
      </c>
      <c r="F94" s="4" t="inlineStr"/>
      <c r="G94" s="4" t="n">
        <v>0</v>
      </c>
      <c r="H94" s="4" t="n">
        <v>0</v>
      </c>
      <c r="I94" s="4" t="n">
        <v>0</v>
      </c>
      <c r="J94" s="6">
        <f>IF(G94=0,"",I94/G94*1000)</f>
        <v/>
      </c>
      <c r="K94" s="4" t="n">
        <v>0</v>
      </c>
      <c r="L94" s="4" t="n">
        <v>0</v>
      </c>
      <c r="M94" s="21" t="inlineStr">
        <is>
          <t>最新5本／集計待ち(2-3日遅延)</t>
        </is>
      </c>
    </row>
    <row r="95">
      <c r="A95" s="4" t="inlineStr">
        <is>
          <t>切り抜きラボ（ひろゆき）</t>
        </is>
      </c>
      <c r="B95" s="4" t="inlineStr">
        <is>
          <t>2026-09-07T02:45</t>
        </is>
      </c>
      <c r="C95" s="4" t="inlineStr">
        <is>
          <t>11時</t>
        </is>
      </c>
      <c r="D95" s="4" t="inlineStr">
        <is>
          <t>視聴データが導く 「定番ストーリー」</t>
        </is>
      </c>
      <c r="E95" s="9" t="n">
        <v>18</v>
      </c>
      <c r="F95" s="4" t="inlineStr"/>
      <c r="G95" s="4" t="n">
        <v>0</v>
      </c>
      <c r="H95" s="4" t="n">
        <v>0</v>
      </c>
      <c r="I95" s="4" t="n">
        <v>0</v>
      </c>
      <c r="J95" s="6">
        <f>IF(G95=0,"",I95/G95*1000)</f>
        <v/>
      </c>
      <c r="K95" s="4" t="n">
        <v>0</v>
      </c>
      <c r="L95" s="4" t="n">
        <v>0</v>
      </c>
      <c r="M95" s="21" t="inlineStr">
        <is>
          <t>最新5本／集計待ち(2-3日遅延)</t>
        </is>
      </c>
    </row>
    <row r="96">
      <c r="A96" s="4" t="inlineStr">
        <is>
          <t>切り抜きラボ（ひろゆき）</t>
        </is>
      </c>
      <c r="B96" s="4" t="inlineStr">
        <is>
          <t>2026-09-06T08:46</t>
        </is>
      </c>
      <c r="C96" s="4" t="inlineStr">
        <is>
          <t>17時</t>
        </is>
      </c>
      <c r="D96" s="4" t="inlineStr">
        <is>
          <t>アラフォー資産500万なら まず生活を優先</t>
        </is>
      </c>
      <c r="E96" s="4" t="n">
        <v>21</v>
      </c>
      <c r="F96" s="4" t="inlineStr"/>
      <c r="G96" s="4" t="n">
        <v>0</v>
      </c>
      <c r="H96" s="4" t="n">
        <v>0</v>
      </c>
      <c r="I96" s="4" t="n">
        <v>0</v>
      </c>
      <c r="J96" s="6">
        <f>IF(G96=0,"",I96/G96*1000)</f>
        <v/>
      </c>
      <c r="K96" s="4" t="n">
        <v>0</v>
      </c>
      <c r="L96" s="4" t="n">
        <v>0.08</v>
      </c>
      <c r="M96" s="21" t="inlineStr">
        <is>
          <t>最新5本／集計待ち(2-3日遅延)</t>
        </is>
      </c>
    </row>
    <row r="97">
      <c r="A97" s="4" t="inlineStr">
        <is>
          <t>切り抜きラボ（ひろゆき）</t>
        </is>
      </c>
      <c r="B97" s="4" t="inlineStr">
        <is>
          <t>2026-09-06T02:46</t>
        </is>
      </c>
      <c r="C97" s="4" t="inlineStr">
        <is>
          <t>11時</t>
        </is>
      </c>
      <c r="D97" s="4" t="inlineStr">
        <is>
          <t>弟を亡くした悲しみは 6年経っても消えない</t>
        </is>
      </c>
      <c r="E97" s="4" t="n">
        <v>21</v>
      </c>
      <c r="F97" s="4" t="inlineStr"/>
      <c r="G97" s="4" t="n">
        <v>1349</v>
      </c>
      <c r="H97" s="4" t="n">
        <v>2</v>
      </c>
      <c r="I97" s="4" t="n">
        <v>0</v>
      </c>
      <c r="J97" s="6">
        <f>IF(G97=0,"",I97/G97*1000)</f>
        <v>0.0</v>
      </c>
      <c r="K97" s="4" t="n">
        <v>97.40000000000001</v>
      </c>
      <c r="L97" s="4" t="n">
        <v>0.14</v>
      </c>
      <c r="M97" s="4" t="inlineStr">
        <is>
          <t>実績のある直近5本</t>
        </is>
      </c>
    </row>
    <row r="98">
      <c r="A98" s="4" t="inlineStr">
        <is>
          <t>切り抜きラボ（ひろゆき）</t>
        </is>
      </c>
      <c r="B98" s="4" t="inlineStr">
        <is>
          <t>2026-09-05T08:45</t>
        </is>
      </c>
      <c r="C98" s="4" t="inlineStr">
        <is>
          <t>17時</t>
        </is>
      </c>
      <c r="D98" s="4" t="inlineStr">
        <is>
          <t>刑務所行きを恐れ 暴力団は来なくなった</t>
        </is>
      </c>
      <c r="E98" s="9" t="n">
        <v>19</v>
      </c>
      <c r="F98" s="4" t="inlineStr"/>
      <c r="G98" s="4" t="n">
        <v>6382</v>
      </c>
      <c r="H98" s="4" t="n">
        <v>6</v>
      </c>
      <c r="I98" s="4" t="n">
        <v>1</v>
      </c>
      <c r="J98" s="6">
        <f>IF(G98=0,"",I98/G98*1000)</f>
        <v>0.156691</v>
      </c>
      <c r="K98" s="4" t="n">
        <v>73.3</v>
      </c>
      <c r="L98" s="4" t="n">
        <v>0</v>
      </c>
      <c r="M98" s="4" t="inlineStr">
        <is>
          <t>実績のある直近5本</t>
        </is>
      </c>
    </row>
    <row r="99">
      <c r="A99" s="4" t="inlineStr">
        <is>
          <t>切り抜きラボ（ひろゆき）</t>
        </is>
      </c>
      <c r="B99" s="4" t="inlineStr">
        <is>
          <t>2026-09-05T02:45</t>
        </is>
      </c>
      <c r="C99" s="4" t="inlineStr">
        <is>
          <t>11時</t>
        </is>
      </c>
      <c r="D99" s="4" t="inlineStr">
        <is>
          <t>男性の被害は 事件化されにくい</t>
        </is>
      </c>
      <c r="E99" s="9" t="n">
        <v>15</v>
      </c>
      <c r="F99" s="4" t="inlineStr"/>
      <c r="G99" s="4" t="n">
        <v>1307</v>
      </c>
      <c r="H99" s="4" t="n">
        <v>2</v>
      </c>
      <c r="I99" s="4" t="n">
        <v>0</v>
      </c>
      <c r="J99" s="6">
        <f>IF(G99=0,"",I99/G99*1000)</f>
        <v>0.0</v>
      </c>
      <c r="K99" s="4" t="n">
        <v>58.3</v>
      </c>
      <c r="L99" s="4" t="n">
        <v>0</v>
      </c>
      <c r="M99" s="4" t="inlineStr">
        <is>
          <t>実績のある直近5本</t>
        </is>
      </c>
    </row>
    <row r="100">
      <c r="A100" s="4" t="inlineStr">
        <is>
          <t>切り抜きラボ（ひろゆき）</t>
        </is>
      </c>
      <c r="B100" s="4" t="inlineStr">
        <is>
          <t>2026-09-04T08:46</t>
        </is>
      </c>
      <c r="C100" s="4" t="inlineStr">
        <is>
          <t>17時</t>
        </is>
      </c>
      <c r="D100" s="4" t="inlineStr">
        <is>
          <t>向いていることを やり続ければいい</t>
        </is>
      </c>
      <c r="E100" s="9" t="n">
        <v>17</v>
      </c>
      <c r="F100" s="4" t="inlineStr"/>
      <c r="G100" s="4" t="n">
        <v>1142</v>
      </c>
      <c r="H100" s="4" t="n">
        <v>0</v>
      </c>
      <c r="I100" s="4" t="n">
        <v>0</v>
      </c>
      <c r="J100" s="6">
        <f>IF(G100=0,"",I100/G100*1000)</f>
        <v>0.0</v>
      </c>
      <c r="K100" s="4" t="n">
        <v>51.7</v>
      </c>
      <c r="L100" s="4" t="n">
        <v>0</v>
      </c>
      <c r="M100" s="4" t="inlineStr">
        <is>
          <t>実績のある直近5本</t>
        </is>
      </c>
    </row>
    <row r="101">
      <c r="A101" s="4" t="inlineStr">
        <is>
          <t>切り抜きラボ（ひろゆき）</t>
        </is>
      </c>
      <c r="B101" s="4" t="inlineStr">
        <is>
          <t>2026-09-04T02:48</t>
        </is>
      </c>
      <c r="C101" s="4" t="inlineStr">
        <is>
          <t>11時</t>
        </is>
      </c>
      <c r="D101" s="4" t="inlineStr">
        <is>
          <t>株を渡されない社長は いつでもクビになれる</t>
        </is>
      </c>
      <c r="E101" s="4" t="n">
        <v>21</v>
      </c>
      <c r="F101" s="4" t="inlineStr"/>
      <c r="G101" s="4" t="n">
        <v>1930</v>
      </c>
      <c r="H101" s="4" t="n">
        <v>0</v>
      </c>
      <c r="I101" s="4" t="n">
        <v>0</v>
      </c>
      <c r="J101" s="6">
        <f>IF(G101=0,"",I101/G101*1000)</f>
        <v>0.0</v>
      </c>
      <c r="K101" s="4" t="n">
        <v>51.1</v>
      </c>
      <c r="L101" s="4" t="n">
        <v>0.02</v>
      </c>
      <c r="M101" s="4" t="inlineStr">
        <is>
          <t>実績のある直近5本</t>
        </is>
      </c>
    </row>
    <row r="102">
      <c r="A102" s="4" t="inlineStr">
        <is>
          <t>架空論文ラボ</t>
        </is>
      </c>
      <c r="B102" s="4" t="inlineStr">
        <is>
          <t>2026-09-06T10:30</t>
        </is>
      </c>
      <c r="C102" s="4" t="inlineStr">
        <is>
          <t>19時</t>
        </is>
      </c>
      <c r="D102" s="4" t="inlineStr">
        <is>
          <t>なぜエスカレーター右側は左側より0.7度高いのか？</t>
        </is>
      </c>
      <c r="E102" s="4" t="n">
        <v>25</v>
      </c>
      <c r="F102" s="4" t="inlineStr">
        <is>
          <t>○</t>
        </is>
      </c>
      <c r="G102" s="4" t="n">
        <v>0</v>
      </c>
      <c r="H102" s="4" t="n">
        <v>0</v>
      </c>
      <c r="I102" s="4" t="n">
        <v>0</v>
      </c>
      <c r="J102" s="6">
        <f>IF(G102=0,"",I102/G102*1000)</f>
        <v/>
      </c>
      <c r="K102" s="4" t="n">
        <v>0</v>
      </c>
      <c r="L102" s="4" t="n">
        <v>0</v>
      </c>
      <c r="M102" s="21" t="inlineStr">
        <is>
          <t>最新5本／集計待ち(2-3日遅延)</t>
        </is>
      </c>
    </row>
    <row r="103">
      <c r="A103" s="4" t="inlineStr">
        <is>
          <t>架空論文ラボ</t>
        </is>
      </c>
      <c r="B103" s="4" t="inlineStr">
        <is>
          <t>2026-09-06T06:30</t>
        </is>
      </c>
      <c r="C103" s="4" t="inlineStr">
        <is>
          <t>15時</t>
        </is>
      </c>
      <c r="D103" s="4" t="inlineStr">
        <is>
          <t>早口の正体遅れて聞こえる</t>
        </is>
      </c>
      <c r="E103" s="9" t="n">
        <v>12</v>
      </c>
      <c r="F103" s="4" t="inlineStr"/>
      <c r="G103" s="4" t="n">
        <v>0</v>
      </c>
      <c r="H103" s="4" t="n">
        <v>0</v>
      </c>
      <c r="I103" s="4" t="n">
        <v>0</v>
      </c>
      <c r="J103" s="6">
        <f>IF(G103=0,"",I103/G103*1000)</f>
        <v/>
      </c>
      <c r="K103" s="4" t="n">
        <v>0</v>
      </c>
      <c r="L103" s="4" t="n">
        <v>0</v>
      </c>
      <c r="M103" s="21" t="inlineStr">
        <is>
          <t>最新5本／集計待ち(2-3日遅延)</t>
        </is>
      </c>
    </row>
    <row r="104">
      <c r="A104" s="4" t="inlineStr">
        <is>
          <t>架空論文ラボ</t>
        </is>
      </c>
      <c r="B104" s="4" t="inlineStr">
        <is>
          <t>2026-09-06T02:00</t>
        </is>
      </c>
      <c r="C104" s="4" t="inlineStr">
        <is>
          <t>11時</t>
        </is>
      </c>
      <c r="D104" s="4" t="inlineStr">
        <is>
          <t>下りだけ段が消える</t>
        </is>
      </c>
      <c r="E104" s="9" t="n">
        <v>9</v>
      </c>
      <c r="F104" s="4" t="inlineStr"/>
      <c r="G104" s="4" t="n">
        <v>0</v>
      </c>
      <c r="H104" s="4" t="n">
        <v>0</v>
      </c>
      <c r="I104" s="4" t="n">
        <v>0</v>
      </c>
      <c r="J104" s="6">
        <f>IF(G104=0,"",I104/G104*1000)</f>
        <v/>
      </c>
      <c r="K104" s="4" t="n">
        <v>0</v>
      </c>
      <c r="L104" s="4" t="n">
        <v>0</v>
      </c>
      <c r="M104" s="21" t="inlineStr">
        <is>
          <t>最新5本／集計待ち(2-3日遅延)</t>
        </is>
      </c>
    </row>
    <row r="105">
      <c r="A105" s="4" t="inlineStr">
        <is>
          <t>架空論文ラボ</t>
        </is>
      </c>
      <c r="B105" s="4" t="inlineStr">
        <is>
          <t>2026-09-05T10:30</t>
        </is>
      </c>
      <c r="C105" s="4" t="inlineStr">
        <is>
          <t>19時</t>
        </is>
      </c>
      <c r="D105" s="4" t="inlineStr">
        <is>
          <t>古い消しゴムほど字が濃く消える？摩耗面731個の検証</t>
        </is>
      </c>
      <c r="E105" s="4" t="n">
        <v>26</v>
      </c>
      <c r="F105" s="4" t="inlineStr"/>
      <c r="G105" s="4" t="n">
        <v>0</v>
      </c>
      <c r="H105" s="4" t="n">
        <v>0</v>
      </c>
      <c r="I105" s="4" t="n">
        <v>0</v>
      </c>
      <c r="J105" s="6">
        <f>IF(G105=0,"",I105/G105*1000)</f>
        <v/>
      </c>
      <c r="K105" s="4" t="n">
        <v>0</v>
      </c>
      <c r="L105" s="4" t="n">
        <v>0</v>
      </c>
      <c r="M105" s="21" t="inlineStr">
        <is>
          <t>最新5本／集計待ち(2-3日遅延)</t>
        </is>
      </c>
    </row>
    <row r="106">
      <c r="A106" s="4" t="inlineStr">
        <is>
          <t>架空論文ラボ</t>
        </is>
      </c>
      <c r="B106" s="4" t="inlineStr">
        <is>
          <t>2026-09-05T06:30</t>
        </is>
      </c>
      <c r="C106" s="4" t="inlineStr">
        <is>
          <t>15時</t>
        </is>
      </c>
      <c r="D106" s="4" t="inlineStr">
        <is>
          <t>雨の匂いで眠りが変わる</t>
        </is>
      </c>
      <c r="E106" s="9" t="n">
        <v>11</v>
      </c>
      <c r="F106" s="4" t="inlineStr"/>
      <c r="G106" s="4" t="n">
        <v>0</v>
      </c>
      <c r="H106" s="4" t="n">
        <v>0</v>
      </c>
      <c r="I106" s="4" t="n">
        <v>0</v>
      </c>
      <c r="J106" s="6">
        <f>IF(G106=0,"",I106/G106*1000)</f>
        <v/>
      </c>
      <c r="K106" s="4" t="n">
        <v>0</v>
      </c>
      <c r="L106" s="4" t="n">
        <v>0</v>
      </c>
      <c r="M106" s="21" t="inlineStr">
        <is>
          <t>最新5本／集計待ち(2-3日遅延)</t>
        </is>
      </c>
    </row>
    <row r="107">
      <c r="A107" s="4" t="inlineStr">
        <is>
          <t>架空論文ラボ</t>
        </is>
      </c>
      <c r="B107" s="4" t="inlineStr">
        <is>
          <t>2026-09-04T06:30</t>
        </is>
      </c>
      <c r="C107" s="4" t="inlineStr">
        <is>
          <t>15時</t>
        </is>
      </c>
      <c r="D107" s="4" t="inlineStr">
        <is>
          <t>最後尾だけ9%短い</t>
        </is>
      </c>
      <c r="E107" s="9" t="n">
        <v>9</v>
      </c>
      <c r="F107" s="4" t="inlineStr"/>
      <c r="G107" s="4" t="n">
        <v>240</v>
      </c>
      <c r="H107" s="4" t="n">
        <v>2</v>
      </c>
      <c r="I107" s="4" t="n">
        <v>0</v>
      </c>
      <c r="J107" s="6">
        <f>IF(G107=0,"",I107/G107*1000)</f>
        <v>0.0</v>
      </c>
      <c r="K107" s="4" t="n">
        <v>36.5</v>
      </c>
      <c r="L107" s="4" t="n">
        <v>0</v>
      </c>
      <c r="M107" s="4" t="inlineStr">
        <is>
          <t>実績のある直近5本</t>
        </is>
      </c>
    </row>
    <row r="108">
      <c r="A108" s="4" t="inlineStr">
        <is>
          <t>架空論文ラボ</t>
        </is>
      </c>
      <c r="B108" s="4" t="inlineStr">
        <is>
          <t>2026-09-03T10:30</t>
        </is>
      </c>
      <c r="C108" s="4" t="inlineStr">
        <is>
          <t>19時</t>
        </is>
      </c>
      <c r="D108" s="4" t="inlineStr">
        <is>
          <t>なぜ久保建英のドリブルは宇宙の軌道を外れるのか？</t>
        </is>
      </c>
      <c r="E108" s="4" t="n">
        <v>24</v>
      </c>
      <c r="F108" s="4" t="inlineStr">
        <is>
          <t>○</t>
        </is>
      </c>
      <c r="G108" s="4" t="n">
        <v>194</v>
      </c>
      <c r="H108" s="4" t="n">
        <v>0</v>
      </c>
      <c r="I108" s="4" t="n">
        <v>0</v>
      </c>
      <c r="J108" s="6">
        <f>IF(G108=0,"",I108/G108*1000)</f>
        <v>0.0</v>
      </c>
      <c r="K108" s="4" t="n">
        <v>31.8</v>
      </c>
      <c r="L108" s="4" t="n">
        <v>0</v>
      </c>
      <c r="M108" s="4" t="inlineStr">
        <is>
          <t>実績のある直近5本</t>
        </is>
      </c>
    </row>
    <row r="109">
      <c r="A109" s="4" t="inlineStr">
        <is>
          <t>架空論文ラボ</t>
        </is>
      </c>
      <c r="B109" s="4" t="inlineStr">
        <is>
          <t>2026-09-02T10:30</t>
        </is>
      </c>
      <c r="C109" s="4" t="inlineStr">
        <is>
          <t>19時</t>
        </is>
      </c>
      <c r="D109" s="4" t="inlineStr">
        <is>
          <t>宇宙で選ぶあのメニュー</t>
        </is>
      </c>
      <c r="E109" s="9" t="n">
        <v>11</v>
      </c>
      <c r="F109" s="4" t="inlineStr"/>
      <c r="G109" s="4" t="n">
        <v>1113</v>
      </c>
      <c r="H109" s="4" t="n">
        <v>1</v>
      </c>
      <c r="I109" s="4" t="n">
        <v>0</v>
      </c>
      <c r="J109" s="6">
        <f>IF(G109=0,"",I109/G109*1000)</f>
        <v>0.0</v>
      </c>
      <c r="K109" s="4" t="n">
        <v>40.9</v>
      </c>
      <c r="L109" s="4" t="n">
        <v>0</v>
      </c>
      <c r="M109" s="4" t="inlineStr">
        <is>
          <t>実績のある直近5本</t>
        </is>
      </c>
    </row>
    <row r="110">
      <c r="A110" s="4" t="inlineStr">
        <is>
          <t>架空論文ラボ</t>
        </is>
      </c>
      <c r="B110" s="4" t="inlineStr">
        <is>
          <t>2026-09-01T10:30</t>
        </is>
      </c>
      <c r="C110" s="4" t="inlineStr">
        <is>
          <t>19時</t>
        </is>
      </c>
      <c r="D110" s="4" t="inlineStr">
        <is>
          <t>キャラ表示で味が変わる</t>
        </is>
      </c>
      <c r="E110" s="9" t="n">
        <v>11</v>
      </c>
      <c r="F110" s="4" t="inlineStr"/>
      <c r="G110" s="4" t="n">
        <v>1094</v>
      </c>
      <c r="H110" s="4" t="n">
        <v>6</v>
      </c>
      <c r="I110" s="4" t="n">
        <v>0</v>
      </c>
      <c r="J110" s="6">
        <f>IF(G110=0,"",I110/G110*1000)</f>
        <v>0.0</v>
      </c>
      <c r="K110" s="4" t="n">
        <v>127.5</v>
      </c>
      <c r="L110" s="4" t="n">
        <v>0</v>
      </c>
      <c r="M110" s="4" t="inlineStr">
        <is>
          <t>実績のある直近5本</t>
        </is>
      </c>
    </row>
    <row r="111">
      <c r="A111" s="4" t="inlineStr">
        <is>
          <t>架空論文ラボ</t>
        </is>
      </c>
      <c r="B111" s="4" t="inlineStr">
        <is>
          <t>2026-08-31T10:30</t>
        </is>
      </c>
      <c r="C111" s="4" t="inlineStr">
        <is>
          <t>19時</t>
        </is>
      </c>
      <c r="D111" s="4" t="inlineStr">
        <is>
          <t>架空論文ファイル ：あなたの操作は脳波で読まれる — 2,184人の記録</t>
        </is>
      </c>
      <c r="E111" s="4" t="n">
        <v>36</v>
      </c>
      <c r="F111" s="4" t="inlineStr"/>
      <c r="G111" s="4" t="n">
        <v>213</v>
      </c>
      <c r="H111" s="4" t="n">
        <v>1</v>
      </c>
      <c r="I111" s="4" t="n">
        <v>0</v>
      </c>
      <c r="J111" s="6">
        <f>IF(G111=0,"",I111/G111*1000)</f>
        <v>0.0</v>
      </c>
      <c r="K111" s="4" t="n">
        <v>24.7</v>
      </c>
      <c r="L111" s="4" t="n">
        <v>0</v>
      </c>
      <c r="M111" s="4" t="inlineStr">
        <is>
          <t>実績のある直近5本</t>
        </is>
      </c>
    </row>
    <row r="113" ht="58" customHeight="1">
      <c r="A113" s="2" t="inlineStr">
        <is>
          <t>「最新5本」は公開が最も新しい5本。YouTube Analytics は2〜3日遅れるため、09-07 以降公開分は全指標ゼロで表示される（既知・09-05 実測）。そのため各chについて「実績のある直近5本」（再生&gt;0）も併記した。「枠(JST)」は published_at(UTC)+9時間。実効字数はハッシュタグと【】を除いた本文の長さで、20字未満を橙で塗っている。</t>
        </is>
      </c>
    </row>
  </sheetData>
  <mergeCells count="1">
    <mergeCell ref="A113:M11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20" customWidth="1" min="3" max="3"/>
    <col width="46" customWidth="1" min="4" max="4"/>
    <col width="60" customWidth="1" min="5" max="5"/>
    <col width="34" customWidth="1" min="6" max="6"/>
    <col width="14" customWidth="1" min="7" max="7"/>
  </cols>
  <sheetData>
    <row r="1">
      <c r="A1" s="3" t="inlineStr">
        <is>
          <t>#</t>
        </is>
      </c>
      <c r="B1" s="3" t="inlineStr">
        <is>
          <t>優先</t>
        </is>
      </c>
      <c r="C1" s="3" t="inlineStr">
        <is>
          <t>対象</t>
        </is>
      </c>
      <c r="D1" s="3" t="inlineStr">
        <is>
          <t>提案</t>
        </is>
      </c>
      <c r="E1" s="3" t="inlineStr">
        <is>
          <t>根拠（実測）</t>
        </is>
      </c>
      <c r="F1" s="3" t="inlineStr">
        <is>
          <t>本日の実行</t>
        </is>
      </c>
      <c r="G1" s="3" t="inlineStr">
        <is>
          <t>状態</t>
        </is>
      </c>
    </row>
    <row r="2" ht="76" customHeight="1">
      <c r="A2" s="22" t="n">
        <v>1</v>
      </c>
      <c r="B2" s="22" t="inlineStr">
        <is>
          <t>最優先</t>
        </is>
      </c>
      <c r="C2" s="22" t="inlineStr">
        <is>
          <t>基盤（全13ch）</t>
        </is>
      </c>
      <c r="D2" s="22" t="inlineStr">
        <is>
          <t>GCP project 844705815004 の OAuth 同意画面を「テスト中」→「本番」へ公開する</t>
        </is>
      </c>
      <c r="E2" s="22" t="inlineStr">
        <is>
          <t>analytics.db の video_metrics は 09-08 で止まり、09-09・09-10・09-11 は0行。同意画面がテスト中だとリフレッシュトークンが7日で強制失効するため、再認可しても必ず1週間で再発する（09-08 は失効4ch＋警告9ch → 09-10 に全13ch invalid_grant）。</t>
        </is>
      </c>
      <c r="F2" s="22" t="inlineStr">
        <is>
          <t>未実行（GCPコンソールでの人手操作が必要）</t>
        </is>
      </c>
      <c r="G2" s="23" t="inlineStr">
        <is>
          <t>要ユーザー操作</t>
        </is>
      </c>
    </row>
    <row r="3" ht="76" customHeight="1">
      <c r="A3" s="22" t="n">
        <v>2</v>
      </c>
      <c r="B3" s="22" t="inlineStr">
        <is>
          <t>高</t>
        </is>
      </c>
      <c r="C3" s="22" t="inlineStr">
        <is>
          <t>scp-lab / daily-science</t>
        </is>
      </c>
      <c r="D3" s="22" t="inlineStr">
        <is>
          <t>theme_blacklist の退行を戻す</t>
        </is>
      </c>
      <c r="E3" s="22" t="inlineStr">
        <is>
          <t>09-11 朝の自動 run が scp-lab を 13語→6語、daily-science から「あくび」「自分の声」を削除。同 run が追記した note（SCP-173 が再生上位40本中12本＝30%／「自分の声」が10本）と真逆で、リポジトリの回帰テスト test_fixes_20260909.py::TestDailyScienceBlacklist が RED だった。</t>
        </is>
      </c>
      <c r="F3" s="22" t="inlineStr">
        <is>
          <t>8語＋2語を復元。テストは GREEN に戻った</t>
        </is>
      </c>
      <c r="G3" s="24" t="inlineStr">
        <is>
          <t>実行済み</t>
        </is>
      </c>
    </row>
    <row r="4" ht="76" customHeight="1">
      <c r="A4" s="22" t="n">
        <v>3</v>
      </c>
      <c r="B4" s="22" t="inlineStr">
        <is>
          <t>高</t>
        </is>
      </c>
      <c r="C4" s="22" t="inlineStr">
        <is>
          <t>8ch（切り抜き除く）</t>
        </is>
      </c>
      <c r="D4" s="22" t="inlineStr">
        <is>
          <t>タイトル実効文字数の下限20字を機械ゲート化（狙いは25〜29字）</t>
        </is>
      </c>
      <c r="E4" s="22" t="inlineStr">
        <is>
          <t>n=330（views&gt;0）で登録/千再生は 0-14字 0.104 / 15-19字 0.279 / 20-24字 0.402 / 25-29字 0.646 / 30-34字 0.389 / 35字以上 0.345。25〜29字が頂点の逆U字で、最弱帯の6.2倍。4分位でも同じ形（Q1 0.227 / Q2 0.476 / Q3 0.518 / Q4 0.352）。20字未満が全体の20%（66/330本）を占めていた。自然文の min_effective_chars_target は backend が読まないため1本も効いていなかった。</t>
        </is>
      </c>
      <c r="F4" s="22" t="inlineStr">
        <is>
          <t>title_constraints.py に min_effective_chars を実装し、8ch の hard_constraints へ追加（回帰テスト9件を追加）</t>
        </is>
      </c>
      <c r="G4" s="24" t="inlineStr">
        <is>
          <t>実行済み</t>
        </is>
      </c>
    </row>
    <row r="5" ht="76" customHeight="1">
      <c r="A5" s="22" t="n">
        <v>4</v>
      </c>
      <c r="B5" s="22" t="inlineStr">
        <is>
          <t>高</t>
        </is>
      </c>
      <c r="C5" s="22" t="inlineStr">
        <is>
          <t>akashic-librarian</t>
        </is>
      </c>
      <c r="D5" s="22" t="inlineStr">
        <is>
          <t>hard_constraints を新規付与（絵文字・「秘密」・99%型・答え提示語・実効長）</t>
        </is>
      </c>
      <c r="E5" s="22" t="inlineStr">
        <is>
          <t>登録/千再生 0.570 で全11ch中3位なのに、hard_constraints が1つも無く機械ゲートが完全に無効だった。上位2本は「なぜ600年も読めない？存在しない植物だけが描かれた手稿」1.71 と「三十八人が見ていて、誰も動かなかった夜」0.95 で、いずれも28字前後。</t>
        </is>
      </c>
      <c r="F5" s="22" t="inlineStr">
        <is>
          <t>他6chと同形のゲートを設定（max_chars=36）</t>
        </is>
      </c>
      <c r="G5" s="24" t="inlineStr">
        <is>
          <t>実行済み</t>
        </is>
      </c>
    </row>
    <row r="6" ht="76" customHeight="1">
      <c r="A6" s="22" t="n">
        <v>5</v>
      </c>
      <c r="B6" s="22" t="inlineStr">
        <is>
          <t>高</t>
        </is>
      </c>
      <c r="C6" s="22" t="inlineStr">
        <is>
          <t>fake-paper</t>
        </is>
      </c>
      <c r="D6" s="22" t="inlineStr">
        <is>
          <t>シリーズ接頭辞「架空論文ファイル」を禁止し、本文に情報量を戻す</t>
        </is>
      </c>
      <c r="E6" s="22" t="inlineStr">
        <is>
          <t>17本 / 7,047再生 / 登録0 で全11ch唯一の転換ゼロ。再生上位10本のうち5本がこの接頭辞に9文字を使っており、「架空論文ファイル  — 1,248人が選んだ新形態」のように本文がほぼ残っていない。連番・シリーズ接頭辞は 08-31 に全chで0.84倍（負）と実測済み。</t>
        </is>
      </c>
      <c r="F6" s="22" t="inlineStr">
        <is>
          <t>forbid_patterns に登録。title_style を書き換え、該当キュー1件を改題</t>
        </is>
      </c>
      <c r="G6" s="24" t="inlineStr">
        <is>
          <t>実行済み</t>
        </is>
      </c>
    </row>
    <row r="7" ht="76" customHeight="1">
      <c r="A7" s="22" t="n">
        <v>6</v>
      </c>
      <c r="B7" s="22" t="inlineStr">
        <is>
          <t>中</t>
        </is>
      </c>
      <c r="C7" s="22" t="inlineStr">
        <is>
          <t>akashic-librarian / clip-animal</t>
        </is>
      </c>
      <c r="D7" s="22" t="inlineStr">
        <is>
          <t>18時JST の投稿枠を17時JST へ寄せる</t>
        </is>
      </c>
      <c r="E7" s="22" t="inlineStr">
        <is>
          <t>投稿時刻(JST)別の登録/千再生は 17時 0.590(n=51) / 19時 0.470(n=53) / 18時 0.219(n=50)。最大サンプルの3枠の中で18時が最下位（17時の1/2.7）。</t>
        </is>
      </c>
      <c r="F7" s="22" t="inlineStr">
        <is>
          <t>akashic-librarian 18:45→17:45、clip-animal 18:00→17:00</t>
        </is>
      </c>
      <c r="G7" s="24" t="inlineStr">
        <is>
          <t>実行済み</t>
        </is>
      </c>
    </row>
    <row r="8" ht="76" customHeight="1">
      <c r="A8" s="22" t="n">
        <v>7</v>
      </c>
      <c r="B8" s="22" t="inlineStr">
        <is>
          <t>中</t>
        </is>
      </c>
      <c r="C8" s="22" t="inlineStr">
        <is>
          <t>scp-lab / daily-science / yokai-watch / 2ch-matome</t>
        </is>
      </c>
      <c r="D8" s="22" t="inlineStr">
        <is>
          <t>疑問形は「なぜ〜のか」の体言止めで書き、末尾に「？」を付けない</t>
        </is>
      </c>
      <c r="E8" s="22" t="inlineStr">
        <is>
          <t>yokai-watch は hard_constraints.forbid_patterns で末尾の疑問符を禁止しているのに、09-11 朝の run が「なぜ〇〇なのか」を最優先にしたため、疑問符付きで書くと必ずゲートに落ちて再生成に回る状態だった。疑問形の効果は語順にあり、疑問符の有無ではない。</t>
        </is>
      </c>
      <c r="F8" s="22" t="inlineStr">
        <is>
          <t>4ch の theme_priority に注記を追加</t>
        </is>
      </c>
      <c r="G8" s="24" t="inlineStr">
        <is>
          <t>実行済み</t>
        </is>
      </c>
    </row>
    <row r="9" ht="76" customHeight="1">
      <c r="A9" s="22" t="n">
        <v>8</v>
      </c>
      <c r="B9" s="22" t="inlineStr">
        <is>
          <t>中</t>
        </is>
      </c>
      <c r="C9" s="22" t="inlineStr">
        <is>
          <t>切り抜き3ch</t>
        </is>
      </c>
      <c r="D9" s="22" t="inlineStr">
        <is>
          <t>タイトルを引用のまま保ちつつ、引用の後ろに文脈を1節添える形を試す</t>
        </is>
      </c>
      <c r="E9" s="22" t="inlineStr">
        <is>
          <t>切り抜き3chは 89,707再生（全体の28%）で登録10人。平均タイトル実効長は clip-fukada 16.9字 / clip-lab 18.2字 / clip-kaneko 19.5字 で全ch最短3つ、20字未満率は 85% / 67% / 53%。実効長と登録転換の関係（提案3）はここで最も伸びしろがある。ただしタイトルが発言の引用なので、文字数下限を機械的に課すと誤引用を作りうる。</t>
        </is>
      </c>
      <c r="F9" s="22" t="inlineStr">
        <is>
          <t>未実行（誤引用リスクのため min_effective_chars の適用を見送り）</t>
        </is>
      </c>
      <c r="G9" s="25" t="inlineStr">
        <is>
          <t>次回の実験候補</t>
        </is>
      </c>
    </row>
    <row r="10" ht="76" customHeight="1">
      <c r="A10" s="22" t="n">
        <v>9</v>
      </c>
      <c r="B10" s="22" t="inlineStr">
        <is>
          <t>中</t>
        </is>
      </c>
      <c r="C10" s="22" t="inlineStr">
        <is>
          <t>scp-lab</t>
        </is>
      </c>
      <c r="D10" s="22" t="inlineStr">
        <is>
          <t>最良枠（19時JST）へ枠を寄せる</t>
        </is>
      </c>
      <c r="E10" s="22" t="inlineStr">
        <is>
          <t>ch内で 19時 1.28(n=14) &gt; 13時 0.70(n=7) &gt; 9時 0.59(n=17)。9時枠が最弱。</t>
        </is>
      </c>
      <c r="F10" s="22" t="inlineStr">
        <is>
          <t>枠は変更せず schedule に実測を記録のみ。新規データが入ってから変更する（同一データで二重に意思決定しないという運用上の鉄則）</t>
        </is>
      </c>
      <c r="G10" s="25" t="inlineStr">
        <is>
          <t>保留（意図的）</t>
        </is>
      </c>
    </row>
    <row r="11" ht="76" customHeight="1">
      <c r="A11" s="22" t="n">
        <v>10</v>
      </c>
      <c r="B11" s="22" t="inlineStr">
        <is>
          <t>低</t>
        </is>
      </c>
      <c r="C11" s="22" t="inlineStr">
        <is>
          <t>company-facts</t>
        </is>
      </c>
      <c r="D11" s="22" t="inlineStr">
        <is>
          <t>疑問形を強制しない。金額＋比較軸の型を維持する</t>
        </is>
      </c>
      <c r="E11" s="22" t="inlineStr">
        <is>
          <t>疑問形は n=1（0登録）しかなく判断不能。非疑問形は 0.739 で全ch最高水準。上位3本はいずれも金額を先頭に置いた型（Netflix 月額1,590円 1.98 / サントリー平均年収1,000万円超 1.89 / オリエンタルランド536万円 1.78）。</t>
        </is>
      </c>
      <c r="F11" s="22" t="inlineStr">
        <is>
          <t>09-11 朝の run は当chに疑問形ルールを適用しておらず、対応不要と確認</t>
        </is>
      </c>
      <c r="G11" s="25" t="inlineStr">
        <is>
          <t>対応不要</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9"/>
  <sheetViews>
    <sheetView workbookViewId="0">
      <pane ySplit="20" topLeftCell="A21" activePane="bottomLeft" state="frozen"/>
      <selection pane="bottomLeft" activeCell="A1" sqref="A1"/>
    </sheetView>
  </sheetViews>
  <sheetFormatPr baseColWidth="8" defaultRowHeight="15"/>
  <cols>
    <col width="32" customWidth="1" min="1" max="1"/>
    <col width="10" customWidth="1" min="2" max="2"/>
    <col width="14" customWidth="1" min="3" max="3"/>
    <col width="18" customWidth="1" min="4" max="4"/>
    <col width="52" customWidth="1" min="5" max="5"/>
  </cols>
  <sheetData>
    <row r="1">
      <c r="A1" s="26" t="inlineStr">
        <is>
          <t>前回（09-10 レポート）との比較と、前回 config 変更の差分検証</t>
        </is>
      </c>
    </row>
    <row r="3">
      <c r="A3" s="14" t="inlineStr">
        <is>
          <t>A. 指標の前回比（09-10 レポートは 09-08 スナップショット基準。本日も同じ基準日）</t>
        </is>
      </c>
    </row>
    <row r="4">
      <c r="A4" s="3" t="inlineStr">
        <is>
          <t>チャンネル</t>
        </is>
      </c>
      <c r="B4" s="3" t="inlineStr">
        <is>
          <t>09-10 レポートの登録/千</t>
        </is>
      </c>
      <c r="C4" s="3" t="inlineStr">
        <is>
          <t>本日の登録/千</t>
        </is>
      </c>
      <c r="D4" s="3" t="inlineStr">
        <is>
          <t>差</t>
        </is>
      </c>
      <c r="E4" s="3" t="inlineStr">
        <is>
          <t>備考</t>
        </is>
      </c>
    </row>
    <row r="5">
      <c r="A5" s="22" t="inlineStr">
        <is>
          <t>ゆっくり異常存在SCPラボ</t>
        </is>
      </c>
      <c r="B5" s="22" t="n">
        <v>0.702</v>
      </c>
      <c r="C5" s="27" t="n">
        <v>0.791</v>
      </c>
      <c r="D5" s="28">
        <f>C5-B5</f>
        <v>0.089163</v>
      </c>
      <c r="E5" s="22" t="inlineStr">
        <is>
          <t>同じ 09-08 スナップショットなので、差は集計方法（30日窓→スナップショット当日）の違い</t>
        </is>
      </c>
    </row>
    <row r="6">
      <c r="A6" s="22" t="inlineStr">
        <is>
          <t>企業のホンネ</t>
        </is>
      </c>
      <c r="B6" s="22" t="n">
        <v>0.657</v>
      </c>
      <c r="C6" s="27" t="n">
        <v>0.715</v>
      </c>
      <c r="D6" s="28">
        <f>C6-B6</f>
        <v>0.057716</v>
      </c>
      <c r="E6" s="22" t="inlineStr">
        <is>
          <t>同じ 09-08 スナップショットなので、差は集計方法（30日窓→スナップショット当日）の違い</t>
        </is>
      </c>
    </row>
    <row r="7">
      <c r="A7" s="22" t="inlineStr">
        <is>
          <t>ラグナロクの司書</t>
        </is>
      </c>
      <c r="B7" s="22" t="inlineStr">
        <is>
          <t>算出不能</t>
        </is>
      </c>
      <c r="C7" s="27" t="n">
        <v>0.57</v>
      </c>
      <c r="D7" s="22" t="n"/>
      <c r="E7" s="22" t="inlineStr">
        <is>
          <t>09-10 は算出不能（トークン失効でデータ断）。本日は 09-06 スナップショットから算出できた</t>
        </is>
      </c>
    </row>
    <row r="8">
      <c r="A8" s="22" t="inlineStr">
        <is>
          <t>リコとマコトのゆっくり日常科学</t>
        </is>
      </c>
      <c r="B8" s="22" t="n">
        <v>0.388</v>
      </c>
      <c r="C8" s="27" t="n">
        <v>0.467</v>
      </c>
      <c r="D8" s="28">
        <f>C8-B8</f>
        <v>0.079392</v>
      </c>
      <c r="E8" s="22" t="inlineStr">
        <is>
          <t>同じ 09-08 スナップショットなので、差は集計方法（30日窓→スナップショット当日）の違い</t>
        </is>
      </c>
    </row>
    <row r="9">
      <c r="A9" s="22" t="inlineStr">
        <is>
          <t>ゆっくり妖怪ラボ</t>
        </is>
      </c>
      <c r="B9" s="22" t="n">
        <v>0.485</v>
      </c>
      <c r="C9" s="27" t="n">
        <v>0.463</v>
      </c>
      <c r="D9" s="28">
        <f>C9-B9</f>
        <v>-0.021851</v>
      </c>
      <c r="E9" s="22" t="inlineStr">
        <is>
          <t>同じ 09-08 スナップショットなので、差は集計方法（30日窓→スナップショット当日）の違い</t>
        </is>
      </c>
    </row>
    <row r="10">
      <c r="A10" s="22" t="inlineStr">
        <is>
          <t>ポケモンラボ</t>
        </is>
      </c>
      <c r="B10" s="22" t="n">
        <v>0.274</v>
      </c>
      <c r="C10" s="27" t="n">
        <v>0.272</v>
      </c>
      <c r="D10" s="28">
        <f>C10-B10</f>
        <v>-0.002105</v>
      </c>
      <c r="E10" s="22" t="inlineStr">
        <is>
          <t>同じ 09-08 スナップショットなので、差は集計方法（30日窓→スナップショット当日）の違い</t>
        </is>
      </c>
    </row>
    <row r="11">
      <c r="A11" s="22" t="inlineStr">
        <is>
          <t>深田えいみ 切り抜き</t>
        </is>
      </c>
      <c r="B11" s="22" t="n">
        <v>0.431</v>
      </c>
      <c r="C11" s="27" t="n">
        <v>0.211</v>
      </c>
      <c r="D11" s="28">
        <f>C11-B11</f>
        <v>-0.220065</v>
      </c>
      <c r="E11" s="22" t="inlineStr">
        <is>
          <t>同じ 09-08 スナップショットなので、差は集計方法（30日窓→スナップショット当日）の違い</t>
        </is>
      </c>
    </row>
    <row r="12">
      <c r="A12" s="22" t="inlineStr">
        <is>
          <t>2chまとめ</t>
        </is>
      </c>
      <c r="B12" s="22" t="n">
        <v>0.197</v>
      </c>
      <c r="C12" s="27" t="n">
        <v>0.199</v>
      </c>
      <c r="D12" s="28">
        <f>C12-B12</f>
        <v>0.001506</v>
      </c>
      <c r="E12" s="22" t="inlineStr">
        <is>
          <t>同じ 09-08 スナップショットなので、差は集計方法（30日窓→スナップショット当日）の違い</t>
        </is>
      </c>
    </row>
    <row r="13">
      <c r="A13" s="22" t="inlineStr">
        <is>
          <t>金子みゆ 切り抜き</t>
        </is>
      </c>
      <c r="B13" s="22" t="n">
        <v>0.145</v>
      </c>
      <c r="C13" s="27" t="n">
        <v>0.169</v>
      </c>
      <c r="D13" s="28">
        <f>C13-B13</f>
        <v>0.023905</v>
      </c>
      <c r="E13" s="22" t="inlineStr">
        <is>
          <t>同じ 09-08 スナップショットなので、差は集計方法（30日窓→スナップショット当日）の違い</t>
        </is>
      </c>
    </row>
    <row r="14">
      <c r="A14" s="22" t="inlineStr">
        <is>
          <t>切り抜きラボ（ひろゆき）</t>
        </is>
      </c>
      <c r="B14" s="22" t="n">
        <v>0.016</v>
      </c>
      <c r="C14" s="27" t="n">
        <v>0.024</v>
      </c>
      <c r="D14" s="28">
        <f>C14-B14</f>
        <v>0.007629</v>
      </c>
      <c r="E14" s="22" t="inlineStr">
        <is>
          <t>同じ 09-08 スナップショットなので、差は集計方法（30日窓→スナップショット当日）の違い</t>
        </is>
      </c>
    </row>
    <row r="15">
      <c r="A15" s="22" t="inlineStr">
        <is>
          <t>架空論文ラボ</t>
        </is>
      </c>
      <c r="B15" s="22" t="inlineStr">
        <is>
          <t>算出不能</t>
        </is>
      </c>
      <c r="C15" s="27" t="n">
        <v>0</v>
      </c>
      <c r="D15" s="22" t="n"/>
      <c r="E15" s="22" t="inlineStr">
        <is>
          <t>09-10 は算出不能（トークン失効でデータ断）。本日は 09-06 スナップショットから算出できた</t>
        </is>
      </c>
    </row>
    <row r="17" ht="44" customHeight="1">
      <c r="A17" s="2" t="inlineStr">
        <is>
          <t>09-09 以降 analytics に新規行が無いため、09-10 レポートと本日は同じ基準日（09-08）を見ている。したがって「前日比の登録者増減」は本日は算出できない。数値の差は基準日の違いではなく集計窓の違い（09-10 は30日窓、本日はスナップショット当日行の合計）。</t>
        </is>
      </c>
    </row>
    <row r="19">
      <c r="A19" s="14" t="inlineStr">
        <is>
          <t>B. 09-10〜09-11朝の config 変更の差分検証</t>
        </is>
      </c>
    </row>
    <row r="20">
      <c r="A20" s="3" t="inlineStr">
        <is>
          <t>変更</t>
        </is>
      </c>
      <c r="B20" s="3" t="inlineStr">
        <is>
          <t>適用日</t>
        </is>
      </c>
      <c r="C20" s="3" t="inlineStr">
        <is>
          <t>反映確認</t>
        </is>
      </c>
      <c r="D20" s="3" t="inlineStr">
        <is>
          <t>効果検証</t>
        </is>
      </c>
      <c r="E20" s="3" t="inlineStr">
        <is>
          <t>判定と対応</t>
        </is>
      </c>
    </row>
    <row r="21" ht="62" customHeight="1">
      <c r="A21" s="22" t="inlineStr">
        <is>
          <t>banned_words に絵文字19文字を追加（6ch）</t>
        </is>
      </c>
      <c r="B21" s="22" t="inlineStr">
        <is>
          <t>09-11 朝</t>
        </is>
      </c>
      <c r="C21" s="22" t="inlineStr">
        <is>
          <t>✅ 反映済み</t>
        </is>
      </c>
      <c r="D21" s="25" t="inlineStr">
        <is>
          <t>検証不能（新規データ0）</t>
        </is>
      </c>
      <c r="E21" s="22" t="inlineStr">
        <is>
          <t>継続。絵文字ありは ch内対照で5/6chが悪化と 09-11 朝の run が記録しており、方向は既存実測と整合。</t>
        </is>
      </c>
    </row>
    <row r="22" ht="62" customHeight="1">
      <c r="A22" s="22" t="inlineStr">
        <is>
          <t>「なぜ〇〇なのか」を最優先化（scp-lab / daily-science / yokai-watch / 2ch-matome）</t>
        </is>
      </c>
      <c r="B22" s="22" t="inlineStr">
        <is>
          <t>09-11 朝</t>
        </is>
      </c>
      <c r="C22" s="22" t="inlineStr">
        <is>
          <t>✅ 反映済み</t>
        </is>
      </c>
      <c r="D22" s="24" t="inlineStr">
        <is>
          <t>独立に再測して裏付け</t>
        </is>
      </c>
      <c r="E22" s="22" t="inlineStr">
        <is>
          <t>継続。本日独立に測り直して scp-lab 1.32 vs 0.51（leave-one-out 後も 1.15）、daily-science 0.53 vs 0.18 を確認。09-10 の「scp-lab は疑問形が明確に負」という判定が誤りで、09-11 朝の run が正しく修正していた。</t>
        </is>
      </c>
    </row>
    <row r="23" ht="62" customHeight="1">
      <c r="A23" s="22" t="inlineStr">
        <is>
          <t>pokemon-lab のみ疑問形を回避し二人称を主軸化</t>
        </is>
      </c>
      <c r="B23" s="22" t="inlineStr">
        <is>
          <t>09-11 朝</t>
        </is>
      </c>
      <c r="C23" s="22" t="inlineStr">
        <is>
          <t>✅ 反映済み</t>
        </is>
      </c>
      <c r="D23" s="24" t="inlineStr">
        <is>
          <t>独立に再測して裏付け</t>
        </is>
      </c>
      <c r="E23" s="22" t="inlineStr">
        <is>
          <t>継続。本日の再測でも 疑問形 0.08 vs 非疑問形 0.41 で明確に逆効果（n=11/19）。ch別に分けた判断は妥当。</t>
        </is>
      </c>
    </row>
    <row r="24" ht="62" customHeight="1">
      <c r="A24" s="22" t="inlineStr">
        <is>
          <t>theme_blacklist の削減（scp-lab 13→6語 / daily-science −2語）</t>
        </is>
      </c>
      <c r="B24" s="22" t="inlineStr">
        <is>
          <t>09-11 朝</t>
        </is>
      </c>
      <c r="C24" s="22" t="inlineStr">
        <is>
          <t>✅ 反映済み</t>
        </is>
      </c>
      <c r="D24" s="23" t="inlineStr">
        <is>
          <t>❌ 逆効果と判定</t>
        </is>
      </c>
      <c r="E24" s="22" t="inlineStr">
        <is>
          <t>撤回。同 run が追記した note と真逆で、リポジトリの回帰テストも RED だった。本日復元。</t>
        </is>
      </c>
    </row>
    <row r="25" ht="62" customHeight="1">
      <c r="A25" s="22" t="inlineStr">
        <is>
          <t>「秘密」を banned_words へ（6ch）</t>
        </is>
      </c>
      <c r="B25" s="22" t="inlineStr">
        <is>
          <t>09-09</t>
        </is>
      </c>
      <c r="C25" s="22" t="inlineStr">
        <is>
          <t>✅ 反映済み</t>
        </is>
      </c>
      <c r="D25" s="25" t="inlineStr">
        <is>
          <t>検証不能（新規データ0）</t>
        </is>
      </c>
      <c r="E25" s="22" t="inlineStr">
        <is>
          <t>継続。登録/千 0.120 (n=18) vs 含まない 0.52 という 09-09 実測のまま。</t>
        </is>
      </c>
    </row>
    <row r="26" ht="62" customHeight="1">
      <c r="A26" s="22" t="inlineStr">
        <is>
          <t>「99%が知らない」型を forbid_patterns へ（6ch）</t>
        </is>
      </c>
      <c r="B26" s="22" t="inlineStr">
        <is>
          <t>09-09</t>
        </is>
      </c>
      <c r="C26" s="22" t="inlineStr">
        <is>
          <t>✅ 反映済み</t>
        </is>
      </c>
      <c r="D26" s="25" t="inlineStr">
        <is>
          <t>検証不能（新規データ0）</t>
        </is>
      </c>
      <c r="E26" s="22" t="inlineStr">
        <is>
          <t>継続。0.194 (n=11) vs 0.510 の 09-09 実測のまま。</t>
        </is>
      </c>
    </row>
    <row r="27" ht="62" customHeight="1">
      <c r="A27" s="22" t="inlineStr">
        <is>
          <t>short_illustrations.max_count を6へ（全ch）</t>
        </is>
      </c>
      <c r="B27" s="22" t="inlineStr">
        <is>
          <t>09-05</t>
        </is>
      </c>
      <c r="C27" s="22" t="inlineStr">
        <is>
          <t>✅ 反映済み</t>
        </is>
      </c>
      <c r="D27" s="25" t="inlineStr">
        <is>
          <t>検証不能（維持率は判断軸外）</t>
        </is>
      </c>
      <c r="E27" s="22" t="inlineStr">
        <is>
          <t>継続。ただし維持率は登録転換と符号がchごとに逆転するため採否の判断には使わない。</t>
        </is>
      </c>
    </row>
    <row r="29" ht="44" customHeight="1">
      <c r="A29" s="2" t="inlineStr">
        <is>
          <t>09-09 以降 analytics の新規行がゼロなので、09-10・09-11朝の施策は「反映されたか」までしか検証できない。効果の検証は analytics が復旧してから（提案1）。運用上の鉄則どおり、新規の再生実績が無い日は新しい賭けを増やさず、本日は「明らかな退行の修正」と「既に実測がある関係の機械ゲート化」に限定した。</t>
        </is>
      </c>
    </row>
  </sheetData>
  <mergeCells count="2">
    <mergeCell ref="A17:E17"/>
    <mergeCell ref="A29:E2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2026-09-11T03:56:25Z</dcterms:created>
  <dcterms:modified xmlns:dcterms="http://purl.org/dc/terms/" xmlns:xsi="http://www.w3.org/2001/XMLSchema-instance" xsi:type="dcterms:W3CDTF">2026-09-11T03:56:25Z</dcterms:modified>
</cp:coreProperties>
</file>