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チャンネル別詳細" sheetId="2" state="visible" r:id="rId4"/>
    <sheet name="直近動画一覧" sheetId="3" state="visible" r:id="rId5"/>
    <sheet name="改善提案" sheetId="4" state="visible" r:id="rId6"/>
    <sheet name="前回比較" sheetId="5" state="visible" r:id="rId7"/>
  </sheets>
  <definedNames>
    <definedName function="false" hidden="true" localSheetId="2" name="_xlnm._FilterDatabase" vbProcedure="false">直近動画一覧!$A$4:$I$151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<sst xmlns="http://schemas.openxmlformats.org/spreadsheetml/2006/main" count="754" uniqueCount="476">
  <si>
    <r>
      <rPr>
        <b val="true"/>
        <sz val="13"/>
        <color rgb="FF1F3864"/>
        <rFont val="Arial"/>
        <family val="0"/>
        <charset val="1"/>
      </rPr>
      <t xml:space="preserve">YouTube Factory </t>
    </r>
    <r>
      <rPr>
        <b val="true"/>
        <sz val="13"/>
        <color rgb="FF1F3864"/>
        <rFont val="Noto Sans CJK SC"/>
        <family val="2"/>
      </rPr>
      <t xml:space="preserve">指揮者レポート </t>
    </r>
    <r>
      <rPr>
        <b val="true"/>
        <sz val="13"/>
        <color rgb="FF1F3864"/>
        <rFont val="Arial"/>
        <family val="0"/>
        <charset val="1"/>
      </rPr>
      <t xml:space="preserve">2026-09-13</t>
    </r>
    <r>
      <rPr>
        <b val="true"/>
        <sz val="13"/>
        <color rgb="FF1F3864"/>
        <rFont val="Noto Sans CJK SC"/>
        <family val="2"/>
      </rPr>
      <t xml:space="preserve">（土）</t>
    </r>
  </si>
  <si>
    <r>
      <rPr>
        <sz val="10"/>
        <rFont val="Noto Sans CJK SC"/>
        <family val="2"/>
      </rPr>
      <t xml:space="preserve">計測スナップショット</t>
    </r>
    <r>
      <rPr>
        <sz val="10"/>
        <rFont val="Arial"/>
        <family val="0"/>
        <charset val="1"/>
      </rPr>
      <t xml:space="preserve">: video_metrics </t>
    </r>
    <r>
      <rPr>
        <sz val="10"/>
        <rFont val="Noto Sans CJK SC"/>
        <family val="2"/>
      </rPr>
      <t xml:space="preserve">の最終日 </t>
    </r>
    <r>
      <rPr>
        <sz val="10"/>
        <rFont val="Arial"/>
        <family val="0"/>
        <charset val="1"/>
      </rPr>
      <t xml:space="preserve">= 2026-09-08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fetched_at 2026-09-08 14:19 UTC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</si>
  <si>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★ 新規実績は </t>
    </r>
    <r>
      <rPr>
        <b val="true"/>
        <sz val="10"/>
        <rFont val="Arial"/>
        <family val="0"/>
        <charset val="1"/>
      </rPr>
      <t xml:space="preserve">09-09 </t>
    </r>
    <r>
      <rPr>
        <b val="true"/>
        <sz val="10"/>
        <rFont val="Noto Sans CJK SC"/>
        <family val="2"/>
      </rPr>
      <t xml:space="preserve">以降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日連続ゼロ。本日の分析は </t>
    </r>
    <r>
      <rPr>
        <b val="true"/>
        <sz val="10"/>
        <rFont val="Arial"/>
        <family val="0"/>
        <charset val="1"/>
      </rPr>
      <t xml:space="preserve">09-12 </t>
    </r>
    <r>
      <rPr>
        <b val="true"/>
        <sz val="10"/>
        <rFont val="Noto Sans CJK SC"/>
        <family val="2"/>
      </rPr>
      <t xml:space="preserve">と同一スナップショットに基づく。</t>
    </r>
  </si>
  <si>
    <r>
      <rPr>
        <b val="true"/>
        <sz val="10"/>
        <rFont val="Noto Sans CJK SC"/>
        <family val="2"/>
      </rPr>
      <t xml:space="preserve">★ したがって本日は </t>
    </r>
    <r>
      <rPr>
        <b val="true"/>
        <sz val="10"/>
        <rFont val="Arial"/>
        <family val="0"/>
        <charset val="1"/>
      </rPr>
      <t xml:space="preserve">config </t>
    </r>
    <r>
      <rPr>
        <b val="true"/>
        <sz val="10"/>
        <rFont val="Noto Sans CJK SC"/>
        <family val="2"/>
      </rPr>
      <t xml:space="preserve">を一切変更していない（鉄則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同じスナップショットで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回判断しない）。</t>
    </r>
  </si>
  <si>
    <r>
      <rPr>
        <b val="true"/>
        <sz val="10"/>
        <rFont val="Noto Sans CJK SC"/>
        <family val="2"/>
      </rPr>
      <t xml:space="preserve">■ 結論（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行）</t>
    </r>
  </si>
  <si>
    <r>
      <rPr>
        <sz val="10"/>
        <rFont val="Noto Sans CJK SC"/>
        <family val="2"/>
      </rPr>
      <t xml:space="preserve">① 詰まりは制作ではなく公開にある。全</t>
    </r>
    <r>
      <rPr>
        <sz val="10"/>
        <rFont val="Arial"/>
        <family val="0"/>
        <charset val="1"/>
      </rPr>
      <t xml:space="preserve">13ch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トークンが失効済み（最終 </t>
    </r>
    <r>
      <rPr>
        <sz val="10"/>
        <rFont val="Arial"/>
        <family val="0"/>
        <charset val="1"/>
      </rPr>
      <t xml:space="preserve">pokemon-lab 09-09 14:43 UTC / </t>
    </r>
    <r>
      <rPr>
        <sz val="10"/>
        <rFont val="Noto Sans CJK SC"/>
        <family val="2"/>
      </rPr>
      <t xml:space="preserve">約</t>
    </r>
    <r>
      <rPr>
        <sz val="10"/>
        <rFont val="Arial"/>
        <family val="0"/>
        <charset val="1"/>
      </rPr>
      <t xml:space="preserve">3.4</t>
    </r>
    <r>
      <rPr>
        <sz val="10"/>
        <rFont val="Noto Sans CJK SC"/>
        <family val="2"/>
      </rPr>
      <t xml:space="preserve">日前）。生成は動いているが公開が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本。</t>
    </r>
  </si>
  <si>
    <r>
      <rPr>
        <sz val="10"/>
        <rFont val="Noto Sans CJK SC"/>
        <family val="2"/>
      </rPr>
      <t xml:space="preserve">② 登録者を説明する指標は「高評価率」のみ。</t>
    </r>
    <r>
      <rPr>
        <sz val="10"/>
        <rFont val="Arial"/>
        <family val="0"/>
        <charset val="1"/>
      </rPr>
      <t xml:space="preserve">205</t>
    </r>
    <r>
      <rPr>
        <sz val="10"/>
        <rFont val="Noto Sans CJK SC"/>
        <family val="2"/>
      </rPr>
      <t xml:space="preserve">本で再検証して </t>
    </r>
    <r>
      <rPr>
        <sz val="10"/>
        <rFont val="Arial"/>
        <family val="0"/>
        <charset val="1"/>
      </rPr>
      <t xml:space="preserve">r=+0.308</t>
    </r>
    <r>
      <rPr>
        <sz val="10"/>
        <rFont val="Noto Sans CJK SC"/>
        <family val="2"/>
      </rPr>
      <t xml:space="preserve">。維持率は </t>
    </r>
    <r>
      <rPr>
        <sz val="10"/>
        <rFont val="Arial"/>
        <family val="0"/>
        <charset val="1"/>
      </rPr>
      <t xml:space="preserve">r=-0.047</t>
    </r>
    <r>
      <rPr>
        <sz val="10"/>
        <rFont val="Noto Sans CJK SC"/>
        <family val="2"/>
      </rPr>
      <t xml:space="preserve">（無相関）、</t>
    </r>
    <r>
      <rPr>
        <sz val="10"/>
        <rFont val="Arial"/>
        <family val="0"/>
        <charset val="1"/>
      </rPr>
      <t xml:space="preserve">CTR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r=+0.069</t>
    </r>
    <r>
      <rPr>
        <sz val="10"/>
        <rFont val="Noto Sans CJK SC"/>
        <family val="2"/>
      </rPr>
      <t xml:space="preserve">（ほぼ無相関）。</t>
    </r>
    <r>
      <rPr>
        <sz val="10"/>
        <rFont val="Arial"/>
        <family val="0"/>
        <charset val="1"/>
      </rPr>
      <t xml:space="preserve">09-12</t>
    </r>
    <r>
      <rPr>
        <sz val="10"/>
        <rFont val="Noto Sans CJK SC"/>
        <family val="2"/>
      </rPr>
      <t xml:space="preserve">の結論を独立に再確認した。</t>
    </r>
  </si>
  <si>
    <r>
      <rPr>
        <sz val="10"/>
        <rFont val="Noto Sans CJK SC"/>
        <family val="2"/>
      </rPr>
      <t xml:space="preserve">③ 本日の新発見は「絵文字先頭が強い」が見かけ倒しだったこと。横断では </t>
    </r>
    <r>
      <rPr>
        <sz val="10"/>
        <rFont val="Arial"/>
        <family val="0"/>
        <charset val="1"/>
      </rPr>
      <t xml:space="preserve">0.590 vs 0.353 </t>
    </r>
    <r>
      <rPr>
        <sz val="10"/>
        <rFont val="Noto Sans CJK SC"/>
        <family val="2"/>
      </rPr>
      <t xml:space="preserve">だが、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内で見ると </t>
    </r>
    <r>
      <rPr>
        <sz val="10"/>
        <rFont val="Arial"/>
        <family val="0"/>
        <charset val="1"/>
      </rPr>
      <t xml:space="preserve">0.686 vs 0.915 </t>
    </r>
    <r>
      <rPr>
        <sz val="10"/>
        <rFont val="Noto Sans CJK SC"/>
        <family val="2"/>
      </rPr>
      <t xml:space="preserve">で逆転する（シンプソンのパラドックス）。</t>
    </r>
  </si>
  <si>
    <r>
      <rPr>
        <b val="true"/>
        <sz val="10"/>
        <rFont val="Arial"/>
        <family val="0"/>
        <charset val="1"/>
      </rPr>
      <t xml:space="preserve">■ 30</t>
    </r>
    <r>
      <rPr>
        <b val="true"/>
        <sz val="10"/>
        <rFont val="Noto Sans CJK SC"/>
        <family val="2"/>
      </rPr>
      <t xml:space="preserve">日窓 全体</t>
    </r>
    <r>
      <rPr>
        <b val="true"/>
        <sz val="10"/>
        <rFont val="Arial"/>
        <family val="0"/>
        <charset val="1"/>
      </rPr>
      <t xml:space="preserve">KPI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2026-08-10 </t>
    </r>
    <r>
      <rPr>
        <b val="true"/>
        <sz val="10"/>
        <rFont val="Noto Sans CJK SC"/>
        <family val="2"/>
      </rPr>
      <t xml:space="preserve">〜 </t>
    </r>
    <r>
      <rPr>
        <b val="true"/>
        <sz val="10"/>
        <rFont val="Arial"/>
        <family val="0"/>
        <charset val="1"/>
      </rPr>
      <t xml:space="preserve">2026-09-08</t>
    </r>
    <r>
      <rPr>
        <b val="true"/>
        <sz val="10"/>
        <rFont val="Noto Sans CJK SC"/>
        <family val="2"/>
      </rPr>
      <t xml:space="preserve">）</t>
    </r>
  </si>
  <si>
    <t xml:space="preserve">指標</t>
  </si>
  <si>
    <t xml:space="preserve">値</t>
  </si>
  <si>
    <t xml:space="preserve">算出根拠</t>
  </si>
  <si>
    <r>
      <rPr>
        <sz val="10"/>
        <rFont val="Noto Sans CJK SC"/>
        <family val="2"/>
      </rPr>
      <t xml:space="preserve">公開本数（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日）</t>
    </r>
  </si>
  <si>
    <r>
      <rPr>
        <sz val="10"/>
        <rFont val="Arial"/>
        <family val="0"/>
        <charset val="1"/>
      </rPr>
      <t xml:space="preserve">video_metrics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DISTINCT video_id</t>
    </r>
  </si>
  <si>
    <t xml:space="preserve">総再生数</t>
  </si>
  <si>
    <r>
      <rPr>
        <sz val="10"/>
        <rFont val="Noto Sans CJK SC"/>
        <family val="2"/>
      </rPr>
      <t xml:space="preserve">日次 </t>
    </r>
    <r>
      <rPr>
        <sz val="10"/>
        <rFont val="Arial"/>
        <family val="0"/>
        <charset val="1"/>
      </rPr>
      <t xml:space="preserve">views </t>
    </r>
    <r>
      <rPr>
        <sz val="10"/>
        <rFont val="Noto Sans CJK SC"/>
        <family val="2"/>
      </rPr>
      <t xml:space="preserve">の窓内合計</t>
    </r>
  </si>
  <si>
    <t xml:space="preserve">総高評価</t>
  </si>
  <si>
    <r>
      <rPr>
        <sz val="10"/>
        <rFont val="Noto Sans CJK SC"/>
        <family val="2"/>
      </rPr>
      <t xml:space="preserve">日次 </t>
    </r>
    <r>
      <rPr>
        <sz val="10"/>
        <rFont val="Arial"/>
        <family val="0"/>
        <charset val="1"/>
      </rPr>
      <t xml:space="preserve">likes </t>
    </r>
    <r>
      <rPr>
        <sz val="10"/>
        <rFont val="Noto Sans CJK SC"/>
        <family val="2"/>
      </rPr>
      <t xml:space="preserve">の窓内合計</t>
    </r>
  </si>
  <si>
    <t xml:space="preserve">獲得登録者</t>
  </si>
  <si>
    <r>
      <rPr>
        <sz val="10"/>
        <rFont val="Noto Sans CJK SC"/>
        <family val="2"/>
      </rPr>
      <t xml:space="preserve">日次 </t>
    </r>
    <r>
      <rPr>
        <sz val="10"/>
        <rFont val="Arial"/>
        <family val="0"/>
        <charset val="1"/>
      </rPr>
      <t xml:space="preserve">subscribers_gained </t>
    </r>
    <r>
      <rPr>
        <sz val="10"/>
        <rFont val="Noto Sans CJK SC"/>
        <family val="2"/>
      </rPr>
      <t xml:space="preserve">の窓内合計</t>
    </r>
  </si>
  <si>
    <r>
      <rPr>
        <b val="true"/>
        <sz val="10"/>
        <rFont val="Noto Sans CJK SC"/>
        <family val="2"/>
      </rPr>
      <t xml:space="preserve">登録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千再生（至上指標）</t>
    </r>
  </si>
  <si>
    <r>
      <rPr>
        <b val="true"/>
        <sz val="10"/>
        <rFont val="Noto Sans CJK SC"/>
        <family val="2"/>
      </rPr>
      <t xml:space="preserve">獲得登録者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総再生数 </t>
    </r>
    <r>
      <rPr>
        <b val="true"/>
        <sz val="10"/>
        <rFont val="Arial"/>
        <family val="0"/>
        <charset val="1"/>
      </rPr>
      <t xml:space="preserve">× 1000</t>
    </r>
  </si>
  <si>
    <r>
      <rPr>
        <sz val="10"/>
        <rFont val="Noto Sans CJK SC"/>
        <family val="2"/>
      </rPr>
      <t xml:space="preserve">高評価率（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</si>
  <si>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総高評価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総再生数 </t>
    </r>
    <r>
      <rPr>
        <sz val="10"/>
        <rFont val="Arial"/>
        <family val="0"/>
        <charset val="1"/>
      </rPr>
      <t xml:space="preserve">× 100</t>
    </r>
  </si>
  <si>
    <r>
      <rPr>
        <b val="true"/>
        <sz val="10"/>
        <rFont val="Noto Sans CJK SC"/>
        <family val="2"/>
      </rPr>
      <t xml:space="preserve">■ 系統別（</t>
    </r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日窓）</t>
    </r>
  </si>
  <si>
    <t xml:space="preserve">系統</t>
  </si>
  <si>
    <r>
      <rPr>
        <b val="true"/>
        <sz val="10"/>
        <color rgb="FFFFFFFF"/>
        <rFont val="Arial"/>
        <family val="0"/>
        <charset val="1"/>
      </rPr>
      <t xml:space="preserve">ch</t>
    </r>
    <r>
      <rPr>
        <b val="true"/>
        <sz val="10"/>
        <color rgb="FFFFFFFF"/>
        <rFont val="Noto Sans CJK SC"/>
        <family val="2"/>
      </rPr>
      <t xml:space="preserve">数</t>
    </r>
  </si>
  <si>
    <t xml:space="preserve">本数</t>
  </si>
  <si>
    <t xml:space="preserve">再生数</t>
  </si>
  <si>
    <t xml:space="preserve">登録者</t>
  </si>
  <si>
    <r>
      <rPr>
        <b val="true"/>
        <sz val="10"/>
        <color rgb="FFFFFFFF"/>
        <rFont val="Noto Sans CJK SC"/>
        <family val="2"/>
      </rPr>
      <t xml:space="preserve">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</si>
  <si>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r>
      <rPr>
        <b val="true"/>
        <sz val="10"/>
        <color rgb="FFFFFFFF"/>
        <rFont val="Noto Sans CJK SC"/>
        <family val="2"/>
      </rPr>
      <t xml:space="preserve">高評価率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</si>
  <si>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所見</t>
  </si>
  <si>
    <r>
      <rPr>
        <sz val="10"/>
        <rFont val="Noto Sans CJK SC"/>
        <family val="2"/>
      </rPr>
      <t xml:space="preserve">ゆっくり系 </t>
    </r>
    <r>
      <rPr>
        <sz val="10"/>
        <rFont val="Arial"/>
        <family val="0"/>
        <charset val="1"/>
      </rPr>
      <t xml:space="preserve">8ch</t>
    </r>
  </si>
  <si>
    <t xml:space="preserve">登録転換の主力。ここに投稿枠を寄せるのが正しい</t>
  </si>
  <si>
    <r>
      <rPr>
        <sz val="10"/>
        <rFont val="Noto Sans CJK SC"/>
        <family val="2"/>
      </rPr>
      <t xml:space="preserve">切り抜き系 </t>
    </r>
    <r>
      <rPr>
        <sz val="10"/>
        <rFont val="Arial"/>
        <family val="0"/>
        <charset val="1"/>
      </rPr>
      <t xml:space="preserve">4ch</t>
    </r>
  </si>
  <si>
    <r>
      <rPr>
        <sz val="10"/>
        <rFont val="Noto Sans CJK SC"/>
        <family val="2"/>
      </rPr>
      <t xml:space="preserve">再生は取れるが登録に変換できない。</t>
    </r>
    <r>
      <rPr>
        <sz val="10"/>
        <rFont val="Arial"/>
        <family val="0"/>
        <charset val="1"/>
      </rPr>
      <t xml:space="preserve">clip-lab 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223,866</t>
    </r>
    <r>
      <rPr>
        <sz val="10"/>
        <rFont val="Noto Sans CJK SC"/>
        <family val="2"/>
      </rPr>
      <t xml:space="preserve">再生で登録</t>
    </r>
    <r>
      <rPr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</si>
  <si>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倍率（ゆっくり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切り抜き）</t>
    </r>
  </si>
  <si>
    <r>
      <rPr>
        <sz val="10"/>
        <rFont val="Noto Sans CJK SC"/>
        <family val="2"/>
      </rPr>
      <t xml:space="preserve">窓</t>
    </r>
    <r>
      <rPr>
        <sz val="10"/>
        <rFont val="Arial"/>
        <family val="0"/>
        <charset val="1"/>
      </rPr>
      <t xml:space="preserve">=30</t>
    </r>
    <r>
      <rPr>
        <sz val="10"/>
        <rFont val="Noto Sans CJK SC"/>
        <family val="2"/>
      </rPr>
      <t xml:space="preserve">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構成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8ch</t>
    </r>
    <r>
      <rPr>
        <sz val="10"/>
        <rFont val="Noto Sans CJK SC"/>
        <family val="2"/>
      </rPr>
      <t xml:space="preserve">・切り抜き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。倍率を引用するときは窓と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構成を必ず併記すること</t>
    </r>
  </si>
  <si>
    <r>
      <rPr>
        <b val="true"/>
        <sz val="10"/>
        <rFont val="Noto Sans CJK SC"/>
        <family val="2"/>
      </rPr>
      <t xml:space="preserve">■ 公開が止まっている原因（</t>
    </r>
    <r>
      <rPr>
        <b val="true"/>
        <sz val="10"/>
        <rFont val="Arial"/>
        <family val="0"/>
        <charset val="1"/>
      </rPr>
      <t xml:space="preserve">OAuth</t>
    </r>
    <r>
      <rPr>
        <b val="true"/>
        <sz val="10"/>
        <rFont val="Noto Sans CJK SC"/>
        <family val="2"/>
      </rPr>
      <t xml:space="preserve">トークン失効・</t>
    </r>
    <r>
      <rPr>
        <b val="true"/>
        <sz val="10"/>
        <rFont val="Arial"/>
        <family val="0"/>
        <charset val="1"/>
      </rPr>
      <t xml:space="preserve">data/youtube_tokens.db </t>
    </r>
    <r>
      <rPr>
        <b val="true"/>
        <sz val="10"/>
        <rFont val="Noto Sans CJK SC"/>
        <family val="2"/>
      </rPr>
      <t xml:space="preserve">実測）</t>
    </r>
  </si>
  <si>
    <t xml:space="preserve">channel_id</t>
  </si>
  <si>
    <t xml:space="preserve">expires_at (UTC)</t>
  </si>
  <si>
    <t xml:space="preserve">状態</t>
  </si>
  <si>
    <t xml:space="preserve">備考</t>
  </si>
  <si>
    <t xml:space="preserve">pokemon-lab</t>
  </si>
  <si>
    <t xml:space="preserve">2026-09-09 14:43</t>
  </si>
  <si>
    <t xml:space="preserve">失効</t>
  </si>
  <si>
    <r>
      <rPr>
        <sz val="10"/>
        <rFont val="Arial"/>
        <family val="0"/>
        <charset val="1"/>
      </rPr>
      <t xml:space="preserve">updated_at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expires_at + 8h </t>
    </r>
    <r>
      <rPr>
        <sz val="10"/>
        <rFont val="Noto Sans CJK SC"/>
        <family val="2"/>
      </rPr>
      <t xml:space="preserve">のまま＝リフレッシュ成功歴ゼロ</t>
    </r>
  </si>
  <si>
    <t xml:space="preserve">2ch-matome</t>
  </si>
  <si>
    <t xml:space="preserve">2026-09-09 08:13</t>
  </si>
  <si>
    <t xml:space="preserve">company-facts</t>
  </si>
  <si>
    <t xml:space="preserve">2026-09-09 06:55</t>
  </si>
  <si>
    <t xml:space="preserve">daily-science</t>
  </si>
  <si>
    <t xml:space="preserve">2026-09-08 18:56</t>
  </si>
  <si>
    <t xml:space="preserve">scp-lab</t>
  </si>
  <si>
    <t xml:space="preserve">2026-09-08 06:00</t>
  </si>
  <si>
    <t xml:space="preserve">yokai-watch</t>
  </si>
  <si>
    <t xml:space="preserve">clip-lab</t>
  </si>
  <si>
    <t xml:space="preserve">clip-kaneko</t>
  </si>
  <si>
    <t xml:space="preserve">clip-fukada</t>
  </si>
  <si>
    <t xml:space="preserve">akashic-librarian</t>
  </si>
  <si>
    <t xml:space="preserve">2026-09-06 19:52</t>
  </si>
  <si>
    <t xml:space="preserve">fake-paper</t>
  </si>
  <si>
    <t xml:space="preserve">2026-09-06 17:20</t>
  </si>
  <si>
    <t xml:space="preserve">clip-animal</t>
  </si>
  <si>
    <t xml:space="preserve">2026-09-06 06:00</t>
  </si>
  <si>
    <t xml:space="preserve">socio-rx</t>
  </si>
  <si>
    <r>
      <rPr>
        <b val="true"/>
        <sz val="10"/>
        <rFont val="Arial"/>
        <family val="0"/>
        <charset val="1"/>
      </rPr>
      <t xml:space="preserve">→ 13ch </t>
    </r>
    <r>
      <rPr>
        <b val="true"/>
        <sz val="10"/>
        <rFont val="Noto Sans CJK SC"/>
        <family val="2"/>
      </rPr>
      <t xml:space="preserve">すべて失効。ユーザーによる再認可が必要（自動リフレッシュは一度も成功していない）。</t>
    </r>
  </si>
  <si>
    <r>
      <rPr>
        <b val="true"/>
        <sz val="10"/>
        <rFont val="Arial"/>
        <family val="0"/>
        <charset val="1"/>
      </rPr>
      <t xml:space="preserve">■ socio-rx </t>
    </r>
    <r>
      <rPr>
        <b val="true"/>
        <sz val="10"/>
        <rFont val="Noto Sans CJK SC"/>
        <family val="2"/>
      </rPr>
      <t xml:space="preserve">について</t>
    </r>
  </si>
  <si>
    <r>
      <rPr>
        <sz val="10"/>
        <rFont val="Arial"/>
        <family val="0"/>
        <charset val="1"/>
      </rPr>
      <t xml:space="preserve">analytics.db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video_metrics / channel_metrics </t>
    </r>
    <r>
      <rPr>
        <sz val="10"/>
        <rFont val="Noto Sans CJK SC"/>
        <family val="2"/>
      </rPr>
      <t xml:space="preserve">の行が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件も無い。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は登録済みだが </t>
    </r>
    <r>
      <rPr>
        <sz val="10"/>
        <rFont val="Arial"/>
        <family val="0"/>
        <charset val="1"/>
      </rPr>
      <t xml:space="preserve">09-06 </t>
    </r>
    <r>
      <rPr>
        <sz val="10"/>
        <rFont val="Noto Sans CJK SC"/>
        <family val="2"/>
      </rPr>
      <t xml:space="preserve">失効。実質未稼働のため本レポートの集計対象外。</t>
    </r>
  </si>
  <si>
    <r>
      <rPr>
        <b val="true"/>
        <sz val="13"/>
        <color rgb="FF1F3864"/>
        <rFont val="Noto Sans CJK SC"/>
        <family val="2"/>
      </rPr>
      <t xml:space="preserve">チャンネル別詳細（</t>
    </r>
    <r>
      <rPr>
        <b val="true"/>
        <sz val="13"/>
        <color rgb="FF1F3864"/>
        <rFont val="Arial"/>
        <family val="0"/>
        <charset val="1"/>
      </rPr>
      <t xml:space="preserve">30</t>
    </r>
    <r>
      <rPr>
        <b val="true"/>
        <sz val="13"/>
        <color rgb="FF1F3864"/>
        <rFont val="Noto Sans CJK SC"/>
        <family val="2"/>
      </rPr>
      <t xml:space="preserve">日窓 </t>
    </r>
    <r>
      <rPr>
        <b val="true"/>
        <sz val="13"/>
        <color rgb="FF1F3864"/>
        <rFont val="Arial"/>
        <family val="0"/>
        <charset val="1"/>
      </rPr>
      <t xml:space="preserve">2026-08-10</t>
    </r>
    <r>
      <rPr>
        <b val="true"/>
        <sz val="13"/>
        <color rgb="FF1F3864"/>
        <rFont val="Noto Sans CJK SC"/>
        <family val="2"/>
      </rPr>
      <t xml:space="preserve">〜</t>
    </r>
    <r>
      <rPr>
        <b val="true"/>
        <sz val="13"/>
        <color rgb="FF1F3864"/>
        <rFont val="Arial"/>
        <family val="0"/>
        <charset val="1"/>
      </rPr>
      <t xml:space="preserve">2026-09-08</t>
    </r>
    <r>
      <rPr>
        <b val="true"/>
        <sz val="13"/>
        <color rgb="FF1F3864"/>
        <rFont val="Noto Sans CJK SC"/>
        <family val="2"/>
      </rPr>
      <t xml:space="preserve">）</t>
    </r>
  </si>
  <si>
    <t xml:space="preserve">チャンネル名</t>
  </si>
  <si>
    <r>
      <rPr>
        <b val="true"/>
        <sz val="10"/>
        <color rgb="FFFFFFFF"/>
        <rFont val="Noto Sans CJK SC"/>
        <family val="2"/>
      </rPr>
      <t xml:space="preserve">維持率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</si>
  <si>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有効</t>
    </r>
    <r>
      <rPr>
        <b val="true"/>
        <sz val="10"/>
        <color rgb="FFFFFFFF"/>
        <rFont val="Arial"/>
        <family val="0"/>
        <charset val="1"/>
      </rPr>
      <t xml:space="preserve">CTR%</t>
    </r>
  </si>
  <si>
    <t xml:space="preserve">判定</t>
  </si>
  <si>
    <r>
      <rPr>
        <sz val="10"/>
        <rFont val="Noto Sans CJK SC"/>
        <family val="2"/>
      </rPr>
      <t xml:space="preserve">ゆっくり異常存在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ラボ</t>
    </r>
  </si>
  <si>
    <r>
      <rPr>
        <sz val="10"/>
        <rFont val="Noto Sans CJK SC"/>
        <family val="2"/>
      </rPr>
      <t xml:space="preserve">★登録効率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(0.851)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09-12</t>
    </r>
    <r>
      <rPr>
        <sz val="10"/>
        <rFont val="Noto Sans CJK SC"/>
        <family val="2"/>
      </rPr>
      <t xml:space="preserve">に週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日化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週</t>
    </r>
    <r>
      <rPr>
        <sz val="10"/>
        <rFont val="Arial"/>
        <family val="0"/>
        <charset val="1"/>
      </rPr>
      <t xml:space="preserve">15→21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。効果検証は新データ到着後</t>
    </r>
  </si>
  <si>
    <t xml:space="preserve">企業のホンネ</t>
  </si>
  <si>
    <r>
      <rPr>
        <sz val="10"/>
        <rFont val="Arial"/>
        <family val="0"/>
        <charset val="1"/>
      </rPr>
      <t xml:space="preserve">★2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(0.733)</t>
    </r>
    <r>
      <rPr>
        <sz val="10"/>
        <rFont val="Noto Sans CJK SC"/>
        <family val="2"/>
      </rPr>
      <t xml:space="preserve">かつ維持率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(59.9%)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09-12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枠目</t>
    </r>
    <r>
      <rPr>
        <sz val="10"/>
        <rFont val="Arial"/>
        <family val="0"/>
        <charset val="1"/>
      </rPr>
      <t xml:space="preserve">(12:30)</t>
    </r>
    <r>
      <rPr>
        <sz val="10"/>
        <rFont val="Noto Sans CJK SC"/>
        <family val="2"/>
      </rPr>
      <t xml:space="preserve">増設。絵文字先頭は自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内では逆効果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下記参照</t>
    </r>
    <r>
      <rPr>
        <sz val="10"/>
        <rFont val="Arial"/>
        <family val="0"/>
        <charset val="1"/>
      </rPr>
      <t xml:space="preserve">)</t>
    </r>
  </si>
  <si>
    <t xml:space="preserve">ラグナロクの司書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</si>
  <si>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(0.727)</t>
    </r>
    <r>
      <rPr>
        <sz val="10"/>
        <rFont val="Noto Sans CJK SC"/>
        <family val="2"/>
      </rPr>
      <t xml:space="preserve">だが母数が小さい</t>
    </r>
    <r>
      <rPr>
        <sz val="10"/>
        <rFont val="Arial"/>
        <family val="0"/>
        <charset val="1"/>
      </rPr>
      <t xml:space="preserve">(23,383</t>
    </r>
    <r>
      <rPr>
        <sz val="10"/>
        <rFont val="Noto Sans CJK SC"/>
        <family val="2"/>
      </rPr>
      <t xml:space="preserve">再生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。長尺のみ・台本はユーザー作成</t>
    </r>
  </si>
  <si>
    <t xml:space="preserve">リコとマコトのゆっくり日常科学</t>
  </si>
  <si>
    <r>
      <rPr>
        <sz val="10"/>
        <rFont val="Noto Sans CJK SC"/>
        <family val="2"/>
      </rPr>
      <t xml:space="preserve">高評価率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(0.40%)</t>
    </r>
    <r>
      <rPr>
        <sz val="10"/>
        <rFont val="Noto Sans CJK SC"/>
        <family val="2"/>
      </rPr>
      <t xml:space="preserve">。登録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0.423</t>
    </r>
    <r>
      <rPr>
        <sz val="10"/>
        <rFont val="Noto Sans CJK SC"/>
        <family val="2"/>
      </rPr>
      <t xml:space="preserve">は全体平均ちょうど。伸びしろは有効</t>
    </r>
    <r>
      <rPr>
        <sz val="10"/>
        <rFont val="Arial"/>
        <family val="0"/>
        <charset val="1"/>
      </rPr>
      <t xml:space="preserve">CTR 0.78%</t>
    </r>
  </si>
  <si>
    <r>
      <rPr>
        <sz val="10"/>
        <rFont val="Noto Sans CJK SC"/>
        <family val="2"/>
      </rPr>
      <t xml:space="preserve">再生は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(810,327)</t>
    </r>
    <r>
      <rPr>
        <sz val="10"/>
        <rFont val="Noto Sans CJK SC"/>
        <family val="2"/>
      </rPr>
      <t xml:space="preserve">だが登録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0.336</t>
    </r>
    <r>
      <rPr>
        <sz val="10"/>
        <rFont val="Noto Sans CJK SC"/>
        <family val="2"/>
      </rPr>
      <t xml:space="preserve">。「どっちが勝つ？」型は再生に効き登録に効かない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</si>
  <si>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0.324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40,312</t>
    </r>
    <r>
      <rPr>
        <sz val="10"/>
        <rFont val="Noto Sans CJK SC"/>
        <family val="2"/>
      </rPr>
      <t xml:space="preserve">再生で登録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の動画あり。怪談フックは再生単独で完結してしまう</t>
    </r>
  </si>
  <si>
    <t xml:space="preserve">深田えいみ 切り抜き</t>
  </si>
  <si>
    <r>
      <rPr>
        <sz val="10"/>
        <rFont val="Noto Sans CJK SC"/>
        <family val="2"/>
      </rPr>
      <t xml:space="preserve">有効</t>
    </r>
    <r>
      <rPr>
        <sz val="10"/>
        <rFont val="Arial"/>
        <family val="0"/>
        <charset val="1"/>
      </rPr>
      <t xml:space="preserve">CTR 6.24%</t>
    </r>
    <r>
      <rPr>
        <sz val="10"/>
        <rFont val="Noto Sans CJK SC"/>
        <family val="2"/>
      </rPr>
      <t xml:space="preserve">で全</t>
    </r>
    <r>
      <rPr>
        <sz val="10"/>
        <rFont val="Arial"/>
        <family val="0"/>
        <charset val="1"/>
      </rPr>
      <t xml:space="preserve">ch1</t>
    </r>
    <r>
      <rPr>
        <sz val="10"/>
        <rFont val="Noto Sans CJK SC"/>
        <family val="2"/>
      </rPr>
      <t xml:space="preserve">位だが登録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0.193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CTR</t>
    </r>
    <r>
      <rPr>
        <sz val="10"/>
        <rFont val="Noto Sans CJK SC"/>
        <family val="2"/>
      </rPr>
      <t xml:space="preserve">は登録を説明しない実例</t>
    </r>
  </si>
  <si>
    <t xml:space="preserve">金子みゆ 切り抜き</t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</si>
  <si>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0.178</t>
    </r>
    <r>
      <rPr>
        <sz val="10"/>
        <rFont val="Noto Sans CJK SC"/>
        <family val="2"/>
      </rPr>
      <t xml:space="preserve">。切り抜き系の平均的な水準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</si>
  <si>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0.175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497,948</t>
    </r>
    <r>
      <rPr>
        <sz val="10"/>
        <rFont val="Noto Sans CJK SC"/>
        <family val="2"/>
      </rPr>
      <t xml:space="preserve">再生で</t>
    </r>
    <r>
      <rPr>
        <sz val="10"/>
        <rFont val="Arial"/>
        <family val="0"/>
        <charset val="1"/>
      </rPr>
      <t xml:space="preserve">87</t>
    </r>
    <r>
      <rPr>
        <sz val="10"/>
        <rFont val="Noto Sans CJK SC"/>
        <family val="2"/>
      </rPr>
      <t xml:space="preserve">登録。ゆっくり系で最も変換が悪い</t>
    </r>
  </si>
  <si>
    <r>
      <rPr>
        <sz val="10"/>
        <rFont val="Noto Sans CJK SC"/>
        <family val="2"/>
      </rPr>
      <t xml:space="preserve">切り抜きラボ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ひろゆき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</si>
  <si>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★223,866</t>
    </r>
    <r>
      <rPr>
        <sz val="10"/>
        <rFont val="Noto Sans CJK SC"/>
        <family val="2"/>
      </rPr>
      <t xml:space="preserve">再生で登録</t>
    </r>
    <r>
      <rPr>
        <sz val="10"/>
        <rFont val="Arial"/>
        <family val="0"/>
        <charset val="1"/>
      </rPr>
      <t xml:space="preserve">1(0.004)</t>
    </r>
    <r>
      <rPr>
        <sz val="10"/>
        <rFont val="Noto Sans CJK SC"/>
        <family val="2"/>
      </rPr>
      <t xml:space="preserve">。凍結中。再生を登録に変換する導線が機能していない</t>
    </r>
  </si>
  <si>
    <t xml:space="preserve">動物情報局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</si>
  <si>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再生。実質未稼働。</t>
    </r>
    <r>
      <rPr>
        <sz val="10"/>
        <rFont val="Arial"/>
        <family val="0"/>
        <charset val="1"/>
      </rPr>
      <t xml:space="preserve">Autopilot</t>
    </r>
    <r>
      <rPr>
        <sz val="10"/>
        <rFont val="Noto Sans CJK SC"/>
        <family val="2"/>
      </rPr>
      <t xml:space="preserve">は「切り抜ける元動画が見つかりません」で毎回失敗中</t>
    </r>
  </si>
  <si>
    <r>
      <rPr>
        <sz val="10"/>
        <rFont val="Arial"/>
        <family val="0"/>
        <charset val="1"/>
      </rPr>
      <t xml:space="preserve">★30</t>
    </r>
    <r>
      <rPr>
        <sz val="10"/>
        <rFont val="Noto Sans CJK SC"/>
        <family val="2"/>
      </rPr>
      <t xml:space="preserve">日で登録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39,985</t>
    </r>
    <r>
      <rPr>
        <sz val="10"/>
        <rFont val="Noto Sans CJK SC"/>
        <family val="2"/>
      </rPr>
      <t xml:space="preserve">再生・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本。全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唯一の登録ゼロ。維持率</t>
    </r>
    <r>
      <rPr>
        <sz val="10"/>
        <rFont val="Arial"/>
        <family val="0"/>
        <charset val="1"/>
      </rPr>
      <t xml:space="preserve">38.2%</t>
    </r>
    <r>
      <rPr>
        <sz val="10"/>
        <rFont val="Noto Sans CJK SC"/>
        <family val="2"/>
      </rPr>
      <t xml:space="preserve">も最低水準</t>
    </r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</si>
  <si>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加重平均</t>
    </r>
  </si>
  <si>
    <r>
      <rPr>
        <b val="true"/>
        <sz val="10"/>
        <rFont val="Arial"/>
        <family val="0"/>
        <charset val="1"/>
      </rPr>
      <t xml:space="preserve">socio-rx </t>
    </r>
    <r>
      <rPr>
        <b val="true"/>
        <sz val="10"/>
        <rFont val="Noto Sans CJK SC"/>
        <family val="2"/>
      </rPr>
      <t xml:space="preserve">はデータ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行のため行なし</t>
    </r>
  </si>
  <si>
    <r>
      <rPr>
        <b val="true"/>
        <sz val="10"/>
        <rFont val="Noto Sans CJK SC"/>
        <family val="2"/>
      </rPr>
      <t xml:space="preserve">■ 登録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千 と各指標の相関（ゆっくり</t>
    </r>
    <r>
      <rPr>
        <b val="true"/>
        <sz val="10"/>
        <rFont val="Arial"/>
        <family val="0"/>
        <charset val="1"/>
      </rPr>
      <t xml:space="preserve">6ch</t>
    </r>
    <r>
      <rPr>
        <b val="true"/>
        <sz val="10"/>
        <rFont val="Noto Sans CJK SC"/>
        <family val="2"/>
      </rPr>
      <t xml:space="preserve">・</t>
    </r>
    <r>
      <rPr>
        <b val="true"/>
        <sz val="10"/>
        <rFont val="Arial"/>
        <family val="0"/>
        <charset val="1"/>
      </rPr>
      <t xml:space="preserve">500</t>
    </r>
    <r>
      <rPr>
        <b val="true"/>
        <sz val="10"/>
        <rFont val="Noto Sans CJK SC"/>
        <family val="2"/>
      </rPr>
      <t xml:space="preserve">再生以上の</t>
    </r>
    <r>
      <rPr>
        <b val="true"/>
        <sz val="10"/>
        <rFont val="Arial"/>
        <family val="0"/>
        <charset val="1"/>
      </rPr>
      <t xml:space="preserve">205</t>
    </r>
    <r>
      <rPr>
        <b val="true"/>
        <sz val="10"/>
        <rFont val="Noto Sans CJK SC"/>
        <family val="2"/>
      </rPr>
      <t xml:space="preserve">本）</t>
    </r>
  </si>
  <si>
    <t xml:space="preserve">説明変数</t>
  </si>
  <si>
    <r>
      <rPr>
        <b val="true"/>
        <sz val="10"/>
        <color rgb="FFFFFFFF"/>
        <rFont val="Noto Sans CJK SC"/>
        <family val="2"/>
      </rPr>
      <t xml:space="preserve">相関係数 </t>
    </r>
    <r>
      <rPr>
        <b val="true"/>
        <sz val="10"/>
        <color rgb="FFFFFFFF"/>
        <rFont val="Arial"/>
        <family val="0"/>
        <charset val="1"/>
      </rPr>
      <t xml:space="preserve">r</t>
    </r>
  </si>
  <si>
    <t xml:space="preserve">解釈</t>
  </si>
  <si>
    <r>
      <rPr>
        <sz val="10"/>
        <rFont val="Noto Sans CJK SC"/>
        <family val="2"/>
      </rPr>
      <t xml:space="preserve">高評価率</t>
    </r>
    <r>
      <rPr>
        <sz val="10"/>
        <rFont val="Arial"/>
        <family val="0"/>
        <charset val="1"/>
      </rPr>
      <t xml:space="preserve">%</t>
    </r>
  </si>
  <si>
    <t xml:space="preserve">唯一の有意な説明変数。登録を伸ばしたいならここを狙う</t>
  </si>
  <si>
    <t xml:space="preserve">CTR%</t>
  </si>
  <si>
    <r>
      <rPr>
        <sz val="10"/>
        <rFont val="Noto Sans CJK SC"/>
        <family val="2"/>
      </rPr>
      <t xml:space="preserve">ほぼ無相関。</t>
    </r>
    <r>
      <rPr>
        <sz val="10"/>
        <rFont val="Arial"/>
        <family val="0"/>
        <charset val="1"/>
      </rPr>
      <t xml:space="preserve">clip-fukada 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CTR1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(6.24%)</t>
    </r>
    <r>
      <rPr>
        <sz val="10"/>
        <rFont val="Noto Sans CJK SC"/>
        <family val="2"/>
      </rPr>
      <t xml:space="preserve">で登録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0.193</t>
    </r>
    <r>
      <rPr>
        <sz val="10"/>
        <rFont val="Noto Sans CJK SC"/>
        <family val="2"/>
      </rPr>
      <t xml:space="preserve">なのが好例</t>
    </r>
  </si>
  <si>
    <r>
      <rPr>
        <sz val="10"/>
        <rFont val="Noto Sans CJK SC"/>
        <family val="2"/>
      </rPr>
      <t xml:space="preserve">維持率</t>
    </r>
    <r>
      <rPr>
        <sz val="10"/>
        <rFont val="Arial"/>
        <family val="0"/>
        <charset val="1"/>
      </rPr>
      <t xml:space="preserve">%</t>
    </r>
  </si>
  <si>
    <t xml:space="preserve">無相関。維持率のために入れた構造ルールは登録には効かない</t>
  </si>
  <si>
    <r>
      <rPr>
        <sz val="10"/>
        <rFont val="Noto Sans CJK SC"/>
        <family val="2"/>
      </rPr>
      <t xml:space="preserve">弱い負。再生が増えるほど登録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千は下がる＝再生の最大化は目的関数ではない</t>
    </r>
  </si>
  <si>
    <r>
      <rPr>
        <sz val="10"/>
        <rFont val="Arial"/>
        <family val="0"/>
        <charset val="1"/>
      </rPr>
      <t xml:space="preserve">※ 09-12 </t>
    </r>
    <r>
      <rPr>
        <sz val="10"/>
        <rFont val="Noto Sans CJK SC"/>
        <family val="2"/>
      </rPr>
      <t xml:space="preserve">レポートの同結論を、本日 独立に再計算して確認した（母数</t>
    </r>
    <r>
      <rPr>
        <sz val="10"/>
        <rFont val="Arial"/>
        <family val="0"/>
        <charset val="1"/>
      </rPr>
      <t xml:space="preserve">205</t>
    </r>
    <r>
      <rPr>
        <sz val="10"/>
        <rFont val="Noto Sans CJK SC"/>
        <family val="2"/>
      </rPr>
      <t xml:space="preserve">本）。</t>
    </r>
  </si>
  <si>
    <r>
      <rPr>
        <b val="true"/>
        <sz val="13"/>
        <color rgb="FF1F3864"/>
        <rFont val="Noto Sans CJK SC"/>
        <family val="2"/>
      </rPr>
      <t xml:space="preserve">直近動画一覧（公開 </t>
    </r>
    <r>
      <rPr>
        <b val="true"/>
        <sz val="13"/>
        <color rgb="FF1F3864"/>
        <rFont val="Arial"/>
        <family val="0"/>
        <charset val="1"/>
      </rPr>
      <t xml:space="preserve">2026-09-02 </t>
    </r>
    <r>
      <rPr>
        <b val="true"/>
        <sz val="13"/>
        <color rgb="FF1F3864"/>
        <rFont val="Noto Sans CJK SC"/>
        <family val="2"/>
      </rPr>
      <t xml:space="preserve">〜 </t>
    </r>
    <r>
      <rPr>
        <b val="true"/>
        <sz val="13"/>
        <color rgb="FF1F3864"/>
        <rFont val="Arial"/>
        <family val="0"/>
        <charset val="1"/>
      </rPr>
      <t xml:space="preserve">2026-09-08 / </t>
    </r>
    <r>
      <rPr>
        <b val="true"/>
        <sz val="13"/>
        <color rgb="FF1F3864"/>
        <rFont val="Noto Sans CJK SC"/>
        <family val="2"/>
      </rPr>
      <t xml:space="preserve">登録獲得順）</t>
    </r>
  </si>
  <si>
    <r>
      <rPr>
        <sz val="10"/>
        <rFont val="Arial"/>
        <family val="0"/>
        <charset val="1"/>
      </rPr>
      <t xml:space="preserve">※ 09-09 </t>
    </r>
    <r>
      <rPr>
        <sz val="10"/>
        <rFont val="Noto Sans CJK SC"/>
        <family val="2"/>
      </rPr>
      <t xml:space="preserve">以降の公開は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本のため、この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日間がスナップショット時点の「直近」。</t>
    </r>
  </si>
  <si>
    <t xml:space="preserve">タイトル</t>
  </si>
  <si>
    <r>
      <rPr>
        <b val="true"/>
        <sz val="10"/>
        <color rgb="FFFFFFFF"/>
        <rFont val="Noto Sans CJK SC"/>
        <family val="2"/>
      </rPr>
      <t xml:space="preserve">公開日時</t>
    </r>
    <r>
      <rPr>
        <b val="true"/>
        <sz val="10"/>
        <color rgb="FFFFFFFF"/>
        <rFont val="Arial"/>
        <family val="0"/>
        <charset val="1"/>
      </rPr>
      <t xml:space="preserve">(UTC)</t>
    </r>
  </si>
  <si>
    <t xml:space="preserve">高評価</t>
  </si>
  <si>
    <t xml:space="preserve">登録</t>
  </si>
  <si>
    <r>
      <rPr>
        <sz val="10"/>
        <rFont val="Noto Sans CJK SC"/>
        <family val="2"/>
      </rPr>
      <t xml:space="preserve">犬神憑きはなぜ家系ごと記録されたのか 恒一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</si>
  <si>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2026-09-04T03:00</t>
  </si>
  <si>
    <r>
      <rPr>
        <sz val="10"/>
        <rFont val="Arial"/>
        <family val="0"/>
        <charset val="1"/>
      </rPr>
      <t xml:space="preserve">SCP-6121 </t>
    </r>
    <r>
      <rPr>
        <sz val="10"/>
        <rFont val="Noto Sans CJK SC"/>
        <family val="2"/>
      </rPr>
      <t xml:space="preserve">毎晩</t>
    </r>
    <r>
      <rPr>
        <sz val="10"/>
        <rFont val="Arial"/>
        <family val="0"/>
        <charset val="1"/>
      </rPr>
      <t xml:space="preserve">1cm</t>
    </r>
    <r>
      <rPr>
        <sz val="10"/>
        <rFont val="Noto Sans CJK SC"/>
        <family val="2"/>
      </rPr>
      <t xml:space="preserve">動く椅子、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日目に起きた異変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</si>
  <si>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2026-09-04T04:00</t>
  </si>
  <si>
    <r>
      <rPr>
        <sz val="10"/>
        <rFont val="Noto Sans CJK SC"/>
        <family val="2"/>
      </rPr>
      <t xml:space="preserve">実はマックに神メニュー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品が決まらない本当の理由とは？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</si>
  <si>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2026-09-03T09:00</t>
  </si>
  <si>
    <r>
      <rPr>
        <sz val="10"/>
        <rFont val="Noto Sans CJK SC"/>
        <family val="2"/>
      </rPr>
      <t xml:space="preserve">行事を一緒に乗り越えると 恋が生まれやすい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</si>
  <si>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2026-09-03T05:00</t>
  </si>
  <si>
    <r>
      <rPr>
        <sz val="10"/>
        <rFont val="Noto Sans CJK SC"/>
        <family val="2"/>
      </rPr>
      <t xml:space="preserve">じんめん犬はなぜ笑い話になった？消えた恐怖の噂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</si>
  <si>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2026-09-04T10:00</t>
  </si>
  <si>
    <r>
      <rPr>
        <sz val="10"/>
        <rFont val="Noto Sans CJK SC"/>
        <family val="2"/>
      </rPr>
      <t xml:space="preserve">日本マクドナルドの正体、年収</t>
    </r>
    <r>
      <rPr>
        <sz val="10"/>
        <rFont val="Arial"/>
        <family val="0"/>
        <charset val="1"/>
      </rPr>
      <t xml:space="preserve">670</t>
    </r>
    <r>
      <rPr>
        <sz val="10"/>
        <rFont val="Noto Sans CJK SC"/>
        <family val="2"/>
      </rPr>
      <t xml:space="preserve">万円の裏側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</si>
  <si>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2026-09-03T08:00</t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</si>
  <si>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正体は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秒の無音録音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</si>
  <si>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2026-09-03T10:00</t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</si>
  <si>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なぜ扉に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枚目の札がある？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</si>
  <si>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2026-09-03T07:50</t>
  </si>
  <si>
    <r>
      <rPr>
        <sz val="10"/>
        <rFont val="Noto Sans CJK SC"/>
        <family val="2"/>
      </rPr>
      <t xml:space="preserve">歩き方を意識した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秒で迷う正体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</si>
  <si>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口裂け女の噂はなぜ全国へ？名前を呼べない本当の理由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</si>
  <si>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2026-09-05T03:00</t>
  </si>
  <si>
    <r>
      <rPr>
        <sz val="10"/>
        <rFont val="Arial"/>
        <family val="0"/>
        <charset val="1"/>
      </rPr>
      <t xml:space="preserve">SCP-2140 </t>
    </r>
    <r>
      <rPr>
        <sz val="10"/>
        <rFont val="Noto Sans CJK SC"/>
        <family val="2"/>
      </rPr>
      <t xml:space="preserve">閲覧後、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人の職員記録が別人に置換された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</si>
  <si>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2026-09-05T00:00</t>
  </si>
  <si>
    <r>
      <rPr>
        <sz val="10"/>
        <rFont val="Noto Sans CJK SC"/>
        <family val="2"/>
      </rPr>
      <t xml:space="preserve">君が知らないシェイミ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形態の正体</t>
    </r>
    <r>
      <rPr>
        <sz val="10"/>
        <rFont val="Arial"/>
        <family val="0"/>
        <charset val="1"/>
      </rPr>
      <t xml:space="preserve">127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</si>
  <si>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2026-09-03T08:30</t>
  </si>
  <si>
    <r>
      <rPr>
        <sz val="10"/>
        <rFont val="Noto Sans CJK SC"/>
        <family val="2"/>
      </rPr>
      <t xml:space="preserve">キュウビが日本へ渡った理由、知ってる？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</si>
  <si>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2026-09-05T07:00</t>
  </si>
  <si>
    <r>
      <rPr>
        <sz val="10"/>
        <rFont val="Arial"/>
        <family val="0"/>
        <charset val="1"/>
      </rPr>
      <t xml:space="preserve">SCP-096</t>
    </r>
    <r>
      <rPr>
        <sz val="10"/>
        <rFont val="Noto Sans CJK SC"/>
        <family val="2"/>
      </rPr>
      <t xml:space="preserve">の顔を見た者に起きた記録消失の真相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</si>
  <si>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2026-09-05T10:00</t>
  </si>
  <si>
    <r>
      <rPr>
        <sz val="10"/>
        <rFont val="Noto Sans CJK SC"/>
        <family val="2"/>
      </rPr>
      <t xml:space="preserve">刑務所行きを恐れ 暴力団は来なくなった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</si>
  <si>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2026-09-05T08:45</t>
  </si>
  <si>
    <r>
      <rPr>
        <sz val="10"/>
        <rFont val="Noto Sans CJK SC"/>
        <family val="2"/>
      </rPr>
      <t xml:space="preserve">初代図鑑にだけけつばんが現れた本当の理由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</si>
  <si>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2026-09-05T06:00</t>
  </si>
  <si>
    <r>
      <rPr>
        <sz val="10"/>
        <rFont val="Noto Sans CJK SC"/>
        <family val="2"/>
      </rPr>
      <t xml:space="preserve">なぜ壁のシミが顔に見える？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</si>
  <si>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2026-09-05T22:30</t>
  </si>
  <si>
    <r>
      <rPr>
        <sz val="10"/>
        <rFont val="Noto Sans CJK SC"/>
        <family val="2"/>
      </rPr>
      <t xml:space="preserve">部活は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日で辞めました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</si>
  <si>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2026-09-06T03:45</t>
  </si>
  <si>
    <r>
      <rPr>
        <sz val="10"/>
        <rFont val="Noto Sans CJK SC"/>
        <family val="2"/>
      </rPr>
      <t xml:space="preserve">キーエンス年収</t>
    </r>
    <r>
      <rPr>
        <sz val="10"/>
        <rFont val="Arial"/>
        <family val="0"/>
        <charset val="1"/>
      </rPr>
      <t xml:space="preserve">2067</t>
    </r>
    <r>
      <rPr>
        <sz val="10"/>
        <rFont val="Noto Sans CJK SC"/>
        <family val="2"/>
      </rPr>
      <t xml:space="preserve">万円の内訳、残業</t>
    </r>
    <r>
      <rPr>
        <sz val="10"/>
        <rFont val="Arial"/>
        <family val="0"/>
        <charset val="1"/>
      </rPr>
      <t xml:space="preserve">37.7</t>
    </r>
    <r>
      <rPr>
        <sz val="10"/>
        <rFont val="Noto Sans CJK SC"/>
        <family val="2"/>
      </rPr>
      <t xml:space="preserve">時間と評価制度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</si>
  <si>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2026-09-05T08:00</t>
  </si>
  <si>
    <r>
      <rPr>
        <sz val="10"/>
        <rFont val="Noto Sans CJK SC"/>
        <family val="2"/>
      </rPr>
      <t xml:space="preserve">小豆洗い、姿を消して「音」だけ残った土地の記録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</si>
  <si>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2026-09-06T03:00</t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</si>
  <si>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万円、実は転職後に差が出る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</si>
  <si>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2026-09-05T23:15</t>
  </si>
  <si>
    <r>
      <rPr>
        <sz val="10"/>
        <rFont val="Noto Sans CJK SC"/>
        <family val="2"/>
      </rPr>
      <t xml:space="preserve">ハピナス</t>
    </r>
    <r>
      <rPr>
        <sz val="10"/>
        <rFont val="Arial"/>
        <family val="0"/>
        <charset val="1"/>
      </rPr>
      <t xml:space="preserve">HP255</t>
    </r>
    <r>
      <rPr>
        <sz val="10"/>
        <rFont val="Noto Sans CJK SC"/>
        <family val="2"/>
      </rPr>
      <t xml:space="preserve">・特防なのに防御衝撃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</si>
  <si>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2026-09-05T23:30</t>
  </si>
  <si>
    <r>
      <rPr>
        <sz val="10"/>
        <rFont val="Noto Sans CJK SC"/>
        <family val="2"/>
      </rPr>
      <t xml:space="preserve">株を渡されない社長は いつでもクビになれる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</si>
  <si>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2026-09-04T02:48</t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</si>
  <si>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点を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個より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点を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個作れ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</si>
  <si>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2026-09-03T07:54</t>
  </si>
  <si>
    <r>
      <rPr>
        <sz val="10"/>
        <rFont val="Noto Sans CJK SC"/>
        <family val="2"/>
      </rPr>
      <t xml:space="preserve">日本マクドナルドの年収</t>
    </r>
    <r>
      <rPr>
        <sz val="10"/>
        <rFont val="Arial"/>
        <family val="0"/>
        <charset val="1"/>
      </rPr>
      <t xml:space="preserve">576</t>
    </r>
    <r>
      <rPr>
        <sz val="10"/>
        <rFont val="Noto Sans CJK SC"/>
        <family val="2"/>
      </rPr>
      <t xml:space="preserve">万円、その内訳とは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</si>
  <si>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2026-09-04T04:30</t>
  </si>
  <si>
    <r>
      <rPr>
        <sz val="10"/>
        <rFont val="Noto Sans CJK SC"/>
        <family val="2"/>
      </rPr>
      <t xml:space="preserve">恋愛を体験できる一冊に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</si>
  <si>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2026-09-04T05:00</t>
  </si>
  <si>
    <r>
      <rPr>
        <sz val="10"/>
        <rFont val="Noto Sans CJK SC"/>
        <family val="2"/>
      </rPr>
      <t xml:space="preserve">男性の被害は 事件化されにくい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</si>
  <si>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2026-09-05T02:45</t>
  </si>
  <si>
    <r>
      <rPr>
        <sz val="10"/>
        <rFont val="Noto Sans CJK SC"/>
        <family val="2"/>
      </rPr>
      <t xml:space="preserve">エースバーンのリベロ、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試合でしか変われない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</si>
  <si>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2026-09-04T06:00</t>
  </si>
  <si>
    <r>
      <rPr>
        <sz val="10"/>
        <rFont val="Noto Sans CJK SC"/>
        <family val="2"/>
      </rPr>
      <t xml:space="preserve">白いゲーミング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は 中の色まで変えられる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</si>
  <si>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2026-09-04T11:30</t>
  </si>
  <si>
    <r>
      <rPr>
        <sz val="10"/>
        <rFont val="Noto Sans CJK SC"/>
        <family val="2"/>
      </rPr>
      <t xml:space="preserve">なぜ移籍した選手だけ？昨日までの英雄が急に裏切り者になる理由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</si>
  <si>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2026-09-02T09:45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</si>
  <si>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年間隠した恋が 都合のいい関係に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</si>
  <si>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2026-09-04T23:00</t>
  </si>
  <si>
    <r>
      <rPr>
        <sz val="10"/>
        <rFont val="Noto Sans CJK SC"/>
        <family val="2"/>
      </rPr>
      <t xml:space="preserve">向いていることを やり続ければいい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</si>
  <si>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2026-09-04T08:46</t>
  </si>
  <si>
    <r>
      <rPr>
        <sz val="10"/>
        <rFont val="Noto Sans CJK SC"/>
        <family val="2"/>
      </rPr>
      <t xml:space="preserve">星野リゾートの推定年収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万円、業界平均と比べると？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</si>
  <si>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2026-09-04T08:00</t>
  </si>
  <si>
    <r>
      <rPr>
        <sz val="10"/>
        <rFont val="Noto Sans CJK SC"/>
        <family val="2"/>
      </rPr>
      <t xml:space="preserve">宇宙で選ぶあのメニュー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</si>
  <si>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2026-09-02T10:30</t>
  </si>
  <si>
    <r>
      <rPr>
        <sz val="10"/>
        <rFont val="Noto Sans CJK SC"/>
        <family val="2"/>
      </rPr>
      <t xml:space="preserve">航空自衛隊千歳の正体、年収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万円台の実態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</si>
  <si>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2026-09-04T23:15</t>
  </si>
  <si>
    <r>
      <rPr>
        <sz val="10"/>
        <rFont val="Noto Sans CJK SC"/>
        <family val="2"/>
      </rPr>
      <t xml:space="preserve">鏡の顔だけ違う？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が知らない左右差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</si>
  <si>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2026-09-05T03:30</t>
  </si>
  <si>
    <r>
      <rPr>
        <sz val="10"/>
        <rFont val="Noto Sans CJK SC"/>
        <family val="2"/>
      </rPr>
      <t xml:space="preserve">斉藤さん企画を終え </t>
    </r>
    <r>
      <rPr>
        <sz val="10"/>
        <rFont val="Arial"/>
        <family val="0"/>
        <charset val="1"/>
      </rPr>
      <t xml:space="preserve">TikToker</t>
    </r>
    <r>
      <rPr>
        <sz val="10"/>
        <rFont val="Noto Sans CJK SC"/>
        <family val="2"/>
      </rPr>
      <t xml:space="preserve">として決意表明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</si>
  <si>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2026-09-05T05:00</t>
  </si>
  <si>
    <r>
      <rPr>
        <sz val="10"/>
        <rFont val="Noto Sans CJK SC"/>
        <family val="2"/>
      </rPr>
      <t xml:space="preserve">なぜ友達の風呂で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回もやらかしたのか？ｗ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</si>
  <si>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2026-09-04T09:00</t>
  </si>
  <si>
    <r>
      <rPr>
        <sz val="10"/>
        <rFont val="Noto Sans CJK SC"/>
        <family val="2"/>
      </rPr>
      <t xml:space="preserve">あなたの耳が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秒で抜ける正体は？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</si>
  <si>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2026-09-04T22:30</t>
  </si>
  <si>
    <r>
      <rPr>
        <sz val="10"/>
        <rFont val="Noto Sans CJK SC"/>
        <family val="2"/>
      </rPr>
      <t xml:space="preserve">なぜ親は無言で机を閉めたのか…見つかって終わった物とは？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</si>
  <si>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2026-09-05T03:15</t>
  </si>
  <si>
    <r>
      <rPr>
        <sz val="10"/>
        <rFont val="Noto Sans CJK SC"/>
        <family val="2"/>
      </rPr>
      <t xml:space="preserve">泳いでいる脳が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秒ごとに息継ぎを気にするワケ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</si>
  <si>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正体を大人が知る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秒の言葉あげてけ</t>
    </r>
    <r>
      <rPr>
        <sz val="10"/>
        <rFont val="Arial"/>
        <family val="0"/>
        <charset val="1"/>
      </rPr>
      <t xml:space="preserve">w😂 #shorts #2ch #</t>
    </r>
    <r>
      <rPr>
        <sz val="10"/>
        <rFont val="Noto Sans CJK SC"/>
        <family val="2"/>
      </rPr>
      <t xml:space="preserve">面白いスレ</t>
    </r>
  </si>
  <si>
    <t xml:space="preserve">2026-09-04T03:15</t>
  </si>
  <si>
    <r>
      <rPr>
        <sz val="10"/>
        <rFont val="Noto Sans CJK SC"/>
        <family val="2"/>
      </rPr>
      <t xml:space="preserve">黙読中の喉、なぜ声なしで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秒だけ動く？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</si>
  <si>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2026-09-04T03:30</t>
  </si>
  <si>
    <r>
      <rPr>
        <sz val="10"/>
        <rFont val="Noto Sans CJK SC"/>
        <family val="2"/>
      </rPr>
      <t xml:space="preserve">弟を亡くした悲しみは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年経っても消えない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</si>
  <si>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2026-09-06T02:46</t>
  </si>
  <si>
    <r>
      <rPr>
        <sz val="10"/>
        <rFont val="Noto Sans CJK SC"/>
        <family val="2"/>
      </rPr>
      <t xml:space="preserve">今の自分のまま 学生時代に戻りたい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</si>
  <si>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2026-09-05T11:00</t>
  </si>
  <si>
    <r>
      <rPr>
        <sz val="10"/>
        <rFont val="Noto Sans CJK SC"/>
        <family val="2"/>
      </rPr>
      <t xml:space="preserve">なぜあなたは階段で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段だけ外すのか？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</si>
  <si>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トヨタ</t>
    </r>
    <r>
      <rPr>
        <sz val="10"/>
        <rFont val="Arial"/>
        <family val="0"/>
        <charset val="1"/>
      </rPr>
      <t xml:space="preserve">895</t>
    </r>
    <r>
      <rPr>
        <sz val="10"/>
        <rFont val="Noto Sans CJK SC"/>
        <family val="2"/>
      </rPr>
      <t xml:space="preserve">万円の実態、ルーミー人気を支える社員の本音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</si>
  <si>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2026-09-06T04:30</t>
  </si>
  <si>
    <r>
      <rPr>
        <sz val="10"/>
        <rFont val="Noto Sans CJK SC"/>
        <family val="2"/>
      </rPr>
      <t xml:space="preserve">雪女が去り際に名を呼ぶ理由…約束を破った男の末路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</si>
  <si>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秒で凍結何言った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</si>
  <si>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2026-09-05T22:00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</si>
  <si>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回目の店謎の予約名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</si>
  <si>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2026-09-06T03:15</t>
  </si>
  <si>
    <r>
      <rPr>
        <sz val="10"/>
        <rFont val="Noto Sans CJK SC"/>
        <family val="2"/>
      </rPr>
      <t xml:space="preserve">君のサンダースだけ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個必要だった時代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</si>
  <si>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2026-09-05T08:30</t>
  </si>
  <si>
    <r>
      <rPr>
        <sz val="10"/>
        <rFont val="Arial"/>
        <family val="0"/>
        <charset val="1"/>
      </rPr>
      <t xml:space="preserve">SCP-2006 </t>
    </r>
    <r>
      <rPr>
        <sz val="10"/>
        <rFont val="Noto Sans CJK SC"/>
        <family val="2"/>
      </rPr>
      <t xml:space="preserve">笑い声を聞いた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</si>
  <si>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あなたの字が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秒で別物に見える？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</si>
  <si>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2026-09-06T03:30</t>
  </si>
  <si>
    <r>
      <rPr>
        <sz val="10"/>
        <rFont val="Noto Sans CJK SC"/>
        <family val="2"/>
      </rPr>
      <t xml:space="preserve">なぜ非常灯が消えた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秒に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人目の足音がしたのか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</si>
  <si>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2026-09-06T04:00</t>
  </si>
  <si>
    <r>
      <rPr>
        <sz val="10"/>
        <rFont val="Noto Sans CJK SC"/>
        <family val="2"/>
      </rPr>
      <t xml:space="preserve">小豆洗いの正体 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年の川音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</si>
  <si>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記録係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名が最後に揃って書いた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</si>
  <si>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持ち出した報告書が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日後に戻った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</si>
  <si>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2026-09-05T04:00</t>
  </si>
  <si>
    <r>
      <rPr>
        <sz val="10"/>
        <rFont val="Noto Sans CJK SC"/>
        <family val="2"/>
      </rPr>
      <t xml:space="preserve">ポケモンセンターが治療費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円で成り立つ理由がヤバい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</si>
  <si>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2026-09-04T23:30</t>
  </si>
  <si>
    <r>
      <rPr>
        <sz val="10"/>
        <rFont val="Noto Sans CJK SC"/>
        <family val="2"/>
      </rPr>
      <t xml:space="preserve">🤣ワイ健康診断歴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年やけど正体ある</t>
    </r>
    <r>
      <rPr>
        <sz val="10"/>
        <rFont val="Arial"/>
        <family val="0"/>
        <charset val="1"/>
      </rPr>
      <t xml:space="preserve">w🍑 #shorts #2ch #</t>
    </r>
    <r>
      <rPr>
        <sz val="10"/>
        <rFont val="Noto Sans CJK SC"/>
        <family val="2"/>
      </rPr>
      <t xml:space="preserve">面白いスレ</t>
    </r>
  </si>
  <si>
    <t xml:space="preserve">2026-09-04T22:00</t>
  </si>
  <si>
    <r>
      <rPr>
        <sz val="10"/>
        <rFont val="Noto Sans CJK SC"/>
        <family val="2"/>
      </rPr>
      <t xml:space="preserve">なぜ同じ失敗でも、肩書きがある人だけ許されるのか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</si>
  <si>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2026-09-04T05:30</t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</si>
  <si>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万円、実は株価上昇の裏側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</si>
  <si>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2026-09-05T04:30</t>
  </si>
  <si>
    <r>
      <rPr>
        <sz val="10"/>
        <rFont val="Noto Sans CJK SC"/>
        <family val="2"/>
      </rPr>
      <t xml:space="preserve">御三家の相性が三すくみになったワケ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</si>
  <si>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2026-09-04T08:30</t>
  </si>
  <si>
    <r>
      <rPr>
        <sz val="10"/>
        <rFont val="Noto Sans CJK SC"/>
        <family val="2"/>
      </rPr>
      <t xml:space="preserve">雪夜に顔を隠す白粉婆…雪女とは違う恐ろしさ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</si>
  <si>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2026-09-04T07:00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</si>
  <si>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秒でわかる？ポリゴンがテレビから消えた本当の理由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</si>
  <si>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2026-09-06T06:00</t>
  </si>
  <si>
    <r>
      <rPr>
        <sz val="10"/>
        <rFont val="Noto Sans CJK SC"/>
        <family val="2"/>
      </rPr>
      <t xml:space="preserve">最後尾だけ</t>
    </r>
    <r>
      <rPr>
        <sz val="10"/>
        <rFont val="Arial"/>
        <family val="0"/>
        <charset val="1"/>
      </rPr>
      <t xml:space="preserve">9%</t>
    </r>
    <r>
      <rPr>
        <sz val="10"/>
        <rFont val="Noto Sans CJK SC"/>
        <family val="2"/>
      </rPr>
      <t xml:space="preserve">短い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</si>
  <si>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2026-09-04T06:30</t>
  </si>
  <si>
    <r>
      <rPr>
        <sz val="10"/>
        <rFont val="Noto Sans CJK SC"/>
        <family val="2"/>
      </rPr>
      <t xml:space="preserve">なぜ久保建英のドリブルは宇宙の軌道を外れるのか？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</si>
  <si>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2026-09-03T10:30</t>
  </si>
  <si>
    <r>
      <rPr>
        <sz val="10"/>
        <rFont val="Noto Sans CJK SC"/>
        <family val="2"/>
      </rPr>
      <t xml:space="preserve">💦ワイ、同棲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年目やけど質問ある？💦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</si>
  <si>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2026-09-05T12:00</t>
  </si>
  <si>
    <r>
      <rPr>
        <sz val="10"/>
        <rFont val="Noto Sans CJK SC"/>
        <family val="2"/>
      </rPr>
      <t xml:space="preserve">「キスして、愛してる」 と歌う猫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動物</t>
    </r>
  </si>
  <si>
    <t xml:space="preserve">2026-09-03T07:56</t>
  </si>
  <si>
    <r>
      <rPr>
        <sz val="10"/>
        <rFont val="Noto Sans CJK SC"/>
        <family val="2"/>
      </rPr>
      <t xml:space="preserve">夜の相性が良いと なかなか抜けられない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</si>
  <si>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2026-09-05T03:46</t>
  </si>
  <si>
    <r>
      <rPr>
        <sz val="10"/>
        <rFont val="Noto Sans CJK SC"/>
        <family val="2"/>
      </rPr>
      <t xml:space="preserve">「必要とされたい」からこその悩み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</si>
  <si>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2026-09-05T11:30</t>
  </si>
  <si>
    <r>
      <rPr>
        <sz val="10"/>
        <rFont val="Noto Sans CJK SC"/>
        <family val="2"/>
      </rPr>
      <t xml:space="preserve">ロケット団の幹部だけ口調が別キャラ級？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作品で徹底比較の本当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</si>
  <si>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2026-09-07T10:00</t>
  </si>
  <si>
    <r>
      <rPr>
        <sz val="10"/>
        <rFont val="Noto Sans CJK SC"/>
        <family val="2"/>
      </rPr>
      <t xml:space="preserve">日本郵政の年収、職種で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倍差がつく理由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</si>
  <si>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2026-09-07T08:00</t>
  </si>
  <si>
    <r>
      <rPr>
        <sz val="10"/>
        <rFont val="Noto Sans CJK SC"/>
        <family val="2"/>
      </rPr>
      <t xml:space="preserve">なぜエスカレーター右側は左側より</t>
    </r>
    <r>
      <rPr>
        <sz val="10"/>
        <rFont val="Arial"/>
        <family val="0"/>
        <charset val="1"/>
      </rPr>
      <t xml:space="preserve">0.7</t>
    </r>
    <r>
      <rPr>
        <sz val="10"/>
        <rFont val="Noto Sans CJK SC"/>
        <family val="2"/>
      </rPr>
      <t xml:space="preserve">度高いのか？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</si>
  <si>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2026-09-06T10:30</t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</si>
  <si>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の最後の一行だけが隔離対象になった理由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</si>
  <si>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2026-09-08T08:00</t>
  </si>
  <si>
    <r>
      <rPr>
        <sz val="10"/>
        <rFont val="Noto Sans CJK SC"/>
        <family val="2"/>
      </rPr>
      <t xml:space="preserve">なぜ通知だけ？消した直後にまた開く本当の理由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</si>
  <si>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2026-09-05T09:45</t>
  </si>
  <si>
    <r>
      <rPr>
        <sz val="10"/>
        <rFont val="Noto Sans CJK SC"/>
        <family val="2"/>
      </rPr>
      <t xml:space="preserve">愛用中のパックが プレゼントに入ってた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</si>
  <si>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2026-09-08T05:03</t>
  </si>
  <si>
    <r>
      <rPr>
        <sz val="10"/>
        <rFont val="Noto Sans CJK SC"/>
        <family val="2"/>
      </rPr>
      <t xml:space="preserve">米国景気は 良くないかもしれない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</si>
  <si>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2026-09-08T02:45</t>
  </si>
  <si>
    <r>
      <rPr>
        <sz val="10"/>
        <rFont val="Noto Sans CJK SC"/>
        <family val="2"/>
      </rPr>
      <t xml:space="preserve">寝ながら腹筋を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部位鍛える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</si>
  <si>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2026-09-08T03:45</t>
  </si>
  <si>
    <r>
      <rPr>
        <sz val="10"/>
        <rFont val="Noto Sans CJK SC"/>
        <family val="2"/>
      </rPr>
      <t xml:space="preserve">アラフォー資産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万なら まず生活を優先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</si>
  <si>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2026-09-06T08:46</t>
  </si>
  <si>
    <r>
      <rPr>
        <sz val="10"/>
        <rFont val="Noto Sans CJK SC"/>
        <family val="2"/>
      </rPr>
      <t xml:space="preserve">ワイの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で彼女が凍った本当の理由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</si>
  <si>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t xml:space="preserve">2026-09-08T03:15</t>
  </si>
  <si>
    <r>
      <rPr>
        <sz val="10"/>
        <rFont val="Noto Sans CJK SC"/>
        <family val="2"/>
      </rPr>
      <t xml:space="preserve">覚の元ネタが怖すぎる…心を先回りする山の怪物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</si>
  <si>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手書きだけ消えにくい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</si>
  <si>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2026-09-05T02:00</t>
  </si>
  <si>
    <r>
      <rPr>
        <sz val="10"/>
        <rFont val="Noto Sans CJK SC"/>
        <family val="2"/>
      </rPr>
      <t xml:space="preserve">なぜ失った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時間だけ？人はやめるほどさらに時間を注ぐのか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</si>
  <si>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2026-09-06T01:00</t>
  </si>
  <si>
    <r>
      <rPr>
        <sz val="10"/>
        <rFont val="Noto Sans CJK SC"/>
        <family val="2"/>
      </rPr>
      <t xml:space="preserve">鬼の角が「目印」になった千年前の変化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</si>
  <si>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2026-09-08T00:30</t>
  </si>
  <si>
    <r>
      <rPr>
        <sz val="10"/>
        <rFont val="Noto Sans CJK SC"/>
        <family val="2"/>
      </rPr>
      <t xml:space="preserve">サッカーに詳しい人は 恋愛対象として嬉しい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</si>
  <si>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2026-09-06T23:00</t>
  </si>
  <si>
    <r>
      <rPr>
        <sz val="10"/>
        <rFont val="Noto Sans CJK SC"/>
        <family val="2"/>
      </rPr>
      <t xml:space="preserve">どの下地よりも 圧倒的に崩れにくかった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</si>
  <si>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2026-09-06T11:00</t>
  </si>
  <si>
    <r>
      <rPr>
        <sz val="10"/>
        <rFont val="Noto Sans CJK SC"/>
        <family val="2"/>
      </rPr>
      <t xml:space="preserve">人面犬の噂が昭和の学校で生まれた土壌とは…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</si>
  <si>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2026-09-07T03:00</t>
  </si>
  <si>
    <r>
      <rPr>
        <sz val="10"/>
        <rFont val="Noto Sans CJK SC"/>
        <family val="2"/>
      </rPr>
      <t xml:space="preserve">伊藤忠商事の平均</t>
    </r>
    <r>
      <rPr>
        <sz val="10"/>
        <rFont val="Arial"/>
        <family val="0"/>
        <charset val="1"/>
      </rPr>
      <t xml:space="preserve">1753</t>
    </r>
    <r>
      <rPr>
        <sz val="10"/>
        <rFont val="Noto Sans CJK SC"/>
        <family val="2"/>
      </rPr>
      <t xml:space="preserve">万円、朝型勤務の実態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</si>
  <si>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2026-09-06T08:00</t>
  </si>
  <si>
    <r>
      <rPr>
        <sz val="10"/>
        <rFont val="Noto Sans CJK SC"/>
        <family val="2"/>
      </rPr>
      <t xml:space="preserve">なぜ金魚は帰宅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分前に水面へ集まるのか？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</si>
  <si>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2026-09-04T10:30</t>
  </si>
  <si>
    <r>
      <rPr>
        <sz val="10"/>
        <rFont val="Noto Sans CJK SC"/>
        <family val="2"/>
      </rPr>
      <t xml:space="preserve">蝶は飛び去れなかった どこかに生命がある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動物</t>
    </r>
  </si>
  <si>
    <t xml:space="preserve">2026-09-05T09:00</t>
  </si>
  <si>
    <r>
      <rPr>
        <sz val="10"/>
        <rFont val="Noto Sans CJK SC"/>
        <family val="2"/>
      </rPr>
      <t xml:space="preserve">毎日体重を記録して 増減を意識する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</si>
  <si>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2026-09-07T03:45</t>
  </si>
  <si>
    <r>
      <rPr>
        <sz val="10"/>
        <rFont val="Noto Sans CJK SC"/>
        <family val="2"/>
      </rPr>
      <t xml:space="preserve">四天王の呼び名が定着した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年の謎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</si>
  <si>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2026-09-07T06:00</t>
  </si>
  <si>
    <r>
      <rPr>
        <sz val="10"/>
        <rFont val="Noto Sans CJK SC"/>
        <family val="2"/>
      </rPr>
      <t xml:space="preserve">下りだけ段が消える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</si>
  <si>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2026-09-06T02:00</t>
  </si>
  <si>
    <r>
      <rPr>
        <sz val="10"/>
        <rFont val="Noto Sans CJK SC"/>
        <family val="2"/>
      </rPr>
      <t xml:space="preserve">あなたが大雨で不安になる</t>
    </r>
    <r>
      <rPr>
        <sz val="10"/>
        <rFont val="Arial"/>
        <family val="0"/>
        <charset val="1"/>
      </rPr>
      <t xml:space="preserve">3hPa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</si>
  <si>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2026-09-06T22:30</t>
  </si>
  <si>
    <r>
      <rPr>
        <sz val="10"/>
        <rFont val="Noto Sans CJK SC"/>
        <family val="2"/>
      </rPr>
      <t xml:space="preserve">アンノーン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種類コンプしても完成にならない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</si>
  <si>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2026-09-08T10:00</t>
  </si>
  <si>
    <r>
      <rPr>
        <sz val="10"/>
        <rFont val="Noto Sans CJK SC"/>
        <family val="2"/>
      </rPr>
      <t xml:space="preserve">身長を測ったら</t>
    </r>
    <r>
      <rPr>
        <sz val="10"/>
        <rFont val="Arial"/>
        <family val="0"/>
        <charset val="1"/>
      </rPr>
      <t xml:space="preserve">161cm</t>
    </r>
    <r>
      <rPr>
        <sz val="10"/>
        <rFont val="Noto Sans CJK SC"/>
        <family val="2"/>
      </rPr>
      <t xml:space="preserve">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</si>
  <si>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2026-09-08T11:30</t>
  </si>
  <si>
    <r>
      <rPr>
        <sz val="10"/>
        <rFont val="Arial"/>
        <family val="0"/>
        <charset val="1"/>
      </rPr>
      <t xml:space="preserve">Apple</t>
    </r>
    <r>
      <rPr>
        <sz val="10"/>
        <rFont val="Noto Sans CJK SC"/>
        <family val="2"/>
      </rPr>
      <t xml:space="preserve">新製品予想、また本命を外して財布が逝く民ｗ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</si>
  <si>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2026-09-08T12:00</t>
  </si>
  <si>
    <r>
      <rPr>
        <sz val="10"/>
        <rFont val="Noto Sans CJK SC"/>
        <family val="2"/>
      </rPr>
      <t xml:space="preserve">早口の正体遅れて聞こえる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</si>
  <si>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2026-09-06T06:30</t>
  </si>
  <si>
    <r>
      <rPr>
        <sz val="10"/>
        <rFont val="Noto Sans CJK SC"/>
        <family val="2"/>
      </rPr>
      <t xml:space="preserve">なぜ無料だけ？誰かが黙って払うサービスの本当の理由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</si>
  <si>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2026-09-05T05:30</t>
  </si>
  <si>
    <r>
      <rPr>
        <sz val="10"/>
        <rFont val="Noto Sans CJK SC"/>
        <family val="2"/>
      </rPr>
      <t xml:space="preserve">サイゼリヤの原価率が社員年収に与える意外な影響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</si>
  <si>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2026-09-07T04:30</t>
  </si>
  <si>
    <r>
      <rPr>
        <sz val="10"/>
        <rFont val="Noto Sans CJK SC"/>
        <family val="2"/>
      </rPr>
      <t xml:space="preserve">資産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万円で一生暮らすのは厳しい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</si>
  <si>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2026-09-07T08:45</t>
  </si>
  <si>
    <r>
      <rPr>
        <sz val="10"/>
        <rFont val="Noto Sans CJK SC"/>
        <family val="2"/>
      </rPr>
      <t xml:space="preserve">湯けむりの奥全員停止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</si>
  <si>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2026-09-06T22:00</t>
  </si>
  <si>
    <r>
      <rPr>
        <sz val="10"/>
        <rFont val="Arial"/>
        <family val="0"/>
        <charset val="1"/>
      </rPr>
      <t xml:space="preserve">SCP-5800 </t>
    </r>
    <r>
      <rPr>
        <sz val="10"/>
        <rFont val="Noto Sans CJK SC"/>
        <family val="2"/>
      </rPr>
      <t xml:space="preserve">職員証だけが戻った未解決ファイル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</si>
  <si>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一人で止まる全員の決定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</si>
  <si>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2026-09-06T09:45</t>
  </si>
  <si>
    <r>
      <rPr>
        <sz val="10"/>
        <rFont val="Noto Sans CJK SC"/>
        <family val="2"/>
      </rPr>
      <t xml:space="preserve">予定が多い休めない理由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</si>
  <si>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2026-09-06T05:30</t>
  </si>
  <si>
    <r>
      <rPr>
        <sz val="10"/>
        <rFont val="Noto Sans CJK SC"/>
        <family val="2"/>
      </rPr>
      <t xml:space="preserve">古い消しゴムほど字が濃く消える？摩耗面</t>
    </r>
    <r>
      <rPr>
        <sz val="10"/>
        <rFont val="Arial"/>
        <family val="0"/>
        <charset val="1"/>
      </rPr>
      <t xml:space="preserve">731</t>
    </r>
    <r>
      <rPr>
        <sz val="10"/>
        <rFont val="Noto Sans CJK SC"/>
        <family val="2"/>
      </rPr>
      <t xml:space="preserve">個の検証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</si>
  <si>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2026-09-05T10:30</t>
  </si>
  <si>
    <r>
      <rPr>
        <sz val="10"/>
        <rFont val="Noto Sans CJK SC"/>
        <family val="2"/>
      </rPr>
      <t xml:space="preserve">ユニクロ店長、売上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億円を任される仕事の実態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</si>
  <si>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努力の前に席は埋まる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</si>
  <si>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2026-09-05T01:00</t>
  </si>
  <si>
    <r>
      <rPr>
        <sz val="10"/>
        <rFont val="Noto Sans CJK SC"/>
        <family val="2"/>
      </rPr>
      <t xml:space="preserve">列を出られない待つほど離脱不能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</si>
  <si>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2026-09-04T09:45</t>
  </si>
  <si>
    <r>
      <rPr>
        <sz val="10"/>
        <rFont val="Noto Sans CJK SC"/>
        <family val="2"/>
      </rPr>
      <t xml:space="preserve">最近出た新曲が 一番好きな曲を更新した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</si>
  <si>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2026-09-06T11:30</t>
  </si>
  <si>
    <r>
      <rPr>
        <sz val="10"/>
        <rFont val="Arial"/>
        <family val="0"/>
        <charset val="1"/>
      </rPr>
      <t xml:space="preserve">PayPay</t>
    </r>
    <r>
      <rPr>
        <sz val="10"/>
        <rFont val="Noto Sans CJK SC"/>
        <family val="2"/>
      </rPr>
      <t xml:space="preserve">が使えない店で 現金を持っていなかった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</si>
  <si>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2026-09-07T23:00</t>
  </si>
  <si>
    <r>
      <rPr>
        <sz val="10"/>
        <rFont val="Noto Sans CJK SC"/>
        <family val="2"/>
      </rPr>
      <t xml:space="preserve">ドードリオの首が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つに増えた理由、種族値に出てた説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</si>
  <si>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2026-09-06T08:30</t>
  </si>
  <si>
    <r>
      <rPr>
        <sz val="10"/>
        <rFont val="Noto Sans CJK SC"/>
        <family val="2"/>
      </rPr>
      <t xml:space="preserve">未来の時刻誰が映る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</si>
  <si>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2026-09-06T10:00</t>
  </si>
  <si>
    <r>
      <rPr>
        <sz val="10"/>
        <rFont val="Noto Sans CJK SC"/>
        <family val="2"/>
      </rPr>
      <t xml:space="preserve">なぜファミマで謎の商品を買ってしまうのか？草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</si>
  <si>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2026-09-07T22:00</t>
  </si>
  <si>
    <r>
      <rPr>
        <sz val="10"/>
        <rFont val="Noto Sans CJK SC"/>
        <family val="2"/>
      </rPr>
      <t xml:space="preserve">実は暗い部屋で音に敏感になるのは、耳が目の代わりをするから？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</si>
  <si>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雨の匂いで眠りが変わる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</si>
  <si>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2026-09-05T06:30</t>
  </si>
  <si>
    <r>
      <rPr>
        <sz val="10"/>
        <rFont val="Noto Sans CJK SC"/>
        <family val="2"/>
      </rPr>
      <t xml:space="preserve">クレンジングで落とし切らないと 洗顔しても落ちにくい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</si>
  <si>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2026-09-07T11:00</t>
  </si>
  <si>
    <r>
      <rPr>
        <sz val="10"/>
        <rFont val="Noto Sans CJK SC"/>
        <family val="2"/>
      </rPr>
      <t xml:space="preserve">大和ハウス工業の年収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万円超、残業の実態がヤバい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</si>
  <si>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2026-09-07T23:15</t>
  </si>
  <si>
    <r>
      <rPr>
        <sz val="10"/>
        <rFont val="Arial"/>
        <family val="0"/>
        <charset val="1"/>
      </rPr>
      <t xml:space="preserve">NTT</t>
    </r>
    <r>
      <rPr>
        <sz val="10"/>
        <rFont val="Noto Sans CJK SC"/>
        <family val="2"/>
      </rPr>
      <t xml:space="preserve">データの年収</t>
    </r>
    <r>
      <rPr>
        <sz val="10"/>
        <rFont val="Arial"/>
        <family val="0"/>
        <charset val="1"/>
      </rPr>
      <t xml:space="preserve">905</t>
    </r>
    <r>
      <rPr>
        <sz val="10"/>
        <rFont val="Noto Sans CJK SC"/>
        <family val="2"/>
      </rPr>
      <t xml:space="preserve">万円、実は在宅勤務の裏側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</si>
  <si>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疲れた日の甘い物がすぐ消えるのはなぜ？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</si>
  <si>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百目なのに一つ目？江戸の絵に隠された不気味な変化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</si>
  <si>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2026-09-06T08:45</t>
  </si>
  <si>
    <r>
      <rPr>
        <sz val="10"/>
        <rFont val="Noto Sans CJK SC"/>
        <family val="2"/>
      </rPr>
      <t xml:space="preserve">イーブイの昼夜進化、エーフィとブラッキーに分かれた理由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</si>
  <si>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2026-09-07T08:30</t>
  </si>
  <si>
    <r>
      <rPr>
        <sz val="10"/>
        <rFont val="Arial"/>
        <family val="0"/>
        <charset val="1"/>
      </rPr>
      <t xml:space="preserve">Apple Japan</t>
    </r>
    <r>
      <rPr>
        <sz val="10"/>
        <rFont val="Noto Sans CJK SC"/>
        <family val="2"/>
      </rPr>
      <t xml:space="preserve">の年収、実は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</si>
  <si>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2026-09-06T23:15</t>
  </si>
  <si>
    <r>
      <rPr>
        <sz val="10"/>
        <rFont val="Arial"/>
        <family val="0"/>
        <charset val="1"/>
      </rPr>
      <t xml:space="preserve">SCP-7241 </t>
    </r>
    <r>
      <rPr>
        <sz val="10"/>
        <rFont val="Noto Sans CJK SC"/>
        <family val="2"/>
      </rPr>
      <t xml:space="preserve">収容違反記録から毎回消える頁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</si>
  <si>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大学サークルで語り継がれる伝説、尾ひれがヤバすぎる</t>
    </r>
    <r>
      <rPr>
        <sz val="10"/>
        <rFont val="Arial"/>
        <family val="0"/>
        <charset val="1"/>
      </rPr>
      <t xml:space="preserve">w #shorts #2ch #</t>
    </r>
    <r>
      <rPr>
        <sz val="10"/>
        <rFont val="Noto Sans CJK SC"/>
        <family val="2"/>
      </rPr>
      <t xml:space="preserve">面白いスレ</t>
    </r>
  </si>
  <si>
    <t xml:space="preserve">2026-09-07T03:15</t>
  </si>
  <si>
    <r>
      <rPr>
        <sz val="10"/>
        <rFont val="Noto Sans CJK SC"/>
        <family val="2"/>
      </rPr>
      <t xml:space="preserve">飛べない蝶の心臓は 鼓動していた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動物</t>
    </r>
  </si>
  <si>
    <t xml:space="preserve">2026-09-06T00:30</t>
  </si>
  <si>
    <r>
      <rPr>
        <sz val="10"/>
        <rFont val="Noto Sans CJK SC"/>
        <family val="2"/>
      </rPr>
      <t xml:space="preserve">ジムリーダーのタイプ縛り、実は町の役目だった！？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</si>
  <si>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2026-09-06T23:30</t>
  </si>
  <si>
    <r>
      <rPr>
        <sz val="10"/>
        <rFont val="Noto Sans CJK SC"/>
        <family val="2"/>
      </rPr>
      <t xml:space="preserve">なぜ冷たい水だけ歯にしみる？歯の中で起きる変化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</si>
  <si>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日間でずつ消えたエージェント名簿異常事件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</si>
  <si>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ワイ、保健体育歴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</si>
  <si>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t xml:space="preserve">2026-09-06T12:00</t>
  </si>
  <si>
    <r>
      <rPr>
        <sz val="10"/>
        <rFont val="Noto Sans CJK SC"/>
        <family val="2"/>
      </rPr>
      <t xml:space="preserve">ドラパルト、子どもを音速超えで撃ち出すってマジ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</si>
  <si>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期待が成績を作っていた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</si>
  <si>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2026-09-03T09:45</t>
  </si>
  <si>
    <r>
      <rPr>
        <sz val="10"/>
        <rFont val="Noto Sans CJK SC"/>
        <family val="2"/>
      </rPr>
      <t xml:space="preserve">ワイ、毎月大金をムダにしてるけど質問ある？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</si>
  <si>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2026-09-07T12:00</t>
  </si>
  <si>
    <r>
      <rPr>
        <sz val="10"/>
        <rFont val="Noto Sans CJK SC"/>
        <family val="2"/>
      </rPr>
      <t xml:space="preserve">走った後の鉄味、あなたの肺で何が？</t>
    </r>
    <r>
      <rPr>
        <sz val="10"/>
        <rFont val="Arial"/>
        <family val="0"/>
        <charset val="1"/>
      </rPr>
      <t xml:space="preserve">0.1%</t>
    </r>
    <r>
      <rPr>
        <sz val="10"/>
        <rFont val="Noto Sans CJK SC"/>
        <family val="2"/>
      </rPr>
      <t xml:space="preserve">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</si>
  <si>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2026-09-07T22:30</t>
  </si>
  <si>
    <r>
      <rPr>
        <sz val="10"/>
        <rFont val="Noto Sans CJK SC"/>
        <family val="2"/>
      </rPr>
      <t xml:space="preserve">なぜこの火山は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時間沈黙し職員が消えるのか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</si>
  <si>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ろくろ首の正体は飛頭蛮？首が飛ぶ怪異の出どころ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</si>
  <si>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2026-09-08T03:00</t>
  </si>
  <si>
    <r>
      <rPr>
        <sz val="10"/>
        <rFont val="Noto Sans CJK SC"/>
        <family val="2"/>
      </rPr>
      <t xml:space="preserve">カミソリで剃った結果、地獄だった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</si>
  <si>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2026-09-08T11:01</t>
  </si>
  <si>
    <r>
      <rPr>
        <sz val="10"/>
        <rFont val="Noto Sans CJK SC"/>
        <family val="2"/>
      </rPr>
      <t xml:space="preserve">なぜ狐は人を化かす妖怪にされたのか？江戸の記録に残る事情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</si>
  <si>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視聴データが導く 「定番ストーリー」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</si>
  <si>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2026-09-07T02:45</t>
  </si>
  <si>
    <r>
      <rPr>
        <sz val="10"/>
        <rFont val="Noto Sans CJK SC"/>
        <family val="2"/>
      </rPr>
      <t xml:space="preserve">ソーナンスが反撃しかできない設計の狙いが深すぎる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</si>
  <si>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2026-09-07T23:30</t>
  </si>
  <si>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歳を過ぎて気づいた 人それぞれの受け止め方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</si>
  <si>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2026-09-07T11:31</t>
  </si>
  <si>
    <r>
      <rPr>
        <sz val="10"/>
        <rFont val="Noto Sans CJK SC"/>
        <family val="2"/>
      </rPr>
      <t xml:space="preserve">リアルロボの操縦席は 腰の位置にある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</si>
  <si>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2026-09-08T08:46</t>
  </si>
  <si>
    <r>
      <rPr>
        <sz val="10"/>
        <rFont val="Noto Sans CJK SC"/>
        <family val="2"/>
      </rPr>
      <t xml:space="preserve">耳を塞ぐと聞こえる</t>
    </r>
    <r>
      <rPr>
        <sz val="10"/>
        <rFont val="Arial"/>
        <family val="0"/>
        <charset val="1"/>
      </rPr>
      <t xml:space="preserve">20Hz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</si>
  <si>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2026-09-08T03:30</t>
  </si>
  <si>
    <r>
      <rPr>
        <sz val="10"/>
        <rFont val="Noto Sans CJK SC"/>
        <family val="2"/>
      </rPr>
      <t xml:space="preserve">なぜ妖怪は山を下り里に現れるようになったのか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</si>
  <si>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2026-09-06T07:00</t>
  </si>
  <si>
    <r>
      <rPr>
        <sz val="10"/>
        <rFont val="Arial"/>
        <family val="0"/>
        <charset val="1"/>
      </rPr>
      <t xml:space="preserve">RTX5090</t>
    </r>
    <r>
      <rPr>
        <sz val="10"/>
        <rFont val="Noto Sans CJK SC"/>
        <family val="2"/>
      </rPr>
      <t xml:space="preserve">はで部屋の外から名前を呼ぶのか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</si>
  <si>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2026-09-07T04:00</t>
  </si>
  <si>
    <r>
      <rPr>
        <sz val="10"/>
        <rFont val="Noto Sans CJK SC"/>
        <family val="2"/>
      </rPr>
      <t xml:space="preserve">なぜ他人のあくびは約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％もつられる？脳の反応を解説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</si>
  <si>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t xml:space="preserve">2026-09-07T03:30</t>
  </si>
  <si>
    <r>
      <rPr>
        <sz val="10"/>
        <rFont val="Arial"/>
        <family val="0"/>
        <charset val="1"/>
      </rPr>
      <t xml:space="preserve">SCP-3288 </t>
    </r>
    <r>
      <rPr>
        <sz val="10"/>
        <rFont val="Noto Sans CJK SC"/>
        <family val="2"/>
      </rPr>
      <t xml:space="preserve">大雨の真相 あなたの部屋も沈む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</si>
  <si>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2026-09-08T04:00</t>
  </si>
  <si>
    <r>
      <rPr>
        <b val="true"/>
        <sz val="13"/>
        <color rgb="FF1F3864"/>
        <rFont val="Noto Sans CJK SC"/>
        <family val="2"/>
      </rPr>
      <t xml:space="preserve">改善提案 </t>
    </r>
    <r>
      <rPr>
        <b val="true"/>
        <sz val="13"/>
        <color rgb="FF1F3864"/>
        <rFont val="Arial"/>
        <family val="0"/>
        <charset val="1"/>
      </rPr>
      <t xml:space="preserve">2026-09-13</t>
    </r>
  </si>
  <si>
    <r>
      <rPr>
        <b val="true"/>
        <sz val="10"/>
        <rFont val="Noto Sans CJK SC"/>
        <family val="2"/>
      </rPr>
      <t xml:space="preserve">★ 本日は </t>
    </r>
    <r>
      <rPr>
        <b val="true"/>
        <sz val="10"/>
        <rFont val="Arial"/>
        <family val="0"/>
        <charset val="1"/>
      </rPr>
      <t xml:space="preserve">config </t>
    </r>
    <r>
      <rPr>
        <b val="true"/>
        <sz val="10"/>
        <rFont val="Noto Sans CJK SC"/>
        <family val="2"/>
      </rPr>
      <t xml:space="preserve">を変更していない。新規実績が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日連続ゼロで、</t>
    </r>
    <r>
      <rPr>
        <b val="true"/>
        <sz val="10"/>
        <rFont val="Arial"/>
        <family val="0"/>
        <charset val="1"/>
      </rPr>
      <t xml:space="preserve">09-12 </t>
    </r>
    <r>
      <rPr>
        <b val="true"/>
        <sz val="10"/>
        <rFont val="Noto Sans CJK SC"/>
        <family val="2"/>
      </rPr>
      <t xml:space="preserve">と同じスナップショットしか無いため。下記は新データ到着後に着手する順序。</t>
    </r>
  </si>
  <si>
    <t xml:space="preserve">#</t>
  </si>
  <si>
    <t xml:space="preserve">対象</t>
  </si>
  <si>
    <t xml:space="preserve">優先度</t>
  </si>
  <si>
    <t xml:space="preserve">提案</t>
  </si>
  <si>
    <t xml:space="preserve">根拠（実測）</t>
  </si>
  <si>
    <t xml:space="preserve">着手条件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</si>
  <si>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13ch / </t>
    </r>
    <r>
      <rPr>
        <sz val="10"/>
        <rFont val="Noto Sans CJK SC"/>
        <family val="2"/>
      </rPr>
      <t xml:space="preserve">運用基盤</t>
    </r>
  </si>
  <si>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即時</t>
    </r>
  </si>
  <si>
    <r>
      <rPr>
        <sz val="10"/>
        <rFont val="Noto Sans CJK SC"/>
        <family val="2"/>
      </rPr>
      <t xml:space="preserve">ユーザーによる </t>
    </r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再認可。</t>
    </r>
    <r>
      <rPr>
        <sz val="10"/>
        <rFont val="Arial"/>
        <family val="0"/>
        <charset val="1"/>
      </rPr>
      <t xml:space="preserve">13ch </t>
    </r>
    <r>
      <rPr>
        <sz val="10"/>
        <rFont val="Noto Sans CJK SC"/>
        <family val="2"/>
      </rPr>
      <t xml:space="preserve">すべて失効し、リフレッシュ成功歴がゼロなので自動復旧は起こらない。</t>
    </r>
  </si>
  <si>
    <r>
      <rPr>
        <sz val="10"/>
        <rFont val="Arial"/>
        <family val="0"/>
        <charset val="1"/>
      </rPr>
      <t xml:space="preserve">data/youtube_tokens.db: </t>
    </r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件の </t>
    </r>
    <r>
      <rPr>
        <sz val="10"/>
        <rFont val="Arial"/>
        <family val="0"/>
        <charset val="1"/>
      </rPr>
      <t xml:space="preserve">expires_at </t>
    </r>
    <r>
      <rPr>
        <sz val="10"/>
        <rFont val="Noto Sans CJK SC"/>
        <family val="2"/>
      </rPr>
      <t xml:space="preserve">が過去。</t>
    </r>
    <r>
      <rPr>
        <sz val="10"/>
        <rFont val="Arial"/>
        <family val="0"/>
        <charset val="1"/>
      </rPr>
      <t xml:space="preserve">updated_at </t>
    </r>
    <r>
      <rPr>
        <sz val="10"/>
        <rFont val="Noto Sans CJK SC"/>
        <family val="2"/>
      </rPr>
      <t xml:space="preserve">が一律 </t>
    </r>
    <r>
      <rPr>
        <sz val="10"/>
        <rFont val="Arial"/>
        <family val="0"/>
        <charset val="1"/>
      </rPr>
      <t xml:space="preserve">expires_at+8h</t>
    </r>
    <r>
      <rPr>
        <sz val="10"/>
        <rFont val="Noto Sans CJK SC"/>
        <family val="2"/>
      </rPr>
      <t xml:space="preserve">＝リフレッシュ実績なし。</t>
    </r>
    <r>
      <rPr>
        <sz val="10"/>
        <rFont val="Arial"/>
        <family val="0"/>
        <charset val="1"/>
      </rPr>
      <t xml:space="preserve">backend.log </t>
    </r>
    <r>
      <rPr>
        <sz val="10"/>
        <rFont val="Noto Sans CJK SC"/>
        <family val="2"/>
      </rPr>
      <t xml:space="preserve">直近</t>
    </r>
    <r>
      <rPr>
        <sz val="10"/>
        <rFont val="Arial"/>
        <family val="0"/>
        <charset val="1"/>
      </rPr>
      <t xml:space="preserve">5000</t>
    </r>
    <r>
      <rPr>
        <sz val="10"/>
        <rFont val="Noto Sans CJK SC"/>
        <family val="2"/>
      </rPr>
      <t xml:space="preserve">行に 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系エラー</t>
    </r>
    <r>
      <rPr>
        <sz val="10"/>
        <rFont val="Arial"/>
        <family val="0"/>
        <charset val="1"/>
      </rPr>
      <t xml:space="preserve">258</t>
    </r>
    <r>
      <rPr>
        <sz val="10"/>
        <rFont val="Noto Sans CJK SC"/>
        <family val="2"/>
      </rPr>
      <t xml:space="preserve">件。</t>
    </r>
  </si>
  <si>
    <t xml:space="preserve">ユーザー操作（自動不可）</t>
  </si>
  <si>
    <r>
      <rPr>
        <sz val="10"/>
        <rFont val="Noto Sans CJK SC"/>
        <family val="2"/>
      </rPr>
      <t xml:space="preserve">公開が止まっている間は生成も止める判断を検討。</t>
    </r>
    <r>
      <rPr>
        <sz val="10"/>
        <rFont val="Arial"/>
        <family val="0"/>
        <charset val="1"/>
      </rPr>
      <t xml:space="preserve">09-09</t>
    </r>
    <r>
      <rPr>
        <sz val="10"/>
        <rFont val="Noto Sans CJK SC"/>
        <family val="2"/>
      </rPr>
      <t xml:space="preserve">以降も生成は回り続けており、未公開在庫だけが積み上がっている。</t>
    </r>
  </si>
  <si>
    <r>
      <rPr>
        <sz val="10"/>
        <rFont val="Noto Sans CJK SC"/>
        <family val="2"/>
      </rPr>
      <t xml:space="preserve">公開実績</t>
    </r>
    <r>
      <rPr>
        <sz val="10"/>
        <rFont val="Arial"/>
        <family val="0"/>
        <charset val="1"/>
      </rPr>
      <t xml:space="preserve">: 09-08 </t>
    </r>
    <r>
      <rPr>
        <sz val="10"/>
        <rFont val="Noto Sans CJK SC"/>
        <family val="2"/>
      </rPr>
      <t xml:space="preserve">が最後（</t>
    </r>
    <r>
      <rPr>
        <sz val="10"/>
        <rFont val="Arial"/>
        <family val="0"/>
        <charset val="1"/>
      </rPr>
      <t xml:space="preserve">09-04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08</t>
    </r>
    <r>
      <rPr>
        <sz val="10"/>
        <rFont val="Noto Sans CJK SC"/>
        <family val="2"/>
      </rPr>
      <t xml:space="preserve">は日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32</t>
    </r>
    <r>
      <rPr>
        <sz val="10"/>
        <rFont val="Noto Sans CJK SC"/>
        <family val="2"/>
      </rPr>
      <t xml:space="preserve">本）。以降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日間で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本。</t>
    </r>
  </si>
  <si>
    <t xml:space="preserve">ユーザー判断</t>
  </si>
  <si>
    <t xml:space="preserve">P1</t>
  </si>
  <si>
    <r>
      <rPr>
        <sz val="10"/>
        <rFont val="Noto Sans CJK SC"/>
        <family val="2"/>
      </rPr>
      <t xml:space="preserve">停止または全面作り直し。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39,985</t>
    </r>
    <r>
      <rPr>
        <sz val="10"/>
        <rFont val="Noto Sans CJK SC"/>
        <family val="2"/>
      </rPr>
      <t xml:space="preserve">再生で登録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は構造的な失敗であって調整では動かない。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</si>
  <si>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0.000</t>
    </r>
    <r>
      <rPr>
        <sz val="10"/>
        <rFont val="Noto Sans CJK SC"/>
        <family val="2"/>
      </rPr>
      <t xml:space="preserve">（全</t>
    </r>
    <r>
      <rPr>
        <sz val="10"/>
        <rFont val="Arial"/>
        <family val="0"/>
        <charset val="1"/>
      </rPr>
      <t xml:space="preserve">12ch</t>
    </r>
    <r>
      <rPr>
        <sz val="10"/>
        <rFont val="Noto Sans CJK SC"/>
        <family val="2"/>
      </rPr>
      <t xml:space="preserve">中唯一）。維持率 </t>
    </r>
    <r>
      <rPr>
        <sz val="10"/>
        <rFont val="Arial"/>
        <family val="0"/>
        <charset val="1"/>
      </rPr>
      <t xml:space="preserve">38.2% </t>
    </r>
    <r>
      <rPr>
        <sz val="10"/>
        <rFont val="Noto Sans CJK SC"/>
        <family val="2"/>
      </rPr>
      <t xml:space="preserve">も最低水準。</t>
    </r>
  </si>
  <si>
    <t xml:space="preserve">新データ到着後</t>
  </si>
  <si>
    <t xml:space="preserve">clip-lab / clip-kaneko / clip-fukada</t>
  </si>
  <si>
    <r>
      <rPr>
        <sz val="10"/>
        <rFont val="Noto Sans CJK SC"/>
        <family val="2"/>
      </rPr>
      <t xml:space="preserve">切り抜き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は登録導線を持たない前提で、投稿枠をゆっくり系へ振り替える。</t>
    </r>
  </si>
  <si>
    <r>
      <rPr>
        <sz val="10"/>
        <rFont val="Noto Sans CJK SC"/>
        <family val="2"/>
      </rPr>
      <t xml:space="preserve">切り抜き</t>
    </r>
    <r>
      <rPr>
        <sz val="10"/>
        <rFont val="Arial"/>
        <family val="0"/>
        <charset val="1"/>
      </rPr>
      <t xml:space="preserve">4ch </t>
    </r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0.101 </t>
    </r>
    <r>
      <rPr>
        <sz val="10"/>
        <rFont val="Noto Sans CJK SC"/>
        <family val="2"/>
      </rPr>
      <t xml:space="preserve">に対しゆっくり</t>
    </r>
    <r>
      <rPr>
        <sz val="10"/>
        <rFont val="Arial"/>
        <family val="0"/>
        <charset val="1"/>
      </rPr>
      <t xml:space="preserve">8ch 0.461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4.58</t>
    </r>
    <r>
      <rPr>
        <sz val="10"/>
        <rFont val="Noto Sans CJK SC"/>
        <family val="2"/>
      </rPr>
      <t xml:space="preserve">倍（窓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日・ゆっくり</t>
    </r>
    <r>
      <rPr>
        <sz val="10"/>
        <rFont val="Arial"/>
        <family val="0"/>
        <charset val="1"/>
      </rPr>
      <t xml:space="preserve">8ch/</t>
    </r>
    <r>
      <rPr>
        <sz val="10"/>
        <rFont val="Noto Sans CJK SC"/>
        <family val="2"/>
      </rPr>
      <t xml:space="preserve">切り抜き</t>
    </r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構成）。</t>
    </r>
    <r>
      <rPr>
        <sz val="10"/>
        <rFont val="Arial"/>
        <family val="0"/>
        <charset val="1"/>
      </rPr>
      <t xml:space="preserve">clip-lab 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223,866</t>
    </r>
    <r>
      <rPr>
        <sz val="10"/>
        <rFont val="Noto Sans CJK SC"/>
        <family val="2"/>
      </rPr>
      <t xml:space="preserve">再生で登録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</si>
  <si>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再生ではなく高評価を取りに行く構成へ。現状は「あげてけ」系スレで再生は出るが高評価率</t>
    </r>
    <r>
      <rPr>
        <sz val="10"/>
        <rFont val="Arial"/>
        <family val="0"/>
        <charset val="1"/>
      </rPr>
      <t xml:space="preserve">0.24%</t>
    </r>
    <r>
      <rPr>
        <sz val="10"/>
        <rFont val="Noto Sans CJK SC"/>
        <family val="2"/>
      </rPr>
      <t xml:space="preserve">で止まっている。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</si>
  <si>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0.175</t>
    </r>
    <r>
      <rPr>
        <sz val="10"/>
        <rFont val="Noto Sans CJK SC"/>
        <family val="2"/>
      </rPr>
      <t xml:space="preserve">（ゆっくり系最下位）。</t>
    </r>
    <r>
      <rPr>
        <sz val="10"/>
        <rFont val="Arial"/>
        <family val="0"/>
        <charset val="1"/>
      </rPr>
      <t xml:space="preserve">497,948</t>
    </r>
    <r>
      <rPr>
        <sz val="10"/>
        <rFont val="Noto Sans CJK SC"/>
        <family val="2"/>
      </rPr>
      <t xml:space="preserve">再生で</t>
    </r>
    <r>
      <rPr>
        <sz val="10"/>
        <rFont val="Arial"/>
        <family val="0"/>
        <charset val="1"/>
      </rPr>
      <t xml:space="preserve">87</t>
    </r>
    <r>
      <rPr>
        <sz val="10"/>
        <rFont val="Noto Sans CJK SC"/>
        <family val="2"/>
      </rPr>
      <t xml:space="preserve">登録。</t>
    </r>
    <r>
      <rPr>
        <sz val="10"/>
        <rFont val="Arial"/>
        <family val="0"/>
        <charset val="1"/>
      </rPr>
      <t xml:space="preserve">29,761</t>
    </r>
    <r>
      <rPr>
        <sz val="10"/>
        <rFont val="Noto Sans CJK SC"/>
        <family val="2"/>
      </rPr>
      <t xml:space="preserve">再生・登録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の動画あり。</t>
    </r>
  </si>
  <si>
    <t xml:space="preserve">全ゆっくり系</t>
  </si>
  <si>
    <r>
      <rPr>
        <sz val="10"/>
        <rFont val="Noto Sans CJK SC"/>
        <family val="2"/>
      </rPr>
      <t xml:space="preserve">高評価を明示的に取りにいく施策を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つ入れて効果を測る。登録と相関する指標がこれしか無い。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</si>
  <si>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高評価率 </t>
    </r>
    <r>
      <rPr>
        <sz val="10"/>
        <rFont val="Arial"/>
        <family val="0"/>
        <charset val="1"/>
      </rPr>
      <t xml:space="preserve">r=+0.308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205</t>
    </r>
    <r>
      <rPr>
        <sz val="10"/>
        <rFont val="Noto Sans CJK SC"/>
        <family val="2"/>
      </rPr>
      <t xml:space="preserve">本）。維持率 </t>
    </r>
    <r>
      <rPr>
        <sz val="10"/>
        <rFont val="Arial"/>
        <family val="0"/>
        <charset val="1"/>
      </rPr>
      <t xml:space="preserve">r=-0.047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CTR r=+0.069 </t>
    </r>
    <r>
      <rPr>
        <sz val="10"/>
        <rFont val="Noto Sans CJK SC"/>
        <family val="2"/>
      </rPr>
      <t xml:space="preserve">はいずれも無相関。</t>
    </r>
  </si>
  <si>
    <t xml:space="preserve">P2</t>
  </si>
  <si>
    <r>
      <rPr>
        <sz val="10"/>
        <rFont val="Noto Sans CJK SC"/>
        <family val="2"/>
      </rPr>
      <t xml:space="preserve">絵文字先頭を「強い」前提で扱うのをやめる。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内比較では逆効果。</t>
    </r>
  </si>
  <si>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横断では絵文字先頭 </t>
    </r>
    <r>
      <rPr>
        <sz val="10"/>
        <rFont val="Arial"/>
        <family val="0"/>
        <charset val="1"/>
      </rPr>
      <t xml:space="preserve">0.590 / </t>
    </r>
    <r>
      <rPr>
        <sz val="10"/>
        <rFont val="Noto Sans CJK SC"/>
        <family val="2"/>
      </rPr>
      <t xml:space="preserve">なし </t>
    </r>
    <r>
      <rPr>
        <sz val="10"/>
        <rFont val="Arial"/>
        <family val="0"/>
        <charset val="1"/>
      </rPr>
      <t xml:space="preserve">0.353 </t>
    </r>
    <r>
      <rPr>
        <sz val="10"/>
        <rFont val="Noto Sans CJK SC"/>
        <family val="2"/>
      </rPr>
      <t xml:space="preserve">だが、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内では </t>
    </r>
    <r>
      <rPr>
        <sz val="10"/>
        <rFont val="Arial"/>
        <family val="0"/>
        <charset val="1"/>
      </rPr>
      <t xml:space="preserve">0.686 / 0.915 </t>
    </r>
    <r>
      <rPr>
        <sz val="10"/>
        <rFont val="Noto Sans CJK SC"/>
        <family val="2"/>
      </rPr>
      <t xml:space="preserve">と逆転。横断の差は「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が絵文字を多用する高効率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」であることの反映（シンプソンのパラドックス）。</t>
    </r>
  </si>
  <si>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の週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日化の効果検証。ただし全ゆっくり系の曜日別では土曜が最悪</t>
    </r>
    <r>
      <rPr>
        <sz val="10"/>
        <rFont val="Arial"/>
        <family val="0"/>
        <charset val="1"/>
      </rPr>
      <t xml:space="preserve">(0.268)</t>
    </r>
    <r>
      <rPr>
        <sz val="10"/>
        <rFont val="Noto Sans CJK SC"/>
        <family val="2"/>
      </rPr>
      <t xml:space="preserve">で、</t>
    </r>
    <r>
      <rPr>
        <sz val="10"/>
        <rFont val="Arial"/>
        <family val="0"/>
        <charset val="1"/>
      </rPr>
      <t xml:space="preserve">scp-lab </t>
    </r>
    <r>
      <rPr>
        <sz val="10"/>
        <rFont val="Noto Sans CJK SC"/>
        <family val="2"/>
      </rPr>
      <t xml:space="preserve">単独の土日の強さ</t>
    </r>
    <r>
      <rPr>
        <sz val="10"/>
        <rFont val="Arial"/>
        <family val="0"/>
        <charset val="1"/>
      </rPr>
      <t xml:space="preserve">(0.763/0.774)</t>
    </r>
    <r>
      <rPr>
        <sz val="10"/>
        <rFont val="Noto Sans CJK SC"/>
        <family val="2"/>
      </rPr>
      <t xml:space="preserve">と食い違う。検証は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単独で行うこと。</t>
    </r>
  </si>
  <si>
    <r>
      <rPr>
        <sz val="10"/>
        <rFont val="Noto Sans CJK SC"/>
        <family val="2"/>
      </rPr>
      <t xml:space="preserve">曜日別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千（ゆっくり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水</t>
    </r>
    <r>
      <rPr>
        <sz val="10"/>
        <rFont val="Arial"/>
        <family val="0"/>
        <charset val="1"/>
      </rPr>
      <t xml:space="preserve">0.531 </t>
    </r>
    <r>
      <rPr>
        <sz val="10"/>
        <rFont val="Noto Sans CJK SC"/>
        <family val="2"/>
      </rPr>
      <t xml:space="preserve">木</t>
    </r>
    <r>
      <rPr>
        <sz val="10"/>
        <rFont val="Arial"/>
        <family val="0"/>
        <charset val="1"/>
      </rPr>
      <t xml:space="preserve">0.512 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0.446 </t>
    </r>
    <r>
      <rPr>
        <sz val="10"/>
        <rFont val="Noto Sans CJK SC"/>
        <family val="2"/>
      </rPr>
      <t xml:space="preserve">金</t>
    </r>
    <r>
      <rPr>
        <sz val="10"/>
        <rFont val="Arial"/>
        <family val="0"/>
        <charset val="1"/>
      </rPr>
      <t xml:space="preserve">0.445 </t>
    </r>
    <r>
      <rPr>
        <sz val="10"/>
        <rFont val="Noto Sans CJK SC"/>
        <family val="2"/>
      </rPr>
      <t xml:space="preserve">火</t>
    </r>
    <r>
      <rPr>
        <sz val="10"/>
        <rFont val="Arial"/>
        <family val="0"/>
        <charset val="1"/>
      </rPr>
      <t xml:space="preserve">0.388 </t>
    </r>
    <r>
      <rPr>
        <sz val="10"/>
        <rFont val="Noto Sans CJK SC"/>
        <family val="2"/>
      </rPr>
      <t xml:space="preserve">土</t>
    </r>
    <r>
      <rPr>
        <sz val="10"/>
        <rFont val="Arial"/>
        <family val="0"/>
        <charset val="1"/>
      </rPr>
      <t xml:space="preserve">0.268 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0.148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</si>
  <si>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新データ到着後（</t>
    </r>
    <r>
      <rPr>
        <sz val="10"/>
        <rFont val="Arial"/>
        <family val="0"/>
        <charset val="1"/>
      </rPr>
      <t xml:space="preserve">verify_on 2026-09-19</t>
    </r>
    <r>
      <rPr>
        <sz val="10"/>
        <rFont val="Noto Sans CJK SC"/>
        <family val="2"/>
      </rPr>
      <t xml:space="preserve">）</t>
    </r>
  </si>
  <si>
    <t xml:space="preserve">pokemon-lab / yokai-watch</t>
  </si>
  <si>
    <t xml:space="preserve">「どっちが勝つ？」「元ネタが怖すぎる」型の量産を絞る。再生は出るが登録に変換されていない。</t>
  </si>
  <si>
    <r>
      <rPr>
        <sz val="10"/>
        <rFont val="Arial"/>
        <family val="0"/>
        <charset val="1"/>
      </rPr>
      <t xml:space="preserve">yokai-watch: 40,312</t>
    </r>
    <r>
      <rPr>
        <sz val="10"/>
        <rFont val="Noto Sans CJK SC"/>
        <family val="2"/>
      </rPr>
      <t xml:space="preserve">再生／</t>
    </r>
    <r>
      <rPr>
        <sz val="10"/>
        <rFont val="Arial"/>
        <family val="0"/>
        <charset val="1"/>
      </rPr>
      <t xml:space="preserve">40,231</t>
    </r>
    <r>
      <rPr>
        <sz val="10"/>
        <rFont val="Noto Sans CJK SC"/>
        <family val="2"/>
      </rPr>
      <t xml:space="preserve">再生／</t>
    </r>
    <r>
      <rPr>
        <sz val="10"/>
        <rFont val="Arial"/>
        <family val="0"/>
        <charset val="1"/>
      </rPr>
      <t xml:space="preserve">37,483</t>
    </r>
    <r>
      <rPr>
        <sz val="10"/>
        <rFont val="Noto Sans CJK SC"/>
        <family val="2"/>
      </rPr>
      <t xml:space="preserve">再生 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本がいずれも登録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も</t>
    </r>
    <r>
      <rPr>
        <sz val="10"/>
        <rFont val="Arial"/>
        <family val="0"/>
        <charset val="1"/>
      </rPr>
      <t xml:space="preserve">33,977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33,522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31,532</t>
    </r>
    <r>
      <rPr>
        <sz val="10"/>
        <rFont val="Noto Sans CJK SC"/>
        <family val="2"/>
      </rPr>
      <t xml:space="preserve">再生で登録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。</t>
    </r>
  </si>
  <si>
    <t xml:space="preserve">clip-animal / socio-rx</t>
  </si>
  <si>
    <t xml:space="preserve">稼働できていない事実を認めて停止するか、素材要件を満たすまで対象外にする。</t>
  </si>
  <si>
    <r>
      <rPr>
        <sz val="10"/>
        <rFont val="Arial"/>
        <family val="0"/>
        <charset val="1"/>
      </rPr>
      <t xml:space="preserve">clip-animal: 3</t>
    </r>
    <r>
      <rPr>
        <sz val="10"/>
        <rFont val="Noto Sans CJK SC"/>
        <family val="2"/>
      </rPr>
      <t xml:space="preserve">本・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再生。</t>
    </r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は「切り抜ける元動画が見つかりません」で継続失敗。</t>
    </r>
    <r>
      <rPr>
        <sz val="10"/>
        <rFont val="Arial"/>
        <family val="0"/>
        <charset val="1"/>
      </rPr>
      <t xml:space="preserve">socio-rx: analytics.db </t>
    </r>
    <r>
      <rPr>
        <sz val="10"/>
        <rFont val="Noto Sans CJK SC"/>
        <family val="2"/>
      </rPr>
      <t xml:space="preserve">に行が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件も無い。</t>
    </r>
  </si>
  <si>
    <r>
      <rPr>
        <b val="true"/>
        <sz val="13"/>
        <color rgb="FF1F3864"/>
        <rFont val="Noto Sans CJK SC"/>
        <family val="2"/>
      </rPr>
      <t xml:space="preserve">前回比較（前回 </t>
    </r>
    <r>
      <rPr>
        <b val="true"/>
        <sz val="13"/>
        <color rgb="FF1F3864"/>
        <rFont val="Arial"/>
        <family val="0"/>
        <charset val="1"/>
      </rPr>
      <t xml:space="preserve">= reports/youtube_analysis_20260912.xlsx</t>
    </r>
    <r>
      <rPr>
        <b val="true"/>
        <sz val="13"/>
        <color rgb="FF1F3864"/>
        <rFont val="Noto Sans CJK SC"/>
        <family val="2"/>
      </rPr>
      <t xml:space="preserve">）</t>
    </r>
  </si>
  <si>
    <t xml:space="preserve">■ データ鮮度</t>
  </si>
  <si>
    <t xml:space="preserve">項目</t>
  </si>
  <si>
    <r>
      <rPr>
        <b val="true"/>
        <sz val="10"/>
        <color rgb="FFFFFFFF"/>
        <rFont val="Noto Sans CJK SC"/>
        <family val="2"/>
      </rPr>
      <t xml:space="preserve">前回</t>
    </r>
    <r>
      <rPr>
        <b val="true"/>
        <sz val="10"/>
        <color rgb="FFFFFFFF"/>
        <rFont val="Arial"/>
        <family val="0"/>
        <charset val="1"/>
      </rPr>
      <t xml:space="preserve">(09-12)</t>
    </r>
  </si>
  <si>
    <r>
      <rPr>
        <b val="true"/>
        <sz val="10"/>
        <color rgb="FFFFFFFF"/>
        <rFont val="Noto Sans CJK SC"/>
        <family val="2"/>
      </rPr>
      <t xml:space="preserve">今回</t>
    </r>
    <r>
      <rPr>
        <b val="true"/>
        <sz val="10"/>
        <color rgb="FFFFFFFF"/>
        <rFont val="Arial"/>
        <family val="0"/>
        <charset val="1"/>
      </rPr>
      <t xml:space="preserve">(09-13)</t>
    </r>
  </si>
  <si>
    <t xml:space="preserve">差分</t>
  </si>
  <si>
    <t xml:space="preserve">意味</t>
  </si>
  <si>
    <r>
      <rPr>
        <sz val="10"/>
        <rFont val="Arial"/>
        <family val="0"/>
        <charset val="1"/>
      </rPr>
      <t xml:space="preserve">video_metrics </t>
    </r>
    <r>
      <rPr>
        <sz val="10"/>
        <rFont val="Noto Sans CJK SC"/>
        <family val="2"/>
      </rPr>
      <t xml:space="preserve">最終日</t>
    </r>
  </si>
  <si>
    <t xml:space="preserve">2026-09-08</t>
  </si>
  <si>
    <t xml:space="preserve">変化なし</t>
  </si>
  <si>
    <r>
      <rPr>
        <sz val="10"/>
        <rFont val="Noto Sans CJK SC"/>
        <family val="2"/>
      </rPr>
      <t xml:space="preserve">新規実績ゼロが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日連続→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日連続に伸びた</t>
    </r>
  </si>
  <si>
    <r>
      <rPr>
        <sz val="10"/>
        <rFont val="Arial"/>
        <family val="0"/>
        <charset val="1"/>
      </rPr>
      <t xml:space="preserve">channel_metrics </t>
    </r>
    <r>
      <rPr>
        <sz val="10"/>
        <rFont val="Noto Sans CJK SC"/>
        <family val="2"/>
      </rPr>
      <t xml:space="preserve">最終日</t>
    </r>
  </si>
  <si>
    <t xml:space="preserve">2026-09-05</t>
  </si>
  <si>
    <t xml:space="preserve">同上</t>
  </si>
  <si>
    <t xml:space="preserve">最終公開日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</si>
  <si>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日間 公開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本</t>
    </r>
  </si>
  <si>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失効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数</t>
    </r>
  </si>
  <si>
    <t xml:space="preserve">13 / 13</t>
  </si>
  <si>
    <r>
      <rPr>
        <sz val="10"/>
        <rFont val="Noto Sans CJK SC"/>
        <family val="2"/>
      </rPr>
      <t xml:space="preserve">最新でも </t>
    </r>
    <r>
      <rPr>
        <sz val="10"/>
        <rFont val="Arial"/>
        <family val="0"/>
        <charset val="1"/>
      </rPr>
      <t xml:space="preserve">pokemon-lab 09-09 14:43 UTC</t>
    </r>
    <r>
      <rPr>
        <sz val="10"/>
        <rFont val="Noto Sans CJK SC"/>
        <family val="2"/>
      </rPr>
      <t xml:space="preserve">＝約</t>
    </r>
    <r>
      <rPr>
        <sz val="10"/>
        <rFont val="Arial"/>
        <family val="0"/>
        <charset val="1"/>
      </rPr>
      <t xml:space="preserve">3.4</t>
    </r>
    <r>
      <rPr>
        <sz val="10"/>
        <rFont val="Noto Sans CJK SC"/>
        <family val="2"/>
      </rPr>
      <t xml:space="preserve">日前</t>
    </r>
  </si>
  <si>
    <t xml:space="preserve">リフレッシュ成功歴</t>
  </si>
  <si>
    <t xml:space="preserve">ゼロ</t>
  </si>
  <si>
    <r>
      <rPr>
        <sz val="10"/>
        <rFont val="Arial"/>
        <family val="0"/>
        <charset val="1"/>
      </rPr>
      <t xml:space="preserve">updated_at </t>
    </r>
    <r>
      <rPr>
        <sz val="10"/>
        <rFont val="Noto Sans CJK SC"/>
        <family val="2"/>
      </rPr>
      <t xml:space="preserve">が全件 </t>
    </r>
    <r>
      <rPr>
        <sz val="10"/>
        <rFont val="Arial"/>
        <family val="0"/>
        <charset val="1"/>
      </rPr>
      <t xml:space="preserve">expires_at+8h </t>
    </r>
    <r>
      <rPr>
        <sz val="10"/>
        <rFont val="Noto Sans CJK SC"/>
        <family val="2"/>
      </rPr>
      <t xml:space="preserve">のまま</t>
    </r>
  </si>
  <si>
    <r>
      <rPr>
        <b val="true"/>
        <sz val="10"/>
        <rFont val="Arial"/>
        <family val="0"/>
        <charset val="1"/>
      </rPr>
      <t xml:space="preserve">■ 30</t>
    </r>
    <r>
      <rPr>
        <b val="true"/>
        <sz val="10"/>
        <rFont val="Noto Sans CJK SC"/>
        <family val="2"/>
      </rPr>
      <t xml:space="preserve">日窓</t>
    </r>
    <r>
      <rPr>
        <b val="true"/>
        <sz val="10"/>
        <rFont val="Arial"/>
        <family val="0"/>
        <charset val="1"/>
      </rPr>
      <t xml:space="preserve">KPI</t>
    </r>
    <r>
      <rPr>
        <b val="true"/>
        <sz val="10"/>
        <rFont val="Noto Sans CJK SC"/>
        <family val="2"/>
      </rPr>
      <t xml:space="preserve">（前回と同一スナップショットのため数値も同一。整合確認として掲載）</t>
    </r>
  </si>
  <si>
    <t xml:space="preserve">チャンネル</t>
  </si>
  <si>
    <r>
      <rPr>
        <b val="true"/>
        <sz val="10"/>
        <color rgb="FFFFFFFF"/>
        <rFont val="Noto Sans CJK SC"/>
        <family val="2"/>
      </rPr>
      <t xml:space="preserve">前回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</si>
  <si>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r>
      <rPr>
        <b val="true"/>
        <sz val="10"/>
        <color rgb="FFFFFFFF"/>
        <rFont val="Noto Sans CJK SC"/>
        <family val="2"/>
      </rPr>
      <t xml:space="preserve">今回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</si>
  <si>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t xml:space="preserve">一致</t>
  </si>
  <si>
    <r>
      <rPr>
        <b val="true"/>
        <sz val="10"/>
        <rFont val="Noto Sans CJK SC"/>
        <family val="2"/>
      </rPr>
      <t xml:space="preserve">■ 前回</t>
    </r>
    <r>
      <rPr>
        <b val="true"/>
        <sz val="10"/>
        <rFont val="Arial"/>
        <family val="0"/>
        <charset val="1"/>
      </rPr>
      <t xml:space="preserve">(09-12)</t>
    </r>
    <r>
      <rPr>
        <b val="true"/>
        <sz val="10"/>
        <rFont val="Noto Sans CJK SC"/>
        <family val="2"/>
      </rPr>
      <t xml:space="preserve">の </t>
    </r>
    <r>
      <rPr>
        <b val="true"/>
        <sz val="10"/>
        <rFont val="Arial"/>
        <family val="0"/>
        <charset val="1"/>
      </rPr>
      <t xml:space="preserve">config </t>
    </r>
    <r>
      <rPr>
        <b val="true"/>
        <sz val="10"/>
        <rFont val="Noto Sans CJK SC"/>
        <family val="2"/>
      </rPr>
      <t xml:space="preserve">変更と検証状況</t>
    </r>
  </si>
  <si>
    <t xml:space="preserve">変更内容</t>
  </si>
  <si>
    <t xml:space="preserve">根拠</t>
  </si>
  <si>
    <t xml:space="preserve">検証期日</t>
  </si>
  <si>
    <t xml:space="preserve">本日時点の判定</t>
  </si>
  <si>
    <r>
      <rPr>
        <sz val="10"/>
        <rFont val="Arial"/>
        <family val="0"/>
        <charset val="1"/>
      </rPr>
      <t xml:space="preserve">autopilot.schedule </t>
    </r>
    <r>
      <rPr>
        <sz val="10"/>
        <rFont val="Noto Sans CJK SC"/>
        <family val="2"/>
      </rPr>
      <t xml:space="preserve">を平日限定→週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日（週</t>
    </r>
    <r>
      <rPr>
        <sz val="10"/>
        <rFont val="Arial"/>
        <family val="0"/>
        <charset val="1"/>
      </rPr>
      <t xml:space="preserve">15→21</t>
    </r>
    <r>
      <rPr>
        <sz val="10"/>
        <rFont val="Noto Sans CJK SC"/>
        <family val="2"/>
      </rPr>
      <t xml:space="preserve">本）</t>
    </r>
  </si>
  <si>
    <r>
      <rPr>
        <sz val="10"/>
        <rFont val="Noto Sans CJK SC"/>
        <family val="2"/>
      </rPr>
      <t xml:space="preserve">曜日別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土</t>
    </r>
    <r>
      <rPr>
        <sz val="10"/>
        <rFont val="Arial"/>
        <family val="0"/>
        <charset val="1"/>
      </rPr>
      <t xml:space="preserve">0.763 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0.774</t>
    </r>
    <r>
      <rPr>
        <sz val="10"/>
        <rFont val="Noto Sans CJK SC"/>
        <family val="2"/>
      </rPr>
      <t xml:space="preserve">、登録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千は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位</t>
    </r>
  </si>
  <si>
    <t xml:space="preserve">2026-09-19</t>
  </si>
  <si>
    <r>
      <rPr>
        <sz val="10"/>
        <rFont val="Noto Sans CJK SC"/>
        <family val="2"/>
      </rPr>
      <t xml:space="preserve">検証不能。変更後に公開された動画が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本のため、効果を測る材料が存在しない</t>
    </r>
  </si>
  <si>
    <r>
      <rPr>
        <sz val="10"/>
        <rFont val="Arial"/>
        <family val="0"/>
        <charset val="1"/>
      </rPr>
      <t xml:space="preserve">autopilot </t>
    </r>
    <r>
      <rPr>
        <sz val="10"/>
        <rFont val="Noto Sans CJK SC"/>
        <family val="2"/>
      </rPr>
      <t xml:space="preserve">枠を</t>
    </r>
    <r>
      <rPr>
        <sz val="10"/>
        <rFont val="Arial"/>
        <family val="0"/>
        <charset val="1"/>
      </rPr>
      <t xml:space="preserve">3→4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12:30 </t>
    </r>
    <r>
      <rPr>
        <sz val="10"/>
        <rFont val="Noto Sans CJK SC"/>
        <family val="2"/>
      </rPr>
      <t xml:space="preserve">を増設、週</t>
    </r>
    <r>
      <rPr>
        <sz val="10"/>
        <rFont val="Arial"/>
        <family val="0"/>
        <charset val="1"/>
      </rPr>
      <t xml:space="preserve">21→28</t>
    </r>
    <r>
      <rPr>
        <sz val="10"/>
        <rFont val="Noto Sans CJK SC"/>
        <family val="2"/>
      </rPr>
      <t xml:space="preserve">本）</t>
    </r>
  </si>
  <si>
    <r>
      <rPr>
        <sz val="10"/>
        <rFont val="Noto Sans CJK SC"/>
        <family val="2"/>
      </rPr>
      <t xml:space="preserve">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0.711(2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・維持率</t>
    </r>
    <r>
      <rPr>
        <sz val="10"/>
        <rFont val="Arial"/>
        <family val="0"/>
        <charset val="1"/>
      </rPr>
      <t xml:space="preserve">56.7%(1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・有効</t>
    </r>
    <r>
      <rPr>
        <sz val="10"/>
        <rFont val="Arial"/>
        <family val="0"/>
        <charset val="1"/>
      </rPr>
      <t xml:space="preserve">CTR2.19%(1</t>
    </r>
    <r>
      <rPr>
        <sz val="10"/>
        <rFont val="Noto Sans CJK SC"/>
        <family val="2"/>
      </rPr>
      <t xml:space="preserve">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、正午帯が未使用</t>
    </r>
  </si>
  <si>
    <t xml:space="preserve">検証不能。同上</t>
  </si>
  <si>
    <r>
      <rPr>
        <sz val="10"/>
        <rFont val="Noto Sans CJK SC"/>
        <family val="2"/>
      </rPr>
      <t xml:space="preserve">切り抜き</t>
    </r>
    <r>
      <rPr>
        <sz val="10"/>
        <rFont val="Arial"/>
        <family val="0"/>
        <charset val="1"/>
      </rPr>
      <t xml:space="preserve">3ch</t>
    </r>
  </si>
  <si>
    <r>
      <rPr>
        <sz val="10"/>
        <rFont val="Noto Sans CJK SC"/>
        <family val="2"/>
      </rPr>
      <t xml:space="preserve">ゲート付与＋キュー補充を </t>
    </r>
    <r>
      <rPr>
        <sz val="10"/>
        <rFont val="Arial"/>
        <family val="0"/>
        <charset val="1"/>
      </rPr>
      <t xml:space="preserve">title_constraints </t>
    </r>
    <r>
      <rPr>
        <sz val="10"/>
        <rFont val="Noto Sans CJK SC"/>
        <family val="2"/>
      </rPr>
      <t xml:space="preserve">に通す</t>
    </r>
  </si>
  <si>
    <r>
      <rPr>
        <sz val="10"/>
        <rFont val="Noto Sans CJK SC"/>
        <family val="2"/>
      </rPr>
      <t xml:space="preserve">キュー</t>
    </r>
    <r>
      <rPr>
        <sz val="10"/>
        <rFont val="Arial"/>
        <family val="0"/>
        <charset val="1"/>
      </rPr>
      <t xml:space="preserve">99</t>
    </r>
    <r>
      <rPr>
        <sz val="10"/>
        <rFont val="Noto Sans CJK SC"/>
        <family val="2"/>
      </rPr>
      <t xml:space="preserve">件中ゲート合格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件</t>
    </r>
    <r>
      <rPr>
        <sz val="10"/>
        <rFont val="Arial"/>
        <family val="0"/>
        <charset val="1"/>
      </rPr>
      <t xml:space="preserve">(24.2%)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件全滅</t>
    </r>
  </si>
  <si>
    <t xml:space="preserve">—</t>
  </si>
  <si>
    <t xml:space="preserve">構造修正のため実績待ちではない。効果は次回公開分のタイトル品質で測る</t>
  </si>
  <si>
    <r>
      <rPr>
        <b val="true"/>
        <sz val="10"/>
        <rFont val="Noto Sans CJK SC"/>
        <family val="2"/>
      </rPr>
      <t xml:space="preserve">★ 結論</t>
    </r>
    <r>
      <rPr>
        <b val="true"/>
        <sz val="10"/>
        <rFont val="Arial"/>
        <family val="0"/>
        <charset val="1"/>
      </rPr>
      <t xml:space="preserve">: 09-12 </t>
    </r>
    <r>
      <rPr>
        <b val="true"/>
        <sz val="10"/>
        <rFont val="Noto Sans CJK SC"/>
        <family val="2"/>
      </rPr>
      <t xml:space="preserve">の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件はいずれも「投稿本数を増やす」変更だが、公開経路が止まっているため本数は増えていない。トークン再認可までは、どの施策変更も効果検証ができない。</t>
    </r>
  </si>
  <si>
    <r>
      <rPr>
        <b val="true"/>
        <sz val="10"/>
        <rFont val="Noto Sans CJK SC"/>
        <family val="2"/>
      </rPr>
      <t xml:space="preserve">★ 本日 </t>
    </r>
    <r>
      <rPr>
        <b val="true"/>
        <sz val="10"/>
        <rFont val="Arial"/>
        <family val="0"/>
        <charset val="1"/>
      </rPr>
      <t xml:space="preserve">config </t>
    </r>
    <r>
      <rPr>
        <b val="true"/>
        <sz val="10"/>
        <rFont val="Noto Sans CJK SC"/>
        <family val="2"/>
      </rPr>
      <t xml:space="preserve">を変更しなかった理由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同一スナップショットでの二重判断を避けるため（タスク定義の鉄則）。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</si>
</sst>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"/>
    <numFmt numFmtId="167" formatCode="0.00"/>
    <numFmt numFmtId="168" formatCode="\+0.000;\-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5" t="s">
        <v>9</v>
      </c>
      <c r="B13" s="5" t="s">
        <v>10</v>
      </c>
      <c r="C13" s="2"/>
      <c r="D13" s="2"/>
      <c r="E13" s="2"/>
      <c r="F13" s="2"/>
      <c r="G13" s="2"/>
      <c r="H13" s="2" t="s">
        <v>11</v>
      </c>
    </row>
    <row r="14" customFormat="false" ht="15" hidden="false" customHeight="false" outlineLevel="0" collapsed="false">
      <c r="A14" s="2" t="s">
        <v>12</v>
      </c>
      <c r="B14" s="6" t="n">
        <v>490</v>
      </c>
      <c r="C14" s="2"/>
      <c r="D14" s="2"/>
      <c r="E14" s="2"/>
      <c r="F14" s="2"/>
      <c r="G14" s="2"/>
      <c r="H14" s="7" t="s">
        <v>13</v>
      </c>
    </row>
    <row r="15" customFormat="false" ht="15" hidden="false" customHeight="false" outlineLevel="0" collapsed="false">
      <c r="A15" s="2" t="s">
        <v>14</v>
      </c>
      <c r="B15" s="6" t="n">
        <v>4563690</v>
      </c>
      <c r="C15" s="2"/>
      <c r="D15" s="2"/>
      <c r="E15" s="2"/>
      <c r="F15" s="2"/>
      <c r="G15" s="2"/>
      <c r="H15" s="2" t="s">
        <v>15</v>
      </c>
    </row>
    <row r="16" customFormat="false" ht="15" hidden="false" customHeight="false" outlineLevel="0" collapsed="false">
      <c r="A16" s="2" t="s">
        <v>16</v>
      </c>
      <c r="B16" s="6" t="n">
        <v>15694</v>
      </c>
      <c r="C16" s="2"/>
      <c r="D16" s="2"/>
      <c r="E16" s="2"/>
      <c r="F16" s="2"/>
      <c r="G16" s="2"/>
      <c r="H16" s="2" t="s">
        <v>17</v>
      </c>
    </row>
    <row r="17" customFormat="false" ht="15" hidden="false" customHeight="false" outlineLevel="0" collapsed="false">
      <c r="A17" s="2" t="s">
        <v>18</v>
      </c>
      <c r="B17" s="6" t="n">
        <v>1931</v>
      </c>
      <c r="C17" s="2"/>
      <c r="D17" s="2"/>
      <c r="E17" s="2"/>
      <c r="F17" s="2"/>
      <c r="G17" s="2"/>
      <c r="H17" s="2" t="s">
        <v>19</v>
      </c>
    </row>
    <row r="18" customFormat="false" ht="15" hidden="false" customHeight="false" outlineLevel="0" collapsed="false">
      <c r="A18" s="3" t="s">
        <v>20</v>
      </c>
      <c r="B18" s="8" t="n">
        <f aca="false">ROUND(B17*1000/B15,3)</f>
        <v>0.423</v>
      </c>
      <c r="C18" s="3"/>
      <c r="D18" s="3"/>
      <c r="E18" s="3"/>
      <c r="F18" s="3"/>
      <c r="G18" s="3"/>
      <c r="H18" s="3" t="s">
        <v>21</v>
      </c>
    </row>
    <row r="19" customFormat="false" ht="15" hidden="false" customHeight="false" outlineLevel="0" collapsed="false">
      <c r="A19" s="2" t="s">
        <v>22</v>
      </c>
      <c r="B19" s="9" t="n">
        <f aca="false">ROUND(B16*100/B15,3)</f>
        <v>0.344</v>
      </c>
      <c r="C19" s="2"/>
      <c r="D19" s="2"/>
      <c r="E19" s="2"/>
      <c r="F19" s="2"/>
      <c r="G19" s="2"/>
      <c r="H19" s="2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5" t="s">
        <v>25</v>
      </c>
      <c r="B22" s="10" t="s">
        <v>26</v>
      </c>
      <c r="C22" s="5" t="s">
        <v>27</v>
      </c>
      <c r="D22" s="5" t="s">
        <v>28</v>
      </c>
      <c r="E22" s="5" t="s">
        <v>29</v>
      </c>
      <c r="F22" s="5" t="s">
        <v>30</v>
      </c>
      <c r="G22" s="5" t="s">
        <v>31</v>
      </c>
      <c r="H22" s="5" t="s">
        <v>32</v>
      </c>
    </row>
    <row r="23" customFormat="false" ht="15" hidden="false" customHeight="false" outlineLevel="0" collapsed="false">
      <c r="A23" s="2" t="s">
        <v>33</v>
      </c>
      <c r="B23" s="2" t="n">
        <v>8</v>
      </c>
      <c r="C23" s="6" t="n">
        <v>426</v>
      </c>
      <c r="D23" s="6" t="n">
        <v>4086663</v>
      </c>
      <c r="E23" s="6" t="n">
        <v>1883</v>
      </c>
      <c r="F23" s="2" t="n">
        <v>0.461</v>
      </c>
      <c r="G23" s="2" t="n">
        <v>0.359</v>
      </c>
      <c r="H23" s="2" t="s">
        <v>34</v>
      </c>
    </row>
    <row r="24" customFormat="false" ht="15" hidden="false" customHeight="false" outlineLevel="0" collapsed="false">
      <c r="A24" s="2" t="s">
        <v>35</v>
      </c>
      <c r="B24" s="2" t="n">
        <v>4</v>
      </c>
      <c r="C24" s="6" t="n">
        <v>64</v>
      </c>
      <c r="D24" s="6" t="n">
        <v>477027</v>
      </c>
      <c r="E24" s="6" t="n">
        <v>48</v>
      </c>
      <c r="F24" s="2" t="n">
        <v>0.101</v>
      </c>
      <c r="G24" s="2" t="n">
        <v>0.213</v>
      </c>
      <c r="H24" s="2" t="s">
        <v>36</v>
      </c>
    </row>
    <row r="25" customFormat="false" ht="15" hidden="false" customHeight="false" outlineLevel="0" collapsed="false">
      <c r="A25" s="3" t="s">
        <v>37</v>
      </c>
      <c r="B25" s="3"/>
      <c r="C25" s="3"/>
      <c r="D25" s="3"/>
      <c r="E25" s="3"/>
      <c r="F25" s="11" t="n">
        <f aca="false">ROUND(F23/F24,2)</f>
        <v>4.56</v>
      </c>
      <c r="G25" s="3"/>
      <c r="H25" s="2" t="s">
        <v>38</v>
      </c>
    </row>
    <row r="27" customFormat="false" ht="15" hidden="false" customHeight="false" outlineLevel="0" collapsed="false">
      <c r="A27" s="3" t="s">
        <v>39</v>
      </c>
    </row>
    <row r="28" customFormat="false" ht="23.85" hidden="false" customHeight="false" outlineLevel="0" collapsed="false">
      <c r="A28" s="10" t="s">
        <v>40</v>
      </c>
      <c r="B28" s="10" t="s">
        <v>41</v>
      </c>
      <c r="C28" s="5" t="s">
        <v>42</v>
      </c>
      <c r="D28" s="2"/>
      <c r="E28" s="2"/>
      <c r="F28" s="2"/>
      <c r="G28" s="2"/>
      <c r="H28" s="2" t="s">
        <v>43</v>
      </c>
    </row>
    <row r="29" customFormat="false" ht="15" hidden="false" customHeight="false" outlineLevel="0" collapsed="false">
      <c r="A29" s="12" t="s">
        <v>44</v>
      </c>
      <c r="B29" s="12" t="s">
        <v>45</v>
      </c>
      <c r="C29" s="13" t="s">
        <v>46</v>
      </c>
      <c r="D29" s="13"/>
      <c r="E29" s="13"/>
      <c r="F29" s="13"/>
      <c r="G29" s="13"/>
      <c r="H29" s="12" t="s">
        <v>47</v>
      </c>
    </row>
    <row r="30" customFormat="false" ht="15" hidden="false" customHeight="false" outlineLevel="0" collapsed="false">
      <c r="A30" s="12" t="s">
        <v>48</v>
      </c>
      <c r="B30" s="12" t="s">
        <v>49</v>
      </c>
      <c r="C30" s="13" t="s">
        <v>46</v>
      </c>
      <c r="D30" s="13"/>
      <c r="E30" s="13"/>
      <c r="F30" s="13"/>
      <c r="G30" s="13"/>
      <c r="H30" s="12" t="s">
        <v>47</v>
      </c>
    </row>
    <row r="31" customFormat="false" ht="15" hidden="false" customHeight="false" outlineLevel="0" collapsed="false">
      <c r="A31" s="12" t="s">
        <v>50</v>
      </c>
      <c r="B31" s="12" t="s">
        <v>51</v>
      </c>
      <c r="C31" s="13" t="s">
        <v>46</v>
      </c>
      <c r="D31" s="13"/>
      <c r="E31" s="13"/>
      <c r="F31" s="13"/>
      <c r="G31" s="13"/>
      <c r="H31" s="12" t="s">
        <v>47</v>
      </c>
    </row>
    <row r="32" customFormat="false" ht="15" hidden="false" customHeight="false" outlineLevel="0" collapsed="false">
      <c r="A32" s="12" t="s">
        <v>52</v>
      </c>
      <c r="B32" s="12" t="s">
        <v>53</v>
      </c>
      <c r="C32" s="13" t="s">
        <v>46</v>
      </c>
      <c r="D32" s="13"/>
      <c r="E32" s="13"/>
      <c r="F32" s="13"/>
      <c r="G32" s="13"/>
      <c r="H32" s="12" t="s">
        <v>47</v>
      </c>
    </row>
    <row r="33" customFormat="false" ht="15" hidden="false" customHeight="false" outlineLevel="0" collapsed="false">
      <c r="A33" s="12" t="s">
        <v>54</v>
      </c>
      <c r="B33" s="12" t="s">
        <v>55</v>
      </c>
      <c r="C33" s="13" t="s">
        <v>46</v>
      </c>
      <c r="D33" s="13"/>
      <c r="E33" s="13"/>
      <c r="F33" s="13"/>
      <c r="G33" s="13"/>
      <c r="H33" s="12" t="s">
        <v>47</v>
      </c>
    </row>
    <row r="34" customFormat="false" ht="15" hidden="false" customHeight="false" outlineLevel="0" collapsed="false">
      <c r="A34" s="12" t="s">
        <v>56</v>
      </c>
      <c r="B34" s="12" t="s">
        <v>55</v>
      </c>
      <c r="C34" s="13" t="s">
        <v>46</v>
      </c>
      <c r="D34" s="13"/>
      <c r="E34" s="13"/>
      <c r="F34" s="13"/>
      <c r="G34" s="13"/>
      <c r="H34" s="12" t="s">
        <v>47</v>
      </c>
    </row>
    <row r="35" customFormat="false" ht="15" hidden="false" customHeight="false" outlineLevel="0" collapsed="false">
      <c r="A35" s="12" t="s">
        <v>57</v>
      </c>
      <c r="B35" s="12" t="s">
        <v>55</v>
      </c>
      <c r="C35" s="13" t="s">
        <v>46</v>
      </c>
      <c r="D35" s="13"/>
      <c r="E35" s="13"/>
      <c r="F35" s="13"/>
      <c r="G35" s="13"/>
      <c r="H35" s="12" t="s">
        <v>47</v>
      </c>
    </row>
    <row r="36" customFormat="false" ht="15" hidden="false" customHeight="false" outlineLevel="0" collapsed="false">
      <c r="A36" s="12" t="s">
        <v>58</v>
      </c>
      <c r="B36" s="12" t="s">
        <v>55</v>
      </c>
      <c r="C36" s="13" t="s">
        <v>46</v>
      </c>
      <c r="D36" s="13"/>
      <c r="E36" s="13"/>
      <c r="F36" s="13"/>
      <c r="G36" s="13"/>
      <c r="H36" s="12" t="s">
        <v>47</v>
      </c>
    </row>
    <row r="37" customFormat="false" ht="15" hidden="false" customHeight="false" outlineLevel="0" collapsed="false">
      <c r="A37" s="12" t="s">
        <v>59</v>
      </c>
      <c r="B37" s="12" t="s">
        <v>55</v>
      </c>
      <c r="C37" s="13" t="s">
        <v>46</v>
      </c>
      <c r="D37" s="13"/>
      <c r="E37" s="13"/>
      <c r="F37" s="13"/>
      <c r="G37" s="13"/>
      <c r="H37" s="12" t="s">
        <v>47</v>
      </c>
    </row>
    <row r="38" customFormat="false" ht="15" hidden="false" customHeight="false" outlineLevel="0" collapsed="false">
      <c r="A38" s="12" t="s">
        <v>60</v>
      </c>
      <c r="B38" s="12" t="s">
        <v>61</v>
      </c>
      <c r="C38" s="13" t="s">
        <v>46</v>
      </c>
      <c r="D38" s="13"/>
      <c r="E38" s="13"/>
      <c r="F38" s="13"/>
      <c r="G38" s="13"/>
      <c r="H38" s="12" t="s">
        <v>47</v>
      </c>
    </row>
    <row r="39" customFormat="false" ht="15" hidden="false" customHeight="false" outlineLevel="0" collapsed="false">
      <c r="A39" s="12" t="s">
        <v>62</v>
      </c>
      <c r="B39" s="12" t="s">
        <v>63</v>
      </c>
      <c r="C39" s="13" t="s">
        <v>46</v>
      </c>
      <c r="D39" s="13"/>
      <c r="E39" s="13"/>
      <c r="F39" s="13"/>
      <c r="G39" s="13"/>
      <c r="H39" s="12" t="s">
        <v>47</v>
      </c>
    </row>
    <row r="40" customFormat="false" ht="15" hidden="false" customHeight="false" outlineLevel="0" collapsed="false">
      <c r="A40" s="12" t="s">
        <v>64</v>
      </c>
      <c r="B40" s="12" t="s">
        <v>65</v>
      </c>
      <c r="C40" s="13" t="s">
        <v>46</v>
      </c>
      <c r="D40" s="13"/>
      <c r="E40" s="13"/>
      <c r="F40" s="13"/>
      <c r="G40" s="13"/>
      <c r="H40" s="12" t="s">
        <v>47</v>
      </c>
    </row>
    <row r="41" customFormat="false" ht="15" hidden="false" customHeight="false" outlineLevel="0" collapsed="false">
      <c r="A41" s="12" t="s">
        <v>66</v>
      </c>
      <c r="B41" s="12" t="s">
        <v>65</v>
      </c>
      <c r="C41" s="13" t="s">
        <v>46</v>
      </c>
      <c r="D41" s="13"/>
      <c r="E41" s="13"/>
      <c r="F41" s="13"/>
      <c r="G41" s="13"/>
      <c r="H41" s="12" t="s">
        <v>47</v>
      </c>
    </row>
    <row r="43" customFormat="false" ht="15" hidden="false" customHeight="false" outlineLevel="0" collapsed="false">
      <c r="A43" s="4" t="s">
        <v>67</v>
      </c>
    </row>
    <row r="45" customFormat="false" ht="15" hidden="false" customHeight="false" outlineLevel="0" collapsed="false">
      <c r="A45" s="4" t="s">
        <v>68</v>
      </c>
    </row>
    <row r="46" customFormat="false" ht="15" hidden="false" customHeight="false" outlineLevel="0" collapsed="false">
      <c r="A46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9" min="4" style="0" width="12"/>
    <col collapsed="false" customWidth="true" hidden="false" outlineLevel="0" max="10" min="10" style="0" width="52"/>
  </cols>
  <sheetData>
    <row r="1" customFormat="false" ht="20.1" hidden="false" customHeight="false" outlineLevel="0" collapsed="false">
      <c r="A1" s="14" t="s">
        <v>70</v>
      </c>
    </row>
    <row r="3" customFormat="false" ht="15" hidden="false" customHeight="false" outlineLevel="0" collapsed="false">
      <c r="A3" s="10" t="s">
        <v>40</v>
      </c>
      <c r="B3" s="5" t="s">
        <v>71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72</v>
      </c>
      <c r="I3" s="5" t="s">
        <v>73</v>
      </c>
      <c r="J3" s="5" t="s">
        <v>74</v>
      </c>
    </row>
    <row r="4" customFormat="false" ht="15" hidden="false" customHeight="false" outlineLevel="0" collapsed="false">
      <c r="A4" s="15" t="s">
        <v>54</v>
      </c>
      <c r="B4" s="16" t="s">
        <v>75</v>
      </c>
      <c r="C4" s="16" t="n">
        <v>100</v>
      </c>
      <c r="D4" s="17" t="n">
        <v>807704</v>
      </c>
      <c r="E4" s="17" t="n">
        <v>687</v>
      </c>
      <c r="F4" s="16" t="n">
        <v>0.851</v>
      </c>
      <c r="G4" s="16" t="n">
        <v>0.427</v>
      </c>
      <c r="H4" s="16" t="n">
        <v>48</v>
      </c>
      <c r="I4" s="16" t="n">
        <v>0.79</v>
      </c>
      <c r="J4" s="16" t="s">
        <v>76</v>
      </c>
    </row>
    <row r="5" customFormat="false" ht="15" hidden="false" customHeight="false" outlineLevel="0" collapsed="false">
      <c r="A5" s="15" t="s">
        <v>50</v>
      </c>
      <c r="B5" s="16" t="s">
        <v>77</v>
      </c>
      <c r="C5" s="16" t="n">
        <v>42</v>
      </c>
      <c r="D5" s="17" t="n">
        <v>279533</v>
      </c>
      <c r="E5" s="17" t="n">
        <v>205</v>
      </c>
      <c r="F5" s="16" t="n">
        <v>0.733</v>
      </c>
      <c r="G5" s="16" t="n">
        <v>0.381</v>
      </c>
      <c r="H5" s="16" t="n">
        <v>59.9</v>
      </c>
      <c r="I5" s="16" t="n">
        <v>2.39</v>
      </c>
      <c r="J5" s="15" t="s">
        <v>78</v>
      </c>
    </row>
    <row r="6" customFormat="false" ht="15" hidden="false" customHeight="false" outlineLevel="0" collapsed="false">
      <c r="A6" s="15" t="s">
        <v>60</v>
      </c>
      <c r="B6" s="16" t="s">
        <v>79</v>
      </c>
      <c r="C6" s="16" t="n">
        <v>17</v>
      </c>
      <c r="D6" s="17" t="n">
        <v>23383</v>
      </c>
      <c r="E6" s="17" t="n">
        <v>17</v>
      </c>
      <c r="F6" s="16" t="n">
        <v>0.727</v>
      </c>
      <c r="G6" s="16" t="n">
        <v>0.205</v>
      </c>
      <c r="H6" s="16" t="n">
        <v>57.4</v>
      </c>
      <c r="I6" s="16" t="n">
        <v>0.01</v>
      </c>
      <c r="J6" s="15" t="s">
        <v>80</v>
      </c>
    </row>
    <row r="7" customFormat="false" ht="15" hidden="false" customHeight="false" outlineLevel="0" collapsed="false">
      <c r="A7" s="7" t="s">
        <v>52</v>
      </c>
      <c r="B7" s="2" t="s">
        <v>81</v>
      </c>
      <c r="C7" s="2" t="n">
        <v>90</v>
      </c>
      <c r="D7" s="6" t="n">
        <v>884152</v>
      </c>
      <c r="E7" s="6" t="n">
        <v>374</v>
      </c>
      <c r="F7" s="2" t="n">
        <v>0.423</v>
      </c>
      <c r="G7" s="2" t="n">
        <v>0.4</v>
      </c>
      <c r="H7" s="2" t="n">
        <v>54.3</v>
      </c>
      <c r="I7" s="2" t="n">
        <v>0.78</v>
      </c>
      <c r="J7" s="2" t="s">
        <v>82</v>
      </c>
    </row>
    <row r="8" customFormat="false" ht="15" hidden="false" customHeight="false" outlineLevel="0" collapsed="false">
      <c r="A8" s="7" t="s">
        <v>44</v>
      </c>
      <c r="B8" s="7" t="s">
        <v>44</v>
      </c>
      <c r="C8" s="2" t="n">
        <v>56</v>
      </c>
      <c r="D8" s="6" t="n">
        <v>810327</v>
      </c>
      <c r="E8" s="6" t="n">
        <v>272</v>
      </c>
      <c r="F8" s="2" t="n">
        <v>0.336</v>
      </c>
      <c r="G8" s="2" t="n">
        <v>0.31</v>
      </c>
      <c r="H8" s="2" t="n">
        <v>60.2</v>
      </c>
      <c r="I8" s="2" t="n">
        <v>1.12</v>
      </c>
      <c r="J8" s="2" t="s">
        <v>83</v>
      </c>
    </row>
    <row r="9" customFormat="false" ht="15" hidden="false" customHeight="false" outlineLevel="0" collapsed="false">
      <c r="A9" s="7" t="s">
        <v>56</v>
      </c>
      <c r="B9" s="7" t="s">
        <v>56</v>
      </c>
      <c r="C9" s="2" t="n">
        <v>54</v>
      </c>
      <c r="D9" s="6" t="n">
        <v>743631</v>
      </c>
      <c r="E9" s="6" t="n">
        <v>241</v>
      </c>
      <c r="F9" s="2" t="n">
        <v>0.324</v>
      </c>
      <c r="G9" s="2" t="n">
        <v>0.367</v>
      </c>
      <c r="H9" s="2" t="n">
        <v>56.3</v>
      </c>
      <c r="I9" s="2" t="n">
        <v>1.17</v>
      </c>
      <c r="J9" s="2" t="s">
        <v>84</v>
      </c>
    </row>
    <row r="10" customFormat="false" ht="15" hidden="false" customHeight="false" outlineLevel="0" collapsed="false">
      <c r="A10" s="12" t="s">
        <v>59</v>
      </c>
      <c r="B10" s="13" t="s">
        <v>85</v>
      </c>
      <c r="C10" s="13" t="n">
        <v>13</v>
      </c>
      <c r="D10" s="18" t="n">
        <v>129722</v>
      </c>
      <c r="E10" s="18" t="n">
        <v>25</v>
      </c>
      <c r="F10" s="13" t="n">
        <v>0.193</v>
      </c>
      <c r="G10" s="13" t="n">
        <v>0.237</v>
      </c>
      <c r="H10" s="13" t="n">
        <v>79.8</v>
      </c>
      <c r="I10" s="13" t="n">
        <v>6.24</v>
      </c>
      <c r="J10" s="13" t="s">
        <v>86</v>
      </c>
    </row>
    <row r="11" customFormat="false" ht="15" hidden="false" customHeight="false" outlineLevel="0" collapsed="false">
      <c r="A11" s="12" t="s">
        <v>58</v>
      </c>
      <c r="B11" s="13" t="s">
        <v>87</v>
      </c>
      <c r="C11" s="13" t="n">
        <v>30</v>
      </c>
      <c r="D11" s="18" t="n">
        <v>123422</v>
      </c>
      <c r="E11" s="18" t="n">
        <v>22</v>
      </c>
      <c r="F11" s="13" t="n">
        <v>0.178</v>
      </c>
      <c r="G11" s="13" t="n">
        <v>0.251</v>
      </c>
      <c r="H11" s="13" t="n">
        <v>48.9</v>
      </c>
      <c r="I11" s="13" t="n">
        <v>3.21</v>
      </c>
      <c r="J11" s="13" t="s">
        <v>88</v>
      </c>
    </row>
    <row r="12" customFormat="false" ht="15" hidden="false" customHeight="false" outlineLevel="0" collapsed="false">
      <c r="A12" s="12" t="s">
        <v>48</v>
      </c>
      <c r="B12" s="12" t="s">
        <v>48</v>
      </c>
      <c r="C12" s="13" t="n">
        <v>50</v>
      </c>
      <c r="D12" s="18" t="n">
        <v>497948</v>
      </c>
      <c r="E12" s="18" t="n">
        <v>87</v>
      </c>
      <c r="F12" s="13" t="n">
        <v>0.175</v>
      </c>
      <c r="G12" s="13" t="n">
        <v>0.237</v>
      </c>
      <c r="H12" s="13" t="n">
        <v>54.6</v>
      </c>
      <c r="I12" s="13" t="n">
        <v>2.49</v>
      </c>
      <c r="J12" s="13" t="s">
        <v>89</v>
      </c>
    </row>
    <row r="13" customFormat="false" ht="15" hidden="false" customHeight="false" outlineLevel="0" collapsed="false">
      <c r="A13" s="12" t="s">
        <v>57</v>
      </c>
      <c r="B13" s="13" t="s">
        <v>90</v>
      </c>
      <c r="C13" s="13" t="n">
        <v>18</v>
      </c>
      <c r="D13" s="18" t="n">
        <v>223866</v>
      </c>
      <c r="E13" s="18" t="n">
        <v>1</v>
      </c>
      <c r="F13" s="13" t="n">
        <v>0.004</v>
      </c>
      <c r="G13" s="13" t="n">
        <v>0.177</v>
      </c>
      <c r="H13" s="13" t="n">
        <v>73.2</v>
      </c>
      <c r="I13" s="13" t="n">
        <v>2.45</v>
      </c>
      <c r="J13" s="12" t="s">
        <v>91</v>
      </c>
    </row>
    <row r="14" customFormat="false" ht="15" hidden="false" customHeight="false" outlineLevel="0" collapsed="false">
      <c r="A14" s="12" t="s">
        <v>64</v>
      </c>
      <c r="B14" s="13" t="s">
        <v>92</v>
      </c>
      <c r="C14" s="13" t="n">
        <v>3</v>
      </c>
      <c r="D14" s="18" t="n">
        <v>17</v>
      </c>
      <c r="E14" s="18" t="n">
        <v>0</v>
      </c>
      <c r="F14" s="13" t="n">
        <v>0</v>
      </c>
      <c r="G14" s="13" t="n">
        <v>0</v>
      </c>
      <c r="H14" s="13" t="n">
        <v>20.2</v>
      </c>
      <c r="I14" s="13" t="n">
        <v>3.61</v>
      </c>
      <c r="J14" s="12" t="s">
        <v>93</v>
      </c>
    </row>
    <row r="15" customFormat="false" ht="15" hidden="false" customHeight="false" outlineLevel="0" collapsed="false">
      <c r="A15" s="12" t="s">
        <v>62</v>
      </c>
      <c r="B15" s="12" t="s">
        <v>62</v>
      </c>
      <c r="C15" s="13" t="n">
        <v>17</v>
      </c>
      <c r="D15" s="18" t="n">
        <v>39985</v>
      </c>
      <c r="E15" s="18" t="n">
        <v>0</v>
      </c>
      <c r="F15" s="13" t="n">
        <v>0</v>
      </c>
      <c r="G15" s="13" t="n">
        <v>0.385</v>
      </c>
      <c r="H15" s="13" t="n">
        <v>38.2</v>
      </c>
      <c r="I15" s="13" t="n">
        <v>2.43</v>
      </c>
      <c r="J15" s="12" t="s">
        <v>94</v>
      </c>
    </row>
    <row r="16" customFormat="false" ht="15" hidden="false" customHeight="false" outlineLevel="0" collapsed="false">
      <c r="A16" s="19" t="s">
        <v>95</v>
      </c>
      <c r="B16" s="19"/>
      <c r="C16" s="20" t="n">
        <f aca="false">SUM(C4:C15)</f>
        <v>490</v>
      </c>
      <c r="D16" s="20" t="n">
        <f aca="false">SUM(D4:D15)</f>
        <v>4563690</v>
      </c>
      <c r="E16" s="20" t="n">
        <f aca="false">SUM(E4:E15)</f>
        <v>1931</v>
      </c>
      <c r="F16" s="21" t="n">
        <f aca="false">ROUND(E16*1000/D16,3)</f>
        <v>0.423</v>
      </c>
      <c r="G16" s="19"/>
      <c r="H16" s="19"/>
      <c r="I16" s="19"/>
      <c r="J16" s="22" t="s">
        <v>96</v>
      </c>
    </row>
    <row r="19" customFormat="false" ht="15" hidden="false" customHeight="false" outlineLevel="0" collapsed="false">
      <c r="A19" s="3" t="s">
        <v>97</v>
      </c>
    </row>
    <row r="20" customFormat="false" ht="15" hidden="false" customHeight="false" outlineLevel="0" collapsed="false">
      <c r="A20" s="5" t="s">
        <v>98</v>
      </c>
      <c r="B20" s="5" t="s">
        <v>99</v>
      </c>
      <c r="C20" s="2"/>
      <c r="D20" s="2"/>
      <c r="E20" s="2"/>
      <c r="F20" s="2"/>
      <c r="G20" s="2"/>
      <c r="H20" s="2"/>
      <c r="I20" s="2"/>
      <c r="J20" s="2" t="s">
        <v>100</v>
      </c>
    </row>
    <row r="21" customFormat="false" ht="15" hidden="false" customHeight="false" outlineLevel="0" collapsed="false">
      <c r="A21" s="2" t="s">
        <v>101</v>
      </c>
      <c r="B21" s="23" t="n">
        <v>0.308</v>
      </c>
      <c r="C21" s="2"/>
      <c r="D21" s="2"/>
      <c r="E21" s="2"/>
      <c r="F21" s="2"/>
      <c r="G21" s="2"/>
      <c r="H21" s="2"/>
      <c r="I21" s="2"/>
      <c r="J21" s="2" t="s">
        <v>102</v>
      </c>
    </row>
    <row r="22" customFormat="false" ht="15" hidden="false" customHeight="false" outlineLevel="0" collapsed="false">
      <c r="A22" s="7" t="s">
        <v>103</v>
      </c>
      <c r="B22" s="23" t="n">
        <v>0.069</v>
      </c>
      <c r="C22" s="2"/>
      <c r="D22" s="2"/>
      <c r="E22" s="2"/>
      <c r="F22" s="2"/>
      <c r="G22" s="2"/>
      <c r="H22" s="2"/>
      <c r="I22" s="2"/>
      <c r="J22" s="2" t="s">
        <v>104</v>
      </c>
    </row>
    <row r="23" customFormat="false" ht="15" hidden="false" customHeight="false" outlineLevel="0" collapsed="false">
      <c r="A23" s="2" t="s">
        <v>105</v>
      </c>
      <c r="B23" s="23" t="n">
        <v>-0.047</v>
      </c>
      <c r="C23" s="2"/>
      <c r="D23" s="2"/>
      <c r="E23" s="2"/>
      <c r="F23" s="2"/>
      <c r="G23" s="2"/>
      <c r="H23" s="2"/>
      <c r="I23" s="2"/>
      <c r="J23" s="2" t="s">
        <v>106</v>
      </c>
    </row>
    <row r="24" customFormat="false" ht="15" hidden="false" customHeight="false" outlineLevel="0" collapsed="false">
      <c r="A24" s="2" t="s">
        <v>28</v>
      </c>
      <c r="B24" s="23" t="n">
        <v>-0.14</v>
      </c>
      <c r="C24" s="2"/>
      <c r="D24" s="2"/>
      <c r="E24" s="2"/>
      <c r="F24" s="2"/>
      <c r="G24" s="2"/>
      <c r="H24" s="2"/>
      <c r="I24" s="2"/>
      <c r="J24" s="2" t="s">
        <v>107</v>
      </c>
    </row>
    <row r="26" customFormat="false" ht="15" hidden="false" customHeight="false" outlineLevel="0" collapsed="false">
      <c r="A26" s="7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2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9" min="7" style="0" width="10"/>
  </cols>
  <sheetData>
    <row r="1" customFormat="false" ht="20.1" hidden="false" customHeight="false" outlineLevel="0" collapsed="false">
      <c r="A1" s="14" t="s">
        <v>109</v>
      </c>
    </row>
    <row r="2" customFormat="false" ht="15" hidden="false" customHeight="false" outlineLevel="0" collapsed="false">
      <c r="A2" s="7" t="s">
        <v>110</v>
      </c>
    </row>
    <row r="4" customFormat="false" ht="26.85" hidden="false" customHeight="false" outlineLevel="0" collapsed="false">
      <c r="A4" s="10" t="s">
        <v>40</v>
      </c>
      <c r="B4" s="5" t="s">
        <v>111</v>
      </c>
      <c r="C4" s="5" t="s">
        <v>112</v>
      </c>
      <c r="D4" s="5" t="s">
        <v>28</v>
      </c>
      <c r="E4" s="5" t="s">
        <v>113</v>
      </c>
      <c r="F4" s="5" t="s">
        <v>114</v>
      </c>
      <c r="G4" s="5" t="s">
        <v>30</v>
      </c>
      <c r="H4" s="5" t="s">
        <v>72</v>
      </c>
      <c r="I4" s="10" t="s">
        <v>103</v>
      </c>
    </row>
    <row r="5" customFormat="false" ht="15" hidden="false" customHeight="false" outlineLevel="0" collapsed="false">
      <c r="A5" s="15" t="s">
        <v>56</v>
      </c>
      <c r="B5" s="16" t="s">
        <v>115</v>
      </c>
      <c r="C5" s="15" t="s">
        <v>116</v>
      </c>
      <c r="D5" s="17" t="n">
        <v>2804</v>
      </c>
      <c r="E5" s="16" t="n">
        <v>30</v>
      </c>
      <c r="F5" s="16" t="n">
        <v>8</v>
      </c>
      <c r="G5" s="16" t="n">
        <v>2.85</v>
      </c>
      <c r="H5" s="16" t="n">
        <v>42.2</v>
      </c>
      <c r="I5" s="16" t="n">
        <v>0</v>
      </c>
    </row>
    <row r="6" customFormat="false" ht="15" hidden="false" customHeight="false" outlineLevel="0" collapsed="false">
      <c r="A6" s="15" t="s">
        <v>54</v>
      </c>
      <c r="B6" s="15" t="s">
        <v>117</v>
      </c>
      <c r="C6" s="15" t="s">
        <v>118</v>
      </c>
      <c r="D6" s="17" t="n">
        <v>3209</v>
      </c>
      <c r="E6" s="16" t="n">
        <v>18</v>
      </c>
      <c r="F6" s="16" t="n">
        <v>6</v>
      </c>
      <c r="G6" s="16" t="n">
        <v>1.87</v>
      </c>
      <c r="H6" s="16" t="n">
        <v>39.4</v>
      </c>
      <c r="I6" s="16" t="n">
        <v>0.88</v>
      </c>
    </row>
    <row r="7" customFormat="false" ht="15" hidden="false" customHeight="false" outlineLevel="0" collapsed="false">
      <c r="A7" s="15" t="s">
        <v>48</v>
      </c>
      <c r="B7" s="16" t="s">
        <v>119</v>
      </c>
      <c r="C7" s="15" t="s">
        <v>120</v>
      </c>
      <c r="D7" s="17" t="n">
        <v>2742</v>
      </c>
      <c r="E7" s="16" t="n">
        <v>3</v>
      </c>
      <c r="F7" s="16" t="n">
        <v>6</v>
      </c>
      <c r="G7" s="16" t="n">
        <v>2.19</v>
      </c>
      <c r="H7" s="16" t="n">
        <v>38.6</v>
      </c>
      <c r="I7" s="16" t="n">
        <v>0</v>
      </c>
    </row>
    <row r="8" customFormat="false" ht="15" hidden="false" customHeight="false" outlineLevel="0" collapsed="false">
      <c r="A8" s="7" t="s">
        <v>58</v>
      </c>
      <c r="B8" s="2" t="s">
        <v>121</v>
      </c>
      <c r="C8" s="7" t="s">
        <v>122</v>
      </c>
      <c r="D8" s="6" t="n">
        <v>3992</v>
      </c>
      <c r="E8" s="2" t="n">
        <v>8</v>
      </c>
      <c r="F8" s="2" t="n">
        <v>4</v>
      </c>
      <c r="G8" s="2" t="n">
        <v>1</v>
      </c>
      <c r="H8" s="2" t="n">
        <v>44.4</v>
      </c>
      <c r="I8" s="2" t="n">
        <v>0</v>
      </c>
    </row>
    <row r="9" customFormat="false" ht="15" hidden="false" customHeight="false" outlineLevel="0" collapsed="false">
      <c r="A9" s="7" t="s">
        <v>56</v>
      </c>
      <c r="B9" s="2" t="s">
        <v>123</v>
      </c>
      <c r="C9" s="7" t="s">
        <v>124</v>
      </c>
      <c r="D9" s="6" t="n">
        <v>1933</v>
      </c>
      <c r="E9" s="2" t="n">
        <v>28</v>
      </c>
      <c r="F9" s="2" t="n">
        <v>4</v>
      </c>
      <c r="G9" s="2" t="n">
        <v>2.07</v>
      </c>
      <c r="H9" s="2" t="n">
        <v>52.3</v>
      </c>
      <c r="I9" s="2" t="n">
        <v>0</v>
      </c>
    </row>
    <row r="10" customFormat="false" ht="15" hidden="false" customHeight="false" outlineLevel="0" collapsed="false">
      <c r="A10" s="7" t="s">
        <v>50</v>
      </c>
      <c r="B10" s="2" t="s">
        <v>125</v>
      </c>
      <c r="C10" s="7" t="s">
        <v>126</v>
      </c>
      <c r="D10" s="6" t="n">
        <v>4999</v>
      </c>
      <c r="E10" s="2" t="n">
        <v>20</v>
      </c>
      <c r="F10" s="2" t="n">
        <v>3</v>
      </c>
      <c r="G10" s="2" t="n">
        <v>0.6</v>
      </c>
      <c r="H10" s="2" t="n">
        <v>72.9</v>
      </c>
      <c r="I10" s="2" t="n">
        <v>2.3</v>
      </c>
    </row>
    <row r="11" customFormat="false" ht="15" hidden="false" customHeight="false" outlineLevel="0" collapsed="false">
      <c r="A11" s="7" t="s">
        <v>54</v>
      </c>
      <c r="B11" s="7" t="s">
        <v>127</v>
      </c>
      <c r="C11" s="7" t="s">
        <v>128</v>
      </c>
      <c r="D11" s="6" t="n">
        <v>3057</v>
      </c>
      <c r="E11" s="2" t="n">
        <v>21</v>
      </c>
      <c r="F11" s="2" t="n">
        <v>3</v>
      </c>
      <c r="G11" s="2" t="n">
        <v>0.98</v>
      </c>
      <c r="H11" s="2" t="n">
        <v>44.3</v>
      </c>
      <c r="I11" s="2" t="n">
        <v>0.51</v>
      </c>
    </row>
    <row r="12" customFormat="false" ht="15" hidden="false" customHeight="false" outlineLevel="0" collapsed="false">
      <c r="A12" s="7" t="s">
        <v>54</v>
      </c>
      <c r="B12" s="7" t="s">
        <v>129</v>
      </c>
      <c r="C12" s="7" t="s">
        <v>130</v>
      </c>
      <c r="D12" s="6" t="n">
        <v>2716</v>
      </c>
      <c r="E12" s="2" t="n">
        <v>18</v>
      </c>
      <c r="F12" s="2" t="n">
        <v>3</v>
      </c>
      <c r="G12" s="2" t="n">
        <v>1.1</v>
      </c>
      <c r="H12" s="2" t="n">
        <v>36.9</v>
      </c>
      <c r="I12" s="2" t="n">
        <v>0.38</v>
      </c>
    </row>
    <row r="13" customFormat="false" ht="15" hidden="false" customHeight="false" outlineLevel="0" collapsed="false">
      <c r="A13" s="7" t="s">
        <v>52</v>
      </c>
      <c r="B13" s="2" t="s">
        <v>131</v>
      </c>
      <c r="C13" s="7" t="s">
        <v>126</v>
      </c>
      <c r="D13" s="6" t="n">
        <v>2664</v>
      </c>
      <c r="E13" s="2" t="n">
        <v>30</v>
      </c>
      <c r="F13" s="2" t="n">
        <v>3</v>
      </c>
      <c r="G13" s="2" t="n">
        <v>1.13</v>
      </c>
      <c r="H13" s="2" t="n">
        <v>40.5</v>
      </c>
      <c r="I13" s="2" t="n">
        <v>0</v>
      </c>
    </row>
    <row r="14" customFormat="false" ht="15" hidden="false" customHeight="false" outlineLevel="0" collapsed="false">
      <c r="A14" s="7" t="s">
        <v>56</v>
      </c>
      <c r="B14" s="2" t="s">
        <v>132</v>
      </c>
      <c r="C14" s="7" t="s">
        <v>133</v>
      </c>
      <c r="D14" s="6" t="n">
        <v>2126</v>
      </c>
      <c r="E14" s="2" t="n">
        <v>28</v>
      </c>
      <c r="F14" s="2" t="n">
        <v>2</v>
      </c>
      <c r="G14" s="2" t="n">
        <v>0.94</v>
      </c>
      <c r="H14" s="2" t="n">
        <v>56.4</v>
      </c>
      <c r="I14" s="2" t="n">
        <v>2.19</v>
      </c>
    </row>
    <row r="15" customFormat="false" ht="15" hidden="false" customHeight="false" outlineLevel="0" collapsed="false">
      <c r="A15" s="7" t="s">
        <v>54</v>
      </c>
      <c r="B15" s="7" t="s">
        <v>134</v>
      </c>
      <c r="C15" s="7" t="s">
        <v>135</v>
      </c>
      <c r="D15" s="6" t="n">
        <v>2004</v>
      </c>
      <c r="E15" s="2" t="n">
        <v>6</v>
      </c>
      <c r="F15" s="2" t="n">
        <v>2</v>
      </c>
      <c r="G15" s="2" t="n">
        <v>1</v>
      </c>
      <c r="H15" s="2" t="n">
        <v>31.7</v>
      </c>
      <c r="I15" s="2" t="n">
        <v>1.81</v>
      </c>
    </row>
    <row r="16" customFormat="false" ht="15" hidden="false" customHeight="false" outlineLevel="0" collapsed="false">
      <c r="A16" s="7" t="s">
        <v>44</v>
      </c>
      <c r="B16" s="2" t="s">
        <v>136</v>
      </c>
      <c r="C16" s="7" t="s">
        <v>137</v>
      </c>
      <c r="D16" s="6" t="n">
        <v>1719</v>
      </c>
      <c r="E16" s="2" t="n">
        <v>6</v>
      </c>
      <c r="F16" s="2" t="n">
        <v>2</v>
      </c>
      <c r="G16" s="2" t="n">
        <v>1.16</v>
      </c>
      <c r="H16" s="2" t="n">
        <v>34</v>
      </c>
      <c r="I16" s="2" t="n">
        <v>1.12</v>
      </c>
    </row>
    <row r="17" customFormat="false" ht="15" hidden="false" customHeight="false" outlineLevel="0" collapsed="false">
      <c r="A17" s="7" t="s">
        <v>56</v>
      </c>
      <c r="B17" s="2" t="s">
        <v>138</v>
      </c>
      <c r="C17" s="7" t="s">
        <v>139</v>
      </c>
      <c r="D17" s="6" t="n">
        <v>1013</v>
      </c>
      <c r="E17" s="2" t="n">
        <v>6</v>
      </c>
      <c r="F17" s="2" t="n">
        <v>2</v>
      </c>
      <c r="G17" s="2" t="n">
        <v>1.97</v>
      </c>
      <c r="H17" s="2" t="n">
        <v>46.1</v>
      </c>
      <c r="I17" s="2" t="n">
        <v>3.64</v>
      </c>
    </row>
    <row r="18" customFormat="false" ht="15" hidden="false" customHeight="false" outlineLevel="0" collapsed="false">
      <c r="A18" s="7" t="s">
        <v>54</v>
      </c>
      <c r="B18" s="7" t="s">
        <v>140</v>
      </c>
      <c r="C18" s="7" t="s">
        <v>141</v>
      </c>
      <c r="D18" s="6" t="n">
        <v>911</v>
      </c>
      <c r="E18" s="2" t="n">
        <v>7</v>
      </c>
      <c r="F18" s="2" t="n">
        <v>2</v>
      </c>
      <c r="G18" s="2" t="n">
        <v>2.2</v>
      </c>
      <c r="H18" s="2" t="n">
        <v>40</v>
      </c>
      <c r="I18" s="2" t="n">
        <v>2.7</v>
      </c>
    </row>
    <row r="19" customFormat="false" ht="15" hidden="false" customHeight="false" outlineLevel="0" collapsed="false">
      <c r="A19" s="7" t="s">
        <v>57</v>
      </c>
      <c r="B19" s="2" t="s">
        <v>142</v>
      </c>
      <c r="C19" s="7" t="s">
        <v>143</v>
      </c>
      <c r="D19" s="6" t="n">
        <v>6382</v>
      </c>
      <c r="E19" s="2" t="n">
        <v>6</v>
      </c>
      <c r="F19" s="2" t="n">
        <v>1</v>
      </c>
      <c r="G19" s="2" t="n">
        <v>0.16</v>
      </c>
      <c r="H19" s="2" t="n">
        <v>73.3</v>
      </c>
      <c r="I19" s="2" t="n">
        <v>0</v>
      </c>
    </row>
    <row r="20" customFormat="false" ht="15" hidden="false" customHeight="false" outlineLevel="0" collapsed="false">
      <c r="A20" s="7" t="s">
        <v>44</v>
      </c>
      <c r="B20" s="2" t="s">
        <v>144</v>
      </c>
      <c r="C20" s="7" t="s">
        <v>145</v>
      </c>
      <c r="D20" s="6" t="n">
        <v>1608</v>
      </c>
      <c r="E20" s="2" t="n">
        <v>2</v>
      </c>
      <c r="F20" s="2" t="n">
        <v>1</v>
      </c>
      <c r="G20" s="2" t="n">
        <v>0.62</v>
      </c>
      <c r="H20" s="2" t="n">
        <v>43.3</v>
      </c>
      <c r="I20" s="2" t="n">
        <v>0</v>
      </c>
    </row>
    <row r="21" customFormat="false" ht="15" hidden="false" customHeight="false" outlineLevel="0" collapsed="false">
      <c r="A21" s="7" t="s">
        <v>52</v>
      </c>
      <c r="B21" s="2" t="s">
        <v>146</v>
      </c>
      <c r="C21" s="7" t="s">
        <v>147</v>
      </c>
      <c r="D21" s="6" t="n">
        <v>1001</v>
      </c>
      <c r="E21" s="2" t="n">
        <v>13</v>
      </c>
      <c r="F21" s="2" t="n">
        <v>1</v>
      </c>
      <c r="G21" s="2" t="n">
        <v>1</v>
      </c>
      <c r="H21" s="2" t="n">
        <v>42.2</v>
      </c>
      <c r="I21" s="2" t="n">
        <v>0</v>
      </c>
    </row>
    <row r="22" customFormat="false" ht="15" hidden="false" customHeight="false" outlineLevel="0" collapsed="false">
      <c r="A22" s="7" t="s">
        <v>59</v>
      </c>
      <c r="B22" s="2" t="s">
        <v>148</v>
      </c>
      <c r="C22" s="7" t="s">
        <v>149</v>
      </c>
      <c r="D22" s="6" t="n">
        <v>985</v>
      </c>
      <c r="E22" s="2" t="n">
        <v>0</v>
      </c>
      <c r="F22" s="2" t="n">
        <v>1</v>
      </c>
      <c r="G22" s="2" t="n">
        <v>1.02</v>
      </c>
      <c r="H22" s="2" t="n">
        <v>0</v>
      </c>
      <c r="I22" s="2" t="n">
        <v>16.67</v>
      </c>
    </row>
    <row r="23" customFormat="false" ht="15" hidden="false" customHeight="false" outlineLevel="0" collapsed="false">
      <c r="A23" s="7" t="s">
        <v>50</v>
      </c>
      <c r="B23" s="2" t="s">
        <v>150</v>
      </c>
      <c r="C23" s="7" t="s">
        <v>151</v>
      </c>
      <c r="D23" s="6" t="n">
        <v>980</v>
      </c>
      <c r="E23" s="2" t="n">
        <v>3</v>
      </c>
      <c r="F23" s="2" t="n">
        <v>1</v>
      </c>
      <c r="G23" s="2" t="n">
        <v>1.02</v>
      </c>
      <c r="H23" s="2" t="n">
        <v>59.7</v>
      </c>
      <c r="I23" s="2" t="n">
        <v>0.52</v>
      </c>
    </row>
    <row r="24" customFormat="false" ht="15" hidden="false" customHeight="false" outlineLevel="0" collapsed="false">
      <c r="A24" s="7" t="s">
        <v>56</v>
      </c>
      <c r="B24" s="2" t="s">
        <v>152</v>
      </c>
      <c r="C24" s="7" t="s">
        <v>153</v>
      </c>
      <c r="D24" s="6" t="n">
        <v>943</v>
      </c>
      <c r="E24" s="2" t="n">
        <v>7</v>
      </c>
      <c r="F24" s="2" t="n">
        <v>1</v>
      </c>
      <c r="G24" s="2" t="n">
        <v>1.06</v>
      </c>
      <c r="H24" s="2" t="n">
        <v>45</v>
      </c>
      <c r="I24" s="2" t="n">
        <v>0</v>
      </c>
    </row>
    <row r="25" customFormat="false" ht="15" hidden="false" customHeight="false" outlineLevel="0" collapsed="false">
      <c r="A25" s="7" t="s">
        <v>50</v>
      </c>
      <c r="B25" s="2" t="s">
        <v>154</v>
      </c>
      <c r="C25" s="7" t="s">
        <v>155</v>
      </c>
      <c r="D25" s="6" t="n">
        <v>942</v>
      </c>
      <c r="E25" s="2" t="n">
        <v>1</v>
      </c>
      <c r="F25" s="2" t="n">
        <v>1</v>
      </c>
      <c r="G25" s="2" t="n">
        <v>1.06</v>
      </c>
      <c r="H25" s="2" t="n">
        <v>37.5</v>
      </c>
      <c r="I25" s="2" t="n">
        <v>3.16</v>
      </c>
    </row>
    <row r="26" customFormat="false" ht="15" hidden="false" customHeight="false" outlineLevel="0" collapsed="false">
      <c r="A26" s="7" t="s">
        <v>44</v>
      </c>
      <c r="B26" s="2" t="s">
        <v>156</v>
      </c>
      <c r="C26" s="7" t="s">
        <v>157</v>
      </c>
      <c r="D26" s="6" t="n">
        <v>942</v>
      </c>
      <c r="E26" s="2" t="n">
        <v>2</v>
      </c>
      <c r="F26" s="2" t="n">
        <v>1</v>
      </c>
      <c r="G26" s="2" t="n">
        <v>1.06</v>
      </c>
      <c r="H26" s="2" t="n">
        <v>43.4</v>
      </c>
      <c r="I26" s="2" t="n">
        <v>1.15</v>
      </c>
    </row>
    <row r="27" customFormat="false" ht="15" hidden="false" customHeight="false" outlineLevel="0" collapsed="false">
      <c r="A27" s="12" t="s">
        <v>57</v>
      </c>
      <c r="B27" s="13" t="s">
        <v>158</v>
      </c>
      <c r="C27" s="12" t="s">
        <v>159</v>
      </c>
      <c r="D27" s="18" t="n">
        <v>4682</v>
      </c>
      <c r="E27" s="13" t="n">
        <v>0</v>
      </c>
      <c r="F27" s="13" t="n">
        <v>0</v>
      </c>
      <c r="G27" s="13" t="n">
        <v>0</v>
      </c>
      <c r="H27" s="13" t="n">
        <v>50.2</v>
      </c>
      <c r="I27" s="13" t="n">
        <v>3.72</v>
      </c>
    </row>
    <row r="28" customFormat="false" ht="15" hidden="false" customHeight="false" outlineLevel="0" collapsed="false">
      <c r="A28" s="12" t="s">
        <v>57</v>
      </c>
      <c r="B28" s="12" t="s">
        <v>160</v>
      </c>
      <c r="C28" s="12" t="s">
        <v>161</v>
      </c>
      <c r="D28" s="18" t="n">
        <v>3385</v>
      </c>
      <c r="E28" s="13" t="n">
        <v>6</v>
      </c>
      <c r="F28" s="13" t="n">
        <v>0</v>
      </c>
      <c r="G28" s="13" t="n">
        <v>0</v>
      </c>
      <c r="H28" s="13" t="n">
        <v>58.4</v>
      </c>
      <c r="I28" s="13" t="n">
        <v>8.64</v>
      </c>
    </row>
    <row r="29" customFormat="false" ht="15" hidden="false" customHeight="false" outlineLevel="0" collapsed="false">
      <c r="A29" s="7" t="s">
        <v>50</v>
      </c>
      <c r="B29" s="2" t="s">
        <v>162</v>
      </c>
      <c r="C29" s="7" t="s">
        <v>163</v>
      </c>
      <c r="D29" s="6" t="n">
        <v>2978</v>
      </c>
      <c r="E29" s="2" t="n">
        <v>3</v>
      </c>
      <c r="F29" s="2" t="n">
        <v>0</v>
      </c>
      <c r="G29" s="2" t="n">
        <v>0</v>
      </c>
      <c r="H29" s="2" t="n">
        <v>44.2</v>
      </c>
      <c r="I29" s="2" t="n">
        <v>0.32</v>
      </c>
    </row>
    <row r="30" customFormat="false" ht="15" hidden="false" customHeight="false" outlineLevel="0" collapsed="false">
      <c r="A30" s="7" t="s">
        <v>58</v>
      </c>
      <c r="B30" s="2" t="s">
        <v>164</v>
      </c>
      <c r="C30" s="7" t="s">
        <v>165</v>
      </c>
      <c r="D30" s="6" t="n">
        <v>2823</v>
      </c>
      <c r="E30" s="2" t="n">
        <v>6</v>
      </c>
      <c r="F30" s="2" t="n">
        <v>0</v>
      </c>
      <c r="G30" s="2" t="n">
        <v>0</v>
      </c>
      <c r="H30" s="2" t="n">
        <v>34.2</v>
      </c>
      <c r="I30" s="2" t="n">
        <v>0</v>
      </c>
    </row>
    <row r="31" customFormat="false" ht="15" hidden="false" customHeight="false" outlineLevel="0" collapsed="false">
      <c r="A31" s="7" t="s">
        <v>57</v>
      </c>
      <c r="B31" s="2" t="s">
        <v>166</v>
      </c>
      <c r="C31" s="7" t="s">
        <v>167</v>
      </c>
      <c r="D31" s="6" t="n">
        <v>2599</v>
      </c>
      <c r="E31" s="2" t="n">
        <v>4</v>
      </c>
      <c r="F31" s="2" t="n">
        <v>0</v>
      </c>
      <c r="G31" s="2" t="n">
        <v>0</v>
      </c>
      <c r="H31" s="2" t="n">
        <v>58.4</v>
      </c>
      <c r="I31" s="2" t="n">
        <v>0</v>
      </c>
    </row>
    <row r="32" customFormat="false" ht="15" hidden="false" customHeight="false" outlineLevel="0" collapsed="false">
      <c r="A32" s="7" t="s">
        <v>44</v>
      </c>
      <c r="B32" s="2" t="s">
        <v>168</v>
      </c>
      <c r="C32" s="7" t="s">
        <v>169</v>
      </c>
      <c r="D32" s="6" t="n">
        <v>2432</v>
      </c>
      <c r="E32" s="2" t="n">
        <v>6</v>
      </c>
      <c r="F32" s="2" t="n">
        <v>0</v>
      </c>
      <c r="G32" s="2" t="n">
        <v>0</v>
      </c>
      <c r="H32" s="2" t="n">
        <v>30.5</v>
      </c>
      <c r="I32" s="2" t="n">
        <v>2.13</v>
      </c>
    </row>
    <row r="33" customFormat="false" ht="15" hidden="false" customHeight="false" outlineLevel="0" collapsed="false">
      <c r="A33" s="7" t="s">
        <v>58</v>
      </c>
      <c r="B33" s="2" t="s">
        <v>170</v>
      </c>
      <c r="C33" s="7" t="s">
        <v>171</v>
      </c>
      <c r="D33" s="6" t="n">
        <v>2400</v>
      </c>
      <c r="E33" s="2" t="n">
        <v>2</v>
      </c>
      <c r="F33" s="2" t="n">
        <v>0</v>
      </c>
      <c r="G33" s="2" t="n">
        <v>0</v>
      </c>
      <c r="H33" s="2" t="n">
        <v>39.2</v>
      </c>
      <c r="I33" s="2" t="n">
        <v>3.28</v>
      </c>
    </row>
    <row r="34" customFormat="false" ht="15" hidden="false" customHeight="false" outlineLevel="0" collapsed="false">
      <c r="A34" s="7" t="s">
        <v>60</v>
      </c>
      <c r="B34" s="2" t="s">
        <v>172</v>
      </c>
      <c r="C34" s="7" t="s">
        <v>173</v>
      </c>
      <c r="D34" s="6" t="n">
        <v>2351</v>
      </c>
      <c r="E34" s="2" t="n">
        <v>6</v>
      </c>
      <c r="F34" s="2" t="n">
        <v>0</v>
      </c>
      <c r="G34" s="2" t="n">
        <v>0</v>
      </c>
      <c r="H34" s="2" t="n">
        <v>88.1</v>
      </c>
      <c r="I34" s="2" t="n">
        <v>0</v>
      </c>
    </row>
    <row r="35" customFormat="false" ht="15" hidden="false" customHeight="false" outlineLevel="0" collapsed="false">
      <c r="A35" s="7" t="s">
        <v>58</v>
      </c>
      <c r="B35" s="7" t="s">
        <v>174</v>
      </c>
      <c r="C35" s="7" t="s">
        <v>175</v>
      </c>
      <c r="D35" s="6" t="n">
        <v>2319</v>
      </c>
      <c r="E35" s="2" t="n">
        <v>3</v>
      </c>
      <c r="F35" s="2" t="n">
        <v>0</v>
      </c>
      <c r="G35" s="2" t="n">
        <v>0</v>
      </c>
      <c r="H35" s="2" t="n">
        <v>54.5</v>
      </c>
      <c r="I35" s="2" t="n">
        <v>5.22</v>
      </c>
    </row>
    <row r="36" customFormat="false" ht="15" hidden="false" customHeight="false" outlineLevel="0" collapsed="false">
      <c r="A36" s="7" t="s">
        <v>57</v>
      </c>
      <c r="B36" s="2" t="s">
        <v>176</v>
      </c>
      <c r="C36" s="7" t="s">
        <v>177</v>
      </c>
      <c r="D36" s="6" t="n">
        <v>2282</v>
      </c>
      <c r="E36" s="2" t="n">
        <v>0</v>
      </c>
      <c r="F36" s="2" t="n">
        <v>0</v>
      </c>
      <c r="G36" s="2" t="n">
        <v>0</v>
      </c>
      <c r="H36" s="2" t="n">
        <v>51.7</v>
      </c>
      <c r="I36" s="2" t="n">
        <v>0</v>
      </c>
    </row>
    <row r="37" customFormat="false" ht="15" hidden="false" customHeight="false" outlineLevel="0" collapsed="false">
      <c r="A37" s="7" t="s">
        <v>50</v>
      </c>
      <c r="B37" s="2" t="s">
        <v>178</v>
      </c>
      <c r="C37" s="7" t="s">
        <v>179</v>
      </c>
      <c r="D37" s="6" t="n">
        <v>2083</v>
      </c>
      <c r="E37" s="2" t="n">
        <v>0</v>
      </c>
      <c r="F37" s="2" t="n">
        <v>0</v>
      </c>
      <c r="G37" s="2" t="n">
        <v>0</v>
      </c>
      <c r="H37" s="2" t="n">
        <v>65.9</v>
      </c>
      <c r="I37" s="2" t="n">
        <v>3.69</v>
      </c>
    </row>
    <row r="38" customFormat="false" ht="15" hidden="false" customHeight="false" outlineLevel="0" collapsed="false">
      <c r="A38" s="7" t="s">
        <v>62</v>
      </c>
      <c r="B38" s="2" t="s">
        <v>180</v>
      </c>
      <c r="C38" s="7" t="s">
        <v>181</v>
      </c>
      <c r="D38" s="6" t="n">
        <v>2023</v>
      </c>
      <c r="E38" s="2" t="n">
        <v>2</v>
      </c>
      <c r="F38" s="2" t="n">
        <v>0</v>
      </c>
      <c r="G38" s="2" t="n">
        <v>0</v>
      </c>
      <c r="H38" s="2" t="n">
        <v>40</v>
      </c>
      <c r="I38" s="2" t="n">
        <v>0</v>
      </c>
    </row>
    <row r="39" customFormat="false" ht="15" hidden="false" customHeight="false" outlineLevel="0" collapsed="false">
      <c r="A39" s="7" t="s">
        <v>50</v>
      </c>
      <c r="B39" s="2" t="s">
        <v>182</v>
      </c>
      <c r="C39" s="7" t="s">
        <v>183</v>
      </c>
      <c r="D39" s="6" t="n">
        <v>1981</v>
      </c>
      <c r="E39" s="2" t="n">
        <v>4</v>
      </c>
      <c r="F39" s="2" t="n">
        <v>0</v>
      </c>
      <c r="G39" s="2" t="n">
        <v>0</v>
      </c>
      <c r="H39" s="2" t="n">
        <v>53.3</v>
      </c>
      <c r="I39" s="2" t="n">
        <v>1.87</v>
      </c>
    </row>
    <row r="40" customFormat="false" ht="15" hidden="false" customHeight="false" outlineLevel="0" collapsed="false">
      <c r="A40" s="7" t="s">
        <v>52</v>
      </c>
      <c r="B40" s="2" t="s">
        <v>184</v>
      </c>
      <c r="C40" s="7" t="s">
        <v>185</v>
      </c>
      <c r="D40" s="6" t="n">
        <v>1973</v>
      </c>
      <c r="E40" s="2" t="n">
        <v>7</v>
      </c>
      <c r="F40" s="2" t="n">
        <v>0</v>
      </c>
      <c r="G40" s="2" t="n">
        <v>0</v>
      </c>
      <c r="H40" s="2" t="n">
        <v>91.5</v>
      </c>
      <c r="I40" s="2" t="n">
        <v>0</v>
      </c>
    </row>
    <row r="41" customFormat="false" ht="15" hidden="false" customHeight="false" outlineLevel="0" collapsed="false">
      <c r="A41" s="7" t="s">
        <v>58</v>
      </c>
      <c r="B41" s="2" t="s">
        <v>186</v>
      </c>
      <c r="C41" s="7" t="s">
        <v>187</v>
      </c>
      <c r="D41" s="6" t="n">
        <v>1939</v>
      </c>
      <c r="E41" s="2" t="n">
        <v>3</v>
      </c>
      <c r="F41" s="2" t="n">
        <v>0</v>
      </c>
      <c r="G41" s="2" t="n">
        <v>0</v>
      </c>
      <c r="H41" s="2" t="n">
        <v>69.2</v>
      </c>
      <c r="I41" s="2" t="n">
        <v>3.63</v>
      </c>
    </row>
    <row r="42" customFormat="false" ht="15" hidden="false" customHeight="false" outlineLevel="0" collapsed="false">
      <c r="A42" s="7" t="s">
        <v>48</v>
      </c>
      <c r="B42" s="2" t="s">
        <v>188</v>
      </c>
      <c r="C42" s="7" t="s">
        <v>189</v>
      </c>
      <c r="D42" s="6" t="n">
        <v>1892</v>
      </c>
      <c r="E42" s="2" t="n">
        <v>4</v>
      </c>
      <c r="F42" s="2" t="n">
        <v>0</v>
      </c>
      <c r="G42" s="2" t="n">
        <v>0</v>
      </c>
      <c r="H42" s="2" t="n">
        <v>32.1</v>
      </c>
      <c r="I42" s="2" t="n">
        <v>0</v>
      </c>
    </row>
    <row r="43" customFormat="false" ht="15" hidden="false" customHeight="false" outlineLevel="0" collapsed="false">
      <c r="A43" s="7" t="s">
        <v>52</v>
      </c>
      <c r="B43" s="2" t="s">
        <v>190</v>
      </c>
      <c r="C43" s="7" t="s">
        <v>191</v>
      </c>
      <c r="D43" s="6" t="n">
        <v>1868</v>
      </c>
      <c r="E43" s="2" t="n">
        <v>14</v>
      </c>
      <c r="F43" s="2" t="n">
        <v>0</v>
      </c>
      <c r="G43" s="2" t="n">
        <v>0</v>
      </c>
      <c r="H43" s="2" t="n">
        <v>37.5</v>
      </c>
      <c r="I43" s="2" t="n">
        <v>0</v>
      </c>
    </row>
    <row r="44" customFormat="false" ht="15" hidden="false" customHeight="false" outlineLevel="0" collapsed="false">
      <c r="A44" s="7" t="s">
        <v>48</v>
      </c>
      <c r="B44" s="2" t="s">
        <v>192</v>
      </c>
      <c r="C44" s="7" t="s">
        <v>193</v>
      </c>
      <c r="D44" s="6" t="n">
        <v>1819</v>
      </c>
      <c r="E44" s="2" t="n">
        <v>0</v>
      </c>
      <c r="F44" s="2" t="n">
        <v>0</v>
      </c>
      <c r="G44" s="2" t="n">
        <v>0</v>
      </c>
      <c r="H44" s="2" t="n">
        <v>36.1</v>
      </c>
      <c r="I44" s="2" t="n">
        <v>0</v>
      </c>
    </row>
    <row r="45" customFormat="false" ht="15" hidden="false" customHeight="false" outlineLevel="0" collapsed="false">
      <c r="A45" s="7" t="s">
        <v>52</v>
      </c>
      <c r="B45" s="2" t="s">
        <v>194</v>
      </c>
      <c r="C45" s="7" t="s">
        <v>179</v>
      </c>
      <c r="D45" s="6" t="n">
        <v>1758</v>
      </c>
      <c r="E45" s="2" t="n">
        <v>10</v>
      </c>
      <c r="F45" s="2" t="n">
        <v>0</v>
      </c>
      <c r="G45" s="2" t="n">
        <v>0</v>
      </c>
      <c r="H45" s="2" t="n">
        <v>58.8</v>
      </c>
      <c r="I45" s="2" t="n">
        <v>0</v>
      </c>
    </row>
    <row r="46" customFormat="false" ht="15" hidden="false" customHeight="false" outlineLevel="0" collapsed="false">
      <c r="A46" s="7" t="s">
        <v>48</v>
      </c>
      <c r="B46" s="2" t="s">
        <v>195</v>
      </c>
      <c r="C46" s="7" t="s">
        <v>196</v>
      </c>
      <c r="D46" s="6" t="n">
        <v>1651</v>
      </c>
      <c r="E46" s="2" t="n">
        <v>2</v>
      </c>
      <c r="F46" s="2" t="n">
        <v>0</v>
      </c>
      <c r="G46" s="2" t="n">
        <v>0</v>
      </c>
      <c r="H46" s="2" t="n">
        <v>42.4</v>
      </c>
      <c r="I46" s="2" t="n">
        <v>0</v>
      </c>
    </row>
    <row r="47" customFormat="false" ht="15" hidden="false" customHeight="false" outlineLevel="0" collapsed="false">
      <c r="A47" s="7" t="s">
        <v>52</v>
      </c>
      <c r="B47" s="2" t="s">
        <v>197</v>
      </c>
      <c r="C47" s="7" t="s">
        <v>198</v>
      </c>
      <c r="D47" s="6" t="n">
        <v>1415</v>
      </c>
      <c r="E47" s="2" t="n">
        <v>7</v>
      </c>
      <c r="F47" s="2" t="n">
        <v>0</v>
      </c>
      <c r="G47" s="2" t="n">
        <v>0</v>
      </c>
      <c r="H47" s="2" t="n">
        <v>38.6</v>
      </c>
      <c r="I47" s="2" t="n">
        <v>5.44</v>
      </c>
    </row>
    <row r="48" customFormat="false" ht="15" hidden="false" customHeight="false" outlineLevel="0" collapsed="false">
      <c r="A48" s="7" t="s">
        <v>57</v>
      </c>
      <c r="B48" s="2" t="s">
        <v>199</v>
      </c>
      <c r="C48" s="7" t="s">
        <v>200</v>
      </c>
      <c r="D48" s="6" t="n">
        <v>1349</v>
      </c>
      <c r="E48" s="2" t="n">
        <v>2</v>
      </c>
      <c r="F48" s="2" t="n">
        <v>0</v>
      </c>
      <c r="G48" s="2" t="n">
        <v>0</v>
      </c>
      <c r="H48" s="2" t="n">
        <v>97.4</v>
      </c>
      <c r="I48" s="2" t="n">
        <v>13.89</v>
      </c>
    </row>
    <row r="49" customFormat="false" ht="15" hidden="false" customHeight="false" outlineLevel="0" collapsed="false">
      <c r="A49" s="7" t="s">
        <v>59</v>
      </c>
      <c r="B49" s="2" t="s">
        <v>201</v>
      </c>
      <c r="C49" s="7" t="s">
        <v>202</v>
      </c>
      <c r="D49" s="6" t="n">
        <v>1220</v>
      </c>
      <c r="E49" s="2" t="n">
        <v>1</v>
      </c>
      <c r="F49" s="2" t="n">
        <v>0</v>
      </c>
      <c r="G49" s="2" t="n">
        <v>0</v>
      </c>
      <c r="H49" s="2" t="n">
        <v>49.5</v>
      </c>
      <c r="I49" s="2" t="n">
        <v>1.58</v>
      </c>
    </row>
    <row r="50" customFormat="false" ht="15" hidden="false" customHeight="false" outlineLevel="0" collapsed="false">
      <c r="A50" s="7" t="s">
        <v>52</v>
      </c>
      <c r="B50" s="2" t="s">
        <v>203</v>
      </c>
      <c r="C50" s="7" t="s">
        <v>151</v>
      </c>
      <c r="D50" s="6" t="n">
        <v>1132</v>
      </c>
      <c r="E50" s="2" t="n">
        <v>5</v>
      </c>
      <c r="F50" s="2" t="n">
        <v>0</v>
      </c>
      <c r="G50" s="2" t="n">
        <v>0</v>
      </c>
      <c r="H50" s="2" t="n">
        <v>120.7</v>
      </c>
      <c r="I50" s="2" t="n">
        <v>0</v>
      </c>
    </row>
    <row r="51" customFormat="false" ht="15" hidden="false" customHeight="false" outlineLevel="0" collapsed="false">
      <c r="A51" s="7" t="s">
        <v>50</v>
      </c>
      <c r="B51" s="2" t="s">
        <v>204</v>
      </c>
      <c r="C51" s="7" t="s">
        <v>205</v>
      </c>
      <c r="D51" s="6" t="n">
        <v>1039</v>
      </c>
      <c r="E51" s="2" t="n">
        <v>2</v>
      </c>
      <c r="F51" s="2" t="n">
        <v>0</v>
      </c>
      <c r="G51" s="2" t="n">
        <v>0</v>
      </c>
      <c r="H51" s="2" t="n">
        <v>63.8</v>
      </c>
      <c r="I51" s="2" t="n">
        <v>2.5</v>
      </c>
    </row>
    <row r="52" customFormat="false" ht="15" hidden="false" customHeight="false" outlineLevel="0" collapsed="false">
      <c r="A52" s="7" t="s">
        <v>56</v>
      </c>
      <c r="B52" s="2" t="s">
        <v>206</v>
      </c>
      <c r="C52" s="7" t="s">
        <v>143</v>
      </c>
      <c r="D52" s="6" t="n">
        <v>1008</v>
      </c>
      <c r="E52" s="2" t="n">
        <v>3</v>
      </c>
      <c r="F52" s="2" t="n">
        <v>0</v>
      </c>
      <c r="G52" s="2" t="n">
        <v>0</v>
      </c>
      <c r="H52" s="2" t="n">
        <v>44.6</v>
      </c>
      <c r="I52" s="2" t="n">
        <v>4.48</v>
      </c>
    </row>
    <row r="53" customFormat="false" ht="15" hidden="false" customHeight="false" outlineLevel="0" collapsed="false">
      <c r="A53" s="7" t="s">
        <v>48</v>
      </c>
      <c r="B53" s="7" t="s">
        <v>207</v>
      </c>
      <c r="C53" s="7" t="s">
        <v>208</v>
      </c>
      <c r="D53" s="6" t="n">
        <v>967</v>
      </c>
      <c r="E53" s="2" t="n">
        <v>2</v>
      </c>
      <c r="F53" s="2" t="n">
        <v>0</v>
      </c>
      <c r="G53" s="2" t="n">
        <v>0</v>
      </c>
      <c r="H53" s="2" t="n">
        <v>48.5</v>
      </c>
      <c r="I53" s="2" t="n">
        <v>0</v>
      </c>
    </row>
    <row r="54" customFormat="false" ht="15" hidden="false" customHeight="false" outlineLevel="0" collapsed="false">
      <c r="A54" s="7" t="s">
        <v>48</v>
      </c>
      <c r="B54" s="7" t="s">
        <v>209</v>
      </c>
      <c r="C54" s="7" t="s">
        <v>210</v>
      </c>
      <c r="D54" s="6" t="n">
        <v>952</v>
      </c>
      <c r="E54" s="2" t="n">
        <v>0</v>
      </c>
      <c r="F54" s="2" t="n">
        <v>0</v>
      </c>
      <c r="G54" s="2" t="n">
        <v>0</v>
      </c>
      <c r="H54" s="2" t="n">
        <v>42.7</v>
      </c>
      <c r="I54" s="2" t="n">
        <v>0</v>
      </c>
    </row>
    <row r="55" customFormat="false" ht="15" hidden="false" customHeight="false" outlineLevel="0" collapsed="false">
      <c r="A55" s="7" t="s">
        <v>44</v>
      </c>
      <c r="B55" s="2" t="s">
        <v>211</v>
      </c>
      <c r="C55" s="7" t="s">
        <v>212</v>
      </c>
      <c r="D55" s="6" t="n">
        <v>935</v>
      </c>
      <c r="E55" s="2" t="n">
        <v>0</v>
      </c>
      <c r="F55" s="2" t="n">
        <v>0</v>
      </c>
      <c r="G55" s="2" t="n">
        <v>0</v>
      </c>
      <c r="H55" s="2" t="n">
        <v>55.9</v>
      </c>
      <c r="I55" s="2" t="n">
        <v>0</v>
      </c>
    </row>
    <row r="56" customFormat="false" ht="15" hidden="false" customHeight="false" outlineLevel="0" collapsed="false">
      <c r="A56" s="7" t="s">
        <v>54</v>
      </c>
      <c r="B56" s="7" t="s">
        <v>213</v>
      </c>
      <c r="C56" s="7" t="s">
        <v>151</v>
      </c>
      <c r="D56" s="6" t="n">
        <v>901</v>
      </c>
      <c r="E56" s="2" t="n">
        <v>4</v>
      </c>
      <c r="F56" s="2" t="n">
        <v>0</v>
      </c>
      <c r="G56" s="2" t="n">
        <v>0</v>
      </c>
      <c r="H56" s="2" t="n">
        <v>39</v>
      </c>
      <c r="I56" s="2" t="n">
        <v>0.62</v>
      </c>
    </row>
    <row r="57" customFormat="false" ht="15" hidden="false" customHeight="false" outlineLevel="0" collapsed="false">
      <c r="A57" s="7" t="s">
        <v>52</v>
      </c>
      <c r="B57" s="2" t="s">
        <v>214</v>
      </c>
      <c r="C57" s="7" t="s">
        <v>215</v>
      </c>
      <c r="D57" s="6" t="n">
        <v>899</v>
      </c>
      <c r="E57" s="2" t="n">
        <v>7</v>
      </c>
      <c r="F57" s="2" t="n">
        <v>0</v>
      </c>
      <c r="G57" s="2" t="n">
        <v>0</v>
      </c>
      <c r="H57" s="2" t="n">
        <v>110.6</v>
      </c>
      <c r="I57" s="2" t="n">
        <v>0</v>
      </c>
    </row>
    <row r="58" customFormat="false" ht="15" hidden="false" customHeight="false" outlineLevel="0" collapsed="false">
      <c r="A58" s="7" t="s">
        <v>54</v>
      </c>
      <c r="B58" s="2" t="s">
        <v>216</v>
      </c>
      <c r="C58" s="7" t="s">
        <v>217</v>
      </c>
      <c r="D58" s="6" t="n">
        <v>891</v>
      </c>
      <c r="E58" s="2" t="n">
        <v>3</v>
      </c>
      <c r="F58" s="2" t="n">
        <v>0</v>
      </c>
      <c r="G58" s="2" t="n">
        <v>0</v>
      </c>
      <c r="H58" s="2" t="n">
        <v>0</v>
      </c>
      <c r="I58" s="2" t="n">
        <v>2.7</v>
      </c>
    </row>
    <row r="59" customFormat="false" ht="15" hidden="false" customHeight="false" outlineLevel="0" collapsed="false">
      <c r="A59" s="7" t="s">
        <v>56</v>
      </c>
      <c r="B59" s="2" t="s">
        <v>218</v>
      </c>
      <c r="C59" s="7" t="s">
        <v>128</v>
      </c>
      <c r="D59" s="6" t="n">
        <v>594</v>
      </c>
      <c r="E59" s="2" t="n">
        <v>0</v>
      </c>
      <c r="F59" s="2" t="n">
        <v>0</v>
      </c>
      <c r="G59" s="2" t="n">
        <v>0</v>
      </c>
      <c r="H59" s="2" t="n">
        <v>46.2</v>
      </c>
      <c r="I59" s="2" t="n">
        <v>1.33</v>
      </c>
    </row>
    <row r="60" customFormat="false" ht="15" hidden="false" customHeight="false" outlineLevel="0" collapsed="false">
      <c r="A60" s="7" t="s">
        <v>54</v>
      </c>
      <c r="B60" s="7" t="s">
        <v>219</v>
      </c>
      <c r="C60" s="7" t="s">
        <v>124</v>
      </c>
      <c r="D60" s="6" t="n">
        <v>524</v>
      </c>
      <c r="E60" s="2" t="n">
        <v>0</v>
      </c>
      <c r="F60" s="2" t="n">
        <v>0</v>
      </c>
      <c r="G60" s="2" t="n">
        <v>0</v>
      </c>
      <c r="H60" s="2" t="n">
        <v>42.9</v>
      </c>
      <c r="I60" s="2" t="n">
        <v>0</v>
      </c>
    </row>
    <row r="61" customFormat="false" ht="15" hidden="false" customHeight="false" outlineLevel="0" collapsed="false">
      <c r="A61" s="7" t="s">
        <v>54</v>
      </c>
      <c r="B61" s="7" t="s">
        <v>220</v>
      </c>
      <c r="C61" s="7" t="s">
        <v>221</v>
      </c>
      <c r="D61" s="6" t="n">
        <v>494</v>
      </c>
      <c r="E61" s="2" t="n">
        <v>0</v>
      </c>
      <c r="F61" s="2" t="n">
        <v>0</v>
      </c>
      <c r="G61" s="2" t="n">
        <v>0</v>
      </c>
      <c r="H61" s="2" t="n">
        <v>29.6</v>
      </c>
      <c r="I61" s="2" t="n">
        <v>0</v>
      </c>
    </row>
    <row r="62" customFormat="false" ht="15" hidden="false" customHeight="false" outlineLevel="0" collapsed="false">
      <c r="A62" s="7" t="s">
        <v>44</v>
      </c>
      <c r="B62" s="2" t="s">
        <v>222</v>
      </c>
      <c r="C62" s="7" t="s">
        <v>223</v>
      </c>
      <c r="D62" s="6" t="n">
        <v>493</v>
      </c>
      <c r="E62" s="2" t="n">
        <v>0</v>
      </c>
      <c r="F62" s="2" t="n">
        <v>0</v>
      </c>
      <c r="G62" s="2" t="n">
        <v>0</v>
      </c>
      <c r="H62" s="2" t="n">
        <v>46.6</v>
      </c>
      <c r="I62" s="2" t="n">
        <v>0</v>
      </c>
    </row>
    <row r="63" customFormat="false" ht="15" hidden="false" customHeight="false" outlineLevel="0" collapsed="false">
      <c r="A63" s="7" t="s">
        <v>48</v>
      </c>
      <c r="B63" s="2" t="s">
        <v>224</v>
      </c>
      <c r="C63" s="7" t="s">
        <v>225</v>
      </c>
      <c r="D63" s="6" t="n">
        <v>483</v>
      </c>
      <c r="E63" s="2" t="n">
        <v>0</v>
      </c>
      <c r="F63" s="2" t="n">
        <v>0</v>
      </c>
      <c r="G63" s="2" t="n">
        <v>0</v>
      </c>
      <c r="H63" s="2" t="n">
        <v>32.3</v>
      </c>
      <c r="I63" s="2" t="n">
        <v>0</v>
      </c>
    </row>
    <row r="64" customFormat="false" ht="15" hidden="false" customHeight="false" outlineLevel="0" collapsed="false">
      <c r="A64" s="7" t="s">
        <v>60</v>
      </c>
      <c r="B64" s="2" t="s">
        <v>226</v>
      </c>
      <c r="C64" s="7" t="s">
        <v>227</v>
      </c>
      <c r="D64" s="6" t="n">
        <v>474</v>
      </c>
      <c r="E64" s="2" t="n">
        <v>1</v>
      </c>
      <c r="F64" s="2" t="n">
        <v>0</v>
      </c>
      <c r="G64" s="2" t="n">
        <v>0</v>
      </c>
      <c r="H64" s="2" t="n">
        <v>49.9</v>
      </c>
      <c r="I64" s="2" t="n">
        <v>0</v>
      </c>
    </row>
    <row r="65" customFormat="false" ht="15" hidden="false" customHeight="false" outlineLevel="0" collapsed="false">
      <c r="A65" s="7" t="s">
        <v>50</v>
      </c>
      <c r="B65" s="2" t="s">
        <v>228</v>
      </c>
      <c r="C65" s="7" t="s">
        <v>229</v>
      </c>
      <c r="D65" s="6" t="n">
        <v>437</v>
      </c>
      <c r="E65" s="2" t="n">
        <v>0</v>
      </c>
      <c r="F65" s="2" t="n">
        <v>0</v>
      </c>
      <c r="G65" s="2" t="n">
        <v>0</v>
      </c>
      <c r="H65" s="2" t="n">
        <v>31.5</v>
      </c>
      <c r="I65" s="2" t="n">
        <v>6.06</v>
      </c>
    </row>
    <row r="66" customFormat="false" ht="15" hidden="false" customHeight="false" outlineLevel="0" collapsed="false">
      <c r="A66" s="7" t="s">
        <v>44</v>
      </c>
      <c r="B66" s="2" t="s">
        <v>230</v>
      </c>
      <c r="C66" s="7" t="s">
        <v>231</v>
      </c>
      <c r="D66" s="6" t="n">
        <v>378</v>
      </c>
      <c r="E66" s="2" t="n">
        <v>0</v>
      </c>
      <c r="F66" s="2" t="n">
        <v>0</v>
      </c>
      <c r="G66" s="2" t="n">
        <v>0</v>
      </c>
      <c r="H66" s="2" t="n">
        <v>39.2</v>
      </c>
      <c r="I66" s="2" t="n">
        <v>0</v>
      </c>
    </row>
    <row r="67" customFormat="false" ht="15" hidden="false" customHeight="false" outlineLevel="0" collapsed="false">
      <c r="A67" s="7" t="s">
        <v>56</v>
      </c>
      <c r="B67" s="2" t="s">
        <v>232</v>
      </c>
      <c r="C67" s="7" t="s">
        <v>233</v>
      </c>
      <c r="D67" s="6" t="n">
        <v>370</v>
      </c>
      <c r="E67" s="2" t="n">
        <v>0</v>
      </c>
      <c r="F67" s="2" t="n">
        <v>0</v>
      </c>
      <c r="G67" s="2" t="n">
        <v>0</v>
      </c>
      <c r="H67" s="2" t="n">
        <v>31.4</v>
      </c>
      <c r="I67" s="2" t="n">
        <v>0.85</v>
      </c>
    </row>
    <row r="68" customFormat="false" ht="15" hidden="false" customHeight="false" outlineLevel="0" collapsed="false">
      <c r="A68" s="7" t="s">
        <v>44</v>
      </c>
      <c r="B68" s="7" t="s">
        <v>234</v>
      </c>
      <c r="C68" s="7" t="s">
        <v>235</v>
      </c>
      <c r="D68" s="6" t="n">
        <v>346</v>
      </c>
      <c r="E68" s="2" t="n">
        <v>2</v>
      </c>
      <c r="F68" s="2" t="n">
        <v>0</v>
      </c>
      <c r="G68" s="2" t="n">
        <v>0</v>
      </c>
      <c r="H68" s="2" t="n">
        <v>28.3</v>
      </c>
      <c r="I68" s="2" t="n">
        <v>3.51</v>
      </c>
    </row>
    <row r="69" customFormat="false" ht="15" hidden="false" customHeight="false" outlineLevel="0" collapsed="false">
      <c r="A69" s="7" t="s">
        <v>62</v>
      </c>
      <c r="B69" s="2" t="s">
        <v>236</v>
      </c>
      <c r="C69" s="7" t="s">
        <v>237</v>
      </c>
      <c r="D69" s="6" t="n">
        <v>240</v>
      </c>
      <c r="E69" s="2" t="n">
        <v>2</v>
      </c>
      <c r="F69" s="2" t="n">
        <v>0</v>
      </c>
      <c r="G69" s="2" t="n">
        <v>0</v>
      </c>
      <c r="H69" s="2" t="n">
        <v>36.5</v>
      </c>
      <c r="I69" s="2" t="n">
        <v>0</v>
      </c>
    </row>
    <row r="70" customFormat="false" ht="15" hidden="false" customHeight="false" outlineLevel="0" collapsed="false">
      <c r="A70" s="7" t="s">
        <v>62</v>
      </c>
      <c r="B70" s="2" t="s">
        <v>238</v>
      </c>
      <c r="C70" s="7" t="s">
        <v>239</v>
      </c>
      <c r="D70" s="6" t="n">
        <v>194</v>
      </c>
      <c r="E70" s="2" t="n">
        <v>0</v>
      </c>
      <c r="F70" s="2" t="n">
        <v>0</v>
      </c>
      <c r="G70" s="2" t="n">
        <v>0</v>
      </c>
      <c r="H70" s="2" t="n">
        <v>31.8</v>
      </c>
      <c r="I70" s="2" t="n">
        <v>0</v>
      </c>
    </row>
    <row r="71" customFormat="false" ht="15" hidden="false" customHeight="false" outlineLevel="0" collapsed="false">
      <c r="A71" s="7" t="s">
        <v>48</v>
      </c>
      <c r="B71" s="2" t="s">
        <v>240</v>
      </c>
      <c r="C71" s="7" t="s">
        <v>241</v>
      </c>
      <c r="D71" s="6" t="n">
        <v>190</v>
      </c>
      <c r="E71" s="2" t="n">
        <v>0</v>
      </c>
      <c r="F71" s="2" t="n">
        <v>0</v>
      </c>
      <c r="G71" s="2" t="n">
        <v>0</v>
      </c>
      <c r="H71" s="2" t="n">
        <v>28.4</v>
      </c>
      <c r="I71" s="2" t="n">
        <v>0</v>
      </c>
    </row>
    <row r="72" customFormat="false" ht="15" hidden="false" customHeight="false" outlineLevel="0" collapsed="false">
      <c r="A72" s="7" t="s">
        <v>64</v>
      </c>
      <c r="B72" s="2" t="s">
        <v>242</v>
      </c>
      <c r="C72" s="7" t="s">
        <v>243</v>
      </c>
      <c r="D72" s="6" t="n">
        <v>17</v>
      </c>
      <c r="E72" s="2" t="n">
        <v>0</v>
      </c>
      <c r="F72" s="2" t="n">
        <v>0</v>
      </c>
      <c r="G72" s="2" t="n">
        <v>0</v>
      </c>
      <c r="H72" s="2" t="n">
        <v>20.2</v>
      </c>
      <c r="I72" s="2" t="n">
        <v>3.61</v>
      </c>
    </row>
    <row r="73" customFormat="false" ht="15" hidden="false" customHeight="false" outlineLevel="0" collapsed="false">
      <c r="A73" s="7" t="s">
        <v>59</v>
      </c>
      <c r="B73" s="2" t="s">
        <v>244</v>
      </c>
      <c r="C73" s="7" t="s">
        <v>245</v>
      </c>
      <c r="D73" s="6" t="n">
        <v>5</v>
      </c>
      <c r="E73" s="2" t="n">
        <v>0</v>
      </c>
      <c r="F73" s="2" t="n">
        <v>0</v>
      </c>
      <c r="G73" s="2" t="n">
        <v>0</v>
      </c>
      <c r="H73" s="2" t="n">
        <v>26.5</v>
      </c>
      <c r="I73" s="2" t="n">
        <v>2.94</v>
      </c>
    </row>
    <row r="74" customFormat="false" ht="15" hidden="false" customHeight="false" outlineLevel="0" collapsed="false">
      <c r="A74" s="7" t="s">
        <v>58</v>
      </c>
      <c r="B74" s="2" t="s">
        <v>246</v>
      </c>
      <c r="C74" s="7" t="s">
        <v>247</v>
      </c>
      <c r="D74" s="6" t="n">
        <v>2</v>
      </c>
      <c r="E74" s="2" t="n">
        <v>0</v>
      </c>
      <c r="F74" s="2" t="n">
        <v>0</v>
      </c>
      <c r="G74" s="2" t="n">
        <v>0</v>
      </c>
      <c r="H74" s="2" t="n">
        <v>137.6</v>
      </c>
      <c r="I74" s="2" t="n">
        <v>16</v>
      </c>
    </row>
    <row r="75" customFormat="false" ht="15" hidden="false" customHeight="false" outlineLevel="0" collapsed="false">
      <c r="A75" s="7" t="s">
        <v>44</v>
      </c>
      <c r="B75" s="2" t="s">
        <v>248</v>
      </c>
      <c r="C75" s="7" t="s">
        <v>249</v>
      </c>
      <c r="D75" s="6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 customFormat="false" ht="15" hidden="false" customHeight="false" outlineLevel="0" collapsed="false">
      <c r="A76" s="7" t="s">
        <v>50</v>
      </c>
      <c r="B76" s="2" t="s">
        <v>250</v>
      </c>
      <c r="C76" s="7" t="s">
        <v>251</v>
      </c>
      <c r="D76" s="6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 customFormat="false" ht="15" hidden="false" customHeight="false" outlineLevel="0" collapsed="false">
      <c r="A77" s="7" t="s">
        <v>62</v>
      </c>
      <c r="B77" s="2" t="s">
        <v>252</v>
      </c>
      <c r="C77" s="7" t="s">
        <v>253</v>
      </c>
      <c r="D77" s="6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 customFormat="false" ht="15" hidden="false" customHeight="false" outlineLevel="0" collapsed="false">
      <c r="A78" s="7" t="s">
        <v>54</v>
      </c>
      <c r="B78" s="7" t="s">
        <v>254</v>
      </c>
      <c r="C78" s="7" t="s">
        <v>255</v>
      </c>
      <c r="D78" s="6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 customFormat="false" ht="15" hidden="false" customHeight="false" outlineLevel="0" collapsed="false">
      <c r="A79" s="7" t="s">
        <v>60</v>
      </c>
      <c r="B79" s="2" t="s">
        <v>256</v>
      </c>
      <c r="C79" s="7" t="s">
        <v>257</v>
      </c>
      <c r="D79" s="6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 customFormat="false" ht="15" hidden="false" customHeight="false" outlineLevel="0" collapsed="false">
      <c r="A80" s="7" t="s">
        <v>58</v>
      </c>
      <c r="B80" s="2" t="s">
        <v>258</v>
      </c>
      <c r="C80" s="7" t="s">
        <v>259</v>
      </c>
      <c r="D80" s="6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</row>
    <row r="81" customFormat="false" ht="15" hidden="false" customHeight="false" outlineLevel="0" collapsed="false">
      <c r="A81" s="7" t="s">
        <v>57</v>
      </c>
      <c r="B81" s="2" t="s">
        <v>260</v>
      </c>
      <c r="C81" s="7" t="s">
        <v>261</v>
      </c>
      <c r="D81" s="6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</row>
    <row r="82" customFormat="false" ht="15" hidden="false" customHeight="false" outlineLevel="0" collapsed="false">
      <c r="A82" s="7" t="s">
        <v>59</v>
      </c>
      <c r="B82" s="2" t="s">
        <v>262</v>
      </c>
      <c r="C82" s="7" t="s">
        <v>263</v>
      </c>
      <c r="D82" s="6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</row>
    <row r="83" customFormat="false" ht="15" hidden="false" customHeight="false" outlineLevel="0" collapsed="false">
      <c r="A83" s="7" t="s">
        <v>57</v>
      </c>
      <c r="B83" s="2" t="s">
        <v>264</v>
      </c>
      <c r="C83" s="7" t="s">
        <v>265</v>
      </c>
      <c r="D83" s="6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</row>
    <row r="84" customFormat="false" ht="15" hidden="false" customHeight="false" outlineLevel="0" collapsed="false">
      <c r="A84" s="7" t="s">
        <v>48</v>
      </c>
      <c r="B84" s="2" t="s">
        <v>266</v>
      </c>
      <c r="C84" s="7" t="s">
        <v>267</v>
      </c>
      <c r="D84" s="6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</row>
    <row r="85" customFormat="false" ht="15" hidden="false" customHeight="false" outlineLevel="0" collapsed="false">
      <c r="A85" s="7" t="s">
        <v>56</v>
      </c>
      <c r="B85" s="2" t="s">
        <v>268</v>
      </c>
      <c r="C85" s="7" t="s">
        <v>255</v>
      </c>
      <c r="D85" s="6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</row>
    <row r="86" customFormat="false" ht="15" hidden="false" customHeight="false" outlineLevel="0" collapsed="false">
      <c r="A86" s="7" t="s">
        <v>62</v>
      </c>
      <c r="B86" s="2" t="s">
        <v>269</v>
      </c>
      <c r="C86" s="7" t="s">
        <v>270</v>
      </c>
      <c r="D86" s="6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</row>
    <row r="87" customFormat="false" ht="15" hidden="false" customHeight="false" outlineLevel="0" collapsed="false">
      <c r="A87" s="7" t="s">
        <v>60</v>
      </c>
      <c r="B87" s="2" t="s">
        <v>271</v>
      </c>
      <c r="C87" s="7" t="s">
        <v>272</v>
      </c>
      <c r="D87" s="6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</row>
    <row r="88" customFormat="false" ht="15" hidden="false" customHeight="false" outlineLevel="0" collapsed="false">
      <c r="A88" s="7" t="s">
        <v>56</v>
      </c>
      <c r="B88" s="2" t="s">
        <v>273</v>
      </c>
      <c r="C88" s="7" t="s">
        <v>274</v>
      </c>
      <c r="D88" s="6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</row>
    <row r="89" customFormat="false" ht="15" hidden="false" customHeight="false" outlineLevel="0" collapsed="false">
      <c r="A89" s="7" t="s">
        <v>58</v>
      </c>
      <c r="B89" s="2" t="s">
        <v>275</v>
      </c>
      <c r="C89" s="7" t="s">
        <v>276</v>
      </c>
      <c r="D89" s="6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</row>
    <row r="90" customFormat="false" ht="15" hidden="false" customHeight="false" outlineLevel="0" collapsed="false">
      <c r="A90" s="7" t="s">
        <v>59</v>
      </c>
      <c r="B90" s="2" t="s">
        <v>277</v>
      </c>
      <c r="C90" s="7" t="s">
        <v>278</v>
      </c>
      <c r="D90" s="6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</row>
    <row r="91" customFormat="false" ht="15" hidden="false" customHeight="false" outlineLevel="0" collapsed="false">
      <c r="A91" s="7" t="s">
        <v>56</v>
      </c>
      <c r="B91" s="2" t="s">
        <v>279</v>
      </c>
      <c r="C91" s="7" t="s">
        <v>280</v>
      </c>
      <c r="D91" s="6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</row>
    <row r="92" customFormat="false" ht="15" hidden="false" customHeight="false" outlineLevel="0" collapsed="false">
      <c r="A92" s="7" t="s">
        <v>50</v>
      </c>
      <c r="B92" s="2" t="s">
        <v>281</v>
      </c>
      <c r="C92" s="7" t="s">
        <v>282</v>
      </c>
      <c r="D92" s="6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</row>
    <row r="93" customFormat="false" ht="15" hidden="false" customHeight="false" outlineLevel="0" collapsed="false">
      <c r="A93" s="7" t="s">
        <v>62</v>
      </c>
      <c r="B93" s="2" t="s">
        <v>283</v>
      </c>
      <c r="C93" s="7" t="s">
        <v>284</v>
      </c>
      <c r="D93" s="6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 customFormat="false" ht="15" hidden="false" customHeight="false" outlineLevel="0" collapsed="false">
      <c r="A94" s="7" t="s">
        <v>64</v>
      </c>
      <c r="B94" s="2" t="s">
        <v>285</v>
      </c>
      <c r="C94" s="7" t="s">
        <v>286</v>
      </c>
      <c r="D94" s="6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 customFormat="false" ht="15" hidden="false" customHeight="false" outlineLevel="0" collapsed="false">
      <c r="A95" s="7" t="s">
        <v>59</v>
      </c>
      <c r="B95" s="2" t="s">
        <v>287</v>
      </c>
      <c r="C95" s="7" t="s">
        <v>288</v>
      </c>
      <c r="D95" s="6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 customFormat="false" ht="15" hidden="false" customHeight="false" outlineLevel="0" collapsed="false">
      <c r="A96" s="7" t="s">
        <v>44</v>
      </c>
      <c r="B96" s="2" t="s">
        <v>289</v>
      </c>
      <c r="C96" s="7" t="s">
        <v>290</v>
      </c>
      <c r="D96" s="6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 customFormat="false" ht="15" hidden="false" customHeight="false" outlineLevel="0" collapsed="false">
      <c r="A97" s="7" t="s">
        <v>62</v>
      </c>
      <c r="B97" s="2" t="s">
        <v>291</v>
      </c>
      <c r="C97" s="7" t="s">
        <v>292</v>
      </c>
      <c r="D97" s="6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 customFormat="false" ht="15" hidden="false" customHeight="false" outlineLevel="0" collapsed="false">
      <c r="A98" s="7" t="s">
        <v>52</v>
      </c>
      <c r="B98" s="2" t="s">
        <v>293</v>
      </c>
      <c r="C98" s="7" t="s">
        <v>294</v>
      </c>
      <c r="D98" s="6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 customFormat="false" ht="15" hidden="false" customHeight="false" outlineLevel="0" collapsed="false">
      <c r="A99" s="7" t="s">
        <v>44</v>
      </c>
      <c r="B99" s="2" t="s">
        <v>295</v>
      </c>
      <c r="C99" s="7" t="s">
        <v>296</v>
      </c>
      <c r="D99" s="6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 customFormat="false" ht="15" hidden="false" customHeight="false" outlineLevel="0" collapsed="false">
      <c r="A100" s="7" t="s">
        <v>58</v>
      </c>
      <c r="B100" s="2" t="s">
        <v>297</v>
      </c>
      <c r="C100" s="7" t="s">
        <v>298</v>
      </c>
      <c r="D100" s="6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 customFormat="false" ht="15" hidden="false" customHeight="false" outlineLevel="0" collapsed="false">
      <c r="A101" s="7" t="s">
        <v>48</v>
      </c>
      <c r="B101" s="7" t="s">
        <v>299</v>
      </c>
      <c r="C101" s="7" t="s">
        <v>300</v>
      </c>
      <c r="D101" s="6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 customFormat="false" ht="15" hidden="false" customHeight="false" outlineLevel="0" collapsed="false">
      <c r="A102" s="7" t="s">
        <v>62</v>
      </c>
      <c r="B102" s="2" t="s">
        <v>301</v>
      </c>
      <c r="C102" s="7" t="s">
        <v>302</v>
      </c>
      <c r="D102" s="6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 customFormat="false" ht="15" hidden="false" customHeight="false" outlineLevel="0" collapsed="false">
      <c r="A103" s="7" t="s">
        <v>60</v>
      </c>
      <c r="B103" s="2" t="s">
        <v>303</v>
      </c>
      <c r="C103" s="7" t="s">
        <v>304</v>
      </c>
      <c r="D103" s="6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 customFormat="false" ht="15" hidden="false" customHeight="false" outlineLevel="0" collapsed="false">
      <c r="A104" s="7" t="s">
        <v>50</v>
      </c>
      <c r="B104" s="2" t="s">
        <v>305</v>
      </c>
      <c r="C104" s="7" t="s">
        <v>306</v>
      </c>
      <c r="D104" s="6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 customFormat="false" ht="15" hidden="false" customHeight="false" outlineLevel="0" collapsed="false">
      <c r="A105" s="7" t="s">
        <v>57</v>
      </c>
      <c r="B105" s="2" t="s">
        <v>307</v>
      </c>
      <c r="C105" s="7" t="s">
        <v>308</v>
      </c>
      <c r="D105" s="6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 customFormat="false" ht="15" hidden="false" customHeight="false" outlineLevel="0" collapsed="false">
      <c r="A106" s="7" t="s">
        <v>48</v>
      </c>
      <c r="B106" s="2" t="s">
        <v>309</v>
      </c>
      <c r="C106" s="7" t="s">
        <v>310</v>
      </c>
      <c r="D106" s="6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 customFormat="false" ht="15" hidden="false" customHeight="false" outlineLevel="0" collapsed="false">
      <c r="A107" s="7" t="s">
        <v>54</v>
      </c>
      <c r="B107" s="7" t="s">
        <v>311</v>
      </c>
      <c r="C107" s="7" t="s">
        <v>282</v>
      </c>
      <c r="D107" s="6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 customFormat="false" ht="15" hidden="false" customHeight="false" outlineLevel="0" collapsed="false">
      <c r="A108" s="7" t="s">
        <v>60</v>
      </c>
      <c r="B108" s="2" t="s">
        <v>312</v>
      </c>
      <c r="C108" s="7" t="s">
        <v>313</v>
      </c>
      <c r="D108" s="6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 customFormat="false" ht="15" hidden="false" customHeight="false" outlineLevel="0" collapsed="false">
      <c r="A109" s="7" t="s">
        <v>60</v>
      </c>
      <c r="B109" s="2" t="s">
        <v>314</v>
      </c>
      <c r="C109" s="7" t="s">
        <v>315</v>
      </c>
      <c r="D109" s="6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 customFormat="false" ht="15" hidden="false" customHeight="false" outlineLevel="0" collapsed="false">
      <c r="A110" s="7" t="s">
        <v>62</v>
      </c>
      <c r="B110" s="2" t="s">
        <v>316</v>
      </c>
      <c r="C110" s="7" t="s">
        <v>317</v>
      </c>
      <c r="D110" s="6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 customFormat="false" ht="15" hidden="false" customHeight="false" outlineLevel="0" collapsed="false">
      <c r="A111" s="7" t="s">
        <v>50</v>
      </c>
      <c r="B111" s="2" t="s">
        <v>318</v>
      </c>
      <c r="C111" s="7" t="s">
        <v>296</v>
      </c>
      <c r="D111" s="6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 customFormat="false" ht="15" hidden="false" customHeight="false" outlineLevel="0" collapsed="false">
      <c r="A112" s="7" t="s">
        <v>60</v>
      </c>
      <c r="B112" s="2" t="s">
        <v>319</v>
      </c>
      <c r="C112" s="7" t="s">
        <v>320</v>
      </c>
      <c r="D112" s="6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 customFormat="false" ht="15" hidden="false" customHeight="false" outlineLevel="0" collapsed="false">
      <c r="A113" s="7" t="s">
        <v>60</v>
      </c>
      <c r="B113" s="2" t="s">
        <v>321</v>
      </c>
      <c r="C113" s="7" t="s">
        <v>322</v>
      </c>
      <c r="D113" s="6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 customFormat="false" ht="15" hidden="false" customHeight="false" outlineLevel="0" collapsed="false">
      <c r="A114" s="7" t="s">
        <v>58</v>
      </c>
      <c r="B114" s="2" t="s">
        <v>323</v>
      </c>
      <c r="C114" s="7" t="s">
        <v>324</v>
      </c>
      <c r="D114" s="6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</row>
    <row r="115" customFormat="false" ht="15" hidden="false" customHeight="false" outlineLevel="0" collapsed="false">
      <c r="A115" s="7" t="s">
        <v>58</v>
      </c>
      <c r="B115" s="7" t="s">
        <v>325</v>
      </c>
      <c r="C115" s="7" t="s">
        <v>326</v>
      </c>
      <c r="D115" s="6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 customFormat="false" ht="15" hidden="false" customHeight="false" outlineLevel="0" collapsed="false">
      <c r="A116" s="7" t="s">
        <v>44</v>
      </c>
      <c r="B116" s="2" t="s">
        <v>327</v>
      </c>
      <c r="C116" s="7" t="s">
        <v>328</v>
      </c>
      <c r="D116" s="6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</row>
    <row r="117" customFormat="false" ht="15" hidden="false" customHeight="false" outlineLevel="0" collapsed="false">
      <c r="A117" s="7" t="s">
        <v>54</v>
      </c>
      <c r="B117" s="2" t="s">
        <v>329</v>
      </c>
      <c r="C117" s="7" t="s">
        <v>330</v>
      </c>
      <c r="D117" s="6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 customFormat="false" ht="15" hidden="false" customHeight="false" outlineLevel="0" collapsed="false">
      <c r="A118" s="7" t="s">
        <v>48</v>
      </c>
      <c r="B118" s="2" t="s">
        <v>331</v>
      </c>
      <c r="C118" s="7" t="s">
        <v>332</v>
      </c>
      <c r="D118" s="6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</row>
    <row r="119" customFormat="false" ht="15" hidden="false" customHeight="false" outlineLevel="0" collapsed="false">
      <c r="A119" s="7" t="s">
        <v>52</v>
      </c>
      <c r="B119" s="2" t="s">
        <v>333</v>
      </c>
      <c r="C119" s="7" t="s">
        <v>282</v>
      </c>
      <c r="D119" s="6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</row>
    <row r="120" customFormat="false" ht="15" hidden="false" customHeight="false" outlineLevel="0" collapsed="false">
      <c r="A120" s="7" t="s">
        <v>62</v>
      </c>
      <c r="B120" s="2" t="s">
        <v>334</v>
      </c>
      <c r="C120" s="7" t="s">
        <v>335</v>
      </c>
      <c r="D120" s="6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</row>
    <row r="121" customFormat="false" ht="15" hidden="false" customHeight="false" outlineLevel="0" collapsed="false">
      <c r="A121" s="7" t="s">
        <v>59</v>
      </c>
      <c r="B121" s="2" t="s">
        <v>336</v>
      </c>
      <c r="C121" s="7" t="s">
        <v>337</v>
      </c>
      <c r="D121" s="6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 customFormat="false" ht="15" hidden="false" customHeight="false" outlineLevel="0" collapsed="false">
      <c r="A122" s="7" t="s">
        <v>50</v>
      </c>
      <c r="B122" s="2" t="s">
        <v>338</v>
      </c>
      <c r="C122" s="7" t="s">
        <v>339</v>
      </c>
      <c r="D122" s="6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</row>
    <row r="123" customFormat="false" ht="15" hidden="false" customHeight="false" outlineLevel="0" collapsed="false">
      <c r="A123" s="7" t="s">
        <v>50</v>
      </c>
      <c r="B123" s="7" t="s">
        <v>340</v>
      </c>
      <c r="C123" s="7" t="s">
        <v>255</v>
      </c>
      <c r="D123" s="6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</row>
    <row r="124" customFormat="false" ht="15" hidden="false" customHeight="false" outlineLevel="0" collapsed="false">
      <c r="A124" s="7" t="s">
        <v>52</v>
      </c>
      <c r="B124" s="2" t="s">
        <v>341</v>
      </c>
      <c r="C124" s="7" t="s">
        <v>255</v>
      </c>
      <c r="D124" s="6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</row>
    <row r="125" customFormat="false" ht="15" hidden="false" customHeight="false" outlineLevel="0" collapsed="false">
      <c r="A125" s="7" t="s">
        <v>56</v>
      </c>
      <c r="B125" s="2" t="s">
        <v>342</v>
      </c>
      <c r="C125" s="7" t="s">
        <v>343</v>
      </c>
      <c r="D125" s="6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</row>
    <row r="126" customFormat="false" ht="15" hidden="false" customHeight="false" outlineLevel="0" collapsed="false">
      <c r="A126" s="7" t="s">
        <v>44</v>
      </c>
      <c r="B126" s="2" t="s">
        <v>344</v>
      </c>
      <c r="C126" s="7" t="s">
        <v>345</v>
      </c>
      <c r="D126" s="6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</row>
    <row r="127" customFormat="false" ht="15" hidden="false" customHeight="false" outlineLevel="0" collapsed="false">
      <c r="A127" s="7" t="s">
        <v>50</v>
      </c>
      <c r="B127" s="7" t="s">
        <v>346</v>
      </c>
      <c r="C127" s="7" t="s">
        <v>347</v>
      </c>
      <c r="D127" s="6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</row>
    <row r="128" customFormat="false" ht="15" hidden="false" customHeight="false" outlineLevel="0" collapsed="false">
      <c r="A128" s="7" t="s">
        <v>54</v>
      </c>
      <c r="B128" s="7" t="s">
        <v>348</v>
      </c>
      <c r="C128" s="7" t="s">
        <v>249</v>
      </c>
      <c r="D128" s="6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</row>
    <row r="129" customFormat="false" ht="15" hidden="false" customHeight="false" outlineLevel="0" collapsed="false">
      <c r="A129" s="7" t="s">
        <v>48</v>
      </c>
      <c r="B129" s="2" t="s">
        <v>349</v>
      </c>
      <c r="C129" s="7" t="s">
        <v>350</v>
      </c>
      <c r="D129" s="6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</row>
    <row r="130" customFormat="false" ht="15" hidden="false" customHeight="false" outlineLevel="0" collapsed="false">
      <c r="A130" s="7" t="s">
        <v>64</v>
      </c>
      <c r="B130" s="2" t="s">
        <v>351</v>
      </c>
      <c r="C130" s="7" t="s">
        <v>352</v>
      </c>
      <c r="D130" s="6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</row>
    <row r="131" customFormat="false" ht="15" hidden="false" customHeight="false" outlineLevel="0" collapsed="false">
      <c r="A131" s="7" t="s">
        <v>44</v>
      </c>
      <c r="B131" s="2" t="s">
        <v>353</v>
      </c>
      <c r="C131" s="7" t="s">
        <v>354</v>
      </c>
      <c r="D131" s="6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</row>
    <row r="132" customFormat="false" ht="15" hidden="false" customHeight="false" outlineLevel="0" collapsed="false">
      <c r="A132" s="7" t="s">
        <v>52</v>
      </c>
      <c r="B132" s="2" t="s">
        <v>355</v>
      </c>
      <c r="C132" s="7" t="s">
        <v>251</v>
      </c>
      <c r="D132" s="6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</row>
    <row r="133" customFormat="false" ht="15" hidden="false" customHeight="false" outlineLevel="0" collapsed="false">
      <c r="A133" s="7" t="s">
        <v>54</v>
      </c>
      <c r="B133" s="7" t="s">
        <v>356</v>
      </c>
      <c r="C133" s="7" t="s">
        <v>296</v>
      </c>
      <c r="D133" s="6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</row>
    <row r="134" customFormat="false" ht="15" hidden="false" customHeight="false" outlineLevel="0" collapsed="false">
      <c r="A134" s="7" t="s">
        <v>48</v>
      </c>
      <c r="B134" s="2" t="s">
        <v>357</v>
      </c>
      <c r="C134" s="7" t="s">
        <v>358</v>
      </c>
      <c r="D134" s="6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</row>
    <row r="135" customFormat="false" ht="15" hidden="false" customHeight="false" outlineLevel="0" collapsed="false">
      <c r="A135" s="7" t="s">
        <v>44</v>
      </c>
      <c r="B135" s="2" t="s">
        <v>359</v>
      </c>
      <c r="C135" s="7" t="s">
        <v>255</v>
      </c>
      <c r="D135" s="6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</row>
    <row r="136" customFormat="false" ht="15" hidden="false" customHeight="false" outlineLevel="0" collapsed="false">
      <c r="A136" s="7" t="s">
        <v>60</v>
      </c>
      <c r="B136" s="2" t="s">
        <v>360</v>
      </c>
      <c r="C136" s="7" t="s">
        <v>361</v>
      </c>
      <c r="D136" s="6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</row>
    <row r="137" customFormat="false" ht="15" hidden="false" customHeight="false" outlineLevel="0" collapsed="false">
      <c r="A137" s="7" t="s">
        <v>48</v>
      </c>
      <c r="B137" s="2" t="s">
        <v>362</v>
      </c>
      <c r="C137" s="7" t="s">
        <v>363</v>
      </c>
      <c r="D137" s="6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</row>
    <row r="138" customFormat="false" ht="15" hidden="false" customHeight="false" outlineLevel="0" collapsed="false">
      <c r="A138" s="7" t="s">
        <v>52</v>
      </c>
      <c r="B138" s="2" t="s">
        <v>364</v>
      </c>
      <c r="C138" s="7" t="s">
        <v>365</v>
      </c>
      <c r="D138" s="6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</row>
    <row r="139" customFormat="false" ht="15" hidden="false" customHeight="false" outlineLevel="0" collapsed="false">
      <c r="A139" s="7" t="s">
        <v>54</v>
      </c>
      <c r="B139" s="2" t="s">
        <v>366</v>
      </c>
      <c r="C139" s="7" t="s">
        <v>251</v>
      </c>
      <c r="D139" s="6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 customFormat="false" ht="15" hidden="false" customHeight="false" outlineLevel="0" collapsed="false">
      <c r="A140" s="7" t="s">
        <v>56</v>
      </c>
      <c r="B140" s="2" t="s">
        <v>367</v>
      </c>
      <c r="C140" s="7" t="s">
        <v>368</v>
      </c>
      <c r="D140" s="6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</row>
    <row r="141" customFormat="false" ht="15" hidden="false" customHeight="false" outlineLevel="0" collapsed="false">
      <c r="A141" s="7" t="s">
        <v>59</v>
      </c>
      <c r="B141" s="2" t="s">
        <v>369</v>
      </c>
      <c r="C141" s="7" t="s">
        <v>370</v>
      </c>
      <c r="D141" s="6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 customFormat="false" ht="15" hidden="false" customHeight="false" outlineLevel="0" collapsed="false">
      <c r="A142" s="7" t="s">
        <v>56</v>
      </c>
      <c r="B142" s="2" t="s">
        <v>371</v>
      </c>
      <c r="C142" s="7" t="s">
        <v>308</v>
      </c>
      <c r="D142" s="6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 customFormat="false" ht="15" hidden="false" customHeight="false" outlineLevel="0" collapsed="false">
      <c r="A143" s="7" t="s">
        <v>57</v>
      </c>
      <c r="B143" s="2" t="s">
        <v>372</v>
      </c>
      <c r="C143" s="7" t="s">
        <v>373</v>
      </c>
      <c r="D143" s="6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 customFormat="false" ht="15" hidden="false" customHeight="false" outlineLevel="0" collapsed="false">
      <c r="A144" s="7" t="s">
        <v>44</v>
      </c>
      <c r="B144" s="2" t="s">
        <v>374</v>
      </c>
      <c r="C144" s="7" t="s">
        <v>375</v>
      </c>
      <c r="D144" s="6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 customFormat="false" ht="15" hidden="false" customHeight="false" outlineLevel="0" collapsed="false">
      <c r="A145" s="7" t="s">
        <v>58</v>
      </c>
      <c r="B145" s="7" t="s">
        <v>376</v>
      </c>
      <c r="C145" s="7" t="s">
        <v>377</v>
      </c>
      <c r="D145" s="6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 customFormat="false" ht="15" hidden="false" customHeight="false" outlineLevel="0" collapsed="false">
      <c r="A146" s="7" t="s">
        <v>57</v>
      </c>
      <c r="B146" s="2" t="s">
        <v>378</v>
      </c>
      <c r="C146" s="7" t="s">
        <v>379</v>
      </c>
      <c r="D146" s="6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 customFormat="false" ht="15" hidden="false" customHeight="false" outlineLevel="0" collapsed="false">
      <c r="A147" s="7" t="s">
        <v>52</v>
      </c>
      <c r="B147" s="2" t="s">
        <v>380</v>
      </c>
      <c r="C147" s="7" t="s">
        <v>381</v>
      </c>
      <c r="D147" s="6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 customFormat="false" ht="15" hidden="false" customHeight="false" outlineLevel="0" collapsed="false">
      <c r="A148" s="7" t="s">
        <v>56</v>
      </c>
      <c r="B148" s="2" t="s">
        <v>382</v>
      </c>
      <c r="C148" s="7" t="s">
        <v>383</v>
      </c>
      <c r="D148" s="6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 customFormat="false" ht="15" hidden="false" customHeight="false" outlineLevel="0" collapsed="false">
      <c r="A149" s="7" t="s">
        <v>54</v>
      </c>
      <c r="B149" s="7" t="s">
        <v>384</v>
      </c>
      <c r="C149" s="7" t="s">
        <v>385</v>
      </c>
      <c r="D149" s="6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 customFormat="false" ht="15" hidden="false" customHeight="false" outlineLevel="0" collapsed="false">
      <c r="A150" s="7" t="s">
        <v>52</v>
      </c>
      <c r="B150" s="2" t="s">
        <v>386</v>
      </c>
      <c r="C150" s="7" t="s">
        <v>387</v>
      </c>
      <c r="D150" s="6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 customFormat="false" ht="15" hidden="false" customHeight="false" outlineLevel="0" collapsed="false">
      <c r="A151" s="7" t="s">
        <v>54</v>
      </c>
      <c r="B151" s="7" t="s">
        <v>388</v>
      </c>
      <c r="C151" s="7" t="s">
        <v>389</v>
      </c>
      <c r="D151" s="6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</sheetData>
  <autoFilter ref="A4:I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52"/>
    <col collapsed="false" customWidth="true" hidden="false" outlineLevel="0" max="6" min="6" style="0" width="16"/>
  </cols>
  <sheetData>
    <row r="1" customFormat="false" ht="20.1" hidden="false" customHeight="false" outlineLevel="0" collapsed="false">
      <c r="A1" s="14" t="s">
        <v>390</v>
      </c>
    </row>
    <row r="2" customFormat="false" ht="15" hidden="false" customHeight="false" outlineLevel="0" collapsed="false">
      <c r="A2" s="3" t="s">
        <v>391</v>
      </c>
    </row>
    <row r="4" customFormat="false" ht="15" hidden="false" customHeight="false" outlineLevel="0" collapsed="false">
      <c r="A4" s="10" t="s">
        <v>392</v>
      </c>
      <c r="B4" s="5" t="s">
        <v>393</v>
      </c>
      <c r="C4" s="5" t="s">
        <v>394</v>
      </c>
      <c r="D4" s="5" t="s">
        <v>395</v>
      </c>
      <c r="E4" s="5" t="s">
        <v>396</v>
      </c>
      <c r="F4" s="5" t="s">
        <v>397</v>
      </c>
    </row>
    <row r="5" customFormat="false" ht="57.75" hidden="false" customHeight="true" outlineLevel="0" collapsed="false">
      <c r="A5" s="24" t="n">
        <v>1</v>
      </c>
      <c r="B5" s="25" t="s">
        <v>398</v>
      </c>
      <c r="C5" s="24" t="s">
        <v>399</v>
      </c>
      <c r="D5" s="25" t="s">
        <v>400</v>
      </c>
      <c r="E5" s="24" t="s">
        <v>401</v>
      </c>
      <c r="F5" s="25" t="s">
        <v>402</v>
      </c>
    </row>
    <row r="6" customFormat="false" ht="57.75" hidden="false" customHeight="true" outlineLevel="0" collapsed="false">
      <c r="A6" s="25" t="n">
        <v>2</v>
      </c>
      <c r="B6" s="25" t="s">
        <v>398</v>
      </c>
      <c r="C6" s="24" t="s">
        <v>399</v>
      </c>
      <c r="D6" s="25" t="s">
        <v>403</v>
      </c>
      <c r="E6" s="25" t="s">
        <v>404</v>
      </c>
      <c r="F6" s="25" t="s">
        <v>405</v>
      </c>
    </row>
    <row r="7" customFormat="false" ht="57.75" hidden="false" customHeight="true" outlineLevel="0" collapsed="false">
      <c r="A7" s="26" t="n">
        <v>3</v>
      </c>
      <c r="B7" s="26" t="s">
        <v>62</v>
      </c>
      <c r="C7" s="26" t="s">
        <v>406</v>
      </c>
      <c r="D7" s="27" t="s">
        <v>407</v>
      </c>
      <c r="E7" s="27" t="s">
        <v>408</v>
      </c>
      <c r="F7" s="27" t="s">
        <v>409</v>
      </c>
    </row>
    <row r="8" customFormat="false" ht="57.75" hidden="false" customHeight="true" outlineLevel="0" collapsed="false">
      <c r="A8" s="27" t="n">
        <v>4</v>
      </c>
      <c r="B8" s="26" t="s">
        <v>410</v>
      </c>
      <c r="C8" s="26" t="s">
        <v>406</v>
      </c>
      <c r="D8" s="27" t="s">
        <v>411</v>
      </c>
      <c r="E8" s="27" t="s">
        <v>412</v>
      </c>
      <c r="F8" s="27" t="s">
        <v>409</v>
      </c>
    </row>
    <row r="9" customFormat="false" ht="57.75" hidden="false" customHeight="true" outlineLevel="0" collapsed="false">
      <c r="A9" s="27" t="n">
        <v>5</v>
      </c>
      <c r="B9" s="26" t="s">
        <v>48</v>
      </c>
      <c r="C9" s="26" t="s">
        <v>406</v>
      </c>
      <c r="D9" s="27" t="s">
        <v>413</v>
      </c>
      <c r="E9" s="27" t="s">
        <v>414</v>
      </c>
      <c r="F9" s="27" t="s">
        <v>409</v>
      </c>
    </row>
    <row r="10" customFormat="false" ht="57.75" hidden="false" customHeight="true" outlineLevel="0" collapsed="false">
      <c r="A10" s="27" t="n">
        <v>6</v>
      </c>
      <c r="B10" s="27" t="s">
        <v>415</v>
      </c>
      <c r="C10" s="26" t="s">
        <v>406</v>
      </c>
      <c r="D10" s="27" t="s">
        <v>416</v>
      </c>
      <c r="E10" s="27" t="s">
        <v>417</v>
      </c>
      <c r="F10" s="27" t="s">
        <v>409</v>
      </c>
    </row>
    <row r="11" customFormat="false" ht="57.75" hidden="false" customHeight="true" outlineLevel="0" collapsed="false">
      <c r="A11" s="27" t="n">
        <v>7</v>
      </c>
      <c r="B11" s="26" t="s">
        <v>50</v>
      </c>
      <c r="C11" s="26" t="s">
        <v>418</v>
      </c>
      <c r="D11" s="27" t="s">
        <v>419</v>
      </c>
      <c r="E11" s="26" t="s">
        <v>420</v>
      </c>
      <c r="F11" s="27" t="s">
        <v>409</v>
      </c>
    </row>
    <row r="12" customFormat="false" ht="57.75" hidden="false" customHeight="true" outlineLevel="0" collapsed="false">
      <c r="A12" s="27" t="n">
        <v>8</v>
      </c>
      <c r="B12" s="26" t="s">
        <v>54</v>
      </c>
      <c r="C12" s="26" t="s">
        <v>418</v>
      </c>
      <c r="D12" s="26" t="s">
        <v>421</v>
      </c>
      <c r="E12" s="27" t="s">
        <v>422</v>
      </c>
      <c r="F12" s="27" t="s">
        <v>423</v>
      </c>
    </row>
    <row r="13" customFormat="false" ht="57.75" hidden="false" customHeight="true" outlineLevel="0" collapsed="false">
      <c r="A13" s="27" t="n">
        <v>9</v>
      </c>
      <c r="B13" s="26" t="s">
        <v>424</v>
      </c>
      <c r="C13" s="26" t="s">
        <v>418</v>
      </c>
      <c r="D13" s="27" t="s">
        <v>425</v>
      </c>
      <c r="E13" s="26" t="s">
        <v>426</v>
      </c>
      <c r="F13" s="27" t="s">
        <v>409</v>
      </c>
    </row>
    <row r="14" customFormat="false" ht="57.75" hidden="false" customHeight="true" outlineLevel="0" collapsed="false">
      <c r="A14" s="27" t="n">
        <v>10</v>
      </c>
      <c r="B14" s="26" t="s">
        <v>427</v>
      </c>
      <c r="C14" s="26" t="s">
        <v>418</v>
      </c>
      <c r="D14" s="27" t="s">
        <v>428</v>
      </c>
      <c r="E14" s="26" t="s">
        <v>429</v>
      </c>
      <c r="F14" s="27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20.1" hidden="false" customHeight="false" outlineLevel="0" collapsed="false">
      <c r="A1" s="14" t="s">
        <v>430</v>
      </c>
    </row>
    <row r="3" customFormat="false" ht="15" hidden="false" customHeight="false" outlineLevel="0" collapsed="false">
      <c r="A3" s="3" t="s">
        <v>431</v>
      </c>
    </row>
    <row r="4" customFormat="false" ht="15" hidden="false" customHeight="false" outlineLevel="0" collapsed="false">
      <c r="A4" s="5" t="s">
        <v>432</v>
      </c>
      <c r="B4" s="5" t="s">
        <v>433</v>
      </c>
      <c r="C4" s="5" t="s">
        <v>434</v>
      </c>
      <c r="D4" s="5" t="s">
        <v>435</v>
      </c>
      <c r="E4" s="5" t="s">
        <v>436</v>
      </c>
    </row>
    <row r="5" customFormat="false" ht="15" hidden="false" customHeight="false" outlineLevel="0" collapsed="false">
      <c r="A5" s="7" t="s">
        <v>437</v>
      </c>
      <c r="B5" s="7" t="s">
        <v>438</v>
      </c>
      <c r="C5" s="7" t="s">
        <v>438</v>
      </c>
      <c r="D5" s="2" t="s">
        <v>439</v>
      </c>
      <c r="E5" s="2" t="s">
        <v>440</v>
      </c>
    </row>
    <row r="6" customFormat="false" ht="15" hidden="false" customHeight="false" outlineLevel="0" collapsed="false">
      <c r="A6" s="7" t="s">
        <v>441</v>
      </c>
      <c r="B6" s="7" t="s">
        <v>442</v>
      </c>
      <c r="C6" s="7" t="s">
        <v>442</v>
      </c>
      <c r="D6" s="2" t="s">
        <v>439</v>
      </c>
      <c r="E6" s="2" t="s">
        <v>443</v>
      </c>
    </row>
    <row r="7" customFormat="false" ht="15" hidden="false" customHeight="false" outlineLevel="0" collapsed="false">
      <c r="A7" s="2" t="s">
        <v>444</v>
      </c>
      <c r="B7" s="7" t="s">
        <v>438</v>
      </c>
      <c r="C7" s="7" t="s">
        <v>438</v>
      </c>
      <c r="D7" s="2" t="s">
        <v>439</v>
      </c>
      <c r="E7" s="7" t="s">
        <v>445</v>
      </c>
    </row>
    <row r="8" customFormat="false" ht="15" hidden="false" customHeight="false" outlineLevel="0" collapsed="false">
      <c r="A8" s="7" t="s">
        <v>446</v>
      </c>
      <c r="B8" s="7" t="s">
        <v>447</v>
      </c>
      <c r="C8" s="7" t="s">
        <v>447</v>
      </c>
      <c r="D8" s="2" t="s">
        <v>439</v>
      </c>
      <c r="E8" s="2" t="s">
        <v>448</v>
      </c>
    </row>
    <row r="9" customFormat="false" ht="15" hidden="false" customHeight="false" outlineLevel="0" collapsed="false">
      <c r="A9" s="2" t="s">
        <v>449</v>
      </c>
      <c r="B9" s="2" t="s">
        <v>450</v>
      </c>
      <c r="C9" s="2" t="s">
        <v>450</v>
      </c>
      <c r="D9" s="2" t="s">
        <v>439</v>
      </c>
      <c r="E9" s="7" t="s">
        <v>451</v>
      </c>
    </row>
    <row r="11" customFormat="false" ht="15" hidden="false" customHeight="false" outlineLevel="0" collapsed="false">
      <c r="A11" s="4" t="s">
        <v>452</v>
      </c>
    </row>
    <row r="12" customFormat="false" ht="15" hidden="false" customHeight="false" outlineLevel="0" collapsed="false">
      <c r="A12" s="5" t="s">
        <v>453</v>
      </c>
      <c r="B12" s="5" t="s">
        <v>454</v>
      </c>
      <c r="C12" s="5" t="s">
        <v>455</v>
      </c>
      <c r="D12" s="5" t="s">
        <v>435</v>
      </c>
      <c r="E12" s="5" t="s">
        <v>43</v>
      </c>
    </row>
    <row r="13" customFormat="false" ht="15" hidden="false" customHeight="false" outlineLevel="0" collapsed="false">
      <c r="A13" s="7" t="s">
        <v>54</v>
      </c>
      <c r="B13" s="9" t="n">
        <v>0.851</v>
      </c>
      <c r="C13" s="9" t="n">
        <v>0.851</v>
      </c>
      <c r="D13" s="9" t="n">
        <v>0</v>
      </c>
      <c r="E13" s="2" t="s">
        <v>456</v>
      </c>
    </row>
    <row r="14" customFormat="false" ht="15" hidden="false" customHeight="false" outlineLevel="0" collapsed="false">
      <c r="A14" s="7" t="s">
        <v>50</v>
      </c>
      <c r="B14" s="9" t="n">
        <v>0.733</v>
      </c>
      <c r="C14" s="9" t="n">
        <v>0.733</v>
      </c>
      <c r="D14" s="9" t="n">
        <v>0</v>
      </c>
      <c r="E14" s="2" t="s">
        <v>456</v>
      </c>
    </row>
    <row r="15" customFormat="false" ht="15" hidden="false" customHeight="false" outlineLevel="0" collapsed="false">
      <c r="A15" s="7" t="s">
        <v>60</v>
      </c>
      <c r="B15" s="9" t="n">
        <v>0.727</v>
      </c>
      <c r="C15" s="9" t="n">
        <v>0.727</v>
      </c>
      <c r="D15" s="9" t="n">
        <v>0</v>
      </c>
      <c r="E15" s="2" t="s">
        <v>456</v>
      </c>
    </row>
    <row r="16" customFormat="false" ht="15" hidden="false" customHeight="false" outlineLevel="0" collapsed="false">
      <c r="A16" s="7" t="s">
        <v>52</v>
      </c>
      <c r="B16" s="9" t="n">
        <v>0.423</v>
      </c>
      <c r="C16" s="9" t="n">
        <v>0.423</v>
      </c>
      <c r="D16" s="9" t="n">
        <v>0</v>
      </c>
      <c r="E16" s="2" t="s">
        <v>456</v>
      </c>
    </row>
    <row r="17" customFormat="false" ht="15" hidden="false" customHeight="false" outlineLevel="0" collapsed="false">
      <c r="A17" s="7" t="s">
        <v>44</v>
      </c>
      <c r="B17" s="9" t="n">
        <v>0.336</v>
      </c>
      <c r="C17" s="9" t="n">
        <v>0.336</v>
      </c>
      <c r="D17" s="9" t="n">
        <v>0</v>
      </c>
      <c r="E17" s="2" t="s">
        <v>456</v>
      </c>
    </row>
    <row r="18" customFormat="false" ht="15" hidden="false" customHeight="false" outlineLevel="0" collapsed="false">
      <c r="A18" s="7" t="s">
        <v>56</v>
      </c>
      <c r="B18" s="9" t="n">
        <v>0.324</v>
      </c>
      <c r="C18" s="9" t="n">
        <v>0.324</v>
      </c>
      <c r="D18" s="9" t="n">
        <v>0</v>
      </c>
      <c r="E18" s="2" t="s">
        <v>456</v>
      </c>
    </row>
    <row r="19" customFormat="false" ht="15" hidden="false" customHeight="false" outlineLevel="0" collapsed="false">
      <c r="A19" s="7" t="s">
        <v>59</v>
      </c>
      <c r="B19" s="9" t="n">
        <v>0.193</v>
      </c>
      <c r="C19" s="9" t="n">
        <v>0.193</v>
      </c>
      <c r="D19" s="9" t="n">
        <v>0</v>
      </c>
      <c r="E19" s="2" t="s">
        <v>456</v>
      </c>
    </row>
    <row r="20" customFormat="false" ht="15" hidden="false" customHeight="false" outlineLevel="0" collapsed="false">
      <c r="A20" s="7" t="s">
        <v>58</v>
      </c>
      <c r="B20" s="9" t="n">
        <v>0.178</v>
      </c>
      <c r="C20" s="9" t="n">
        <v>0.178</v>
      </c>
      <c r="D20" s="9" t="n">
        <v>0</v>
      </c>
      <c r="E20" s="2" t="s">
        <v>456</v>
      </c>
    </row>
    <row r="21" customFormat="false" ht="15" hidden="false" customHeight="false" outlineLevel="0" collapsed="false">
      <c r="A21" s="7" t="s">
        <v>48</v>
      </c>
      <c r="B21" s="9" t="n">
        <v>0.175</v>
      </c>
      <c r="C21" s="9" t="n">
        <v>0.175</v>
      </c>
      <c r="D21" s="9" t="n">
        <v>0</v>
      </c>
      <c r="E21" s="2" t="s">
        <v>456</v>
      </c>
    </row>
    <row r="22" customFormat="false" ht="15" hidden="false" customHeight="false" outlineLevel="0" collapsed="false">
      <c r="A22" s="7" t="s">
        <v>57</v>
      </c>
      <c r="B22" s="9" t="n">
        <v>0.004</v>
      </c>
      <c r="C22" s="9" t="n">
        <v>0.004</v>
      </c>
      <c r="D22" s="9" t="n">
        <v>0</v>
      </c>
      <c r="E22" s="2" t="s">
        <v>456</v>
      </c>
    </row>
    <row r="23" customFormat="false" ht="15" hidden="false" customHeight="false" outlineLevel="0" collapsed="false">
      <c r="A23" s="7" t="s">
        <v>62</v>
      </c>
      <c r="B23" s="9" t="n">
        <v>0</v>
      </c>
      <c r="C23" s="9" t="n">
        <v>0</v>
      </c>
      <c r="D23" s="9" t="n">
        <v>0</v>
      </c>
      <c r="E23" s="2" t="s">
        <v>456</v>
      </c>
    </row>
    <row r="25" customFormat="false" ht="15" hidden="false" customHeight="false" outlineLevel="0" collapsed="false">
      <c r="A25" s="3" t="s">
        <v>457</v>
      </c>
    </row>
    <row r="26" customFormat="false" ht="15" hidden="false" customHeight="false" outlineLevel="0" collapsed="false">
      <c r="A26" s="5" t="s">
        <v>393</v>
      </c>
      <c r="B26" s="5" t="s">
        <v>458</v>
      </c>
      <c r="C26" s="5" t="s">
        <v>459</v>
      </c>
      <c r="D26" s="5" t="s">
        <v>460</v>
      </c>
      <c r="E26" s="5" t="s">
        <v>461</v>
      </c>
    </row>
    <row r="27" customFormat="false" ht="43.5" hidden="false" customHeight="true" outlineLevel="0" collapsed="false">
      <c r="A27" s="26" t="s">
        <v>54</v>
      </c>
      <c r="B27" s="26" t="s">
        <v>462</v>
      </c>
      <c r="C27" s="27" t="s">
        <v>463</v>
      </c>
      <c r="D27" s="26" t="s">
        <v>464</v>
      </c>
      <c r="E27" s="27" t="s">
        <v>465</v>
      </c>
    </row>
    <row r="28" customFormat="false" ht="43.5" hidden="false" customHeight="true" outlineLevel="0" collapsed="false">
      <c r="A28" s="26" t="s">
        <v>50</v>
      </c>
      <c r="B28" s="26" t="s">
        <v>466</v>
      </c>
      <c r="C28" s="27" t="s">
        <v>467</v>
      </c>
      <c r="D28" s="26" t="s">
        <v>464</v>
      </c>
      <c r="E28" s="27" t="s">
        <v>468</v>
      </c>
    </row>
    <row r="29" customFormat="false" ht="43.5" hidden="false" customHeight="true" outlineLevel="0" collapsed="false">
      <c r="A29" s="27" t="s">
        <v>469</v>
      </c>
      <c r="B29" s="27" t="s">
        <v>470</v>
      </c>
      <c r="C29" s="27" t="s">
        <v>471</v>
      </c>
      <c r="D29" s="26" t="s">
        <v>472</v>
      </c>
      <c r="E29" s="27" t="s">
        <v>473</v>
      </c>
    </row>
    <row r="31" customFormat="false" ht="15" hidden="false" customHeight="false" outlineLevel="0" collapsed="false">
      <c r="A31" s="3" t="s">
        <v>474</v>
      </c>
    </row>
    <row r="32" customFormat="false" ht="15" hidden="false" customHeight="false" outlineLevel="0" collapsed="false">
      <c r="A32" s="3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2026-09-13T01:15:33Z</dcterms:created>
  <dc:creator>openpyxl</dc:creator>
  <dc:description/>
  <dc:language>en-US</dc:language>
  <cp:lastModifiedBy/>
  <dcterms:modified xsi:type="dcterms:W3CDTF">2026-09-13T01:15:33Z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