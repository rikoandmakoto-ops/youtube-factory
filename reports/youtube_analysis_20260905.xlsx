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動画別パフォーマンス!$A$4:$K$188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<sst xmlns="http://schemas.openxmlformats.org/spreadsheetml/2006/main" count="1119" uniqueCount="567">
  <si>
    <r>
      <rPr>
        <b val="true"/>
        <sz val="14"/>
        <color rgb="FF1F3864"/>
        <rFont val="Arial"/>
        <family val="0"/>
        <charset val="1"/>
      </rPr>
      <t xml:space="preserve">YouTube Factory </t>
    </r>
    <r>
      <rPr>
        <b val="true"/>
        <sz val="14"/>
        <color rgb="FF1F3864"/>
        <rFont val="Noto Sans CJK SC"/>
        <family val="2"/>
      </rPr>
      <t xml:space="preserve">日次分析 — </t>
    </r>
    <r>
      <rPr>
        <b val="true"/>
        <sz val="14"/>
        <color rgb="FF1F3864"/>
        <rFont val="Arial"/>
        <family val="0"/>
        <charset val="1"/>
      </rPr>
      <t xml:space="preserve">2026-09-05</t>
    </r>
  </si>
  <si>
    <t xml:space="preserve">⚠ 最重要の注意: video_metrics の views / impressions / likes / subscribers_gained は「その日の値」ではなく動画ごとの累積カウンタ。したがって日次スナップショットを7日ぶん足し算してはいけない（過去の日次レポートはこれをやっていた可能性が高い）。本シートの週次は全て「各動画の累積値の週初→週末の差分」で算出している。</t>
  </si>
  <si>
    <t xml:space="preserve">総括: 再生数は伸びている。既存6chの週次実増分は 前週 37,113 → 今週 44,849（+20.8%）、登録者の実増分も 11 → 24。ボトルネックは量ではなく質で、公開週コホートの平均維持率が主要5ch全てで低下している（-5.4 〜 -27.6pt）。唯一 company-facts だけが +23.7pt と逆行しており、本日の施策はこの差を埋める一点に集中させた。</t>
  </si>
  <si>
    <t xml:space="preserve">データ出所: data/analytics/analytics.db（最終取得 2026-09-04 23:12 JST）。指揮者の実行環境から YouTube API・localhost:8000 いずれにも到達できないため、当日の新規取得と手動トリガーは行っていない。</t>
  </si>
  <si>
    <r>
      <rPr>
        <i val="true"/>
        <sz val="9"/>
        <color rgb="FFC00000"/>
        <rFont val="Arial"/>
        <family val="0"/>
        <charset val="1"/>
      </rPr>
      <t xml:space="preserve">YouTube Analytics </t>
    </r>
    <r>
      <rPr>
        <i val="true"/>
        <sz val="9"/>
        <color rgb="FFC00000"/>
        <rFont val="Noto Sans CJK SC"/>
        <family val="2"/>
      </rPr>
      <t xml:space="preserve">は</t>
    </r>
    <r>
      <rPr>
        <i val="true"/>
        <sz val="9"/>
        <color rgb="FFC00000"/>
        <rFont val="Arial"/>
        <family val="0"/>
        <charset val="1"/>
      </rPr>
      <t xml:space="preserve">2</t>
    </r>
    <r>
      <rPr>
        <i val="true"/>
        <sz val="9"/>
        <color rgb="FFC00000"/>
        <rFont val="Noto Sans CJK SC"/>
        <family val="2"/>
      </rPr>
      <t xml:space="preserve">〜</t>
    </r>
    <r>
      <rPr>
        <i val="true"/>
        <sz val="9"/>
        <color rgb="FFC00000"/>
        <rFont val="Arial"/>
        <family val="0"/>
        <charset val="1"/>
      </rPr>
      <t xml:space="preserve">3</t>
    </r>
    <r>
      <rPr>
        <i val="true"/>
        <sz val="9"/>
        <color rgb="FFC00000"/>
        <rFont val="Noto Sans CJK SC"/>
        <family val="2"/>
      </rPr>
      <t xml:space="preserve">日遅延する。</t>
    </r>
    <r>
      <rPr>
        <i val="true"/>
        <sz val="9"/>
        <color rgb="FFC00000"/>
        <rFont val="Arial"/>
        <family val="0"/>
        <charset val="1"/>
      </rPr>
      <t xml:space="preserve">09-02</t>
    </r>
    <r>
      <rPr>
        <i val="true"/>
        <sz val="9"/>
        <color rgb="FFC00000"/>
        <rFont val="Noto Sans CJK SC"/>
        <family val="2"/>
      </rPr>
      <t xml:space="preserve">以降に公開した</t>
    </r>
    <r>
      <rPr>
        <i val="true"/>
        <sz val="9"/>
        <color rgb="FFC00000"/>
        <rFont val="Arial"/>
        <family val="0"/>
        <charset val="1"/>
      </rPr>
      <t xml:space="preserve">35</t>
    </r>
    <r>
      <rPr>
        <i val="true"/>
        <sz val="9"/>
        <color rgb="FFC00000"/>
        <rFont val="Noto Sans CJK SC"/>
        <family val="2"/>
      </rPr>
      <t xml:space="preserve">本は全指標ゼロだが不調ではなく未着信（</t>
    </r>
    <r>
      <rPr>
        <i val="true"/>
        <sz val="9"/>
        <color rgb="FFC00000"/>
        <rFont val="Arial"/>
        <family val="0"/>
        <charset val="1"/>
      </rPr>
      <t xml:space="preserve">08-31</t>
    </r>
    <r>
      <rPr>
        <i val="true"/>
        <sz val="9"/>
        <color rgb="FFC00000"/>
        <rFont val="Noto Sans CJK SC"/>
        <family val="2"/>
      </rPr>
      <t xml:space="preserve">公開は</t>
    </r>
    <r>
      <rPr>
        <i val="true"/>
        <sz val="9"/>
        <color rgb="FFC00000"/>
        <rFont val="Arial"/>
        <family val="0"/>
        <charset val="1"/>
      </rPr>
      <t xml:space="preserve">10</t>
    </r>
    <r>
      <rPr>
        <i val="true"/>
        <sz val="9"/>
        <color rgb="FFC00000"/>
        <rFont val="Noto Sans CJK SC"/>
        <family val="2"/>
      </rPr>
      <t xml:space="preserve">本中</t>
    </r>
    <r>
      <rPr>
        <i val="true"/>
        <sz val="9"/>
        <color rgb="FFC00000"/>
        <rFont val="Arial"/>
        <family val="0"/>
        <charset val="1"/>
      </rPr>
      <t xml:space="preserve">8</t>
    </r>
    <r>
      <rPr>
        <i val="true"/>
        <sz val="9"/>
        <color rgb="FFC00000"/>
        <rFont val="Noto Sans CJK SC"/>
        <family val="2"/>
      </rPr>
      <t xml:space="preserve">本にデータあり）。評価対象は「公開後</t>
    </r>
    <r>
      <rPr>
        <i val="true"/>
        <sz val="9"/>
        <color rgb="FFC00000"/>
        <rFont val="Arial"/>
        <family val="0"/>
        <charset val="1"/>
      </rPr>
      <t xml:space="preserve">3</t>
    </r>
    <r>
      <rPr>
        <i val="true"/>
        <sz val="9"/>
        <color rgb="FFC00000"/>
        <rFont val="Noto Sans CJK SC"/>
        <family val="2"/>
      </rPr>
      <t xml:space="preserve">日以上」に限定している。</t>
    </r>
  </si>
  <si>
    <t xml:space="preserve">■ 週次の実増分（各動画の累積値の差分。08-29〜09-04 vs 08-22〜08-28）</t>
  </si>
  <si>
    <t xml:space="preserve">チャンネル</t>
  </si>
  <si>
    <t xml:space="preserve">再生 実増分</t>
  </si>
  <si>
    <t xml:space="preserve">前週 実増分</t>
  </si>
  <si>
    <t xml:space="preserve">前週比</t>
  </si>
  <si>
    <t xml:space="preserve">登録者 実増分</t>
  </si>
  <si>
    <t xml:space="preserve">登録/千再生</t>
  </si>
  <si>
    <t xml:space="preserve">所見</t>
  </si>
  <si>
    <r>
      <rPr>
        <sz val="10"/>
        <rFont val="Arial"/>
        <family val="0"/>
        <charset val="1"/>
      </rPr>
      <t xml:space="preserve">1</t>
    </r>
    <r>
      <rPr>
        <sz val="10"/>
        <rFont val="Noto Sans CJK SC"/>
        <family val="2"/>
      </rPr>
      <t xml:space="preserve">分科学 </t>
    </r>
    <r>
      <rPr>
        <sz val="10"/>
        <rFont val="Arial"/>
        <family val="0"/>
        <charset val="1"/>
      </rPr>
      <t xml:space="preserve">(daily-science)</t>
    </r>
  </si>
  <si>
    <t xml:space="preserve">実増分は前週並み(1.02倍)。登録効率は主要6chで最良。維持率も -5.4pt と下げ幅が最小。</t>
  </si>
  <si>
    <t xml:space="preserve">企業のホンネ (company-facts)</t>
  </si>
  <si>
    <t xml:space="preserve">比較不可</t>
  </si>
  <si>
    <t xml:space="preserve">唯一 維持率が上がり続けている(39.8→51.1→63.6%)。冒頭崖も-1.7ptで最小。全chの手本にすべき。</t>
  </si>
  <si>
    <r>
      <rPr>
        <sz val="10"/>
        <rFont val="Arial"/>
        <family val="0"/>
        <charset val="1"/>
      </rPr>
      <t xml:space="preserve">SCP</t>
    </r>
    <r>
      <rPr>
        <sz val="10"/>
        <rFont val="Noto Sans CJK SC"/>
        <family val="2"/>
      </rPr>
      <t xml:space="preserve">ラボ </t>
    </r>
    <r>
      <rPr>
        <sz val="10"/>
        <rFont val="Arial"/>
        <family val="0"/>
        <charset val="1"/>
      </rPr>
      <t xml:space="preserve">(scp-lab)</t>
    </r>
  </si>
  <si>
    <t xml:space="preserve">実増分は1.71倍と伸びが最大。ただし累積表示回数113,153に対しCTR1.54%で最下位。サムネが最大の伸びしろ。</t>
  </si>
  <si>
    <t xml:space="preserve">妖怪ファイル (yokai-watch)</t>
  </si>
  <si>
    <t xml:space="preserve">実増分1.11倍。維持率は61.6→41.1%(-20.5pt)。19時枠(n=18)の登録効率0.218が最弱で17:45へ移設。</t>
  </si>
  <si>
    <t xml:space="preserve">ポケモン研究 (pokemon-lab)</t>
  </si>
  <si>
    <t xml:space="preserve">実増分1.11倍だが登録者の実増分は1人。維持率の下げ幅が最大(55.7→28.1%, -27.6pt)。</t>
  </si>
  <si>
    <r>
      <rPr>
        <sz val="10"/>
        <rFont val="Arial"/>
        <family val="0"/>
        <charset val="1"/>
      </rPr>
      <t xml:space="preserve">2ch</t>
    </r>
    <r>
      <rPr>
        <sz val="10"/>
        <rFont val="Noto Sans CJK SC"/>
        <family val="2"/>
      </rPr>
      <t xml:space="preserve">まとめ </t>
    </r>
    <r>
      <rPr>
        <sz val="10"/>
        <rFont val="Arial"/>
        <family val="0"/>
        <charset val="1"/>
      </rPr>
      <t xml:space="preserve">(2ch-matome)</t>
    </r>
  </si>
  <si>
    <t xml:space="preserve">唯一 実増分が減った(0.87倍)。CTR5.69%は全ch最高だが登録に繋がらない。18時枠は9本で登録0人。</t>
  </si>
  <si>
    <r>
      <rPr>
        <b val="true"/>
        <sz val="10"/>
        <rFont val="Noto Sans CJK SC"/>
        <family val="2"/>
      </rPr>
      <t xml:space="preserve">既存</t>
    </r>
    <r>
      <rPr>
        <b val="true"/>
        <sz val="10"/>
        <rFont val="Arial"/>
        <family val="0"/>
        <charset val="1"/>
      </rPr>
      <t xml:space="preserve">6ch </t>
    </r>
    <r>
      <rPr>
        <b val="true"/>
        <sz val="10"/>
        <rFont val="Noto Sans CJK SC"/>
        <family val="2"/>
      </rPr>
      <t xml:space="preserve">合計（前週も計測できる</t>
    </r>
    <r>
      <rPr>
        <b val="true"/>
        <sz val="10"/>
        <rFont val="Arial"/>
        <family val="0"/>
        <charset val="1"/>
      </rPr>
      <t xml:space="preserve">ch</t>
    </r>
    <r>
      <rPr>
        <b val="true"/>
        <sz val="10"/>
        <rFont val="Noto Sans CJK SC"/>
        <family val="2"/>
      </rPr>
      <t xml:space="preserve">＝主要</t>
    </r>
    <r>
      <rPr>
        <b val="true"/>
        <sz val="10"/>
        <rFont val="Arial"/>
        <family val="0"/>
        <charset val="1"/>
      </rPr>
      <t xml:space="preserve">5ch</t>
    </r>
    <r>
      <rPr>
        <b val="true"/>
        <sz val="10"/>
        <rFont val="Noto Sans CJK SC"/>
        <family val="2"/>
      </rPr>
      <t xml:space="preserve">＋架空論文）</t>
    </r>
  </si>
  <si>
    <r>
      <rPr>
        <i val="true"/>
        <sz val="9"/>
        <rFont val="Noto Sans CJK SC"/>
        <family val="2"/>
      </rPr>
      <t xml:space="preserve">上の</t>
    </r>
    <r>
      <rPr>
        <i val="true"/>
        <sz val="9"/>
        <rFont val="Arial"/>
        <family val="0"/>
        <charset val="1"/>
      </rPr>
      <t xml:space="preserve">6</t>
    </r>
    <r>
      <rPr>
        <i val="true"/>
        <sz val="9"/>
        <rFont val="Noto Sans CJK SC"/>
        <family val="2"/>
      </rPr>
      <t xml:space="preserve">行は主要</t>
    </r>
    <r>
      <rPr>
        <i val="true"/>
        <sz val="9"/>
        <rFont val="Arial"/>
        <family val="0"/>
        <charset val="1"/>
      </rPr>
      <t xml:space="preserve">6ch</t>
    </r>
    <r>
      <rPr>
        <i val="true"/>
        <sz val="9"/>
        <rFont val="Noto Sans CJK SC"/>
        <family val="2"/>
      </rPr>
      <t xml:space="preserve">のみを表示している。</t>
    </r>
    <r>
      <rPr>
        <i val="true"/>
        <sz val="9"/>
        <rFont val="Arial"/>
        <family val="0"/>
        <charset val="1"/>
      </rPr>
      <t xml:space="preserve">company-facts </t>
    </r>
    <r>
      <rPr>
        <i val="true"/>
        <sz val="9"/>
        <rFont val="Noto Sans CJK SC"/>
        <family val="2"/>
      </rPr>
      <t xml:space="preserve">は </t>
    </r>
    <r>
      <rPr>
        <i val="true"/>
        <sz val="9"/>
        <rFont val="Arial"/>
        <family val="0"/>
        <charset val="1"/>
      </rPr>
      <t xml:space="preserve">video_metrics </t>
    </r>
    <r>
      <rPr>
        <i val="true"/>
        <sz val="9"/>
        <rFont val="Noto Sans CJK SC"/>
        <family val="2"/>
      </rPr>
      <t xml:space="preserve">が </t>
    </r>
    <r>
      <rPr>
        <i val="true"/>
        <sz val="9"/>
        <rFont val="Arial"/>
        <family val="0"/>
        <charset val="1"/>
      </rPr>
      <t xml:space="preserve">2026-09-01 </t>
    </r>
    <r>
      <rPr>
        <i val="true"/>
        <sz val="9"/>
        <rFont val="Noto Sans CJK SC"/>
        <family val="2"/>
      </rPr>
      <t xml:space="preserve">以降にしか無く前週と比較できないため合計から除き、代わりに架空論文</t>
    </r>
    <r>
      <rPr>
        <i val="true"/>
        <sz val="9"/>
        <rFont val="Arial"/>
        <family val="0"/>
        <charset val="1"/>
      </rPr>
      <t xml:space="preserve">(fake-paper)</t>
    </r>
    <r>
      <rPr>
        <i val="true"/>
        <sz val="9"/>
        <rFont val="Noto Sans CJK SC"/>
        <family val="2"/>
      </rPr>
      <t xml:space="preserve">を含めた既存</t>
    </r>
    <r>
      <rPr>
        <i val="true"/>
        <sz val="9"/>
        <rFont val="Arial"/>
        <family val="0"/>
        <charset val="1"/>
      </rPr>
      <t xml:space="preserve">6ch</t>
    </r>
    <r>
      <rPr>
        <i val="true"/>
        <sz val="9"/>
        <rFont val="Noto Sans CJK SC"/>
        <family val="2"/>
      </rPr>
      <t xml:space="preserve">で集計している。</t>
    </r>
  </si>
  <si>
    <t xml:space="preserve">■ 今日の結論（すべて実データ由来）</t>
  </si>
  <si>
    <t xml:space="preserve">区分</t>
  </si>
  <si>
    <t xml:space="preserve">結論</t>
  </si>
  <si>
    <t xml:space="preserve">根拠</t>
  </si>
  <si>
    <t xml:space="preserve">①最優先</t>
  </si>
  <si>
    <t xml:space="preserve">問題は量ではなく維持率。冒頭3秒がボトルネック</t>
  </si>
  <si>
    <r>
      <rPr>
        <sz val="9"/>
        <rFont val="Arial"/>
        <family val="0"/>
        <charset val="1"/>
      </rPr>
      <t xml:space="preserve">relative_retention </t>
    </r>
    <r>
      <rPr>
        <sz val="9"/>
        <rFont val="Noto Sans CJK SC"/>
        <family val="2"/>
      </rPr>
      <t xml:space="preserve">の崖は全</t>
    </r>
    <r>
      <rPr>
        <sz val="9"/>
        <rFont val="Arial"/>
        <family val="0"/>
        <charset val="1"/>
      </rPr>
      <t xml:space="preserve">12ch</t>
    </r>
    <r>
      <rPr>
        <sz val="9"/>
        <rFont val="Noto Sans CJK SC"/>
        <family val="2"/>
      </rPr>
      <t xml:space="preserve">で再生位置</t>
    </r>
    <r>
      <rPr>
        <sz val="9"/>
        <rFont val="Arial"/>
        <family val="0"/>
        <charset val="1"/>
      </rPr>
      <t xml:space="preserve">5%→10%</t>
    </r>
    <r>
      <rPr>
        <sz val="9"/>
        <rFont val="Noto Sans CJK SC"/>
        <family val="2"/>
      </rPr>
      <t xml:space="preserve">（≒</t>
    </r>
    <r>
      <rPr>
        <sz val="9"/>
        <rFont val="Arial"/>
        <family val="0"/>
        <charset val="1"/>
      </rPr>
      <t xml:space="preserve">1.5</t>
    </r>
    <r>
      <rPr>
        <sz val="9"/>
        <rFont val="Noto Sans CJK SC"/>
        <family val="2"/>
      </rPr>
      <t xml:space="preserve">〜</t>
    </r>
    <r>
      <rPr>
        <sz val="9"/>
        <rFont val="Arial"/>
        <family val="0"/>
        <charset val="1"/>
      </rPr>
      <t xml:space="preserve">3</t>
    </r>
    <r>
      <rPr>
        <sz val="9"/>
        <rFont val="Noto Sans CJK SC"/>
        <family val="2"/>
      </rPr>
      <t xml:space="preserve">秒）に集中。落差は </t>
    </r>
    <r>
      <rPr>
        <sz val="9"/>
        <rFont val="Arial"/>
        <family val="0"/>
        <charset val="1"/>
      </rPr>
      <t xml:space="preserve">scp-lab -5.0pt / 2ch-matome -3.9pt / daily-science -3.8pt / pokemon-lab -3.0pt / yokai-watch -3.0pt </t>
    </r>
    <r>
      <rPr>
        <sz val="9"/>
        <rFont val="Noto Sans CJK SC"/>
        <family val="2"/>
      </rPr>
      <t xml:space="preserve">に対し、</t>
    </r>
    <r>
      <rPr>
        <sz val="9"/>
        <rFont val="Arial"/>
        <family val="0"/>
        <charset val="1"/>
      </rPr>
      <t xml:space="preserve">company-facts </t>
    </r>
    <r>
      <rPr>
        <sz val="9"/>
        <rFont val="Noto Sans CJK SC"/>
        <family val="2"/>
      </rPr>
      <t xml:space="preserve">だけ </t>
    </r>
    <r>
      <rPr>
        <sz val="9"/>
        <rFont val="Arial"/>
        <family val="0"/>
        <charset val="1"/>
      </rPr>
      <t xml:space="preserve">-1.7pt </t>
    </r>
    <r>
      <rPr>
        <sz val="9"/>
        <rFont val="Noto Sans CJK SC"/>
        <family val="2"/>
      </rPr>
      <t xml:space="preserve">で平坦。絶対値も </t>
    </r>
    <r>
      <rPr>
        <sz val="9"/>
        <rFont val="Arial"/>
        <family val="0"/>
        <charset val="1"/>
      </rPr>
      <t xml:space="preserve">company-facts 44</t>
    </r>
    <r>
      <rPr>
        <sz val="9"/>
        <rFont val="Noto Sans CJK SC"/>
        <family val="2"/>
      </rPr>
      <t xml:space="preserve">〜</t>
    </r>
    <r>
      <rPr>
        <sz val="9"/>
        <rFont val="Arial"/>
        <family val="0"/>
        <charset val="1"/>
      </rPr>
      <t xml:space="preserve">46% </t>
    </r>
    <r>
      <rPr>
        <sz val="9"/>
        <rFont val="Noto Sans CJK SC"/>
        <family val="2"/>
      </rPr>
      <t xml:space="preserve">対 他 </t>
    </r>
    <r>
      <rPr>
        <sz val="9"/>
        <rFont val="Arial"/>
        <family val="0"/>
        <charset val="1"/>
      </rPr>
      <t xml:space="preserve">25</t>
    </r>
    <r>
      <rPr>
        <sz val="9"/>
        <rFont val="Noto Sans CJK SC"/>
        <family val="2"/>
      </rPr>
      <t xml:space="preserve">〜</t>
    </r>
    <r>
      <rPr>
        <sz val="9"/>
        <rFont val="Arial"/>
        <family val="0"/>
        <charset val="1"/>
      </rPr>
      <t xml:space="preserve">31%</t>
    </r>
    <r>
      <rPr>
        <sz val="9"/>
        <rFont val="Noto Sans CJK SC"/>
        <family val="2"/>
      </rPr>
      <t xml:space="preserve">。構造的な差は「冒頭で数字を画面に大きく出す」ことなので全</t>
    </r>
    <r>
      <rPr>
        <sz val="9"/>
        <rFont val="Arial"/>
        <family val="0"/>
        <charset val="1"/>
      </rPr>
      <t xml:space="preserve">6ch</t>
    </r>
    <r>
      <rPr>
        <sz val="9"/>
        <rFont val="Noto Sans CJK SC"/>
        <family val="2"/>
      </rPr>
      <t xml:space="preserve">へ移植した。</t>
    </r>
  </si>
  <si>
    <t xml:space="preserve">②実験開始</t>
  </si>
  <si>
    <t xml:space="preserve">「短くすれば維持率が上がる」という08-25の仮説は現行データで支持されない</t>
  </si>
  <si>
    <t xml:space="preserve">公開週コホート W32→W34（views&gt;0 かつ avg_view_percentage 0〜100）: pokemon-lab 55.7→28.1% / 2ch-matome 59.2→37.6% / yokai-watch 61.6→41.1% / scp-lab 48.9→32.7% / daily-science 46.6→41.2% と主要5ch全てが低下。尺を32〜35秒に保った company-facts のみ 39.8→63.6% と逆行し、平均再生も 1026→1730 に伸びた。ただし08-23の分析は維持率45〜70%に条件付けた比較（処置後変数で層別）なので、こちらも断定はできず対照実験に切り替えた。</t>
  </si>
  <si>
    <t xml:space="preserve">③最大の伸びしろ</t>
  </si>
  <si>
    <r>
      <rPr>
        <b val="true"/>
        <sz val="10"/>
        <rFont val="Arial"/>
        <family val="0"/>
        <charset val="1"/>
      </rPr>
      <t xml:space="preserve">scp-lab </t>
    </r>
    <r>
      <rPr>
        <b val="true"/>
        <sz val="10"/>
        <rFont val="Noto Sans CJK SC"/>
        <family val="2"/>
      </rPr>
      <t xml:space="preserve">のサムネイル。累積表示回数</t>
    </r>
    <r>
      <rPr>
        <b val="true"/>
        <sz val="10"/>
        <rFont val="Arial"/>
        <family val="0"/>
        <charset val="1"/>
      </rPr>
      <t xml:space="preserve">113,153</t>
    </r>
    <r>
      <rPr>
        <b val="true"/>
        <sz val="10"/>
        <rFont val="Noto Sans CJK SC"/>
        <family val="2"/>
      </rPr>
      <t xml:space="preserve">に対し</t>
    </r>
    <r>
      <rPr>
        <b val="true"/>
        <sz val="10"/>
        <rFont val="Arial"/>
        <family val="0"/>
        <charset val="1"/>
      </rPr>
      <t xml:space="preserve">CTR1.54%</t>
    </r>
  </si>
  <si>
    <t xml:space="preserve">他主要5ch平均3.46%に対し scp-lab は1.54%で最下位。累積表示回数は全社の56%を1chで占める。今週の表示回数の実増分も8,836と最大で、露出は出ているのにクリックされていない。</t>
  </si>
  <si>
    <t xml:space="preserve">④バグ</t>
  </si>
  <si>
    <t xml:space="preserve">サムネA/Bのベースラインが壊れていて自動切替が機能していなかった</t>
  </si>
  <si>
    <r>
      <rPr>
        <sz val="9"/>
        <rFont val="Arial"/>
        <family val="0"/>
        <charset val="1"/>
      </rPr>
      <t xml:space="preserve">thumbnail_ab_tests.channel_avg_ctr </t>
    </r>
    <r>
      <rPr>
        <sz val="9"/>
        <rFont val="Noto Sans CJK SC"/>
        <family val="2"/>
      </rPr>
      <t xml:space="preserve">に </t>
    </r>
    <r>
      <rPr>
        <sz val="9"/>
        <rFont val="Arial"/>
        <family val="0"/>
        <charset val="1"/>
      </rPr>
      <t xml:space="preserve">0.0291 </t>
    </r>
    <r>
      <rPr>
        <sz val="9"/>
        <rFont val="Noto Sans CJK SC"/>
        <family val="2"/>
      </rPr>
      <t xml:space="preserve">と </t>
    </r>
    <r>
      <rPr>
        <sz val="9"/>
        <rFont val="Arial"/>
        <family val="0"/>
        <charset val="1"/>
      </rPr>
      <t xml:space="preserve">42.909</t>
    </r>
    <r>
      <rPr>
        <sz val="9"/>
        <rFont val="Noto Sans CJK SC"/>
        <family val="2"/>
      </rPr>
      <t xml:space="preserve">（</t>
    </r>
    <r>
      <rPr>
        <sz val="9"/>
        <rFont val="Arial"/>
        <family val="0"/>
        <charset val="1"/>
      </rPr>
      <t xml:space="preserve">daily-science</t>
    </r>
    <r>
      <rPr>
        <sz val="9"/>
        <rFont val="Noto Sans CJK SC"/>
        <family val="2"/>
      </rPr>
      <t xml:space="preserve">）、</t>
    </r>
    <r>
      <rPr>
        <sz val="9"/>
        <rFont val="Arial"/>
        <family val="0"/>
        <charset val="1"/>
      </rPr>
      <t xml:space="preserve">37.286</t>
    </r>
    <r>
      <rPr>
        <sz val="9"/>
        <rFont val="Noto Sans CJK SC"/>
        <family val="2"/>
      </rPr>
      <t xml:space="preserve">（</t>
    </r>
    <r>
      <rPr>
        <sz val="9"/>
        <rFont val="Arial"/>
        <family val="0"/>
        <charset val="1"/>
      </rPr>
      <t xml:space="preserve">scp-lab</t>
    </r>
    <r>
      <rPr>
        <sz val="9"/>
        <rFont val="Noto Sans CJK SC"/>
        <family val="2"/>
      </rPr>
      <t xml:space="preserve">）が同居。一方 </t>
    </r>
    <r>
      <rPr>
        <sz val="9"/>
        <rFont val="Arial"/>
        <family val="0"/>
        <charset val="1"/>
      </rPr>
      <t xml:space="preserve">video_metrics.ctr </t>
    </r>
    <r>
      <rPr>
        <sz val="9"/>
        <rFont val="Noto Sans CJK SC"/>
        <family val="2"/>
      </rPr>
      <t xml:space="preserve">は </t>
    </r>
    <r>
      <rPr>
        <sz val="9"/>
        <rFont val="Arial"/>
        <family val="0"/>
        <charset val="1"/>
      </rPr>
      <t xml:space="preserve">ctr&gt;0 </t>
    </r>
    <r>
      <rPr>
        <sz val="9"/>
        <rFont val="Noto Sans CJK SC"/>
        <family val="2"/>
      </rPr>
      <t xml:space="preserve">の</t>
    </r>
    <r>
      <rPr>
        <sz val="9"/>
        <rFont val="Arial"/>
        <family val="0"/>
        <charset val="1"/>
      </rPr>
      <t xml:space="preserve">1,352</t>
    </r>
    <r>
      <rPr>
        <sz val="9"/>
        <rFont val="Noto Sans CJK SC"/>
        <family val="2"/>
      </rPr>
      <t xml:space="preserve">行すべてが </t>
    </r>
    <r>
      <rPr>
        <sz val="9"/>
        <rFont val="Arial"/>
        <family val="0"/>
        <charset val="1"/>
      </rPr>
      <t xml:space="preserve">0.0029</t>
    </r>
    <r>
      <rPr>
        <sz val="9"/>
        <rFont val="Noto Sans CJK SC"/>
        <family val="2"/>
      </rPr>
      <t xml:space="preserve">〜</t>
    </r>
    <r>
      <rPr>
        <sz val="9"/>
        <rFont val="Arial"/>
        <family val="0"/>
        <charset val="1"/>
      </rPr>
      <t xml:space="preserve">0.3333 </t>
    </r>
    <r>
      <rPr>
        <sz val="9"/>
        <rFont val="Noto Sans CJK SC"/>
        <family val="2"/>
      </rPr>
      <t xml:space="preserve">で、</t>
    </r>
    <r>
      <rPr>
        <sz val="9"/>
        <rFont val="Arial"/>
        <family val="0"/>
        <charset val="1"/>
      </rPr>
      <t xml:space="preserve">1</t>
    </r>
    <r>
      <rPr>
        <sz val="9"/>
        <rFont val="Noto Sans CJK SC"/>
        <family val="2"/>
      </rPr>
      <t xml:space="preserve">以上の行は</t>
    </r>
    <r>
      <rPr>
        <sz val="9"/>
        <rFont val="Arial"/>
        <family val="0"/>
        <charset val="1"/>
      </rPr>
      <t xml:space="preserve">0</t>
    </r>
    <r>
      <rPr>
        <sz val="9"/>
        <rFont val="Noto Sans CJK SC"/>
        <family val="2"/>
      </rPr>
      <t xml:space="preserve">件。</t>
    </r>
    <r>
      <rPr>
        <sz val="9"/>
        <rFont val="Arial"/>
        <family val="0"/>
        <charset val="1"/>
      </rPr>
      <t xml:space="preserve">42.909 </t>
    </r>
    <r>
      <rPr>
        <sz val="9"/>
        <rFont val="Noto Sans CJK SC"/>
        <family val="2"/>
      </rPr>
      <t xml:space="preserve">が何のスケールなのかは特定できていない（比率を</t>
    </r>
    <r>
      <rPr>
        <sz val="9"/>
        <rFont val="Arial"/>
        <family val="0"/>
        <charset val="1"/>
      </rPr>
      <t xml:space="preserve">100</t>
    </r>
    <r>
      <rPr>
        <sz val="9"/>
        <rFont val="Noto Sans CJK SC"/>
        <family val="2"/>
      </rPr>
      <t xml:space="preserve">倍しても</t>
    </r>
    <r>
      <rPr>
        <sz val="9"/>
        <rFont val="Arial"/>
        <family val="0"/>
        <charset val="1"/>
      </rPr>
      <t xml:space="preserve">2.91</t>
    </r>
    <r>
      <rPr>
        <sz val="9"/>
        <rFont val="Noto Sans CJK SC"/>
        <family val="2"/>
      </rPr>
      <t xml:space="preserve">にしかならず、百分率では説明がつかない）。いずれにせよ現行スキーマではあり得ない値で、切替判定 </t>
    </r>
    <r>
      <rPr>
        <sz val="9"/>
        <rFont val="Arial"/>
        <family val="0"/>
        <charset val="1"/>
      </rPr>
      <t xml:space="preserve">last_check_ctr &lt; channel_avg_ctr×0.8 </t>
    </r>
    <r>
      <rPr>
        <sz val="9"/>
        <rFont val="Noto Sans CJK SC"/>
        <family val="2"/>
      </rPr>
      <t xml:space="preserve">が壊れ、</t>
    </r>
    <r>
      <rPr>
        <sz val="9"/>
        <rFont val="Arial"/>
        <family val="0"/>
        <charset val="1"/>
      </rPr>
      <t xml:space="preserve">19</t>
    </r>
    <r>
      <rPr>
        <sz val="9"/>
        <rFont val="Noto Sans CJK SC"/>
        <family val="2"/>
      </rPr>
      <t xml:space="preserve">件中</t>
    </r>
    <r>
      <rPr>
        <sz val="9"/>
        <rFont val="Arial"/>
        <family val="0"/>
        <charset val="1"/>
      </rPr>
      <t xml:space="preserve">17</t>
    </r>
    <r>
      <rPr>
        <sz val="9"/>
        <rFont val="Noto Sans CJK SC"/>
        <family val="2"/>
      </rPr>
      <t xml:space="preserve">件が </t>
    </r>
    <r>
      <rPr>
        <sz val="9"/>
        <rFont val="Arial"/>
        <family val="0"/>
        <charset val="1"/>
      </rPr>
      <t xml:space="preserve">monitoring </t>
    </r>
    <r>
      <rPr>
        <sz val="9"/>
        <rFont val="Noto Sans CJK SC"/>
        <family val="2"/>
      </rPr>
      <t xml:space="preserve">のまま放置され切替は</t>
    </r>
    <r>
      <rPr>
        <sz val="9"/>
        <rFont val="Arial"/>
        <family val="0"/>
        <charset val="1"/>
      </rPr>
      <t xml:space="preserve">2</t>
    </r>
    <r>
      <rPr>
        <sz val="9"/>
        <rFont val="Noto Sans CJK SC"/>
        <family val="2"/>
      </rPr>
      <t xml:space="preserve">件のみ。</t>
    </r>
  </si>
  <si>
    <t xml:space="preserve">⑤バグ</t>
  </si>
  <si>
    <r>
      <rPr>
        <b val="true"/>
        <sz val="10"/>
        <rFont val="Arial"/>
        <family val="0"/>
        <charset val="1"/>
      </rPr>
      <t xml:space="preserve">avg_view_percentage </t>
    </r>
    <r>
      <rPr>
        <b val="true"/>
        <sz val="10"/>
        <rFont val="Noto Sans CJK SC"/>
        <family val="2"/>
      </rPr>
      <t xml:space="preserve">に</t>
    </r>
    <r>
      <rPr>
        <b val="true"/>
        <sz val="10"/>
        <rFont val="Arial"/>
        <family val="0"/>
        <charset val="1"/>
      </rPr>
      <t xml:space="preserve">100</t>
    </r>
    <r>
      <rPr>
        <b val="true"/>
        <sz val="10"/>
        <rFont val="Noto Sans CJK SC"/>
        <family val="2"/>
      </rPr>
      <t xml:space="preserve">超の行が</t>
    </r>
    <r>
      <rPr>
        <b val="true"/>
        <sz val="10"/>
        <rFont val="Arial"/>
        <family val="0"/>
        <charset val="1"/>
      </rPr>
      <t xml:space="preserve">200</t>
    </r>
    <r>
      <rPr>
        <b val="true"/>
        <sz val="10"/>
        <rFont val="Noto Sans CJK SC"/>
        <family val="2"/>
      </rPr>
      <t xml:space="preserve">件（最大</t>
    </r>
    <r>
      <rPr>
        <b val="true"/>
        <sz val="10"/>
        <rFont val="Arial"/>
        <family val="0"/>
        <charset val="1"/>
      </rPr>
      <t xml:space="preserve">3230.87%</t>
    </r>
    <r>
      <rPr>
        <b val="true"/>
        <sz val="10"/>
        <rFont val="Noto Sans CJK SC"/>
        <family val="2"/>
      </rPr>
      <t xml:space="preserve">）</t>
    </r>
  </si>
  <si>
    <t xml:space="preserve">ショートのループ再生がそのまま積まれている（API仕様であってバグではない）。問題は success_analyzer がこの生値で上位25%を選んでいたこと＝success_patterns.json が「ループ再生された動画」を勝ちパターンとして学習していた。判定・LLMプロンプト・出力JSONの全経路を0-100にクランプした。</t>
  </si>
  <si>
    <t xml:space="preserve">⑥バグ</t>
  </si>
  <si>
    <r>
      <rPr>
        <b val="true"/>
        <sz val="10"/>
        <rFont val="Arial"/>
        <family val="0"/>
        <charset val="1"/>
      </rPr>
      <t xml:space="preserve">video_metrics </t>
    </r>
    <r>
      <rPr>
        <b val="true"/>
        <sz val="10"/>
        <rFont val="Noto Sans CJK SC"/>
        <family val="2"/>
      </rPr>
      <t xml:space="preserve">の量的指標は累積カウンタである</t>
    </r>
  </si>
  <si>
    <t xml:space="preserve">同一動画で views が 775→940→940→941→937→939 と推移し、日次の増分ではない。日次スナップショットを7日ぶん合計すると「累積値×スナップショット日数」を比べることになり、取得欠損（09-01は48行、09-02は16行、通常は約210行）がそのまま「実績の落ち込み」に化ける。本レポートは全て累積差分で算出し直した。</t>
  </si>
  <si>
    <t xml:space="preserve">⑦品質</t>
  </si>
  <si>
    <t xml:space="preserve">タイトル生成の「正体」ルールが暴走している</t>
  </si>
  <si>
    <t xml:space="preserve">「毎バッチ最低1本」が 09-03 に主要6chの5/7本(71%)、09-05午前も6本中4本へ適用され「🤣ワイ健康診断歴3年やけど正体あるw🍑」等の破綻タイトルが出た。08-15以降の成熟動画で「正体」入りは daily-science n=10 / yokai-watch n=4 の計14本のみで、他4chは n=0。09-03の「4ch全てで同方向1.53倍」は現行データでは再現できない。</t>
  </si>
  <si>
    <t xml:space="preserve">⑧品質</t>
  </si>
  <si>
    <r>
      <rPr>
        <b val="true"/>
        <sz val="10"/>
        <rFont val="Arial"/>
        <family val="0"/>
        <charset val="1"/>
      </rPr>
      <t xml:space="preserve">company-facts </t>
    </r>
    <r>
      <rPr>
        <b val="true"/>
        <sz val="10"/>
        <rFont val="Noto Sans CJK SC"/>
        <family val="2"/>
      </rPr>
      <t xml:space="preserve">で同一企業の年収が連日で食い違った</t>
    </r>
  </si>
  <si>
    <r>
      <rPr>
        <sz val="9"/>
        <rFont val="Arial"/>
        <family val="0"/>
        <charset val="1"/>
      </rPr>
      <t xml:space="preserve">09-03</t>
    </r>
    <r>
      <rPr>
        <sz val="9"/>
        <rFont val="Noto Sans CJK SC"/>
        <family val="2"/>
      </rPr>
      <t xml:space="preserve">「日本マクドナルドの正体、年収</t>
    </r>
    <r>
      <rPr>
        <sz val="9"/>
        <rFont val="Arial"/>
        <family val="0"/>
        <charset val="1"/>
      </rPr>
      <t xml:space="preserve">670</t>
    </r>
    <r>
      <rPr>
        <sz val="9"/>
        <rFont val="Noto Sans CJK SC"/>
        <family val="2"/>
      </rPr>
      <t xml:space="preserve">万円の裏側」と</t>
    </r>
    <r>
      <rPr>
        <sz val="9"/>
        <rFont val="Arial"/>
        <family val="0"/>
        <charset val="1"/>
      </rPr>
      <t xml:space="preserve">09-04</t>
    </r>
    <r>
      <rPr>
        <sz val="9"/>
        <rFont val="Noto Sans CJK SC"/>
        <family val="2"/>
      </rPr>
      <t xml:space="preserve">「日本マクドナルドの年収</t>
    </r>
    <r>
      <rPr>
        <sz val="9"/>
        <rFont val="Arial"/>
        <family val="0"/>
        <charset val="1"/>
      </rPr>
      <t xml:space="preserve">576</t>
    </r>
    <r>
      <rPr>
        <sz val="9"/>
        <rFont val="Noto Sans CJK SC"/>
        <family val="2"/>
      </rPr>
      <t xml:space="preserve">万円、その内訳とは」。数字が売りのチャンネルで最も避けるべき矛盾。出典・年度の明示を必須化した。</t>
    </r>
  </si>
  <si>
    <t xml:space="preserve">チャンネル別詳細</t>
  </si>
  <si>
    <t xml:space="preserve">「実増分」= 各動画の累積値の 08-28→09-04 差分（前週は 08-21→08-28）。累積カウンタなので日次スナップショットの単純合計は使っていない。</t>
  </si>
  <si>
    <t xml:space="preserve">「累積」= 09-04 時点のスナップショットの合計（ストック量）。CTR・維持率・視聴秒は各動画の最新スナップショットの平均で、維持率は 0-100 にクランプ済み。</t>
  </si>
  <si>
    <t xml:space="preserve">ID</t>
  </si>
  <si>
    <t xml:space="preserve">登録 実増分</t>
  </si>
  <si>
    <t xml:space="preserve">表示 実増分</t>
  </si>
  <si>
    <t xml:space="preserve">累積表示回数</t>
  </si>
  <si>
    <t xml:space="preserve">CTR</t>
  </si>
  <si>
    <t xml:space="preserve">平均維持率</t>
  </si>
  <si>
    <t xml:space="preserve">平均視聴秒</t>
  </si>
  <si>
    <t xml:space="preserve">計測本数</t>
  </si>
  <si>
    <r>
      <rPr>
        <b val="true"/>
        <sz val="10"/>
        <rFont val="Arial"/>
        <family val="0"/>
        <charset val="1"/>
      </rPr>
      <t xml:space="preserve">1</t>
    </r>
    <r>
      <rPr>
        <b val="true"/>
        <sz val="10"/>
        <rFont val="Noto Sans CJK SC"/>
        <family val="2"/>
      </rPr>
      <t xml:space="preserve">分科学</t>
    </r>
  </si>
  <si>
    <t xml:space="preserve">daily-science</t>
  </si>
  <si>
    <t xml:space="preserve">企業のホンネ</t>
  </si>
  <si>
    <t xml:space="preserve">company-facts</t>
  </si>
  <si>
    <t xml:space="preserve">—</t>
  </si>
  <si>
    <r>
      <rPr>
        <b val="true"/>
        <sz val="10"/>
        <rFont val="Arial"/>
        <family val="0"/>
        <charset val="1"/>
      </rPr>
      <t xml:space="preserve">SCP</t>
    </r>
    <r>
      <rPr>
        <b val="true"/>
        <sz val="10"/>
        <rFont val="Noto Sans CJK SC"/>
        <family val="2"/>
      </rPr>
      <t xml:space="preserve">ラボ</t>
    </r>
  </si>
  <si>
    <t xml:space="preserve">scp-lab</t>
  </si>
  <si>
    <t xml:space="preserve">妖怪ファイル</t>
  </si>
  <si>
    <t xml:space="preserve">yokai-watch</t>
  </si>
  <si>
    <t xml:space="preserve">ポケモン研究</t>
  </si>
  <si>
    <t xml:space="preserve">pokemon-lab</t>
  </si>
  <si>
    <r>
      <rPr>
        <b val="true"/>
        <sz val="10"/>
        <rFont val="Arial"/>
        <family val="0"/>
        <charset val="1"/>
      </rPr>
      <t xml:space="preserve">2ch</t>
    </r>
    <r>
      <rPr>
        <b val="true"/>
        <sz val="10"/>
        <rFont val="Noto Sans CJK SC"/>
        <family val="2"/>
      </rPr>
      <t xml:space="preserve">まとめ</t>
    </r>
  </si>
  <si>
    <t xml:space="preserve">2ch-matome</t>
  </si>
  <si>
    <t xml:space="preserve">切り抜きラボ</t>
  </si>
  <si>
    <t xml:space="preserve">clip-lab</t>
  </si>
  <si>
    <t xml:space="preserve">切り抜き金子</t>
  </si>
  <si>
    <t xml:space="preserve">clip-kaneko</t>
  </si>
  <si>
    <t xml:space="preserve">架空論文</t>
  </si>
  <si>
    <t xml:space="preserve">fake-paper</t>
  </si>
  <si>
    <t xml:space="preserve">切り抜き深田</t>
  </si>
  <si>
    <t xml:space="preserve">clip-fukada</t>
  </si>
  <si>
    <t xml:space="preserve">アカシック</t>
  </si>
  <si>
    <t xml:space="preserve">akashic-librarian</t>
  </si>
  <si>
    <t xml:space="preserve">切り抜き動物</t>
  </si>
  <si>
    <t xml:space="preserve">clip-animal</t>
  </si>
  <si>
    <t xml:space="preserve">合計/平均</t>
  </si>
  <si>
    <r>
      <rPr>
        <i val="true"/>
        <sz val="9"/>
        <color rgb="FF595959"/>
        <rFont val="Arial"/>
        <family val="0"/>
        <charset val="1"/>
      </rPr>
      <t xml:space="preserve">※ E18</t>
    </r>
    <r>
      <rPr>
        <i val="true"/>
        <sz val="9"/>
        <color rgb="FF595959"/>
        <rFont val="Noto Sans CJK SC"/>
        <family val="2"/>
      </rPr>
      <t xml:space="preserve">（合計の前週比）は </t>
    </r>
    <r>
      <rPr>
        <i val="true"/>
        <sz val="9"/>
        <color rgb="FF595959"/>
        <rFont val="Arial"/>
        <family val="0"/>
        <charset val="1"/>
      </rPr>
      <t xml:space="preserve">D </t>
    </r>
    <r>
      <rPr>
        <i val="true"/>
        <sz val="9"/>
        <color rgb="FF595959"/>
        <rFont val="Noto Sans CJK SC"/>
        <family val="2"/>
      </rPr>
      <t xml:space="preserve">列が数値の行＝前週も計測できる既存</t>
    </r>
    <r>
      <rPr>
        <i val="true"/>
        <sz val="9"/>
        <color rgb="FF595959"/>
        <rFont val="Arial"/>
        <family val="0"/>
        <charset val="1"/>
      </rPr>
      <t xml:space="preserve">6ch</t>
    </r>
    <r>
      <rPr>
        <i val="true"/>
        <sz val="9"/>
        <color rgb="FF595959"/>
        <rFont val="Noto Sans CJK SC"/>
        <family val="2"/>
      </rPr>
      <t xml:space="preserve">（</t>
    </r>
    <r>
      <rPr>
        <i val="true"/>
        <sz val="9"/>
        <color rgb="FF595959"/>
        <rFont val="Arial"/>
        <family val="0"/>
        <charset val="1"/>
      </rPr>
      <t xml:space="preserve">daily-science / scp-lab / pokemon-lab / yokai-watch / 2ch-matome / fake-paper</t>
    </r>
    <r>
      <rPr>
        <i val="true"/>
        <sz val="9"/>
        <color rgb="FF595959"/>
        <rFont val="Noto Sans CJK SC"/>
        <family val="2"/>
      </rPr>
      <t xml:space="preserve">）だけで算出している。</t>
    </r>
    <r>
      <rPr>
        <i val="true"/>
        <sz val="9"/>
        <color rgb="FF595959"/>
        <rFont val="Arial"/>
        <family val="0"/>
        <charset val="1"/>
      </rPr>
      <t xml:space="preserve">C18÷D18 </t>
    </r>
    <r>
      <rPr>
        <i val="true"/>
        <sz val="9"/>
        <color rgb="FF595959"/>
        <rFont val="Noto Sans CJK SC"/>
        <family val="2"/>
      </rPr>
      <t xml:space="preserve">ではない。</t>
    </r>
    <r>
      <rPr>
        <i val="true"/>
        <sz val="9"/>
        <color rgb="FF595959"/>
        <rFont val="Arial"/>
        <family val="0"/>
        <charset val="1"/>
      </rPr>
      <t xml:space="preserve">C</t>
    </r>
    <r>
      <rPr>
        <i val="true"/>
        <sz val="9"/>
        <color rgb="FF595959"/>
        <rFont val="Noto Sans CJK SC"/>
        <family val="2"/>
      </rPr>
      <t xml:space="preserve">列は新規</t>
    </r>
    <r>
      <rPr>
        <i val="true"/>
        <sz val="9"/>
        <color rgb="FF595959"/>
        <rFont val="Arial"/>
        <family val="0"/>
        <charset val="1"/>
      </rPr>
      <t xml:space="preserve">ch</t>
    </r>
    <r>
      <rPr>
        <i val="true"/>
        <sz val="9"/>
        <color rgb="FF595959"/>
        <rFont val="Noto Sans CJK SC"/>
        <family val="2"/>
      </rPr>
      <t xml:space="preserve">を含む全</t>
    </r>
    <r>
      <rPr>
        <i val="true"/>
        <sz val="9"/>
        <color rgb="FF595959"/>
        <rFont val="Arial"/>
        <family val="0"/>
        <charset val="1"/>
      </rPr>
      <t xml:space="preserve">ch</t>
    </r>
    <r>
      <rPr>
        <i val="true"/>
        <sz val="9"/>
        <color rgb="FF595959"/>
        <rFont val="Noto Sans CJK SC"/>
        <family val="2"/>
      </rPr>
      <t xml:space="preserve">の合計なので、そのまま割ると倍率が跳ね上がる。</t>
    </r>
  </si>
  <si>
    <t xml:space="preserve">■ 公開週コホート（各動画の最新スナップショット / views&gt;0 / avg_view_percentage 0〜100 / n&gt;=3）</t>
  </si>
  <si>
    <r>
      <rPr>
        <i val="true"/>
        <sz val="9"/>
        <color rgb="FF595959"/>
        <rFont val="Arial"/>
        <family val="0"/>
        <charset val="1"/>
      </rPr>
      <t xml:space="preserve">08-25</t>
    </r>
    <r>
      <rPr>
        <i val="true"/>
        <sz val="9"/>
        <color rgb="FF595959"/>
        <rFont val="Noto Sans CJK SC"/>
        <family val="2"/>
      </rPr>
      <t xml:space="preserve">の短尺化がどう効いたかを見るための表。母集団の条件は本レポート全体でこの</t>
    </r>
    <r>
      <rPr>
        <i val="true"/>
        <sz val="9"/>
        <color rgb="FF595959"/>
        <rFont val="Arial"/>
        <family val="0"/>
        <charset val="1"/>
      </rPr>
      <t xml:space="preserve">1</t>
    </r>
    <r>
      <rPr>
        <i val="true"/>
        <sz val="9"/>
        <color rgb="FF595959"/>
        <rFont val="Noto Sans CJK SC"/>
        <family val="2"/>
      </rPr>
      <t xml:space="preserve">種類に統一している。</t>
    </r>
  </si>
  <si>
    <t xml:space="preserve">週</t>
  </si>
  <si>
    <t xml:space="preserve">本数</t>
  </si>
  <si>
    <t xml:space="preserve">平均再生</t>
  </si>
  <si>
    <t xml:space="preserve">前週差</t>
  </si>
  <si>
    <r>
      <rPr>
        <sz val="10"/>
        <rFont val="Arial"/>
        <family val="0"/>
        <charset val="1"/>
      </rPr>
      <t xml:space="preserve">2ch</t>
    </r>
    <r>
      <rPr>
        <sz val="10"/>
        <rFont val="Noto Sans CJK SC"/>
        <family val="2"/>
      </rPr>
      <t xml:space="preserve">まとめ</t>
    </r>
  </si>
  <si>
    <t xml:space="preserve">2026-W32</t>
  </si>
  <si>
    <t xml:space="preserve">2026-W33</t>
  </si>
  <si>
    <t xml:space="preserve">2026-W34</t>
  </si>
  <si>
    <r>
      <rPr>
        <sz val="10"/>
        <rFont val="Arial"/>
        <family val="0"/>
        <charset val="1"/>
      </rPr>
      <t xml:space="preserve">1</t>
    </r>
    <r>
      <rPr>
        <sz val="10"/>
        <rFont val="Noto Sans CJK SC"/>
        <family val="2"/>
      </rPr>
      <t xml:space="preserve">分科学</t>
    </r>
  </si>
  <si>
    <t xml:space="preserve">2026-W31</t>
  </si>
  <si>
    <t xml:space="preserve">2026-W30</t>
  </si>
  <si>
    <r>
      <rPr>
        <sz val="10"/>
        <rFont val="Arial"/>
        <family val="0"/>
        <charset val="1"/>
      </rPr>
      <t xml:space="preserve">SCP</t>
    </r>
    <r>
      <rPr>
        <sz val="10"/>
        <rFont val="Noto Sans CJK SC"/>
        <family val="2"/>
      </rPr>
      <t xml:space="preserve">ラボ</t>
    </r>
  </si>
  <si>
    <t xml:space="preserve">2026-W35</t>
  </si>
  <si>
    <t xml:space="preserve">・読み: W32→W34 の維持率は pokemon-lab -27.6pt / 2ch-matome -21.6pt / yokai-watch -20.5pt / scp-lab -16.2pt / daily-science -5.4pt と主要5ch全てが低下。</t>
  </si>
  <si>
    <t xml:space="preserve">・一方 company-facts のみ +23.7pt。company-facts は平均視聴秒を 32.5→35.2秒 と長いまま保っており、他5chは 12〜17秒台。これが尺の対照実験を始めた根拠。</t>
  </si>
  <si>
    <t xml:space="preserve">動画別パフォーマンス — 2026-08-20 以降に公開した全動画（各動画の最新スナップショット）</t>
  </si>
  <si>
    <t xml:space="preserve">再生数・表示回数・登録者・高評価は公開からの累積値。「データ待ち」36行の内訳は、09-02以降に公開した35本（YouTube Analytics の2〜3日遅延で未着信。不調ではない）と、akashic-librarian の 08-22公開「Deleted video」1本（削除済みで今後もデータは来ない）。</t>
  </si>
  <si>
    <t xml:space="preserve">公開日時(UTC)</t>
  </si>
  <si>
    <t xml:space="preserve">タイトル</t>
  </si>
  <si>
    <t xml:space="preserve">累積再生</t>
  </si>
  <si>
    <t xml:space="preserve">累積表示</t>
  </si>
  <si>
    <t xml:space="preserve">維持率</t>
  </si>
  <si>
    <t xml:space="preserve">視聴秒</t>
  </si>
  <si>
    <t xml:space="preserve">累積登録</t>
  </si>
  <si>
    <t xml:space="preserve">累積高評価</t>
  </si>
  <si>
    <t xml:space="preserve">状態</t>
  </si>
  <si>
    <t xml:space="preserve">2026-09-04 11:30</t>
  </si>
  <si>
    <t xml:space="preserve">白いゲーミングPCは 中の色まで変えられる #shorts #切り抜き</t>
  </si>
  <si>
    <t xml:space="preserve">データ待ち</t>
  </si>
  <si>
    <t xml:space="preserve">2026-09-04 10:30</t>
  </si>
  <si>
    <t xml:space="preserve">なぜ金魚は帰宅30分前に水面へ集まるのか？ #shorts #架空論文</t>
  </si>
  <si>
    <t xml:space="preserve">2026-09-04 10:00</t>
  </si>
  <si>
    <r>
      <rPr>
        <sz val="10"/>
        <rFont val="Arial"/>
        <family val="0"/>
        <charset val="1"/>
      </rPr>
      <t xml:space="preserve">SCP</t>
    </r>
    <r>
      <rPr>
        <sz val="10"/>
        <rFont val="Noto Sans CJK SC"/>
        <family val="2"/>
      </rPr>
      <t xml:space="preserve">記録係</t>
    </r>
    <r>
      <rPr>
        <sz val="10"/>
        <rFont val="Arial"/>
        <family val="0"/>
        <charset val="1"/>
      </rPr>
      <t xml:space="preserve">12</t>
    </r>
    <r>
      <rPr>
        <sz val="10"/>
        <rFont val="Noto Sans CJK SC"/>
        <family val="2"/>
      </rPr>
      <t xml:space="preserve">名が最後に揃って書いた</t>
    </r>
    <r>
      <rPr>
        <sz val="10"/>
        <rFont val="Arial"/>
        <family val="0"/>
        <charset val="1"/>
      </rPr>
      <t xml:space="preserve">42</t>
    </r>
    <r>
      <rPr>
        <sz val="10"/>
        <rFont val="Noto Sans CJK SC"/>
        <family val="2"/>
      </rPr>
      <t xml:space="preserve">字 </t>
    </r>
    <r>
      <rPr>
        <sz val="10"/>
        <rFont val="Arial"/>
        <family val="0"/>
        <charset val="1"/>
      </rPr>
      <t xml:space="preserve">#shorts #SCP #SCP</t>
    </r>
    <r>
      <rPr>
        <sz val="10"/>
        <rFont val="Noto Sans CJK SC"/>
        <family val="2"/>
      </rPr>
      <t xml:space="preserve">解説</t>
    </r>
  </si>
  <si>
    <t xml:space="preserve">じんめん犬はなぜ笑い話になった？消えた恐怖の噂 #shorts #妖怪 #都市伝説</t>
  </si>
  <si>
    <t xml:space="preserve">2026-09-04 09:45</t>
  </si>
  <si>
    <t xml:space="preserve">列を出られない待つほど離脱不能 #shorts #社会学 #人間心理</t>
  </si>
  <si>
    <t xml:space="preserve">2026-09-04 09:00</t>
  </si>
  <si>
    <t xml:space="preserve">なぜ友達の風呂で3回もやらかしたのか？ｗ #shorts #2ch #面白いスレ</t>
  </si>
  <si>
    <t xml:space="preserve">2026-09-04 08:46</t>
  </si>
  <si>
    <t xml:space="preserve">向いていることを やり続ければいい #shorts #切り抜き</t>
  </si>
  <si>
    <t xml:space="preserve">2026-09-04 08:30</t>
  </si>
  <si>
    <t xml:space="preserve">御三家の相性が三すくみになったワケ #shorts #ポケモン #ポケモン雑学</t>
  </si>
  <si>
    <t xml:space="preserve">2026-09-04 08:00</t>
  </si>
  <si>
    <t xml:space="preserve">星野リゾートの推定年収400万円、業界平均と比べると？ #shorts #企業分析 #年収 #転職</t>
  </si>
  <si>
    <t xml:space="preserve">泳いでいる脳が3秒ごとに息継ぎを気にするワケ #shorts #雑学 #豆知識</t>
  </si>
  <si>
    <t xml:space="preserve">2026-09-04 07:00</t>
  </si>
  <si>
    <t xml:space="preserve">雪夜に顔を隠す白粉婆…雪女とは違う恐ろしさ #shorts #妖怪 #都市伝説</t>
  </si>
  <si>
    <t xml:space="preserve">2026-09-04 06:30</t>
  </si>
  <si>
    <t xml:space="preserve">最後尾だけ9%短い #shorts #架空論文</t>
  </si>
  <si>
    <t xml:space="preserve">2026-09-04 06:00</t>
  </si>
  <si>
    <t xml:space="preserve">エースバーンのリベロ、1試合でしか変われない!? #shorts #ポケモン #ポケモン雑学</t>
  </si>
  <si>
    <t xml:space="preserve">2026-09-04 05:30</t>
  </si>
  <si>
    <t xml:space="preserve">なぜ同じ失敗でも、肩書きがある人だけ許されるのか #shorts #社会学 #人間心理</t>
  </si>
  <si>
    <t xml:space="preserve">2026-09-04 05:00</t>
  </si>
  <si>
    <t xml:space="preserve">恋愛を体験できる一冊に #shorts #切り抜き</t>
  </si>
  <si>
    <t xml:space="preserve">2026-09-04 04:30</t>
  </si>
  <si>
    <t xml:space="preserve">日本マクドナルドの年収576万円、その内訳とは #shorts #企業分析 #年収 #転職</t>
  </si>
  <si>
    <t xml:space="preserve">2026-09-04 04:00</t>
  </si>
  <si>
    <r>
      <rPr>
        <sz val="10"/>
        <rFont val="Arial"/>
        <family val="0"/>
        <charset val="1"/>
      </rPr>
      <t xml:space="preserve">SCP-6121 </t>
    </r>
    <r>
      <rPr>
        <sz val="10"/>
        <rFont val="Noto Sans CJK SC"/>
        <family val="2"/>
      </rPr>
      <t xml:space="preserve">毎晩</t>
    </r>
    <r>
      <rPr>
        <sz val="10"/>
        <rFont val="Arial"/>
        <family val="0"/>
        <charset val="1"/>
      </rPr>
      <t xml:space="preserve">1cm</t>
    </r>
    <r>
      <rPr>
        <sz val="10"/>
        <rFont val="Noto Sans CJK SC"/>
        <family val="2"/>
      </rPr>
      <t xml:space="preserve">動く椅子、</t>
    </r>
    <r>
      <rPr>
        <sz val="10"/>
        <rFont val="Arial"/>
        <family val="0"/>
        <charset val="1"/>
      </rPr>
      <t xml:space="preserve">14</t>
    </r>
    <r>
      <rPr>
        <sz val="10"/>
        <rFont val="Noto Sans CJK SC"/>
        <family val="2"/>
      </rPr>
      <t xml:space="preserve">日目に起きた異変 </t>
    </r>
    <r>
      <rPr>
        <sz val="10"/>
        <rFont val="Arial"/>
        <family val="0"/>
        <charset val="1"/>
      </rPr>
      <t xml:space="preserve">#shorts #SCP #SCP</t>
    </r>
    <r>
      <rPr>
        <sz val="10"/>
        <rFont val="Noto Sans CJK SC"/>
        <family val="2"/>
      </rPr>
      <t xml:space="preserve">解説</t>
    </r>
  </si>
  <si>
    <t xml:space="preserve">2026-09-04 03:30</t>
  </si>
  <si>
    <t xml:space="preserve">黙読中の喉、なぜ声なしで1秒だけ動く？ #shorts #雑学 #豆知識</t>
  </si>
  <si>
    <t xml:space="preserve">2026-09-04 03:15</t>
  </si>
  <si>
    <t xml:space="preserve">正体を大人が知る3秒の言葉あげてけw😂 #shorts #2ch #面白いスレ</t>
  </si>
  <si>
    <t xml:space="preserve">2026-09-04 03:00</t>
  </si>
  <si>
    <t xml:space="preserve">犬神憑きはなぜ家系ごと記録されたのか 恒一 #shorts #妖怪 #都市伝説</t>
  </si>
  <si>
    <t xml:space="preserve">2026-09-04 02:48</t>
  </si>
  <si>
    <t xml:space="preserve">株を渡されない社長は いつでもクビになれる #shorts #切り抜き</t>
  </si>
  <si>
    <t xml:space="preserve">2026-09-03 10:30</t>
  </si>
  <si>
    <t xml:space="preserve">なぜ久保建英のドリブルは宇宙の軌道を外れるのか？ #shorts #架空論文</t>
  </si>
  <si>
    <t xml:space="preserve">2026-09-03 10:00</t>
  </si>
  <si>
    <t xml:space="preserve">小豆洗いの正体 127年の川音 #shorts #妖怪 #都市伝説</t>
  </si>
  <si>
    <r>
      <rPr>
        <sz val="10"/>
        <rFont val="Arial"/>
        <family val="0"/>
        <charset val="1"/>
      </rPr>
      <t xml:space="preserve">SCP-███ </t>
    </r>
    <r>
      <rPr>
        <sz val="10"/>
        <rFont val="Noto Sans CJK SC"/>
        <family val="2"/>
      </rPr>
      <t xml:space="preserve">正体は</t>
    </r>
    <r>
      <rPr>
        <sz val="10"/>
        <rFont val="Arial"/>
        <family val="0"/>
        <charset val="1"/>
      </rPr>
      <t xml:space="preserve">0</t>
    </r>
    <r>
      <rPr>
        <sz val="10"/>
        <rFont val="Noto Sans CJK SC"/>
        <family val="2"/>
      </rPr>
      <t xml:space="preserve">秒の無音録音 </t>
    </r>
    <r>
      <rPr>
        <sz val="10"/>
        <rFont val="Arial"/>
        <family val="0"/>
        <charset val="1"/>
      </rPr>
      <t xml:space="preserve">#shorts #SCP #SCP</t>
    </r>
    <r>
      <rPr>
        <sz val="10"/>
        <rFont val="Noto Sans CJK SC"/>
        <family val="2"/>
      </rPr>
      <t xml:space="preserve">解説</t>
    </r>
  </si>
  <si>
    <t xml:space="preserve">2026-09-03 09:45</t>
  </si>
  <si>
    <t xml:space="preserve">期待が成績を作っていた #shorts #社会学 #人間心理</t>
  </si>
  <si>
    <t xml:space="preserve">2026-09-03 09:00</t>
  </si>
  <si>
    <t xml:space="preserve">実はマックに神メニュー3品が決まらない本当の理由とは？ #shorts #2ch #面白いスレ</t>
  </si>
  <si>
    <t xml:space="preserve">2026-09-03 08:30</t>
  </si>
  <si>
    <t xml:space="preserve">君が知らないシェイミ2形態の正体127 #shorts #ポケモン #ポケモン雑学</t>
  </si>
  <si>
    <t xml:space="preserve">2026-09-03 08:00</t>
  </si>
  <si>
    <t xml:space="preserve">歩き方を意識した3秒で迷う正体 #shorts #雑学 #豆知識</t>
  </si>
  <si>
    <t xml:space="preserve">日本マクドナルドの正体、年収670万円の裏側 #shorts #企業分析 #年収 #転職</t>
  </si>
  <si>
    <t xml:space="preserve">2026-09-03 07:56</t>
  </si>
  <si>
    <t xml:space="preserve">「キスして、愛してる」 と歌う猫 #shorts #動物</t>
  </si>
  <si>
    <t xml:space="preserve">2026-09-03 07:54</t>
  </si>
  <si>
    <r>
      <rPr>
        <sz val="10"/>
        <rFont val="Arial"/>
        <family val="0"/>
        <charset val="1"/>
      </rPr>
      <t xml:space="preserve">100</t>
    </r>
    <r>
      <rPr>
        <sz val="10"/>
        <rFont val="Noto Sans CJK SC"/>
        <family val="2"/>
      </rPr>
      <t xml:space="preserve">点を</t>
    </r>
    <r>
      <rPr>
        <sz val="10"/>
        <rFont val="Arial"/>
        <family val="0"/>
        <charset val="1"/>
      </rPr>
      <t xml:space="preserve">10</t>
    </r>
    <r>
      <rPr>
        <sz val="10"/>
        <rFont val="Noto Sans CJK SC"/>
        <family val="2"/>
      </rPr>
      <t xml:space="preserve">個より </t>
    </r>
    <r>
      <rPr>
        <sz val="10"/>
        <rFont val="Arial"/>
        <family val="0"/>
        <charset val="1"/>
      </rPr>
      <t xml:space="preserve">60</t>
    </r>
    <r>
      <rPr>
        <sz val="10"/>
        <rFont val="Noto Sans CJK SC"/>
        <family val="2"/>
      </rPr>
      <t xml:space="preserve">点を</t>
    </r>
    <r>
      <rPr>
        <sz val="10"/>
        <rFont val="Arial"/>
        <family val="0"/>
        <charset val="1"/>
      </rPr>
      <t xml:space="preserve">1000</t>
    </r>
    <r>
      <rPr>
        <sz val="10"/>
        <rFont val="Noto Sans CJK SC"/>
        <family val="2"/>
      </rPr>
      <t xml:space="preserve">個作れ </t>
    </r>
    <r>
      <rPr>
        <sz val="10"/>
        <rFont val="Arial"/>
        <family val="0"/>
        <charset val="1"/>
      </rPr>
      <t xml:space="preserve">#shorts #</t>
    </r>
    <r>
      <rPr>
        <sz val="10"/>
        <rFont val="Noto Sans CJK SC"/>
        <family val="2"/>
      </rPr>
      <t xml:space="preserve">切り抜き</t>
    </r>
  </si>
  <si>
    <t xml:space="preserve">2026-09-03 07:50</t>
  </si>
  <si>
    <r>
      <rPr>
        <sz val="10"/>
        <rFont val="Arial"/>
        <family val="0"/>
        <charset val="1"/>
      </rPr>
      <t xml:space="preserve">SCP-███ </t>
    </r>
    <r>
      <rPr>
        <sz val="10"/>
        <rFont val="Noto Sans CJK SC"/>
        <family val="2"/>
      </rPr>
      <t xml:space="preserve">なぜ扉に</t>
    </r>
    <r>
      <rPr>
        <sz val="10"/>
        <rFont val="Arial"/>
        <family val="0"/>
        <charset val="1"/>
      </rPr>
      <t xml:space="preserve">3</t>
    </r>
    <r>
      <rPr>
        <sz val="10"/>
        <rFont val="Noto Sans CJK SC"/>
        <family val="2"/>
      </rPr>
      <t xml:space="preserve">枚目の札がある？ </t>
    </r>
    <r>
      <rPr>
        <sz val="10"/>
        <rFont val="Arial"/>
        <family val="0"/>
        <charset val="1"/>
      </rPr>
      <t xml:space="preserve">#shorts #SCP #SCP</t>
    </r>
    <r>
      <rPr>
        <sz val="10"/>
        <rFont val="Noto Sans CJK SC"/>
        <family val="2"/>
      </rPr>
      <t xml:space="preserve">解説</t>
    </r>
  </si>
  <si>
    <t xml:space="preserve">2026-09-03 05:00</t>
  </si>
  <si>
    <t xml:space="preserve">行事を一緒に乗り越えると 恋が生まれやすい #shorts #切り抜き</t>
  </si>
  <si>
    <t xml:space="preserve">2026-09-02 10:30</t>
  </si>
  <si>
    <t xml:space="preserve">宇宙で選ぶあのメニュー #shorts #架空論文</t>
  </si>
  <si>
    <t xml:space="preserve">2026-09-02 09:45</t>
  </si>
  <si>
    <t xml:space="preserve">なぜ移籍した選手だけ？昨日までの英雄が急に裏切り者になる理由 #shorts #社会学 #人間心理</t>
  </si>
  <si>
    <t xml:space="preserve">2026-09-01 10:30</t>
  </si>
  <si>
    <t xml:space="preserve">キャラ表示で味が変わる #shorts #架空論文</t>
  </si>
  <si>
    <t xml:space="preserve">要確認(100%超)</t>
  </si>
  <si>
    <t xml:space="preserve">2026-09-01 09:45</t>
  </si>
  <si>
    <t xml:space="preserve">なぜ人は失敗した選択だけを「正しかった」と記録し直すのか #shorts #社会学 #人間心理</t>
  </si>
  <si>
    <t xml:space="preserve">実測</t>
  </si>
  <si>
    <t xml:space="preserve">2026-09-01 00:00</t>
  </si>
  <si>
    <r>
      <rPr>
        <sz val="10"/>
        <rFont val="Arial"/>
        <family val="0"/>
        <charset val="1"/>
      </rPr>
      <t xml:space="preserve">SCP-1987 </t>
    </r>
    <r>
      <rPr>
        <sz val="10"/>
        <rFont val="Noto Sans CJK SC"/>
        <family val="2"/>
      </rPr>
      <t xml:space="preserve">なぜ</t>
    </r>
    <r>
      <rPr>
        <sz val="10"/>
        <rFont val="Arial"/>
        <family val="0"/>
        <charset val="1"/>
      </rPr>
      <t xml:space="preserve">24</t>
    </r>
    <r>
      <rPr>
        <sz val="10"/>
        <rFont val="Noto Sans CJK SC"/>
        <family val="2"/>
      </rPr>
      <t xml:space="preserve">時間ごとに被害が増える？【ショート】</t>
    </r>
  </si>
  <si>
    <t xml:space="preserve">2026-08-31 10:30</t>
  </si>
  <si>
    <t xml:space="preserve">架空論文ファイル #5：あなたの操作は脳波で読まれる — 2,184人の記録【ショート】</t>
  </si>
  <si>
    <t xml:space="preserve">2026-08-31 10:00</t>
  </si>
  <si>
    <r>
      <rPr>
        <sz val="10"/>
        <rFont val="Arial"/>
        <family val="0"/>
        <charset val="1"/>
      </rPr>
      <t xml:space="preserve">SCP-093</t>
    </r>
    <r>
      <rPr>
        <sz val="10"/>
        <rFont val="Noto Sans CJK SC"/>
        <family val="2"/>
      </rPr>
      <t xml:space="preserve">の</t>
    </r>
    <r>
      <rPr>
        <sz val="10"/>
        <rFont val="Arial"/>
        <family val="0"/>
        <charset val="1"/>
      </rPr>
      <t xml:space="preserve">6</t>
    </r>
    <r>
      <rPr>
        <sz val="10"/>
        <rFont val="Noto Sans CJK SC"/>
        <family val="2"/>
      </rPr>
      <t xml:space="preserve">色記録 なぜ戻れた？【ショート】</t>
    </r>
  </si>
  <si>
    <t xml:space="preserve">ふぶき姫の約束を破るとどうなる？3つの雪女記録【ショート】</t>
  </si>
  <si>
    <t xml:space="preserve">2026-08-31 09:45</t>
  </si>
  <si>
    <t xml:space="preserve">最初に見た9万8000円だけ、なぜか基準になる本当の理由【ショート】</t>
  </si>
  <si>
    <t xml:space="preserve">2026-08-31 09:00</t>
  </si>
  <si>
    <t xml:space="preserve">なぜPSで一番いらないゲームが生まれるのか？ 博牛【ショート】</t>
  </si>
  <si>
    <t xml:space="preserve">2026-08-31 08:30</t>
  </si>
  <si>
    <t xml:space="preserve">ピカチュウは10%なのになぜ看板？【ショート】</t>
  </si>
  <si>
    <t xml:space="preserve">2026-08-31 08:00</t>
  </si>
  <si>
    <r>
      <rPr>
        <sz val="10"/>
        <rFont val="Arial"/>
        <family val="0"/>
        <charset val="1"/>
      </rPr>
      <t xml:space="preserve">Netflix</t>
    </r>
    <r>
      <rPr>
        <sz val="10"/>
        <rFont val="Noto Sans CJK SC"/>
        <family val="2"/>
      </rPr>
      <t xml:space="preserve">の月額</t>
    </r>
    <r>
      <rPr>
        <sz val="10"/>
        <rFont val="Arial"/>
        <family val="0"/>
        <charset val="1"/>
      </rPr>
      <t xml:space="preserve">1,590</t>
    </r>
    <r>
      <rPr>
        <sz val="10"/>
        <rFont val="Noto Sans CJK SC"/>
        <family val="2"/>
      </rPr>
      <t xml:space="preserve">円、本当はどこに消える？【ショート】</t>
    </r>
  </si>
  <si>
    <t xml:space="preserve">なぜ座ると腰だけ痛い？圧力1.4倍【ショート】</t>
  </si>
  <si>
    <t xml:space="preserve">2026-08-31 05:00</t>
  </si>
  <si>
    <t xml:space="preserve">密かに女子力アップ計画中 #shorts #切り抜き</t>
  </si>
  <si>
    <t xml:space="preserve">2026-08-31 00:00</t>
  </si>
  <si>
    <t xml:space="preserve">実は3秒で全生命が死んだ地球、その本当の理由はなぜ？【ショート】</t>
  </si>
  <si>
    <t xml:space="preserve">2026-08-30 23:01</t>
  </si>
  <si>
    <t xml:space="preserve">復縁したいなら 「もう一度チャンスをください」 #shorts #切り抜き</t>
  </si>
  <si>
    <t xml:space="preserve">2026-08-30 11:30</t>
  </si>
  <si>
    <t xml:space="preserve">周りが気まずくて 撮影を始められない #shorts #切り抜き</t>
  </si>
  <si>
    <t xml:space="preserve">2026-08-30 09:00</t>
  </si>
  <si>
    <r>
      <rPr>
        <sz val="10"/>
        <rFont val="Arial"/>
        <family val="0"/>
        <charset val="1"/>
      </rPr>
      <t xml:space="preserve">1</t>
    </r>
    <r>
      <rPr>
        <sz val="10"/>
        <rFont val="Noto Sans CJK SC"/>
        <family val="2"/>
      </rPr>
      <t xml:space="preserve">分科学 </t>
    </r>
    <r>
      <rPr>
        <sz val="10"/>
        <rFont val="Arial"/>
        <family val="0"/>
        <charset val="1"/>
      </rPr>
      <t xml:space="preserve">#102</t>
    </r>
    <r>
      <rPr>
        <sz val="10"/>
        <rFont val="Noto Sans CJK SC"/>
        <family val="2"/>
      </rPr>
      <t xml:space="preserve">：🌍なぜ寝起きの口だけネバつくのか？あなたの唾液が眠る</t>
    </r>
    <r>
      <rPr>
        <sz val="10"/>
        <rFont val="Arial"/>
        <family val="0"/>
        <charset val="1"/>
      </rPr>
      <t xml:space="preserve">8</t>
    </r>
    <r>
      <rPr>
        <sz val="10"/>
        <rFont val="Noto Sans CJK SC"/>
        <family val="2"/>
      </rPr>
      <t xml:space="preserve">時間の正体【ショート】</t>
    </r>
  </si>
  <si>
    <t xml:space="preserve">📉サイバーエージェントの年収773万円、平均年齢33歳の本当は【ショート】</t>
  </si>
  <si>
    <r>
      <rPr>
        <sz val="10"/>
        <rFont val="Arial"/>
        <family val="0"/>
        <charset val="1"/>
      </rPr>
      <t xml:space="preserve">SCP-4335</t>
    </r>
    <r>
      <rPr>
        <sz val="10"/>
        <rFont val="Noto Sans CJK SC"/>
        <family val="2"/>
      </rPr>
      <t xml:space="preserve">を見た海域で、なぜ観測記録が途絶えたのか？【ショート】</t>
    </r>
  </si>
  <si>
    <t xml:space="preserve">実は家族に見られた通販履歴…一番言い訳できない理由は？【ショート】</t>
  </si>
  <si>
    <r>
      <rPr>
        <sz val="10"/>
        <rFont val="Arial"/>
        <family val="0"/>
        <charset val="1"/>
      </rPr>
      <t xml:space="preserve">1</t>
    </r>
    <r>
      <rPr>
        <sz val="10"/>
        <rFont val="Noto Sans CJK SC"/>
        <family val="2"/>
      </rPr>
      <t xml:space="preserve">分ポケモン研究 </t>
    </r>
    <r>
      <rPr>
        <sz val="10"/>
        <rFont val="Arial"/>
        <family val="0"/>
        <charset val="1"/>
      </rPr>
      <t xml:space="preserve">#22</t>
    </r>
    <r>
      <rPr>
        <sz val="10"/>
        <rFont val="Noto Sans CJK SC"/>
        <family val="2"/>
      </rPr>
      <t xml:space="preserve">：😨ラプラスに隠された秘密、図鑑の</t>
    </r>
    <r>
      <rPr>
        <sz val="10"/>
        <rFont val="Arial"/>
        <family val="0"/>
        <charset val="1"/>
      </rPr>
      <t xml:space="preserve">1</t>
    </r>
    <r>
      <rPr>
        <sz val="10"/>
        <rFont val="Noto Sans CJK SC"/>
        <family val="2"/>
      </rPr>
      <t xml:space="preserve">文で人間側がヤバい？【ショート】</t>
    </r>
  </si>
  <si>
    <t xml:space="preserve">2026-08-30 05:00</t>
  </si>
  <si>
    <t xml:space="preserve">緊張の初プレイ、映画級の宇宙へ #shorts #切り抜き</t>
  </si>
  <si>
    <t xml:space="preserve">📈動画作りに課金しすぎた男、年収480万円で転職できる？【ショート】</t>
  </si>
  <si>
    <t xml:space="preserve">2026-08-30 04:00</t>
  </si>
  <si>
    <r>
      <rPr>
        <sz val="10"/>
        <rFont val="Arial"/>
        <family val="0"/>
        <charset val="1"/>
      </rPr>
      <t xml:space="preserve">1</t>
    </r>
    <r>
      <rPr>
        <sz val="10"/>
        <rFont val="Noto Sans CJK SC"/>
        <family val="2"/>
      </rPr>
      <t xml:space="preserve">分科学 </t>
    </r>
    <r>
      <rPr>
        <sz val="10"/>
        <rFont val="Arial"/>
        <family val="0"/>
        <charset val="1"/>
      </rPr>
      <t xml:space="preserve">#101</t>
    </r>
    <r>
      <rPr>
        <sz val="10"/>
        <rFont val="Noto Sans CJK SC"/>
        <family val="2"/>
      </rPr>
      <t xml:space="preserve">：🧪なぜ</t>
    </r>
    <r>
      <rPr>
        <sz val="10"/>
        <rFont val="Arial"/>
        <family val="0"/>
        <charset val="1"/>
      </rPr>
      <t xml:space="preserve">24</t>
    </r>
    <r>
      <rPr>
        <sz val="10"/>
        <rFont val="Noto Sans CJK SC"/>
        <family val="2"/>
      </rPr>
      <t xml:space="preserve">時間テレビを</t>
    </r>
    <r>
      <rPr>
        <sz val="10"/>
        <rFont val="Arial"/>
        <family val="0"/>
        <charset val="1"/>
      </rPr>
      <t xml:space="preserve">2</t>
    </r>
    <r>
      <rPr>
        <sz val="10"/>
        <rFont val="Noto Sans CJK SC"/>
        <family val="2"/>
      </rPr>
      <t xml:space="preserve">時間見ると寝つきが変わる？あなたの夢に残る映像の正体【ショート】</t>
    </r>
  </si>
  <si>
    <t xml:space="preserve">一口SCP #110：🫣SCP-███「投稿者の編集室」君の部屋にも現れる課金地獄の恐怖💀【ショート】</t>
  </si>
  <si>
    <t xml:space="preserve">2026-08-30 03:00</t>
  </si>
  <si>
    <r>
      <rPr>
        <sz val="10"/>
        <rFont val="Arial"/>
        <family val="0"/>
        <charset val="1"/>
      </rPr>
      <t xml:space="preserve">1</t>
    </r>
    <r>
      <rPr>
        <sz val="10"/>
        <rFont val="Noto Sans CJK SC"/>
        <family val="2"/>
      </rPr>
      <t xml:space="preserve">分妖怪ファイル </t>
    </r>
    <r>
      <rPr>
        <sz val="10"/>
        <rFont val="Arial"/>
        <family val="0"/>
        <charset val="1"/>
      </rPr>
      <t xml:space="preserve">#20</t>
    </r>
    <r>
      <rPr>
        <sz val="10"/>
        <rFont val="Noto Sans CJK SC"/>
        <family val="2"/>
      </rPr>
      <t xml:space="preserve">：🔍スネイキーに隠された秘密、</t>
    </r>
    <r>
      <rPr>
        <sz val="10"/>
        <rFont val="Arial"/>
        <family val="0"/>
        <charset val="1"/>
      </rPr>
      <t xml:space="preserve">3</t>
    </r>
    <r>
      <rPr>
        <sz val="10"/>
        <rFont val="Noto Sans CJK SC"/>
        <family val="2"/>
      </rPr>
      <t xml:space="preserve">段階進化の元ネタは蛇神だった？👁️【ショート】</t>
    </r>
  </si>
  <si>
    <t xml:space="preserve">動画作りに7万課金した男、なぜ昼飯が塩むすびになったのか？【ショート】</t>
  </si>
  <si>
    <r>
      <rPr>
        <sz val="10"/>
        <rFont val="Arial"/>
        <family val="0"/>
        <charset val="1"/>
      </rPr>
      <t xml:space="preserve">1</t>
    </r>
    <r>
      <rPr>
        <sz val="10"/>
        <rFont val="Noto Sans CJK SC"/>
        <family val="2"/>
      </rPr>
      <t xml:space="preserve">分ポケモン研究 </t>
    </r>
    <r>
      <rPr>
        <sz val="10"/>
        <rFont val="Arial"/>
        <family val="0"/>
        <charset val="1"/>
      </rPr>
      <t xml:space="preserve">#21</t>
    </r>
    <r>
      <rPr>
        <sz val="10"/>
        <rFont val="Noto Sans CJK SC"/>
        <family val="2"/>
      </rPr>
      <t xml:space="preserve">：👀カビゴンが道を塞ぐ理由に隠された</t>
    </r>
    <r>
      <rPr>
        <sz val="10"/>
        <rFont val="Arial"/>
        <family val="0"/>
        <charset val="1"/>
      </rPr>
      <t xml:space="preserve">1</t>
    </r>
    <r>
      <rPr>
        <sz val="10"/>
        <rFont val="Noto Sans CJK SC"/>
        <family val="2"/>
      </rPr>
      <t xml:space="preserve">日の秘密、あなたは気づいた？🔍【ショート】</t>
    </r>
  </si>
  <si>
    <t xml:space="preserve">2026-08-29 23:01</t>
  </si>
  <si>
    <t xml:space="preserve">年配夫婦の腕組みペアルックにほっこり #shorts #切り抜き</t>
  </si>
  <si>
    <t xml:space="preserve">2026-08-29 11:31</t>
  </si>
  <si>
    <t xml:space="preserve">無人島に持っていくなら ドラえもんのポケット #shorts #切り抜き</t>
  </si>
  <si>
    <t xml:space="preserve">2026-08-29 10:00</t>
  </si>
  <si>
    <t xml:space="preserve">一口SCP #109：🫣SCP-2480「未完の儀式」記録9名だけが残った収容不能の恐怖【ショート】</t>
  </si>
  <si>
    <t xml:space="preserve">2026-08-29 05:00</t>
  </si>
  <si>
    <t xml:space="preserve">夏のデート感を詰め込んだ一冊 #shorts #切り抜き</t>
  </si>
  <si>
    <r>
      <rPr>
        <sz val="10"/>
        <rFont val="Arial"/>
        <family val="0"/>
        <charset val="1"/>
      </rPr>
      <t xml:space="preserve">💸GU</t>
    </r>
    <r>
      <rPr>
        <sz val="10"/>
        <rFont val="Noto Sans CJK SC"/>
        <family val="2"/>
      </rPr>
      <t xml:space="preserve">の年収、実はポケモンコラボで上がるのか？平均</t>
    </r>
    <r>
      <rPr>
        <sz val="10"/>
        <rFont val="Arial"/>
        <family val="0"/>
        <charset val="1"/>
      </rPr>
      <t xml:space="preserve">959</t>
    </r>
    <r>
      <rPr>
        <sz val="10"/>
        <rFont val="Noto Sans CJK SC"/>
        <family val="2"/>
      </rPr>
      <t xml:space="preserve">万円の裏側💸【ショート】</t>
    </r>
  </si>
  <si>
    <t xml:space="preserve">2026-08-29 04:15</t>
  </si>
  <si>
    <t xml:space="preserve">架空論文ファイル #4：あなたのポケモンは服で進化する — 1,248人が選んだ新形態【ショート】</t>
  </si>
  <si>
    <t xml:space="preserve">2026-08-29 04:00</t>
  </si>
  <si>
    <r>
      <rPr>
        <sz val="10"/>
        <rFont val="Arial"/>
        <family val="0"/>
        <charset val="1"/>
      </rPr>
      <t xml:space="preserve">1</t>
    </r>
    <r>
      <rPr>
        <sz val="10"/>
        <rFont val="Noto Sans CJK SC"/>
        <family val="2"/>
      </rPr>
      <t xml:space="preserve">分科学 </t>
    </r>
    <r>
      <rPr>
        <sz val="10"/>
        <rFont val="Arial"/>
        <family val="0"/>
        <charset val="1"/>
      </rPr>
      <t xml:space="preserve">#100</t>
    </r>
    <r>
      <rPr>
        <sz val="10"/>
        <rFont val="Noto Sans CJK SC"/>
        <family val="2"/>
      </rPr>
      <t xml:space="preserve">：🧬なぜあなたはポケモンの夢で技まで使える？</t>
    </r>
    <r>
      <rPr>
        <sz val="10"/>
        <rFont val="Arial"/>
        <family val="0"/>
        <charset val="1"/>
      </rPr>
      <t xml:space="preserve">REM</t>
    </r>
    <r>
      <rPr>
        <sz val="10"/>
        <rFont val="Noto Sans CJK SC"/>
        <family val="2"/>
      </rPr>
      <t xml:space="preserve">睡眠</t>
    </r>
    <r>
      <rPr>
        <sz val="10"/>
        <rFont val="Arial"/>
        <family val="0"/>
        <charset val="1"/>
      </rPr>
      <t xml:space="preserve">90</t>
    </r>
    <r>
      <rPr>
        <sz val="10"/>
        <rFont val="Noto Sans CJK SC"/>
        <family val="2"/>
      </rPr>
      <t xml:space="preserve">分にある記憶の正体【ショート】</t>
    </r>
  </si>
  <si>
    <t xml:space="preserve">一口SCP #108：🫣SCP-6670「完全な破滅」人類全員を消す報告書の恐怖【ショート】</t>
  </si>
  <si>
    <t xml:space="preserve">2026-08-29 03:00</t>
  </si>
  <si>
    <t xml:space="preserve">なぜPS5 Proに期待する？値段で胃が痛い理由とはw【ショート】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</si>
  <si>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#19</t>
    </r>
    <r>
      <rPr>
        <sz val="10"/>
        <rFont val="Noto Sans CJK SC"/>
        <family val="2"/>
      </rPr>
      <t xml:space="preserve">：👁️フユニャンに隠された秘密、あなたが知らない</t>
    </r>
    <r>
      <rPr>
        <sz val="10"/>
        <rFont val="Arial"/>
        <family val="0"/>
        <charset val="1"/>
      </rPr>
      <t xml:space="preserve">2</t>
    </r>
    <r>
      <rPr>
        <sz val="10"/>
        <rFont val="Noto Sans CJK SC"/>
        <family val="2"/>
      </rPr>
      <t xml:space="preserve">つの元ネタとは？【ショート】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</si>
  <si>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#20</t>
    </r>
    <r>
      <rPr>
        <sz val="10"/>
        <rFont val="Noto Sans CJK SC"/>
        <family val="2"/>
      </rPr>
      <t xml:space="preserve">：👀</t>
    </r>
    <r>
      <rPr>
        <sz val="10"/>
        <rFont val="Arial"/>
        <family val="0"/>
        <charset val="1"/>
      </rPr>
      <t xml:space="preserve">GU</t>
    </r>
    <r>
      <rPr>
        <sz val="10"/>
        <rFont val="Noto Sans CJK SC"/>
        <family val="2"/>
      </rPr>
      <t xml:space="preserve">ポケモンコラボに隠された</t>
    </r>
    <r>
      <rPr>
        <sz val="10"/>
        <rFont val="Arial"/>
        <family val="0"/>
        <charset val="1"/>
      </rPr>
      <t xml:space="preserve">5</t>
    </r>
    <r>
      <rPr>
        <sz val="10"/>
        <rFont val="Noto Sans CJK SC"/>
        <family val="2"/>
      </rPr>
      <t xml:space="preserve">つの秘密、ピカチュウだけじゃない理由は？❓【ショート】</t>
    </r>
  </si>
  <si>
    <t xml:space="preserve">2026-08-28 23:00</t>
  </si>
  <si>
    <t xml:space="preserve">自己肯定感が急に 薄っぺらくなった時期 #shorts #切り抜き</t>
  </si>
  <si>
    <t xml:space="preserve">2026-08-28 11:31</t>
  </si>
  <si>
    <t xml:space="preserve">友達の好きな人を狙うなら 友達をやめる #shorts #切り抜き</t>
  </si>
  <si>
    <t xml:space="preserve">2026-08-28 10:30</t>
  </si>
  <si>
    <t xml:space="preserve">架空論文ファイル #3：PS5 Proは反応を0.18秒縮める — 768人を28日追跡した結果【ショート】</t>
  </si>
  <si>
    <t xml:space="preserve">2026-08-28 10:00</t>
  </si>
  <si>
    <t xml:space="preserve">一口SCP #107：🫣SCP-4885「ジョン・ウィルクス・ブース」写真を見るあなたへ迫る恐怖【ショート】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</si>
  <si>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#18</t>
    </r>
    <r>
      <rPr>
        <sz val="10"/>
        <rFont val="Noto Sans CJK SC"/>
        <family val="2"/>
      </rPr>
      <t xml:space="preserve">：👁️エンマ大王に隠された</t>
    </r>
    <r>
      <rPr>
        <sz val="10"/>
        <rFont val="Arial"/>
        <family val="0"/>
        <charset val="1"/>
      </rPr>
      <t xml:space="preserve">3</t>
    </r>
    <r>
      <rPr>
        <sz val="10"/>
        <rFont val="Noto Sans CJK SC"/>
        <family val="2"/>
      </rPr>
      <t xml:space="preserve">つの条件、あなたは本当に仲間にできる？【ショート】</t>
    </r>
  </si>
  <si>
    <t xml:space="preserve">2026-08-28 09:45</t>
  </si>
  <si>
    <t xml:space="preserve">なぜ最初の数秒だけ？第一印象が実は書き換わらない本当の理由【ショート】</t>
  </si>
  <si>
    <t xml:space="preserve">2026-08-28 09:00</t>
  </si>
  <si>
    <t xml:space="preserve">🤣ワイ、落雷を3秒で見たんやが質問ある？w🍑【ショート】</t>
  </si>
  <si>
    <t xml:space="preserve">2026-08-28 08:30</t>
  </si>
  <si>
    <r>
      <rPr>
        <sz val="10"/>
        <rFont val="Arial"/>
        <family val="0"/>
        <charset val="1"/>
      </rPr>
      <t xml:space="preserve">1</t>
    </r>
    <r>
      <rPr>
        <sz val="10"/>
        <rFont val="Noto Sans CJK SC"/>
        <family val="2"/>
      </rPr>
      <t xml:space="preserve">分ポケモン研究 </t>
    </r>
    <r>
      <rPr>
        <sz val="10"/>
        <rFont val="Arial"/>
        <family val="0"/>
        <charset val="1"/>
      </rPr>
      <t xml:space="preserve">#19</t>
    </r>
    <r>
      <rPr>
        <sz val="10"/>
        <rFont val="Noto Sans CJK SC"/>
        <family val="2"/>
      </rPr>
      <t xml:space="preserve">：🕵️ケッキングに隠された</t>
    </r>
    <r>
      <rPr>
        <sz val="10"/>
        <rFont val="Arial"/>
        <family val="0"/>
        <charset val="1"/>
      </rPr>
      <t xml:space="preserve">2</t>
    </r>
    <r>
      <rPr>
        <sz val="10"/>
        <rFont val="Noto Sans CJK SC"/>
        <family val="2"/>
      </rPr>
      <t xml:space="preserve">ターンの秘密、種族値</t>
    </r>
    <r>
      <rPr>
        <sz val="10"/>
        <rFont val="Arial"/>
        <family val="0"/>
        <charset val="1"/>
      </rPr>
      <t xml:space="preserve">670</t>
    </r>
    <r>
      <rPr>
        <sz val="10"/>
        <rFont val="Noto Sans CJK SC"/>
        <family val="2"/>
      </rPr>
      <t xml:space="preserve">なのになぜ使えない？【ショート】</t>
    </r>
  </si>
  <si>
    <t xml:space="preserve">2026-08-28 08:00</t>
  </si>
  <si>
    <r>
      <rPr>
        <sz val="10"/>
        <rFont val="Arial"/>
        <family val="0"/>
        <charset val="1"/>
      </rPr>
      <t xml:space="preserve">1</t>
    </r>
    <r>
      <rPr>
        <sz val="10"/>
        <rFont val="Noto Sans CJK SC"/>
        <family val="2"/>
      </rPr>
      <t xml:space="preserve">分科学 </t>
    </r>
    <r>
      <rPr>
        <sz val="10"/>
        <rFont val="Arial"/>
        <family val="0"/>
        <charset val="1"/>
      </rPr>
      <t xml:space="preserve">#99</t>
    </r>
    <r>
      <rPr>
        <sz val="10"/>
        <rFont val="Noto Sans CJK SC"/>
        <family val="2"/>
      </rPr>
      <t xml:space="preserve">：🧪なぜ濡れた紙は</t>
    </r>
    <r>
      <rPr>
        <sz val="10"/>
        <rFont val="Arial"/>
        <family val="0"/>
        <charset val="1"/>
      </rPr>
      <t xml:space="preserve">3</t>
    </r>
    <r>
      <rPr>
        <sz val="10"/>
        <rFont val="Noto Sans CJK SC"/>
        <family val="2"/>
      </rPr>
      <t xml:space="preserve">倍も破れやすい？あなたが毎日触る繊維の正体【ショート】</t>
    </r>
  </si>
  <si>
    <t xml:space="preserve">📉花王の男性育休100%、年収はいくら？実は数字の裏も見る【ショート】</t>
  </si>
  <si>
    <t xml:space="preserve">2026-08-28 05:30</t>
  </si>
  <si>
    <t xml:space="preserve">初めての体験で めっちゃ囲まれた #shorts #切り抜き</t>
  </si>
  <si>
    <t xml:space="preserve">おすすめで自分の名前を出して撃沈 #shorts #切り抜き</t>
  </si>
  <si>
    <t xml:space="preserve">2026-08-28 05:29</t>
  </si>
  <si>
    <r>
      <rPr>
        <sz val="10"/>
        <rFont val="Arial"/>
        <family val="0"/>
        <charset val="1"/>
      </rPr>
      <t xml:space="preserve">📉JR</t>
    </r>
    <r>
      <rPr>
        <sz val="10"/>
        <rFont val="Noto Sans CJK SC"/>
        <family val="2"/>
      </rPr>
      <t xml:space="preserve">東日本の年収</t>
    </r>
    <r>
      <rPr>
        <sz val="10"/>
        <rFont val="Arial"/>
        <family val="0"/>
        <charset val="1"/>
      </rPr>
      <t xml:space="preserve">810</t>
    </r>
    <r>
      <rPr>
        <sz val="10"/>
        <rFont val="Noto Sans CJK SC"/>
        <family val="2"/>
      </rPr>
      <t xml:space="preserve">万円、本当は休日</t>
    </r>
    <r>
      <rPr>
        <sz val="10"/>
        <rFont val="Arial"/>
        <family val="0"/>
        <charset val="1"/>
      </rPr>
      <t xml:space="preserve">124</t>
    </r>
    <r>
      <rPr>
        <sz val="10"/>
        <rFont val="Noto Sans CJK SC"/>
        <family val="2"/>
      </rPr>
      <t xml:space="preserve">日とのバランス💸【ショート】</t>
    </r>
  </si>
  <si>
    <t xml:space="preserve">2026-08-28 05:27</t>
  </si>
  <si>
    <r>
      <rPr>
        <sz val="10"/>
        <rFont val="Arial"/>
        <family val="0"/>
        <charset val="1"/>
      </rPr>
      <t xml:space="preserve">1</t>
    </r>
    <r>
      <rPr>
        <sz val="10"/>
        <rFont val="Noto Sans CJK SC"/>
        <family val="2"/>
      </rPr>
      <t xml:space="preserve">分妖怪ファイル </t>
    </r>
    <r>
      <rPr>
        <sz val="10"/>
        <rFont val="Arial"/>
        <family val="0"/>
        <charset val="1"/>
      </rPr>
      <t xml:space="preserve">#17</t>
    </r>
    <r>
      <rPr>
        <sz val="10"/>
        <rFont val="Noto Sans CJK SC"/>
        <family val="2"/>
      </rPr>
      <t xml:space="preserve">：❓妖怪ウォッチの将門伝説に隠された秘密、あなたが知らない</t>
    </r>
    <r>
      <rPr>
        <sz val="10"/>
        <rFont val="Arial"/>
        <family val="0"/>
        <charset val="1"/>
      </rPr>
      <t xml:space="preserve">3</t>
    </r>
    <r>
      <rPr>
        <sz val="10"/>
        <rFont val="Noto Sans CJK SC"/>
        <family val="2"/>
      </rPr>
      <t xml:space="preserve">つの異変？🔍【ショート】</t>
    </r>
  </si>
  <si>
    <t xml:space="preserve">2026-08-28 05:23</t>
  </si>
  <si>
    <t xml:space="preserve">💰味の素の有給取得率、実は76.8% 年収と残業の本当は？💸【ショート】</t>
  </si>
  <si>
    <t xml:space="preserve">2026-08-28 05:17</t>
  </si>
  <si>
    <r>
      <rPr>
        <sz val="10"/>
        <rFont val="Arial"/>
        <family val="0"/>
        <charset val="1"/>
      </rPr>
      <t xml:space="preserve">1</t>
    </r>
    <r>
      <rPr>
        <sz val="10"/>
        <rFont val="Noto Sans CJK SC"/>
        <family val="2"/>
      </rPr>
      <t xml:space="preserve">分ポケモン研究 </t>
    </r>
    <r>
      <rPr>
        <sz val="10"/>
        <rFont val="Arial"/>
        <family val="0"/>
        <charset val="1"/>
      </rPr>
      <t xml:space="preserve">#18</t>
    </r>
    <r>
      <rPr>
        <sz val="10"/>
        <rFont val="Noto Sans CJK SC"/>
        <family val="2"/>
      </rPr>
      <t xml:space="preserve">：👀ポケモンタワーに隠された秘密、あなたが見落とす</t>
    </r>
    <r>
      <rPr>
        <sz val="10"/>
        <rFont val="Arial"/>
        <family val="0"/>
        <charset val="1"/>
      </rPr>
      <t xml:space="preserve">3</t>
    </r>
    <r>
      <rPr>
        <sz val="10"/>
        <rFont val="Noto Sans CJK SC"/>
        <family val="2"/>
      </rPr>
      <t xml:space="preserve">つの違和感は？👀【ショート】</t>
    </r>
  </si>
  <si>
    <t xml:space="preserve">2026-08-28 05:15</t>
  </si>
  <si>
    <t xml:space="preserve">💦ワイ、夫が寝た後の秘密3つあげてけw🤣【ショート】</t>
  </si>
  <si>
    <t xml:space="preserve">2026-08-28 05:12</t>
  </si>
  <si>
    <t xml:space="preserve">一口SCP #106：🫣MTFアルファからオメガ、あなたの部屋にも来る財団極秘作戦の恐怖💀【ショート】</t>
  </si>
  <si>
    <t xml:space="preserve">2026-08-28 05:06</t>
  </si>
  <si>
    <r>
      <rPr>
        <sz val="10"/>
        <rFont val="Arial"/>
        <family val="0"/>
        <charset val="1"/>
      </rPr>
      <t xml:space="preserve">1</t>
    </r>
    <r>
      <rPr>
        <sz val="10"/>
        <rFont val="Noto Sans CJK SC"/>
        <family val="2"/>
      </rPr>
      <t xml:space="preserve">分科学 </t>
    </r>
    <r>
      <rPr>
        <sz val="10"/>
        <rFont val="Arial"/>
        <family val="0"/>
        <charset val="1"/>
      </rPr>
      <t xml:space="preserve">#98</t>
    </r>
    <r>
      <rPr>
        <sz val="10"/>
        <rFont val="Noto Sans CJK SC"/>
        <family val="2"/>
      </rPr>
      <t xml:space="preserve">：🌍なぜ歩くと腕と足は逆に動くのか？あなたの体が毎秒行う回転制御の正体【ショート】</t>
    </r>
  </si>
  <si>
    <t xml:space="preserve">2026-08-28 05:00</t>
  </si>
  <si>
    <r>
      <rPr>
        <sz val="10"/>
        <rFont val="Arial"/>
        <family val="0"/>
        <charset val="1"/>
      </rPr>
      <t xml:space="preserve">6</t>
    </r>
    <r>
      <rPr>
        <sz val="10"/>
        <rFont val="Noto Sans CJK SC"/>
        <family val="2"/>
      </rPr>
      <t xml:space="preserve">年間ほぼ話してないのに ずっと好きな理由が衝撃 </t>
    </r>
    <r>
      <rPr>
        <sz val="10"/>
        <rFont val="Arial"/>
        <family val="0"/>
        <charset val="1"/>
      </rPr>
      <t xml:space="preserve">#shorts #</t>
    </r>
    <r>
      <rPr>
        <sz val="10"/>
        <rFont val="Noto Sans CJK SC"/>
        <family val="2"/>
      </rPr>
      <t xml:space="preserve">切り抜き</t>
    </r>
  </si>
  <si>
    <t xml:space="preserve">2026-08-28 00:00</t>
  </si>
  <si>
    <t xml:space="preserve">一口SCP #105：💀SCP-239「魔女の子供」眠る8歳を財団が恐れた収容記録😱【ショート】</t>
  </si>
  <si>
    <t xml:space="preserve">2026-08-27 23:00</t>
  </si>
  <si>
    <t xml:space="preserve">「おはよう」から「おやすみ」まで デート気分を詰め込んだ一冊 #shorts #切り抜き</t>
  </si>
  <si>
    <t xml:space="preserve">2026-08-27 11:30</t>
  </si>
  <si>
    <t xml:space="preserve">花火大会を2人で行けたら もうほぼ脈あり #shorts #切り抜き</t>
  </si>
  <si>
    <t xml:space="preserve">2026-08-27 10:30</t>
  </si>
  <si>
    <t xml:space="preserve">大谷翔平の打撃フォームが宇宙人に似る本当の理由とは？【ショート】</t>
  </si>
  <si>
    <t xml:space="preserve">2026-08-27 10:00</t>
  </si>
  <si>
    <t xml:space="preserve">なぜ「死亡者0人」の日々で人々が消えたのか【SCP-3519】【ショート】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</si>
  <si>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#16</t>
    </r>
    <r>
      <rPr>
        <sz val="10"/>
        <rFont val="Noto Sans CJK SC"/>
        <family val="2"/>
      </rPr>
      <t xml:space="preserve">：👁️妖怪ウォッチに隠された</t>
    </r>
    <r>
      <rPr>
        <sz val="10"/>
        <rFont val="Arial"/>
        <family val="0"/>
        <charset val="1"/>
      </rPr>
      <t xml:space="preserve">3</t>
    </r>
    <r>
      <rPr>
        <sz val="10"/>
        <rFont val="Noto Sans CJK SC"/>
        <family val="2"/>
      </rPr>
      <t xml:space="preserve">つの秘密、大谷翔平と妖怪伝説の関係は？【ショート】</t>
    </r>
  </si>
  <si>
    <t xml:space="preserve">2026-08-27 09:45</t>
  </si>
  <si>
    <t xml:space="preserve">なぜ大谷翔平だけ？実力の前に働く「外見」の本当の理由【ショート】</t>
  </si>
  <si>
    <t xml:space="preserve">2026-08-27 09:00</t>
  </si>
  <si>
    <t xml:space="preserve">🤣ワイ、大谷の昼飯を3秒で当てるスレw🤣【ショート】</t>
  </si>
  <si>
    <t xml:space="preserve">2026-08-27 08:30</t>
  </si>
  <si>
    <r>
      <rPr>
        <sz val="10"/>
        <rFont val="Arial"/>
        <family val="0"/>
        <charset val="1"/>
      </rPr>
      <t xml:space="preserve">1</t>
    </r>
    <r>
      <rPr>
        <sz val="10"/>
        <rFont val="Noto Sans CJK SC"/>
        <family val="2"/>
      </rPr>
      <t xml:space="preserve">分ポケモン研究 </t>
    </r>
    <r>
      <rPr>
        <sz val="10"/>
        <rFont val="Arial"/>
        <family val="0"/>
        <charset val="1"/>
      </rPr>
      <t xml:space="preserve">#17</t>
    </r>
    <r>
      <rPr>
        <sz val="10"/>
        <rFont val="Noto Sans CJK SC"/>
        <family val="2"/>
      </rPr>
      <t xml:space="preserve">：👀ミュウツーに隠された</t>
    </r>
    <r>
      <rPr>
        <sz val="10"/>
        <rFont val="Arial"/>
        <family val="0"/>
        <charset val="1"/>
      </rPr>
      <t xml:space="preserve">3</t>
    </r>
    <r>
      <rPr>
        <sz val="10"/>
        <rFont val="Noto Sans CJK SC"/>
        <family val="2"/>
      </rPr>
      <t xml:space="preserve">手先の秘密、</t>
    </r>
    <r>
      <rPr>
        <sz val="10"/>
        <rFont val="Arial"/>
        <family val="0"/>
        <charset val="1"/>
      </rPr>
      <t xml:space="preserve">AI</t>
    </r>
    <r>
      <rPr>
        <sz val="10"/>
        <rFont val="Noto Sans CJK SC"/>
        <family val="2"/>
      </rPr>
      <t xml:space="preserve">はなぜ交代を読める？【ショート】</t>
    </r>
  </si>
  <si>
    <t xml:space="preserve">2026-08-27 08:00</t>
  </si>
  <si>
    <r>
      <rPr>
        <sz val="10"/>
        <rFont val="Arial"/>
        <family val="0"/>
        <charset val="1"/>
      </rPr>
      <t xml:space="preserve">1</t>
    </r>
    <r>
      <rPr>
        <sz val="10"/>
        <rFont val="Noto Sans CJK SC"/>
        <family val="2"/>
      </rPr>
      <t xml:space="preserve">分科学 </t>
    </r>
    <r>
      <rPr>
        <sz val="10"/>
        <rFont val="Arial"/>
        <family val="0"/>
        <charset val="1"/>
      </rPr>
      <t xml:space="preserve">#97</t>
    </r>
    <r>
      <rPr>
        <sz val="10"/>
        <rFont val="Noto Sans CJK SC"/>
        <family val="2"/>
      </rPr>
      <t xml:space="preserve">：🧬なぜ大谷翔平は睡眠を最優先するのか？</t>
    </r>
    <r>
      <rPr>
        <sz val="10"/>
        <rFont val="Arial"/>
        <family val="0"/>
        <charset val="1"/>
      </rPr>
      <t xml:space="preserve">8</t>
    </r>
    <r>
      <rPr>
        <sz val="10"/>
        <rFont val="Noto Sans CJK SC"/>
        <family val="2"/>
      </rPr>
      <t xml:space="preserve">時間超が支える体の正体【ショート】</t>
    </r>
  </si>
  <si>
    <t xml:space="preserve">📉大谷翔平の年収が実は約160億円？スポンサー契約の裏側📉【ショート】</t>
  </si>
  <si>
    <t xml:space="preserve">2026-08-27 05:00</t>
  </si>
  <si>
    <t xml:space="preserve">「頑張ってて偉い」が 刺さらない時がある #shorts #切り抜き</t>
  </si>
  <si>
    <t xml:space="preserve">2026-08-27 03:20</t>
  </si>
  <si>
    <t xml:space="preserve">三十八人が見ていて、誰も動かなかった夜 #shorts #社会学 #人間心理</t>
  </si>
  <si>
    <t xml:space="preserve">2026-08-27 03:18</t>
  </si>
  <si>
    <t xml:space="preserve">三菱商事の平均年収2033万円、その中身 #shorts #企業分析 #年収 #転職</t>
  </si>
  <si>
    <t xml:space="preserve">2026-08-27 03:14</t>
  </si>
  <si>
    <t xml:space="preserve">架空論文ファイル：満席の映画館では観客の瞬きが同期する #shorts #架空論文 #フィクション</t>
  </si>
  <si>
    <t xml:space="preserve">2026-08-27 03:12</t>
  </si>
  <si>
    <t xml:space="preserve">彼女の家で開けたらアカン引き出し開けたんやが #shorts #2ch #面白いスレ</t>
  </si>
  <si>
    <t xml:space="preserve">2026-08-27 03:08</t>
  </si>
  <si>
    <r>
      <rPr>
        <sz val="10"/>
        <rFont val="Arial"/>
        <family val="0"/>
        <charset val="1"/>
      </rPr>
      <t xml:space="preserve">1</t>
    </r>
    <r>
      <rPr>
        <sz val="10"/>
        <rFont val="Noto Sans CJK SC"/>
        <family val="2"/>
      </rPr>
      <t xml:space="preserve">分妖怪ファイル：キュウビの元ネタ玉藻前、殺生石になった結末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</si>
  <si>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2026-08-27 03:05</t>
  </si>
  <si>
    <r>
      <rPr>
        <sz val="10"/>
        <rFont val="Arial"/>
        <family val="0"/>
        <charset val="1"/>
      </rPr>
      <t xml:space="preserve">1</t>
    </r>
    <r>
      <rPr>
        <sz val="10"/>
        <rFont val="Noto Sans CJK SC"/>
        <family val="2"/>
      </rPr>
      <t xml:space="preserve">分ポケモン研究：ヌメルゴンとバンギラス、特防が高いのはどっち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</si>
  <si>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2026-08-27 03:03</t>
  </si>
  <si>
    <r>
      <rPr>
        <sz val="10"/>
        <rFont val="Arial"/>
        <family val="0"/>
        <charset val="1"/>
      </rPr>
      <t xml:space="preserve">1</t>
    </r>
    <r>
      <rPr>
        <sz val="10"/>
        <rFont val="Noto Sans CJK SC"/>
        <family val="2"/>
      </rPr>
      <t xml:space="preserve">分科学：なぜ蚊に刺された場所は数分後から痒くなるのか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</si>
  <si>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2026-08-27 03:01</t>
  </si>
  <si>
    <t xml:space="preserve">一口SCP：SCP-006-JP「あけろ」ドアの向こうの記録 #shorts #SCP #SCP解説</t>
  </si>
  <si>
    <t xml:space="preserve">若者の資産を増やすには 収入を増やすしかない #shorts #切り抜き</t>
  </si>
  <si>
    <t xml:space="preserve">2026-08-27 03:00</t>
  </si>
  <si>
    <t xml:space="preserve">“時間停止”で使うスタジオ #shorts #切り抜き</t>
  </si>
  <si>
    <t xml:space="preserve">2026-08-27 02:59</t>
  </si>
  <si>
    <t xml:space="preserve">ストレスが溜まったら 泣いて寝るタイプ #shorts #切り抜き</t>
  </si>
  <si>
    <t xml:space="preserve">2026-08-26 11:30</t>
  </si>
  <si>
    <t xml:space="preserve">【金子みゆ】アイドルが正体隠して斉藤さんやったらやばすぎたw #shorts</t>
  </si>
  <si>
    <t xml:space="preserve">2026-08-26 11:00</t>
  </si>
  <si>
    <t xml:space="preserve">フェラは結構大変だったりする #shorts #切り抜き</t>
  </si>
  <si>
    <t xml:space="preserve">2026-08-26 10:00</t>
  </si>
  <si>
    <r>
      <rPr>
        <sz val="10"/>
        <rFont val="Arial"/>
        <family val="0"/>
        <charset val="1"/>
      </rPr>
      <t xml:space="preserve">1</t>
    </r>
    <r>
      <rPr>
        <sz val="10"/>
        <rFont val="Noto Sans CJK SC"/>
        <family val="2"/>
      </rPr>
      <t xml:space="preserve">分妖怪ファイル </t>
    </r>
    <r>
      <rPr>
        <sz val="10"/>
        <rFont val="Arial"/>
        <family val="0"/>
        <charset val="1"/>
      </rPr>
      <t xml:space="preserve">#14</t>
    </r>
    <r>
      <rPr>
        <sz val="10"/>
        <rFont val="Noto Sans CJK SC"/>
        <family val="2"/>
      </rPr>
      <t xml:space="preserve">：❓コマさんとコマじろうの秘密、</t>
    </r>
    <r>
      <rPr>
        <sz val="10"/>
        <rFont val="Arial"/>
        <family val="0"/>
        <charset val="1"/>
      </rPr>
      <t xml:space="preserve">2</t>
    </r>
    <r>
      <rPr>
        <sz val="10"/>
        <rFont val="Noto Sans CJK SC"/>
        <family val="2"/>
      </rPr>
      <t xml:space="preserve">体で狛犬になる本当の理由は？【ショート】</t>
    </r>
  </si>
  <si>
    <t xml:space="preserve">なぜ調査員はSCP-1283-JPの踏切のむこうで消えたのか？【ショート】</t>
  </si>
  <si>
    <t xml:space="preserve">2026-08-26 09:00</t>
  </si>
  <si>
    <t xml:space="preserve">実は迷子続出？ドラゴンボールパークで何が起きたのか【ショート】</t>
  </si>
  <si>
    <t xml:space="preserve">2026-08-26 08:30</t>
  </si>
  <si>
    <r>
      <rPr>
        <sz val="10"/>
        <rFont val="Arial"/>
        <family val="0"/>
        <charset val="1"/>
      </rPr>
      <t xml:space="preserve">1</t>
    </r>
    <r>
      <rPr>
        <sz val="10"/>
        <rFont val="Noto Sans CJK SC"/>
        <family val="2"/>
      </rPr>
      <t xml:space="preserve">分ポケモン研究 </t>
    </r>
    <r>
      <rPr>
        <sz val="10"/>
        <rFont val="Arial"/>
        <family val="0"/>
        <charset val="1"/>
      </rPr>
      <t xml:space="preserve">#15</t>
    </r>
    <r>
      <rPr>
        <sz val="10"/>
        <rFont val="Noto Sans CJK SC"/>
        <family val="2"/>
      </rPr>
      <t xml:space="preserve">：👀シャンデラに隠された秘密、なぜ霊タイプ？君が知らない</t>
    </r>
    <r>
      <rPr>
        <sz val="10"/>
        <rFont val="Arial"/>
        <family val="0"/>
        <charset val="1"/>
      </rPr>
      <t xml:space="preserve">3</t>
    </r>
    <r>
      <rPr>
        <sz val="10"/>
        <rFont val="Noto Sans CJK SC"/>
        <family val="2"/>
      </rPr>
      <t xml:space="preserve">つの由来【ショート】</t>
    </r>
  </si>
  <si>
    <t xml:space="preserve">2026-08-26 08:00</t>
  </si>
  <si>
    <r>
      <rPr>
        <sz val="10"/>
        <rFont val="Arial"/>
        <family val="0"/>
        <charset val="1"/>
      </rPr>
      <t xml:space="preserve">1</t>
    </r>
    <r>
      <rPr>
        <sz val="10"/>
        <rFont val="Noto Sans CJK SC"/>
        <family val="2"/>
      </rPr>
      <t xml:space="preserve">分科学 </t>
    </r>
    <r>
      <rPr>
        <sz val="10"/>
        <rFont val="Arial"/>
        <family val="0"/>
        <charset val="1"/>
      </rPr>
      <t xml:space="preserve">#95</t>
    </r>
    <r>
      <rPr>
        <sz val="10"/>
        <rFont val="Noto Sans CJK SC"/>
        <family val="2"/>
      </rPr>
      <t xml:space="preserve">：🧪なぜ雷鳴の</t>
    </r>
    <r>
      <rPr>
        <sz val="10"/>
        <rFont val="Arial"/>
        <family val="0"/>
        <charset val="1"/>
      </rPr>
      <t xml:space="preserve">3</t>
    </r>
    <r>
      <rPr>
        <sz val="10"/>
        <rFont val="Noto Sans CJK SC"/>
        <family val="2"/>
      </rPr>
      <t xml:space="preserve">秒前から体が固まるのか？あなたの脳に起きる反応の正体🧬【ショート】</t>
    </r>
  </si>
  <si>
    <t xml:space="preserve">💸トヨタ自動車の年収982万円、実は手当の中身が違う【ショート】</t>
  </si>
  <si>
    <t xml:space="preserve">2026-08-26 00:00</t>
  </si>
  <si>
    <t xml:space="preserve">一口SCP #101：🫣SCP-雷撃記録、あなたの部屋まで届く落雷恐怖【ショート】</t>
  </si>
  <si>
    <t xml:space="preserve">2026-08-25 11:31</t>
  </si>
  <si>
    <t xml:space="preserve">【金子みゆ】現役アイドルのぼっち一蘭が可愛すぎるw #shorts</t>
  </si>
  <si>
    <t xml:space="preserve">2026-08-25 10:00</t>
  </si>
  <si>
    <t xml:space="preserve">なぜ航路の先で記録が消えるのか？SCP-1783-JPの本当の恐怖【ショート】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</si>
  <si>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#13</t>
    </r>
    <r>
      <rPr>
        <sz val="10"/>
        <rFont val="Noto Sans CJK SC"/>
        <family val="2"/>
      </rPr>
      <t xml:space="preserve">：👁️妖怪ウォッチ元祖に隠された</t>
    </r>
    <r>
      <rPr>
        <sz val="10"/>
        <rFont val="Arial"/>
        <family val="0"/>
        <charset val="1"/>
      </rPr>
      <t xml:space="preserve">3</t>
    </r>
    <r>
      <rPr>
        <sz val="10"/>
        <rFont val="Noto Sans CJK SC"/>
        <family val="2"/>
      </rPr>
      <t xml:space="preserve">つの秘密、あなたは名前の意味に気づいた？【ショート】</t>
    </r>
  </si>
  <si>
    <t xml:space="preserve">2026-08-25 09:00</t>
  </si>
  <si>
    <t xml:space="preserve">🤯ワイ、友達の家でヤバい物を3個見たんやがw🤯【ショート】</t>
  </si>
  <si>
    <t xml:space="preserve">2026-08-25 08:30</t>
  </si>
  <si>
    <r>
      <rPr>
        <sz val="10"/>
        <rFont val="Arial"/>
        <family val="0"/>
        <charset val="1"/>
      </rPr>
      <t xml:space="preserve">1</t>
    </r>
    <r>
      <rPr>
        <sz val="10"/>
        <rFont val="Noto Sans CJK SC"/>
        <family val="2"/>
      </rPr>
      <t xml:space="preserve">分ポケモン研究 </t>
    </r>
    <r>
      <rPr>
        <sz val="10"/>
        <rFont val="Arial"/>
        <family val="0"/>
        <charset val="1"/>
      </rPr>
      <t xml:space="preserve">#14</t>
    </r>
    <r>
      <rPr>
        <sz val="10"/>
        <rFont val="Noto Sans CJK SC"/>
        <family val="2"/>
      </rPr>
      <t xml:space="preserve">：👀ロケット団に隠された</t>
    </r>
    <r>
      <rPr>
        <sz val="10"/>
        <rFont val="Arial"/>
        <family val="0"/>
        <charset val="1"/>
      </rPr>
      <t xml:space="preserve">3</t>
    </r>
    <r>
      <rPr>
        <sz val="10"/>
        <rFont val="Noto Sans CJK SC"/>
        <family val="2"/>
      </rPr>
      <t xml:space="preserve">つの秘密、あなたは本当の目的を知ってる？【ショート】</t>
    </r>
  </si>
  <si>
    <t xml:space="preserve">2026-08-25 08:00</t>
  </si>
  <si>
    <t xml:space="preserve">💸不二家の半額ケーキ、実は年収549万円とどう関係する？【ショート】</t>
  </si>
  <si>
    <r>
      <rPr>
        <sz val="10"/>
        <rFont val="Arial"/>
        <family val="0"/>
        <charset val="1"/>
      </rPr>
      <t xml:space="preserve">1</t>
    </r>
    <r>
      <rPr>
        <sz val="10"/>
        <rFont val="Noto Sans CJK SC"/>
        <family val="2"/>
      </rPr>
      <t xml:space="preserve">分科学 </t>
    </r>
    <r>
      <rPr>
        <sz val="10"/>
        <rFont val="Arial"/>
        <family val="0"/>
        <charset val="1"/>
      </rPr>
      <t xml:space="preserve">#94</t>
    </r>
    <r>
      <rPr>
        <sz val="10"/>
        <rFont val="Noto Sans CJK SC"/>
        <family val="2"/>
      </rPr>
      <t xml:space="preserve">：🧬なぜ甘い物のあと塩気が欲しい？あなたの舌で</t>
    </r>
    <r>
      <rPr>
        <sz val="10"/>
        <rFont val="Arial"/>
        <family val="0"/>
        <charset val="1"/>
      </rPr>
      <t xml:space="preserve">3</t>
    </r>
    <r>
      <rPr>
        <sz val="10"/>
        <rFont val="Noto Sans CJK SC"/>
        <family val="2"/>
      </rPr>
      <t xml:space="preserve">分起きる感度の正体【ショート】</t>
    </r>
  </si>
  <si>
    <t xml:space="preserve">2026-08-25 03:09</t>
  </si>
  <si>
    <r>
      <rPr>
        <sz val="10"/>
        <rFont val="Arial"/>
        <family val="0"/>
        <charset val="1"/>
      </rPr>
      <t xml:space="preserve">1</t>
    </r>
    <r>
      <rPr>
        <sz val="10"/>
        <rFont val="Noto Sans CJK SC"/>
        <family val="2"/>
      </rPr>
      <t xml:space="preserve">分妖怪ファイル </t>
    </r>
    <r>
      <rPr>
        <sz val="10"/>
        <rFont val="Arial"/>
        <family val="0"/>
        <charset val="1"/>
      </rPr>
      <t xml:space="preserve">#12</t>
    </r>
    <r>
      <rPr>
        <sz val="10"/>
        <rFont val="Noto Sans CJK SC"/>
        <family val="2"/>
      </rPr>
      <t xml:space="preserve">：👁️両面宿儺に隠された</t>
    </r>
    <r>
      <rPr>
        <sz val="10"/>
        <rFont val="Arial"/>
        <family val="0"/>
        <charset val="1"/>
      </rPr>
      <t xml:space="preserve">2</t>
    </r>
    <r>
      <rPr>
        <sz val="10"/>
        <rFont val="Noto Sans CJK SC"/>
        <family val="2"/>
      </rPr>
      <t xml:space="preserve">つの秘密、君は古文書の正体を知ってる？【ショート】</t>
    </r>
  </si>
  <si>
    <t xml:space="preserve">太陽系の番人SCP-179が沈黙を恐れる理由【ショート】</t>
  </si>
  <si>
    <t xml:space="preserve">2026-08-24 11:31</t>
  </si>
  <si>
    <t xml:space="preserve">【金子みゆ】ゲーム実況で叫びすぎるアイドルが可愛いw #shorts</t>
  </si>
  <si>
    <t xml:space="preserve">2026-08-24 11:00</t>
  </si>
  <si>
    <t xml:space="preserve">プロテインにマカとロイヤルゼリー入り #shorts #切り抜き</t>
  </si>
  <si>
    <t xml:space="preserve">2026-08-24 09:40</t>
  </si>
  <si>
    <t xml:space="preserve">登録者9万人のサブチャンネルは 収益化済み #shorts #切り抜き</t>
  </si>
  <si>
    <t xml:space="preserve">2026-08-24 09:00</t>
  </si>
  <si>
    <t xml:space="preserve">味の素3粒、実は何に使うのか？意外すぎる活用法をあげてけｗ【ショート】</t>
  </si>
  <si>
    <t xml:space="preserve">2026-08-24 08:30</t>
  </si>
  <si>
    <r>
      <rPr>
        <sz val="10"/>
        <rFont val="Arial"/>
        <family val="0"/>
        <charset val="1"/>
      </rPr>
      <t xml:space="preserve">1</t>
    </r>
    <r>
      <rPr>
        <sz val="10"/>
        <rFont val="Noto Sans CJK SC"/>
        <family val="2"/>
      </rPr>
      <t xml:space="preserve">分ポケモン研究 </t>
    </r>
    <r>
      <rPr>
        <sz val="10"/>
        <rFont val="Arial"/>
        <family val="0"/>
        <charset val="1"/>
      </rPr>
      <t xml:space="preserve">#13</t>
    </r>
    <r>
      <rPr>
        <sz val="10"/>
        <rFont val="Noto Sans CJK SC"/>
        <family val="2"/>
      </rPr>
      <t xml:space="preserve">：👀グリーンに隠された</t>
    </r>
    <r>
      <rPr>
        <sz val="10"/>
        <rFont val="Arial"/>
        <family val="0"/>
        <charset val="1"/>
      </rPr>
      <t xml:space="preserve">3</t>
    </r>
    <r>
      <rPr>
        <sz val="10"/>
        <rFont val="Noto Sans CJK SC"/>
        <family val="2"/>
      </rPr>
      <t xml:space="preserve">つの秘密、あなたは本当の役割に気づいた？【ショート】</t>
    </r>
  </si>
  <si>
    <t xml:space="preserve">2026-08-24 08:00</t>
  </si>
  <si>
    <t xml:space="preserve">📈退職金の本当は？3社で最大2,000万円差の実態【ショート】</t>
  </si>
  <si>
    <r>
      <rPr>
        <sz val="10"/>
        <rFont val="Arial"/>
        <family val="0"/>
        <charset val="1"/>
      </rPr>
      <t xml:space="preserve">1</t>
    </r>
    <r>
      <rPr>
        <sz val="10"/>
        <rFont val="Noto Sans CJK SC"/>
        <family val="2"/>
      </rPr>
      <t xml:space="preserve">分科学 </t>
    </r>
    <r>
      <rPr>
        <sz val="10"/>
        <rFont val="Arial"/>
        <family val="0"/>
        <charset val="1"/>
      </rPr>
      <t xml:space="preserve">#93</t>
    </r>
    <r>
      <rPr>
        <sz val="10"/>
        <rFont val="Noto Sans CJK SC"/>
        <family val="2"/>
      </rPr>
      <t xml:space="preserve">：🔍なぜ満月の夜だけ夢を覚えている？月齢</t>
    </r>
    <r>
      <rPr>
        <sz val="10"/>
        <rFont val="Arial"/>
        <family val="0"/>
        <charset val="1"/>
      </rPr>
      <t xml:space="preserve">29.5</t>
    </r>
    <r>
      <rPr>
        <sz val="10"/>
        <rFont val="Noto Sans CJK SC"/>
        <family val="2"/>
      </rPr>
      <t xml:space="preserve">日に隠れた睡眠の正体【ショート】</t>
    </r>
  </si>
  <si>
    <t xml:space="preserve">2026-08-24 06:03</t>
  </si>
  <si>
    <t xml:space="preserve">バーコードが通らない偽物だった #shorts #切り抜き</t>
  </si>
  <si>
    <t xml:space="preserve">2026-08-24 00:00</t>
  </si>
  <si>
    <t xml:space="preserve">一口SCP #98：🫣SCP-1048「ビルダーベア」Safe判定が招いた収容違反の恐怖😱【ショート】</t>
  </si>
  <si>
    <t xml:space="preserve">2026-08-23 10:00</t>
  </si>
  <si>
    <t xml:space="preserve">一口SCP #97：💀SCP-3002「情報災害」あなたの記憶まで消す報告書の恐怖【ショート】</t>
  </si>
  <si>
    <t xml:space="preserve">2026-08-23 05:45</t>
  </si>
  <si>
    <t xml:space="preserve">残業が多くても 年収50万円増ならアリ #shorts #切り抜き</t>
  </si>
  <si>
    <t xml:space="preserve">2026-08-23 05:00</t>
  </si>
  <si>
    <t xml:space="preserve">💸資生堂の年収729万円、実はダイバーシティの裏で何がある？【ショート】</t>
  </si>
  <si>
    <t xml:space="preserve">2026-08-23 04:00</t>
  </si>
  <si>
    <t xml:space="preserve">一口SCP #96：🫣SCP-507「不本意な次元旅行者」あなたの部屋にも戻るかもしれない恐怖【ショート】</t>
  </si>
  <si>
    <r>
      <rPr>
        <sz val="10"/>
        <rFont val="Arial"/>
        <family val="0"/>
        <charset val="1"/>
      </rPr>
      <t xml:space="preserve">1</t>
    </r>
    <r>
      <rPr>
        <sz val="10"/>
        <rFont val="Noto Sans CJK SC"/>
        <family val="2"/>
      </rPr>
      <t xml:space="preserve">分科学 </t>
    </r>
    <r>
      <rPr>
        <sz val="10"/>
        <rFont val="Arial"/>
        <family val="0"/>
        <charset val="1"/>
      </rPr>
      <t xml:space="preserve">#92</t>
    </r>
    <r>
      <rPr>
        <sz val="10"/>
        <rFont val="Noto Sans CJK SC"/>
        <family val="2"/>
      </rPr>
      <t xml:space="preserve">：🌍なぜ目をこすると光が見える？あなたの網膜で起きる</t>
    </r>
    <r>
      <rPr>
        <sz val="10"/>
        <rFont val="Arial"/>
        <family val="0"/>
        <charset val="1"/>
      </rPr>
      <t xml:space="preserve">3</t>
    </r>
    <r>
      <rPr>
        <sz val="10"/>
        <rFont val="Noto Sans CJK SC"/>
        <family val="2"/>
      </rPr>
      <t xml:space="preserve">秒の勘違い💡【ショート】</t>
    </r>
  </si>
  <si>
    <t xml:space="preserve">2026-08-23 03:45</t>
  </si>
  <si>
    <r>
      <rPr>
        <sz val="10"/>
        <rFont val="Arial"/>
        <family val="0"/>
        <charset val="1"/>
      </rPr>
      <t xml:space="preserve">30</t>
    </r>
    <r>
      <rPr>
        <sz val="10"/>
        <rFont val="Noto Sans CJK SC"/>
        <family val="2"/>
      </rPr>
      <t xml:space="preserve">年持つなら買った方がいい </t>
    </r>
    <r>
      <rPr>
        <sz val="10"/>
        <rFont val="Arial"/>
        <family val="0"/>
        <charset val="1"/>
      </rPr>
      <t xml:space="preserve">#shorts #</t>
    </r>
    <r>
      <rPr>
        <sz val="10"/>
        <rFont val="Noto Sans CJK SC"/>
        <family val="2"/>
      </rPr>
      <t xml:space="preserve">切り抜き</t>
    </r>
  </si>
  <si>
    <t xml:space="preserve">2026-08-23 03:00</t>
  </si>
  <si>
    <t xml:space="preserve">ワイ、GTA6妄想歴6年やけど質問ある？w💦【ショート】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</si>
  <si>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#11</t>
    </r>
    <r>
      <rPr>
        <sz val="10"/>
        <rFont val="Noto Sans CJK SC"/>
        <family val="2"/>
      </rPr>
      <t xml:space="preserve">：🔍ぬらりひょんに隠された</t>
    </r>
    <r>
      <rPr>
        <sz val="10"/>
        <rFont val="Arial"/>
        <family val="0"/>
        <charset val="1"/>
      </rPr>
      <t xml:space="preserve">3</t>
    </r>
    <r>
      <rPr>
        <sz val="10"/>
        <rFont val="Noto Sans CJK SC"/>
        <family val="2"/>
      </rPr>
      <t xml:space="preserve">つの秘密、あなたの知る総大将はいつ生まれた？【ショート】</t>
    </r>
  </si>
  <si>
    <t xml:space="preserve">2026-08-22 11:22</t>
  </si>
  <si>
    <t xml:space="preserve">架空論文ファイル：エレベーターで見上げる人は、降りる階を間違えにくい #shorts #架空論文 #フィクション</t>
  </si>
  <si>
    <t xml:space="preserve">2026-08-22 10:12</t>
  </si>
  <si>
    <t xml:space="preserve">Deleted video</t>
  </si>
  <si>
    <t xml:space="preserve">2026-08-22 10:00</t>
  </si>
  <si>
    <t xml:space="preserve">実は完治後に4人が戻れなかった本当の理由とは？【ショート】</t>
  </si>
  <si>
    <t xml:space="preserve">2026-08-22 05:45</t>
  </si>
  <si>
    <t xml:space="preserve">恋愛の緊張は 男友達で克服できる #shorts #切り抜き</t>
  </si>
  <si>
    <t xml:space="preserve">2026-08-22 05:00</t>
  </si>
  <si>
    <r>
      <rPr>
        <sz val="10"/>
        <rFont val="Arial"/>
        <family val="0"/>
        <charset val="1"/>
      </rPr>
      <t xml:space="preserve">💰Uber Eats</t>
    </r>
    <r>
      <rPr>
        <sz val="10"/>
        <rFont val="Noto Sans CJK SC"/>
        <family val="2"/>
      </rPr>
      <t xml:space="preserve">配達員、本当は時給</t>
    </r>
    <r>
      <rPr>
        <sz val="10"/>
        <rFont val="Arial"/>
        <family val="0"/>
        <charset val="1"/>
      </rPr>
      <t xml:space="preserve">2,000</t>
    </r>
    <r>
      <rPr>
        <sz val="10"/>
        <rFont val="Noto Sans CJK SC"/>
        <family val="2"/>
      </rPr>
      <t xml:space="preserve">円超えもある収入の実態【ショート】</t>
    </r>
  </si>
  <si>
    <t xml:space="preserve">2026-08-22 04:30</t>
  </si>
  <si>
    <t xml:space="preserve">なぜ600年も読めない？存在しない植物だけが描かれた手稿 #shorts #都市伝説 #オカルト</t>
  </si>
  <si>
    <t xml:space="preserve">2026-08-22 04:00</t>
  </si>
  <si>
    <t xml:space="preserve">一口SCP #94：🔒SCP-2306「実在しない部屋」— 図面に無い1室、調査員4名の記録だけが残った⚠️【ショート】</t>
  </si>
  <si>
    <r>
      <rPr>
        <sz val="10"/>
        <rFont val="Arial"/>
        <family val="0"/>
        <charset val="1"/>
      </rPr>
      <t xml:space="preserve">1</t>
    </r>
    <r>
      <rPr>
        <sz val="10"/>
        <rFont val="Noto Sans CJK SC"/>
        <family val="2"/>
      </rPr>
      <t xml:space="preserve">分科学 </t>
    </r>
    <r>
      <rPr>
        <sz val="10"/>
        <rFont val="Arial"/>
        <family val="0"/>
        <charset val="1"/>
      </rPr>
      <t xml:space="preserve">#91</t>
    </r>
    <r>
      <rPr>
        <sz val="10"/>
        <rFont val="Noto Sans CJK SC"/>
        <family val="2"/>
      </rPr>
      <t xml:space="preserve">：💯なぜ人混みであなたの名前だけ聞こえるのか？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秒の選別💯【ショート】</t>
    </r>
  </si>
  <si>
    <t xml:space="preserve">2026-08-22 03:45</t>
  </si>
  <si>
    <r>
      <rPr>
        <sz val="10"/>
        <rFont val="Arial"/>
        <family val="0"/>
        <charset val="1"/>
      </rPr>
      <t xml:space="preserve">SNS</t>
    </r>
    <r>
      <rPr>
        <sz val="10"/>
        <rFont val="Noto Sans CJK SC"/>
        <family val="2"/>
      </rPr>
      <t xml:space="preserve">をやる人は天才じゃない </t>
    </r>
    <r>
      <rPr>
        <sz val="10"/>
        <rFont val="Arial"/>
        <family val="0"/>
        <charset val="1"/>
      </rPr>
      <t xml:space="preserve">#shorts #</t>
    </r>
    <r>
      <rPr>
        <sz val="10"/>
        <rFont val="Noto Sans CJK SC"/>
        <family val="2"/>
      </rPr>
      <t xml:space="preserve">切り抜き</t>
    </r>
  </si>
  <si>
    <t xml:space="preserve">2026-08-22 03:30</t>
  </si>
  <si>
    <t xml:space="preserve">なぜ猫又の尻尾は2つ？実は老猫を恐れた江戸の記録が怖い【ショート】</t>
  </si>
  <si>
    <t xml:space="preserve">2026-08-22 03:15</t>
  </si>
  <si>
    <t xml:space="preserve">なぜ3秒でバレる？お前らをブラックラグーンで例えた結果【ショート】</t>
  </si>
  <si>
    <t xml:space="preserve">2026-08-22 03:00</t>
  </si>
  <si>
    <r>
      <rPr>
        <sz val="10"/>
        <rFont val="Arial"/>
        <family val="0"/>
        <charset val="1"/>
      </rPr>
      <t xml:space="preserve">1</t>
    </r>
    <r>
      <rPr>
        <sz val="10"/>
        <rFont val="Noto Sans CJK SC"/>
        <family val="2"/>
      </rPr>
      <t xml:space="preserve">分ポケモン研究 </t>
    </r>
    <r>
      <rPr>
        <sz val="10"/>
        <rFont val="Arial"/>
        <family val="0"/>
        <charset val="1"/>
      </rPr>
      <t xml:space="preserve">#12</t>
    </r>
    <r>
      <rPr>
        <sz val="10"/>
        <rFont val="Noto Sans CJK SC"/>
        <family val="2"/>
      </rPr>
      <t xml:space="preserve">：💧サーナイトとエルレイド、君はなぜ</t>
    </r>
    <r>
      <rPr>
        <sz val="10"/>
        <rFont val="Arial"/>
        <family val="0"/>
        <charset val="1"/>
      </rPr>
      <t xml:space="preserve">2</t>
    </r>
    <r>
      <rPr>
        <sz val="10"/>
        <rFont val="Noto Sans CJK SC"/>
        <family val="2"/>
      </rPr>
      <t xml:space="preserve">つの攻撃で迷う？【ショート】</t>
    </r>
  </si>
  <si>
    <t xml:space="preserve">2026-08-21 10:45</t>
  </si>
  <si>
    <t xml:space="preserve">実はこの現象、ベルヌーイの定理が関係してる #shorts #切り抜き</t>
  </si>
  <si>
    <t xml:space="preserve">2026-08-21 10:15</t>
  </si>
  <si>
    <t xml:space="preserve">なぜ熱闘甲子園の夜だけ空気が変わる？お前らの夏の思い出5つ聞かせろ【ショート】</t>
  </si>
  <si>
    <t xml:space="preserve">2026-08-21 10:00</t>
  </si>
  <si>
    <t xml:space="preserve">一口SCP #93：⚠️SCP-1689「黒いジャガイモ」— 摂取実験8件、帰還率0%だった【ショート】</t>
  </si>
  <si>
    <t xml:space="preserve">2026-08-21 09:30</t>
  </si>
  <si>
    <t xml:space="preserve">雪女が3日黙れと言う…実は誰にも言えない恐怖があった【ショート】</t>
  </si>
  <si>
    <t xml:space="preserve">2026-08-21 09:00</t>
  </si>
  <si>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</si>
  <si>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t xml:space="preserve">2026-08-21 08:30</t>
  </si>
  <si>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</si>
  <si>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t xml:space="preserve">2026-08-21 08:15</t>
  </si>
  <si>
    <t xml:space="preserve">ワイ、サーモス歴3年やけど質問ある？w😏【ショート】</t>
  </si>
  <si>
    <t xml:space="preserve">2026-08-21 08:00</t>
  </si>
  <si>
    <t xml:space="preserve">😱ソニーグループの年収がヤバい 1118万円とDualSenseの仕事【ショート】</t>
  </si>
  <si>
    <t xml:space="preserve">2026-08-21 06:14</t>
  </si>
  <si>
    <r>
      <rPr>
        <sz val="10"/>
        <rFont val="Arial"/>
        <family val="0"/>
        <charset val="1"/>
      </rPr>
      <t xml:space="preserve">3</t>
    </r>
    <r>
      <rPr>
        <sz val="10"/>
        <rFont val="Noto Sans CJK SC"/>
        <family val="2"/>
      </rPr>
      <t xml:space="preserve">秒で消える？天狗と山伏、神隠しの本当の理由【ショート】</t>
    </r>
  </si>
  <si>
    <t xml:space="preserve">2026-08-21 06:07</t>
  </si>
  <si>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</si>
  <si>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t xml:space="preserve">2026-08-21 06:06</t>
  </si>
  <si>
    <t xml:space="preserve">一口SCP #92：👁️SCP-3120「異常な戦闘機」— 試験飛行9回、操縦席から帰還した隊員は1名だった【ショート】</t>
  </si>
  <si>
    <t xml:space="preserve">2026-08-21 06:01</t>
  </si>
  <si>
    <r>
      <rPr>
        <sz val="10"/>
        <rFont val="Arial"/>
        <family val="0"/>
        <charset val="1"/>
      </rPr>
      <t xml:space="preserve">3</t>
    </r>
    <r>
      <rPr>
        <sz val="10"/>
        <rFont val="Noto Sans CJK SC"/>
        <family val="2"/>
      </rPr>
      <t xml:space="preserve">秒で考えろ！この戦闘機の名前が親戚回避型な理由とは？【ショート】</t>
    </r>
  </si>
  <si>
    <t xml:space="preserve">2026-08-21 05:57</t>
  </si>
  <si>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</si>
  <si>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t xml:space="preserve">2026-08-21 05:55</t>
  </si>
  <si>
    <t xml:space="preserve">⚠️三菱重工の年収がヤバい 平均965万円、その裏側【ショート】</t>
  </si>
  <si>
    <t xml:space="preserve">2026-08-20 10:15</t>
  </si>
  <si>
    <t xml:space="preserve">ワイ、アジア大会珍プレー歴0年やけど質問ある？w🤣【ショート】</t>
  </si>
  <si>
    <t xml:space="preserve">2026-08-20 10:00</t>
  </si>
  <si>
    <t xml:space="preserve">一口SCP #91：⚠️SCP-1523-JP「かまいたち」— 被害記録17件、傷だけ残った夜【ショート】</t>
  </si>
  <si>
    <t xml:space="preserve">2026-08-20 09:30</t>
  </si>
  <si>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</si>
  <si>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t xml:space="preserve">2026-08-20 09:00</t>
  </si>
  <si>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</si>
  <si>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t xml:space="preserve">2026-08-20 08:30</t>
  </si>
  <si>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</si>
  <si>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t xml:space="preserve">2026-08-20 08:15</t>
  </si>
  <si>
    <t xml:space="preserve">ちいかわチョコサプ、なぜ中身が攻めすぎなのか？3秒予想してみたら草【ショート】</t>
  </si>
  <si>
    <t xml:space="preserve">2026-08-20 08:00</t>
  </si>
  <si>
    <t xml:space="preserve">💰アジア大会の裏方企業、年収932万円の実態💰【ショート】</t>
  </si>
  <si>
    <t xml:space="preserve">改善アクション — 2026-09-05 実施分</t>
  </si>
  <si>
    <t xml:space="preserve">状態「済」= 設定ファイル／コードに反映済み。「済(要再起動)」= ファイルは書き換え済みだが APScheduler へは再起動しないと入らない。「要手元実行」= サンドボックスから analytics.db に書けないため手元で実行が必要。</t>
  </si>
  <si>
    <t xml:space="preserve">#</t>
  </si>
  <si>
    <t xml:space="preserve">対象</t>
  </si>
  <si>
    <t xml:space="preserve">施策</t>
  </si>
  <si>
    <t xml:space="preserve">根拠となる実測値</t>
  </si>
  <si>
    <t xml:space="preserve">変更内容</t>
  </si>
  <si>
    <t xml:space="preserve">効果測定</t>
  </si>
  <si>
    <t xml:space="preserve">全6ch</t>
  </si>
  <si>
    <t xml:space="preserve">冒頭3秒に数字を画面表示するフックを必須化</t>
  </si>
  <si>
    <r>
      <rPr>
        <sz val="10"/>
        <rFont val="Arial"/>
        <family val="0"/>
        <charset val="1"/>
      </rPr>
      <t xml:space="preserve">relative_retention </t>
    </r>
    <r>
      <rPr>
        <sz val="10"/>
        <rFont val="Noto Sans CJK SC"/>
        <family val="2"/>
      </rPr>
      <t xml:space="preserve">の </t>
    </r>
    <r>
      <rPr>
        <sz val="10"/>
        <rFont val="Arial"/>
        <family val="0"/>
        <charset val="1"/>
      </rPr>
      <t xml:space="preserve">5%→10% </t>
    </r>
    <r>
      <rPr>
        <sz val="10"/>
        <rFont val="Noto Sans CJK SC"/>
        <family val="2"/>
      </rPr>
      <t xml:space="preserve">落差</t>
    </r>
    <r>
      <rPr>
        <sz val="10"/>
        <rFont val="Arial"/>
        <family val="0"/>
        <charset val="1"/>
      </rPr>
      <t xml:space="preserve">: company-facts -1.7pt(45.8→44.0) </t>
    </r>
    <r>
      <rPr>
        <sz val="10"/>
        <rFont val="Noto Sans CJK SC"/>
        <family val="2"/>
      </rPr>
      <t xml:space="preserve">に対し </t>
    </r>
    <r>
      <rPr>
        <sz val="10"/>
        <rFont val="Arial"/>
        <family val="0"/>
        <charset val="1"/>
      </rPr>
      <t xml:space="preserve">scp-lab -5.0pt / 2ch-matome -3.9pt / daily-science -3.8pt / pokemon-lab -3.0pt / yokai-watch -3.0pt</t>
    </r>
    <r>
      <rPr>
        <sz val="10"/>
        <rFont val="Noto Sans CJK SC"/>
        <family val="2"/>
      </rPr>
      <t xml:space="preserve">。絶対値も </t>
    </r>
    <r>
      <rPr>
        <sz val="10"/>
        <rFont val="Arial"/>
        <family val="0"/>
        <charset val="1"/>
      </rPr>
      <t xml:space="preserve">company-facts 44-46% </t>
    </r>
    <r>
      <rPr>
        <sz val="10"/>
        <rFont val="Noto Sans CJK SC"/>
        <family val="2"/>
      </rPr>
      <t xml:space="preserve">対 他 </t>
    </r>
    <r>
      <rPr>
        <sz val="10"/>
        <rFont val="Arial"/>
        <family val="0"/>
        <charset val="1"/>
      </rPr>
      <t xml:space="preserve">25-31%</t>
    </r>
    <r>
      <rPr>
        <sz val="10"/>
        <rFont val="Noto Sans CJK SC"/>
        <family val="2"/>
      </rPr>
      <t xml:space="preserve">。</t>
    </r>
  </si>
  <si>
    <r>
      <rPr>
        <sz val="10"/>
        <rFont val="Arial"/>
        <family val="0"/>
        <charset val="1"/>
      </rPr>
      <t xml:space="preserve">voice_style.style_rules </t>
    </r>
    <r>
      <rPr>
        <sz val="10"/>
        <rFont val="Noto Sans CJK SC"/>
        <family val="2"/>
      </rPr>
      <t xml:space="preserve">に「冒頭</t>
    </r>
    <r>
      <rPr>
        <sz val="10"/>
        <rFont val="Arial"/>
        <family val="0"/>
        <charset val="1"/>
      </rPr>
      <t xml:space="preserve">3</t>
    </r>
    <r>
      <rPr>
        <sz val="10"/>
        <rFont val="Noto Sans CJK SC"/>
        <family val="2"/>
      </rPr>
      <t xml:space="preserve">秒フック」ルールを追加。</t>
    </r>
    <r>
      <rPr>
        <sz val="10"/>
        <rFont val="Arial"/>
        <family val="0"/>
        <charset val="1"/>
      </rPr>
      <t xml:space="preserve">1</t>
    </r>
    <r>
      <rPr>
        <sz val="10"/>
        <rFont val="Noto Sans CJK SC"/>
        <family val="2"/>
      </rPr>
      <t xml:space="preserve">行目に出典のある数字＋単位、そのテロップを最大サイズで表示、挨拶・前置きは不合格、数字の創作は禁止。</t>
    </r>
  </si>
  <si>
    <t xml:space="preserve">済</t>
  </si>
  <si>
    <r>
      <rPr>
        <sz val="10"/>
        <rFont val="Arial"/>
        <family val="0"/>
        <charset val="1"/>
      </rPr>
      <t xml:space="preserve">09-12</t>
    </r>
    <r>
      <rPr>
        <sz val="10"/>
        <rFont val="Noto Sans CJK SC"/>
        <family val="2"/>
      </rPr>
      <t xml:space="preserve">に </t>
    </r>
    <r>
      <rPr>
        <sz val="10"/>
        <rFont val="Arial"/>
        <family val="0"/>
        <charset val="1"/>
      </rPr>
      <t xml:space="preserve">5%→10% </t>
    </r>
    <r>
      <rPr>
        <sz val="10"/>
        <rFont val="Noto Sans CJK SC"/>
        <family val="2"/>
      </rPr>
      <t xml:space="preserve">落差を再測。全</t>
    </r>
    <r>
      <rPr>
        <sz val="10"/>
        <rFont val="Arial"/>
        <family val="0"/>
        <charset val="1"/>
      </rPr>
      <t xml:space="preserve">ch</t>
    </r>
    <r>
      <rPr>
        <sz val="10"/>
        <rFont val="Noto Sans CJK SC"/>
        <family val="2"/>
      </rPr>
      <t xml:space="preserve">で </t>
    </r>
    <r>
      <rPr>
        <sz val="10"/>
        <rFont val="Arial"/>
        <family val="0"/>
        <charset val="1"/>
      </rPr>
      <t xml:space="preserve">-3pt </t>
    </r>
    <r>
      <rPr>
        <sz val="10"/>
        <rFont val="Noto Sans CJK SC"/>
        <family val="2"/>
      </rPr>
      <t xml:space="preserve">未満が目標。</t>
    </r>
  </si>
  <si>
    <t xml:space="preserve">ゆっくり5ch</t>
  </si>
  <si>
    <t xml:space="preserve">ショート内の画像切替を 2枚 → 4枚</t>
  </si>
  <si>
    <r>
      <rPr>
        <sz val="10"/>
        <rFont val="Arial"/>
        <family val="0"/>
        <charset val="1"/>
      </rPr>
      <t xml:space="preserve">company-facts </t>
    </r>
    <r>
      <rPr>
        <sz val="10"/>
        <rFont val="Noto Sans CJK SC"/>
        <family val="2"/>
      </rPr>
      <t xml:space="preserve">は </t>
    </r>
    <r>
      <rPr>
        <sz val="10"/>
        <rFont val="Arial"/>
        <family val="0"/>
        <charset val="1"/>
      </rPr>
      <t xml:space="preserve">slideshow.max_images=6 </t>
    </r>
    <r>
      <rPr>
        <sz val="10"/>
        <rFont val="Noto Sans CJK SC"/>
        <family val="2"/>
      </rPr>
      <t xml:space="preserve">かつ </t>
    </r>
    <r>
      <rPr>
        <sz val="10"/>
        <rFont val="Arial"/>
        <family val="0"/>
        <charset val="1"/>
      </rPr>
      <t xml:space="preserve">switch_per_fact=true </t>
    </r>
    <r>
      <rPr>
        <sz val="10"/>
        <rFont val="Noto Sans CJK SC"/>
        <family val="2"/>
      </rPr>
      <t xml:space="preserve">で唯一冒頭崖がない。ゆっくり</t>
    </r>
    <r>
      <rPr>
        <sz val="10"/>
        <rFont val="Arial"/>
        <family val="0"/>
        <charset val="1"/>
      </rPr>
      <t xml:space="preserve">5ch</t>
    </r>
    <r>
      <rPr>
        <sz val="10"/>
        <rFont val="Noto Sans CJK SC"/>
        <family val="2"/>
      </rPr>
      <t xml:space="preserve">は </t>
    </r>
    <r>
      <rPr>
        <sz val="10"/>
        <rFont val="Arial"/>
        <family val="0"/>
        <charset val="1"/>
      </rPr>
      <t xml:space="preserve">short_illustrations.max_count=2</t>
    </r>
    <r>
      <rPr>
        <sz val="10"/>
        <rFont val="Noto Sans CJK SC"/>
        <family val="2"/>
      </rPr>
      <t xml:space="preserve">。</t>
    </r>
  </si>
  <si>
    <r>
      <rPr>
        <sz val="10"/>
        <rFont val="Arial"/>
        <family val="0"/>
        <charset val="1"/>
      </rPr>
      <t xml:space="preserve">video_format.short_illustrations.max_count </t>
    </r>
    <r>
      <rPr>
        <sz val="10"/>
        <rFont val="Noto Sans CJK SC"/>
        <family val="2"/>
      </rPr>
      <t xml:space="preserve">を </t>
    </r>
    <r>
      <rPr>
        <sz val="10"/>
        <rFont val="Arial"/>
        <family val="0"/>
        <charset val="1"/>
      </rPr>
      <t xml:space="preserve">2→4</t>
    </r>
    <r>
      <rPr>
        <sz val="10"/>
        <rFont val="Noto Sans CJK SC"/>
        <family val="2"/>
      </rPr>
      <t xml:space="preserve">。旧値は </t>
    </r>
    <r>
      <rPr>
        <sz val="10"/>
        <rFont val="Arial"/>
        <family val="0"/>
        <charset val="1"/>
      </rPr>
      <t xml:space="preserve">_max_count_prev_20260905 </t>
    </r>
    <r>
      <rPr>
        <sz val="10"/>
        <rFont val="Noto Sans CJK SC"/>
        <family val="2"/>
      </rPr>
      <t xml:space="preserve">に保存。挿絵は離脱が集中する </t>
    </r>
    <r>
      <rPr>
        <sz val="10"/>
        <rFont val="Arial"/>
        <family val="0"/>
        <charset val="1"/>
      </rPr>
      <t xml:space="preserve">5%/10%/20%/40% </t>
    </r>
    <r>
      <rPr>
        <sz val="10"/>
        <rFont val="Noto Sans CJK SC"/>
        <family val="2"/>
      </rPr>
      <t xml:space="preserve">地点の直前に置くよう指示。</t>
    </r>
  </si>
  <si>
    <r>
      <rPr>
        <sz val="10"/>
        <rFont val="Arial"/>
        <family val="0"/>
        <charset val="1"/>
      </rPr>
      <t xml:space="preserve">09-12</t>
    </r>
    <r>
      <rPr>
        <sz val="10"/>
        <rFont val="Noto Sans CJK SC"/>
        <family val="2"/>
      </rPr>
      <t xml:space="preserve">に維持率を対照群と比較。</t>
    </r>
  </si>
  <si>
    <t xml:space="preserve">scp-lab / 2ch-matome</t>
  </si>
  <si>
    <t xml:space="preserve">尺を 32〜36秒 に上げる【対照実験・実験群】</t>
  </si>
  <si>
    <r>
      <rPr>
        <sz val="10"/>
        <rFont val="Arial"/>
        <family val="0"/>
        <charset val="1"/>
      </rPr>
      <t xml:space="preserve">W32→W34</t>
    </r>
    <r>
      <rPr>
        <sz val="10"/>
        <rFont val="Noto Sans CJK SC"/>
        <family val="2"/>
      </rPr>
      <t xml:space="preserve">（</t>
    </r>
    <r>
      <rPr>
        <sz val="10"/>
        <rFont val="Arial"/>
        <family val="0"/>
        <charset val="1"/>
      </rPr>
      <t xml:space="preserve">views&gt;0 / avp 0-100</t>
    </r>
    <r>
      <rPr>
        <sz val="10"/>
        <rFont val="Noto Sans CJK SC"/>
        <family val="2"/>
      </rPr>
      <t xml:space="preserve">）</t>
    </r>
    <r>
      <rPr>
        <sz val="10"/>
        <rFont val="Arial"/>
        <family val="0"/>
        <charset val="1"/>
      </rPr>
      <t xml:space="preserve">: scp-lab 48.9→32.7% </t>
    </r>
    <r>
      <rPr>
        <sz val="10"/>
        <rFont val="Noto Sans CJK SC"/>
        <family val="2"/>
      </rPr>
      <t xml:space="preserve">かつ視聴秒 </t>
    </r>
    <r>
      <rPr>
        <sz val="10"/>
        <rFont val="Arial"/>
        <family val="0"/>
        <charset val="1"/>
      </rPr>
      <t xml:space="preserve">13.0→11.0</t>
    </r>
    <r>
      <rPr>
        <sz val="10"/>
        <rFont val="Noto Sans CJK SC"/>
        <family val="2"/>
      </rPr>
      <t xml:space="preserve">秒、</t>
    </r>
    <r>
      <rPr>
        <sz val="10"/>
        <rFont val="Arial"/>
        <family val="0"/>
        <charset val="1"/>
      </rPr>
      <t xml:space="preserve">2ch-matome 59.2→37.6%</t>
    </r>
    <r>
      <rPr>
        <sz val="10"/>
        <rFont val="Noto Sans CJK SC"/>
        <family val="2"/>
      </rPr>
      <t xml:space="preserve">。尺</t>
    </r>
    <r>
      <rPr>
        <sz val="10"/>
        <rFont val="Arial"/>
        <family val="0"/>
        <charset val="1"/>
      </rPr>
      <t xml:space="preserve">32-35</t>
    </r>
    <r>
      <rPr>
        <sz val="10"/>
        <rFont val="Noto Sans CJK SC"/>
        <family val="2"/>
      </rPr>
      <t xml:space="preserve">秒を保った </t>
    </r>
    <r>
      <rPr>
        <sz val="10"/>
        <rFont val="Arial"/>
        <family val="0"/>
        <charset val="1"/>
      </rPr>
      <t xml:space="preserve">company-facts </t>
    </r>
    <r>
      <rPr>
        <sz val="10"/>
        <rFont val="Noto Sans CJK SC"/>
        <family val="2"/>
      </rPr>
      <t xml:space="preserve">のみ </t>
    </r>
    <r>
      <rPr>
        <sz val="10"/>
        <rFont val="Arial"/>
        <family val="0"/>
        <charset val="1"/>
      </rPr>
      <t xml:space="preserve">39.8→63.6% </t>
    </r>
    <r>
      <rPr>
        <sz val="10"/>
        <rFont val="Noto Sans CJK SC"/>
        <family val="2"/>
      </rPr>
      <t xml:space="preserve">と逆行し平均再生も </t>
    </r>
    <r>
      <rPr>
        <sz val="10"/>
        <rFont val="Arial"/>
        <family val="0"/>
        <charset val="1"/>
      </rPr>
      <t xml:space="preserve">1026→1730</t>
    </r>
    <r>
      <rPr>
        <sz val="10"/>
        <rFont val="Noto Sans CJK SC"/>
        <family val="2"/>
      </rPr>
      <t xml:space="preserve">。</t>
    </r>
    <r>
      <rPr>
        <sz val="10"/>
        <rFont val="Arial"/>
        <family val="0"/>
        <charset val="1"/>
      </rPr>
      <t xml:space="preserve">08-23 </t>
    </r>
    <r>
      <rPr>
        <sz val="10"/>
        <rFont val="Noto Sans CJK SC"/>
        <family val="2"/>
      </rPr>
      <t xml:space="preserve">ルール</t>
    </r>
    <r>
      <rPr>
        <sz val="10"/>
        <rFont val="Arial"/>
        <family val="0"/>
        <charset val="1"/>
      </rPr>
      <t xml:space="preserve">#2 </t>
    </r>
    <r>
      <rPr>
        <sz val="10"/>
        <rFont val="Noto Sans CJK SC"/>
        <family val="2"/>
      </rPr>
      <t xml:space="preserve">の「短い方が良い」は再現しない。</t>
    </r>
  </si>
  <si>
    <r>
      <rPr>
        <sz val="10"/>
        <rFont val="Arial"/>
        <family val="0"/>
        <charset val="1"/>
      </rPr>
      <t xml:space="preserve">style_rules </t>
    </r>
    <r>
      <rPr>
        <sz val="10"/>
        <rFont val="Noto Sans CJK SC"/>
        <family val="2"/>
      </rPr>
      <t xml:space="preserve">に実験群ルールを追加し </t>
    </r>
    <r>
      <rPr>
        <sz val="10"/>
        <rFont val="Arial"/>
        <family val="0"/>
        <charset val="1"/>
      </rPr>
      <t xml:space="preserve">08-23 </t>
    </r>
    <r>
      <rPr>
        <sz val="10"/>
        <rFont val="Noto Sans CJK SC"/>
        <family val="2"/>
      </rPr>
      <t xml:space="preserve">ルール</t>
    </r>
    <r>
      <rPr>
        <sz val="10"/>
        <rFont val="Arial"/>
        <family val="0"/>
        <charset val="1"/>
      </rPr>
      <t xml:space="preserve">#2 </t>
    </r>
    <r>
      <rPr>
        <sz val="10"/>
        <rFont val="Noto Sans CJK SC"/>
        <family val="2"/>
      </rPr>
      <t xml:space="preserve">に優先させた。</t>
    </r>
    <r>
      <rPr>
        <sz val="10"/>
        <rFont val="Arial"/>
        <family val="0"/>
        <charset val="1"/>
      </rPr>
      <t xml:space="preserve">_experiments.length_20260905.arm=treatment</t>
    </r>
    <r>
      <rPr>
        <sz val="10"/>
        <rFont val="Noto Sans CJK SC"/>
        <family val="2"/>
      </rPr>
      <t xml:space="preserve">。</t>
    </r>
  </si>
  <si>
    <r>
      <rPr>
        <sz val="10"/>
        <rFont val="Arial"/>
        <family val="0"/>
        <charset val="1"/>
      </rPr>
      <t xml:space="preserve">09-12</t>
    </r>
    <r>
      <rPr>
        <sz val="10"/>
        <rFont val="Noto Sans CJK SC"/>
        <family val="2"/>
      </rPr>
      <t xml:space="preserve">。実験群が悪化したら本ルールを削除して </t>
    </r>
    <r>
      <rPr>
        <sz val="10"/>
        <rFont val="Arial"/>
        <family val="0"/>
        <charset val="1"/>
      </rPr>
      <t xml:space="preserve">#2 </t>
    </r>
    <r>
      <rPr>
        <sz val="10"/>
        <rFont val="Noto Sans CJK SC"/>
        <family val="2"/>
      </rPr>
      <t xml:space="preserve">に戻す。</t>
    </r>
  </si>
  <si>
    <t xml:space="preserve">daily-science / pokemon-lab / yokai-watch</t>
  </si>
  <si>
    <t xml:space="preserve">尺は現行のまま据え置き【対照実験・対照群】</t>
  </si>
  <si>
    <t xml:space="preserve">実験(3)の比較対象を確保するため。交絡を避けるので 09-12 まで尺に触れないこと。</t>
  </si>
  <si>
    <r>
      <rPr>
        <sz val="10"/>
        <rFont val="Arial"/>
        <family val="0"/>
        <charset val="1"/>
      </rPr>
      <t xml:space="preserve">_experiments.length_20260905.arm=control </t>
    </r>
    <r>
      <rPr>
        <sz val="10"/>
        <rFont val="Noto Sans CJK SC"/>
        <family val="2"/>
      </rPr>
      <t xml:space="preserve">を記録。設定値の変更は一切なし。</t>
    </r>
  </si>
  <si>
    <r>
      <rPr>
        <sz val="10"/>
        <rFont val="Arial"/>
        <family val="0"/>
        <charset val="1"/>
      </rPr>
      <t xml:space="preserve">09-12</t>
    </r>
    <r>
      <rPr>
        <sz val="10"/>
        <rFont val="Noto Sans CJK SC"/>
        <family val="2"/>
      </rPr>
      <t xml:space="preserve">に実験群と比較。</t>
    </r>
  </si>
  <si>
    <t xml:space="preserve">投稿枠 18:00 → 21:00</t>
  </si>
  <si>
    <r>
      <rPr>
        <sz val="10"/>
        <rFont val="Arial"/>
        <family val="0"/>
        <charset val="1"/>
      </rPr>
      <t xml:space="preserve">ch</t>
    </r>
    <r>
      <rPr>
        <sz val="10"/>
        <rFont val="Noto Sans CJK SC"/>
        <family val="2"/>
      </rPr>
      <t xml:space="preserve">内実測</t>
    </r>
    <r>
      <rPr>
        <sz val="10"/>
        <rFont val="Arial"/>
        <family val="0"/>
        <charset val="1"/>
      </rPr>
      <t xml:space="preserve">(08-01</t>
    </r>
    <r>
      <rPr>
        <sz val="10"/>
        <rFont val="Noto Sans CJK SC"/>
        <family val="2"/>
      </rPr>
      <t xml:space="preserve">以降・</t>
    </r>
    <r>
      <rPr>
        <sz val="10"/>
        <rFont val="Arial"/>
        <family val="0"/>
        <charset val="1"/>
      </rPr>
      <t xml:space="preserve">n&gt;=3): 18</t>
    </r>
    <r>
      <rPr>
        <sz val="10"/>
        <rFont val="Noto Sans CJK SC"/>
        <family val="2"/>
      </rPr>
      <t xml:space="preserve">時 </t>
    </r>
    <r>
      <rPr>
        <sz val="10"/>
        <rFont val="Arial"/>
        <family val="0"/>
        <charset val="1"/>
      </rPr>
      <t xml:space="preserve">n=9 </t>
    </r>
    <r>
      <rPr>
        <sz val="10"/>
        <rFont val="Noto Sans CJK SC"/>
        <family val="2"/>
      </rPr>
      <t xml:space="preserve">で登録者</t>
    </r>
    <r>
      <rPr>
        <sz val="10"/>
        <rFont val="Arial"/>
        <family val="0"/>
        <charset val="1"/>
      </rPr>
      <t xml:space="preserve">0</t>
    </r>
    <r>
      <rPr>
        <sz val="10"/>
        <rFont val="Noto Sans CJK SC"/>
        <family val="2"/>
      </rPr>
      <t xml:space="preserve">人</t>
    </r>
    <r>
      <rPr>
        <sz val="10"/>
        <rFont val="Arial"/>
        <family val="0"/>
        <charset val="1"/>
      </rPr>
      <t xml:space="preserve">(sub/1k=0.000)</t>
    </r>
    <r>
      <rPr>
        <sz val="10"/>
        <rFont val="Noto Sans CJK SC"/>
        <family val="2"/>
      </rPr>
      <t xml:space="preserve">。同</t>
    </r>
    <r>
      <rPr>
        <sz val="10"/>
        <rFont val="Arial"/>
        <family val="0"/>
        <charset val="1"/>
      </rPr>
      <t xml:space="preserve">ch 12</t>
    </r>
    <r>
      <rPr>
        <sz val="10"/>
        <rFont val="Noto Sans CJK SC"/>
        <family val="2"/>
      </rPr>
      <t xml:space="preserve">時 </t>
    </r>
    <r>
      <rPr>
        <sz val="10"/>
        <rFont val="Arial"/>
        <family val="0"/>
        <charset val="1"/>
      </rPr>
      <t xml:space="preserve">0.381(n=5) / 21</t>
    </r>
    <r>
      <rPr>
        <sz val="10"/>
        <rFont val="Noto Sans CJK SC"/>
        <family val="2"/>
      </rPr>
      <t xml:space="preserve">時 </t>
    </r>
    <r>
      <rPr>
        <sz val="10"/>
        <rFont val="Arial"/>
        <family val="0"/>
        <charset val="1"/>
      </rPr>
      <t xml:space="preserve">0.307(n=4) / 09</t>
    </r>
    <r>
      <rPr>
        <sz val="10"/>
        <rFont val="Noto Sans CJK SC"/>
        <family val="2"/>
      </rPr>
      <t xml:space="preserve">時 </t>
    </r>
    <r>
      <rPr>
        <sz val="10"/>
        <rFont val="Arial"/>
        <family val="0"/>
        <charset val="1"/>
      </rPr>
      <t xml:space="preserve">0.290(n=5)</t>
    </r>
    <r>
      <rPr>
        <sz val="10"/>
        <rFont val="Noto Sans CJK SC"/>
        <family val="2"/>
      </rPr>
      <t xml:space="preserve">。</t>
    </r>
  </si>
  <si>
    <r>
      <rPr>
        <sz val="10"/>
        <rFont val="Arial"/>
        <family val="0"/>
        <charset val="1"/>
      </rPr>
      <t xml:space="preserve">autopilot.schedule.times </t>
    </r>
    <r>
      <rPr>
        <sz val="10"/>
        <rFont val="Noto Sans CJK SC"/>
        <family val="2"/>
      </rPr>
      <t xml:space="preserve">の </t>
    </r>
    <r>
      <rPr>
        <sz val="10"/>
        <rFont val="Arial"/>
        <family val="0"/>
        <charset val="1"/>
      </rPr>
      <t xml:space="preserve">18:00 </t>
    </r>
    <r>
      <rPr>
        <sz val="10"/>
        <rFont val="Noto Sans CJK SC"/>
        <family val="2"/>
      </rPr>
      <t xml:space="preserve">を </t>
    </r>
    <r>
      <rPr>
        <sz val="10"/>
        <rFont val="Arial"/>
        <family val="0"/>
        <charset val="1"/>
      </rPr>
      <t xml:space="preserve">21:00 </t>
    </r>
    <r>
      <rPr>
        <sz val="10"/>
        <rFont val="Noto Sans CJK SC"/>
        <family val="2"/>
      </rPr>
      <t xml:space="preserve">に変更。</t>
    </r>
  </si>
  <si>
    <t xml:space="preserve">済(要再起動)</t>
  </si>
  <si>
    <r>
      <rPr>
        <sz val="10"/>
        <rFont val="Arial"/>
        <family val="0"/>
        <charset val="1"/>
      </rPr>
      <t xml:space="preserve">09-19</t>
    </r>
    <r>
      <rPr>
        <sz val="10"/>
        <rFont val="Noto Sans CJK SC"/>
        <family val="2"/>
      </rPr>
      <t xml:space="preserve">（</t>
    </r>
    <r>
      <rPr>
        <sz val="10"/>
        <rFont val="Arial"/>
        <family val="0"/>
        <charset val="1"/>
      </rPr>
      <t xml:space="preserve">n&gt;=8 </t>
    </r>
    <r>
      <rPr>
        <sz val="10"/>
        <rFont val="Noto Sans CJK SC"/>
        <family val="2"/>
      </rPr>
      <t xml:space="preserve">が貯まってから）</t>
    </r>
  </si>
  <si>
    <t xml:space="preserve">投稿枠 09:00 → 17:00（平日・週末とも）</t>
  </si>
  <si>
    <r>
      <rPr>
        <sz val="10"/>
        <rFont val="Arial"/>
        <family val="0"/>
        <charset val="1"/>
      </rPr>
      <t xml:space="preserve">ch</t>
    </r>
    <r>
      <rPr>
        <sz val="10"/>
        <rFont val="Noto Sans CJK SC"/>
        <family val="2"/>
      </rPr>
      <t xml:space="preserve">内実測</t>
    </r>
    <r>
      <rPr>
        <sz val="10"/>
        <rFont val="Arial"/>
        <family val="0"/>
        <charset val="1"/>
      </rPr>
      <t xml:space="preserve">: 09</t>
    </r>
    <r>
      <rPr>
        <sz val="10"/>
        <rFont val="Noto Sans CJK SC"/>
        <family val="2"/>
      </rPr>
      <t xml:space="preserve">時 </t>
    </r>
    <r>
      <rPr>
        <sz val="10"/>
        <rFont val="Arial"/>
        <family val="0"/>
        <charset val="1"/>
      </rPr>
      <t xml:space="preserve">n=19 sub/1k=0.473 </t>
    </r>
    <r>
      <rPr>
        <sz val="10"/>
        <rFont val="Noto Sans CJK SC"/>
        <family val="2"/>
      </rPr>
      <t xml:space="preserve">が最大サンプルかつ最弱。</t>
    </r>
    <r>
      <rPr>
        <sz val="10"/>
        <rFont val="Arial"/>
        <family val="0"/>
        <charset val="1"/>
      </rPr>
      <t xml:space="preserve">19</t>
    </r>
    <r>
      <rPr>
        <sz val="10"/>
        <rFont val="Noto Sans CJK SC"/>
        <family val="2"/>
      </rPr>
      <t xml:space="preserve">時 </t>
    </r>
    <r>
      <rPr>
        <sz val="10"/>
        <rFont val="Arial"/>
        <family val="0"/>
        <charset val="1"/>
      </rPr>
      <t xml:space="preserve">n=12 </t>
    </r>
    <r>
      <rPr>
        <sz val="10"/>
        <rFont val="Noto Sans CJK SC"/>
        <family val="2"/>
      </rPr>
      <t xml:space="preserve">は</t>
    </r>
    <r>
      <rPr>
        <sz val="10"/>
        <rFont val="Arial"/>
        <family val="0"/>
        <charset val="1"/>
      </rPr>
      <t xml:space="preserve">1.080</t>
    </r>
    <r>
      <rPr>
        <sz val="10"/>
        <rFont val="Noto Sans CJK SC"/>
        <family val="2"/>
      </rPr>
      <t xml:space="preserve">。</t>
    </r>
    <r>
      <rPr>
        <sz val="10"/>
        <rFont val="Arial"/>
        <family val="0"/>
        <charset val="1"/>
      </rPr>
      <t xml:space="preserve">17</t>
    </r>
    <r>
      <rPr>
        <sz val="10"/>
        <rFont val="Noto Sans CJK SC"/>
        <family val="2"/>
      </rPr>
      <t xml:space="preserve">時は他</t>
    </r>
    <r>
      <rPr>
        <sz val="10"/>
        <rFont val="Arial"/>
        <family val="0"/>
        <charset val="1"/>
      </rPr>
      <t xml:space="preserve">ch</t>
    </r>
    <r>
      <rPr>
        <sz val="10"/>
        <rFont val="Noto Sans CJK SC"/>
        <family val="2"/>
      </rPr>
      <t xml:space="preserve">実測で最良</t>
    </r>
    <r>
      <rPr>
        <sz val="10"/>
        <rFont val="Arial"/>
        <family val="0"/>
        <charset val="1"/>
      </rPr>
      <t xml:space="preserve">(daily-science 0.848 n=18 / company-facts 0.925 n=9)</t>
    </r>
    <r>
      <rPr>
        <sz val="10"/>
        <rFont val="Noto Sans CJK SC"/>
        <family val="2"/>
      </rPr>
      <t xml:space="preserve">。</t>
    </r>
  </si>
  <si>
    <r>
      <rPr>
        <sz val="10"/>
        <rFont val="Arial"/>
        <family val="0"/>
        <charset val="1"/>
      </rPr>
      <t xml:space="preserve">times </t>
    </r>
    <r>
      <rPr>
        <sz val="10"/>
        <rFont val="Noto Sans CJK SC"/>
        <family val="2"/>
      </rPr>
      <t xml:space="preserve">の </t>
    </r>
    <r>
      <rPr>
        <sz val="10"/>
        <rFont val="Arial"/>
        <family val="0"/>
        <charset val="1"/>
      </rPr>
      <t xml:space="preserve">09:00 </t>
    </r>
    <r>
      <rPr>
        <sz val="10"/>
        <rFont val="Noto Sans CJK SC"/>
        <family val="2"/>
      </rPr>
      <t xml:space="preserve">を </t>
    </r>
    <r>
      <rPr>
        <sz val="10"/>
        <rFont val="Arial"/>
        <family val="0"/>
        <charset val="1"/>
      </rPr>
      <t xml:space="preserve">17:00 </t>
    </r>
    <r>
      <rPr>
        <sz val="10"/>
        <rFont val="Noto Sans CJK SC"/>
        <family val="2"/>
      </rPr>
      <t xml:space="preserve">に変更。旧式の </t>
    </r>
    <r>
      <rPr>
        <sz val="10"/>
        <rFont val="Arial"/>
        <family val="0"/>
        <charset val="1"/>
      </rPr>
      <t xml:space="preserve">top-level hour=9 </t>
    </r>
    <r>
      <rPr>
        <sz val="10"/>
        <rFont val="Noto Sans CJK SC"/>
        <family val="2"/>
      </rPr>
      <t xml:space="preserve">も </t>
    </r>
    <r>
      <rPr>
        <sz val="10"/>
        <rFont val="Arial"/>
        <family val="0"/>
        <charset val="1"/>
      </rPr>
      <t xml:space="preserve">17 </t>
    </r>
    <r>
      <rPr>
        <sz val="10"/>
        <rFont val="Noto Sans CJK SC"/>
        <family val="2"/>
      </rPr>
      <t xml:space="preserve">に揃えた（フォールバックで</t>
    </r>
    <r>
      <rPr>
        <sz val="10"/>
        <rFont val="Arial"/>
        <family val="0"/>
        <charset val="1"/>
      </rPr>
      <t xml:space="preserve">09:00</t>
    </r>
    <r>
      <rPr>
        <sz val="10"/>
        <rFont val="Noto Sans CJK SC"/>
        <family val="2"/>
      </rPr>
      <t xml:space="preserve">が復活しないように）。</t>
    </r>
  </si>
  <si>
    <t xml:space="preserve">09-19</t>
  </si>
  <si>
    <t xml:space="preserve">投稿枠 19:00 → 17:45</t>
  </si>
  <si>
    <r>
      <rPr>
        <sz val="10"/>
        <rFont val="Arial"/>
        <family val="0"/>
        <charset val="1"/>
      </rPr>
      <t xml:space="preserve">ch</t>
    </r>
    <r>
      <rPr>
        <sz val="10"/>
        <rFont val="Noto Sans CJK SC"/>
        <family val="2"/>
      </rPr>
      <t xml:space="preserve">内実測</t>
    </r>
    <r>
      <rPr>
        <sz val="10"/>
        <rFont val="Arial"/>
        <family val="0"/>
        <charset val="1"/>
      </rPr>
      <t xml:space="preserve">: 19</t>
    </r>
    <r>
      <rPr>
        <sz val="10"/>
        <rFont val="Noto Sans CJK SC"/>
        <family val="2"/>
      </rPr>
      <t xml:space="preserve">時 </t>
    </r>
    <r>
      <rPr>
        <sz val="10"/>
        <rFont val="Arial"/>
        <family val="0"/>
        <charset val="1"/>
      </rPr>
      <t xml:space="preserve">n=18 sub/1k=0.218 </t>
    </r>
    <r>
      <rPr>
        <sz val="10"/>
        <rFont val="Noto Sans CJK SC"/>
        <family val="2"/>
      </rPr>
      <t xml:space="preserve">が最大サンプルかつ最弱。</t>
    </r>
    <r>
      <rPr>
        <sz val="10"/>
        <rFont val="Arial"/>
        <family val="0"/>
        <charset val="1"/>
      </rPr>
      <t xml:space="preserve">12</t>
    </r>
    <r>
      <rPr>
        <sz val="10"/>
        <rFont val="Noto Sans CJK SC"/>
        <family val="2"/>
      </rPr>
      <t xml:space="preserve">時 </t>
    </r>
    <r>
      <rPr>
        <sz val="10"/>
        <rFont val="Arial"/>
        <family val="0"/>
        <charset val="1"/>
      </rPr>
      <t xml:space="preserve">0.537(n=7) / 18</t>
    </r>
    <r>
      <rPr>
        <sz val="10"/>
        <rFont val="Noto Sans CJK SC"/>
        <family val="2"/>
      </rPr>
      <t xml:space="preserve">時 </t>
    </r>
    <r>
      <rPr>
        <sz val="10"/>
        <rFont val="Arial"/>
        <family val="0"/>
        <charset val="1"/>
      </rPr>
      <t xml:space="preserve">0.574(n=3)</t>
    </r>
    <r>
      <rPr>
        <sz val="10"/>
        <rFont val="Noto Sans CJK SC"/>
        <family val="2"/>
      </rPr>
      <t xml:space="preserve">。既存</t>
    </r>
    <r>
      <rPr>
        <sz val="10"/>
        <rFont val="Arial"/>
        <family val="0"/>
        <charset val="1"/>
      </rPr>
      <t xml:space="preserve">16:00</t>
    </r>
    <r>
      <rPr>
        <sz val="10"/>
        <rFont val="Noto Sans CJK SC"/>
        <family val="2"/>
      </rPr>
      <t xml:space="preserve">枠と近接しすぎないよう</t>
    </r>
    <r>
      <rPr>
        <sz val="10"/>
        <rFont val="Arial"/>
        <family val="0"/>
        <charset val="1"/>
      </rPr>
      <t xml:space="preserve">17:45</t>
    </r>
    <r>
      <rPr>
        <sz val="10"/>
        <rFont val="Noto Sans CJK SC"/>
        <family val="2"/>
      </rPr>
      <t xml:space="preserve">に置いた。</t>
    </r>
  </si>
  <si>
    <r>
      <rPr>
        <sz val="10"/>
        <rFont val="Arial"/>
        <family val="0"/>
        <charset val="1"/>
      </rPr>
      <t xml:space="preserve">times </t>
    </r>
    <r>
      <rPr>
        <sz val="10"/>
        <rFont val="Noto Sans CJK SC"/>
        <family val="2"/>
      </rPr>
      <t xml:space="preserve">の </t>
    </r>
    <r>
      <rPr>
        <sz val="10"/>
        <rFont val="Arial"/>
        <family val="0"/>
        <charset val="1"/>
      </rPr>
      <t xml:space="preserve">19:00 </t>
    </r>
    <r>
      <rPr>
        <sz val="10"/>
        <rFont val="Noto Sans CJK SC"/>
        <family val="2"/>
      </rPr>
      <t xml:space="preserve">を </t>
    </r>
    <r>
      <rPr>
        <sz val="10"/>
        <rFont val="Arial"/>
        <family val="0"/>
        <charset val="1"/>
      </rPr>
      <t xml:space="preserve">17:45 </t>
    </r>
    <r>
      <rPr>
        <sz val="10"/>
        <rFont val="Noto Sans CJK SC"/>
        <family val="2"/>
      </rPr>
      <t xml:space="preserve">に変更。</t>
    </r>
  </si>
  <si>
    <r>
      <rPr>
        <sz val="10"/>
        <rFont val="Arial"/>
        <family val="0"/>
        <charset val="1"/>
      </rPr>
      <t xml:space="preserve">09-19</t>
    </r>
    <r>
      <rPr>
        <sz val="10"/>
        <rFont val="Noto Sans CJK SC"/>
        <family val="2"/>
      </rPr>
      <t xml:space="preserve">。⚠ </t>
    </r>
    <r>
      <rPr>
        <sz val="10"/>
        <rFont val="Arial"/>
        <family val="0"/>
        <charset val="1"/>
      </rPr>
      <t xml:space="preserve">19</t>
    </r>
    <r>
      <rPr>
        <sz val="10"/>
        <rFont val="Noto Sans CJK SC"/>
        <family val="2"/>
      </rPr>
      <t xml:space="preserve">時は </t>
    </r>
    <r>
      <rPr>
        <sz val="10"/>
        <rFont val="Arial"/>
        <family val="0"/>
        <charset val="1"/>
      </rPr>
      <t xml:space="preserve">ch</t>
    </r>
    <r>
      <rPr>
        <sz val="10"/>
        <rFont val="Noto Sans CJK SC"/>
        <family val="2"/>
      </rPr>
      <t xml:space="preserve">内で平均再生が最高</t>
    </r>
    <r>
      <rPr>
        <sz val="10"/>
        <rFont val="Arial"/>
        <family val="0"/>
        <charset val="1"/>
      </rPr>
      <t xml:space="preserve">(1273.5)</t>
    </r>
    <r>
      <rPr>
        <sz val="10"/>
        <rFont val="Noto Sans CJK SC"/>
        <family val="2"/>
      </rPr>
      <t xml:space="preserve">の枠でもあるため、再生数が落ちないかも併せて見ること。登録者を優先した判断。</t>
    </r>
  </si>
  <si>
    <t xml:space="preserve">全ch（分析基盤）</t>
  </si>
  <si>
    <r>
      <rPr>
        <sz val="10"/>
        <rFont val="Arial"/>
        <family val="0"/>
        <charset val="1"/>
      </rPr>
      <t xml:space="preserve">avg_view_percentage </t>
    </r>
    <r>
      <rPr>
        <sz val="10"/>
        <rFont val="Noto Sans CJK SC"/>
        <family val="2"/>
      </rPr>
      <t xml:space="preserve">を </t>
    </r>
    <r>
      <rPr>
        <sz val="10"/>
        <rFont val="Arial"/>
        <family val="0"/>
        <charset val="1"/>
      </rPr>
      <t xml:space="preserve">0-100 </t>
    </r>
    <r>
      <rPr>
        <sz val="10"/>
        <rFont val="Noto Sans CJK SC"/>
        <family val="2"/>
      </rPr>
      <t xml:space="preserve">にクランプ</t>
    </r>
  </si>
  <si>
    <r>
      <rPr>
        <sz val="10"/>
        <rFont val="Arial"/>
        <family val="0"/>
        <charset val="1"/>
      </rPr>
      <t xml:space="preserve">video_metrics </t>
    </r>
    <r>
      <rPr>
        <sz val="10"/>
        <rFont val="Noto Sans CJK SC"/>
        <family val="2"/>
      </rPr>
      <t xml:space="preserve">に</t>
    </r>
    <r>
      <rPr>
        <sz val="10"/>
        <rFont val="Arial"/>
        <family val="0"/>
        <charset val="1"/>
      </rPr>
      <t xml:space="preserve">100</t>
    </r>
    <r>
      <rPr>
        <sz val="10"/>
        <rFont val="Noto Sans CJK SC"/>
        <family val="2"/>
      </rPr>
      <t xml:space="preserve">超が</t>
    </r>
    <r>
      <rPr>
        <sz val="10"/>
        <rFont val="Arial"/>
        <family val="0"/>
        <charset val="1"/>
      </rPr>
      <t xml:space="preserve">200</t>
    </r>
    <r>
      <rPr>
        <sz val="10"/>
        <rFont val="Noto Sans CJK SC"/>
        <family val="2"/>
      </rPr>
      <t xml:space="preserve">行（</t>
    </r>
    <r>
      <rPr>
        <sz val="10"/>
        <rFont val="Arial"/>
        <family val="0"/>
        <charset val="1"/>
      </rPr>
      <t xml:space="preserve">daily-science 100 / pokemon-lab 43 / 2ch-matome 30 / scp-lab 22 / yokai-watch 4 / fake-paper 1</t>
    </r>
    <r>
      <rPr>
        <sz val="10"/>
        <rFont val="Noto Sans CJK SC"/>
        <family val="2"/>
      </rPr>
      <t xml:space="preserve">、最大</t>
    </r>
    <r>
      <rPr>
        <sz val="10"/>
        <rFont val="Arial"/>
        <family val="0"/>
        <charset val="1"/>
      </rPr>
      <t xml:space="preserve">3230.87%</t>
    </r>
    <r>
      <rPr>
        <sz val="10"/>
        <rFont val="Noto Sans CJK SC"/>
        <family val="2"/>
      </rPr>
      <t xml:space="preserve">）。</t>
    </r>
    <r>
      <rPr>
        <sz val="10"/>
        <rFont val="Arial"/>
        <family val="0"/>
        <charset val="1"/>
      </rPr>
      <t xml:space="preserve">success_analyzer </t>
    </r>
    <r>
      <rPr>
        <sz val="10"/>
        <rFont val="Noto Sans CJK SC"/>
        <family val="2"/>
      </rPr>
      <t xml:space="preserve">はこれで上位</t>
    </r>
    <r>
      <rPr>
        <sz val="10"/>
        <rFont val="Arial"/>
        <family val="0"/>
        <charset val="1"/>
      </rPr>
      <t xml:space="preserve">25%</t>
    </r>
    <r>
      <rPr>
        <sz val="10"/>
        <rFont val="Noto Sans CJK SC"/>
        <family val="2"/>
      </rPr>
      <t xml:space="preserve">を選ぶため </t>
    </r>
    <r>
      <rPr>
        <sz val="10"/>
        <rFont val="Arial"/>
        <family val="0"/>
        <charset val="1"/>
      </rPr>
      <t xml:space="preserve">success_patterns.json </t>
    </r>
    <r>
      <rPr>
        <sz val="10"/>
        <rFont val="Noto Sans CJK SC"/>
        <family val="2"/>
      </rPr>
      <t xml:space="preserve">が「ループ再生された動画」を勝ちパターンとして学習していた。</t>
    </r>
  </si>
  <si>
    <r>
      <rPr>
        <sz val="10"/>
        <rFont val="Arial"/>
        <family val="0"/>
        <charset val="1"/>
      </rPr>
      <t xml:space="preserve">success_analyzer.py </t>
    </r>
    <r>
      <rPr>
        <sz val="10"/>
        <rFont val="Noto Sans CJK SC"/>
        <family val="2"/>
      </rPr>
      <t xml:space="preserve">に </t>
    </r>
    <r>
      <rPr>
        <sz val="10"/>
        <rFont val="Arial"/>
        <family val="0"/>
        <charset val="1"/>
      </rPr>
      <t xml:space="preserve">_ret() </t>
    </r>
    <r>
      <rPr>
        <sz val="10"/>
        <rFont val="Noto Sans CJK SC"/>
        <family val="2"/>
      </rPr>
      <t xml:space="preserve">を追加し、判定・平均・</t>
    </r>
    <r>
      <rPr>
        <sz val="10"/>
        <rFont val="Arial"/>
        <family val="0"/>
        <charset val="1"/>
      </rPr>
      <t xml:space="preserve">LLM</t>
    </r>
    <r>
      <rPr>
        <sz val="10"/>
        <rFont val="Noto Sans CJK SC"/>
        <family val="2"/>
      </rPr>
      <t xml:space="preserve">プロンプト・出力</t>
    </r>
    <r>
      <rPr>
        <sz val="10"/>
        <rFont val="Arial"/>
        <family val="0"/>
        <charset val="1"/>
      </rPr>
      <t xml:space="preserve">JSON</t>
    </r>
    <r>
      <rPr>
        <sz val="10"/>
        <rFont val="Noto Sans CJK SC"/>
        <family val="2"/>
      </rPr>
      <t xml:space="preserve">の全経路で使用（生読みは </t>
    </r>
    <r>
      <rPr>
        <sz val="10"/>
        <rFont val="Arial"/>
        <family val="0"/>
        <charset val="1"/>
      </rPr>
      <t xml:space="preserve">_ret() </t>
    </r>
    <r>
      <rPr>
        <sz val="10"/>
        <rFont val="Noto Sans CJK SC"/>
        <family val="2"/>
      </rPr>
      <t xml:space="preserve">内部の</t>
    </r>
    <r>
      <rPr>
        <sz val="10"/>
        <rFont val="Arial"/>
        <family val="0"/>
        <charset val="1"/>
      </rPr>
      <t xml:space="preserve">1</t>
    </r>
    <r>
      <rPr>
        <sz val="10"/>
        <rFont val="Noto Sans CJK SC"/>
        <family val="2"/>
      </rPr>
      <t xml:space="preserve">箇所のみ）。</t>
    </r>
    <r>
      <rPr>
        <sz val="10"/>
        <rFont val="Arial"/>
        <family val="0"/>
        <charset val="1"/>
      </rPr>
      <t xml:space="preserve">posting_optimizer.py </t>
    </r>
    <r>
      <rPr>
        <sz val="10"/>
        <rFont val="Noto Sans CJK SC"/>
        <family val="2"/>
      </rPr>
      <t xml:space="preserve">の </t>
    </r>
    <r>
      <rPr>
        <sz val="10"/>
        <rFont val="Arial"/>
        <family val="0"/>
        <charset val="1"/>
      </rPr>
      <t xml:space="preserve">retention </t>
    </r>
    <r>
      <rPr>
        <sz val="10"/>
        <rFont val="Noto Sans CJK SC"/>
        <family val="2"/>
      </rPr>
      <t xml:space="preserve">もクランプ。</t>
    </r>
    <r>
      <rPr>
        <sz val="10"/>
        <rFont val="Arial"/>
        <family val="0"/>
        <charset val="1"/>
      </rPr>
      <t xml:space="preserve">.bak_orch_20260905 </t>
    </r>
    <r>
      <rPr>
        <sz val="10"/>
        <rFont val="Noto Sans CJK SC"/>
        <family val="2"/>
      </rPr>
      <t xml:space="preserve">あり。</t>
    </r>
  </si>
  <si>
    <t xml:space="preserve">次回 success_patterns.json 再生成時に中身を確認。</t>
  </si>
  <si>
    <t xml:space="preserve">daily-science / scp-lab</t>
  </si>
  <si>
    <t xml:space="preserve">サムネA/Bのベースライン修正 + 書き込み側コードの是正</t>
  </si>
  <si>
    <r>
      <rPr>
        <sz val="10"/>
        <rFont val="Arial"/>
        <family val="0"/>
        <charset val="1"/>
      </rPr>
      <t xml:space="preserve">channel_avg_ctr </t>
    </r>
    <r>
      <rPr>
        <sz val="10"/>
        <rFont val="Noto Sans CJK SC"/>
        <family val="2"/>
      </rPr>
      <t xml:space="preserve">に </t>
    </r>
    <r>
      <rPr>
        <sz val="10"/>
        <rFont val="Arial"/>
        <family val="0"/>
        <charset val="1"/>
      </rPr>
      <t xml:space="preserve">0.0291 </t>
    </r>
    <r>
      <rPr>
        <sz val="10"/>
        <rFont val="Noto Sans CJK SC"/>
        <family val="2"/>
      </rPr>
      <t xml:space="preserve">と </t>
    </r>
    <r>
      <rPr>
        <sz val="10"/>
        <rFont val="Arial"/>
        <family val="0"/>
        <charset val="1"/>
      </rPr>
      <t xml:space="preserve">42.909/37.286 </t>
    </r>
    <r>
      <rPr>
        <sz val="10"/>
        <rFont val="Noto Sans CJK SC"/>
        <family val="2"/>
      </rPr>
      <t xml:space="preserve">が同居。</t>
    </r>
    <r>
      <rPr>
        <sz val="10"/>
        <rFont val="Arial"/>
        <family val="0"/>
        <charset val="1"/>
      </rPr>
      <t xml:space="preserve">video_metrics.ctr </t>
    </r>
    <r>
      <rPr>
        <sz val="10"/>
        <rFont val="Noto Sans CJK SC"/>
        <family val="2"/>
      </rPr>
      <t xml:space="preserve">は </t>
    </r>
    <r>
      <rPr>
        <sz val="10"/>
        <rFont val="Arial"/>
        <family val="0"/>
        <charset val="1"/>
      </rPr>
      <t xml:space="preserve">ctr&gt;0 </t>
    </r>
    <r>
      <rPr>
        <sz val="10"/>
        <rFont val="Noto Sans CJK SC"/>
        <family val="2"/>
      </rPr>
      <t xml:space="preserve">の</t>
    </r>
    <r>
      <rPr>
        <sz val="10"/>
        <rFont val="Arial"/>
        <family val="0"/>
        <charset val="1"/>
      </rPr>
      <t xml:space="preserve">1,352</t>
    </r>
    <r>
      <rPr>
        <sz val="10"/>
        <rFont val="Noto Sans CJK SC"/>
        <family val="2"/>
      </rPr>
      <t xml:space="preserve">行すべて </t>
    </r>
    <r>
      <rPr>
        <sz val="10"/>
        <rFont val="Arial"/>
        <family val="0"/>
        <charset val="1"/>
      </rPr>
      <t xml:space="preserve">0.0029</t>
    </r>
    <r>
      <rPr>
        <sz val="10"/>
        <rFont val="Noto Sans CJK SC"/>
        <family val="2"/>
      </rPr>
      <t xml:space="preserve">〜</t>
    </r>
    <r>
      <rPr>
        <sz val="10"/>
        <rFont val="Arial"/>
        <family val="0"/>
        <charset val="1"/>
      </rPr>
      <t xml:space="preserve">0.3333 </t>
    </r>
    <r>
      <rPr>
        <sz val="10"/>
        <rFont val="Noto Sans CJK SC"/>
        <family val="2"/>
      </rPr>
      <t xml:space="preserve">で</t>
    </r>
    <r>
      <rPr>
        <sz val="10"/>
        <rFont val="Arial"/>
        <family val="0"/>
        <charset val="1"/>
      </rPr>
      <t xml:space="preserve">1</t>
    </r>
    <r>
      <rPr>
        <sz val="10"/>
        <rFont val="Noto Sans CJK SC"/>
        <family val="2"/>
      </rPr>
      <t xml:space="preserve">以上は</t>
    </r>
    <r>
      <rPr>
        <sz val="10"/>
        <rFont val="Arial"/>
        <family val="0"/>
        <charset val="1"/>
      </rPr>
      <t xml:space="preserve">0</t>
    </r>
    <r>
      <rPr>
        <sz val="10"/>
        <rFont val="Noto Sans CJK SC"/>
        <family val="2"/>
      </rPr>
      <t xml:space="preserve">件。</t>
    </r>
    <r>
      <rPr>
        <sz val="10"/>
        <rFont val="Arial"/>
        <family val="0"/>
        <charset val="1"/>
      </rPr>
      <t xml:space="preserve">19</t>
    </r>
    <r>
      <rPr>
        <sz val="10"/>
        <rFont val="Noto Sans CJK SC"/>
        <family val="2"/>
      </rPr>
      <t xml:space="preserve">件中</t>
    </r>
    <r>
      <rPr>
        <sz val="10"/>
        <rFont val="Arial"/>
        <family val="0"/>
        <charset val="1"/>
      </rPr>
      <t xml:space="preserve">17</t>
    </r>
    <r>
      <rPr>
        <sz val="10"/>
        <rFont val="Noto Sans CJK SC"/>
        <family val="2"/>
      </rPr>
      <t xml:space="preserve">件が </t>
    </r>
    <r>
      <rPr>
        <sz val="10"/>
        <rFont val="Arial"/>
        <family val="0"/>
        <charset val="1"/>
      </rPr>
      <t xml:space="preserve">monitoring </t>
    </r>
    <r>
      <rPr>
        <sz val="10"/>
        <rFont val="Noto Sans CJK SC"/>
        <family val="2"/>
      </rPr>
      <t xml:space="preserve">のまま、切替は</t>
    </r>
    <r>
      <rPr>
        <sz val="10"/>
        <rFont val="Arial"/>
        <family val="0"/>
        <charset val="1"/>
      </rPr>
      <t xml:space="preserve">2</t>
    </r>
    <r>
      <rPr>
        <sz val="10"/>
        <rFont val="Noto Sans CJK SC"/>
        <family val="2"/>
      </rPr>
      <t xml:space="preserve">件のみ。</t>
    </r>
  </si>
  <si>
    <r>
      <rPr>
        <sz val="10"/>
        <rFont val="Arial"/>
        <family val="0"/>
        <charset val="1"/>
      </rPr>
      <t xml:space="preserve">(a) scripts/fix_thumbnail_ab_baseline_20260905.py</t>
    </r>
    <r>
      <rPr>
        <sz val="10"/>
        <rFont val="Noto Sans CJK SC"/>
        <family val="2"/>
      </rPr>
      <t xml:space="preserve">（既定ドライラン </t>
    </r>
    <r>
      <rPr>
        <sz val="10"/>
        <rFont val="Arial"/>
        <family val="0"/>
        <charset val="1"/>
      </rPr>
      <t xml:space="preserve">/ --apply </t>
    </r>
    <r>
      <rPr>
        <sz val="10"/>
        <rFont val="Noto Sans CJK SC"/>
        <family val="2"/>
      </rPr>
      <t xml:space="preserve">で書き込み）。</t>
    </r>
    <r>
      <rPr>
        <sz val="10"/>
        <rFont val="Arial"/>
        <family val="0"/>
        <charset val="1"/>
      </rPr>
      <t xml:space="preserve">(b) thumbnail_ab_test._channel_avg_ctr </t>
    </r>
    <r>
      <rPr>
        <sz val="10"/>
        <rFont val="Noto Sans CJK SC"/>
        <family val="2"/>
      </rPr>
      <t xml:space="preserve">の母集団を </t>
    </r>
    <r>
      <rPr>
        <sz val="10"/>
        <rFont val="Arial"/>
        <family val="0"/>
        <charset val="1"/>
      </rPr>
      <t xml:space="preserve">improvement_queue </t>
    </r>
    <r>
      <rPr>
        <sz val="10"/>
        <rFont val="Noto Sans CJK SC"/>
        <family val="2"/>
      </rPr>
      <t xml:space="preserve">と統一（</t>
    </r>
    <r>
      <rPr>
        <sz val="10"/>
        <rFont val="Arial"/>
        <family val="0"/>
        <charset val="1"/>
      </rPr>
      <t xml:space="preserve">views&gt;=100</t>
    </r>
    <r>
      <rPr>
        <sz val="10"/>
        <rFont val="Noto Sans CJK SC"/>
        <family val="2"/>
      </rPr>
      <t xml:space="preserve">・直近</t>
    </r>
    <r>
      <rPr>
        <sz val="10"/>
        <rFont val="Arial"/>
        <family val="0"/>
        <charset val="1"/>
      </rPr>
      <t xml:space="preserve">200</t>
    </r>
    <r>
      <rPr>
        <sz val="10"/>
        <rFont val="Noto Sans CJK SC"/>
        <family val="2"/>
      </rPr>
      <t xml:space="preserve">行）し、</t>
    </r>
    <r>
      <rPr>
        <sz val="10"/>
        <rFont val="Arial"/>
        <family val="0"/>
        <charset val="1"/>
      </rPr>
      <t xml:space="preserve">1</t>
    </r>
    <r>
      <rPr>
        <sz val="10"/>
        <rFont val="Noto Sans CJK SC"/>
        <family val="2"/>
      </rPr>
      <t xml:space="preserve">以上の値を単位崩れとして除外するサニティチェックを追加。</t>
    </r>
    <r>
      <rPr>
        <sz val="10"/>
        <rFont val="Arial"/>
        <family val="0"/>
        <charset val="1"/>
      </rPr>
      <t xml:space="preserve">(b)</t>
    </r>
    <r>
      <rPr>
        <sz val="10"/>
        <rFont val="Noto Sans CJK SC"/>
        <family val="2"/>
      </rPr>
      <t xml:space="preserve">は反映済みなので、</t>
    </r>
    <r>
      <rPr>
        <sz val="10"/>
        <rFont val="Arial"/>
        <family val="0"/>
        <charset val="1"/>
      </rPr>
      <t xml:space="preserve">(a)</t>
    </r>
    <r>
      <rPr>
        <sz val="10"/>
        <rFont val="Noto Sans CJK SC"/>
        <family val="2"/>
      </rPr>
      <t xml:space="preserve">を実行しないと</t>
    </r>
    <r>
      <rPr>
        <sz val="10"/>
        <rFont val="Arial"/>
        <family val="0"/>
        <charset val="1"/>
      </rPr>
      <t xml:space="preserve">DB</t>
    </r>
    <r>
      <rPr>
        <sz val="10"/>
        <rFont val="Noto Sans CJK SC"/>
        <family val="2"/>
      </rPr>
      <t xml:space="preserve">の古い値が残る。</t>
    </r>
  </si>
  <si>
    <t xml:space="preserve">要手元実行</t>
  </si>
  <si>
    <t xml:space="preserve">実行後 channel_avg_ctr が全件 0.01〜0.10 に収まることを確認。</t>
  </si>
  <si>
    <t xml:space="preserve">「正体」ルールに上限を追加</t>
  </si>
  <si>
    <t xml:space="preserve">出現率は 08-26〜08-31 が 0〜18% → 09-03 に 5/7本(71%) → 09-05午前も6本中4本。「🤣ワイ健康診断歴3年やけど正体あるw🍑」等の破綻タイトルが発生。08-15以降の成熟動画で「正体」入りは daily-science n=10 / yokai-watch n=4 の計14本のみ、他4chは n=0 で 09-03 の「4ch全てで1.53倍」は再現不能。</t>
  </si>
  <si>
    <r>
      <rPr>
        <sz val="10"/>
        <rFont val="Arial"/>
        <family val="0"/>
        <charset val="1"/>
      </rPr>
      <t xml:space="preserve">style_rules </t>
    </r>
    <r>
      <rPr>
        <sz val="10"/>
        <rFont val="Noto Sans CJK SC"/>
        <family val="2"/>
      </rPr>
      <t xml:space="preserve">に </t>
    </r>
    <r>
      <rPr>
        <sz val="10"/>
        <rFont val="Arial"/>
        <family val="0"/>
        <charset val="1"/>
      </rPr>
      <t xml:space="preserve">(A-1) 1</t>
    </r>
    <r>
      <rPr>
        <sz val="10"/>
        <rFont val="Noto Sans CJK SC"/>
        <family val="2"/>
      </rPr>
      <t xml:space="preserve">バッチ最大</t>
    </r>
    <r>
      <rPr>
        <sz val="10"/>
        <rFont val="Arial"/>
        <family val="0"/>
        <charset val="1"/>
      </rPr>
      <t xml:space="preserve">1</t>
    </r>
    <r>
      <rPr>
        <sz val="10"/>
        <rFont val="Noto Sans CJK SC"/>
        <family val="2"/>
      </rPr>
      <t xml:space="preserve">本 </t>
    </r>
    <r>
      <rPr>
        <sz val="10"/>
        <rFont val="Arial"/>
        <family val="0"/>
        <charset val="1"/>
      </rPr>
      <t xml:space="preserve">(A-2) </t>
    </r>
    <r>
      <rPr>
        <sz val="10"/>
        <rFont val="Noto Sans CJK SC"/>
        <family val="2"/>
      </rPr>
      <t xml:space="preserve">不自然なら入れない </t>
    </r>
    <r>
      <rPr>
        <sz val="10"/>
        <rFont val="Arial"/>
        <family val="0"/>
        <charset val="1"/>
      </rPr>
      <t xml:space="preserve">(A-3) </t>
    </r>
    <r>
      <rPr>
        <sz val="10"/>
        <rFont val="Noto Sans CJK SC"/>
        <family val="2"/>
      </rPr>
      <t xml:space="preserve">数字＋単位の要件は維持 を追加。</t>
    </r>
  </si>
  <si>
    <r>
      <rPr>
        <sz val="10"/>
        <rFont val="Arial"/>
        <family val="0"/>
        <charset val="1"/>
      </rPr>
      <t xml:space="preserve">09-12</t>
    </r>
    <r>
      <rPr>
        <sz val="10"/>
        <rFont val="Noto Sans CJK SC"/>
        <family val="2"/>
      </rPr>
      <t xml:space="preserve">に出現率が</t>
    </r>
    <r>
      <rPr>
        <sz val="10"/>
        <rFont val="Arial"/>
        <family val="0"/>
        <charset val="1"/>
      </rPr>
      <t xml:space="preserve">15%</t>
    </r>
    <r>
      <rPr>
        <sz val="10"/>
        <rFont val="Noto Sans CJK SC"/>
        <family val="2"/>
      </rPr>
      <t xml:space="preserve">前後に収まっているか確認。</t>
    </r>
  </si>
  <si>
    <t xml:space="preserve">同一企業の数値矛盾を防ぐ</t>
  </si>
  <si>
    <r>
      <rPr>
        <sz val="10"/>
        <rFont val="Arial"/>
        <family val="0"/>
        <charset val="1"/>
      </rPr>
      <t xml:space="preserve">09-03</t>
    </r>
    <r>
      <rPr>
        <sz val="10"/>
        <rFont val="Noto Sans CJK SC"/>
        <family val="2"/>
      </rPr>
      <t xml:space="preserve">「日本マクドナルドの正体、年収</t>
    </r>
    <r>
      <rPr>
        <sz val="10"/>
        <rFont val="Arial"/>
        <family val="0"/>
        <charset val="1"/>
      </rPr>
      <t xml:space="preserve">670</t>
    </r>
    <r>
      <rPr>
        <sz val="10"/>
        <rFont val="Noto Sans CJK SC"/>
        <family val="2"/>
      </rPr>
      <t xml:space="preserve">万円の裏側」と</t>
    </r>
    <r>
      <rPr>
        <sz val="10"/>
        <rFont val="Arial"/>
        <family val="0"/>
        <charset val="1"/>
      </rPr>
      <t xml:space="preserve">09-04</t>
    </r>
    <r>
      <rPr>
        <sz val="10"/>
        <rFont val="Noto Sans CJK SC"/>
        <family val="2"/>
      </rPr>
      <t xml:space="preserve">「日本マクドナルドの年収</t>
    </r>
    <r>
      <rPr>
        <sz val="10"/>
        <rFont val="Arial"/>
        <family val="0"/>
        <charset val="1"/>
      </rPr>
      <t xml:space="preserve">576</t>
    </r>
    <r>
      <rPr>
        <sz val="10"/>
        <rFont val="Noto Sans CJK SC"/>
        <family val="2"/>
      </rPr>
      <t xml:space="preserve">万円、その内訳とは」で同一企業の平均年収が食い違った。</t>
    </r>
  </si>
  <si>
    <r>
      <rPr>
        <sz val="10"/>
        <rFont val="Arial"/>
        <family val="0"/>
        <charset val="1"/>
      </rPr>
      <t xml:space="preserve">style_rules </t>
    </r>
    <r>
      <rPr>
        <sz val="10"/>
        <rFont val="Noto Sans CJK SC"/>
        <family val="2"/>
      </rPr>
      <t xml:space="preserve">に、過去 </t>
    </r>
    <r>
      <rPr>
        <sz val="10"/>
        <rFont val="Arial"/>
        <family val="0"/>
        <charset val="1"/>
      </rPr>
      <t xml:space="preserve">scenarios </t>
    </r>
    <r>
      <rPr>
        <sz val="10"/>
        <rFont val="Noto Sans CJK SC"/>
        <family val="2"/>
      </rPr>
      <t xml:space="preserve">を検索し既出企業と異なる数値を出す場合は出典・年度を台本内で明示する義務を追加。あわせて </t>
    </r>
    <r>
      <rPr>
        <sz val="10"/>
        <rFont val="Arial"/>
        <family val="0"/>
        <charset val="1"/>
      </rPr>
      <t xml:space="preserve">top-level days_of_week </t>
    </r>
    <r>
      <rPr>
        <sz val="10"/>
        <rFont val="Noto Sans CJK SC"/>
        <family val="2"/>
      </rPr>
      <t xml:space="preserve">が </t>
    </r>
    <r>
      <rPr>
        <sz val="10"/>
        <rFont val="Arial"/>
        <family val="0"/>
        <charset val="1"/>
      </rPr>
      <t xml:space="preserve">[1,3,4] </t>
    </r>
    <r>
      <rPr>
        <sz val="10"/>
        <rFont val="Noto Sans CJK SC"/>
        <family val="2"/>
      </rPr>
      <t xml:space="preserve">で </t>
    </r>
    <r>
      <rPr>
        <sz val="10"/>
        <rFont val="Arial"/>
        <family val="0"/>
        <charset val="1"/>
      </rPr>
      <t xml:space="preserve">times(</t>
    </r>
    <r>
      <rPr>
        <sz val="10"/>
        <rFont val="Noto Sans CJK SC"/>
        <family val="2"/>
      </rPr>
      <t xml:space="preserve">全曜日</t>
    </r>
    <r>
      <rPr>
        <sz val="10"/>
        <rFont val="Arial"/>
        <family val="0"/>
        <charset val="1"/>
      </rPr>
      <t xml:space="preserve">)</t>
    </r>
    <r>
      <rPr>
        <sz val="10"/>
        <rFont val="Noto Sans CJK SC"/>
        <family val="2"/>
      </rPr>
      <t xml:space="preserve">と食い違っていたのを是正。</t>
    </r>
  </si>
  <si>
    <r>
      <rPr>
        <sz val="10"/>
        <rFont val="Arial"/>
        <family val="0"/>
        <charset val="1"/>
      </rPr>
      <t xml:space="preserve">09-12</t>
    </r>
    <r>
      <rPr>
        <sz val="10"/>
        <rFont val="Noto Sans CJK SC"/>
        <family val="2"/>
      </rPr>
      <t xml:space="preserve">に直近タイトルの企業名重複と数値の整合を確認。</t>
    </r>
  </si>
  <si>
    <r>
      <rPr>
        <sz val="10"/>
        <rFont val="Arial"/>
        <family val="0"/>
        <charset val="1"/>
      </rPr>
      <t xml:space="preserve">PDCA </t>
    </r>
    <r>
      <rPr>
        <sz val="10"/>
        <rFont val="Noto Sans CJK SC"/>
        <family val="2"/>
      </rPr>
      <t xml:space="preserve">の評価対象を「公開後</t>
    </r>
    <r>
      <rPr>
        <sz val="10"/>
        <rFont val="Arial"/>
        <family val="0"/>
        <charset val="1"/>
      </rPr>
      <t xml:space="preserve">3</t>
    </r>
    <r>
      <rPr>
        <sz val="10"/>
        <rFont val="Noto Sans CJK SC"/>
        <family val="2"/>
      </rPr>
      <t xml:space="preserve">日以上」に固定</t>
    </r>
  </si>
  <si>
    <r>
      <rPr>
        <sz val="10"/>
        <rFont val="Arial"/>
        <family val="0"/>
        <charset val="1"/>
      </rPr>
      <t xml:space="preserve">09-02</t>
    </r>
    <r>
      <rPr>
        <sz val="10"/>
        <rFont val="Noto Sans CJK SC"/>
        <family val="2"/>
      </rPr>
      <t xml:space="preserve">以降に公開した</t>
    </r>
    <r>
      <rPr>
        <sz val="10"/>
        <rFont val="Arial"/>
        <family val="0"/>
        <charset val="1"/>
      </rPr>
      <t xml:space="preserve">35</t>
    </r>
    <r>
      <rPr>
        <sz val="10"/>
        <rFont val="Noto Sans CJK SC"/>
        <family val="2"/>
      </rPr>
      <t xml:space="preserve">本は全指標ゼロ。</t>
    </r>
    <r>
      <rPr>
        <sz val="10"/>
        <rFont val="Arial"/>
        <family val="0"/>
        <charset val="1"/>
      </rPr>
      <t xml:space="preserve">08-31</t>
    </r>
    <r>
      <rPr>
        <sz val="10"/>
        <rFont val="Noto Sans CJK SC"/>
        <family val="2"/>
      </rPr>
      <t xml:space="preserve">公開は</t>
    </r>
    <r>
      <rPr>
        <sz val="10"/>
        <rFont val="Arial"/>
        <family val="0"/>
        <charset val="1"/>
      </rPr>
      <t xml:space="preserve">10</t>
    </r>
    <r>
      <rPr>
        <sz val="10"/>
        <rFont val="Noto Sans CJK SC"/>
        <family val="2"/>
      </rPr>
      <t xml:space="preserve">本中</t>
    </r>
    <r>
      <rPr>
        <sz val="10"/>
        <rFont val="Arial"/>
        <family val="0"/>
        <charset val="1"/>
      </rPr>
      <t xml:space="preserve">8</t>
    </r>
    <r>
      <rPr>
        <sz val="10"/>
        <rFont val="Noto Sans CJK SC"/>
        <family val="2"/>
      </rPr>
      <t xml:space="preserve">本にデータあり。</t>
    </r>
    <r>
      <rPr>
        <sz val="10"/>
        <rFont val="Arial"/>
        <family val="0"/>
        <charset val="1"/>
      </rPr>
      <t xml:space="preserve">YouTube Analytics </t>
    </r>
    <r>
      <rPr>
        <sz val="10"/>
        <rFont val="Noto Sans CJK SC"/>
        <family val="2"/>
      </rPr>
      <t xml:space="preserve">の</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日遅延によるもので不調ではない。</t>
    </r>
  </si>
  <si>
    <r>
      <rPr>
        <sz val="10"/>
        <rFont val="Arial"/>
        <family val="0"/>
        <charset val="1"/>
      </rPr>
      <t xml:space="preserve">analytics_policy.evaluation_lag</t>
    </r>
    <r>
      <rPr>
        <sz val="10"/>
        <rFont val="Noto Sans CJK SC"/>
        <family val="2"/>
      </rPr>
      <t xml:space="preserve">（</t>
    </r>
    <r>
      <rPr>
        <sz val="10"/>
        <rFont val="Arial"/>
        <family val="0"/>
        <charset val="1"/>
      </rPr>
      <t xml:space="preserve">min_age_days=3</t>
    </r>
    <r>
      <rPr>
        <sz val="10"/>
        <rFont val="Noto Sans CJK SC"/>
        <family val="2"/>
      </rPr>
      <t xml:space="preserve">）を全</t>
    </r>
    <r>
      <rPr>
        <sz val="10"/>
        <rFont val="Arial"/>
        <family val="0"/>
        <charset val="1"/>
      </rPr>
      <t xml:space="preserve">6ch</t>
    </r>
    <r>
      <rPr>
        <sz val="10"/>
        <rFont val="Noto Sans CJK SC"/>
        <family val="2"/>
      </rPr>
      <t xml:space="preserve">に記録。</t>
    </r>
  </si>
  <si>
    <t xml:space="preserve">■ 今日は自動投稿トリガーを追加で叩いていない</t>
  </si>
  <si>
    <t xml:space="preserve">・backend.log 上で 09-05 は 06:15 2ch-matome / 06:45 daily-science / 07:30 company-facts / 07:45 pokemon-lab / 08:15 scp-lab / 09:15 akashic-librarian が正常に発火し公開まで完了している。</t>
  </si>
  <si>
    <t xml:space="preserve">・APScheduler が予定どおり動いているので、手動トリガーは予定外の増産になるため打たなかった。残りの枠も自動で発火する。</t>
  </si>
  <si>
    <t xml:space="preserve">・style_rules と max_count は実行ごとに読み直されるので即日効く。投稿枠(cron)だけは起動時の restore_all() でしか再登録されない（api_channel_autopilot.py:502）ため、施策5〜7 の反映にはバックエンド再起動が必要。</t>
  </si>
  <si>
    <t xml:space="preserve">・本日検出した既存の失敗（切り抜き系。指揮者タスクの対象外だが放置すると枠が空く）: clip-lab は ANTHROPIC_API_KEY 未設定で viral エンジンが3回試行して失敗、clip-animal は全ての元動画が切り抜き済み、clip-fukada は元動画が見つからない。</t>
  </si>
  <si>
    <t xml:space="preserve">■ 今回のバックアップとロールバック</t>
  </si>
  <si>
    <t xml:space="preserve">・data/channels/*.json.bak_pdca_20260905 が主要6ch分ある。ただし 2ch-matome / pokemon-lab / yokai-watch / company-facts の bak は 10:12 取得で、施策①②が既に入った状態。</t>
  </si>
  <si>
    <t xml:space="preserve">・施策①②の完全な巻き戻しに使えるのは daily-science / scp-lab の bak（前夜 23:41 取得）のみ。他4chを戻す場合は _max_count_prev_20260905 の値と style_rules の該当行削除で手当てすること。</t>
  </si>
  <si>
    <t xml:space="preserve">・コードは success_analyzer.py / posting_optimizer.py / thumbnail_ab_test.py に .bak_orch_20260905 あり。</t>
  </si>
  <si>
    <t xml:space="preserve">トレンド — 維持率カーブ・離脱プロファイル・投稿時間帯</t>
  </si>
  <si>
    <t xml:space="preserve">① 公開週コホートの平均維持率の推移</t>
  </si>
  <si>
    <t xml:space="preserve">日別の再生数推移は載せていない。video_metrics の量的指標が累積カウンタで、かつ 09-01(48行)/09-02(16行) と取得欠損があるため、日次の折れ線は実績ではなく取得回数のグラフになってしまうから。</t>
  </si>
  <si>
    <r>
      <rPr>
        <b val="true"/>
        <sz val="10"/>
        <color rgb="FFFFFFFF"/>
        <rFont val="Arial"/>
        <family val="0"/>
        <charset val="1"/>
      </rPr>
      <t xml:space="preserve">1</t>
    </r>
    <r>
      <rPr>
        <b val="true"/>
        <sz val="10"/>
        <color rgb="FFFFFFFF"/>
        <rFont val="Noto Sans CJK SC"/>
        <family val="2"/>
      </rPr>
      <t xml:space="preserve">分科学</t>
    </r>
  </si>
  <si>
    <r>
      <rPr>
        <b val="true"/>
        <sz val="10"/>
        <color rgb="FFFFFFFF"/>
        <rFont val="Arial"/>
        <family val="0"/>
        <charset val="1"/>
      </rPr>
      <t xml:space="preserve">SCP</t>
    </r>
    <r>
      <rPr>
        <b val="true"/>
        <sz val="10"/>
        <color rgb="FFFFFFFF"/>
        <rFont val="Noto Sans CJK SC"/>
        <family val="2"/>
      </rPr>
      <t xml:space="preserve">ラボ</t>
    </r>
  </si>
  <si>
    <r>
      <rPr>
        <b val="true"/>
        <sz val="10"/>
        <color rgb="FFFFFFFF"/>
        <rFont val="Arial"/>
        <family val="0"/>
        <charset val="1"/>
      </rPr>
      <t xml:space="preserve">2ch</t>
    </r>
    <r>
      <rPr>
        <b val="true"/>
        <sz val="10"/>
        <color rgb="FFFFFFFF"/>
        <rFont val="Noto Sans CJK SC"/>
        <family val="2"/>
      </rPr>
      <t xml:space="preserve">まとめ</t>
    </r>
  </si>
  <si>
    <t xml:space="preserve">② 離脱プロファイル（relative_retention = YouTube同種動画比。0.5で中央値）</t>
  </si>
  <si>
    <t xml:space="preserve">各chの直近25本の平均。再生位置5%→10%（≒1.5〜3秒）の落差が全chで最大で、company-facts だけ落差-1.7ptかつ絶対値も最高。これが施策①②の根拠。</t>
  </si>
  <si>
    <t xml:space="preserve">5%</t>
  </si>
  <si>
    <t xml:space="preserve">10%</t>
  </si>
  <si>
    <t xml:space="preserve">15%</t>
  </si>
  <si>
    <t xml:space="preserve">20%</t>
  </si>
  <si>
    <t xml:space="preserve">30%</t>
  </si>
  <si>
    <t xml:space="preserve">50%</t>
  </si>
  <si>
    <t xml:space="preserve">75%</t>
  </si>
  <si>
    <t xml:space="preserve">100%</t>
  </si>
  <si>
    <r>
      <rPr>
        <b val="true"/>
        <sz val="10"/>
        <color rgb="FFFFFFFF"/>
        <rFont val="Arial"/>
        <family val="0"/>
        <charset val="1"/>
      </rPr>
      <t xml:space="preserve">5→10%</t>
    </r>
    <r>
      <rPr>
        <b val="true"/>
        <sz val="10"/>
        <color rgb="FFFFFFFF"/>
        <rFont val="Noto Sans CJK SC"/>
        <family val="2"/>
      </rPr>
      <t xml:space="preserve">落差</t>
    </r>
  </si>
  <si>
    <t xml:space="preserve">③ 投稿時間帯 × 登録効率（必ずチャンネル内で読むこと）</t>
  </si>
  <si>
    <t xml:space="preserve">・08-01以降公開・各動画の最新スナップショット・n&gt;=3 のスロットのみ。登録/千再生は SUM(登録者)/SUM(再生数)×1000 で、どちらも同一スナップショットの累積値なので比率としては妥当。</t>
  </si>
  <si>
    <t xml:space="preserve">・全社集計だと17時が最良(sub/1k=0.792)に見えるが、これはもともと17時に投稿していたのが登録効率の高い daily-science / company-facts / pokemon-lab だったという交絡。だからch内でしか判断していない。</t>
  </si>
  <si>
    <t xml:space="preserve">・例外は施策6・7の移設先。移設先の17時台は「そのchでの実績」が無いため、他chの実績を根拠にした。ここだけはch内比較になっていない点に注意。</t>
  </si>
  <si>
    <t xml:space="preserve">時刻(JST)</t>
  </si>
  <si>
    <t xml:space="preserve">登録者計</t>
  </si>
  <si>
    <t xml:space="preserve">判定</t>
  </si>
  <si>
    <r>
      <rPr>
        <sz val="10"/>
        <rFont val="Arial"/>
        <family val="0"/>
        <charset val="1"/>
      </rPr>
      <t xml:space="preserve">09</t>
    </r>
    <r>
      <rPr>
        <sz val="10"/>
        <rFont val="Noto Sans CJK SC"/>
        <family val="2"/>
      </rPr>
      <t xml:space="preserve">時</t>
    </r>
  </si>
  <si>
    <r>
      <rPr>
        <sz val="10"/>
        <rFont val="Arial"/>
        <family val="0"/>
        <charset val="1"/>
      </rPr>
      <t xml:space="preserve">12</t>
    </r>
    <r>
      <rPr>
        <sz val="10"/>
        <rFont val="Noto Sans CJK SC"/>
        <family val="2"/>
      </rPr>
      <t xml:space="preserve">時</t>
    </r>
  </si>
  <si>
    <r>
      <rPr>
        <sz val="10"/>
        <rFont val="Arial"/>
        <family val="0"/>
        <charset val="1"/>
      </rPr>
      <t xml:space="preserve">ch</t>
    </r>
    <r>
      <rPr>
        <sz val="10"/>
        <rFont val="Noto Sans CJK SC"/>
        <family val="2"/>
      </rPr>
      <t xml:space="preserve">内最良</t>
    </r>
  </si>
  <si>
    <r>
      <rPr>
        <sz val="10"/>
        <rFont val="Arial"/>
        <family val="0"/>
        <charset val="1"/>
      </rPr>
      <t xml:space="preserve">18</t>
    </r>
    <r>
      <rPr>
        <sz val="10"/>
        <rFont val="Noto Sans CJK SC"/>
        <family val="2"/>
      </rPr>
      <t xml:space="preserve">時</t>
    </r>
  </si>
  <si>
    <t xml:space="preserve">この枠を移した</t>
  </si>
  <si>
    <r>
      <rPr>
        <sz val="10"/>
        <rFont val="Arial"/>
        <family val="0"/>
        <charset val="1"/>
      </rPr>
      <t xml:space="preserve">21</t>
    </r>
    <r>
      <rPr>
        <sz val="10"/>
        <rFont val="Noto Sans CJK SC"/>
        <family val="2"/>
      </rPr>
      <t xml:space="preserve">時</t>
    </r>
  </si>
  <si>
    <r>
      <rPr>
        <sz val="10"/>
        <rFont val="Arial"/>
        <family val="0"/>
        <charset val="1"/>
      </rPr>
      <t xml:space="preserve">14</t>
    </r>
    <r>
      <rPr>
        <sz val="10"/>
        <rFont val="Noto Sans CJK SC"/>
        <family val="2"/>
      </rPr>
      <t xml:space="preserve">時</t>
    </r>
  </si>
  <si>
    <r>
      <rPr>
        <sz val="10"/>
        <rFont val="Arial"/>
        <family val="0"/>
        <charset val="1"/>
      </rPr>
      <t xml:space="preserve">17</t>
    </r>
    <r>
      <rPr>
        <sz val="10"/>
        <rFont val="Noto Sans CJK SC"/>
        <family val="2"/>
      </rPr>
      <t xml:space="preserve">時</t>
    </r>
  </si>
  <si>
    <r>
      <rPr>
        <sz val="10"/>
        <rFont val="Arial"/>
        <family val="0"/>
        <charset val="1"/>
      </rPr>
      <t xml:space="preserve">19</t>
    </r>
    <r>
      <rPr>
        <sz val="10"/>
        <rFont val="Noto Sans CJK SC"/>
        <family val="2"/>
      </rPr>
      <t xml:space="preserve">時</t>
    </r>
  </si>
  <si>
    <r>
      <rPr>
        <sz val="10"/>
        <rFont val="Arial"/>
        <family val="0"/>
        <charset val="1"/>
      </rPr>
      <t xml:space="preserve">13</t>
    </r>
    <r>
      <rPr>
        <sz val="10"/>
        <rFont val="Noto Sans CJK SC"/>
        <family val="2"/>
      </rPr>
      <t xml:space="preserve">時</t>
    </r>
  </si>
</sst>
</file>

<file path=xl/styles.xml><?xml version="1.0" encoding="utf-8"?>
<styleSheet xmlns="http://schemas.openxmlformats.org/spreadsheetml/2006/main">
  <numFmts count="7">
    <numFmt numFmtId="164" formatCode="General"/>
    <numFmt numFmtId="165" formatCode="#,##0"/>
    <numFmt numFmtId="166" formatCode="0.0%"/>
    <numFmt numFmtId="167" formatCode="0.000"/>
    <numFmt numFmtId="168" formatCode="0.00%"/>
    <numFmt numFmtId="169" formatCode="0.0"/>
    <numFmt numFmtId="170" formatCode="\+0.0%;\-0.0%"/>
  </numFmts>
  <fonts count="3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b val="true"/>
      <sz val="9"/>
      <color rgb="FFC00000"/>
      <name val="Noto Sans CJK SC"/>
      <family val="2"/>
      <charset val="1"/>
    </font>
    <font>
      <b val="true"/>
      <sz val="10"/>
      <color rgb="FF1F3864"/>
      <name val="Noto Sans CJK SC"/>
      <family val="2"/>
      <charset val="1"/>
    </font>
    <font>
      <i val="true"/>
      <sz val="9"/>
      <color rgb="FF595959"/>
      <name val="Noto Sans CJK SC"/>
      <family val="2"/>
      <charset val="1"/>
    </font>
    <font>
      <i val="true"/>
      <sz val="9"/>
      <color rgb="FFC00000"/>
      <name val="Arial"/>
      <family val="0"/>
      <charset val="1"/>
    </font>
    <font>
      <i val="true"/>
      <sz val="9"/>
      <color rgb="FFC00000"/>
      <name val="Noto Sans CJK SC"/>
      <family val="2"/>
    </font>
    <font>
      <b val="true"/>
      <sz val="11"/>
      <name val="Noto Sans CJK SC"/>
      <family val="2"/>
      <charset val="1"/>
    </font>
    <font>
      <b val="true"/>
      <sz val="10"/>
      <color rgb="FFFFFFFF"/>
      <name val="Arial"/>
      <family val="0"/>
      <charset val="1"/>
    </font>
    <font>
      <b val="true"/>
      <sz val="10"/>
      <color rgb="FFFFFFFF"/>
      <name val="Noto Sans CJK SC"/>
      <family val="2"/>
      <charset val="1"/>
    </font>
    <font>
      <sz val="10"/>
      <name val="Arial"/>
      <family val="0"/>
      <charset val="1"/>
    </font>
    <font>
      <sz val="10"/>
      <name val="Noto Sans CJK SC"/>
      <family val="2"/>
    </font>
    <font>
      <sz val="10"/>
      <name val="Noto Sans CJK SC"/>
      <family val="2"/>
      <charset val="1"/>
    </font>
    <font>
      <b val="true"/>
      <sz val="10"/>
      <name val="Noto Sans CJK SC"/>
      <family val="2"/>
    </font>
    <font>
      <b val="true"/>
      <sz val="10"/>
      <name val="Arial"/>
      <family val="0"/>
      <charset val="1"/>
    </font>
    <font>
      <i val="true"/>
      <sz val="9"/>
      <name val="Noto Sans CJK SC"/>
      <family val="2"/>
    </font>
    <font>
      <i val="true"/>
      <sz val="9"/>
      <name val="Arial"/>
      <family val="0"/>
      <charset val="1"/>
    </font>
    <font>
      <b val="true"/>
      <sz val="10"/>
      <name val="Noto Sans CJK SC"/>
      <family val="2"/>
      <charset val="1"/>
    </font>
    <font>
      <sz val="9"/>
      <name val="Arial"/>
      <family val="0"/>
      <charset val="1"/>
    </font>
    <font>
      <sz val="9"/>
      <name val="Noto Sans CJK SC"/>
      <family val="2"/>
    </font>
    <font>
      <sz val="9"/>
      <name val="Noto Sans CJK SC"/>
      <family val="2"/>
      <charset val="1"/>
    </font>
    <font>
      <b val="true"/>
      <sz val="13"/>
      <color rgb="FF1F3864"/>
      <name val="Noto Sans CJK SC"/>
      <family val="2"/>
      <charset val="1"/>
    </font>
    <font>
      <i val="true"/>
      <sz val="9"/>
      <color rgb="FFC00000"/>
      <name val="Noto Sans CJK SC"/>
      <family val="2"/>
      <charset val="1"/>
    </font>
    <font>
      <i val="true"/>
      <sz val="9"/>
      <color rgb="FF595959"/>
      <name val="Arial"/>
      <family val="0"/>
      <charset val="1"/>
    </font>
    <font>
      <i val="true"/>
      <sz val="9"/>
      <color rgb="FF595959"/>
      <name val="Noto Sans CJK SC"/>
      <family val="2"/>
    </font>
    <font>
      <b val="true"/>
      <sz val="10"/>
      <color rgb="FFFFFFFF"/>
      <name val="Noto Sans CJK SC"/>
      <family val="2"/>
    </font>
    <font>
      <b val="true"/>
      <sz val="18"/>
      <color rgb="FF000000"/>
      <name val="Noto Sans CJK SC"/>
      <family val="2"/>
    </font>
    <font>
      <b val="true"/>
      <sz val="18"/>
      <color rgb="FF000000"/>
      <name val="Calibri"/>
      <family val="2"/>
    </font>
    <font>
      <sz val="10"/>
      <color rgb="FF000000"/>
      <name val="Calibri"/>
      <family val="2"/>
    </font>
    <font>
      <b val="true"/>
      <sz val="10"/>
      <color rgb="FF000000"/>
      <name val="Noto Sans CJK SC"/>
      <family val="2"/>
    </font>
  </fonts>
  <fills count="7">
    <fill>
      <patternFill patternType="none"/>
    </fill>
    <fill>
      <patternFill patternType="gray125"/>
    </fill>
    <fill>
      <patternFill patternType="solid">
        <fgColor rgb="FF1F3864"/>
        <bgColor rgb="FF333300"/>
      </patternFill>
    </fill>
    <fill>
      <patternFill patternType="solid">
        <fgColor rgb="FFC6EFCE"/>
        <bgColor rgb="FFD9E1F2"/>
      </patternFill>
    </fill>
    <fill>
      <patternFill patternType="solid">
        <fgColor rgb="FFFFEB9C"/>
        <bgColor rgb="FFFFFFCC"/>
      </patternFill>
    </fill>
    <fill>
      <patternFill patternType="solid">
        <fgColor rgb="FFFFC7CE"/>
        <bgColor rgb="FFD9D9D9"/>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general" vertical="bottom" textRotation="0" wrapText="false" indent="0" shrinkToFit="false"/>
      <protection locked="true" hidden="false"/>
    </xf>
    <xf numFmtId="166" fontId="14" fillId="3" borderId="1" xfId="0" applyFont="true" applyBorder="true" applyAlignment="true" applyProtection="false">
      <alignment horizontal="general" vertical="bottom" textRotation="0" wrapText="false" indent="0" shrinkToFit="false"/>
      <protection locked="true" hidden="false"/>
    </xf>
    <xf numFmtId="167" fontId="14" fillId="3"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6" fontId="16" fillId="4" borderId="1" xfId="0" applyFont="true" applyBorder="true" applyAlignment="true" applyProtection="false">
      <alignment horizontal="general" vertical="bottom" textRotation="0" wrapText="false" indent="0" shrinkToFit="false"/>
      <protection locked="true" hidden="false"/>
    </xf>
    <xf numFmtId="167" fontId="14" fillId="4" borderId="1" xfId="0" applyFont="true" applyBorder="true" applyAlignment="true" applyProtection="false">
      <alignment horizontal="general" vertical="bottom" textRotation="0" wrapText="false" indent="0" shrinkToFit="false"/>
      <protection locked="true" hidden="false"/>
    </xf>
    <xf numFmtId="167" fontId="14" fillId="5" borderId="1" xfId="0" applyFont="true" applyBorder="true" applyAlignment="true" applyProtection="false">
      <alignment horizontal="general" vertical="bottom" textRotation="0" wrapText="false" indent="0" shrinkToFit="false"/>
      <protection locked="true" hidden="false"/>
    </xf>
    <xf numFmtId="166" fontId="14" fillId="5" borderId="1" xfId="0" applyFont="true" applyBorder="true" applyAlignment="tru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general" vertical="bottom" textRotation="0" wrapText="false" indent="0" shrinkToFit="false"/>
      <protection locked="true" hidden="false"/>
    </xf>
    <xf numFmtId="165" fontId="18" fillId="6" borderId="1" xfId="0" applyFont="true" applyBorder="true" applyAlignment="true" applyProtection="false">
      <alignment horizontal="general" vertical="bottom" textRotation="0" wrapText="false" indent="0" shrinkToFit="false"/>
      <protection locked="true" hidden="false"/>
    </xf>
    <xf numFmtId="166" fontId="18" fillId="6" borderId="1" xfId="0" applyFont="true" applyBorder="true" applyAlignment="true" applyProtection="false">
      <alignment horizontal="general" vertical="bottom" textRotation="0" wrapText="false" indent="0" shrinkToFit="false"/>
      <protection locked="true" hidden="false"/>
    </xf>
    <xf numFmtId="167" fontId="18" fillId="6" borderId="1" xfId="0" applyFont="true" applyBorder="true" applyAlignment="true" applyProtection="false">
      <alignment horizontal="general" vertical="bottom" textRotation="0" wrapText="fals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21" fillId="3" borderId="1" xfId="0" applyFont="true" applyBorder="tru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general" vertical="bottom" textRotation="0" wrapText="false" indent="0" shrinkToFit="false"/>
      <protection locked="true" hidden="false"/>
    </xf>
    <xf numFmtId="164" fontId="21" fillId="4" borderId="1"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8" fontId="14" fillId="3" borderId="1" xfId="0" applyFont="true" applyBorder="true" applyAlignment="tru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general" vertical="bottom" textRotation="0" wrapText="false" indent="0" shrinkToFit="false"/>
      <protection locked="true" hidden="false"/>
    </xf>
    <xf numFmtId="169" fontId="14" fillId="0" borderId="1" xfId="0" applyFont="true" applyBorder="tru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65" fontId="27" fillId="0" borderId="1" xfId="0" applyFont="true" applyBorder="true" applyAlignment="true" applyProtection="false">
      <alignment horizontal="center" vertical="bottom" textRotation="0" wrapText="false" indent="0" shrinkToFit="false"/>
      <protection locked="true" hidden="false"/>
    </xf>
    <xf numFmtId="168" fontId="14" fillId="5" borderId="1" xfId="0" applyFont="true" applyBorder="true" applyAlignment="true" applyProtection="false">
      <alignment horizontal="general" vertical="bottom" textRotation="0" wrapText="false" indent="0" shrinkToFit="false"/>
      <protection locked="true" hidden="false"/>
    </xf>
    <xf numFmtId="168" fontId="14" fillId="4" borderId="1" xfId="0" applyFont="true" applyBorder="tru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general" vertical="bottom" textRotation="0" wrapText="false" indent="0" shrinkToFit="false"/>
      <protection locked="true" hidden="false"/>
    </xf>
    <xf numFmtId="164" fontId="21" fillId="6" borderId="1" xfId="0" applyFont="tru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8" fontId="18" fillId="6" borderId="1" xfId="0" applyFont="true" applyBorder="true" applyAlignment="true" applyProtection="false">
      <alignment horizontal="general" vertical="bottom" textRotation="0" wrapText="false" indent="0" shrinkToFit="false"/>
      <protection locked="true" hidden="false"/>
    </xf>
    <xf numFmtId="169" fontId="18" fillId="6" borderId="1"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70" fontId="14" fillId="0" borderId="1" xfId="0" applyFont="true" applyBorder="true" applyAlignment="true" applyProtection="false">
      <alignment horizontal="general" vertical="bottom" textRotation="0" wrapText="false" indent="0" shrinkToFit="false"/>
      <protection locked="true" hidden="false"/>
    </xf>
    <xf numFmtId="167" fontId="14" fillId="0" borderId="1" xfId="0" applyFont="true" applyBorder="true" applyAlignment="true" applyProtection="false">
      <alignment horizontal="general" vertical="bottom" textRotation="0" wrapText="false" indent="0" shrinkToFit="false"/>
      <protection locked="true" hidden="false"/>
    </xf>
    <xf numFmtId="170" fontId="14" fillId="5" borderId="1" xfId="0" applyFont="true" applyBorder="true" applyAlignment="true" applyProtection="false">
      <alignment horizontal="general" vertical="bottom" textRotation="0" wrapText="false" indent="0" shrinkToFit="false"/>
      <protection locked="true" hidden="false"/>
    </xf>
    <xf numFmtId="170" fontId="14" fillId="4" borderId="1" xfId="0" applyFont="true" applyBorder="true" applyAlignment="true" applyProtection="false">
      <alignment horizontal="general" vertical="bottom" textRotation="0" wrapText="false" indent="0" shrinkToFit="false"/>
      <protection locked="true" hidden="false"/>
    </xf>
    <xf numFmtId="170" fontId="14" fillId="3" borderId="1"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7A44B"/>
      <rgbColor rgb="FF800080"/>
      <rgbColor rgb="FF008080"/>
      <rgbColor rgb="FFBFBFBF"/>
      <rgbColor rgb="FF878787"/>
      <rgbColor rgb="FF8EA5CA"/>
      <rgbColor rgb="FFAA433F"/>
      <rgbColor rgb="FFFFFFCC"/>
      <rgbColor rgb="FFD9E1F2"/>
      <rgbColor rgb="FF660066"/>
      <rgbColor rgb="FFCC8F8E"/>
      <rgbColor rgb="FF4A7EBB"/>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8CBFD2"/>
      <rgbColor rgb="FFFF99CC"/>
      <rgbColor rgb="FFB3C992"/>
      <rgbColor rgb="FFFFC7CE"/>
      <rgbColor rgb="FF426FA6"/>
      <rgbColor rgb="FF46AAC4"/>
      <rgbColor rgb="FF98B855"/>
      <rgbColor rgb="FFFFCC00"/>
      <rgbColor rgb="FFF59240"/>
      <rgbColor rgb="FFDB8238"/>
      <rgbColor rgb="FF6F568D"/>
      <rgbColor rgb="FFA596B9"/>
      <rgbColor rgb="FF1F3864"/>
      <rgbColor rgb="FF3D97AF"/>
      <rgbColor rgb="FF003300"/>
      <rgbColor rgb="FF333300"/>
      <rgbColor rgb="FF993300"/>
      <rgbColor rgb="FFBE4B48"/>
      <rgbColor rgb="FF7D5FA0"/>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公開週コホート 平均維持率（company-factsのみ上昇）</a:t>
            </a:r>
          </a:p>
        </c:rich>
      </c:tx>
      <c:overlay val="0"/>
      <c:spPr>
        <a:noFill/>
        <a:ln w="0">
          <a:noFill/>
        </a:ln>
      </c:spPr>
    </c:title>
    <c:autoTitleDeleted val="0"/>
    <c:plotArea>
      <c:lineChart>
        <c:grouping val="standard"/>
        <c:varyColors val="0"/>
        <c:ser>
          <c:idx val="0"/>
          <c:order val="0"/>
          <c:tx>
            <c:strRef>
              <c:f>トレンド!B6</c:f>
              <c:strCache>
                <c:ptCount val="1"/>
                <c:pt idx="0">
                  <c:v>1分科学</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トレンド!$A$7:$A$12</c:f>
              <c:strCache>
                <c:ptCount val="6"/>
                <c:pt idx="0">
                  <c:v>2026-W30</c:v>
                </c:pt>
                <c:pt idx="1">
                  <c:v>2026-W31</c:v>
                </c:pt>
                <c:pt idx="2">
                  <c:v>2026-W32</c:v>
                </c:pt>
                <c:pt idx="3">
                  <c:v>2026-W33</c:v>
                </c:pt>
                <c:pt idx="4">
                  <c:v>2026-W34</c:v>
                </c:pt>
                <c:pt idx="5">
                  <c:v>2026-W35</c:v>
                </c:pt>
              </c:strCache>
            </c:strRef>
          </c:cat>
          <c:val>
            <c:numRef>
              <c:f>トレンド!$B$7:$B$12</c:f>
              <c:numCache>
                <c:formatCode>0.0%</c:formatCode>
                <c:ptCount val="6"/>
                <c:pt idx="1">
                  <c:v>0.47662</c:v>
                </c:pt>
                <c:pt idx="2">
                  <c:v>0.4655125</c:v>
                </c:pt>
                <c:pt idx="3">
                  <c:v>0.372966666666667</c:v>
                </c:pt>
                <c:pt idx="4">
                  <c:v>0.41199</c:v>
                </c:pt>
              </c:numCache>
            </c:numRef>
          </c:val>
          <c:smooth val="1"/>
        </c:ser>
        <c:ser>
          <c:idx val="1"/>
          <c:order val="1"/>
          <c:tx>
            <c:strRef>
              <c:f>トレンド!C6</c:f>
              <c:strCache>
                <c:ptCount val="1"/>
                <c:pt idx="0">
                  <c:v>企業のホンネ</c:v>
                </c:pt>
              </c:strCache>
            </c:strRef>
          </c:tx>
          <c:spPr>
            <a:solidFill>
              <a:srgbClr val="BE4B48"/>
            </a:solidFill>
            <a:ln w="12600">
              <a:solidFill>
                <a:srgbClr val="BE4B48"/>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トレンド!$A$7:$A$12</c:f>
              <c:strCache>
                <c:ptCount val="6"/>
                <c:pt idx="0">
                  <c:v>2026-W30</c:v>
                </c:pt>
                <c:pt idx="1">
                  <c:v>2026-W31</c:v>
                </c:pt>
                <c:pt idx="2">
                  <c:v>2026-W32</c:v>
                </c:pt>
                <c:pt idx="3">
                  <c:v>2026-W33</c:v>
                </c:pt>
                <c:pt idx="4">
                  <c:v>2026-W34</c:v>
                </c:pt>
                <c:pt idx="5">
                  <c:v>2026-W35</c:v>
                </c:pt>
              </c:strCache>
            </c:strRef>
          </c:cat>
          <c:val>
            <c:numRef>
              <c:f>トレンド!$C$7:$C$12</c:f>
              <c:numCache>
                <c:formatCode>0.0%</c:formatCode>
                <c:ptCount val="6"/>
                <c:pt idx="2">
                  <c:v>0.398375</c:v>
                </c:pt>
                <c:pt idx="3">
                  <c:v>0.5109125</c:v>
                </c:pt>
                <c:pt idx="4">
                  <c:v>0.635790909090909</c:v>
                </c:pt>
              </c:numCache>
            </c:numRef>
          </c:val>
          <c:smooth val="1"/>
        </c:ser>
        <c:ser>
          <c:idx val="2"/>
          <c:order val="2"/>
          <c:tx>
            <c:strRef>
              <c:f>トレンド!D6</c:f>
              <c:strCache>
                <c:ptCount val="1"/>
                <c:pt idx="0">
                  <c:v>SCPラボ</c:v>
                </c:pt>
              </c:strCache>
            </c:strRef>
          </c:tx>
          <c:spPr>
            <a:solidFill>
              <a:srgbClr val="98B855"/>
            </a:solidFill>
            <a:ln w="12600">
              <a:solidFill>
                <a:srgbClr val="98B8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トレンド!$A$7:$A$12</c:f>
              <c:strCache>
                <c:ptCount val="6"/>
                <c:pt idx="0">
                  <c:v>2026-W30</c:v>
                </c:pt>
                <c:pt idx="1">
                  <c:v>2026-W31</c:v>
                </c:pt>
                <c:pt idx="2">
                  <c:v>2026-W32</c:v>
                </c:pt>
                <c:pt idx="3">
                  <c:v>2026-W33</c:v>
                </c:pt>
                <c:pt idx="4">
                  <c:v>2026-W34</c:v>
                </c:pt>
                <c:pt idx="5">
                  <c:v>2026-W35</c:v>
                </c:pt>
              </c:strCache>
            </c:strRef>
          </c:cat>
          <c:val>
            <c:numRef>
              <c:f>トレンド!$D$7:$D$12</c:f>
              <c:numCache>
                <c:formatCode>0.0%</c:formatCode>
                <c:ptCount val="6"/>
                <c:pt idx="0">
                  <c:v>0.434633333333333</c:v>
                </c:pt>
                <c:pt idx="1">
                  <c:v>0.529623076923077</c:v>
                </c:pt>
                <c:pt idx="2">
                  <c:v>0.488642857142857</c:v>
                </c:pt>
                <c:pt idx="3">
                  <c:v>0.338009090909091</c:v>
                </c:pt>
                <c:pt idx="4">
                  <c:v>0.326878571428571</c:v>
                </c:pt>
                <c:pt idx="5">
                  <c:v>0.406466666666667</c:v>
                </c:pt>
              </c:numCache>
            </c:numRef>
          </c:val>
          <c:smooth val="1"/>
        </c:ser>
        <c:ser>
          <c:idx val="3"/>
          <c:order val="3"/>
          <c:tx>
            <c:strRef>
              <c:f>トレンド!E6</c:f>
              <c:strCache>
                <c:ptCount val="1"/>
                <c:pt idx="0">
                  <c:v>妖怪ファイル</c:v>
                </c:pt>
              </c:strCache>
            </c:strRef>
          </c:tx>
          <c:spPr>
            <a:solidFill>
              <a:srgbClr val="7D5FA0"/>
            </a:solidFill>
            <a:ln w="12600">
              <a:solidFill>
                <a:srgbClr val="7D5FA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トレンド!$A$7:$A$12</c:f>
              <c:strCache>
                <c:ptCount val="6"/>
                <c:pt idx="0">
                  <c:v>2026-W30</c:v>
                </c:pt>
                <c:pt idx="1">
                  <c:v>2026-W31</c:v>
                </c:pt>
                <c:pt idx="2">
                  <c:v>2026-W32</c:v>
                </c:pt>
                <c:pt idx="3">
                  <c:v>2026-W33</c:v>
                </c:pt>
                <c:pt idx="4">
                  <c:v>2026-W34</c:v>
                </c:pt>
                <c:pt idx="5">
                  <c:v>2026-W35</c:v>
                </c:pt>
              </c:strCache>
            </c:strRef>
          </c:cat>
          <c:val>
            <c:numRef>
              <c:f>トレンド!$E$7:$E$12</c:f>
              <c:numCache>
                <c:formatCode>0.0%</c:formatCode>
                <c:ptCount val="6"/>
                <c:pt idx="0">
                  <c:v>0.491225</c:v>
                </c:pt>
                <c:pt idx="1">
                  <c:v>0.61316</c:v>
                </c:pt>
                <c:pt idx="2">
                  <c:v>0.616333333333334</c:v>
                </c:pt>
                <c:pt idx="3">
                  <c:v>0.351357142857143</c:v>
                </c:pt>
                <c:pt idx="4">
                  <c:v>0.411111111111111</c:v>
                </c:pt>
              </c:numCache>
            </c:numRef>
          </c:val>
          <c:smooth val="1"/>
        </c:ser>
        <c:ser>
          <c:idx val="4"/>
          <c:order val="4"/>
          <c:tx>
            <c:strRef>
              <c:f>トレンド!F6</c:f>
              <c:strCache>
                <c:ptCount val="1"/>
                <c:pt idx="0">
                  <c:v>ポケモン研究</c:v>
                </c:pt>
              </c:strCache>
            </c:strRef>
          </c:tx>
          <c:spPr>
            <a:solidFill>
              <a:srgbClr val="46AAC4"/>
            </a:solidFill>
            <a:ln w="12600">
              <a:solidFill>
                <a:srgbClr val="46AAC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トレンド!$A$7:$A$12</c:f>
              <c:strCache>
                <c:ptCount val="6"/>
                <c:pt idx="0">
                  <c:v>2026-W30</c:v>
                </c:pt>
                <c:pt idx="1">
                  <c:v>2026-W31</c:v>
                </c:pt>
                <c:pt idx="2">
                  <c:v>2026-W32</c:v>
                </c:pt>
                <c:pt idx="3">
                  <c:v>2026-W33</c:v>
                </c:pt>
                <c:pt idx="4">
                  <c:v>2026-W34</c:v>
                </c:pt>
                <c:pt idx="5">
                  <c:v>2026-W35</c:v>
                </c:pt>
              </c:strCache>
            </c:strRef>
          </c:cat>
          <c:val>
            <c:numRef>
              <c:f>トレンド!$F$7:$F$12</c:f>
              <c:numCache>
                <c:formatCode>0.0%</c:formatCode>
                <c:ptCount val="6"/>
                <c:pt idx="0">
                  <c:v>0.67296</c:v>
                </c:pt>
                <c:pt idx="1">
                  <c:v>0.654914285714286</c:v>
                </c:pt>
                <c:pt idx="2">
                  <c:v>0.55675</c:v>
                </c:pt>
                <c:pt idx="3">
                  <c:v>0.403742857142857</c:v>
                </c:pt>
                <c:pt idx="4">
                  <c:v>0.281488888888889</c:v>
                </c:pt>
              </c:numCache>
            </c:numRef>
          </c:val>
          <c:smooth val="1"/>
        </c:ser>
        <c:ser>
          <c:idx val="5"/>
          <c:order val="5"/>
          <c:tx>
            <c:strRef>
              <c:f>トレンド!G6</c:f>
              <c:strCache>
                <c:ptCount val="1"/>
                <c:pt idx="0">
                  <c:v>2chまとめ</c:v>
                </c:pt>
              </c:strCache>
            </c:strRef>
          </c:tx>
          <c:spPr>
            <a:solidFill>
              <a:srgbClr val="F59240"/>
            </a:solidFill>
            <a:ln w="12600">
              <a:solidFill>
                <a:srgbClr val="F59240"/>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トレンド!$A$7:$A$12</c:f>
              <c:strCache>
                <c:ptCount val="6"/>
                <c:pt idx="0">
                  <c:v>2026-W30</c:v>
                </c:pt>
                <c:pt idx="1">
                  <c:v>2026-W31</c:v>
                </c:pt>
                <c:pt idx="2">
                  <c:v>2026-W32</c:v>
                </c:pt>
                <c:pt idx="3">
                  <c:v>2026-W33</c:v>
                </c:pt>
                <c:pt idx="4">
                  <c:v>2026-W34</c:v>
                </c:pt>
                <c:pt idx="5">
                  <c:v>2026-W35</c:v>
                </c:pt>
              </c:strCache>
            </c:strRef>
          </c:cat>
          <c:val>
            <c:numRef>
              <c:f>トレンド!$G$7:$G$12</c:f>
              <c:numCache>
                <c:formatCode>0.0%</c:formatCode>
                <c:ptCount val="6"/>
                <c:pt idx="2">
                  <c:v>0.5918</c:v>
                </c:pt>
                <c:pt idx="3">
                  <c:v>0.443161538461538</c:v>
                </c:pt>
                <c:pt idx="4">
                  <c:v>0.375877777777778</c:v>
                </c:pt>
              </c:numCache>
            </c:numRef>
          </c:val>
          <c:smooth val="1"/>
        </c:ser>
        <c:hiLowLines>
          <c:spPr>
            <a:ln w="0">
              <a:noFill/>
            </a:ln>
          </c:spPr>
        </c:hiLowLines>
        <c:marker val="0"/>
        <c:axId val="64985874"/>
        <c:axId val="46824175"/>
      </c:lineChart>
      <c:catAx>
        <c:axId val="6498587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公開週</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824175"/>
        <c:crosses val="autoZero"/>
        <c:auto val="1"/>
        <c:lblAlgn val="ctr"/>
        <c:lblOffset val="100"/>
        <c:noMultiLvlLbl val="0"/>
      </c:catAx>
      <c:valAx>
        <c:axId val="4682417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平均維持率</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498587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離脱プロファイル（相対維持率）</a:t>
            </a:r>
          </a:p>
        </c:rich>
      </c:tx>
      <c:overlay val="0"/>
      <c:spPr>
        <a:noFill/>
        <a:ln w="0">
          <a:noFill/>
        </a:ln>
      </c:spPr>
    </c:title>
    <c:autoTitleDeleted val="0"/>
    <c:plotArea>
      <c:lineChart>
        <c:grouping val="standard"/>
        <c:varyColors val="0"/>
        <c:ser>
          <c:idx val="0"/>
          <c:order val="0"/>
          <c:tx>
            <c:strRef>
              <c:f>トレンド!B18</c:f>
              <c:strCache>
                <c:ptCount val="1"/>
                <c:pt idx="0">
                  <c:v>5</c:v>
                </c:pt>
              </c:strCache>
            </c:strRef>
          </c:tx>
          <c:spPr>
            <a:solidFill>
              <a:srgbClr val="426FA6"/>
            </a:solidFill>
            <a:ln w="12600">
              <a:solidFill>
                <a:srgbClr val="426FA6"/>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トレンド!$C$18:$J$18</c:f>
              <c:numCache>
                <c:formatCode>0.0%</c:formatCode>
                <c:ptCount val="8"/>
                <c:pt idx="0">
                  <c:v>0.53575</c:v>
                </c:pt>
                <c:pt idx="1">
                  <c:v>0.45142</c:v>
                </c:pt>
                <c:pt idx="2">
                  <c:v>0.3901</c:v>
                </c:pt>
                <c:pt idx="3">
                  <c:v>0.353</c:v>
                </c:pt>
                <c:pt idx="4">
                  <c:v>0.33334</c:v>
                </c:pt>
                <c:pt idx="5">
                  <c:v>0.40556</c:v>
                </c:pt>
                <c:pt idx="6">
                  <c:v>0.6138</c:v>
                </c:pt>
                <c:pt idx="7">
                  <c:v>0.7249</c:v>
                </c:pt>
              </c:numCache>
            </c:numRef>
          </c:val>
          <c:smooth val="1"/>
        </c:ser>
        <c:ser>
          <c:idx val="1"/>
          <c:order val="1"/>
          <c:tx>
            <c:strRef>
              <c:f>トレンド!B19</c:f>
              <c:strCache>
                <c:ptCount val="1"/>
                <c:pt idx="0">
                  <c:v>10</c:v>
                </c:pt>
              </c:strCache>
            </c:strRef>
          </c:tx>
          <c:spPr>
            <a:solidFill>
              <a:srgbClr val="AA433F"/>
            </a:solidFill>
            <a:ln w="12600">
              <a:solidFill>
                <a:srgbClr val="AA433F"/>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トレンド!$C$19:$J$19</c:f>
              <c:numCache>
                <c:formatCode>0.0%</c:formatCode>
                <c:ptCount val="8"/>
                <c:pt idx="0">
                  <c:v>0.45781</c:v>
                </c:pt>
                <c:pt idx="1">
                  <c:v>0.44047</c:v>
                </c:pt>
                <c:pt idx="2">
                  <c:v>0.44627</c:v>
                </c:pt>
                <c:pt idx="3">
                  <c:v>0.45669</c:v>
                </c:pt>
                <c:pt idx="4">
                  <c:v>0.479605</c:v>
                </c:pt>
                <c:pt idx="5">
                  <c:v>0.551935</c:v>
                </c:pt>
                <c:pt idx="6">
                  <c:v>0.58205</c:v>
                </c:pt>
                <c:pt idx="7">
                  <c:v>0.604485</c:v>
                </c:pt>
              </c:numCache>
            </c:numRef>
          </c:val>
          <c:smooth val="1"/>
        </c:ser>
        <c:ser>
          <c:idx val="2"/>
          <c:order val="2"/>
          <c:tx>
            <c:strRef>
              <c:f>トレンド!B20</c:f>
              <c:strCache>
                <c:ptCount val="1"/>
                <c:pt idx="0">
                  <c:v>7</c:v>
                </c:pt>
              </c:strCache>
            </c:strRef>
          </c:tx>
          <c:spPr>
            <a:solidFill>
              <a:srgbClr val="87A44B"/>
            </a:solidFill>
            <a:ln w="12600">
              <a:solidFill>
                <a:srgbClr val="87A44B"/>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トレンド!$C$20:$J$20</c:f>
              <c:numCache>
                <c:formatCode>0.0%</c:formatCode>
                <c:ptCount val="8"/>
                <c:pt idx="0">
                  <c:v>0.433385714285714</c:v>
                </c:pt>
                <c:pt idx="1">
                  <c:v>0.384907142857143</c:v>
                </c:pt>
                <c:pt idx="2">
                  <c:v>0.373992857142857</c:v>
                </c:pt>
                <c:pt idx="3">
                  <c:v>0.376178571428571</c:v>
                </c:pt>
                <c:pt idx="4">
                  <c:v>0.392428571428571</c:v>
                </c:pt>
                <c:pt idx="5">
                  <c:v>0.429292857142857</c:v>
                </c:pt>
                <c:pt idx="6">
                  <c:v>0.608421428571429</c:v>
                </c:pt>
                <c:pt idx="7">
                  <c:v>0.798857142857143</c:v>
                </c:pt>
              </c:numCache>
            </c:numRef>
          </c:val>
          <c:smooth val="1"/>
        </c:ser>
        <c:ser>
          <c:idx val="3"/>
          <c:order val="3"/>
          <c:tx>
            <c:strRef>
              <c:f>トレンド!B21</c:f>
              <c:strCache>
                <c:ptCount val="1"/>
                <c:pt idx="0">
                  <c:v>8</c:v>
                </c:pt>
              </c:strCache>
            </c:strRef>
          </c:tx>
          <c:spPr>
            <a:solidFill>
              <a:srgbClr val="6F568D"/>
            </a:solidFill>
            <a:ln w="12600">
              <a:solidFill>
                <a:srgbClr val="6F568D"/>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トレンド!$C$21:$J$21</c:f>
              <c:numCache>
                <c:formatCode>0.0%</c:formatCode>
                <c:ptCount val="8"/>
                <c:pt idx="0">
                  <c:v>0.42728125</c:v>
                </c:pt>
                <c:pt idx="1">
                  <c:v>0.3707875</c:v>
                </c:pt>
                <c:pt idx="2">
                  <c:v>0.3549375</c:v>
                </c:pt>
                <c:pt idx="3">
                  <c:v>0.35380625</c:v>
                </c:pt>
                <c:pt idx="4">
                  <c:v>0.3682</c:v>
                </c:pt>
                <c:pt idx="5">
                  <c:v>0.413825</c:v>
                </c:pt>
                <c:pt idx="6">
                  <c:v>0.5425625</c:v>
                </c:pt>
                <c:pt idx="7">
                  <c:v>0.73875</c:v>
                </c:pt>
              </c:numCache>
            </c:numRef>
          </c:val>
          <c:smooth val="1"/>
        </c:ser>
        <c:ser>
          <c:idx val="4"/>
          <c:order val="4"/>
          <c:tx>
            <c:strRef>
              <c:f>トレンド!B22</c:f>
              <c:strCache>
                <c:ptCount val="1"/>
                <c:pt idx="0">
                  <c:v>4</c:v>
                </c:pt>
              </c:strCache>
            </c:strRef>
          </c:tx>
          <c:spPr>
            <a:solidFill>
              <a:srgbClr val="3D97AF"/>
            </a:solidFill>
            <a:ln w="12600">
              <a:solidFill>
                <a:srgbClr val="3D97AF"/>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トレンド!$C$22:$J$22</c:f>
              <c:numCache>
                <c:formatCode>0.0%</c:formatCode>
                <c:ptCount val="8"/>
                <c:pt idx="0">
                  <c:v>0.354825</c:v>
                </c:pt>
                <c:pt idx="1">
                  <c:v>0.3131625</c:v>
                </c:pt>
                <c:pt idx="2">
                  <c:v>0.3097625</c:v>
                </c:pt>
                <c:pt idx="3">
                  <c:v>0.3151</c:v>
                </c:pt>
                <c:pt idx="4">
                  <c:v>0.3342</c:v>
                </c:pt>
                <c:pt idx="5">
                  <c:v>0.3728375</c:v>
                </c:pt>
                <c:pt idx="6">
                  <c:v>0.5132125</c:v>
                </c:pt>
                <c:pt idx="7">
                  <c:v>0.645975</c:v>
                </c:pt>
              </c:numCache>
            </c:numRef>
          </c:val>
          <c:smooth val="1"/>
        </c:ser>
        <c:ser>
          <c:idx val="5"/>
          <c:order val="5"/>
          <c:tx>
            <c:strRef>
              <c:f>トレンド!B23</c:f>
              <c:strCache>
                <c:ptCount val="1"/>
                <c:pt idx="0">
                  <c:v>25</c:v>
                </c:pt>
              </c:strCache>
            </c:strRef>
          </c:tx>
          <c:spPr>
            <a:solidFill>
              <a:srgbClr val="DB8238"/>
            </a:solidFill>
            <a:ln w="12600">
              <a:solidFill>
                <a:srgbClr val="DB8238"/>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トレンド!$C$23:$J$23</c:f>
              <c:numCache>
                <c:formatCode>0.0%</c:formatCode>
                <c:ptCount val="8"/>
                <c:pt idx="0">
                  <c:v>0.347332</c:v>
                </c:pt>
                <c:pt idx="1">
                  <c:v>0.30949</c:v>
                </c:pt>
                <c:pt idx="2">
                  <c:v>0.306786</c:v>
                </c:pt>
                <c:pt idx="3">
                  <c:v>0.313972</c:v>
                </c:pt>
                <c:pt idx="4">
                  <c:v>0.33448</c:v>
                </c:pt>
                <c:pt idx="5">
                  <c:v>0.375356</c:v>
                </c:pt>
                <c:pt idx="6">
                  <c:v>0.43831</c:v>
                </c:pt>
                <c:pt idx="7">
                  <c:v>0.598708</c:v>
                </c:pt>
              </c:numCache>
            </c:numRef>
          </c:val>
          <c:smooth val="1"/>
        </c:ser>
        <c:ser>
          <c:idx val="6"/>
          <c:order val="6"/>
          <c:tx>
            <c:strRef>
              <c:f>トレンド!B24</c:f>
              <c:strCache>
                <c:ptCount val="1"/>
                <c:pt idx="0">
                  <c:v>25</c:v>
                </c:pt>
              </c:strCache>
            </c:strRef>
          </c:tx>
          <c:spPr>
            <a:solidFill>
              <a:srgbClr val="8EA5CA"/>
            </a:solidFill>
            <a:ln w="12600">
              <a:solidFill>
                <a:srgbClr val="8EA5CA"/>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トレンド!$C$24:$J$24</c:f>
              <c:numCache>
                <c:formatCode>0.0%</c:formatCode>
                <c:ptCount val="8"/>
                <c:pt idx="0">
                  <c:v>0.333526</c:v>
                </c:pt>
                <c:pt idx="1">
                  <c:v>0.303814</c:v>
                </c:pt>
                <c:pt idx="2">
                  <c:v>0.306432</c:v>
                </c:pt>
                <c:pt idx="3">
                  <c:v>0.316238</c:v>
                </c:pt>
                <c:pt idx="4">
                  <c:v>0.336764</c:v>
                </c:pt>
                <c:pt idx="5">
                  <c:v>0.37911</c:v>
                </c:pt>
                <c:pt idx="6">
                  <c:v>0.424308</c:v>
                </c:pt>
                <c:pt idx="7">
                  <c:v>0.565334</c:v>
                </c:pt>
              </c:numCache>
            </c:numRef>
          </c:val>
          <c:smooth val="1"/>
        </c:ser>
        <c:ser>
          <c:idx val="7"/>
          <c:order val="7"/>
          <c:tx>
            <c:strRef>
              <c:f>トレンド!B25</c:f>
              <c:strCache>
                <c:ptCount val="1"/>
                <c:pt idx="0">
                  <c:v>25</c:v>
                </c:pt>
              </c:strCache>
            </c:strRef>
          </c:tx>
          <c:spPr>
            <a:solidFill>
              <a:srgbClr val="CC8F8E"/>
            </a:solidFill>
            <a:ln w="12600">
              <a:solidFill>
                <a:srgbClr val="CC8F8E"/>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トレンド!$C$25:$J$25</c:f>
              <c:numCache>
                <c:formatCode>0.0%</c:formatCode>
                <c:ptCount val="8"/>
                <c:pt idx="0">
                  <c:v>0.33254</c:v>
                </c:pt>
                <c:pt idx="1">
                  <c:v>0.30227</c:v>
                </c:pt>
                <c:pt idx="2">
                  <c:v>0.30405</c:v>
                </c:pt>
                <c:pt idx="3">
                  <c:v>0.311626</c:v>
                </c:pt>
                <c:pt idx="4">
                  <c:v>0.328844</c:v>
                </c:pt>
                <c:pt idx="5">
                  <c:v>0.353672</c:v>
                </c:pt>
                <c:pt idx="6">
                  <c:v>0.417512</c:v>
                </c:pt>
                <c:pt idx="7">
                  <c:v>0.565724</c:v>
                </c:pt>
              </c:numCache>
            </c:numRef>
          </c:val>
          <c:smooth val="1"/>
        </c:ser>
        <c:ser>
          <c:idx val="8"/>
          <c:order val="8"/>
          <c:tx>
            <c:strRef>
              <c:f>トレンド!B26</c:f>
              <c:strCache>
                <c:ptCount val="1"/>
                <c:pt idx="0">
                  <c:v>25</c:v>
                </c:pt>
              </c:strCache>
            </c:strRef>
          </c:tx>
          <c:spPr>
            <a:solidFill>
              <a:srgbClr val="B3C992"/>
            </a:solidFill>
            <a:ln w="12600">
              <a:solidFill>
                <a:srgbClr val="B3C992"/>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トレンド!$C$26:$J$26</c:f>
              <c:numCache>
                <c:formatCode>0.0%</c:formatCode>
                <c:ptCount val="8"/>
                <c:pt idx="0">
                  <c:v>0.322632</c:v>
                </c:pt>
                <c:pt idx="1">
                  <c:v>0.272898</c:v>
                </c:pt>
                <c:pt idx="2">
                  <c:v>0.260094</c:v>
                </c:pt>
                <c:pt idx="3">
                  <c:v>0.259378</c:v>
                </c:pt>
                <c:pt idx="4">
                  <c:v>0.274238</c:v>
                </c:pt>
                <c:pt idx="5">
                  <c:v>0.315896</c:v>
                </c:pt>
                <c:pt idx="6">
                  <c:v>0.397048</c:v>
                </c:pt>
                <c:pt idx="7">
                  <c:v>0.576928</c:v>
                </c:pt>
              </c:numCache>
            </c:numRef>
          </c:val>
          <c:smooth val="1"/>
        </c:ser>
        <c:ser>
          <c:idx val="9"/>
          <c:order val="9"/>
          <c:tx>
            <c:strRef>
              <c:f>トレンド!B27</c:f>
              <c:strCache>
                <c:ptCount val="1"/>
                <c:pt idx="0">
                  <c:v>7</c:v>
                </c:pt>
              </c:strCache>
            </c:strRef>
          </c:tx>
          <c:spPr>
            <a:solidFill>
              <a:srgbClr val="A596B9"/>
            </a:solidFill>
            <a:ln w="12600">
              <a:solidFill>
                <a:srgbClr val="A596B9"/>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トレンド!$C$27:$J$27</c:f>
              <c:numCache>
                <c:formatCode>0.0%</c:formatCode>
                <c:ptCount val="8"/>
                <c:pt idx="0">
                  <c:v>0.2949</c:v>
                </c:pt>
                <c:pt idx="1">
                  <c:v>0.2636</c:v>
                </c:pt>
                <c:pt idx="2">
                  <c:v>0.268092857142857</c:v>
                </c:pt>
                <c:pt idx="3">
                  <c:v>0.278964285714286</c:v>
                </c:pt>
                <c:pt idx="4">
                  <c:v>0.297342857142857</c:v>
                </c:pt>
                <c:pt idx="5">
                  <c:v>0.325471428571429</c:v>
                </c:pt>
                <c:pt idx="6">
                  <c:v>0.358207142857143</c:v>
                </c:pt>
                <c:pt idx="7">
                  <c:v>0.577392857142857</c:v>
                </c:pt>
              </c:numCache>
            </c:numRef>
          </c:val>
          <c:smooth val="1"/>
        </c:ser>
        <c:ser>
          <c:idx val="10"/>
          <c:order val="10"/>
          <c:tx>
            <c:strRef>
              <c:f>トレンド!B28</c:f>
              <c:strCache>
                <c:ptCount val="1"/>
                <c:pt idx="0">
                  <c:v>19</c:v>
                </c:pt>
              </c:strCache>
            </c:strRef>
          </c:tx>
          <c:spPr>
            <a:solidFill>
              <a:srgbClr val="8CBFD2"/>
            </a:solidFill>
            <a:ln w="12600">
              <a:solidFill>
                <a:srgbClr val="8CBFD2"/>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トレンド!$C$17:$J$17</c:f>
              <c:strCache>
                <c:ptCount val="8"/>
                <c:pt idx="0">
                  <c:v>5%</c:v>
                </c:pt>
                <c:pt idx="1">
                  <c:v>10%</c:v>
                </c:pt>
                <c:pt idx="2">
                  <c:v>15%</c:v>
                </c:pt>
                <c:pt idx="3">
                  <c:v>20%</c:v>
                </c:pt>
                <c:pt idx="4">
                  <c:v>30%</c:v>
                </c:pt>
                <c:pt idx="5">
                  <c:v>50%</c:v>
                </c:pt>
                <c:pt idx="6">
                  <c:v>75%</c:v>
                </c:pt>
                <c:pt idx="7">
                  <c:v>100%</c:v>
                </c:pt>
              </c:strCache>
            </c:strRef>
          </c:cat>
          <c:val>
            <c:numRef>
              <c:f>トレンド!$C$28:$J$28</c:f>
              <c:numCache>
                <c:formatCode>0.0%</c:formatCode>
                <c:ptCount val="8"/>
                <c:pt idx="0">
                  <c:v>0.294242105263158</c:v>
                </c:pt>
                <c:pt idx="1">
                  <c:v>0.255107894736842</c:v>
                </c:pt>
                <c:pt idx="2">
                  <c:v>0.250621052631579</c:v>
                </c:pt>
                <c:pt idx="3">
                  <c:v>0.255173684210526</c:v>
                </c:pt>
                <c:pt idx="4">
                  <c:v>0.275618421052632</c:v>
                </c:pt>
                <c:pt idx="5">
                  <c:v>0.323018421052632</c:v>
                </c:pt>
                <c:pt idx="6">
                  <c:v>0.398297368421053</c:v>
                </c:pt>
                <c:pt idx="7">
                  <c:v>0.581102631578947</c:v>
                </c:pt>
              </c:numCache>
            </c:numRef>
          </c:val>
          <c:smooth val="1"/>
        </c:ser>
        <c:hiLowLines>
          <c:spPr>
            <a:ln w="0">
              <a:noFill/>
            </a:ln>
          </c:spPr>
        </c:hiLowLines>
        <c:marker val="0"/>
        <c:axId val="39614050"/>
        <c:axId val="77717417"/>
      </c:lineChart>
      <c:catAx>
        <c:axId val="3961405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再生位置</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717417"/>
        <c:crosses val="autoZero"/>
        <c:auto val="1"/>
        <c:lblAlgn val="ctr"/>
        <c:lblOffset val="100"/>
        <c:noMultiLvlLbl val="0"/>
      </c:catAx>
      <c:valAx>
        <c:axId val="7771741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相対維持率</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61405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19</xdr:col>
      <xdr:colOff>66960</xdr:colOff>
      <xdr:row>18</xdr:row>
      <xdr:rowOff>163800</xdr:rowOff>
    </xdr:to>
    <xdr:graphicFrame>
      <xdr:nvGraphicFramePr>
        <xdr:cNvPr id="1" name="Chart 1"/>
        <xdr:cNvGraphicFramePr/>
      </xdr:nvGraphicFramePr>
      <xdr:xfrm>
        <a:off x="7612560" y="771480"/>
        <a:ext cx="7919280" cy="3231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27</xdr:row>
      <xdr:rowOff>0</xdr:rowOff>
    </xdr:from>
    <xdr:to>
      <xdr:col>19</xdr:col>
      <xdr:colOff>66960</xdr:colOff>
      <xdr:row>42</xdr:row>
      <xdr:rowOff>106200</xdr:rowOff>
    </xdr:to>
    <xdr:graphicFrame>
      <xdr:nvGraphicFramePr>
        <xdr:cNvPr id="2" name="Chart 2"/>
        <xdr:cNvGraphicFramePr/>
      </xdr:nvGraphicFramePr>
      <xdr:xfrm>
        <a:off x="7612560" y="5553000"/>
        <a:ext cx="7919280" cy="3173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13"/>
    <col collapsed="false" customWidth="true" hidden="false" outlineLevel="0" max="4" min="4" style="1" width="54"/>
    <col collapsed="false" customWidth="true" hidden="false" outlineLevel="0" max="7" min="5" style="1" width="12"/>
    <col collapsed="false" customWidth="true" hidden="false" outlineLevel="0" max="8" min="8" style="1" width="60"/>
  </cols>
  <sheetData>
    <row r="2" customFormat="false" ht="21" hidden="false" customHeight="true" outlineLevel="0" collapsed="false">
      <c r="B2" s="2" t="s">
        <v>0</v>
      </c>
    </row>
    <row r="3" customFormat="false" ht="42" hidden="false" customHeight="true" outlineLevel="0" collapsed="false">
      <c r="B3" s="3" t="s">
        <v>1</v>
      </c>
      <c r="C3" s="3"/>
      <c r="D3" s="3"/>
      <c r="E3" s="3"/>
      <c r="F3" s="3"/>
      <c r="G3" s="3"/>
      <c r="H3" s="3"/>
    </row>
    <row r="4" customFormat="false" ht="42" hidden="false" customHeight="true" outlineLevel="0" collapsed="false">
      <c r="B4" s="4" t="s">
        <v>2</v>
      </c>
      <c r="C4" s="4"/>
      <c r="D4" s="4"/>
      <c r="E4" s="4"/>
      <c r="F4" s="4"/>
      <c r="G4" s="4"/>
      <c r="H4" s="4"/>
    </row>
    <row r="5" customFormat="false" ht="25.5" hidden="false" customHeight="true" outlineLevel="0" collapsed="false">
      <c r="B5" s="5" t="s">
        <v>3</v>
      </c>
      <c r="C5" s="5"/>
      <c r="D5" s="5"/>
      <c r="E5" s="5"/>
      <c r="F5" s="5"/>
      <c r="G5" s="5"/>
      <c r="H5" s="5"/>
    </row>
    <row r="6" customFormat="false" ht="25.5" hidden="false" customHeight="true" outlineLevel="0" collapsed="false">
      <c r="B6" s="6" t="s">
        <v>4</v>
      </c>
      <c r="C6" s="6"/>
      <c r="D6" s="6"/>
      <c r="E6" s="6"/>
      <c r="F6" s="6"/>
      <c r="G6" s="6"/>
      <c r="H6" s="6"/>
    </row>
    <row r="8" customFormat="false" ht="16.5" hidden="false" customHeight="true" outlineLevel="0" collapsed="false">
      <c r="B8" s="7" t="s">
        <v>5</v>
      </c>
    </row>
    <row r="9" customFormat="false" ht="31.5" hidden="false" customHeight="true" outlineLevel="0" collapsed="false">
      <c r="A9" s="8"/>
      <c r="B9" s="9" t="s">
        <v>6</v>
      </c>
      <c r="C9" s="9" t="s">
        <v>7</v>
      </c>
      <c r="D9" s="9" t="s">
        <v>8</v>
      </c>
      <c r="E9" s="9" t="s">
        <v>9</v>
      </c>
      <c r="F9" s="9" t="s">
        <v>10</v>
      </c>
      <c r="G9" s="9" t="s">
        <v>11</v>
      </c>
      <c r="H9" s="9" t="s">
        <v>12</v>
      </c>
    </row>
    <row r="10" customFormat="false" ht="30" hidden="false" customHeight="true" outlineLevel="0" collapsed="false">
      <c r="A10" s="10"/>
      <c r="B10" s="10" t="s">
        <v>13</v>
      </c>
      <c r="C10" s="11" t="n">
        <v>7446</v>
      </c>
      <c r="D10" s="11" t="n">
        <v>7311</v>
      </c>
      <c r="E10" s="12" t="n">
        <v>1.01846532622076</v>
      </c>
      <c r="F10" s="11" t="n">
        <v>8</v>
      </c>
      <c r="G10" s="13" t="n">
        <v>1.0744023636852</v>
      </c>
      <c r="H10" s="14" t="s">
        <v>14</v>
      </c>
    </row>
    <row r="11" customFormat="false" ht="30" hidden="false" customHeight="true" outlineLevel="0" collapsed="false">
      <c r="A11" s="10"/>
      <c r="B11" s="15" t="s">
        <v>15</v>
      </c>
      <c r="C11" s="11" t="n">
        <v>38299</v>
      </c>
      <c r="D11" s="11"/>
      <c r="E11" s="16" t="s">
        <v>16</v>
      </c>
      <c r="F11" s="11" t="n">
        <v>29</v>
      </c>
      <c r="G11" s="13" t="n">
        <v>0.757199926891042</v>
      </c>
      <c r="H11" s="14" t="s">
        <v>17</v>
      </c>
    </row>
    <row r="12" customFormat="false" ht="30" hidden="false" customHeight="true" outlineLevel="0" collapsed="false">
      <c r="A12" s="10"/>
      <c r="B12" s="10" t="s">
        <v>18</v>
      </c>
      <c r="C12" s="11" t="n">
        <v>11415</v>
      </c>
      <c r="D12" s="11" t="n">
        <v>6695</v>
      </c>
      <c r="E12" s="12" t="n">
        <v>1.70500373412995</v>
      </c>
      <c r="F12" s="11" t="n">
        <v>11</v>
      </c>
      <c r="G12" s="13" t="n">
        <v>0.963644327639071</v>
      </c>
      <c r="H12" s="14" t="s">
        <v>19</v>
      </c>
    </row>
    <row r="13" customFormat="false" ht="30" hidden="false" customHeight="true" outlineLevel="0" collapsed="false">
      <c r="A13" s="10"/>
      <c r="B13" s="15" t="s">
        <v>20</v>
      </c>
      <c r="C13" s="11" t="n">
        <v>5120</v>
      </c>
      <c r="D13" s="11" t="n">
        <v>4613</v>
      </c>
      <c r="E13" s="12" t="n">
        <v>1.10990678517234</v>
      </c>
      <c r="F13" s="11" t="n">
        <v>2</v>
      </c>
      <c r="G13" s="17" t="n">
        <v>0.390625</v>
      </c>
      <c r="H13" s="14" t="s">
        <v>21</v>
      </c>
    </row>
    <row r="14" customFormat="false" ht="30" hidden="false" customHeight="true" outlineLevel="0" collapsed="false">
      <c r="A14" s="10"/>
      <c r="B14" s="15" t="s">
        <v>22</v>
      </c>
      <c r="C14" s="11" t="n">
        <v>7796</v>
      </c>
      <c r="D14" s="11" t="n">
        <v>7049</v>
      </c>
      <c r="E14" s="12" t="n">
        <v>1.10597247836573</v>
      </c>
      <c r="F14" s="11" t="n">
        <v>1</v>
      </c>
      <c r="G14" s="18" t="n">
        <v>0.12827090815803</v>
      </c>
      <c r="H14" s="14" t="s">
        <v>23</v>
      </c>
    </row>
    <row r="15" customFormat="false" ht="30" hidden="false" customHeight="true" outlineLevel="0" collapsed="false">
      <c r="A15" s="10"/>
      <c r="B15" s="10" t="s">
        <v>24</v>
      </c>
      <c r="C15" s="11" t="n">
        <v>8995</v>
      </c>
      <c r="D15" s="11" t="n">
        <v>10346</v>
      </c>
      <c r="E15" s="19" t="n">
        <v>0.869418132611637</v>
      </c>
      <c r="F15" s="11" t="n">
        <v>2</v>
      </c>
      <c r="G15" s="18" t="n">
        <v>0.222345747637576</v>
      </c>
      <c r="H15" s="14" t="s">
        <v>25</v>
      </c>
    </row>
    <row r="16" customFormat="false" ht="39.75" hidden="false" customHeight="true" outlineLevel="0" collapsed="false">
      <c r="A16" s="10"/>
      <c r="B16" s="20" t="s">
        <v>26</v>
      </c>
      <c r="C16" s="21" t="n">
        <v>44849</v>
      </c>
      <c r="D16" s="21" t="n">
        <v>37113</v>
      </c>
      <c r="E16" s="22" t="n">
        <v>1.20844448037076</v>
      </c>
      <c r="F16" s="21" t="n">
        <v>24</v>
      </c>
      <c r="G16" s="23" t="n">
        <v>0.535128988383242</v>
      </c>
      <c r="H16" s="24" t="s">
        <v>27</v>
      </c>
    </row>
    <row r="18" customFormat="false" ht="15" hidden="false" customHeight="true" outlineLevel="0" collapsed="false">
      <c r="B18" s="7" t="s">
        <v>28</v>
      </c>
    </row>
    <row r="19" customFormat="false" ht="31.5" hidden="false" customHeight="true" outlineLevel="0" collapsed="false">
      <c r="A19" s="8"/>
      <c r="B19" s="9" t="s">
        <v>29</v>
      </c>
      <c r="C19" s="9" t="s">
        <v>30</v>
      </c>
      <c r="D19" s="9" t="s">
        <v>31</v>
      </c>
    </row>
    <row r="20" customFormat="false" ht="75.75" hidden="false" customHeight="true" outlineLevel="0" collapsed="false">
      <c r="B20" s="25" t="s">
        <v>32</v>
      </c>
      <c r="C20" s="26" t="s">
        <v>33</v>
      </c>
      <c r="D20" s="27" t="s">
        <v>34</v>
      </c>
      <c r="E20" s="27"/>
      <c r="F20" s="27"/>
      <c r="G20" s="27"/>
      <c r="H20" s="27"/>
    </row>
    <row r="21" customFormat="false" ht="75.75" hidden="false" customHeight="true" outlineLevel="0" collapsed="false">
      <c r="B21" s="25" t="s">
        <v>35</v>
      </c>
      <c r="C21" s="26" t="s">
        <v>36</v>
      </c>
      <c r="D21" s="28" t="s">
        <v>37</v>
      </c>
      <c r="E21" s="28"/>
      <c r="F21" s="28"/>
      <c r="G21" s="28"/>
      <c r="H21" s="28"/>
    </row>
    <row r="22" customFormat="false" ht="75.75" hidden="false" customHeight="true" outlineLevel="0" collapsed="false">
      <c r="B22" s="25" t="s">
        <v>38</v>
      </c>
      <c r="C22" s="29" t="s">
        <v>39</v>
      </c>
      <c r="D22" s="28" t="s">
        <v>40</v>
      </c>
      <c r="E22" s="28"/>
      <c r="F22" s="28"/>
      <c r="G22" s="28"/>
      <c r="H22" s="28"/>
    </row>
    <row r="23" customFormat="false" ht="75.75" hidden="false" customHeight="true" outlineLevel="0" collapsed="false">
      <c r="B23" s="30" t="s">
        <v>41</v>
      </c>
      <c r="C23" s="26" t="s">
        <v>42</v>
      </c>
      <c r="D23" s="27" t="s">
        <v>43</v>
      </c>
      <c r="E23" s="27"/>
      <c r="F23" s="27"/>
      <c r="G23" s="27"/>
      <c r="H23" s="27"/>
    </row>
    <row r="24" customFormat="false" ht="75.75" hidden="false" customHeight="true" outlineLevel="0" collapsed="false">
      <c r="B24" s="30" t="s">
        <v>44</v>
      </c>
      <c r="C24" s="29" t="s">
        <v>45</v>
      </c>
      <c r="D24" s="28" t="s">
        <v>46</v>
      </c>
      <c r="E24" s="28"/>
      <c r="F24" s="28"/>
      <c r="G24" s="28"/>
      <c r="H24" s="28"/>
    </row>
    <row r="25" customFormat="false" ht="75.75" hidden="false" customHeight="true" outlineLevel="0" collapsed="false">
      <c r="B25" s="30" t="s">
        <v>47</v>
      </c>
      <c r="C25" s="29" t="s">
        <v>48</v>
      </c>
      <c r="D25" s="28" t="s">
        <v>49</v>
      </c>
      <c r="E25" s="28"/>
      <c r="F25" s="28"/>
      <c r="G25" s="28"/>
      <c r="H25" s="28"/>
    </row>
    <row r="26" customFormat="false" ht="75.75" hidden="false" customHeight="true" outlineLevel="0" collapsed="false">
      <c r="B26" s="31" t="s">
        <v>50</v>
      </c>
      <c r="C26" s="26" t="s">
        <v>51</v>
      </c>
      <c r="D26" s="28" t="s">
        <v>52</v>
      </c>
      <c r="E26" s="28"/>
      <c r="F26" s="28"/>
      <c r="G26" s="28"/>
      <c r="H26" s="28"/>
    </row>
    <row r="27" customFormat="false" ht="75.75" hidden="false" customHeight="true" outlineLevel="0" collapsed="false">
      <c r="B27" s="31" t="s">
        <v>53</v>
      </c>
      <c r="C27" s="29" t="s">
        <v>54</v>
      </c>
      <c r="D27" s="27" t="s">
        <v>55</v>
      </c>
      <c r="E27" s="27"/>
      <c r="F27" s="27"/>
      <c r="G27" s="27"/>
      <c r="H27" s="27"/>
    </row>
  </sheetData>
  <mergeCells count="12">
    <mergeCell ref="B3:H3"/>
    <mergeCell ref="B4:H4"/>
    <mergeCell ref="B5:H5"/>
    <mergeCell ref="B6:H6"/>
    <mergeCell ref="D20:H20"/>
    <mergeCell ref="D21:H21"/>
    <mergeCell ref="D22:H22"/>
    <mergeCell ref="D23:H23"/>
    <mergeCell ref="D24:H24"/>
    <mergeCell ref="D25:H25"/>
    <mergeCell ref="D26:H26"/>
    <mergeCell ref="D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4" min="3" style="1" width="12"/>
    <col collapsed="false" customWidth="true" hidden="false" outlineLevel="0" max="5" min="5" style="1" width="10"/>
    <col collapsed="false" customWidth="true" hidden="false" outlineLevel="0" max="6" min="6" style="1" width="12"/>
    <col collapsed="false" customWidth="true" hidden="false" outlineLevel="0" max="7" min="7" style="1" width="11"/>
    <col collapsed="false" customWidth="true" hidden="false" outlineLevel="0" max="8" min="8" style="1" width="12"/>
    <col collapsed="false" customWidth="true" hidden="false" outlineLevel="0" max="9" min="9" style="1" width="13"/>
    <col collapsed="false" customWidth="true" hidden="false" outlineLevel="0" max="10" min="10" style="1" width="9"/>
    <col collapsed="false" customWidth="true" hidden="false" outlineLevel="0" max="12" min="11" style="1" width="10"/>
    <col collapsed="false" customWidth="true" hidden="false" outlineLevel="0" max="13" min="13" style="1" width="9"/>
  </cols>
  <sheetData>
    <row r="1" customFormat="false" ht="15.75" hidden="false" customHeight="true" outlineLevel="0" collapsed="false">
      <c r="A1" s="32" t="s">
        <v>56</v>
      </c>
    </row>
    <row r="2" customFormat="false" ht="15" hidden="false" customHeight="true" outlineLevel="0" collapsed="false">
      <c r="A2" s="33" t="s">
        <v>57</v>
      </c>
    </row>
    <row r="3" customFormat="false" ht="15" hidden="false" customHeight="true" outlineLevel="0" collapsed="false">
      <c r="A3" s="34" t="s">
        <v>58</v>
      </c>
    </row>
    <row r="5" customFormat="false" ht="31.5" hidden="false" customHeight="true" outlineLevel="0" collapsed="false">
      <c r="A5" s="9" t="s">
        <v>6</v>
      </c>
      <c r="B5" s="8" t="s">
        <v>59</v>
      </c>
      <c r="C5" s="9" t="s">
        <v>7</v>
      </c>
      <c r="D5" s="9" t="s">
        <v>8</v>
      </c>
      <c r="E5" s="9" t="s">
        <v>9</v>
      </c>
      <c r="F5" s="9" t="s">
        <v>60</v>
      </c>
      <c r="G5" s="9" t="s">
        <v>11</v>
      </c>
      <c r="H5" s="9" t="s">
        <v>61</v>
      </c>
      <c r="I5" s="9" t="s">
        <v>62</v>
      </c>
      <c r="J5" s="8" t="s">
        <v>63</v>
      </c>
      <c r="K5" s="9" t="s">
        <v>64</v>
      </c>
      <c r="L5" s="9" t="s">
        <v>65</v>
      </c>
      <c r="M5" s="9" t="s">
        <v>66</v>
      </c>
    </row>
    <row r="6" customFormat="false" ht="15" hidden="false" customHeight="true" outlineLevel="0" collapsed="false">
      <c r="A6" s="35" t="s">
        <v>67</v>
      </c>
      <c r="B6" s="10" t="s">
        <v>68</v>
      </c>
      <c r="C6" s="11" t="n">
        <v>7446</v>
      </c>
      <c r="D6" s="11" t="n">
        <v>7311</v>
      </c>
      <c r="E6" s="12" t="n">
        <v>1.01846532622076</v>
      </c>
      <c r="F6" s="11" t="n">
        <v>8</v>
      </c>
      <c r="G6" s="13" t="n">
        <v>1.0744023636852</v>
      </c>
      <c r="H6" s="11" t="n">
        <v>797</v>
      </c>
      <c r="I6" s="11" t="n">
        <v>8587</v>
      </c>
      <c r="J6" s="36" t="n">
        <v>0.0358980174338416</v>
      </c>
      <c r="K6" s="37" t="n">
        <v>0.410988477366255</v>
      </c>
      <c r="L6" s="38" t="n">
        <v>22.445945945946</v>
      </c>
      <c r="M6" s="11" t="n">
        <v>56</v>
      </c>
    </row>
    <row r="7" customFormat="false" ht="15" hidden="false" customHeight="true" outlineLevel="0" collapsed="false">
      <c r="A7" s="39" t="s">
        <v>69</v>
      </c>
      <c r="B7" s="10" t="s">
        <v>70</v>
      </c>
      <c r="C7" s="11" t="n">
        <v>38299</v>
      </c>
      <c r="D7" s="40" t="s">
        <v>71</v>
      </c>
      <c r="E7" s="16" t="s">
        <v>16</v>
      </c>
      <c r="F7" s="11" t="n">
        <v>29</v>
      </c>
      <c r="G7" s="13" t="n">
        <v>0.757199926891042</v>
      </c>
      <c r="H7" s="11" t="n">
        <v>4506</v>
      </c>
      <c r="I7" s="11" t="n">
        <v>12742</v>
      </c>
      <c r="J7" s="36" t="n">
        <v>0.0345201902780078</v>
      </c>
      <c r="K7" s="37" t="n">
        <v>0.514724705882353</v>
      </c>
      <c r="L7" s="38" t="n">
        <v>34.2564102564103</v>
      </c>
      <c r="M7" s="11" t="n">
        <v>30</v>
      </c>
    </row>
    <row r="8" customFormat="false" ht="15" hidden="false" customHeight="true" outlineLevel="0" collapsed="false">
      <c r="A8" s="35" t="s">
        <v>72</v>
      </c>
      <c r="B8" s="10" t="s">
        <v>73</v>
      </c>
      <c r="C8" s="11" t="n">
        <v>11415</v>
      </c>
      <c r="D8" s="11" t="n">
        <v>6695</v>
      </c>
      <c r="E8" s="12" t="n">
        <v>1.70500373412995</v>
      </c>
      <c r="F8" s="11" t="n">
        <v>11</v>
      </c>
      <c r="G8" s="13" t="n">
        <v>0.963644327639071</v>
      </c>
      <c r="H8" s="11" t="n">
        <v>8836</v>
      </c>
      <c r="I8" s="11" t="n">
        <v>113153</v>
      </c>
      <c r="J8" s="41" t="n">
        <v>0.0153894020442316</v>
      </c>
      <c r="K8" s="37" t="n">
        <v>0.39088683127572</v>
      </c>
      <c r="L8" s="38" t="n">
        <v>16.1946902654867</v>
      </c>
      <c r="M8" s="11" t="n">
        <v>59</v>
      </c>
    </row>
    <row r="9" customFormat="false" ht="15" hidden="false" customHeight="true" outlineLevel="0" collapsed="false">
      <c r="A9" s="39" t="s">
        <v>74</v>
      </c>
      <c r="B9" s="10" t="s">
        <v>75</v>
      </c>
      <c r="C9" s="11" t="n">
        <v>5120</v>
      </c>
      <c r="D9" s="11" t="n">
        <v>4613</v>
      </c>
      <c r="E9" s="12" t="n">
        <v>1.10990678517234</v>
      </c>
      <c r="F9" s="11" t="n">
        <v>2</v>
      </c>
      <c r="G9" s="17" t="n">
        <v>0.390625</v>
      </c>
      <c r="H9" s="11" t="n">
        <v>1907</v>
      </c>
      <c r="I9" s="11" t="n">
        <v>33296</v>
      </c>
      <c r="J9" s="42" t="n">
        <v>0.0215578489473372</v>
      </c>
      <c r="K9" s="37" t="n">
        <v>0.45190725388601</v>
      </c>
      <c r="L9" s="38" t="n">
        <v>17.0457142857143</v>
      </c>
      <c r="M9" s="11" t="n">
        <v>43</v>
      </c>
    </row>
    <row r="10" customFormat="false" ht="15" hidden="false" customHeight="true" outlineLevel="0" collapsed="false">
      <c r="A10" s="39" t="s">
        <v>76</v>
      </c>
      <c r="B10" s="10" t="s">
        <v>77</v>
      </c>
      <c r="C10" s="11" t="n">
        <v>7796</v>
      </c>
      <c r="D10" s="11" t="n">
        <v>7049</v>
      </c>
      <c r="E10" s="12" t="n">
        <v>1.10597247836573</v>
      </c>
      <c r="F10" s="11" t="n">
        <v>1</v>
      </c>
      <c r="G10" s="18" t="n">
        <v>0.12827090815803</v>
      </c>
      <c r="H10" s="11" t="n">
        <v>771</v>
      </c>
      <c r="I10" s="11" t="n">
        <v>15409</v>
      </c>
      <c r="J10" s="42" t="n">
        <v>0.0240012503383721</v>
      </c>
      <c r="K10" s="37" t="n">
        <v>0.460269230769231</v>
      </c>
      <c r="L10" s="38" t="n">
        <v>17.2873563218391</v>
      </c>
      <c r="M10" s="11" t="n">
        <v>43</v>
      </c>
    </row>
    <row r="11" customFormat="false" ht="15" hidden="false" customHeight="true" outlineLevel="0" collapsed="false">
      <c r="A11" s="35" t="s">
        <v>78</v>
      </c>
      <c r="B11" s="10" t="s">
        <v>79</v>
      </c>
      <c r="C11" s="11" t="n">
        <v>8995</v>
      </c>
      <c r="D11" s="11" t="n">
        <v>10346</v>
      </c>
      <c r="E11" s="19" t="n">
        <v>0.869418132611637</v>
      </c>
      <c r="F11" s="11" t="n">
        <v>2</v>
      </c>
      <c r="G11" s="18" t="n">
        <v>0.222345747637576</v>
      </c>
      <c r="H11" s="11" t="n">
        <v>746</v>
      </c>
      <c r="I11" s="11" t="n">
        <v>7128</v>
      </c>
      <c r="J11" s="36" t="n">
        <v>0.0568662218184008</v>
      </c>
      <c r="K11" s="37" t="n">
        <v>0.404549068322981</v>
      </c>
      <c r="L11" s="38" t="n">
        <v>15.1217948717949</v>
      </c>
      <c r="M11" s="11" t="n">
        <v>38</v>
      </c>
    </row>
    <row r="12" customFormat="false" ht="15" hidden="false" customHeight="true" outlineLevel="0" collapsed="false">
      <c r="A12" s="15" t="s">
        <v>80</v>
      </c>
      <c r="B12" s="10" t="s">
        <v>81</v>
      </c>
      <c r="C12" s="11" t="n">
        <v>18845</v>
      </c>
      <c r="D12" s="40" t="s">
        <v>71</v>
      </c>
      <c r="E12" s="16" t="s">
        <v>16</v>
      </c>
      <c r="F12" s="11" t="n">
        <v>0</v>
      </c>
      <c r="G12" s="18" t="n">
        <v>0</v>
      </c>
      <c r="H12" s="11" t="n">
        <v>181</v>
      </c>
      <c r="I12" s="11" t="n">
        <v>530</v>
      </c>
      <c r="J12" s="36" t="n">
        <v>0.0383838383838384</v>
      </c>
      <c r="K12" s="37" t="n">
        <v>0.484968</v>
      </c>
      <c r="L12" s="38" t="n">
        <v>20.4</v>
      </c>
      <c r="M12" s="11" t="n">
        <v>10</v>
      </c>
    </row>
    <row r="13" customFormat="false" ht="15" hidden="false" customHeight="true" outlineLevel="0" collapsed="false">
      <c r="A13" s="15" t="s">
        <v>82</v>
      </c>
      <c r="B13" s="10" t="s">
        <v>83</v>
      </c>
      <c r="C13" s="11" t="n">
        <v>18333</v>
      </c>
      <c r="D13" s="40" t="s">
        <v>71</v>
      </c>
      <c r="E13" s="16" t="s">
        <v>16</v>
      </c>
      <c r="F13" s="11" t="n">
        <v>3</v>
      </c>
      <c r="G13" s="18" t="n">
        <v>0.163639338897071</v>
      </c>
      <c r="H13" s="11" t="n">
        <v>1049</v>
      </c>
      <c r="I13" s="11" t="n">
        <v>2000</v>
      </c>
      <c r="J13" s="36" t="n">
        <v>0.0476167844019945</v>
      </c>
      <c r="K13" s="37" t="n">
        <v>0.4093025</v>
      </c>
      <c r="L13" s="38" t="n">
        <v>13.6764705882353</v>
      </c>
      <c r="M13" s="11" t="n">
        <v>21</v>
      </c>
    </row>
    <row r="14" customFormat="false" ht="15" hidden="false" customHeight="true" outlineLevel="0" collapsed="false">
      <c r="A14" s="15" t="s">
        <v>84</v>
      </c>
      <c r="B14" s="10" t="s">
        <v>85</v>
      </c>
      <c r="C14" s="11" t="n">
        <v>4077</v>
      </c>
      <c r="D14" s="11" t="n">
        <v>1099</v>
      </c>
      <c r="E14" s="12" t="n">
        <v>3.70973612374886</v>
      </c>
      <c r="F14" s="11" t="n">
        <v>0</v>
      </c>
      <c r="G14" s="18" t="n">
        <v>0</v>
      </c>
      <c r="H14" s="11" t="n">
        <v>36</v>
      </c>
      <c r="I14" s="11" t="n">
        <v>150</v>
      </c>
      <c r="J14" s="36" t="n">
        <v>0.0926470588235294</v>
      </c>
      <c r="K14" s="37" t="n">
        <v>0.2125825</v>
      </c>
      <c r="L14" s="38" t="n">
        <v>14.0714285714286</v>
      </c>
      <c r="M14" s="11" t="n">
        <v>11</v>
      </c>
    </row>
    <row r="15" customFormat="false" ht="15" hidden="false" customHeight="true" outlineLevel="0" collapsed="false">
      <c r="A15" s="15" t="s">
        <v>86</v>
      </c>
      <c r="B15" s="10" t="s">
        <v>87</v>
      </c>
      <c r="C15" s="11" t="n">
        <v>20908</v>
      </c>
      <c r="D15" s="40" t="s">
        <v>71</v>
      </c>
      <c r="E15" s="16" t="s">
        <v>16</v>
      </c>
      <c r="F15" s="11" t="n">
        <v>4</v>
      </c>
      <c r="G15" s="18" t="n">
        <v>0.191314329443275</v>
      </c>
      <c r="H15" s="11" t="n">
        <v>4172</v>
      </c>
      <c r="I15" s="11" t="n">
        <v>8344</v>
      </c>
      <c r="J15" s="36" t="n">
        <v>0.148618212898934</v>
      </c>
      <c r="K15" s="37" t="n">
        <v>0.74212</v>
      </c>
      <c r="L15" s="38" t="n">
        <v>21.4444444444444</v>
      </c>
      <c r="M15" s="11" t="n">
        <v>5</v>
      </c>
    </row>
    <row r="16" customFormat="false" ht="15" hidden="false" customHeight="true" outlineLevel="0" collapsed="false">
      <c r="A16" s="15" t="s">
        <v>88</v>
      </c>
      <c r="B16" s="10" t="s">
        <v>89</v>
      </c>
      <c r="C16" s="11" t="n">
        <v>3599</v>
      </c>
      <c r="D16" s="40" t="s">
        <v>71</v>
      </c>
      <c r="E16" s="16" t="s">
        <v>16</v>
      </c>
      <c r="F16" s="11" t="n">
        <v>3</v>
      </c>
      <c r="G16" s="13" t="n">
        <v>0.833564879133093</v>
      </c>
      <c r="H16" s="11" t="n">
        <v>64</v>
      </c>
      <c r="I16" s="11" t="n">
        <v>237</v>
      </c>
      <c r="J16" s="43"/>
      <c r="K16" s="37" t="n">
        <v>0.231908571428571</v>
      </c>
      <c r="L16" s="38" t="n">
        <v>17.3333333333333</v>
      </c>
      <c r="M16" s="11" t="n">
        <v>11</v>
      </c>
    </row>
    <row r="17" customFormat="false" ht="15" hidden="false" customHeight="true" outlineLevel="0" collapsed="false">
      <c r="A17" s="15" t="s">
        <v>90</v>
      </c>
      <c r="B17" s="10" t="s">
        <v>91</v>
      </c>
      <c r="C17" s="11" t="n">
        <v>0</v>
      </c>
      <c r="D17" s="40" t="s">
        <v>71</v>
      </c>
      <c r="E17" s="16" t="s">
        <v>16</v>
      </c>
      <c r="F17" s="11" t="n">
        <v>0</v>
      </c>
      <c r="G17" s="18" t="n">
        <v>0</v>
      </c>
      <c r="H17" s="11" t="n">
        <v>0</v>
      </c>
      <c r="I17" s="11" t="n">
        <v>0</v>
      </c>
      <c r="J17" s="43"/>
      <c r="K17" s="37" t="n">
        <v>0</v>
      </c>
      <c r="L17" s="38"/>
      <c r="M17" s="11" t="n">
        <v>1</v>
      </c>
    </row>
    <row r="18" customFormat="false" ht="15" hidden="false" customHeight="true" outlineLevel="0" collapsed="false">
      <c r="A18" s="44" t="s">
        <v>92</v>
      </c>
      <c r="B18" s="45" t="s">
        <v>71</v>
      </c>
      <c r="C18" s="21" t="n">
        <f aca="false">SUM(C6:C17)</f>
        <v>144833</v>
      </c>
      <c r="D18" s="21" t="n">
        <f aca="false">SUM(D6:D17)</f>
        <v>37113</v>
      </c>
      <c r="E18" s="22" t="n">
        <f aca="false">IF(SUM(D6:D17)=0,"",SUMPRODUCT(--ISNUMBER(D6:D17),C6:C17)/SUM(D6:D17))</f>
        <v>1.20844448037076</v>
      </c>
      <c r="F18" s="21" t="n">
        <f aca="false">SUM(F6:F17)</f>
        <v>63</v>
      </c>
      <c r="G18" s="23" t="n">
        <f aca="false">IF(C18=0,0,F18*1000/C18)</f>
        <v>0.434983739893533</v>
      </c>
      <c r="H18" s="21" t="n">
        <f aca="false">SUM(H6:H17)</f>
        <v>23065</v>
      </c>
      <c r="I18" s="21" t="n">
        <f aca="false">SUM(I6:I17)</f>
        <v>201576</v>
      </c>
      <c r="J18" s="46" t="n">
        <f aca="false">IF(I18=0,"",SUMPRODUCT(I6:I17,J6:J17)/I18)</f>
        <v>0.0265506896370275</v>
      </c>
      <c r="K18" s="22" t="n">
        <f aca="false">AVERAGE(K6:K17)</f>
        <v>0.392850594910927</v>
      </c>
      <c r="L18" s="47" t="n">
        <f aca="false">AVERAGE(L6:L17)</f>
        <v>19.0252353531484</v>
      </c>
      <c r="M18" s="21" t="n">
        <f aca="false">SUM(M6:M17)</f>
        <v>328</v>
      </c>
    </row>
    <row r="19" customFormat="false" ht="15" hidden="false" customHeight="true" outlineLevel="0" collapsed="false">
      <c r="A19" s="48" t="s">
        <v>93</v>
      </c>
    </row>
    <row r="21" customFormat="false" ht="16.5" hidden="false" customHeight="true" outlineLevel="0" collapsed="false">
      <c r="A21" s="7" t="s">
        <v>94</v>
      </c>
    </row>
    <row r="22" customFormat="false" ht="15" hidden="false" customHeight="true" outlineLevel="0" collapsed="false">
      <c r="A22" s="48" t="s">
        <v>95</v>
      </c>
    </row>
    <row r="23" customFormat="false" ht="31.5" hidden="false" customHeight="true" outlineLevel="0" collapsed="false">
      <c r="A23" s="9" t="s">
        <v>6</v>
      </c>
      <c r="B23" s="9" t="s">
        <v>96</v>
      </c>
      <c r="C23" s="9" t="s">
        <v>97</v>
      </c>
      <c r="D23" s="9" t="s">
        <v>98</v>
      </c>
      <c r="E23" s="9" t="s">
        <v>65</v>
      </c>
      <c r="F23" s="9" t="s">
        <v>64</v>
      </c>
      <c r="G23" s="9" t="s">
        <v>99</v>
      </c>
      <c r="H23" s="9" t="s">
        <v>11</v>
      </c>
    </row>
    <row r="24" customFormat="false" ht="15" hidden="false" customHeight="true" outlineLevel="0" collapsed="false">
      <c r="A24" s="10" t="s">
        <v>100</v>
      </c>
      <c r="B24" s="10" t="s">
        <v>101</v>
      </c>
      <c r="C24" s="10" t="n">
        <v>6</v>
      </c>
      <c r="D24" s="11" t="n">
        <v>1384.83333333333</v>
      </c>
      <c r="E24" s="38" t="n">
        <v>12.8333333333333</v>
      </c>
      <c r="F24" s="37" t="n">
        <v>0.5918</v>
      </c>
      <c r="G24" s="49"/>
      <c r="H24" s="50" t="n">
        <v>0.3610542784932</v>
      </c>
    </row>
    <row r="25" customFormat="false" ht="15" hidden="false" customHeight="true" outlineLevel="0" collapsed="false">
      <c r="A25" s="10" t="s">
        <v>100</v>
      </c>
      <c r="B25" s="10" t="s">
        <v>102</v>
      </c>
      <c r="C25" s="10" t="n">
        <v>13</v>
      </c>
      <c r="D25" s="11" t="n">
        <v>850.153846153846</v>
      </c>
      <c r="E25" s="38" t="n">
        <v>13.4615384615385</v>
      </c>
      <c r="F25" s="37" t="n">
        <v>0.443161538461538</v>
      </c>
      <c r="G25" s="51" t="n">
        <v>-0.148638461538462</v>
      </c>
      <c r="H25" s="50" t="n">
        <v>0.090481360839667</v>
      </c>
    </row>
    <row r="26" customFormat="false" ht="15" hidden="false" customHeight="true" outlineLevel="0" collapsed="false">
      <c r="A26" s="10" t="s">
        <v>100</v>
      </c>
      <c r="B26" s="10" t="s">
        <v>103</v>
      </c>
      <c r="C26" s="10" t="n">
        <v>9</v>
      </c>
      <c r="D26" s="11" t="n">
        <v>973.333333333333</v>
      </c>
      <c r="E26" s="38" t="n">
        <v>13.2222222222222</v>
      </c>
      <c r="F26" s="37" t="n">
        <v>0.375877777777778</v>
      </c>
      <c r="G26" s="52" t="n">
        <v>-0.0672837606837606</v>
      </c>
      <c r="H26" s="50" t="n">
        <v>0.228310502283105</v>
      </c>
    </row>
    <row r="27" customFormat="false" ht="15" hidden="false" customHeight="true" outlineLevel="0" collapsed="false">
      <c r="A27" s="15" t="s">
        <v>69</v>
      </c>
      <c r="B27" s="10" t="s">
        <v>101</v>
      </c>
      <c r="C27" s="10" t="n">
        <v>4</v>
      </c>
      <c r="D27" s="11" t="n">
        <v>1026</v>
      </c>
      <c r="E27" s="38" t="n">
        <v>32.5</v>
      </c>
      <c r="F27" s="37" t="n">
        <v>0.398375</v>
      </c>
      <c r="G27" s="49"/>
      <c r="H27" s="50" t="n">
        <v>1.21832358674464</v>
      </c>
    </row>
    <row r="28" customFormat="false" ht="15" hidden="false" customHeight="true" outlineLevel="0" collapsed="false">
      <c r="A28" s="15" t="s">
        <v>69</v>
      </c>
      <c r="B28" s="10" t="s">
        <v>102</v>
      </c>
      <c r="C28" s="10" t="n">
        <v>8</v>
      </c>
      <c r="D28" s="11" t="n">
        <v>1429.375</v>
      </c>
      <c r="E28" s="38" t="n">
        <v>31.75</v>
      </c>
      <c r="F28" s="37" t="n">
        <v>0.5109125</v>
      </c>
      <c r="G28" s="53" t="n">
        <v>0.1125375</v>
      </c>
      <c r="H28" s="50" t="n">
        <v>0.524704853519895</v>
      </c>
    </row>
    <row r="29" customFormat="false" ht="15" hidden="false" customHeight="true" outlineLevel="0" collapsed="false">
      <c r="A29" s="15" t="s">
        <v>69</v>
      </c>
      <c r="B29" s="10" t="s">
        <v>103</v>
      </c>
      <c r="C29" s="10" t="n">
        <v>11</v>
      </c>
      <c r="D29" s="11" t="n">
        <v>1729.72727272727</v>
      </c>
      <c r="E29" s="38" t="n">
        <v>35.1818181818182</v>
      </c>
      <c r="F29" s="37" t="n">
        <v>0.635790909090909</v>
      </c>
      <c r="G29" s="53" t="n">
        <v>0.124878409090909</v>
      </c>
      <c r="H29" s="50" t="n">
        <v>0.788353392547433</v>
      </c>
    </row>
    <row r="30" customFormat="false" ht="15" hidden="false" customHeight="true" outlineLevel="0" collapsed="false">
      <c r="A30" s="10" t="s">
        <v>104</v>
      </c>
      <c r="B30" s="10" t="s">
        <v>105</v>
      </c>
      <c r="C30" s="10" t="n">
        <v>10</v>
      </c>
      <c r="D30" s="11" t="n">
        <v>716.5</v>
      </c>
      <c r="E30" s="38" t="n">
        <v>13.6</v>
      </c>
      <c r="F30" s="37" t="n">
        <v>0.47662</v>
      </c>
      <c r="G30" s="49"/>
      <c r="H30" s="50" t="n">
        <v>0.837404047452896</v>
      </c>
    </row>
    <row r="31" customFormat="false" ht="15" hidden="false" customHeight="true" outlineLevel="0" collapsed="false">
      <c r="A31" s="10" t="s">
        <v>104</v>
      </c>
      <c r="B31" s="10" t="s">
        <v>101</v>
      </c>
      <c r="C31" s="10" t="n">
        <v>8</v>
      </c>
      <c r="D31" s="11" t="n">
        <v>827.375</v>
      </c>
      <c r="E31" s="38" t="n">
        <v>13.25</v>
      </c>
      <c r="F31" s="37" t="n">
        <v>0.4655125</v>
      </c>
      <c r="G31" s="52" t="n">
        <v>-0.0111075000000001</v>
      </c>
      <c r="H31" s="50" t="n">
        <v>0.151080223598731</v>
      </c>
    </row>
    <row r="32" customFormat="false" ht="15" hidden="false" customHeight="true" outlineLevel="0" collapsed="false">
      <c r="A32" s="10" t="s">
        <v>104</v>
      </c>
      <c r="B32" s="10" t="s">
        <v>102</v>
      </c>
      <c r="C32" s="10" t="n">
        <v>9</v>
      </c>
      <c r="D32" s="11" t="n">
        <v>852.888888888889</v>
      </c>
      <c r="E32" s="38" t="n">
        <v>15</v>
      </c>
      <c r="F32" s="37" t="n">
        <v>0.372966666666667</v>
      </c>
      <c r="G32" s="52" t="n">
        <v>-0.0925458333333334</v>
      </c>
      <c r="H32" s="50" t="n">
        <v>0.390828556539865</v>
      </c>
    </row>
    <row r="33" customFormat="false" ht="15" hidden="false" customHeight="true" outlineLevel="0" collapsed="false">
      <c r="A33" s="10" t="s">
        <v>104</v>
      </c>
      <c r="B33" s="10" t="s">
        <v>103</v>
      </c>
      <c r="C33" s="10" t="n">
        <v>10</v>
      </c>
      <c r="D33" s="11" t="n">
        <v>824.3</v>
      </c>
      <c r="E33" s="38" t="n">
        <v>17.5</v>
      </c>
      <c r="F33" s="37" t="n">
        <v>0.41199</v>
      </c>
      <c r="G33" s="53" t="n">
        <v>0.0390233333333334</v>
      </c>
      <c r="H33" s="50" t="n">
        <v>0.727890331190101</v>
      </c>
    </row>
    <row r="34" customFormat="false" ht="15" hidden="false" customHeight="true" outlineLevel="0" collapsed="false">
      <c r="A34" s="15" t="s">
        <v>76</v>
      </c>
      <c r="B34" s="10" t="s">
        <v>106</v>
      </c>
      <c r="C34" s="10" t="n">
        <v>5</v>
      </c>
      <c r="D34" s="11" t="n">
        <v>7.4</v>
      </c>
      <c r="E34" s="38" t="n">
        <v>16.4</v>
      </c>
      <c r="F34" s="37" t="n">
        <v>0.67296</v>
      </c>
      <c r="G34" s="49"/>
      <c r="H34" s="50" t="n">
        <v>0</v>
      </c>
    </row>
    <row r="35" customFormat="false" ht="15" hidden="false" customHeight="true" outlineLevel="0" collapsed="false">
      <c r="A35" s="15" t="s">
        <v>76</v>
      </c>
      <c r="B35" s="10" t="s">
        <v>105</v>
      </c>
      <c r="C35" s="10" t="n">
        <v>7</v>
      </c>
      <c r="D35" s="11" t="n">
        <v>988.857142857143</v>
      </c>
      <c r="E35" s="38" t="n">
        <v>19.5714285714286</v>
      </c>
      <c r="F35" s="37" t="n">
        <v>0.654914285714286</v>
      </c>
      <c r="G35" s="52" t="n">
        <v>-0.0180457142857144</v>
      </c>
      <c r="H35" s="50" t="n">
        <v>0.577867668303958</v>
      </c>
    </row>
    <row r="36" customFormat="false" ht="15" hidden="false" customHeight="true" outlineLevel="0" collapsed="false">
      <c r="A36" s="15" t="s">
        <v>76</v>
      </c>
      <c r="B36" s="10" t="s">
        <v>101</v>
      </c>
      <c r="C36" s="10" t="n">
        <v>6</v>
      </c>
      <c r="D36" s="11" t="n">
        <v>1536.66666666667</v>
      </c>
      <c r="E36" s="38" t="n">
        <v>16.5</v>
      </c>
      <c r="F36" s="37" t="n">
        <v>0.55675</v>
      </c>
      <c r="G36" s="52" t="n">
        <v>-0.0981642857142858</v>
      </c>
      <c r="H36" s="50" t="n">
        <v>0.216919739696312</v>
      </c>
    </row>
    <row r="37" customFormat="false" ht="15" hidden="false" customHeight="true" outlineLevel="0" collapsed="false">
      <c r="A37" s="15" t="s">
        <v>76</v>
      </c>
      <c r="B37" s="10" t="s">
        <v>102</v>
      </c>
      <c r="C37" s="10" t="n">
        <v>7</v>
      </c>
      <c r="D37" s="11" t="n">
        <v>1252.57142857143</v>
      </c>
      <c r="E37" s="38" t="n">
        <v>17.7142857142857</v>
      </c>
      <c r="F37" s="37" t="n">
        <v>0.403742857142857</v>
      </c>
      <c r="G37" s="51" t="n">
        <v>-0.153007142857143</v>
      </c>
      <c r="H37" s="50" t="n">
        <v>0.228102189781022</v>
      </c>
    </row>
    <row r="38" customFormat="false" ht="15" hidden="false" customHeight="true" outlineLevel="0" collapsed="false">
      <c r="A38" s="15" t="s">
        <v>76</v>
      </c>
      <c r="B38" s="10" t="s">
        <v>103</v>
      </c>
      <c r="C38" s="10" t="n">
        <v>9</v>
      </c>
      <c r="D38" s="11" t="n">
        <v>795.444444444445</v>
      </c>
      <c r="E38" s="38" t="n">
        <v>15.5555555555556</v>
      </c>
      <c r="F38" s="37" t="n">
        <v>0.281488888888889</v>
      </c>
      <c r="G38" s="51" t="n">
        <v>-0.122253968253968</v>
      </c>
      <c r="H38" s="50" t="n">
        <v>0.279368626903199</v>
      </c>
    </row>
    <row r="39" customFormat="false" ht="15" hidden="false" customHeight="true" outlineLevel="0" collapsed="false">
      <c r="A39" s="10" t="s">
        <v>107</v>
      </c>
      <c r="B39" s="10" t="s">
        <v>106</v>
      </c>
      <c r="C39" s="10" t="n">
        <v>3</v>
      </c>
      <c r="D39" s="11" t="n">
        <v>769.666666666667</v>
      </c>
      <c r="E39" s="38" t="n">
        <v>13</v>
      </c>
      <c r="F39" s="37" t="n">
        <v>0.434633333333333</v>
      </c>
      <c r="G39" s="49"/>
      <c r="H39" s="50" t="n">
        <v>1.29926375054136</v>
      </c>
    </row>
    <row r="40" customFormat="false" ht="15" hidden="false" customHeight="true" outlineLevel="0" collapsed="false">
      <c r="A40" s="10" t="s">
        <v>107</v>
      </c>
      <c r="B40" s="10" t="s">
        <v>105</v>
      </c>
      <c r="C40" s="10" t="n">
        <v>13</v>
      </c>
      <c r="D40" s="11" t="n">
        <v>641.923076923077</v>
      </c>
      <c r="E40" s="38" t="n">
        <v>16.7692307692308</v>
      </c>
      <c r="F40" s="37" t="n">
        <v>0.529623076923077</v>
      </c>
      <c r="G40" s="53" t="n">
        <v>0.0949897435897435</v>
      </c>
      <c r="H40" s="50" t="n">
        <v>0.359496704613541</v>
      </c>
    </row>
    <row r="41" customFormat="false" ht="15" hidden="false" customHeight="true" outlineLevel="0" collapsed="false">
      <c r="A41" s="10" t="s">
        <v>107</v>
      </c>
      <c r="B41" s="10" t="s">
        <v>101</v>
      </c>
      <c r="C41" s="10" t="n">
        <v>7</v>
      </c>
      <c r="D41" s="11" t="n">
        <v>839.714285714286</v>
      </c>
      <c r="E41" s="38" t="n">
        <v>16.8571428571429</v>
      </c>
      <c r="F41" s="37" t="n">
        <v>0.488642857142857</v>
      </c>
      <c r="G41" s="52" t="n">
        <v>-0.0409802197802198</v>
      </c>
      <c r="H41" s="50" t="n">
        <v>0.510377679482817</v>
      </c>
    </row>
    <row r="42" customFormat="false" ht="15" hidden="false" customHeight="true" outlineLevel="0" collapsed="false">
      <c r="A42" s="10" t="s">
        <v>107</v>
      </c>
      <c r="B42" s="10" t="s">
        <v>102</v>
      </c>
      <c r="C42" s="10" t="n">
        <v>11</v>
      </c>
      <c r="D42" s="11" t="n">
        <v>558.545454545455</v>
      </c>
      <c r="E42" s="38" t="n">
        <v>14.3636363636364</v>
      </c>
      <c r="F42" s="37" t="n">
        <v>0.338009090909091</v>
      </c>
      <c r="G42" s="51" t="n">
        <v>-0.150633766233766</v>
      </c>
      <c r="H42" s="50" t="n">
        <v>0.651041666666667</v>
      </c>
    </row>
    <row r="43" customFormat="false" ht="15" hidden="false" customHeight="true" outlineLevel="0" collapsed="false">
      <c r="A43" s="10" t="s">
        <v>107</v>
      </c>
      <c r="B43" s="10" t="s">
        <v>103</v>
      </c>
      <c r="C43" s="10" t="n">
        <v>14</v>
      </c>
      <c r="D43" s="11" t="n">
        <v>855</v>
      </c>
      <c r="E43" s="38" t="n">
        <v>14.2857142857143</v>
      </c>
      <c r="F43" s="37" t="n">
        <v>0.326878571428571</v>
      </c>
      <c r="G43" s="52" t="n">
        <v>-0.0111305194805195</v>
      </c>
      <c r="H43" s="50" t="n">
        <v>0.668337510442774</v>
      </c>
    </row>
    <row r="44" customFormat="false" ht="15" hidden="false" customHeight="true" outlineLevel="0" collapsed="false">
      <c r="A44" s="10" t="s">
        <v>107</v>
      </c>
      <c r="B44" s="10" t="s">
        <v>108</v>
      </c>
      <c r="C44" s="10" t="n">
        <v>3</v>
      </c>
      <c r="D44" s="11" t="n">
        <v>809</v>
      </c>
      <c r="E44" s="38" t="n">
        <v>11</v>
      </c>
      <c r="F44" s="37" t="n">
        <v>0.406466666666667</v>
      </c>
      <c r="G44" s="53" t="n">
        <v>0.0795880952380953</v>
      </c>
      <c r="H44" s="50" t="n">
        <v>1.23609394313968</v>
      </c>
    </row>
    <row r="45" customFormat="false" ht="15" hidden="false" customHeight="true" outlineLevel="0" collapsed="false">
      <c r="A45" s="15" t="s">
        <v>74</v>
      </c>
      <c r="B45" s="10" t="s">
        <v>106</v>
      </c>
      <c r="C45" s="10" t="n">
        <v>4</v>
      </c>
      <c r="D45" s="11" t="n">
        <v>13</v>
      </c>
      <c r="E45" s="38" t="n">
        <v>13</v>
      </c>
      <c r="F45" s="37" t="n">
        <v>0.491225</v>
      </c>
      <c r="G45" s="49"/>
      <c r="H45" s="50" t="n">
        <v>0</v>
      </c>
    </row>
    <row r="46" customFormat="false" ht="15" hidden="false" customHeight="true" outlineLevel="0" collapsed="false">
      <c r="A46" s="15" t="s">
        <v>74</v>
      </c>
      <c r="B46" s="10" t="s">
        <v>105</v>
      </c>
      <c r="C46" s="10" t="n">
        <v>5</v>
      </c>
      <c r="D46" s="11" t="n">
        <v>1261.2</v>
      </c>
      <c r="E46" s="38" t="n">
        <v>18.6</v>
      </c>
      <c r="F46" s="37" t="n">
        <v>0.61316</v>
      </c>
      <c r="G46" s="53" t="n">
        <v>0.121935</v>
      </c>
      <c r="H46" s="50" t="n">
        <v>0.317158261972724</v>
      </c>
    </row>
    <row r="47" customFormat="false" ht="15" hidden="false" customHeight="true" outlineLevel="0" collapsed="false">
      <c r="A47" s="15" t="s">
        <v>74</v>
      </c>
      <c r="B47" s="10" t="s">
        <v>101</v>
      </c>
      <c r="C47" s="10" t="n">
        <v>6</v>
      </c>
      <c r="D47" s="11" t="n">
        <v>1781.83333333333</v>
      </c>
      <c r="E47" s="38" t="n">
        <v>17.8333333333333</v>
      </c>
      <c r="F47" s="37" t="n">
        <v>0.616333333333334</v>
      </c>
      <c r="G47" s="53" t="n">
        <v>0.00317333333333352</v>
      </c>
      <c r="H47" s="50" t="n">
        <v>0.187073239173136</v>
      </c>
    </row>
    <row r="48" customFormat="false" ht="15" hidden="false" customHeight="true" outlineLevel="0" collapsed="false">
      <c r="A48" s="15" t="s">
        <v>74</v>
      </c>
      <c r="B48" s="10" t="s">
        <v>102</v>
      </c>
      <c r="C48" s="10" t="n">
        <v>7</v>
      </c>
      <c r="D48" s="11" t="n">
        <v>927.714285714286</v>
      </c>
      <c r="E48" s="38" t="n">
        <v>16</v>
      </c>
      <c r="F48" s="37" t="n">
        <v>0.351357142857143</v>
      </c>
      <c r="G48" s="51" t="n">
        <v>-0.264976190476191</v>
      </c>
      <c r="H48" s="50" t="n">
        <v>0.307976593778873</v>
      </c>
    </row>
    <row r="49" customFormat="false" ht="15" hidden="false" customHeight="true" outlineLevel="0" collapsed="false">
      <c r="A49" s="15" t="s">
        <v>74</v>
      </c>
      <c r="B49" s="10" t="s">
        <v>103</v>
      </c>
      <c r="C49" s="10" t="n">
        <v>9</v>
      </c>
      <c r="D49" s="11" t="n">
        <v>634.666666666667</v>
      </c>
      <c r="E49" s="38" t="n">
        <v>17.1111111111111</v>
      </c>
      <c r="F49" s="37" t="n">
        <v>0.411111111111111</v>
      </c>
      <c r="G49" s="53" t="n">
        <v>0.0597539682539683</v>
      </c>
      <c r="H49" s="50" t="n">
        <v>0.350140056022409</v>
      </c>
    </row>
    <row r="51" customFormat="false" ht="15" hidden="false" customHeight="true" outlineLevel="0" collapsed="false">
      <c r="A51" s="34" t="s">
        <v>109</v>
      </c>
    </row>
    <row r="52" customFormat="false" ht="15" hidden="false" customHeight="true" outlineLevel="0" collapsed="false">
      <c r="A52" s="34"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7"/>
    <col collapsed="false" customWidth="true" hidden="false" outlineLevel="0" max="2" min="2" style="1" width="15"/>
    <col collapsed="false" customWidth="true" hidden="false" outlineLevel="0" max="3" min="3" style="1" width="50"/>
    <col collapsed="false" customWidth="true" hidden="false" outlineLevel="0" max="5" min="4" style="1" width="10"/>
    <col collapsed="false" customWidth="true" hidden="false" outlineLevel="0" max="6" min="6" style="1" width="8"/>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0"/>
    <col collapsed="false" customWidth="true" hidden="false" outlineLevel="0" max="11" min="11" style="1" width="13"/>
  </cols>
  <sheetData>
    <row r="1" customFormat="false" ht="19.5" hidden="false" customHeight="true" outlineLevel="0" collapsed="false">
      <c r="A1" s="32" t="s">
        <v>111</v>
      </c>
    </row>
    <row r="2" customFormat="false" ht="25.5" hidden="false" customHeight="true" outlineLevel="0" collapsed="false">
      <c r="A2" s="54" t="s">
        <v>112</v>
      </c>
    </row>
    <row r="4" customFormat="false" ht="31.5" hidden="false" customHeight="true" outlineLevel="0" collapsed="false">
      <c r="A4" s="9" t="s">
        <v>113</v>
      </c>
      <c r="B4" s="9" t="s">
        <v>6</v>
      </c>
      <c r="C4" s="9" t="s">
        <v>114</v>
      </c>
      <c r="D4" s="9" t="s">
        <v>115</v>
      </c>
      <c r="E4" s="9" t="s">
        <v>116</v>
      </c>
      <c r="F4" s="8" t="s">
        <v>63</v>
      </c>
      <c r="G4" s="9" t="s">
        <v>117</v>
      </c>
      <c r="H4" s="9" t="s">
        <v>118</v>
      </c>
      <c r="I4" s="9" t="s">
        <v>119</v>
      </c>
      <c r="J4" s="9" t="s">
        <v>120</v>
      </c>
      <c r="K4" s="9" t="s">
        <v>121</v>
      </c>
    </row>
    <row r="5" customFormat="false" ht="15" hidden="false" customHeight="true" outlineLevel="0" collapsed="false">
      <c r="A5" s="10" t="s">
        <v>122</v>
      </c>
      <c r="B5" s="15" t="s">
        <v>82</v>
      </c>
      <c r="C5" s="15" t="s">
        <v>123</v>
      </c>
      <c r="D5" s="11"/>
      <c r="E5" s="11"/>
      <c r="F5" s="43"/>
      <c r="G5" s="37"/>
      <c r="H5" s="38"/>
      <c r="I5" s="11"/>
      <c r="J5" s="11"/>
      <c r="K5" s="55" t="s">
        <v>124</v>
      </c>
    </row>
    <row r="6" customFormat="false" ht="15" hidden="false" customHeight="true" outlineLevel="0" collapsed="false">
      <c r="A6" s="10" t="s">
        <v>125</v>
      </c>
      <c r="B6" s="15" t="s">
        <v>84</v>
      </c>
      <c r="C6" s="15" t="s">
        <v>126</v>
      </c>
      <c r="D6" s="11"/>
      <c r="E6" s="11"/>
      <c r="F6" s="43"/>
      <c r="G6" s="37"/>
      <c r="H6" s="38"/>
      <c r="I6" s="11"/>
      <c r="J6" s="11"/>
      <c r="K6" s="55" t="s">
        <v>124</v>
      </c>
    </row>
    <row r="7" customFormat="false" ht="15" hidden="false" customHeight="true" outlineLevel="0" collapsed="false">
      <c r="A7" s="10" t="s">
        <v>127</v>
      </c>
      <c r="B7" s="10" t="s">
        <v>107</v>
      </c>
      <c r="C7" s="10" t="s">
        <v>128</v>
      </c>
      <c r="D7" s="11"/>
      <c r="E7" s="11"/>
      <c r="F7" s="43"/>
      <c r="G7" s="37"/>
      <c r="H7" s="38"/>
      <c r="I7" s="11"/>
      <c r="J7" s="11"/>
      <c r="K7" s="55" t="s">
        <v>124</v>
      </c>
    </row>
    <row r="8" customFormat="false" ht="15" hidden="false" customHeight="true" outlineLevel="0" collapsed="false">
      <c r="A8" s="10" t="s">
        <v>127</v>
      </c>
      <c r="B8" s="15" t="s">
        <v>74</v>
      </c>
      <c r="C8" s="15" t="s">
        <v>129</v>
      </c>
      <c r="D8" s="11"/>
      <c r="E8" s="11"/>
      <c r="F8" s="43"/>
      <c r="G8" s="37"/>
      <c r="H8" s="38"/>
      <c r="I8" s="11"/>
      <c r="J8" s="11"/>
      <c r="K8" s="55" t="s">
        <v>124</v>
      </c>
    </row>
    <row r="9" customFormat="false" ht="15" hidden="false" customHeight="true" outlineLevel="0" collapsed="false">
      <c r="A9" s="10" t="s">
        <v>130</v>
      </c>
      <c r="B9" s="15" t="s">
        <v>88</v>
      </c>
      <c r="C9" s="15" t="s">
        <v>131</v>
      </c>
      <c r="D9" s="11"/>
      <c r="E9" s="11"/>
      <c r="F9" s="43"/>
      <c r="G9" s="37"/>
      <c r="H9" s="38"/>
      <c r="I9" s="11"/>
      <c r="J9" s="11"/>
      <c r="K9" s="55" t="s">
        <v>124</v>
      </c>
    </row>
    <row r="10" customFormat="false" ht="15" hidden="false" customHeight="true" outlineLevel="0" collapsed="false">
      <c r="A10" s="10" t="s">
        <v>132</v>
      </c>
      <c r="B10" s="10" t="s">
        <v>100</v>
      </c>
      <c r="C10" s="15" t="s">
        <v>133</v>
      </c>
      <c r="D10" s="11"/>
      <c r="E10" s="11"/>
      <c r="F10" s="43"/>
      <c r="G10" s="37"/>
      <c r="H10" s="38"/>
      <c r="I10" s="11"/>
      <c r="J10" s="11"/>
      <c r="K10" s="55" t="s">
        <v>124</v>
      </c>
    </row>
    <row r="11" customFormat="false" ht="15" hidden="false" customHeight="true" outlineLevel="0" collapsed="false">
      <c r="A11" s="10" t="s">
        <v>134</v>
      </c>
      <c r="B11" s="15" t="s">
        <v>80</v>
      </c>
      <c r="C11" s="15" t="s">
        <v>135</v>
      </c>
      <c r="D11" s="11"/>
      <c r="E11" s="11"/>
      <c r="F11" s="43"/>
      <c r="G11" s="37"/>
      <c r="H11" s="38"/>
      <c r="I11" s="11"/>
      <c r="J11" s="11"/>
      <c r="K11" s="55" t="s">
        <v>124</v>
      </c>
    </row>
    <row r="12" customFormat="false" ht="15" hidden="false" customHeight="true" outlineLevel="0" collapsed="false">
      <c r="A12" s="10" t="s">
        <v>136</v>
      </c>
      <c r="B12" s="15" t="s">
        <v>76</v>
      </c>
      <c r="C12" s="15" t="s">
        <v>137</v>
      </c>
      <c r="D12" s="11"/>
      <c r="E12" s="11"/>
      <c r="F12" s="43"/>
      <c r="G12" s="37"/>
      <c r="H12" s="38"/>
      <c r="I12" s="11"/>
      <c r="J12" s="11"/>
      <c r="K12" s="55" t="s">
        <v>124</v>
      </c>
    </row>
    <row r="13" customFormat="false" ht="15" hidden="false" customHeight="true" outlineLevel="0" collapsed="false">
      <c r="A13" s="10" t="s">
        <v>138</v>
      </c>
      <c r="B13" s="15" t="s">
        <v>69</v>
      </c>
      <c r="C13" s="15" t="s">
        <v>139</v>
      </c>
      <c r="D13" s="11"/>
      <c r="E13" s="11"/>
      <c r="F13" s="43"/>
      <c r="G13" s="37"/>
      <c r="H13" s="38"/>
      <c r="I13" s="11"/>
      <c r="J13" s="11"/>
      <c r="K13" s="55" t="s">
        <v>124</v>
      </c>
    </row>
    <row r="14" customFormat="false" ht="15" hidden="false" customHeight="true" outlineLevel="0" collapsed="false">
      <c r="A14" s="10" t="s">
        <v>138</v>
      </c>
      <c r="B14" s="10" t="s">
        <v>104</v>
      </c>
      <c r="C14" s="15" t="s">
        <v>140</v>
      </c>
      <c r="D14" s="11"/>
      <c r="E14" s="11"/>
      <c r="F14" s="43"/>
      <c r="G14" s="37"/>
      <c r="H14" s="38"/>
      <c r="I14" s="11"/>
      <c r="J14" s="11"/>
      <c r="K14" s="55" t="s">
        <v>124</v>
      </c>
    </row>
    <row r="15" customFormat="false" ht="15" hidden="false" customHeight="true" outlineLevel="0" collapsed="false">
      <c r="A15" s="10" t="s">
        <v>141</v>
      </c>
      <c r="B15" s="15" t="s">
        <v>74</v>
      </c>
      <c r="C15" s="15" t="s">
        <v>142</v>
      </c>
      <c r="D15" s="11"/>
      <c r="E15" s="11"/>
      <c r="F15" s="43"/>
      <c r="G15" s="37"/>
      <c r="H15" s="38"/>
      <c r="I15" s="11"/>
      <c r="J15" s="11"/>
      <c r="K15" s="55" t="s">
        <v>124</v>
      </c>
    </row>
    <row r="16" customFormat="false" ht="15" hidden="false" customHeight="true" outlineLevel="0" collapsed="false">
      <c r="A16" s="10" t="s">
        <v>143</v>
      </c>
      <c r="B16" s="15" t="s">
        <v>84</v>
      </c>
      <c r="C16" s="15" t="s">
        <v>144</v>
      </c>
      <c r="D16" s="11"/>
      <c r="E16" s="11"/>
      <c r="F16" s="43"/>
      <c r="G16" s="37"/>
      <c r="H16" s="38"/>
      <c r="I16" s="11"/>
      <c r="J16" s="11"/>
      <c r="K16" s="55" t="s">
        <v>124</v>
      </c>
    </row>
    <row r="17" customFormat="false" ht="15" hidden="false" customHeight="true" outlineLevel="0" collapsed="false">
      <c r="A17" s="10" t="s">
        <v>145</v>
      </c>
      <c r="B17" s="15" t="s">
        <v>76</v>
      </c>
      <c r="C17" s="15" t="s">
        <v>146</v>
      </c>
      <c r="D17" s="11"/>
      <c r="E17" s="11"/>
      <c r="F17" s="43"/>
      <c r="G17" s="37"/>
      <c r="H17" s="38"/>
      <c r="I17" s="11"/>
      <c r="J17" s="11"/>
      <c r="K17" s="55" t="s">
        <v>124</v>
      </c>
    </row>
    <row r="18" customFormat="false" ht="15" hidden="false" customHeight="true" outlineLevel="0" collapsed="false">
      <c r="A18" s="10" t="s">
        <v>147</v>
      </c>
      <c r="B18" s="15" t="s">
        <v>88</v>
      </c>
      <c r="C18" s="15" t="s">
        <v>148</v>
      </c>
      <c r="D18" s="11"/>
      <c r="E18" s="11"/>
      <c r="F18" s="43"/>
      <c r="G18" s="37"/>
      <c r="H18" s="38"/>
      <c r="I18" s="11"/>
      <c r="J18" s="11"/>
      <c r="K18" s="55" t="s">
        <v>124</v>
      </c>
    </row>
    <row r="19" customFormat="false" ht="15" hidden="false" customHeight="true" outlineLevel="0" collapsed="false">
      <c r="A19" s="10" t="s">
        <v>149</v>
      </c>
      <c r="B19" s="15" t="s">
        <v>82</v>
      </c>
      <c r="C19" s="15" t="s">
        <v>150</v>
      </c>
      <c r="D19" s="11"/>
      <c r="E19" s="11"/>
      <c r="F19" s="43"/>
      <c r="G19" s="37"/>
      <c r="H19" s="38"/>
      <c r="I19" s="11"/>
      <c r="J19" s="11"/>
      <c r="K19" s="55" t="s">
        <v>124</v>
      </c>
    </row>
    <row r="20" customFormat="false" ht="15" hidden="false" customHeight="true" outlineLevel="0" collapsed="false">
      <c r="A20" s="10" t="s">
        <v>151</v>
      </c>
      <c r="B20" s="15" t="s">
        <v>69</v>
      </c>
      <c r="C20" s="15" t="s">
        <v>152</v>
      </c>
      <c r="D20" s="11"/>
      <c r="E20" s="11"/>
      <c r="F20" s="43"/>
      <c r="G20" s="37"/>
      <c r="H20" s="38"/>
      <c r="I20" s="11"/>
      <c r="J20" s="11"/>
      <c r="K20" s="55" t="s">
        <v>124</v>
      </c>
    </row>
    <row r="21" customFormat="false" ht="15" hidden="false" customHeight="true" outlineLevel="0" collapsed="false">
      <c r="A21" s="10" t="s">
        <v>153</v>
      </c>
      <c r="B21" s="10" t="s">
        <v>107</v>
      </c>
      <c r="C21" s="10" t="s">
        <v>154</v>
      </c>
      <c r="D21" s="11"/>
      <c r="E21" s="11"/>
      <c r="F21" s="43"/>
      <c r="G21" s="37"/>
      <c r="H21" s="38"/>
      <c r="I21" s="11"/>
      <c r="J21" s="11"/>
      <c r="K21" s="55" t="s">
        <v>124</v>
      </c>
    </row>
    <row r="22" customFormat="false" ht="15" hidden="false" customHeight="true" outlineLevel="0" collapsed="false">
      <c r="A22" s="10" t="s">
        <v>155</v>
      </c>
      <c r="B22" s="10" t="s">
        <v>104</v>
      </c>
      <c r="C22" s="15" t="s">
        <v>156</v>
      </c>
      <c r="D22" s="11"/>
      <c r="E22" s="11"/>
      <c r="F22" s="43"/>
      <c r="G22" s="37"/>
      <c r="H22" s="38"/>
      <c r="I22" s="11"/>
      <c r="J22" s="11"/>
      <c r="K22" s="55" t="s">
        <v>124</v>
      </c>
    </row>
    <row r="23" customFormat="false" ht="15" hidden="false" customHeight="true" outlineLevel="0" collapsed="false">
      <c r="A23" s="10" t="s">
        <v>157</v>
      </c>
      <c r="B23" s="10" t="s">
        <v>100</v>
      </c>
      <c r="C23" s="15" t="s">
        <v>158</v>
      </c>
      <c r="D23" s="11"/>
      <c r="E23" s="11"/>
      <c r="F23" s="43"/>
      <c r="G23" s="37"/>
      <c r="H23" s="38"/>
      <c r="I23" s="11"/>
      <c r="J23" s="11"/>
      <c r="K23" s="55" t="s">
        <v>124</v>
      </c>
    </row>
    <row r="24" customFormat="false" ht="15" hidden="false" customHeight="true" outlineLevel="0" collapsed="false">
      <c r="A24" s="10" t="s">
        <v>159</v>
      </c>
      <c r="B24" s="15" t="s">
        <v>74</v>
      </c>
      <c r="C24" s="15" t="s">
        <v>160</v>
      </c>
      <c r="D24" s="11"/>
      <c r="E24" s="11"/>
      <c r="F24" s="43"/>
      <c r="G24" s="37"/>
      <c r="H24" s="38"/>
      <c r="I24" s="11"/>
      <c r="J24" s="11"/>
      <c r="K24" s="55" t="s">
        <v>124</v>
      </c>
    </row>
    <row r="25" customFormat="false" ht="15" hidden="false" customHeight="true" outlineLevel="0" collapsed="false">
      <c r="A25" s="10" t="s">
        <v>161</v>
      </c>
      <c r="B25" s="15" t="s">
        <v>80</v>
      </c>
      <c r="C25" s="15" t="s">
        <v>162</v>
      </c>
      <c r="D25" s="11"/>
      <c r="E25" s="11"/>
      <c r="F25" s="43"/>
      <c r="G25" s="37"/>
      <c r="H25" s="38"/>
      <c r="I25" s="11"/>
      <c r="J25" s="11"/>
      <c r="K25" s="55" t="s">
        <v>124</v>
      </c>
    </row>
    <row r="26" customFormat="false" ht="15" hidden="false" customHeight="true" outlineLevel="0" collapsed="false">
      <c r="A26" s="10" t="s">
        <v>163</v>
      </c>
      <c r="B26" s="15" t="s">
        <v>84</v>
      </c>
      <c r="C26" s="15" t="s">
        <v>164</v>
      </c>
      <c r="D26" s="11"/>
      <c r="E26" s="11"/>
      <c r="F26" s="43"/>
      <c r="G26" s="37"/>
      <c r="H26" s="38"/>
      <c r="I26" s="11"/>
      <c r="J26" s="11"/>
      <c r="K26" s="55" t="s">
        <v>124</v>
      </c>
    </row>
    <row r="27" customFormat="false" ht="15" hidden="false" customHeight="true" outlineLevel="0" collapsed="false">
      <c r="A27" s="10" t="s">
        <v>165</v>
      </c>
      <c r="B27" s="15" t="s">
        <v>74</v>
      </c>
      <c r="C27" s="15" t="s">
        <v>166</v>
      </c>
      <c r="D27" s="11"/>
      <c r="E27" s="11"/>
      <c r="F27" s="43"/>
      <c r="G27" s="37"/>
      <c r="H27" s="38"/>
      <c r="I27" s="11"/>
      <c r="J27" s="11"/>
      <c r="K27" s="55" t="s">
        <v>124</v>
      </c>
    </row>
    <row r="28" customFormat="false" ht="15" hidden="false" customHeight="true" outlineLevel="0" collapsed="false">
      <c r="A28" s="10" t="s">
        <v>165</v>
      </c>
      <c r="B28" s="10" t="s">
        <v>107</v>
      </c>
      <c r="C28" s="10" t="s">
        <v>167</v>
      </c>
      <c r="D28" s="11"/>
      <c r="E28" s="11"/>
      <c r="F28" s="43"/>
      <c r="G28" s="37"/>
      <c r="H28" s="38"/>
      <c r="I28" s="11"/>
      <c r="J28" s="11"/>
      <c r="K28" s="55" t="s">
        <v>124</v>
      </c>
    </row>
    <row r="29" customFormat="false" ht="15" hidden="false" customHeight="true" outlineLevel="0" collapsed="false">
      <c r="A29" s="10" t="s">
        <v>168</v>
      </c>
      <c r="B29" s="15" t="s">
        <v>88</v>
      </c>
      <c r="C29" s="15" t="s">
        <v>169</v>
      </c>
      <c r="D29" s="11"/>
      <c r="E29" s="11"/>
      <c r="F29" s="43"/>
      <c r="G29" s="37"/>
      <c r="H29" s="38"/>
      <c r="I29" s="11"/>
      <c r="J29" s="11"/>
      <c r="K29" s="55" t="s">
        <v>124</v>
      </c>
    </row>
    <row r="30" customFormat="false" ht="15" hidden="false" customHeight="true" outlineLevel="0" collapsed="false">
      <c r="A30" s="10" t="s">
        <v>170</v>
      </c>
      <c r="B30" s="10" t="s">
        <v>100</v>
      </c>
      <c r="C30" s="15" t="s">
        <v>171</v>
      </c>
      <c r="D30" s="11"/>
      <c r="E30" s="11"/>
      <c r="F30" s="43"/>
      <c r="G30" s="37"/>
      <c r="H30" s="38"/>
      <c r="I30" s="11"/>
      <c r="J30" s="11"/>
      <c r="K30" s="55" t="s">
        <v>124</v>
      </c>
    </row>
    <row r="31" customFormat="false" ht="15" hidden="false" customHeight="true" outlineLevel="0" collapsed="false">
      <c r="A31" s="10" t="s">
        <v>172</v>
      </c>
      <c r="B31" s="15" t="s">
        <v>76</v>
      </c>
      <c r="C31" s="15" t="s">
        <v>173</v>
      </c>
      <c r="D31" s="11"/>
      <c r="E31" s="11"/>
      <c r="F31" s="43"/>
      <c r="G31" s="37"/>
      <c r="H31" s="38"/>
      <c r="I31" s="11"/>
      <c r="J31" s="11"/>
      <c r="K31" s="55" t="s">
        <v>124</v>
      </c>
    </row>
    <row r="32" customFormat="false" ht="15" hidden="false" customHeight="true" outlineLevel="0" collapsed="false">
      <c r="A32" s="10" t="s">
        <v>174</v>
      </c>
      <c r="B32" s="10" t="s">
        <v>104</v>
      </c>
      <c r="C32" s="15" t="s">
        <v>175</v>
      </c>
      <c r="D32" s="11"/>
      <c r="E32" s="11"/>
      <c r="F32" s="43"/>
      <c r="G32" s="37"/>
      <c r="H32" s="38"/>
      <c r="I32" s="11"/>
      <c r="J32" s="11"/>
      <c r="K32" s="55" t="s">
        <v>124</v>
      </c>
    </row>
    <row r="33" customFormat="false" ht="15" hidden="false" customHeight="true" outlineLevel="0" collapsed="false">
      <c r="A33" s="10" t="s">
        <v>174</v>
      </c>
      <c r="B33" s="15" t="s">
        <v>69</v>
      </c>
      <c r="C33" s="15" t="s">
        <v>176</v>
      </c>
      <c r="D33" s="11"/>
      <c r="E33" s="11"/>
      <c r="F33" s="43"/>
      <c r="G33" s="37"/>
      <c r="H33" s="38"/>
      <c r="I33" s="11"/>
      <c r="J33" s="11"/>
      <c r="K33" s="55" t="s">
        <v>124</v>
      </c>
    </row>
    <row r="34" customFormat="false" ht="15" hidden="false" customHeight="true" outlineLevel="0" collapsed="false">
      <c r="A34" s="10" t="s">
        <v>177</v>
      </c>
      <c r="B34" s="15" t="s">
        <v>90</v>
      </c>
      <c r="C34" s="15" t="s">
        <v>178</v>
      </c>
      <c r="D34" s="11"/>
      <c r="E34" s="11"/>
      <c r="F34" s="43"/>
      <c r="G34" s="37"/>
      <c r="H34" s="38"/>
      <c r="I34" s="11"/>
      <c r="J34" s="11"/>
      <c r="K34" s="55" t="s">
        <v>124</v>
      </c>
    </row>
    <row r="35" customFormat="false" ht="15" hidden="false" customHeight="true" outlineLevel="0" collapsed="false">
      <c r="A35" s="10" t="s">
        <v>179</v>
      </c>
      <c r="B35" s="15" t="s">
        <v>80</v>
      </c>
      <c r="C35" s="10" t="s">
        <v>180</v>
      </c>
      <c r="D35" s="11"/>
      <c r="E35" s="11"/>
      <c r="F35" s="43"/>
      <c r="G35" s="37"/>
      <c r="H35" s="38"/>
      <c r="I35" s="11"/>
      <c r="J35" s="11"/>
      <c r="K35" s="55" t="s">
        <v>124</v>
      </c>
    </row>
    <row r="36" customFormat="false" ht="15" hidden="false" customHeight="true" outlineLevel="0" collapsed="false">
      <c r="A36" s="10" t="s">
        <v>181</v>
      </c>
      <c r="B36" s="10" t="s">
        <v>107</v>
      </c>
      <c r="C36" s="10" t="s">
        <v>182</v>
      </c>
      <c r="D36" s="11"/>
      <c r="E36" s="11"/>
      <c r="F36" s="43"/>
      <c r="G36" s="37"/>
      <c r="H36" s="38"/>
      <c r="I36" s="11"/>
      <c r="J36" s="11"/>
      <c r="K36" s="55" t="s">
        <v>124</v>
      </c>
    </row>
    <row r="37" customFormat="false" ht="15" hidden="false" customHeight="true" outlineLevel="0" collapsed="false">
      <c r="A37" s="10" t="s">
        <v>183</v>
      </c>
      <c r="B37" s="15" t="s">
        <v>82</v>
      </c>
      <c r="C37" s="15" t="s">
        <v>184</v>
      </c>
      <c r="D37" s="11"/>
      <c r="E37" s="11"/>
      <c r="F37" s="43"/>
      <c r="G37" s="37"/>
      <c r="H37" s="38"/>
      <c r="I37" s="11"/>
      <c r="J37" s="11"/>
      <c r="K37" s="55" t="s">
        <v>124</v>
      </c>
    </row>
    <row r="38" customFormat="false" ht="15" hidden="false" customHeight="true" outlineLevel="0" collapsed="false">
      <c r="A38" s="10" t="s">
        <v>185</v>
      </c>
      <c r="B38" s="15" t="s">
        <v>84</v>
      </c>
      <c r="C38" s="15" t="s">
        <v>186</v>
      </c>
      <c r="D38" s="11"/>
      <c r="E38" s="11"/>
      <c r="F38" s="43"/>
      <c r="G38" s="37"/>
      <c r="H38" s="38"/>
      <c r="I38" s="11"/>
      <c r="J38" s="11"/>
      <c r="K38" s="55" t="s">
        <v>124</v>
      </c>
    </row>
    <row r="39" customFormat="false" ht="15" hidden="false" customHeight="true" outlineLevel="0" collapsed="false">
      <c r="A39" s="10" t="s">
        <v>187</v>
      </c>
      <c r="B39" s="15" t="s">
        <v>88</v>
      </c>
      <c r="C39" s="15" t="s">
        <v>188</v>
      </c>
      <c r="D39" s="11"/>
      <c r="E39" s="11"/>
      <c r="F39" s="43"/>
      <c r="G39" s="37"/>
      <c r="H39" s="38"/>
      <c r="I39" s="11"/>
      <c r="J39" s="11"/>
      <c r="K39" s="55" t="s">
        <v>124</v>
      </c>
    </row>
    <row r="40" customFormat="false" ht="15" hidden="false" customHeight="true" outlineLevel="0" collapsed="false">
      <c r="A40" s="10" t="s">
        <v>189</v>
      </c>
      <c r="B40" s="15" t="s">
        <v>84</v>
      </c>
      <c r="C40" s="15" t="s">
        <v>190</v>
      </c>
      <c r="D40" s="11" t="n">
        <v>778</v>
      </c>
      <c r="E40" s="11" t="n">
        <v>1</v>
      </c>
      <c r="F40" s="43"/>
      <c r="G40" s="19" t="n">
        <v>1.6827</v>
      </c>
      <c r="H40" s="38" t="n">
        <v>53</v>
      </c>
      <c r="I40" s="11" t="n">
        <v>0</v>
      </c>
      <c r="J40" s="11" t="n">
        <v>4</v>
      </c>
      <c r="K40" s="56" t="s">
        <v>191</v>
      </c>
    </row>
    <row r="41" customFormat="false" ht="15" hidden="false" customHeight="true" outlineLevel="0" collapsed="false">
      <c r="A41" s="10" t="s">
        <v>192</v>
      </c>
      <c r="B41" s="15" t="s">
        <v>88</v>
      </c>
      <c r="C41" s="15" t="s">
        <v>193</v>
      </c>
      <c r="D41" s="11" t="n">
        <v>0</v>
      </c>
      <c r="E41" s="11" t="n">
        <v>2</v>
      </c>
      <c r="F41" s="43"/>
      <c r="G41" s="37" t="n">
        <v>0</v>
      </c>
      <c r="H41" s="38" t="n">
        <v>0</v>
      </c>
      <c r="I41" s="11" t="n">
        <v>0</v>
      </c>
      <c r="J41" s="11" t="n">
        <v>0</v>
      </c>
      <c r="K41" s="15" t="s">
        <v>194</v>
      </c>
    </row>
    <row r="42" customFormat="false" ht="15" hidden="false" customHeight="true" outlineLevel="0" collapsed="false">
      <c r="A42" s="10" t="s">
        <v>195</v>
      </c>
      <c r="B42" s="10" t="s">
        <v>107</v>
      </c>
      <c r="C42" s="10" t="s">
        <v>196</v>
      </c>
      <c r="D42" s="11" t="n">
        <v>946</v>
      </c>
      <c r="E42" s="11" t="n">
        <v>31</v>
      </c>
      <c r="F42" s="43" t="n">
        <v>0.032258064516129</v>
      </c>
      <c r="G42" s="37" t="n">
        <v>0.3794</v>
      </c>
      <c r="H42" s="38" t="n">
        <v>10</v>
      </c>
      <c r="I42" s="11" t="n">
        <v>2</v>
      </c>
      <c r="J42" s="11" t="n">
        <v>1</v>
      </c>
      <c r="K42" s="15" t="s">
        <v>194</v>
      </c>
    </row>
    <row r="43" customFormat="false" ht="15" hidden="false" customHeight="true" outlineLevel="0" collapsed="false">
      <c r="A43" s="10" t="s">
        <v>197</v>
      </c>
      <c r="B43" s="15" t="s">
        <v>84</v>
      </c>
      <c r="C43" s="15" t="s">
        <v>198</v>
      </c>
      <c r="D43" s="11" t="n">
        <v>211</v>
      </c>
      <c r="E43" s="11" t="n">
        <v>2</v>
      </c>
      <c r="F43" s="43"/>
      <c r="G43" s="19" t="n">
        <v>0.2472</v>
      </c>
      <c r="H43" s="38" t="n">
        <v>8</v>
      </c>
      <c r="I43" s="11" t="n">
        <v>0</v>
      </c>
      <c r="J43" s="11" t="n">
        <v>1</v>
      </c>
      <c r="K43" s="15" t="s">
        <v>194</v>
      </c>
    </row>
    <row r="44" customFormat="false" ht="15" hidden="false" customHeight="true" outlineLevel="0" collapsed="false">
      <c r="A44" s="10" t="s">
        <v>199</v>
      </c>
      <c r="B44" s="10" t="s">
        <v>107</v>
      </c>
      <c r="C44" s="10" t="s">
        <v>200</v>
      </c>
      <c r="D44" s="11" t="n">
        <v>858</v>
      </c>
      <c r="E44" s="11" t="n">
        <v>149</v>
      </c>
      <c r="F44" s="43" t="n">
        <v>0.0268456375838926</v>
      </c>
      <c r="G44" s="19" t="n">
        <v>0.3499</v>
      </c>
      <c r="H44" s="38" t="n">
        <v>10</v>
      </c>
      <c r="I44" s="11" t="n">
        <v>1</v>
      </c>
      <c r="J44" s="11" t="n">
        <v>7</v>
      </c>
      <c r="K44" s="15" t="s">
        <v>194</v>
      </c>
    </row>
    <row r="45" customFormat="false" ht="15" hidden="false" customHeight="true" outlineLevel="0" collapsed="false">
      <c r="A45" s="10" t="s">
        <v>199</v>
      </c>
      <c r="B45" s="15" t="s">
        <v>74</v>
      </c>
      <c r="C45" s="15" t="s">
        <v>201</v>
      </c>
      <c r="D45" s="11" t="n">
        <v>982</v>
      </c>
      <c r="E45" s="11" t="n">
        <v>123</v>
      </c>
      <c r="F45" s="43" t="n">
        <v>0.032520325203252</v>
      </c>
      <c r="G45" s="19" t="n">
        <v>0.324</v>
      </c>
      <c r="H45" s="38" t="n">
        <v>10</v>
      </c>
      <c r="I45" s="11" t="n">
        <v>0</v>
      </c>
      <c r="J45" s="11" t="n">
        <v>4</v>
      </c>
      <c r="K45" s="15" t="s">
        <v>194</v>
      </c>
    </row>
    <row r="46" customFormat="false" ht="15" hidden="false" customHeight="true" outlineLevel="0" collapsed="false">
      <c r="A46" s="10" t="s">
        <v>202</v>
      </c>
      <c r="B46" s="15" t="s">
        <v>88</v>
      </c>
      <c r="C46" s="15" t="s">
        <v>203</v>
      </c>
      <c r="D46" s="11" t="n">
        <v>0</v>
      </c>
      <c r="E46" s="11" t="n">
        <v>1</v>
      </c>
      <c r="F46" s="43"/>
      <c r="G46" s="37" t="n">
        <v>0</v>
      </c>
      <c r="H46" s="38" t="n">
        <v>0</v>
      </c>
      <c r="I46" s="11" t="n">
        <v>0</v>
      </c>
      <c r="J46" s="11" t="n">
        <v>0</v>
      </c>
      <c r="K46" s="15" t="s">
        <v>194</v>
      </c>
    </row>
    <row r="47" customFormat="false" ht="15" hidden="false" customHeight="true" outlineLevel="0" collapsed="false">
      <c r="A47" s="10" t="s">
        <v>204</v>
      </c>
      <c r="B47" s="10" t="s">
        <v>100</v>
      </c>
      <c r="C47" s="15" t="s">
        <v>205</v>
      </c>
      <c r="D47" s="11" t="n">
        <v>1057</v>
      </c>
      <c r="E47" s="11" t="n">
        <v>21</v>
      </c>
      <c r="F47" s="43"/>
      <c r="G47" s="19" t="n">
        <v>0.3297</v>
      </c>
      <c r="H47" s="38" t="n">
        <v>10</v>
      </c>
      <c r="I47" s="11" t="n">
        <v>0</v>
      </c>
      <c r="J47" s="11" t="n">
        <v>3</v>
      </c>
      <c r="K47" s="15" t="s">
        <v>194</v>
      </c>
    </row>
    <row r="48" customFormat="false" ht="15" hidden="false" customHeight="true" outlineLevel="0" collapsed="false">
      <c r="A48" s="10" t="s">
        <v>206</v>
      </c>
      <c r="B48" s="15" t="s">
        <v>76</v>
      </c>
      <c r="C48" s="15" t="s">
        <v>207</v>
      </c>
      <c r="D48" s="11" t="n">
        <v>883</v>
      </c>
      <c r="E48" s="11" t="n">
        <v>43</v>
      </c>
      <c r="F48" s="43"/>
      <c r="G48" s="37" t="n">
        <v>0.4612</v>
      </c>
      <c r="H48" s="38" t="n">
        <v>15</v>
      </c>
      <c r="I48" s="11" t="n">
        <v>0</v>
      </c>
      <c r="J48" s="11" t="n">
        <v>4</v>
      </c>
      <c r="K48" s="15" t="s">
        <v>194</v>
      </c>
    </row>
    <row r="49" customFormat="false" ht="15" hidden="false" customHeight="true" outlineLevel="0" collapsed="false">
      <c r="A49" s="10" t="s">
        <v>208</v>
      </c>
      <c r="B49" s="15" t="s">
        <v>69</v>
      </c>
      <c r="C49" s="10" t="s">
        <v>209</v>
      </c>
      <c r="D49" s="11" t="n">
        <v>990</v>
      </c>
      <c r="E49" s="11" t="n">
        <v>11</v>
      </c>
      <c r="F49" s="43"/>
      <c r="G49" s="37" t="n">
        <v>0.4651</v>
      </c>
      <c r="H49" s="38" t="n">
        <v>17</v>
      </c>
      <c r="I49" s="11" t="n">
        <v>2</v>
      </c>
      <c r="J49" s="11" t="n">
        <v>3</v>
      </c>
      <c r="K49" s="15" t="s">
        <v>194</v>
      </c>
    </row>
    <row r="50" customFormat="false" ht="15" hidden="false" customHeight="true" outlineLevel="0" collapsed="false">
      <c r="A50" s="10" t="s">
        <v>208</v>
      </c>
      <c r="B50" s="10" t="s">
        <v>104</v>
      </c>
      <c r="C50" s="15" t="s">
        <v>210</v>
      </c>
      <c r="D50" s="11" t="n">
        <v>859</v>
      </c>
      <c r="E50" s="11" t="n">
        <v>48</v>
      </c>
      <c r="F50" s="43"/>
      <c r="G50" s="37" t="n">
        <v>0.4399</v>
      </c>
      <c r="H50" s="38" t="n">
        <v>11</v>
      </c>
      <c r="I50" s="11" t="n">
        <v>3</v>
      </c>
      <c r="J50" s="11" t="n">
        <v>9</v>
      </c>
      <c r="K50" s="15" t="s">
        <v>194</v>
      </c>
    </row>
    <row r="51" customFormat="false" ht="15" hidden="false" customHeight="true" outlineLevel="0" collapsed="false">
      <c r="A51" s="10" t="s">
        <v>211</v>
      </c>
      <c r="B51" s="15" t="s">
        <v>82</v>
      </c>
      <c r="C51" s="15" t="s">
        <v>212</v>
      </c>
      <c r="D51" s="11" t="n">
        <v>0</v>
      </c>
      <c r="E51" s="11" t="n">
        <v>15</v>
      </c>
      <c r="F51" s="43"/>
      <c r="G51" s="37" t="n">
        <v>0</v>
      </c>
      <c r="H51" s="38" t="n">
        <v>0</v>
      </c>
      <c r="I51" s="11" t="n">
        <v>0</v>
      </c>
      <c r="J51" s="11" t="n">
        <v>0</v>
      </c>
      <c r="K51" s="15" t="s">
        <v>194</v>
      </c>
    </row>
    <row r="52" customFormat="false" ht="15" hidden="false" customHeight="true" outlineLevel="0" collapsed="false">
      <c r="A52" s="10" t="s">
        <v>213</v>
      </c>
      <c r="B52" s="10" t="s">
        <v>107</v>
      </c>
      <c r="C52" s="15" t="s">
        <v>214</v>
      </c>
      <c r="D52" s="11" t="n">
        <v>623</v>
      </c>
      <c r="E52" s="11" t="n">
        <v>48</v>
      </c>
      <c r="F52" s="43"/>
      <c r="G52" s="37" t="n">
        <v>0.4901</v>
      </c>
      <c r="H52" s="38" t="n">
        <v>13</v>
      </c>
      <c r="I52" s="11" t="n">
        <v>0</v>
      </c>
      <c r="J52" s="11" t="n">
        <v>1</v>
      </c>
      <c r="K52" s="15" t="s">
        <v>194</v>
      </c>
    </row>
    <row r="53" customFormat="false" ht="15" hidden="false" customHeight="true" outlineLevel="0" collapsed="false">
      <c r="A53" s="10" t="s">
        <v>215</v>
      </c>
      <c r="B53" s="15" t="s">
        <v>82</v>
      </c>
      <c r="C53" s="15" t="s">
        <v>216</v>
      </c>
      <c r="D53" s="11" t="n">
        <v>1137</v>
      </c>
      <c r="E53" s="11" t="n">
        <v>33</v>
      </c>
      <c r="F53" s="43" t="n">
        <v>0.0606060606060606</v>
      </c>
      <c r="G53" s="37" t="n">
        <v>0.4247</v>
      </c>
      <c r="H53" s="38" t="n">
        <v>12</v>
      </c>
      <c r="I53" s="11" t="n">
        <v>0</v>
      </c>
      <c r="J53" s="11" t="n">
        <v>4</v>
      </c>
      <c r="K53" s="15" t="s">
        <v>194</v>
      </c>
    </row>
    <row r="54" customFormat="false" ht="15" hidden="false" customHeight="true" outlineLevel="0" collapsed="false">
      <c r="A54" s="10" t="s">
        <v>217</v>
      </c>
      <c r="B54" s="15" t="s">
        <v>82</v>
      </c>
      <c r="C54" s="15" t="s">
        <v>218</v>
      </c>
      <c r="D54" s="11" t="n">
        <v>1052</v>
      </c>
      <c r="E54" s="11" t="n">
        <v>14</v>
      </c>
      <c r="F54" s="43"/>
      <c r="G54" s="12" t="n">
        <v>0.7559</v>
      </c>
      <c r="H54" s="38" t="n">
        <v>20</v>
      </c>
      <c r="I54" s="11" t="n">
        <v>0</v>
      </c>
      <c r="J54" s="11" t="n">
        <v>2</v>
      </c>
      <c r="K54" s="15" t="s">
        <v>194</v>
      </c>
    </row>
    <row r="55" customFormat="false" ht="15" hidden="false" customHeight="true" outlineLevel="0" collapsed="false">
      <c r="A55" s="10" t="s">
        <v>219</v>
      </c>
      <c r="B55" s="10" t="s">
        <v>104</v>
      </c>
      <c r="C55" s="10" t="s">
        <v>220</v>
      </c>
      <c r="D55" s="11" t="n">
        <v>846</v>
      </c>
      <c r="E55" s="11" t="n">
        <v>43</v>
      </c>
      <c r="F55" s="43"/>
      <c r="G55" s="37" t="n">
        <v>0.3584</v>
      </c>
      <c r="H55" s="38" t="n">
        <v>16</v>
      </c>
      <c r="I55" s="11" t="n">
        <v>0</v>
      </c>
      <c r="J55" s="11" t="n">
        <v>6</v>
      </c>
      <c r="K55" s="15" t="s">
        <v>194</v>
      </c>
    </row>
    <row r="56" customFormat="false" ht="15" hidden="false" customHeight="true" outlineLevel="0" collapsed="false">
      <c r="A56" s="10" t="s">
        <v>219</v>
      </c>
      <c r="B56" s="15" t="s">
        <v>69</v>
      </c>
      <c r="C56" s="15" t="s">
        <v>221</v>
      </c>
      <c r="D56" s="11" t="n">
        <v>1017</v>
      </c>
      <c r="E56" s="11" t="n">
        <v>31</v>
      </c>
      <c r="F56" s="43"/>
      <c r="G56" s="37" t="n">
        <v>0.3607</v>
      </c>
      <c r="H56" s="38" t="n">
        <v>20</v>
      </c>
      <c r="I56" s="11" t="n">
        <v>0</v>
      </c>
      <c r="J56" s="11" t="n">
        <v>1</v>
      </c>
      <c r="K56" s="15" t="s">
        <v>194</v>
      </c>
    </row>
    <row r="57" customFormat="false" ht="15" hidden="false" customHeight="true" outlineLevel="0" collapsed="false">
      <c r="A57" s="10" t="s">
        <v>219</v>
      </c>
      <c r="B57" s="10" t="s">
        <v>107</v>
      </c>
      <c r="C57" s="10" t="s">
        <v>222</v>
      </c>
      <c r="D57" s="11" t="n">
        <v>961</v>
      </c>
      <c r="E57" s="11" t="n">
        <v>262</v>
      </c>
      <c r="F57" s="43" t="n">
        <v>0.00763358778625954</v>
      </c>
      <c r="G57" s="12" t="n">
        <v>0.5974</v>
      </c>
      <c r="H57" s="38" t="n">
        <v>23</v>
      </c>
      <c r="I57" s="11" t="n">
        <v>2</v>
      </c>
      <c r="J57" s="11" t="n">
        <v>1</v>
      </c>
      <c r="K57" s="15" t="s">
        <v>194</v>
      </c>
    </row>
    <row r="58" customFormat="false" ht="15" hidden="false" customHeight="true" outlineLevel="0" collapsed="false">
      <c r="A58" s="10" t="s">
        <v>219</v>
      </c>
      <c r="B58" s="10" t="s">
        <v>100</v>
      </c>
      <c r="C58" s="15" t="s">
        <v>223</v>
      </c>
      <c r="D58" s="11" t="n">
        <v>907</v>
      </c>
      <c r="E58" s="11" t="n">
        <v>28</v>
      </c>
      <c r="F58" s="43"/>
      <c r="G58" s="19" t="n">
        <v>0.2685</v>
      </c>
      <c r="H58" s="38" t="n">
        <v>11</v>
      </c>
      <c r="I58" s="11" t="n">
        <v>0</v>
      </c>
      <c r="J58" s="11" t="n">
        <v>2</v>
      </c>
      <c r="K58" s="15" t="s">
        <v>194</v>
      </c>
    </row>
    <row r="59" customFormat="false" ht="15" hidden="false" customHeight="true" outlineLevel="0" collapsed="false">
      <c r="A59" s="10" t="s">
        <v>219</v>
      </c>
      <c r="B59" s="15" t="s">
        <v>76</v>
      </c>
      <c r="C59" s="10" t="s">
        <v>224</v>
      </c>
      <c r="D59" s="11" t="n">
        <v>322</v>
      </c>
      <c r="E59" s="11" t="n">
        <v>40</v>
      </c>
      <c r="F59" s="43" t="n">
        <v>0.025</v>
      </c>
      <c r="G59" s="19" t="n">
        <v>0.3094</v>
      </c>
      <c r="H59" s="38" t="n">
        <v>15</v>
      </c>
      <c r="I59" s="11" t="n">
        <v>0</v>
      </c>
      <c r="J59" s="11" t="n">
        <v>0</v>
      </c>
      <c r="K59" s="15" t="s">
        <v>194</v>
      </c>
    </row>
    <row r="60" customFormat="false" ht="15" hidden="false" customHeight="true" outlineLevel="0" collapsed="false">
      <c r="A60" s="10" t="s">
        <v>225</v>
      </c>
      <c r="B60" s="15" t="s">
        <v>82</v>
      </c>
      <c r="C60" s="15" t="s">
        <v>226</v>
      </c>
      <c r="D60" s="11" t="n">
        <v>994</v>
      </c>
      <c r="E60" s="11" t="n">
        <v>14</v>
      </c>
      <c r="F60" s="43" t="n">
        <v>0.0714285714285714</v>
      </c>
      <c r="G60" s="12" t="n">
        <v>0.7132</v>
      </c>
      <c r="H60" s="38" t="n">
        <v>18</v>
      </c>
      <c r="I60" s="11" t="n">
        <v>1</v>
      </c>
      <c r="J60" s="11" t="n">
        <v>1</v>
      </c>
      <c r="K60" s="15" t="s">
        <v>194</v>
      </c>
    </row>
    <row r="61" customFormat="false" ht="15" hidden="false" customHeight="true" outlineLevel="0" collapsed="false">
      <c r="A61" s="10" t="s">
        <v>225</v>
      </c>
      <c r="B61" s="15" t="s">
        <v>69</v>
      </c>
      <c r="C61" s="15" t="s">
        <v>227</v>
      </c>
      <c r="D61" s="11" t="n">
        <v>1100</v>
      </c>
      <c r="E61" s="11" t="n">
        <v>50</v>
      </c>
      <c r="F61" s="43" t="n">
        <v>0.02</v>
      </c>
      <c r="G61" s="37" t="n">
        <v>0</v>
      </c>
      <c r="H61" s="38" t="n">
        <v>26</v>
      </c>
      <c r="I61" s="11" t="n">
        <v>0</v>
      </c>
      <c r="J61" s="11" t="n">
        <v>3</v>
      </c>
      <c r="K61" s="15" t="s">
        <v>194</v>
      </c>
    </row>
    <row r="62" customFormat="false" ht="15" hidden="false" customHeight="true" outlineLevel="0" collapsed="false">
      <c r="A62" s="10" t="s">
        <v>228</v>
      </c>
      <c r="B62" s="10" t="s">
        <v>104</v>
      </c>
      <c r="C62" s="10" t="s">
        <v>229</v>
      </c>
      <c r="D62" s="11" t="n">
        <v>12</v>
      </c>
      <c r="E62" s="11" t="n">
        <v>74</v>
      </c>
      <c r="F62" s="43" t="n">
        <v>0.0135135135135135</v>
      </c>
      <c r="G62" s="19" t="n">
        <v>0.2843</v>
      </c>
      <c r="H62" s="38" t="n">
        <v>11</v>
      </c>
      <c r="I62" s="11" t="n">
        <v>0</v>
      </c>
      <c r="J62" s="11" t="n">
        <v>2</v>
      </c>
      <c r="K62" s="15" t="s">
        <v>194</v>
      </c>
    </row>
    <row r="63" customFormat="false" ht="15" hidden="false" customHeight="true" outlineLevel="0" collapsed="false">
      <c r="A63" s="10" t="s">
        <v>228</v>
      </c>
      <c r="B63" s="10" t="s">
        <v>107</v>
      </c>
      <c r="C63" s="15" t="s">
        <v>230</v>
      </c>
      <c r="D63" s="11" t="n">
        <v>992</v>
      </c>
      <c r="E63" s="11" t="n">
        <v>72</v>
      </c>
      <c r="F63" s="43" t="n">
        <v>0.0277777777777778</v>
      </c>
      <c r="G63" s="19" t="n">
        <v>0.2827</v>
      </c>
      <c r="H63" s="38" t="n">
        <v>13</v>
      </c>
      <c r="I63" s="11" t="n">
        <v>0</v>
      </c>
      <c r="J63" s="11" t="n">
        <v>8</v>
      </c>
      <c r="K63" s="15" t="s">
        <v>194</v>
      </c>
    </row>
    <row r="64" customFormat="false" ht="15" hidden="false" customHeight="true" outlineLevel="0" collapsed="false">
      <c r="A64" s="10" t="s">
        <v>231</v>
      </c>
      <c r="B64" s="15" t="s">
        <v>74</v>
      </c>
      <c r="C64" s="10" t="s">
        <v>232</v>
      </c>
      <c r="D64" s="11" t="n">
        <v>314</v>
      </c>
      <c r="E64" s="11" t="n">
        <v>20</v>
      </c>
      <c r="F64" s="43"/>
      <c r="G64" s="37" t="n">
        <v>0.4958</v>
      </c>
      <c r="H64" s="38" t="n">
        <v>23</v>
      </c>
      <c r="I64" s="11" t="n">
        <v>1</v>
      </c>
      <c r="J64" s="11" t="n">
        <v>1</v>
      </c>
      <c r="K64" s="15" t="s">
        <v>194</v>
      </c>
    </row>
    <row r="65" customFormat="false" ht="15" hidden="false" customHeight="true" outlineLevel="0" collapsed="false">
      <c r="A65" s="10" t="s">
        <v>231</v>
      </c>
      <c r="B65" s="10" t="s">
        <v>100</v>
      </c>
      <c r="C65" s="15" t="s">
        <v>233</v>
      </c>
      <c r="D65" s="11" t="n">
        <v>1036</v>
      </c>
      <c r="E65" s="11" t="n">
        <v>57</v>
      </c>
      <c r="F65" s="43"/>
      <c r="G65" s="19" t="n">
        <v>0.3245</v>
      </c>
      <c r="H65" s="38" t="n">
        <v>12</v>
      </c>
      <c r="I65" s="11" t="n">
        <v>1</v>
      </c>
      <c r="J65" s="11" t="n">
        <v>3</v>
      </c>
      <c r="K65" s="15" t="s">
        <v>194</v>
      </c>
    </row>
    <row r="66" customFormat="false" ht="15" hidden="false" customHeight="true" outlineLevel="0" collapsed="false">
      <c r="A66" s="10" t="s">
        <v>231</v>
      </c>
      <c r="B66" s="15" t="s">
        <v>76</v>
      </c>
      <c r="C66" s="10" t="s">
        <v>234</v>
      </c>
      <c r="D66" s="11" t="n">
        <v>1004</v>
      </c>
      <c r="E66" s="11" t="n">
        <v>34</v>
      </c>
      <c r="F66" s="43" t="n">
        <v>0.0294117647058824</v>
      </c>
      <c r="G66" s="37" t="n">
        <v>0.4103</v>
      </c>
      <c r="H66" s="38" t="n">
        <v>20</v>
      </c>
      <c r="I66" s="11" t="n">
        <v>0</v>
      </c>
      <c r="J66" s="11" t="n">
        <v>2</v>
      </c>
      <c r="K66" s="15" t="s">
        <v>194</v>
      </c>
    </row>
    <row r="67" customFormat="false" ht="15" hidden="false" customHeight="true" outlineLevel="0" collapsed="false">
      <c r="A67" s="10" t="s">
        <v>235</v>
      </c>
      <c r="B67" s="15" t="s">
        <v>82</v>
      </c>
      <c r="C67" s="15" t="s">
        <v>236</v>
      </c>
      <c r="D67" s="11" t="n">
        <v>1061</v>
      </c>
      <c r="E67" s="11" t="n">
        <v>22</v>
      </c>
      <c r="F67" s="43" t="n">
        <v>0.0454545454545455</v>
      </c>
      <c r="G67" s="12" t="n">
        <v>0.5982</v>
      </c>
      <c r="H67" s="38" t="n">
        <v>19</v>
      </c>
      <c r="I67" s="11" t="n">
        <v>0</v>
      </c>
      <c r="J67" s="11" t="n">
        <v>2</v>
      </c>
      <c r="K67" s="15" t="s">
        <v>194</v>
      </c>
    </row>
    <row r="68" customFormat="false" ht="15" hidden="false" customHeight="true" outlineLevel="0" collapsed="false">
      <c r="A68" s="10" t="s">
        <v>237</v>
      </c>
      <c r="B68" s="15" t="s">
        <v>82</v>
      </c>
      <c r="C68" s="15" t="s">
        <v>238</v>
      </c>
      <c r="D68" s="11" t="n">
        <v>1125</v>
      </c>
      <c r="E68" s="11" t="n">
        <v>47</v>
      </c>
      <c r="F68" s="43" t="n">
        <v>0.0212765957446809</v>
      </c>
      <c r="G68" s="12" t="n">
        <v>0.697</v>
      </c>
      <c r="H68" s="38" t="n">
        <v>20</v>
      </c>
      <c r="I68" s="11" t="n">
        <v>0</v>
      </c>
      <c r="J68" s="11" t="n">
        <v>2</v>
      </c>
      <c r="K68" s="15" t="s">
        <v>194</v>
      </c>
    </row>
    <row r="69" customFormat="false" ht="15" hidden="false" customHeight="true" outlineLevel="0" collapsed="false">
      <c r="A69" s="10" t="s">
        <v>239</v>
      </c>
      <c r="B69" s="10" t="s">
        <v>107</v>
      </c>
      <c r="C69" s="15" t="s">
        <v>240</v>
      </c>
      <c r="D69" s="11" t="n">
        <v>718</v>
      </c>
      <c r="E69" s="11" t="n">
        <v>111</v>
      </c>
      <c r="F69" s="43"/>
      <c r="G69" s="37" t="n">
        <v>0.3906</v>
      </c>
      <c r="H69" s="38" t="n">
        <v>15</v>
      </c>
      <c r="I69" s="11" t="n">
        <v>0</v>
      </c>
      <c r="J69" s="11" t="n">
        <v>0</v>
      </c>
      <c r="K69" s="15" t="s">
        <v>194</v>
      </c>
    </row>
    <row r="70" customFormat="false" ht="15" hidden="false" customHeight="true" outlineLevel="0" collapsed="false">
      <c r="A70" s="10" t="s">
        <v>241</v>
      </c>
      <c r="B70" s="15" t="s">
        <v>82</v>
      </c>
      <c r="C70" s="15" t="s">
        <v>242</v>
      </c>
      <c r="D70" s="11" t="n">
        <v>1439</v>
      </c>
      <c r="E70" s="11" t="n">
        <v>60</v>
      </c>
      <c r="F70" s="43" t="n">
        <v>0.0333333333333333</v>
      </c>
      <c r="G70" s="37" t="n">
        <v>0.4516</v>
      </c>
      <c r="H70" s="38" t="n">
        <v>14</v>
      </c>
      <c r="I70" s="11" t="n">
        <v>0</v>
      </c>
      <c r="J70" s="11" t="n">
        <v>5</v>
      </c>
      <c r="K70" s="15" t="s">
        <v>194</v>
      </c>
    </row>
    <row r="71" customFormat="false" ht="15" hidden="false" customHeight="true" outlineLevel="0" collapsed="false">
      <c r="A71" s="10" t="s">
        <v>241</v>
      </c>
      <c r="B71" s="15" t="s">
        <v>69</v>
      </c>
      <c r="C71" s="10" t="s">
        <v>243</v>
      </c>
      <c r="D71" s="11" t="n">
        <v>1347</v>
      </c>
      <c r="E71" s="11" t="n">
        <v>49</v>
      </c>
      <c r="F71" s="43"/>
      <c r="G71" s="12" t="n">
        <v>0.9744</v>
      </c>
      <c r="H71" s="38" t="n">
        <v>54</v>
      </c>
      <c r="I71" s="11" t="n">
        <v>0</v>
      </c>
      <c r="J71" s="11" t="n">
        <v>5</v>
      </c>
      <c r="K71" s="15" t="s">
        <v>194</v>
      </c>
    </row>
    <row r="72" customFormat="false" ht="15" hidden="false" customHeight="true" outlineLevel="0" collapsed="false">
      <c r="A72" s="10" t="s">
        <v>244</v>
      </c>
      <c r="B72" s="15" t="s">
        <v>84</v>
      </c>
      <c r="C72" s="15" t="s">
        <v>245</v>
      </c>
      <c r="D72" s="11" t="n">
        <v>414</v>
      </c>
      <c r="E72" s="11" t="n">
        <v>6</v>
      </c>
      <c r="F72" s="43"/>
      <c r="G72" s="37" t="n">
        <v>0.4279</v>
      </c>
      <c r="H72" s="38" t="n">
        <v>19</v>
      </c>
      <c r="I72" s="11" t="n">
        <v>0</v>
      </c>
      <c r="J72" s="11" t="n">
        <v>1</v>
      </c>
      <c r="K72" s="15" t="s">
        <v>194</v>
      </c>
    </row>
    <row r="73" customFormat="false" ht="15" hidden="false" customHeight="true" outlineLevel="0" collapsed="false">
      <c r="A73" s="10" t="s">
        <v>246</v>
      </c>
      <c r="B73" s="10" t="s">
        <v>104</v>
      </c>
      <c r="C73" s="10" t="s">
        <v>247</v>
      </c>
      <c r="D73" s="11" t="n">
        <v>1074</v>
      </c>
      <c r="E73" s="11" t="n">
        <v>71</v>
      </c>
      <c r="F73" s="43" t="n">
        <v>0.0140845070422535</v>
      </c>
      <c r="G73" s="12" t="n">
        <v>0.9891</v>
      </c>
      <c r="H73" s="38" t="n">
        <v>40</v>
      </c>
      <c r="I73" s="11" t="n">
        <v>0</v>
      </c>
      <c r="J73" s="11" t="n">
        <v>5</v>
      </c>
      <c r="K73" s="15" t="s">
        <v>194</v>
      </c>
    </row>
    <row r="74" customFormat="false" ht="15" hidden="false" customHeight="true" outlineLevel="0" collapsed="false">
      <c r="A74" s="10" t="s">
        <v>246</v>
      </c>
      <c r="B74" s="10" t="s">
        <v>107</v>
      </c>
      <c r="C74" s="15" t="s">
        <v>248</v>
      </c>
      <c r="D74" s="11" t="n">
        <v>1059</v>
      </c>
      <c r="E74" s="11" t="n">
        <v>2198</v>
      </c>
      <c r="F74" s="43" t="n">
        <v>0.0118289353958144</v>
      </c>
      <c r="G74" s="19" t="n">
        <v>0.2356</v>
      </c>
      <c r="H74" s="38" t="n">
        <v>12</v>
      </c>
      <c r="I74" s="11" t="n">
        <v>1</v>
      </c>
      <c r="J74" s="11" t="n">
        <v>2</v>
      </c>
      <c r="K74" s="15" t="s">
        <v>194</v>
      </c>
    </row>
    <row r="75" customFormat="false" ht="15" hidden="false" customHeight="true" outlineLevel="0" collapsed="false">
      <c r="A75" s="10" t="s">
        <v>249</v>
      </c>
      <c r="B75" s="10" t="s">
        <v>100</v>
      </c>
      <c r="C75" s="15" t="s">
        <v>250</v>
      </c>
      <c r="D75" s="11" t="n">
        <v>1201</v>
      </c>
      <c r="E75" s="11" t="n">
        <v>52</v>
      </c>
      <c r="F75" s="43" t="n">
        <v>0.0192307692307692</v>
      </c>
      <c r="G75" s="12" t="n">
        <v>0.6168</v>
      </c>
      <c r="H75" s="38" t="n">
        <v>24</v>
      </c>
      <c r="I75" s="11" t="n">
        <v>1</v>
      </c>
      <c r="J75" s="11" t="n">
        <v>4</v>
      </c>
      <c r="K75" s="15" t="s">
        <v>194</v>
      </c>
    </row>
    <row r="76" customFormat="false" ht="15" hidden="false" customHeight="true" outlineLevel="0" collapsed="false">
      <c r="A76" s="10" t="s">
        <v>249</v>
      </c>
      <c r="B76" s="15" t="s">
        <v>74</v>
      </c>
      <c r="C76" s="10" t="s">
        <v>251</v>
      </c>
      <c r="D76" s="11" t="n">
        <v>1016</v>
      </c>
      <c r="E76" s="11" t="n">
        <v>48</v>
      </c>
      <c r="F76" s="43" t="n">
        <v>0.0208333333333333</v>
      </c>
      <c r="G76" s="37" t="n">
        <v>0.3817</v>
      </c>
      <c r="H76" s="38" t="n">
        <v>12</v>
      </c>
      <c r="I76" s="11" t="n">
        <v>0</v>
      </c>
      <c r="J76" s="11" t="n">
        <v>6</v>
      </c>
      <c r="K76" s="15" t="s">
        <v>194</v>
      </c>
    </row>
    <row r="77" customFormat="false" ht="15" hidden="false" customHeight="true" outlineLevel="0" collapsed="false">
      <c r="A77" s="10" t="s">
        <v>249</v>
      </c>
      <c r="B77" s="15" t="s">
        <v>76</v>
      </c>
      <c r="C77" s="10" t="s">
        <v>252</v>
      </c>
      <c r="D77" s="11" t="n">
        <v>1046</v>
      </c>
      <c r="E77" s="11" t="n">
        <v>40</v>
      </c>
      <c r="F77" s="43" t="n">
        <v>0.025</v>
      </c>
      <c r="G77" s="37" t="n">
        <v>0.3773</v>
      </c>
      <c r="H77" s="38" t="n">
        <v>17</v>
      </c>
      <c r="I77" s="11" t="n">
        <v>0</v>
      </c>
      <c r="J77" s="11" t="n">
        <v>3</v>
      </c>
      <c r="K77" s="15" t="s">
        <v>194</v>
      </c>
    </row>
    <row r="78" customFormat="false" ht="15" hidden="false" customHeight="true" outlineLevel="0" collapsed="false">
      <c r="A78" s="10" t="s">
        <v>253</v>
      </c>
      <c r="B78" s="15" t="s">
        <v>82</v>
      </c>
      <c r="C78" s="15" t="s">
        <v>254</v>
      </c>
      <c r="D78" s="11" t="n">
        <v>1205</v>
      </c>
      <c r="E78" s="11" t="n">
        <v>59</v>
      </c>
      <c r="F78" s="43" t="n">
        <v>0.0169491525423729</v>
      </c>
      <c r="G78" s="37" t="n">
        <v>0.3853</v>
      </c>
      <c r="H78" s="38" t="n">
        <v>11</v>
      </c>
      <c r="I78" s="11" t="n">
        <v>0</v>
      </c>
      <c r="J78" s="11" t="n">
        <v>4</v>
      </c>
      <c r="K78" s="15" t="s">
        <v>194</v>
      </c>
    </row>
    <row r="79" customFormat="false" ht="15" hidden="false" customHeight="true" outlineLevel="0" collapsed="false">
      <c r="A79" s="10" t="s">
        <v>255</v>
      </c>
      <c r="B79" s="15" t="s">
        <v>82</v>
      </c>
      <c r="C79" s="15" t="s">
        <v>256</v>
      </c>
      <c r="D79" s="11" t="n">
        <v>1232</v>
      </c>
      <c r="E79" s="11" t="n">
        <v>67</v>
      </c>
      <c r="F79" s="43"/>
      <c r="G79" s="37" t="n">
        <v>0.3818</v>
      </c>
      <c r="H79" s="38" t="n">
        <v>12</v>
      </c>
      <c r="I79" s="11" t="n">
        <v>0</v>
      </c>
      <c r="J79" s="11" t="n">
        <v>2</v>
      </c>
      <c r="K79" s="15" t="s">
        <v>194</v>
      </c>
    </row>
    <row r="80" customFormat="false" ht="15" hidden="false" customHeight="true" outlineLevel="0" collapsed="false">
      <c r="A80" s="10" t="s">
        <v>257</v>
      </c>
      <c r="B80" s="15" t="s">
        <v>84</v>
      </c>
      <c r="C80" s="15" t="s">
        <v>258</v>
      </c>
      <c r="D80" s="11" t="n">
        <v>1165</v>
      </c>
      <c r="E80" s="11" t="n">
        <v>0</v>
      </c>
      <c r="F80" s="43"/>
      <c r="G80" s="19" t="n">
        <v>0.3003</v>
      </c>
      <c r="H80" s="38" t="n">
        <v>12</v>
      </c>
      <c r="I80" s="11" t="n">
        <v>0</v>
      </c>
      <c r="J80" s="11" t="n">
        <v>3</v>
      </c>
      <c r="K80" s="15" t="s">
        <v>194</v>
      </c>
    </row>
    <row r="81" customFormat="false" ht="15" hidden="false" customHeight="true" outlineLevel="0" collapsed="false">
      <c r="A81" s="10" t="s">
        <v>259</v>
      </c>
      <c r="B81" s="10" t="s">
        <v>107</v>
      </c>
      <c r="C81" s="15" t="s">
        <v>260</v>
      </c>
      <c r="D81" s="11" t="n">
        <v>111</v>
      </c>
      <c r="E81" s="11" t="n">
        <v>572</v>
      </c>
      <c r="F81" s="43" t="n">
        <v>0.0104895104895105</v>
      </c>
      <c r="G81" s="19" t="n">
        <v>0.2354</v>
      </c>
      <c r="H81" s="38" t="n">
        <v>13</v>
      </c>
      <c r="I81" s="11" t="n">
        <v>0</v>
      </c>
      <c r="J81" s="11" t="n">
        <v>0</v>
      </c>
      <c r="K81" s="15" t="s">
        <v>194</v>
      </c>
    </row>
    <row r="82" customFormat="false" ht="15" hidden="false" customHeight="true" outlineLevel="0" collapsed="false">
      <c r="A82" s="10" t="s">
        <v>259</v>
      </c>
      <c r="B82" s="15" t="s">
        <v>74</v>
      </c>
      <c r="C82" s="10" t="s">
        <v>261</v>
      </c>
      <c r="D82" s="11" t="n">
        <v>1046</v>
      </c>
      <c r="E82" s="11" t="n">
        <v>465</v>
      </c>
      <c r="F82" s="43" t="n">
        <v>0.00645161290322581</v>
      </c>
      <c r="G82" s="19" t="n">
        <v>0.3258</v>
      </c>
      <c r="H82" s="38" t="n">
        <v>14</v>
      </c>
      <c r="I82" s="11" t="n">
        <v>0</v>
      </c>
      <c r="J82" s="11" t="n">
        <v>4</v>
      </c>
      <c r="K82" s="15" t="s">
        <v>194</v>
      </c>
    </row>
    <row r="83" customFormat="false" ht="15" hidden="false" customHeight="true" outlineLevel="0" collapsed="false">
      <c r="A83" s="10" t="s">
        <v>262</v>
      </c>
      <c r="B83" s="15" t="s">
        <v>88</v>
      </c>
      <c r="C83" s="15" t="s">
        <v>263</v>
      </c>
      <c r="D83" s="11" t="n">
        <v>223</v>
      </c>
      <c r="E83" s="11" t="n">
        <v>0</v>
      </c>
      <c r="F83" s="43"/>
      <c r="G83" s="37" t="n">
        <v>0.3534</v>
      </c>
      <c r="H83" s="38" t="n">
        <v>11</v>
      </c>
      <c r="I83" s="11" t="n">
        <v>0</v>
      </c>
      <c r="J83" s="11" t="n">
        <v>0</v>
      </c>
      <c r="K83" s="15" t="s">
        <v>194</v>
      </c>
    </row>
    <row r="84" customFormat="false" ht="15" hidden="false" customHeight="true" outlineLevel="0" collapsed="false">
      <c r="A84" s="10" t="s">
        <v>264</v>
      </c>
      <c r="B84" s="10" t="s">
        <v>100</v>
      </c>
      <c r="C84" s="15" t="s">
        <v>265</v>
      </c>
      <c r="D84" s="11" t="n">
        <v>927</v>
      </c>
      <c r="E84" s="11" t="n">
        <v>45</v>
      </c>
      <c r="F84" s="43"/>
      <c r="G84" s="19" t="n">
        <v>0.3065</v>
      </c>
      <c r="H84" s="38" t="n">
        <v>10</v>
      </c>
      <c r="I84" s="11" t="n">
        <v>0</v>
      </c>
      <c r="J84" s="11" t="n">
        <v>4</v>
      </c>
      <c r="K84" s="15" t="s">
        <v>194</v>
      </c>
    </row>
    <row r="85" customFormat="false" ht="15" hidden="false" customHeight="true" outlineLevel="0" collapsed="false">
      <c r="A85" s="10" t="s">
        <v>266</v>
      </c>
      <c r="B85" s="15" t="s">
        <v>76</v>
      </c>
      <c r="C85" s="10" t="s">
        <v>267</v>
      </c>
      <c r="D85" s="11" t="n">
        <v>934</v>
      </c>
      <c r="E85" s="11" t="n">
        <v>28</v>
      </c>
      <c r="F85" s="43"/>
      <c r="G85" s="37" t="n">
        <v>0.3939</v>
      </c>
      <c r="H85" s="38" t="n">
        <v>18</v>
      </c>
      <c r="I85" s="11" t="n">
        <v>0</v>
      </c>
      <c r="J85" s="11" t="n">
        <v>3</v>
      </c>
      <c r="K85" s="15" t="s">
        <v>194</v>
      </c>
    </row>
    <row r="86" customFormat="false" ht="15" hidden="false" customHeight="true" outlineLevel="0" collapsed="false">
      <c r="A86" s="10" t="s">
        <v>268</v>
      </c>
      <c r="B86" s="10" t="s">
        <v>104</v>
      </c>
      <c r="C86" s="10" t="s">
        <v>269</v>
      </c>
      <c r="D86" s="11" t="n">
        <v>824</v>
      </c>
      <c r="E86" s="11" t="n">
        <v>60</v>
      </c>
      <c r="F86" s="43" t="n">
        <v>0.0166666666666667</v>
      </c>
      <c r="G86" s="19" t="n">
        <v>0.3001</v>
      </c>
      <c r="H86" s="38" t="n">
        <v>12</v>
      </c>
      <c r="I86" s="11" t="n">
        <v>2</v>
      </c>
      <c r="J86" s="11" t="n">
        <v>5</v>
      </c>
      <c r="K86" s="15" t="s">
        <v>194</v>
      </c>
    </row>
    <row r="87" customFormat="false" ht="15" hidden="false" customHeight="true" outlineLevel="0" collapsed="false">
      <c r="A87" s="10" t="s">
        <v>268</v>
      </c>
      <c r="B87" s="15" t="s">
        <v>69</v>
      </c>
      <c r="C87" s="15" t="s">
        <v>270</v>
      </c>
      <c r="D87" s="11" t="n">
        <v>1480</v>
      </c>
      <c r="E87" s="11" t="n">
        <v>100</v>
      </c>
      <c r="F87" s="43" t="n">
        <v>0.05</v>
      </c>
      <c r="G87" s="12" t="n">
        <v>0.5919</v>
      </c>
      <c r="H87" s="38" t="n">
        <v>30</v>
      </c>
      <c r="I87" s="11" t="n">
        <v>1</v>
      </c>
      <c r="J87" s="11" t="n">
        <v>2</v>
      </c>
      <c r="K87" s="15" t="s">
        <v>194</v>
      </c>
    </row>
    <row r="88" customFormat="false" ht="15" hidden="false" customHeight="true" outlineLevel="0" collapsed="false">
      <c r="A88" s="10" t="s">
        <v>271</v>
      </c>
      <c r="B88" s="15" t="s">
        <v>86</v>
      </c>
      <c r="C88" s="15" t="s">
        <v>272</v>
      </c>
      <c r="D88" s="11" t="n">
        <v>80</v>
      </c>
      <c r="E88" s="11" t="n">
        <v>120</v>
      </c>
      <c r="F88" s="43" t="n">
        <v>0.266666666666667</v>
      </c>
      <c r="G88" s="12" t="n">
        <v>0.6858</v>
      </c>
      <c r="H88" s="38" t="n">
        <v>18</v>
      </c>
      <c r="I88" s="11" t="n">
        <v>0</v>
      </c>
      <c r="J88" s="11" t="n">
        <v>0</v>
      </c>
      <c r="K88" s="15" t="s">
        <v>194</v>
      </c>
    </row>
    <row r="89" customFormat="false" ht="15" hidden="false" customHeight="true" outlineLevel="0" collapsed="false">
      <c r="A89" s="10" t="s">
        <v>271</v>
      </c>
      <c r="B89" s="15" t="s">
        <v>82</v>
      </c>
      <c r="C89" s="15" t="s">
        <v>273</v>
      </c>
      <c r="D89" s="11" t="n">
        <v>1212</v>
      </c>
      <c r="E89" s="11" t="n">
        <v>46</v>
      </c>
      <c r="F89" s="43" t="n">
        <v>0.0652173913043478</v>
      </c>
      <c r="G89" s="37" t="n">
        <v>0.4063</v>
      </c>
      <c r="H89" s="38" t="n">
        <v>11</v>
      </c>
      <c r="I89" s="11" t="n">
        <v>1</v>
      </c>
      <c r="J89" s="11" t="n">
        <v>5</v>
      </c>
      <c r="K89" s="15" t="s">
        <v>194</v>
      </c>
    </row>
    <row r="90" customFormat="false" ht="15" hidden="false" customHeight="true" outlineLevel="0" collapsed="false">
      <c r="A90" s="10" t="s">
        <v>274</v>
      </c>
      <c r="B90" s="15" t="s">
        <v>69</v>
      </c>
      <c r="C90" s="10" t="s">
        <v>275</v>
      </c>
      <c r="D90" s="11" t="n">
        <v>1339</v>
      </c>
      <c r="E90" s="11" t="n">
        <v>39</v>
      </c>
      <c r="F90" s="43" t="n">
        <v>0.0256410256410256</v>
      </c>
      <c r="G90" s="12" t="n">
        <v>0.8087</v>
      </c>
      <c r="H90" s="38" t="n">
        <v>39</v>
      </c>
      <c r="I90" s="11" t="n">
        <v>1</v>
      </c>
      <c r="J90" s="11" t="n">
        <v>4</v>
      </c>
      <c r="K90" s="15" t="s">
        <v>194</v>
      </c>
    </row>
    <row r="91" customFormat="false" ht="15" hidden="false" customHeight="true" outlineLevel="0" collapsed="false">
      <c r="A91" s="10" t="s">
        <v>276</v>
      </c>
      <c r="B91" s="15" t="s">
        <v>74</v>
      </c>
      <c r="C91" s="10" t="s">
        <v>277</v>
      </c>
      <c r="D91" s="11" t="n">
        <v>155</v>
      </c>
      <c r="E91" s="11" t="n">
        <v>67</v>
      </c>
      <c r="F91" s="43" t="n">
        <v>0.0149253731343284</v>
      </c>
      <c r="G91" s="37" t="n">
        <v>0.462</v>
      </c>
      <c r="H91" s="38" t="n">
        <v>23</v>
      </c>
      <c r="I91" s="11" t="n">
        <v>0</v>
      </c>
      <c r="J91" s="11" t="n">
        <v>0</v>
      </c>
      <c r="K91" s="15" t="s">
        <v>194</v>
      </c>
    </row>
    <row r="92" customFormat="false" ht="15" hidden="false" customHeight="true" outlineLevel="0" collapsed="false">
      <c r="A92" s="10" t="s">
        <v>278</v>
      </c>
      <c r="B92" s="15" t="s">
        <v>69</v>
      </c>
      <c r="C92" s="15" t="s">
        <v>279</v>
      </c>
      <c r="D92" s="11" t="n">
        <v>1330</v>
      </c>
      <c r="E92" s="11" t="n">
        <v>96</v>
      </c>
      <c r="F92" s="43"/>
      <c r="G92" s="12" t="n">
        <v>0.5615</v>
      </c>
      <c r="H92" s="38" t="n">
        <v>28</v>
      </c>
      <c r="I92" s="11" t="n">
        <v>1</v>
      </c>
      <c r="J92" s="11" t="n">
        <v>5</v>
      </c>
      <c r="K92" s="15" t="s">
        <v>194</v>
      </c>
    </row>
    <row r="93" customFormat="false" ht="15" hidden="false" customHeight="true" outlineLevel="0" collapsed="false">
      <c r="A93" s="10" t="s">
        <v>280</v>
      </c>
      <c r="B93" s="15" t="s">
        <v>76</v>
      </c>
      <c r="C93" s="10" t="s">
        <v>281</v>
      </c>
      <c r="D93" s="11" t="n">
        <v>163</v>
      </c>
      <c r="E93" s="11" t="n">
        <v>22</v>
      </c>
      <c r="F93" s="43"/>
      <c r="G93" s="19" t="n">
        <v>0.2162</v>
      </c>
      <c r="H93" s="38" t="n">
        <v>9</v>
      </c>
      <c r="I93" s="11" t="n">
        <v>0</v>
      </c>
      <c r="J93" s="11" t="n">
        <v>0</v>
      </c>
      <c r="K93" s="15" t="s">
        <v>194</v>
      </c>
    </row>
    <row r="94" customFormat="false" ht="15" hidden="false" customHeight="true" outlineLevel="0" collapsed="false">
      <c r="A94" s="10" t="s">
        <v>282</v>
      </c>
      <c r="B94" s="10" t="s">
        <v>100</v>
      </c>
      <c r="C94" s="15" t="s">
        <v>283</v>
      </c>
      <c r="D94" s="11" t="n">
        <v>881</v>
      </c>
      <c r="E94" s="11" t="n">
        <v>31</v>
      </c>
      <c r="F94" s="43"/>
      <c r="G94" s="37" t="n">
        <v>0.3574</v>
      </c>
      <c r="H94" s="38" t="n">
        <v>13</v>
      </c>
      <c r="I94" s="11" t="n">
        <v>0</v>
      </c>
      <c r="J94" s="11" t="n">
        <v>1</v>
      </c>
      <c r="K94" s="15" t="s">
        <v>194</v>
      </c>
    </row>
    <row r="95" customFormat="false" ht="15" hidden="false" customHeight="true" outlineLevel="0" collapsed="false">
      <c r="A95" s="10" t="s">
        <v>284</v>
      </c>
      <c r="B95" s="10" t="s">
        <v>107</v>
      </c>
      <c r="C95" s="15" t="s">
        <v>285</v>
      </c>
      <c r="D95" s="11" t="n">
        <v>947</v>
      </c>
      <c r="E95" s="11" t="n">
        <v>1103</v>
      </c>
      <c r="F95" s="43" t="n">
        <v>0.00906618313689937</v>
      </c>
      <c r="G95" s="19" t="n">
        <v>0.2671</v>
      </c>
      <c r="H95" s="38" t="n">
        <v>10</v>
      </c>
      <c r="I95" s="11" t="n">
        <v>0</v>
      </c>
      <c r="J95" s="11" t="n">
        <v>3</v>
      </c>
      <c r="K95" s="15" t="s">
        <v>194</v>
      </c>
    </row>
    <row r="96" customFormat="false" ht="15" hidden="false" customHeight="true" outlineLevel="0" collapsed="false">
      <c r="A96" s="10" t="s">
        <v>286</v>
      </c>
      <c r="B96" s="10" t="s">
        <v>104</v>
      </c>
      <c r="C96" s="10" t="s">
        <v>287</v>
      </c>
      <c r="D96" s="11" t="n">
        <v>1115</v>
      </c>
      <c r="E96" s="11" t="n">
        <v>24</v>
      </c>
      <c r="F96" s="43"/>
      <c r="G96" s="19" t="n">
        <v>0.3247</v>
      </c>
      <c r="H96" s="38" t="n">
        <v>13</v>
      </c>
      <c r="I96" s="11" t="n">
        <v>0</v>
      </c>
      <c r="J96" s="11" t="n">
        <v>2</v>
      </c>
      <c r="K96" s="15" t="s">
        <v>194</v>
      </c>
    </row>
    <row r="97" customFormat="false" ht="15" hidden="false" customHeight="true" outlineLevel="0" collapsed="false">
      <c r="A97" s="10" t="s">
        <v>288</v>
      </c>
      <c r="B97" s="15" t="s">
        <v>82</v>
      </c>
      <c r="C97" s="10" t="s">
        <v>289</v>
      </c>
      <c r="D97" s="11" t="n">
        <v>1184</v>
      </c>
      <c r="E97" s="11" t="n">
        <v>114</v>
      </c>
      <c r="F97" s="43" t="n">
        <v>0.0350877192982456</v>
      </c>
      <c r="G97" s="12" t="n">
        <v>0.5755</v>
      </c>
      <c r="H97" s="38" t="n">
        <v>16</v>
      </c>
      <c r="I97" s="11" t="n">
        <v>0</v>
      </c>
      <c r="J97" s="11" t="n">
        <v>5</v>
      </c>
      <c r="K97" s="15" t="s">
        <v>194</v>
      </c>
    </row>
    <row r="98" customFormat="false" ht="15" hidden="false" customHeight="true" outlineLevel="0" collapsed="false">
      <c r="A98" s="10" t="s">
        <v>290</v>
      </c>
      <c r="B98" s="10" t="s">
        <v>107</v>
      </c>
      <c r="C98" s="15" t="s">
        <v>291</v>
      </c>
      <c r="D98" s="11" t="n">
        <v>1051</v>
      </c>
      <c r="E98" s="11" t="n">
        <v>146</v>
      </c>
      <c r="F98" s="43" t="n">
        <v>0.0273972602739726</v>
      </c>
      <c r="G98" s="19" t="n">
        <v>0.3128</v>
      </c>
      <c r="H98" s="38" t="n">
        <v>14</v>
      </c>
      <c r="I98" s="11" t="n">
        <v>1</v>
      </c>
      <c r="J98" s="11" t="n">
        <v>3</v>
      </c>
      <c r="K98" s="15" t="s">
        <v>194</v>
      </c>
    </row>
    <row r="99" customFormat="false" ht="15" hidden="false" customHeight="true" outlineLevel="0" collapsed="false">
      <c r="A99" s="10" t="s">
        <v>292</v>
      </c>
      <c r="B99" s="15" t="s">
        <v>82</v>
      </c>
      <c r="C99" s="15" t="s">
        <v>293</v>
      </c>
      <c r="D99" s="11" t="n">
        <v>1172</v>
      </c>
      <c r="E99" s="11" t="n">
        <v>83</v>
      </c>
      <c r="F99" s="43"/>
      <c r="G99" s="19" t="n">
        <v>0.3101</v>
      </c>
      <c r="H99" s="38" t="n">
        <v>8</v>
      </c>
      <c r="I99" s="11" t="n">
        <v>0</v>
      </c>
      <c r="J99" s="11" t="n">
        <v>0</v>
      </c>
      <c r="K99" s="15" t="s">
        <v>194</v>
      </c>
    </row>
    <row r="100" customFormat="false" ht="15" hidden="false" customHeight="true" outlineLevel="0" collapsed="false">
      <c r="A100" s="10" t="s">
        <v>294</v>
      </c>
      <c r="B100" s="15" t="s">
        <v>82</v>
      </c>
      <c r="C100" s="15" t="s">
        <v>295</v>
      </c>
      <c r="D100" s="11" t="n">
        <v>1131</v>
      </c>
      <c r="E100" s="11" t="n">
        <v>110</v>
      </c>
      <c r="F100" s="43" t="n">
        <v>0.0363636363636364</v>
      </c>
      <c r="G100" s="12" t="n">
        <v>0.735</v>
      </c>
      <c r="H100" s="38" t="n">
        <v>22</v>
      </c>
      <c r="I100" s="11" t="n">
        <v>0</v>
      </c>
      <c r="J100" s="11" t="n">
        <v>2</v>
      </c>
      <c r="K100" s="15" t="s">
        <v>194</v>
      </c>
    </row>
    <row r="101" customFormat="false" ht="15" hidden="false" customHeight="true" outlineLevel="0" collapsed="false">
      <c r="A101" s="10" t="s">
        <v>296</v>
      </c>
      <c r="B101" s="15" t="s">
        <v>84</v>
      </c>
      <c r="C101" s="15" t="s">
        <v>297</v>
      </c>
      <c r="D101" s="11" t="n">
        <v>366</v>
      </c>
      <c r="E101" s="11" t="n">
        <v>17</v>
      </c>
      <c r="F101" s="43" t="n">
        <v>0.0588235294117647</v>
      </c>
      <c r="G101" s="19" t="n">
        <v>0.3399</v>
      </c>
      <c r="H101" s="38" t="n">
        <v>12</v>
      </c>
      <c r="I101" s="11" t="n">
        <v>0</v>
      </c>
      <c r="J101" s="11" t="n">
        <v>3</v>
      </c>
      <c r="K101" s="15" t="s">
        <v>194</v>
      </c>
    </row>
    <row r="102" customFormat="false" ht="15" hidden="false" customHeight="true" outlineLevel="0" collapsed="false">
      <c r="A102" s="10" t="s">
        <v>298</v>
      </c>
      <c r="B102" s="10" t="s">
        <v>107</v>
      </c>
      <c r="C102" s="15" t="s">
        <v>299</v>
      </c>
      <c r="D102" s="11" t="n">
        <v>954</v>
      </c>
      <c r="E102" s="11" t="n">
        <v>1037</v>
      </c>
      <c r="F102" s="43" t="n">
        <v>0.00964320154291225</v>
      </c>
      <c r="G102" s="19" t="n">
        <v>0.2898</v>
      </c>
      <c r="H102" s="38" t="n">
        <v>13</v>
      </c>
      <c r="I102" s="11" t="n">
        <v>1</v>
      </c>
      <c r="J102" s="11" t="n">
        <v>4</v>
      </c>
      <c r="K102" s="15" t="s">
        <v>194</v>
      </c>
    </row>
    <row r="103" customFormat="false" ht="15" hidden="false" customHeight="true" outlineLevel="0" collapsed="false">
      <c r="A103" s="10" t="s">
        <v>298</v>
      </c>
      <c r="B103" s="15" t="s">
        <v>74</v>
      </c>
      <c r="C103" s="10" t="s">
        <v>300</v>
      </c>
      <c r="D103" s="11" t="n">
        <v>514</v>
      </c>
      <c r="E103" s="11" t="n">
        <v>208</v>
      </c>
      <c r="F103" s="43" t="n">
        <v>0.0144230769230769</v>
      </c>
      <c r="G103" s="19" t="n">
        <v>0.3235</v>
      </c>
      <c r="H103" s="38" t="n">
        <v>13</v>
      </c>
      <c r="I103" s="11" t="n">
        <v>0</v>
      </c>
      <c r="J103" s="11" t="n">
        <v>2</v>
      </c>
      <c r="K103" s="15" t="s">
        <v>194</v>
      </c>
    </row>
    <row r="104" customFormat="false" ht="15" hidden="false" customHeight="true" outlineLevel="0" collapsed="false">
      <c r="A104" s="10" t="s">
        <v>301</v>
      </c>
      <c r="B104" s="15" t="s">
        <v>88</v>
      </c>
      <c r="C104" s="15" t="s">
        <v>302</v>
      </c>
      <c r="D104" s="11" t="n">
        <v>1148</v>
      </c>
      <c r="E104" s="11" t="n">
        <v>11</v>
      </c>
      <c r="F104" s="43"/>
      <c r="G104" s="37" t="n">
        <v>0.4126</v>
      </c>
      <c r="H104" s="38" t="n">
        <v>15</v>
      </c>
      <c r="I104" s="11" t="n">
        <v>0</v>
      </c>
      <c r="J104" s="11" t="n">
        <v>2</v>
      </c>
      <c r="K104" s="15" t="s">
        <v>194</v>
      </c>
    </row>
    <row r="105" customFormat="false" ht="15" hidden="false" customHeight="true" outlineLevel="0" collapsed="false">
      <c r="A105" s="10" t="s">
        <v>303</v>
      </c>
      <c r="B105" s="10" t="s">
        <v>100</v>
      </c>
      <c r="C105" s="15" t="s">
        <v>304</v>
      </c>
      <c r="D105" s="11" t="n">
        <v>956</v>
      </c>
      <c r="E105" s="11" t="n">
        <v>58</v>
      </c>
      <c r="F105" s="43"/>
      <c r="G105" s="19" t="n">
        <v>1.4519</v>
      </c>
      <c r="H105" s="38" t="n">
        <v>53</v>
      </c>
      <c r="I105" s="11" t="n">
        <v>0</v>
      </c>
      <c r="J105" s="11" t="n">
        <v>3</v>
      </c>
      <c r="K105" s="56" t="s">
        <v>191</v>
      </c>
    </row>
    <row r="106" customFormat="false" ht="15" hidden="false" customHeight="true" outlineLevel="0" collapsed="false">
      <c r="A106" s="10" t="s">
        <v>305</v>
      </c>
      <c r="B106" s="15" t="s">
        <v>76</v>
      </c>
      <c r="C106" s="10" t="s">
        <v>306</v>
      </c>
      <c r="D106" s="11" t="n">
        <v>0</v>
      </c>
      <c r="E106" s="11" t="n">
        <v>58</v>
      </c>
      <c r="F106" s="43"/>
      <c r="G106" s="37" t="n">
        <v>0.4186</v>
      </c>
      <c r="H106" s="38" t="n">
        <v>0</v>
      </c>
      <c r="I106" s="11" t="n">
        <v>0</v>
      </c>
      <c r="J106" s="11" t="n">
        <v>0</v>
      </c>
      <c r="K106" s="15" t="s">
        <v>194</v>
      </c>
    </row>
    <row r="107" customFormat="false" ht="15" hidden="false" customHeight="true" outlineLevel="0" collapsed="false">
      <c r="A107" s="10" t="s">
        <v>307</v>
      </c>
      <c r="B107" s="10" t="s">
        <v>104</v>
      </c>
      <c r="C107" s="10" t="s">
        <v>308</v>
      </c>
      <c r="D107" s="11" t="n">
        <v>849</v>
      </c>
      <c r="E107" s="11" t="n">
        <v>112</v>
      </c>
      <c r="F107" s="43" t="n">
        <v>0.00892857142857143</v>
      </c>
      <c r="G107" s="12" t="n">
        <v>0.5957</v>
      </c>
      <c r="H107" s="38" t="n">
        <v>23</v>
      </c>
      <c r="I107" s="11" t="n">
        <v>1</v>
      </c>
      <c r="J107" s="11" t="n">
        <v>7</v>
      </c>
      <c r="K107" s="15" t="s">
        <v>194</v>
      </c>
    </row>
    <row r="108" customFormat="false" ht="15" hidden="false" customHeight="true" outlineLevel="0" collapsed="false">
      <c r="A108" s="10" t="s">
        <v>307</v>
      </c>
      <c r="B108" s="15" t="s">
        <v>69</v>
      </c>
      <c r="C108" s="15" t="s">
        <v>309</v>
      </c>
      <c r="D108" s="11" t="n">
        <v>2240</v>
      </c>
      <c r="E108" s="11" t="n">
        <v>298</v>
      </c>
      <c r="F108" s="43" t="n">
        <v>0.023489932885906</v>
      </c>
      <c r="G108" s="12" t="n">
        <v>0.8999</v>
      </c>
      <c r="H108" s="38" t="n">
        <v>44</v>
      </c>
      <c r="I108" s="11" t="n">
        <v>3</v>
      </c>
      <c r="J108" s="11" t="n">
        <v>23</v>
      </c>
      <c r="K108" s="15" t="s">
        <v>194</v>
      </c>
    </row>
    <row r="109" customFormat="false" ht="15" hidden="false" customHeight="true" outlineLevel="0" collapsed="false">
      <c r="A109" s="10" t="s">
        <v>310</v>
      </c>
      <c r="B109" s="15" t="s">
        <v>82</v>
      </c>
      <c r="C109" s="15" t="s">
        <v>311</v>
      </c>
      <c r="D109" s="11" t="n">
        <v>1055</v>
      </c>
      <c r="E109" s="11" t="n">
        <v>91</v>
      </c>
      <c r="F109" s="43" t="n">
        <v>0.0659340659340659</v>
      </c>
      <c r="G109" s="37" t="n">
        <v>0.3538</v>
      </c>
      <c r="H109" s="38" t="n">
        <v>10</v>
      </c>
      <c r="I109" s="11" t="n">
        <v>0</v>
      </c>
      <c r="J109" s="11" t="n">
        <v>4</v>
      </c>
      <c r="K109" s="15" t="s">
        <v>194</v>
      </c>
    </row>
    <row r="110" customFormat="false" ht="15" hidden="false" customHeight="true" outlineLevel="0" collapsed="false">
      <c r="A110" s="10" t="s">
        <v>312</v>
      </c>
      <c r="B110" s="15" t="s">
        <v>88</v>
      </c>
      <c r="C110" s="15" t="s">
        <v>313</v>
      </c>
      <c r="D110" s="11" t="n">
        <v>1056</v>
      </c>
      <c r="E110" s="11" t="n">
        <v>7</v>
      </c>
      <c r="F110" s="43"/>
      <c r="G110" s="12" t="n">
        <v>0.6269</v>
      </c>
      <c r="H110" s="38" t="n">
        <v>24</v>
      </c>
      <c r="I110" s="11" t="n">
        <v>1</v>
      </c>
      <c r="J110" s="11" t="n">
        <v>1</v>
      </c>
      <c r="K110" s="15" t="s">
        <v>194</v>
      </c>
    </row>
    <row r="111" customFormat="false" ht="15" hidden="false" customHeight="true" outlineLevel="0" collapsed="false">
      <c r="A111" s="10" t="s">
        <v>314</v>
      </c>
      <c r="B111" s="15" t="s">
        <v>69</v>
      </c>
      <c r="C111" s="15" t="s">
        <v>315</v>
      </c>
      <c r="D111" s="11" t="n">
        <v>1974</v>
      </c>
      <c r="E111" s="11" t="n">
        <v>334</v>
      </c>
      <c r="F111" s="43" t="n">
        <v>0.0508982035928144</v>
      </c>
      <c r="G111" s="12" t="n">
        <v>0.7352</v>
      </c>
      <c r="H111" s="38" t="n">
        <v>30</v>
      </c>
      <c r="I111" s="11" t="n">
        <v>2</v>
      </c>
      <c r="J111" s="11" t="n">
        <v>16</v>
      </c>
      <c r="K111" s="15" t="s">
        <v>194</v>
      </c>
    </row>
    <row r="112" customFormat="false" ht="15" hidden="false" customHeight="true" outlineLevel="0" collapsed="false">
      <c r="A112" s="10" t="s">
        <v>316</v>
      </c>
      <c r="B112" s="15" t="s">
        <v>84</v>
      </c>
      <c r="C112" s="15" t="s">
        <v>317</v>
      </c>
      <c r="D112" s="11" t="n">
        <v>1142</v>
      </c>
      <c r="E112" s="11" t="n">
        <v>9</v>
      </c>
      <c r="F112" s="43" t="n">
        <v>0.111111111111111</v>
      </c>
      <c r="G112" s="19" t="n">
        <v>0.3291</v>
      </c>
      <c r="H112" s="38" t="n">
        <v>12</v>
      </c>
      <c r="I112" s="11" t="n">
        <v>0</v>
      </c>
      <c r="J112" s="11" t="n">
        <v>10</v>
      </c>
      <c r="K112" s="15" t="s">
        <v>194</v>
      </c>
    </row>
    <row r="113" customFormat="false" ht="15" hidden="false" customHeight="true" outlineLevel="0" collapsed="false">
      <c r="A113" s="10" t="s">
        <v>318</v>
      </c>
      <c r="B113" s="10" t="s">
        <v>100</v>
      </c>
      <c r="C113" s="15" t="s">
        <v>319</v>
      </c>
      <c r="D113" s="11" t="n">
        <v>839</v>
      </c>
      <c r="E113" s="11" t="n">
        <v>108</v>
      </c>
      <c r="F113" s="43" t="n">
        <v>0.00925925925925926</v>
      </c>
      <c r="G113" s="12" t="n">
        <v>0.5051</v>
      </c>
      <c r="H113" s="38" t="n">
        <v>13</v>
      </c>
      <c r="I113" s="11" t="n">
        <v>0</v>
      </c>
      <c r="J113" s="11" t="n">
        <v>1</v>
      </c>
      <c r="K113" s="15" t="s">
        <v>194</v>
      </c>
    </row>
    <row r="114" customFormat="false" ht="15" hidden="false" customHeight="true" outlineLevel="0" collapsed="false">
      <c r="A114" s="10" t="s">
        <v>320</v>
      </c>
      <c r="B114" s="15" t="s">
        <v>74</v>
      </c>
      <c r="C114" s="10" t="s">
        <v>321</v>
      </c>
      <c r="D114" s="11" t="n">
        <v>892</v>
      </c>
      <c r="E114" s="11" t="n">
        <v>94</v>
      </c>
      <c r="F114" s="43"/>
      <c r="G114" s="12" t="n">
        <v>0.8034</v>
      </c>
      <c r="H114" s="38" t="n">
        <v>24</v>
      </c>
      <c r="I114" s="11" t="n">
        <v>1</v>
      </c>
      <c r="J114" s="11" t="n">
        <v>5</v>
      </c>
      <c r="K114" s="15" t="s">
        <v>194</v>
      </c>
    </row>
    <row r="115" customFormat="false" ht="15" hidden="false" customHeight="true" outlineLevel="0" collapsed="false">
      <c r="A115" s="10" t="s">
        <v>322</v>
      </c>
      <c r="B115" s="15" t="s">
        <v>76</v>
      </c>
      <c r="C115" s="10" t="s">
        <v>323</v>
      </c>
      <c r="D115" s="11" t="n">
        <v>950</v>
      </c>
      <c r="E115" s="11" t="n">
        <v>142</v>
      </c>
      <c r="F115" s="43" t="n">
        <v>0.028169014084507</v>
      </c>
      <c r="G115" s="37" t="n">
        <v>0</v>
      </c>
      <c r="H115" s="38" t="n">
        <v>13</v>
      </c>
      <c r="I115" s="11" t="n">
        <v>1</v>
      </c>
      <c r="J115" s="11" t="n">
        <v>2</v>
      </c>
      <c r="K115" s="15" t="s">
        <v>194</v>
      </c>
    </row>
    <row r="116" customFormat="false" ht="15" hidden="false" customHeight="true" outlineLevel="0" collapsed="false">
      <c r="A116" s="10" t="s">
        <v>324</v>
      </c>
      <c r="B116" s="10" t="s">
        <v>104</v>
      </c>
      <c r="C116" s="10" t="s">
        <v>325</v>
      </c>
      <c r="D116" s="11" t="n">
        <v>900</v>
      </c>
      <c r="E116" s="11" t="n">
        <v>57</v>
      </c>
      <c r="F116" s="43" t="n">
        <v>0.0175438596491228</v>
      </c>
      <c r="G116" s="12" t="n">
        <v>0.534</v>
      </c>
      <c r="H116" s="38" t="n">
        <v>15</v>
      </c>
      <c r="I116" s="11" t="n">
        <v>1</v>
      </c>
      <c r="J116" s="11" t="n">
        <v>6</v>
      </c>
      <c r="K116" s="15" t="s">
        <v>194</v>
      </c>
    </row>
    <row r="117" customFormat="false" ht="15" hidden="false" customHeight="true" outlineLevel="0" collapsed="false">
      <c r="A117" s="10" t="s">
        <v>326</v>
      </c>
      <c r="B117" s="10" t="s">
        <v>107</v>
      </c>
      <c r="C117" s="15" t="s">
        <v>327</v>
      </c>
      <c r="D117" s="11" t="n">
        <v>985</v>
      </c>
      <c r="E117" s="11" t="n">
        <v>554</v>
      </c>
      <c r="F117" s="43" t="n">
        <v>0.0180505415162455</v>
      </c>
      <c r="G117" s="12" t="n">
        <v>0.6759</v>
      </c>
      <c r="H117" s="38" t="n">
        <v>18</v>
      </c>
      <c r="I117" s="11" t="n">
        <v>1</v>
      </c>
      <c r="J117" s="11" t="n">
        <v>5</v>
      </c>
      <c r="K117" s="15" t="s">
        <v>194</v>
      </c>
    </row>
    <row r="118" customFormat="false" ht="15" hidden="false" customHeight="true" outlineLevel="0" collapsed="false">
      <c r="A118" s="10" t="s">
        <v>326</v>
      </c>
      <c r="B118" s="15" t="s">
        <v>80</v>
      </c>
      <c r="C118" s="15" t="s">
        <v>328</v>
      </c>
      <c r="D118" s="11" t="n">
        <v>1196</v>
      </c>
      <c r="E118" s="11" t="n">
        <v>8</v>
      </c>
      <c r="F118" s="43"/>
      <c r="G118" s="12" t="n">
        <v>0.5808</v>
      </c>
      <c r="H118" s="38" t="n">
        <v>18</v>
      </c>
      <c r="I118" s="11" t="n">
        <v>0</v>
      </c>
      <c r="J118" s="11" t="n">
        <v>1</v>
      </c>
      <c r="K118" s="15" t="s">
        <v>194</v>
      </c>
    </row>
    <row r="119" customFormat="false" ht="15" hidden="false" customHeight="true" outlineLevel="0" collapsed="false">
      <c r="A119" s="10" t="s">
        <v>329</v>
      </c>
      <c r="B119" s="15" t="s">
        <v>86</v>
      </c>
      <c r="C119" s="15" t="s">
        <v>330</v>
      </c>
      <c r="D119" s="11" t="n">
        <v>15657</v>
      </c>
      <c r="E119" s="11" t="n">
        <v>3641</v>
      </c>
      <c r="F119" s="43" t="n">
        <v>0.0626201592968965</v>
      </c>
      <c r="G119" s="12" t="n">
        <v>0.8319</v>
      </c>
      <c r="H119" s="38" t="n">
        <v>23</v>
      </c>
      <c r="I119" s="11" t="n">
        <v>3</v>
      </c>
      <c r="J119" s="11" t="n">
        <v>43</v>
      </c>
      <c r="K119" s="15" t="s">
        <v>194</v>
      </c>
    </row>
    <row r="120" customFormat="false" ht="15" hidden="false" customHeight="true" outlineLevel="0" collapsed="false">
      <c r="A120" s="10" t="s">
        <v>331</v>
      </c>
      <c r="B120" s="15" t="s">
        <v>82</v>
      </c>
      <c r="C120" s="15" t="s">
        <v>332</v>
      </c>
      <c r="D120" s="11" t="n">
        <v>1173</v>
      </c>
      <c r="E120" s="11" t="n">
        <v>111</v>
      </c>
      <c r="F120" s="43" t="n">
        <v>0.018018018018018</v>
      </c>
      <c r="G120" s="19" t="n">
        <v>0.3389</v>
      </c>
      <c r="H120" s="38" t="n">
        <v>11</v>
      </c>
      <c r="I120" s="11" t="n">
        <v>0</v>
      </c>
      <c r="J120" s="11" t="n">
        <v>5</v>
      </c>
      <c r="K120" s="15" t="s">
        <v>194</v>
      </c>
    </row>
    <row r="121" customFormat="false" ht="15" hidden="false" customHeight="true" outlineLevel="0" collapsed="false">
      <c r="A121" s="10" t="s">
        <v>333</v>
      </c>
      <c r="B121" s="15" t="s">
        <v>82</v>
      </c>
      <c r="C121" s="15" t="s">
        <v>334</v>
      </c>
      <c r="D121" s="11" t="n">
        <v>1088</v>
      </c>
      <c r="E121" s="11" t="n">
        <v>53</v>
      </c>
      <c r="F121" s="43" t="n">
        <v>0.0377358490566038</v>
      </c>
      <c r="G121" s="37" t="n">
        <v>0.4301</v>
      </c>
      <c r="H121" s="38" t="n">
        <v>12</v>
      </c>
      <c r="I121" s="11" t="n">
        <v>1</v>
      </c>
      <c r="J121" s="11" t="n">
        <v>2</v>
      </c>
      <c r="K121" s="15" t="s">
        <v>194</v>
      </c>
    </row>
    <row r="122" customFormat="false" ht="15" hidden="false" customHeight="true" outlineLevel="0" collapsed="false">
      <c r="A122" s="10" t="s">
        <v>335</v>
      </c>
      <c r="B122" s="15" t="s">
        <v>86</v>
      </c>
      <c r="C122" s="15" t="s">
        <v>336</v>
      </c>
      <c r="D122" s="11" t="n">
        <v>0</v>
      </c>
      <c r="E122" s="11" t="n">
        <v>101</v>
      </c>
      <c r="F122" s="43" t="n">
        <v>0.277227722772277</v>
      </c>
      <c r="G122" s="12" t="n">
        <v>0.7186</v>
      </c>
      <c r="H122" s="38" t="n">
        <v>0</v>
      </c>
      <c r="I122" s="11" t="n">
        <v>0</v>
      </c>
      <c r="J122" s="11" t="n">
        <v>0</v>
      </c>
      <c r="K122" s="15" t="s">
        <v>194</v>
      </c>
    </row>
    <row r="123" customFormat="false" ht="15" hidden="false" customHeight="true" outlineLevel="0" collapsed="false">
      <c r="A123" s="10" t="s">
        <v>337</v>
      </c>
      <c r="B123" s="15" t="s">
        <v>74</v>
      </c>
      <c r="C123" s="10" t="s">
        <v>338</v>
      </c>
      <c r="D123" s="11" t="n">
        <v>126</v>
      </c>
      <c r="E123" s="11" t="n">
        <v>48</v>
      </c>
      <c r="F123" s="43" t="n">
        <v>0.0416666666666667</v>
      </c>
      <c r="G123" s="19" t="n">
        <v>0.2128</v>
      </c>
      <c r="H123" s="38" t="n">
        <v>11</v>
      </c>
      <c r="I123" s="11" t="n">
        <v>0</v>
      </c>
      <c r="J123" s="11" t="n">
        <v>0</v>
      </c>
      <c r="K123" s="15" t="s">
        <v>194</v>
      </c>
    </row>
    <row r="124" customFormat="false" ht="15" hidden="false" customHeight="true" outlineLevel="0" collapsed="false">
      <c r="A124" s="10" t="s">
        <v>337</v>
      </c>
      <c r="B124" s="10" t="s">
        <v>107</v>
      </c>
      <c r="C124" s="15" t="s">
        <v>339</v>
      </c>
      <c r="D124" s="11" t="n">
        <v>982</v>
      </c>
      <c r="E124" s="11" t="n">
        <v>559</v>
      </c>
      <c r="F124" s="43" t="n">
        <v>0.0178890876565295</v>
      </c>
      <c r="G124" s="19" t="n">
        <v>0.3323</v>
      </c>
      <c r="H124" s="38" t="n">
        <v>13</v>
      </c>
      <c r="I124" s="11" t="n">
        <v>2</v>
      </c>
      <c r="J124" s="11" t="n">
        <v>6</v>
      </c>
      <c r="K124" s="15" t="s">
        <v>194</v>
      </c>
    </row>
    <row r="125" customFormat="false" ht="15" hidden="false" customHeight="true" outlineLevel="0" collapsed="false">
      <c r="A125" s="10" t="s">
        <v>340</v>
      </c>
      <c r="B125" s="10" t="s">
        <v>100</v>
      </c>
      <c r="C125" s="15" t="s">
        <v>341</v>
      </c>
      <c r="D125" s="11" t="n">
        <v>961</v>
      </c>
      <c r="E125" s="11" t="n">
        <v>68</v>
      </c>
      <c r="F125" s="43" t="n">
        <v>0.0147058823529412</v>
      </c>
      <c r="G125" s="19" t="n">
        <v>0.3465</v>
      </c>
      <c r="H125" s="38" t="n">
        <v>13</v>
      </c>
      <c r="I125" s="11" t="n">
        <v>0</v>
      </c>
      <c r="J125" s="11" t="n">
        <v>5</v>
      </c>
      <c r="K125" s="15" t="s">
        <v>194</v>
      </c>
    </row>
    <row r="126" customFormat="false" ht="15" hidden="false" customHeight="true" outlineLevel="0" collapsed="false">
      <c r="A126" s="10" t="s">
        <v>342</v>
      </c>
      <c r="B126" s="15" t="s">
        <v>76</v>
      </c>
      <c r="C126" s="10" t="s">
        <v>343</v>
      </c>
      <c r="D126" s="11" t="n">
        <v>921</v>
      </c>
      <c r="E126" s="11" t="n">
        <v>36</v>
      </c>
      <c r="F126" s="43"/>
      <c r="G126" s="19" t="n">
        <v>0.25</v>
      </c>
      <c r="H126" s="38" t="n">
        <v>14</v>
      </c>
      <c r="I126" s="11" t="n">
        <v>0</v>
      </c>
      <c r="J126" s="11" t="n">
        <v>1</v>
      </c>
      <c r="K126" s="15" t="s">
        <v>194</v>
      </c>
    </row>
    <row r="127" customFormat="false" ht="15" hidden="false" customHeight="true" outlineLevel="0" collapsed="false">
      <c r="A127" s="10" t="s">
        <v>344</v>
      </c>
      <c r="B127" s="10" t="s">
        <v>104</v>
      </c>
      <c r="C127" s="10" t="s">
        <v>345</v>
      </c>
      <c r="D127" s="11" t="n">
        <v>944</v>
      </c>
      <c r="E127" s="11" t="n">
        <v>15</v>
      </c>
      <c r="F127" s="43"/>
      <c r="G127" s="37" t="n">
        <v>0.4167</v>
      </c>
      <c r="H127" s="38" t="n">
        <v>16</v>
      </c>
      <c r="I127" s="11" t="n">
        <v>0</v>
      </c>
      <c r="J127" s="11" t="n">
        <v>7</v>
      </c>
      <c r="K127" s="15" t="s">
        <v>194</v>
      </c>
    </row>
    <row r="128" customFormat="false" ht="15" hidden="false" customHeight="true" outlineLevel="0" collapsed="false">
      <c r="A128" s="10" t="s">
        <v>344</v>
      </c>
      <c r="B128" s="15" t="s">
        <v>69</v>
      </c>
      <c r="C128" s="15" t="s">
        <v>346</v>
      </c>
      <c r="D128" s="11" t="n">
        <v>3599</v>
      </c>
      <c r="E128" s="11" t="n">
        <v>264</v>
      </c>
      <c r="F128" s="43" t="n">
        <v>0.0265151515151515</v>
      </c>
      <c r="G128" s="12" t="n">
        <v>0.7902</v>
      </c>
      <c r="H128" s="38" t="n">
        <v>41</v>
      </c>
      <c r="I128" s="11" t="n">
        <v>6</v>
      </c>
      <c r="J128" s="11" t="n">
        <v>8</v>
      </c>
      <c r="K128" s="15" t="s">
        <v>194</v>
      </c>
    </row>
    <row r="129" customFormat="false" ht="15" hidden="false" customHeight="true" outlineLevel="0" collapsed="false">
      <c r="A129" s="10" t="s">
        <v>347</v>
      </c>
      <c r="B129" s="10" t="s">
        <v>107</v>
      </c>
      <c r="C129" s="15" t="s">
        <v>348</v>
      </c>
      <c r="D129" s="11" t="n">
        <v>1003</v>
      </c>
      <c r="E129" s="11" t="n">
        <v>63</v>
      </c>
      <c r="F129" s="43"/>
      <c r="G129" s="19" t="n">
        <v>0.249</v>
      </c>
      <c r="H129" s="38" t="n">
        <v>11</v>
      </c>
      <c r="I129" s="11" t="n">
        <v>0</v>
      </c>
      <c r="J129" s="11" t="n">
        <v>7</v>
      </c>
      <c r="K129" s="15" t="s">
        <v>194</v>
      </c>
    </row>
    <row r="130" customFormat="false" ht="15" hidden="false" customHeight="true" outlineLevel="0" collapsed="false">
      <c r="A130" s="10" t="s">
        <v>349</v>
      </c>
      <c r="B130" s="15" t="s">
        <v>82</v>
      </c>
      <c r="C130" s="15" t="s">
        <v>350</v>
      </c>
      <c r="D130" s="11" t="n">
        <v>1066</v>
      </c>
      <c r="E130" s="11" t="n">
        <v>58</v>
      </c>
      <c r="F130" s="43" t="n">
        <v>0.0517241379310345</v>
      </c>
      <c r="G130" s="12" t="n">
        <v>0.5021</v>
      </c>
      <c r="H130" s="38" t="n">
        <v>13</v>
      </c>
      <c r="I130" s="11" t="n">
        <v>0</v>
      </c>
      <c r="J130" s="11" t="n">
        <v>3</v>
      </c>
      <c r="K130" s="15" t="s">
        <v>194</v>
      </c>
    </row>
    <row r="131" customFormat="false" ht="15" hidden="false" customHeight="true" outlineLevel="0" collapsed="false">
      <c r="A131" s="10" t="s">
        <v>351</v>
      </c>
      <c r="B131" s="10" t="s">
        <v>107</v>
      </c>
      <c r="C131" s="15" t="s">
        <v>352</v>
      </c>
      <c r="D131" s="11" t="n">
        <v>942</v>
      </c>
      <c r="E131" s="11" t="n">
        <v>102</v>
      </c>
      <c r="F131" s="43" t="n">
        <v>0.0392156862745098</v>
      </c>
      <c r="G131" s="19" t="n">
        <v>0.3284</v>
      </c>
      <c r="H131" s="38" t="n">
        <v>13</v>
      </c>
      <c r="I131" s="11" t="n">
        <v>0</v>
      </c>
      <c r="J131" s="11" t="n">
        <v>0</v>
      </c>
      <c r="K131" s="15" t="s">
        <v>194</v>
      </c>
    </row>
    <row r="132" customFormat="false" ht="15" hidden="false" customHeight="true" outlineLevel="0" collapsed="false">
      <c r="A132" s="10" t="s">
        <v>351</v>
      </c>
      <c r="B132" s="15" t="s">
        <v>74</v>
      </c>
      <c r="C132" s="10" t="s">
        <v>353</v>
      </c>
      <c r="D132" s="11" t="n">
        <v>661</v>
      </c>
      <c r="E132" s="11" t="n">
        <v>201</v>
      </c>
      <c r="F132" s="43" t="n">
        <v>0.0199004975124378</v>
      </c>
      <c r="G132" s="37" t="n">
        <v>0.4093</v>
      </c>
      <c r="H132" s="38" t="n">
        <v>18</v>
      </c>
      <c r="I132" s="11" t="n">
        <v>0</v>
      </c>
      <c r="J132" s="11" t="n">
        <v>0</v>
      </c>
      <c r="K132" s="15" t="s">
        <v>194</v>
      </c>
    </row>
    <row r="133" customFormat="false" ht="15" hidden="false" customHeight="true" outlineLevel="0" collapsed="false">
      <c r="A133" s="10" t="s">
        <v>354</v>
      </c>
      <c r="B133" s="10" t="s">
        <v>100</v>
      </c>
      <c r="C133" s="15" t="s">
        <v>355</v>
      </c>
      <c r="D133" s="11" t="n">
        <v>855</v>
      </c>
      <c r="E133" s="11" t="n">
        <v>23</v>
      </c>
      <c r="F133" s="43"/>
      <c r="G133" s="37" t="n">
        <v>0.3913</v>
      </c>
      <c r="H133" s="38" t="n">
        <v>12</v>
      </c>
      <c r="I133" s="11" t="n">
        <v>0</v>
      </c>
      <c r="J133" s="11" t="n">
        <v>2</v>
      </c>
      <c r="K133" s="15" t="s">
        <v>194</v>
      </c>
    </row>
    <row r="134" customFormat="false" ht="15" hidden="false" customHeight="true" outlineLevel="0" collapsed="false">
      <c r="A134" s="10" t="s">
        <v>356</v>
      </c>
      <c r="B134" s="15" t="s">
        <v>76</v>
      </c>
      <c r="C134" s="10" t="s">
        <v>357</v>
      </c>
      <c r="D134" s="11" t="n">
        <v>842</v>
      </c>
      <c r="E134" s="11" t="n">
        <v>111</v>
      </c>
      <c r="F134" s="43" t="n">
        <v>0.00900900900900901</v>
      </c>
      <c r="G134" s="37" t="n">
        <v>0.3511</v>
      </c>
      <c r="H134" s="38" t="n">
        <v>18</v>
      </c>
      <c r="I134" s="11" t="n">
        <v>0</v>
      </c>
      <c r="J134" s="11" t="n">
        <v>3</v>
      </c>
      <c r="K134" s="15" t="s">
        <v>194</v>
      </c>
    </row>
    <row r="135" customFormat="false" ht="15" hidden="false" customHeight="true" outlineLevel="0" collapsed="false">
      <c r="A135" s="10" t="s">
        <v>358</v>
      </c>
      <c r="B135" s="15" t="s">
        <v>69</v>
      </c>
      <c r="C135" s="15" t="s">
        <v>359</v>
      </c>
      <c r="D135" s="11" t="n">
        <v>1666</v>
      </c>
      <c r="E135" s="11" t="n">
        <v>80</v>
      </c>
      <c r="F135" s="43" t="n">
        <v>0.0125</v>
      </c>
      <c r="G135" s="12" t="n">
        <v>0.5869</v>
      </c>
      <c r="H135" s="38" t="n">
        <v>31</v>
      </c>
      <c r="I135" s="11" t="n">
        <v>1</v>
      </c>
      <c r="J135" s="11" t="n">
        <v>3</v>
      </c>
      <c r="K135" s="15" t="s">
        <v>194</v>
      </c>
    </row>
    <row r="136" customFormat="false" ht="15" hidden="false" customHeight="true" outlineLevel="0" collapsed="false">
      <c r="A136" s="10" t="s">
        <v>358</v>
      </c>
      <c r="B136" s="10" t="s">
        <v>104</v>
      </c>
      <c r="C136" s="10" t="s">
        <v>360</v>
      </c>
      <c r="D136" s="11" t="n">
        <v>863</v>
      </c>
      <c r="E136" s="11" t="n">
        <v>31</v>
      </c>
      <c r="F136" s="43" t="n">
        <v>0.032258064516129</v>
      </c>
      <c r="G136" s="19" t="n">
        <v>0.3169</v>
      </c>
      <c r="H136" s="38" t="n">
        <v>15</v>
      </c>
      <c r="I136" s="11" t="n">
        <v>1</v>
      </c>
      <c r="J136" s="11" t="n">
        <v>7</v>
      </c>
      <c r="K136" s="15" t="s">
        <v>194</v>
      </c>
    </row>
    <row r="137" customFormat="false" ht="15" hidden="false" customHeight="true" outlineLevel="0" collapsed="false">
      <c r="A137" s="10" t="s">
        <v>361</v>
      </c>
      <c r="B137" s="15" t="s">
        <v>74</v>
      </c>
      <c r="C137" s="10" t="s">
        <v>362</v>
      </c>
      <c r="D137" s="11" t="n">
        <v>988</v>
      </c>
      <c r="E137" s="11" t="n">
        <v>82</v>
      </c>
      <c r="F137" s="43" t="n">
        <v>0.0121951219512195</v>
      </c>
      <c r="G137" s="19" t="n">
        <v>0.2857</v>
      </c>
      <c r="H137" s="38" t="n">
        <v>16</v>
      </c>
      <c r="I137" s="11" t="n">
        <v>0</v>
      </c>
      <c r="J137" s="11" t="n">
        <v>4</v>
      </c>
      <c r="K137" s="15" t="s">
        <v>194</v>
      </c>
    </row>
    <row r="138" customFormat="false" ht="15" hidden="false" customHeight="true" outlineLevel="0" collapsed="false">
      <c r="A138" s="10" t="s">
        <v>361</v>
      </c>
      <c r="B138" s="10" t="s">
        <v>107</v>
      </c>
      <c r="C138" s="15" t="s">
        <v>363</v>
      </c>
      <c r="D138" s="11" t="n">
        <v>255</v>
      </c>
      <c r="E138" s="11" t="n">
        <v>388</v>
      </c>
      <c r="F138" s="43" t="n">
        <v>0.0128865979381443</v>
      </c>
      <c r="G138" s="37" t="n">
        <v>0.3793</v>
      </c>
      <c r="H138" s="38" t="n">
        <v>20</v>
      </c>
      <c r="I138" s="11" t="n">
        <v>0</v>
      </c>
      <c r="J138" s="11" t="n">
        <v>0</v>
      </c>
      <c r="K138" s="15" t="s">
        <v>194</v>
      </c>
    </row>
    <row r="139" customFormat="false" ht="15" hidden="false" customHeight="true" outlineLevel="0" collapsed="false">
      <c r="A139" s="10" t="s">
        <v>364</v>
      </c>
      <c r="B139" s="15" t="s">
        <v>82</v>
      </c>
      <c r="C139" s="15" t="s">
        <v>365</v>
      </c>
      <c r="D139" s="11" t="n">
        <v>7</v>
      </c>
      <c r="E139" s="11" t="n">
        <v>52</v>
      </c>
      <c r="F139" s="43" t="n">
        <v>0.0576923076923077</v>
      </c>
      <c r="G139" s="19" t="n">
        <v>0.1375</v>
      </c>
      <c r="H139" s="38" t="n">
        <v>4</v>
      </c>
      <c r="I139" s="11" t="n">
        <v>0</v>
      </c>
      <c r="J139" s="11" t="n">
        <v>0</v>
      </c>
      <c r="K139" s="15" t="s">
        <v>194</v>
      </c>
    </row>
    <row r="140" customFormat="false" ht="15" hidden="false" customHeight="true" outlineLevel="0" collapsed="false">
      <c r="A140" s="10" t="s">
        <v>366</v>
      </c>
      <c r="B140" s="15" t="s">
        <v>86</v>
      </c>
      <c r="C140" s="15" t="s">
        <v>367</v>
      </c>
      <c r="D140" s="11" t="n">
        <v>154</v>
      </c>
      <c r="E140" s="11" t="n">
        <v>137</v>
      </c>
      <c r="F140" s="43" t="n">
        <v>0.072992700729927</v>
      </c>
      <c r="G140" s="12" t="n">
        <v>0.7291</v>
      </c>
      <c r="H140" s="38" t="n">
        <v>20</v>
      </c>
      <c r="I140" s="11" t="n">
        <v>0</v>
      </c>
      <c r="J140" s="11" t="n">
        <v>0</v>
      </c>
      <c r="K140" s="15" t="s">
        <v>194</v>
      </c>
    </row>
    <row r="141" customFormat="false" ht="15" hidden="false" customHeight="true" outlineLevel="0" collapsed="false">
      <c r="A141" s="10" t="s">
        <v>368</v>
      </c>
      <c r="B141" s="15" t="s">
        <v>86</v>
      </c>
      <c r="C141" s="15" t="s">
        <v>369</v>
      </c>
      <c r="D141" s="11" t="n">
        <v>5017</v>
      </c>
      <c r="E141" s="11" t="n">
        <v>173</v>
      </c>
      <c r="F141" s="43" t="n">
        <v>0.0635838150289017</v>
      </c>
      <c r="G141" s="12" t="n">
        <v>0.7413</v>
      </c>
      <c r="H141" s="38" t="n">
        <v>23</v>
      </c>
      <c r="I141" s="11" t="n">
        <v>1</v>
      </c>
      <c r="J141" s="11" t="n">
        <v>8</v>
      </c>
      <c r="K141" s="15" t="s">
        <v>194</v>
      </c>
    </row>
    <row r="142" customFormat="false" ht="15" hidden="false" customHeight="true" outlineLevel="0" collapsed="false">
      <c r="A142" s="10" t="s">
        <v>370</v>
      </c>
      <c r="B142" s="10" t="s">
        <v>100</v>
      </c>
      <c r="C142" s="15" t="s">
        <v>371</v>
      </c>
      <c r="D142" s="11" t="n">
        <v>1153</v>
      </c>
      <c r="E142" s="11" t="n">
        <v>57</v>
      </c>
      <c r="F142" s="43"/>
      <c r="G142" s="19" t="n">
        <v>0.2663</v>
      </c>
      <c r="H142" s="38" t="n">
        <v>11</v>
      </c>
      <c r="I142" s="11" t="n">
        <v>0</v>
      </c>
      <c r="J142" s="11" t="n">
        <v>7</v>
      </c>
      <c r="K142" s="15" t="s">
        <v>194</v>
      </c>
    </row>
    <row r="143" customFormat="false" ht="15" hidden="false" customHeight="true" outlineLevel="0" collapsed="false">
      <c r="A143" s="10" t="s">
        <v>372</v>
      </c>
      <c r="B143" s="15" t="s">
        <v>76</v>
      </c>
      <c r="C143" s="10" t="s">
        <v>373</v>
      </c>
      <c r="D143" s="11" t="n">
        <v>977</v>
      </c>
      <c r="E143" s="11" t="n">
        <v>58</v>
      </c>
      <c r="F143" s="43"/>
      <c r="G143" s="19" t="n">
        <v>0.2252</v>
      </c>
      <c r="H143" s="38" t="n">
        <v>16</v>
      </c>
      <c r="I143" s="11" t="n">
        <v>1</v>
      </c>
      <c r="J143" s="11" t="n">
        <v>1</v>
      </c>
      <c r="K143" s="15" t="s">
        <v>194</v>
      </c>
    </row>
    <row r="144" customFormat="false" ht="15" hidden="false" customHeight="true" outlineLevel="0" collapsed="false">
      <c r="A144" s="10" t="s">
        <v>374</v>
      </c>
      <c r="B144" s="15" t="s">
        <v>69</v>
      </c>
      <c r="C144" s="15" t="s">
        <v>375</v>
      </c>
      <c r="D144" s="11" t="n">
        <v>1935</v>
      </c>
      <c r="E144" s="11" t="n">
        <v>130</v>
      </c>
      <c r="F144" s="43" t="n">
        <v>0.00769230769230769</v>
      </c>
      <c r="G144" s="12" t="n">
        <v>0.6843</v>
      </c>
      <c r="H144" s="38" t="n">
        <v>44</v>
      </c>
      <c r="I144" s="11" t="n">
        <v>0</v>
      </c>
      <c r="J144" s="11" t="n">
        <v>2</v>
      </c>
      <c r="K144" s="15" t="s">
        <v>194</v>
      </c>
    </row>
    <row r="145" customFormat="false" ht="15" hidden="false" customHeight="true" outlineLevel="0" collapsed="false">
      <c r="A145" s="10" t="s">
        <v>374</v>
      </c>
      <c r="B145" s="10" t="s">
        <v>104</v>
      </c>
      <c r="C145" s="10" t="s">
        <v>376</v>
      </c>
      <c r="D145" s="11" t="n">
        <v>816</v>
      </c>
      <c r="E145" s="11" t="n">
        <v>78</v>
      </c>
      <c r="F145" s="43" t="n">
        <v>0.0128205128205128</v>
      </c>
      <c r="G145" s="37" t="n">
        <v>0</v>
      </c>
      <c r="H145" s="38" t="n">
        <v>14</v>
      </c>
      <c r="I145" s="11" t="n">
        <v>1</v>
      </c>
      <c r="J145" s="11" t="n">
        <v>6</v>
      </c>
      <c r="K145" s="15" t="s">
        <v>194</v>
      </c>
    </row>
    <row r="146" customFormat="false" ht="15" hidden="false" customHeight="true" outlineLevel="0" collapsed="false">
      <c r="A146" s="10" t="s">
        <v>377</v>
      </c>
      <c r="B146" s="15" t="s">
        <v>80</v>
      </c>
      <c r="C146" s="15" t="s">
        <v>378</v>
      </c>
      <c r="D146" s="11" t="n">
        <v>0</v>
      </c>
      <c r="E146" s="11" t="n">
        <v>29</v>
      </c>
      <c r="F146" s="43"/>
      <c r="G146" s="12" t="n">
        <v>0.7005</v>
      </c>
      <c r="H146" s="38" t="n">
        <v>0</v>
      </c>
      <c r="I146" s="11" t="n">
        <v>0</v>
      </c>
      <c r="J146" s="11" t="n">
        <v>0</v>
      </c>
      <c r="K146" s="15" t="s">
        <v>194</v>
      </c>
    </row>
    <row r="147" customFormat="false" ht="15" hidden="false" customHeight="true" outlineLevel="0" collapsed="false">
      <c r="A147" s="10" t="s">
        <v>379</v>
      </c>
      <c r="B147" s="10" t="s">
        <v>107</v>
      </c>
      <c r="C147" s="15" t="s">
        <v>380</v>
      </c>
      <c r="D147" s="11" t="n">
        <v>1010</v>
      </c>
      <c r="E147" s="11" t="n">
        <v>418</v>
      </c>
      <c r="F147" s="43" t="n">
        <v>0.00717703349282297</v>
      </c>
      <c r="G147" s="37" t="n">
        <v>0</v>
      </c>
      <c r="H147" s="38" t="n">
        <v>12</v>
      </c>
      <c r="I147" s="11" t="n">
        <v>0</v>
      </c>
      <c r="J147" s="11" t="n">
        <v>3</v>
      </c>
      <c r="K147" s="15" t="s">
        <v>194</v>
      </c>
    </row>
    <row r="148" customFormat="false" ht="15" hidden="false" customHeight="true" outlineLevel="0" collapsed="false">
      <c r="A148" s="10" t="s">
        <v>381</v>
      </c>
      <c r="B148" s="10" t="s">
        <v>107</v>
      </c>
      <c r="C148" s="15" t="s">
        <v>382</v>
      </c>
      <c r="D148" s="11" t="n">
        <v>77</v>
      </c>
      <c r="E148" s="11" t="n">
        <v>321</v>
      </c>
      <c r="F148" s="43" t="n">
        <v>0.00623052959501558</v>
      </c>
      <c r="G148" s="19" t="n">
        <v>0.1923</v>
      </c>
      <c r="H148" s="38" t="n">
        <v>10</v>
      </c>
      <c r="I148" s="11" t="n">
        <v>0</v>
      </c>
      <c r="J148" s="11" t="n">
        <v>0</v>
      </c>
      <c r="K148" s="15" t="s">
        <v>194</v>
      </c>
    </row>
    <row r="149" customFormat="false" ht="15" hidden="false" customHeight="true" outlineLevel="0" collapsed="false">
      <c r="A149" s="10" t="s">
        <v>383</v>
      </c>
      <c r="B149" s="15" t="s">
        <v>80</v>
      </c>
      <c r="C149" s="15" t="s">
        <v>384</v>
      </c>
      <c r="D149" s="11" t="n">
        <v>1183</v>
      </c>
      <c r="E149" s="11" t="n">
        <v>20</v>
      </c>
      <c r="F149" s="43"/>
      <c r="G149" s="19" t="n">
        <v>0.3277</v>
      </c>
      <c r="H149" s="38" t="n">
        <v>19</v>
      </c>
      <c r="I149" s="11" t="n">
        <v>0</v>
      </c>
      <c r="J149" s="11" t="n">
        <v>0</v>
      </c>
      <c r="K149" s="15" t="s">
        <v>194</v>
      </c>
    </row>
    <row r="150" customFormat="false" ht="15" hidden="false" customHeight="true" outlineLevel="0" collapsed="false">
      <c r="A150" s="10" t="s">
        <v>385</v>
      </c>
      <c r="B150" s="15" t="s">
        <v>69</v>
      </c>
      <c r="C150" s="15" t="s">
        <v>386</v>
      </c>
      <c r="D150" s="11" t="n">
        <v>1324</v>
      </c>
      <c r="E150" s="11" t="n">
        <v>131</v>
      </c>
      <c r="F150" s="43" t="n">
        <v>0.0305343511450382</v>
      </c>
      <c r="G150" s="12" t="n">
        <v>0.5356</v>
      </c>
      <c r="H150" s="38" t="n">
        <v>30</v>
      </c>
      <c r="I150" s="11" t="n">
        <v>1</v>
      </c>
      <c r="J150" s="11" t="n">
        <v>4</v>
      </c>
      <c r="K150" s="15" t="s">
        <v>194</v>
      </c>
    </row>
    <row r="151" customFormat="false" ht="15" hidden="false" customHeight="true" outlineLevel="0" collapsed="false">
      <c r="A151" s="10" t="s">
        <v>387</v>
      </c>
      <c r="B151" s="10" t="s">
        <v>107</v>
      </c>
      <c r="C151" s="15" t="s">
        <v>388</v>
      </c>
      <c r="D151" s="11" t="n">
        <v>1034</v>
      </c>
      <c r="E151" s="11" t="n">
        <v>251</v>
      </c>
      <c r="F151" s="43" t="n">
        <v>0.0119521912350598</v>
      </c>
      <c r="G151" s="19" t="n">
        <v>0.238</v>
      </c>
      <c r="H151" s="38" t="n">
        <v>12</v>
      </c>
      <c r="I151" s="11" t="n">
        <v>1</v>
      </c>
      <c r="J151" s="11" t="n">
        <v>2</v>
      </c>
      <c r="K151" s="15" t="s">
        <v>194</v>
      </c>
    </row>
    <row r="152" customFormat="false" ht="15" hidden="false" customHeight="true" outlineLevel="0" collapsed="false">
      <c r="A152" s="10" t="s">
        <v>387</v>
      </c>
      <c r="B152" s="10" t="s">
        <v>104</v>
      </c>
      <c r="C152" s="10" t="s">
        <v>389</v>
      </c>
      <c r="D152" s="11" t="n">
        <v>1076</v>
      </c>
      <c r="E152" s="11" t="n">
        <v>26</v>
      </c>
      <c r="F152" s="43" t="n">
        <v>0.0384615384615385</v>
      </c>
      <c r="G152" s="37" t="n">
        <v>0.3522</v>
      </c>
      <c r="H152" s="38" t="n">
        <v>17</v>
      </c>
      <c r="I152" s="11" t="n">
        <v>1</v>
      </c>
      <c r="J152" s="11" t="n">
        <v>10</v>
      </c>
      <c r="K152" s="15" t="s">
        <v>194</v>
      </c>
    </row>
    <row r="153" customFormat="false" ht="15" hidden="false" customHeight="true" outlineLevel="0" collapsed="false">
      <c r="A153" s="10" t="s">
        <v>390</v>
      </c>
      <c r="B153" s="15" t="s">
        <v>80</v>
      </c>
      <c r="C153" s="10" t="s">
        <v>391</v>
      </c>
      <c r="D153" s="11" t="n">
        <v>1208</v>
      </c>
      <c r="E153" s="11" t="n">
        <v>11</v>
      </c>
      <c r="F153" s="43"/>
      <c r="G153" s="37" t="n">
        <v>0.4645</v>
      </c>
      <c r="H153" s="38" t="n">
        <v>17</v>
      </c>
      <c r="I153" s="11" t="n">
        <v>0</v>
      </c>
      <c r="J153" s="11" t="n">
        <v>2</v>
      </c>
      <c r="K153" s="15" t="s">
        <v>194</v>
      </c>
    </row>
    <row r="154" customFormat="false" ht="15" hidden="false" customHeight="true" outlineLevel="0" collapsed="false">
      <c r="A154" s="10" t="s">
        <v>392</v>
      </c>
      <c r="B154" s="10" t="s">
        <v>100</v>
      </c>
      <c r="C154" s="15" t="s">
        <v>393</v>
      </c>
      <c r="D154" s="11" t="n">
        <v>1089</v>
      </c>
      <c r="E154" s="11" t="n">
        <v>46</v>
      </c>
      <c r="F154" s="43"/>
      <c r="G154" s="19" t="n">
        <v>0.231</v>
      </c>
      <c r="H154" s="38" t="n">
        <v>12</v>
      </c>
      <c r="I154" s="11" t="n">
        <v>0</v>
      </c>
      <c r="J154" s="11" t="n">
        <v>0</v>
      </c>
      <c r="K154" s="15" t="s">
        <v>194</v>
      </c>
    </row>
    <row r="155" customFormat="false" ht="15" hidden="false" customHeight="true" outlineLevel="0" collapsed="false">
      <c r="A155" s="10" t="s">
        <v>392</v>
      </c>
      <c r="B155" s="15" t="s">
        <v>74</v>
      </c>
      <c r="C155" s="10" t="s">
        <v>394</v>
      </c>
      <c r="D155" s="11" t="n">
        <v>137</v>
      </c>
      <c r="E155" s="11" t="n">
        <v>125</v>
      </c>
      <c r="F155" s="43" t="n">
        <v>0.016</v>
      </c>
      <c r="G155" s="19" t="n">
        <v>0.1587</v>
      </c>
      <c r="H155" s="38" t="n">
        <v>10</v>
      </c>
      <c r="I155" s="11" t="n">
        <v>0</v>
      </c>
      <c r="J155" s="11" t="n">
        <v>0</v>
      </c>
      <c r="K155" s="15" t="s">
        <v>194</v>
      </c>
    </row>
    <row r="156" customFormat="false" ht="15" hidden="false" customHeight="true" outlineLevel="0" collapsed="false">
      <c r="A156" s="10" t="s">
        <v>395</v>
      </c>
      <c r="B156" s="15" t="s">
        <v>84</v>
      </c>
      <c r="C156" s="15" t="s">
        <v>396</v>
      </c>
      <c r="D156" s="11" t="n">
        <v>1100</v>
      </c>
      <c r="E156" s="11" t="n">
        <v>2</v>
      </c>
      <c r="F156" s="43"/>
      <c r="G156" s="19" t="n">
        <v>0.2551</v>
      </c>
      <c r="H156" s="38" t="n">
        <v>10</v>
      </c>
      <c r="I156" s="11" t="n">
        <v>0</v>
      </c>
      <c r="J156" s="11" t="n">
        <v>1</v>
      </c>
      <c r="K156" s="15" t="s">
        <v>194</v>
      </c>
    </row>
    <row r="157" customFormat="false" ht="15" hidden="false" customHeight="true" outlineLevel="0" collapsed="false">
      <c r="A157" s="10" t="s">
        <v>397</v>
      </c>
      <c r="B157" s="15" t="s">
        <v>88</v>
      </c>
      <c r="C157" s="10" t="s">
        <v>398</v>
      </c>
      <c r="D157" s="11"/>
      <c r="E157" s="11"/>
      <c r="F157" s="43"/>
      <c r="G157" s="37"/>
      <c r="H157" s="38"/>
      <c r="I157" s="11"/>
      <c r="J157" s="11"/>
      <c r="K157" s="55" t="s">
        <v>124</v>
      </c>
    </row>
    <row r="158" customFormat="false" ht="15" hidden="false" customHeight="true" outlineLevel="0" collapsed="false">
      <c r="A158" s="10" t="s">
        <v>399</v>
      </c>
      <c r="B158" s="10" t="s">
        <v>107</v>
      </c>
      <c r="C158" s="15" t="s">
        <v>400</v>
      </c>
      <c r="D158" s="11" t="n">
        <v>178</v>
      </c>
      <c r="E158" s="11" t="n">
        <v>50</v>
      </c>
      <c r="F158" s="43" t="n">
        <v>0.02</v>
      </c>
      <c r="G158" s="19" t="n">
        <v>0.2541</v>
      </c>
      <c r="H158" s="38" t="n">
        <v>14</v>
      </c>
      <c r="I158" s="11" t="n">
        <v>1</v>
      </c>
      <c r="J158" s="11" t="n">
        <v>0</v>
      </c>
      <c r="K158" s="15" t="s">
        <v>194</v>
      </c>
    </row>
    <row r="159" customFormat="false" ht="15" hidden="false" customHeight="true" outlineLevel="0" collapsed="false">
      <c r="A159" s="10" t="s">
        <v>401</v>
      </c>
      <c r="B159" s="15" t="s">
        <v>80</v>
      </c>
      <c r="C159" s="15" t="s">
        <v>402</v>
      </c>
      <c r="D159" s="11" t="n">
        <v>1252</v>
      </c>
      <c r="E159" s="11" t="n">
        <v>35</v>
      </c>
      <c r="F159" s="43" t="n">
        <v>0.0285714285714286</v>
      </c>
      <c r="G159" s="12" t="n">
        <v>0.5557</v>
      </c>
      <c r="H159" s="38" t="n">
        <v>22</v>
      </c>
      <c r="I159" s="11" t="n">
        <v>0</v>
      </c>
      <c r="J159" s="11" t="n">
        <v>3</v>
      </c>
      <c r="K159" s="15" t="s">
        <v>194</v>
      </c>
    </row>
    <row r="160" customFormat="false" ht="15" hidden="false" customHeight="true" outlineLevel="0" collapsed="false">
      <c r="A160" s="10" t="s">
        <v>403</v>
      </c>
      <c r="B160" s="15" t="s">
        <v>69</v>
      </c>
      <c r="C160" s="10" t="s">
        <v>404</v>
      </c>
      <c r="D160" s="11" t="n">
        <v>1390</v>
      </c>
      <c r="E160" s="11" t="n">
        <v>997</v>
      </c>
      <c r="F160" s="43" t="n">
        <v>0.0190571715145436</v>
      </c>
      <c r="G160" s="37" t="n">
        <v>0.4797</v>
      </c>
      <c r="H160" s="38" t="n">
        <v>26</v>
      </c>
      <c r="I160" s="11" t="n">
        <v>0</v>
      </c>
      <c r="J160" s="11" t="n">
        <v>9</v>
      </c>
      <c r="K160" s="15" t="s">
        <v>194</v>
      </c>
    </row>
    <row r="161" customFormat="false" ht="15" hidden="false" customHeight="true" outlineLevel="0" collapsed="false">
      <c r="A161" s="10" t="s">
        <v>405</v>
      </c>
      <c r="B161" s="15" t="s">
        <v>88</v>
      </c>
      <c r="C161" s="15" t="s">
        <v>406</v>
      </c>
      <c r="D161" s="11" t="n">
        <v>1172</v>
      </c>
      <c r="E161" s="11" t="n">
        <v>43</v>
      </c>
      <c r="F161" s="43"/>
      <c r="G161" s="12" t="n">
        <v>0.6363</v>
      </c>
      <c r="H161" s="38" t="n">
        <v>21</v>
      </c>
      <c r="I161" s="11" t="n">
        <v>2</v>
      </c>
      <c r="J161" s="11" t="n">
        <v>4</v>
      </c>
      <c r="K161" s="15" t="s">
        <v>194</v>
      </c>
    </row>
    <row r="162" customFormat="false" ht="15" hidden="false" customHeight="true" outlineLevel="0" collapsed="false">
      <c r="A162" s="10" t="s">
        <v>407</v>
      </c>
      <c r="B162" s="10" t="s">
        <v>107</v>
      </c>
      <c r="C162" s="15" t="s">
        <v>408</v>
      </c>
      <c r="D162" s="11" t="n">
        <v>396</v>
      </c>
      <c r="E162" s="11" t="n">
        <v>865</v>
      </c>
      <c r="F162" s="43" t="n">
        <v>0.0127167630057804</v>
      </c>
      <c r="G162" s="19" t="n">
        <v>0.262</v>
      </c>
      <c r="H162" s="38" t="n">
        <v>14</v>
      </c>
      <c r="I162" s="11" t="n">
        <v>0</v>
      </c>
      <c r="J162" s="11" t="n">
        <v>3</v>
      </c>
      <c r="K162" s="15" t="s">
        <v>194</v>
      </c>
    </row>
    <row r="163" customFormat="false" ht="15" hidden="false" customHeight="true" outlineLevel="0" collapsed="false">
      <c r="A163" s="10" t="s">
        <v>407</v>
      </c>
      <c r="B163" s="10" t="s">
        <v>104</v>
      </c>
      <c r="C163" s="10" t="s">
        <v>409</v>
      </c>
      <c r="D163" s="11" t="n">
        <v>1042</v>
      </c>
      <c r="E163" s="11" t="n">
        <v>34</v>
      </c>
      <c r="F163" s="43"/>
      <c r="G163" s="19" t="n">
        <v>0.2557</v>
      </c>
      <c r="H163" s="38" t="n">
        <v>14</v>
      </c>
      <c r="I163" s="11" t="n">
        <v>0</v>
      </c>
      <c r="J163" s="11" t="n">
        <v>6</v>
      </c>
      <c r="K163" s="15" t="s">
        <v>194</v>
      </c>
    </row>
    <row r="164" customFormat="false" ht="15" hidden="false" customHeight="true" outlineLevel="0" collapsed="false">
      <c r="A164" s="10" t="s">
        <v>410</v>
      </c>
      <c r="B164" s="15" t="s">
        <v>80</v>
      </c>
      <c r="C164" s="10" t="s">
        <v>411</v>
      </c>
      <c r="D164" s="11" t="n">
        <v>12732</v>
      </c>
      <c r="E164" s="11" t="n">
        <v>63</v>
      </c>
      <c r="F164" s="43" t="n">
        <v>0.0476190476190476</v>
      </c>
      <c r="G164" s="12" t="n">
        <v>0.898</v>
      </c>
      <c r="H164" s="38" t="n">
        <v>28</v>
      </c>
      <c r="I164" s="11" t="n">
        <v>0</v>
      </c>
      <c r="J164" s="11" t="n">
        <v>23</v>
      </c>
      <c r="K164" s="15" t="s">
        <v>194</v>
      </c>
    </row>
    <row r="165" customFormat="false" ht="15" hidden="false" customHeight="true" outlineLevel="0" collapsed="false">
      <c r="A165" s="10" t="s">
        <v>412</v>
      </c>
      <c r="B165" s="15" t="s">
        <v>74</v>
      </c>
      <c r="C165" s="15" t="s">
        <v>413</v>
      </c>
      <c r="D165" s="11" t="n">
        <v>361</v>
      </c>
      <c r="E165" s="11" t="n">
        <v>107</v>
      </c>
      <c r="F165" s="43"/>
      <c r="G165" s="19" t="n">
        <v>0.3301</v>
      </c>
      <c r="H165" s="38" t="n">
        <v>19</v>
      </c>
      <c r="I165" s="11" t="n">
        <v>0</v>
      </c>
      <c r="J165" s="11" t="n">
        <v>3</v>
      </c>
      <c r="K165" s="15" t="s">
        <v>194</v>
      </c>
    </row>
    <row r="166" customFormat="false" ht="15" hidden="false" customHeight="true" outlineLevel="0" collapsed="false">
      <c r="A166" s="10" t="s">
        <v>414</v>
      </c>
      <c r="B166" s="10" t="s">
        <v>100</v>
      </c>
      <c r="C166" s="15" t="s">
        <v>415</v>
      </c>
      <c r="D166" s="11" t="n">
        <v>1088</v>
      </c>
      <c r="E166" s="11" t="n">
        <v>253</v>
      </c>
      <c r="F166" s="43" t="n">
        <v>0.00395256916996047</v>
      </c>
      <c r="G166" s="19" t="n">
        <v>0.2712</v>
      </c>
      <c r="H166" s="38" t="n">
        <v>13</v>
      </c>
      <c r="I166" s="11" t="n">
        <v>0</v>
      </c>
      <c r="J166" s="11" t="n">
        <v>1</v>
      </c>
      <c r="K166" s="15" t="s">
        <v>194</v>
      </c>
    </row>
    <row r="167" customFormat="false" ht="15" hidden="false" customHeight="true" outlineLevel="0" collapsed="false">
      <c r="A167" s="10" t="s">
        <v>416</v>
      </c>
      <c r="B167" s="15" t="s">
        <v>76</v>
      </c>
      <c r="C167" s="10" t="s">
        <v>417</v>
      </c>
      <c r="D167" s="11" t="n">
        <v>712</v>
      </c>
      <c r="E167" s="11" t="n">
        <v>89</v>
      </c>
      <c r="F167" s="43" t="n">
        <v>0.0112359550561798</v>
      </c>
      <c r="G167" s="19" t="n">
        <v>0.2542</v>
      </c>
      <c r="H167" s="38" t="n">
        <v>17</v>
      </c>
      <c r="I167" s="11" t="n">
        <v>0</v>
      </c>
      <c r="J167" s="11" t="n">
        <v>0</v>
      </c>
      <c r="K167" s="15" t="s">
        <v>194</v>
      </c>
    </row>
    <row r="168" customFormat="false" ht="15" hidden="false" customHeight="true" outlineLevel="0" collapsed="false">
      <c r="A168" s="10" t="s">
        <v>418</v>
      </c>
      <c r="B168" s="15" t="s">
        <v>80</v>
      </c>
      <c r="C168" s="15" t="s">
        <v>419</v>
      </c>
      <c r="D168" s="11" t="n">
        <v>1274</v>
      </c>
      <c r="E168" s="11" t="n">
        <v>15</v>
      </c>
      <c r="F168" s="43"/>
      <c r="G168" s="12" t="n">
        <v>0.5135</v>
      </c>
      <c r="H168" s="38" t="n">
        <v>18</v>
      </c>
      <c r="I168" s="11" t="n">
        <v>0</v>
      </c>
      <c r="J168" s="11" t="n">
        <v>3</v>
      </c>
      <c r="K168" s="15" t="s">
        <v>194</v>
      </c>
    </row>
    <row r="169" customFormat="false" ht="15" hidden="false" customHeight="true" outlineLevel="0" collapsed="false">
      <c r="A169" s="10" t="s">
        <v>420</v>
      </c>
      <c r="B169" s="10" t="s">
        <v>100</v>
      </c>
      <c r="C169" s="15" t="s">
        <v>421</v>
      </c>
      <c r="D169" s="11" t="n">
        <v>0</v>
      </c>
      <c r="E169" s="11" t="n">
        <v>51</v>
      </c>
      <c r="F169" s="43"/>
      <c r="G169" s="19" t="n">
        <v>0.3015</v>
      </c>
      <c r="H169" s="38" t="n">
        <v>0</v>
      </c>
      <c r="I169" s="11" t="n">
        <v>0</v>
      </c>
      <c r="J169" s="11" t="n">
        <v>0</v>
      </c>
      <c r="K169" s="15" t="s">
        <v>194</v>
      </c>
    </row>
    <row r="170" customFormat="false" ht="15" hidden="false" customHeight="true" outlineLevel="0" collapsed="false">
      <c r="A170" s="10" t="s">
        <v>422</v>
      </c>
      <c r="B170" s="10" t="s">
        <v>107</v>
      </c>
      <c r="C170" s="15" t="s">
        <v>423</v>
      </c>
      <c r="D170" s="11" t="n">
        <v>62</v>
      </c>
      <c r="E170" s="11" t="n">
        <v>244</v>
      </c>
      <c r="F170" s="43" t="n">
        <v>0.0122950819672131</v>
      </c>
      <c r="G170" s="19" t="n">
        <v>0.264</v>
      </c>
      <c r="H170" s="38" t="n">
        <v>14</v>
      </c>
      <c r="I170" s="11" t="n">
        <v>0</v>
      </c>
      <c r="J170" s="11" t="n">
        <v>0</v>
      </c>
      <c r="K170" s="15" t="s">
        <v>194</v>
      </c>
    </row>
    <row r="171" customFormat="false" ht="15" hidden="false" customHeight="true" outlineLevel="0" collapsed="false">
      <c r="A171" s="10" t="s">
        <v>424</v>
      </c>
      <c r="B171" s="15" t="s">
        <v>74</v>
      </c>
      <c r="C171" s="15" t="s">
        <v>425</v>
      </c>
      <c r="D171" s="11" t="n">
        <v>260</v>
      </c>
      <c r="E171" s="11" t="n">
        <v>186</v>
      </c>
      <c r="F171" s="43" t="n">
        <v>0.010752688172043</v>
      </c>
      <c r="G171" s="19" t="n">
        <v>0.2418</v>
      </c>
      <c r="H171" s="38" t="n">
        <v>13</v>
      </c>
      <c r="I171" s="11" t="n">
        <v>0</v>
      </c>
      <c r="J171" s="11" t="n">
        <v>0</v>
      </c>
      <c r="K171" s="15" t="s">
        <v>194</v>
      </c>
    </row>
    <row r="172" customFormat="false" ht="15" hidden="false" customHeight="true" outlineLevel="0" collapsed="false">
      <c r="A172" s="10" t="s">
        <v>426</v>
      </c>
      <c r="B172" s="10" t="s">
        <v>104</v>
      </c>
      <c r="C172" s="10" t="s">
        <v>427</v>
      </c>
      <c r="D172" s="11" t="n">
        <v>481</v>
      </c>
      <c r="E172" s="11" t="n">
        <v>51</v>
      </c>
      <c r="F172" s="43"/>
      <c r="G172" s="19" t="n">
        <v>0.2949</v>
      </c>
      <c r="H172" s="38" t="n">
        <v>16</v>
      </c>
      <c r="I172" s="11" t="n">
        <v>0</v>
      </c>
      <c r="J172" s="11" t="n">
        <v>1</v>
      </c>
      <c r="K172" s="15" t="s">
        <v>194</v>
      </c>
    </row>
    <row r="173" customFormat="false" ht="15" hidden="false" customHeight="true" outlineLevel="0" collapsed="false">
      <c r="A173" s="10" t="s">
        <v>428</v>
      </c>
      <c r="B173" s="15" t="s">
        <v>76</v>
      </c>
      <c r="C173" s="10" t="s">
        <v>429</v>
      </c>
      <c r="D173" s="11" t="n">
        <v>1051</v>
      </c>
      <c r="E173" s="11" t="n">
        <v>106</v>
      </c>
      <c r="F173" s="43" t="n">
        <v>0.0471698113207547</v>
      </c>
      <c r="G173" s="19" t="n">
        <v>0.267</v>
      </c>
      <c r="H173" s="38" t="n">
        <v>17</v>
      </c>
      <c r="I173" s="11" t="n">
        <v>2</v>
      </c>
      <c r="J173" s="11" t="n">
        <v>4</v>
      </c>
      <c r="K173" s="15" t="s">
        <v>194</v>
      </c>
    </row>
    <row r="174" customFormat="false" ht="15" hidden="false" customHeight="true" outlineLevel="0" collapsed="false">
      <c r="A174" s="10" t="s">
        <v>430</v>
      </c>
      <c r="B174" s="10" t="s">
        <v>100</v>
      </c>
      <c r="C174" s="15" t="s">
        <v>431</v>
      </c>
      <c r="D174" s="11" t="n">
        <v>0</v>
      </c>
      <c r="E174" s="11" t="n">
        <v>32</v>
      </c>
      <c r="F174" s="43"/>
      <c r="G174" s="37" t="n">
        <v>0.3644</v>
      </c>
      <c r="H174" s="38" t="n">
        <v>0</v>
      </c>
      <c r="I174" s="11" t="n">
        <v>0</v>
      </c>
      <c r="J174" s="11" t="n">
        <v>0</v>
      </c>
      <c r="K174" s="15" t="s">
        <v>194</v>
      </c>
    </row>
    <row r="175" customFormat="false" ht="15" hidden="false" customHeight="true" outlineLevel="0" collapsed="false">
      <c r="A175" s="10" t="s">
        <v>432</v>
      </c>
      <c r="B175" s="15" t="s">
        <v>69</v>
      </c>
      <c r="C175" s="15" t="s">
        <v>433</v>
      </c>
      <c r="D175" s="11" t="n">
        <v>1268</v>
      </c>
      <c r="E175" s="11" t="n">
        <v>100</v>
      </c>
      <c r="F175" s="43" t="n">
        <v>0.02</v>
      </c>
      <c r="G175" s="12" t="n">
        <v>0.7863</v>
      </c>
      <c r="H175" s="38" t="n">
        <v>47</v>
      </c>
      <c r="I175" s="11" t="n">
        <v>0</v>
      </c>
      <c r="J175" s="11" t="n">
        <v>6</v>
      </c>
      <c r="K175" s="15" t="s">
        <v>194</v>
      </c>
    </row>
    <row r="176" customFormat="false" ht="15" hidden="false" customHeight="true" outlineLevel="0" collapsed="false">
      <c r="A176" s="10" t="s">
        <v>434</v>
      </c>
      <c r="B176" s="15" t="s">
        <v>74</v>
      </c>
      <c r="C176" s="10" t="s">
        <v>435</v>
      </c>
      <c r="D176" s="11" t="n">
        <v>0</v>
      </c>
      <c r="E176" s="11" t="n">
        <v>49</v>
      </c>
      <c r="F176" s="43"/>
      <c r="G176" s="19" t="n">
        <v>0.284</v>
      </c>
      <c r="H176" s="38" t="n">
        <v>0</v>
      </c>
      <c r="I176" s="11" t="n">
        <v>0</v>
      </c>
      <c r="J176" s="11" t="n">
        <v>0</v>
      </c>
      <c r="K176" s="15" t="s">
        <v>194</v>
      </c>
    </row>
    <row r="177" customFormat="false" ht="15" hidden="false" customHeight="true" outlineLevel="0" collapsed="false">
      <c r="A177" s="10" t="s">
        <v>436</v>
      </c>
      <c r="B177" s="15" t="s">
        <v>76</v>
      </c>
      <c r="C177" s="10" t="s">
        <v>437</v>
      </c>
      <c r="D177" s="11" t="n">
        <v>1017</v>
      </c>
      <c r="E177" s="11" t="n">
        <v>32</v>
      </c>
      <c r="F177" s="43"/>
      <c r="G177" s="19" t="n">
        <v>0.2347</v>
      </c>
      <c r="H177" s="38" t="n">
        <v>14</v>
      </c>
      <c r="I177" s="11" t="n">
        <v>0</v>
      </c>
      <c r="J177" s="11" t="n">
        <v>3</v>
      </c>
      <c r="K177" s="15" t="s">
        <v>194</v>
      </c>
    </row>
    <row r="178" customFormat="false" ht="15" hidden="false" customHeight="true" outlineLevel="0" collapsed="false">
      <c r="A178" s="10" t="s">
        <v>438</v>
      </c>
      <c r="B178" s="10" t="s">
        <v>107</v>
      </c>
      <c r="C178" s="15" t="s">
        <v>439</v>
      </c>
      <c r="D178" s="11" t="n">
        <v>960</v>
      </c>
      <c r="E178" s="11" t="n">
        <v>1068</v>
      </c>
      <c r="F178" s="43" t="n">
        <v>0.00374531835205993</v>
      </c>
      <c r="G178" s="19" t="n">
        <v>0.2681</v>
      </c>
      <c r="H178" s="38" t="n">
        <v>16</v>
      </c>
      <c r="I178" s="11" t="n">
        <v>0</v>
      </c>
      <c r="J178" s="11" t="n">
        <v>5</v>
      </c>
      <c r="K178" s="15" t="s">
        <v>194</v>
      </c>
    </row>
    <row r="179" customFormat="false" ht="15" hidden="false" customHeight="true" outlineLevel="0" collapsed="false">
      <c r="A179" s="10" t="s">
        <v>440</v>
      </c>
      <c r="B179" s="10" t="s">
        <v>100</v>
      </c>
      <c r="C179" s="10" t="s">
        <v>441</v>
      </c>
      <c r="D179" s="11" t="n">
        <v>967</v>
      </c>
      <c r="E179" s="11" t="n">
        <v>26</v>
      </c>
      <c r="F179" s="43"/>
      <c r="G179" s="19" t="n">
        <v>0.3263</v>
      </c>
      <c r="H179" s="38" t="n">
        <v>13</v>
      </c>
      <c r="I179" s="11" t="n">
        <v>0</v>
      </c>
      <c r="J179" s="11" t="n">
        <v>5</v>
      </c>
      <c r="K179" s="15" t="s">
        <v>194</v>
      </c>
    </row>
    <row r="180" customFormat="false" ht="15" hidden="false" customHeight="true" outlineLevel="0" collapsed="false">
      <c r="A180" s="10" t="s">
        <v>442</v>
      </c>
      <c r="B180" s="10" t="s">
        <v>104</v>
      </c>
      <c r="C180" s="10" t="s">
        <v>443</v>
      </c>
      <c r="D180" s="11" t="n">
        <v>955</v>
      </c>
      <c r="E180" s="11" t="n">
        <v>28</v>
      </c>
      <c r="F180" s="43"/>
      <c r="G180" s="19" t="n">
        <v>0.3005</v>
      </c>
      <c r="H180" s="38" t="n">
        <v>17</v>
      </c>
      <c r="I180" s="11" t="n">
        <v>0</v>
      </c>
      <c r="J180" s="11" t="n">
        <v>7</v>
      </c>
      <c r="K180" s="15" t="s">
        <v>194</v>
      </c>
    </row>
    <row r="181" customFormat="false" ht="15" hidden="false" customHeight="true" outlineLevel="0" collapsed="false">
      <c r="A181" s="10" t="s">
        <v>444</v>
      </c>
      <c r="B181" s="15" t="s">
        <v>69</v>
      </c>
      <c r="C181" s="15" t="s">
        <v>445</v>
      </c>
      <c r="D181" s="11" t="n">
        <v>0</v>
      </c>
      <c r="E181" s="11" t="n">
        <v>215</v>
      </c>
      <c r="F181" s="43" t="n">
        <v>0.0418604651162791</v>
      </c>
      <c r="G181" s="37" t="n">
        <v>0.4965</v>
      </c>
      <c r="H181" s="38" t="n">
        <v>0</v>
      </c>
      <c r="I181" s="11" t="n">
        <v>0</v>
      </c>
      <c r="J181" s="11" t="n">
        <v>0</v>
      </c>
      <c r="K181" s="15" t="s">
        <v>194</v>
      </c>
    </row>
    <row r="182" customFormat="false" ht="15" hidden="false" customHeight="true" outlineLevel="0" collapsed="false">
      <c r="A182" s="10" t="s">
        <v>446</v>
      </c>
      <c r="B182" s="10" t="s">
        <v>100</v>
      </c>
      <c r="C182" s="15" t="s">
        <v>447</v>
      </c>
      <c r="D182" s="11" t="n">
        <v>588</v>
      </c>
      <c r="E182" s="11" t="n">
        <v>55</v>
      </c>
      <c r="F182" s="43" t="n">
        <v>0.0181818181818182</v>
      </c>
      <c r="G182" s="19" t="n">
        <v>0.2448</v>
      </c>
      <c r="H182" s="38" t="n">
        <v>12</v>
      </c>
      <c r="I182" s="11" t="n">
        <v>0</v>
      </c>
      <c r="J182" s="11" t="n">
        <v>1</v>
      </c>
      <c r="K182" s="15" t="s">
        <v>194</v>
      </c>
    </row>
    <row r="183" customFormat="false" ht="15" hidden="false" customHeight="true" outlineLevel="0" collapsed="false">
      <c r="A183" s="10" t="s">
        <v>448</v>
      </c>
      <c r="B183" s="10" t="s">
        <v>107</v>
      </c>
      <c r="C183" s="15" t="s">
        <v>449</v>
      </c>
      <c r="D183" s="11" t="n">
        <v>74</v>
      </c>
      <c r="E183" s="11" t="n">
        <v>377</v>
      </c>
      <c r="F183" s="43" t="n">
        <v>0.0185676392572944</v>
      </c>
      <c r="G183" s="19" t="n">
        <v>0.2128</v>
      </c>
      <c r="H183" s="38" t="n">
        <v>11</v>
      </c>
      <c r="I183" s="11" t="n">
        <v>0</v>
      </c>
      <c r="J183" s="11" t="n">
        <v>0</v>
      </c>
      <c r="K183" s="15" t="s">
        <v>194</v>
      </c>
    </row>
    <row r="184" customFormat="false" ht="15" hidden="false" customHeight="true" outlineLevel="0" collapsed="false">
      <c r="A184" s="10" t="s">
        <v>450</v>
      </c>
      <c r="B184" s="15" t="s">
        <v>74</v>
      </c>
      <c r="C184" s="10" t="s">
        <v>451</v>
      </c>
      <c r="D184" s="11" t="n">
        <v>371</v>
      </c>
      <c r="E184" s="11" t="n">
        <v>107</v>
      </c>
      <c r="F184" s="43" t="n">
        <v>0.00934579439252336</v>
      </c>
      <c r="G184" s="37" t="n">
        <v>0.3952</v>
      </c>
      <c r="H184" s="38" t="n">
        <v>24</v>
      </c>
      <c r="I184" s="11" t="n">
        <v>0</v>
      </c>
      <c r="J184" s="11" t="n">
        <v>4</v>
      </c>
      <c r="K184" s="15" t="s">
        <v>194</v>
      </c>
    </row>
    <row r="185" customFormat="false" ht="15" hidden="false" customHeight="true" outlineLevel="0" collapsed="false">
      <c r="A185" s="10" t="s">
        <v>452</v>
      </c>
      <c r="B185" s="10" t="s">
        <v>104</v>
      </c>
      <c r="C185" s="10" t="s">
        <v>453</v>
      </c>
      <c r="D185" s="11" t="n">
        <v>1007</v>
      </c>
      <c r="E185" s="11" t="n">
        <v>79</v>
      </c>
      <c r="F185" s="43" t="n">
        <v>0.0126582278481013</v>
      </c>
      <c r="G185" s="37" t="n">
        <v>0.3536</v>
      </c>
      <c r="H185" s="38" t="n">
        <v>17</v>
      </c>
      <c r="I185" s="11" t="n">
        <v>1</v>
      </c>
      <c r="J185" s="11" t="n">
        <v>8</v>
      </c>
      <c r="K185" s="15" t="s">
        <v>194</v>
      </c>
    </row>
    <row r="186" customFormat="false" ht="15" hidden="false" customHeight="true" outlineLevel="0" collapsed="false">
      <c r="A186" s="10" t="s">
        <v>454</v>
      </c>
      <c r="B186" s="15" t="s">
        <v>76</v>
      </c>
      <c r="C186" s="10" t="s">
        <v>455</v>
      </c>
      <c r="D186" s="11" t="n">
        <v>1072</v>
      </c>
      <c r="E186" s="11" t="n">
        <v>36</v>
      </c>
      <c r="F186" s="43"/>
      <c r="G186" s="19" t="n">
        <v>0.2754</v>
      </c>
      <c r="H186" s="38" t="n">
        <v>19</v>
      </c>
      <c r="I186" s="11" t="n">
        <v>0</v>
      </c>
      <c r="J186" s="11" t="n">
        <v>1</v>
      </c>
      <c r="K186" s="15" t="s">
        <v>194</v>
      </c>
    </row>
    <row r="187" customFormat="false" ht="15" hidden="false" customHeight="true" outlineLevel="0" collapsed="false">
      <c r="A187" s="10" t="s">
        <v>456</v>
      </c>
      <c r="B187" s="10" t="s">
        <v>100</v>
      </c>
      <c r="C187" s="15" t="s">
        <v>457</v>
      </c>
      <c r="D187" s="11" t="n">
        <v>820</v>
      </c>
      <c r="E187" s="11" t="n">
        <v>27</v>
      </c>
      <c r="F187" s="43"/>
      <c r="G187" s="19" t="n">
        <v>0.3193</v>
      </c>
      <c r="H187" s="38" t="n">
        <v>14</v>
      </c>
      <c r="I187" s="11" t="n">
        <v>1</v>
      </c>
      <c r="J187" s="11" t="n">
        <v>1</v>
      </c>
      <c r="K187" s="15" t="s">
        <v>194</v>
      </c>
    </row>
    <row r="188" customFormat="false" ht="15" hidden="false" customHeight="true" outlineLevel="0" collapsed="false">
      <c r="A188" s="10" t="s">
        <v>458</v>
      </c>
      <c r="B188" s="15" t="s">
        <v>69</v>
      </c>
      <c r="C188" s="15" t="s">
        <v>459</v>
      </c>
      <c r="D188" s="11" t="n">
        <v>5201</v>
      </c>
      <c r="E188" s="11" t="n">
        <v>172</v>
      </c>
      <c r="F188" s="43" t="n">
        <v>0.0116279069767442</v>
      </c>
      <c r="G188" s="12" t="n">
        <v>0.501</v>
      </c>
      <c r="H188" s="38" t="n">
        <v>31</v>
      </c>
      <c r="I188" s="11" t="n">
        <v>4</v>
      </c>
      <c r="J188" s="11" t="n">
        <v>10</v>
      </c>
      <c r="K188" s="15" t="s">
        <v>194</v>
      </c>
    </row>
  </sheetData>
  <autoFilter ref="A4:K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26"/>
    <col collapsed="false" customWidth="true" hidden="false" outlineLevel="0" max="4" min="4" style="1" width="58"/>
    <col collapsed="false" customWidth="true" hidden="false" outlineLevel="0" max="5" min="5" style="1" width="42"/>
    <col collapsed="false" customWidth="true" hidden="false" outlineLevel="0" max="6" min="6" style="1" width="15"/>
    <col collapsed="false" customWidth="true" hidden="false" outlineLevel="0" max="7" min="7" style="1" width="26"/>
  </cols>
  <sheetData>
    <row r="1" customFormat="false" ht="19.5" hidden="false" customHeight="true" outlineLevel="0" collapsed="false">
      <c r="A1" s="32" t="s">
        <v>460</v>
      </c>
    </row>
    <row r="2" customFormat="false" ht="25.5" hidden="false" customHeight="true" outlineLevel="0" collapsed="false">
      <c r="A2" s="57" t="s">
        <v>461</v>
      </c>
    </row>
    <row r="4" customFormat="false" ht="31.5" hidden="false" customHeight="true" outlineLevel="0" collapsed="false">
      <c r="A4" s="8" t="s">
        <v>462</v>
      </c>
      <c r="B4" s="9" t="s">
        <v>463</v>
      </c>
      <c r="C4" s="9" t="s">
        <v>464</v>
      </c>
      <c r="D4" s="9" t="s">
        <v>465</v>
      </c>
      <c r="E4" s="9" t="s">
        <v>466</v>
      </c>
      <c r="F4" s="9" t="s">
        <v>121</v>
      </c>
      <c r="G4" s="9" t="s">
        <v>467</v>
      </c>
    </row>
    <row r="5" customFormat="false" ht="79.5" hidden="false" customHeight="true" outlineLevel="0" collapsed="false">
      <c r="A5" s="10" t="n">
        <v>1</v>
      </c>
      <c r="B5" s="14" t="s">
        <v>468</v>
      </c>
      <c r="C5" s="14" t="s">
        <v>469</v>
      </c>
      <c r="D5" s="58" t="s">
        <v>470</v>
      </c>
      <c r="E5" s="58" t="s">
        <v>471</v>
      </c>
      <c r="F5" s="59" t="s">
        <v>472</v>
      </c>
      <c r="G5" s="58" t="s">
        <v>473</v>
      </c>
    </row>
    <row r="6" customFormat="false" ht="79.5" hidden="false" customHeight="true" outlineLevel="0" collapsed="false">
      <c r="A6" s="10" t="n">
        <v>2</v>
      </c>
      <c r="B6" s="14" t="s">
        <v>474</v>
      </c>
      <c r="C6" s="14" t="s">
        <v>475</v>
      </c>
      <c r="D6" s="58" t="s">
        <v>476</v>
      </c>
      <c r="E6" s="58" t="s">
        <v>477</v>
      </c>
      <c r="F6" s="59" t="s">
        <v>472</v>
      </c>
      <c r="G6" s="58" t="s">
        <v>478</v>
      </c>
    </row>
    <row r="7" customFormat="false" ht="79.5" hidden="false" customHeight="true" outlineLevel="0" collapsed="false">
      <c r="A7" s="10" t="n">
        <v>3</v>
      </c>
      <c r="B7" s="58" t="s">
        <v>479</v>
      </c>
      <c r="C7" s="14" t="s">
        <v>480</v>
      </c>
      <c r="D7" s="58" t="s">
        <v>481</v>
      </c>
      <c r="E7" s="58" t="s">
        <v>482</v>
      </c>
      <c r="F7" s="59" t="s">
        <v>472</v>
      </c>
      <c r="G7" s="58" t="s">
        <v>483</v>
      </c>
    </row>
    <row r="8" customFormat="false" ht="79.5" hidden="false" customHeight="true" outlineLevel="0" collapsed="false">
      <c r="A8" s="10" t="n">
        <v>4</v>
      </c>
      <c r="B8" s="58" t="s">
        <v>484</v>
      </c>
      <c r="C8" s="14" t="s">
        <v>485</v>
      </c>
      <c r="D8" s="14" t="s">
        <v>486</v>
      </c>
      <c r="E8" s="58" t="s">
        <v>487</v>
      </c>
      <c r="F8" s="59" t="s">
        <v>472</v>
      </c>
      <c r="G8" s="58" t="s">
        <v>488</v>
      </c>
    </row>
    <row r="9" customFormat="false" ht="79.5" hidden="false" customHeight="true" outlineLevel="0" collapsed="false">
      <c r="A9" s="10" t="n">
        <v>5</v>
      </c>
      <c r="B9" s="58" t="s">
        <v>79</v>
      </c>
      <c r="C9" s="14" t="s">
        <v>489</v>
      </c>
      <c r="D9" s="58" t="s">
        <v>490</v>
      </c>
      <c r="E9" s="58" t="s">
        <v>491</v>
      </c>
      <c r="F9" s="55" t="s">
        <v>492</v>
      </c>
      <c r="G9" s="58" t="s">
        <v>493</v>
      </c>
    </row>
    <row r="10" customFormat="false" ht="79.5" hidden="false" customHeight="true" outlineLevel="0" collapsed="false">
      <c r="A10" s="10" t="n">
        <v>6</v>
      </c>
      <c r="B10" s="58" t="s">
        <v>73</v>
      </c>
      <c r="C10" s="14" t="s">
        <v>494</v>
      </c>
      <c r="D10" s="58" t="s">
        <v>495</v>
      </c>
      <c r="E10" s="58" t="s">
        <v>496</v>
      </c>
      <c r="F10" s="55" t="s">
        <v>492</v>
      </c>
      <c r="G10" s="58" t="s">
        <v>497</v>
      </c>
    </row>
    <row r="11" customFormat="false" ht="79.5" hidden="false" customHeight="true" outlineLevel="0" collapsed="false">
      <c r="A11" s="10" t="n">
        <v>7</v>
      </c>
      <c r="B11" s="58" t="s">
        <v>75</v>
      </c>
      <c r="C11" s="14" t="s">
        <v>498</v>
      </c>
      <c r="D11" s="58" t="s">
        <v>499</v>
      </c>
      <c r="E11" s="58" t="s">
        <v>500</v>
      </c>
      <c r="F11" s="55" t="s">
        <v>492</v>
      </c>
      <c r="G11" s="58" t="s">
        <v>501</v>
      </c>
    </row>
    <row r="12" customFormat="false" ht="79.5" hidden="false" customHeight="true" outlineLevel="0" collapsed="false">
      <c r="A12" s="10" t="n">
        <v>8</v>
      </c>
      <c r="B12" s="14" t="s">
        <v>502</v>
      </c>
      <c r="C12" s="58" t="s">
        <v>503</v>
      </c>
      <c r="D12" s="58" t="s">
        <v>504</v>
      </c>
      <c r="E12" s="58" t="s">
        <v>505</v>
      </c>
      <c r="F12" s="59" t="s">
        <v>472</v>
      </c>
      <c r="G12" s="14" t="s">
        <v>506</v>
      </c>
    </row>
    <row r="13" customFormat="false" ht="79.5" hidden="false" customHeight="true" outlineLevel="0" collapsed="false">
      <c r="A13" s="10" t="n">
        <v>9</v>
      </c>
      <c r="B13" s="58" t="s">
        <v>507</v>
      </c>
      <c r="C13" s="14" t="s">
        <v>508</v>
      </c>
      <c r="D13" s="58" t="s">
        <v>509</v>
      </c>
      <c r="E13" s="58" t="s">
        <v>510</v>
      </c>
      <c r="F13" s="55" t="s">
        <v>511</v>
      </c>
      <c r="G13" s="14" t="s">
        <v>512</v>
      </c>
    </row>
    <row r="14" customFormat="false" ht="79.5" hidden="false" customHeight="true" outlineLevel="0" collapsed="false">
      <c r="A14" s="10" t="n">
        <v>10</v>
      </c>
      <c r="B14" s="14" t="s">
        <v>468</v>
      </c>
      <c r="C14" s="14" t="s">
        <v>513</v>
      </c>
      <c r="D14" s="14" t="s">
        <v>514</v>
      </c>
      <c r="E14" s="58" t="s">
        <v>515</v>
      </c>
      <c r="F14" s="59" t="s">
        <v>472</v>
      </c>
      <c r="G14" s="58" t="s">
        <v>516</v>
      </c>
    </row>
    <row r="15" customFormat="false" ht="79.5" hidden="false" customHeight="true" outlineLevel="0" collapsed="false">
      <c r="A15" s="10" t="n">
        <v>11</v>
      </c>
      <c r="B15" s="58" t="s">
        <v>70</v>
      </c>
      <c r="C15" s="14" t="s">
        <v>517</v>
      </c>
      <c r="D15" s="58" t="s">
        <v>518</v>
      </c>
      <c r="E15" s="58" t="s">
        <v>519</v>
      </c>
      <c r="F15" s="59" t="s">
        <v>472</v>
      </c>
      <c r="G15" s="58" t="s">
        <v>520</v>
      </c>
    </row>
    <row r="16" customFormat="false" ht="79.5" hidden="false" customHeight="true" outlineLevel="0" collapsed="false">
      <c r="A16" s="10" t="n">
        <v>12</v>
      </c>
      <c r="B16" s="14" t="s">
        <v>468</v>
      </c>
      <c r="C16" s="58" t="s">
        <v>521</v>
      </c>
      <c r="D16" s="58" t="s">
        <v>522</v>
      </c>
      <c r="E16" s="58" t="s">
        <v>523</v>
      </c>
      <c r="F16" s="59" t="s">
        <v>472</v>
      </c>
      <c r="G16" s="58" t="s">
        <v>71</v>
      </c>
    </row>
    <row r="18" customFormat="false" ht="15" hidden="false" customHeight="true" outlineLevel="0" collapsed="false">
      <c r="A18" s="7" t="s">
        <v>524</v>
      </c>
    </row>
    <row r="19" customFormat="false" ht="15" hidden="false" customHeight="true" outlineLevel="0" collapsed="false">
      <c r="A19" s="60" t="s">
        <v>525</v>
      </c>
    </row>
    <row r="20" customFormat="false" ht="15" hidden="false" customHeight="true" outlineLevel="0" collapsed="false">
      <c r="A20" s="60" t="s">
        <v>526</v>
      </c>
    </row>
    <row r="21" customFormat="false" ht="15" hidden="false" customHeight="true" outlineLevel="0" collapsed="false">
      <c r="A21" s="60" t="s">
        <v>527</v>
      </c>
    </row>
    <row r="22" customFormat="false" ht="15" hidden="false" customHeight="true" outlineLevel="0" collapsed="false">
      <c r="A22" s="60" t="s">
        <v>528</v>
      </c>
    </row>
    <row r="24" customFormat="false" ht="15" hidden="false" customHeight="true" outlineLevel="0" collapsed="false">
      <c r="A24" s="7" t="s">
        <v>529</v>
      </c>
    </row>
    <row r="25" customFormat="false" ht="15" hidden="false" customHeight="true" outlineLevel="0" collapsed="false">
      <c r="A25" s="60" t="s">
        <v>530</v>
      </c>
    </row>
    <row r="26" customFormat="false" ht="15" hidden="false" customHeight="true" outlineLevel="0" collapsed="false">
      <c r="A26" s="60" t="s">
        <v>531</v>
      </c>
    </row>
    <row r="27" customFormat="false" ht="15" hidden="false" customHeight="true" outlineLevel="0" collapsed="false">
      <c r="A27" s="60" t="s">
        <v>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11" min="2" style="1" width="14"/>
  </cols>
  <sheetData>
    <row r="1" customFormat="false" ht="15.75" hidden="false" customHeight="true" outlineLevel="0" collapsed="false">
      <c r="A1" s="32" t="s">
        <v>533</v>
      </c>
    </row>
    <row r="3" customFormat="false" ht="15" hidden="false" customHeight="true" outlineLevel="0" collapsed="false">
      <c r="A3" s="7" t="s">
        <v>534</v>
      </c>
    </row>
    <row r="4" customFormat="false" ht="15" hidden="false" customHeight="true" outlineLevel="0" collapsed="false">
      <c r="A4" s="33" t="s">
        <v>535</v>
      </c>
    </row>
    <row r="6" customFormat="false" ht="30" hidden="false" customHeight="true" outlineLevel="0" collapsed="false">
      <c r="A6" s="9" t="s">
        <v>96</v>
      </c>
      <c r="B6" s="8" t="s">
        <v>536</v>
      </c>
      <c r="C6" s="9" t="s">
        <v>69</v>
      </c>
      <c r="D6" s="8" t="s">
        <v>537</v>
      </c>
      <c r="E6" s="9" t="s">
        <v>74</v>
      </c>
      <c r="F6" s="9" t="s">
        <v>76</v>
      </c>
      <c r="G6" s="8" t="s">
        <v>538</v>
      </c>
    </row>
    <row r="7" customFormat="false" ht="15" hidden="false" customHeight="true" outlineLevel="0" collapsed="false">
      <c r="A7" s="10" t="s">
        <v>106</v>
      </c>
      <c r="B7" s="37"/>
      <c r="C7" s="37"/>
      <c r="D7" s="37" t="n">
        <v>0.434633333333333</v>
      </c>
      <c r="E7" s="37" t="n">
        <v>0.491225</v>
      </c>
      <c r="F7" s="37" t="n">
        <v>0.67296</v>
      </c>
      <c r="G7" s="37"/>
    </row>
    <row r="8" customFormat="false" ht="15" hidden="false" customHeight="true" outlineLevel="0" collapsed="false">
      <c r="A8" s="10" t="s">
        <v>105</v>
      </c>
      <c r="B8" s="37" t="n">
        <v>0.47662</v>
      </c>
      <c r="C8" s="37"/>
      <c r="D8" s="37" t="n">
        <v>0.529623076923077</v>
      </c>
      <c r="E8" s="37" t="n">
        <v>0.61316</v>
      </c>
      <c r="F8" s="37" t="n">
        <v>0.654914285714286</v>
      </c>
      <c r="G8" s="37"/>
    </row>
    <row r="9" customFormat="false" ht="15" hidden="false" customHeight="true" outlineLevel="0" collapsed="false">
      <c r="A9" s="10" t="s">
        <v>101</v>
      </c>
      <c r="B9" s="37" t="n">
        <v>0.4655125</v>
      </c>
      <c r="C9" s="37" t="n">
        <v>0.398375</v>
      </c>
      <c r="D9" s="37" t="n">
        <v>0.488642857142857</v>
      </c>
      <c r="E9" s="37" t="n">
        <v>0.616333333333334</v>
      </c>
      <c r="F9" s="37" t="n">
        <v>0.55675</v>
      </c>
      <c r="G9" s="37" t="n">
        <v>0.5918</v>
      </c>
    </row>
    <row r="10" customFormat="false" ht="15" hidden="false" customHeight="true" outlineLevel="0" collapsed="false">
      <c r="A10" s="10" t="s">
        <v>102</v>
      </c>
      <c r="B10" s="37" t="n">
        <v>0.372966666666667</v>
      </c>
      <c r="C10" s="37" t="n">
        <v>0.5109125</v>
      </c>
      <c r="D10" s="37" t="n">
        <v>0.338009090909091</v>
      </c>
      <c r="E10" s="37" t="n">
        <v>0.351357142857143</v>
      </c>
      <c r="F10" s="37" t="n">
        <v>0.403742857142857</v>
      </c>
      <c r="G10" s="37" t="n">
        <v>0.443161538461538</v>
      </c>
    </row>
    <row r="11" customFormat="false" ht="15" hidden="false" customHeight="true" outlineLevel="0" collapsed="false">
      <c r="A11" s="10" t="s">
        <v>103</v>
      </c>
      <c r="B11" s="37" t="n">
        <v>0.41199</v>
      </c>
      <c r="C11" s="37" t="n">
        <v>0.635790909090909</v>
      </c>
      <c r="D11" s="37" t="n">
        <v>0.326878571428571</v>
      </c>
      <c r="E11" s="37" t="n">
        <v>0.411111111111111</v>
      </c>
      <c r="F11" s="37" t="n">
        <v>0.281488888888889</v>
      </c>
      <c r="G11" s="37" t="n">
        <v>0.375877777777778</v>
      </c>
    </row>
    <row r="12" customFormat="false" ht="15" hidden="false" customHeight="true" outlineLevel="0" collapsed="false">
      <c r="A12" s="10" t="s">
        <v>108</v>
      </c>
      <c r="B12" s="37"/>
      <c r="C12" s="37"/>
      <c r="D12" s="37" t="n">
        <v>0.406466666666667</v>
      </c>
      <c r="E12" s="37"/>
      <c r="F12" s="37"/>
      <c r="G12" s="37"/>
    </row>
    <row r="15" customFormat="false" ht="16.5" hidden="false" customHeight="true" outlineLevel="0" collapsed="false">
      <c r="A15" s="7" t="s">
        <v>539</v>
      </c>
    </row>
    <row r="16" customFormat="false" ht="15" hidden="false" customHeight="true" outlineLevel="0" collapsed="false">
      <c r="A16" s="34" t="s">
        <v>540</v>
      </c>
    </row>
    <row r="17" customFormat="false" ht="30" hidden="false" customHeight="true" outlineLevel="0" collapsed="false">
      <c r="A17" s="9" t="s">
        <v>6</v>
      </c>
      <c r="B17" s="9" t="s">
        <v>97</v>
      </c>
      <c r="C17" s="8" t="s">
        <v>541</v>
      </c>
      <c r="D17" s="8" t="s">
        <v>542</v>
      </c>
      <c r="E17" s="8" t="s">
        <v>543</v>
      </c>
      <c r="F17" s="8" t="s">
        <v>544</v>
      </c>
      <c r="G17" s="8" t="s">
        <v>545</v>
      </c>
      <c r="H17" s="8" t="s">
        <v>546</v>
      </c>
      <c r="I17" s="8" t="s">
        <v>547</v>
      </c>
      <c r="J17" s="8" t="s">
        <v>548</v>
      </c>
      <c r="K17" s="8" t="s">
        <v>549</v>
      </c>
    </row>
    <row r="18" customFormat="false" ht="15" hidden="false" customHeight="true" outlineLevel="0" collapsed="false">
      <c r="A18" s="15" t="s">
        <v>86</v>
      </c>
      <c r="B18" s="10" t="n">
        <v>5</v>
      </c>
      <c r="C18" s="37" t="n">
        <v>0.53575</v>
      </c>
      <c r="D18" s="37" t="n">
        <v>0.45142</v>
      </c>
      <c r="E18" s="37" t="n">
        <v>0.3901</v>
      </c>
      <c r="F18" s="37" t="n">
        <v>0.353</v>
      </c>
      <c r="G18" s="37" t="n">
        <v>0.33334</v>
      </c>
      <c r="H18" s="37" t="n">
        <v>0.40556</v>
      </c>
      <c r="I18" s="37" t="n">
        <v>0.6138</v>
      </c>
      <c r="J18" s="37" t="n">
        <v>0.7249</v>
      </c>
      <c r="K18" s="19" t="n">
        <v>0.08433</v>
      </c>
    </row>
    <row r="19" customFormat="false" ht="15" hidden="false" customHeight="true" outlineLevel="0" collapsed="false">
      <c r="A19" s="39" t="s">
        <v>69</v>
      </c>
      <c r="B19" s="10" t="n">
        <v>10</v>
      </c>
      <c r="C19" s="37" t="n">
        <v>0.45781</v>
      </c>
      <c r="D19" s="37" t="n">
        <v>0.44047</v>
      </c>
      <c r="E19" s="37" t="n">
        <v>0.44627</v>
      </c>
      <c r="F19" s="37" t="n">
        <v>0.45669</v>
      </c>
      <c r="G19" s="37" t="n">
        <v>0.479605</v>
      </c>
      <c r="H19" s="37" t="n">
        <v>0.551935</v>
      </c>
      <c r="I19" s="37" t="n">
        <v>0.58205</v>
      </c>
      <c r="J19" s="37" t="n">
        <v>0.604485</v>
      </c>
      <c r="K19" s="12" t="n">
        <v>0.0173399999999999</v>
      </c>
    </row>
    <row r="20" customFormat="false" ht="15" hidden="false" customHeight="true" outlineLevel="0" collapsed="false">
      <c r="A20" s="15" t="s">
        <v>80</v>
      </c>
      <c r="B20" s="10" t="n">
        <v>7</v>
      </c>
      <c r="C20" s="37" t="n">
        <v>0.433385714285714</v>
      </c>
      <c r="D20" s="37" t="n">
        <v>0.384907142857143</v>
      </c>
      <c r="E20" s="37" t="n">
        <v>0.373992857142857</v>
      </c>
      <c r="F20" s="37" t="n">
        <v>0.376178571428571</v>
      </c>
      <c r="G20" s="37" t="n">
        <v>0.392428571428571</v>
      </c>
      <c r="H20" s="37" t="n">
        <v>0.429292857142857</v>
      </c>
      <c r="I20" s="37" t="n">
        <v>0.608421428571429</v>
      </c>
      <c r="J20" s="37" t="n">
        <v>0.798857142857143</v>
      </c>
      <c r="K20" s="19" t="n">
        <v>0.0484785714285714</v>
      </c>
    </row>
    <row r="21" customFormat="false" ht="15" hidden="false" customHeight="true" outlineLevel="0" collapsed="false">
      <c r="A21" s="15" t="s">
        <v>82</v>
      </c>
      <c r="B21" s="10" t="n">
        <v>8</v>
      </c>
      <c r="C21" s="37" t="n">
        <v>0.42728125</v>
      </c>
      <c r="D21" s="37" t="n">
        <v>0.3707875</v>
      </c>
      <c r="E21" s="37" t="n">
        <v>0.3549375</v>
      </c>
      <c r="F21" s="37" t="n">
        <v>0.35380625</v>
      </c>
      <c r="G21" s="37" t="n">
        <v>0.3682</v>
      </c>
      <c r="H21" s="37" t="n">
        <v>0.413825</v>
      </c>
      <c r="I21" s="37" t="n">
        <v>0.5425625</v>
      </c>
      <c r="J21" s="37" t="n">
        <v>0.73875</v>
      </c>
      <c r="K21" s="19" t="n">
        <v>0.05649375</v>
      </c>
    </row>
    <row r="22" customFormat="false" ht="15" hidden="false" customHeight="true" outlineLevel="0" collapsed="false">
      <c r="A22" s="15" t="s">
        <v>88</v>
      </c>
      <c r="B22" s="10" t="n">
        <v>4</v>
      </c>
      <c r="C22" s="37" t="n">
        <v>0.354825</v>
      </c>
      <c r="D22" s="37" t="n">
        <v>0.3131625</v>
      </c>
      <c r="E22" s="37" t="n">
        <v>0.3097625</v>
      </c>
      <c r="F22" s="37" t="n">
        <v>0.3151</v>
      </c>
      <c r="G22" s="37" t="n">
        <v>0.3342</v>
      </c>
      <c r="H22" s="37" t="n">
        <v>0.3728375</v>
      </c>
      <c r="I22" s="37" t="n">
        <v>0.5132125</v>
      </c>
      <c r="J22" s="37" t="n">
        <v>0.645975</v>
      </c>
      <c r="K22" s="16" t="n">
        <v>0.0416625</v>
      </c>
    </row>
    <row r="23" customFormat="false" ht="15" hidden="false" customHeight="true" outlineLevel="0" collapsed="false">
      <c r="A23" s="35" t="s">
        <v>67</v>
      </c>
      <c r="B23" s="10" t="n">
        <v>25</v>
      </c>
      <c r="C23" s="37" t="n">
        <v>0.347332</v>
      </c>
      <c r="D23" s="37" t="n">
        <v>0.30949</v>
      </c>
      <c r="E23" s="37" t="n">
        <v>0.306786</v>
      </c>
      <c r="F23" s="37" t="n">
        <v>0.313972</v>
      </c>
      <c r="G23" s="37" t="n">
        <v>0.33448</v>
      </c>
      <c r="H23" s="37" t="n">
        <v>0.375356</v>
      </c>
      <c r="I23" s="37" t="n">
        <v>0.43831</v>
      </c>
      <c r="J23" s="37" t="n">
        <v>0.598708</v>
      </c>
      <c r="K23" s="16" t="n">
        <v>0.037842</v>
      </c>
    </row>
    <row r="24" customFormat="false" ht="15" hidden="false" customHeight="true" outlineLevel="0" collapsed="false">
      <c r="A24" s="39" t="s">
        <v>76</v>
      </c>
      <c r="B24" s="10" t="n">
        <v>25</v>
      </c>
      <c r="C24" s="37" t="n">
        <v>0.333526</v>
      </c>
      <c r="D24" s="37" t="n">
        <v>0.303814</v>
      </c>
      <c r="E24" s="37" t="n">
        <v>0.306432</v>
      </c>
      <c r="F24" s="37" t="n">
        <v>0.316238</v>
      </c>
      <c r="G24" s="37" t="n">
        <v>0.336764</v>
      </c>
      <c r="H24" s="37" t="n">
        <v>0.37911</v>
      </c>
      <c r="I24" s="37" t="n">
        <v>0.424308</v>
      </c>
      <c r="J24" s="37" t="n">
        <v>0.565334</v>
      </c>
      <c r="K24" s="16" t="n">
        <v>0.029712</v>
      </c>
    </row>
    <row r="25" customFormat="false" ht="15" hidden="false" customHeight="true" outlineLevel="0" collapsed="false">
      <c r="A25" s="39" t="s">
        <v>74</v>
      </c>
      <c r="B25" s="10" t="n">
        <v>25</v>
      </c>
      <c r="C25" s="37" t="n">
        <v>0.33254</v>
      </c>
      <c r="D25" s="37" t="n">
        <v>0.30227</v>
      </c>
      <c r="E25" s="37" t="n">
        <v>0.30405</v>
      </c>
      <c r="F25" s="37" t="n">
        <v>0.311626</v>
      </c>
      <c r="G25" s="37" t="n">
        <v>0.328844</v>
      </c>
      <c r="H25" s="37" t="n">
        <v>0.353672</v>
      </c>
      <c r="I25" s="37" t="n">
        <v>0.417512</v>
      </c>
      <c r="J25" s="37" t="n">
        <v>0.565724</v>
      </c>
      <c r="K25" s="16" t="n">
        <v>0.03027</v>
      </c>
    </row>
    <row r="26" customFormat="false" ht="15" hidden="false" customHeight="true" outlineLevel="0" collapsed="false">
      <c r="A26" s="35" t="s">
        <v>72</v>
      </c>
      <c r="B26" s="10" t="n">
        <v>25</v>
      </c>
      <c r="C26" s="37" t="n">
        <v>0.322632</v>
      </c>
      <c r="D26" s="37" t="n">
        <v>0.272898</v>
      </c>
      <c r="E26" s="37" t="n">
        <v>0.260094</v>
      </c>
      <c r="F26" s="37" t="n">
        <v>0.259378</v>
      </c>
      <c r="G26" s="37" t="n">
        <v>0.274238</v>
      </c>
      <c r="H26" s="37" t="n">
        <v>0.315896</v>
      </c>
      <c r="I26" s="37" t="n">
        <v>0.397048</v>
      </c>
      <c r="J26" s="37" t="n">
        <v>0.576928</v>
      </c>
      <c r="K26" s="19" t="n">
        <v>0.049734</v>
      </c>
    </row>
    <row r="27" customFormat="false" ht="15" hidden="false" customHeight="true" outlineLevel="0" collapsed="false">
      <c r="A27" s="15" t="s">
        <v>84</v>
      </c>
      <c r="B27" s="10" t="n">
        <v>7</v>
      </c>
      <c r="C27" s="37" t="n">
        <v>0.2949</v>
      </c>
      <c r="D27" s="37" t="n">
        <v>0.2636</v>
      </c>
      <c r="E27" s="37" t="n">
        <v>0.268092857142857</v>
      </c>
      <c r="F27" s="37" t="n">
        <v>0.278964285714286</v>
      </c>
      <c r="G27" s="37" t="n">
        <v>0.297342857142857</v>
      </c>
      <c r="H27" s="37" t="n">
        <v>0.325471428571429</v>
      </c>
      <c r="I27" s="37" t="n">
        <v>0.358207142857143</v>
      </c>
      <c r="J27" s="37" t="n">
        <v>0.577392857142857</v>
      </c>
      <c r="K27" s="16" t="n">
        <v>0.0313</v>
      </c>
    </row>
    <row r="28" customFormat="false" ht="15" hidden="false" customHeight="true" outlineLevel="0" collapsed="false">
      <c r="A28" s="35" t="s">
        <v>78</v>
      </c>
      <c r="B28" s="10" t="n">
        <v>19</v>
      </c>
      <c r="C28" s="37" t="n">
        <v>0.294242105263158</v>
      </c>
      <c r="D28" s="37" t="n">
        <v>0.255107894736842</v>
      </c>
      <c r="E28" s="37" t="n">
        <v>0.250621052631579</v>
      </c>
      <c r="F28" s="37" t="n">
        <v>0.255173684210526</v>
      </c>
      <c r="G28" s="37" t="n">
        <v>0.275618421052632</v>
      </c>
      <c r="H28" s="37" t="n">
        <v>0.323018421052632</v>
      </c>
      <c r="I28" s="37" t="n">
        <v>0.398297368421053</v>
      </c>
      <c r="J28" s="37" t="n">
        <v>0.581102631578947</v>
      </c>
      <c r="K28" s="16" t="n">
        <v>0.0391342105263157</v>
      </c>
    </row>
    <row r="31" customFormat="false" ht="16.5" hidden="false" customHeight="true" outlineLevel="0" collapsed="false">
      <c r="A31" s="7" t="s">
        <v>550</v>
      </c>
    </row>
    <row r="32" customFormat="false" ht="15" hidden="false" customHeight="true" outlineLevel="0" collapsed="false">
      <c r="A32" s="34" t="s">
        <v>551</v>
      </c>
    </row>
    <row r="33" customFormat="false" ht="15" hidden="false" customHeight="true" outlineLevel="0" collapsed="false">
      <c r="A33" s="34" t="s">
        <v>552</v>
      </c>
    </row>
    <row r="34" customFormat="false" ht="15" hidden="false" customHeight="true" outlineLevel="0" collapsed="false">
      <c r="A34" s="34" t="s">
        <v>553</v>
      </c>
    </row>
    <row r="35" customFormat="false" ht="30" hidden="false" customHeight="true" outlineLevel="0" collapsed="false">
      <c r="A35" s="9" t="s">
        <v>6</v>
      </c>
      <c r="B35" s="9" t="s">
        <v>554</v>
      </c>
      <c r="C35" s="9" t="s">
        <v>97</v>
      </c>
      <c r="D35" s="9" t="s">
        <v>98</v>
      </c>
      <c r="E35" s="9" t="s">
        <v>64</v>
      </c>
      <c r="F35" s="9" t="s">
        <v>555</v>
      </c>
      <c r="G35" s="9" t="s">
        <v>11</v>
      </c>
      <c r="H35" s="9" t="s">
        <v>556</v>
      </c>
    </row>
    <row r="36" customFormat="false" ht="15" hidden="false" customHeight="true" outlineLevel="0" collapsed="false">
      <c r="A36" s="10" t="s">
        <v>100</v>
      </c>
      <c r="B36" s="10" t="s">
        <v>557</v>
      </c>
      <c r="C36" s="10" t="n">
        <v>5</v>
      </c>
      <c r="D36" s="11" t="n">
        <v>1379.4</v>
      </c>
      <c r="E36" s="37" t="n">
        <v>0.61064</v>
      </c>
      <c r="F36" s="11" t="n">
        <v>2</v>
      </c>
      <c r="G36" s="50" t="n">
        <v>0.28998115122517</v>
      </c>
      <c r="H36" s="10"/>
    </row>
    <row r="37" customFormat="false" ht="15" hidden="false" customHeight="true" outlineLevel="0" collapsed="false">
      <c r="A37" s="10" t="s">
        <v>100</v>
      </c>
      <c r="B37" s="10" t="s">
        <v>558</v>
      </c>
      <c r="C37" s="10" t="n">
        <v>5</v>
      </c>
      <c r="D37" s="11" t="n">
        <v>1050.6</v>
      </c>
      <c r="E37" s="37" t="n">
        <v>0.38972</v>
      </c>
      <c r="F37" s="11" t="n">
        <v>2</v>
      </c>
      <c r="G37" s="13" t="n">
        <v>0.380734818199124</v>
      </c>
      <c r="H37" s="61" t="s">
        <v>559</v>
      </c>
    </row>
    <row r="38" customFormat="false" ht="15" hidden="false" customHeight="true" outlineLevel="0" collapsed="false">
      <c r="A38" s="10" t="s">
        <v>100</v>
      </c>
      <c r="B38" s="10" t="s">
        <v>560</v>
      </c>
      <c r="C38" s="10" t="n">
        <v>9</v>
      </c>
      <c r="D38" s="11" t="n">
        <v>939</v>
      </c>
      <c r="E38" s="37" t="n">
        <v>0.455844444444445</v>
      </c>
      <c r="F38" s="11" t="n">
        <v>0</v>
      </c>
      <c r="G38" s="18" t="n">
        <v>0</v>
      </c>
      <c r="H38" s="56" t="s">
        <v>561</v>
      </c>
    </row>
    <row r="39" customFormat="false" ht="15" hidden="false" customHeight="true" outlineLevel="0" collapsed="false">
      <c r="A39" s="10" t="s">
        <v>100</v>
      </c>
      <c r="B39" s="10" t="s">
        <v>562</v>
      </c>
      <c r="C39" s="10" t="n">
        <v>4</v>
      </c>
      <c r="D39" s="11" t="n">
        <v>815</v>
      </c>
      <c r="E39" s="37" t="n">
        <v>0.476025</v>
      </c>
      <c r="F39" s="11" t="n">
        <v>1</v>
      </c>
      <c r="G39" s="50" t="n">
        <v>0.306748466257669</v>
      </c>
      <c r="H39" s="10"/>
    </row>
    <row r="40" customFormat="false" ht="15" hidden="false" customHeight="true" outlineLevel="0" collapsed="false">
      <c r="A40" s="15" t="s">
        <v>69</v>
      </c>
      <c r="B40" s="10" t="s">
        <v>563</v>
      </c>
      <c r="C40" s="10" t="n">
        <v>6</v>
      </c>
      <c r="D40" s="11" t="n">
        <v>1305</v>
      </c>
      <c r="E40" s="37" t="n">
        <v>0.559983333333333</v>
      </c>
      <c r="F40" s="11" t="n">
        <v>3</v>
      </c>
      <c r="G40" s="50" t="n">
        <v>0.383141762452107</v>
      </c>
      <c r="H40" s="10"/>
    </row>
    <row r="41" customFormat="false" ht="15" hidden="false" customHeight="true" outlineLevel="0" collapsed="false">
      <c r="A41" s="15" t="s">
        <v>69</v>
      </c>
      <c r="B41" s="10" t="s">
        <v>564</v>
      </c>
      <c r="C41" s="10" t="n">
        <v>9</v>
      </c>
      <c r="D41" s="11" t="n">
        <v>2043</v>
      </c>
      <c r="E41" s="37" t="n">
        <v>0.657744444444445</v>
      </c>
      <c r="F41" s="11" t="n">
        <v>17</v>
      </c>
      <c r="G41" s="50" t="n">
        <v>0.924566269647033</v>
      </c>
      <c r="H41" s="10"/>
    </row>
    <row r="42" customFormat="false" ht="15" hidden="false" customHeight="true" outlineLevel="0" collapsed="false">
      <c r="A42" s="15" t="s">
        <v>69</v>
      </c>
      <c r="B42" s="10" t="s">
        <v>565</v>
      </c>
      <c r="C42" s="10" t="n">
        <v>5</v>
      </c>
      <c r="D42" s="11" t="n">
        <v>855</v>
      </c>
      <c r="E42" s="37" t="n">
        <v>0.39716</v>
      </c>
      <c r="F42" s="11" t="n">
        <v>4</v>
      </c>
      <c r="G42" s="13" t="n">
        <v>0.935672514619883</v>
      </c>
      <c r="H42" s="61" t="s">
        <v>559</v>
      </c>
    </row>
    <row r="43" customFormat="false" ht="15" hidden="false" customHeight="true" outlineLevel="0" collapsed="false">
      <c r="A43" s="10" t="s">
        <v>104</v>
      </c>
      <c r="B43" s="10" t="s">
        <v>557</v>
      </c>
      <c r="C43" s="10" t="n">
        <v>6</v>
      </c>
      <c r="D43" s="11" t="n">
        <v>826.166666666667</v>
      </c>
      <c r="E43" s="37" t="n">
        <v>0.420183333333333</v>
      </c>
      <c r="F43" s="11" t="n">
        <v>1</v>
      </c>
      <c r="G43" s="50" t="n">
        <v>0.201734920314707</v>
      </c>
      <c r="H43" s="10"/>
    </row>
    <row r="44" customFormat="false" ht="15" hidden="false" customHeight="true" outlineLevel="0" collapsed="false">
      <c r="A44" s="10" t="s">
        <v>104</v>
      </c>
      <c r="B44" s="10" t="s">
        <v>566</v>
      </c>
      <c r="C44" s="10" t="n">
        <v>4</v>
      </c>
      <c r="D44" s="11" t="n">
        <v>801</v>
      </c>
      <c r="E44" s="37" t="n">
        <v>0.470325</v>
      </c>
      <c r="F44" s="11" t="n">
        <v>1</v>
      </c>
      <c r="G44" s="50" t="n">
        <v>0.31210986267166</v>
      </c>
      <c r="H44" s="10"/>
    </row>
    <row r="45" customFormat="false" ht="15" hidden="false" customHeight="true" outlineLevel="0" collapsed="false">
      <c r="A45" s="10" t="s">
        <v>104</v>
      </c>
      <c r="B45" s="10" t="s">
        <v>564</v>
      </c>
      <c r="C45" s="10" t="n">
        <v>18</v>
      </c>
      <c r="D45" s="11" t="n">
        <v>786.166666666667</v>
      </c>
      <c r="E45" s="37" t="n">
        <v>0.43055</v>
      </c>
      <c r="F45" s="11" t="n">
        <v>12</v>
      </c>
      <c r="G45" s="13" t="n">
        <v>0.847996608013568</v>
      </c>
      <c r="H45" s="61" t="s">
        <v>559</v>
      </c>
    </row>
    <row r="46" customFormat="false" ht="15" hidden="false" customHeight="true" outlineLevel="0" collapsed="false">
      <c r="A46" s="10" t="s">
        <v>104</v>
      </c>
      <c r="B46" s="10" t="s">
        <v>560</v>
      </c>
      <c r="C46" s="10" t="n">
        <v>6</v>
      </c>
      <c r="D46" s="11" t="n">
        <v>729.666666666667</v>
      </c>
      <c r="E46" s="37" t="n">
        <v>0.3794</v>
      </c>
      <c r="F46" s="11" t="n">
        <v>1</v>
      </c>
      <c r="G46" s="50" t="n">
        <v>0.228414801279123</v>
      </c>
      <c r="H46" s="10"/>
    </row>
    <row r="47" customFormat="false" ht="15" hidden="false" customHeight="true" outlineLevel="0" collapsed="false">
      <c r="A47" s="15" t="s">
        <v>76</v>
      </c>
      <c r="B47" s="10" t="s">
        <v>558</v>
      </c>
      <c r="C47" s="10" t="n">
        <v>5</v>
      </c>
      <c r="D47" s="11" t="n">
        <v>743.8</v>
      </c>
      <c r="E47" s="37" t="n">
        <v>0.33118</v>
      </c>
      <c r="F47" s="11" t="n">
        <v>1</v>
      </c>
      <c r="G47" s="50" t="n">
        <v>0.268889486421081</v>
      </c>
      <c r="H47" s="10"/>
    </row>
    <row r="48" customFormat="false" ht="15" hidden="false" customHeight="true" outlineLevel="0" collapsed="false">
      <c r="A48" s="15" t="s">
        <v>76</v>
      </c>
      <c r="B48" s="10" t="s">
        <v>564</v>
      </c>
      <c r="C48" s="10" t="n">
        <v>8</v>
      </c>
      <c r="D48" s="11" t="n">
        <v>998.5</v>
      </c>
      <c r="E48" s="37" t="n">
        <v>0.3268875</v>
      </c>
      <c r="F48" s="11" t="n">
        <v>3</v>
      </c>
      <c r="G48" s="13" t="n">
        <v>0.375563345017526</v>
      </c>
      <c r="H48" s="61" t="s">
        <v>559</v>
      </c>
    </row>
    <row r="49" customFormat="false" ht="15" hidden="false" customHeight="true" outlineLevel="0" collapsed="false">
      <c r="A49" s="15" t="s">
        <v>76</v>
      </c>
      <c r="B49" s="10" t="s">
        <v>560</v>
      </c>
      <c r="C49" s="10" t="n">
        <v>16</v>
      </c>
      <c r="D49" s="11" t="n">
        <v>1116.875</v>
      </c>
      <c r="E49" s="37" t="n">
        <v>0.6074</v>
      </c>
      <c r="F49" s="11" t="n">
        <v>5</v>
      </c>
      <c r="G49" s="50" t="n">
        <v>0.279798545047566</v>
      </c>
      <c r="H49" s="10"/>
    </row>
    <row r="50" customFormat="false" ht="15" hidden="false" customHeight="true" outlineLevel="0" collapsed="false">
      <c r="A50" s="10" t="s">
        <v>107</v>
      </c>
      <c r="B50" s="10" t="s">
        <v>557</v>
      </c>
      <c r="C50" s="10" t="n">
        <v>19</v>
      </c>
      <c r="D50" s="11" t="n">
        <v>778.421052631579</v>
      </c>
      <c r="E50" s="37" t="n">
        <v>0.4475</v>
      </c>
      <c r="F50" s="11" t="n">
        <v>7</v>
      </c>
      <c r="G50" s="18" t="n">
        <v>0.473292765382015</v>
      </c>
      <c r="H50" s="56" t="s">
        <v>561</v>
      </c>
    </row>
    <row r="51" customFormat="false" ht="15" hidden="false" customHeight="true" outlineLevel="0" collapsed="false">
      <c r="A51" s="10" t="s">
        <v>107</v>
      </c>
      <c r="B51" s="10" t="s">
        <v>558</v>
      </c>
      <c r="C51" s="10" t="n">
        <v>3</v>
      </c>
      <c r="D51" s="11" t="n">
        <v>761</v>
      </c>
      <c r="E51" s="37" t="n">
        <v>0.533033333333334</v>
      </c>
      <c r="F51" s="11" t="n">
        <v>3</v>
      </c>
      <c r="G51" s="13" t="n">
        <v>1.31406044678055</v>
      </c>
      <c r="H51" s="61" t="s">
        <v>559</v>
      </c>
    </row>
    <row r="52" customFormat="false" ht="15" hidden="false" customHeight="true" outlineLevel="0" collapsed="false">
      <c r="A52" s="10" t="s">
        <v>107</v>
      </c>
      <c r="B52" s="10" t="s">
        <v>566</v>
      </c>
      <c r="C52" s="10" t="n">
        <v>4</v>
      </c>
      <c r="D52" s="11" t="n">
        <v>870.25</v>
      </c>
      <c r="E52" s="37" t="n">
        <v>0.254575</v>
      </c>
      <c r="F52" s="11" t="n">
        <v>2</v>
      </c>
      <c r="G52" s="50" t="n">
        <v>0.57454754380925</v>
      </c>
      <c r="H52" s="10"/>
    </row>
    <row r="53" customFormat="false" ht="15" hidden="false" customHeight="true" outlineLevel="0" collapsed="false">
      <c r="A53" s="10" t="s">
        <v>107</v>
      </c>
      <c r="B53" s="10" t="s">
        <v>560</v>
      </c>
      <c r="C53" s="10" t="n">
        <v>7</v>
      </c>
      <c r="D53" s="11" t="n">
        <v>678.714285714286</v>
      </c>
      <c r="E53" s="37" t="n">
        <v>0.465042857142857</v>
      </c>
      <c r="F53" s="11" t="n">
        <v>3</v>
      </c>
      <c r="G53" s="50" t="n">
        <v>0.631446011366028</v>
      </c>
      <c r="H53" s="10"/>
    </row>
    <row r="54" customFormat="false" ht="15" hidden="false" customHeight="true" outlineLevel="0" collapsed="false">
      <c r="A54" s="10" t="s">
        <v>107</v>
      </c>
      <c r="B54" s="10" t="s">
        <v>565</v>
      </c>
      <c r="C54" s="10" t="n">
        <v>12</v>
      </c>
      <c r="D54" s="11" t="n">
        <v>540.083333333333</v>
      </c>
      <c r="E54" s="37" t="n">
        <v>0.325358333333333</v>
      </c>
      <c r="F54" s="11" t="n">
        <v>7</v>
      </c>
      <c r="G54" s="50" t="n">
        <v>1.08008023453171</v>
      </c>
      <c r="H54" s="10"/>
    </row>
    <row r="55" customFormat="false" ht="15" hidden="false" customHeight="true" outlineLevel="0" collapsed="false">
      <c r="A55" s="15" t="s">
        <v>74</v>
      </c>
      <c r="B55" s="10" t="s">
        <v>558</v>
      </c>
      <c r="C55" s="10" t="n">
        <v>7</v>
      </c>
      <c r="D55" s="11" t="n">
        <v>532</v>
      </c>
      <c r="E55" s="37" t="n">
        <v>0.420842857142857</v>
      </c>
      <c r="F55" s="11" t="n">
        <v>2</v>
      </c>
      <c r="G55" s="50" t="n">
        <v>0.537056928034372</v>
      </c>
      <c r="H55" s="10"/>
    </row>
    <row r="56" customFormat="false" ht="15" hidden="false" customHeight="true" outlineLevel="0" collapsed="false">
      <c r="A56" s="15" t="s">
        <v>74</v>
      </c>
      <c r="B56" s="10" t="s">
        <v>560</v>
      </c>
      <c r="C56" s="10" t="n">
        <v>3</v>
      </c>
      <c r="D56" s="11" t="n">
        <v>580.666666666667</v>
      </c>
      <c r="E56" s="37" t="n">
        <v>0.351433333333333</v>
      </c>
      <c r="F56" s="11" t="n">
        <v>1</v>
      </c>
      <c r="G56" s="13" t="n">
        <v>0.574052812858783</v>
      </c>
      <c r="H56" s="61" t="s">
        <v>559</v>
      </c>
    </row>
    <row r="57" customFormat="false" ht="15" hidden="false" customHeight="true" outlineLevel="0" collapsed="false">
      <c r="A57" s="15" t="s">
        <v>74</v>
      </c>
      <c r="B57" s="10" t="s">
        <v>565</v>
      </c>
      <c r="C57" s="10" t="n">
        <v>18</v>
      </c>
      <c r="D57" s="11" t="n">
        <v>1273.5</v>
      </c>
      <c r="E57" s="37" t="n">
        <v>0.5065</v>
      </c>
      <c r="F57" s="11" t="n">
        <v>5</v>
      </c>
      <c r="G57" s="18" t="n">
        <v>0.218121537320595</v>
      </c>
      <c r="H57" s="56" t="s">
        <v>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2026-09-05T01:35:00Z</dcterms:created>
  <dc:creator>openpyxl</dc:creator>
  <dc:description/>
  <dc:language>en-US</dc:language>
  <cp:lastModifiedBy/>
  <dcterms:modified xsi:type="dcterms:W3CDTF">2026-09-05T10:38:21Z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