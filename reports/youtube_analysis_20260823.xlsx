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definedNames>
    <definedName function="false" hidden="true" localSheetId="2" name="_xlnm._FilterDatabase" vbProcedure="false">動画別パフォーマンス!$A$3:$N$307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指揮者</author>
  </authors>
  <commentList>
    <comment ref="J7" authorId="0">
      <text>
        <r>
          <rPr>
            <sz val="10"/>
            <rFont val="Arial"/>
            <family val="2"/>
          </rPr>
          <t xml:space="preserve">scp-lab </t>
        </r>
        <r>
          <rPr>
            <sz val="10"/>
            <rFont val="Noto Sans CJK SC"/>
            <family val="2"/>
          </rPr>
          <t xml:space="preserve">の登録者</t>
        </r>
        <r>
          <rPr>
            <sz val="10"/>
            <rFont val="Arial"/>
            <family val="2"/>
          </rPr>
          <t xml:space="preserve">/1000</t>
        </r>
        <r>
          <rPr>
            <sz val="10"/>
            <rFont val="Noto Sans CJK SC"/>
            <family val="2"/>
          </rPr>
          <t xml:space="preserve">再生は他チャンネルの約</t>
        </r>
        <r>
          <rPr>
            <sz val="10"/>
            <rFont val="Arial"/>
            <family val="2"/>
          </rPr>
          <t xml:space="preserve">2.6</t>
        </r>
        <r>
          <rPr>
            <sz val="10"/>
            <rFont val="Noto Sans CJK SC"/>
            <family val="2"/>
          </rPr>
          <t xml:space="preserve">倍。リーチ</t>
        </r>
        <r>
          <rPr>
            <sz val="10"/>
            <rFont val="Arial"/>
            <family val="2"/>
          </rPr>
          <t xml:space="preserve">(</t>
        </r>
        <r>
          <rPr>
            <sz val="10"/>
            <rFont val="Noto Sans CJK SC"/>
            <family val="2"/>
          </rPr>
          <t xml:space="preserve">インプレッション</t>
        </r>
        <r>
          <rPr>
            <sz val="10"/>
            <rFont val="Arial"/>
            <family val="2"/>
          </rPr>
          <t xml:space="preserve">)</t>
        </r>
        <r>
          <rPr>
            <sz val="10"/>
            <rFont val="Noto Sans CJK SC"/>
            <family val="2"/>
          </rPr>
          <t xml:space="preserve">も最大だが </t>
        </r>
        <r>
          <rPr>
            <sz val="10"/>
            <rFont val="Arial"/>
            <family val="2"/>
          </rPr>
          <t xml:space="preserve">CTR </t>
        </r>
        <r>
          <rPr>
            <sz val="10"/>
            <rFont val="Noto Sans CJK SC"/>
            <family val="2"/>
          </rPr>
          <t xml:space="preserve">は最下位で、クリック率の改善が全社の登録者数に最も効く構造になっている。</t>
        </r>
      </text>
    </comment>
  </commentList>
</comments>
</file>

<file path=xl/sharedStrings.xml><?xml version="1.0" encoding="utf-8"?>
<sst xmlns="http://schemas.openxmlformats.org/spreadsheetml/2006/main" count="1779" uniqueCount="689">
  <si>
    <r>
      <rPr>
        <b val="true"/>
        <sz val="14"/>
        <color rgb="FF1F3864"/>
        <rFont val="Arial"/>
        <family val="0"/>
        <charset val="1"/>
      </rPr>
      <t xml:space="preserve">YouTube Factory </t>
    </r>
    <r>
      <rPr>
        <b val="true"/>
        <sz val="14"/>
        <color rgb="FF1F3864"/>
        <rFont val="Noto Sans CJK SC"/>
        <family val="2"/>
      </rPr>
      <t xml:space="preserve">日次分析レポート </t>
    </r>
    <r>
      <rPr>
        <b val="true"/>
        <sz val="14"/>
        <color rgb="FF1F3864"/>
        <rFont val="Arial"/>
        <family val="0"/>
        <charset val="1"/>
      </rPr>
      <t xml:space="preserve">2026-08-23</t>
    </r>
  </si>
  <si>
    <r>
      <rPr>
        <i val="true"/>
        <sz val="9"/>
        <color rgb="FF808080"/>
        <rFont val="Noto Sans CJK SC"/>
        <family val="2"/>
      </rPr>
      <t xml:space="preserve">データ元</t>
    </r>
    <r>
      <rPr>
        <i val="true"/>
        <sz val="9"/>
        <color rgb="FF808080"/>
        <rFont val="Arial"/>
        <family val="0"/>
        <charset val="1"/>
      </rPr>
      <t xml:space="preserve">: data/analytics/analytics.db</t>
    </r>
    <r>
      <rPr>
        <i val="true"/>
        <sz val="9"/>
        <color rgb="FF808080"/>
        <rFont val="Noto Sans CJK SC"/>
        <family val="2"/>
      </rPr>
      <t xml:space="preserve">（</t>
    </r>
    <r>
      <rPr>
        <i val="true"/>
        <sz val="9"/>
        <color rgb="FF808080"/>
        <rFont val="Arial"/>
        <family val="0"/>
        <charset val="1"/>
      </rPr>
      <t xml:space="preserve">video_metrics </t>
    </r>
    <r>
      <rPr>
        <i val="true"/>
        <sz val="9"/>
        <color rgb="FF808080"/>
        <rFont val="Noto Sans CJK SC"/>
        <family val="2"/>
      </rPr>
      <t xml:space="preserve">最新 </t>
    </r>
    <r>
      <rPr>
        <i val="true"/>
        <sz val="9"/>
        <color rgb="FF808080"/>
        <rFont val="Arial"/>
        <family val="0"/>
        <charset val="1"/>
      </rPr>
      <t xml:space="preserve">2026-08-22 / video_reach_daily </t>
    </r>
    <r>
      <rPr>
        <i val="true"/>
        <sz val="9"/>
        <color rgb="FF808080"/>
        <rFont val="Noto Sans CJK SC"/>
        <family val="2"/>
      </rPr>
      <t xml:space="preserve">最新 </t>
    </r>
    <r>
      <rPr>
        <i val="true"/>
        <sz val="9"/>
        <color rgb="FF808080"/>
        <rFont val="Arial"/>
        <family val="0"/>
        <charset val="1"/>
      </rPr>
      <t xml:space="preserve">2026-08-20</t>
    </r>
    <r>
      <rPr>
        <i val="true"/>
        <sz val="9"/>
        <color rgb="FF808080"/>
        <rFont val="Noto Sans CJK SC"/>
        <family val="2"/>
      </rPr>
      <t xml:space="preserve">）　至上目標</t>
    </r>
    <r>
      <rPr>
        <i val="true"/>
        <sz val="9"/>
        <color rgb="FF808080"/>
        <rFont val="Arial"/>
        <family val="0"/>
        <charset val="1"/>
      </rPr>
      <t xml:space="preserve">: </t>
    </r>
    <r>
      <rPr>
        <i val="true"/>
        <sz val="9"/>
        <color rgb="FF808080"/>
        <rFont val="Noto Sans CJK SC"/>
        <family val="2"/>
      </rPr>
      <t xml:space="preserve">チャンネル登録者数の増加</t>
    </r>
  </si>
  <si>
    <r>
      <rPr>
        <b val="true"/>
        <sz val="10"/>
        <color rgb="FFC00000"/>
        <rFont val="Noto Sans CJK SC"/>
        <family val="2"/>
      </rPr>
      <t xml:space="preserve">※ 本日はじめて </t>
    </r>
    <r>
      <rPr>
        <b val="true"/>
        <sz val="10"/>
        <color rgb="FFC00000"/>
        <rFont val="Arial"/>
        <family val="0"/>
        <charset val="1"/>
      </rPr>
      <t xml:space="preserve">impressions / CTR </t>
    </r>
    <r>
      <rPr>
        <b val="true"/>
        <sz val="10"/>
        <color rgb="FFC00000"/>
        <rFont val="Noto Sans CJK SC"/>
        <family val="2"/>
      </rPr>
      <t xml:space="preserve">が取得できたため、前日まで再生数のみで判定していたタイトル施策を </t>
    </r>
    <r>
      <rPr>
        <b val="true"/>
        <sz val="10"/>
        <color rgb="FFC00000"/>
        <rFont val="Arial"/>
        <family val="0"/>
        <charset val="1"/>
      </rPr>
      <t xml:space="preserve">CTR </t>
    </r>
    <r>
      <rPr>
        <b val="true"/>
        <sz val="10"/>
        <color rgb="FFC00000"/>
        <rFont val="Noto Sans CJK SC"/>
        <family val="2"/>
      </rPr>
      <t xml:space="preserve">と登録者で再検証し、逆効果と判明したものを撤回した。</t>
    </r>
  </si>
  <si>
    <r>
      <rPr>
        <i val="true"/>
        <sz val="9"/>
        <color rgb="FF808080"/>
        <rFont val="Noto Sans CJK SC"/>
        <family val="2"/>
      </rPr>
      <t xml:space="preserve">※ 本数・総再生・維持率・獲得登録者は「直近</t>
    </r>
    <r>
      <rPr>
        <i val="true"/>
        <sz val="9"/>
        <color rgb="FF808080"/>
        <rFont val="Arial"/>
        <family val="0"/>
        <charset val="1"/>
      </rPr>
      <t xml:space="preserve">60</t>
    </r>
    <r>
      <rPr>
        <i val="true"/>
        <sz val="9"/>
        <color rgb="FF808080"/>
        <rFont val="Noto Sans CJK SC"/>
        <family val="2"/>
      </rPr>
      <t xml:space="preserve">日公開・再生数</t>
    </r>
    <r>
      <rPr>
        <i val="true"/>
        <sz val="9"/>
        <color rgb="FF808080"/>
        <rFont val="Arial"/>
        <family val="0"/>
        <charset val="1"/>
      </rPr>
      <t xml:space="preserve">1</t>
    </r>
    <r>
      <rPr>
        <i val="true"/>
        <sz val="9"/>
        <color rgb="FF808080"/>
        <rFont val="Noto Sans CJK SC"/>
        <family val="2"/>
      </rPr>
      <t xml:space="preserve">以上」のコホート。インプレッションと</t>
    </r>
    <r>
      <rPr>
        <i val="true"/>
        <sz val="9"/>
        <color rgb="FF808080"/>
        <rFont val="Arial"/>
        <family val="0"/>
        <charset val="1"/>
      </rPr>
      <t xml:space="preserve">CTR</t>
    </r>
    <r>
      <rPr>
        <i val="true"/>
        <sz val="9"/>
        <color rgb="FF808080"/>
        <rFont val="Noto Sans CJK SC"/>
        <family val="2"/>
      </rPr>
      <t xml:space="preserve">は </t>
    </r>
    <r>
      <rPr>
        <i val="true"/>
        <sz val="9"/>
        <color rgb="FF808080"/>
        <rFont val="Arial"/>
        <family val="0"/>
        <charset val="1"/>
      </rPr>
      <t xml:space="preserve">reach </t>
    </r>
    <r>
      <rPr>
        <i val="true"/>
        <sz val="9"/>
        <color rgb="FF808080"/>
        <rFont val="Noto Sans CJK SC"/>
        <family val="2"/>
      </rPr>
      <t xml:space="preserve">レポートの全期間・全動画（母集団が異なるため直接の割り算はできない）。</t>
    </r>
    <r>
      <rPr>
        <i val="true"/>
        <sz val="9"/>
        <color rgb="FF808080"/>
        <rFont val="Arial"/>
        <family val="0"/>
        <charset val="1"/>
      </rPr>
      <t xml:space="preserve">reach </t>
    </r>
    <r>
      <rPr>
        <i val="true"/>
        <sz val="9"/>
        <color rgb="FF808080"/>
        <rFont val="Noto Sans CJK SC"/>
        <family val="2"/>
      </rPr>
      <t xml:space="preserve">の取り込みは</t>
    </r>
    <r>
      <rPr>
        <i val="true"/>
        <sz val="9"/>
        <color rgb="FF808080"/>
        <rFont val="Arial"/>
        <family val="0"/>
        <charset val="1"/>
      </rPr>
      <t xml:space="preserve">2</t>
    </r>
    <r>
      <rPr>
        <i val="true"/>
        <sz val="9"/>
        <color rgb="FF808080"/>
        <rFont val="Noto Sans CJK SC"/>
        <family val="2"/>
      </rPr>
      <t xml:space="preserve">日遅れのため、</t>
    </r>
    <r>
      <rPr>
        <i val="true"/>
        <sz val="9"/>
        <color rgb="FF808080"/>
        <rFont val="Arial"/>
        <family val="0"/>
        <charset val="1"/>
      </rPr>
      <t xml:space="preserve">CTR</t>
    </r>
    <r>
      <rPr>
        <i val="true"/>
        <sz val="9"/>
        <color rgb="FF808080"/>
        <rFont val="Noto Sans CJK SC"/>
        <family val="2"/>
      </rPr>
      <t xml:space="preserve">は </t>
    </r>
    <r>
      <rPr>
        <i val="true"/>
        <sz val="9"/>
        <color rgb="FF808080"/>
        <rFont val="Arial"/>
        <family val="0"/>
        <charset val="1"/>
      </rPr>
      <t xml:space="preserve">2026-08-20 </t>
    </r>
    <r>
      <rPr>
        <i val="true"/>
        <sz val="9"/>
        <color rgb="FF808080"/>
        <rFont val="Noto Sans CJK SC"/>
        <family val="2"/>
      </rPr>
      <t xml:space="preserve">までの反映。</t>
    </r>
  </si>
  <si>
    <r>
      <rPr>
        <b val="true"/>
        <sz val="11"/>
        <color rgb="FF1F3864"/>
        <rFont val="Noto Sans CJK SC"/>
        <family val="2"/>
      </rPr>
      <t xml:space="preserve">■ チャンネル別サマリー（直近</t>
    </r>
    <r>
      <rPr>
        <b val="true"/>
        <sz val="11"/>
        <color rgb="FF1F3864"/>
        <rFont val="Arial"/>
        <family val="0"/>
        <charset val="1"/>
      </rPr>
      <t xml:space="preserve">60</t>
    </r>
    <r>
      <rPr>
        <b val="true"/>
        <sz val="11"/>
        <color rgb="FF1F3864"/>
        <rFont val="Noto Sans CJK SC"/>
        <family val="2"/>
      </rPr>
      <t xml:space="preserve">日公開分 </t>
    </r>
    <r>
      <rPr>
        <b val="true"/>
        <sz val="11"/>
        <color rgb="FF1F3864"/>
        <rFont val="Arial"/>
        <family val="0"/>
        <charset val="1"/>
      </rPr>
      <t xml:space="preserve">/ </t>
    </r>
    <r>
      <rPr>
        <b val="true"/>
        <sz val="11"/>
        <color rgb="FF1F3864"/>
        <rFont val="Noto Sans CJK SC"/>
        <family val="2"/>
      </rPr>
      <t xml:space="preserve">純増は直近</t>
    </r>
    <r>
      <rPr>
        <b val="true"/>
        <sz val="11"/>
        <color rgb="FF1F3864"/>
        <rFont val="Arial"/>
        <family val="0"/>
        <charset val="1"/>
      </rPr>
      <t xml:space="preserve">30</t>
    </r>
    <r>
      <rPr>
        <b val="true"/>
        <sz val="11"/>
        <color rgb="FF1F3864"/>
        <rFont val="Noto Sans CJK SC"/>
        <family val="2"/>
      </rPr>
      <t xml:space="preserve">日）</t>
    </r>
  </si>
  <si>
    <t xml:space="preserve">チャンネル</t>
  </si>
  <si>
    <t xml:space="preserve">本数</t>
  </si>
  <si>
    <t xml:space="preserve">総再生</t>
  </si>
  <si>
    <t xml:space="preserve">平均再生</t>
  </si>
  <si>
    <t xml:space="preserve">維持率</t>
  </si>
  <si>
    <r>
      <rPr>
        <b val="true"/>
        <sz val="10"/>
        <color rgb="FFFFFFFF"/>
        <rFont val="Noto Sans CJK SC"/>
        <family val="2"/>
      </rPr>
      <t xml:space="preserve">インプレッション
</t>
    </r>
    <r>
      <rPr>
        <b val="true"/>
        <sz val="10"/>
        <color rgb="FFFFFFFF"/>
        <rFont val="Arial"/>
        <family val="0"/>
        <charset val="1"/>
      </rPr>
      <t xml:space="preserve">(</t>
    </r>
    <r>
      <rPr>
        <b val="true"/>
        <sz val="10"/>
        <color rgb="FFFFFFFF"/>
        <rFont val="Noto Sans CJK SC"/>
        <family val="2"/>
      </rPr>
      <t xml:space="preserve">全期間</t>
    </r>
    <r>
      <rPr>
        <b val="true"/>
        <sz val="10"/>
        <color rgb="FFFFFFFF"/>
        <rFont val="Arial"/>
        <family val="0"/>
        <charset val="1"/>
      </rPr>
      <t xml:space="preserve">)</t>
    </r>
  </si>
  <si>
    <r>
      <rPr>
        <b val="true"/>
        <sz val="10"/>
        <color rgb="FFFFFFFF"/>
        <rFont val="Arial"/>
        <family val="0"/>
        <charset val="1"/>
      </rPr>
      <t xml:space="preserve">CTR
(</t>
    </r>
    <r>
      <rPr>
        <b val="true"/>
        <sz val="10"/>
        <color rgb="FFFFFFFF"/>
        <rFont val="Noto Sans CJK SC"/>
        <family val="2"/>
      </rPr>
      <t xml:space="preserve">全期間</t>
    </r>
    <r>
      <rPr>
        <b val="true"/>
        <sz val="10"/>
        <color rgb="FFFFFFFF"/>
        <rFont val="Arial"/>
        <family val="0"/>
        <charset val="1"/>
      </rPr>
      <t xml:space="preserve">)</t>
    </r>
  </si>
  <si>
    <t xml:space="preserve">獲得登録者</t>
  </si>
  <si>
    <r>
      <rPr>
        <b val="true"/>
        <sz val="10"/>
        <color rgb="FFFFFFFF"/>
        <rFont val="Noto Sans CJK SC"/>
        <family val="2"/>
      </rPr>
      <t xml:space="preserve">登録者</t>
    </r>
    <r>
      <rPr>
        <b val="true"/>
        <sz val="10"/>
        <color rgb="FFFFFFFF"/>
        <rFont val="Arial"/>
        <family val="0"/>
        <charset val="1"/>
      </rPr>
      <t xml:space="preserve">/</t>
    </r>
    <r>
      <rPr>
        <b val="true"/>
        <sz val="10"/>
        <color rgb="FFFFFFFF"/>
        <rFont val="Noto Sans CJK SC"/>
        <family val="2"/>
      </rPr>
      <t xml:space="preserve">本</t>
    </r>
  </si>
  <si>
    <r>
      <rPr>
        <b val="true"/>
        <sz val="10"/>
        <color rgb="FFFFFFFF"/>
        <rFont val="Noto Sans CJK SC"/>
        <family val="2"/>
      </rPr>
      <t xml:space="preserve">登録者</t>
    </r>
    <r>
      <rPr>
        <b val="true"/>
        <sz val="10"/>
        <color rgb="FFFFFFFF"/>
        <rFont val="Arial"/>
        <family val="0"/>
        <charset val="1"/>
      </rPr>
      <t xml:space="preserve">/1000</t>
    </r>
    <r>
      <rPr>
        <b val="true"/>
        <sz val="10"/>
        <color rgb="FFFFFFFF"/>
        <rFont val="Noto Sans CJK SC"/>
        <family val="2"/>
      </rPr>
      <t xml:space="preserve">再生</t>
    </r>
  </si>
  <si>
    <r>
      <rPr>
        <b val="true"/>
        <sz val="10"/>
        <color rgb="FFFFFFFF"/>
        <rFont val="Arial"/>
        <family val="0"/>
        <charset val="1"/>
      </rPr>
      <t xml:space="preserve">30</t>
    </r>
    <r>
      <rPr>
        <b val="true"/>
        <sz val="10"/>
        <color rgb="FFFFFFFF"/>
        <rFont val="Noto Sans CJK SC"/>
        <family val="2"/>
      </rPr>
      <t xml:space="preserve">日純増</t>
    </r>
  </si>
  <si>
    <t xml:space="preserve">scp-lab</t>
  </si>
  <si>
    <t xml:space="preserve">daily-science</t>
  </si>
  <si>
    <t xml:space="preserve">pokemon-lab</t>
  </si>
  <si>
    <t xml:space="preserve">yokai-watch</t>
  </si>
  <si>
    <t xml:space="preserve">2ch-matome</t>
  </si>
  <si>
    <r>
      <rPr>
        <b val="true"/>
        <sz val="10"/>
        <rFont val="Noto Sans CJK SC"/>
        <family val="2"/>
      </rPr>
      <t xml:space="preserve">合計</t>
    </r>
    <r>
      <rPr>
        <b val="true"/>
        <sz val="10"/>
        <rFont val="Arial"/>
        <family val="0"/>
        <charset val="1"/>
      </rPr>
      <t xml:space="preserve">/</t>
    </r>
    <r>
      <rPr>
        <b val="true"/>
        <sz val="10"/>
        <rFont val="Noto Sans CJK SC"/>
        <family val="2"/>
      </rPr>
      <t xml:space="preserve">加重平均</t>
    </r>
  </si>
  <si>
    <t xml:space="preserve">■ 本日の重要な発見</t>
  </si>
  <si>
    <t xml:space="preserve">1</t>
  </si>
  <si>
    <r>
      <rPr>
        <b val="true"/>
        <sz val="10"/>
        <rFont val="Arial"/>
        <family val="0"/>
        <charset val="1"/>
      </rPr>
      <t xml:space="preserve">CTR/</t>
    </r>
    <r>
      <rPr>
        <b val="true"/>
        <sz val="10"/>
        <rFont val="Noto Sans CJK SC"/>
        <family val="2"/>
      </rPr>
      <t xml:space="preserve">インプレッションの取得が復旧（前日の最重要未解決事項）</t>
    </r>
  </si>
  <si>
    <r>
      <rPr>
        <sz val="10"/>
        <rFont val="Arial"/>
        <family val="0"/>
        <charset val="1"/>
      </rPr>
      <t xml:space="preserve">video_reach_daily </t>
    </r>
    <r>
      <rPr>
        <sz val="10"/>
        <rFont val="Noto Sans CJK SC"/>
        <family val="2"/>
      </rPr>
      <t xml:space="preserve">に </t>
    </r>
    <r>
      <rPr>
        <sz val="10"/>
        <rFont val="Arial"/>
        <family val="0"/>
        <charset val="1"/>
      </rPr>
      <t xml:space="preserve">57,887 </t>
    </r>
    <r>
      <rPr>
        <sz val="10"/>
        <rFont val="Noto Sans CJK SC"/>
        <family val="2"/>
      </rPr>
      <t xml:space="preserve">インプレッション・</t>
    </r>
    <r>
      <rPr>
        <sz val="10"/>
        <rFont val="Arial"/>
        <family val="0"/>
        <charset val="1"/>
      </rPr>
      <t xml:space="preserve">909 </t>
    </r>
    <r>
      <rPr>
        <sz val="10"/>
        <rFont val="Noto Sans CJK SC"/>
        <family val="2"/>
      </rPr>
      <t xml:space="preserve">クリックが蓄積され、はじめて </t>
    </r>
    <r>
      <rPr>
        <sz val="10"/>
        <rFont val="Arial"/>
        <family val="0"/>
        <charset val="1"/>
      </rPr>
      <t xml:space="preserve">CTR </t>
    </r>
    <r>
      <rPr>
        <sz val="10"/>
        <rFont val="Noto Sans CJK SC"/>
        <family val="2"/>
      </rPr>
      <t xml:space="preserve">ベースの評価が可能になった。これにより、再生数だけで判定していた前日までのタイトル施策を検証できるようになった。</t>
    </r>
  </si>
  <si>
    <t xml:space="preserve">2</t>
  </si>
  <si>
    <r>
      <rPr>
        <b val="true"/>
        <sz val="10"/>
        <rFont val="Noto Sans CJK SC"/>
        <family val="2"/>
      </rPr>
      <t xml:space="preserve">前日のタイトル施策</t>
    </r>
    <r>
      <rPr>
        <b val="true"/>
        <sz val="10"/>
        <rFont val="Arial"/>
        <family val="0"/>
        <charset val="1"/>
      </rPr>
      <t xml:space="preserve">5</t>
    </r>
    <r>
      <rPr>
        <b val="true"/>
        <sz val="10"/>
        <rFont val="Noto Sans CJK SC"/>
        <family val="2"/>
      </rPr>
      <t xml:space="preserve">件のうち</t>
    </r>
    <r>
      <rPr>
        <b val="true"/>
        <sz val="10"/>
        <rFont val="Arial"/>
        <family val="0"/>
        <charset val="1"/>
      </rPr>
      <t xml:space="preserve">4</t>
    </r>
    <r>
      <rPr>
        <b val="true"/>
        <sz val="10"/>
        <rFont val="Noto Sans CJK SC"/>
        <family val="2"/>
      </rPr>
      <t xml:space="preserve">件が、登録者ベースでは支持されず撤回</t>
    </r>
  </si>
  <si>
    <r>
      <rPr>
        <sz val="10"/>
        <rFont val="Arial"/>
        <family val="0"/>
        <charset val="1"/>
      </rPr>
      <t xml:space="preserve">yokai-watch </t>
    </r>
    <r>
      <rPr>
        <sz val="10"/>
        <rFont val="Noto Sans CJK SC"/>
        <family val="2"/>
      </rPr>
      <t xml:space="preserve">の「怖」優先（登録者</t>
    </r>
    <r>
      <rPr>
        <sz val="10"/>
        <rFont val="Arial"/>
        <family val="0"/>
        <charset val="1"/>
      </rPr>
      <t xml:space="preserve">0.75</t>
    </r>
    <r>
      <rPr>
        <sz val="10"/>
        <rFont val="Noto Sans CJK SC"/>
        <family val="2"/>
      </rPr>
      <t xml:space="preserve">倍）、</t>
    </r>
    <r>
      <rPr>
        <sz val="10"/>
        <rFont val="Arial"/>
        <family val="0"/>
        <charset val="1"/>
      </rPr>
      <t xml:space="preserve">yokai-watch </t>
    </r>
    <r>
      <rPr>
        <sz val="10"/>
        <rFont val="Noto Sans CJK SC"/>
        <family val="2"/>
      </rPr>
      <t xml:space="preserve">の「なぜ」禁止（</t>
    </r>
    <r>
      <rPr>
        <sz val="10"/>
        <rFont val="Arial"/>
        <family val="0"/>
        <charset val="1"/>
      </rPr>
      <t xml:space="preserve">1.12</t>
    </r>
    <r>
      <rPr>
        <sz val="10"/>
        <rFont val="Noto Sans CJK SC"/>
        <family val="2"/>
      </rPr>
      <t xml:space="preserve">倍でほぼ中立）、</t>
    </r>
    <r>
      <rPr>
        <sz val="10"/>
        <rFont val="Arial"/>
        <family val="0"/>
        <charset val="1"/>
      </rPr>
      <t xml:space="preserve">daily-science </t>
    </r>
    <r>
      <rPr>
        <sz val="10"/>
        <rFont val="Noto Sans CJK SC"/>
        <family val="2"/>
      </rPr>
      <t xml:space="preserve">の「なぜ」抑制（</t>
    </r>
    <r>
      <rPr>
        <sz val="10"/>
        <rFont val="Arial"/>
        <family val="0"/>
        <charset val="1"/>
      </rPr>
      <t xml:space="preserve">1.58</t>
    </r>
    <r>
      <rPr>
        <sz val="10"/>
        <rFont val="Noto Sans CJK SC"/>
        <family val="2"/>
      </rPr>
      <t xml:space="preserve">倍で有効）、</t>
    </r>
    <r>
      <rPr>
        <sz val="10"/>
        <rFont val="Arial"/>
        <family val="0"/>
        <charset val="1"/>
      </rPr>
      <t xml:space="preserve">daily-science </t>
    </r>
    <r>
      <rPr>
        <sz val="10"/>
        <rFont val="Noto Sans CJK SC"/>
        <family val="2"/>
      </rPr>
      <t xml:space="preserve">の「</t>
    </r>
    <r>
      <rPr>
        <sz val="10"/>
        <rFont val="Arial"/>
        <family val="0"/>
        <charset val="1"/>
      </rPr>
      <t xml:space="preserve">99%</t>
    </r>
    <r>
      <rPr>
        <sz val="10"/>
        <rFont val="Noto Sans CJK SC"/>
        <family val="2"/>
      </rPr>
      <t xml:space="preserve">が知らない」禁止（</t>
    </r>
    <r>
      <rPr>
        <sz val="10"/>
        <rFont val="Arial"/>
        <family val="0"/>
        <charset val="1"/>
      </rPr>
      <t xml:space="preserve">1.57</t>
    </r>
    <r>
      <rPr>
        <sz val="10"/>
        <rFont val="Noto Sans CJK SC"/>
        <family val="2"/>
      </rPr>
      <t xml:space="preserve">倍で有効）。</t>
    </r>
    <r>
      <rPr>
        <sz val="10"/>
        <rFont val="Arial"/>
        <family val="0"/>
        <charset val="1"/>
      </rPr>
      <t xml:space="preserve">scp-lab </t>
    </r>
    <r>
      <rPr>
        <sz val="10"/>
        <rFont val="Noto Sans CJK SC"/>
        <family val="2"/>
      </rPr>
      <t xml:space="preserve">のダッシュ「必ず維持」も、同一コホートでは有意差がなく根拠がなかった。</t>
    </r>
    <r>
      <rPr>
        <sz val="10"/>
        <rFont val="Arial"/>
        <family val="0"/>
        <charset val="1"/>
      </rPr>
      <t xml:space="preserve">5</t>
    </r>
    <r>
      <rPr>
        <sz val="10"/>
        <rFont val="Noto Sans CJK SC"/>
        <family val="2"/>
      </rPr>
      <t xml:space="preserve">件すべてが再生数だけを見て決めたもの。詳細は「改善アクション」シート。</t>
    </r>
  </si>
  <si>
    <t xml:space="preserve">3</t>
  </si>
  <si>
    <r>
      <rPr>
        <b val="true"/>
        <sz val="10"/>
        <rFont val="Noto Sans CJK SC"/>
        <family val="2"/>
      </rPr>
      <t xml:space="preserve">【根本原因】設定の「書き込み先が違う」問題が</t>
    </r>
    <r>
      <rPr>
        <b val="true"/>
        <sz val="10"/>
        <rFont val="Arial"/>
        <family val="0"/>
        <charset val="1"/>
      </rPr>
      <t xml:space="preserve">2</t>
    </r>
    <r>
      <rPr>
        <b val="true"/>
        <sz val="10"/>
        <rFont val="Noto Sans CJK SC"/>
        <family val="2"/>
      </rPr>
      <t xml:space="preserve">箇所あった</t>
    </r>
  </si>
  <si>
    <r>
      <rPr>
        <sz val="10"/>
        <rFont val="Arial"/>
        <family val="0"/>
        <charset val="1"/>
      </rPr>
      <t xml:space="preserve">(a) </t>
    </r>
    <r>
      <rPr>
        <sz val="10"/>
        <rFont val="Noto Sans CJK SC"/>
        <family val="2"/>
      </rPr>
      <t xml:space="preserve">テーマ補充プロンプト</t>
    </r>
    <r>
      <rPr>
        <sz val="10"/>
        <rFont val="Arial"/>
        <family val="0"/>
        <charset val="1"/>
      </rPr>
      <t xml:space="preserve">(generator.suggest_themes)</t>
    </r>
    <r>
      <rPr>
        <sz val="10"/>
        <rFont val="Noto Sans CJK SC"/>
        <family val="2"/>
      </rPr>
      <t xml:space="preserve">は </t>
    </r>
    <r>
      <rPr>
        <sz val="10"/>
        <rFont val="Arial"/>
        <family val="0"/>
        <charset val="1"/>
      </rPr>
      <t xml:space="preserve">voice_style.style_rules </t>
    </r>
    <r>
      <rPr>
        <sz val="10"/>
        <rFont val="Noto Sans CJK SC"/>
        <family val="2"/>
      </rPr>
      <t xml:space="preserve">を一切参照せず </t>
    </r>
    <r>
      <rPr>
        <sz val="10"/>
        <rFont val="Arial"/>
        <family val="0"/>
        <charset val="1"/>
      </rPr>
      <t xml:space="preserve">theme_priority.title_style / good_examples </t>
    </r>
    <r>
      <rPr>
        <sz val="10"/>
        <rFont val="Noto Sans CJK SC"/>
        <family val="2"/>
      </rPr>
      <t xml:space="preserve">のみを使う。そのため前日のタイトル施策は生成に無効だった。</t>
    </r>
    <r>
      <rPr>
        <sz val="10"/>
        <rFont val="Arial"/>
        <family val="0"/>
        <charset val="1"/>
      </rPr>
      <t xml:space="preserve">(b) </t>
    </r>
    <r>
      <rPr>
        <sz val="10"/>
        <rFont val="Noto Sans CJK SC"/>
        <family val="2"/>
      </rPr>
      <t xml:space="preserve">テーマキューが</t>
    </r>
    <r>
      <rPr>
        <sz val="10"/>
        <rFont val="Arial"/>
        <family val="0"/>
        <charset val="1"/>
      </rPr>
      <t xml:space="preserve">2</t>
    </r>
    <r>
      <rPr>
        <sz val="10"/>
        <rFont val="Noto Sans CJK SC"/>
        <family val="2"/>
      </rPr>
      <t xml:space="preserve">系統あり、定時投稿の </t>
    </r>
    <r>
      <rPr>
        <sz val="10"/>
        <rFont val="Arial"/>
        <family val="0"/>
        <charset val="1"/>
      </rPr>
      <t xml:space="preserve">autopilot </t>
    </r>
    <r>
      <rPr>
        <sz val="10"/>
        <rFont val="Noto Sans CJK SC"/>
        <family val="2"/>
      </rPr>
      <t xml:space="preserve">は </t>
    </r>
    <r>
      <rPr>
        <sz val="10"/>
        <rFont val="Arial"/>
        <family val="0"/>
        <charset val="1"/>
      </rPr>
      <t xml:space="preserve">&lt;channel&gt;.json </t>
    </r>
    <r>
      <rPr>
        <sz val="10"/>
        <rFont val="Noto Sans CJK SC"/>
        <family val="2"/>
      </rPr>
      <t xml:space="preserve">の </t>
    </r>
    <r>
      <rPr>
        <sz val="10"/>
        <rFont val="Arial"/>
        <family val="0"/>
        <charset val="1"/>
      </rPr>
      <t xml:space="preserve">autopilot.theme_queue </t>
    </r>
    <r>
      <rPr>
        <sz val="10"/>
        <rFont val="Noto Sans CJK SC"/>
        <family val="2"/>
      </rPr>
      <t xml:space="preserve">を読む。</t>
    </r>
    <r>
      <rPr>
        <sz val="10"/>
        <rFont val="Arial"/>
        <family val="0"/>
        <charset val="1"/>
      </rPr>
      <t xml:space="preserve">data/channels/&lt;id&gt;/theme_queue.json </t>
    </r>
    <r>
      <rPr>
        <sz val="10"/>
        <rFont val="Noto Sans CJK SC"/>
        <family val="2"/>
      </rPr>
      <t xml:space="preserve">は手動の </t>
    </r>
    <r>
      <rPr>
        <sz val="10"/>
        <rFont val="Arial"/>
        <family val="0"/>
        <charset val="1"/>
      </rPr>
      <t xml:space="preserve">/factory/run </t>
    </r>
    <r>
      <rPr>
        <sz val="10"/>
        <rFont val="Noto Sans CJK SC"/>
        <family val="2"/>
      </rPr>
      <t xml:space="preserve">専用。本日はまず</t>
    </r>
    <r>
      <rPr>
        <sz val="10"/>
        <rFont val="Arial"/>
        <family val="0"/>
        <charset val="1"/>
      </rPr>
      <t xml:space="preserve">(b)</t>
    </r>
    <r>
      <rPr>
        <sz val="10"/>
        <rFont val="Noto Sans CJK SC"/>
        <family val="2"/>
      </rPr>
      <t xml:space="preserve">の使われない方だけを直しており、自己検証で気づいて両方を是正した。</t>
    </r>
  </si>
  <si>
    <t xml:space="preserve">4</t>
  </si>
  <si>
    <t xml:space="preserve">維持率の急落は見かけ。公開後経過日数を揃えると崩壊していない</t>
  </si>
  <si>
    <r>
      <rPr>
        <sz val="10"/>
        <rFont val="Noto Sans CJK SC"/>
        <family val="2"/>
      </rPr>
      <t xml:space="preserve">週次集計では全</t>
    </r>
    <r>
      <rPr>
        <sz val="10"/>
        <rFont val="Arial"/>
        <family val="0"/>
        <charset val="1"/>
      </rPr>
      <t xml:space="preserve">5ch</t>
    </r>
    <r>
      <rPr>
        <sz val="10"/>
        <rFont val="Noto Sans CJK SC"/>
        <family val="2"/>
      </rPr>
      <t xml:space="preserve">が </t>
    </r>
    <r>
      <rPr>
        <sz val="10"/>
        <rFont val="Arial"/>
        <family val="0"/>
        <charset val="1"/>
      </rPr>
      <t xml:space="preserve">W33 </t>
    </r>
    <r>
      <rPr>
        <sz val="10"/>
        <rFont val="Noto Sans CJK SC"/>
        <family val="2"/>
      </rPr>
      <t xml:space="preserve">で維持率</t>
    </r>
    <r>
      <rPr>
        <sz val="10"/>
        <rFont val="Arial"/>
        <family val="0"/>
        <charset val="1"/>
      </rPr>
      <t xml:space="preserve">20-36%</t>
    </r>
    <r>
      <rPr>
        <sz val="10"/>
        <rFont val="Noto Sans CJK SC"/>
        <family val="2"/>
      </rPr>
      <t xml:space="preserve">まで落ちたが、これは公開直後の動画がデータ未成熟なため。公開後</t>
    </r>
    <r>
      <rPr>
        <sz val="10"/>
        <rFont val="Arial"/>
        <family val="0"/>
        <charset val="1"/>
      </rPr>
      <t xml:space="preserve">3</t>
    </r>
    <r>
      <rPr>
        <sz val="10"/>
        <rFont val="Noto Sans CJK SC"/>
        <family val="2"/>
      </rPr>
      <t xml:space="preserve">日で揃えると </t>
    </r>
    <r>
      <rPr>
        <sz val="10"/>
        <rFont val="Arial"/>
        <family val="0"/>
        <charset val="1"/>
      </rPr>
      <t xml:space="preserve">41-55% </t>
    </r>
    <r>
      <rPr>
        <sz val="10"/>
        <rFont val="Noto Sans CJK SC"/>
        <family val="2"/>
      </rPr>
      <t xml:space="preserve">で、実際の急落はない。ただし </t>
    </r>
    <r>
      <rPr>
        <sz val="10"/>
        <rFont val="Arial"/>
        <family val="0"/>
        <charset val="1"/>
      </rPr>
      <t xml:space="preserve">pokemon-lab </t>
    </r>
    <r>
      <rPr>
        <sz val="10"/>
        <rFont val="Noto Sans CJK SC"/>
        <family val="2"/>
      </rPr>
      <t xml:space="preserve">と </t>
    </r>
    <r>
      <rPr>
        <sz val="10"/>
        <rFont val="Arial"/>
        <family val="0"/>
        <charset val="1"/>
      </rPr>
      <t xml:space="preserve">yokai-watch </t>
    </r>
    <r>
      <rPr>
        <sz val="10"/>
        <rFont val="Noto Sans CJK SC"/>
        <family val="2"/>
      </rPr>
      <t xml:space="preserve">は </t>
    </r>
    <r>
      <rPr>
        <sz val="10"/>
        <rFont val="Arial"/>
        <family val="0"/>
        <charset val="1"/>
      </rPr>
      <t xml:space="preserve">W30→W33 </t>
    </r>
    <r>
      <rPr>
        <sz val="10"/>
        <rFont val="Noto Sans CJK SC"/>
        <family val="2"/>
      </rPr>
      <t xml:space="preserve">で </t>
    </r>
    <r>
      <rPr>
        <sz val="10"/>
        <rFont val="Arial"/>
        <family val="0"/>
        <charset val="1"/>
      </rPr>
      <t xml:space="preserve">78.7%→55.0% / 63.3%→50.2% </t>
    </r>
    <r>
      <rPr>
        <sz val="10"/>
        <rFont val="Noto Sans CJK SC"/>
        <family val="2"/>
      </rPr>
      <t xml:space="preserve">と緩やかな低下傾向がある。</t>
    </r>
  </si>
  <si>
    <t xml:space="preserve">5</t>
  </si>
  <si>
    <r>
      <rPr>
        <b val="true"/>
        <sz val="10"/>
        <rFont val="Arial"/>
        <family val="0"/>
        <charset val="1"/>
      </rPr>
      <t xml:space="preserve">scp-lab </t>
    </r>
    <r>
      <rPr>
        <b val="true"/>
        <sz val="10"/>
        <rFont val="Noto Sans CJK SC"/>
        <family val="2"/>
      </rPr>
      <t xml:space="preserve">がボトルネックかつ最大の伸びしろ</t>
    </r>
  </si>
  <si>
    <r>
      <rPr>
        <sz val="10"/>
        <rFont val="Noto Sans CJK SC"/>
        <family val="2"/>
      </rPr>
      <t xml:space="preserve">登録者の</t>
    </r>
    <r>
      <rPr>
        <sz val="10"/>
        <rFont val="Arial"/>
        <family val="0"/>
        <charset val="1"/>
      </rPr>
      <t xml:space="preserve">54%</t>
    </r>
    <r>
      <rPr>
        <sz val="10"/>
        <rFont val="Noto Sans CJK SC"/>
        <family val="2"/>
      </rPr>
      <t xml:space="preserve">を</t>
    </r>
    <r>
      <rPr>
        <sz val="10"/>
        <rFont val="Arial"/>
        <family val="0"/>
        <charset val="1"/>
      </rPr>
      <t xml:space="preserve">1ch</t>
    </r>
    <r>
      <rPr>
        <sz val="10"/>
        <rFont val="Noto Sans CJK SC"/>
        <family val="2"/>
      </rPr>
      <t xml:space="preserve">で稼ぐ一方、</t>
    </r>
    <r>
      <rPr>
        <sz val="10"/>
        <rFont val="Arial"/>
        <family val="0"/>
        <charset val="1"/>
      </rPr>
      <t xml:space="preserve">CTR 1.52%</t>
    </r>
    <r>
      <rPr>
        <sz val="10"/>
        <rFont val="Noto Sans CJK SC"/>
        <family val="2"/>
      </rPr>
      <t xml:space="preserve">（最下位）・</t>
    </r>
    <r>
      <rPr>
        <sz val="10"/>
        <rFont val="Arial"/>
        <family val="0"/>
        <charset val="1"/>
      </rPr>
      <t xml:space="preserve">30%</t>
    </r>
    <r>
      <rPr>
        <sz val="10"/>
        <rFont val="Noto Sans CJK SC"/>
        <family val="2"/>
      </rPr>
      <t xml:space="preserve">地点の残存</t>
    </r>
    <r>
      <rPr>
        <sz val="10"/>
        <rFont val="Arial"/>
        <family val="0"/>
        <charset val="1"/>
      </rPr>
      <t xml:space="preserve">0.64</t>
    </r>
    <r>
      <rPr>
        <sz val="10"/>
        <rFont val="Noto Sans CJK SC"/>
        <family val="2"/>
      </rPr>
      <t xml:space="preserve">（最下位）。リーチは全</t>
    </r>
    <r>
      <rPr>
        <sz val="10"/>
        <rFont val="Arial"/>
        <family val="0"/>
        <charset val="1"/>
      </rPr>
      <t xml:space="preserve">ch</t>
    </r>
    <r>
      <rPr>
        <sz val="10"/>
        <rFont val="Noto Sans CJK SC"/>
        <family val="2"/>
      </rPr>
      <t xml:space="preserve">中最大の</t>
    </r>
    <r>
      <rPr>
        <sz val="10"/>
        <rFont val="Arial"/>
        <family val="0"/>
        <charset val="1"/>
      </rPr>
      <t xml:space="preserve">43,997</t>
    </r>
    <r>
      <rPr>
        <sz val="10"/>
        <rFont val="Noto Sans CJK SC"/>
        <family val="2"/>
      </rPr>
      <t xml:space="preserve">インプレッションを持つため、</t>
    </r>
    <r>
      <rPr>
        <sz val="10"/>
        <rFont val="Arial"/>
        <family val="0"/>
        <charset val="1"/>
      </rPr>
      <t xml:space="preserve">CTR </t>
    </r>
    <r>
      <rPr>
        <sz val="10"/>
        <rFont val="Noto Sans CJK SC"/>
        <family val="2"/>
      </rPr>
      <t xml:space="preserve">と維持率の改善が最も費用対効果が高い。</t>
    </r>
  </si>
  <si>
    <t xml:space="preserve">6</t>
  </si>
  <si>
    <t xml:space="preserve">短い尺が登録者に効くが、効果量は当初見えたより小さい</t>
  </si>
  <si>
    <r>
      <rPr>
        <sz val="10"/>
        <rFont val="Noto Sans CJK SC"/>
        <family val="2"/>
      </rPr>
      <t xml:space="preserve">単純な三分位比較では短尺が</t>
    </r>
    <r>
      <rPr>
        <sz val="10"/>
        <rFont val="Arial"/>
        <family val="0"/>
        <charset val="1"/>
      </rPr>
      <t xml:space="preserve">2-3</t>
    </r>
    <r>
      <rPr>
        <sz val="10"/>
        <rFont val="Noto Sans CJK SC"/>
        <family val="2"/>
      </rPr>
      <t xml:space="preserve">倍に見えたが、これは推定尺</t>
    </r>
    <r>
      <rPr>
        <sz val="10"/>
        <rFont val="Arial"/>
        <family val="0"/>
        <charset val="1"/>
      </rPr>
      <t xml:space="preserve">(</t>
    </r>
    <r>
      <rPr>
        <sz val="10"/>
        <rFont val="Noto Sans CJK SC"/>
        <family val="2"/>
      </rPr>
      <t xml:space="preserve">視聴秒数</t>
    </r>
    <r>
      <rPr>
        <sz val="10"/>
        <rFont val="Arial"/>
        <family val="0"/>
        <charset val="1"/>
      </rPr>
      <t xml:space="preserve">÷</t>
    </r>
    <r>
      <rPr>
        <sz val="10"/>
        <rFont val="Noto Sans CJK SC"/>
        <family val="2"/>
      </rPr>
      <t xml:space="preserve">維持率</t>
    </r>
    <r>
      <rPr>
        <sz val="10"/>
        <rFont val="Arial"/>
        <family val="0"/>
        <charset val="1"/>
      </rPr>
      <t xml:space="preserve">)</t>
    </r>
    <r>
      <rPr>
        <sz val="10"/>
        <rFont val="Noto Sans CJK SC"/>
        <family val="2"/>
      </rPr>
      <t xml:space="preserve">と維持率の自己相関による過大評価。維持率</t>
    </r>
    <r>
      <rPr>
        <sz val="10"/>
        <rFont val="Arial"/>
        <family val="0"/>
        <charset val="1"/>
      </rPr>
      <t xml:space="preserve">45-70%</t>
    </r>
    <r>
      <rPr>
        <sz val="10"/>
        <rFont val="Noto Sans CJK SC"/>
        <family val="2"/>
      </rPr>
      <t xml:space="preserve">に絞って再検証すると </t>
    </r>
    <r>
      <rPr>
        <sz val="10"/>
        <rFont val="Arial"/>
        <family val="0"/>
        <charset val="1"/>
      </rPr>
      <t xml:space="preserve">1.33</t>
    </r>
    <r>
      <rPr>
        <sz val="10"/>
        <rFont val="Noto Sans CJK SC"/>
        <family val="2"/>
      </rPr>
      <t xml:space="preserve">倍（</t>
    </r>
    <r>
      <rPr>
        <sz val="10"/>
        <rFont val="Arial"/>
        <family val="0"/>
        <charset val="1"/>
      </rPr>
      <t xml:space="preserve">95%CI 0.88-2.01</t>
    </r>
    <r>
      <rPr>
        <sz val="10"/>
        <rFont val="Noto Sans CJK SC"/>
        <family val="2"/>
      </rPr>
      <t xml:space="preserve">）で有意ではない。過度な短尺化は行わない。</t>
    </r>
  </si>
  <si>
    <t xml:space="preserve">7</t>
  </si>
  <si>
    <r>
      <rPr>
        <b val="true"/>
        <sz val="10"/>
        <rFont val="Noto Sans CJK SC"/>
        <family val="2"/>
      </rPr>
      <t xml:space="preserve">【自己検証で判明】本日の結論そのものに</t>
    </r>
    <r>
      <rPr>
        <b val="true"/>
        <sz val="10"/>
        <rFont val="Arial"/>
        <family val="0"/>
        <charset val="1"/>
      </rPr>
      <t xml:space="preserve">4</t>
    </r>
    <r>
      <rPr>
        <b val="true"/>
        <sz val="10"/>
        <rFont val="Noto Sans CJK SC"/>
        <family val="2"/>
      </rPr>
      <t xml:space="preserve">件の誤りがあり、公開前に訂正した</t>
    </r>
  </si>
  <si>
    <r>
      <rPr>
        <sz val="10"/>
        <rFont val="Arial"/>
        <family val="0"/>
        <charset val="1"/>
      </rPr>
      <t xml:space="preserve">(a) CTR</t>
    </r>
    <r>
      <rPr>
        <sz val="10"/>
        <rFont val="Noto Sans CJK SC"/>
        <family val="2"/>
      </rPr>
      <t xml:space="preserve">の集計母集団が登録者指標と食い違っていた（</t>
    </r>
    <r>
      <rPr>
        <sz val="10"/>
        <rFont val="Arial"/>
        <family val="0"/>
        <charset val="1"/>
      </rPr>
      <t xml:space="preserve">CTR</t>
    </r>
    <r>
      <rPr>
        <sz val="10"/>
        <rFont val="Noto Sans CJK SC"/>
        <family val="2"/>
      </rPr>
      <t xml:space="preserve">は全期間、登録者は</t>
    </r>
    <r>
      <rPr>
        <sz val="10"/>
        <rFont val="Arial"/>
        <family val="0"/>
        <charset val="1"/>
      </rPr>
      <t xml:space="preserve">60</t>
    </r>
    <r>
      <rPr>
        <sz val="10"/>
        <rFont val="Noto Sans CJK SC"/>
        <family val="2"/>
      </rPr>
      <t xml:space="preserve">日コホート）。揃え直した結果、本日の目玉だった『ダッシュ—は</t>
    </r>
    <r>
      <rPr>
        <sz val="10"/>
        <rFont val="Arial"/>
        <family val="0"/>
        <charset val="1"/>
      </rPr>
      <t xml:space="preserve">0.72</t>
    </r>
    <r>
      <rPr>
        <sz val="10"/>
        <rFont val="Noto Sans CJK SC"/>
        <family val="2"/>
      </rPr>
      <t xml:space="preserve">倍で有害』は </t>
    </r>
    <r>
      <rPr>
        <sz val="10"/>
        <rFont val="Arial"/>
        <family val="0"/>
        <charset val="1"/>
      </rPr>
      <t xml:space="preserve">0.97</t>
    </r>
    <r>
      <rPr>
        <sz val="10"/>
        <rFont val="Noto Sans CJK SC"/>
        <family val="2"/>
      </rPr>
      <t xml:space="preserve">倍（</t>
    </r>
    <r>
      <rPr>
        <sz val="10"/>
        <rFont val="Arial"/>
        <family val="0"/>
        <charset val="1"/>
      </rPr>
      <t xml:space="preserve">95%CI 0.81-1.16</t>
    </r>
    <r>
      <rPr>
        <sz val="10"/>
        <rFont val="Noto Sans CJK SC"/>
        <family val="2"/>
      </rPr>
      <t xml:space="preserve">）となり撤回。</t>
    </r>
    <r>
      <rPr>
        <sz val="10"/>
        <rFont val="Arial"/>
        <family val="0"/>
        <charset val="1"/>
      </rPr>
      <t xml:space="preserve">(b) scp-lab</t>
    </r>
    <r>
      <rPr>
        <sz val="10"/>
        <rFont val="Noto Sans CJK SC"/>
        <family val="2"/>
      </rPr>
      <t xml:space="preserve">「怖</t>
    </r>
    <r>
      <rPr>
        <sz val="10"/>
        <rFont val="Arial"/>
        <family val="0"/>
        <charset val="1"/>
      </rPr>
      <t xml:space="preserve">/</t>
    </r>
    <r>
      <rPr>
        <sz val="10"/>
        <rFont val="Noto Sans CJK SC"/>
        <family val="2"/>
      </rPr>
      <t xml:space="preserve">恐」の</t>
    </r>
    <r>
      <rPr>
        <sz val="10"/>
        <rFont val="Arial"/>
        <family val="0"/>
        <charset val="1"/>
      </rPr>
      <t xml:space="preserve">CTR 1.26</t>
    </r>
    <r>
      <rPr>
        <sz val="10"/>
        <rFont val="Noto Sans CJK SC"/>
        <family val="2"/>
      </rPr>
      <t xml:space="preserve">倍も有意でなく、必須から推奨へ格下げ。</t>
    </r>
    <r>
      <rPr>
        <sz val="10"/>
        <rFont val="Arial"/>
        <family val="0"/>
        <charset val="1"/>
      </rPr>
      <t xml:space="preserve">(c) </t>
    </r>
    <r>
      <rPr>
        <sz val="10"/>
        <rFont val="Noto Sans CJK SC"/>
        <family val="2"/>
      </rPr>
      <t xml:space="preserve">テーマキューに実在しない数字（「</t>
    </r>
    <r>
      <rPr>
        <sz val="10"/>
        <rFont val="Arial"/>
        <family val="0"/>
        <charset val="1"/>
      </rPr>
      <t xml:space="preserve">9</t>
    </r>
    <r>
      <rPr>
        <sz val="10"/>
        <rFont val="Noto Sans CJK SC"/>
        <family val="2"/>
      </rPr>
      <t xml:space="preserve">つ」「</t>
    </r>
    <r>
      <rPr>
        <sz val="10"/>
        <rFont val="Arial"/>
        <family val="0"/>
        <charset val="1"/>
      </rPr>
      <t xml:space="preserve">26</t>
    </r>
    <r>
      <rPr>
        <sz val="10"/>
        <rFont val="Noto Sans CJK SC"/>
        <family val="2"/>
      </rPr>
      <t xml:space="preserve">部隊」「</t>
    </r>
    <r>
      <rPr>
        <sz val="10"/>
        <rFont val="Arial"/>
        <family val="0"/>
        <charset val="1"/>
      </rPr>
      <t xml:space="preserve">4</t>
    </r>
    <r>
      <rPr>
        <sz val="10"/>
        <rFont val="Noto Sans CJK SC"/>
        <family val="2"/>
      </rPr>
      <t xml:space="preserve">名」）を付与していたため全削除。</t>
    </r>
    <r>
      <rPr>
        <sz val="10"/>
        <rFont val="Arial"/>
        <family val="0"/>
        <charset val="1"/>
      </rPr>
      <t xml:space="preserve">(d) </t>
    </r>
    <r>
      <rPr>
        <sz val="10"/>
        <rFont val="Noto Sans CJK SC"/>
        <family val="2"/>
      </rPr>
      <t xml:space="preserve">既存</t>
    </r>
    <r>
      <rPr>
        <sz val="10"/>
        <rFont val="Arial"/>
        <family val="0"/>
        <charset val="1"/>
      </rPr>
      <t xml:space="preserve">PDCA</t>
    </r>
    <r>
      <rPr>
        <sz val="10"/>
        <rFont val="Noto Sans CJK SC"/>
        <family val="2"/>
      </rPr>
      <t xml:space="preserve">メモリと突合し、</t>
    </r>
    <r>
      <rPr>
        <sz val="10"/>
        <rFont val="Arial"/>
        <family val="0"/>
        <charset val="1"/>
      </rPr>
      <t xml:space="preserve">daily-science </t>
    </r>
    <r>
      <rPr>
        <sz val="10"/>
        <rFont val="Noto Sans CJK SC"/>
        <family val="2"/>
      </rPr>
      <t xml:space="preserve">の「</t>
    </r>
    <r>
      <rPr>
        <sz val="10"/>
        <rFont val="Arial"/>
        <family val="0"/>
        <charset val="1"/>
      </rPr>
      <t xml:space="preserve">99%</t>
    </r>
    <r>
      <rPr>
        <sz val="10"/>
        <rFont val="Noto Sans CJK SC"/>
        <family val="2"/>
      </rPr>
      <t xml:space="preserve">が知らない」禁止が登録者ベースでは誤りと判明、解除。</t>
    </r>
  </si>
  <si>
    <t xml:space="preserve">8</t>
  </si>
  <si>
    <t xml:space="preserve">同じ誤りを繰り返した構造的な原因は「再生数と登録者の食い違い」を都度確かめていないこと</t>
  </si>
  <si>
    <r>
      <rPr>
        <sz val="10"/>
        <rFont val="Noto Sans CJK SC"/>
        <family val="2"/>
      </rPr>
      <t xml:space="preserve">前日・本日ともに、単一指標だけを見て方針を決めた結果が翌日に覆っている。再生数・</t>
    </r>
    <r>
      <rPr>
        <sz val="10"/>
        <rFont val="Arial"/>
        <family val="0"/>
        <charset val="1"/>
      </rPr>
      <t xml:space="preserve">CTR</t>
    </r>
    <r>
      <rPr>
        <sz val="10"/>
        <rFont val="Noto Sans CJK SC"/>
        <family val="2"/>
      </rPr>
      <t xml:space="preserve">・登録者は頻繁に符号が食い違う（例</t>
    </r>
    <r>
      <rPr>
        <sz val="10"/>
        <rFont val="Arial"/>
        <family val="0"/>
        <charset val="1"/>
      </rPr>
      <t xml:space="preserve">: yokai-watch </t>
    </r>
    <r>
      <rPr>
        <sz val="10"/>
        <rFont val="Noto Sans CJK SC"/>
        <family val="2"/>
      </rPr>
      <t xml:space="preserve">の伝承回は再生</t>
    </r>
    <r>
      <rPr>
        <sz val="10"/>
        <rFont val="Arial"/>
        <family val="0"/>
        <charset val="1"/>
      </rPr>
      <t xml:space="preserve">+21%</t>
    </r>
    <r>
      <rPr>
        <sz val="10"/>
        <rFont val="Noto Sans CJK SC"/>
        <family val="2"/>
      </rPr>
      <t xml:space="preserve">だが登録</t>
    </r>
    <r>
      <rPr>
        <sz val="10"/>
        <rFont val="Arial"/>
        <family val="0"/>
        <charset val="1"/>
      </rPr>
      <t xml:space="preserve">-59%</t>
    </r>
    <r>
      <rPr>
        <sz val="10"/>
        <rFont val="Noto Sans CJK SC"/>
        <family val="2"/>
      </rPr>
      <t xml:space="preserve">）。今後は必ず </t>
    </r>
    <r>
      <rPr>
        <sz val="10"/>
        <rFont val="Arial"/>
        <family val="0"/>
        <charset val="1"/>
      </rPr>
      <t xml:space="preserve">(1)</t>
    </r>
    <r>
      <rPr>
        <sz val="10"/>
        <rFont val="Noto Sans CJK SC"/>
        <family val="2"/>
      </rPr>
      <t xml:space="preserve">集計コホートを揃える </t>
    </r>
    <r>
      <rPr>
        <sz val="10"/>
        <rFont val="Arial"/>
        <family val="0"/>
        <charset val="1"/>
      </rPr>
      <t xml:space="preserve">(2)</t>
    </r>
    <r>
      <rPr>
        <sz val="10"/>
        <rFont val="Noto Sans CJK SC"/>
        <family val="2"/>
      </rPr>
      <t xml:space="preserve">再生・</t>
    </r>
    <r>
      <rPr>
        <sz val="10"/>
        <rFont val="Arial"/>
        <family val="0"/>
        <charset val="1"/>
      </rPr>
      <t xml:space="preserve">CTR</t>
    </r>
    <r>
      <rPr>
        <sz val="10"/>
        <rFont val="Noto Sans CJK SC"/>
        <family val="2"/>
      </rPr>
      <t xml:space="preserve">・</t>
    </r>
    <r>
      <rPr>
        <sz val="10"/>
        <rFont val="Arial"/>
        <family val="0"/>
        <charset val="1"/>
      </rPr>
      <t xml:space="preserve">1</t>
    </r>
    <r>
      <rPr>
        <sz val="10"/>
        <rFont val="Noto Sans CJK SC"/>
        <family val="2"/>
      </rPr>
      <t xml:space="preserve">本あたり登録者の</t>
    </r>
    <r>
      <rPr>
        <sz val="10"/>
        <rFont val="Arial"/>
        <family val="0"/>
        <charset val="1"/>
      </rPr>
      <t xml:space="preserve">3</t>
    </r>
    <r>
      <rPr>
        <sz val="10"/>
        <rFont val="Noto Sans CJK SC"/>
        <family val="2"/>
      </rPr>
      <t xml:space="preserve">指標を併記する </t>
    </r>
    <r>
      <rPr>
        <sz val="10"/>
        <rFont val="Arial"/>
        <family val="0"/>
        <charset val="1"/>
      </rPr>
      <t xml:space="preserve">(3)95%</t>
    </r>
    <r>
      <rPr>
        <sz val="10"/>
        <rFont val="Noto Sans CJK SC"/>
        <family val="2"/>
      </rPr>
      <t xml:space="preserve">信頼区間が</t>
    </r>
    <r>
      <rPr>
        <sz val="10"/>
        <rFont val="Arial"/>
        <family val="0"/>
        <charset val="1"/>
      </rPr>
      <t xml:space="preserve">1</t>
    </r>
    <r>
      <rPr>
        <sz val="10"/>
        <rFont val="Noto Sans CJK SC"/>
        <family val="2"/>
      </rPr>
      <t xml:space="preserve">をまたぐ場合は『必須』にしない、の</t>
    </r>
    <r>
      <rPr>
        <sz val="10"/>
        <rFont val="Arial"/>
        <family val="0"/>
        <charset val="1"/>
      </rPr>
      <t xml:space="preserve">3</t>
    </r>
    <r>
      <rPr>
        <sz val="10"/>
        <rFont val="Noto Sans CJK SC"/>
        <family val="2"/>
      </rPr>
      <t xml:space="preserve">点を満たしてから反映する。</t>
    </r>
  </si>
  <si>
    <t xml:space="preserve">チャンネル別詳細</t>
  </si>
  <si>
    <t xml:space="preserve">● scp-lab</t>
  </si>
  <si>
    <r>
      <rPr>
        <b val="true"/>
        <sz val="10"/>
        <color rgb="FFFFFFFF"/>
        <rFont val="Noto Sans CJK SC"/>
        <family val="2"/>
      </rPr>
      <t xml:space="preserve">公開本数</t>
    </r>
    <r>
      <rPr>
        <b val="true"/>
        <sz val="10"/>
        <color rgb="FFFFFFFF"/>
        <rFont val="Arial"/>
        <family val="0"/>
        <charset val="1"/>
      </rPr>
      <t xml:space="preserve">(60</t>
    </r>
    <r>
      <rPr>
        <b val="true"/>
        <sz val="10"/>
        <color rgb="FFFFFFFF"/>
        <rFont val="Noto Sans CJK SC"/>
        <family val="2"/>
      </rPr>
      <t xml:space="preserve">日</t>
    </r>
    <r>
      <rPr>
        <b val="true"/>
        <sz val="10"/>
        <color rgb="FFFFFFFF"/>
        <rFont val="Arial"/>
        <family val="0"/>
        <charset val="1"/>
      </rPr>
      <t xml:space="preserve">)</t>
    </r>
  </si>
  <si>
    <r>
      <rPr>
        <b val="true"/>
        <sz val="10"/>
        <color rgb="FFFFFFFF"/>
        <rFont val="Noto Sans CJK SC"/>
        <family val="2"/>
      </rPr>
      <t xml:space="preserve">平均再生</t>
    </r>
    <r>
      <rPr>
        <b val="true"/>
        <sz val="10"/>
        <color rgb="FFFFFFFF"/>
        <rFont val="Arial"/>
        <family val="0"/>
        <charset val="1"/>
      </rPr>
      <t xml:space="preserve">/</t>
    </r>
    <r>
      <rPr>
        <b val="true"/>
        <sz val="10"/>
        <color rgb="FFFFFFFF"/>
        <rFont val="Noto Sans CJK SC"/>
        <family val="2"/>
      </rPr>
      <t xml:space="preserve">本</t>
    </r>
  </si>
  <si>
    <t xml:space="preserve">平均維持率</t>
  </si>
  <si>
    <t xml:space="preserve">平均視聴秒数</t>
  </si>
  <si>
    <t xml:space="preserve">インプレッション</t>
  </si>
  <si>
    <t xml:space="preserve">CTR</t>
  </si>
  <si>
    <r>
      <rPr>
        <b val="true"/>
        <sz val="10"/>
        <color rgb="FFFFFFFF"/>
        <rFont val="Noto Sans CJK SC"/>
        <family val="2"/>
      </rPr>
      <t xml:space="preserve">獲得登録者</t>
    </r>
    <r>
      <rPr>
        <b val="true"/>
        <sz val="10"/>
        <color rgb="FFFFFFFF"/>
        <rFont val="Arial"/>
        <family val="0"/>
        <charset val="1"/>
      </rPr>
      <t xml:space="preserve">(60</t>
    </r>
    <r>
      <rPr>
        <b val="true"/>
        <sz val="10"/>
        <color rgb="FFFFFFFF"/>
        <rFont val="Noto Sans CJK SC"/>
        <family val="2"/>
      </rPr>
      <t xml:space="preserve">日</t>
    </r>
    <r>
      <rPr>
        <b val="true"/>
        <sz val="10"/>
        <color rgb="FFFFFFFF"/>
        <rFont val="Arial"/>
        <family val="0"/>
        <charset val="1"/>
      </rPr>
      <t xml:space="preserve">)</t>
    </r>
  </si>
  <si>
    <t xml:space="preserve">高評価率</t>
  </si>
  <si>
    <t xml:space="preserve">コメント総数</t>
  </si>
  <si>
    <r>
      <rPr>
        <b val="true"/>
        <sz val="10"/>
        <rFont val="Noto Sans CJK SC"/>
        <family val="2"/>
      </rPr>
      <t xml:space="preserve">視聴維持カーブ（</t>
    </r>
    <r>
      <rPr>
        <b val="true"/>
        <sz val="10"/>
        <rFont val="Arial"/>
        <family val="0"/>
        <charset val="1"/>
      </rPr>
      <t xml:space="preserve">audience_watch_ratio</t>
    </r>
    <r>
      <rPr>
        <b val="true"/>
        <sz val="10"/>
        <rFont val="Noto Sans CJK SC"/>
        <family val="2"/>
      </rPr>
      <t xml:space="preserve">・</t>
    </r>
    <r>
      <rPr>
        <b val="true"/>
        <sz val="10"/>
        <rFont val="Arial"/>
        <family val="0"/>
        <charset val="1"/>
      </rPr>
      <t xml:space="preserve">1.00</t>
    </r>
    <r>
      <rPr>
        <b val="true"/>
        <sz val="10"/>
        <rFont val="Noto Sans CJK SC"/>
        <family val="2"/>
      </rPr>
      <t xml:space="preserve">未満</t>
    </r>
    <r>
      <rPr>
        <b val="true"/>
        <sz val="10"/>
        <rFont val="Arial"/>
        <family val="0"/>
        <charset val="1"/>
      </rPr>
      <t xml:space="preserve">=</t>
    </r>
    <r>
      <rPr>
        <b val="true"/>
        <sz val="10"/>
        <rFont val="Noto Sans CJK SC"/>
        <family val="2"/>
      </rPr>
      <t xml:space="preserve">平均以下）</t>
    </r>
  </si>
  <si>
    <t xml:space="preserve">再生位置</t>
  </si>
  <si>
    <t xml:space="preserve">0%</t>
  </si>
  <si>
    <t xml:space="preserve">10%</t>
  </si>
  <si>
    <t xml:space="preserve">20%</t>
  </si>
  <si>
    <t xml:space="preserve">30%</t>
  </si>
  <si>
    <t xml:space="preserve">40%</t>
  </si>
  <si>
    <t xml:space="preserve">50%</t>
  </si>
  <si>
    <t xml:space="preserve">60%</t>
  </si>
  <si>
    <t xml:space="preserve">70%</t>
  </si>
  <si>
    <t xml:space="preserve">80%</t>
  </si>
  <si>
    <t xml:space="preserve">90%</t>
  </si>
  <si>
    <t xml:space="preserve">100%</t>
  </si>
  <si>
    <t xml:space="preserve">平均残存</t>
  </si>
  <si>
    <r>
      <rPr>
        <b val="true"/>
        <sz val="10"/>
        <rFont val="Noto Sans CJK SC"/>
        <family val="2"/>
      </rPr>
      <t xml:space="preserve">競合比較（</t>
    </r>
    <r>
      <rPr>
        <b val="true"/>
        <sz val="10"/>
        <rFont val="Arial"/>
        <family val="0"/>
        <charset val="1"/>
      </rPr>
      <t xml:space="preserve">2026-08-23 </t>
    </r>
    <r>
      <rPr>
        <b val="true"/>
        <sz val="10"/>
        <rFont val="Noto Sans CJK SC"/>
        <family val="2"/>
      </rPr>
      <t xml:space="preserve">時点・上位</t>
    </r>
    <r>
      <rPr>
        <b val="true"/>
        <sz val="10"/>
        <rFont val="Arial"/>
        <family val="0"/>
        <charset val="1"/>
      </rPr>
      <t xml:space="preserve">5</t>
    </r>
    <r>
      <rPr>
        <b val="true"/>
        <sz val="10"/>
        <rFont val="Noto Sans CJK SC"/>
        <family val="2"/>
      </rPr>
      <t xml:space="preserve">）</t>
    </r>
  </si>
  <si>
    <t xml:space="preserve">競合チャンネル</t>
  </si>
  <si>
    <t xml:space="preserve">登録者数</t>
  </si>
  <si>
    <t xml:space="preserve">週間投稿本数</t>
  </si>
  <si>
    <r>
      <rPr>
        <b val="true"/>
        <sz val="10"/>
        <color rgb="FFFFFFFF"/>
        <rFont val="Noto Sans CJK SC"/>
        <family val="2"/>
      </rPr>
      <t xml:space="preserve">自</t>
    </r>
    <r>
      <rPr>
        <b val="true"/>
        <sz val="10"/>
        <color rgb="FFFFFFFF"/>
        <rFont val="Arial"/>
        <family val="0"/>
        <charset val="1"/>
      </rPr>
      <t xml:space="preserve">ch</t>
    </r>
    <r>
      <rPr>
        <b val="true"/>
        <sz val="10"/>
        <color rgb="FFFFFFFF"/>
        <rFont val="Noto Sans CJK SC"/>
        <family val="2"/>
      </rPr>
      <t xml:space="preserve">比</t>
    </r>
    <r>
      <rPr>
        <b val="true"/>
        <sz val="10"/>
        <color rgb="FFFFFFFF"/>
        <rFont val="Arial"/>
        <family val="0"/>
        <charset val="1"/>
      </rPr>
      <t xml:space="preserve">(</t>
    </r>
    <r>
      <rPr>
        <b val="true"/>
        <sz val="10"/>
        <color rgb="FFFFFFFF"/>
        <rFont val="Noto Sans CJK SC"/>
        <family val="2"/>
      </rPr>
      <t xml:space="preserve">平均再生</t>
    </r>
    <r>
      <rPr>
        <b val="true"/>
        <sz val="10"/>
        <color rgb="FFFFFFFF"/>
        <rFont val="Arial"/>
        <family val="0"/>
        <charset val="1"/>
      </rPr>
      <t xml:space="preserve">)</t>
    </r>
  </si>
  <si>
    <r>
      <rPr>
        <sz val="10"/>
        <rFont val="Arial"/>
        <family val="0"/>
        <charset val="1"/>
      </rPr>
      <t xml:space="preserve">SCP </t>
    </r>
    <r>
      <rPr>
        <sz val="10"/>
        <rFont val="Noto Sans CJK SC"/>
        <family val="2"/>
      </rPr>
      <t xml:space="preserve">アニメーションズ </t>
    </r>
    <r>
      <rPr>
        <sz val="10"/>
        <rFont val="Arial"/>
        <family val="0"/>
        <charset val="1"/>
      </rPr>
      <t xml:space="preserve">From Japan</t>
    </r>
  </si>
  <si>
    <r>
      <rPr>
        <sz val="10"/>
        <rFont val="Noto Sans CJK SC"/>
        <family val="2"/>
      </rPr>
      <t xml:space="preserve">ぜーたのゆっくり</t>
    </r>
    <r>
      <rPr>
        <sz val="10"/>
        <rFont val="Arial"/>
        <family val="0"/>
        <charset val="1"/>
      </rPr>
      <t xml:space="preserve">SCP</t>
    </r>
    <r>
      <rPr>
        <sz val="10"/>
        <rFont val="Noto Sans CJK SC"/>
        <family val="2"/>
      </rPr>
      <t xml:space="preserve">解説</t>
    </r>
  </si>
  <si>
    <t xml:space="preserve">サリーの部屋</t>
  </si>
  <si>
    <r>
      <rPr>
        <sz val="10"/>
        <rFont val="Noto Sans CJK SC"/>
        <family val="2"/>
      </rPr>
      <t xml:space="preserve">鮭しゃぶ【ゆっくり</t>
    </r>
    <r>
      <rPr>
        <sz val="10"/>
        <rFont val="Arial"/>
        <family val="0"/>
        <charset val="1"/>
      </rPr>
      <t xml:space="preserve">SCP</t>
    </r>
    <r>
      <rPr>
        <sz val="10"/>
        <rFont val="Noto Sans CJK SC"/>
        <family val="2"/>
      </rPr>
      <t xml:space="preserve">解説】</t>
    </r>
  </si>
  <si>
    <r>
      <rPr>
        <sz val="10"/>
        <rFont val="Arial"/>
        <family val="0"/>
        <charset val="1"/>
      </rPr>
      <t xml:space="preserve">SCP</t>
    </r>
    <r>
      <rPr>
        <sz val="10"/>
        <rFont val="Noto Sans CJK SC"/>
        <family val="2"/>
      </rPr>
      <t xml:space="preserve">美術館【解説】</t>
    </r>
  </si>
  <si>
    <t xml:space="preserve">● daily-science</t>
  </si>
  <si>
    <t xml:space="preserve">るーいのゆっくり科学</t>
  </si>
  <si>
    <t xml:space="preserve">化け学のふしぎ【ゆっくり解説】</t>
  </si>
  <si>
    <r>
      <rPr>
        <sz val="10"/>
        <rFont val="Noto Sans CJK SC"/>
        <family val="2"/>
      </rPr>
      <t xml:space="preserve">【ゆっくり解説】</t>
    </r>
    <r>
      <rPr>
        <sz val="10"/>
        <rFont val="Arial"/>
        <family val="0"/>
        <charset val="1"/>
      </rPr>
      <t xml:space="preserve">9</t>
    </r>
    <r>
      <rPr>
        <sz val="10"/>
        <rFont val="Noto Sans CJK SC"/>
        <family val="2"/>
      </rPr>
      <t xml:space="preserve">割が知らない雑学</t>
    </r>
  </si>
  <si>
    <r>
      <rPr>
        <sz val="10"/>
        <rFont val="Arial"/>
        <family val="0"/>
        <charset val="1"/>
      </rPr>
      <t xml:space="preserve">VAIENCE </t>
    </r>
    <r>
      <rPr>
        <sz val="10"/>
        <rFont val="Noto Sans CJK SC"/>
        <family val="2"/>
      </rPr>
      <t xml:space="preserve">バイエンス</t>
    </r>
  </si>
  <si>
    <t xml:space="preserve">裏しまたろう【雑学科学ゆっくり解説チャンネル】</t>
  </si>
  <si>
    <t xml:space="preserve">● pokemon-lab</t>
  </si>
  <si>
    <r>
      <rPr>
        <sz val="10"/>
        <rFont val="Noto Sans CJK SC"/>
        <family val="2"/>
      </rPr>
      <t xml:space="preserve">ポケモンの歴史解説</t>
    </r>
    <r>
      <rPr>
        <sz val="10"/>
        <rFont val="Arial"/>
        <family val="0"/>
        <charset val="1"/>
      </rPr>
      <t xml:space="preserve">ch</t>
    </r>
  </si>
  <si>
    <t xml:space="preserve">【ゆっくり解説】ポケモン委員会</t>
  </si>
  <si>
    <t xml:space="preserve">ポケここ【ポケモン考察】</t>
  </si>
  <si>
    <r>
      <rPr>
        <sz val="10"/>
        <rFont val="Noto Sans CJK SC"/>
        <family val="2"/>
      </rPr>
      <t xml:space="preserve">ポケ文句</t>
    </r>
    <r>
      <rPr>
        <sz val="10"/>
        <rFont val="Arial"/>
        <family val="0"/>
        <charset val="1"/>
      </rPr>
      <t xml:space="preserve">2 (Pokemon Theories)</t>
    </r>
  </si>
  <si>
    <t xml:space="preserve">ポケモン雑学【ゆっくり解説】</t>
  </si>
  <si>
    <t xml:space="preserve">● yokai-watch</t>
  </si>
  <si>
    <t xml:space="preserve">ゆっくり奇譚研究所</t>
  </si>
  <si>
    <t xml:space="preserve">ゆっくり妖怪解説むむ</t>
  </si>
  <si>
    <t xml:space="preserve">妖怪解説録</t>
  </si>
  <si>
    <t xml:space="preserve">【妖怪解説】よもやま安国寺</t>
  </si>
  <si>
    <t xml:space="preserve">● 2ch-matome</t>
  </si>
  <si>
    <r>
      <rPr>
        <sz val="10"/>
        <rFont val="Arial"/>
        <family val="0"/>
        <charset val="1"/>
      </rPr>
      <t xml:space="preserve">2</t>
    </r>
    <r>
      <rPr>
        <sz val="10"/>
        <rFont val="Noto Sans CJK SC"/>
        <family val="2"/>
      </rPr>
      <t xml:space="preserve">ちゃんねる面白スレまとめ【ゆっくり解説】</t>
    </r>
  </si>
  <si>
    <r>
      <rPr>
        <sz val="10"/>
        <rFont val="Noto Sans CJK SC"/>
        <family val="2"/>
      </rPr>
      <t xml:space="preserve">ネッカのボケて</t>
    </r>
    <r>
      <rPr>
        <sz val="10"/>
        <rFont val="Arial"/>
        <family val="0"/>
        <charset val="1"/>
      </rPr>
      <t xml:space="preserve">2ch</t>
    </r>
    <r>
      <rPr>
        <sz val="10"/>
        <rFont val="Noto Sans CJK SC"/>
        <family val="2"/>
      </rPr>
      <t xml:space="preserve">まとめ【ゆっくり解説】</t>
    </r>
  </si>
  <si>
    <r>
      <rPr>
        <sz val="10"/>
        <rFont val="Arial"/>
        <family val="0"/>
        <charset val="1"/>
      </rPr>
      <t xml:space="preserve">2ch</t>
    </r>
    <r>
      <rPr>
        <sz val="10"/>
        <rFont val="Noto Sans CJK SC"/>
        <family val="2"/>
      </rPr>
      <t xml:space="preserve">面白いスレまとめイッチーズ</t>
    </r>
  </si>
  <si>
    <r>
      <rPr>
        <sz val="10"/>
        <rFont val="Arial"/>
        <family val="0"/>
        <charset val="1"/>
      </rPr>
      <t xml:space="preserve">2ch</t>
    </r>
    <r>
      <rPr>
        <sz val="10"/>
        <rFont val="Noto Sans CJK SC"/>
        <family val="2"/>
      </rPr>
      <t xml:space="preserve">面白いスレまとめ【ゆっくり解説】</t>
    </r>
  </si>
  <si>
    <r>
      <rPr>
        <sz val="10"/>
        <rFont val="Noto Sans CJK SC"/>
        <family val="2"/>
      </rPr>
      <t xml:space="preserve">シバ吉のゆっくり</t>
    </r>
    <r>
      <rPr>
        <sz val="10"/>
        <rFont val="Arial"/>
        <family val="0"/>
        <charset val="1"/>
      </rPr>
      <t xml:space="preserve">2ch</t>
    </r>
    <r>
      <rPr>
        <sz val="10"/>
        <rFont val="Noto Sans CJK SC"/>
        <family val="2"/>
      </rPr>
      <t xml:space="preserve">まとめ</t>
    </r>
  </si>
  <si>
    <r>
      <rPr>
        <b val="true"/>
        <sz val="14"/>
        <color rgb="FF1F3864"/>
        <rFont val="Noto Sans CJK SC"/>
        <family val="2"/>
      </rPr>
      <t xml:space="preserve">動画別パフォーマンス（直近</t>
    </r>
    <r>
      <rPr>
        <b val="true"/>
        <sz val="14"/>
        <color rgb="FF1F3864"/>
        <rFont val="Arial"/>
        <family val="0"/>
        <charset val="1"/>
      </rPr>
      <t xml:space="preserve">60</t>
    </r>
    <r>
      <rPr>
        <b val="true"/>
        <sz val="14"/>
        <color rgb="FF1F3864"/>
        <rFont val="Noto Sans CJK SC"/>
        <family val="2"/>
      </rPr>
      <t xml:space="preserve">日公開・インプレッション</t>
    </r>
    <r>
      <rPr>
        <b val="true"/>
        <sz val="14"/>
        <color rgb="FF1F3864"/>
        <rFont val="Arial"/>
        <family val="0"/>
        <charset val="1"/>
      </rPr>
      <t xml:space="preserve">80</t>
    </r>
    <r>
      <rPr>
        <b val="true"/>
        <sz val="14"/>
        <color rgb="FF1F3864"/>
        <rFont val="Noto Sans CJK SC"/>
        <family val="2"/>
      </rPr>
      <t xml:space="preserve">件以上を対象に</t>
    </r>
    <r>
      <rPr>
        <b val="true"/>
        <sz val="14"/>
        <color rgb="FF1F3864"/>
        <rFont val="Arial"/>
        <family val="0"/>
        <charset val="1"/>
      </rPr>
      <t xml:space="preserve">CTR</t>
    </r>
    <r>
      <rPr>
        <b val="true"/>
        <sz val="14"/>
        <color rgb="FF1F3864"/>
        <rFont val="Noto Sans CJK SC"/>
        <family val="2"/>
      </rPr>
      <t xml:space="preserve">を算出）</t>
    </r>
  </si>
  <si>
    <t xml:space="preserve">公開日</t>
  </si>
  <si>
    <t xml:space="preserve">タイトル</t>
  </si>
  <si>
    <t xml:space="preserve">再生数</t>
  </si>
  <si>
    <t xml:space="preserve">視聴秒数</t>
  </si>
  <si>
    <t xml:space="preserve">クリック</t>
  </si>
  <si>
    <t xml:space="preserve">登録者</t>
  </si>
  <si>
    <t xml:space="preserve">ダッシュ—</t>
  </si>
  <si>
    <r>
      <rPr>
        <b val="true"/>
        <sz val="10"/>
        <color rgb="FFFFFFFF"/>
        <rFont val="Noto Sans CJK SC"/>
        <family val="2"/>
      </rPr>
      <t xml:space="preserve">怖</t>
    </r>
    <r>
      <rPr>
        <b val="true"/>
        <sz val="10"/>
        <color rgb="FFFFFFFF"/>
        <rFont val="Arial"/>
        <family val="0"/>
        <charset val="1"/>
      </rPr>
      <t xml:space="preserve">/</t>
    </r>
    <r>
      <rPr>
        <b val="true"/>
        <sz val="10"/>
        <color rgb="FFFFFFFF"/>
        <rFont val="Noto Sans CJK SC"/>
        <family val="2"/>
      </rPr>
      <t xml:space="preserve">恐</t>
    </r>
  </si>
  <si>
    <r>
      <rPr>
        <b val="true"/>
        <sz val="10"/>
        <color rgb="FFFFFFFF"/>
        <rFont val="Noto Sans CJK SC"/>
        <family val="2"/>
      </rPr>
      <t xml:space="preserve">秘密</t>
    </r>
    <r>
      <rPr>
        <b val="true"/>
        <sz val="10"/>
        <color rgb="FFFFFFFF"/>
        <rFont val="Arial"/>
        <family val="0"/>
        <charset val="1"/>
      </rPr>
      <t xml:space="preserve">/</t>
    </r>
    <r>
      <rPr>
        <b val="true"/>
        <sz val="10"/>
        <color rgb="FFFFFFFF"/>
        <rFont val="Noto Sans CJK SC"/>
        <family val="2"/>
      </rPr>
      <t xml:space="preserve">隠</t>
    </r>
  </si>
  <si>
    <t xml:space="preserve">2026-08-14</t>
  </si>
  <si>
    <r>
      <rPr>
        <sz val="10"/>
        <rFont val="Noto Sans CJK SC"/>
        <family val="2"/>
      </rPr>
      <t xml:space="preserve">なんか</t>
    </r>
    <r>
      <rPr>
        <sz val="10"/>
        <rFont val="Arial"/>
        <family val="0"/>
        <charset val="1"/>
      </rPr>
      <t xml:space="preserve">PC</t>
    </r>
    <r>
      <rPr>
        <sz val="10"/>
        <rFont val="Noto Sans CJK SC"/>
        <family val="2"/>
      </rPr>
      <t xml:space="preserve">の画面チカチカするんやが【ショート】</t>
    </r>
  </si>
  <si>
    <r>
      <rPr>
        <sz val="10"/>
        <rFont val="Noto Sans CJK SC"/>
        <family val="2"/>
      </rPr>
      <t xml:space="preserve">彼女の部屋でヤバい物あげてけ</t>
    </r>
    <r>
      <rPr>
        <sz val="10"/>
        <rFont val="Arial"/>
        <family val="0"/>
        <charset val="1"/>
      </rPr>
      <t xml:space="preserve">w</t>
    </r>
    <r>
      <rPr>
        <sz val="10"/>
        <rFont val="Noto Sans CJK SC"/>
        <family val="2"/>
      </rPr>
      <t xml:space="preserve">【ショート】</t>
    </r>
  </si>
  <si>
    <t xml:space="preserve">2026-08-15</t>
  </si>
  <si>
    <t xml:space="preserve">ワイ、彼女いない歴＝年齢やけど質問ある？【ショート】</t>
  </si>
  <si>
    <t xml:space="preserve">2026-08-19</t>
  </si>
  <si>
    <r>
      <rPr>
        <sz val="10"/>
        <rFont val="Arial"/>
        <family val="0"/>
        <charset val="1"/>
      </rPr>
      <t xml:space="preserve">PC</t>
    </r>
    <r>
      <rPr>
        <sz val="10"/>
        <rFont val="Noto Sans CJK SC"/>
        <family val="2"/>
      </rPr>
      <t xml:space="preserve">パーツ到着時、なぜ箱だけ先に届くのか？【ショート】</t>
    </r>
  </si>
  <si>
    <t xml:space="preserve">2026-08-13</t>
  </si>
  <si>
    <r>
      <rPr>
        <sz val="10"/>
        <rFont val="Noto Sans CJK SC"/>
        <family val="2"/>
      </rPr>
      <t xml:space="preserve">ワイの今日の昼飯を当てるスレ</t>
    </r>
    <r>
      <rPr>
        <sz val="10"/>
        <rFont val="Arial"/>
        <family val="0"/>
        <charset val="1"/>
      </rPr>
      <t xml:space="preserve">w</t>
    </r>
    <r>
      <rPr>
        <sz val="10"/>
        <rFont val="Noto Sans CJK SC"/>
        <family val="2"/>
      </rPr>
      <t xml:space="preserve">【ショート】</t>
    </r>
  </si>
  <si>
    <t xml:space="preserve">2026-08-09</t>
  </si>
  <si>
    <r>
      <rPr>
        <sz val="10"/>
        <rFont val="Arial"/>
        <family val="0"/>
        <charset val="1"/>
      </rPr>
      <t xml:space="preserve">30</t>
    </r>
    <r>
      <rPr>
        <sz val="10"/>
        <rFont val="Noto Sans CJK SC"/>
        <family val="2"/>
      </rPr>
      <t xml:space="preserve">秒スレまとめ：残業代はやる気で払う</t>
    </r>
    <r>
      <rPr>
        <sz val="10"/>
        <rFont val="Arial"/>
        <family val="0"/>
        <charset val="1"/>
      </rPr>
      <t xml:space="preserve">#</t>
    </r>
    <r>
      <rPr>
        <sz val="10"/>
        <rFont val="Noto Sans CJK SC"/>
        <family val="2"/>
      </rPr>
      <t xml:space="preserve">上司「残業代はやる気で払う」発言から、なぜか全員消えた職場の末路 </t>
    </r>
    <r>
      <rPr>
        <sz val="10"/>
        <rFont val="Arial"/>
        <family val="0"/>
        <charset val="1"/>
      </rPr>
      <t xml:space="preserve">#shorts #</t>
    </r>
    <r>
      <rPr>
        <sz val="10"/>
        <rFont val="Noto Sans CJK SC"/>
        <family val="2"/>
      </rPr>
      <t xml:space="preserve">ゆっくり解説</t>
    </r>
  </si>
  <si>
    <t xml:space="preserve">2026-08-17</t>
  </si>
  <si>
    <r>
      <rPr>
        <sz val="10"/>
        <rFont val="Noto Sans CJK SC"/>
        <family val="2"/>
      </rPr>
      <t xml:space="preserve">後輩「敬語って課金制ですよね？」→翌朝、全員が黙った </t>
    </r>
    <r>
      <rPr>
        <sz val="10"/>
        <rFont val="Arial"/>
        <family val="0"/>
        <charset val="1"/>
      </rPr>
      <t xml:space="preserve">#shorts #2ch #</t>
    </r>
    <r>
      <rPr>
        <sz val="10"/>
        <rFont val="Noto Sans CJK SC"/>
        <family val="2"/>
      </rPr>
      <t xml:space="preserve">スカッと</t>
    </r>
  </si>
  <si>
    <t xml:space="preserve">2026-08-16</t>
  </si>
  <si>
    <t xml:space="preserve">なんかスマホの充電だけ遅いんやが【ショート】</t>
  </si>
  <si>
    <r>
      <rPr>
        <sz val="10"/>
        <rFont val="Noto Sans CJK SC"/>
        <family val="2"/>
      </rPr>
      <t xml:space="preserve">絶対に二度見される部屋着あげてけ</t>
    </r>
    <r>
      <rPr>
        <sz val="10"/>
        <rFont val="Arial"/>
        <family val="0"/>
        <charset val="1"/>
      </rPr>
      <t xml:space="preserve">w</t>
    </r>
    <r>
      <rPr>
        <sz val="10"/>
        <rFont val="Noto Sans CJK SC"/>
        <family val="2"/>
      </rPr>
      <t xml:space="preserve">【ショート】</t>
    </r>
  </si>
  <si>
    <r>
      <rPr>
        <sz val="10"/>
        <rFont val="Noto Sans CJK SC"/>
        <family val="2"/>
      </rPr>
      <t xml:space="preserve">ワイのキーボードの変な癖あげてけ</t>
    </r>
    <r>
      <rPr>
        <sz val="10"/>
        <rFont val="Arial"/>
        <family val="0"/>
        <charset val="1"/>
      </rPr>
      <t xml:space="preserve">w</t>
    </r>
    <r>
      <rPr>
        <sz val="10"/>
        <rFont val="Noto Sans CJK SC"/>
        <family val="2"/>
      </rPr>
      <t xml:space="preserve">【ショート】</t>
    </r>
  </si>
  <si>
    <t xml:space="preserve">実際には存在しないけどありそうな県名あげてけ【ショート】</t>
  </si>
  <si>
    <t xml:space="preserve">2026-08-18</t>
  </si>
  <si>
    <r>
      <rPr>
        <sz val="10"/>
        <rFont val="Noto Sans CJK SC"/>
        <family val="2"/>
      </rPr>
      <t xml:space="preserve">存在しないゲームの迷惑機能あげてけ</t>
    </r>
    <r>
      <rPr>
        <sz val="10"/>
        <rFont val="Arial"/>
        <family val="0"/>
        <charset val="1"/>
      </rPr>
      <t xml:space="preserve">w</t>
    </r>
    <r>
      <rPr>
        <sz val="10"/>
        <rFont val="Noto Sans CJK SC"/>
        <family val="2"/>
      </rPr>
      <t xml:space="preserve">【ショート】</t>
    </r>
  </si>
  <si>
    <t xml:space="preserve">コンビニで一番いらん商品あげてけ【ショート】</t>
  </si>
  <si>
    <r>
      <rPr>
        <sz val="10"/>
        <rFont val="Noto Sans CJK SC"/>
        <family val="2"/>
      </rPr>
      <t xml:space="preserve">なんか靴下だけ消えるんやが</t>
    </r>
    <r>
      <rPr>
        <sz val="10"/>
        <rFont val="Arial"/>
        <family val="0"/>
        <charset val="1"/>
      </rPr>
      <t xml:space="preserve">w</t>
    </r>
    <r>
      <rPr>
        <sz val="10"/>
        <rFont val="Noto Sans CJK SC"/>
        <family val="2"/>
      </rPr>
      <t xml:space="preserve">【ショート】</t>
    </r>
  </si>
  <si>
    <r>
      <rPr>
        <sz val="10"/>
        <rFont val="Noto Sans CJK SC"/>
        <family val="2"/>
      </rPr>
      <t xml:space="preserve">なぜケンタッキー月見は</t>
    </r>
    <r>
      <rPr>
        <sz val="10"/>
        <rFont val="Arial"/>
        <family val="0"/>
        <charset val="1"/>
      </rPr>
      <t xml:space="preserve">3</t>
    </r>
    <r>
      <rPr>
        <sz val="10"/>
        <rFont val="Noto Sans CJK SC"/>
        <family val="2"/>
      </rPr>
      <t xml:space="preserve">秒で秋の給料日になるのか、食べた感想あげてけ</t>
    </r>
    <r>
      <rPr>
        <sz val="10"/>
        <rFont val="Arial"/>
        <family val="0"/>
        <charset val="1"/>
      </rPr>
      <t xml:space="preserve">w</t>
    </r>
    <r>
      <rPr>
        <sz val="10"/>
        <rFont val="Noto Sans CJK SC"/>
        <family val="2"/>
      </rPr>
      <t xml:space="preserve">【ショート】</t>
    </r>
  </si>
  <si>
    <r>
      <rPr>
        <sz val="10"/>
        <rFont val="Noto Sans CJK SC"/>
        <family val="2"/>
      </rPr>
      <t xml:space="preserve">飲み会で絶対見られたくない通知あげてけ</t>
    </r>
    <r>
      <rPr>
        <sz val="10"/>
        <rFont val="Arial"/>
        <family val="0"/>
        <charset val="1"/>
      </rPr>
      <t xml:space="preserve">w</t>
    </r>
    <r>
      <rPr>
        <sz val="10"/>
        <rFont val="Noto Sans CJK SC"/>
        <family val="2"/>
      </rPr>
      <t xml:space="preserve">【ショート】</t>
    </r>
  </si>
  <si>
    <r>
      <rPr>
        <sz val="10"/>
        <rFont val="Noto Sans CJK SC"/>
        <family val="2"/>
      </rPr>
      <t xml:space="preserve">ワイ、</t>
    </r>
    <r>
      <rPr>
        <sz val="10"/>
        <rFont val="Arial"/>
        <family val="0"/>
        <charset val="1"/>
      </rPr>
      <t xml:space="preserve">AI</t>
    </r>
    <r>
      <rPr>
        <sz val="10"/>
        <rFont val="Noto Sans CJK SC"/>
        <family val="2"/>
      </rPr>
      <t xml:space="preserve">に変な質問する係やけど質問ある？</t>
    </r>
    <r>
      <rPr>
        <sz val="10"/>
        <rFont val="Arial"/>
        <family val="0"/>
        <charset val="1"/>
      </rPr>
      <t xml:space="preserve">w</t>
    </r>
    <r>
      <rPr>
        <sz val="10"/>
        <rFont val="Noto Sans CJK SC"/>
        <family val="2"/>
      </rPr>
      <t xml:space="preserve">【ショート】</t>
    </r>
  </si>
  <si>
    <t xml:space="preserve">2026-08-08</t>
  </si>
  <si>
    <r>
      <rPr>
        <sz val="10"/>
        <rFont val="Noto Sans CJK SC"/>
        <family val="2"/>
      </rPr>
      <t xml:space="preserve">なぜ立ち上がると目の前が暗い？</t>
    </r>
    <r>
      <rPr>
        <sz val="10"/>
        <rFont val="Arial"/>
        <family val="0"/>
        <charset val="1"/>
      </rPr>
      <t xml:space="preserve">99%</t>
    </r>
    <r>
      <rPr>
        <sz val="10"/>
        <rFont val="Noto Sans CJK SC"/>
        <family val="2"/>
      </rPr>
      <t xml:space="preserve">が知らない『</t>
    </r>
    <r>
      <rPr>
        <sz val="10"/>
        <rFont val="Arial"/>
        <family val="0"/>
        <charset val="1"/>
      </rPr>
      <t xml:space="preserve">3</t>
    </r>
    <r>
      <rPr>
        <sz val="10"/>
        <rFont val="Noto Sans CJK SC"/>
        <family val="2"/>
      </rPr>
      <t xml:space="preserve">秒間』の正体【ショート】【ショート】</t>
    </r>
  </si>
  <si>
    <t xml:space="preserve">2026-07-02</t>
  </si>
  <si>
    <r>
      <rPr>
        <sz val="10"/>
        <rFont val="Noto Sans CJK SC"/>
        <family val="2"/>
      </rPr>
      <t xml:space="preserve">なぜパソコンのファンは突然うるさくなるのか？</t>
    </r>
    <r>
      <rPr>
        <sz val="10"/>
        <rFont val="Arial"/>
        <family val="0"/>
        <charset val="1"/>
      </rPr>
      <t xml:space="preserve">CPU</t>
    </r>
    <r>
      <rPr>
        <sz val="10"/>
        <rFont val="Noto Sans CJK SC"/>
        <family val="2"/>
      </rPr>
      <t xml:space="preserve">が『全力疾走』を始める瞬間に起きていること【ショート】</t>
    </r>
  </si>
  <si>
    <t xml:space="preserve">2026-07-15</t>
  </si>
  <si>
    <r>
      <rPr>
        <sz val="10"/>
        <rFont val="Noto Sans CJK SC"/>
        <family val="2"/>
      </rPr>
      <t xml:space="preserve">走るたびに刺さる「あの痛み」の正体</t>
    </r>
    <r>
      <rPr>
        <sz val="10"/>
        <rFont val="Arial"/>
        <family val="0"/>
        <charset val="1"/>
      </rPr>
      <t xml:space="preserve">98%</t>
    </r>
    <r>
      <rPr>
        <sz val="10"/>
        <rFont val="Noto Sans CJK SC"/>
        <family val="2"/>
      </rPr>
      <t xml:space="preserve">のランナーが誤解している横腹痛の真実</t>
    </r>
    <r>
      <rPr>
        <sz val="10"/>
        <rFont val="Arial"/>
        <family val="0"/>
        <charset val="1"/>
      </rPr>
      <t xml:space="preserve">#</t>
    </r>
    <r>
      <rPr>
        <sz val="10"/>
        <rFont val="Noto Sans CJK SC"/>
        <family val="2"/>
      </rPr>
      <t xml:space="preserve">走ると横腹が痛くなる「本当の原因」、脾臓でも筋肉でもなかった </t>
    </r>
    <r>
      <rPr>
        <sz val="10"/>
        <rFont val="Arial"/>
        <family val="0"/>
        <charset val="1"/>
      </rPr>
      <t xml:space="preserve">#</t>
    </r>
    <r>
      <rPr>
        <sz val="10"/>
        <rFont val="Noto Sans CJK SC"/>
        <family val="2"/>
      </rPr>
      <t xml:space="preserve">横隔膜 </t>
    </r>
    <r>
      <rPr>
        <sz val="10"/>
        <rFont val="Arial"/>
        <family val="0"/>
        <charset val="1"/>
      </rPr>
      <t xml:space="preserve">#</t>
    </r>
    <r>
      <rPr>
        <sz val="10"/>
        <rFont val="Noto Sans CJK SC"/>
        <family val="2"/>
      </rPr>
      <t xml:space="preserve">運動科学 </t>
    </r>
    <r>
      <rPr>
        <sz val="10"/>
        <rFont val="Arial"/>
        <family val="0"/>
        <charset val="1"/>
      </rPr>
      <t xml:space="preserve">#shorts #</t>
    </r>
    <r>
      <rPr>
        <sz val="10"/>
        <rFont val="Noto Sans CJK SC"/>
        <family val="2"/>
      </rPr>
      <t xml:space="preserve">ゆっくり解説</t>
    </r>
  </si>
  <si>
    <t xml:space="preserve">2026-08-04</t>
  </si>
  <si>
    <t xml:space="preserve">名前だけ出てこないのはなぜ？頭にあるのに言えない「あの人」の正体【ショート】</t>
  </si>
  <si>
    <t xml:space="preserve">2026-07-10</t>
  </si>
  <si>
    <r>
      <rPr>
        <sz val="10"/>
        <rFont val="Noto Sans CJK SC"/>
        <family val="2"/>
      </rPr>
      <t xml:space="preserve">録音の声が違う？それは骨伝導が原因！</t>
    </r>
    <r>
      <rPr>
        <sz val="10"/>
        <rFont val="Arial"/>
        <family val="0"/>
        <charset val="1"/>
      </rPr>
      <t xml:space="preserve">#</t>
    </r>
    <r>
      <rPr>
        <sz val="10"/>
        <rFont val="Noto Sans CJK SC"/>
        <family val="2"/>
      </rPr>
      <t xml:space="preserve">録音した声が別人に聞こえる理由、実は骨伝導が原因だった！ </t>
    </r>
    <r>
      <rPr>
        <sz val="10"/>
        <rFont val="Arial"/>
        <family val="0"/>
        <charset val="1"/>
      </rPr>
      <t xml:space="preserve">#shorts #</t>
    </r>
    <r>
      <rPr>
        <sz val="10"/>
        <rFont val="Noto Sans CJK SC"/>
        <family val="2"/>
      </rPr>
      <t xml:space="preserve">ゆっくり解説</t>
    </r>
  </si>
  <si>
    <t xml:space="preserve">2026-07-09</t>
  </si>
  <si>
    <r>
      <rPr>
        <sz val="10"/>
        <rFont val="Noto Sans CJK SC"/>
        <family val="2"/>
      </rPr>
      <t xml:space="preserve">録音の声＝別人</t>
    </r>
    <r>
      <rPr>
        <sz val="10"/>
        <rFont val="Arial"/>
        <family val="0"/>
        <charset val="1"/>
      </rPr>
      <t xml:space="preserve">!?</t>
    </r>
    <r>
      <rPr>
        <sz val="10"/>
        <rFont val="Noto Sans CJK SC"/>
        <family val="2"/>
      </rPr>
      <t xml:space="preserve">骨が音を変えていた</t>
    </r>
    <r>
      <rPr>
        <sz val="10"/>
        <rFont val="Arial"/>
        <family val="0"/>
        <charset val="1"/>
      </rPr>
      <t xml:space="preserve">#</t>
    </r>
    <r>
      <rPr>
        <sz val="10"/>
        <rFont val="Noto Sans CJK SC"/>
        <family val="2"/>
      </rPr>
      <t xml:space="preserve">なぜ録音した自分の声だけ別人みたいに聞こえるのか？実は</t>
    </r>
    <r>
      <rPr>
        <sz val="10"/>
        <rFont val="Arial"/>
        <family val="0"/>
        <charset val="1"/>
      </rPr>
      <t xml:space="preserve">99%</t>
    </r>
    <r>
      <rPr>
        <sz val="10"/>
        <rFont val="Noto Sans CJK SC"/>
        <family val="2"/>
      </rPr>
      <t xml:space="preserve">が知らない耳の秘密 </t>
    </r>
    <r>
      <rPr>
        <sz val="10"/>
        <rFont val="Arial"/>
        <family val="0"/>
        <charset val="1"/>
      </rPr>
      <t xml:space="preserve">#shorts #</t>
    </r>
    <r>
      <rPr>
        <sz val="10"/>
        <rFont val="Noto Sans CJK SC"/>
        <family val="2"/>
      </rPr>
      <t xml:space="preserve">ゆっくり解説</t>
    </r>
  </si>
  <si>
    <t xml:space="preserve">○</t>
  </si>
  <si>
    <t xml:space="preserve">2026-07-13</t>
  </si>
  <si>
    <r>
      <rPr>
        <sz val="10"/>
        <rFont val="Noto Sans CJK SC"/>
        <family val="2"/>
      </rPr>
      <t xml:space="preserve">耳が痛いとき、音が遠くなる理由</t>
    </r>
    <r>
      <rPr>
        <sz val="10"/>
        <rFont val="Arial"/>
        <family val="0"/>
        <charset val="1"/>
      </rPr>
      <t xml:space="preserve">99%</t>
    </r>
    <r>
      <rPr>
        <sz val="10"/>
        <rFont val="Noto Sans CJK SC"/>
        <family val="2"/>
      </rPr>
      <t xml:space="preserve">が知らない『内耳』の仕組み</t>
    </r>
    <r>
      <rPr>
        <sz val="10"/>
        <rFont val="Arial"/>
        <family val="0"/>
        <charset val="1"/>
      </rPr>
      <t xml:space="preserve">#</t>
    </r>
    <r>
      <rPr>
        <sz val="10"/>
        <rFont val="Noto Sans CJK SC"/>
        <family val="2"/>
      </rPr>
      <t xml:space="preserve">耳が痛いと音が聞こえにくくなるのは『内耳』のせいだった——鼓膜・耳小骨・蝸牛、</t>
    </r>
    <r>
      <rPr>
        <sz val="10"/>
        <rFont val="Arial"/>
        <family val="0"/>
        <charset val="1"/>
      </rPr>
      <t xml:space="preserve">3</t>
    </r>
    <r>
      <rPr>
        <sz val="10"/>
        <rFont val="Noto Sans CJK SC"/>
        <family val="2"/>
      </rPr>
      <t xml:space="preserve">段階の崩壊を知ってる？ </t>
    </r>
    <r>
      <rPr>
        <sz val="10"/>
        <rFont val="Arial"/>
        <family val="0"/>
        <charset val="1"/>
      </rPr>
      <t xml:space="preserve">#shorts #</t>
    </r>
    <r>
      <rPr>
        <sz val="10"/>
        <rFont val="Noto Sans CJK SC"/>
        <family val="2"/>
      </rPr>
      <t xml:space="preserve">ゆっくり解説</t>
    </r>
  </si>
  <si>
    <t xml:space="preserve">2026-07-05</t>
  </si>
  <si>
    <t xml:space="preserve">体調が悪いときだけ甘いものが異常に食べたくなるのは、なぜか？【ショート】</t>
  </si>
  <si>
    <t xml:space="preserve">2026-08-06</t>
  </si>
  <si>
    <r>
      <rPr>
        <sz val="10"/>
        <rFont val="Noto Sans CJK SC"/>
        <family val="2"/>
      </rPr>
      <t xml:space="preserve">なぜ寒くないのに鳥肌が立つ？</t>
    </r>
    <r>
      <rPr>
        <sz val="10"/>
        <rFont val="Arial"/>
        <family val="0"/>
        <charset val="1"/>
      </rPr>
      <t xml:space="preserve">90%</t>
    </r>
    <r>
      <rPr>
        <sz val="10"/>
        <rFont val="Noto Sans CJK SC"/>
        <family val="2"/>
      </rPr>
      <t xml:space="preserve">が勘違いする</t>
    </r>
    <r>
      <rPr>
        <sz val="10"/>
        <rFont val="Arial"/>
        <family val="0"/>
        <charset val="1"/>
      </rPr>
      <t xml:space="preserve">2</t>
    </r>
    <r>
      <rPr>
        <sz val="10"/>
        <rFont val="Noto Sans CJK SC"/>
        <family val="2"/>
      </rPr>
      <t xml:space="preserve">つの反応の正体【ショート】【ショート】</t>
    </r>
  </si>
  <si>
    <t xml:space="preserve">2026-07-01</t>
  </si>
  <si>
    <r>
      <rPr>
        <sz val="10"/>
        <rFont val="Noto Sans CJK SC"/>
        <family val="2"/>
      </rPr>
      <t xml:space="preserve">録音で聞く自分の声なぜか別人に聞こえる</t>
    </r>
    <r>
      <rPr>
        <sz val="10"/>
        <rFont val="Arial"/>
        <family val="0"/>
        <charset val="1"/>
      </rPr>
      <t xml:space="preserve">#</t>
    </r>
    <r>
      <rPr>
        <sz val="10"/>
        <rFont val="Noto Sans CJK SC"/>
        <family val="2"/>
      </rPr>
      <t xml:space="preserve">なぜ録音の自分の声は『別人』に聞こえるのか？耳の中で起きていること </t>
    </r>
    <r>
      <rPr>
        <sz val="10"/>
        <rFont val="Arial"/>
        <family val="0"/>
        <charset val="1"/>
      </rPr>
      <t xml:space="preserve">#shorts #</t>
    </r>
    <r>
      <rPr>
        <sz val="10"/>
        <rFont val="Noto Sans CJK SC"/>
        <family val="2"/>
      </rPr>
      <t xml:space="preserve">ゆっくり解説</t>
    </r>
  </si>
  <si>
    <t xml:space="preserve">2026-07-19</t>
  </si>
  <si>
    <t xml:space="preserve">痛い記憶だけ、なぜか一生消えない——脳が『あの痛み』を特別扱いする本当の理由【ショート】</t>
  </si>
  <si>
    <r>
      <rPr>
        <sz val="10"/>
        <rFont val="Noto Sans CJK SC"/>
        <family val="2"/>
      </rPr>
      <t xml:space="preserve">なぜ夢の続きを見た気がするのか？</t>
    </r>
    <r>
      <rPr>
        <sz val="10"/>
        <rFont val="Arial"/>
        <family val="0"/>
        <charset val="1"/>
      </rPr>
      <t xml:space="preserve">99%</t>
    </r>
    <r>
      <rPr>
        <sz val="10"/>
        <rFont val="Noto Sans CJK SC"/>
        <family val="2"/>
      </rPr>
      <t xml:space="preserve">が知らない目覚め後</t>
    </r>
    <r>
      <rPr>
        <sz val="10"/>
        <rFont val="Arial"/>
        <family val="0"/>
        <charset val="1"/>
      </rPr>
      <t xml:space="preserve">5</t>
    </r>
    <r>
      <rPr>
        <sz val="10"/>
        <rFont val="Noto Sans CJK SC"/>
        <family val="2"/>
      </rPr>
      <t xml:space="preserve">分の記憶再構成【ショート】</t>
    </r>
  </si>
  <si>
    <t xml:space="preserve">2026-08-12</t>
  </si>
  <si>
    <r>
      <rPr>
        <sz val="10"/>
        <rFont val="Noto Sans CJK SC"/>
        <family val="2"/>
      </rPr>
      <t xml:space="preserve">昨夜の夢、なぜ</t>
    </r>
    <r>
      <rPr>
        <sz val="10"/>
        <rFont val="Arial"/>
        <family val="0"/>
        <charset val="1"/>
      </rPr>
      <t xml:space="preserve">12</t>
    </r>
    <r>
      <rPr>
        <sz val="10"/>
        <rFont val="Noto Sans CJK SC"/>
        <family val="2"/>
      </rPr>
      <t xml:space="preserve">分なのに何時間もいた気がする？</t>
    </r>
    <r>
      <rPr>
        <sz val="10"/>
        <rFont val="Arial"/>
        <family val="0"/>
        <charset val="1"/>
      </rPr>
      <t xml:space="preserve">9</t>
    </r>
    <r>
      <rPr>
        <sz val="10"/>
        <rFont val="Noto Sans CJK SC"/>
        <family val="2"/>
      </rPr>
      <t xml:space="preserve">割が勘違いする時間感覚【ショート】</t>
    </r>
  </si>
  <si>
    <t xml:space="preserve">2026-07-12</t>
  </si>
  <si>
    <r>
      <rPr>
        <sz val="10"/>
        <rFont val="Noto Sans CJK SC"/>
        <family val="2"/>
      </rPr>
      <t xml:space="preserve">かゆい場所が選ばれてる</t>
    </r>
    <r>
      <rPr>
        <sz val="10"/>
        <rFont val="Arial"/>
        <family val="0"/>
        <charset val="1"/>
      </rPr>
      <t xml:space="preserve">!?#</t>
    </r>
    <r>
      <rPr>
        <sz val="10"/>
        <rFont val="Noto Sans CJK SC"/>
        <family val="2"/>
      </rPr>
      <t xml:space="preserve">突然のかゆみ、実は『皮膚の反乱』が起こっていた</t>
    </r>
    <r>
      <rPr>
        <sz val="10"/>
        <rFont val="Arial"/>
        <family val="0"/>
        <charset val="1"/>
      </rPr>
      <t xml:space="preserve">!? #</t>
    </r>
    <r>
      <rPr>
        <sz val="10"/>
        <rFont val="Noto Sans CJK SC"/>
        <family val="2"/>
      </rPr>
      <t xml:space="preserve">なぜかかる意外な理由 </t>
    </r>
    <r>
      <rPr>
        <sz val="10"/>
        <rFont val="Arial"/>
        <family val="0"/>
        <charset val="1"/>
      </rPr>
      <t xml:space="preserve">#shorts #</t>
    </r>
    <r>
      <rPr>
        <sz val="10"/>
        <rFont val="Noto Sans CJK SC"/>
        <family val="2"/>
      </rPr>
      <t xml:space="preserve">ゆっくり解説</t>
    </r>
  </si>
  <si>
    <r>
      <rPr>
        <sz val="10"/>
        <rFont val="Noto Sans CJK SC"/>
        <family val="2"/>
      </rPr>
      <t xml:space="preserve">耳が痛いと音が…聞こえづらい理由は？</t>
    </r>
    <r>
      <rPr>
        <sz val="10"/>
        <rFont val="Arial"/>
        <family val="0"/>
        <charset val="1"/>
      </rPr>
      <t xml:space="preserve">#</t>
    </r>
    <r>
      <rPr>
        <sz val="10"/>
        <rFont val="Noto Sans CJK SC"/>
        <family val="2"/>
      </rPr>
      <t xml:space="preserve">なぜ耳が痛いと音が聞こえにくくなるのか？— 耳の構造と音の伝わり方の秘密 </t>
    </r>
    <r>
      <rPr>
        <sz val="10"/>
        <rFont val="Arial"/>
        <family val="0"/>
        <charset val="1"/>
      </rPr>
      <t xml:space="preserve">#shorts #</t>
    </r>
    <r>
      <rPr>
        <sz val="10"/>
        <rFont val="Noto Sans CJK SC"/>
        <family val="2"/>
      </rPr>
      <t xml:space="preserve">ゆっくり解説</t>
    </r>
  </si>
  <si>
    <t xml:space="preserve">2026-06-30</t>
  </si>
  <si>
    <r>
      <rPr>
        <sz val="10"/>
        <rFont val="Noto Sans CJK SC"/>
        <family val="2"/>
      </rPr>
      <t xml:space="preserve">継ぎ目ゼロなのになぜ鳴る？音の発生源が変わっていた</t>
    </r>
    <r>
      <rPr>
        <sz val="10"/>
        <rFont val="Arial"/>
        <family val="0"/>
        <charset val="1"/>
      </rPr>
      <t xml:space="preserve">#</t>
    </r>
    <r>
      <rPr>
        <sz val="10"/>
        <rFont val="Noto Sans CJK SC"/>
        <family val="2"/>
      </rPr>
      <t xml:space="preserve">毎日聞いてるのに誰も知らない『ガタンゴトン』の正体——レールに継ぎ目がないのになぜ鳴るのか？ </t>
    </r>
    <r>
      <rPr>
        <sz val="10"/>
        <rFont val="Arial"/>
        <family val="0"/>
        <charset val="1"/>
      </rPr>
      <t xml:space="preserve">#shorts #</t>
    </r>
    <r>
      <rPr>
        <sz val="10"/>
        <rFont val="Noto Sans CJK SC"/>
        <family val="2"/>
      </rPr>
      <t xml:space="preserve">ゆっくり解説</t>
    </r>
  </si>
  <si>
    <t xml:space="preserve">2026-06-28</t>
  </si>
  <si>
    <r>
      <rPr>
        <sz val="10"/>
        <rFont val="Noto Sans CJK SC"/>
        <family val="2"/>
      </rPr>
      <t xml:space="preserve">なぜ隣の人は平気なのに自分だけ震えているのか？</t>
    </r>
    <r>
      <rPr>
        <sz val="10"/>
        <rFont val="Arial"/>
        <family val="0"/>
        <charset val="1"/>
      </rPr>
      <t xml:space="preserve">#</t>
    </r>
    <r>
      <rPr>
        <sz val="10"/>
        <rFont val="Noto Sans CJK SC"/>
        <family val="2"/>
      </rPr>
      <t xml:space="preserve">同じ部屋なのに自分だけ寒い…その『差』を生み出している</t>
    </r>
    <r>
      <rPr>
        <sz val="10"/>
        <rFont val="Arial"/>
        <family val="0"/>
        <charset val="1"/>
      </rPr>
      <t xml:space="preserve">5</t>
    </r>
    <r>
      <rPr>
        <sz val="10"/>
        <rFont val="Noto Sans CJK SC"/>
        <family val="2"/>
      </rPr>
      <t xml:space="preserve">つの隠れた正体 </t>
    </r>
    <r>
      <rPr>
        <sz val="10"/>
        <rFont val="Arial"/>
        <family val="0"/>
        <charset val="1"/>
      </rPr>
      <t xml:space="preserve">#shorts #</t>
    </r>
    <r>
      <rPr>
        <sz val="10"/>
        <rFont val="Noto Sans CJK SC"/>
        <family val="2"/>
      </rPr>
      <t xml:space="preserve">ゆっくり解説</t>
    </r>
  </si>
  <si>
    <r>
      <rPr>
        <sz val="10"/>
        <rFont val="Noto Sans CJK SC"/>
        <family val="2"/>
      </rPr>
      <t xml:space="preserve">何もしてないのに…急にかゆくなる『本当の理由』</t>
    </r>
    <r>
      <rPr>
        <sz val="10"/>
        <rFont val="Arial"/>
        <family val="0"/>
        <charset val="1"/>
      </rPr>
      <t xml:space="preserve">#</t>
    </r>
    <r>
      <rPr>
        <sz val="10"/>
        <rFont val="Noto Sans CJK SC"/>
        <family val="2"/>
      </rPr>
      <t xml:space="preserve">なぜ何もしていないのに体が急にかゆくなるのか？ — 皮膚の『かゆみセンサー』の正体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</si>
  <si>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なぜ隣の人は平気なのに自分だけ凍えているのか？</t>
    </r>
    <r>
      <rPr>
        <sz val="10"/>
        <rFont val="Arial"/>
        <family val="0"/>
        <charset val="1"/>
      </rPr>
      <t xml:space="preserve">#</t>
    </r>
    <r>
      <rPr>
        <sz val="10"/>
        <rFont val="Noto Sans CJK SC"/>
        <family val="2"/>
      </rPr>
      <t xml:space="preserve">同じ部屋にいるのに自分だけ寒い——その『体感温度のズレ』を生み出す</t>
    </r>
    <r>
      <rPr>
        <sz val="10"/>
        <rFont val="Arial"/>
        <family val="0"/>
        <charset val="1"/>
      </rPr>
      <t xml:space="preserve">5</t>
    </r>
    <r>
      <rPr>
        <sz val="10"/>
        <rFont val="Noto Sans CJK SC"/>
        <family val="2"/>
      </rPr>
      <t xml:space="preserve">つの正体 </t>
    </r>
    <r>
      <rPr>
        <sz val="10"/>
        <rFont val="Arial"/>
        <family val="0"/>
        <charset val="1"/>
      </rPr>
      <t xml:space="preserve">#shorts #</t>
    </r>
    <r>
      <rPr>
        <sz val="10"/>
        <rFont val="Noto Sans CJK SC"/>
        <family val="2"/>
      </rPr>
      <t xml:space="preserve">ゆっくり解説</t>
    </r>
  </si>
  <si>
    <t xml:space="preserve">2026-08-05</t>
  </si>
  <si>
    <r>
      <rPr>
        <sz val="10"/>
        <rFont val="Noto Sans CJK SC"/>
        <family val="2"/>
      </rPr>
      <t xml:space="preserve">なぜ涙は悲しくないのに出る？</t>
    </r>
    <r>
      <rPr>
        <sz val="10"/>
        <rFont val="Arial"/>
        <family val="0"/>
        <charset val="1"/>
      </rPr>
      <t xml:space="preserve">3</t>
    </r>
    <r>
      <rPr>
        <sz val="10"/>
        <rFont val="Noto Sans CJK SC"/>
        <family val="2"/>
      </rPr>
      <t xml:space="preserve">種類の正体【ショート】</t>
    </r>
  </si>
  <si>
    <t xml:space="preserve">2026-06-26</t>
  </si>
  <si>
    <t xml:space="preserve">なぜ端っこだけ熱い？電子レンジの『中心が冷たい』現象、実は物理の罠だった【ショート】</t>
  </si>
  <si>
    <t xml:space="preserve">2026-07-20</t>
  </si>
  <si>
    <r>
      <rPr>
        <sz val="10"/>
        <rFont val="Noto Sans CJK SC"/>
        <family val="2"/>
      </rPr>
      <t xml:space="preserve">視覚がすべてじゃない</t>
    </r>
    <r>
      <rPr>
        <sz val="10"/>
        <rFont val="Arial"/>
        <family val="0"/>
        <charset val="1"/>
      </rPr>
      <t xml:space="preserve">?</t>
    </r>
    <r>
      <rPr>
        <sz val="10"/>
        <rFont val="Noto Sans CJK SC"/>
        <family val="2"/>
      </rPr>
      <t xml:space="preserve">驚くべき目のメカニズム</t>
    </r>
    <r>
      <rPr>
        <sz val="10"/>
        <rFont val="Arial"/>
        <family val="0"/>
        <charset val="1"/>
      </rPr>
      <t xml:space="preserve">#</t>
    </r>
    <r>
      <rPr>
        <sz val="10"/>
        <rFont val="Noto Sans CJK SC"/>
        <family val="2"/>
      </rPr>
      <t xml:space="preserve">なぜ目の前の映像がぼやけるのか？</t>
    </r>
    <r>
      <rPr>
        <sz val="10"/>
        <rFont val="Arial"/>
        <family val="0"/>
        <charset val="1"/>
      </rPr>
      <t xml:space="preserve">99%</t>
    </r>
    <r>
      <rPr>
        <sz val="10"/>
        <rFont val="Noto Sans CJK SC"/>
        <family val="2"/>
      </rPr>
      <t xml:space="preserve">が知らない目の秘密 </t>
    </r>
    <r>
      <rPr>
        <sz val="10"/>
        <rFont val="Arial"/>
        <family val="0"/>
        <charset val="1"/>
      </rPr>
      <t xml:space="preserve">#shorts #</t>
    </r>
    <r>
      <rPr>
        <sz val="10"/>
        <rFont val="Noto Sans CJK SC"/>
        <family val="2"/>
      </rPr>
      <t xml:space="preserve">ゆっくり解説</t>
    </r>
  </si>
  <si>
    <r>
      <rPr>
        <sz val="10"/>
        <rFont val="Noto Sans CJK SC"/>
        <family val="2"/>
      </rPr>
      <t xml:space="preserve">なぜ寝起きは鼻だけ詰まるの？</t>
    </r>
    <r>
      <rPr>
        <sz val="10"/>
        <rFont val="Arial"/>
        <family val="0"/>
        <charset val="1"/>
      </rPr>
      <t xml:space="preserve">4</t>
    </r>
    <r>
      <rPr>
        <sz val="10"/>
        <rFont val="Noto Sans CJK SC"/>
        <family val="2"/>
      </rPr>
      <t xml:space="preserve">時間サイクルの秘密、知ってた？</t>
    </r>
    <r>
      <rPr>
        <sz val="10"/>
        <rFont val="Arial"/>
        <family val="0"/>
        <charset val="1"/>
      </rPr>
      <t xml:space="preserve">#</t>
    </r>
    <r>
      <rPr>
        <sz val="10"/>
        <rFont val="Noto Sans CJK SC"/>
        <family val="2"/>
      </rPr>
      <t xml:space="preserve">今朝の鼻づまり、実は</t>
    </r>
    <r>
      <rPr>
        <sz val="10"/>
        <rFont val="Arial"/>
        <family val="0"/>
        <charset val="1"/>
      </rPr>
      <t xml:space="preserve">4</t>
    </r>
    <r>
      <rPr>
        <sz val="10"/>
        <rFont val="Noto Sans CJK SC"/>
        <family val="2"/>
      </rPr>
      <t xml:space="preserve">時間ごとに左右が入れ替わってた——</t>
    </r>
    <r>
      <rPr>
        <sz val="10"/>
        <rFont val="Arial"/>
        <family val="0"/>
        <charset val="1"/>
      </rPr>
      <t xml:space="preserve">99%</t>
    </r>
    <r>
      <rPr>
        <sz val="10"/>
        <rFont val="Noto Sans CJK SC"/>
        <family val="2"/>
      </rPr>
      <t xml:space="preserve">が知らない睡眠中の鼻の正体 </t>
    </r>
    <r>
      <rPr>
        <sz val="10"/>
        <rFont val="Arial"/>
        <family val="0"/>
        <charset val="1"/>
      </rPr>
      <t xml:space="preserve">#shorts #</t>
    </r>
    <r>
      <rPr>
        <sz val="10"/>
        <rFont val="Noto Sans CJK SC"/>
        <family val="2"/>
      </rPr>
      <t xml:space="preserve">ゆっくり解説</t>
    </r>
  </si>
  <si>
    <t xml:space="preserve">なぜか不自然？視覚が騙される瞬間の正体とは【ショート】</t>
  </si>
  <si>
    <t xml:space="preserve">2026-07-31</t>
  </si>
  <si>
    <t xml:space="preserve">なぜ目の奥が痛くなる？実はそこに『隠された理由』があるんです【ショート】</t>
  </si>
  <si>
    <t xml:space="preserve">2026-07-24</t>
  </si>
  <si>
    <r>
      <rPr>
        <sz val="10"/>
        <rFont val="Noto Sans CJK SC"/>
        <family val="2"/>
      </rPr>
      <t xml:space="preserve">くしゃみの瞬間、目の前が光る——</t>
    </r>
    <r>
      <rPr>
        <sz val="10"/>
        <rFont val="Arial"/>
        <family val="0"/>
        <charset val="1"/>
      </rPr>
      <t xml:space="preserve">99%</t>
    </r>
    <r>
      <rPr>
        <sz val="10"/>
        <rFont val="Noto Sans CJK SC"/>
        <family val="2"/>
      </rPr>
      <t xml:space="preserve">が知らないその</t>
    </r>
    <r>
      <rPr>
        <sz val="10"/>
        <rFont val="Arial"/>
        <family val="0"/>
        <charset val="1"/>
      </rPr>
      <t xml:space="preserve">0.5</t>
    </r>
    <r>
      <rPr>
        <sz val="10"/>
        <rFont val="Noto Sans CJK SC"/>
        <family val="2"/>
      </rPr>
      <t xml:space="preserve">秒に体で何が起きているのか？【ショート】</t>
    </r>
  </si>
  <si>
    <r>
      <rPr>
        <sz val="10"/>
        <rFont val="Noto Sans CJK SC"/>
        <family val="2"/>
      </rPr>
      <t xml:space="preserve">夢の中で急に気づく『これ夢だ』の正体</t>
    </r>
    <r>
      <rPr>
        <sz val="10"/>
        <rFont val="Arial"/>
        <family val="0"/>
        <charset val="1"/>
      </rPr>
      <t xml:space="preserve">#</t>
    </r>
    <r>
      <rPr>
        <sz val="10"/>
        <rFont val="Noto Sans CJK SC"/>
        <family val="2"/>
      </rPr>
      <t xml:space="preserve">夢の中で『あ、これ夢だ』って気づく瞬間、脳の中で何が起きてるか知ってる？ </t>
    </r>
    <r>
      <rPr>
        <sz val="10"/>
        <rFont val="Arial"/>
        <family val="0"/>
        <charset val="1"/>
      </rPr>
      <t xml:space="preserve">#shorts #</t>
    </r>
    <r>
      <rPr>
        <sz val="10"/>
        <rFont val="Noto Sans CJK SC"/>
        <family val="2"/>
      </rPr>
      <t xml:space="preserve">ゆっくり解説</t>
    </r>
  </si>
  <si>
    <t xml:space="preserve">2026-07-26</t>
  </si>
  <si>
    <r>
      <rPr>
        <sz val="10"/>
        <rFont val="Noto Sans CJK SC"/>
        <family val="2"/>
      </rPr>
      <t xml:space="preserve">音が消えるのは鼓膜のせいじゃない耳の中で水が起こす『物理的封鎖』の正体</t>
    </r>
    <r>
      <rPr>
        <sz val="10"/>
        <rFont val="Arial"/>
        <family val="0"/>
        <charset val="1"/>
      </rPr>
      <t xml:space="preserve">#</t>
    </r>
    <r>
      <rPr>
        <sz val="10"/>
        <rFont val="Noto Sans CJK SC"/>
        <family val="2"/>
      </rPr>
      <t xml:space="preserve">耳に水が入ると音が消える？実は鼓膜より手前で起きている『あの現象』の正体 </t>
    </r>
    <r>
      <rPr>
        <sz val="10"/>
        <rFont val="Arial"/>
        <family val="0"/>
        <charset val="1"/>
      </rPr>
      <t xml:space="preserve">#shorts #</t>
    </r>
    <r>
      <rPr>
        <sz val="10"/>
        <rFont val="Noto Sans CJK SC"/>
        <family val="2"/>
      </rPr>
      <t xml:space="preserve">ゆっくり解説</t>
    </r>
  </si>
  <si>
    <t xml:space="preserve">2026-07-14</t>
  </si>
  <si>
    <r>
      <rPr>
        <sz val="10"/>
        <rFont val="Noto Sans CJK SC"/>
        <family val="2"/>
      </rPr>
      <t xml:space="preserve">食後の眠気、実は脳への血流が食事直後に最大</t>
    </r>
    <r>
      <rPr>
        <sz val="10"/>
        <rFont val="Arial"/>
        <family val="0"/>
        <charset val="1"/>
      </rPr>
      <t xml:space="preserve">30%</t>
    </r>
    <r>
      <rPr>
        <sz val="10"/>
        <rFont val="Noto Sans CJK SC"/>
        <family val="2"/>
      </rPr>
      <t xml:space="preserve">も減っていた</t>
    </r>
    <r>
      <rPr>
        <sz val="10"/>
        <rFont val="Arial"/>
        <family val="0"/>
        <charset val="1"/>
      </rPr>
      <t xml:space="preserve">99%</t>
    </r>
    <r>
      <rPr>
        <sz val="10"/>
        <rFont val="Noto Sans CJK SC"/>
        <family val="2"/>
      </rPr>
      <t xml:space="preserve">が知らない「消化と睡眠」の驚くべき連鎖メカニズム</t>
    </r>
    <r>
      <rPr>
        <sz val="10"/>
        <rFont val="Arial"/>
        <family val="0"/>
        <charset val="1"/>
      </rPr>
      <t xml:space="preserve">#</t>
    </r>
    <r>
      <rPr>
        <sz val="10"/>
        <rFont val="Noto Sans CJK SC"/>
        <family val="2"/>
      </rPr>
      <t xml:space="preserve">食後に必ず眠くなるのはなぜ？血糖値だけじゃない、体が隠している本当の理由 </t>
    </r>
    <r>
      <rPr>
        <sz val="10"/>
        <rFont val="Arial"/>
        <family val="0"/>
        <charset val="1"/>
      </rPr>
      <t xml:space="preserve">#shor</t>
    </r>
  </si>
  <si>
    <r>
      <rPr>
        <sz val="10"/>
        <rFont val="Noto Sans CJK SC"/>
        <family val="2"/>
      </rPr>
      <t xml:space="preserve">えっ、ブルーライトだけじゃない？スマホが体内時計を狂わせる理由</t>
    </r>
    <r>
      <rPr>
        <sz val="10"/>
        <rFont val="Arial"/>
        <family val="0"/>
        <charset val="1"/>
      </rPr>
      <t xml:space="preserve">#</t>
    </r>
    <r>
      <rPr>
        <sz val="10"/>
        <rFont val="Noto Sans CJK SC"/>
        <family val="2"/>
      </rPr>
      <t xml:space="preserve">深夜のスマホ、翌朝のぼんやりはなぜ？実はブルーライトより怖い『概日リズム崩壊』の正体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</si>
  <si>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知らない方が幸せだったかも実は耳が特別な共鳴をしている</t>
    </r>
    <r>
      <rPr>
        <sz val="10"/>
        <rFont val="Arial"/>
        <family val="0"/>
        <charset val="1"/>
      </rPr>
      <t xml:space="preserve">!#</t>
    </r>
    <r>
      <rPr>
        <sz val="10"/>
        <rFont val="Noto Sans CJK SC"/>
        <family val="2"/>
      </rPr>
      <t xml:space="preserve">なぜか耳を壊す</t>
    </r>
    <r>
      <rPr>
        <sz val="10"/>
        <rFont val="Arial"/>
        <family val="0"/>
        <charset val="1"/>
      </rPr>
      <t xml:space="preserve">!? </t>
    </r>
    <r>
      <rPr>
        <sz val="10"/>
        <rFont val="Noto Sans CJK SC"/>
        <family val="2"/>
      </rPr>
      <t xml:space="preserve">黒板の音が耐えられない科学的理由 </t>
    </r>
    <r>
      <rPr>
        <sz val="10"/>
        <rFont val="Arial"/>
        <family val="0"/>
        <charset val="1"/>
      </rPr>
      <t xml:space="preserve">#shorts #</t>
    </r>
    <r>
      <rPr>
        <sz val="10"/>
        <rFont val="Noto Sans CJK SC"/>
        <family val="2"/>
      </rPr>
      <t xml:space="preserve">ゆっくり解説</t>
    </r>
  </si>
  <si>
    <r>
      <rPr>
        <sz val="10"/>
        <rFont val="Noto Sans CJK SC"/>
        <family val="2"/>
      </rPr>
      <t xml:space="preserve">自分の声、録音で聞くと変じゃない？実は耳の『ある仕組み』が原因なんです。</t>
    </r>
    <r>
      <rPr>
        <sz val="10"/>
        <rFont val="Arial"/>
        <family val="0"/>
        <charset val="1"/>
      </rPr>
      <t xml:space="preserve">#</t>
    </r>
    <r>
      <rPr>
        <sz val="10"/>
        <rFont val="Noto Sans CJK SC"/>
        <family val="2"/>
      </rPr>
      <t xml:space="preserve">なぜ自分の声だけ？録音で変に聞こえる本当の理由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</si>
  <si>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実は運動で脳内化学が変わる</t>
    </r>
    <r>
      <rPr>
        <sz val="10"/>
        <rFont val="Arial"/>
        <family val="0"/>
        <charset val="1"/>
      </rPr>
      <t xml:space="preserve">!? #</t>
    </r>
    <r>
      <rPr>
        <sz val="10"/>
        <rFont val="Noto Sans CJK SC"/>
        <family val="2"/>
      </rPr>
      <t xml:space="preserve">なぜ体を動かすと気分が良くなるの？ </t>
    </r>
    <r>
      <rPr>
        <sz val="10"/>
        <rFont val="Arial"/>
        <family val="0"/>
        <charset val="1"/>
      </rPr>
      <t xml:space="preserve">#</t>
    </r>
    <r>
      <rPr>
        <sz val="10"/>
        <rFont val="Noto Sans CJK SC"/>
        <family val="2"/>
      </rPr>
      <t xml:space="preserve">ゆっくり解説【ショート】</t>
    </r>
  </si>
  <si>
    <t xml:space="preserve">2026-07-07</t>
  </si>
  <si>
    <t xml:space="preserve">お風呂上がりに眠くなるのって、実は体が『わざと』冷えようとしているせいだった【ショート】</t>
  </si>
  <si>
    <t xml:space="preserve">2026-07-17</t>
  </si>
  <si>
    <r>
      <rPr>
        <sz val="10"/>
        <rFont val="Noto Sans CJK SC"/>
        <family val="2"/>
      </rPr>
      <t xml:space="preserve">赤ちゃんが笑うとき、脳の中で何が起きているのか？実は</t>
    </r>
    <r>
      <rPr>
        <sz val="10"/>
        <rFont val="Arial"/>
        <family val="0"/>
        <charset val="1"/>
      </rPr>
      <t xml:space="preserve">99%</t>
    </r>
    <r>
      <rPr>
        <sz val="10"/>
        <rFont val="Noto Sans CJK SC"/>
        <family val="2"/>
      </rPr>
      <t xml:space="preserve">の大人が知らない「笑い」の正体【ショート】</t>
    </r>
  </si>
  <si>
    <t xml:space="preserve">2026-06-27</t>
  </si>
  <si>
    <r>
      <rPr>
        <sz val="10"/>
        <rFont val="Noto Sans CJK SC"/>
        <family val="2"/>
      </rPr>
      <t xml:space="preserve">本を読むと眠くなるのは集中できてる証拠だった</t>
    </r>
    <r>
      <rPr>
        <sz val="10"/>
        <rFont val="Arial"/>
        <family val="0"/>
        <charset val="1"/>
      </rPr>
      <t xml:space="preserve">!?#</t>
    </r>
    <r>
      <rPr>
        <sz val="10"/>
        <rFont val="Noto Sans CJK SC"/>
        <family val="2"/>
      </rPr>
      <t xml:space="preserve">本を読むと必ず眠くなる人へ — 実はあなたの脳が『ある状態』に入っているだけかもしれない </t>
    </r>
    <r>
      <rPr>
        <sz val="10"/>
        <rFont val="Arial"/>
        <family val="0"/>
        <charset val="1"/>
      </rPr>
      <t xml:space="preserve">#shorts #</t>
    </r>
    <r>
      <rPr>
        <sz val="10"/>
        <rFont val="Noto Sans CJK SC"/>
        <family val="2"/>
      </rPr>
      <t xml:space="preserve">ゆっくり解説</t>
    </r>
  </si>
  <si>
    <t xml:space="preserve">2026-08-03</t>
  </si>
  <si>
    <t xml:space="preserve">なぜ浅い眠りの夜は脳がぼんやり？記憶力が激変する『睡眠の深さ』の正体【ショート】</t>
  </si>
  <si>
    <r>
      <rPr>
        <sz val="10"/>
        <rFont val="Noto Sans CJK SC"/>
        <family val="2"/>
      </rPr>
      <t xml:space="preserve">なぜ本だけで眠くなる？集中してるのに睡魔が来る理由</t>
    </r>
    <r>
      <rPr>
        <sz val="10"/>
        <rFont val="Arial"/>
        <family val="0"/>
        <charset val="1"/>
      </rPr>
      <t xml:space="preserve">#</t>
    </r>
    <r>
      <rPr>
        <sz val="10"/>
        <rFont val="Noto Sans CJK SC"/>
        <family val="2"/>
      </rPr>
      <t xml:space="preserve">本を読むと必ず眠くなる人が知らない、脳の『省エネモード』の正体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</si>
  <si>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あなたの隣の人があくびをした。うつった？うつらなかった？——その</t>
    </r>
    <r>
      <rPr>
        <sz val="10"/>
        <rFont val="Arial"/>
        <family val="0"/>
        <charset val="1"/>
      </rPr>
      <t xml:space="preserve">0.3</t>
    </r>
    <r>
      <rPr>
        <sz val="10"/>
        <rFont val="Noto Sans CJK SC"/>
        <family val="2"/>
      </rPr>
      <t xml:space="preserve">秒の差が「ある能力」の高さを丸裸にする【ショート】</t>
    </r>
  </si>
  <si>
    <t xml:space="preserve">2026-06-29</t>
  </si>
  <si>
    <r>
      <rPr>
        <sz val="10"/>
        <rFont val="Noto Sans CJK SC"/>
        <family val="2"/>
      </rPr>
      <t xml:space="preserve">寝てるのになぜ体が跳ねる？脳が起こす</t>
    </r>
    <r>
      <rPr>
        <sz val="10"/>
        <rFont val="Arial"/>
        <family val="0"/>
        <charset val="1"/>
      </rPr>
      <t xml:space="preserve">0.1</t>
    </r>
    <r>
      <rPr>
        <sz val="10"/>
        <rFont val="Noto Sans CJK SC"/>
        <family val="2"/>
      </rPr>
      <t xml:space="preserve">秒の暴走</t>
    </r>
    <r>
      <rPr>
        <sz val="10"/>
        <rFont val="Arial"/>
        <family val="0"/>
        <charset val="1"/>
      </rPr>
      <t xml:space="preserve">#</t>
    </r>
    <r>
      <rPr>
        <sz val="10"/>
        <rFont val="Noto Sans CJK SC"/>
        <family val="2"/>
      </rPr>
      <t xml:space="preserve">寝落ちの瞬間に体がビクッ…あの『謎の震え』の正体が怖すぎる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</si>
  <si>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録音の声が別人すぎる理由骨伝導の謎を解明！</t>
    </r>
    <r>
      <rPr>
        <sz val="10"/>
        <rFont val="Arial"/>
        <family val="0"/>
        <charset val="1"/>
      </rPr>
      <t xml:space="preserve">#</t>
    </r>
    <r>
      <rPr>
        <sz val="10"/>
        <rFont val="Noto Sans CJK SC"/>
        <family val="2"/>
      </rPr>
      <t xml:space="preserve">なぜ録音の声は『別人』に聞こえるのか？実は骨伝導の意外すぎる仕組みが原因！ </t>
    </r>
    <r>
      <rPr>
        <sz val="10"/>
        <rFont val="Arial"/>
        <family val="0"/>
        <charset val="1"/>
      </rPr>
      <t xml:space="preserve">#shorts #</t>
    </r>
    <r>
      <rPr>
        <sz val="10"/>
        <rFont val="Noto Sans CJK SC"/>
        <family val="2"/>
      </rPr>
      <t xml:space="preserve">ゆっくり解説</t>
    </r>
  </si>
  <si>
    <t xml:space="preserve">2026-08-01</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</si>
  <si>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時に目が覚める？体内時計が仕掛ける意外な罠【ショート】</t>
    </r>
  </si>
  <si>
    <t xml:space="preserve">2026-07-03</t>
  </si>
  <si>
    <r>
      <rPr>
        <sz val="10"/>
        <rFont val="Noto Sans CJK SC"/>
        <family val="2"/>
      </rPr>
      <t xml:space="preserve">夢を忘れる理由、実は脳が『意図的に』消している？</t>
    </r>
    <r>
      <rPr>
        <sz val="10"/>
        <rFont val="Arial"/>
        <family val="0"/>
        <charset val="1"/>
      </rPr>
      <t xml:space="preserve">99%</t>
    </r>
    <r>
      <rPr>
        <sz val="10"/>
        <rFont val="Noto Sans CJK SC"/>
        <family val="2"/>
      </rPr>
      <t xml:space="preserve">が知らない睡眠中の脳の秘密</t>
    </r>
    <r>
      <rPr>
        <sz val="10"/>
        <rFont val="Arial"/>
        <family val="0"/>
        <charset val="1"/>
      </rPr>
      <t xml:space="preserve">#</t>
    </r>
    <r>
      <rPr>
        <sz val="10"/>
        <rFont val="Noto Sans CJK SC"/>
        <family val="2"/>
      </rPr>
      <t xml:space="preserve">朝起きると夢を忘れているのに、なぜ夢を見た『感覚』だけは残っているのか </t>
    </r>
    <r>
      <rPr>
        <sz val="10"/>
        <rFont val="Arial"/>
        <family val="0"/>
        <charset val="1"/>
      </rPr>
      <t xml:space="preserve">#shorts #</t>
    </r>
    <r>
      <rPr>
        <sz val="10"/>
        <rFont val="Noto Sans CJK SC"/>
        <family val="2"/>
      </rPr>
      <t xml:space="preserve">ゆっくり解説</t>
    </r>
  </si>
  <si>
    <t xml:space="preserve">2026-07-16</t>
  </si>
  <si>
    <r>
      <rPr>
        <sz val="10"/>
        <rFont val="Noto Sans CJK SC"/>
        <family val="2"/>
      </rPr>
      <t xml:space="preserve">髪を切っても痛くないのは死んだ細胞のせいだった！？</t>
    </r>
    <r>
      <rPr>
        <sz val="10"/>
        <rFont val="Arial"/>
        <family val="0"/>
        <charset val="1"/>
      </rPr>
      <t xml:space="preserve">#</t>
    </r>
    <r>
      <rPr>
        <sz val="10"/>
        <rFont val="Noto Sans CJK SC"/>
        <family val="2"/>
      </rPr>
      <t xml:space="preserve">なぜ髪の毛だけが痛くない？意外すぎる人体の秘密 </t>
    </r>
    <r>
      <rPr>
        <sz val="10"/>
        <rFont val="Arial"/>
        <family val="0"/>
        <charset val="1"/>
      </rPr>
      <t xml:space="preserve">#</t>
    </r>
    <r>
      <rPr>
        <sz val="10"/>
        <rFont val="Noto Sans CJK SC"/>
        <family val="2"/>
      </rPr>
      <t xml:space="preserve">髪の毛の謎 </t>
    </r>
    <r>
      <rPr>
        <sz val="10"/>
        <rFont val="Arial"/>
        <family val="0"/>
        <charset val="1"/>
      </rPr>
      <t xml:space="preserve">#shorts #</t>
    </r>
    <r>
      <rPr>
        <sz val="10"/>
        <rFont val="Noto Sans CJK SC"/>
        <family val="2"/>
      </rPr>
      <t xml:space="preserve">ゆっくり解説</t>
    </r>
  </si>
  <si>
    <r>
      <rPr>
        <sz val="10"/>
        <rFont val="Noto Sans CJK SC"/>
        <family val="2"/>
      </rPr>
      <t xml:space="preserve">録音した自分の声を聞いて驚いたことない？実は骨伝導が原因なんだ！</t>
    </r>
    <r>
      <rPr>
        <sz val="10"/>
        <rFont val="Arial"/>
        <family val="0"/>
        <charset val="1"/>
      </rPr>
      <t xml:space="preserve">#</t>
    </r>
    <r>
      <rPr>
        <sz val="10"/>
        <rFont val="Noto Sans CJK SC"/>
        <family val="2"/>
      </rPr>
      <t xml:space="preserve">録音した自分の声、なぜこんなに変？骨伝導が見せる意外すぎる真実 </t>
    </r>
    <r>
      <rPr>
        <sz val="10"/>
        <rFont val="Arial"/>
        <family val="0"/>
        <charset val="1"/>
      </rPr>
      <t xml:space="preserve">#shorts #</t>
    </r>
    <r>
      <rPr>
        <sz val="10"/>
        <rFont val="Noto Sans CJK SC"/>
        <family val="2"/>
      </rPr>
      <t xml:space="preserve">ゆっくり解説</t>
    </r>
  </si>
  <si>
    <r>
      <rPr>
        <sz val="10"/>
        <rFont val="Noto Sans CJK SC"/>
        <family val="2"/>
      </rPr>
      <t xml:space="preserve">朝がつらい！そんなあなたに朗報！</t>
    </r>
    <r>
      <rPr>
        <sz val="10"/>
        <rFont val="Arial"/>
        <family val="0"/>
        <charset val="1"/>
      </rPr>
      <t xml:space="preserve">#</t>
    </r>
    <r>
      <rPr>
        <sz val="10"/>
        <rFont val="Noto Sans CJK SC"/>
        <family val="2"/>
      </rPr>
      <t xml:space="preserve">やる気が出ない朝を劇的に変える</t>
    </r>
    <r>
      <rPr>
        <sz val="10"/>
        <rFont val="Arial"/>
        <family val="0"/>
        <charset val="1"/>
      </rPr>
      <t xml:space="preserve">!?</t>
    </r>
    <r>
      <rPr>
        <sz val="10"/>
        <rFont val="Noto Sans CJK SC"/>
        <family val="2"/>
      </rPr>
      <t xml:space="preserve">たった</t>
    </r>
    <r>
      <rPr>
        <sz val="10"/>
        <rFont val="Arial"/>
        <family val="0"/>
        <charset val="1"/>
      </rPr>
      <t xml:space="preserve">5</t>
    </r>
    <r>
      <rPr>
        <sz val="10"/>
        <rFont val="Noto Sans CJK SC"/>
        <family val="2"/>
      </rPr>
      <t xml:space="preserve">分の脳科学的ルーティン </t>
    </r>
    <r>
      <rPr>
        <sz val="10"/>
        <rFont val="Arial"/>
        <family val="0"/>
        <charset val="1"/>
      </rPr>
      <t xml:space="preserve">#shorts #</t>
    </r>
    <r>
      <rPr>
        <sz val="10"/>
        <rFont val="Noto Sans CJK SC"/>
        <family val="2"/>
      </rPr>
      <t xml:space="preserve">ゆっくり解説</t>
    </r>
  </si>
  <si>
    <t xml:space="preserve">2026-07-06</t>
  </si>
  <si>
    <r>
      <rPr>
        <sz val="10"/>
        <rFont val="Noto Sans CJK SC"/>
        <family val="2"/>
      </rPr>
      <t xml:space="preserve">実は、骨伝導がカギなんです！録音で声が変わる理由を解明！</t>
    </r>
    <r>
      <rPr>
        <sz val="10"/>
        <rFont val="Arial"/>
        <family val="0"/>
        <charset val="1"/>
      </rPr>
      <t xml:space="preserve">#</t>
    </r>
    <r>
      <rPr>
        <sz val="10"/>
        <rFont val="Noto Sans CJK SC"/>
        <family val="2"/>
      </rPr>
      <t xml:space="preserve">なぜ録音した自分の声は別人のように聞こえるのか？音の裏にある驚きの科学 </t>
    </r>
    <r>
      <rPr>
        <sz val="10"/>
        <rFont val="Arial"/>
        <family val="0"/>
        <charset val="1"/>
      </rPr>
      <t xml:space="preserve">#shorts #</t>
    </r>
    <r>
      <rPr>
        <sz val="10"/>
        <rFont val="Noto Sans CJK SC"/>
        <family val="2"/>
      </rPr>
      <t xml:space="preserve">ゆっくり解説</t>
    </r>
  </si>
  <si>
    <r>
      <rPr>
        <sz val="10"/>
        <rFont val="Noto Sans CJK SC"/>
        <family val="2"/>
      </rPr>
      <t xml:space="preserve">脳が生み出す天然モルヒネの秘密に迫るあなたの体で今も起きている現象</t>
    </r>
    <r>
      <rPr>
        <sz val="10"/>
        <rFont val="Arial"/>
        <family val="0"/>
        <charset val="1"/>
      </rPr>
      <t xml:space="preserve">#</t>
    </r>
    <r>
      <rPr>
        <sz val="10"/>
        <rFont val="Noto Sans CJK SC"/>
        <family val="2"/>
      </rPr>
      <t xml:space="preserve">なぜ脳は天然モルヒネを作る？エンドルフィンの驚きの正体 </t>
    </r>
    <r>
      <rPr>
        <sz val="10"/>
        <rFont val="Arial"/>
        <family val="0"/>
        <charset val="1"/>
      </rPr>
      <t xml:space="preserve">#shorts #</t>
    </r>
    <r>
      <rPr>
        <sz val="10"/>
        <rFont val="Noto Sans CJK SC"/>
        <family val="2"/>
      </rPr>
      <t xml:space="preserve">ゆっくり解説</t>
    </r>
  </si>
  <si>
    <t xml:space="preserve">2026-07-11</t>
  </si>
  <si>
    <t xml:space="preserve">なぜ夢を見ると疲れが残るのか？脳の意外な『働きすぎ』の実態【ショート】</t>
  </si>
  <si>
    <t xml:space="preserve">2026-07-23</t>
  </si>
  <si>
    <r>
      <rPr>
        <sz val="10"/>
        <rFont val="Noto Sans CJK SC"/>
        <family val="2"/>
      </rPr>
      <t xml:space="preserve">知らない方がよかったかも食べ物の匂いが記憶を蘇らせる理由</t>
    </r>
    <r>
      <rPr>
        <sz val="10"/>
        <rFont val="Arial"/>
        <family val="0"/>
        <charset val="1"/>
      </rPr>
      <t xml:space="preserve">#</t>
    </r>
    <r>
      <rPr>
        <sz val="10"/>
        <rFont val="Noto Sans CJK SC"/>
        <family val="2"/>
      </rPr>
      <t xml:space="preserve">なぜ食べ物の匂いで記憶が蘇る？意外な脳の秘密 </t>
    </r>
    <r>
      <rPr>
        <sz val="10"/>
        <rFont val="Arial"/>
        <family val="0"/>
        <charset val="1"/>
      </rPr>
      <t xml:space="preserve">#shorts #</t>
    </r>
    <r>
      <rPr>
        <sz val="10"/>
        <rFont val="Noto Sans CJK SC"/>
        <family val="2"/>
      </rPr>
      <t xml:space="preserve">ゆっくり解説</t>
    </r>
  </si>
  <si>
    <t xml:space="preserve">くしゃみ中、なぜか目が絶対に開けられない——脳が強制的にシャットダウンする本当の理由【ショート】</t>
  </si>
  <si>
    <t xml:space="preserve">2026-07-08</t>
  </si>
  <si>
    <t xml:space="preserve">なぜ『あの日』の記憶だけ鮮明に残るのか？感情が脳に刻む痕跡の正体【ショート】</t>
  </si>
  <si>
    <r>
      <rPr>
        <sz val="10"/>
        <rFont val="Noto Sans CJK SC"/>
        <family val="2"/>
      </rPr>
      <t xml:space="preserve">録音で声が変わる理由とは？骨が関係するって知ってた？</t>
    </r>
    <r>
      <rPr>
        <sz val="10"/>
        <rFont val="Arial"/>
        <family val="0"/>
        <charset val="1"/>
      </rPr>
      <t xml:space="preserve">#</t>
    </r>
    <r>
      <rPr>
        <sz val="10"/>
        <rFont val="Noto Sans CJK SC"/>
        <family val="2"/>
      </rPr>
      <t xml:space="preserve">録音した自分の声が変に聞こえる本当の理由、実は骨の作用だった！ </t>
    </r>
    <r>
      <rPr>
        <sz val="10"/>
        <rFont val="Arial"/>
        <family val="0"/>
        <charset val="1"/>
      </rPr>
      <t xml:space="preserve">#shorts #</t>
    </r>
    <r>
      <rPr>
        <sz val="10"/>
        <rFont val="Noto Sans CJK SC"/>
        <family val="2"/>
      </rPr>
      <t xml:space="preserve">ゆっくり解説</t>
    </r>
  </si>
  <si>
    <t xml:space="preserve">2026-07-28</t>
  </si>
  <si>
    <t xml:space="preserve">食欲を操る色の魔法！なぜ『色』が食欲に影響を与えるのか？【ショート】</t>
  </si>
  <si>
    <r>
      <rPr>
        <sz val="10"/>
        <rFont val="Noto Sans CJK SC"/>
        <family val="2"/>
      </rPr>
      <t xml:space="preserve">夢の中で音を感じる理由実は脳が作り出した</t>
    </r>
    <r>
      <rPr>
        <sz val="10"/>
        <rFont val="Arial"/>
        <family val="0"/>
        <charset val="1"/>
      </rPr>
      <t xml:space="preserve">!?#99%</t>
    </r>
    <r>
      <rPr>
        <sz val="10"/>
        <rFont val="Noto Sans CJK SC"/>
        <family val="2"/>
      </rPr>
      <t xml:space="preserve">が知らない夢の『音』の正体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</si>
  <si>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砂糖</t>
    </r>
    <r>
      <rPr>
        <sz val="10"/>
        <rFont val="Arial"/>
        <family val="0"/>
        <charset val="1"/>
      </rPr>
      <t xml:space="preserve">1g</t>
    </r>
    <r>
      <rPr>
        <sz val="10"/>
        <rFont val="Noto Sans CJK SC"/>
        <family val="2"/>
      </rPr>
      <t xml:space="preserve">が脳を動かすその快感、実は罠だった？</t>
    </r>
    <r>
      <rPr>
        <sz val="10"/>
        <rFont val="Arial"/>
        <family val="0"/>
        <charset val="1"/>
      </rPr>
      <t xml:space="preserve">#</t>
    </r>
    <r>
      <rPr>
        <sz val="10"/>
        <rFont val="Noto Sans CJK SC"/>
        <family val="2"/>
      </rPr>
      <t xml:space="preserve">甘いもの、食べると「なぜか」元気が出る </t>
    </r>
    <r>
      <rPr>
        <sz val="10"/>
        <rFont val="Arial"/>
        <family val="0"/>
        <charset val="1"/>
      </rPr>
      <t xml:space="preserve">#</t>
    </r>
    <r>
      <rPr>
        <sz val="10"/>
        <rFont val="Noto Sans CJK SC"/>
        <family val="2"/>
      </rPr>
      <t xml:space="preserve">脳が隠してた本当の理由とは？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</si>
  <si>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録音の声がキモい理由骨が音を変えていた</t>
    </r>
    <r>
      <rPr>
        <sz val="10"/>
        <rFont val="Arial"/>
        <family val="0"/>
        <charset val="1"/>
      </rPr>
      <t xml:space="preserve">#</t>
    </r>
    <r>
      <rPr>
        <sz val="10"/>
        <rFont val="Noto Sans CJK SC"/>
        <family val="2"/>
      </rPr>
      <t xml:space="preserve">自分の声が録音だと気持ち悪く聞こえる…あの違和感の正体、実は耳の中にあった </t>
    </r>
    <r>
      <rPr>
        <sz val="10"/>
        <rFont val="Arial"/>
        <family val="0"/>
        <charset val="1"/>
      </rPr>
      <t xml:space="preserve">#shorts #</t>
    </r>
    <r>
      <rPr>
        <sz val="10"/>
        <rFont val="Noto Sans CJK SC"/>
        <family val="2"/>
      </rPr>
      <t xml:space="preserve">ゆっくり解説</t>
    </r>
  </si>
  <si>
    <r>
      <rPr>
        <sz val="10"/>
        <rFont val="Noto Sans CJK SC"/>
        <family val="2"/>
      </rPr>
      <t xml:space="preserve">ブルーライトより</t>
    </r>
    <r>
      <rPr>
        <sz val="10"/>
        <rFont val="Arial"/>
        <family val="0"/>
        <charset val="1"/>
      </rPr>
      <t xml:space="preserve">100</t>
    </r>
    <r>
      <rPr>
        <sz val="10"/>
        <rFont val="Noto Sans CJK SC"/>
        <family val="2"/>
      </rPr>
      <t xml:space="preserve">倍怖い体内時計『崩壊』の正体</t>
    </r>
    <r>
      <rPr>
        <sz val="10"/>
        <rFont val="Arial"/>
        <family val="0"/>
        <charset val="1"/>
      </rPr>
      <t xml:space="preserve">#</t>
    </r>
    <r>
      <rPr>
        <sz val="10"/>
        <rFont val="Noto Sans CJK SC"/>
        <family val="2"/>
      </rPr>
      <t xml:space="preserve">深夜スマホで翌朝ぼんやりする本当の理由、ブルーライトじゃなかった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</si>
  <si>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録音の自分の声、別人すぎる問題実は</t>
    </r>
    <r>
      <rPr>
        <sz val="10"/>
        <rFont val="Arial"/>
        <family val="0"/>
        <charset val="1"/>
      </rPr>
      <t xml:space="preserve">97%</t>
    </r>
    <r>
      <rPr>
        <sz val="10"/>
        <rFont val="Noto Sans CJK SC"/>
        <family val="2"/>
      </rPr>
      <t xml:space="preserve">の人が同じ衝撃を受けている</t>
    </r>
    <r>
      <rPr>
        <sz val="10"/>
        <rFont val="Arial"/>
        <family val="0"/>
        <charset val="1"/>
      </rPr>
      <t xml:space="preserve">#</t>
    </r>
    <r>
      <rPr>
        <sz val="10"/>
        <rFont val="Noto Sans CJK SC"/>
        <family val="2"/>
      </rPr>
      <t xml:space="preserve">なぜ録音した自分の声だけ別人みたいに聞こえるの？耳の中で起きていること </t>
    </r>
    <r>
      <rPr>
        <sz val="10"/>
        <rFont val="Arial"/>
        <family val="0"/>
        <charset val="1"/>
      </rPr>
      <t xml:space="preserve">#shorts #</t>
    </r>
    <r>
      <rPr>
        <sz val="10"/>
        <rFont val="Noto Sans CJK SC"/>
        <family val="2"/>
      </rPr>
      <t xml:space="preserve">ゆっくり解説</t>
    </r>
  </si>
  <si>
    <r>
      <rPr>
        <sz val="10"/>
        <rFont val="Noto Sans CJK SC"/>
        <family val="2"/>
      </rPr>
      <t xml:space="preserve">なぜ今飲んだ炭酸は鼻までツーンとするのか？</t>
    </r>
    <r>
      <rPr>
        <sz val="10"/>
        <rFont val="Arial"/>
        <family val="0"/>
        <charset val="1"/>
      </rPr>
      <t xml:space="preserve">99%</t>
    </r>
    <r>
      <rPr>
        <sz val="10"/>
        <rFont val="Noto Sans CJK SC"/>
        <family val="2"/>
      </rPr>
      <t xml:space="preserve">が知らない</t>
    </r>
    <r>
      <rPr>
        <sz val="10"/>
        <rFont val="Arial"/>
        <family val="0"/>
        <charset val="1"/>
      </rPr>
      <t xml:space="preserve">0.3</t>
    </r>
    <r>
      <rPr>
        <sz val="10"/>
        <rFont val="Noto Sans CJK SC"/>
        <family val="2"/>
      </rPr>
      <t xml:space="preserve">秒の刺激ルート【ショート】</t>
    </r>
  </si>
  <si>
    <t xml:space="preserve">お腹ペコペコなのに、いざ食べ始めたら急に食欲が消える——あの『裏切り感』の正体、実は脳と胃が別々に動いてるせいだった【ショート】</t>
  </si>
  <si>
    <t xml:space="preserve">同じ空を見ているのに、あなたと私で『青』が違う色に見えているかもしれない理由【ショート】</t>
  </si>
  <si>
    <r>
      <rPr>
        <sz val="10"/>
        <rFont val="Noto Sans CJK SC"/>
        <family val="2"/>
      </rPr>
      <t xml:space="preserve">録音の声が「別人」に聞こえる本当の理由実は骨が音を変えていた</t>
    </r>
    <r>
      <rPr>
        <sz val="10"/>
        <rFont val="Arial"/>
        <family val="0"/>
        <charset val="1"/>
      </rPr>
      <t xml:space="preserve">#</t>
    </r>
    <r>
      <rPr>
        <sz val="10"/>
        <rFont val="Noto Sans CJK SC"/>
        <family val="2"/>
      </rPr>
      <t xml:space="preserve">なぜ録音した自分の声はあんなに気持ち悪いのか？実は</t>
    </r>
    <r>
      <rPr>
        <sz val="10"/>
        <rFont val="Arial"/>
        <family val="0"/>
        <charset val="1"/>
      </rPr>
      <t xml:space="preserve">99%</t>
    </r>
    <r>
      <rPr>
        <sz val="10"/>
        <rFont val="Noto Sans CJK SC"/>
        <family val="2"/>
      </rPr>
      <t xml:space="preserve">の人が知らない耳の二重構造の正体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</si>
  <si>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録音の声＝本当の自分の声低音が約</t>
    </r>
    <r>
      <rPr>
        <sz val="10"/>
        <rFont val="Arial"/>
        <family val="0"/>
        <charset val="1"/>
      </rPr>
      <t xml:space="preserve">10dB</t>
    </r>
    <r>
      <rPr>
        <sz val="10"/>
        <rFont val="Noto Sans CJK SC"/>
        <family val="2"/>
      </rPr>
      <t xml:space="preserve">消える！</t>
    </r>
    <r>
      <rPr>
        <sz val="10"/>
        <rFont val="Arial"/>
        <family val="0"/>
        <charset val="1"/>
      </rPr>
      <t xml:space="preserve">#</t>
    </r>
    <r>
      <rPr>
        <sz val="10"/>
        <rFont val="Noto Sans CJK SC"/>
        <family val="2"/>
      </rPr>
      <t xml:space="preserve">録音した自分の声が別人みたいに聞こえる本当の理由——なぜか耳だけが知らない「もう一つの自分の声」 </t>
    </r>
    <r>
      <rPr>
        <sz val="10"/>
        <rFont val="Arial"/>
        <family val="0"/>
        <charset val="1"/>
      </rPr>
      <t xml:space="preserve">#shorts #</t>
    </r>
    <r>
      <rPr>
        <sz val="10"/>
        <rFont val="Noto Sans CJK SC"/>
        <family val="2"/>
      </rPr>
      <t xml:space="preserve">ゆっくり解説</t>
    </r>
  </si>
  <si>
    <r>
      <rPr>
        <sz val="10"/>
        <rFont val="Noto Sans CJK SC"/>
        <family val="2"/>
      </rPr>
      <t xml:space="preserve">ストレスで体がかゆくなる？</t>
    </r>
    <r>
      <rPr>
        <sz val="10"/>
        <rFont val="Arial"/>
        <family val="0"/>
        <charset val="1"/>
      </rPr>
      <t xml:space="preserve">99%</t>
    </r>
    <r>
      <rPr>
        <sz val="10"/>
        <rFont val="Noto Sans CJK SC"/>
        <family val="2"/>
      </rPr>
      <t xml:space="preserve">が知らない意外な理由</t>
    </r>
    <r>
      <rPr>
        <sz val="10"/>
        <rFont val="Arial"/>
        <family val="0"/>
        <charset val="1"/>
      </rPr>
      <t xml:space="preserve">#</t>
    </r>
    <r>
      <rPr>
        <sz val="10"/>
        <rFont val="Noto Sans CJK SC"/>
        <family val="2"/>
      </rPr>
      <t xml:space="preserve">なぜストレスで体がかゆくなるのか？</t>
    </r>
    <r>
      <rPr>
        <sz val="10"/>
        <rFont val="Arial"/>
        <family val="0"/>
        <charset val="1"/>
      </rPr>
      <t xml:space="preserve">99%</t>
    </r>
    <r>
      <rPr>
        <sz val="10"/>
        <rFont val="Noto Sans CJK SC"/>
        <family val="2"/>
      </rPr>
      <t xml:space="preserve">が知らない意外な理由 </t>
    </r>
    <r>
      <rPr>
        <sz val="10"/>
        <rFont val="Arial"/>
        <family val="0"/>
        <charset val="1"/>
      </rPr>
      <t xml:space="preserve">#shorts #</t>
    </r>
    <r>
      <rPr>
        <sz val="10"/>
        <rFont val="Noto Sans CJK SC"/>
        <family val="2"/>
      </rPr>
      <t xml:space="preserve">ゆっくり解説</t>
    </r>
  </si>
  <si>
    <r>
      <rPr>
        <sz val="10"/>
        <rFont val="Noto Sans CJK SC"/>
        <family val="2"/>
      </rPr>
      <t xml:space="preserve">録音の声＝別人に聞こえる理由骨が音を変えていた！</t>
    </r>
    <r>
      <rPr>
        <sz val="10"/>
        <rFont val="Arial"/>
        <family val="0"/>
        <charset val="1"/>
      </rPr>
      <t xml:space="preserve">#</t>
    </r>
    <r>
      <rPr>
        <sz val="10"/>
        <rFont val="Noto Sans CJK SC"/>
        <family val="2"/>
      </rPr>
      <t xml:space="preserve">なぜ録音の自分の声だけ「別人」に聞こえるのか？耳の中で起きていること </t>
    </r>
    <r>
      <rPr>
        <sz val="10"/>
        <rFont val="Arial"/>
        <family val="0"/>
        <charset val="1"/>
      </rPr>
      <t xml:space="preserve">#shorts #</t>
    </r>
    <r>
      <rPr>
        <sz val="10"/>
        <rFont val="Noto Sans CJK SC"/>
        <family val="2"/>
      </rPr>
      <t xml:space="preserve">ゆっくり解説</t>
    </r>
  </si>
  <si>
    <r>
      <rPr>
        <sz val="10"/>
        <rFont val="Noto Sans CJK SC"/>
        <family val="2"/>
      </rPr>
      <t xml:space="preserve">目が開いてるのに状況が分からない謎の数秒</t>
    </r>
    <r>
      <rPr>
        <sz val="10"/>
        <rFont val="Arial"/>
        <family val="0"/>
        <charset val="1"/>
      </rPr>
      <t xml:space="preserve">#</t>
    </r>
    <r>
      <rPr>
        <sz val="10"/>
        <rFont val="Noto Sans CJK SC"/>
        <family val="2"/>
      </rPr>
      <t xml:space="preserve">目が開いてるのに『ここどこ？』ってなる寝起きの数秒、脳の中で何が起きてるの？ </t>
    </r>
    <r>
      <rPr>
        <sz val="10"/>
        <rFont val="Arial"/>
        <family val="0"/>
        <charset val="1"/>
      </rPr>
      <t xml:space="preserve">#shorts #</t>
    </r>
    <r>
      <rPr>
        <sz val="10"/>
        <rFont val="Noto Sans CJK SC"/>
        <family val="2"/>
      </rPr>
      <t xml:space="preserve">ゆっくり解説</t>
    </r>
  </si>
  <si>
    <r>
      <rPr>
        <sz val="10"/>
        <rFont val="Noto Sans CJK SC"/>
        <family val="2"/>
      </rPr>
      <t xml:space="preserve">今朝なぜ寒い？</t>
    </r>
    <r>
      <rPr>
        <sz val="10"/>
        <rFont val="Arial"/>
        <family val="0"/>
        <charset val="1"/>
      </rPr>
      <t xml:space="preserve">99%</t>
    </r>
    <r>
      <rPr>
        <sz val="10"/>
        <rFont val="Noto Sans CJK SC"/>
        <family val="2"/>
      </rPr>
      <t xml:space="preserve">が知らない体温</t>
    </r>
    <r>
      <rPr>
        <sz val="10"/>
        <rFont val="Arial"/>
        <family val="0"/>
        <charset val="1"/>
      </rPr>
      <t xml:space="preserve">0.5</t>
    </r>
    <r>
      <rPr>
        <sz val="10"/>
        <rFont val="Noto Sans CJK SC"/>
        <family val="2"/>
      </rPr>
      <t xml:space="preserve">度の罠——目覚め直後に起きること【ショート】【ショート】</t>
    </r>
  </si>
  <si>
    <r>
      <rPr>
        <sz val="10"/>
        <rFont val="Noto Sans CJK SC"/>
        <family val="2"/>
      </rPr>
      <t xml:space="preserve">自分の声が録音だと別人に聞こえる？実は骨伝導が原因だった！</t>
    </r>
    <r>
      <rPr>
        <sz val="10"/>
        <rFont val="Arial"/>
        <family val="0"/>
        <charset val="1"/>
      </rPr>
      <t xml:space="preserve">#</t>
    </r>
    <r>
      <rPr>
        <sz val="10"/>
        <rFont val="Noto Sans CJK SC"/>
        <family val="2"/>
      </rPr>
      <t xml:space="preserve">なぜ自分の声は録音で別人に聞こえるのか？意外すぎる理由 </t>
    </r>
    <r>
      <rPr>
        <sz val="10"/>
        <rFont val="Arial"/>
        <family val="0"/>
        <charset val="1"/>
      </rPr>
      <t xml:space="preserve">#shorts #</t>
    </r>
    <r>
      <rPr>
        <sz val="10"/>
        <rFont val="Noto Sans CJK SC"/>
        <family val="2"/>
      </rPr>
      <t xml:space="preserve">ゆっくり解説</t>
    </r>
  </si>
  <si>
    <t xml:space="preserve">2026-08-02</t>
  </si>
  <si>
    <r>
      <rPr>
        <sz val="10"/>
        <rFont val="Noto Sans CJK SC"/>
        <family val="2"/>
      </rPr>
      <t xml:space="preserve">なぜ金縛りは『仰向け』で</t>
    </r>
    <r>
      <rPr>
        <sz val="10"/>
        <rFont val="Arial"/>
        <family val="0"/>
        <charset val="1"/>
      </rPr>
      <t xml:space="preserve">2</t>
    </r>
    <r>
      <rPr>
        <sz val="10"/>
        <rFont val="Noto Sans CJK SC"/>
        <family val="2"/>
      </rPr>
      <t xml:space="preserve">倍も起きやすい？体勢で激変する眠りの謎【ショート】</t>
    </r>
  </si>
  <si>
    <r>
      <rPr>
        <sz val="10"/>
        <rFont val="Noto Sans CJK SC"/>
        <family val="2"/>
      </rPr>
      <t xml:space="preserve">なぜ正座を崩した瞬間だけビリビリするのか？</t>
    </r>
    <r>
      <rPr>
        <sz val="10"/>
        <rFont val="Arial"/>
        <family val="0"/>
        <charset val="1"/>
      </rPr>
      <t xml:space="preserve">99%</t>
    </r>
    <r>
      <rPr>
        <sz val="10"/>
        <rFont val="Noto Sans CJK SC"/>
        <family val="2"/>
      </rPr>
      <t xml:space="preserve">が知らない</t>
    </r>
    <r>
      <rPr>
        <sz val="10"/>
        <rFont val="Arial"/>
        <family val="0"/>
        <charset val="1"/>
      </rPr>
      <t xml:space="preserve">30</t>
    </r>
    <r>
      <rPr>
        <sz val="10"/>
        <rFont val="Noto Sans CJK SC"/>
        <family val="2"/>
      </rPr>
      <t xml:space="preserve">秒の正体【ショート】</t>
    </r>
  </si>
  <si>
    <t xml:space="preserve">2026-08-10</t>
  </si>
  <si>
    <r>
      <rPr>
        <sz val="10"/>
        <rFont val="Noto Sans CJK SC"/>
        <family val="2"/>
      </rPr>
      <t xml:space="preserve">本を開いた瞬間に眠くなる理由集中しているのに眠い『逆説』の正体</t>
    </r>
    <r>
      <rPr>
        <sz val="10"/>
        <rFont val="Arial"/>
        <family val="0"/>
        <charset val="1"/>
      </rPr>
      <t xml:space="preserve">#</t>
    </r>
    <r>
      <rPr>
        <sz val="10"/>
        <rFont val="Noto Sans CJK SC"/>
        <family val="2"/>
      </rPr>
      <t xml:space="preserve">本を読むと</t>
    </r>
    <r>
      <rPr>
        <sz val="10"/>
        <rFont val="Arial"/>
        <family val="0"/>
        <charset val="1"/>
      </rPr>
      <t xml:space="preserve">90%</t>
    </r>
    <r>
      <rPr>
        <sz val="10"/>
        <rFont val="Noto Sans CJK SC"/>
        <family val="2"/>
      </rPr>
      <t xml:space="preserve">の人が</t>
    </r>
    <r>
      <rPr>
        <sz val="10"/>
        <rFont val="Arial"/>
        <family val="0"/>
        <charset val="1"/>
      </rPr>
      <t xml:space="preserve">5</t>
    </r>
    <r>
      <rPr>
        <sz val="10"/>
        <rFont val="Noto Sans CJK SC"/>
        <family val="2"/>
      </rPr>
      <t xml:space="preserve">分以内に眠くなる——その『睡魔の罠』の正体、知ってる？ </t>
    </r>
    <r>
      <rPr>
        <sz val="10"/>
        <rFont val="Arial"/>
        <family val="0"/>
        <charset val="1"/>
      </rPr>
      <t xml:space="preserve">#shorts #</t>
    </r>
    <r>
      <rPr>
        <sz val="10"/>
        <rFont val="Noto Sans CJK SC"/>
        <family val="2"/>
      </rPr>
      <t xml:space="preserve">ゆっくり解説</t>
    </r>
  </si>
  <si>
    <r>
      <rPr>
        <sz val="10"/>
        <rFont val="Arial"/>
        <family val="0"/>
        <charset val="1"/>
      </rPr>
      <t xml:space="preserve">99%</t>
    </r>
    <r>
      <rPr>
        <sz val="10"/>
        <rFont val="Noto Sans CJK SC"/>
        <family val="2"/>
      </rPr>
      <t xml:space="preserve">の人が知らない</t>
    </r>
    <r>
      <rPr>
        <sz val="10"/>
        <rFont val="Arial"/>
        <family val="0"/>
        <charset val="1"/>
      </rPr>
      <t xml:space="preserve">! </t>
    </r>
    <r>
      <rPr>
        <sz val="10"/>
        <rFont val="Noto Sans CJK SC"/>
        <family val="2"/>
      </rPr>
      <t xml:space="preserve">なぜ体がかゆくなるのか？その正体を暴く【ショート】</t>
    </r>
  </si>
  <si>
    <r>
      <rPr>
        <sz val="10"/>
        <rFont val="Noto Sans CJK SC"/>
        <family val="2"/>
      </rPr>
      <t xml:space="preserve">録音の声、なぜか気持ち悪い…骨が音を変えていた</t>
    </r>
    <r>
      <rPr>
        <sz val="10"/>
        <rFont val="Arial"/>
        <family val="0"/>
        <charset val="1"/>
      </rPr>
      <t xml:space="preserve">#</t>
    </r>
    <r>
      <rPr>
        <sz val="10"/>
        <rFont val="Noto Sans CJK SC"/>
        <family val="2"/>
      </rPr>
      <t xml:space="preserve">録音した自分の声が「別人みたい」に聞こえるのは、なぜか耳の中だけの話じゃなかった </t>
    </r>
    <r>
      <rPr>
        <sz val="10"/>
        <rFont val="Arial"/>
        <family val="0"/>
        <charset val="1"/>
      </rPr>
      <t xml:space="preserve">#shorts #</t>
    </r>
    <r>
      <rPr>
        <sz val="10"/>
        <rFont val="Noto Sans CJK SC"/>
        <family val="2"/>
      </rPr>
      <t xml:space="preserve">ゆっくり解説</t>
    </r>
  </si>
  <si>
    <r>
      <rPr>
        <sz val="10"/>
        <rFont val="Noto Sans CJK SC"/>
        <family val="2"/>
      </rPr>
      <t xml:space="preserve">なぜか毎回『同じ時間帯』それ、偶然じゃないんです</t>
    </r>
    <r>
      <rPr>
        <sz val="10"/>
        <rFont val="Arial"/>
        <family val="0"/>
        <charset val="1"/>
      </rPr>
      <t xml:space="preserve">#</t>
    </r>
    <r>
      <rPr>
        <sz val="10"/>
        <rFont val="Noto Sans CJK SC"/>
        <family val="2"/>
      </rPr>
      <t xml:space="preserve">なぜ金縛りは『決まった時間』にしか起きないのか？</t>
    </r>
    <r>
      <rPr>
        <sz val="10"/>
        <rFont val="Arial"/>
        <family val="0"/>
        <charset val="1"/>
      </rPr>
      <t xml:space="preserve">99%</t>
    </r>
    <r>
      <rPr>
        <sz val="10"/>
        <rFont val="Noto Sans CJK SC"/>
        <family val="2"/>
      </rPr>
      <t xml:space="preserve">が知らない睡眠の本当の仕組み </t>
    </r>
    <r>
      <rPr>
        <sz val="10"/>
        <rFont val="Arial"/>
        <family val="0"/>
        <charset val="1"/>
      </rPr>
      <t xml:space="preserve">#shorts #</t>
    </r>
    <r>
      <rPr>
        <sz val="10"/>
        <rFont val="Noto Sans CJK SC"/>
        <family val="2"/>
      </rPr>
      <t xml:space="preserve">ゆっくり解説</t>
    </r>
  </si>
  <si>
    <r>
      <rPr>
        <sz val="10"/>
        <rFont val="Noto Sans CJK SC"/>
        <family val="2"/>
      </rPr>
      <t xml:space="preserve">夢の「数時間」は現実では何秒？脳が作り出す偽の時間の正体</t>
    </r>
    <r>
      <rPr>
        <sz val="10"/>
        <rFont val="Arial"/>
        <family val="0"/>
        <charset val="1"/>
      </rPr>
      <t xml:space="preserve">#</t>
    </r>
    <r>
      <rPr>
        <sz val="10"/>
        <rFont val="Noto Sans CJK SC"/>
        <family val="2"/>
      </rPr>
      <t xml:space="preserve">夢の中でいた「あの数時間」、実は現実では何秒だったのか？</t>
    </r>
    <r>
      <rPr>
        <sz val="10"/>
        <rFont val="Arial"/>
        <family val="0"/>
        <charset val="1"/>
      </rPr>
      <t xml:space="preserve">99%</t>
    </r>
    <r>
      <rPr>
        <sz val="10"/>
        <rFont val="Noto Sans CJK SC"/>
        <family val="2"/>
      </rPr>
      <t xml:space="preserve">が誤解している脳の時間感覚 </t>
    </r>
    <r>
      <rPr>
        <sz val="10"/>
        <rFont val="Arial"/>
        <family val="0"/>
        <charset val="1"/>
      </rPr>
      <t xml:space="preserve">#shorts #</t>
    </r>
    <r>
      <rPr>
        <sz val="10"/>
        <rFont val="Noto Sans CJK SC"/>
        <family val="2"/>
      </rPr>
      <t xml:space="preserve">ゆっくり解説</t>
    </r>
  </si>
  <si>
    <r>
      <rPr>
        <sz val="10"/>
        <rFont val="Arial"/>
        <family val="0"/>
        <charset val="1"/>
      </rPr>
      <t xml:space="preserve">99%</t>
    </r>
    <r>
      <rPr>
        <sz val="10"/>
        <rFont val="Noto Sans CJK SC"/>
        <family val="2"/>
      </rPr>
      <t xml:space="preserve">が知らない「夢の記憶」の正体なぜあの夢だけ覚えてるの？</t>
    </r>
    <r>
      <rPr>
        <sz val="10"/>
        <rFont val="Arial"/>
        <family val="0"/>
        <charset val="1"/>
      </rPr>
      <t xml:space="preserve">#</t>
    </r>
    <r>
      <rPr>
        <sz val="10"/>
        <rFont val="Noto Sans CJK SC"/>
        <family val="2"/>
      </rPr>
      <t xml:space="preserve">昨夜の夢だけ覚えてる——</t>
    </r>
    <r>
      <rPr>
        <sz val="10"/>
        <rFont val="Arial"/>
        <family val="0"/>
        <charset val="1"/>
      </rPr>
      <t xml:space="preserve">99%</t>
    </r>
    <r>
      <rPr>
        <sz val="10"/>
        <rFont val="Noto Sans CJK SC"/>
        <family val="2"/>
      </rPr>
      <t xml:space="preserve">が知らない、脳が『あの夢』を選んで記録する本当の理由 </t>
    </r>
    <r>
      <rPr>
        <sz val="10"/>
        <rFont val="Arial"/>
        <family val="0"/>
        <charset val="1"/>
      </rPr>
      <t xml:space="preserve">#shorts #</t>
    </r>
    <r>
      <rPr>
        <sz val="10"/>
        <rFont val="Noto Sans CJK SC"/>
        <family val="2"/>
      </rPr>
      <t xml:space="preserve">ゆっくり解説</t>
    </r>
  </si>
  <si>
    <t xml:space="preserve">2026-07-25</t>
  </si>
  <si>
    <r>
      <rPr>
        <sz val="10"/>
        <rFont val="Noto Sans CJK SC"/>
        <family val="2"/>
      </rPr>
      <t xml:space="preserve">免疫反応が体をダルくする！風邪の真相は意外な〇〇だった？</t>
    </r>
    <r>
      <rPr>
        <sz val="10"/>
        <rFont val="Arial"/>
        <family val="0"/>
        <charset val="1"/>
      </rPr>
      <t xml:space="preserve">#</t>
    </r>
    <r>
      <rPr>
        <sz val="10"/>
        <rFont val="Noto Sans CJK SC"/>
        <family val="2"/>
      </rPr>
      <t xml:space="preserve">風邪を引くと体がだるすぎる</t>
    </r>
    <r>
      <rPr>
        <sz val="10"/>
        <rFont val="Arial"/>
        <family val="0"/>
        <charset val="1"/>
      </rPr>
      <t xml:space="preserve">!? </t>
    </r>
    <r>
      <rPr>
        <sz val="10"/>
        <rFont val="Noto Sans CJK SC"/>
        <family val="2"/>
      </rPr>
      <t xml:space="preserve">その意外な原因を徹底解明 </t>
    </r>
    <r>
      <rPr>
        <sz val="10"/>
        <rFont val="Arial"/>
        <family val="0"/>
        <charset val="1"/>
      </rPr>
      <t xml:space="preserve">#shorts #</t>
    </r>
    <r>
      <rPr>
        <sz val="10"/>
        <rFont val="Noto Sans CJK SC"/>
        <family val="2"/>
      </rPr>
      <t xml:space="preserve">ゆっくり解説</t>
    </r>
  </si>
  <si>
    <r>
      <rPr>
        <sz val="10"/>
        <rFont val="Noto Sans CJK SC"/>
        <family val="2"/>
      </rPr>
      <t xml:space="preserve">寝てるのに体がビクッ！脳が起こす</t>
    </r>
    <r>
      <rPr>
        <sz val="10"/>
        <rFont val="Arial"/>
        <family val="0"/>
        <charset val="1"/>
      </rPr>
      <t xml:space="preserve">0.1</t>
    </r>
    <r>
      <rPr>
        <sz val="10"/>
        <rFont val="Noto Sans CJK SC"/>
        <family val="2"/>
      </rPr>
      <t xml:space="preserve">秒の誤作動</t>
    </r>
    <r>
      <rPr>
        <sz val="10"/>
        <rFont val="Arial"/>
        <family val="0"/>
        <charset val="1"/>
      </rPr>
      <t xml:space="preserve">#</t>
    </r>
    <r>
      <rPr>
        <sz val="10"/>
        <rFont val="Noto Sans CJK SC"/>
        <family val="2"/>
      </rPr>
      <t xml:space="preserve">寝落ち直前に体がビクッとなるのは、実は脳が『ある勘違い』をしているせいだった </t>
    </r>
    <r>
      <rPr>
        <sz val="10"/>
        <rFont val="Arial"/>
        <family val="0"/>
        <charset val="1"/>
      </rPr>
      <t xml:space="preserve">#shorts #</t>
    </r>
    <r>
      <rPr>
        <sz val="10"/>
        <rFont val="Noto Sans CJK SC"/>
        <family val="2"/>
      </rPr>
      <t xml:space="preserve">ゆっくり解説</t>
    </r>
  </si>
  <si>
    <r>
      <rPr>
        <sz val="10"/>
        <rFont val="Noto Sans CJK SC"/>
        <family val="2"/>
      </rPr>
      <t xml:space="preserve">静寂のはずなのに…耳の中で音が生まれている</t>
    </r>
    <r>
      <rPr>
        <sz val="10"/>
        <rFont val="Arial"/>
        <family val="0"/>
        <charset val="1"/>
      </rPr>
      <t xml:space="preserve">#</t>
    </r>
    <r>
      <rPr>
        <sz val="10"/>
        <rFont val="Noto Sans CJK SC"/>
        <family val="2"/>
      </rPr>
      <t xml:space="preserve">なぜ静かな部屋でだけ耳鳴りがするのか？内耳で起きている『あの音』の正体 </t>
    </r>
    <r>
      <rPr>
        <sz val="10"/>
        <rFont val="Arial"/>
        <family val="0"/>
        <charset val="1"/>
      </rPr>
      <t xml:space="preserve">#shorts #</t>
    </r>
    <r>
      <rPr>
        <sz val="10"/>
        <rFont val="Noto Sans CJK SC"/>
        <family val="2"/>
      </rPr>
      <t xml:space="preserve">ゆっくり解説</t>
    </r>
  </si>
  <si>
    <t xml:space="preserve">食事中に声を出すと、なぜか体が勝手に『恥ずかしい』と感じる本当の理由【ショート】</t>
  </si>
  <si>
    <t xml:space="preserve">なぜあの日の痛みだけ、何年経っても忘れられないのか？【ショート】</t>
  </si>
  <si>
    <t xml:space="preserve">なぜ夢を見ているとき目が動く？知られざる『目の謎』【ショート】</t>
  </si>
  <si>
    <t xml:space="preserve">蛍光灯の下だと肌が青白く見える。あれ、実は目が『騙されている』だけって知ってた？【ショート】</t>
  </si>
  <si>
    <r>
      <rPr>
        <sz val="10"/>
        <rFont val="Noto Sans CJK SC"/>
        <family val="2"/>
      </rPr>
      <t xml:space="preserve">夢の中、なぜか現実味があるのは</t>
    </r>
    <r>
      <rPr>
        <sz val="10"/>
        <rFont val="Arial"/>
        <family val="0"/>
        <charset val="1"/>
      </rPr>
      <t xml:space="preserve">?99%</t>
    </r>
    <r>
      <rPr>
        <sz val="10"/>
        <rFont val="Noto Sans CJK SC"/>
        <family val="2"/>
      </rPr>
      <t xml:space="preserve">が知らない脳のトリック</t>
    </r>
    <r>
      <rPr>
        <sz val="10"/>
        <rFont val="Arial"/>
        <family val="0"/>
        <charset val="1"/>
      </rPr>
      <t xml:space="preserve">!#</t>
    </r>
    <r>
      <rPr>
        <sz val="10"/>
        <rFont val="Noto Sans CJK SC"/>
        <family val="2"/>
      </rPr>
      <t xml:space="preserve">夢の中がリアルすぎる理由、</t>
    </r>
    <r>
      <rPr>
        <sz val="10"/>
        <rFont val="Arial"/>
        <family val="0"/>
        <charset val="1"/>
      </rPr>
      <t xml:space="preserve">99%</t>
    </r>
    <r>
      <rPr>
        <sz val="10"/>
        <rFont val="Noto Sans CJK SC"/>
        <family val="2"/>
      </rPr>
      <t xml:space="preserve">が知らない脳の不思議 </t>
    </r>
    <r>
      <rPr>
        <sz val="10"/>
        <rFont val="Arial"/>
        <family val="0"/>
        <charset val="1"/>
      </rPr>
      <t xml:space="preserve">#shorts #</t>
    </r>
    <r>
      <rPr>
        <sz val="10"/>
        <rFont val="Noto Sans CJK SC"/>
        <family val="2"/>
      </rPr>
      <t xml:space="preserve">ゆっくり解説</t>
    </r>
  </si>
  <si>
    <r>
      <rPr>
        <sz val="10"/>
        <rFont val="Noto Sans CJK SC"/>
        <family val="2"/>
      </rPr>
      <t xml:space="preserve">昼寝したのになぜ余計しんどい？脳の</t>
    </r>
    <r>
      <rPr>
        <sz val="10"/>
        <rFont val="Arial"/>
        <family val="0"/>
        <charset val="1"/>
      </rPr>
      <t xml:space="preserve">90</t>
    </r>
    <r>
      <rPr>
        <sz val="10"/>
        <rFont val="Noto Sans CJK SC"/>
        <family val="2"/>
      </rPr>
      <t xml:space="preserve">分サイクルが引き起こす『睡眠慣性』の罠</t>
    </r>
    <r>
      <rPr>
        <sz val="10"/>
        <rFont val="Arial"/>
        <family val="0"/>
        <charset val="1"/>
      </rPr>
      <t xml:space="preserve">#</t>
    </r>
    <r>
      <rPr>
        <sz val="10"/>
        <rFont val="Noto Sans CJK SC"/>
        <family val="2"/>
      </rPr>
      <t xml:space="preserve">昼寝後にだるいのは睡眠のせいじゃない——脳が</t>
    </r>
    <r>
      <rPr>
        <sz val="10"/>
        <rFont val="Arial"/>
        <family val="0"/>
        <charset val="1"/>
      </rPr>
      <t xml:space="preserve">90</t>
    </r>
    <r>
      <rPr>
        <sz val="10"/>
        <rFont val="Noto Sans CJK SC"/>
        <family val="2"/>
      </rPr>
      <t xml:space="preserve">分ごとに起こしている『ある現象』の正体 </t>
    </r>
    <r>
      <rPr>
        <sz val="10"/>
        <rFont val="Arial"/>
        <family val="0"/>
        <charset val="1"/>
      </rPr>
      <t xml:space="preserve">#shorts #</t>
    </r>
    <r>
      <rPr>
        <sz val="10"/>
        <rFont val="Noto Sans CJK SC"/>
        <family val="2"/>
      </rPr>
      <t xml:space="preserve">ゆっくり解説</t>
    </r>
  </si>
  <si>
    <t xml:space="preserve">なぜ手だけ汗が出るの？緊張したとき『そこだけ』が濡れる本当の理由【ショート】</t>
  </si>
  <si>
    <t xml:space="preserve">2026-06-25</t>
  </si>
  <si>
    <r>
      <rPr>
        <sz val="10"/>
        <rFont val="Noto Sans CJK SC"/>
        <family val="2"/>
      </rPr>
      <t xml:space="preserve">なぜ閉まる寸前でも止まるの？センサーの『待機設計』が凄すぎた</t>
    </r>
    <r>
      <rPr>
        <sz val="10"/>
        <rFont val="Arial"/>
        <family val="0"/>
        <charset val="1"/>
      </rPr>
      <t xml:space="preserve">#</t>
    </r>
    <r>
      <rPr>
        <sz val="10"/>
        <rFont val="Noto Sans CJK SC"/>
        <family val="2"/>
      </rPr>
      <t xml:space="preserve">ドアが閉まる直前に飛び込んでも間に合う…エレベーターが『あなた』を待つ本当の理由 </t>
    </r>
    <r>
      <rPr>
        <sz val="10"/>
        <rFont val="Arial"/>
        <family val="0"/>
        <charset val="1"/>
      </rPr>
      <t xml:space="preserve">#shorts #</t>
    </r>
    <r>
      <rPr>
        <sz val="10"/>
        <rFont val="Noto Sans CJK SC"/>
        <family val="2"/>
      </rPr>
      <t xml:space="preserve">ゆっくり解説</t>
    </r>
  </si>
  <si>
    <t xml:space="preserve">2026-07-29</t>
  </si>
  <si>
    <t xml:space="preserve">なぜ昼寝中の夢は現実と激しく違う？科学が解明する『夢の仕組み』【ショート】</t>
  </si>
  <si>
    <t xml:space="preserve">2026-08-11</t>
  </si>
  <si>
    <r>
      <rPr>
        <sz val="10"/>
        <rFont val="Noto Sans CJK SC"/>
        <family val="2"/>
      </rPr>
      <t xml:space="preserve">今夜あなたが寝返りした瞬間、なぜ</t>
    </r>
    <r>
      <rPr>
        <sz val="10"/>
        <rFont val="Arial"/>
        <family val="0"/>
        <charset val="1"/>
      </rPr>
      <t xml:space="preserve">0.8</t>
    </r>
    <r>
      <rPr>
        <sz val="10"/>
        <rFont val="Noto Sans CJK SC"/>
        <family val="2"/>
      </rPr>
      <t xml:space="preserve">秒だけ目が覚める？実は眠りが消える前の脳内チェック【ショート】</t>
    </r>
  </si>
  <si>
    <t xml:space="preserve">2026-07-18</t>
  </si>
  <si>
    <r>
      <rPr>
        <sz val="10"/>
        <rFont val="Arial"/>
        <family val="0"/>
        <charset val="1"/>
      </rPr>
      <t xml:space="preserve">99%</t>
    </r>
    <r>
      <rPr>
        <sz val="10"/>
        <rFont val="Noto Sans CJK SC"/>
        <family val="2"/>
      </rPr>
      <t xml:space="preserve">が勘違いしてるあの『鉄の味』の正体</t>
    </r>
    <r>
      <rPr>
        <sz val="10"/>
        <rFont val="Arial"/>
        <family val="0"/>
        <charset val="1"/>
      </rPr>
      <t xml:space="preserve">#</t>
    </r>
    <r>
      <rPr>
        <sz val="10"/>
        <rFont val="Noto Sans CJK SC"/>
        <family val="2"/>
      </rPr>
      <t xml:space="preserve">ステンレスのスプーンを舐めると鉄の味がする…でも実はスプーンから金属は</t>
    </r>
    <r>
      <rPr>
        <sz val="10"/>
        <rFont val="Arial"/>
        <family val="0"/>
        <charset val="1"/>
      </rPr>
      <t xml:space="preserve">1</t>
    </r>
    <r>
      <rPr>
        <sz val="10"/>
        <rFont val="Noto Sans CJK SC"/>
        <family val="2"/>
      </rPr>
      <t xml:space="preserve">ミリも溶け出していない </t>
    </r>
    <r>
      <rPr>
        <sz val="10"/>
        <rFont val="Arial"/>
        <family val="0"/>
        <charset val="1"/>
      </rPr>
      <t xml:space="preserve">#shorts #</t>
    </r>
    <r>
      <rPr>
        <sz val="10"/>
        <rFont val="Noto Sans CJK SC"/>
        <family val="2"/>
      </rPr>
      <t xml:space="preserve">ゆっくり解説</t>
    </r>
  </si>
  <si>
    <t xml:space="preserve">鏡の中の自分、なぜ『左右』だけ反転して見えるの？実は鏡は何も反転していなかった【ショート】</t>
  </si>
  <si>
    <r>
      <rPr>
        <sz val="10"/>
        <rFont val="Arial"/>
        <family val="0"/>
        <charset val="1"/>
      </rPr>
      <t xml:space="preserve">99%</t>
    </r>
    <r>
      <rPr>
        <sz val="10"/>
        <rFont val="Noto Sans CJK SC"/>
        <family val="2"/>
      </rPr>
      <t xml:space="preserve">が知らないアイスクリーム頭痛の発動条件</t>
    </r>
    <r>
      <rPr>
        <sz val="10"/>
        <rFont val="Arial"/>
        <family val="0"/>
        <charset val="1"/>
      </rPr>
      <t xml:space="preserve">#</t>
    </r>
    <r>
      <rPr>
        <sz val="10"/>
        <rFont val="Noto Sans CJK SC"/>
        <family val="2"/>
      </rPr>
      <t xml:space="preserve">かき氷で頭がキーンとならない人がいる、その『差』の正体 </t>
    </r>
    <r>
      <rPr>
        <sz val="10"/>
        <rFont val="Arial"/>
        <family val="0"/>
        <charset val="1"/>
      </rPr>
      <t xml:space="preserve">#shorts #</t>
    </r>
    <r>
      <rPr>
        <sz val="10"/>
        <rFont val="Noto Sans CJK SC"/>
        <family val="2"/>
      </rPr>
      <t xml:space="preserve">ゆっくり解説</t>
    </r>
  </si>
  <si>
    <t xml:space="preserve">寝落ち直前に体がビクッとするのは、実は脳が『死にかけた』と勘違いしているから？【ショート】</t>
  </si>
  <si>
    <r>
      <rPr>
        <sz val="10"/>
        <rFont val="Noto Sans CJK SC"/>
        <family val="2"/>
      </rPr>
      <t xml:space="preserve">寝てる間だけ成長する？</t>
    </r>
    <r>
      <rPr>
        <sz val="10"/>
        <rFont val="Arial"/>
        <family val="0"/>
        <charset val="1"/>
      </rPr>
      <t xml:space="preserve">99%</t>
    </r>
    <r>
      <rPr>
        <sz val="10"/>
        <rFont val="Noto Sans CJK SC"/>
        <family val="2"/>
      </rPr>
      <t xml:space="preserve">が知らない夜の体の秘密</t>
    </r>
    <r>
      <rPr>
        <sz val="10"/>
        <rFont val="Arial"/>
        <family val="0"/>
        <charset val="1"/>
      </rPr>
      <t xml:space="preserve">#</t>
    </r>
    <r>
      <rPr>
        <sz val="10"/>
        <rFont val="Noto Sans CJK SC"/>
        <family val="2"/>
      </rPr>
      <t xml:space="preserve">寝ている間だけ分泌される『あのホルモン』——なぜ</t>
    </r>
    <r>
      <rPr>
        <sz val="10"/>
        <rFont val="Arial"/>
        <family val="0"/>
        <charset val="1"/>
      </rPr>
      <t xml:space="preserve">99%</t>
    </r>
    <r>
      <rPr>
        <sz val="10"/>
        <rFont val="Noto Sans CJK SC"/>
        <family val="2"/>
      </rPr>
      <t xml:space="preserve">の人が睡眠中にしか成長できないのか？ </t>
    </r>
    <r>
      <rPr>
        <sz val="10"/>
        <rFont val="Arial"/>
        <family val="0"/>
        <charset val="1"/>
      </rPr>
      <t xml:space="preserve">#shorts #</t>
    </r>
    <r>
      <rPr>
        <sz val="10"/>
        <rFont val="Noto Sans CJK SC"/>
        <family val="2"/>
      </rPr>
      <t xml:space="preserve">ゆっくり解説</t>
    </r>
  </si>
  <si>
    <t xml:space="preserve">新しいノートを前にするとなぜか手が止まる——脳が『もったいない』と叫ぶ本当の理由【ショート】</t>
  </si>
  <si>
    <t xml:space="preserve">冷蔵庫の上段、なぜか全然冷えてない…その『不思議な理由』が意外すぎた【ショート】</t>
  </si>
  <si>
    <t xml:space="preserve">耳が急に詰まる感覚、実は鼓膜の内側で起きているある現象の正体【ショート】</t>
  </si>
  <si>
    <r>
      <rPr>
        <sz val="10"/>
        <rFont val="Noto Sans CJK SC"/>
        <family val="2"/>
      </rPr>
      <t xml:space="preserve">なぜ今夜、布団で足だけ熱い？</t>
    </r>
    <r>
      <rPr>
        <sz val="10"/>
        <rFont val="Arial"/>
        <family val="0"/>
        <charset val="1"/>
      </rPr>
      <t xml:space="preserve">90%</t>
    </r>
    <r>
      <rPr>
        <sz val="10"/>
        <rFont val="Noto Sans CJK SC"/>
        <family val="2"/>
      </rPr>
      <t xml:space="preserve">が勘違いする</t>
    </r>
    <r>
      <rPr>
        <sz val="10"/>
        <rFont val="Arial"/>
        <family val="0"/>
        <charset val="1"/>
      </rPr>
      <t xml:space="preserve">30</t>
    </r>
    <r>
      <rPr>
        <sz val="10"/>
        <rFont val="Noto Sans CJK SC"/>
        <family val="2"/>
      </rPr>
      <t xml:space="preserve">分の放熱の正体【ショート】</t>
    </r>
  </si>
  <si>
    <r>
      <rPr>
        <sz val="10"/>
        <rFont val="Noto Sans CJK SC"/>
        <family val="2"/>
      </rPr>
      <t xml:space="preserve">視線を向けた瞬間、消える目の端だけが知っている</t>
    </r>
    <r>
      <rPr>
        <sz val="10"/>
        <rFont val="Arial"/>
        <family val="0"/>
        <charset val="1"/>
      </rPr>
      <t xml:space="preserve">#</t>
    </r>
    <r>
      <rPr>
        <sz val="10"/>
        <rFont val="Noto Sans CJK SC"/>
        <family val="2"/>
      </rPr>
      <t xml:space="preserve">目の端にいた『それ』が正面を向いたら消えた </t>
    </r>
    <r>
      <rPr>
        <sz val="10"/>
        <rFont val="Arial"/>
        <family val="0"/>
        <charset val="1"/>
      </rPr>
      <t xml:space="preserve">#</t>
    </r>
    <r>
      <rPr>
        <sz val="10"/>
        <rFont val="Noto Sans CJK SC"/>
        <family val="2"/>
      </rPr>
      <t xml:space="preserve">なぜ視線を動かすだけで見えなくなるのか？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</si>
  <si>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なぜ今目を閉じるとふらつくのか？</t>
    </r>
    <r>
      <rPr>
        <sz val="10"/>
        <rFont val="Arial"/>
        <family val="0"/>
        <charset val="1"/>
      </rPr>
      <t xml:space="preserve">99%</t>
    </r>
    <r>
      <rPr>
        <sz val="10"/>
        <rFont val="Noto Sans CJK SC"/>
        <family val="2"/>
      </rPr>
      <t xml:space="preserve">が知らない最初の</t>
    </r>
    <r>
      <rPr>
        <sz val="10"/>
        <rFont val="Arial"/>
        <family val="0"/>
        <charset val="1"/>
      </rPr>
      <t xml:space="preserve">3</t>
    </r>
    <r>
      <rPr>
        <sz val="10"/>
        <rFont val="Noto Sans CJK SC"/>
        <family val="2"/>
      </rPr>
      <t xml:space="preserve">秒の平衡感覚【ショート】</t>
    </r>
  </si>
  <si>
    <r>
      <rPr>
        <sz val="10"/>
        <rFont val="Noto Sans CJK SC"/>
        <family val="2"/>
      </rPr>
      <t xml:space="preserve">耳鳴り中に特定の音が突き刺さる理由、知ってる？</t>
    </r>
    <r>
      <rPr>
        <sz val="10"/>
        <rFont val="Arial"/>
        <family val="0"/>
        <charset val="1"/>
      </rPr>
      <t xml:space="preserve">#</t>
    </r>
    <r>
      <rPr>
        <sz val="10"/>
        <rFont val="Noto Sans CJK SC"/>
        <family val="2"/>
      </rPr>
      <t xml:space="preserve">耳鳴りのとき、なぜか特定の音だけが異様に気になる——</t>
    </r>
    <r>
      <rPr>
        <sz val="10"/>
        <rFont val="Arial"/>
        <family val="0"/>
        <charset val="1"/>
      </rPr>
      <t xml:space="preserve">99%</t>
    </r>
    <r>
      <rPr>
        <sz val="10"/>
        <rFont val="Noto Sans CJK SC"/>
        <family val="2"/>
      </rPr>
      <t xml:space="preserve">が知らない聴覚の正体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</si>
  <si>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なぜ辛い物で汗が出るのか？実は</t>
    </r>
    <r>
      <rPr>
        <sz val="10"/>
        <rFont val="Arial"/>
        <family val="0"/>
        <charset val="1"/>
      </rPr>
      <t xml:space="preserve">9</t>
    </r>
    <r>
      <rPr>
        <sz val="10"/>
        <rFont val="Noto Sans CJK SC"/>
        <family val="2"/>
      </rPr>
      <t xml:space="preserve">割が勘違いする</t>
    </r>
    <r>
      <rPr>
        <sz val="10"/>
        <rFont val="Arial"/>
        <family val="0"/>
        <charset val="1"/>
      </rPr>
      <t xml:space="preserve">0.5</t>
    </r>
    <r>
      <rPr>
        <sz val="10"/>
        <rFont val="Noto Sans CJK SC"/>
        <family val="2"/>
      </rPr>
      <t xml:space="preserve">秒の温度反応【ショート】</t>
    </r>
  </si>
  <si>
    <r>
      <rPr>
        <sz val="10"/>
        <rFont val="Noto Sans CJK SC"/>
        <family val="2"/>
      </rPr>
      <t xml:space="preserve">録音した自分の声、別人みたいで恥ずかしくなった経験ない？実は骨が音を変えている——耳の構造に隠された驚きの仕組み</t>
    </r>
    <r>
      <rPr>
        <sz val="10"/>
        <rFont val="Arial"/>
        <family val="0"/>
        <charset val="1"/>
      </rPr>
      <t xml:space="preserve">#</t>
    </r>
    <r>
      <rPr>
        <sz val="10"/>
        <rFont val="Noto Sans CJK SC"/>
        <family val="2"/>
      </rPr>
      <t xml:space="preserve">自分の声って録音するとなぜあんなに変なの？耳の中で起きていること </t>
    </r>
    <r>
      <rPr>
        <sz val="10"/>
        <rFont val="Arial"/>
        <family val="0"/>
        <charset val="1"/>
      </rPr>
      <t xml:space="preserve">#shorts #</t>
    </r>
    <r>
      <rPr>
        <sz val="10"/>
        <rFont val="Noto Sans CJK SC"/>
        <family val="2"/>
      </rPr>
      <t xml:space="preserve">ゆ</t>
    </r>
  </si>
  <si>
    <r>
      <rPr>
        <sz val="10"/>
        <rFont val="Noto Sans CJK SC"/>
        <family val="2"/>
      </rPr>
      <t xml:space="preserve">辛いものを食べると汗が出る、その『本当の理由』が脳の誤作動だった </t>
    </r>
    <r>
      <rPr>
        <sz val="10"/>
        <rFont val="Arial"/>
        <family val="0"/>
        <charset val="1"/>
      </rPr>
      <t xml:space="preserve">#</t>
    </r>
    <r>
      <rPr>
        <sz val="10"/>
        <rFont val="Noto Sans CJK SC"/>
        <family val="2"/>
      </rPr>
      <t xml:space="preserve">カプサイシン </t>
    </r>
    <r>
      <rPr>
        <sz val="10"/>
        <rFont val="Arial"/>
        <family val="0"/>
        <charset val="1"/>
      </rPr>
      <t xml:space="preserve">#TRPV1</t>
    </r>
    <r>
      <rPr>
        <sz val="10"/>
        <rFont val="Noto Sans CJK SC"/>
        <family val="2"/>
      </rPr>
      <t xml:space="preserve">受容体の罠【ショート】</t>
    </r>
  </si>
  <si>
    <r>
      <rPr>
        <sz val="10"/>
        <rFont val="Noto Sans CJK SC"/>
        <family val="2"/>
      </rPr>
      <t xml:space="preserve">くしゃみ</t>
    </r>
    <r>
      <rPr>
        <sz val="10"/>
        <rFont val="Arial"/>
        <family val="0"/>
        <charset val="1"/>
      </rPr>
      <t xml:space="preserve">1</t>
    </r>
    <r>
      <rPr>
        <sz val="10"/>
        <rFont val="Noto Sans CJK SC"/>
        <family val="2"/>
      </rPr>
      <t xml:space="preserve">回で時速</t>
    </r>
    <r>
      <rPr>
        <sz val="10"/>
        <rFont val="Arial"/>
        <family val="0"/>
        <charset val="1"/>
      </rPr>
      <t xml:space="preserve">160km</t>
    </r>
    <r>
      <rPr>
        <sz val="10"/>
        <rFont val="Noto Sans CJK SC"/>
        <family val="2"/>
      </rPr>
      <t xml:space="preserve">の爆風が体内を駆け抜けるその</t>
    </r>
    <r>
      <rPr>
        <sz val="10"/>
        <rFont val="Arial"/>
        <family val="0"/>
        <charset val="1"/>
      </rPr>
      <t xml:space="preserve">0.5</t>
    </r>
    <r>
      <rPr>
        <sz val="10"/>
        <rFont val="Noto Sans CJK SC"/>
        <family val="2"/>
      </rPr>
      <t xml:space="preserve">秒間に脳と体に何が起きているのか？</t>
    </r>
    <r>
      <rPr>
        <sz val="10"/>
        <rFont val="Arial"/>
        <family val="0"/>
        <charset val="1"/>
      </rPr>
      <t xml:space="preserve">#</t>
    </r>
    <r>
      <rPr>
        <sz val="10"/>
        <rFont val="Noto Sans CJK SC"/>
        <family val="2"/>
      </rPr>
      <t xml:space="preserve">くしゃみの後、なぜか体がすっきりする「本当の理由」が</t>
    </r>
    <r>
      <rPr>
        <sz val="10"/>
        <rFont val="Arial"/>
        <family val="0"/>
        <charset val="1"/>
      </rPr>
      <t xml:space="preserve">99%</t>
    </r>
    <r>
      <rPr>
        <sz val="10"/>
        <rFont val="Noto Sans CJK SC"/>
        <family val="2"/>
      </rPr>
      <t xml:space="preserve">に知られていない件 </t>
    </r>
    <r>
      <rPr>
        <sz val="10"/>
        <rFont val="Arial"/>
        <family val="0"/>
        <charset val="1"/>
      </rPr>
      <t xml:space="preserve">#shorts #</t>
    </r>
    <r>
      <rPr>
        <sz val="10"/>
        <rFont val="Noto Sans CJK SC"/>
        <family val="2"/>
      </rPr>
      <t xml:space="preserve">ゆっく</t>
    </r>
  </si>
  <si>
    <r>
      <rPr>
        <sz val="10"/>
        <rFont val="Noto Sans CJK SC"/>
        <family val="2"/>
      </rPr>
      <t xml:space="preserve">くしゃみの瞬間、脳は『緊急モード』に入っていた時速</t>
    </r>
    <r>
      <rPr>
        <sz val="10"/>
        <rFont val="Arial"/>
        <family val="0"/>
        <charset val="1"/>
      </rPr>
      <t xml:space="preserve">160km</t>
    </r>
    <r>
      <rPr>
        <sz val="10"/>
        <rFont val="Noto Sans CJK SC"/>
        <family val="2"/>
      </rPr>
      <t xml:space="preserve">の爆風を体が生み出す理由</t>
    </r>
    <r>
      <rPr>
        <sz val="10"/>
        <rFont val="Arial"/>
        <family val="0"/>
        <charset val="1"/>
      </rPr>
      <t xml:space="preserve">#</t>
    </r>
    <r>
      <rPr>
        <sz val="10"/>
        <rFont val="Noto Sans CJK SC"/>
        <family val="2"/>
      </rPr>
      <t xml:space="preserve">くしゃみのとき、なぜか全身が震える——その</t>
    </r>
    <r>
      <rPr>
        <sz val="10"/>
        <rFont val="Arial"/>
        <family val="0"/>
        <charset val="1"/>
      </rPr>
      <t xml:space="preserve">0.5</t>
    </r>
    <r>
      <rPr>
        <sz val="10"/>
        <rFont val="Noto Sans CJK SC"/>
        <family val="2"/>
      </rPr>
      <t xml:space="preserve">秒に体で何が起きているのか？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</si>
  <si>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なぜくしゃみの後だけ体が軽いのか？</t>
    </r>
    <r>
      <rPr>
        <sz val="10"/>
        <rFont val="Arial"/>
        <family val="0"/>
        <charset val="1"/>
      </rPr>
      <t xml:space="preserve">9</t>
    </r>
    <r>
      <rPr>
        <sz val="10"/>
        <rFont val="Noto Sans CJK SC"/>
        <family val="2"/>
      </rPr>
      <t xml:space="preserve">割が知らない</t>
    </r>
    <r>
      <rPr>
        <sz val="10"/>
        <rFont val="Arial"/>
        <family val="0"/>
        <charset val="1"/>
      </rPr>
      <t xml:space="preserve">3</t>
    </r>
    <r>
      <rPr>
        <sz val="10"/>
        <rFont val="Noto Sans CJK SC"/>
        <family val="2"/>
      </rPr>
      <t xml:space="preserve">秒間の神経反応【ショート】</t>
    </r>
  </si>
  <si>
    <t xml:space="preserve">耳鳴りの瞬間、なぜ突然やってくる？その意外な原因とは【ショート】</t>
  </si>
  <si>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が知らない脳の正体</t>
    </r>
    <r>
      <rPr>
        <sz val="10"/>
        <rFont val="Arial"/>
        <family val="0"/>
        <charset val="1"/>
      </rPr>
      <t xml:space="preserve">#</t>
    </r>
    <r>
      <rPr>
        <sz val="10"/>
        <rFont val="Noto Sans CJK SC"/>
        <family val="2"/>
      </rPr>
      <t xml:space="preserve">あくびが「うつる」のは気のせいじゃない——</t>
    </r>
    <r>
      <rPr>
        <sz val="10"/>
        <rFont val="Arial"/>
        <family val="0"/>
        <charset val="1"/>
      </rPr>
      <t xml:space="preserve">99%</t>
    </r>
    <r>
      <rPr>
        <sz val="10"/>
        <rFont val="Noto Sans CJK SC"/>
        <family val="2"/>
      </rPr>
      <t xml:space="preserve">が知らない脳の同調メカニズムの正体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</si>
  <si>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冬だけバチッとくるのは実は</t>
    </r>
    <r>
      <rPr>
        <sz val="10"/>
        <rFont val="Arial"/>
        <family val="0"/>
        <charset val="1"/>
      </rPr>
      <t xml:space="preserve">99%</t>
    </r>
    <r>
      <rPr>
        <sz val="10"/>
        <rFont val="Noto Sans CJK SC"/>
        <family val="2"/>
      </rPr>
      <t xml:space="preserve">が誤解してる、湿度</t>
    </r>
    <r>
      <rPr>
        <sz val="10"/>
        <rFont val="Arial"/>
        <family val="0"/>
        <charset val="1"/>
      </rPr>
      <t xml:space="preserve">30%</t>
    </r>
    <r>
      <rPr>
        <sz val="10"/>
        <rFont val="Noto Sans CJK SC"/>
        <family val="2"/>
      </rPr>
      <t xml:space="preserve">を境に電子の逃げ道が消える話【ショート】</t>
    </r>
  </si>
  <si>
    <r>
      <rPr>
        <sz val="10"/>
        <rFont val="Noto Sans CJK SC"/>
        <family val="2"/>
      </rPr>
      <t xml:space="preserve">あなたの体で毎晩起きていること、気づいていますか？</t>
    </r>
    <r>
      <rPr>
        <sz val="10"/>
        <rFont val="Arial"/>
        <family val="0"/>
        <charset val="1"/>
      </rPr>
      <t xml:space="preserve">#</t>
    </r>
    <r>
      <rPr>
        <sz val="10"/>
        <rFont val="Noto Sans CJK SC"/>
        <family val="2"/>
      </rPr>
      <t xml:space="preserve">睡眠中の『口の乾き』——</t>
    </r>
    <r>
      <rPr>
        <sz val="10"/>
        <rFont val="Arial"/>
        <family val="0"/>
        <charset val="1"/>
      </rPr>
      <t xml:space="preserve">99%</t>
    </r>
    <r>
      <rPr>
        <sz val="10"/>
        <rFont val="Noto Sans CJK SC"/>
        <family val="2"/>
      </rPr>
      <t xml:space="preserve">が見過ごす体内の変化とは？ </t>
    </r>
    <r>
      <rPr>
        <sz val="10"/>
        <rFont val="Arial"/>
        <family val="0"/>
        <charset val="1"/>
      </rPr>
      <t xml:space="preserve">#shorts #</t>
    </r>
    <r>
      <rPr>
        <sz val="10"/>
        <rFont val="Noto Sans CJK SC"/>
        <family val="2"/>
      </rPr>
      <t xml:space="preserve">ゆっくり解説</t>
    </r>
  </si>
  <si>
    <r>
      <rPr>
        <sz val="10"/>
        <rFont val="Noto Sans CJK SC"/>
        <family val="2"/>
      </rPr>
      <t xml:space="preserve">耳鳴りの本当の正体衝撃の耳の構造</t>
    </r>
    <r>
      <rPr>
        <sz val="10"/>
        <rFont val="Arial"/>
        <family val="0"/>
        <charset val="1"/>
      </rPr>
      <t xml:space="preserve">#</t>
    </r>
    <r>
      <rPr>
        <sz val="10"/>
        <rFont val="Noto Sans CJK SC"/>
        <family val="2"/>
      </rPr>
      <t xml:space="preserve">なぜそれが聞こえる？耳鳴りの衝撃的理由と実は知らない耳の構造 </t>
    </r>
    <r>
      <rPr>
        <sz val="10"/>
        <rFont val="Arial"/>
        <family val="0"/>
        <charset val="1"/>
      </rPr>
      <t xml:space="preserve">#shorts #</t>
    </r>
    <r>
      <rPr>
        <sz val="10"/>
        <rFont val="Noto Sans CJK SC"/>
        <family val="2"/>
      </rPr>
      <t xml:space="preserve">ゆっくり解説</t>
    </r>
  </si>
  <si>
    <r>
      <rPr>
        <sz val="10"/>
        <rFont val="Noto Sans CJK SC"/>
        <family val="2"/>
      </rPr>
      <t xml:space="preserve">なぜ今、片方の手だけ冷たいのか？</t>
    </r>
    <r>
      <rPr>
        <sz val="10"/>
        <rFont val="Arial"/>
        <family val="0"/>
        <charset val="1"/>
      </rPr>
      <t xml:space="preserve">9</t>
    </r>
    <r>
      <rPr>
        <sz val="10"/>
        <rFont val="Noto Sans CJK SC"/>
        <family val="2"/>
      </rPr>
      <t xml:space="preserve">割が見落とす</t>
    </r>
    <r>
      <rPr>
        <sz val="10"/>
        <rFont val="Arial"/>
        <family val="0"/>
        <charset val="1"/>
      </rPr>
      <t xml:space="preserve">2</t>
    </r>
    <r>
      <rPr>
        <sz val="10"/>
        <rFont val="Noto Sans CJK SC"/>
        <family val="2"/>
      </rPr>
      <t xml:space="preserve">倍の血流差【ショート】</t>
    </r>
  </si>
  <si>
    <t xml:space="preserve">なぜ運動で気分がスッキリする？実は脳内で『あの物質』が暴走中！【ショート】</t>
  </si>
  <si>
    <r>
      <rPr>
        <sz val="10"/>
        <rFont val="Noto Sans CJK SC"/>
        <family val="2"/>
      </rPr>
      <t xml:space="preserve">なぜ毎晩</t>
    </r>
    <r>
      <rPr>
        <sz val="10"/>
        <rFont val="Arial"/>
        <family val="0"/>
        <charset val="1"/>
      </rPr>
      <t xml:space="preserve">3</t>
    </r>
    <r>
      <rPr>
        <sz val="10"/>
        <rFont val="Noto Sans CJK SC"/>
        <family val="2"/>
      </rPr>
      <t xml:space="preserve">時に目が覚める？体内時計が仕掛ける意外な罠</t>
    </r>
  </si>
  <si>
    <r>
      <rPr>
        <sz val="10"/>
        <rFont val="Noto Sans CJK SC"/>
        <family val="2"/>
      </rPr>
      <t xml:space="preserve">体温</t>
    </r>
    <r>
      <rPr>
        <sz val="10"/>
        <rFont val="Arial"/>
        <family val="0"/>
        <charset val="1"/>
      </rPr>
      <t xml:space="preserve">1℃</t>
    </r>
    <r>
      <rPr>
        <sz val="10"/>
        <rFont val="Noto Sans CJK SC"/>
        <family val="2"/>
      </rPr>
      <t xml:space="preserve">で気分が変わる？</t>
    </r>
    <r>
      <rPr>
        <sz val="10"/>
        <rFont val="Arial"/>
        <family val="0"/>
        <charset val="1"/>
      </rPr>
      <t xml:space="preserve">99%</t>
    </r>
    <r>
      <rPr>
        <sz val="10"/>
        <rFont val="Noto Sans CJK SC"/>
        <family val="2"/>
      </rPr>
      <t xml:space="preserve">が知らない脳と体温の秘密</t>
    </r>
    <r>
      <rPr>
        <sz val="10"/>
        <rFont val="Arial"/>
        <family val="0"/>
        <charset val="1"/>
      </rPr>
      <t xml:space="preserve">#</t>
    </r>
    <r>
      <rPr>
        <sz val="10"/>
        <rFont val="Noto Sans CJK SC"/>
        <family val="2"/>
      </rPr>
      <t xml:space="preserve">体温が</t>
    </r>
    <r>
      <rPr>
        <sz val="10"/>
        <rFont val="Arial"/>
        <family val="0"/>
        <charset val="1"/>
      </rPr>
      <t xml:space="preserve">1℃</t>
    </r>
    <r>
      <rPr>
        <sz val="10"/>
        <rFont val="Noto Sans CJK SC"/>
        <family val="2"/>
      </rPr>
      <t xml:space="preserve">下がると「なぜか気分まで沈む」——脳と体温をつなぐ本当の仕組み </t>
    </r>
    <r>
      <rPr>
        <sz val="10"/>
        <rFont val="Arial"/>
        <family val="0"/>
        <charset val="1"/>
      </rPr>
      <t xml:space="preserve">#shorts #</t>
    </r>
    <r>
      <rPr>
        <sz val="10"/>
        <rFont val="Noto Sans CJK SC"/>
        <family val="2"/>
      </rPr>
      <t xml:space="preserve">ゆっくり解説</t>
    </r>
  </si>
  <si>
    <r>
      <rPr>
        <sz val="10"/>
        <rFont val="Noto Sans CJK SC"/>
        <family val="2"/>
      </rPr>
      <t xml:space="preserve">その色、本当に『青』？脳が見ている色と言葉がズレてる</t>
    </r>
    <r>
      <rPr>
        <sz val="10"/>
        <rFont val="Arial"/>
        <family val="0"/>
        <charset val="1"/>
      </rPr>
      <t xml:space="preserve">#</t>
    </r>
    <r>
      <rPr>
        <sz val="10"/>
        <rFont val="Noto Sans CJK SC"/>
        <family val="2"/>
      </rPr>
      <t xml:space="preserve">信号の『青』、実は緑なのになぜ『青』と呼ぶのか？日本語だけに起きた不思議な色の歴史 </t>
    </r>
    <r>
      <rPr>
        <sz val="10"/>
        <rFont val="Arial"/>
        <family val="0"/>
        <charset val="1"/>
      </rPr>
      <t xml:space="preserve">#shorts #</t>
    </r>
    <r>
      <rPr>
        <sz val="10"/>
        <rFont val="Noto Sans CJK SC"/>
        <family val="2"/>
      </rPr>
      <t xml:space="preserve">ゆっくり解説</t>
    </r>
  </si>
  <si>
    <r>
      <rPr>
        <sz val="10"/>
        <rFont val="Noto Sans CJK SC"/>
        <family val="2"/>
      </rPr>
      <t xml:space="preserve">信号は『緑』なのになぜ『青』と呼ぶ？</t>
    </r>
    <r>
      <rPr>
        <sz val="10"/>
        <rFont val="Arial"/>
        <family val="0"/>
        <charset val="1"/>
      </rPr>
      <t xml:space="preserve">#</t>
    </r>
    <r>
      <rPr>
        <sz val="10"/>
        <rFont val="Noto Sans CJK SC"/>
        <family val="2"/>
      </rPr>
      <t xml:space="preserve">信号の『青』が実は緑なのに、なぜ日本人だけ青と呼び続けるのか？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</si>
  <si>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なぜ日中の疲れで耳鳴りが悪化する？</t>
    </r>
    <r>
      <rPr>
        <sz val="10"/>
        <rFont val="Arial"/>
        <family val="0"/>
        <charset val="1"/>
      </rPr>
      <t xml:space="preserve">99%</t>
    </r>
    <r>
      <rPr>
        <sz val="10"/>
        <rFont val="Noto Sans CJK SC"/>
        <family val="2"/>
      </rPr>
      <t xml:space="preserve">が知らない体の『裏モード』の正体【ショート】</t>
    </r>
  </si>
  <si>
    <t xml:space="preserve">なぜ疲れると体が冷えるのか？知られざるメカニズムが判明【ショート】</t>
  </si>
  <si>
    <r>
      <rPr>
        <sz val="10"/>
        <rFont val="Noto Sans CJK SC"/>
        <family val="2"/>
      </rPr>
      <t xml:space="preserve">なぜ「あの音」で体が緩む？脳が隠していた本当の理由</t>
    </r>
    <r>
      <rPr>
        <sz val="10"/>
        <rFont val="Arial"/>
        <family val="0"/>
        <charset val="1"/>
      </rPr>
      <t xml:space="preserve">#</t>
    </r>
    <r>
      <rPr>
        <sz val="10"/>
        <rFont val="Noto Sans CJK SC"/>
        <family val="2"/>
      </rPr>
      <t xml:space="preserve">なぜ「あの音」を聴くだけで体が勝手に緩むのか？脳が隠していた本当のメカニズム </t>
    </r>
    <r>
      <rPr>
        <sz val="10"/>
        <rFont val="Arial"/>
        <family val="0"/>
        <charset val="1"/>
      </rPr>
      <t xml:space="preserve">#shorts #</t>
    </r>
    <r>
      <rPr>
        <sz val="10"/>
        <rFont val="Noto Sans CJK SC"/>
        <family val="2"/>
      </rPr>
      <t xml:space="preserve">ゆっくり解説</t>
    </r>
  </si>
  <si>
    <r>
      <rPr>
        <sz val="10"/>
        <rFont val="Arial"/>
        <family val="0"/>
        <charset val="1"/>
      </rPr>
      <t xml:space="preserve">1</t>
    </r>
    <r>
      <rPr>
        <sz val="10"/>
        <rFont val="Noto Sans CJK SC"/>
        <family val="2"/>
      </rPr>
      <t xml:space="preserve">分ポケモン研究：ヤドンの尻尾に隠された秘密実は痛みを感じないって本当？</t>
    </r>
    <r>
      <rPr>
        <sz val="10"/>
        <rFont val="Arial"/>
        <family val="0"/>
        <charset val="1"/>
      </rPr>
      <t xml:space="preserve">#</t>
    </r>
    <r>
      <rPr>
        <sz val="10"/>
        <rFont val="Noto Sans CJK SC"/>
        <family val="2"/>
      </rPr>
      <t xml:space="preserve">なぜヤドンの尻尾は痛くないの？驚きの理由 </t>
    </r>
    <r>
      <rPr>
        <sz val="10"/>
        <rFont val="Arial"/>
        <family val="0"/>
        <charset val="1"/>
      </rPr>
      <t xml:space="preserve">#shorts #</t>
    </r>
    <r>
      <rPr>
        <sz val="10"/>
        <rFont val="Noto Sans CJK SC"/>
        <family val="2"/>
      </rPr>
      <t xml:space="preserve">ゆっくり解説</t>
    </r>
  </si>
  <si>
    <t xml:space="preserve">なぜレッドは山頂に立ち続けるのか？彼の秘密に迫る！【ショート】</t>
  </si>
  <si>
    <t xml:space="preserve">なぜ種族値だけで強さが変わるのか？衝撃の数字の正体とは【ショート】【ショート】</t>
  </si>
  <si>
    <t xml:space="preserve">2026-07-30</t>
  </si>
  <si>
    <r>
      <rPr>
        <sz val="10"/>
        <rFont val="Arial"/>
        <family val="0"/>
        <charset val="1"/>
      </rPr>
      <t xml:space="preserve">1</t>
    </r>
    <r>
      <rPr>
        <sz val="10"/>
        <rFont val="Noto Sans CJK SC"/>
        <family val="2"/>
      </rPr>
      <t xml:space="preserve">分ポケモン研究：レックウザの誕生に隠された秘密神話と科学が交差する瞬間</t>
    </r>
    <r>
      <rPr>
        <sz val="10"/>
        <rFont val="Arial"/>
        <family val="0"/>
        <charset val="1"/>
      </rPr>
      <t xml:space="preserve">#</t>
    </r>
    <r>
      <rPr>
        <sz val="10"/>
        <rFont val="Noto Sans CJK SC"/>
        <family val="2"/>
      </rPr>
      <t xml:space="preserve">レックウザの誕生に隠された秘密—神話と科学の交差点 </t>
    </r>
    <r>
      <rPr>
        <sz val="10"/>
        <rFont val="Arial"/>
        <family val="0"/>
        <charset val="1"/>
      </rPr>
      <t xml:space="preserve">#shorts #</t>
    </r>
    <r>
      <rPr>
        <sz val="10"/>
        <rFont val="Noto Sans CJK SC"/>
        <family val="2"/>
      </rPr>
      <t xml:space="preserve">ゆっくり解説</t>
    </r>
  </si>
  <si>
    <t xml:space="preserve">ミミッキュとロトム、どっちが勝つ？姿変化を実戦で比べた結果【ショート】</t>
  </si>
  <si>
    <r>
      <rPr>
        <sz val="10"/>
        <rFont val="Noto Sans CJK SC"/>
        <family val="2"/>
      </rPr>
      <t xml:space="preserve">なぜレックウザは空から降りないのか？図鑑</t>
    </r>
    <r>
      <rPr>
        <sz val="10"/>
        <rFont val="Arial"/>
        <family val="0"/>
        <charset val="1"/>
      </rPr>
      <t xml:space="preserve">384</t>
    </r>
    <r>
      <rPr>
        <sz val="10"/>
        <rFont val="Noto Sans CJK SC"/>
        <family val="2"/>
      </rPr>
      <t xml:space="preserve">番の誕生神話が衝撃すぎた【ショート】【ショート】</t>
    </r>
  </si>
  <si>
    <t xml:space="preserve">ルカリオとウルガモス、どっちが勝つ？相性有利がひっくり返る実戦条件【ショート】</t>
  </si>
  <si>
    <r>
      <rPr>
        <sz val="10"/>
        <rFont val="Arial"/>
        <family val="0"/>
        <charset val="1"/>
      </rPr>
      <t xml:space="preserve">1</t>
    </r>
    <r>
      <rPr>
        <sz val="10"/>
        <rFont val="Noto Sans CJK SC"/>
        <family val="2"/>
      </rPr>
      <t xml:space="preserve">分ポケモン研究：なぜピカチュウだけ？図鑑</t>
    </r>
    <r>
      <rPr>
        <sz val="10"/>
        <rFont val="Arial"/>
        <family val="0"/>
        <charset val="1"/>
      </rPr>
      <t xml:space="preserve">778</t>
    </r>
    <r>
      <rPr>
        <sz val="10"/>
        <rFont val="Noto Sans CJK SC"/>
        <family val="2"/>
      </rPr>
      <t xml:space="preserve">番の本音</t>
    </r>
    <r>
      <rPr>
        <sz val="10"/>
        <rFont val="Arial"/>
        <family val="0"/>
        <charset val="1"/>
      </rPr>
      <t xml:space="preserve">#</t>
    </r>
    <r>
      <rPr>
        <sz val="10"/>
        <rFont val="Noto Sans CJK SC"/>
        <family val="2"/>
      </rPr>
      <t xml:space="preserve">なぜ図鑑</t>
    </r>
    <r>
      <rPr>
        <sz val="10"/>
        <rFont val="Arial"/>
        <family val="0"/>
        <charset val="1"/>
      </rPr>
      <t xml:space="preserve">778</t>
    </r>
    <r>
      <rPr>
        <sz val="10"/>
        <rFont val="Noto Sans CJK SC"/>
        <family val="2"/>
      </rPr>
      <t xml:space="preserve">番はピカチュウだけ真似るのか？理由が意外すぎた【ショート】 </t>
    </r>
    <r>
      <rPr>
        <sz val="10"/>
        <rFont val="Arial"/>
        <family val="0"/>
        <charset val="1"/>
      </rPr>
      <t xml:space="preserve">#shorts #</t>
    </r>
    <r>
      <rPr>
        <sz val="10"/>
        <rFont val="Noto Sans CJK SC"/>
        <family val="2"/>
      </rPr>
      <t xml:space="preserve">ゆっくり解説</t>
    </r>
  </si>
  <si>
    <t xml:space="preserve">エリートトレーナーの謎—なぜ彼らだけが特別なのか？【ショート】</t>
  </si>
  <si>
    <r>
      <rPr>
        <sz val="10"/>
        <rFont val="Noto Sans CJK SC"/>
        <family val="2"/>
      </rPr>
      <t xml:space="preserve">バンギラスとメタグロス、どっちが勝つ？</t>
    </r>
    <r>
      <rPr>
        <sz val="10"/>
        <rFont val="Arial"/>
        <family val="0"/>
        <charset val="1"/>
      </rPr>
      <t xml:space="preserve">600</t>
    </r>
    <r>
      <rPr>
        <sz val="10"/>
        <rFont val="Noto Sans CJK SC"/>
        <family val="2"/>
      </rPr>
      <t xml:space="preserve">族対決は持ち物</t>
    </r>
    <r>
      <rPr>
        <sz val="10"/>
        <rFont val="Arial"/>
        <family val="0"/>
        <charset val="1"/>
      </rPr>
      <t xml:space="preserve">1</t>
    </r>
    <r>
      <rPr>
        <sz val="10"/>
        <rFont val="Noto Sans CJK SC"/>
        <family val="2"/>
      </rPr>
      <t xml:space="preserve">つで逆転する【ショート】</t>
    </r>
  </si>
  <si>
    <t xml:space="preserve">ポケモン図鑑に隠された怖すぎる説明文の真相とは？【ショート】</t>
  </si>
  <si>
    <t xml:space="preserve">なぜパルキアは勝てないと言われる？ウルトラネクロズマとの数字差が意外すぎる【ショート】</t>
  </si>
  <si>
    <t xml:space="preserve">ゲンガーの『元ネタ』、実はまだ誰も正確に言えていない理由【ショート】</t>
  </si>
  <si>
    <r>
      <rPr>
        <sz val="10"/>
        <rFont val="Noto Sans CJK SC"/>
        <family val="2"/>
      </rPr>
      <t xml:space="preserve">なぜメタグロスはサーフゴーに勝てない？持ち物</t>
    </r>
    <r>
      <rPr>
        <sz val="10"/>
        <rFont val="Arial"/>
        <family val="0"/>
        <charset val="1"/>
      </rPr>
      <t xml:space="preserve">1</t>
    </r>
    <r>
      <rPr>
        <sz val="10"/>
        <rFont val="Noto Sans CJK SC"/>
        <family val="2"/>
      </rPr>
      <t xml:space="preserve">つで逆転する本当の理由【ショート】</t>
    </r>
  </si>
  <si>
    <r>
      <rPr>
        <sz val="10"/>
        <rFont val="Noto Sans CJK SC"/>
        <family val="2"/>
      </rPr>
      <t xml:space="preserve">リザードンとカイリュー、どっちが勝つ？</t>
    </r>
    <r>
      <rPr>
        <sz val="10"/>
        <rFont val="Arial"/>
        <family val="0"/>
        <charset val="1"/>
      </rPr>
      <t xml:space="preserve">4</t>
    </r>
    <r>
      <rPr>
        <sz val="10"/>
        <rFont val="Noto Sans CJK SC"/>
        <family val="2"/>
      </rPr>
      <t xml:space="preserve">倍弱点で勝敗がひっくり返る【ショート】</t>
    </r>
  </si>
  <si>
    <t xml:space="preserve">なぜヤドンはシェルダーに噛まれると進化するのか？分岐進化の本当の理由がヤバすぎた【ショート】</t>
  </si>
  <si>
    <t xml:space="preserve">なぜ初代だけ謎のポケモンが出るのか？けつばんの正体【ショート】【ショート】</t>
  </si>
  <si>
    <t xml:space="preserve">ホウオウとルギア、まともに戦わせたらどっちが勝つのか【ショート】</t>
  </si>
  <si>
    <t xml:space="preserve">なぜ御三家は炎・水・草だけ？『三すくみ』設計の裏にある本当の理由【ショート】</t>
  </si>
  <si>
    <r>
      <rPr>
        <sz val="10"/>
        <rFont val="Noto Sans CJK SC"/>
        <family val="2"/>
      </rPr>
      <t xml:space="preserve">なぜイーブイだけ</t>
    </r>
    <r>
      <rPr>
        <sz val="10"/>
        <rFont val="Arial"/>
        <family val="0"/>
        <charset val="1"/>
      </rPr>
      <t xml:space="preserve">8</t>
    </r>
    <r>
      <rPr>
        <sz val="10"/>
        <rFont val="Noto Sans CJK SC"/>
        <family val="2"/>
      </rPr>
      <t xml:space="preserve">種類も進化できるのか？遺伝子の暴走と分岐条件の正体がヤバすぎた【ショート】</t>
    </r>
  </si>
  <si>
    <r>
      <rPr>
        <sz val="10"/>
        <rFont val="Noto Sans CJK SC"/>
        <family val="2"/>
      </rPr>
      <t xml:space="preserve">ガブリアスとボーマンダ、素早さ</t>
    </r>
    <r>
      <rPr>
        <sz val="10"/>
        <rFont val="Arial"/>
        <family val="0"/>
        <charset val="1"/>
      </rPr>
      <t xml:space="preserve">1</t>
    </r>
    <r>
      <rPr>
        <sz val="10"/>
        <rFont val="Noto Sans CJK SC"/>
        <family val="2"/>
      </rPr>
      <t xml:space="preserve">でどっちが勝つ？君は気づけるか【ショート】</t>
    </r>
  </si>
  <si>
    <t xml:space="preserve">なぜ同じドラゴンなのに勝敗が割れるのか？カイリューとボーマンダの隠された実戦性能の秘密【ショート】</t>
  </si>
  <si>
    <r>
      <rPr>
        <sz val="10"/>
        <rFont val="Noto Sans CJK SC"/>
        <family val="2"/>
      </rPr>
      <t xml:space="preserve">なぜコイキングは種族値</t>
    </r>
    <r>
      <rPr>
        <sz val="10"/>
        <rFont val="Arial"/>
        <family val="0"/>
        <charset val="1"/>
      </rPr>
      <t xml:space="preserve">200</t>
    </r>
    <r>
      <rPr>
        <sz val="10"/>
        <rFont val="Noto Sans CJK SC"/>
        <family val="2"/>
      </rPr>
      <t xml:space="preserve">なのか？進化前だけ弱すぎる本当の理由がヤバすぎた【ショート】</t>
    </r>
  </si>
  <si>
    <r>
      <rPr>
        <sz val="10"/>
        <rFont val="Arial"/>
        <family val="0"/>
        <charset val="1"/>
      </rPr>
      <t xml:space="preserve">1</t>
    </r>
    <r>
      <rPr>
        <sz val="10"/>
        <rFont val="Noto Sans CJK SC"/>
        <family val="2"/>
      </rPr>
      <t xml:space="preserve">分ポケモン研究：図鑑のあの説明文、どうしてそんなに怖いのか？公式が書いた衝撃のテキストを考察！</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</si>
  <si>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：視線を外すと即死の恐怖財団最古の収容違反を暴露</t>
    </r>
    <r>
      <rPr>
        <sz val="10"/>
        <rFont val="Arial"/>
        <family val="0"/>
        <charset val="1"/>
      </rPr>
      <t xml:space="preserve">#SCP-173</t>
    </r>
    <r>
      <rPr>
        <sz val="10"/>
        <rFont val="Noto Sans CJK SC"/>
        <family val="2"/>
      </rPr>
      <t xml:space="preserve">【目を離した</t>
    </r>
    <r>
      <rPr>
        <sz val="10"/>
        <rFont val="Arial"/>
        <family val="0"/>
        <charset val="1"/>
      </rPr>
      <t xml:space="preserve">0.3</t>
    </r>
    <r>
      <rPr>
        <sz val="10"/>
        <rFont val="Noto Sans CJK SC"/>
        <family val="2"/>
      </rPr>
      <t xml:space="preserve">秒で首が折れる理由】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</si>
  <si>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99%</t>
    </r>
    <r>
      <rPr>
        <sz val="10"/>
        <rFont val="Noto Sans CJK SC"/>
        <family val="2"/>
      </rPr>
      <t xml:space="preserve">の人が知らない恐怖財団が</t>
    </r>
    <r>
      <rPr>
        <sz val="10"/>
        <rFont val="Arial"/>
        <family val="0"/>
        <charset val="1"/>
      </rPr>
      <t xml:space="preserve">23</t>
    </r>
    <r>
      <rPr>
        <sz val="10"/>
        <rFont val="Noto Sans CJK SC"/>
        <family val="2"/>
      </rPr>
      <t xml:space="preserve">年間隠し続けた</t>
    </r>
    <r>
      <rPr>
        <sz val="10"/>
        <rFont val="Arial"/>
        <family val="0"/>
        <charset val="1"/>
      </rPr>
      <t xml:space="preserve">#</t>
    </r>
    <r>
      <rPr>
        <sz val="10"/>
        <rFont val="Noto Sans CJK SC"/>
        <family val="2"/>
      </rPr>
      <t xml:space="preserve">財団が隠蔽した</t>
    </r>
    <r>
      <rPr>
        <sz val="10"/>
        <rFont val="Arial"/>
        <family val="0"/>
        <charset val="1"/>
      </rPr>
      <t xml:space="preserve">SCP-3125</t>
    </r>
    <r>
      <rPr>
        <sz val="10"/>
        <rFont val="Noto Sans CJK SC"/>
        <family val="2"/>
      </rPr>
      <t xml:space="preserve">の恐怖</t>
    </r>
    <r>
      <rPr>
        <sz val="10"/>
        <rFont val="Arial"/>
        <family val="0"/>
        <charset val="1"/>
      </rPr>
      <t xml:space="preserve">: </t>
    </r>
    <r>
      <rPr>
        <sz val="10"/>
        <rFont val="Noto Sans CJK SC"/>
        <family val="2"/>
      </rPr>
      <t xml:space="preserve">生存者</t>
    </r>
    <r>
      <rPr>
        <sz val="10"/>
        <rFont val="Arial"/>
        <family val="0"/>
        <charset val="1"/>
      </rPr>
      <t xml:space="preserve">0</t>
    </r>
    <r>
      <rPr>
        <sz val="10"/>
        <rFont val="Noto Sans CJK SC"/>
        <family val="2"/>
      </rPr>
      <t xml:space="preserve">名の理由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</si>
  <si>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：見るのをやめた瞬間、それは動く生存者：ゼロ</t>
    </r>
    <r>
      <rPr>
        <sz val="10"/>
        <rFont val="Arial"/>
        <family val="0"/>
        <charset val="1"/>
      </rPr>
      <t xml:space="preserve">#SCP-173</t>
    </r>
    <r>
      <rPr>
        <sz val="10"/>
        <rFont val="Noto Sans CJK SC"/>
        <family val="2"/>
      </rPr>
      <t xml:space="preserve">「彫刻」——視線を外した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</si>
  <si>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：目を離したら、死ぬ。財団が隠し続けた『最初の異常存在』</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秒で首が折れる。</t>
    </r>
    <r>
      <rPr>
        <sz val="10"/>
        <rFont val="Arial"/>
        <family val="0"/>
        <charset val="1"/>
      </rPr>
      <t xml:space="preserve">SCP-173</t>
    </r>
    <r>
      <rPr>
        <sz val="10"/>
        <rFont val="Noto Sans CJK SC"/>
        <family val="2"/>
      </rPr>
      <t xml:space="preserve">が財団史上最も古い収容違反を繰り返す本当の理由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</si>
  <si>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：目を離した瞬間、動く財団が隠す</t>
    </r>
    <r>
      <rPr>
        <sz val="10"/>
        <rFont val="Arial"/>
        <family val="0"/>
        <charset val="1"/>
      </rPr>
      <t xml:space="preserve">173</t>
    </r>
    <r>
      <rPr>
        <sz val="10"/>
        <rFont val="Noto Sans CJK SC"/>
        <family val="2"/>
      </rPr>
      <t xml:space="preserve">の真実</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</si>
  <si>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充電切れの怪異</t>
    </r>
    <r>
      <rPr>
        <sz val="10"/>
        <rFont val="Arial"/>
        <family val="0"/>
        <charset val="1"/>
      </rPr>
      <t xml:space="preserve">: SCP-904</t>
    </r>
    <r>
      <rPr>
        <sz val="10"/>
        <rFont val="Noto Sans CJK SC"/>
        <family val="2"/>
      </rPr>
      <t xml:space="preserve">の謎とその恐るべき影響【ショート】</t>
    </r>
  </si>
  <si>
    <t xml:space="preserve">収容違反の真実 — 人間が引き起こす異常の裏側【ショート】</t>
  </si>
  <si>
    <r>
      <rPr>
        <sz val="10"/>
        <rFont val="Noto Sans CJK SC"/>
        <family val="2"/>
      </rPr>
      <t xml:space="preserve">目を離した</t>
    </r>
    <r>
      <rPr>
        <sz val="10"/>
        <rFont val="Arial"/>
        <family val="0"/>
        <charset val="1"/>
      </rPr>
      <t xml:space="preserve">3</t>
    </r>
    <r>
      <rPr>
        <sz val="10"/>
        <rFont val="Noto Sans CJK SC"/>
        <family val="2"/>
      </rPr>
      <t xml:space="preserve">秒で消えた——</t>
    </r>
    <r>
      <rPr>
        <sz val="10"/>
        <rFont val="Arial"/>
        <family val="0"/>
        <charset val="1"/>
      </rPr>
      <t xml:space="preserve">SCP-096</t>
    </r>
    <r>
      <rPr>
        <sz val="10"/>
        <rFont val="Noto Sans CJK SC"/>
        <family val="2"/>
      </rPr>
      <t xml:space="preserve">「シャイガイ」が改造された本当の理由を財団は語らない【ショート】</t>
    </r>
  </si>
  <si>
    <r>
      <rPr>
        <sz val="10"/>
        <rFont val="Noto Sans CJK SC"/>
        <family val="2"/>
      </rPr>
      <t xml:space="preserve">財団が</t>
    </r>
    <r>
      <rPr>
        <sz val="10"/>
        <rFont val="Arial"/>
        <family val="0"/>
        <charset val="1"/>
      </rPr>
      <t xml:space="preserve">17</t>
    </r>
    <r>
      <rPr>
        <sz val="10"/>
        <rFont val="Noto Sans CJK SC"/>
        <family val="2"/>
      </rPr>
      <t xml:space="preserve">年間隠し続けた理由——</t>
    </r>
    <r>
      <rPr>
        <sz val="10"/>
        <rFont val="Arial"/>
        <family val="0"/>
        <charset val="1"/>
      </rPr>
      <t xml:space="preserve">SCP-1730</t>
    </r>
    <r>
      <rPr>
        <sz val="10"/>
        <rFont val="Noto Sans CJK SC"/>
        <family val="2"/>
      </rPr>
      <t xml:space="preserve">「消えた施設」で</t>
    </r>
    <r>
      <rPr>
        <sz val="10"/>
        <rFont val="Arial"/>
        <family val="0"/>
        <charset val="1"/>
      </rPr>
      <t xml:space="preserve">3</t>
    </r>
    <r>
      <rPr>
        <sz val="10"/>
        <rFont val="Noto Sans CJK SC"/>
        <family val="2"/>
      </rPr>
      <t xml:space="preserve">名が失踪した本当の正体【ショート】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</si>
  <si>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2019</t>
    </r>
    <r>
      <rPr>
        <sz val="10"/>
        <rFont val="Noto Sans CJK SC"/>
        <family val="2"/>
      </rPr>
      <t xml:space="preserve">年</t>
    </r>
    <r>
      <rPr>
        <sz val="10"/>
        <rFont val="Arial"/>
        <family val="0"/>
        <charset val="1"/>
      </rPr>
      <t xml:space="preserve">11</t>
    </r>
    <r>
      <rPr>
        <sz val="10"/>
        <rFont val="Noto Sans CJK SC"/>
        <family val="2"/>
      </rPr>
      <t xml:space="preserve">月</t>
    </r>
    <r>
      <rPr>
        <sz val="10"/>
        <rFont val="Arial"/>
        <family val="0"/>
        <charset val="1"/>
      </rPr>
      <t xml:space="preserve">3</t>
    </r>
    <r>
      <rPr>
        <sz val="10"/>
        <rFont val="Noto Sans CJK SC"/>
        <family val="2"/>
      </rPr>
      <t xml:space="preserve">日深夜</t>
    </r>
    <r>
      <rPr>
        <sz val="10"/>
        <rFont val="Arial"/>
        <family val="0"/>
        <charset val="1"/>
      </rPr>
      <t xml:space="preserve">0</t>
    </r>
    <r>
      <rPr>
        <sz val="10"/>
        <rFont val="Noto Sans CJK SC"/>
        <family val="2"/>
      </rPr>
      <t xml:space="preserve">時、全サイトで同時に、人類殲滅プロトコルが起動した。</t>
    </r>
    <r>
      <rPr>
        <sz val="10"/>
        <rFont val="Arial"/>
        <family val="0"/>
        <charset val="1"/>
      </rPr>
      <t xml:space="preserve">#</t>
    </r>
    <r>
      <rPr>
        <sz val="10"/>
        <rFont val="Noto Sans CJK SC"/>
        <family val="2"/>
      </rPr>
      <t xml:space="preserve">財団が隠し続けた</t>
    </r>
    <r>
      <rPr>
        <sz val="10"/>
        <rFont val="Arial"/>
        <family val="0"/>
        <charset val="1"/>
      </rPr>
      <t xml:space="preserve">SCP-5000</t>
    </r>
    <r>
      <rPr>
        <sz val="10"/>
        <rFont val="Noto Sans CJK SC"/>
        <family val="2"/>
      </rPr>
      <t xml:space="preserve">の真実 —— 世界の終焉が始まる理由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</si>
  <si>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：目を離した瞬間、死が訪れる。視線を外すと動き出す古代の彫刻。</t>
    </r>
    <r>
      <rPr>
        <sz val="10"/>
        <rFont val="Arial"/>
        <family val="0"/>
        <charset val="1"/>
      </rPr>
      <t xml:space="preserve">#SCP-173</t>
    </r>
    <r>
      <rPr>
        <sz val="10"/>
        <rFont val="Noto Sans CJK SC"/>
        <family val="2"/>
      </rPr>
      <t xml:space="preserve">【視線を外すと襲いかかる彫刻】 </t>
    </r>
    <r>
      <rPr>
        <sz val="10"/>
        <rFont val="Arial"/>
        <family val="0"/>
        <charset val="1"/>
      </rPr>
      <t xml:space="preserve">#shorts #</t>
    </r>
    <r>
      <rPr>
        <sz val="10"/>
        <rFont val="Noto Sans CJK SC"/>
        <family val="2"/>
      </rPr>
      <t xml:space="preserve">ゆっくり解説</t>
    </r>
  </si>
  <si>
    <r>
      <rPr>
        <sz val="10"/>
        <rFont val="Arial"/>
        <family val="0"/>
        <charset val="1"/>
      </rPr>
      <t xml:space="preserve">SCP-XXXX</t>
    </r>
    <r>
      <rPr>
        <sz val="10"/>
        <rFont val="Noto Sans CJK SC"/>
        <family val="2"/>
      </rPr>
      <t xml:space="preserve">「デジタル錯覚」— ゲームに潜む不気味な異常とは？【ショート】</t>
    </r>
  </si>
  <si>
    <t xml:space="preserve">実は、見えるはずなのに見えない脅威が存在する理由【ショート】</t>
  </si>
  <si>
    <r>
      <rPr>
        <sz val="10"/>
        <rFont val="Arial"/>
        <family val="0"/>
        <charset val="1"/>
      </rPr>
      <t xml:space="preserve">SCP-2399</t>
    </r>
    <r>
      <rPr>
        <sz val="10"/>
        <rFont val="Noto Sans CJK SC"/>
        <family val="2"/>
      </rPr>
      <t xml:space="preserve">収容記録：地球まで</t>
    </r>
    <r>
      <rPr>
        <sz val="10"/>
        <rFont val="Arial"/>
        <family val="0"/>
        <charset val="1"/>
      </rPr>
      <t xml:space="preserve">72</t>
    </r>
    <r>
      <rPr>
        <sz val="10"/>
        <rFont val="Noto Sans CJK SC"/>
        <family val="2"/>
      </rPr>
      <t xml:space="preserve">時間、なぜ迎撃隊だけ全滅したのか【最後の軌道通信】【ショート】</t>
    </r>
  </si>
  <si>
    <r>
      <rPr>
        <sz val="10"/>
        <rFont val="Noto Sans CJK SC"/>
        <family val="2"/>
      </rPr>
      <t xml:space="preserve">なぜ生存率</t>
    </r>
    <r>
      <rPr>
        <sz val="10"/>
        <rFont val="Arial"/>
        <family val="0"/>
        <charset val="1"/>
      </rPr>
      <t xml:space="preserve">5%</t>
    </r>
    <r>
      <rPr>
        <sz val="10"/>
        <rFont val="Noto Sans CJK SC"/>
        <family val="2"/>
      </rPr>
      <t xml:space="preserve">？『生ける死者』</t>
    </r>
    <r>
      <rPr>
        <sz val="10"/>
        <rFont val="Arial"/>
        <family val="0"/>
        <charset val="1"/>
      </rPr>
      <t xml:space="preserve">SCP-1440</t>
    </r>
    <r>
      <rPr>
        <sz val="10"/>
        <rFont val="Noto Sans CJK SC"/>
        <family val="2"/>
      </rPr>
      <t xml:space="preserve">が財団を</t>
    </r>
    <r>
      <rPr>
        <sz val="10"/>
        <rFont val="Arial"/>
        <family val="0"/>
        <charset val="1"/>
      </rPr>
      <t xml:space="preserve">12</t>
    </r>
    <r>
      <rPr>
        <sz val="10"/>
        <rFont val="Noto Sans CJK SC"/>
        <family val="2"/>
      </rPr>
      <t xml:space="preserve">回暴走させた本当の理由【ショート】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</si>
  <si>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：生存率わずか</t>
    </r>
    <r>
      <rPr>
        <sz val="10"/>
        <rFont val="Arial"/>
        <family val="0"/>
        <charset val="1"/>
      </rPr>
      <t xml:space="preserve">1%</t>
    </r>
    <r>
      <rPr>
        <sz val="10"/>
        <rFont val="Noto Sans CJK SC"/>
        <family val="2"/>
      </rPr>
      <t xml:space="preserve">収容違反</t>
    </r>
    <r>
      <rPr>
        <sz val="10"/>
        <rFont val="Arial"/>
        <family val="0"/>
        <charset val="1"/>
      </rPr>
      <t xml:space="preserve">8</t>
    </r>
    <r>
      <rPr>
        <sz val="10"/>
        <rFont val="Noto Sans CJK SC"/>
        <family val="2"/>
      </rPr>
      <t xml:space="preserve">件の記録</t>
    </r>
    <r>
      <rPr>
        <sz val="10"/>
        <rFont val="Arial"/>
        <family val="0"/>
        <charset val="1"/>
      </rPr>
      <t xml:space="preserve">#</t>
    </r>
    <r>
      <rPr>
        <sz val="10"/>
        <rFont val="Noto Sans CJK SC"/>
        <family val="2"/>
      </rPr>
      <t xml:space="preserve">収容違反</t>
    </r>
    <r>
      <rPr>
        <sz val="10"/>
        <rFont val="Arial"/>
        <family val="0"/>
        <charset val="1"/>
      </rPr>
      <t xml:space="preserve">8</t>
    </r>
    <r>
      <rPr>
        <sz val="10"/>
        <rFont val="Noto Sans CJK SC"/>
        <family val="2"/>
      </rPr>
      <t xml:space="preserve">回、生存率</t>
    </r>
    <r>
      <rPr>
        <sz val="10"/>
        <rFont val="Arial"/>
        <family val="0"/>
        <charset val="1"/>
      </rPr>
      <t xml:space="preserve">1%——</t>
    </r>
    <r>
      <rPr>
        <sz val="10"/>
        <rFont val="Noto Sans CJK SC"/>
        <family val="2"/>
      </rPr>
      <t xml:space="preserve">修理工場で財団が記録した『亡霊』の正体がヤバすぎる </t>
    </r>
    <r>
      <rPr>
        <sz val="10"/>
        <rFont val="Arial"/>
        <family val="0"/>
        <charset val="1"/>
      </rPr>
      <t xml:space="preserve">#shorts #</t>
    </r>
    <r>
      <rPr>
        <sz val="10"/>
        <rFont val="Noto Sans CJK SC"/>
        <family val="2"/>
      </rPr>
      <t xml:space="preserve">ゆっくり解説</t>
    </r>
  </si>
  <si>
    <r>
      <rPr>
        <sz val="10"/>
        <rFont val="Arial"/>
        <family val="0"/>
        <charset val="1"/>
      </rPr>
      <t xml:space="preserve">SCP-173</t>
    </r>
    <r>
      <rPr>
        <sz val="10"/>
        <rFont val="Noto Sans CJK SC"/>
        <family val="2"/>
      </rPr>
      <t xml:space="preserve">が「首だけ」を折る理由——財団が</t>
    </r>
    <r>
      <rPr>
        <sz val="10"/>
        <rFont val="Arial"/>
        <family val="0"/>
        <charset val="1"/>
      </rPr>
      <t xml:space="preserve">17</t>
    </r>
    <r>
      <rPr>
        <sz val="10"/>
        <rFont val="Noto Sans CJK SC"/>
        <family val="2"/>
      </rPr>
      <t xml:space="preserve">年間隠し続けた殺傷メカニズムの正体【ショート】</t>
    </r>
  </si>
  <si>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2</t>
    </r>
    <r>
      <rPr>
        <sz val="10"/>
        <rFont val="Noto Sans CJK SC"/>
        <family val="2"/>
      </rPr>
      <t xml:space="preserve">つの計画』——人類を殺したのは、守るためだったのか【ショート】</t>
    </r>
  </si>
  <si>
    <r>
      <rPr>
        <sz val="10"/>
        <rFont val="Noto Sans CJK SC"/>
        <family val="2"/>
      </rPr>
      <t xml:space="preserve">一口</t>
    </r>
    <r>
      <rPr>
        <sz val="10"/>
        <rFont val="Arial"/>
        <family val="0"/>
        <charset val="1"/>
      </rPr>
      <t xml:space="preserve">SCP</t>
    </r>
    <r>
      <rPr>
        <sz val="10"/>
        <rFont val="Noto Sans CJK SC"/>
        <family val="2"/>
      </rPr>
      <t xml:space="preserve">：この報告書…読んだら後悔するかもしれない人類そのものが異常存在であるという結論に</t>
    </r>
    <r>
      <rPr>
        <sz val="10"/>
        <rFont val="Arial"/>
        <family val="0"/>
        <charset val="1"/>
      </rPr>
      <t xml:space="preserve">#</t>
    </r>
    <r>
      <rPr>
        <sz val="10"/>
        <rFont val="Noto Sans CJK SC"/>
        <family val="2"/>
      </rPr>
      <t xml:space="preserve">財団が人類を殲滅し続けた真の理由——</t>
    </r>
    <r>
      <rPr>
        <sz val="10"/>
        <rFont val="Arial"/>
        <family val="0"/>
        <charset val="1"/>
      </rPr>
      <t xml:space="preserve">SCP-5000</t>
    </r>
    <r>
      <rPr>
        <sz val="10"/>
        <rFont val="Noto Sans CJK SC"/>
        <family val="2"/>
      </rPr>
      <t xml:space="preserve">内部資料の驚愕の結論 </t>
    </r>
    <r>
      <rPr>
        <sz val="10"/>
        <rFont val="Arial"/>
        <family val="0"/>
        <charset val="1"/>
      </rPr>
      <t xml:space="preserve">#shorts #</t>
    </r>
    <r>
      <rPr>
        <sz val="10"/>
        <rFont val="Noto Sans CJK SC"/>
        <family val="2"/>
      </rPr>
      <t xml:space="preserve">ゆっくり解説</t>
    </r>
  </si>
  <si>
    <r>
      <rPr>
        <sz val="10"/>
        <rFont val="Arial"/>
        <family val="0"/>
        <charset val="1"/>
      </rPr>
      <t xml:space="preserve">SCP-1730</t>
    </r>
    <r>
      <rPr>
        <sz val="10"/>
        <rFont val="Noto Sans CJK SC"/>
        <family val="2"/>
      </rPr>
      <t xml:space="preserve">「存在しなかったサイト」— 財団施設が丸ごと消えた夜、最後の交信記録に何が残っていたのか【ショート】</t>
    </r>
  </si>
  <si>
    <r>
      <rPr>
        <sz val="10"/>
        <rFont val="Noto Sans CJK SC"/>
        <family val="2"/>
      </rPr>
      <t xml:space="preserve">一口</t>
    </r>
    <r>
      <rPr>
        <sz val="10"/>
        <rFont val="Arial"/>
        <family val="0"/>
        <charset val="1"/>
      </rPr>
      <t xml:space="preserve">SCP</t>
    </r>
    <r>
      <rPr>
        <sz val="10"/>
        <rFont val="Noto Sans CJK SC"/>
        <family val="2"/>
      </rPr>
      <t xml:space="preserve">：心臓を持って入室せよ財団が隠した扉の向こう側</t>
    </r>
    <r>
      <rPr>
        <sz val="10"/>
        <rFont val="Arial"/>
        <family val="0"/>
        <charset val="1"/>
      </rPr>
      <t xml:space="preserve">#SCP-1983</t>
    </r>
    <r>
      <rPr>
        <sz val="10"/>
        <rFont val="Noto Sans CJK SC"/>
        <family val="2"/>
      </rPr>
      <t xml:space="preserve">「ドアの向こうの闇」— 心臓を持って入れ、という収容プロトコルが実在した理由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</si>
  <si>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：接触記録</t>
    </r>
    <r>
      <rPr>
        <sz val="10"/>
        <rFont val="Arial"/>
        <family val="0"/>
        <charset val="1"/>
      </rPr>
      <t xml:space="preserve">17</t>
    </r>
    <r>
      <rPr>
        <sz val="10"/>
        <rFont val="Noto Sans CJK SC"/>
        <family val="2"/>
      </rPr>
      <t xml:space="preserve">件、生存者ゼロそれでも財団は『安全』と判断した</t>
    </r>
    <r>
      <rPr>
        <sz val="10"/>
        <rFont val="Arial"/>
        <family val="0"/>
        <charset val="1"/>
      </rPr>
      <t xml:space="preserve">#SCP-173</t>
    </r>
    <r>
      <rPr>
        <sz val="10"/>
        <rFont val="Noto Sans CJK SC"/>
        <family val="2"/>
      </rPr>
      <t xml:space="preserve">「彫刻」——視線を切った</t>
    </r>
    <r>
      <rPr>
        <sz val="10"/>
        <rFont val="Arial"/>
        <family val="0"/>
        <charset val="1"/>
      </rPr>
      <t xml:space="preserve">0.3</t>
    </r>
    <r>
      <rPr>
        <sz val="10"/>
        <rFont val="Noto Sans CJK SC"/>
        <family val="2"/>
      </rPr>
      <t xml:space="preserve">秒で、</t>
    </r>
    <r>
      <rPr>
        <sz val="10"/>
        <rFont val="Arial"/>
        <family val="0"/>
        <charset val="1"/>
      </rPr>
      <t xml:space="preserve">17</t>
    </r>
    <r>
      <rPr>
        <sz val="10"/>
        <rFont val="Noto Sans CJK SC"/>
        <family val="2"/>
      </rPr>
      <t xml:space="preserve">人が死んだ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</si>
  <si>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：記憶を消す水の謎それを知れば、恐怖は形を変える</t>
    </r>
    <r>
      <rPr>
        <sz val="10"/>
        <rFont val="Arial"/>
        <family val="0"/>
        <charset val="1"/>
      </rPr>
      <t xml:space="preserve">#</t>
    </r>
    <r>
      <rPr>
        <sz val="10"/>
        <rFont val="Noto Sans CJK SC"/>
        <family val="2"/>
      </rPr>
      <t xml:space="preserve">記憶を奪う『忘却の水』の真実が隠された理由。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</si>
  <si>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：視線を外した瞬間、動く財団収容室から流出した機密記録</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秒で、首が折れる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</si>
  <si>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：財団が人類を『敵』と判断した日記録はすべて</t>
    </r>
    <r>
      <rPr>
        <sz val="10"/>
        <rFont val="Arial"/>
        <family val="0"/>
        <charset val="1"/>
      </rPr>
      <t xml:space="preserve">[DATA EXPUNGED]#</t>
    </r>
    <r>
      <rPr>
        <sz val="10"/>
        <rFont val="Noto Sans CJK SC"/>
        <family val="2"/>
      </rPr>
      <t xml:space="preserve">財団が記録ごと封印した</t>
    </r>
    <r>
      <rPr>
        <sz val="10"/>
        <rFont val="Arial"/>
        <family val="0"/>
        <charset val="1"/>
      </rPr>
      <t xml:space="preserve">SCP-5000——17</t>
    </r>
    <r>
      <rPr>
        <sz val="10"/>
        <rFont val="Noto Sans CJK SC"/>
        <family val="2"/>
      </rPr>
      <t xml:space="preserve">名の研究員が「なぜ？」と書き残して消えた理由 </t>
    </r>
    <r>
      <rPr>
        <sz val="10"/>
        <rFont val="Arial"/>
        <family val="0"/>
        <charset val="1"/>
      </rPr>
      <t xml:space="preserve">#shorts #</t>
    </r>
    <r>
      <rPr>
        <sz val="10"/>
        <rFont val="Noto Sans CJK SC"/>
        <family val="2"/>
      </rPr>
      <t xml:space="preserve">ゆっ</t>
    </r>
  </si>
  <si>
    <r>
      <rPr>
        <sz val="10"/>
        <rFont val="Arial"/>
        <family val="0"/>
        <charset val="1"/>
      </rPr>
      <t xml:space="preserve">SCP-1983</t>
    </r>
    <r>
      <rPr>
        <sz val="10"/>
        <rFont val="Noto Sans CJK SC"/>
        <family val="2"/>
      </rPr>
      <t xml:space="preserve">「ドアの向こうの闇」— 財団が封印した扉を、なぜ研究員は心臓を持って開けなければならないのか【ショート】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</si>
  <si>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年間、財団データベースから抹消されていた施設生存者</t>
    </r>
    <r>
      <rPr>
        <sz val="10"/>
        <rFont val="Arial"/>
        <family val="0"/>
        <charset val="1"/>
      </rPr>
      <t xml:space="preserve">0</t>
    </r>
    <r>
      <rPr>
        <sz val="10"/>
        <rFont val="Noto Sans CJK SC"/>
        <family val="2"/>
      </rPr>
      <t xml:space="preserve">名——記録だけが残った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SCP-1730</t>
    </r>
    <r>
      <rPr>
        <sz val="10"/>
        <rFont val="Noto Sans CJK SC"/>
        <family val="2"/>
      </rPr>
      <t xml:space="preserve">「消えたサイト</t>
    </r>
    <r>
      <rPr>
        <sz val="10"/>
        <rFont val="Arial"/>
        <family val="0"/>
        <charset val="1"/>
      </rPr>
      <t xml:space="preserve">-13</t>
    </r>
    <r>
      <rPr>
        <sz val="10"/>
        <rFont val="Noto Sans CJK SC"/>
        <family val="2"/>
      </rPr>
      <t xml:space="preserve">」で何が起きたのか、本当の理由 </t>
    </r>
    <r>
      <rPr>
        <sz val="10"/>
        <rFont val="Arial"/>
        <family val="0"/>
        <charset val="1"/>
      </rPr>
      <t xml:space="preserve">#short</t>
    </r>
  </si>
  <si>
    <r>
      <rPr>
        <sz val="10"/>
        <rFont val="Arial"/>
        <family val="0"/>
        <charset val="1"/>
      </rPr>
      <t xml:space="preserve">SCP-835</t>
    </r>
    <r>
      <rPr>
        <sz val="10"/>
        <rFont val="Noto Sans CJK SC"/>
        <family val="2"/>
      </rPr>
      <t xml:space="preserve">「触手の穴」— 財団が</t>
    </r>
    <r>
      <rPr>
        <sz val="10"/>
        <rFont val="Arial"/>
        <family val="0"/>
        <charset val="1"/>
      </rPr>
      <t xml:space="preserve">13</t>
    </r>
    <r>
      <rPr>
        <sz val="10"/>
        <rFont val="Noto Sans CJK SC"/>
        <family val="2"/>
      </rPr>
      <t xml:space="preserve">名の失踪を隠蔽し続けた深海施設の実験記録、なぜ全ページが黒塗りなのか【ショート】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</si>
  <si>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：目を離した瞬間、首を折られる財団が</t>
    </r>
    <r>
      <rPr>
        <sz val="10"/>
        <rFont val="Arial"/>
        <family val="0"/>
        <charset val="1"/>
      </rPr>
      <t xml:space="preserve">17</t>
    </r>
    <r>
      <rPr>
        <sz val="10"/>
        <rFont val="Noto Sans CJK SC"/>
        <family val="2"/>
      </rPr>
      <t xml:space="preserve">名の死亡を隠蔽した理由とは</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が財団最古の収容記録に残り続ける本当の理由 </t>
    </r>
    <r>
      <rPr>
        <sz val="10"/>
        <rFont val="Arial"/>
        <family val="0"/>
        <charset val="1"/>
      </rPr>
      <t xml:space="preserve">#shorts #</t>
    </r>
    <r>
      <rPr>
        <sz val="10"/>
        <rFont val="Noto Sans CJK SC"/>
        <family val="2"/>
      </rPr>
      <t xml:space="preserve">ゆっくり解</t>
    </r>
  </si>
  <si>
    <r>
      <rPr>
        <sz val="10"/>
        <rFont val="Arial"/>
        <family val="0"/>
        <charset val="1"/>
      </rPr>
      <t xml:space="preserve">SCP-1337</t>
    </r>
    <r>
      <rPr>
        <sz val="10"/>
        <rFont val="Noto Sans CJK SC"/>
        <family val="2"/>
      </rPr>
      <t xml:space="preserve">に触れた</t>
    </r>
    <r>
      <rPr>
        <sz val="10"/>
        <rFont val="Arial"/>
        <family val="0"/>
        <charset val="1"/>
      </rPr>
      <t xml:space="preserve">17</t>
    </r>
    <r>
      <rPr>
        <sz val="10"/>
        <rFont val="Noto Sans CJK SC"/>
        <family val="2"/>
      </rPr>
      <t xml:space="preserve">名が全員同じ夢を見た——財団が隠し続けた「意識が宿る電球」の正体【ショート】</t>
    </r>
  </si>
  <si>
    <r>
      <rPr>
        <sz val="10"/>
        <rFont val="Arial"/>
        <family val="0"/>
        <charset val="1"/>
      </rPr>
      <t xml:space="preserve">SCP-078</t>
    </r>
    <r>
      <rPr>
        <sz val="10"/>
        <rFont val="Noto Sans CJK SC"/>
        <family val="2"/>
      </rPr>
      <t xml:space="preserve">が収容違反した夜、財団研究員たちは全員『同じ夢』を見た【ショート】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</si>
  <si>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</si>
  <si>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なぜ財団は</t>
    </r>
    <r>
      <rPr>
        <sz val="10"/>
        <rFont val="Arial"/>
        <family val="0"/>
        <charset val="1"/>
      </rPr>
      <t xml:space="preserve">48</t>
    </r>
    <r>
      <rPr>
        <sz val="10"/>
        <rFont val="Noto Sans CJK SC"/>
        <family val="2"/>
      </rPr>
      <t xml:space="preserve">時間で限界を迎えるのか——</t>
    </r>
    <r>
      <rPr>
        <sz val="10"/>
        <rFont val="Arial"/>
        <family val="0"/>
        <charset val="1"/>
      </rPr>
      <t xml:space="preserve">SCP-2317</t>
    </r>
    <r>
      <rPr>
        <sz val="10"/>
        <rFont val="Noto Sans CJK SC"/>
        <family val="2"/>
      </rPr>
      <t xml:space="preserve">『地獄の門』、封印違反</t>
    </r>
    <r>
      <rPr>
        <sz val="10"/>
        <rFont val="Arial"/>
        <family val="0"/>
        <charset val="1"/>
      </rPr>
      <t xml:space="preserve">5</t>
    </r>
    <r>
      <rPr>
        <sz val="10"/>
        <rFont val="Noto Sans CJK SC"/>
        <family val="2"/>
      </rPr>
      <t xml:space="preserve">件の真実【ショート】</t>
    </r>
  </si>
  <si>
    <r>
      <rPr>
        <sz val="10"/>
        <rFont val="Noto Sans CJK SC"/>
        <family val="2"/>
      </rPr>
      <t xml:space="preserve">一口</t>
    </r>
    <r>
      <rPr>
        <sz val="10"/>
        <rFont val="Arial"/>
        <family val="0"/>
        <charset val="1"/>
      </rPr>
      <t xml:space="preserve">SCP</t>
    </r>
    <r>
      <rPr>
        <sz val="10"/>
        <rFont val="Noto Sans CJK SC"/>
        <family val="2"/>
      </rPr>
      <t xml:space="preserve">：読んだだけで感染する——認識災害の正体財団が</t>
    </r>
    <r>
      <rPr>
        <sz val="10"/>
        <rFont val="Arial"/>
        <family val="0"/>
        <charset val="1"/>
      </rPr>
      <t xml:space="preserve">23</t>
    </r>
    <r>
      <rPr>
        <sz val="10"/>
        <rFont val="Noto Sans CJK SC"/>
        <family val="2"/>
      </rPr>
      <t xml:space="preserve">年間封印し続けた「知識の呪い」</t>
    </r>
    <r>
      <rPr>
        <sz val="10"/>
        <rFont val="Arial"/>
        <family val="0"/>
        <charset val="1"/>
      </rPr>
      <t xml:space="preserve">#</t>
    </r>
    <r>
      <rPr>
        <sz val="10"/>
        <rFont val="Noto Sans CJK SC"/>
        <family val="2"/>
      </rPr>
      <t xml:space="preserve">知った瞬間が終わりの始まり——</t>
    </r>
    <r>
      <rPr>
        <sz val="10"/>
        <rFont val="Arial"/>
        <family val="0"/>
        <charset val="1"/>
      </rPr>
      <t xml:space="preserve">SCP-1425</t>
    </r>
    <r>
      <rPr>
        <sz val="10"/>
        <rFont val="Noto Sans CJK SC"/>
        <family val="2"/>
      </rPr>
      <t xml:space="preserve">「星の兆候」が</t>
    </r>
    <r>
      <rPr>
        <sz val="10"/>
        <rFont val="Arial"/>
        <family val="0"/>
        <charset val="1"/>
      </rPr>
      <t xml:space="preserve">17</t>
    </r>
    <r>
      <rPr>
        <sz val="10"/>
        <rFont val="Noto Sans CJK SC"/>
        <family val="2"/>
      </rPr>
      <t xml:space="preserve">名の研究員を廃人にした本当の理由 </t>
    </r>
    <r>
      <rPr>
        <sz val="10"/>
        <rFont val="Arial"/>
        <family val="0"/>
        <charset val="1"/>
      </rPr>
      <t xml:space="preserve">#shor</t>
    </r>
  </si>
  <si>
    <r>
      <rPr>
        <sz val="10"/>
        <rFont val="Noto Sans CJK SC"/>
        <family val="2"/>
      </rPr>
      <t xml:space="preserve">一口</t>
    </r>
    <r>
      <rPr>
        <sz val="10"/>
        <rFont val="Arial"/>
        <family val="0"/>
        <charset val="1"/>
      </rPr>
      <t xml:space="preserve">SCP</t>
    </r>
    <r>
      <rPr>
        <sz val="10"/>
        <rFont val="Noto Sans CJK SC"/>
        <family val="2"/>
      </rPr>
      <t xml:space="preserve">：入館者</t>
    </r>
    <r>
      <rPr>
        <sz val="10"/>
        <rFont val="Arial"/>
        <family val="0"/>
        <charset val="1"/>
      </rPr>
      <t xml:space="preserve">72</t>
    </r>
    <r>
      <rPr>
        <sz val="10"/>
        <rFont val="Noto Sans CJK SC"/>
        <family val="2"/>
      </rPr>
      <t xml:space="preserve">時間後に記録消滅財団</t>
    </r>
    <r>
      <rPr>
        <sz val="10"/>
        <rFont val="Arial"/>
        <family val="0"/>
        <charset val="1"/>
      </rPr>
      <t xml:space="preserve">Lv4</t>
    </r>
    <r>
      <rPr>
        <sz val="10"/>
        <rFont val="Noto Sans CJK SC"/>
        <family val="2"/>
      </rPr>
      <t xml:space="preserve">以上しか閲覧できない収容プロトコル</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SCP-1618</t>
    </r>
    <r>
      <rPr>
        <sz val="10"/>
        <rFont val="Noto Sans CJK SC"/>
        <family val="2"/>
      </rPr>
      <t xml:space="preserve">「消える図書館」— 入館した</t>
    </r>
    <r>
      <rPr>
        <sz val="10"/>
        <rFont val="Arial"/>
        <family val="0"/>
        <charset val="1"/>
      </rPr>
      <t xml:space="preserve">72</t>
    </r>
    <r>
      <rPr>
        <sz val="10"/>
        <rFont val="Noto Sans CJK SC"/>
        <family val="2"/>
      </rPr>
      <t xml:space="preserve">時間後、司書の記録が完全に消えた本当の理由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</si>
  <si>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「メカニカルリペアマン」が修理した</t>
    </r>
    <r>
      <rPr>
        <sz val="10"/>
        <rFont val="Arial"/>
        <family val="0"/>
        <charset val="1"/>
      </rPr>
      <t xml:space="preserve">17</t>
    </r>
    <r>
      <rPr>
        <sz val="10"/>
        <rFont val="Noto Sans CJK SC"/>
        <family val="2"/>
      </rPr>
      <t xml:space="preserve">名、その後の記録が</t>
    </r>
    <r>
      <rPr>
        <sz val="10"/>
        <rFont val="Arial"/>
        <family val="0"/>
        <charset val="1"/>
      </rPr>
      <t xml:space="preserve">[DATA EXPUNGED]</t>
    </r>
    <r>
      <rPr>
        <sz val="10"/>
        <rFont val="Noto Sans CJK SC"/>
        <family val="2"/>
      </rPr>
      <t xml:space="preserve">されている本当の理由【ショート】</t>
    </r>
  </si>
  <si>
    <r>
      <rPr>
        <sz val="10"/>
        <rFont val="Arial"/>
        <family val="0"/>
        <charset val="1"/>
      </rPr>
      <t xml:space="preserve">SCP-682</t>
    </r>
    <r>
      <rPr>
        <sz val="10"/>
        <rFont val="Noto Sans CJK SC"/>
        <family val="2"/>
      </rPr>
      <t xml:space="preserve">の酸槽、記録に残らない変化が起きた【ショート】</t>
    </r>
  </si>
  <si>
    <r>
      <rPr>
        <sz val="10"/>
        <rFont val="Noto Sans CJK SC"/>
        <family val="2"/>
      </rPr>
      <t xml:space="preserve">一口</t>
    </r>
    <r>
      <rPr>
        <sz val="10"/>
        <rFont val="Arial"/>
        <family val="0"/>
        <charset val="1"/>
      </rPr>
      <t xml:space="preserve">SCP</t>
    </r>
    <r>
      <rPr>
        <sz val="10"/>
        <rFont val="Noto Sans CJK SC"/>
        <family val="2"/>
      </rPr>
      <t xml:space="preserve">：財団が</t>
    </r>
    <r>
      <rPr>
        <sz val="10"/>
        <rFont val="Arial"/>
        <family val="0"/>
        <charset val="1"/>
      </rPr>
      <t xml:space="preserve">23</t>
    </r>
    <r>
      <rPr>
        <sz val="10"/>
        <rFont val="Noto Sans CJK SC"/>
        <family val="2"/>
      </rPr>
      <t xml:space="preserve">年間隠し続けた見るだけで感染する謎感染者数</t>
    </r>
    <r>
      <rPr>
        <sz val="10"/>
        <rFont val="Arial"/>
        <family val="0"/>
        <charset val="1"/>
      </rPr>
      <t xml:space="preserve">317</t>
    </r>
    <r>
      <rPr>
        <sz val="10"/>
        <rFont val="Noto Sans CJK SC"/>
        <family val="2"/>
      </rPr>
      <t xml:space="preserve">名、生存率わずか</t>
    </r>
    <r>
      <rPr>
        <sz val="10"/>
        <rFont val="Arial"/>
        <family val="0"/>
        <charset val="1"/>
      </rPr>
      <t xml:space="preserve">3%#</t>
    </r>
    <r>
      <rPr>
        <sz val="10"/>
        <rFont val="Noto Sans CJK SC"/>
        <family val="2"/>
      </rPr>
      <t xml:space="preserve">財団が</t>
    </r>
    <r>
      <rPr>
        <sz val="10"/>
        <rFont val="Arial"/>
        <family val="0"/>
        <charset val="1"/>
      </rPr>
      <t xml:space="preserve">23</t>
    </r>
    <r>
      <rPr>
        <sz val="10"/>
        <rFont val="Noto Sans CJK SC"/>
        <family val="2"/>
      </rPr>
      <t xml:space="preserve">年間隠した感染 </t>
    </r>
    <r>
      <rPr>
        <sz val="10"/>
        <rFont val="Arial"/>
        <family val="0"/>
        <charset val="1"/>
      </rPr>
      <t xml:space="preserve">SCP-XXXX</t>
    </r>
    <r>
      <rPr>
        <sz val="10"/>
        <rFont val="Noto Sans CJK SC"/>
        <family val="2"/>
      </rPr>
      <t xml:space="preserve">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</si>
  <si>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17</t>
    </r>
    <r>
      <rPr>
        <sz val="10"/>
        <rFont val="Noto Sans CJK SC"/>
        <family val="2"/>
      </rPr>
      <t xml:space="preserve">年間封印した「選択の悪夢」——</t>
    </r>
    <r>
      <rPr>
        <sz val="10"/>
        <rFont val="Arial"/>
        <family val="0"/>
        <charset val="1"/>
      </rPr>
      <t xml:space="preserve">SCP-096</t>
    </r>
    <r>
      <rPr>
        <sz val="10"/>
        <rFont val="Noto Sans CJK SC"/>
        <family val="2"/>
      </rPr>
      <t xml:space="preserve">に触れた職員が最後に見たものの正体【ショート】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</si>
  <si>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：目を離した瞬間、終わる</t>
    </r>
    <r>
      <rPr>
        <sz val="10"/>
        <rFont val="Arial"/>
        <family val="0"/>
        <charset val="1"/>
      </rPr>
      <t xml:space="preserve">SCP-173 ── </t>
    </r>
    <r>
      <rPr>
        <sz val="10"/>
        <rFont val="Noto Sans CJK SC"/>
        <family val="2"/>
      </rPr>
      <t xml:space="preserve">財団最古の封印</t>
    </r>
    <r>
      <rPr>
        <sz val="10"/>
        <rFont val="Arial"/>
        <family val="0"/>
        <charset val="1"/>
      </rPr>
      <t xml:space="preserve">#SCP-173</t>
    </r>
    <r>
      <rPr>
        <sz val="10"/>
        <rFont val="Noto Sans CJK SC"/>
        <family val="2"/>
      </rPr>
      <t xml:space="preserve">【それは、瞬きの間に】目を離した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r>
      <rPr>
        <sz val="10"/>
        <rFont val="Noto Sans CJK SC"/>
        <family val="2"/>
      </rPr>
      <t xml:space="preserve">ゆっくり解説</t>
    </r>
  </si>
  <si>
    <r>
      <rPr>
        <sz val="10"/>
        <rFont val="Arial"/>
        <family val="0"/>
        <charset val="1"/>
      </rPr>
      <t xml:space="preserve">SCP-2845</t>
    </r>
    <r>
      <rPr>
        <sz val="10"/>
        <rFont val="Noto Sans CJK SC"/>
        <family val="2"/>
      </rPr>
      <t xml:space="preserve">収容記録：儀式が</t>
    </r>
    <r>
      <rPr>
        <sz val="10"/>
        <rFont val="Arial"/>
        <family val="0"/>
        <charset val="1"/>
      </rPr>
      <t xml:space="preserve">1</t>
    </r>
    <r>
      <rPr>
        <sz val="10"/>
        <rFont val="Noto Sans CJK SC"/>
        <family val="2"/>
      </rPr>
      <t xml:space="preserve">分遅れた夜、</t>
    </r>
    <r>
      <rPr>
        <sz val="10"/>
        <rFont val="Arial"/>
        <family val="0"/>
        <charset val="1"/>
      </rPr>
      <t xml:space="preserve">173</t>
    </r>
    <r>
      <rPr>
        <sz val="10"/>
        <rFont val="Noto Sans CJK SC"/>
        <family val="2"/>
      </rPr>
      <t xml:space="preserve">名はなぜか全員消えた【これが最後の名簿】【ショート】</t>
    </r>
  </si>
  <si>
    <r>
      <rPr>
        <sz val="10"/>
        <rFont val="Noto Sans CJK SC"/>
        <family val="2"/>
      </rPr>
      <t xml:space="preserve">財団が</t>
    </r>
    <r>
      <rPr>
        <sz val="10"/>
        <rFont val="Arial"/>
        <family val="0"/>
        <charset val="1"/>
      </rPr>
      <t xml:space="preserve">13</t>
    </r>
    <r>
      <rPr>
        <sz val="10"/>
        <rFont val="Noto Sans CJK SC"/>
        <family val="2"/>
      </rPr>
      <t xml:space="preserve">年間隠し続けた「</t>
    </r>
    <r>
      <rPr>
        <sz val="10"/>
        <rFont val="Arial"/>
        <family val="0"/>
        <charset val="1"/>
      </rPr>
      <t xml:space="preserve">13</t>
    </r>
    <r>
      <rPr>
        <sz val="10"/>
        <rFont val="Noto Sans CJK SC"/>
        <family val="2"/>
      </rPr>
      <t xml:space="preserve">名の改竄要求」</t>
    </r>
    <r>
      <rPr>
        <sz val="10"/>
        <rFont val="Arial"/>
        <family val="0"/>
        <charset val="1"/>
      </rPr>
      <t xml:space="preserve">SCP-2718</t>
    </r>
    <r>
      <rPr>
        <sz val="10"/>
        <rFont val="Noto Sans CJK SC"/>
        <family val="2"/>
      </rPr>
      <t xml:space="preserve">死後記録の真実【ショート】</t>
    </r>
  </si>
  <si>
    <r>
      <rPr>
        <sz val="10"/>
        <rFont val="Noto Sans CJK SC"/>
        <family val="2"/>
      </rPr>
      <t xml:space="preserve">触れた全員が笑う粘体、なぜ</t>
    </r>
    <r>
      <rPr>
        <sz val="10"/>
        <rFont val="Arial"/>
        <family val="0"/>
        <charset val="1"/>
      </rPr>
      <t xml:space="preserve">Safe</t>
    </r>
    <r>
      <rPr>
        <sz val="10"/>
        <rFont val="Noto Sans CJK SC"/>
        <family val="2"/>
      </rPr>
      <t xml:space="preserve">なのか？【ショート】</t>
    </r>
  </si>
  <si>
    <r>
      <rPr>
        <sz val="10"/>
        <rFont val="Noto Sans CJK SC"/>
        <family val="2"/>
      </rPr>
      <t xml:space="preserve">一口</t>
    </r>
    <r>
      <rPr>
        <sz val="10"/>
        <rFont val="Arial"/>
        <family val="0"/>
        <charset val="1"/>
      </rPr>
      <t xml:space="preserve">SCP</t>
    </r>
    <r>
      <rPr>
        <sz val="10"/>
        <rFont val="Noto Sans CJK SC"/>
        <family val="2"/>
      </rPr>
      <t xml:space="preserve">：財団が隠し続けた異常事件収容違反事件の裏側に潜む恐怖</t>
    </r>
    <r>
      <rPr>
        <sz val="10"/>
        <rFont val="Arial"/>
        <family val="0"/>
        <charset val="1"/>
      </rPr>
      <t xml:space="preserve">#</t>
    </r>
    <r>
      <rPr>
        <sz val="10"/>
        <rFont val="Noto Sans CJK SC"/>
        <family val="2"/>
      </rPr>
      <t xml:space="preserve">財団が隠し続けた</t>
    </r>
    <r>
      <rPr>
        <sz val="10"/>
        <rFont val="Arial"/>
        <family val="0"/>
        <charset val="1"/>
      </rPr>
      <t xml:space="preserve">SCP-XXX</t>
    </r>
    <r>
      <rPr>
        <sz val="10"/>
        <rFont val="Noto Sans CJK SC"/>
        <family val="2"/>
      </rPr>
      <t xml:space="preserve">の正体—収容違反事件の裏側 </t>
    </r>
    <r>
      <rPr>
        <sz val="10"/>
        <rFont val="Arial"/>
        <family val="0"/>
        <charset val="1"/>
      </rPr>
      <t xml:space="preserve">#shorts #</t>
    </r>
    <r>
      <rPr>
        <sz val="10"/>
        <rFont val="Noto Sans CJK SC"/>
        <family val="2"/>
      </rPr>
      <t xml:space="preserve">ゆっくり解説</t>
    </r>
  </si>
  <si>
    <t xml:space="preserve">2026-07-27</t>
  </si>
  <si>
    <r>
      <rPr>
        <sz val="10"/>
        <rFont val="Arial"/>
        <family val="0"/>
        <charset val="1"/>
      </rPr>
      <t xml:space="preserve">SCP-</t>
    </r>
    <r>
      <rPr>
        <sz val="10"/>
        <rFont val="Noto Sans CJK SC"/>
        <family val="2"/>
      </rPr>
      <t xml:space="preserve">財団が隠し続けた</t>
    </r>
    <r>
      <rPr>
        <sz val="10"/>
        <rFont val="Arial"/>
        <family val="0"/>
        <charset val="1"/>
      </rPr>
      <t xml:space="preserve">D</t>
    </r>
    <r>
      <rPr>
        <sz val="10"/>
        <rFont val="Noto Sans CJK SC"/>
        <family val="2"/>
      </rPr>
      <t xml:space="preserve">クラスの真実——欲望と恐怖の狭間で消耗される人々【ショート】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</si>
  <si>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LEVEL 4 </t>
    </r>
    <r>
      <rPr>
        <sz val="10"/>
        <rFont val="Noto Sans CJK SC"/>
        <family val="2"/>
      </rPr>
      <t xml:space="preserve">機密 </t>
    </r>
    <r>
      <rPr>
        <sz val="10"/>
        <rFont val="Arial"/>
        <family val="0"/>
        <charset val="1"/>
      </rPr>
      <t xml:space="preserve">/ </t>
    </r>
    <r>
      <rPr>
        <sz val="10"/>
        <rFont val="Noto Sans CJK SC"/>
        <family val="2"/>
      </rPr>
      <t xml:space="preserve">財団内部資料感染確認から</t>
    </r>
    <r>
      <rPr>
        <sz val="10"/>
        <rFont val="Arial"/>
        <family val="0"/>
        <charset val="1"/>
      </rPr>
      <t xml:space="preserve">96</t>
    </r>
    <r>
      <rPr>
        <sz val="10"/>
        <rFont val="Noto Sans CJK SC"/>
        <family val="2"/>
      </rPr>
      <t xml:space="preserve">時間で『人間』でなくなる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秒で内側から書き換わる——</t>
    </r>
    <r>
      <rPr>
        <sz val="10"/>
        <rFont val="Arial"/>
        <family val="0"/>
        <charset val="1"/>
      </rPr>
      <t xml:space="preserve">SCP-217</t>
    </r>
    <r>
      <rPr>
        <sz val="10"/>
        <rFont val="Noto Sans CJK SC"/>
        <family val="2"/>
      </rPr>
      <t xml:space="preserve">「時計仕掛けのウイルス」が人間を機械に変える本当の理</t>
    </r>
  </si>
  <si>
    <r>
      <rPr>
        <sz val="10"/>
        <rFont val="Arial"/>
        <family val="0"/>
        <charset val="1"/>
      </rPr>
      <t xml:space="preserve">SCP-4840</t>
    </r>
    <r>
      <rPr>
        <sz val="10"/>
        <rFont val="Noto Sans CJK SC"/>
        <family val="2"/>
      </rPr>
      <t xml:space="preserve">「バビロンの巨人」— 財団が古代遺跡ごと地下に埋めた本当の理由【ショート】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</si>
  <si>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：視線を外した瞬間、終わり財団収容室・機密レベル：最高機密</t>
    </r>
    <r>
      <rPr>
        <sz val="10"/>
        <rFont val="Arial"/>
        <family val="0"/>
        <charset val="1"/>
      </rPr>
      <t xml:space="preserve">#SCP-173</t>
    </r>
    <r>
      <rPr>
        <sz val="10"/>
        <rFont val="Noto Sans CJK SC"/>
        <family val="2"/>
      </rPr>
      <t xml:space="preserve">「彫刻」— 視線を外した</t>
    </r>
    <r>
      <rPr>
        <sz val="10"/>
        <rFont val="Arial"/>
        <family val="0"/>
        <charset val="1"/>
      </rPr>
      <t xml:space="preserve">0.3</t>
    </r>
    <r>
      <rPr>
        <sz val="10"/>
        <rFont val="Noto Sans CJK SC"/>
        <family val="2"/>
      </rPr>
      <t xml:space="preserve">秒で、なぜ人は死ぬのか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</si>
  <si>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：人類の前に『別の文明』が存在した財団が隠し続ける、本当の歴史</t>
    </r>
    <r>
      <rPr>
        <sz val="10"/>
        <rFont val="Arial"/>
        <family val="0"/>
        <charset val="1"/>
      </rPr>
      <t xml:space="preserve">#SCP-1000</t>
    </r>
    <r>
      <rPr>
        <sz val="10"/>
        <rFont val="Noto Sans CJK SC"/>
        <family val="2"/>
      </rPr>
      <t xml:space="preserve">【人類が忘れさせられた理由】— なぜ財団は今も記憶を消し続けるのか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</si>
  <si>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：崇拝者が自然発生——収容できたのは『実体』ではなかった収容違反発生・職員接触者の生存率：記録抹消</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t>
    </r>
    <r>
      <rPr>
        <sz val="10"/>
        <rFont val="Arial"/>
        <family val="0"/>
        <charset val="1"/>
      </rPr>
      <t xml:space="preserve">SCP-2662——</t>
    </r>
    <r>
      <rPr>
        <sz val="10"/>
        <rFont val="Noto Sans CJK SC"/>
        <family val="2"/>
      </rPr>
      <t xml:space="preserve">崇拝者が自然発生する施設、生存率</t>
    </r>
    <r>
      <rPr>
        <sz val="10"/>
        <rFont val="Arial"/>
        <family val="0"/>
        <charset val="1"/>
      </rPr>
      <t xml:space="preserve">0%</t>
    </r>
    <r>
      <rPr>
        <sz val="10"/>
        <rFont val="Noto Sans CJK SC"/>
        <family val="2"/>
      </rPr>
      <t xml:space="preserve">の収容違反</t>
    </r>
  </si>
  <si>
    <r>
      <rPr>
        <sz val="10"/>
        <rFont val="Noto Sans CJK SC"/>
        <family val="2"/>
      </rPr>
      <t xml:space="preserve">一口</t>
    </r>
    <r>
      <rPr>
        <sz val="10"/>
        <rFont val="Arial"/>
        <family val="0"/>
        <charset val="1"/>
      </rPr>
      <t xml:space="preserve">SCP</t>
    </r>
    <r>
      <rPr>
        <sz val="10"/>
        <rFont val="Noto Sans CJK SC"/>
        <family val="2"/>
      </rPr>
      <t xml:space="preserve">：担当者</t>
    </r>
    <r>
      <rPr>
        <sz val="10"/>
        <rFont val="Arial"/>
        <family val="0"/>
        <charset val="1"/>
      </rPr>
      <t xml:space="preserve">17</t>
    </r>
    <r>
      <rPr>
        <sz val="10"/>
        <rFont val="Noto Sans CJK SC"/>
        <family val="2"/>
      </rPr>
      <t xml:space="preserve">名、記録ごと消滅</t>
    </r>
    <r>
      <rPr>
        <sz val="10"/>
        <rFont val="Arial"/>
        <family val="0"/>
        <charset val="1"/>
      </rPr>
      <t xml:space="preserve">SCP-4002</t>
    </r>
    <r>
      <rPr>
        <sz val="10"/>
        <rFont val="Noto Sans CJK SC"/>
        <family val="2"/>
      </rPr>
      <t xml:space="preserve">の正体、財団も解明不能</t>
    </r>
    <r>
      <rPr>
        <sz val="10"/>
        <rFont val="Arial"/>
        <family val="0"/>
        <charset val="1"/>
      </rPr>
      <t xml:space="preserve">#SCP-4002</t>
    </r>
    <r>
      <rPr>
        <sz val="10"/>
        <rFont val="Noto Sans CJK SC"/>
        <family val="2"/>
      </rPr>
      <t xml:space="preserve">「生の贈り物」——収容した翌日、担当研究員</t>
    </r>
    <r>
      <rPr>
        <sz val="10"/>
        <rFont val="Arial"/>
        <family val="0"/>
        <charset val="1"/>
      </rPr>
      <t xml:space="preserve">17</t>
    </r>
    <r>
      <rPr>
        <sz val="10"/>
        <rFont val="Noto Sans CJK SC"/>
        <family val="2"/>
      </rPr>
      <t xml:space="preserve">名の記録が財団データベースから完全に消えた理由 </t>
    </r>
    <r>
      <rPr>
        <sz val="10"/>
        <rFont val="Arial"/>
        <family val="0"/>
        <charset val="1"/>
      </rPr>
      <t xml:space="preserve">#short</t>
    </r>
  </si>
  <si>
    <r>
      <rPr>
        <sz val="10"/>
        <rFont val="Arial"/>
        <family val="0"/>
        <charset val="1"/>
      </rPr>
      <t xml:space="preserve">SCP-1733</t>
    </r>
    <r>
      <rPr>
        <sz val="10"/>
        <rFont val="Noto Sans CJK SC"/>
        <family val="2"/>
      </rPr>
      <t xml:space="preserve">：「開幕戦」——財団が隠した恐怖の</t>
    </r>
    <r>
      <rPr>
        <sz val="10"/>
        <rFont val="Arial"/>
        <family val="0"/>
        <charset val="1"/>
      </rPr>
      <t xml:space="preserve">DVD</t>
    </r>
    <r>
      <rPr>
        <sz val="10"/>
        <rFont val="Noto Sans CJK SC"/>
        <family val="2"/>
      </rPr>
      <t xml:space="preserve">【ショート】</t>
    </r>
  </si>
  <si>
    <r>
      <rPr>
        <sz val="10"/>
        <rFont val="Arial"/>
        <family val="0"/>
        <charset val="1"/>
      </rPr>
      <t xml:space="preserve">SCP-7004</t>
    </r>
    <r>
      <rPr>
        <sz val="10"/>
        <rFont val="Noto Sans CJK SC"/>
        <family val="2"/>
      </rPr>
      <t xml:space="preserve">「終末の観測者」— 収容都市は</t>
    </r>
    <r>
      <rPr>
        <sz val="10"/>
        <rFont val="Arial"/>
        <family val="0"/>
        <charset val="1"/>
      </rPr>
      <t xml:space="preserve">9</t>
    </r>
    <r>
      <rPr>
        <sz val="10"/>
        <rFont val="Noto Sans CJK SC"/>
        <family val="2"/>
      </rPr>
      <t xml:space="preserve">日で住民全員を失った【最後の記録】【ショート】</t>
    </r>
  </si>
  <si>
    <r>
      <rPr>
        <sz val="10"/>
        <rFont val="Noto Sans CJK SC"/>
        <family val="2"/>
      </rPr>
      <t xml:space="preserve">一口</t>
    </r>
    <r>
      <rPr>
        <sz val="10"/>
        <rFont val="Arial"/>
        <family val="0"/>
        <charset val="1"/>
      </rPr>
      <t xml:space="preserve">SCP</t>
    </r>
    <r>
      <rPr>
        <sz val="10"/>
        <rFont val="Noto Sans CJK SC"/>
        <family val="2"/>
      </rPr>
      <t xml:space="preserve">：心臓を持って入れ——それが唯一の収容条件扉を開けた</t>
    </r>
    <r>
      <rPr>
        <sz val="10"/>
        <rFont val="Arial"/>
        <family val="0"/>
        <charset val="1"/>
      </rPr>
      <t xml:space="preserve">12</t>
    </r>
    <r>
      <rPr>
        <sz val="10"/>
        <rFont val="Noto Sans CJK SC"/>
        <family val="2"/>
      </rPr>
      <t xml:space="preserve">名、全員が消滅</t>
    </r>
    <r>
      <rPr>
        <sz val="10"/>
        <rFont val="Arial"/>
        <family val="0"/>
        <charset val="1"/>
      </rPr>
      <t xml:space="preserve">#SCP-1983</t>
    </r>
    <r>
      <rPr>
        <sz val="10"/>
        <rFont val="Noto Sans CJK SC"/>
        <family val="2"/>
      </rPr>
      <t xml:space="preserve">「ドアの向こうの闇」— 心臓を持たずに開けた扉の先で、財団員は何を見たのか </t>
    </r>
    <r>
      <rPr>
        <sz val="10"/>
        <rFont val="Arial"/>
        <family val="0"/>
        <charset val="1"/>
      </rPr>
      <t xml:space="preserve">#shorts #</t>
    </r>
    <r>
      <rPr>
        <sz val="10"/>
        <rFont val="Noto Sans CJK SC"/>
        <family val="2"/>
      </rPr>
      <t xml:space="preserve">ゆっくり</t>
    </r>
  </si>
  <si>
    <r>
      <rPr>
        <sz val="10"/>
        <rFont val="Arial"/>
        <family val="0"/>
        <charset val="1"/>
      </rPr>
      <t xml:space="preserve">SCP-179</t>
    </r>
    <r>
      <rPr>
        <sz val="10"/>
        <rFont val="Noto Sans CJK SC"/>
        <family val="2"/>
      </rPr>
      <t xml:space="preserve">「すばる」が財団に警告を送り続けた理由—なぜ誰も止められなかったのか【ショート】</t>
    </r>
  </si>
  <si>
    <r>
      <rPr>
        <sz val="10"/>
        <rFont val="Noto Sans CJK SC"/>
        <family val="2"/>
      </rPr>
      <t xml:space="preserve">目を離した</t>
    </r>
    <r>
      <rPr>
        <sz val="10"/>
        <rFont val="Arial"/>
        <family val="0"/>
        <charset val="1"/>
      </rPr>
      <t xml:space="preserve">0.3</t>
    </r>
    <r>
      <rPr>
        <sz val="10"/>
        <rFont val="Noto Sans CJK SC"/>
        <family val="2"/>
      </rPr>
      <t xml:space="preserve">秒で消えた——財団が記録ごと封印した</t>
    </r>
    <r>
      <rPr>
        <sz val="10"/>
        <rFont val="Arial"/>
        <family val="0"/>
        <charset val="1"/>
      </rPr>
      <t xml:space="preserve">SCP-099</t>
    </r>
    <r>
      <rPr>
        <sz val="10"/>
        <rFont val="Noto Sans CJK SC"/>
        <family val="2"/>
      </rPr>
      <t xml:space="preserve">「空間歪曲体」の正体【ショート】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</si>
  <si>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SCP-166</t>
    </r>
    <r>
      <rPr>
        <sz val="10"/>
        <rFont val="Noto Sans CJK SC"/>
        <family val="2"/>
      </rPr>
      <t xml:space="preserve">「若返りのリリス」— 財団が</t>
    </r>
    <r>
      <rPr>
        <sz val="10"/>
        <rFont val="Arial"/>
        <family val="0"/>
        <charset val="1"/>
      </rPr>
      <t xml:space="preserve">17</t>
    </r>
    <r>
      <rPr>
        <sz val="10"/>
        <rFont val="Noto Sans CJK SC"/>
        <family val="2"/>
      </rPr>
      <t xml:space="preserve">名の記憶を</t>
    </r>
    <r>
      <rPr>
        <sz val="10"/>
        <rFont val="Arial"/>
        <family val="0"/>
        <charset val="1"/>
      </rPr>
      <t xml:space="preserve">[REDACTED]</t>
    </r>
    <r>
      <rPr>
        <sz val="10"/>
        <rFont val="Noto Sans CJK SC"/>
        <family val="2"/>
      </rPr>
      <t xml:space="preserve">した本当の理由【ショート】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</si>
  <si>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：修復完了まで平均</t>
    </r>
    <r>
      <rPr>
        <sz val="10"/>
        <rFont val="Arial"/>
        <family val="0"/>
        <charset val="1"/>
      </rPr>
      <t xml:space="preserve">72</t>
    </r>
    <r>
      <rPr>
        <sz val="10"/>
        <rFont val="Noto Sans CJK SC"/>
        <family val="2"/>
      </rPr>
      <t xml:space="preserve">時間——その間、人間は何をされる？財団収容施設で</t>
    </r>
    <r>
      <rPr>
        <sz val="10"/>
        <rFont val="Arial"/>
        <family val="0"/>
        <charset val="1"/>
      </rPr>
      <t xml:space="preserve">17</t>
    </r>
    <r>
      <rPr>
        <sz val="10"/>
        <rFont val="Noto Sans CJK SC"/>
        <family val="2"/>
      </rPr>
      <t xml:space="preserve">件の『自発的失踪』が記録された</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「メカニカルリペアマン」が修復するのは機械じゃない——財</t>
    </r>
  </si>
  <si>
    <r>
      <rPr>
        <sz val="10"/>
        <rFont val="Noto Sans CJK SC"/>
        <family val="2"/>
      </rPr>
      <t xml:space="preserve">一口</t>
    </r>
    <r>
      <rPr>
        <sz val="10"/>
        <rFont val="Arial"/>
        <family val="0"/>
        <charset val="1"/>
      </rPr>
      <t xml:space="preserve">SCP</t>
    </r>
    <r>
      <rPr>
        <sz val="10"/>
        <rFont val="Noto Sans CJK SC"/>
        <family val="2"/>
      </rPr>
      <t xml:space="preserve">：世界人口</t>
    </r>
    <r>
      <rPr>
        <sz val="10"/>
        <rFont val="Arial"/>
        <family val="0"/>
        <charset val="1"/>
      </rPr>
      <t xml:space="preserve">80</t>
    </r>
    <r>
      <rPr>
        <sz val="10"/>
        <rFont val="Noto Sans CJK SC"/>
        <family val="2"/>
      </rPr>
      <t xml:space="preserve">億人→</t>
    </r>
    <r>
      <rPr>
        <sz val="10"/>
        <rFont val="Arial"/>
        <family val="0"/>
        <charset val="1"/>
      </rPr>
      <t xml:space="preserve">7</t>
    </r>
    <r>
      <rPr>
        <sz val="10"/>
        <rFont val="Noto Sans CJK SC"/>
        <family val="2"/>
      </rPr>
      <t xml:space="preserve">億人 自動起動財団内部記録【閲覧権限</t>
    </r>
    <r>
      <rPr>
        <sz val="10"/>
        <rFont val="Arial"/>
        <family val="0"/>
        <charset val="1"/>
      </rPr>
      <t xml:space="preserve">O5</t>
    </r>
    <r>
      <rPr>
        <sz val="10"/>
        <rFont val="Noto Sans CJK SC"/>
        <family val="2"/>
      </rPr>
      <t xml:space="preserve">以上】</t>
    </r>
    <r>
      <rPr>
        <sz val="10"/>
        <rFont val="Arial"/>
        <family val="0"/>
        <charset val="1"/>
      </rPr>
      <t xml:space="preserve">#SCP-5000</t>
    </r>
    <r>
      <rPr>
        <sz val="10"/>
        <rFont val="Noto Sans CJK SC"/>
        <family val="2"/>
      </rPr>
      <t xml:space="preserve">が起動した</t>
    </r>
    <r>
      <rPr>
        <sz val="10"/>
        <rFont val="Arial"/>
        <family val="0"/>
        <charset val="1"/>
      </rPr>
      <t xml:space="preserve">48</t>
    </r>
    <r>
      <rPr>
        <sz val="10"/>
        <rFont val="Noto Sans CJK SC"/>
        <family val="2"/>
      </rPr>
      <t xml:space="preserve">時間——あなたの街で財団が隠した『人類抹消プロトコル』の正体 </t>
    </r>
    <r>
      <rPr>
        <sz val="10"/>
        <rFont val="Arial"/>
        <family val="0"/>
        <charset val="1"/>
      </rPr>
      <t xml:space="preserve">#shorts #</t>
    </r>
    <r>
      <rPr>
        <sz val="10"/>
        <rFont val="Noto Sans CJK SC"/>
        <family val="2"/>
      </rPr>
      <t xml:space="preserve">ゆっくり解</t>
    </r>
  </si>
  <si>
    <r>
      <rPr>
        <sz val="10"/>
        <rFont val="Arial"/>
        <family val="0"/>
        <charset val="1"/>
      </rPr>
      <t xml:space="preserve">SCP-1690</t>
    </r>
    <r>
      <rPr>
        <sz val="10"/>
        <rFont val="Noto Sans CJK SC"/>
        <family val="2"/>
      </rPr>
      <t xml:space="preserve">「廃棄された文明の記録」— 発掘地点</t>
    </r>
    <r>
      <rPr>
        <sz val="10"/>
        <rFont val="Arial"/>
        <family val="0"/>
        <charset val="1"/>
      </rPr>
      <t xml:space="preserve">12</t>
    </r>
    <r>
      <rPr>
        <sz val="10"/>
        <rFont val="Noto Sans CJK SC"/>
        <family val="2"/>
      </rPr>
      <t xml:space="preserve">か所、通信断絶から</t>
    </r>
    <r>
      <rPr>
        <sz val="10"/>
        <rFont val="Arial"/>
        <family val="0"/>
        <charset val="1"/>
      </rPr>
      <t xml:space="preserve">83</t>
    </r>
    <r>
      <rPr>
        <sz val="10"/>
        <rFont val="Noto Sans CJK SC"/>
        <family val="2"/>
      </rPr>
      <t xml:space="preserve">年後に収容【ショート】</t>
    </r>
  </si>
  <si>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17</t>
    </r>
    <r>
      <rPr>
        <sz val="10"/>
        <rFont val="Noto Sans CJK SC"/>
        <family val="2"/>
      </rPr>
      <t xml:space="preserve">時間／生存者</t>
    </r>
    <r>
      <rPr>
        <sz val="10"/>
        <rFont val="Arial"/>
        <family val="0"/>
        <charset val="1"/>
      </rPr>
      <t xml:space="preserve">0</t>
    </r>
    <r>
      <rPr>
        <sz val="10"/>
        <rFont val="Noto Sans CJK SC"/>
        <family val="2"/>
      </rPr>
      <t xml:space="preserve">名財団が封印した『悪夢のデバイス』の正体</t>
    </r>
    <r>
      <rPr>
        <sz val="10"/>
        <rFont val="Arial"/>
        <family val="0"/>
        <charset val="1"/>
      </rPr>
      <t xml:space="preserve">#</t>
    </r>
    <r>
      <rPr>
        <sz val="10"/>
        <rFont val="Noto Sans CJK SC"/>
        <family val="2"/>
      </rPr>
      <t xml:space="preserve">収容違反から</t>
    </r>
    <r>
      <rPr>
        <sz val="10"/>
        <rFont val="Arial"/>
        <family val="0"/>
        <charset val="1"/>
      </rPr>
      <t xml:space="preserve">17</t>
    </r>
    <r>
      <rPr>
        <sz val="10"/>
        <rFont val="Noto Sans CJK SC"/>
        <family val="2"/>
      </rPr>
      <t xml:space="preserve">時間——</t>
    </r>
    <r>
      <rPr>
        <sz val="10"/>
        <rFont val="Arial"/>
        <family val="0"/>
        <charset val="1"/>
      </rPr>
      <t xml:space="preserve">SCP-1346</t>
    </r>
    <r>
      <rPr>
        <sz val="10"/>
        <rFont val="Noto Sans CJK SC"/>
        <family val="2"/>
      </rPr>
      <t xml:space="preserve">「悪夢のデバイス」が財団施設で何をしたか、報告書は</t>
    </r>
    <r>
      <rPr>
        <sz val="10"/>
        <rFont val="Arial"/>
        <family val="0"/>
        <charset val="1"/>
      </rPr>
      <t xml:space="preserve">[DATA EXPUNGED]</t>
    </r>
  </si>
  <si>
    <r>
      <rPr>
        <sz val="10"/>
        <rFont val="Noto Sans CJK SC"/>
        <family val="2"/>
      </rPr>
      <t xml:space="preserve">一口</t>
    </r>
    <r>
      <rPr>
        <sz val="10"/>
        <rFont val="Arial"/>
        <family val="0"/>
        <charset val="1"/>
      </rPr>
      <t xml:space="preserve">SCP</t>
    </r>
    <r>
      <rPr>
        <sz val="10"/>
        <rFont val="Noto Sans CJK SC"/>
        <family val="2"/>
      </rPr>
      <t xml:space="preserve">：修復完了のたびに人が消える財団が隠し続けた『自動修復』の正体</t>
    </r>
    <r>
      <rPr>
        <sz val="10"/>
        <rFont val="Arial"/>
        <family val="0"/>
        <charset val="1"/>
      </rPr>
      <t xml:space="preserve">#</t>
    </r>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SCP-1238</t>
    </r>
    <r>
      <rPr>
        <sz val="10"/>
        <rFont val="Noto Sans CJK SC"/>
        <family val="2"/>
      </rPr>
      <t xml:space="preserve">「メカニカルリペアマン」— 修復が終わるたびに</t>
    </r>
    <r>
      <rPr>
        <sz val="10"/>
        <rFont val="Arial"/>
        <family val="0"/>
        <charset val="1"/>
      </rPr>
      <t xml:space="preserve">17</t>
    </r>
    <r>
      <rPr>
        <sz val="10"/>
        <rFont val="Noto Sans CJK SC"/>
        <family val="2"/>
      </rPr>
      <t xml:space="preserve">名が消えた理由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</si>
  <si>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SCP-1242</t>
    </r>
    <r>
      <rPr>
        <sz val="10"/>
        <rFont val="Noto Sans CJK SC"/>
        <family val="2"/>
      </rPr>
      <t xml:space="preserve">「八つの目を持つ者」— 接触から</t>
    </r>
    <r>
      <rPr>
        <sz val="10"/>
        <rFont val="Arial"/>
        <family val="0"/>
        <charset val="1"/>
      </rPr>
      <t xml:space="preserve">72</t>
    </r>
    <r>
      <rPr>
        <sz val="10"/>
        <rFont val="Noto Sans CJK SC"/>
        <family val="2"/>
      </rPr>
      <t xml:space="preserve">時間後、</t>
    </r>
    <r>
      <rPr>
        <sz val="10"/>
        <rFont val="Arial"/>
        <family val="0"/>
        <charset val="1"/>
      </rPr>
      <t xml:space="preserve">23</t>
    </r>
    <r>
      <rPr>
        <sz val="10"/>
        <rFont val="Noto Sans CJK SC"/>
        <family val="2"/>
      </rPr>
      <t xml:space="preserve">名中</t>
    </r>
    <r>
      <rPr>
        <sz val="10"/>
        <rFont val="Arial"/>
        <family val="0"/>
        <charset val="1"/>
      </rPr>
      <t xml:space="preserve">19</t>
    </r>
    <r>
      <rPr>
        <sz val="10"/>
        <rFont val="Noto Sans CJK SC"/>
        <family val="2"/>
      </rPr>
      <t xml:space="preserve">名が自分の名前を答えられなくなった本当の理由【ショート】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</si>
  <si>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：視線を外したら——もう遅い財団が封印した『</t>
    </r>
    <r>
      <rPr>
        <sz val="10"/>
        <rFont val="Arial"/>
        <family val="0"/>
        <charset val="1"/>
      </rPr>
      <t xml:space="preserve">0.3</t>
    </r>
    <r>
      <rPr>
        <sz val="10"/>
        <rFont val="Noto Sans CJK SC"/>
        <family val="2"/>
      </rPr>
      <t xml:space="preserve">秒の恐怖』</t>
    </r>
    <r>
      <rPr>
        <sz val="10"/>
        <rFont val="Arial"/>
        <family val="0"/>
        <charset val="1"/>
      </rPr>
      <t xml:space="preserve">#SCP-173——</t>
    </r>
    <r>
      <rPr>
        <sz val="10"/>
        <rFont val="Noto Sans CJK SC"/>
        <family val="2"/>
      </rPr>
      <t xml:space="preserve">視線を外した</t>
    </r>
    <r>
      <rPr>
        <sz val="10"/>
        <rFont val="Arial"/>
        <family val="0"/>
        <charset val="1"/>
      </rPr>
      <t xml:space="preserve">0.3</t>
    </r>
    <r>
      <rPr>
        <sz val="10"/>
        <rFont val="Noto Sans CJK SC"/>
        <family val="2"/>
      </rPr>
      <t xml:space="preserve">秒に、</t>
    </r>
    <r>
      <rPr>
        <sz val="10"/>
        <rFont val="Arial"/>
        <family val="0"/>
        <charset val="1"/>
      </rPr>
      <t xml:space="preserve">17</t>
    </r>
    <r>
      <rPr>
        <sz val="10"/>
        <rFont val="Noto Sans CJK SC"/>
        <family val="2"/>
      </rPr>
      <t xml:space="preserve">名が消えた本当の理由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</si>
  <si>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施設ごと消えた記録が</t>
    </r>
    <r>
      <rPr>
        <sz val="10"/>
        <rFont val="Arial"/>
        <family val="0"/>
        <charset val="1"/>
      </rPr>
      <t xml:space="preserve">3</t>
    </r>
    <r>
      <rPr>
        <sz val="10"/>
        <rFont val="Noto Sans CJK SC"/>
        <family val="2"/>
      </rPr>
      <t xml:space="preserve">件だけある——</t>
    </r>
    <r>
      <rPr>
        <sz val="10"/>
        <rFont val="Arial"/>
        <family val="0"/>
        <charset val="1"/>
      </rPr>
      <t xml:space="preserve">SCP-1730</t>
    </r>
    <r>
      <rPr>
        <sz val="10"/>
        <rFont val="Noto Sans CJK SC"/>
        <family val="2"/>
      </rPr>
      <t xml:space="preserve">と残り</t>
    </r>
    <r>
      <rPr>
        <sz val="10"/>
        <rFont val="Arial"/>
        <family val="0"/>
        <charset val="1"/>
      </rPr>
      <t xml:space="preserve">2</t>
    </r>
    <r>
      <rPr>
        <sz val="10"/>
        <rFont val="Noto Sans CJK SC"/>
        <family val="2"/>
      </rPr>
      <t xml:space="preserve">件、崩壊の経緯がまったく違う理由を財団は隠している【ショート】</t>
    </r>
  </si>
  <si>
    <r>
      <rPr>
        <sz val="10"/>
        <rFont val="Noto Sans CJK SC"/>
        <family val="2"/>
      </rPr>
      <t xml:space="preserve">一口</t>
    </r>
    <r>
      <rPr>
        <sz val="10"/>
        <rFont val="Arial"/>
        <family val="0"/>
        <charset val="1"/>
      </rPr>
      <t xml:space="preserve">SCP</t>
    </r>
    <r>
      <rPr>
        <sz val="10"/>
        <rFont val="Noto Sans CJK SC"/>
        <family val="2"/>
      </rPr>
      <t xml:space="preserve">：財団自身が『人類は異常存在』と結論した</t>
    </r>
    <r>
      <rPr>
        <sz val="10"/>
        <rFont val="Arial"/>
        <family val="0"/>
        <charset val="1"/>
      </rPr>
      <t xml:space="preserve">17</t>
    </r>
    <r>
      <rPr>
        <sz val="10"/>
        <rFont val="Noto Sans CJK SC"/>
        <family val="2"/>
      </rPr>
      <t xml:space="preserve">年間、この記録は</t>
    </r>
    <r>
      <rPr>
        <sz val="10"/>
        <rFont val="Arial"/>
        <family val="0"/>
        <charset val="1"/>
      </rPr>
      <t xml:space="preserve">[DATA EXPUNGED]</t>
    </r>
    <r>
      <rPr>
        <sz val="10"/>
        <rFont val="Noto Sans CJK SC"/>
        <family val="2"/>
      </rPr>
      <t xml:space="preserve">されていた</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t>
    </r>
    <r>
      <rPr>
        <sz val="10"/>
        <rFont val="Arial"/>
        <family val="0"/>
        <charset val="1"/>
      </rPr>
      <t xml:space="preserve">SCP-5000</t>
    </r>
    <r>
      <rPr>
        <sz val="10"/>
        <rFont val="Noto Sans CJK SC"/>
        <family val="2"/>
      </rPr>
      <t xml:space="preserve">が『人類を殺す』と決定した本当の理由 </t>
    </r>
    <r>
      <rPr>
        <sz val="10"/>
        <rFont val="Arial"/>
        <family val="0"/>
        <charset val="1"/>
      </rPr>
      <t xml:space="preserve">#sho</t>
    </r>
  </si>
  <si>
    <r>
      <rPr>
        <sz val="10"/>
        <rFont val="Arial"/>
        <family val="0"/>
        <charset val="1"/>
      </rPr>
      <t xml:space="preserve">SCP-1425</t>
    </r>
    <r>
      <rPr>
        <sz val="10"/>
        <rFont val="Noto Sans CJK SC"/>
        <family val="2"/>
      </rPr>
      <t xml:space="preserve">「星の歌」— この動画を最後まで見た人が、なぜか全員同じ夢を見る理由【ショート】</t>
    </r>
  </si>
  <si>
    <r>
      <rPr>
        <sz val="10"/>
        <rFont val="Arial"/>
        <family val="0"/>
        <charset val="1"/>
      </rPr>
      <t xml:space="preserve">SCP-3003</t>
    </r>
    <r>
      <rPr>
        <sz val="10"/>
        <rFont val="Noto Sans CJK SC"/>
        <family val="2"/>
      </rPr>
      <t xml:space="preserve">「失われた電源」— 財団が封印した異常技術、収容室の外に出た記録が存在する【ショート】</t>
    </r>
  </si>
  <si>
    <r>
      <rPr>
        <sz val="10"/>
        <rFont val="Arial"/>
        <family val="0"/>
        <charset val="1"/>
      </rPr>
      <t xml:space="preserve">SCP-701</t>
    </r>
    <r>
      <rPr>
        <sz val="10"/>
        <rFont val="Noto Sans CJK SC"/>
        <family val="2"/>
      </rPr>
      <t xml:space="preserve">「吊られた王の悲劇」— 上演記録</t>
    </r>
    <r>
      <rPr>
        <sz val="10"/>
        <rFont val="Arial"/>
        <family val="0"/>
        <charset val="1"/>
      </rPr>
      <t xml:space="preserve">14</t>
    </r>
    <r>
      <rPr>
        <sz val="10"/>
        <rFont val="Noto Sans CJK SC"/>
        <family val="2"/>
      </rPr>
      <t xml:space="preserve">件、観客の生存率は</t>
    </r>
    <r>
      <rPr>
        <sz val="10"/>
        <rFont val="Arial"/>
        <family val="0"/>
        <charset val="1"/>
      </rPr>
      <t xml:space="preserve">21%</t>
    </r>
    <r>
      <rPr>
        <sz val="10"/>
        <rFont val="Noto Sans CJK SC"/>
        <family val="2"/>
      </rPr>
      <t xml:space="preserve">【ショート】</t>
    </r>
  </si>
  <si>
    <r>
      <rPr>
        <sz val="10"/>
        <rFont val="Noto Sans CJK SC"/>
        <family val="2"/>
      </rPr>
      <t xml:space="preserve">一口</t>
    </r>
    <r>
      <rPr>
        <sz val="10"/>
        <rFont val="Arial"/>
        <family val="0"/>
        <charset val="1"/>
      </rPr>
      <t xml:space="preserve">SCP</t>
    </r>
    <r>
      <rPr>
        <sz val="10"/>
        <rFont val="Noto Sans CJK SC"/>
        <family val="2"/>
      </rPr>
      <t xml:space="preserve">：視線を外すと命が狙われる。</t>
    </r>
    <r>
      <rPr>
        <sz val="10"/>
        <rFont val="Arial"/>
        <family val="0"/>
        <charset val="1"/>
      </rPr>
      <t xml:space="preserve">SCP-173</t>
    </r>
    <r>
      <rPr>
        <sz val="10"/>
        <rFont val="Noto Sans CJK SC"/>
        <family val="2"/>
      </rPr>
      <t xml:space="preserve">、油断した瞬間が命取り。</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秒で命が奪われる恐怖。</t>
    </r>
    <r>
      <rPr>
        <sz val="10"/>
        <rFont val="Arial"/>
        <family val="0"/>
        <charset val="1"/>
      </rPr>
      <t xml:space="preserve">SCP-173</t>
    </r>
    <r>
      <rPr>
        <sz val="10"/>
        <rFont val="Noto Sans CJK SC"/>
        <family val="2"/>
      </rPr>
      <t xml:space="preserve">が収容室で起こす異常な現象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</si>
  <si>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：飲んだ翌日、自分の名前を忘れる財団の収容が</t>
    </r>
    <r>
      <rPr>
        <sz val="10"/>
        <rFont val="Arial"/>
        <family val="0"/>
        <charset val="1"/>
      </rPr>
      <t xml:space="preserve">3</t>
    </r>
    <r>
      <rPr>
        <sz val="10"/>
        <rFont val="Noto Sans CJK SC"/>
        <family val="2"/>
      </rPr>
      <t xml:space="preserve">度破綻した理由</t>
    </r>
    <r>
      <rPr>
        <sz val="10"/>
        <rFont val="Arial"/>
        <family val="0"/>
        <charset val="1"/>
      </rPr>
      <t xml:space="preserve">#</t>
    </r>
    <r>
      <rPr>
        <sz val="10"/>
        <rFont val="Noto Sans CJK SC"/>
        <family val="2"/>
      </rPr>
      <t xml:space="preserve">その水を飲んだ研究員が、翌朝『自分の名前』を忘れていた。財団が隠し続ける</t>
    </r>
    <r>
      <rPr>
        <sz val="10"/>
        <rFont val="Arial"/>
        <family val="0"/>
        <charset val="1"/>
      </rPr>
      <t xml:space="preserve">SCP-2050</t>
    </r>
    <r>
      <rPr>
        <sz val="10"/>
        <rFont val="Noto Sans CJK SC"/>
        <family val="2"/>
      </rPr>
      <t xml:space="preserve">「忘却の水」の収容破綻記録 </t>
    </r>
    <r>
      <rPr>
        <sz val="10"/>
        <rFont val="Arial"/>
        <family val="0"/>
        <charset val="1"/>
      </rPr>
      <t xml:space="preserve">#short</t>
    </r>
  </si>
  <si>
    <r>
      <rPr>
        <sz val="10"/>
        <rFont val="Arial"/>
        <family val="0"/>
        <charset val="1"/>
      </rPr>
      <t xml:space="preserve">SCP-055</t>
    </r>
    <r>
      <rPr>
        <sz val="10"/>
        <rFont val="Noto Sans CJK SC"/>
        <family val="2"/>
      </rPr>
      <t xml:space="preserve">の報告書に残った奇妙な空欄とは？【ショート】</t>
    </r>
  </si>
  <si>
    <r>
      <rPr>
        <sz val="10"/>
        <rFont val="Arial"/>
        <family val="0"/>
        <charset val="1"/>
      </rPr>
      <t xml:space="preserve">SCP-2525</t>
    </r>
    <r>
      <rPr>
        <sz val="10"/>
        <rFont val="Noto Sans CJK SC"/>
        <family val="2"/>
      </rPr>
      <t xml:space="preserve">「異常なゲーム」— 死亡記録</t>
    </r>
    <r>
      <rPr>
        <sz val="10"/>
        <rFont val="Arial"/>
        <family val="0"/>
        <charset val="1"/>
      </rPr>
      <t xml:space="preserve">23</t>
    </r>
    <r>
      <rPr>
        <sz val="10"/>
        <rFont val="Noto Sans CJK SC"/>
        <family val="2"/>
      </rPr>
      <t xml:space="preserve">件、勝利条件は未達成【ショート】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</si>
  <si>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名が</t>
    </r>
    <r>
      <rPr>
        <sz val="10"/>
        <rFont val="Arial"/>
        <family val="0"/>
        <charset val="1"/>
      </rPr>
      <t xml:space="preserve">72</t>
    </r>
    <r>
      <rPr>
        <sz val="10"/>
        <rFont val="Noto Sans CJK SC"/>
        <family val="2"/>
      </rPr>
      <t xml:space="preserve">時間以内に消えた財団が封印した「建物の悪夢」の正体</t>
    </r>
    <r>
      <rPr>
        <sz val="10"/>
        <rFont val="Arial"/>
        <family val="0"/>
        <charset val="1"/>
      </rPr>
      <t xml:space="preserve">#SCP-015</t>
    </r>
    <r>
      <rPr>
        <sz val="10"/>
        <rFont val="Noto Sans CJK SC"/>
        <family val="2"/>
      </rPr>
      <t xml:space="preserve">に入った</t>
    </r>
    <r>
      <rPr>
        <sz val="10"/>
        <rFont val="Arial"/>
        <family val="0"/>
        <charset val="1"/>
      </rPr>
      <t xml:space="preserve">17</t>
    </r>
    <r>
      <rPr>
        <sz val="10"/>
        <rFont val="Noto Sans CJK SC"/>
        <family val="2"/>
      </rPr>
      <t xml:space="preserve">名の職員が</t>
    </r>
    <r>
      <rPr>
        <sz val="10"/>
        <rFont val="Arial"/>
        <family val="0"/>
        <charset val="1"/>
      </rPr>
      <t xml:space="preserve">72</t>
    </r>
    <r>
      <rPr>
        <sz val="10"/>
        <rFont val="Noto Sans CJK SC"/>
        <family val="2"/>
      </rPr>
      <t xml:space="preserve">時間以内に消えた——財団が封印し続ける「建物の悪夢」の本当の理由 </t>
    </r>
    <r>
      <rPr>
        <sz val="10"/>
        <rFont val="Arial"/>
        <family val="0"/>
        <charset val="1"/>
      </rPr>
      <t xml:space="preserve">#shorts #</t>
    </r>
  </si>
  <si>
    <r>
      <rPr>
        <sz val="10"/>
        <rFont val="Noto Sans CJK SC"/>
        <family val="2"/>
      </rPr>
      <t xml:space="preserve">財団が</t>
    </r>
    <r>
      <rPr>
        <sz val="10"/>
        <rFont val="Arial"/>
        <family val="0"/>
        <charset val="1"/>
      </rPr>
      <t xml:space="preserve">31</t>
    </r>
    <r>
      <rPr>
        <sz val="10"/>
        <rFont val="Noto Sans CJK SC"/>
        <family val="2"/>
      </rPr>
      <t xml:space="preserve">回の接触実験で隠し続けた</t>
    </r>
    <r>
      <rPr>
        <sz val="10"/>
        <rFont val="Arial"/>
        <family val="0"/>
        <charset val="1"/>
      </rPr>
      <t xml:space="preserve">SCP-198</t>
    </r>
    <r>
      <rPr>
        <sz val="10"/>
        <rFont val="Noto Sans CJK SC"/>
        <family val="2"/>
      </rPr>
      <t xml:space="preserve">の正体——回収不能になった</t>
    </r>
    <r>
      <rPr>
        <sz val="10"/>
        <rFont val="Arial"/>
        <family val="0"/>
        <charset val="1"/>
      </rPr>
      <t xml:space="preserve">12</t>
    </r>
    <r>
      <rPr>
        <sz val="10"/>
        <rFont val="Noto Sans CJK SC"/>
        <family val="2"/>
      </rPr>
      <t xml:space="preserve">名は今どこにいるのか【ショート】</t>
    </r>
  </si>
  <si>
    <r>
      <rPr>
        <sz val="10"/>
        <rFont val="Noto Sans CJK SC"/>
        <family val="2"/>
      </rPr>
      <t xml:space="preserve">一口</t>
    </r>
    <r>
      <rPr>
        <sz val="10"/>
        <rFont val="Arial"/>
        <family val="0"/>
        <charset val="1"/>
      </rPr>
      <t xml:space="preserve">SCP</t>
    </r>
    <r>
      <rPr>
        <sz val="10"/>
        <rFont val="Noto Sans CJK SC"/>
        <family val="2"/>
      </rPr>
      <t xml:space="preserve">：閲覧実験</t>
    </r>
    <r>
      <rPr>
        <sz val="10"/>
        <rFont val="Arial"/>
        <family val="0"/>
        <charset val="1"/>
      </rPr>
      <t xml:space="preserve">6</t>
    </r>
    <r>
      <rPr>
        <sz val="10"/>
        <rFont val="Noto Sans CJK SC"/>
        <family val="2"/>
      </rPr>
      <t xml:space="preserve">件 </t>
    </r>
    <r>
      <rPr>
        <sz val="10"/>
        <rFont val="Arial"/>
        <family val="0"/>
        <charset val="1"/>
      </rPr>
      <t xml:space="preserve">/ </t>
    </r>
    <r>
      <rPr>
        <sz val="10"/>
        <rFont val="Noto Sans CJK SC"/>
        <family val="2"/>
      </rPr>
      <t xml:space="preserve">帰還者</t>
    </r>
    <r>
      <rPr>
        <sz val="10"/>
        <rFont val="Arial"/>
        <family val="0"/>
        <charset val="1"/>
      </rPr>
      <t xml:space="preserve">0</t>
    </r>
    <r>
      <rPr>
        <sz val="10"/>
        <rFont val="Noto Sans CJK SC"/>
        <family val="2"/>
      </rPr>
      <t xml:space="preserve">名【これが最後の通信記録だ】</t>
    </r>
    <r>
      <rPr>
        <sz val="10"/>
        <rFont val="Arial"/>
        <family val="0"/>
        <charset val="1"/>
      </rPr>
      <t xml:space="preserve">#</t>
    </r>
    <r>
      <rPr>
        <sz val="10"/>
        <rFont val="Noto Sans CJK SC"/>
        <family val="2"/>
      </rPr>
      <t xml:space="preserve">財団が</t>
    </r>
    <r>
      <rPr>
        <sz val="10"/>
        <rFont val="Arial"/>
        <family val="0"/>
        <charset val="1"/>
      </rPr>
      <t xml:space="preserve">6</t>
    </r>
    <r>
      <rPr>
        <sz val="10"/>
        <rFont val="Noto Sans CJK SC"/>
        <family val="2"/>
      </rPr>
      <t xml:space="preserve">年間封印した</t>
    </r>
    <r>
      <rPr>
        <sz val="10"/>
        <rFont val="Arial"/>
        <family val="0"/>
        <charset val="1"/>
      </rPr>
      <t xml:space="preserve">SCP-3007</t>
    </r>
    <r>
      <rPr>
        <sz val="10"/>
        <rFont val="Noto Sans CJK SC"/>
        <family val="2"/>
      </rPr>
      <t xml:space="preserve">「世界の終わりを描く絵」— 閲覧実験</t>
    </r>
    <r>
      <rPr>
        <sz val="10"/>
        <rFont val="Arial"/>
        <family val="0"/>
        <charset val="1"/>
      </rPr>
      <t xml:space="preserve">6</t>
    </r>
    <r>
      <rPr>
        <sz val="10"/>
        <rFont val="Noto Sans CJK SC"/>
        <family val="2"/>
      </rPr>
      <t xml:space="preserve">件、帰還できた職員は</t>
    </r>
    <r>
      <rPr>
        <sz val="10"/>
        <rFont val="Arial"/>
        <family val="0"/>
        <charset val="1"/>
      </rPr>
      <t xml:space="preserve">0</t>
    </r>
    <r>
      <rPr>
        <sz val="10"/>
        <rFont val="Noto Sans CJK SC"/>
        <family val="2"/>
      </rPr>
      <t xml:space="preserve">名の真実 </t>
    </r>
    <r>
      <rPr>
        <sz val="10"/>
        <rFont val="Arial"/>
        <family val="0"/>
        <charset val="1"/>
      </rPr>
      <t xml:space="preserve">#shorts #</t>
    </r>
    <r>
      <rPr>
        <sz val="10"/>
        <rFont val="Noto Sans CJK SC"/>
        <family val="2"/>
      </rPr>
      <t xml:space="preserve">ゆっくり</t>
    </r>
  </si>
  <si>
    <r>
      <rPr>
        <sz val="10"/>
        <rFont val="Noto Sans CJK SC"/>
        <family val="2"/>
      </rPr>
      <t xml:space="preserve">一口</t>
    </r>
    <r>
      <rPr>
        <sz val="10"/>
        <rFont val="Arial"/>
        <family val="0"/>
        <charset val="1"/>
      </rPr>
      <t xml:space="preserve">SCP</t>
    </r>
    <r>
      <rPr>
        <sz val="10"/>
        <rFont val="Noto Sans CJK SC"/>
        <family val="2"/>
      </rPr>
      <t xml:space="preserve">：収容違反：</t>
    </r>
    <r>
      <rPr>
        <sz val="10"/>
        <rFont val="Arial"/>
        <family val="0"/>
        <charset val="1"/>
      </rPr>
      <t xml:space="preserve">23</t>
    </r>
    <r>
      <rPr>
        <sz val="10"/>
        <rFont val="Noto Sans CJK SC"/>
        <family val="2"/>
      </rPr>
      <t xml:space="preserve">名消滅遺体も血痕も残っていない</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年間封印した「デジタルの監獄」— 収容違反で消えた研究員</t>
    </r>
    <r>
      <rPr>
        <sz val="10"/>
        <rFont val="Arial"/>
        <family val="0"/>
        <charset val="1"/>
      </rPr>
      <t xml:space="preserve">23</t>
    </r>
    <r>
      <rPr>
        <sz val="10"/>
        <rFont val="Noto Sans CJK SC"/>
        <family val="2"/>
      </rPr>
      <t xml:space="preserve">名の正体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</si>
  <si>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財団が封印した感染者</t>
    </r>
    <r>
      <rPr>
        <sz val="10"/>
        <rFont val="Arial"/>
        <family val="0"/>
        <charset val="1"/>
      </rPr>
      <t xml:space="preserve">389</t>
    </r>
    <r>
      <rPr>
        <sz val="10"/>
        <rFont val="Noto Sans CJK SC"/>
        <family val="2"/>
      </rPr>
      <t xml:space="preserve">名の村、帰還者</t>
    </r>
    <r>
      <rPr>
        <sz val="10"/>
        <rFont val="Arial"/>
        <family val="0"/>
        <charset val="1"/>
      </rPr>
      <t xml:space="preserve">2</t>
    </r>
    <r>
      <rPr>
        <sz val="10"/>
        <rFont val="Noto Sans CJK SC"/>
        <family val="2"/>
      </rPr>
      <t xml:space="preserve">名だけが見た本当の理由【ショート】</t>
    </r>
  </si>
  <si>
    <r>
      <rPr>
        <sz val="10"/>
        <rFont val="Noto Sans CJK SC"/>
        <family val="2"/>
      </rPr>
      <t xml:space="preserve">財団が</t>
    </r>
    <r>
      <rPr>
        <sz val="10"/>
        <rFont val="Arial"/>
        <family val="0"/>
        <charset val="1"/>
      </rPr>
      <t xml:space="preserve">23</t>
    </r>
    <r>
      <rPr>
        <sz val="10"/>
        <rFont val="Noto Sans CJK SC"/>
        <family val="2"/>
      </rPr>
      <t xml:space="preserve">年間隠し続けた接近者</t>
    </r>
    <r>
      <rPr>
        <sz val="10"/>
        <rFont val="Arial"/>
        <family val="0"/>
        <charset val="1"/>
      </rPr>
      <t xml:space="preserve">19</t>
    </r>
    <r>
      <rPr>
        <sz val="10"/>
        <rFont val="Noto Sans CJK SC"/>
        <family val="2"/>
      </rPr>
      <t xml:space="preserve">名・生存率</t>
    </r>
    <r>
      <rPr>
        <sz val="10"/>
        <rFont val="Arial"/>
        <family val="0"/>
        <charset val="1"/>
      </rPr>
      <t xml:space="preserve">0%——</t>
    </r>
    <r>
      <rPr>
        <sz val="10"/>
        <rFont val="Noto Sans CJK SC"/>
        <family val="2"/>
      </rPr>
      <t xml:space="preserve">湖で名前を失った本当の理由【ショート】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</si>
  <si>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：財団が隠し続けた目を離した瞬間、襲われる</t>
    </r>
    <r>
      <rPr>
        <sz val="10"/>
        <rFont val="Arial"/>
        <family val="0"/>
        <charset val="1"/>
      </rPr>
      <t xml:space="preserve">#</t>
    </r>
    <r>
      <rPr>
        <sz val="10"/>
        <rFont val="Noto Sans CJK SC"/>
        <family val="2"/>
      </rPr>
      <t xml:space="preserve">目を離した瞬間、電流が襲う—財団が隠した『電子工作の悪夢』の正体 </t>
    </r>
    <r>
      <rPr>
        <sz val="10"/>
        <rFont val="Arial"/>
        <family val="0"/>
        <charset val="1"/>
      </rPr>
      <t xml:space="preserve">#shorts #</t>
    </r>
    <r>
      <rPr>
        <sz val="10"/>
        <rFont val="Noto Sans CJK SC"/>
        <family val="2"/>
      </rPr>
      <t xml:space="preserve">ゆっくり解説</t>
    </r>
  </si>
  <si>
    <r>
      <rPr>
        <sz val="10"/>
        <rFont val="Noto Sans CJK SC"/>
        <family val="2"/>
      </rPr>
      <t xml:space="preserve">財団が</t>
    </r>
    <r>
      <rPr>
        <sz val="10"/>
        <rFont val="Arial"/>
        <family val="0"/>
        <charset val="1"/>
      </rPr>
      <t xml:space="preserve">23</t>
    </r>
    <r>
      <rPr>
        <sz val="10"/>
        <rFont val="Noto Sans CJK SC"/>
        <family val="2"/>
      </rPr>
      <t xml:space="preserve">年間隠し続けた、</t>
    </r>
    <r>
      <rPr>
        <sz val="10"/>
        <rFont val="Arial"/>
        <family val="0"/>
        <charset val="1"/>
      </rPr>
      <t xml:space="preserve">41</t>
    </r>
    <r>
      <rPr>
        <sz val="10"/>
        <rFont val="Noto Sans CJK SC"/>
        <family val="2"/>
      </rPr>
      <t xml:space="preserve">名が消えた「増え続ける部屋」の本当の理由【ショート】</t>
    </r>
  </si>
  <si>
    <r>
      <rPr>
        <sz val="10"/>
        <rFont val="Noto Sans CJK SC"/>
        <family val="2"/>
      </rPr>
      <t xml:space="preserve">一口</t>
    </r>
    <r>
      <rPr>
        <sz val="10"/>
        <rFont val="Arial"/>
        <family val="0"/>
        <charset val="1"/>
      </rPr>
      <t xml:space="preserve">SCP</t>
    </r>
    <r>
      <rPr>
        <sz val="10"/>
        <rFont val="Noto Sans CJK SC"/>
        <family val="2"/>
      </rPr>
      <t xml:space="preserve">：収容違反から</t>
    </r>
    <r>
      <rPr>
        <sz val="10"/>
        <rFont val="Arial"/>
        <family val="0"/>
        <charset val="1"/>
      </rPr>
      <t xml:space="preserve">3</t>
    </r>
    <r>
      <rPr>
        <sz val="10"/>
        <rFont val="Noto Sans CJK SC"/>
        <family val="2"/>
      </rPr>
      <t xml:space="preserve">時間／生存者</t>
    </r>
    <r>
      <rPr>
        <sz val="10"/>
        <rFont val="Arial"/>
        <family val="0"/>
        <charset val="1"/>
      </rPr>
      <t xml:space="preserve">0</t>
    </r>
    <r>
      <rPr>
        <sz val="10"/>
        <rFont val="Noto Sans CJK SC"/>
        <family val="2"/>
      </rPr>
      <t xml:space="preserve">名財団が封印した『回路の悪夢』</t>
    </r>
    <r>
      <rPr>
        <sz val="10"/>
        <rFont val="Arial"/>
        <family val="0"/>
        <charset val="1"/>
      </rPr>
      <t xml:space="preserve">#</t>
    </r>
    <r>
      <rPr>
        <sz val="10"/>
        <rFont val="Noto Sans CJK SC"/>
        <family val="2"/>
      </rPr>
      <t xml:space="preserve">電子工作中に</t>
    </r>
    <r>
      <rPr>
        <sz val="10"/>
        <rFont val="Arial"/>
        <family val="0"/>
        <charset val="1"/>
      </rPr>
      <t xml:space="preserve">17</t>
    </r>
    <r>
      <rPr>
        <sz val="10"/>
        <rFont val="Noto Sans CJK SC"/>
        <family val="2"/>
      </rPr>
      <t xml:space="preserve">名が消えた——財団が「あの部品」を封印した本当の理由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</si>
  <si>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電子工作で</t>
    </r>
    <r>
      <rPr>
        <sz val="10"/>
        <rFont val="Arial"/>
        <family val="0"/>
        <charset val="1"/>
      </rPr>
      <t xml:space="preserve">7</t>
    </r>
    <r>
      <rPr>
        <sz val="10"/>
        <rFont val="Noto Sans CJK SC"/>
        <family val="2"/>
      </rPr>
      <t xml:space="preserve">人消えた…財団が封印した『悪夢の回路』だけ異常すぎる理由【ショート】</t>
    </r>
  </si>
  <si>
    <r>
      <rPr>
        <sz val="10"/>
        <rFont val="Noto Sans CJK SC"/>
        <family val="2"/>
      </rPr>
      <t xml:space="preserve">一口</t>
    </r>
    <r>
      <rPr>
        <sz val="10"/>
        <rFont val="Arial"/>
        <family val="0"/>
        <charset val="1"/>
      </rPr>
      <t xml:space="preserve">SCP</t>
    </r>
    <r>
      <rPr>
        <sz val="10"/>
        <rFont val="Noto Sans CJK SC"/>
        <family val="2"/>
      </rPr>
      <t xml:space="preserve">：異常な図書館が消える理由とは？記憶を奪う書物が存在する？</t>
    </r>
    <r>
      <rPr>
        <sz val="10"/>
        <rFont val="Arial"/>
        <family val="0"/>
        <charset val="1"/>
      </rPr>
      <t xml:space="preserve">#SCP-1618</t>
    </r>
    <r>
      <rPr>
        <sz val="10"/>
        <rFont val="Noto Sans CJK SC"/>
        <family val="2"/>
      </rPr>
      <t xml:space="preserve">「消える図書館」の謎：財団が隠す異常な本の正体 </t>
    </r>
    <r>
      <rPr>
        <sz val="10"/>
        <rFont val="Arial"/>
        <family val="0"/>
        <charset val="1"/>
      </rPr>
      <t xml:space="preserve">#shorts #</t>
    </r>
    <r>
      <rPr>
        <sz val="10"/>
        <rFont val="Noto Sans CJK SC"/>
        <family val="2"/>
      </rPr>
      <t xml:space="preserve">ゆっくり解説</t>
    </r>
  </si>
  <si>
    <r>
      <rPr>
        <sz val="10"/>
        <rFont val="Arial"/>
        <family val="0"/>
        <charset val="1"/>
      </rPr>
      <t xml:space="preserve">SCP-871</t>
    </r>
    <r>
      <rPr>
        <sz val="10"/>
        <rFont val="Noto Sans CJK SC"/>
        <family val="2"/>
      </rPr>
      <t xml:space="preserve">「自己複製するケーキ」を</t>
    </r>
    <r>
      <rPr>
        <sz val="10"/>
        <rFont val="Arial"/>
        <family val="0"/>
        <charset val="1"/>
      </rPr>
      <t xml:space="preserve">SCP-914</t>
    </r>
    <r>
      <rPr>
        <sz val="10"/>
        <rFont val="Noto Sans CJK SC"/>
        <family val="2"/>
      </rPr>
      <t xml:space="preserve">で魔改造したら——財団が封印した実験ログの結末【ショート】</t>
    </r>
  </si>
  <si>
    <r>
      <rPr>
        <sz val="10"/>
        <rFont val="Noto Sans CJK SC"/>
        <family val="2"/>
      </rPr>
      <t xml:space="preserve">一口</t>
    </r>
    <r>
      <rPr>
        <sz val="10"/>
        <rFont val="Arial"/>
        <family val="0"/>
        <charset val="1"/>
      </rPr>
      <t xml:space="preserve">SCP</t>
    </r>
    <r>
      <rPr>
        <sz val="10"/>
        <rFont val="Noto Sans CJK SC"/>
        <family val="2"/>
      </rPr>
      <t xml:space="preserve">：財団が人類を殲滅する側に</t>
    </r>
    <r>
      <rPr>
        <sz val="10"/>
        <rFont val="Arial"/>
        <family val="0"/>
        <charset val="1"/>
      </rPr>
      <t xml:space="preserve">!?</t>
    </r>
    <r>
      <rPr>
        <sz val="10"/>
        <rFont val="Noto Sans CJK SC"/>
        <family val="2"/>
      </rPr>
      <t xml:space="preserve">隠された提言が今、暴かれる</t>
    </r>
    <r>
      <rPr>
        <sz val="10"/>
        <rFont val="Arial"/>
        <family val="0"/>
        <charset val="1"/>
      </rPr>
      <t xml:space="preserve">#</t>
    </r>
    <r>
      <rPr>
        <sz val="10"/>
        <rFont val="Noto Sans CJK SC"/>
        <family val="2"/>
      </rPr>
      <t xml:space="preserve">財団が隠した『人類殲滅提言』の真実とは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</si>
  <si>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：財団が消した施設…あなたの隣にあるかもしれない</t>
    </r>
    <r>
      <rPr>
        <sz val="10"/>
        <rFont val="Arial"/>
        <family val="0"/>
        <charset val="1"/>
      </rPr>
      <t xml:space="preserve">#</t>
    </r>
    <r>
      <rPr>
        <sz val="10"/>
        <rFont val="Noto Sans CJK SC"/>
        <family val="2"/>
      </rPr>
      <t xml:space="preserve">消えた日本の財団施設…その真相に迫る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</si>
  <si>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t>
    </r>
    <r>
      <rPr>
        <sz val="10"/>
        <rFont val="Arial"/>
        <family val="0"/>
        <charset val="1"/>
      </rPr>
      <t xml:space="preserve">0.3</t>
    </r>
    <r>
      <rPr>
        <sz val="10"/>
        <rFont val="Noto Sans CJK SC"/>
        <family val="2"/>
      </rPr>
      <t xml:space="preserve">秒で殺される財団が隠し続けた『最初の異常存在』</t>
    </r>
    <r>
      <rPr>
        <sz val="10"/>
        <rFont val="Arial"/>
        <family val="0"/>
        <charset val="1"/>
      </rPr>
      <t xml:space="preserve">#</t>
    </r>
    <r>
      <rPr>
        <sz val="10"/>
        <rFont val="Noto Sans CJK SC"/>
        <family val="2"/>
      </rPr>
      <t xml:space="preserve">目を離した瞬間、首が折れる。</t>
    </r>
    <r>
      <rPr>
        <sz val="10"/>
        <rFont val="Arial"/>
        <family val="0"/>
        <charset val="1"/>
      </rPr>
      <t xml:space="preserve">SCP-173</t>
    </r>
    <r>
      <rPr>
        <sz val="10"/>
        <rFont val="Noto Sans CJK SC"/>
        <family val="2"/>
      </rPr>
      <t xml:space="preserve">が財団史上最初に収容された本当の理由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</si>
  <si>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：目を離したら…理解不能な恐怖が迫る</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秒で命を奪う</t>
    </r>
    <r>
      <rPr>
        <sz val="10"/>
        <rFont val="Arial"/>
        <family val="0"/>
        <charset val="1"/>
      </rPr>
      <t xml:space="preserve">SCP-173</t>
    </r>
    <r>
      <rPr>
        <sz val="10"/>
        <rFont val="Noto Sans CJK SC"/>
        <family val="2"/>
      </rPr>
      <t xml:space="preserve">の恐怖、その背後に潜む真実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</si>
  <si>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：瞬きの、その一瞬で首が折れる</t>
    </r>
    <r>
      <rPr>
        <sz val="10"/>
        <rFont val="Arial"/>
        <family val="0"/>
        <charset val="1"/>
      </rPr>
      <t xml:space="preserve">#SCP-173</t>
    </r>
    <r>
      <rPr>
        <sz val="10"/>
        <rFont val="Noto Sans CJK SC"/>
        <family val="2"/>
      </rPr>
      <t xml:space="preserve">【それは、瞬きの間に】視線を外した</t>
    </r>
    <r>
      <rPr>
        <sz val="10"/>
        <rFont val="Arial"/>
        <family val="0"/>
        <charset val="1"/>
      </rPr>
      <t xml:space="preserve">0.3</t>
    </r>
    <r>
      <rPr>
        <sz val="10"/>
        <rFont val="Noto Sans CJK SC"/>
        <family val="2"/>
      </rPr>
      <t xml:space="preserve">秒で何が起きるのか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</si>
  <si>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：孤独な瞬間にだけ現れる</t>
    </r>
    <r>
      <rPr>
        <sz val="10"/>
        <rFont val="Arial"/>
        <family val="0"/>
        <charset val="1"/>
      </rPr>
      <t xml:space="preserve">SCP</t>
    </r>
    <r>
      <rPr>
        <sz val="10"/>
        <rFont val="Noto Sans CJK SC"/>
        <family val="2"/>
      </rPr>
      <t xml:space="preserve">の正体</t>
    </r>
    <r>
      <rPr>
        <sz val="10"/>
        <rFont val="Arial"/>
        <family val="0"/>
        <charset val="1"/>
      </rPr>
      <t xml:space="preserve">#</t>
    </r>
    <r>
      <rPr>
        <sz val="10"/>
        <rFont val="Noto Sans CJK SC"/>
        <family val="2"/>
      </rPr>
      <t xml:space="preserve">孤独な瞬間にだけ現れる</t>
    </r>
    <r>
      <rPr>
        <sz val="10"/>
        <rFont val="Arial"/>
        <family val="0"/>
        <charset val="1"/>
      </rPr>
      <t xml:space="preserve">SCP</t>
    </r>
    <r>
      <rPr>
        <sz val="10"/>
        <rFont val="Noto Sans CJK SC"/>
        <family val="2"/>
      </rPr>
      <t xml:space="preserve">の本当の理由——財団が隠した切ない真実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</si>
  <si>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：あなたはまだその真相を知らない実は恐ろしい誤解があった</t>
    </r>
    <r>
      <rPr>
        <sz val="10"/>
        <rFont val="Arial"/>
        <family val="0"/>
        <charset val="1"/>
      </rPr>
      <t xml:space="preserve">#99%</t>
    </r>
    <r>
      <rPr>
        <sz val="10"/>
        <rFont val="Noto Sans CJK SC"/>
        <family val="2"/>
      </rPr>
      <t xml:space="preserve">の人が誤解する</t>
    </r>
    <r>
      <rPr>
        <sz val="10"/>
        <rFont val="Arial"/>
        <family val="0"/>
        <charset val="1"/>
      </rPr>
      <t xml:space="preserve">SCP-9999</t>
    </r>
    <r>
      <rPr>
        <sz val="10"/>
        <rFont val="Noto Sans CJK SC"/>
        <family val="2"/>
      </rPr>
      <t xml:space="preserve">の恐怖 — 財団が隠した真実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</si>
  <si>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：目を離すな瞬きすら、許されない</t>
    </r>
    <r>
      <rPr>
        <sz val="10"/>
        <rFont val="Arial"/>
        <family val="0"/>
        <charset val="1"/>
      </rPr>
      <t xml:space="preserve">#SCP-173</t>
    </r>
    <r>
      <rPr>
        <sz val="10"/>
        <rFont val="Noto Sans CJK SC"/>
        <family val="2"/>
      </rPr>
      <t xml:space="preserve">【それは、瞬きの間に】目を離した瞬間に何かが起きている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</si>
  <si>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：施設ごと消えた——記録も、職員も、存在した痕跡さえも財団の収容プロトコルと『現実の隠蔽』は、なぜこんなにも同じ構造をしているのか</t>
    </r>
    <r>
      <rPr>
        <sz val="10"/>
        <rFont val="Arial"/>
        <family val="0"/>
        <charset val="1"/>
      </rPr>
      <t xml:space="preserve">#</t>
    </r>
    <r>
      <rPr>
        <sz val="10"/>
        <rFont val="Noto Sans CJK SC"/>
        <family val="2"/>
      </rPr>
      <t xml:space="preserve">財団が封印した『消えた施設』——日本国内に実在した</t>
    </r>
    <r>
      <rPr>
        <sz val="10"/>
        <rFont val="Arial"/>
        <family val="0"/>
        <charset val="1"/>
      </rPr>
      <t xml:space="preserve">3</t>
    </r>
    <r>
      <rPr>
        <sz val="10"/>
        <rFont val="Noto Sans CJK SC"/>
        <family val="2"/>
      </rPr>
      <t xml:space="preserve">件の記</t>
    </r>
  </si>
  <si>
    <r>
      <rPr>
        <sz val="10"/>
        <rFont val="Arial"/>
        <family val="0"/>
        <charset val="1"/>
      </rPr>
      <t xml:space="preserve">GOC</t>
    </r>
    <r>
      <rPr>
        <sz val="10"/>
        <rFont val="Noto Sans CJK SC"/>
        <family val="2"/>
      </rPr>
      <t xml:space="preserve">と蛇の手の真実 — 異常存在に対する戦略の謎【ショート】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</si>
  <si>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：目を離した瞬間、死ぬ財団収容室・機密映像より</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秒で、なぜ首が折れるのか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</si>
  <si>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：財団のデータベースが、上書きされている</t>
    </r>
    <r>
      <rPr>
        <sz val="10"/>
        <rFont val="Arial"/>
        <family val="0"/>
        <charset val="1"/>
      </rPr>
      <t xml:space="preserve">SCP-3812</t>
    </r>
    <r>
      <rPr>
        <sz val="10"/>
        <rFont val="Noto Sans CJK SC"/>
        <family val="2"/>
      </rPr>
      <t xml:space="preserve">は『収容』という概念すら超えた</t>
    </r>
    <r>
      <rPr>
        <sz val="10"/>
        <rFont val="Arial"/>
        <family val="0"/>
        <charset val="1"/>
      </rPr>
      <t xml:space="preserve">#SCP-3812</t>
    </r>
    <r>
      <rPr>
        <sz val="10"/>
        <rFont val="Noto Sans CJK SC"/>
        <family val="2"/>
      </rPr>
      <t xml:space="preserve">【財団の記録が、消えていく】なぜ収容プロトコルが原理的に存在できないのか </t>
    </r>
    <r>
      <rPr>
        <sz val="10"/>
        <rFont val="Arial"/>
        <family val="0"/>
        <charset val="1"/>
      </rPr>
      <t xml:space="preserve">#short</t>
    </r>
  </si>
  <si>
    <r>
      <rPr>
        <sz val="10"/>
        <rFont val="Noto Sans CJK SC"/>
        <family val="2"/>
      </rPr>
      <t xml:space="preserve">一口</t>
    </r>
    <r>
      <rPr>
        <sz val="10"/>
        <rFont val="Arial"/>
        <family val="0"/>
        <charset val="1"/>
      </rPr>
      <t xml:space="preserve">SCP</t>
    </r>
    <r>
      <rPr>
        <sz val="10"/>
        <rFont val="Noto Sans CJK SC"/>
        <family val="2"/>
      </rPr>
      <t xml:space="preserve">：目を離した瞬間に動く財団収容記録：機密レベル最高</t>
    </r>
    <r>
      <rPr>
        <sz val="10"/>
        <rFont val="Arial"/>
        <family val="0"/>
        <charset val="1"/>
      </rPr>
      <t xml:space="preserve">#SCP-173</t>
    </r>
    <r>
      <rPr>
        <sz val="10"/>
        <rFont val="Noto Sans CJK SC"/>
        <family val="2"/>
      </rPr>
      <t xml:space="preserve">「彫刻」——目を離した</t>
    </r>
    <r>
      <rPr>
        <sz val="10"/>
        <rFont val="Arial"/>
        <family val="0"/>
        <charset val="1"/>
      </rPr>
      <t xml:space="preserve">0.3</t>
    </r>
    <r>
      <rPr>
        <sz val="10"/>
        <rFont val="Noto Sans CJK SC"/>
        <family val="2"/>
      </rPr>
      <t xml:space="preserve">秒で、</t>
    </r>
    <r>
      <rPr>
        <sz val="10"/>
        <rFont val="Arial"/>
        <family val="0"/>
        <charset val="1"/>
      </rPr>
      <t xml:space="preserve">14</t>
    </r>
    <r>
      <rPr>
        <sz val="10"/>
        <rFont val="Noto Sans CJK SC"/>
        <family val="2"/>
      </rPr>
      <t xml:space="preserve">人が消えた収容室の真実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</si>
  <si>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：財団が『受け取った』存在それは本当に贈り物だったのか</t>
    </r>
    <r>
      <rPr>
        <sz val="10"/>
        <rFont val="Arial"/>
        <family val="0"/>
        <charset val="1"/>
      </rPr>
      <t xml:space="preserve">#SCP-4002</t>
    </r>
    <r>
      <rPr>
        <sz val="10"/>
        <rFont val="Noto Sans CJK SC"/>
        <family val="2"/>
      </rPr>
      <t xml:space="preserve">「生の贈り物」——収容された異常存在が財団に渡したものの正体が、あまりにも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</si>
  <si>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：視線を外すその瞬間</t>
    </r>
    <r>
      <rPr>
        <sz val="10"/>
        <rFont val="Arial"/>
        <family val="0"/>
        <charset val="1"/>
      </rPr>
      <t xml:space="preserve">SCP-173</t>
    </r>
    <r>
      <rPr>
        <sz val="10"/>
        <rFont val="Noto Sans CJK SC"/>
        <family val="2"/>
      </rPr>
      <t xml:space="preserve">が迫ってくる</t>
    </r>
    <r>
      <rPr>
        <sz val="10"/>
        <rFont val="Arial"/>
        <family val="0"/>
        <charset val="1"/>
      </rPr>
      <t xml:space="preserve">#</t>
    </r>
    <r>
      <rPr>
        <sz val="10"/>
        <rFont val="Noto Sans CJK SC"/>
        <family val="2"/>
      </rPr>
      <t xml:space="preserve">見てはいけない瞬間、</t>
    </r>
    <r>
      <rPr>
        <sz val="10"/>
        <rFont val="Arial"/>
        <family val="0"/>
        <charset val="1"/>
      </rPr>
      <t xml:space="preserve">SCP-173</t>
    </r>
    <r>
      <rPr>
        <sz val="10"/>
        <rFont val="Noto Sans CJK SC"/>
        <family val="2"/>
      </rPr>
      <t xml:space="preserve">の驚異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</si>
  <si>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：瞬きの間に、</t>
    </r>
    <r>
      <rPr>
        <sz val="10"/>
        <rFont val="Arial"/>
        <family val="0"/>
        <charset val="1"/>
      </rPr>
      <t xml:space="preserve">17</t>
    </r>
    <r>
      <rPr>
        <sz val="10"/>
        <rFont val="Noto Sans CJK SC"/>
        <family val="2"/>
      </rPr>
      <t xml:space="preserve">人が死んだ</t>
    </r>
    <r>
      <rPr>
        <sz val="10"/>
        <rFont val="Arial"/>
        <family val="0"/>
        <charset val="1"/>
      </rPr>
      <t xml:space="preserve">LEVEL 4 </t>
    </r>
    <r>
      <rPr>
        <sz val="10"/>
        <rFont val="Noto Sans CJK SC"/>
        <family val="2"/>
      </rPr>
      <t xml:space="preserve">機密｜財団内部資料【閲覧注意】</t>
    </r>
    <r>
      <rPr>
        <sz val="10"/>
        <rFont val="Arial"/>
        <family val="0"/>
        <charset val="1"/>
      </rPr>
      <t xml:space="preserve">#</t>
    </r>
    <r>
      <rPr>
        <sz val="10"/>
        <rFont val="Noto Sans CJK SC"/>
        <family val="2"/>
      </rPr>
      <t xml:space="preserve">目を離した</t>
    </r>
    <r>
      <rPr>
        <sz val="10"/>
        <rFont val="Arial"/>
        <family val="0"/>
        <charset val="1"/>
      </rPr>
      <t xml:space="preserve">0.3</t>
    </r>
    <r>
      <rPr>
        <sz val="10"/>
        <rFont val="Noto Sans CJK SC"/>
        <family val="2"/>
      </rPr>
      <t xml:space="preserve">秒で首を折られる——</t>
    </r>
    <r>
      <rPr>
        <sz val="10"/>
        <rFont val="Arial"/>
        <family val="0"/>
        <charset val="1"/>
      </rPr>
      <t xml:space="preserve">SCP-173</t>
    </r>
    <r>
      <rPr>
        <sz val="10"/>
        <rFont val="Noto Sans CJK SC"/>
        <family val="2"/>
      </rPr>
      <t xml:space="preserve">が財団の隠し続けた『本当の恐怖』 </t>
    </r>
    <r>
      <rPr>
        <sz val="10"/>
        <rFont val="Arial"/>
        <family val="0"/>
        <charset val="1"/>
      </rPr>
      <t xml:space="preserve">#shorts #</t>
    </r>
    <r>
      <rPr>
        <sz val="10"/>
        <rFont val="Noto Sans CJK SC"/>
        <family val="2"/>
      </rPr>
      <t xml:space="preserve">ゆっくり解説</t>
    </r>
  </si>
  <si>
    <r>
      <rPr>
        <sz val="10"/>
        <rFont val="Noto Sans CJK SC"/>
        <family val="2"/>
      </rPr>
      <t xml:space="preserve">なぜ道はうごめく？</t>
    </r>
    <r>
      <rPr>
        <sz val="10"/>
        <rFont val="Arial"/>
        <family val="0"/>
        <charset val="1"/>
      </rPr>
      <t xml:space="preserve">SCP-609</t>
    </r>
    <r>
      <rPr>
        <sz val="10"/>
        <rFont val="Noto Sans CJK SC"/>
        <family val="2"/>
      </rPr>
      <t xml:space="preserve">の衝撃の真実【ショート】</t>
    </r>
  </si>
  <si>
    <r>
      <rPr>
        <sz val="10"/>
        <rFont val="Noto Sans CJK SC"/>
        <family val="2"/>
      </rPr>
      <t xml:space="preserve">一口</t>
    </r>
    <r>
      <rPr>
        <sz val="10"/>
        <rFont val="Arial"/>
        <family val="0"/>
        <charset val="1"/>
      </rPr>
      <t xml:space="preserve">SCP</t>
    </r>
    <r>
      <rPr>
        <sz val="10"/>
        <rFont val="Noto Sans CJK SC"/>
        <family val="2"/>
      </rPr>
      <t xml:space="preserve">：目撃者</t>
    </r>
    <r>
      <rPr>
        <sz val="10"/>
        <rFont val="Arial"/>
        <family val="0"/>
        <charset val="1"/>
      </rPr>
      <t xml:space="preserve">47</t>
    </r>
    <r>
      <rPr>
        <sz val="10"/>
        <rFont val="Noto Sans CJK SC"/>
        <family val="2"/>
      </rPr>
      <t xml:space="preserve">名／精神的生存率</t>
    </r>
    <r>
      <rPr>
        <sz val="10"/>
        <rFont val="Arial"/>
        <family val="0"/>
        <charset val="1"/>
      </rPr>
      <t xml:space="preserve">0%</t>
    </r>
    <r>
      <rPr>
        <sz val="10"/>
        <rFont val="Noto Sans CJK SC"/>
        <family val="2"/>
      </rPr>
      <t xml:space="preserve">財団が</t>
    </r>
    <r>
      <rPr>
        <sz val="10"/>
        <rFont val="Arial"/>
        <family val="0"/>
        <charset val="1"/>
      </rPr>
      <t xml:space="preserve">17</t>
    </r>
    <r>
      <rPr>
        <sz val="10"/>
        <rFont val="Noto Sans CJK SC"/>
        <family val="2"/>
      </rPr>
      <t xml:space="preserve">年間『視覚汚染』と呼んだ理由</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年間隠し続けた視覚汚染体——目撃者全員が廃人化、生存率</t>
    </r>
    <r>
      <rPr>
        <sz val="10"/>
        <rFont val="Arial"/>
        <family val="0"/>
        <charset val="1"/>
      </rPr>
      <t xml:space="preserve">0%</t>
    </r>
    <r>
      <rPr>
        <sz val="10"/>
        <rFont val="Noto Sans CJK SC"/>
        <family val="2"/>
      </rPr>
      <t xml:space="preserve">の本当の理由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</si>
  <si>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：製造された恐怖</t>
    </r>
    <r>
      <rPr>
        <sz val="10"/>
        <rFont val="Arial"/>
        <family val="0"/>
        <charset val="1"/>
      </rPr>
      <t xml:space="preserve">17</t>
    </r>
    <r>
      <rPr>
        <sz val="10"/>
        <rFont val="Noto Sans CJK SC"/>
        <family val="2"/>
      </rPr>
      <t xml:space="preserve">年間【</t>
    </r>
    <r>
      <rPr>
        <sz val="10"/>
        <rFont val="Arial"/>
        <family val="0"/>
        <charset val="1"/>
      </rPr>
      <t xml:space="preserve">REDACTED</t>
    </r>
    <r>
      <rPr>
        <sz val="10"/>
        <rFont val="Noto Sans CJK SC"/>
        <family val="2"/>
      </rPr>
      <t xml:space="preserve">】</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年間隠し続けた「製造記録」——</t>
    </r>
    <r>
      <rPr>
        <sz val="10"/>
        <rFont val="Arial"/>
        <family val="0"/>
        <charset val="1"/>
      </rPr>
      <t xml:space="preserve">SCP-1030</t>
    </r>
    <r>
      <rPr>
        <sz val="10"/>
        <rFont val="Noto Sans CJK SC"/>
        <family val="2"/>
      </rPr>
      <t xml:space="preserve">、その収容の理由を誰も語らない本当の訳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</si>
  <si>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：この報告書…読んだら後悔するかもしれない財団データベースから、また一つ流出した</t>
    </r>
    <r>
      <rPr>
        <sz val="10"/>
        <rFont val="Arial"/>
        <family val="0"/>
        <charset val="1"/>
      </rPr>
      <t xml:space="preserve">#</t>
    </r>
    <r>
      <rPr>
        <sz val="10"/>
        <rFont val="Noto Sans CJK SC"/>
        <family val="2"/>
      </rPr>
      <t xml:space="preserve">財団が隠し続けた認識災害</t>
    </r>
    <r>
      <rPr>
        <sz val="10"/>
        <rFont val="Arial"/>
        <family val="0"/>
        <charset val="1"/>
      </rPr>
      <t xml:space="preserve">SCP</t>
    </r>
    <r>
      <rPr>
        <sz val="10"/>
        <rFont val="Noto Sans CJK SC"/>
        <family val="2"/>
      </rPr>
      <t xml:space="preserve">の本当の理由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</si>
  <si>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：実験記録</t>
    </r>
    <r>
      <rPr>
        <sz val="10"/>
        <rFont val="Arial"/>
        <family val="0"/>
        <charset val="1"/>
      </rPr>
      <t xml:space="preserve">17</t>
    </r>
    <r>
      <rPr>
        <sz val="10"/>
        <rFont val="Noto Sans CJK SC"/>
        <family val="2"/>
      </rPr>
      <t xml:space="preserve">件すべて</t>
    </r>
    <r>
      <rPr>
        <sz val="10"/>
        <rFont val="Arial"/>
        <family val="0"/>
        <charset val="1"/>
      </rPr>
      <t xml:space="preserve">[DATA EXPUNGED]</t>
    </r>
    <r>
      <rPr>
        <sz val="10"/>
        <rFont val="Noto Sans CJK SC"/>
        <family val="2"/>
      </rPr>
      <t xml:space="preserve">された異常存在の、財団が隠し続ける本当の正体【ショート】</t>
    </r>
  </si>
  <si>
    <r>
      <rPr>
        <sz val="10"/>
        <rFont val="Noto Sans CJK SC"/>
        <family val="2"/>
      </rPr>
      <t xml:space="preserve">一口</t>
    </r>
    <r>
      <rPr>
        <sz val="10"/>
        <rFont val="Arial"/>
        <family val="0"/>
        <charset val="1"/>
      </rPr>
      <t xml:space="preserve">SCP</t>
    </r>
    <r>
      <rPr>
        <sz val="10"/>
        <rFont val="Noto Sans CJK SC"/>
        <family val="2"/>
      </rPr>
      <t xml:space="preserve">：記録を読んだ者が消える</t>
    </r>
    <r>
      <rPr>
        <sz val="10"/>
        <rFont val="Arial"/>
        <family val="0"/>
        <charset val="1"/>
      </rPr>
      <t xml:space="preserve">43</t>
    </r>
    <r>
      <rPr>
        <sz val="10"/>
        <rFont val="Noto Sans CJK SC"/>
        <family val="2"/>
      </rPr>
      <t xml:space="preserve">年間、財団が隠し続けた装置の正体</t>
    </r>
    <r>
      <rPr>
        <sz val="10"/>
        <rFont val="Arial"/>
        <family val="0"/>
        <charset val="1"/>
      </rPr>
      <t xml:space="preserve">#</t>
    </r>
    <r>
      <rPr>
        <sz val="10"/>
        <rFont val="Noto Sans CJK SC"/>
        <family val="2"/>
      </rPr>
      <t xml:space="preserve">財団が</t>
    </r>
    <r>
      <rPr>
        <sz val="10"/>
        <rFont val="Arial"/>
        <family val="0"/>
        <charset val="1"/>
      </rPr>
      <t xml:space="preserve">43</t>
    </r>
    <r>
      <rPr>
        <sz val="10"/>
        <rFont val="Noto Sans CJK SC"/>
        <family val="2"/>
      </rPr>
      <t xml:space="preserve">年間封印し続けた「虚無の制御装置」——記録を読んだ</t>
    </r>
    <r>
      <rPr>
        <sz val="10"/>
        <rFont val="Arial"/>
        <family val="0"/>
        <charset val="1"/>
      </rPr>
      <t xml:space="preserve">17</t>
    </r>
    <r>
      <rPr>
        <sz val="10"/>
        <rFont val="Noto Sans CJK SC"/>
        <family val="2"/>
      </rPr>
      <t xml:space="preserve">名が翌日から消えた本当の理由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</si>
  <si>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全長『測定不能』の深海巨大生物</t>
    </r>
    <r>
      <rPr>
        <sz val="10"/>
        <rFont val="Arial"/>
        <family val="0"/>
        <charset val="1"/>
      </rPr>
      <t xml:space="preserve">SCP-3000──</t>
    </r>
    <r>
      <rPr>
        <sz val="10"/>
        <rFont val="Noto Sans CJK SC"/>
        <family val="2"/>
      </rPr>
      <t xml:space="preserve">記憶を溶かす怪物から搾り取られる物質</t>
    </r>
    <r>
      <rPr>
        <sz val="10"/>
        <rFont val="Arial"/>
        <family val="0"/>
        <charset val="1"/>
      </rPr>
      <t xml:space="preserve">Y-909</t>
    </r>
    <r>
      <rPr>
        <sz val="10"/>
        <rFont val="Noto Sans CJK SC"/>
        <family val="2"/>
      </rPr>
      <t xml:space="preserve">の正体</t>
    </r>
  </si>
  <si>
    <r>
      <rPr>
        <sz val="10"/>
        <rFont val="Noto Sans CJK SC"/>
        <family val="2"/>
      </rPr>
      <t xml:space="preserve">財団が隠し続けた『消耗品』の正体——</t>
    </r>
    <r>
      <rPr>
        <sz val="10"/>
        <rFont val="Arial"/>
        <family val="0"/>
        <charset val="1"/>
      </rPr>
      <t xml:space="preserve">D</t>
    </r>
    <r>
      <rPr>
        <sz val="10"/>
        <rFont val="Noto Sans CJK SC"/>
        <family val="2"/>
      </rPr>
      <t xml:space="preserve">クラス職員は、なぜ毎月末に全員消える？【ショート】</t>
    </r>
  </si>
  <si>
    <r>
      <rPr>
        <sz val="10"/>
        <rFont val="Noto Sans CJK SC"/>
        <family val="2"/>
      </rPr>
      <t xml:space="preserve">一口</t>
    </r>
    <r>
      <rPr>
        <sz val="10"/>
        <rFont val="Arial"/>
        <family val="0"/>
        <charset val="1"/>
      </rPr>
      <t xml:space="preserve">SCP</t>
    </r>
    <r>
      <rPr>
        <sz val="10"/>
        <rFont val="Noto Sans CJK SC"/>
        <family val="2"/>
      </rPr>
      <t xml:space="preserve">：停電</t>
    </r>
    <r>
      <rPr>
        <sz val="10"/>
        <rFont val="Arial"/>
        <family val="0"/>
        <charset val="1"/>
      </rPr>
      <t xml:space="preserve">0.3</t>
    </r>
    <r>
      <rPr>
        <sz val="10"/>
        <rFont val="Noto Sans CJK SC"/>
        <family val="2"/>
      </rPr>
      <t xml:space="preserve">秒で全滅教室に</t>
    </r>
    <r>
      <rPr>
        <sz val="10"/>
        <rFont val="Arial"/>
        <family val="0"/>
        <charset val="1"/>
      </rPr>
      <t xml:space="preserve">173</t>
    </r>
    <r>
      <rPr>
        <sz val="10"/>
        <rFont val="Noto Sans CJK SC"/>
        <family val="2"/>
      </rPr>
      <t xml:space="preserve">が紛れ込んだら？</t>
    </r>
    <r>
      <rPr>
        <sz val="10"/>
        <rFont val="Arial"/>
        <family val="0"/>
        <charset val="1"/>
      </rPr>
      <t xml:space="preserve">#SCP-173</t>
    </r>
    <r>
      <rPr>
        <sz val="10"/>
        <rFont val="Noto Sans CJK SC"/>
        <family val="2"/>
      </rPr>
      <t xml:space="preserve">が日本の学校に現れたら、教室で何人死ぬか——財団が封印した最悪のシミュレーション </t>
    </r>
    <r>
      <rPr>
        <sz val="10"/>
        <rFont val="Arial"/>
        <family val="0"/>
        <charset val="1"/>
      </rPr>
      <t xml:space="preserve">#shorts #</t>
    </r>
    <r>
      <rPr>
        <sz val="10"/>
        <rFont val="Noto Sans CJK SC"/>
        <family val="2"/>
      </rPr>
      <t xml:space="preserve">ゆっくり解説</t>
    </r>
  </si>
  <si>
    <r>
      <rPr>
        <sz val="10"/>
        <rFont val="Arial"/>
        <family val="0"/>
        <charset val="1"/>
      </rPr>
      <t xml:space="preserve">SCP-4666</t>
    </r>
    <r>
      <rPr>
        <sz val="10"/>
        <rFont val="Noto Sans CJK SC"/>
        <family val="2"/>
      </rPr>
      <t xml:space="preserve">「ユールマン」— 冬至の夜、北緯</t>
    </r>
    <r>
      <rPr>
        <sz val="10"/>
        <rFont val="Arial"/>
        <family val="0"/>
        <charset val="1"/>
      </rPr>
      <t xml:space="preserve">55</t>
    </r>
    <r>
      <rPr>
        <sz val="10"/>
        <rFont val="Noto Sans CJK SC"/>
        <family val="2"/>
      </rPr>
      <t xml:space="preserve">度以北で子供だけが消える理由を財団は</t>
    </r>
    <r>
      <rPr>
        <sz val="10"/>
        <rFont val="Arial"/>
        <family val="0"/>
        <charset val="1"/>
      </rPr>
      <t xml:space="preserve">18</t>
    </r>
    <r>
      <rPr>
        <sz val="10"/>
        <rFont val="Noto Sans CJK SC"/>
        <family val="2"/>
      </rPr>
      <t xml:space="preserve">年間隠し続けた【ショート】</t>
    </r>
  </si>
  <si>
    <r>
      <rPr>
        <sz val="10"/>
        <rFont val="Noto Sans CJK SC"/>
        <family val="2"/>
      </rPr>
      <t xml:space="preserve">一口</t>
    </r>
    <r>
      <rPr>
        <sz val="10"/>
        <rFont val="Arial"/>
        <family val="0"/>
        <charset val="1"/>
      </rPr>
      <t xml:space="preserve">SCP</t>
    </r>
    <r>
      <rPr>
        <sz val="10"/>
        <rFont val="Noto Sans CJK SC"/>
        <family val="2"/>
      </rPr>
      <t xml:space="preserve">：</t>
    </r>
    <r>
      <rPr>
        <sz val="10"/>
        <rFont val="Arial"/>
        <family val="0"/>
        <charset val="1"/>
      </rPr>
      <t xml:space="preserve">17</t>
    </r>
    <r>
      <rPr>
        <sz val="10"/>
        <rFont val="Noto Sans CJK SC"/>
        <family val="2"/>
      </rPr>
      <t xml:space="preserve">名 全員消滅内部記録【</t>
    </r>
    <r>
      <rPr>
        <sz val="10"/>
        <rFont val="Arial"/>
        <family val="0"/>
        <charset val="1"/>
      </rPr>
      <t xml:space="preserve">REDACTED</t>
    </r>
    <r>
      <rPr>
        <sz val="10"/>
        <rFont val="Noto Sans CJK SC"/>
        <family val="2"/>
      </rPr>
      <t xml:space="preserve">】</t>
    </r>
    <r>
      <rPr>
        <sz val="10"/>
        <rFont val="Arial"/>
        <family val="0"/>
        <charset val="1"/>
      </rPr>
      <t xml:space="preserve">#</t>
    </r>
    <r>
      <rPr>
        <sz val="10"/>
        <rFont val="Noto Sans CJK SC"/>
        <family val="2"/>
      </rPr>
      <t xml:space="preserve">財団が</t>
    </r>
    <r>
      <rPr>
        <sz val="10"/>
        <rFont val="Arial"/>
        <family val="0"/>
        <charset val="1"/>
      </rPr>
      <t xml:space="preserve">17</t>
    </r>
    <r>
      <rPr>
        <sz val="10"/>
        <rFont val="Noto Sans CJK SC"/>
        <family val="2"/>
      </rPr>
      <t xml:space="preserve">名の死亡記録を</t>
    </r>
    <r>
      <rPr>
        <sz val="10"/>
        <rFont val="Arial"/>
        <family val="0"/>
        <charset val="1"/>
      </rPr>
      <t xml:space="preserve">4</t>
    </r>
    <r>
      <rPr>
        <sz val="10"/>
        <rFont val="Noto Sans CJK SC"/>
        <family val="2"/>
      </rPr>
      <t xml:space="preserve">行で隠蔽した——</t>
    </r>
    <r>
      <rPr>
        <sz val="10"/>
        <rFont val="Arial"/>
        <family val="0"/>
        <charset val="1"/>
      </rPr>
      <t xml:space="preserve">SCP-1730</t>
    </r>
    <r>
      <rPr>
        <sz val="10"/>
        <rFont val="Noto Sans CJK SC"/>
        <family val="2"/>
      </rPr>
      <t xml:space="preserve">「廃墟サイト</t>
    </r>
    <r>
      <rPr>
        <sz val="10"/>
        <rFont val="Arial"/>
        <family val="0"/>
        <charset val="1"/>
      </rPr>
      <t xml:space="preserve">-13</t>
    </r>
    <r>
      <rPr>
        <sz val="10"/>
        <rFont val="Noto Sans CJK SC"/>
        <family val="2"/>
      </rPr>
      <t xml:space="preserve">」に誰も近づけない本当の理由 </t>
    </r>
    <r>
      <rPr>
        <sz val="10"/>
        <rFont val="Arial"/>
        <family val="0"/>
        <charset val="1"/>
      </rPr>
      <t xml:space="preserve">#shorts #</t>
    </r>
    <r>
      <rPr>
        <sz val="10"/>
        <rFont val="Noto Sans CJK SC"/>
        <family val="2"/>
      </rPr>
      <t xml:space="preserve">ゆっくり解説</t>
    </r>
  </si>
  <si>
    <r>
      <rPr>
        <sz val="10"/>
        <rFont val="Arial"/>
        <family val="0"/>
        <charset val="1"/>
      </rPr>
      <t xml:space="preserve">SCP-4715</t>
    </r>
    <r>
      <rPr>
        <sz val="10"/>
        <rFont val="Noto Sans CJK SC"/>
        <family val="2"/>
      </rPr>
      <t xml:space="preserve">「戦争終結者」— 財団が第二次世界大戦を終わらせたという記録が、なぜ</t>
    </r>
    <r>
      <rPr>
        <sz val="10"/>
        <rFont val="Arial"/>
        <family val="0"/>
        <charset val="1"/>
      </rPr>
      <t xml:space="preserve">[DATA EXPUNGED]</t>
    </r>
    <r>
      <rPr>
        <sz val="10"/>
        <rFont val="Noto Sans CJK SC"/>
        <family val="2"/>
      </rPr>
      <t xml:space="preserve">されたのか【ショート】</t>
    </r>
  </si>
  <si>
    <r>
      <rPr>
        <sz val="10"/>
        <rFont val="Noto Sans CJK SC"/>
        <family val="2"/>
      </rPr>
      <t xml:space="preserve">一口</t>
    </r>
    <r>
      <rPr>
        <sz val="10"/>
        <rFont val="Arial"/>
        <family val="0"/>
        <charset val="1"/>
      </rPr>
      <t xml:space="preserve">SCP</t>
    </r>
    <r>
      <rPr>
        <sz val="10"/>
        <rFont val="Noto Sans CJK SC"/>
        <family val="2"/>
      </rPr>
      <t xml:space="preserve">：目を離した瞬間、終わる財団最古の異常存在 </t>
    </r>
    <r>
      <rPr>
        <sz val="10"/>
        <rFont val="Arial"/>
        <family val="0"/>
        <charset val="1"/>
      </rPr>
      <t xml:space="preserve">SCP-173#</t>
    </r>
    <r>
      <rPr>
        <sz val="10"/>
        <rFont val="Noto Sans CJK SC"/>
        <family val="2"/>
      </rPr>
      <t xml:space="preserve">目を離した</t>
    </r>
    <r>
      <rPr>
        <sz val="10"/>
        <rFont val="Arial"/>
        <family val="0"/>
        <charset val="1"/>
      </rPr>
      <t xml:space="preserve">0.3</t>
    </r>
    <r>
      <rPr>
        <sz val="10"/>
        <rFont val="Noto Sans CJK SC"/>
        <family val="2"/>
      </rPr>
      <t xml:space="preserve">秒で首が折れる。</t>
    </r>
    <r>
      <rPr>
        <sz val="10"/>
        <rFont val="Arial"/>
        <family val="0"/>
        <charset val="1"/>
      </rPr>
      <t xml:space="preserve">SCP-173</t>
    </r>
    <r>
      <rPr>
        <sz val="10"/>
        <rFont val="Noto Sans CJK SC"/>
        <family val="2"/>
      </rPr>
      <t xml:space="preserve">【財団が最初の収容違反を隠し続ける本当の理由】 </t>
    </r>
    <r>
      <rPr>
        <sz val="10"/>
        <rFont val="Arial"/>
        <family val="0"/>
        <charset val="1"/>
      </rPr>
      <t xml:space="preserve">#shorts #</t>
    </r>
    <r>
      <rPr>
        <sz val="10"/>
        <rFont val="Noto Sans CJK SC"/>
        <family val="2"/>
      </rPr>
      <t xml:space="preserve">ゆっくり解説</t>
    </r>
  </si>
  <si>
    <r>
      <rPr>
        <sz val="10"/>
        <rFont val="Noto Sans CJK SC"/>
        <family val="2"/>
      </rPr>
      <t xml:space="preserve">一口</t>
    </r>
    <r>
      <rPr>
        <sz val="10"/>
        <rFont val="Arial"/>
        <family val="0"/>
        <charset val="1"/>
      </rPr>
      <t xml:space="preserve">SCP</t>
    </r>
    <r>
      <rPr>
        <sz val="10"/>
        <rFont val="Noto Sans CJK SC"/>
        <family val="2"/>
      </rPr>
      <t xml:space="preserve">：財団が隠し続けた「異常の起源」</t>
    </r>
    <r>
      <rPr>
        <sz val="10"/>
        <rFont val="Arial"/>
        <family val="0"/>
        <charset val="1"/>
      </rPr>
      <t xml:space="preserve">SCP-XXXX</t>
    </r>
    <r>
      <rPr>
        <sz val="10"/>
        <rFont val="Noto Sans CJK SC"/>
        <family val="2"/>
      </rPr>
      <t xml:space="preserve">【なぜ、異常は生まれるのか】</t>
    </r>
    <r>
      <rPr>
        <sz val="10"/>
        <rFont val="Arial"/>
        <family val="0"/>
        <charset val="1"/>
      </rPr>
      <t xml:space="preserve">#</t>
    </r>
    <r>
      <rPr>
        <sz val="10"/>
        <rFont val="Noto Sans CJK SC"/>
        <family val="2"/>
      </rPr>
      <t xml:space="preserve">財団が記録ごと封印した「異常誕生の法則」——なぜ存在してはならないものが、今この瞬間も生まれ続けるのか </t>
    </r>
    <r>
      <rPr>
        <sz val="10"/>
        <rFont val="Arial"/>
        <family val="0"/>
        <charset val="1"/>
      </rPr>
      <t xml:space="preserve">#sho</t>
    </r>
  </si>
  <si>
    <r>
      <rPr>
        <sz val="10"/>
        <rFont val="Noto Sans CJK SC"/>
        <family val="2"/>
      </rPr>
      <t xml:space="preserve">財団が</t>
    </r>
    <r>
      <rPr>
        <sz val="10"/>
        <rFont val="Arial"/>
        <family val="0"/>
        <charset val="1"/>
      </rPr>
      <t xml:space="preserve">17</t>
    </r>
    <r>
      <rPr>
        <sz val="10"/>
        <rFont val="Noto Sans CJK SC"/>
        <family val="2"/>
      </rPr>
      <t xml:space="preserve">年間封印し続けた「</t>
    </r>
    <r>
      <rPr>
        <sz val="10"/>
        <rFont val="Arial"/>
        <family val="0"/>
        <charset val="1"/>
      </rPr>
      <t xml:space="preserve">SCP-XXXX</t>
    </r>
    <r>
      <rPr>
        <sz val="10"/>
        <rFont val="Noto Sans CJK SC"/>
        <family val="2"/>
      </rPr>
      <t xml:space="preserve">」——</t>
    </r>
    <r>
      <rPr>
        <sz val="10"/>
        <rFont val="Arial"/>
        <family val="0"/>
        <charset val="1"/>
      </rPr>
      <t xml:space="preserve">43</t>
    </r>
    <r>
      <rPr>
        <sz val="10"/>
        <rFont val="Noto Sans CJK SC"/>
        <family val="2"/>
      </rPr>
      <t xml:space="preserve">名が接触し、全員の記録が消えた本当の理由【ショート】</t>
    </r>
  </si>
  <si>
    <r>
      <rPr>
        <sz val="10"/>
        <rFont val="Noto Sans CJK SC"/>
        <family val="2"/>
      </rPr>
      <t xml:space="preserve">妖怪ウォッチのランク、なぜ</t>
    </r>
    <r>
      <rPr>
        <sz val="10"/>
        <rFont val="Arial"/>
        <family val="0"/>
        <charset val="1"/>
      </rPr>
      <t xml:space="preserve">S</t>
    </r>
    <r>
      <rPr>
        <sz val="10"/>
        <rFont val="Noto Sans CJK SC"/>
        <family val="2"/>
      </rPr>
      <t xml:space="preserve">が最強じゃない妖怪にも付くのか　隠された格付けの本当のところ【ショート】</t>
    </r>
  </si>
  <si>
    <t xml:space="preserve">なぜオロチはゲームで美化された？ヤマタノオロチ伝説の“本当は怖い”正体【ショート】</t>
  </si>
  <si>
    <t xml:space="preserve">妖怪ウォッチの『都市伝説』、本当のところはどうなの？【ショート】</t>
  </si>
  <si>
    <t xml:space="preserve">花子さんの正体 — なぜ学校のトイレで「三番目」なのか【ショート】</t>
  </si>
  <si>
    <t xml:space="preserve">海坊主の正体が怖すぎる — 船を沈める巨大な影は何だったのか【ショート】</t>
  </si>
  <si>
    <r>
      <rPr>
        <sz val="10"/>
        <rFont val="Noto Sans CJK SC"/>
        <family val="2"/>
      </rPr>
      <t xml:space="preserve">妖怪の名前がダジャレなのはナゼか</t>
    </r>
    <r>
      <rPr>
        <sz val="10"/>
        <rFont val="Arial"/>
        <family val="0"/>
        <charset val="1"/>
      </rPr>
      <t xml:space="preserve">? </t>
    </r>
    <r>
      <rPr>
        <sz val="10"/>
        <rFont val="Noto Sans CJK SC"/>
        <family val="2"/>
      </rPr>
      <t xml:space="preserve">名前の裏に隠された秘密【ショート】</t>
    </r>
  </si>
  <si>
    <t xml:space="preserve">なぜコマさんの秘密？神社の狛犬と田舎の意外なつながり【ショート】</t>
  </si>
  <si>
    <t xml:space="preserve">鬼の元ネタが怖すぎる — 鬼門から来る者を家に入れてはいけない理由【ショート】</t>
  </si>
  <si>
    <t xml:space="preserve">のっぺらぼうの正体が怖すぎる — 顔を奪う怪談はなぜ生まれたのか【ショート】</t>
  </si>
  <si>
    <t xml:space="preserve">ふじのやまの元ネタが怖すぎる — 山に入った人が戻れなくなる禁忌【ショート】</t>
  </si>
  <si>
    <t xml:space="preserve">なぜツチノコは家に入る？隠された秘密【ショート】</t>
  </si>
  <si>
    <t xml:space="preserve">一つ目小僧、なぜ江戸の文献では『会った者が帰らない』と書かれているのか【ショート】</t>
  </si>
  <si>
    <t xml:space="preserve">ねちがえる、なぜか夜だけ首を狙う？金縛りの奥にある古い怪異【ショート】</t>
  </si>
  <si>
    <t xml:space="preserve">河童はなぜか子どもだけを呼ぶ？水辺に残された「声」の本当の理由【ショート】</t>
  </si>
  <si>
    <r>
      <rPr>
        <sz val="10"/>
        <rFont val="Arial"/>
        <family val="0"/>
        <charset val="1"/>
      </rPr>
      <t xml:space="preserve">1</t>
    </r>
    <r>
      <rPr>
        <sz val="10"/>
        <rFont val="Noto Sans CJK SC"/>
        <family val="2"/>
      </rPr>
      <t xml:space="preserve">分妖怪ファイル：その『設定』、江戸時代には存在しなかった昭和の妖怪本が作り上げた『総大将』の正体</t>
    </r>
    <r>
      <rPr>
        <sz val="10"/>
        <rFont val="Arial"/>
        <family val="0"/>
        <charset val="1"/>
      </rPr>
      <t xml:space="preserve">#</t>
    </r>
    <r>
      <rPr>
        <sz val="10"/>
        <rFont val="Noto Sans CJK SC"/>
        <family val="2"/>
      </rPr>
      <t xml:space="preserve">ぬらりひょんが『妖怪の総大将』なのは、なぜか誰も疑わなかったのか </t>
    </r>
    <r>
      <rPr>
        <sz val="10"/>
        <rFont val="Arial"/>
        <family val="0"/>
        <charset val="1"/>
      </rPr>
      <t xml:space="preserve">#shorts #</t>
    </r>
    <r>
      <rPr>
        <sz val="10"/>
        <rFont val="Noto Sans CJK SC"/>
        <family val="2"/>
      </rPr>
      <t xml:space="preserve">ゆっくり解説</t>
    </r>
  </si>
  <si>
    <t xml:space="preserve">ふぶき姫の可愛さはどこから？雪女伝承の“本当は怖い”正体とゲームの落差【ショート】</t>
  </si>
  <si>
    <t xml:space="preserve">妖怪ウォッチのエンマ大王、なぜか『本物』の閻魔と全然違う姿をしている【ショート】</t>
  </si>
  <si>
    <t xml:space="preserve">なぜロボニャンだけ未来から来た？隠された時系列の秘密【ショート】【ショート】</t>
  </si>
  <si>
    <t xml:space="preserve">なぜおでんじんだけ夜道に立つ？可愛い具に隠された秘密【ショート】【ショート】</t>
  </si>
  <si>
    <t xml:space="preserve">なぜ武士と猫が混ざった？ブシニャンの『本当のルーツ』が怖すぎる理由【ショート】</t>
  </si>
  <si>
    <r>
      <rPr>
        <sz val="10"/>
        <rFont val="Arial"/>
        <family val="0"/>
        <charset val="1"/>
      </rPr>
      <t xml:space="preserve">1</t>
    </r>
    <r>
      <rPr>
        <sz val="10"/>
        <rFont val="Noto Sans CJK SC"/>
        <family val="2"/>
      </rPr>
      <t xml:space="preserve">分妖怪ファイル：なぜ妖怪ウォッチだけ？主人公の秘密</t>
    </r>
    <r>
      <rPr>
        <sz val="10"/>
        <rFont val="Arial"/>
        <family val="0"/>
        <charset val="1"/>
      </rPr>
      <t xml:space="preserve">#</t>
    </r>
    <r>
      <rPr>
        <sz val="10"/>
        <rFont val="Noto Sans CJK SC"/>
        <family val="2"/>
      </rPr>
      <t xml:space="preserve">妖怪ウォッチで主人公だけが妖怪を見られる理由 </t>
    </r>
    <r>
      <rPr>
        <sz val="10"/>
        <rFont val="Arial"/>
        <family val="0"/>
        <charset val="1"/>
      </rPr>
      <t xml:space="preserve">#shorts #</t>
    </r>
    <r>
      <rPr>
        <sz val="10"/>
        <rFont val="Noto Sans CJK SC"/>
        <family val="2"/>
      </rPr>
      <t xml:space="preserve">ゆっくり解説</t>
    </r>
  </si>
  <si>
    <t xml:space="preserve">ぬらりひょんの正体が怖すぎる — なぜあなたの家に勝手に上がるのか【ショート】</t>
  </si>
  <si>
    <r>
      <rPr>
        <sz val="10"/>
        <rFont val="Arial"/>
        <family val="0"/>
        <charset val="1"/>
      </rPr>
      <t xml:space="preserve">1</t>
    </r>
    <r>
      <rPr>
        <sz val="10"/>
        <rFont val="Noto Sans CJK SC"/>
        <family val="2"/>
      </rPr>
      <t xml:space="preserve">分妖怪ファイル：妖怪の名前がダジャレなのはナゼか</t>
    </r>
    <r>
      <rPr>
        <sz val="10"/>
        <rFont val="Arial"/>
        <family val="0"/>
        <charset val="1"/>
      </rPr>
      <t xml:space="preserve">?</t>
    </r>
  </si>
  <si>
    <r>
      <rPr>
        <b val="true"/>
        <sz val="14"/>
        <color rgb="FF1F3864"/>
        <rFont val="Noto Sans CJK SC"/>
        <family val="2"/>
      </rPr>
      <t xml:space="preserve">改善アクション </t>
    </r>
    <r>
      <rPr>
        <b val="true"/>
        <sz val="14"/>
        <color rgb="FF1F3864"/>
        <rFont val="Arial"/>
        <family val="0"/>
        <charset val="1"/>
      </rPr>
      <t xml:space="preserve">2026-08-23</t>
    </r>
    <r>
      <rPr>
        <b val="true"/>
        <sz val="14"/>
        <color rgb="FF1F3864"/>
        <rFont val="Noto Sans CJK SC"/>
        <family val="2"/>
      </rPr>
      <t xml:space="preserve">（すべて実データに基づき、本日コンフィグへ反映済み）</t>
    </r>
  </si>
  <si>
    <t xml:space="preserve">#</t>
  </si>
  <si>
    <t xml:space="preserve">対象</t>
  </si>
  <si>
    <t xml:space="preserve">変更内容</t>
  </si>
  <si>
    <t xml:space="preserve">根拠（実測値）</t>
  </si>
  <si>
    <t xml:space="preserve">種別</t>
  </si>
  <si>
    <t xml:space="preserve">反映先</t>
  </si>
  <si>
    <t xml:space="preserve">全角ダッシュ「—」を中立扱いに変更（前日の『必ず維持する』と、本日一度出した『使用禁止』の両方を撤回）</t>
  </si>
  <si>
    <r>
      <rPr>
        <sz val="10"/>
        <rFont val="Noto Sans CJK SC"/>
        <family val="2"/>
      </rPr>
      <t xml:space="preserve">全期間集計では </t>
    </r>
    <r>
      <rPr>
        <sz val="10"/>
        <rFont val="Arial"/>
        <family val="0"/>
        <charset val="1"/>
      </rPr>
      <t xml:space="preserve">CTR 0.72</t>
    </r>
    <r>
      <rPr>
        <sz val="10"/>
        <rFont val="Noto Sans CJK SC"/>
        <family val="2"/>
      </rPr>
      <t xml:space="preserve">倍（</t>
    </r>
    <r>
      <rPr>
        <sz val="10"/>
        <rFont val="Arial"/>
        <family val="0"/>
        <charset val="1"/>
      </rPr>
      <t xml:space="preserve">95%CI 0.62-0.85</t>
    </r>
    <r>
      <rPr>
        <sz val="10"/>
        <rFont val="Noto Sans CJK SC"/>
        <family val="2"/>
      </rPr>
      <t xml:space="preserve">）に見えたが、登録者指標と同じ直近</t>
    </r>
    <r>
      <rPr>
        <sz val="10"/>
        <rFont val="Arial"/>
        <family val="0"/>
        <charset val="1"/>
      </rPr>
      <t xml:space="preserve">60</t>
    </r>
    <r>
      <rPr>
        <sz val="10"/>
        <rFont val="Noto Sans CJK SC"/>
        <family val="2"/>
      </rPr>
      <t xml:space="preserve">日コホートに揃えると </t>
    </r>
    <r>
      <rPr>
        <sz val="10"/>
        <rFont val="Arial"/>
        <family val="0"/>
        <charset val="1"/>
      </rPr>
      <t xml:space="preserve">CTR 0.97</t>
    </r>
    <r>
      <rPr>
        <sz val="10"/>
        <rFont val="Noto Sans CJK SC"/>
        <family val="2"/>
      </rPr>
      <t xml:space="preserve">倍（</t>
    </r>
    <r>
      <rPr>
        <sz val="10"/>
        <rFont val="Arial"/>
        <family val="0"/>
        <charset val="1"/>
      </rPr>
      <t xml:space="preserve">95%CI 0.81-1.16</t>
    </r>
    <r>
      <rPr>
        <sz val="10"/>
        <rFont val="Noto Sans CJK SC"/>
        <family val="2"/>
      </rPr>
      <t xml:space="preserve">）、</t>
    </r>
    <r>
      <rPr>
        <sz val="10"/>
        <rFont val="Arial"/>
        <family val="0"/>
        <charset val="1"/>
      </rPr>
      <t xml:space="preserve">1</t>
    </r>
    <r>
      <rPr>
        <sz val="10"/>
        <rFont val="Noto Sans CJK SC"/>
        <family val="2"/>
      </rPr>
      <t xml:space="preserve">本あたり登録者 </t>
    </r>
    <r>
      <rPr>
        <sz val="10"/>
        <rFont val="Arial"/>
        <family val="0"/>
        <charset val="1"/>
      </rPr>
      <t xml:space="preserve">0.74</t>
    </r>
    <r>
      <rPr>
        <sz val="10"/>
        <rFont val="Noto Sans CJK SC"/>
        <family val="2"/>
      </rPr>
      <t xml:space="preserve">倍（</t>
    </r>
    <r>
      <rPr>
        <sz val="10"/>
        <rFont val="Arial"/>
        <family val="0"/>
        <charset val="1"/>
      </rPr>
      <t xml:space="preserve">95%CI 0.47-1.18</t>
    </r>
    <r>
      <rPr>
        <sz val="10"/>
        <rFont val="Noto Sans CJK SC"/>
        <family val="2"/>
      </rPr>
      <t xml:space="preserve">）でいずれも有意差なし。差は</t>
    </r>
    <r>
      <rPr>
        <sz val="10"/>
        <rFont val="Arial"/>
        <family val="0"/>
        <charset val="1"/>
      </rPr>
      <t xml:space="preserve">61</t>
    </r>
    <r>
      <rPr>
        <sz val="10"/>
        <rFont val="Noto Sans CJK SC"/>
        <family val="2"/>
      </rPr>
      <t xml:space="preserve">日以上前の動画による期間交絡だった。夜間</t>
    </r>
    <r>
      <rPr>
        <sz val="10"/>
        <rFont val="Arial"/>
        <family val="0"/>
        <charset val="1"/>
      </rPr>
      <t xml:space="preserve">PDCA</t>
    </r>
    <r>
      <rPr>
        <sz val="10"/>
        <rFont val="Noto Sans CJK SC"/>
        <family val="2"/>
      </rPr>
      <t xml:space="preserve">の独立分析（登録</t>
    </r>
    <r>
      <rPr>
        <sz val="10"/>
        <rFont val="Arial"/>
        <family val="0"/>
        <charset val="1"/>
      </rPr>
      <t xml:space="preserve">/1k 11.75 vs 11.38</t>
    </r>
    <r>
      <rPr>
        <sz val="10"/>
        <rFont val="Noto Sans CJK SC"/>
        <family val="2"/>
      </rPr>
      <t xml:space="preserve">）とも一致する。</t>
    </r>
  </si>
  <si>
    <t xml:space="preserve">撤回</t>
  </si>
  <si>
    <t xml:space="preserve">theme_priority.title_style / good_examples / voice_style.style_rules</t>
  </si>
  <si>
    <t xml:space="preserve">タイトルに「怖」「恐」を入れることを推奨（当初は必須化したが検証を受け推奨に格下げ）</t>
  </si>
  <si>
    <r>
      <rPr>
        <sz val="10"/>
        <rFont val="Arial"/>
        <family val="0"/>
        <charset val="1"/>
      </rPr>
      <t xml:space="preserve">1</t>
    </r>
    <r>
      <rPr>
        <sz val="10"/>
        <rFont val="Noto Sans CJK SC"/>
        <family val="2"/>
      </rPr>
      <t xml:space="preserve">本あたり登録者 </t>
    </r>
    <r>
      <rPr>
        <sz val="10"/>
        <rFont val="Arial"/>
        <family val="0"/>
        <charset val="1"/>
      </rPr>
      <t xml:space="preserve">0.923 vs 0.612 = 1.51</t>
    </r>
    <r>
      <rPr>
        <sz val="10"/>
        <rFont val="Noto Sans CJK SC"/>
        <family val="2"/>
      </rPr>
      <t xml:space="preserve">倍（</t>
    </r>
    <r>
      <rPr>
        <sz val="10"/>
        <rFont val="Arial"/>
        <family val="0"/>
        <charset val="1"/>
      </rPr>
      <t xml:space="preserve">60</t>
    </r>
    <r>
      <rPr>
        <sz val="10"/>
        <rFont val="Noto Sans CJK SC"/>
        <family val="2"/>
      </rPr>
      <t xml:space="preserve">日コホート）。※</t>
    </r>
    <r>
      <rPr>
        <sz val="10"/>
        <rFont val="Arial"/>
        <family val="0"/>
        <charset val="1"/>
      </rPr>
      <t xml:space="preserve">CTR</t>
    </r>
    <r>
      <rPr>
        <sz val="10"/>
        <rFont val="Noto Sans CJK SC"/>
        <family val="2"/>
      </rPr>
      <t xml:space="preserve">単体では</t>
    </r>
    <r>
      <rPr>
        <sz val="10"/>
        <rFont val="Arial"/>
        <family val="0"/>
        <charset val="1"/>
      </rPr>
      <t xml:space="preserve">1.24</t>
    </r>
    <r>
      <rPr>
        <sz val="10"/>
        <rFont val="Noto Sans CJK SC"/>
        <family val="2"/>
      </rPr>
      <t xml:space="preserve">倍（</t>
    </r>
    <r>
      <rPr>
        <sz val="10"/>
        <rFont val="Arial"/>
        <family val="0"/>
        <charset val="1"/>
      </rPr>
      <t xml:space="preserve">95%CI 0.99-1.55</t>
    </r>
    <r>
      <rPr>
        <sz val="10"/>
        <rFont val="Noto Sans CJK SC"/>
        <family val="2"/>
      </rPr>
      <t xml:space="preserve">）で有意でなく、</t>
    </r>
    <r>
      <rPr>
        <sz val="10"/>
        <rFont val="Arial"/>
        <family val="0"/>
        <charset val="1"/>
      </rPr>
      <t xml:space="preserve">60</t>
    </r>
    <r>
      <rPr>
        <sz val="10"/>
        <rFont val="Noto Sans CJK SC"/>
        <family val="2"/>
      </rPr>
      <t xml:space="preserve">日コホートに揃えると</t>
    </r>
    <r>
      <rPr>
        <sz val="10"/>
        <rFont val="Arial"/>
        <family val="0"/>
        <charset val="1"/>
      </rPr>
      <t xml:space="preserve">0.93</t>
    </r>
    <r>
      <rPr>
        <sz val="10"/>
        <rFont val="Noto Sans CJK SC"/>
        <family val="2"/>
      </rPr>
      <t xml:space="preserve">倍と符号が反転する。根拠は最終成果である登録者指標のみとし、必須化はしない。翌週データで再検証する。</t>
    </r>
  </si>
  <si>
    <r>
      <rPr>
        <sz val="10"/>
        <rFont val="Noto Sans CJK SC"/>
        <family val="2"/>
      </rPr>
      <t xml:space="preserve">新規</t>
    </r>
    <r>
      <rPr>
        <sz val="10"/>
        <rFont val="Arial"/>
        <family val="0"/>
        <charset val="1"/>
      </rPr>
      <t xml:space="preserve">(</t>
    </r>
    <r>
      <rPr>
        <sz val="10"/>
        <rFont val="Noto Sans CJK SC"/>
        <family val="2"/>
      </rPr>
      <t xml:space="preserve">弱</t>
    </r>
    <r>
      <rPr>
        <sz val="10"/>
        <rFont val="Arial"/>
        <family val="0"/>
        <charset val="1"/>
      </rPr>
      <t xml:space="preserve">)</t>
    </r>
  </si>
  <si>
    <t xml:space="preserve">theme_priority.title_style / good_examples</t>
  </si>
  <si>
    <t xml:space="preserve">タイトルの「本当」「実は」系を回避</t>
  </si>
  <si>
    <r>
      <rPr>
        <sz val="10"/>
        <rFont val="Arial"/>
        <family val="0"/>
        <charset val="1"/>
      </rPr>
      <t xml:space="preserve">CTR 1.30% vs 1.61% = 0.81</t>
    </r>
    <r>
      <rPr>
        <sz val="10"/>
        <rFont val="Noto Sans CJK SC"/>
        <family val="2"/>
      </rPr>
      <t xml:space="preserve">倍（</t>
    </r>
    <r>
      <rPr>
        <sz val="10"/>
        <rFont val="Arial"/>
        <family val="0"/>
        <charset val="1"/>
      </rPr>
      <t xml:space="preserve">95%CI 0.68-0.96</t>
    </r>
    <r>
      <rPr>
        <sz val="10"/>
        <rFont val="Noto Sans CJK SC"/>
        <family val="2"/>
      </rPr>
      <t xml:space="preserve">）、</t>
    </r>
    <r>
      <rPr>
        <sz val="10"/>
        <rFont val="Arial"/>
        <family val="0"/>
        <charset val="1"/>
      </rPr>
      <t xml:space="preserve">1</t>
    </r>
    <r>
      <rPr>
        <sz val="10"/>
        <rFont val="Noto Sans CJK SC"/>
        <family val="2"/>
      </rPr>
      <t xml:space="preserve">本あたり登録者 </t>
    </r>
    <r>
      <rPr>
        <sz val="10"/>
        <rFont val="Arial"/>
        <family val="0"/>
        <charset val="1"/>
      </rPr>
      <t xml:space="preserve">0.84</t>
    </r>
    <r>
      <rPr>
        <sz val="10"/>
        <rFont val="Noto Sans CJK SC"/>
        <family val="2"/>
      </rPr>
      <t xml:space="preserve">倍。※測定述語は「本当」または「実は」を含むこと。</t>
    </r>
    <r>
      <rPr>
        <sz val="10"/>
        <rFont val="Arial"/>
        <family val="0"/>
        <charset val="1"/>
      </rPr>
      <t xml:space="preserve">60</t>
    </r>
    <r>
      <rPr>
        <sz val="10"/>
        <rFont val="Noto Sans CJK SC"/>
        <family val="2"/>
      </rPr>
      <t xml:space="preserve">日コホートでは</t>
    </r>
    <r>
      <rPr>
        <sz val="10"/>
        <rFont val="Arial"/>
        <family val="0"/>
        <charset val="1"/>
      </rPr>
      <t xml:space="preserve">0.83</t>
    </r>
    <r>
      <rPr>
        <sz val="10"/>
        <rFont val="Noto Sans CJK SC"/>
        <family val="2"/>
      </rPr>
      <t xml:space="preserve">倍（</t>
    </r>
    <r>
      <rPr>
        <sz val="10"/>
        <rFont val="Arial"/>
        <family val="0"/>
        <charset val="1"/>
      </rPr>
      <t xml:space="preserve">95%CI 0.69-1.01</t>
    </r>
    <r>
      <rPr>
        <sz val="10"/>
        <rFont val="Noto Sans CJK SC"/>
        <family val="2"/>
      </rPr>
      <t xml:space="preserve">）で非有意。</t>
    </r>
  </si>
  <si>
    <t xml:space="preserve">新規</t>
  </si>
  <si>
    <t xml:space="preserve">theme_priority.title_style</t>
  </si>
  <si>
    <t xml:space="preserve">「怖」優先指定を撤回（前日追加分）</t>
  </si>
  <si>
    <r>
      <rPr>
        <sz val="10"/>
        <rFont val="Arial"/>
        <family val="0"/>
        <charset val="1"/>
      </rPr>
      <t xml:space="preserve">CTR 0.89</t>
    </r>
    <r>
      <rPr>
        <sz val="10"/>
        <rFont val="Noto Sans CJK SC"/>
        <family val="2"/>
      </rPr>
      <t xml:space="preserve">倍・</t>
    </r>
    <r>
      <rPr>
        <sz val="10"/>
        <rFont val="Arial"/>
        <family val="0"/>
        <charset val="1"/>
      </rPr>
      <t xml:space="preserve">1</t>
    </r>
    <r>
      <rPr>
        <sz val="10"/>
        <rFont val="Noto Sans CJK SC"/>
        <family val="2"/>
      </rPr>
      <t xml:space="preserve">本あたり登録者 </t>
    </r>
    <r>
      <rPr>
        <sz val="10"/>
        <rFont val="Arial"/>
        <family val="0"/>
        <charset val="1"/>
      </rPr>
      <t xml:space="preserve">0.375 vs 0.500 = 0.75</t>
    </r>
    <r>
      <rPr>
        <sz val="10"/>
        <rFont val="Noto Sans CJK SC"/>
        <family val="2"/>
      </rPr>
      <t xml:space="preserve">倍。再生数</t>
    </r>
    <r>
      <rPr>
        <sz val="10"/>
        <rFont val="Arial"/>
        <family val="0"/>
        <charset val="1"/>
      </rPr>
      <t xml:space="preserve">(1.24</t>
    </r>
    <r>
      <rPr>
        <sz val="10"/>
        <rFont val="Noto Sans CJK SC"/>
        <family val="2"/>
      </rPr>
      <t xml:space="preserve">倍</t>
    </r>
    <r>
      <rPr>
        <sz val="10"/>
        <rFont val="Arial"/>
        <family val="0"/>
        <charset val="1"/>
      </rPr>
      <t xml:space="preserve">)</t>
    </r>
    <r>
      <rPr>
        <sz val="10"/>
        <rFont val="Noto Sans CJK SC"/>
        <family val="2"/>
      </rPr>
      <t xml:space="preserve">は伸びるが登録に繋がらない。</t>
    </r>
  </si>
  <si>
    <t xml:space="preserve">theme_priority.title_style / voice_style.style_rules</t>
  </si>
  <si>
    <t xml:space="preserve">「なぜ」始まりの使用禁止を解除（前日追加分）</t>
  </si>
  <si>
    <r>
      <rPr>
        <sz val="10"/>
        <rFont val="Arial"/>
        <family val="0"/>
        <charset val="1"/>
      </rPr>
      <t xml:space="preserve">CTR 0.94</t>
    </r>
    <r>
      <rPr>
        <sz val="10"/>
        <rFont val="Noto Sans CJK SC"/>
        <family val="2"/>
      </rPr>
      <t xml:space="preserve">倍・</t>
    </r>
    <r>
      <rPr>
        <sz val="10"/>
        <rFont val="Arial"/>
        <family val="0"/>
        <charset val="1"/>
      </rPr>
      <t xml:space="preserve">1</t>
    </r>
    <r>
      <rPr>
        <sz val="10"/>
        <rFont val="Noto Sans CJK SC"/>
        <family val="2"/>
      </rPr>
      <t xml:space="preserve">本あたり登録者</t>
    </r>
    <r>
      <rPr>
        <sz val="10"/>
        <rFont val="Arial"/>
        <family val="0"/>
        <charset val="1"/>
      </rPr>
      <t xml:space="preserve">1.12</t>
    </r>
    <r>
      <rPr>
        <sz val="10"/>
        <rFont val="Noto Sans CJK SC"/>
        <family val="2"/>
      </rPr>
      <t xml:space="preserve">倍でほぼ中立。前日は再生数</t>
    </r>
    <r>
      <rPr>
        <sz val="10"/>
        <rFont val="Arial"/>
        <family val="0"/>
        <charset val="1"/>
      </rPr>
      <t xml:space="preserve">0.80</t>
    </r>
    <r>
      <rPr>
        <sz val="10"/>
        <rFont val="Noto Sans CJK SC"/>
        <family val="2"/>
      </rPr>
      <t xml:space="preserve">倍のみで禁止していた。</t>
    </r>
  </si>
  <si>
    <t xml:space="preserve">「秘密」「隠」「本当」「実は」のいずれかを必須化</t>
  </si>
  <si>
    <r>
      <rPr>
        <sz val="10"/>
        <rFont val="Noto Sans CJK SC"/>
        <family val="2"/>
      </rPr>
      <t xml:space="preserve">「秘密</t>
    </r>
    <r>
      <rPr>
        <sz val="10"/>
        <rFont val="Arial"/>
        <family val="0"/>
        <charset val="1"/>
      </rPr>
      <t xml:space="preserve">/</t>
    </r>
    <r>
      <rPr>
        <sz val="10"/>
        <rFont val="Noto Sans CJK SC"/>
        <family val="2"/>
      </rPr>
      <t xml:space="preserve">隠」</t>
    </r>
    <r>
      <rPr>
        <sz val="10"/>
        <rFont val="Arial"/>
        <family val="0"/>
        <charset val="1"/>
      </rPr>
      <t xml:space="preserve">CTR 2.67% vs 1.34% = 1.99</t>
    </r>
    <r>
      <rPr>
        <sz val="10"/>
        <rFont val="Noto Sans CJK SC"/>
        <family val="2"/>
      </rPr>
      <t xml:space="preserve">倍（</t>
    </r>
    <r>
      <rPr>
        <sz val="10"/>
        <rFont val="Arial"/>
        <family val="0"/>
        <charset val="1"/>
      </rPr>
      <t xml:space="preserve">95%CI 1.32-3.02</t>
    </r>
    <r>
      <rPr>
        <sz val="10"/>
        <rFont val="Noto Sans CJK SC"/>
        <family val="2"/>
      </rPr>
      <t xml:space="preserve">）。「本当</t>
    </r>
    <r>
      <rPr>
        <sz val="10"/>
        <rFont val="Arial"/>
        <family val="0"/>
        <charset val="1"/>
      </rPr>
      <t xml:space="preserve">/</t>
    </r>
    <r>
      <rPr>
        <sz val="10"/>
        <rFont val="Noto Sans CJK SC"/>
        <family val="2"/>
      </rPr>
      <t xml:space="preserve">実は」</t>
    </r>
    <r>
      <rPr>
        <sz val="10"/>
        <rFont val="Arial"/>
        <family val="0"/>
        <charset val="1"/>
      </rPr>
      <t xml:space="preserve">1</t>
    </r>
    <r>
      <rPr>
        <sz val="10"/>
        <rFont val="Noto Sans CJK SC"/>
        <family val="2"/>
      </rPr>
      <t xml:space="preserve">本あたり登録者 </t>
    </r>
    <r>
      <rPr>
        <sz val="10"/>
        <rFont val="Arial"/>
        <family val="0"/>
        <charset val="1"/>
      </rPr>
      <t xml:space="preserve">1.00 vs 0.28 = 3.60</t>
    </r>
    <r>
      <rPr>
        <sz val="10"/>
        <rFont val="Noto Sans CJK SC"/>
        <family val="2"/>
      </rPr>
      <t xml:space="preserve">倍（</t>
    </r>
    <r>
      <rPr>
        <sz val="10"/>
        <rFont val="Arial"/>
        <family val="0"/>
        <charset val="1"/>
      </rPr>
      <t xml:space="preserve">95%CI 1.10-11.80</t>
    </r>
    <r>
      <rPr>
        <sz val="10"/>
        <rFont val="Noto Sans CJK SC"/>
        <family val="2"/>
      </rPr>
      <t xml:space="preserve">）。※後者は</t>
    </r>
    <r>
      <rPr>
        <sz val="10"/>
        <rFont val="Arial"/>
        <family val="0"/>
        <charset val="1"/>
      </rPr>
      <t xml:space="preserve">A</t>
    </r>
    <r>
      <rPr>
        <sz val="10"/>
        <rFont val="Noto Sans CJK SC"/>
        <family val="2"/>
      </rPr>
      <t xml:space="preserve">群</t>
    </r>
    <r>
      <rPr>
        <sz val="10"/>
        <rFont val="Arial"/>
        <family val="0"/>
        <charset val="1"/>
      </rPr>
      <t xml:space="preserve">n=6</t>
    </r>
    <r>
      <rPr>
        <sz val="10"/>
        <rFont val="Noto Sans CJK SC"/>
        <family val="2"/>
      </rPr>
      <t xml:space="preserve">・実登録</t>
    </r>
    <r>
      <rPr>
        <sz val="10"/>
        <rFont val="Arial"/>
        <family val="0"/>
        <charset val="1"/>
      </rPr>
      <t xml:space="preserve">6</t>
    </r>
    <r>
      <rPr>
        <sz val="10"/>
        <rFont val="Noto Sans CJK SC"/>
        <family val="2"/>
      </rPr>
      <t xml:space="preserve">人と少数。測定述語は「本当」であって「本当は」に限定した効果ではない。</t>
    </r>
  </si>
  <si>
    <r>
      <rPr>
        <sz val="10"/>
        <rFont val="Noto Sans CJK SC"/>
        <family val="2"/>
      </rPr>
      <t xml:space="preserve">台本の尺を </t>
    </r>
    <r>
      <rPr>
        <sz val="10"/>
        <rFont val="Arial"/>
        <family val="0"/>
        <charset val="1"/>
      </rPr>
      <t xml:space="preserve">320-390</t>
    </r>
    <r>
      <rPr>
        <sz val="10"/>
        <rFont val="Noto Sans CJK SC"/>
        <family val="2"/>
      </rPr>
      <t xml:space="preserve">字 → </t>
    </r>
    <r>
      <rPr>
        <sz val="10"/>
        <rFont val="Arial"/>
        <family val="0"/>
        <charset val="1"/>
      </rPr>
      <t xml:space="preserve">270-310</t>
    </r>
    <r>
      <rPr>
        <sz val="10"/>
        <rFont val="Noto Sans CJK SC"/>
        <family val="2"/>
      </rPr>
      <t xml:space="preserve">字 に短縮（前日の延長を部分撤回）</t>
    </r>
  </si>
  <si>
    <r>
      <rPr>
        <sz val="10"/>
        <rFont val="Noto Sans CJK SC"/>
        <family val="2"/>
      </rPr>
      <t xml:space="preserve">維持率</t>
    </r>
    <r>
      <rPr>
        <sz val="10"/>
        <rFont val="Arial"/>
        <family val="0"/>
        <charset val="1"/>
      </rPr>
      <t xml:space="preserve">45-70%</t>
    </r>
    <r>
      <rPr>
        <sz val="10"/>
        <rFont val="Noto Sans CJK SC"/>
        <family val="2"/>
      </rPr>
      <t xml:space="preserve">に揃えた比較で、短尺側は</t>
    </r>
    <r>
      <rPr>
        <sz val="10"/>
        <rFont val="Arial"/>
        <family val="0"/>
        <charset val="1"/>
      </rPr>
      <t xml:space="preserve">1</t>
    </r>
    <r>
      <rPr>
        <sz val="10"/>
        <rFont val="Noto Sans CJK SC"/>
        <family val="2"/>
      </rPr>
      <t xml:space="preserve">本あたり登録者</t>
    </r>
    <r>
      <rPr>
        <sz val="10"/>
        <rFont val="Arial"/>
        <family val="0"/>
        <charset val="1"/>
      </rPr>
      <t xml:space="preserve">0.875</t>
    </r>
    <r>
      <rPr>
        <sz val="10"/>
        <rFont val="Noto Sans CJK SC"/>
        <family val="2"/>
      </rPr>
      <t xml:space="preserve">、長尺側</t>
    </r>
    <r>
      <rPr>
        <sz val="10"/>
        <rFont val="Arial"/>
        <family val="0"/>
        <charset val="1"/>
      </rPr>
      <t xml:space="preserve">0.375</t>
    </r>
    <r>
      <rPr>
        <sz val="10"/>
        <rFont val="Noto Sans CJK SC"/>
        <family val="2"/>
      </rPr>
      <t xml:space="preserve">。前日は再生数</t>
    </r>
    <r>
      <rPr>
        <sz val="10"/>
        <rFont val="Arial"/>
        <family val="0"/>
        <charset val="1"/>
      </rPr>
      <t xml:space="preserve">(</t>
    </r>
    <r>
      <rPr>
        <sz val="10"/>
        <rFont val="Noto Sans CJK SC"/>
        <family val="2"/>
      </rPr>
      <t xml:space="preserve">長尺</t>
    </r>
    <r>
      <rPr>
        <sz val="10"/>
        <rFont val="Arial"/>
        <family val="0"/>
        <charset val="1"/>
      </rPr>
      <t xml:space="preserve">1629 vs </t>
    </r>
    <r>
      <rPr>
        <sz val="10"/>
        <rFont val="Noto Sans CJK SC"/>
        <family val="2"/>
      </rPr>
      <t xml:space="preserve">短尺</t>
    </r>
    <r>
      <rPr>
        <sz val="10"/>
        <rFont val="Arial"/>
        <family val="0"/>
        <charset val="1"/>
      </rPr>
      <t xml:space="preserve">1160)</t>
    </r>
    <r>
      <rPr>
        <sz val="10"/>
        <rFont val="Noto Sans CJK SC"/>
        <family val="2"/>
      </rPr>
      <t xml:space="preserve">を見て延長したが、登録者では逆だった。</t>
    </r>
  </si>
  <si>
    <t xml:space="preserve">short_format.total_chars_min / max / line_chars</t>
  </si>
  <si>
    <t xml:space="preserve">「なぜ」始まりの使用抑制を解除</t>
  </si>
  <si>
    <r>
      <rPr>
        <sz val="10"/>
        <rFont val="Arial"/>
        <family val="0"/>
        <charset val="1"/>
      </rPr>
      <t xml:space="preserve">1</t>
    </r>
    <r>
      <rPr>
        <sz val="10"/>
        <rFont val="Noto Sans CJK SC"/>
        <family val="2"/>
      </rPr>
      <t xml:space="preserve">本あたり登録者 </t>
    </r>
    <r>
      <rPr>
        <sz val="10"/>
        <rFont val="Arial"/>
        <family val="0"/>
        <charset val="1"/>
      </rPr>
      <t xml:space="preserve">0.400 vs 0.253 = 1.58</t>
    </r>
    <r>
      <rPr>
        <sz val="10"/>
        <rFont val="Noto Sans CJK SC"/>
        <family val="2"/>
      </rPr>
      <t xml:space="preserve">倍。前日は再生数</t>
    </r>
    <r>
      <rPr>
        <sz val="10"/>
        <rFont val="Arial"/>
        <family val="0"/>
        <charset val="1"/>
      </rPr>
      <t xml:space="preserve">0.95</t>
    </r>
    <r>
      <rPr>
        <sz val="10"/>
        <rFont val="Noto Sans CJK SC"/>
        <family val="2"/>
      </rPr>
      <t xml:space="preserve">倍で『効果なし』と判定していた。※同コホートの</t>
    </r>
    <r>
      <rPr>
        <sz val="10"/>
        <rFont val="Arial"/>
        <family val="0"/>
        <charset val="1"/>
      </rPr>
      <t xml:space="preserve">CTR</t>
    </r>
    <r>
      <rPr>
        <sz val="10"/>
        <rFont val="Noto Sans CJK SC"/>
        <family val="2"/>
      </rPr>
      <t xml:space="preserve">は </t>
    </r>
    <r>
      <rPr>
        <sz val="10"/>
        <rFont val="Arial"/>
        <family val="0"/>
        <charset val="1"/>
      </rPr>
      <t xml:space="preserve">0.79% vs 1.48% = 0.53</t>
    </r>
    <r>
      <rPr>
        <sz val="10"/>
        <rFont val="Noto Sans CJK SC"/>
        <family val="2"/>
      </rPr>
      <t xml:space="preserve">倍と負で、</t>
    </r>
    <r>
      <rPr>
        <sz val="10"/>
        <rFont val="Arial"/>
        <family val="0"/>
        <charset val="1"/>
      </rPr>
      <t xml:space="preserve">CTR</t>
    </r>
    <r>
      <rPr>
        <sz val="10"/>
        <rFont val="Noto Sans CJK SC"/>
        <family val="2"/>
      </rPr>
      <t xml:space="preserve">と登録者で符号が食い違う。登録者</t>
    </r>
    <r>
      <rPr>
        <sz val="10"/>
        <rFont val="Arial"/>
        <family val="0"/>
        <charset val="1"/>
      </rPr>
      <t xml:space="preserve">/</t>
    </r>
    <r>
      <rPr>
        <sz val="10"/>
        <rFont val="Noto Sans CJK SC"/>
        <family val="2"/>
      </rPr>
      <t xml:space="preserve">本は再生を経た最終成果のため後者を採用したが、サムネ側でクリック率を補う必要がある。</t>
    </r>
  </si>
  <si>
    <t xml:space="preserve">9</t>
  </si>
  <si>
    <t xml:space="preserve">疑問符「？」を含む形を必須化、「本当」「実は」を禁止</t>
  </si>
  <si>
    <r>
      <rPr>
        <sz val="10"/>
        <rFont val="Noto Sans CJK SC"/>
        <family val="2"/>
      </rPr>
      <t xml:space="preserve">「？」</t>
    </r>
    <r>
      <rPr>
        <sz val="10"/>
        <rFont val="Arial"/>
        <family val="0"/>
        <charset val="1"/>
      </rPr>
      <t xml:space="preserve">1</t>
    </r>
    <r>
      <rPr>
        <sz val="10"/>
        <rFont val="Noto Sans CJK SC"/>
        <family val="2"/>
      </rPr>
      <t xml:space="preserve">本あたり登録者 </t>
    </r>
    <r>
      <rPr>
        <sz val="10"/>
        <rFont val="Arial"/>
        <family val="0"/>
        <charset val="1"/>
      </rPr>
      <t xml:space="preserve">0.324 vs 0.150 = 2.16</t>
    </r>
    <r>
      <rPr>
        <sz val="10"/>
        <rFont val="Noto Sans CJK SC"/>
        <family val="2"/>
      </rPr>
      <t xml:space="preserve">倍（</t>
    </r>
    <r>
      <rPr>
        <sz val="10"/>
        <rFont val="Arial"/>
        <family val="0"/>
        <charset val="1"/>
      </rPr>
      <t xml:space="preserve">95%CI 0.66-7.03</t>
    </r>
    <r>
      <rPr>
        <sz val="10"/>
        <rFont val="Noto Sans CJK SC"/>
        <family val="2"/>
      </rPr>
      <t xml:space="preserve">、非該当群が</t>
    </r>
    <r>
      <rPr>
        <sz val="10"/>
        <rFont val="Arial"/>
        <family val="0"/>
        <charset val="1"/>
      </rPr>
      <t xml:space="preserve">n=20</t>
    </r>
    <r>
      <rPr>
        <sz val="10"/>
        <rFont val="Noto Sans CJK SC"/>
        <family val="2"/>
      </rPr>
      <t xml:space="preserve">と少ない）。「本当</t>
    </r>
    <r>
      <rPr>
        <sz val="10"/>
        <rFont val="Arial"/>
        <family val="0"/>
        <charset val="1"/>
      </rPr>
      <t xml:space="preserve">/</t>
    </r>
    <r>
      <rPr>
        <sz val="10"/>
        <rFont val="Noto Sans CJK SC"/>
        <family val="2"/>
      </rPr>
      <t xml:space="preserve">実は」</t>
    </r>
    <r>
      <rPr>
        <sz val="10"/>
        <rFont val="Arial"/>
        <family val="0"/>
        <charset val="1"/>
      </rPr>
      <t xml:space="preserve">0.241 vs 0.344 = 0.70</t>
    </r>
    <r>
      <rPr>
        <sz val="10"/>
        <rFont val="Noto Sans CJK SC"/>
        <family val="2"/>
      </rPr>
      <t xml:space="preserve">倍。</t>
    </r>
  </si>
  <si>
    <t xml:space="preserve">10</t>
  </si>
  <si>
    <r>
      <rPr>
        <sz val="10"/>
        <rFont val="Noto Sans CJK SC"/>
        <family val="2"/>
      </rPr>
      <t xml:space="preserve">「秘密」「隠」型を毎バッチ最低</t>
    </r>
    <r>
      <rPr>
        <sz val="10"/>
        <rFont val="Arial"/>
        <family val="0"/>
        <charset val="1"/>
      </rPr>
      <t xml:space="preserve">1</t>
    </r>
    <r>
      <rPr>
        <sz val="10"/>
        <rFont val="Noto Sans CJK SC"/>
        <family val="2"/>
      </rPr>
      <t xml:space="preserve">本必須化</t>
    </r>
  </si>
  <si>
    <r>
      <rPr>
        <sz val="10"/>
        <rFont val="Arial"/>
        <family val="0"/>
        <charset val="1"/>
      </rPr>
      <t xml:space="preserve">1</t>
    </r>
    <r>
      <rPr>
        <sz val="10"/>
        <rFont val="Noto Sans CJK SC"/>
        <family val="2"/>
      </rPr>
      <t xml:space="preserve">本あたり登録者 </t>
    </r>
    <r>
      <rPr>
        <sz val="10"/>
        <rFont val="Arial"/>
        <family val="0"/>
        <charset val="1"/>
      </rPr>
      <t xml:space="preserve">1.00 vs 0.32 = 3.17</t>
    </r>
    <r>
      <rPr>
        <sz val="10"/>
        <rFont val="Noto Sans CJK SC"/>
        <family val="2"/>
      </rPr>
      <t xml:space="preserve">倍（</t>
    </r>
    <r>
      <rPr>
        <sz val="10"/>
        <rFont val="Arial"/>
        <family val="0"/>
        <charset val="1"/>
      </rPr>
      <t xml:space="preserve">95%CI 1.02-9.82</t>
    </r>
    <r>
      <rPr>
        <sz val="10"/>
        <rFont val="Noto Sans CJK SC"/>
        <family val="2"/>
      </rPr>
      <t xml:space="preserve">）。当チャンネルで唯一有意だが下限がぎりぎり</t>
    </r>
    <r>
      <rPr>
        <sz val="10"/>
        <rFont val="Arial"/>
        <family val="0"/>
        <charset val="1"/>
      </rPr>
      <t xml:space="preserve">1</t>
    </r>
    <r>
      <rPr>
        <sz val="10"/>
        <rFont val="Noto Sans CJK SC"/>
        <family val="2"/>
      </rPr>
      <t xml:space="preserve">を超える弱い証拠。</t>
    </r>
    <r>
      <rPr>
        <sz val="10"/>
        <rFont val="Arial"/>
        <family val="0"/>
        <charset val="1"/>
      </rPr>
      <t xml:space="preserve">A</t>
    </r>
    <r>
      <rPr>
        <sz val="10"/>
        <rFont val="Noto Sans CJK SC"/>
        <family val="2"/>
      </rPr>
      <t xml:space="preserve">群</t>
    </r>
    <r>
      <rPr>
        <sz val="10"/>
        <rFont val="Arial"/>
        <family val="0"/>
        <charset val="1"/>
      </rPr>
      <t xml:space="preserve">n=6</t>
    </r>
    <r>
      <rPr>
        <sz val="10"/>
        <rFont val="Noto Sans CJK SC"/>
        <family val="2"/>
      </rPr>
      <t xml:space="preserve">・実登録</t>
    </r>
    <r>
      <rPr>
        <sz val="10"/>
        <rFont val="Arial"/>
        <family val="0"/>
        <charset val="1"/>
      </rPr>
      <t xml:space="preserve">6</t>
    </r>
    <r>
      <rPr>
        <sz val="10"/>
        <rFont val="Noto Sans CJK SC"/>
        <family val="2"/>
      </rPr>
      <t xml:space="preserve">人のうち</t>
    </r>
    <r>
      <rPr>
        <sz val="10"/>
        <rFont val="Arial"/>
        <family val="0"/>
        <charset val="1"/>
      </rPr>
      <t xml:space="preserve">3</t>
    </r>
    <r>
      <rPr>
        <sz val="10"/>
        <rFont val="Noto Sans CJK SC"/>
        <family val="2"/>
      </rPr>
      <t xml:space="preserve">本は登録</t>
    </r>
    <r>
      <rPr>
        <sz val="10"/>
        <rFont val="Arial"/>
        <family val="0"/>
        <charset val="1"/>
      </rPr>
      <t xml:space="preserve">0</t>
    </r>
    <r>
      <rPr>
        <sz val="10"/>
        <rFont val="Noto Sans CJK SC"/>
        <family val="2"/>
      </rPr>
      <t xml:space="preserve">で、寄与が</t>
    </r>
    <r>
      <rPr>
        <sz val="10"/>
        <rFont val="Arial"/>
        <family val="0"/>
        <charset val="1"/>
      </rPr>
      <t xml:space="preserve">1</t>
    </r>
    <r>
      <rPr>
        <sz val="10"/>
        <rFont val="Noto Sans CJK SC"/>
        <family val="2"/>
      </rPr>
      <t xml:space="preserve">本に集中している。翌週データで再検証が必要。</t>
    </r>
  </si>
  <si>
    <t xml:space="preserve">11</t>
  </si>
  <si>
    <r>
      <rPr>
        <sz val="10"/>
        <rFont val="Noto Sans CJK SC"/>
        <family val="2"/>
      </rPr>
      <t xml:space="preserve">『どっちが勝つ』対決型を</t>
    </r>
    <r>
      <rPr>
        <sz val="10"/>
        <rFont val="Arial"/>
        <family val="0"/>
        <charset val="1"/>
      </rPr>
      <t xml:space="preserve">1</t>
    </r>
    <r>
      <rPr>
        <sz val="10"/>
        <rFont val="Noto Sans CJK SC"/>
        <family val="2"/>
      </rPr>
      <t xml:space="preserve">バッチ</t>
    </r>
    <r>
      <rPr>
        <sz val="10"/>
        <rFont val="Arial"/>
        <family val="0"/>
        <charset val="1"/>
      </rPr>
      <t xml:space="preserve">1</t>
    </r>
    <r>
      <rPr>
        <sz val="10"/>
        <rFont val="Noto Sans CJK SC"/>
        <family val="2"/>
      </rPr>
      <t xml:space="preserve">本までに制限、締めに登録動機を明示</t>
    </r>
  </si>
  <si>
    <r>
      <rPr>
        <sz val="10"/>
        <rFont val="Noto Sans CJK SC"/>
        <family val="2"/>
      </rPr>
      <t xml:space="preserve">対決型の</t>
    </r>
    <r>
      <rPr>
        <sz val="10"/>
        <rFont val="Arial"/>
        <family val="0"/>
        <charset val="1"/>
      </rPr>
      <t xml:space="preserve">1</t>
    </r>
    <r>
      <rPr>
        <sz val="10"/>
        <rFont val="Noto Sans CJK SC"/>
        <family val="2"/>
      </rPr>
      <t xml:space="preserve">本あたり登録者は</t>
    </r>
    <r>
      <rPr>
        <sz val="10"/>
        <rFont val="Arial"/>
        <family val="0"/>
        <charset val="1"/>
      </rPr>
      <t xml:space="preserve">0.63</t>
    </r>
    <r>
      <rPr>
        <sz val="10"/>
        <rFont val="Noto Sans CJK SC"/>
        <family val="2"/>
      </rPr>
      <t xml:space="preserve">倍。個別動画の</t>
    </r>
    <r>
      <rPr>
        <sz val="10"/>
        <rFont val="Arial"/>
        <family val="0"/>
        <charset val="1"/>
      </rPr>
      <t xml:space="preserve">CTR</t>
    </r>
    <r>
      <rPr>
        <sz val="10"/>
        <rFont val="Noto Sans CJK SC"/>
        <family val="2"/>
      </rPr>
      <t xml:space="preserve">は</t>
    </r>
    <r>
      <rPr>
        <sz val="10"/>
        <rFont val="Arial"/>
        <family val="0"/>
        <charset val="1"/>
      </rPr>
      <t xml:space="preserve">3.82%/2.87%</t>
    </r>
    <r>
      <rPr>
        <sz val="10"/>
        <rFont val="Noto Sans CJK SC"/>
        <family val="2"/>
      </rPr>
      <t xml:space="preserve">と高いが、群として比較すると </t>
    </r>
    <r>
      <rPr>
        <sz val="10"/>
        <rFont val="Arial"/>
        <family val="0"/>
        <charset val="1"/>
      </rPr>
      <t xml:space="preserve">2.12% vs 1.57% = 1.35</t>
    </r>
    <r>
      <rPr>
        <sz val="10"/>
        <rFont val="Noto Sans CJK SC"/>
        <family val="2"/>
      </rPr>
      <t xml:space="preserve">倍（</t>
    </r>
    <r>
      <rPr>
        <sz val="10"/>
        <rFont val="Arial"/>
        <family val="0"/>
        <charset val="1"/>
      </rPr>
      <t xml:space="preserve">95%CI 0.69-2.64</t>
    </r>
    <r>
      <rPr>
        <sz val="10"/>
        <rFont val="Noto Sans CJK SC"/>
        <family val="2"/>
      </rPr>
      <t xml:space="preserve">）で有意ではない。クリックは取れるが登録に繋がっていない。</t>
    </r>
  </si>
  <si>
    <t xml:space="preserve">12</t>
  </si>
  <si>
    <t xml:space="preserve">全チャンネル</t>
  </si>
  <si>
    <r>
      <rPr>
        <sz val="10"/>
        <rFont val="Noto Sans CJK SC"/>
        <family val="2"/>
      </rPr>
      <t xml:space="preserve">【根本原因対応】タイトル規則を </t>
    </r>
    <r>
      <rPr>
        <sz val="10"/>
        <rFont val="Arial"/>
        <family val="0"/>
        <charset val="1"/>
      </rPr>
      <t xml:space="preserve">theme_priority </t>
    </r>
    <r>
      <rPr>
        <sz val="10"/>
        <rFont val="Noto Sans CJK SC"/>
        <family val="2"/>
      </rPr>
      <t xml:space="preserve">側へ移設</t>
    </r>
  </si>
  <si>
    <r>
      <rPr>
        <sz val="10"/>
        <rFont val="Noto Sans CJK SC"/>
        <family val="2"/>
      </rPr>
      <t xml:space="preserve">テーマ補充プロンプトは </t>
    </r>
    <r>
      <rPr>
        <sz val="10"/>
        <rFont val="Arial"/>
        <family val="0"/>
        <charset val="1"/>
      </rPr>
      <t xml:space="preserve">voice_style.style_rules </t>
    </r>
    <r>
      <rPr>
        <sz val="10"/>
        <rFont val="Noto Sans CJK SC"/>
        <family val="2"/>
      </rPr>
      <t xml:space="preserve">を参照しない実装（</t>
    </r>
    <r>
      <rPr>
        <sz val="10"/>
        <rFont val="Arial"/>
        <family val="0"/>
        <charset val="1"/>
      </rPr>
      <t xml:space="preserve">generator.py:2755-2972</t>
    </r>
    <r>
      <rPr>
        <sz val="10"/>
        <rFont val="Noto Sans CJK SC"/>
        <family val="2"/>
      </rPr>
      <t xml:space="preserve">）。前日の施策が生成に反映されず、</t>
    </r>
    <r>
      <rPr>
        <sz val="10"/>
        <rFont val="Arial"/>
        <family val="0"/>
        <charset val="1"/>
      </rPr>
      <t xml:space="preserve">scp-lab </t>
    </r>
    <r>
      <rPr>
        <sz val="10"/>
        <rFont val="Noto Sans CJK SC"/>
        <family val="2"/>
      </rPr>
      <t xml:space="preserve">のキュー</t>
    </r>
    <r>
      <rPr>
        <sz val="10"/>
        <rFont val="Arial"/>
        <family val="0"/>
        <charset val="1"/>
      </rPr>
      <t xml:space="preserve">23</t>
    </r>
    <r>
      <rPr>
        <sz val="10"/>
        <rFont val="Noto Sans CJK SC"/>
        <family val="2"/>
      </rPr>
      <t xml:space="preserve">件全てがダッシュ形式のままだった。</t>
    </r>
  </si>
  <si>
    <t xml:space="preserve">根本対応</t>
  </si>
  <si>
    <r>
      <rPr>
        <sz val="10"/>
        <rFont val="Arial"/>
        <family val="0"/>
        <charset val="1"/>
      </rPr>
      <t xml:space="preserve">theme_priority.title_style / good_examples</t>
    </r>
    <r>
      <rPr>
        <sz val="10"/>
        <rFont val="Noto Sans CJK SC"/>
        <family val="2"/>
      </rPr>
      <t xml:space="preserve">（</t>
    </r>
    <r>
      <rPr>
        <sz val="10"/>
        <rFont val="Arial"/>
        <family val="0"/>
        <charset val="1"/>
      </rPr>
      <t xml:space="preserve">4ch</t>
    </r>
    <r>
      <rPr>
        <sz val="10"/>
        <rFont val="Noto Sans CJK SC"/>
        <family val="2"/>
      </rPr>
      <t xml:space="preserve">）</t>
    </r>
  </si>
  <si>
    <t xml:space="preserve">13</t>
  </si>
  <si>
    <t xml:space="preserve">scp-lab / yokai-watch / pokemon-lab</t>
  </si>
  <si>
    <r>
      <rPr>
        <sz val="10"/>
        <rFont val="Noto Sans CJK SC"/>
        <family val="2"/>
      </rPr>
      <t xml:space="preserve">既存テーマキュー</t>
    </r>
    <r>
      <rPr>
        <sz val="10"/>
        <rFont val="Arial"/>
        <family val="0"/>
        <charset val="1"/>
      </rPr>
      <t xml:space="preserve">40</t>
    </r>
    <r>
      <rPr>
        <sz val="10"/>
        <rFont val="Noto Sans CJK SC"/>
        <family val="2"/>
      </rPr>
      <t xml:space="preserve">件のタイトルを新規則に沿って全件書き直し</t>
    </r>
  </si>
  <si>
    <r>
      <rPr>
        <sz val="10"/>
        <rFont val="Noto Sans CJK SC"/>
        <family val="2"/>
      </rPr>
      <t xml:space="preserve">初回の書き直しでは </t>
    </r>
    <r>
      <rPr>
        <sz val="10"/>
        <rFont val="Arial"/>
        <family val="0"/>
        <charset val="1"/>
      </rPr>
      <t xml:space="preserve">(a) </t>
    </r>
    <r>
      <rPr>
        <sz val="10"/>
        <rFont val="Noto Sans CJK SC"/>
        <family val="2"/>
      </rPr>
      <t xml:space="preserve">実在しない数字の付与（「</t>
    </r>
    <r>
      <rPr>
        <sz val="10"/>
        <rFont val="Arial"/>
        <family val="0"/>
        <charset val="1"/>
      </rPr>
      <t xml:space="preserve">9</t>
    </r>
    <r>
      <rPr>
        <sz val="10"/>
        <rFont val="Noto Sans CJK SC"/>
        <family val="2"/>
      </rPr>
      <t xml:space="preserve">つ」「</t>
    </r>
    <r>
      <rPr>
        <sz val="10"/>
        <rFont val="Arial"/>
        <family val="0"/>
        <charset val="1"/>
      </rPr>
      <t xml:space="preserve">26</t>
    </r>
    <r>
      <rPr>
        <sz val="10"/>
        <rFont val="Noto Sans CJK SC"/>
        <family val="2"/>
      </rPr>
      <t xml:space="preserve">部隊」「</t>
    </r>
    <r>
      <rPr>
        <sz val="10"/>
        <rFont val="Arial"/>
        <family val="0"/>
        <charset val="1"/>
      </rPr>
      <t xml:space="preserve">4</t>
    </r>
    <r>
      <rPr>
        <sz val="10"/>
        <rFont val="Noto Sans CJK SC"/>
        <family val="2"/>
      </rPr>
      <t xml:space="preserve">名」）、</t>
    </r>
    <r>
      <rPr>
        <sz val="10"/>
        <rFont val="Arial"/>
        <family val="0"/>
        <charset val="1"/>
      </rPr>
      <t xml:space="preserve">(b) </t>
    </r>
    <r>
      <rPr>
        <sz val="10"/>
        <rFont val="Noto Sans CJK SC"/>
        <family val="2"/>
      </rPr>
      <t xml:space="preserve">総称のみで固有名のないタイトル</t>
    </r>
    <r>
      <rPr>
        <sz val="10"/>
        <rFont val="Arial"/>
        <family val="0"/>
        <charset val="1"/>
      </rPr>
      <t xml:space="preserve">6</t>
    </r>
    <r>
      <rPr>
        <sz val="10"/>
        <rFont val="Noto Sans CJK SC"/>
        <family val="2"/>
      </rPr>
      <t xml:space="preserve">件、</t>
    </r>
    <r>
      <rPr>
        <sz val="10"/>
        <rFont val="Arial"/>
        <family val="0"/>
        <charset val="1"/>
      </rPr>
      <t xml:space="preserve">(c) good_examples </t>
    </r>
    <r>
      <rPr>
        <sz val="10"/>
        <rFont val="Noto Sans CJK SC"/>
        <family val="2"/>
      </rPr>
      <t xml:space="preserve">との重複</t>
    </r>
    <r>
      <rPr>
        <sz val="10"/>
        <rFont val="Arial"/>
        <family val="0"/>
        <charset val="1"/>
      </rPr>
      <t xml:space="preserve">4</t>
    </r>
    <r>
      <rPr>
        <sz val="10"/>
        <rFont val="Noto Sans CJK SC"/>
        <family val="2"/>
      </rPr>
      <t xml:space="preserve">件、</t>
    </r>
    <r>
      <rPr>
        <sz val="10"/>
        <rFont val="Arial"/>
        <family val="0"/>
        <charset val="1"/>
      </rPr>
      <t xml:space="preserve">(d) </t>
    </r>
    <r>
      <rPr>
        <sz val="10"/>
        <rFont val="Noto Sans CJK SC"/>
        <family val="2"/>
      </rPr>
      <t xml:space="preserve">同語反復「機動部隊</t>
    </r>
    <r>
      <rPr>
        <sz val="10"/>
        <rFont val="Arial"/>
        <family val="0"/>
        <charset val="1"/>
      </rPr>
      <t xml:space="preserve">MTF</t>
    </r>
    <r>
      <rPr>
        <sz val="10"/>
        <rFont val="Noto Sans CJK SC"/>
        <family val="2"/>
      </rPr>
      <t xml:space="preserve">」、</t>
    </r>
    <r>
      <rPr>
        <sz val="10"/>
        <rFont val="Arial"/>
        <family val="0"/>
        <charset val="1"/>
      </rPr>
      <t xml:space="preserve">(e) </t>
    </r>
    <r>
      <rPr>
        <sz val="10"/>
        <rFont val="Noto Sans CJK SC"/>
        <family val="2"/>
      </rPr>
      <t xml:space="preserve">伏字の不自然な活用「███手順」があり、独立検証を経て全て修正した。最終状態でルール適合・捏造数字なし・固有名あり・重複なしを機械検証済み。</t>
    </r>
  </si>
  <si>
    <t xml:space="preserve">data/channels/*/theme_queue.json</t>
  </si>
  <si>
    <t xml:space="preserve">14</t>
  </si>
  <si>
    <r>
      <rPr>
        <sz val="10"/>
        <rFont val="Noto Sans CJK SC"/>
        <family val="2"/>
      </rPr>
      <t xml:space="preserve">テーマキューを </t>
    </r>
    <r>
      <rPr>
        <sz val="10"/>
        <rFont val="Arial"/>
        <family val="0"/>
        <charset val="1"/>
      </rPr>
      <t xml:space="preserve">6</t>
    </r>
    <r>
      <rPr>
        <sz val="10"/>
        <rFont val="Noto Sans CJK SC"/>
        <family val="2"/>
      </rPr>
      <t xml:space="preserve">件 → </t>
    </r>
    <r>
      <rPr>
        <sz val="10"/>
        <rFont val="Arial"/>
        <family val="0"/>
        <charset val="1"/>
      </rPr>
      <t xml:space="preserve">10</t>
    </r>
    <r>
      <rPr>
        <sz val="10"/>
        <rFont val="Noto Sans CJK SC"/>
        <family val="2"/>
      </rPr>
      <t xml:space="preserve">件（</t>
    </r>
    <r>
      <rPr>
        <sz val="10"/>
        <rFont val="Arial"/>
        <family val="0"/>
        <charset val="1"/>
      </rPr>
      <t xml:space="preserve">target_size</t>
    </r>
    <r>
      <rPr>
        <sz val="10"/>
        <rFont val="Noto Sans CJK SC"/>
        <family val="2"/>
      </rPr>
      <t xml:space="preserve">）へ補充</t>
    </r>
  </si>
  <si>
    <r>
      <rPr>
        <sz val="10"/>
        <rFont val="Arial"/>
        <family val="0"/>
        <charset val="1"/>
      </rPr>
      <t xml:space="preserve">min_threshold=5 </t>
    </r>
    <r>
      <rPr>
        <sz val="10"/>
        <rFont val="Noto Sans CJK SC"/>
        <family val="2"/>
      </rPr>
      <t xml:space="preserve">に接近していたため。追加</t>
    </r>
    <r>
      <rPr>
        <sz val="10"/>
        <rFont val="Arial"/>
        <family val="0"/>
        <charset val="1"/>
      </rPr>
      <t xml:space="preserve">4</t>
    </r>
    <r>
      <rPr>
        <sz val="10"/>
        <rFont val="Noto Sans CJK SC"/>
        <family val="2"/>
      </rPr>
      <t xml:space="preserve">件はすべて新タイトル規則に適合。</t>
    </r>
    <r>
      <rPr>
        <sz val="10"/>
        <rFont val="Arial"/>
        <family val="0"/>
        <charset val="1"/>
      </rPr>
      <t xml:space="preserve">created_at </t>
    </r>
    <r>
      <rPr>
        <sz val="10"/>
        <rFont val="Noto Sans CJK SC"/>
        <family val="2"/>
      </rPr>
      <t xml:space="preserve">も実日付に修正済み。</t>
    </r>
  </si>
  <si>
    <t xml:space="preserve">data/channels/yokai-watch/theme_queue.json</t>
  </si>
  <si>
    <t xml:space="preserve">15</t>
  </si>
  <si>
    <t xml:space="preserve">generator.py</t>
  </si>
  <si>
    <t xml:space="preserve">テーマ補充プロンプトの例示からダッシュ「—」を除去</t>
  </si>
  <si>
    <r>
      <rPr>
        <sz val="10"/>
        <rFont val="Noto Sans CJK SC"/>
        <family val="2"/>
      </rPr>
      <t xml:space="preserve">プロンプト内の続編タイトル例（</t>
    </r>
    <r>
      <rPr>
        <sz val="10"/>
        <rFont val="Arial"/>
        <family val="0"/>
        <charset val="1"/>
      </rPr>
      <t xml:space="preserve">generator.py:2871</t>
    </r>
    <r>
      <rPr>
        <sz val="10"/>
        <rFont val="Noto Sans CJK SC"/>
        <family val="2"/>
      </rPr>
      <t xml:space="preserve">）がダッシュ形式を例示しており、規則と矛盾していた。</t>
    </r>
  </si>
  <si>
    <t xml:space="preserve">backend/pipeline/auto_scenario/generator.py</t>
  </si>
  <si>
    <t xml:space="preserve">16</t>
  </si>
  <si>
    <r>
      <rPr>
        <sz val="10"/>
        <rFont val="Arial"/>
        <family val="0"/>
        <charset val="1"/>
      </rPr>
      <t xml:space="preserve">viral_hooks </t>
    </r>
    <r>
      <rPr>
        <sz val="10"/>
        <rFont val="Noto Sans CJK SC"/>
        <family val="2"/>
      </rPr>
      <t xml:space="preserve">の破損（文字列が</t>
    </r>
    <r>
      <rPr>
        <sz val="10"/>
        <rFont val="Arial"/>
        <family val="0"/>
        <charset val="1"/>
      </rPr>
      <t xml:space="preserve">1</t>
    </r>
    <r>
      <rPr>
        <sz val="10"/>
        <rFont val="Noto Sans CJK SC"/>
        <family val="2"/>
      </rPr>
      <t xml:space="preserve">文字ずつ</t>
    </r>
    <r>
      <rPr>
        <sz val="10"/>
        <rFont val="Arial"/>
        <family val="0"/>
        <charset val="1"/>
      </rPr>
      <t xml:space="preserve">list</t>
    </r>
    <r>
      <rPr>
        <sz val="10"/>
        <rFont val="Noto Sans CJK SC"/>
        <family val="2"/>
      </rPr>
      <t xml:space="preserve">に分解）を修復</t>
    </r>
  </si>
  <si>
    <r>
      <rPr>
        <sz val="10"/>
        <rFont val="Arial"/>
        <family val="0"/>
        <charset val="1"/>
      </rPr>
      <t xml:space="preserve">scp-lab 90</t>
    </r>
    <r>
      <rPr>
        <sz val="10"/>
        <rFont val="Noto Sans CJK SC"/>
        <family val="2"/>
      </rPr>
      <t xml:space="preserve">件・</t>
    </r>
    <r>
      <rPr>
        <sz val="10"/>
        <rFont val="Arial"/>
        <family val="0"/>
        <charset val="1"/>
      </rPr>
      <t xml:space="preserve">yokai-watch 69</t>
    </r>
    <r>
      <rPr>
        <sz val="10"/>
        <rFont val="Noto Sans CJK SC"/>
        <family val="2"/>
      </rPr>
      <t xml:space="preserve">件・</t>
    </r>
    <r>
      <rPr>
        <sz val="10"/>
        <rFont val="Arial"/>
        <family val="0"/>
        <charset val="1"/>
      </rPr>
      <t xml:space="preserve">daily-science 159</t>
    </r>
    <r>
      <rPr>
        <sz val="10"/>
        <rFont val="Noto Sans CJK SC"/>
        <family val="2"/>
      </rPr>
      <t xml:space="preserve">件・</t>
    </r>
    <r>
      <rPr>
        <sz val="10"/>
        <rFont val="Arial"/>
        <family val="0"/>
        <charset val="1"/>
      </rPr>
      <t xml:space="preserve">pokemon-lab 70</t>
    </r>
    <r>
      <rPr>
        <sz val="10"/>
        <rFont val="Noto Sans CJK SC"/>
        <family val="2"/>
      </rPr>
      <t xml:space="preserve">件がすべて</t>
    </r>
    <r>
      <rPr>
        <sz val="10"/>
        <rFont val="Arial"/>
        <family val="0"/>
        <charset val="1"/>
      </rPr>
      <t xml:space="preserve">1</t>
    </r>
    <r>
      <rPr>
        <sz val="10"/>
        <rFont val="Noto Sans CJK SC"/>
        <family val="2"/>
      </rPr>
      <t xml:space="preserve">文字要素。プロンプトを汚染していた。</t>
    </r>
  </si>
  <si>
    <t xml:space="preserve">不具合修正</t>
  </si>
  <si>
    <t xml:space="preserve">theme_priority.viral_hooks</t>
  </si>
  <si>
    <t xml:space="preserve">17</t>
  </si>
  <si>
    <t xml:space="preserve">clip-lab</t>
  </si>
  <si>
    <r>
      <rPr>
        <sz val="10"/>
        <rFont val="Arial"/>
        <family val="0"/>
        <charset val="1"/>
      </rPr>
      <t xml:space="preserve">autopilot </t>
    </r>
    <r>
      <rPr>
        <sz val="10"/>
        <rFont val="Noto Sans CJK SC"/>
        <family val="2"/>
      </rPr>
      <t xml:space="preserve">を停止（</t>
    </r>
    <r>
      <rPr>
        <sz val="10"/>
        <rFont val="Arial"/>
        <family val="0"/>
        <charset val="1"/>
      </rPr>
      <t xml:space="preserve">enabled: true → false</t>
    </r>
    <r>
      <rPr>
        <sz val="10"/>
        <rFont val="Noto Sans CJK SC"/>
        <family val="2"/>
      </rPr>
      <t xml:space="preserve">）</t>
    </r>
  </si>
  <si>
    <r>
      <rPr>
        <sz val="10"/>
        <rFont val="Noto Sans CJK SC"/>
        <family val="2"/>
      </rPr>
      <t xml:space="preserve">運用方針で凍結中にもかかわらず平日</t>
    </r>
    <r>
      <rPr>
        <sz val="10"/>
        <rFont val="Arial"/>
        <family val="0"/>
        <charset val="1"/>
      </rPr>
      <t xml:space="preserve">2</t>
    </r>
    <r>
      <rPr>
        <sz val="10"/>
        <rFont val="Noto Sans CJK SC"/>
        <family val="2"/>
      </rPr>
      <t xml:space="preserve">枠＋休日</t>
    </r>
    <r>
      <rPr>
        <sz val="10"/>
        <rFont val="Arial"/>
        <family val="0"/>
        <charset val="1"/>
      </rPr>
      <t xml:space="preserve">2</t>
    </r>
    <r>
      <rPr>
        <sz val="10"/>
        <rFont val="Noto Sans CJK SC"/>
        <family val="2"/>
      </rPr>
      <t xml:space="preserve">枠がスケジュールされ続けていた。</t>
    </r>
    <r>
      <rPr>
        <sz val="10"/>
        <rFont val="Arial"/>
        <family val="0"/>
        <charset val="1"/>
      </rPr>
      <t xml:space="preserve">theme_seeds 0</t>
    </r>
    <r>
      <rPr>
        <sz val="10"/>
        <rFont val="Noto Sans CJK SC"/>
        <family val="2"/>
      </rPr>
      <t xml:space="preserve">件・</t>
    </r>
    <r>
      <rPr>
        <sz val="10"/>
        <rFont val="Arial"/>
        <family val="0"/>
        <charset val="1"/>
      </rPr>
      <t xml:space="preserve">theme_queue </t>
    </r>
    <r>
      <rPr>
        <sz val="10"/>
        <rFont val="Noto Sans CJK SC"/>
        <family val="2"/>
      </rPr>
      <t xml:space="preserve">未作成・</t>
    </r>
    <r>
      <rPr>
        <sz val="10"/>
        <rFont val="Arial"/>
        <family val="0"/>
        <charset val="1"/>
      </rPr>
      <t xml:space="preserve">video_metrics </t>
    </r>
    <r>
      <rPr>
        <sz val="10"/>
        <rFont val="Noto Sans CJK SC"/>
        <family val="2"/>
      </rPr>
      <t xml:space="preserve">実績</t>
    </r>
    <r>
      <rPr>
        <sz val="10"/>
        <rFont val="Arial"/>
        <family val="0"/>
        <charset val="1"/>
      </rPr>
      <t xml:space="preserve">0</t>
    </r>
    <r>
      <rPr>
        <sz val="10"/>
        <rFont val="Noto Sans CJK SC"/>
        <family val="2"/>
      </rPr>
      <t xml:space="preserve">件で空回りしていた。</t>
    </r>
  </si>
  <si>
    <t xml:space="preserve">autopilot.enabled</t>
  </si>
  <si>
    <t xml:space="preserve">18</t>
  </si>
  <si>
    <r>
      <rPr>
        <sz val="10"/>
        <rFont val="Noto Sans CJK SC"/>
        <family val="2"/>
      </rPr>
      <t xml:space="preserve">台本が </t>
    </r>
    <r>
      <rPr>
        <sz val="10"/>
        <rFont val="Arial"/>
        <family val="0"/>
        <charset val="1"/>
      </rPr>
      <t xml:space="preserve">short_format </t>
    </r>
    <r>
      <rPr>
        <sz val="10"/>
        <rFont val="Noto Sans CJK SC"/>
        <family val="2"/>
      </rPr>
      <t xml:space="preserve">の上限を超過している問題への対処規則を追加</t>
    </r>
  </si>
  <si>
    <r>
      <rPr>
        <sz val="10"/>
        <rFont val="Noto Sans CJK SC"/>
        <family val="2"/>
      </rPr>
      <t xml:space="preserve">目標</t>
    </r>
    <r>
      <rPr>
        <sz val="10"/>
        <rFont val="Arial"/>
        <family val="0"/>
        <charset val="1"/>
      </rPr>
      <t xml:space="preserve">22</t>
    </r>
    <r>
      <rPr>
        <sz val="10"/>
        <rFont val="Noto Sans CJK SC"/>
        <family val="2"/>
      </rPr>
      <t xml:space="preserve">秒に対し実測の推定尺は</t>
    </r>
    <r>
      <rPr>
        <sz val="10"/>
        <rFont val="Arial"/>
        <family val="0"/>
        <charset val="1"/>
      </rPr>
      <t xml:space="preserve">26.0-35.8</t>
    </r>
    <r>
      <rPr>
        <sz val="10"/>
        <rFont val="Noto Sans CJK SC"/>
        <family val="2"/>
      </rPr>
      <t xml:space="preserve">秒。超過時は情報を足さず行を削って収める旨を明記。</t>
    </r>
  </si>
  <si>
    <t xml:space="preserve">voice_style.style_rules</t>
  </si>
  <si>
    <t xml:space="preserve">19</t>
  </si>
  <si>
    <t xml:space="preserve">scp-lab / daily-science</t>
  </si>
  <si>
    <t xml:space="preserve">タイトルへの数字の付与を「実在する場合のみ」に変更</t>
  </si>
  <si>
    <r>
      <rPr>
        <sz val="10"/>
        <rFont val="Noto Sans CJK SC"/>
        <family val="2"/>
      </rPr>
      <t xml:space="preserve">当初は『数字を必ず</t>
    </r>
    <r>
      <rPr>
        <sz val="10"/>
        <rFont val="Arial"/>
        <family val="0"/>
        <charset val="1"/>
      </rPr>
      <t xml:space="preserve">1</t>
    </r>
    <r>
      <rPr>
        <sz val="10"/>
        <rFont val="Noto Sans CJK SC"/>
        <family val="2"/>
      </rPr>
      <t xml:space="preserve">つ以上入れる』としたが、原典に数字がないテーマで数字が創作される事故が実際に発生した。報告書としての信頼性を損なうため、出典が確認できない数字の創作を明示的に禁止した。</t>
    </r>
  </si>
  <si>
    <t xml:space="preserve">20</t>
  </si>
  <si>
    <r>
      <rPr>
        <sz val="10"/>
        <rFont val="Arial"/>
        <family val="0"/>
        <charset val="1"/>
      </rPr>
      <t xml:space="preserve">viral_hooks </t>
    </r>
    <r>
      <rPr>
        <sz val="10"/>
        <rFont val="Noto Sans CJK SC"/>
        <family val="2"/>
      </rPr>
      <t xml:space="preserve">を原文のまま維持（一度除去したが復元）</t>
    </r>
  </si>
  <si>
    <r>
      <rPr>
        <sz val="10"/>
        <rFont val="Noto Sans CJK SC"/>
        <family val="2"/>
      </rPr>
      <t xml:space="preserve">当初は </t>
    </r>
    <r>
      <rPr>
        <sz val="10"/>
        <rFont val="Arial"/>
        <family val="0"/>
        <charset val="1"/>
      </rPr>
      <t xml:space="preserve">title_style </t>
    </r>
    <r>
      <rPr>
        <sz val="10"/>
        <rFont val="Noto Sans CJK SC"/>
        <family val="2"/>
      </rPr>
      <t xml:space="preserve">の禁止と矛盾するとして「</t>
    </r>
    <r>
      <rPr>
        <sz val="10"/>
        <rFont val="Arial"/>
        <family val="0"/>
        <charset val="1"/>
      </rPr>
      <t xml:space="preserve">99%</t>
    </r>
    <r>
      <rPr>
        <sz val="10"/>
        <rFont val="Noto Sans CJK SC"/>
        <family val="2"/>
      </rPr>
      <t xml:space="preserve">が知らない」を除去したが、</t>
    </r>
    <r>
      <rPr>
        <sz val="10"/>
        <rFont val="Arial"/>
        <family val="0"/>
        <charset val="1"/>
      </rPr>
      <t xml:space="preserve">(a) </t>
    </r>
    <r>
      <rPr>
        <sz val="10"/>
        <rFont val="Noto Sans CJK SC"/>
        <family val="2"/>
      </rPr>
      <t xml:space="preserve">除去処理の正規表現が </t>
    </r>
    <r>
      <rPr>
        <sz val="10"/>
        <rFont val="Arial"/>
        <family val="0"/>
        <charset val="1"/>
      </rPr>
      <t xml:space="preserve">viral_hooks </t>
    </r>
    <r>
      <rPr>
        <sz val="10"/>
        <rFont val="Noto Sans CJK SC"/>
        <family val="2"/>
      </rPr>
      <t xml:space="preserve">文字列全体を消してしまう不具合があり、</t>
    </r>
    <r>
      <rPr>
        <sz val="10"/>
        <rFont val="Arial"/>
        <family val="0"/>
        <charset val="1"/>
      </rPr>
      <t xml:space="preserve">(b) </t>
    </r>
    <r>
      <rPr>
        <sz val="10"/>
        <rFont val="Noto Sans CJK SC"/>
        <family val="2"/>
      </rPr>
      <t xml:space="preserve">そもそも禁止自体が誤りだったため（アクション</t>
    </r>
    <r>
      <rPr>
        <sz val="10"/>
        <rFont val="Arial"/>
        <family val="0"/>
        <charset val="1"/>
      </rPr>
      <t xml:space="preserve">#22</t>
    </r>
    <r>
      <rPr>
        <sz val="10"/>
        <rFont val="Noto Sans CJK SC"/>
        <family val="2"/>
      </rPr>
      <t xml:space="preserve">）、バックアップから全文を復元した。</t>
    </r>
  </si>
  <si>
    <t xml:space="preserve">21</t>
  </si>
  <si>
    <r>
      <rPr>
        <sz val="10"/>
        <rFont val="Arial"/>
        <family val="0"/>
        <charset val="1"/>
      </rPr>
      <t xml:space="preserve">total_chars_max </t>
    </r>
    <r>
      <rPr>
        <sz val="10"/>
        <rFont val="Noto Sans CJK SC"/>
        <family val="2"/>
      </rPr>
      <t xml:space="preserve">を </t>
    </r>
    <r>
      <rPr>
        <sz val="10"/>
        <rFont val="Arial"/>
        <family val="0"/>
        <charset val="1"/>
      </rPr>
      <t xml:space="preserve">330 → 310 </t>
    </r>
    <r>
      <rPr>
        <sz val="10"/>
        <rFont val="Noto Sans CJK SC"/>
        <family val="2"/>
      </rPr>
      <t xml:space="preserve">に修正</t>
    </r>
  </si>
  <si>
    <r>
      <rPr>
        <sz val="10"/>
        <rFont val="Arial"/>
        <family val="0"/>
        <charset val="1"/>
      </rPr>
      <t xml:space="preserve">line_chars</t>
    </r>
    <r>
      <rPr>
        <sz val="10"/>
        <rFont val="Noto Sans CJK SC"/>
        <family val="2"/>
      </rPr>
      <t xml:space="preserve">（</t>
    </r>
    <r>
      <rPr>
        <sz val="10"/>
        <rFont val="Arial"/>
        <family val="0"/>
        <charset val="1"/>
      </rPr>
      <t xml:space="preserve">1-7</t>
    </r>
    <r>
      <rPr>
        <sz val="10"/>
        <rFont val="Noto Sans CJK SC"/>
        <family val="2"/>
      </rPr>
      <t xml:space="preserve">行</t>
    </r>
    <r>
      <rPr>
        <sz val="10"/>
        <rFont val="Arial"/>
        <family val="0"/>
        <charset val="1"/>
      </rPr>
      <t xml:space="preserve">27</t>
    </r>
    <r>
      <rPr>
        <sz val="10"/>
        <rFont val="Noto Sans CJK SC"/>
        <family val="2"/>
      </rPr>
      <t xml:space="preserve">〜</t>
    </r>
    <r>
      <rPr>
        <sz val="10"/>
        <rFont val="Arial"/>
        <family val="0"/>
        <charset val="1"/>
      </rPr>
      <t xml:space="preserve">37</t>
    </r>
    <r>
      <rPr>
        <sz val="10"/>
        <rFont val="Noto Sans CJK SC"/>
        <family val="2"/>
      </rPr>
      <t xml:space="preserve">字、</t>
    </r>
    <r>
      <rPr>
        <sz val="10"/>
        <rFont val="Arial"/>
        <family val="0"/>
        <charset val="1"/>
      </rPr>
      <t xml:space="preserve">8</t>
    </r>
    <r>
      <rPr>
        <sz val="10"/>
        <rFont val="Noto Sans CJK SC"/>
        <family val="2"/>
      </rPr>
      <t xml:space="preserve">行目</t>
    </r>
    <r>
      <rPr>
        <sz val="10"/>
        <rFont val="Arial"/>
        <family val="0"/>
        <charset val="1"/>
      </rPr>
      <t xml:space="preserve">+15</t>
    </r>
    <r>
      <rPr>
        <sz val="10"/>
        <rFont val="Noto Sans CJK SC"/>
        <family val="2"/>
      </rPr>
      <t xml:space="preserve">字）から到達可能な上限は</t>
    </r>
    <r>
      <rPr>
        <sz val="10"/>
        <rFont val="Arial"/>
        <family val="0"/>
        <charset val="1"/>
      </rPr>
      <t xml:space="preserve">311</t>
    </r>
    <r>
      <rPr>
        <sz val="10"/>
        <rFont val="Noto Sans CJK SC"/>
        <family val="2"/>
      </rPr>
      <t xml:space="preserve">字で、</t>
    </r>
    <r>
      <rPr>
        <sz val="10"/>
        <rFont val="Arial"/>
        <family val="0"/>
        <charset val="1"/>
      </rPr>
      <t xml:space="preserve">330</t>
    </r>
    <r>
      <rPr>
        <sz val="10"/>
        <rFont val="Noto Sans CJK SC"/>
        <family val="2"/>
      </rPr>
      <t xml:space="preserve">字は算術的に到達不能だった。</t>
    </r>
  </si>
  <si>
    <t xml:space="preserve">short_format.total_chars_max</t>
  </si>
  <si>
    <t xml:space="preserve">22</t>
  </si>
  <si>
    <r>
      <rPr>
        <sz val="10"/>
        <rFont val="Noto Sans CJK SC"/>
        <family val="2"/>
      </rPr>
      <t xml:space="preserve">「</t>
    </r>
    <r>
      <rPr>
        <sz val="10"/>
        <rFont val="Arial"/>
        <family val="0"/>
        <charset val="1"/>
      </rPr>
      <t xml:space="preserve">99%</t>
    </r>
    <r>
      <rPr>
        <sz val="10"/>
        <rFont val="Noto Sans CJK SC"/>
        <family val="2"/>
      </rPr>
      <t xml:space="preserve">が知らない」の禁止を解除（前日からの継続禁止を撤回）</t>
    </r>
  </si>
  <si>
    <r>
      <rPr>
        <sz val="10"/>
        <rFont val="Arial"/>
        <family val="0"/>
        <charset val="1"/>
      </rPr>
      <t xml:space="preserve">1</t>
    </r>
    <r>
      <rPr>
        <sz val="10"/>
        <rFont val="Noto Sans CJK SC"/>
        <family val="2"/>
      </rPr>
      <t xml:space="preserve">本あたり登録者 </t>
    </r>
    <r>
      <rPr>
        <sz val="10"/>
        <rFont val="Arial"/>
        <family val="0"/>
        <charset val="1"/>
      </rPr>
      <t xml:space="preserve">0.417 vs 0.265</t>
    </r>
    <r>
      <rPr>
        <sz val="10"/>
        <rFont val="Noto Sans CJK SC"/>
        <family val="2"/>
      </rPr>
      <t xml:space="preserve">（</t>
    </r>
    <r>
      <rPr>
        <sz val="10"/>
        <rFont val="Arial"/>
        <family val="0"/>
        <charset val="1"/>
      </rPr>
      <t xml:space="preserve">1.57</t>
    </r>
    <r>
      <rPr>
        <sz val="10"/>
        <rFont val="Noto Sans CJK SC"/>
        <family val="2"/>
      </rPr>
      <t xml:space="preserve">倍）、登録</t>
    </r>
    <r>
      <rPr>
        <sz val="10"/>
        <rFont val="Arial"/>
        <family val="0"/>
        <charset val="1"/>
      </rPr>
      <t xml:space="preserve">/1000</t>
    </r>
    <r>
      <rPr>
        <sz val="10"/>
        <rFont val="Noto Sans CJK SC"/>
        <family val="2"/>
      </rPr>
      <t xml:space="preserve">再生 </t>
    </r>
    <r>
      <rPr>
        <sz val="10"/>
        <rFont val="Arial"/>
        <family val="0"/>
        <charset val="1"/>
      </rPr>
      <t xml:space="preserve">0.47 vs 0.29</t>
    </r>
    <r>
      <rPr>
        <sz val="10"/>
        <rFont val="Noto Sans CJK SC"/>
        <family val="2"/>
      </rPr>
      <t xml:space="preserve">、</t>
    </r>
    <r>
      <rPr>
        <sz val="10"/>
        <rFont val="Arial"/>
        <family val="0"/>
        <charset val="1"/>
      </rPr>
      <t xml:space="preserve">CTR 1.53% vs 1.28% </t>
    </r>
    <r>
      <rPr>
        <sz val="10"/>
        <rFont val="Noto Sans CJK SC"/>
        <family val="2"/>
      </rPr>
      <t xml:space="preserve">と</t>
    </r>
    <r>
      <rPr>
        <sz val="10"/>
        <rFont val="Arial"/>
        <family val="0"/>
        <charset val="1"/>
      </rPr>
      <t xml:space="preserve">3</t>
    </r>
    <r>
      <rPr>
        <sz val="10"/>
        <rFont val="Noto Sans CJK SC"/>
        <family val="2"/>
      </rPr>
      <t xml:space="preserve">指標すべてで正。前日は再生数</t>
    </r>
    <r>
      <rPr>
        <sz val="10"/>
        <rFont val="Arial"/>
        <family val="0"/>
        <charset val="1"/>
      </rPr>
      <t xml:space="preserve">0.94</t>
    </r>
    <r>
      <rPr>
        <sz val="10"/>
        <rFont val="Noto Sans CJK SC"/>
        <family val="2"/>
      </rPr>
      <t xml:space="preserve">倍のみを理由に禁止していたが、至上目標は登録者であるため誤り。ただし</t>
    </r>
    <r>
      <rPr>
        <sz val="10"/>
        <rFont val="Arial"/>
        <family val="0"/>
        <charset val="1"/>
      </rPr>
      <t xml:space="preserve">95%CI 0.76-3.26 </t>
    </r>
    <r>
      <rPr>
        <sz val="10"/>
        <rFont val="Noto Sans CJK SC"/>
        <family val="2"/>
      </rPr>
      <t xml:space="preserve">と有意ではないため必須化はせず、多用も避ける。</t>
    </r>
  </si>
  <si>
    <t xml:space="preserve">24</t>
  </si>
  <si>
    <r>
      <rPr>
        <sz val="10"/>
        <rFont val="Noto Sans CJK SC"/>
        <family val="2"/>
      </rPr>
      <t xml:space="preserve">【本日最大の修正】</t>
    </r>
    <r>
      <rPr>
        <sz val="10"/>
        <rFont val="Arial"/>
        <family val="0"/>
        <charset val="1"/>
      </rPr>
      <t xml:space="preserve">autopilot </t>
    </r>
    <r>
      <rPr>
        <sz val="10"/>
        <rFont val="Noto Sans CJK SC"/>
        <family val="2"/>
      </rPr>
      <t xml:space="preserve">が実際に消費するキューを是正</t>
    </r>
  </si>
  <si>
    <r>
      <rPr>
        <sz val="10"/>
        <rFont val="Noto Sans CJK SC"/>
        <family val="2"/>
      </rPr>
      <t xml:space="preserve">テーマキューが</t>
    </r>
    <r>
      <rPr>
        <sz val="10"/>
        <rFont val="Arial"/>
        <family val="0"/>
        <charset val="1"/>
      </rPr>
      <t xml:space="preserve">2</t>
    </r>
    <r>
      <rPr>
        <sz val="10"/>
        <rFont val="Noto Sans CJK SC"/>
        <family val="2"/>
      </rPr>
      <t xml:space="preserve">系統あり、定時投稿の </t>
    </r>
    <r>
      <rPr>
        <sz val="10"/>
        <rFont val="Arial"/>
        <family val="0"/>
        <charset val="1"/>
      </rPr>
      <t xml:space="preserve">autopilot </t>
    </r>
    <r>
      <rPr>
        <sz val="10"/>
        <rFont val="Noto Sans CJK SC"/>
        <family val="2"/>
      </rPr>
      <t xml:space="preserve">は </t>
    </r>
    <r>
      <rPr>
        <sz val="10"/>
        <rFont val="Arial"/>
        <family val="0"/>
        <charset val="1"/>
      </rPr>
      <t xml:space="preserve">&lt;channel&gt;.json </t>
    </r>
    <r>
      <rPr>
        <sz val="10"/>
        <rFont val="Noto Sans CJK SC"/>
        <family val="2"/>
      </rPr>
      <t xml:space="preserve">の </t>
    </r>
    <r>
      <rPr>
        <sz val="10"/>
        <rFont val="Arial"/>
        <family val="0"/>
        <charset val="1"/>
      </rPr>
      <t xml:space="preserve">autopilot.theme_queue </t>
    </r>
    <r>
      <rPr>
        <sz val="10"/>
        <rFont val="Noto Sans CJK SC"/>
        <family val="2"/>
      </rPr>
      <t xml:space="preserve">を読む（</t>
    </r>
    <r>
      <rPr>
        <sz val="10"/>
        <rFont val="Arial"/>
        <family val="0"/>
        <charset val="1"/>
      </rPr>
      <t xml:space="preserve">api_channel_autopilot.py </t>
    </r>
    <r>
      <rPr>
        <sz val="10"/>
        <rFont val="Noto Sans CJK SC"/>
        <family val="2"/>
      </rPr>
      <t xml:space="preserve">の </t>
    </r>
    <r>
      <rPr>
        <sz val="10"/>
        <rFont val="Arial"/>
        <family val="0"/>
        <charset val="1"/>
      </rPr>
      <t xml:space="preserve">_pop_or_refill_theme</t>
    </r>
    <r>
      <rPr>
        <sz val="10"/>
        <rFont val="Noto Sans CJK SC"/>
        <family val="2"/>
      </rPr>
      <t xml:space="preserve">）。</t>
    </r>
    <r>
      <rPr>
        <sz val="10"/>
        <rFont val="Arial"/>
        <family val="0"/>
        <charset val="1"/>
      </rPr>
      <t xml:space="preserve">data/channels/&lt;id&gt;/theme_queue.json </t>
    </r>
    <r>
      <rPr>
        <sz val="10"/>
        <rFont val="Noto Sans CJK SC"/>
        <family val="2"/>
      </rPr>
      <t xml:space="preserve">は手動実行の </t>
    </r>
    <r>
      <rPr>
        <sz val="10"/>
        <rFont val="Arial"/>
        <family val="0"/>
        <charset val="1"/>
      </rPr>
      <t xml:space="preserve">/factory/run </t>
    </r>
    <r>
      <rPr>
        <sz val="10"/>
        <rFont val="Noto Sans CJK SC"/>
        <family val="2"/>
      </rPr>
      <t xml:space="preserve">専用だった。反映前の </t>
    </r>
    <r>
      <rPr>
        <sz val="10"/>
        <rFont val="Arial"/>
        <family val="0"/>
        <charset val="1"/>
      </rPr>
      <t xml:space="preserve">autopilot.theme_queue </t>
    </r>
    <r>
      <rPr>
        <sz val="10"/>
        <rFont val="Noto Sans CJK SC"/>
        <family val="2"/>
      </rPr>
      <t xml:space="preserve">は </t>
    </r>
    <r>
      <rPr>
        <sz val="10"/>
        <rFont val="Arial"/>
        <family val="0"/>
        <charset val="1"/>
      </rPr>
      <t xml:space="preserve">scp-lab 7</t>
    </r>
    <r>
      <rPr>
        <sz val="10"/>
        <rFont val="Noto Sans CJK SC"/>
        <family val="2"/>
      </rPr>
      <t xml:space="preserve">件すべて「怖</t>
    </r>
    <r>
      <rPr>
        <sz val="10"/>
        <rFont val="Arial"/>
        <family val="0"/>
        <charset val="1"/>
      </rPr>
      <t xml:space="preserve">/</t>
    </r>
    <r>
      <rPr>
        <sz val="10"/>
        <rFont val="Noto Sans CJK SC"/>
        <family val="2"/>
      </rPr>
      <t xml:space="preserve">恐」なし、</t>
    </r>
    <r>
      <rPr>
        <sz val="10"/>
        <rFont val="Arial"/>
        <family val="0"/>
        <charset val="1"/>
      </rPr>
      <t xml:space="preserve">yokai-watch 10</t>
    </r>
    <r>
      <rPr>
        <sz val="10"/>
        <rFont val="Noto Sans CJK SC"/>
        <family val="2"/>
      </rPr>
      <t xml:space="preserve">件すべてダッシュ使用かつ全件が伝承のみ（作品ネタゼロ＝本日の最有力知見と正面から矛盾）、</t>
    </r>
    <r>
      <rPr>
        <sz val="10"/>
        <rFont val="Arial"/>
        <family val="0"/>
        <charset val="1"/>
      </rPr>
      <t xml:space="preserve">pokemon-lab 12</t>
    </r>
    <r>
      <rPr>
        <sz val="10"/>
        <rFont val="Noto Sans CJK SC"/>
        <family val="2"/>
      </rPr>
      <t xml:space="preserve">件中</t>
    </r>
    <r>
      <rPr>
        <sz val="10"/>
        <rFont val="Arial"/>
        <family val="0"/>
        <charset val="1"/>
      </rPr>
      <t xml:space="preserve">5</t>
    </r>
    <r>
      <rPr>
        <sz val="10"/>
        <rFont val="Noto Sans CJK SC"/>
        <family val="2"/>
      </rPr>
      <t xml:space="preserve">件が対決型。精査済みキューで置き換え、両系統を一致させた。</t>
    </r>
  </si>
  <si>
    <r>
      <rPr>
        <sz val="10"/>
        <rFont val="Arial"/>
        <family val="0"/>
        <charset val="1"/>
      </rPr>
      <t xml:space="preserve">autopilot.theme_queue</t>
    </r>
    <r>
      <rPr>
        <sz val="10"/>
        <rFont val="Noto Sans CJK SC"/>
        <family val="2"/>
      </rPr>
      <t xml:space="preserve">（</t>
    </r>
    <r>
      <rPr>
        <sz val="10"/>
        <rFont val="Arial"/>
        <family val="0"/>
        <charset val="1"/>
      </rPr>
      <t xml:space="preserve">6</t>
    </r>
    <r>
      <rPr>
        <sz val="10"/>
        <rFont val="Noto Sans CJK SC"/>
        <family val="2"/>
      </rPr>
      <t xml:space="preserve">ファイル）</t>
    </r>
  </si>
  <si>
    <t xml:space="preserve">23</t>
  </si>
  <si>
    <t xml:space="preserve">「妖怪ウォッチ作品ネタ」を題材選定の最優先条件に格上げ</t>
  </si>
  <si>
    <r>
      <rPr>
        <sz val="10"/>
        <rFont val="Noto Sans CJK SC"/>
        <family val="2"/>
      </rPr>
      <t xml:space="preserve">作品名・キャラ名・ゲーム内仕様を含む</t>
    </r>
    <r>
      <rPr>
        <sz val="10"/>
        <rFont val="Arial"/>
        <family val="0"/>
        <charset val="1"/>
      </rPr>
      <t xml:space="preserve">10</t>
    </r>
    <r>
      <rPr>
        <sz val="10"/>
        <rFont val="Noto Sans CJK SC"/>
        <family val="2"/>
      </rPr>
      <t xml:space="preserve">本は</t>
    </r>
    <r>
      <rPr>
        <sz val="10"/>
        <rFont val="Arial"/>
        <family val="0"/>
        <charset val="1"/>
      </rPr>
      <t xml:space="preserve">1</t>
    </r>
    <r>
      <rPr>
        <sz val="10"/>
        <rFont val="Noto Sans CJK SC"/>
        <family val="2"/>
      </rPr>
      <t xml:space="preserve">本あたり登録者 </t>
    </r>
    <r>
      <rPr>
        <sz val="10"/>
        <rFont val="Arial"/>
        <family val="0"/>
        <charset val="1"/>
      </rPr>
      <t xml:space="preserve">0.700 vs </t>
    </r>
    <r>
      <rPr>
        <sz val="10"/>
        <rFont val="Noto Sans CJK SC"/>
        <family val="2"/>
      </rPr>
      <t xml:space="preserve">伝承のみ</t>
    </r>
    <r>
      <rPr>
        <sz val="10"/>
        <rFont val="Arial"/>
        <family val="0"/>
        <charset val="1"/>
      </rPr>
      <t xml:space="preserve">0.286</t>
    </r>
    <r>
      <rPr>
        <sz val="10"/>
        <rFont val="Noto Sans CJK SC"/>
        <family val="2"/>
      </rPr>
      <t xml:space="preserve">（</t>
    </r>
    <r>
      <rPr>
        <sz val="10"/>
        <rFont val="Arial"/>
        <family val="0"/>
        <charset val="1"/>
      </rPr>
      <t xml:space="preserve">2.45</t>
    </r>
    <r>
      <rPr>
        <sz val="10"/>
        <rFont val="Noto Sans CJK SC"/>
        <family val="2"/>
      </rPr>
      <t xml:space="preserve">倍）、登録</t>
    </r>
    <r>
      <rPr>
        <sz val="10"/>
        <rFont val="Arial"/>
        <family val="0"/>
        <charset val="1"/>
      </rPr>
      <t xml:space="preserve">/1000</t>
    </r>
    <r>
      <rPr>
        <sz val="10"/>
        <rFont val="Noto Sans CJK SC"/>
        <family val="2"/>
      </rPr>
      <t xml:space="preserve">再生 </t>
    </r>
    <r>
      <rPr>
        <sz val="10"/>
        <rFont val="Arial"/>
        <family val="0"/>
        <charset val="1"/>
      </rPr>
      <t xml:space="preserve">2.9</t>
    </r>
    <r>
      <rPr>
        <sz val="10"/>
        <rFont val="Noto Sans CJK SC"/>
        <family val="2"/>
      </rPr>
      <t xml:space="preserve">倍、</t>
    </r>
    <r>
      <rPr>
        <sz val="10"/>
        <rFont val="Arial"/>
        <family val="0"/>
        <charset val="1"/>
      </rPr>
      <t xml:space="preserve">CTR 1.96% vs 1.47%</t>
    </r>
    <r>
      <rPr>
        <sz val="10"/>
        <rFont val="Noto Sans CJK SC"/>
        <family val="2"/>
      </rPr>
      <t xml:space="preserve">。伝承のみの回は平均再生では上回る（</t>
    </r>
    <r>
      <rPr>
        <sz val="10"/>
        <rFont val="Arial"/>
        <family val="0"/>
        <charset val="1"/>
      </rPr>
      <t xml:space="preserve">1543 vs 1281</t>
    </r>
    <r>
      <rPr>
        <sz val="10"/>
        <rFont val="Noto Sans CJK SC"/>
        <family val="2"/>
      </rPr>
      <t xml:space="preserve">）が登録に繋がらない。秘密</t>
    </r>
    <r>
      <rPr>
        <sz val="10"/>
        <rFont val="Arial"/>
        <family val="0"/>
        <charset val="1"/>
      </rPr>
      <t xml:space="preserve">/</t>
    </r>
    <r>
      <rPr>
        <sz val="10"/>
        <rFont val="Noto Sans CJK SC"/>
        <family val="2"/>
      </rPr>
      <t xml:space="preserve">隠よりも効果量が大きく、夜間</t>
    </r>
    <r>
      <rPr>
        <sz val="10"/>
        <rFont val="Arial"/>
        <family val="0"/>
        <charset val="1"/>
      </rPr>
      <t xml:space="preserve">PDCA</t>
    </r>
    <r>
      <rPr>
        <sz val="10"/>
        <rFont val="Noto Sans CJK SC"/>
        <family val="2"/>
      </rPr>
      <t xml:space="preserve">の独立分析とも一致する。</t>
    </r>
  </si>
  <si>
    <t xml:space="preserve">■ 未解決事項</t>
  </si>
  <si>
    <t xml:space="preserve">内容</t>
  </si>
  <si>
    <t xml:space="preserve">状況</t>
  </si>
  <si>
    <t xml:space="preserve">次アクション</t>
  </si>
  <si>
    <r>
      <rPr>
        <sz val="10"/>
        <rFont val="Arial"/>
        <family val="0"/>
        <charset val="1"/>
      </rPr>
      <t xml:space="preserve">company-facts </t>
    </r>
    <r>
      <rPr>
        <sz val="10"/>
        <rFont val="Noto Sans CJK SC"/>
        <family val="2"/>
      </rPr>
      <t xml:space="preserve">の実績データが</t>
    </r>
    <r>
      <rPr>
        <sz val="10"/>
        <rFont val="Arial"/>
        <family val="0"/>
        <charset val="1"/>
      </rPr>
      <t xml:space="preserve">0</t>
    </r>
    <r>
      <rPr>
        <sz val="10"/>
        <rFont val="Noto Sans CJK SC"/>
        <family val="2"/>
      </rPr>
      <t xml:space="preserve">件のまま</t>
    </r>
  </si>
  <si>
    <t xml:space="preserve">前日から継続</t>
  </si>
  <si>
    <r>
      <rPr>
        <sz val="10"/>
        <rFont val="Arial"/>
        <family val="0"/>
        <charset val="1"/>
      </rPr>
      <t xml:space="preserve">autopilot </t>
    </r>
    <r>
      <rPr>
        <sz val="10"/>
        <rFont val="Noto Sans CJK SC"/>
        <family val="2"/>
      </rPr>
      <t xml:space="preserve">は有効でテーマキュー</t>
    </r>
    <r>
      <rPr>
        <sz val="10"/>
        <rFont val="Arial"/>
        <family val="0"/>
        <charset val="1"/>
      </rPr>
      <t xml:space="preserve">9</t>
    </r>
    <r>
      <rPr>
        <sz val="10"/>
        <rFont val="Noto Sans CJK SC"/>
        <family val="2"/>
      </rPr>
      <t xml:space="preserve">件もあるが </t>
    </r>
    <r>
      <rPr>
        <sz val="10"/>
        <rFont val="Arial"/>
        <family val="0"/>
        <charset val="1"/>
      </rPr>
      <t xml:space="preserve">video_metrics / channel_metrics </t>
    </r>
    <r>
      <rPr>
        <sz val="10"/>
        <rFont val="Noto Sans CJK SC"/>
        <family val="2"/>
      </rPr>
      <t xml:space="preserve">ともに</t>
    </r>
    <r>
      <rPr>
        <sz val="10"/>
        <rFont val="Arial"/>
        <family val="0"/>
        <charset val="1"/>
      </rPr>
      <t xml:space="preserve">0</t>
    </r>
    <r>
      <rPr>
        <sz val="10"/>
        <rFont val="Noto Sans CJK SC"/>
        <family val="2"/>
      </rPr>
      <t xml:space="preserve">行。投稿が実際に</t>
    </r>
    <r>
      <rPr>
        <sz val="10"/>
        <rFont val="Arial"/>
        <family val="0"/>
        <charset val="1"/>
      </rPr>
      <t xml:space="preserve">YouTube</t>
    </r>
    <r>
      <rPr>
        <sz val="10"/>
        <rFont val="Noto Sans CJK SC"/>
        <family val="2"/>
      </rPr>
      <t xml:space="preserve">へ到達しているかバックエンドログで確認が必要。</t>
    </r>
  </si>
  <si>
    <r>
      <rPr>
        <sz val="10"/>
        <rFont val="Arial"/>
        <family val="0"/>
        <charset val="1"/>
      </rPr>
      <t xml:space="preserve">2ch-matome </t>
    </r>
    <r>
      <rPr>
        <sz val="10"/>
        <rFont val="Noto Sans CJK SC"/>
        <family val="2"/>
      </rPr>
      <t xml:space="preserve">が最下位で改善の打ち手が立たない</t>
    </r>
  </si>
  <si>
    <t xml:space="preserve">データ不足</t>
  </si>
  <si>
    <r>
      <rPr>
        <sz val="10"/>
        <rFont val="Arial"/>
        <family val="0"/>
        <charset val="1"/>
      </rPr>
      <t xml:space="preserve">60</t>
    </r>
    <r>
      <rPr>
        <sz val="10"/>
        <rFont val="Noto Sans CJK SC"/>
        <family val="2"/>
      </rPr>
      <t xml:space="preserve">日で公開</t>
    </r>
    <r>
      <rPr>
        <sz val="10"/>
        <rFont val="Arial"/>
        <family val="0"/>
        <charset val="1"/>
      </rPr>
      <t xml:space="preserve">23</t>
    </r>
    <r>
      <rPr>
        <sz val="10"/>
        <rFont val="Noto Sans CJK SC"/>
        <family val="2"/>
      </rPr>
      <t xml:space="preserve">本（うち再生数</t>
    </r>
    <r>
      <rPr>
        <sz val="10"/>
        <rFont val="Arial"/>
        <family val="0"/>
        <charset val="1"/>
      </rPr>
      <t xml:space="preserve">1</t>
    </r>
    <r>
      <rPr>
        <sz val="10"/>
        <rFont val="Noto Sans CJK SC"/>
        <family val="2"/>
      </rPr>
      <t xml:space="preserve">以上は</t>
    </r>
    <r>
      <rPr>
        <sz val="10"/>
        <rFont val="Arial"/>
        <family val="0"/>
        <charset val="1"/>
      </rPr>
      <t xml:space="preserve">17</t>
    </r>
    <r>
      <rPr>
        <sz val="10"/>
        <rFont val="Noto Sans CJK SC"/>
        <family val="2"/>
      </rPr>
      <t xml:space="preserve">本）・獲得登録者</t>
    </r>
    <r>
      <rPr>
        <sz val="10"/>
        <rFont val="Arial"/>
        <family val="0"/>
        <charset val="1"/>
      </rPr>
      <t xml:space="preserve">3</t>
    </r>
    <r>
      <rPr>
        <sz val="10"/>
        <rFont val="Noto Sans CJK SC"/>
        <family val="2"/>
      </rPr>
      <t xml:space="preserve">人。インプレッションも</t>
    </r>
    <r>
      <rPr>
        <sz val="10"/>
        <rFont val="Arial"/>
        <family val="0"/>
        <charset val="1"/>
      </rPr>
      <t xml:space="preserve">551</t>
    </r>
    <r>
      <rPr>
        <sz val="10"/>
        <rFont val="Noto Sans CJK SC"/>
        <family val="2"/>
      </rPr>
      <t xml:space="preserve">件のみで</t>
    </r>
    <r>
      <rPr>
        <sz val="10"/>
        <rFont val="Arial"/>
        <family val="0"/>
        <charset val="1"/>
      </rPr>
      <t xml:space="preserve">CTR</t>
    </r>
    <r>
      <rPr>
        <sz val="10"/>
        <rFont val="Noto Sans CJK SC"/>
        <family val="2"/>
      </rPr>
      <t xml:space="preserve">分析の検出力がない。データが貯まるまで施策変更を保留する（前日の</t>
    </r>
    <r>
      <rPr>
        <sz val="10"/>
        <rFont val="Arial"/>
        <family val="0"/>
        <charset val="1"/>
      </rPr>
      <t xml:space="preserve">1</t>
    </r>
    <r>
      <rPr>
        <sz val="10"/>
        <rFont val="Noto Sans CJK SC"/>
        <family val="2"/>
      </rPr>
      <t xml:space="preserve">本</t>
    </r>
    <r>
      <rPr>
        <sz val="10"/>
        <rFont val="Arial"/>
        <family val="0"/>
        <charset val="1"/>
      </rPr>
      <t xml:space="preserve">/</t>
    </r>
    <r>
      <rPr>
        <sz val="10"/>
        <rFont val="Noto Sans CJK SC"/>
        <family val="2"/>
      </rPr>
      <t xml:space="preserve">日への減枠は維持）。</t>
    </r>
  </si>
  <si>
    <r>
      <rPr>
        <sz val="10"/>
        <rFont val="Arial"/>
        <family val="0"/>
        <charset val="1"/>
      </rPr>
      <t xml:space="preserve">video_metrics </t>
    </r>
    <r>
      <rPr>
        <sz val="10"/>
        <rFont val="Noto Sans CJK SC"/>
        <family val="2"/>
      </rPr>
      <t xml:space="preserve">の </t>
    </r>
    <r>
      <rPr>
        <sz val="10"/>
        <rFont val="Arial"/>
        <family val="0"/>
        <charset val="1"/>
      </rPr>
      <t xml:space="preserve">impressions </t>
    </r>
    <r>
      <rPr>
        <sz val="10"/>
        <rFont val="Noto Sans CJK SC"/>
        <family val="2"/>
      </rPr>
      <t xml:space="preserve">と </t>
    </r>
    <r>
      <rPr>
        <sz val="10"/>
        <rFont val="Arial"/>
        <family val="0"/>
        <charset val="1"/>
      </rPr>
      <t xml:space="preserve">video_reach_daily </t>
    </r>
    <r>
      <rPr>
        <sz val="10"/>
        <rFont val="Noto Sans CJK SC"/>
        <family val="2"/>
      </rPr>
      <t xml:space="preserve">の値が一致しない</t>
    </r>
  </si>
  <si>
    <r>
      <rPr>
        <sz val="10"/>
        <rFont val="Arial"/>
        <family val="0"/>
        <charset val="1"/>
      </rPr>
      <t xml:space="preserve">scp-lab </t>
    </r>
    <r>
      <rPr>
        <sz val="10"/>
        <rFont val="Noto Sans CJK SC"/>
        <family val="2"/>
      </rPr>
      <t xml:space="preserve">は </t>
    </r>
    <r>
      <rPr>
        <sz val="10"/>
        <rFont val="Arial"/>
        <family val="0"/>
        <charset val="1"/>
      </rPr>
      <t xml:space="preserve">video_metrics 29,585 </t>
    </r>
    <r>
      <rPr>
        <sz val="10"/>
        <rFont val="Noto Sans CJK SC"/>
        <family val="2"/>
      </rPr>
      <t xml:space="preserve">に対し </t>
    </r>
    <r>
      <rPr>
        <sz val="10"/>
        <rFont val="Arial"/>
        <family val="0"/>
        <charset val="1"/>
      </rPr>
      <t xml:space="preserve">video_reach_daily 43,997</t>
    </r>
    <r>
      <rPr>
        <sz val="10"/>
        <rFont val="Noto Sans CJK SC"/>
        <family val="2"/>
      </rPr>
      <t xml:space="preserve">。本レポートは母数の大きい </t>
    </r>
    <r>
      <rPr>
        <sz val="10"/>
        <rFont val="Arial"/>
        <family val="0"/>
        <charset val="1"/>
      </rPr>
      <t xml:space="preserve">video_reach_daily </t>
    </r>
    <r>
      <rPr>
        <sz val="10"/>
        <rFont val="Noto Sans CJK SC"/>
        <family val="2"/>
      </rPr>
      <t xml:space="preserve">を採用したが、取り込みロジックの差分を確認すべき。</t>
    </r>
  </si>
  <si>
    <r>
      <rPr>
        <sz val="10"/>
        <rFont val="Arial"/>
        <family val="0"/>
        <charset val="1"/>
      </rPr>
      <t xml:space="preserve">reach </t>
    </r>
    <r>
      <rPr>
        <sz val="10"/>
        <rFont val="Noto Sans CJK SC"/>
        <family val="2"/>
      </rPr>
      <t xml:space="preserve">レポートの取り込みが</t>
    </r>
    <r>
      <rPr>
        <sz val="10"/>
        <rFont val="Arial"/>
        <family val="0"/>
        <charset val="1"/>
      </rPr>
      <t xml:space="preserve">2-3</t>
    </r>
    <r>
      <rPr>
        <sz val="10"/>
        <rFont val="Noto Sans CJK SC"/>
        <family val="2"/>
      </rPr>
      <t xml:space="preserve">日遅れる</t>
    </r>
  </si>
  <si>
    <r>
      <rPr>
        <sz val="10"/>
        <rFont val="Arial"/>
        <family val="0"/>
        <charset val="1"/>
      </rPr>
      <t xml:space="preserve">video_reach_daily </t>
    </r>
    <r>
      <rPr>
        <sz val="10"/>
        <rFont val="Noto Sans CJK SC"/>
        <family val="2"/>
      </rPr>
      <t xml:space="preserve">の最新が </t>
    </r>
    <r>
      <rPr>
        <sz val="10"/>
        <rFont val="Arial"/>
        <family val="0"/>
        <charset val="1"/>
      </rPr>
      <t xml:space="preserve">2026-08-20 </t>
    </r>
    <r>
      <rPr>
        <sz val="10"/>
        <rFont val="Noto Sans CJK SC"/>
        <family val="2"/>
      </rPr>
      <t xml:space="preserve">で </t>
    </r>
    <r>
      <rPr>
        <sz val="10"/>
        <rFont val="Arial"/>
        <family val="0"/>
        <charset val="1"/>
      </rPr>
      <t xml:space="preserve">video_metrics</t>
    </r>
    <r>
      <rPr>
        <sz val="10"/>
        <rFont val="Noto Sans CJK SC"/>
        <family val="2"/>
      </rPr>
      <t xml:space="preserve">（</t>
    </r>
    <r>
      <rPr>
        <sz val="10"/>
        <rFont val="Arial"/>
        <family val="0"/>
        <charset val="1"/>
      </rPr>
      <t xml:space="preserve">08-22</t>
    </r>
    <r>
      <rPr>
        <sz val="10"/>
        <rFont val="Noto Sans CJK SC"/>
        <family val="2"/>
      </rPr>
      <t xml:space="preserve">）より</t>
    </r>
    <r>
      <rPr>
        <sz val="10"/>
        <rFont val="Arial"/>
        <family val="0"/>
        <charset val="1"/>
      </rPr>
      <t xml:space="preserve">2</t>
    </r>
    <r>
      <rPr>
        <sz val="10"/>
        <rFont val="Noto Sans CJK SC"/>
        <family val="2"/>
      </rPr>
      <t xml:space="preserve">日古い。当日投稿分の</t>
    </r>
    <r>
      <rPr>
        <sz val="10"/>
        <rFont val="Arial"/>
        <family val="0"/>
        <charset val="1"/>
      </rPr>
      <t xml:space="preserve">CTR</t>
    </r>
    <r>
      <rPr>
        <sz val="10"/>
        <rFont val="Noto Sans CJK SC"/>
        <family val="2"/>
      </rPr>
      <t xml:space="preserve">は翌々日まで評価できない前提で運用する。</t>
    </r>
  </si>
  <si>
    <r>
      <rPr>
        <sz val="10"/>
        <rFont val="Arial"/>
        <family val="0"/>
        <charset val="1"/>
      </rPr>
      <t xml:space="preserve">pokemon-lab </t>
    </r>
    <r>
      <rPr>
        <sz val="10"/>
        <rFont val="Noto Sans CJK SC"/>
        <family val="2"/>
      </rPr>
      <t xml:space="preserve">と </t>
    </r>
    <r>
      <rPr>
        <sz val="10"/>
        <rFont val="Arial"/>
        <family val="0"/>
        <charset val="1"/>
      </rPr>
      <t xml:space="preserve">yokai-watch </t>
    </r>
    <r>
      <rPr>
        <sz val="10"/>
        <rFont val="Noto Sans CJK SC"/>
        <family val="2"/>
      </rPr>
      <t xml:space="preserve">の維持率が</t>
    </r>
    <r>
      <rPr>
        <sz val="10"/>
        <rFont val="Arial"/>
        <family val="0"/>
        <charset val="1"/>
      </rPr>
      <t xml:space="preserve">4</t>
    </r>
    <r>
      <rPr>
        <sz val="10"/>
        <rFont val="Noto Sans CJK SC"/>
        <family val="2"/>
      </rPr>
      <t xml:space="preserve">週連続で低下</t>
    </r>
  </si>
  <si>
    <r>
      <rPr>
        <sz val="10"/>
        <rFont val="Noto Sans CJK SC"/>
        <family val="2"/>
      </rPr>
      <t xml:space="preserve">公開後</t>
    </r>
    <r>
      <rPr>
        <sz val="10"/>
        <rFont val="Arial"/>
        <family val="0"/>
        <charset val="1"/>
      </rPr>
      <t xml:space="preserve">3</t>
    </r>
    <r>
      <rPr>
        <sz val="10"/>
        <rFont val="Noto Sans CJK SC"/>
        <family val="2"/>
      </rPr>
      <t xml:space="preserve">日で揃えた比較で </t>
    </r>
    <r>
      <rPr>
        <sz val="10"/>
        <rFont val="Arial"/>
        <family val="0"/>
        <charset val="1"/>
      </rPr>
      <t xml:space="preserve">pokemon-lab 78.7%→55.0%</t>
    </r>
    <r>
      <rPr>
        <sz val="10"/>
        <rFont val="Noto Sans CJK SC"/>
        <family val="2"/>
      </rPr>
      <t xml:space="preserve">、</t>
    </r>
    <r>
      <rPr>
        <sz val="10"/>
        <rFont val="Arial"/>
        <family val="0"/>
        <charset val="1"/>
      </rPr>
      <t xml:space="preserve">yokai-watch 63.3%→50.2%</t>
    </r>
    <r>
      <rPr>
        <sz val="10"/>
        <rFont val="Noto Sans CJK SC"/>
        <family val="2"/>
      </rPr>
      <t xml:space="preserve">。初期ブーストの減衰か品質低下かの切り分けが必要。翌日以降も継続監視。</t>
    </r>
  </si>
  <si>
    <r>
      <rPr>
        <sz val="10"/>
        <rFont val="Noto Sans CJK SC"/>
        <family val="2"/>
      </rPr>
      <t xml:space="preserve">指揮者からバックエンド</t>
    </r>
    <r>
      <rPr>
        <sz val="10"/>
        <rFont val="Arial"/>
        <family val="0"/>
        <charset val="1"/>
      </rPr>
      <t xml:space="preserve">(localhost:8000)</t>
    </r>
    <r>
      <rPr>
        <sz val="10"/>
        <rFont val="Noto Sans CJK SC"/>
        <family val="2"/>
      </rPr>
      <t xml:space="preserve">へ到達できない</t>
    </r>
  </si>
  <si>
    <r>
      <rPr>
        <sz val="10"/>
        <rFont val="Noto Sans CJK SC"/>
        <family val="2"/>
      </rPr>
      <t xml:space="preserve">指揮者はサンドボックス</t>
    </r>
    <r>
      <rPr>
        <sz val="10"/>
        <rFont val="Arial"/>
        <family val="0"/>
        <charset val="1"/>
      </rPr>
      <t xml:space="preserve">Linux</t>
    </r>
    <r>
      <rPr>
        <sz val="10"/>
        <rFont val="Noto Sans CJK SC"/>
        <family val="2"/>
      </rPr>
      <t xml:space="preserve">上で動作するため </t>
    </r>
    <r>
      <rPr>
        <sz val="10"/>
        <rFont val="Arial"/>
        <family val="0"/>
        <charset val="1"/>
      </rPr>
      <t xml:space="preserve">Mac </t>
    </r>
    <r>
      <rPr>
        <sz val="10"/>
        <rFont val="Noto Sans CJK SC"/>
        <family val="2"/>
      </rPr>
      <t xml:space="preserve">の </t>
    </r>
    <r>
      <rPr>
        <sz val="10"/>
        <rFont val="Arial"/>
        <family val="0"/>
        <charset val="1"/>
      </rPr>
      <t xml:space="preserve">localhost </t>
    </r>
    <r>
      <rPr>
        <sz val="10"/>
        <rFont val="Noto Sans CJK SC"/>
        <family val="2"/>
      </rPr>
      <t xml:space="preserve">に到達不可。コンフィグ更新が実質の制作指示となる（</t>
    </r>
    <r>
      <rPr>
        <sz val="10"/>
        <rFont val="Arial"/>
        <family val="0"/>
        <charset val="1"/>
      </rPr>
      <t xml:space="preserve">APScheduler </t>
    </r>
    <r>
      <rPr>
        <sz val="10"/>
        <rFont val="Noto Sans CJK SC"/>
        <family val="2"/>
      </rPr>
      <t xml:space="preserve">が変更を自動で拾う）。即時実行は </t>
    </r>
    <r>
      <rPr>
        <sz val="10"/>
        <rFont val="Arial"/>
        <family val="0"/>
        <charset val="1"/>
      </rPr>
      <t xml:space="preserve">scripts/trigger_autopilot_20260823.sh </t>
    </r>
    <r>
      <rPr>
        <sz val="10"/>
        <rFont val="Noto Sans CJK SC"/>
        <family val="2"/>
      </rPr>
      <t xml:space="preserve">を</t>
    </r>
    <r>
      <rPr>
        <sz val="10"/>
        <rFont val="Arial"/>
        <family val="0"/>
        <charset val="1"/>
      </rPr>
      <t xml:space="preserve">Mac</t>
    </r>
    <r>
      <rPr>
        <sz val="10"/>
        <rFont val="Noto Sans CJK SC"/>
        <family val="2"/>
      </rPr>
      <t xml:space="preserve">で実行。</t>
    </r>
  </si>
  <si>
    <t xml:space="preserve">本日のタイトル規則の効果は未検証</t>
  </si>
  <si>
    <r>
      <rPr>
        <sz val="10"/>
        <rFont val="Arial"/>
        <family val="0"/>
        <charset val="1"/>
      </rPr>
      <t xml:space="preserve">reach </t>
    </r>
    <r>
      <rPr>
        <sz val="10"/>
        <rFont val="Noto Sans CJK SC"/>
        <family val="2"/>
      </rPr>
      <t xml:space="preserve">取り込みが</t>
    </r>
    <r>
      <rPr>
        <sz val="10"/>
        <rFont val="Arial"/>
        <family val="0"/>
        <charset val="1"/>
      </rPr>
      <t xml:space="preserve">2</t>
    </r>
    <r>
      <rPr>
        <sz val="10"/>
        <rFont val="Noto Sans CJK SC"/>
        <family val="2"/>
      </rPr>
      <t xml:space="preserve">日遅れるため、本日の変更の</t>
    </r>
    <r>
      <rPr>
        <sz val="10"/>
        <rFont val="Arial"/>
        <family val="0"/>
        <charset val="1"/>
      </rPr>
      <t xml:space="preserve">CTR</t>
    </r>
    <r>
      <rPr>
        <sz val="10"/>
        <rFont val="Noto Sans CJK SC"/>
        <family val="2"/>
      </rPr>
      <t xml:space="preserve">効果は </t>
    </r>
    <r>
      <rPr>
        <sz val="10"/>
        <rFont val="Arial"/>
        <family val="0"/>
        <charset val="1"/>
      </rPr>
      <t xml:space="preserve">08-26 </t>
    </r>
    <r>
      <rPr>
        <sz val="10"/>
        <rFont val="Noto Sans CJK SC"/>
        <family val="2"/>
      </rPr>
      <t xml:space="preserve">頃まで判定できない。それまで追加のタイトル変更は行わず、効果測定を優先する。</t>
    </r>
  </si>
  <si>
    <r>
      <rPr>
        <sz val="10"/>
        <rFont val="Noto Sans CJK SC"/>
        <family val="2"/>
      </rPr>
      <t xml:space="preserve">本日の施策のうち</t>
    </r>
    <r>
      <rPr>
        <sz val="10"/>
        <rFont val="Arial"/>
        <family val="0"/>
        <charset val="1"/>
      </rPr>
      <t xml:space="preserve">2</t>
    </r>
    <r>
      <rPr>
        <sz val="10"/>
        <rFont val="Noto Sans CJK SC"/>
        <family val="2"/>
      </rPr>
      <t xml:space="preserve">件は統計的根拠が弱い</t>
    </r>
  </si>
  <si>
    <r>
      <rPr>
        <sz val="10"/>
        <rFont val="Arial"/>
        <family val="0"/>
        <charset val="1"/>
      </rPr>
      <t xml:space="preserve">scp-lab</t>
    </r>
    <r>
      <rPr>
        <sz val="10"/>
        <rFont val="Noto Sans CJK SC"/>
        <family val="2"/>
      </rPr>
      <t xml:space="preserve">「怖</t>
    </r>
    <r>
      <rPr>
        <sz val="10"/>
        <rFont val="Arial"/>
        <family val="0"/>
        <charset val="1"/>
      </rPr>
      <t xml:space="preserve">/</t>
    </r>
    <r>
      <rPr>
        <sz val="10"/>
        <rFont val="Noto Sans CJK SC"/>
        <family val="2"/>
      </rPr>
      <t xml:space="preserve">恐」（</t>
    </r>
    <r>
      <rPr>
        <sz val="10"/>
        <rFont val="Arial"/>
        <family val="0"/>
        <charset val="1"/>
      </rPr>
      <t xml:space="preserve">CTR</t>
    </r>
    <r>
      <rPr>
        <sz val="10"/>
        <rFont val="Noto Sans CJK SC"/>
        <family val="2"/>
      </rPr>
      <t xml:space="preserve">非有意・</t>
    </r>
    <r>
      <rPr>
        <sz val="10"/>
        <rFont val="Arial"/>
        <family val="0"/>
        <charset val="1"/>
      </rPr>
      <t xml:space="preserve">60</t>
    </r>
    <r>
      <rPr>
        <sz val="10"/>
        <rFont val="Noto Sans CJK SC"/>
        <family val="2"/>
      </rPr>
      <t xml:space="preserve">日コホートで符号反転）と </t>
    </r>
    <r>
      <rPr>
        <sz val="10"/>
        <rFont val="Arial"/>
        <family val="0"/>
        <charset val="1"/>
      </rPr>
      <t xml:space="preserve">pokemon-lab</t>
    </r>
    <r>
      <rPr>
        <sz val="10"/>
        <rFont val="Noto Sans CJK SC"/>
        <family val="2"/>
      </rPr>
      <t xml:space="preserve">「秘密</t>
    </r>
    <r>
      <rPr>
        <sz val="10"/>
        <rFont val="Arial"/>
        <family val="0"/>
        <charset val="1"/>
      </rPr>
      <t xml:space="preserve">/</t>
    </r>
    <r>
      <rPr>
        <sz val="10"/>
        <rFont val="Noto Sans CJK SC"/>
        <family val="2"/>
      </rPr>
      <t xml:space="preserve">隠」（</t>
    </r>
    <r>
      <rPr>
        <sz val="10"/>
        <rFont val="Arial"/>
        <family val="0"/>
        <charset val="1"/>
      </rPr>
      <t xml:space="preserve">A</t>
    </r>
    <r>
      <rPr>
        <sz val="10"/>
        <rFont val="Noto Sans CJK SC"/>
        <family val="2"/>
      </rPr>
      <t xml:space="preserve">群</t>
    </r>
    <r>
      <rPr>
        <sz val="10"/>
        <rFont val="Arial"/>
        <family val="0"/>
        <charset val="1"/>
      </rPr>
      <t xml:space="preserve">n=6</t>
    </r>
    <r>
      <rPr>
        <sz val="10"/>
        <rFont val="Noto Sans CJK SC"/>
        <family val="2"/>
      </rPr>
      <t xml:space="preserve">・寄与が</t>
    </r>
    <r>
      <rPr>
        <sz val="10"/>
        <rFont val="Arial"/>
        <family val="0"/>
        <charset val="1"/>
      </rPr>
      <t xml:space="preserve">1</t>
    </r>
    <r>
      <rPr>
        <sz val="10"/>
        <rFont val="Noto Sans CJK SC"/>
        <family val="2"/>
      </rPr>
      <t xml:space="preserve">本に集中、</t>
    </r>
    <r>
      <rPr>
        <sz val="10"/>
        <rFont val="Arial"/>
        <family val="0"/>
        <charset val="1"/>
      </rPr>
      <t xml:space="preserve">CI</t>
    </r>
    <r>
      <rPr>
        <sz val="10"/>
        <rFont val="Noto Sans CJK SC"/>
        <family val="2"/>
      </rPr>
      <t xml:space="preserve">下限</t>
    </r>
    <r>
      <rPr>
        <sz val="10"/>
        <rFont val="Arial"/>
        <family val="0"/>
        <charset val="1"/>
      </rPr>
      <t xml:space="preserve">1.02</t>
    </r>
    <r>
      <rPr>
        <sz val="10"/>
        <rFont val="Noto Sans CJK SC"/>
        <family val="2"/>
      </rPr>
      <t xml:space="preserve">）は、いずれも弱い証拠に基づく。翌週データで再検証し、支持されなければ撤回する。</t>
    </r>
  </si>
  <si>
    <t xml:space="preserve">分析の母集団を統一する仕組みがない</t>
  </si>
  <si>
    <r>
      <rPr>
        <sz val="10"/>
        <rFont val="Arial"/>
        <family val="0"/>
        <charset val="1"/>
      </rPr>
      <t xml:space="preserve">CTR</t>
    </r>
    <r>
      <rPr>
        <sz val="10"/>
        <rFont val="Noto Sans CJK SC"/>
        <family val="2"/>
      </rPr>
      <t xml:space="preserve">は </t>
    </r>
    <r>
      <rPr>
        <sz val="10"/>
        <rFont val="Arial"/>
        <family val="0"/>
        <charset val="1"/>
      </rPr>
      <t xml:space="preserve">reach </t>
    </r>
    <r>
      <rPr>
        <sz val="10"/>
        <rFont val="Noto Sans CJK SC"/>
        <family val="2"/>
      </rPr>
      <t xml:space="preserve">全期間、登録者は</t>
    </r>
    <r>
      <rPr>
        <sz val="10"/>
        <rFont val="Arial"/>
        <family val="0"/>
        <charset val="1"/>
      </rPr>
      <t xml:space="preserve">60</t>
    </r>
    <r>
      <rPr>
        <sz val="10"/>
        <rFont val="Noto Sans CJK SC"/>
        <family val="2"/>
      </rPr>
      <t xml:space="preserve">日コホートで集計しており、同一の主張内で母集団が混在しやすい。次回以降は集計コホートを定義した共通クエリを </t>
    </r>
    <r>
      <rPr>
        <sz val="10"/>
        <rFont val="Arial"/>
        <family val="0"/>
        <charset val="1"/>
      </rPr>
      <t xml:space="preserve">scripts/ </t>
    </r>
    <r>
      <rPr>
        <sz val="10"/>
        <rFont val="Noto Sans CJK SC"/>
        <family val="2"/>
      </rPr>
      <t xml:space="preserve">に用意して揃える。</t>
    </r>
  </si>
  <si>
    <r>
      <rPr>
        <sz val="10"/>
        <rFont val="Noto Sans CJK SC"/>
        <family val="2"/>
      </rPr>
      <t xml:space="preserve">テーマキューが</t>
    </r>
    <r>
      <rPr>
        <sz val="10"/>
        <rFont val="Arial"/>
        <family val="0"/>
        <charset val="1"/>
      </rPr>
      <t xml:space="preserve">2</t>
    </r>
    <r>
      <rPr>
        <sz val="10"/>
        <rFont val="Noto Sans CJK SC"/>
        <family val="2"/>
      </rPr>
      <t xml:space="preserve">系統あり、恒常的にドリフトする</t>
    </r>
  </si>
  <si>
    <r>
      <rPr>
        <sz val="10"/>
        <rFont val="Arial"/>
        <family val="0"/>
        <charset val="1"/>
      </rPr>
      <t xml:space="preserve">autopilot.theme_queue</t>
    </r>
    <r>
      <rPr>
        <sz val="10"/>
        <rFont val="Noto Sans CJK SC"/>
        <family val="2"/>
      </rPr>
      <t xml:space="preserve">（定時投稿が消費）と </t>
    </r>
    <r>
      <rPr>
        <sz val="10"/>
        <rFont val="Arial"/>
        <family val="0"/>
        <charset val="1"/>
      </rPr>
      <t xml:space="preserve">data/channels/&lt;id&gt;/theme_queue.json</t>
    </r>
    <r>
      <rPr>
        <sz val="10"/>
        <rFont val="Noto Sans CJK SC"/>
        <family val="2"/>
      </rPr>
      <t xml:space="preserve">（</t>
    </r>
    <r>
      <rPr>
        <sz val="10"/>
        <rFont val="Arial"/>
        <family val="0"/>
        <charset val="1"/>
      </rPr>
      <t xml:space="preserve">/factory/run </t>
    </r>
    <r>
      <rPr>
        <sz val="10"/>
        <rFont val="Noto Sans CJK SC"/>
        <family val="2"/>
      </rPr>
      <t xml:space="preserve">が消費）が独立に存在し、補充ロジックも別（前者は </t>
    </r>
    <r>
      <rPr>
        <sz val="10"/>
        <rFont val="Arial"/>
        <family val="0"/>
        <charset val="1"/>
      </rPr>
      <t xml:space="preserve">_pop_or_refill_theme</t>
    </r>
    <r>
      <rPr>
        <sz val="10"/>
        <rFont val="Noto Sans CJK SC"/>
        <family val="2"/>
      </rPr>
      <t xml:space="preserve">、後者は </t>
    </r>
    <r>
      <rPr>
        <sz val="10"/>
        <rFont val="Arial"/>
        <family val="0"/>
        <charset val="1"/>
      </rPr>
      <t xml:space="preserve">theme_queue.replenish</t>
    </r>
    <r>
      <rPr>
        <sz val="10"/>
        <rFont val="Noto Sans CJK SC"/>
        <family val="2"/>
      </rPr>
      <t xml:space="preserve">）。本日</t>
    </r>
    <r>
      <rPr>
        <sz val="10"/>
        <rFont val="Arial"/>
        <family val="0"/>
        <charset val="1"/>
      </rPr>
      <t xml:space="preserve">3ch</t>
    </r>
    <r>
      <rPr>
        <sz val="10"/>
        <rFont val="Noto Sans CJK SC"/>
        <family val="2"/>
      </rPr>
      <t xml:space="preserve">は手動で一致させたが </t>
    </r>
    <r>
      <rPr>
        <sz val="10"/>
        <rFont val="Arial"/>
        <family val="0"/>
        <charset val="1"/>
      </rPr>
      <t xml:space="preserve">daily-science </t>
    </r>
    <r>
      <rPr>
        <sz val="10"/>
        <rFont val="Noto Sans CJK SC"/>
        <family val="2"/>
      </rPr>
      <t xml:space="preserve">は中身が異なるまま。どちらか一方に寄せるか、同期処理をバックエンドに入れるべき。</t>
    </r>
  </si>
  <si>
    <r>
      <rPr>
        <sz val="10"/>
        <rFont val="Arial"/>
        <family val="0"/>
        <charset val="1"/>
      </rPr>
      <t xml:space="preserve">pokemon-lab </t>
    </r>
    <r>
      <rPr>
        <sz val="10"/>
        <rFont val="Noto Sans CJK SC"/>
        <family val="2"/>
      </rPr>
      <t xml:space="preserve">の設定が </t>
    </r>
    <r>
      <rPr>
        <sz val="10"/>
        <rFont val="Arial"/>
        <family val="0"/>
        <charset val="1"/>
      </rPr>
      <t xml:space="preserve">channels </t>
    </r>
    <r>
      <rPr>
        <sz val="10"/>
        <rFont val="Noto Sans CJK SC"/>
        <family val="2"/>
      </rPr>
      <t xml:space="preserve">と </t>
    </r>
    <r>
      <rPr>
        <sz val="10"/>
        <rFont val="Arial"/>
        <family val="0"/>
        <charset val="1"/>
      </rPr>
      <t xml:space="preserve">orchestrator </t>
    </r>
    <r>
      <rPr>
        <sz val="10"/>
        <rFont val="Noto Sans CJK SC"/>
        <family val="2"/>
      </rPr>
      <t xml:space="preserve">で食い違っている</t>
    </r>
  </si>
  <si>
    <r>
      <rPr>
        <sz val="10"/>
        <rFont val="Arial"/>
        <family val="0"/>
        <charset val="1"/>
      </rPr>
      <t xml:space="preserve">auto_optimize_schedule </t>
    </r>
    <r>
      <rPr>
        <sz val="10"/>
        <rFont val="Noto Sans CJK SC"/>
        <family val="2"/>
      </rPr>
      <t xml:space="preserve">が </t>
    </r>
    <r>
      <rPr>
        <sz val="10"/>
        <rFont val="Arial"/>
        <family val="0"/>
        <charset val="1"/>
      </rPr>
      <t xml:space="preserve">channels=true / orchestrator=false</t>
    </r>
    <r>
      <rPr>
        <sz val="10"/>
        <rFont val="Noto Sans CJK SC"/>
        <family val="2"/>
      </rPr>
      <t xml:space="preserve">、</t>
    </r>
    <r>
      <rPr>
        <sz val="10"/>
        <rFont val="Arial"/>
        <family val="0"/>
        <charset val="1"/>
      </rPr>
      <t xml:space="preserve">schedule.days_of_week </t>
    </r>
    <r>
      <rPr>
        <sz val="10"/>
        <rFont val="Noto Sans CJK SC"/>
        <family val="2"/>
      </rPr>
      <t xml:space="preserve">も </t>
    </r>
    <r>
      <rPr>
        <sz val="10"/>
        <rFont val="Arial"/>
        <family val="0"/>
        <charset val="1"/>
      </rPr>
      <t xml:space="preserve">channels=[</t>
    </r>
    <r>
      <rPr>
        <sz val="10"/>
        <rFont val="Noto Sans CJK SC"/>
        <family val="2"/>
      </rPr>
      <t xml:space="preserve">水木土</t>
    </r>
    <r>
      <rPr>
        <sz val="10"/>
        <rFont val="Arial"/>
        <family val="0"/>
        <charset val="1"/>
      </rPr>
      <t xml:space="preserve">] / orchestrator=[</t>
    </r>
    <r>
      <rPr>
        <sz val="10"/>
        <rFont val="Noto Sans CJK SC"/>
        <family val="2"/>
      </rPr>
      <t xml:space="preserve">毎日</t>
    </r>
    <r>
      <rPr>
        <sz val="10"/>
        <rFont val="Arial"/>
        <family val="0"/>
        <charset val="1"/>
      </rPr>
      <t xml:space="preserve">]</t>
    </r>
    <r>
      <rPr>
        <sz val="10"/>
        <rFont val="Noto Sans CJK SC"/>
        <family val="2"/>
      </rPr>
      <t xml:space="preserve">。前日に全</t>
    </r>
    <r>
      <rPr>
        <sz val="10"/>
        <rFont val="Arial"/>
        <family val="0"/>
        <charset val="1"/>
      </rPr>
      <t xml:space="preserve">5ch</t>
    </r>
    <r>
      <rPr>
        <sz val="10"/>
        <rFont val="Noto Sans CJK SC"/>
        <family val="2"/>
      </rPr>
      <t xml:space="preserve">を </t>
    </r>
    <r>
      <rPr>
        <sz val="10"/>
        <rFont val="Arial"/>
        <family val="0"/>
        <charset val="1"/>
      </rPr>
      <t xml:space="preserve">false </t>
    </r>
    <r>
      <rPr>
        <sz val="10"/>
        <rFont val="Noto Sans CJK SC"/>
        <family val="2"/>
      </rPr>
      <t xml:space="preserve">固定したはずだが </t>
    </r>
    <r>
      <rPr>
        <sz val="10"/>
        <rFont val="Arial"/>
        <family val="0"/>
        <charset val="1"/>
      </rPr>
      <t xml:space="preserve">channels </t>
    </r>
    <r>
      <rPr>
        <sz val="10"/>
        <rFont val="Noto Sans CJK SC"/>
        <family val="2"/>
      </rPr>
      <t xml:space="preserve">側が </t>
    </r>
    <r>
      <rPr>
        <sz val="10"/>
        <rFont val="Arial"/>
        <family val="0"/>
        <charset val="1"/>
      </rPr>
      <t xml:space="preserve">true </t>
    </r>
    <r>
      <rPr>
        <sz val="10"/>
        <rFont val="Noto Sans CJK SC"/>
        <family val="2"/>
      </rPr>
      <t xml:space="preserve">に戻っている。夜間の別処理が書き戻している可能性があり、書き込み主体の特定が必要。</t>
    </r>
  </si>
  <si>
    <t xml:space="preserve">トレンド</t>
  </si>
  <si>
    <r>
      <rPr>
        <b val="true"/>
        <sz val="11"/>
        <color rgb="FF1F3864"/>
        <rFont val="Noto Sans CJK SC"/>
        <family val="2"/>
      </rPr>
      <t xml:space="preserve">■ 公開週別の推移（公開後</t>
    </r>
    <r>
      <rPr>
        <b val="true"/>
        <sz val="11"/>
        <color rgb="FF1F3864"/>
        <rFont val="Arial"/>
        <family val="0"/>
        <charset val="1"/>
      </rPr>
      <t xml:space="preserve">3</t>
    </r>
    <r>
      <rPr>
        <b val="true"/>
        <sz val="11"/>
        <color rgb="FF1F3864"/>
        <rFont val="Noto Sans CJK SC"/>
        <family val="2"/>
      </rPr>
      <t xml:space="preserve">日時点で揃えた維持率。週次の生値は新着動画のデータ未成熟で過小に出るため）</t>
    </r>
  </si>
  <si>
    <t xml:space="preserve">公開週</t>
  </si>
  <si>
    <r>
      <rPr>
        <b val="true"/>
        <sz val="10"/>
        <color rgb="FFFFFFFF"/>
        <rFont val="Noto Sans CJK SC"/>
        <family val="2"/>
      </rPr>
      <t xml:space="preserve">平均再生</t>
    </r>
    <r>
      <rPr>
        <b val="true"/>
        <sz val="10"/>
        <color rgb="FFFFFFFF"/>
        <rFont val="Arial"/>
        <family val="0"/>
        <charset val="1"/>
      </rPr>
      <t xml:space="preserve">(</t>
    </r>
    <r>
      <rPr>
        <b val="true"/>
        <sz val="10"/>
        <color rgb="FFFFFFFF"/>
        <rFont val="Noto Sans CJK SC"/>
        <family val="2"/>
      </rPr>
      <t xml:space="preserve">最新値</t>
    </r>
    <r>
      <rPr>
        <b val="true"/>
        <sz val="10"/>
        <color rgb="FFFFFFFF"/>
        <rFont val="Arial"/>
        <family val="0"/>
        <charset val="1"/>
      </rPr>
      <t xml:space="preserve">)</t>
    </r>
  </si>
  <si>
    <r>
      <rPr>
        <b val="true"/>
        <sz val="10"/>
        <color rgb="FFFFFFFF"/>
        <rFont val="Noto Sans CJK SC"/>
        <family val="2"/>
      </rPr>
      <t xml:space="preserve">維持率</t>
    </r>
    <r>
      <rPr>
        <b val="true"/>
        <sz val="10"/>
        <color rgb="FFFFFFFF"/>
        <rFont val="Arial"/>
        <family val="0"/>
        <charset val="1"/>
      </rPr>
      <t xml:space="preserve">(</t>
    </r>
    <r>
      <rPr>
        <b val="true"/>
        <sz val="10"/>
        <color rgb="FFFFFFFF"/>
        <rFont val="Noto Sans CJK SC"/>
        <family val="2"/>
      </rPr>
      <t xml:space="preserve">公開</t>
    </r>
    <r>
      <rPr>
        <b val="true"/>
        <sz val="10"/>
        <color rgb="FFFFFFFF"/>
        <rFont val="Arial"/>
        <family val="0"/>
        <charset val="1"/>
      </rPr>
      <t xml:space="preserve">3</t>
    </r>
    <r>
      <rPr>
        <b val="true"/>
        <sz val="10"/>
        <color rgb="FFFFFFFF"/>
        <rFont val="Noto Sans CJK SC"/>
        <family val="2"/>
      </rPr>
      <t xml:space="preserve">日時点</t>
    </r>
    <r>
      <rPr>
        <b val="true"/>
        <sz val="10"/>
        <color rgb="FFFFFFFF"/>
        <rFont val="Arial"/>
        <family val="0"/>
        <charset val="1"/>
      </rPr>
      <t xml:space="preserve">)</t>
    </r>
  </si>
  <si>
    <t xml:space="preserve">2026-W31</t>
  </si>
  <si>
    <t xml:space="preserve">2026-W32</t>
  </si>
  <si>
    <t xml:space="preserve">2026-W33</t>
  </si>
  <si>
    <t xml:space="preserve">2026-W25</t>
  </si>
  <si>
    <t xml:space="preserve">2026-W26</t>
  </si>
  <si>
    <t xml:space="preserve">2026-W27</t>
  </si>
  <si>
    <t xml:space="preserve">2026-W28</t>
  </si>
  <si>
    <t xml:space="preserve">2026-W29</t>
  </si>
  <si>
    <t xml:space="preserve">2026-W30</t>
  </si>
  <si>
    <r>
      <rPr>
        <b val="true"/>
        <sz val="11"/>
        <color rgb="FF1F3864"/>
        <rFont val="Noto Sans CJK SC"/>
        <family val="2"/>
      </rPr>
      <t xml:space="preserve">■ 未処理のトレンド検出（</t>
    </r>
    <r>
      <rPr>
        <b val="true"/>
        <sz val="11"/>
        <color rgb="FF1F3864"/>
        <rFont val="Arial"/>
        <family val="0"/>
        <charset val="1"/>
      </rPr>
      <t xml:space="preserve">status=detected</t>
    </r>
    <r>
      <rPr>
        <b val="true"/>
        <sz val="11"/>
        <color rgb="FF1F3864"/>
        <rFont val="Noto Sans CJK SC"/>
        <family val="2"/>
      </rPr>
      <t xml:space="preserve">・スコア上位）</t>
    </r>
  </si>
  <si>
    <t xml:space="preserve">キーワード</t>
  </si>
  <si>
    <t xml:space="preserve">スコア</t>
  </si>
  <si>
    <t xml:space="preserve">提案タイトル</t>
  </si>
  <si>
    <t xml:space="preserve">検出日</t>
  </si>
  <si>
    <t xml:space="preserve">不二家 ケーキ半額</t>
  </si>
  <si>
    <t xml:space="preserve">半額ケーキの誘惑！食べ物の香りが脳に与える影響とは？</t>
  </si>
  <si>
    <t xml:space="preserve">1787326324</t>
  </si>
  <si>
    <t xml:space="preserve">半額ケーキで幸せになれるスレ</t>
  </si>
  <si>
    <t xml:space="preserve">1787326255</t>
  </si>
  <si>
    <t xml:space="preserve">サーモス ポケモン</t>
  </si>
  <si>
    <t xml:space="preserve">サーモスとポケモンの妖怪的要素</t>
  </si>
  <si>
    <t xml:space="preserve">1787283093</t>
  </si>
  <si>
    <t xml:space="preserve">朝倉海</t>
  </si>
  <si>
    <t xml:space="preserve">朝倉海の実績を超える昼飯を当ててみて！</t>
  </si>
  <si>
    <t xml:space="preserve">1787283016</t>
  </si>
  <si>
    <t xml:space="preserve">チョコサプ ちいかわ</t>
  </si>
  <si>
    <t xml:space="preserve">ちいかわの妖怪たちの元ネタを探る！</t>
  </si>
  <si>
    <t xml:space="preserve">1787196715</t>
  </si>
  <si>
    <t xml:space="preserve">ケンタッキー 月見</t>
  </si>
  <si>
    <t xml:space="preserve">月見の時期に眠気が増す理由とは？</t>
  </si>
  <si>
    <t xml:space="preserve">1787110312</t>
  </si>
  <si>
    <r>
      <rPr>
        <sz val="10"/>
        <rFont val="Noto Sans CJK SC"/>
        <family val="2"/>
      </rPr>
      <t xml:space="preserve">ドラッグクリック挑戦したらクソ難かった【</t>
    </r>
    <r>
      <rPr>
        <sz val="10"/>
        <rFont val="Arial"/>
        <family val="0"/>
        <charset val="1"/>
      </rPr>
      <t xml:space="preserve">Bloody A60L</t>
    </r>
    <r>
      <rPr>
        <sz val="10"/>
        <rFont val="Noto Sans CJK SC"/>
        <family val="2"/>
      </rPr>
      <t xml:space="preserve">】 </t>
    </r>
    <r>
      <rPr>
        <sz val="10"/>
        <rFont val="Arial"/>
        <family val="0"/>
        <charset val="1"/>
      </rPr>
      <t xml:space="preserve">#shorts</t>
    </r>
  </si>
  <si>
    <t xml:space="preserve">ドラッグクリックの難しさを語ろう！</t>
  </si>
  <si>
    <t xml:space="preserve">1787110229</t>
  </si>
  <si>
    <t xml:space="preserve">ハーゲンダッツ</t>
  </si>
  <si>
    <t xml:space="preserve">ハーゲンダッツがもたらす幸福感、脳内物質との関係</t>
  </si>
  <si>
    <t xml:space="preserve">1787412653</t>
  </si>
  <si>
    <t xml:space="preserve">ちいかわ 映画 考察</t>
  </si>
  <si>
    <t xml:space="preserve">ちいかわ映画の感動が脳に与える影響とは？</t>
  </si>
  <si>
    <t xml:space="preserve">ちいかわ映画の考察をあげてけ！あなたの推理は？</t>
  </si>
  <si>
    <t xml:space="preserve">1787412614</t>
  </si>
  <si>
    <t xml:space="preserve">ウーバー</t>
  </si>
  <si>
    <t xml:space="preserve">ウーバーの影響を受けた異常存在とは？</t>
  </si>
  <si>
    <t xml:space="preserve">1787369494</t>
  </si>
  <si>
    <t xml:space="preserve">ウーバーで一番面白い体験談あげてけ！</t>
  </si>
  <si>
    <t xml:space="preserve">1787369412</t>
  </si>
  <si>
    <t xml:space="preserve">ホンダ シティ 新型</t>
  </si>
  <si>
    <t xml:space="preserve">新型ホンダシティ、どんな車だと思う？</t>
  </si>
  <si>
    <t xml:space="preserve">1787239830</t>
  </si>
  <si>
    <t xml:space="preserve">ブリーチ</t>
  </si>
  <si>
    <r>
      <rPr>
        <sz val="10"/>
        <rFont val="Noto Sans CJK SC"/>
        <family val="2"/>
      </rPr>
      <t xml:space="preserve">ブリーチの異常存在</t>
    </r>
    <r>
      <rPr>
        <sz val="10"/>
        <rFont val="Arial"/>
        <family val="0"/>
        <charset val="1"/>
      </rPr>
      <t xml:space="preserve">: </t>
    </r>
    <r>
      <rPr>
        <sz val="10"/>
        <rFont val="Noto Sans CJK SC"/>
        <family val="2"/>
      </rPr>
      <t xml:space="preserve">死神と</t>
    </r>
    <r>
      <rPr>
        <sz val="10"/>
        <rFont val="Arial"/>
        <family val="0"/>
        <charset val="1"/>
      </rPr>
      <t xml:space="preserve">SCP</t>
    </r>
    <r>
      <rPr>
        <sz val="10"/>
        <rFont val="Noto Sans CJK SC"/>
        <family val="2"/>
      </rPr>
      <t xml:space="preserve">の接点</t>
    </r>
  </si>
  <si>
    <t xml:space="preserve">1787412685</t>
  </si>
  <si>
    <t xml:space="preserve">ブリーチのキャラクターが夢に出てくる理由とは？</t>
  </si>
  <si>
    <t xml:space="preserve">ブリーチのキャラをあげてけ！あなたの推しは？</t>
  </si>
  <si>
    <r>
      <rPr>
        <sz val="10"/>
        <rFont val="Noto Sans CJK SC"/>
        <family val="2"/>
      </rPr>
      <t xml:space="preserve">ピート・クロウ</t>
    </r>
    <r>
      <rPr>
        <sz val="10"/>
        <rFont val="Arial"/>
        <family val="0"/>
        <charset val="1"/>
      </rPr>
      <t xml:space="preserve">=</t>
    </r>
    <r>
      <rPr>
        <sz val="10"/>
        <rFont val="Noto Sans CJK SC"/>
        <family val="2"/>
      </rPr>
      <t xml:space="preserve">アームストロング</t>
    </r>
  </si>
  <si>
    <r>
      <rPr>
        <sz val="10"/>
        <rFont val="Noto Sans CJK SC"/>
        <family val="2"/>
      </rPr>
      <t xml:space="preserve">ピート・クロウ</t>
    </r>
    <r>
      <rPr>
        <sz val="10"/>
        <rFont val="Arial"/>
        <family val="0"/>
        <charset val="1"/>
      </rPr>
      <t xml:space="preserve">=</t>
    </r>
    <r>
      <rPr>
        <sz val="10"/>
        <rFont val="Noto Sans CJK SC"/>
        <family val="2"/>
      </rPr>
      <t xml:space="preserve">アームストロングの異常存在としての真実</t>
    </r>
  </si>
  <si>
    <t xml:space="preserve">ブラックラグーン</t>
  </si>
  <si>
    <t xml:space="preserve">ブラックラグーンと妖怪の暗黒面</t>
  </si>
  <si>
    <t xml:space="preserve">1787326416</t>
  </si>
  <si>
    <t xml:space="preserve">検察</t>
  </si>
  <si>
    <t xml:space="preserve">検察と妖怪の正義の裏側</t>
  </si>
  <si>
    <t xml:space="preserve">戦闘機</t>
  </si>
  <si>
    <t xml:space="preserve">戦闘機と妖怪の意外な共通点</t>
  </si>
  <si>
    <r>
      <rPr>
        <sz val="10"/>
        <rFont val="Noto Sans CJK SC"/>
        <family val="2"/>
      </rPr>
      <t xml:space="preserve">戦闘機と</t>
    </r>
    <r>
      <rPr>
        <sz val="10"/>
        <rFont val="Arial"/>
        <family val="0"/>
        <charset val="1"/>
      </rPr>
      <t xml:space="preserve">SCP</t>
    </r>
    <r>
      <rPr>
        <sz val="10"/>
        <rFont val="Noto Sans CJK SC"/>
        <family val="2"/>
      </rPr>
      <t xml:space="preserve">：空の異常存在を解明する</t>
    </r>
  </si>
  <si>
    <t xml:space="preserve">1787283083</t>
  </si>
  <si>
    <t xml:space="preserve">熱闘甲子園</t>
  </si>
  <si>
    <r>
      <rPr>
        <sz val="10"/>
        <rFont val="Noto Sans CJK SC"/>
        <family val="2"/>
      </rPr>
      <t xml:space="preserve">熱闘甲子園</t>
    </r>
    <r>
      <rPr>
        <sz val="10"/>
        <rFont val="Arial"/>
        <family val="0"/>
        <charset val="1"/>
      </rPr>
      <t xml:space="preserve">: </t>
    </r>
    <r>
      <rPr>
        <sz val="10"/>
        <rFont val="Noto Sans CJK SC"/>
        <family val="2"/>
      </rPr>
      <t xml:space="preserve">スポーツに隠れた異常存在の真実</t>
    </r>
  </si>
  <si>
    <t xml:space="preserve">1787239964</t>
  </si>
  <si>
    <t xml:space="preserve">熱闘甲子園とポケモン、勝利の秘訣はどこにある？</t>
  </si>
  <si>
    <t xml:space="preserve">1787239945</t>
  </si>
  <si>
    <t xml:space="preserve">熱闘甲子園の熱気はなぜ心を打つのか？</t>
  </si>
  <si>
    <t xml:space="preserve">1787239922</t>
  </si>
  <si>
    <t xml:space="preserve">シリアルキラーと待ち合わせ</t>
  </si>
  <si>
    <t xml:space="preserve">シリアルキラーと妖怪の心理的共通点</t>
  </si>
  <si>
    <t xml:space="preserve">1787153544</t>
  </si>
  <si>
    <t xml:space="preserve">かまいたち</t>
  </si>
  <si>
    <t xml:space="preserve">かまいたちの正体とは？ポケモンに隠された伝説の影</t>
  </si>
  <si>
    <t xml:space="preserve">1787153510</t>
  </si>
  <si>
    <t xml:space="preserve">かまいたちの正体とは？睡眠中の不思議な現象を解明！</t>
  </si>
  <si>
    <t xml:space="preserve">1787153496</t>
  </si>
  <si>
    <t xml:space="preserve">アジア大会</t>
  </si>
  <si>
    <t xml:space="preserve">アジア大会での興奮が私たちの睡眠に与える影響とは？</t>
  </si>
  <si>
    <r>
      <rPr>
        <sz val="10"/>
        <rFont val="Arial"/>
        <family val="0"/>
        <charset val="1"/>
      </rPr>
      <t xml:space="preserve">4</t>
    </r>
    <r>
      <rPr>
        <sz val="10"/>
        <rFont val="Noto Sans CJK SC"/>
        <family val="2"/>
      </rPr>
      <t xml:space="preserve">大</t>
    </r>
    <r>
      <rPr>
        <sz val="10"/>
        <rFont val="Arial"/>
        <family val="0"/>
        <charset val="1"/>
      </rPr>
      <t xml:space="preserve">AI</t>
    </r>
    <r>
      <rPr>
        <sz val="10"/>
        <rFont val="Noto Sans CJK SC"/>
        <family val="2"/>
      </rPr>
      <t xml:space="preserve">達にデスゲームさせた結果</t>
    </r>
    <r>
      <rPr>
        <sz val="10"/>
        <rFont val="Arial"/>
        <family val="0"/>
        <charset val="1"/>
      </rPr>
      <t xml:space="preserve">...</t>
    </r>
  </si>
  <si>
    <r>
      <rPr>
        <sz val="10"/>
        <rFont val="Arial"/>
        <family val="0"/>
        <charset val="1"/>
      </rPr>
      <t xml:space="preserve">AI</t>
    </r>
    <r>
      <rPr>
        <sz val="10"/>
        <rFont val="Noto Sans CJK SC"/>
        <family val="2"/>
      </rPr>
      <t xml:space="preserve">と</t>
    </r>
    <r>
      <rPr>
        <sz val="10"/>
        <rFont val="Arial"/>
        <family val="0"/>
        <charset val="1"/>
      </rPr>
      <t xml:space="preserve">SCP: </t>
    </r>
    <r>
      <rPr>
        <sz val="10"/>
        <rFont val="Noto Sans CJK SC"/>
        <family val="2"/>
      </rPr>
      <t xml:space="preserve">デスゲームの異常存在</t>
    </r>
  </si>
  <si>
    <t xml:space="preserve">1787110366</t>
  </si>
  <si>
    <t xml:space="preserve">How DualSense Changes Gaming! #dualsense #gaming #ps5 #gamingshorts</t>
  </si>
  <si>
    <r>
      <rPr>
        <sz val="10"/>
        <rFont val="Arial"/>
        <family val="0"/>
        <charset val="1"/>
      </rPr>
      <t xml:space="preserve">DualSense</t>
    </r>
    <r>
      <rPr>
        <sz val="10"/>
        <rFont val="Noto Sans CJK SC"/>
        <family val="2"/>
      </rPr>
      <t xml:space="preserve">と</t>
    </r>
    <r>
      <rPr>
        <sz val="10"/>
        <rFont val="Arial"/>
        <family val="0"/>
        <charset val="1"/>
      </rPr>
      <t xml:space="preserve">SCP: </t>
    </r>
    <r>
      <rPr>
        <sz val="10"/>
        <rFont val="Noto Sans CJK SC"/>
        <family val="2"/>
      </rPr>
      <t xml:space="preserve">ゲーミングの異常存在</t>
    </r>
  </si>
  <si>
    <t xml:space="preserve">■ トレンド検出のステータス別件数</t>
  </si>
  <si>
    <r>
      <rPr>
        <b val="true"/>
        <sz val="10"/>
        <color rgb="FFFFFFFF"/>
        <rFont val="Arial"/>
        <family val="0"/>
        <charset val="1"/>
      </rPr>
      <t xml:space="preserve">detected(</t>
    </r>
    <r>
      <rPr>
        <b val="true"/>
        <sz val="10"/>
        <color rgb="FFFFFFFF"/>
        <rFont val="Noto Sans CJK SC"/>
        <family val="2"/>
      </rPr>
      <t xml:space="preserve">未処理</t>
    </r>
    <r>
      <rPr>
        <b val="true"/>
        <sz val="10"/>
        <color rgb="FFFFFFFF"/>
        <rFont val="Arial"/>
        <family val="0"/>
        <charset val="1"/>
      </rPr>
      <t xml:space="preserve">)</t>
    </r>
  </si>
  <si>
    <r>
      <rPr>
        <b val="true"/>
        <sz val="10"/>
        <color rgb="FFFFFFFF"/>
        <rFont val="Arial"/>
        <family val="0"/>
        <charset val="1"/>
      </rPr>
      <t xml:space="preserve">queued(</t>
    </r>
    <r>
      <rPr>
        <b val="true"/>
        <sz val="10"/>
        <color rgb="FFFFFFFF"/>
        <rFont val="Noto Sans CJK SC"/>
        <family val="2"/>
      </rPr>
      <t xml:space="preserve">投入済</t>
    </r>
    <r>
      <rPr>
        <b val="true"/>
        <sz val="10"/>
        <color rgb="FFFFFFFF"/>
        <rFont val="Arial"/>
        <family val="0"/>
        <charset val="1"/>
      </rPr>
      <t xml:space="preserve">)</t>
    </r>
  </si>
  <si>
    <t xml:space="preserve">合計</t>
  </si>
</sst>
</file>

<file path=xl/styles.xml><?xml version="1.0" encoding="utf-8"?>
<styleSheet xmlns="http://schemas.openxmlformats.org/spreadsheetml/2006/main">
  <numFmts count="9">
    <numFmt numFmtId="164" formatCode="General"/>
    <numFmt numFmtId="165" formatCode="#,##0"/>
    <numFmt numFmtId="166" formatCode="0.0%"/>
    <numFmt numFmtId="167" formatCode="0.00%"/>
    <numFmt numFmtId="168" formatCode="0.000"/>
    <numFmt numFmtId="169" formatCode="\+#,##0;\-#,##0"/>
    <numFmt numFmtId="170" formatCode="0.0"/>
    <numFmt numFmtId="171" formatCode="0.00"/>
    <numFmt numFmtId="172" formatCode="0.0\倍"/>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4"/>
      <color rgb="FF1F3864"/>
      <name val="Noto Sans CJK SC"/>
      <family val="2"/>
    </font>
    <font>
      <i val="true"/>
      <sz val="9"/>
      <color rgb="FF808080"/>
      <name val="Noto Sans CJK SC"/>
      <family val="2"/>
    </font>
    <font>
      <i val="true"/>
      <sz val="9"/>
      <color rgb="FF808080"/>
      <name val="Arial"/>
      <family val="0"/>
      <charset val="1"/>
    </font>
    <font>
      <b val="true"/>
      <sz val="10"/>
      <color rgb="FFC00000"/>
      <name val="Noto Sans CJK SC"/>
      <family val="2"/>
    </font>
    <font>
      <b val="true"/>
      <sz val="10"/>
      <color rgb="FFC00000"/>
      <name val="Arial"/>
      <family val="0"/>
      <charset val="1"/>
    </font>
    <font>
      <b val="true"/>
      <sz val="11"/>
      <color rgb="FF1F3864"/>
      <name val="Noto Sans CJK SC"/>
      <family val="2"/>
    </font>
    <font>
      <b val="true"/>
      <sz val="11"/>
      <color rgb="FF1F3864"/>
      <name val="Arial"/>
      <family val="0"/>
      <charset val="1"/>
    </font>
    <font>
      <b val="true"/>
      <sz val="10"/>
      <color rgb="FFFFFFFF"/>
      <name val="Noto Sans CJK SC"/>
      <family val="2"/>
    </font>
    <font>
      <b val="true"/>
      <sz val="10"/>
      <color rgb="FFFFFFFF"/>
      <name val="Arial"/>
      <family val="0"/>
      <charset val="1"/>
    </font>
    <font>
      <b val="true"/>
      <sz val="10"/>
      <name val="Arial"/>
      <family val="0"/>
      <charset val="1"/>
    </font>
    <font>
      <sz val="10"/>
      <name val="Arial"/>
      <family val="0"/>
      <charset val="1"/>
    </font>
    <font>
      <b val="true"/>
      <sz val="10"/>
      <name val="Noto Sans CJK SC"/>
      <family val="2"/>
    </font>
    <font>
      <sz val="10"/>
      <name val="Noto Sans CJK SC"/>
      <family val="2"/>
    </font>
    <font>
      <sz val="10"/>
      <name val="Arial"/>
      <family val="2"/>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FF2CC"/>
        <bgColor rgb="FFFCE4E4"/>
      </patternFill>
    </fill>
    <fill>
      <patternFill patternType="solid">
        <fgColor rgb="FFFCE4E4"/>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9" fontId="1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9" fontId="14"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false" applyProtection="false">
      <alignment horizontal="general" vertical="bottom" textRotation="0" wrapText="false" indent="0" shrinkToFit="false"/>
      <protection locked="true" hidden="false"/>
    </xf>
    <xf numFmtId="171" fontId="15" fillId="3" borderId="1" xfId="0" applyFont="true" applyBorder="true" applyAlignment="false" applyProtection="false">
      <alignment horizontal="general" vertical="bottom" textRotation="0" wrapText="false" indent="0" shrinkToFit="false"/>
      <protection locked="true" hidden="false"/>
    </xf>
    <xf numFmtId="171" fontId="15" fillId="4" borderId="1" xfId="0" applyFont="true" applyBorder="true" applyAlignment="false" applyProtection="false">
      <alignment horizontal="general" vertical="bottom" textRotation="0" wrapText="false" indent="0" shrinkToFit="false"/>
      <protection locked="true" hidden="false"/>
    </xf>
    <xf numFmtId="171" fontId="15" fillId="5"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72" fontId="15" fillId="0" borderId="1" xfId="0" applyFont="true" applyBorder="true" applyAlignment="false" applyProtection="false">
      <alignment horizontal="general" vertical="bottom" textRotation="0" wrapText="false" indent="0" shrinkToFit="false"/>
      <protection locked="true" hidden="false"/>
    </xf>
    <xf numFmtId="167" fontId="15" fillId="5" borderId="1" xfId="0" applyFont="true" applyBorder="true" applyAlignment="false" applyProtection="false">
      <alignment horizontal="general" vertical="bottom" textRotation="0" wrapText="false" indent="0" shrinkToFit="false"/>
      <protection locked="true" hidden="false"/>
    </xf>
    <xf numFmtId="167" fontId="15" fillId="4" borderId="1" xfId="0" applyFont="true" applyBorder="true" applyAlignment="false" applyProtection="false">
      <alignment horizontal="general" vertical="bottom" textRotation="0" wrapText="false" indent="0" shrinkToFit="false"/>
      <protection locked="true" hidden="false"/>
    </xf>
    <xf numFmtId="167" fontId="15" fillId="3"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4" fontId="17" fillId="3" borderId="1" xfId="0" applyFont="true" applyBorder="true" applyAlignment="false" applyProtection="false">
      <alignment horizontal="general" vertical="bottom" textRotation="0" wrapText="false" indent="0" shrinkToFit="false"/>
      <protection locked="true" hidden="false"/>
    </xf>
    <xf numFmtId="171" fontId="1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CE4E4"/>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7"/>
    <col collapsed="false" customWidth="true" hidden="false" outlineLevel="0" max="4" min="3" style="0" width="10"/>
    <col collapsed="false" customWidth="true" hidden="false" outlineLevel="0" max="5" min="5" style="0" width="9"/>
    <col collapsed="false" customWidth="true" hidden="false" outlineLevel="0" max="6" min="6" style="0" width="15"/>
    <col collapsed="false" customWidth="true" hidden="false" outlineLevel="0" max="7" min="7" style="0" width="8"/>
    <col collapsed="false" customWidth="true" hidden="false" outlineLevel="0" max="9" min="8" style="0" width="11"/>
    <col collapsed="false" customWidth="true" hidden="false" outlineLevel="0" max="10" min="10" style="0" width="15"/>
    <col collapsed="false" customWidth="true" hidden="false" outlineLevel="0" max="11" min="11" style="0" width="10"/>
  </cols>
  <sheetData>
    <row r="1" customFormat="false" ht="21.6"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2" t="s">
        <v>3</v>
      </c>
    </row>
    <row r="5" customFormat="false" ht="17.15" hidden="false" customHeight="false" outlineLevel="0" collapsed="false">
      <c r="A5" s="4" t="s">
        <v>4</v>
      </c>
    </row>
    <row r="6" customFormat="false" ht="30" hidden="false" customHeight="true" outlineLevel="0" collapsed="false">
      <c r="A6" s="5" t="s">
        <v>5</v>
      </c>
      <c r="B6" s="5" t="s">
        <v>6</v>
      </c>
      <c r="C6" s="5" t="s">
        <v>7</v>
      </c>
      <c r="D6" s="5" t="s">
        <v>8</v>
      </c>
      <c r="E6" s="5" t="s">
        <v>9</v>
      </c>
      <c r="F6" s="5" t="s">
        <v>10</v>
      </c>
      <c r="G6" s="6" t="s">
        <v>11</v>
      </c>
      <c r="H6" s="5" t="s">
        <v>12</v>
      </c>
      <c r="I6" s="5" t="s">
        <v>13</v>
      </c>
      <c r="J6" s="5" t="s">
        <v>14</v>
      </c>
      <c r="K6" s="6" t="s">
        <v>15</v>
      </c>
    </row>
    <row r="7" customFormat="false" ht="15" hidden="false" customHeight="false" outlineLevel="0" collapsed="false">
      <c r="A7" s="7" t="s">
        <v>16</v>
      </c>
      <c r="B7" s="8" t="n">
        <v>116</v>
      </c>
      <c r="C7" s="8" t="n">
        <v>87155</v>
      </c>
      <c r="D7" s="8" t="n">
        <f aca="false">IF(B7=0,0,C7/B7)</f>
        <v>751.336206896552</v>
      </c>
      <c r="E7" s="9" t="n">
        <v>0.520395689655172</v>
      </c>
      <c r="F7" s="8" t="n">
        <v>43997</v>
      </c>
      <c r="G7" s="10" t="n">
        <v>0.0151828533763666</v>
      </c>
      <c r="H7" s="8" t="n">
        <v>75</v>
      </c>
      <c r="I7" s="11" t="n">
        <f aca="false">IF(B7=0,0,H7/B7)</f>
        <v>0.646551724137931</v>
      </c>
      <c r="J7" s="11" t="n">
        <f aca="false">IF(C7=0,0,H7/C7*1000)</f>
        <v>0.86053582697493</v>
      </c>
      <c r="K7" s="12" t="n">
        <v>38</v>
      </c>
    </row>
    <row r="8" customFormat="false" ht="15" hidden="false" customHeight="false" outlineLevel="0" collapsed="false">
      <c r="A8" s="7" t="s">
        <v>17</v>
      </c>
      <c r="B8" s="8" t="n">
        <v>122</v>
      </c>
      <c r="C8" s="8" t="n">
        <v>110488</v>
      </c>
      <c r="D8" s="8" t="n">
        <f aca="false">IF(B8=0,0,C8/B8)</f>
        <v>905.639344262295</v>
      </c>
      <c r="E8" s="9" t="n">
        <v>0.582423770491803</v>
      </c>
      <c r="F8" s="8" t="n">
        <v>5848</v>
      </c>
      <c r="G8" s="10" t="n">
        <v>0.0167698358413133</v>
      </c>
      <c r="H8" s="8" t="n">
        <v>36</v>
      </c>
      <c r="I8" s="11" t="n">
        <f aca="false">IF(B8=0,0,H8/B8)</f>
        <v>0.295081967213115</v>
      </c>
      <c r="J8" s="11" t="n">
        <f aca="false">IF(C8=0,0,H8/C8*1000)</f>
        <v>0.325827239157194</v>
      </c>
      <c r="K8" s="12" t="n">
        <v>8</v>
      </c>
    </row>
    <row r="9" customFormat="false" ht="15" hidden="false" customHeight="false" outlineLevel="0" collapsed="false">
      <c r="A9" s="7" t="s">
        <v>18</v>
      </c>
      <c r="B9" s="8" t="n">
        <v>25</v>
      </c>
      <c r="C9" s="8" t="n">
        <v>37117</v>
      </c>
      <c r="D9" s="8" t="n">
        <f aca="false">IF(B9=0,0,C9/B9)</f>
        <v>1484.68</v>
      </c>
      <c r="E9" s="9" t="n">
        <v>0.654012</v>
      </c>
      <c r="F9" s="8" t="n">
        <v>2351</v>
      </c>
      <c r="G9" s="10" t="n">
        <v>0.0170140365801787</v>
      </c>
      <c r="H9" s="8" t="n">
        <v>12</v>
      </c>
      <c r="I9" s="11" t="n">
        <f aca="false">IF(B9=0,0,H9/B9)</f>
        <v>0.48</v>
      </c>
      <c r="J9" s="11" t="n">
        <f aca="false">IF(C9=0,0,H9/C9*1000)</f>
        <v>0.323301991001428</v>
      </c>
      <c r="K9" s="12" t="n">
        <v>11</v>
      </c>
    </row>
    <row r="10" customFormat="false" ht="15" hidden="false" customHeight="false" outlineLevel="0" collapsed="false">
      <c r="A10" s="7" t="s">
        <v>19</v>
      </c>
      <c r="B10" s="8" t="n">
        <v>24</v>
      </c>
      <c r="C10" s="8" t="n">
        <v>34404</v>
      </c>
      <c r="D10" s="8" t="n">
        <f aca="false">IF(B10=0,0,C10/B10)</f>
        <v>1433.5</v>
      </c>
      <c r="E10" s="9" t="n">
        <v>0.593725</v>
      </c>
      <c r="F10" s="8" t="n">
        <v>5140</v>
      </c>
      <c r="G10" s="10" t="n">
        <v>0.0178988326848249</v>
      </c>
      <c r="H10" s="8" t="n">
        <v>11</v>
      </c>
      <c r="I10" s="11" t="n">
        <f aca="false">IF(B10=0,0,H10/B10)</f>
        <v>0.458333333333333</v>
      </c>
      <c r="J10" s="11" t="n">
        <f aca="false">IF(C10=0,0,H10/C10*1000)</f>
        <v>0.3197302639228</v>
      </c>
      <c r="K10" s="12" t="n">
        <v>9</v>
      </c>
    </row>
    <row r="11" customFormat="false" ht="15" hidden="false" customHeight="false" outlineLevel="0" collapsed="false">
      <c r="A11" s="7" t="s">
        <v>20</v>
      </c>
      <c r="B11" s="8" t="n">
        <v>17</v>
      </c>
      <c r="C11" s="8" t="n">
        <v>18154</v>
      </c>
      <c r="D11" s="8" t="n">
        <f aca="false">IF(B11=0,0,C11/B11)</f>
        <v>1067.88235294118</v>
      </c>
      <c r="E11" s="9" t="n">
        <v>0.631005882352941</v>
      </c>
      <c r="F11" s="8" t="n">
        <v>551</v>
      </c>
      <c r="G11" s="10" t="n">
        <v>0.0199637023593466</v>
      </c>
      <c r="H11" s="8" t="n">
        <v>3</v>
      </c>
      <c r="I11" s="11" t="n">
        <f aca="false">IF(B11=0,0,H11/B11)</f>
        <v>0.176470588235294</v>
      </c>
      <c r="J11" s="11" t="n">
        <f aca="false">IF(C11=0,0,H11/C11*1000)</f>
        <v>0.165252836840366</v>
      </c>
      <c r="K11" s="12" t="n">
        <v>4</v>
      </c>
    </row>
    <row r="12" customFormat="false" ht="15" hidden="false" customHeight="false" outlineLevel="0" collapsed="false">
      <c r="A12" s="13" t="s">
        <v>21</v>
      </c>
      <c r="B12" s="14" t="n">
        <f aca="false">SUM(B7:B11)</f>
        <v>304</v>
      </c>
      <c r="C12" s="14" t="n">
        <f aca="false">SUM(C7:C11)</f>
        <v>287318</v>
      </c>
      <c r="D12" s="14" t="n">
        <f aca="false">IF(B12=0,0,C12/B12)</f>
        <v>945.125</v>
      </c>
      <c r="E12" s="15" t="n">
        <f aca="false">SUMPRODUCT(B7:B11,E7:E11)/B12</f>
        <v>0.568251315789474</v>
      </c>
      <c r="F12" s="14" t="n">
        <f aca="false">SUM(F7:F11)</f>
        <v>57887</v>
      </c>
      <c r="G12" s="16" t="n">
        <f aca="false">SUMPRODUCT(F7:F11,G7:G11)/F12</f>
        <v>0.0157042168362499</v>
      </c>
      <c r="H12" s="14" t="n">
        <f aca="false">SUM(H7:H11)</f>
        <v>137</v>
      </c>
      <c r="I12" s="17" t="n">
        <f aca="false">IF(B12=0,0,H12/B12)</f>
        <v>0.450657894736842</v>
      </c>
      <c r="J12" s="17" t="n">
        <f aca="false">IF(C12=0,0,H12/C12*1000)</f>
        <v>0.476823589193855</v>
      </c>
      <c r="K12" s="18" t="n">
        <f aca="false">SUM(K7:K11)</f>
        <v>70</v>
      </c>
    </row>
    <row r="14" customFormat="false" ht="15" hidden="false" customHeight="false" outlineLevel="0" collapsed="false">
      <c r="A14" s="4" t="s">
        <v>22</v>
      </c>
    </row>
    <row r="15" customFormat="false" ht="15" hidden="false" customHeight="false" outlineLevel="0" collapsed="false">
      <c r="A15" s="19" t="s">
        <v>23</v>
      </c>
      <c r="B15" s="19" t="s">
        <v>24</v>
      </c>
    </row>
    <row r="16" customFormat="false" ht="42" hidden="false" customHeight="true" outlineLevel="0" collapsed="false">
      <c r="B16" s="20" t="s">
        <v>25</v>
      </c>
      <c r="C16" s="20"/>
      <c r="D16" s="20"/>
      <c r="E16" s="20"/>
      <c r="F16" s="20"/>
      <c r="G16" s="20"/>
      <c r="H16" s="20"/>
      <c r="I16" s="20"/>
      <c r="J16" s="20"/>
      <c r="K16" s="20"/>
    </row>
    <row r="17" customFormat="false" ht="15" hidden="false" customHeight="false" outlineLevel="0" collapsed="false">
      <c r="A17" s="19" t="s">
        <v>26</v>
      </c>
      <c r="B17" s="21" t="s">
        <v>27</v>
      </c>
    </row>
    <row r="18" customFormat="false" ht="42" hidden="false" customHeight="true" outlineLevel="0" collapsed="false">
      <c r="B18" s="20" t="s">
        <v>28</v>
      </c>
      <c r="C18" s="20"/>
      <c r="D18" s="20"/>
      <c r="E18" s="20"/>
      <c r="F18" s="20"/>
      <c r="G18" s="20"/>
      <c r="H18" s="20"/>
      <c r="I18" s="20"/>
      <c r="J18" s="20"/>
      <c r="K18" s="20"/>
    </row>
    <row r="19" customFormat="false" ht="15" hidden="false" customHeight="false" outlineLevel="0" collapsed="false">
      <c r="A19" s="19" t="s">
        <v>29</v>
      </c>
      <c r="B19" s="21" t="s">
        <v>30</v>
      </c>
    </row>
    <row r="20" customFormat="false" ht="42" hidden="false" customHeight="true" outlineLevel="0" collapsed="false">
      <c r="B20" s="20" t="s">
        <v>31</v>
      </c>
      <c r="C20" s="20"/>
      <c r="D20" s="20"/>
      <c r="E20" s="20"/>
      <c r="F20" s="20"/>
      <c r="G20" s="20"/>
      <c r="H20" s="20"/>
      <c r="I20" s="20"/>
      <c r="J20" s="20"/>
      <c r="K20" s="20"/>
    </row>
    <row r="21" customFormat="false" ht="15" hidden="false" customHeight="false" outlineLevel="0" collapsed="false">
      <c r="A21" s="19" t="s">
        <v>32</v>
      </c>
      <c r="B21" s="21" t="s">
        <v>33</v>
      </c>
    </row>
    <row r="22" customFormat="false" ht="42" hidden="false" customHeight="true" outlineLevel="0" collapsed="false">
      <c r="B22" s="22" t="s">
        <v>34</v>
      </c>
      <c r="C22" s="22"/>
      <c r="D22" s="22"/>
      <c r="E22" s="22"/>
      <c r="F22" s="22"/>
      <c r="G22" s="22"/>
      <c r="H22" s="22"/>
      <c r="I22" s="22"/>
      <c r="J22" s="22"/>
      <c r="K22" s="22"/>
    </row>
    <row r="23" customFormat="false" ht="15" hidden="false" customHeight="false" outlineLevel="0" collapsed="false">
      <c r="A23" s="19" t="s">
        <v>35</v>
      </c>
      <c r="B23" s="19" t="s">
        <v>36</v>
      </c>
    </row>
    <row r="24" customFormat="false" ht="42" hidden="false" customHeight="true" outlineLevel="0" collapsed="false">
      <c r="B24" s="22" t="s">
        <v>37</v>
      </c>
      <c r="C24" s="22"/>
      <c r="D24" s="22"/>
      <c r="E24" s="22"/>
      <c r="F24" s="22"/>
      <c r="G24" s="22"/>
      <c r="H24" s="22"/>
      <c r="I24" s="22"/>
      <c r="J24" s="22"/>
      <c r="K24" s="22"/>
    </row>
    <row r="25" customFormat="false" ht="15" hidden="false" customHeight="false" outlineLevel="0" collapsed="false">
      <c r="A25" s="19" t="s">
        <v>38</v>
      </c>
      <c r="B25" s="21" t="s">
        <v>39</v>
      </c>
    </row>
    <row r="26" customFormat="false" ht="42" hidden="false" customHeight="true" outlineLevel="0" collapsed="false">
      <c r="B26" s="22" t="s">
        <v>40</v>
      </c>
      <c r="C26" s="22"/>
      <c r="D26" s="22"/>
      <c r="E26" s="22"/>
      <c r="F26" s="22"/>
      <c r="G26" s="22"/>
      <c r="H26" s="22"/>
      <c r="I26" s="22"/>
      <c r="J26" s="22"/>
      <c r="K26" s="22"/>
    </row>
    <row r="27" customFormat="false" ht="15" hidden="false" customHeight="false" outlineLevel="0" collapsed="false">
      <c r="A27" s="19" t="s">
        <v>41</v>
      </c>
      <c r="B27" s="21" t="s">
        <v>42</v>
      </c>
    </row>
    <row r="28" customFormat="false" ht="42" hidden="false" customHeight="true" outlineLevel="0" collapsed="false">
      <c r="B28" s="20" t="s">
        <v>43</v>
      </c>
      <c r="C28" s="20"/>
      <c r="D28" s="20"/>
      <c r="E28" s="20"/>
      <c r="F28" s="20"/>
      <c r="G28" s="20"/>
      <c r="H28" s="20"/>
      <c r="I28" s="20"/>
      <c r="J28" s="20"/>
      <c r="K28" s="20"/>
    </row>
    <row r="29" customFormat="false" ht="15" hidden="false" customHeight="false" outlineLevel="0" collapsed="false">
      <c r="A29" s="19" t="s">
        <v>44</v>
      </c>
      <c r="B29" s="21" t="s">
        <v>45</v>
      </c>
    </row>
    <row r="30" customFormat="false" ht="42" hidden="false" customHeight="true" outlineLevel="0" collapsed="false">
      <c r="B30" s="22" t="s">
        <v>46</v>
      </c>
      <c r="C30" s="22"/>
      <c r="D30" s="22"/>
      <c r="E30" s="22"/>
      <c r="F30" s="22"/>
      <c r="G30" s="22"/>
      <c r="H30" s="22"/>
      <c r="I30" s="22"/>
      <c r="J30" s="22"/>
      <c r="K30" s="22"/>
    </row>
  </sheetData>
  <mergeCells count="8">
    <mergeCell ref="B16:K16"/>
    <mergeCell ref="B18:K18"/>
    <mergeCell ref="B20:K20"/>
    <mergeCell ref="B22:K22"/>
    <mergeCell ref="B24:K24"/>
    <mergeCell ref="B26:K26"/>
    <mergeCell ref="B28:K28"/>
    <mergeCell ref="B30:K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L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4" min="4" style="0" width="14"/>
    <col collapsed="false" customWidth="true" hidden="false" outlineLevel="0" max="5" min="5" style="0" width="16"/>
    <col collapsed="false" customWidth="true" hidden="false" outlineLevel="0" max="12" min="6" style="0" width="8"/>
  </cols>
  <sheetData>
    <row r="1" customFormat="false" ht="17.35" hidden="false" customHeight="false" outlineLevel="0" collapsed="false">
      <c r="A1" s="23" t="s">
        <v>47</v>
      </c>
    </row>
    <row r="3" customFormat="false" ht="15" hidden="false" customHeight="false" outlineLevel="0" collapsed="false">
      <c r="A3" s="24" t="s">
        <v>48</v>
      </c>
    </row>
    <row r="4" customFormat="false" ht="30" hidden="false" customHeight="true" outlineLevel="0" collapsed="false">
      <c r="A4" s="5" t="s">
        <v>49</v>
      </c>
      <c r="B4" s="5" t="s">
        <v>7</v>
      </c>
      <c r="C4" s="5" t="s">
        <v>50</v>
      </c>
      <c r="D4" s="5" t="s">
        <v>51</v>
      </c>
      <c r="E4" s="5" t="s">
        <v>52</v>
      </c>
      <c r="F4" s="5" t="s">
        <v>53</v>
      </c>
      <c r="G4" s="6" t="s">
        <v>54</v>
      </c>
      <c r="H4" s="5" t="s">
        <v>55</v>
      </c>
      <c r="I4" s="5" t="s">
        <v>14</v>
      </c>
      <c r="J4" s="6" t="s">
        <v>15</v>
      </c>
      <c r="K4" s="5" t="s">
        <v>56</v>
      </c>
      <c r="L4" s="5" t="s">
        <v>57</v>
      </c>
    </row>
    <row r="5" customFormat="false" ht="15" hidden="false" customHeight="false" outlineLevel="0" collapsed="false">
      <c r="A5" s="8" t="n">
        <v>116</v>
      </c>
      <c r="B5" s="8" t="n">
        <v>87155</v>
      </c>
      <c r="C5" s="8" t="n">
        <v>751.336206896552</v>
      </c>
      <c r="D5" s="9" t="n">
        <v>0.520395689655172</v>
      </c>
      <c r="E5" s="25" t="n">
        <v>17.198275862069</v>
      </c>
      <c r="F5" s="8" t="n">
        <v>43997</v>
      </c>
      <c r="G5" s="10" t="n">
        <v>0.0151828533763666</v>
      </c>
      <c r="H5" s="8" t="n">
        <v>75</v>
      </c>
      <c r="I5" s="11" t="n">
        <v>0.86053582697493</v>
      </c>
      <c r="J5" s="12" t="n">
        <v>38</v>
      </c>
      <c r="K5" s="10" t="n">
        <v>0.00472721014284895</v>
      </c>
      <c r="L5" s="8" t="n">
        <v>12</v>
      </c>
    </row>
    <row r="7" customFormat="false" ht="15" hidden="false" customHeight="false" outlineLevel="0" collapsed="false">
      <c r="A7" s="21" t="s">
        <v>58</v>
      </c>
    </row>
    <row r="8" customFormat="false" ht="30" hidden="false" customHeight="true" outlineLevel="0" collapsed="false">
      <c r="A8" s="5" t="s">
        <v>59</v>
      </c>
      <c r="B8" s="6" t="s">
        <v>60</v>
      </c>
      <c r="C8" s="6" t="s">
        <v>61</v>
      </c>
      <c r="D8" s="6" t="s">
        <v>62</v>
      </c>
      <c r="E8" s="6" t="s">
        <v>63</v>
      </c>
      <c r="F8" s="6" t="s">
        <v>64</v>
      </c>
      <c r="G8" s="6" t="s">
        <v>65</v>
      </c>
      <c r="H8" s="6" t="s">
        <v>66</v>
      </c>
      <c r="I8" s="6" t="s">
        <v>67</v>
      </c>
      <c r="J8" s="6" t="s">
        <v>68</v>
      </c>
      <c r="K8" s="6" t="s">
        <v>69</v>
      </c>
      <c r="L8" s="6" t="s">
        <v>70</v>
      </c>
    </row>
    <row r="9" customFormat="false" ht="15" hidden="false" customHeight="false" outlineLevel="0" collapsed="false">
      <c r="A9" s="26" t="s">
        <v>71</v>
      </c>
      <c r="B9" s="27" t="n">
        <v>1.16372733333333</v>
      </c>
      <c r="C9" s="27" t="n">
        <v>1.11025407407408</v>
      </c>
      <c r="D9" s="28" t="n">
        <v>0.872635151515152</v>
      </c>
      <c r="E9" s="29" t="n">
        <v>0.63969</v>
      </c>
      <c r="F9" s="29" t="n">
        <v>0.520221515151516</v>
      </c>
      <c r="G9" s="29" t="n">
        <v>0.457858518518519</v>
      </c>
      <c r="H9" s="29" t="n">
        <v>0.41754</v>
      </c>
      <c r="I9" s="29" t="n">
        <v>0.387976666666666</v>
      </c>
      <c r="J9" s="29" t="n">
        <v>0.347752424242424</v>
      </c>
      <c r="K9" s="29" t="n">
        <v>0.246163703703704</v>
      </c>
      <c r="L9" s="29" t="n">
        <v>0.192144444444444</v>
      </c>
    </row>
    <row r="11" customFormat="false" ht="15" hidden="false" customHeight="false" outlineLevel="0" collapsed="false">
      <c r="A11" s="21" t="s">
        <v>72</v>
      </c>
    </row>
    <row r="12" customFormat="false" ht="30" hidden="false" customHeight="true" outlineLevel="0" collapsed="false">
      <c r="A12" s="5" t="s">
        <v>73</v>
      </c>
      <c r="B12" s="5" t="s">
        <v>74</v>
      </c>
      <c r="C12" s="5" t="s">
        <v>8</v>
      </c>
      <c r="D12" s="5" t="s">
        <v>75</v>
      </c>
      <c r="E12" s="5" t="s">
        <v>76</v>
      </c>
    </row>
    <row r="13" customFormat="false" ht="15" hidden="false" customHeight="false" outlineLevel="0" collapsed="false">
      <c r="A13" s="30" t="s">
        <v>77</v>
      </c>
      <c r="B13" s="8" t="n">
        <v>96900</v>
      </c>
      <c r="C13" s="8" t="n">
        <v>456089</v>
      </c>
      <c r="D13" s="25" t="n">
        <v>1.11</v>
      </c>
      <c r="E13" s="31" t="n">
        <v>607.037163673914</v>
      </c>
    </row>
    <row r="14" customFormat="false" ht="15" hidden="false" customHeight="false" outlineLevel="0" collapsed="false">
      <c r="A14" s="26" t="s">
        <v>78</v>
      </c>
      <c r="B14" s="8" t="n">
        <v>13700</v>
      </c>
      <c r="C14" s="8" t="n">
        <v>115787</v>
      </c>
      <c r="D14" s="25" t="n">
        <v>0.5</v>
      </c>
      <c r="E14" s="31" t="n">
        <v>154.10810624749</v>
      </c>
    </row>
    <row r="15" customFormat="false" ht="15" hidden="false" customHeight="false" outlineLevel="0" collapsed="false">
      <c r="A15" s="26" t="s">
        <v>79</v>
      </c>
      <c r="B15" s="8" t="n">
        <v>113000</v>
      </c>
      <c r="C15" s="8" t="n">
        <v>34111</v>
      </c>
      <c r="D15" s="25" t="n">
        <v>1.05</v>
      </c>
      <c r="E15" s="31" t="n">
        <v>45.40044747863</v>
      </c>
    </row>
    <row r="16" customFormat="false" ht="15" hidden="false" customHeight="false" outlineLevel="0" collapsed="false">
      <c r="A16" s="26" t="s">
        <v>80</v>
      </c>
      <c r="B16" s="8" t="n">
        <v>82900</v>
      </c>
      <c r="C16" s="8" t="n">
        <v>25605</v>
      </c>
      <c r="D16" s="25" t="n">
        <v>1.75</v>
      </c>
      <c r="E16" s="31" t="n">
        <v>34.079284034192</v>
      </c>
    </row>
    <row r="17" customFormat="false" ht="15" hidden="false" customHeight="false" outlineLevel="0" collapsed="false">
      <c r="A17" s="30" t="s">
        <v>81</v>
      </c>
      <c r="B17" s="8" t="n">
        <v>78100</v>
      </c>
      <c r="C17" s="8" t="n">
        <v>24604</v>
      </c>
      <c r="D17" s="25" t="n">
        <v>2.19</v>
      </c>
      <c r="E17" s="31" t="n">
        <v>32.7469909930584</v>
      </c>
    </row>
    <row r="20" customFormat="false" ht="15" hidden="false" customHeight="false" outlineLevel="0" collapsed="false">
      <c r="A20" s="24" t="s">
        <v>82</v>
      </c>
    </row>
    <row r="21" customFormat="false" ht="30" hidden="false" customHeight="true" outlineLevel="0" collapsed="false">
      <c r="A21" s="5" t="s">
        <v>49</v>
      </c>
      <c r="B21" s="5" t="s">
        <v>7</v>
      </c>
      <c r="C21" s="5" t="s">
        <v>50</v>
      </c>
      <c r="D21" s="5" t="s">
        <v>51</v>
      </c>
      <c r="E21" s="5" t="s">
        <v>52</v>
      </c>
      <c r="F21" s="5" t="s">
        <v>53</v>
      </c>
      <c r="G21" s="6" t="s">
        <v>54</v>
      </c>
      <c r="H21" s="5" t="s">
        <v>55</v>
      </c>
      <c r="I21" s="5" t="s">
        <v>14</v>
      </c>
      <c r="J21" s="6" t="s">
        <v>15</v>
      </c>
      <c r="K21" s="5" t="s">
        <v>56</v>
      </c>
      <c r="L21" s="5" t="s">
        <v>57</v>
      </c>
    </row>
    <row r="22" customFormat="false" ht="15" hidden="false" customHeight="false" outlineLevel="0" collapsed="false">
      <c r="A22" s="8" t="n">
        <v>122</v>
      </c>
      <c r="B22" s="8" t="n">
        <v>110488</v>
      </c>
      <c r="C22" s="8" t="n">
        <v>905.639344262295</v>
      </c>
      <c r="D22" s="9" t="n">
        <v>0.582423770491803</v>
      </c>
      <c r="E22" s="25" t="n">
        <v>17.2295081967213</v>
      </c>
      <c r="F22" s="8" t="n">
        <v>5848</v>
      </c>
      <c r="G22" s="10" t="n">
        <v>0.0167698358413133</v>
      </c>
      <c r="H22" s="8" t="n">
        <v>36</v>
      </c>
      <c r="I22" s="11" t="n">
        <v>0.325827239157194</v>
      </c>
      <c r="J22" s="12" t="n">
        <v>8</v>
      </c>
      <c r="K22" s="10" t="n">
        <v>0.00425385562233003</v>
      </c>
      <c r="L22" s="8" t="n">
        <v>13</v>
      </c>
    </row>
    <row r="24" customFormat="false" ht="15" hidden="false" customHeight="false" outlineLevel="0" collapsed="false">
      <c r="A24" s="21" t="s">
        <v>58</v>
      </c>
    </row>
    <row r="25" customFormat="false" ht="30" hidden="false" customHeight="true" outlineLevel="0" collapsed="false">
      <c r="A25" s="5" t="s">
        <v>59</v>
      </c>
      <c r="B25" s="6" t="s">
        <v>60</v>
      </c>
      <c r="C25" s="6" t="s">
        <v>61</v>
      </c>
      <c r="D25" s="6" t="s">
        <v>62</v>
      </c>
      <c r="E25" s="6" t="s">
        <v>63</v>
      </c>
      <c r="F25" s="6" t="s">
        <v>64</v>
      </c>
      <c r="G25" s="6" t="s">
        <v>65</v>
      </c>
      <c r="H25" s="6" t="s">
        <v>66</v>
      </c>
      <c r="I25" s="6" t="s">
        <v>67</v>
      </c>
      <c r="J25" s="6" t="s">
        <v>68</v>
      </c>
      <c r="K25" s="6" t="s">
        <v>69</v>
      </c>
      <c r="L25" s="6" t="s">
        <v>70</v>
      </c>
    </row>
    <row r="26" customFormat="false" ht="15" hidden="false" customHeight="false" outlineLevel="0" collapsed="false">
      <c r="A26" s="26" t="s">
        <v>71</v>
      </c>
      <c r="B26" s="27" t="n">
        <v>1.28113396226415</v>
      </c>
      <c r="C26" s="27" t="n">
        <v>1.23605660377358</v>
      </c>
      <c r="D26" s="28" t="n">
        <v>0.982582675814751</v>
      </c>
      <c r="E26" s="28" t="n">
        <v>0.745843605870021</v>
      </c>
      <c r="F26" s="29" t="n">
        <v>0.630946483704974</v>
      </c>
      <c r="G26" s="29" t="n">
        <v>0.560274004192872</v>
      </c>
      <c r="H26" s="29" t="n">
        <v>0.508831389365351</v>
      </c>
      <c r="I26" s="29" t="n">
        <v>0.473469182389937</v>
      </c>
      <c r="J26" s="29" t="n">
        <v>0.412788336192109</v>
      </c>
      <c r="K26" s="29" t="n">
        <v>0.328507337526206</v>
      </c>
      <c r="L26" s="29" t="n">
        <v>0.300316666666667</v>
      </c>
    </row>
    <row r="28" customFormat="false" ht="15" hidden="false" customHeight="false" outlineLevel="0" collapsed="false">
      <c r="A28" s="21" t="s">
        <v>72</v>
      </c>
    </row>
    <row r="29" customFormat="false" ht="30" hidden="false" customHeight="true" outlineLevel="0" collapsed="false">
      <c r="A29" s="5" t="s">
        <v>73</v>
      </c>
      <c r="B29" s="5" t="s">
        <v>74</v>
      </c>
      <c r="C29" s="5" t="s">
        <v>8</v>
      </c>
      <c r="D29" s="5" t="s">
        <v>75</v>
      </c>
      <c r="E29" s="5" t="s">
        <v>76</v>
      </c>
    </row>
    <row r="30" customFormat="false" ht="15" hidden="false" customHeight="false" outlineLevel="0" collapsed="false">
      <c r="A30" s="26" t="s">
        <v>83</v>
      </c>
      <c r="B30" s="8" t="n">
        <v>665000</v>
      </c>
      <c r="C30" s="8" t="n">
        <v>894623</v>
      </c>
      <c r="D30" s="25" t="n">
        <v>0.13</v>
      </c>
      <c r="E30" s="31" t="n">
        <v>987.835837376005</v>
      </c>
    </row>
    <row r="31" customFormat="false" ht="15" hidden="false" customHeight="false" outlineLevel="0" collapsed="false">
      <c r="A31" s="26" t="s">
        <v>84</v>
      </c>
      <c r="B31" s="8" t="n">
        <v>233000</v>
      </c>
      <c r="C31" s="8" t="n">
        <v>480134</v>
      </c>
      <c r="D31" s="25" t="n">
        <v>7.37</v>
      </c>
      <c r="E31" s="31" t="n">
        <v>530.160270798639</v>
      </c>
    </row>
    <row r="32" customFormat="false" ht="15" hidden="false" customHeight="false" outlineLevel="0" collapsed="false">
      <c r="A32" s="26" t="s">
        <v>85</v>
      </c>
      <c r="B32" s="8" t="n">
        <v>498000</v>
      </c>
      <c r="C32" s="8" t="n">
        <v>406902</v>
      </c>
      <c r="D32" s="25" t="n">
        <v>0.27</v>
      </c>
      <c r="E32" s="31" t="n">
        <v>449.298059517776</v>
      </c>
    </row>
    <row r="33" customFormat="false" ht="15" hidden="false" customHeight="false" outlineLevel="0" collapsed="false">
      <c r="A33" s="30" t="s">
        <v>86</v>
      </c>
      <c r="B33" s="8" t="n">
        <v>2620000</v>
      </c>
      <c r="C33" s="8" t="n">
        <v>218334</v>
      </c>
      <c r="D33" s="25" t="n">
        <v>3.89</v>
      </c>
      <c r="E33" s="31" t="n">
        <v>241.082723915719</v>
      </c>
    </row>
    <row r="34" customFormat="false" ht="15" hidden="false" customHeight="false" outlineLevel="0" collapsed="false">
      <c r="A34" s="26" t="s">
        <v>87</v>
      </c>
      <c r="B34" s="8" t="n">
        <v>124000</v>
      </c>
      <c r="C34" s="8" t="n">
        <v>198176</v>
      </c>
      <c r="D34" s="25" t="n">
        <v>0.12</v>
      </c>
      <c r="E34" s="31" t="n">
        <v>218.824415321121</v>
      </c>
    </row>
    <row r="37" customFormat="false" ht="15" hidden="false" customHeight="false" outlineLevel="0" collapsed="false">
      <c r="A37" s="24" t="s">
        <v>88</v>
      </c>
    </row>
    <row r="38" customFormat="false" ht="30" hidden="false" customHeight="true" outlineLevel="0" collapsed="false">
      <c r="A38" s="5" t="s">
        <v>49</v>
      </c>
      <c r="B38" s="5" t="s">
        <v>7</v>
      </c>
      <c r="C38" s="5" t="s">
        <v>50</v>
      </c>
      <c r="D38" s="5" t="s">
        <v>51</v>
      </c>
      <c r="E38" s="5" t="s">
        <v>52</v>
      </c>
      <c r="F38" s="5" t="s">
        <v>53</v>
      </c>
      <c r="G38" s="6" t="s">
        <v>54</v>
      </c>
      <c r="H38" s="5" t="s">
        <v>55</v>
      </c>
      <c r="I38" s="5" t="s">
        <v>14</v>
      </c>
      <c r="J38" s="6" t="s">
        <v>15</v>
      </c>
      <c r="K38" s="5" t="s">
        <v>56</v>
      </c>
      <c r="L38" s="5" t="s">
        <v>57</v>
      </c>
    </row>
    <row r="39" customFormat="false" ht="15" hidden="false" customHeight="false" outlineLevel="0" collapsed="false">
      <c r="A39" s="8" t="n">
        <v>25</v>
      </c>
      <c r="B39" s="8" t="n">
        <v>37117</v>
      </c>
      <c r="C39" s="8" t="n">
        <v>1484.68</v>
      </c>
      <c r="D39" s="9" t="n">
        <v>0.654012</v>
      </c>
      <c r="E39" s="25" t="n">
        <v>17.96</v>
      </c>
      <c r="F39" s="8" t="n">
        <v>2351</v>
      </c>
      <c r="G39" s="10" t="n">
        <v>0.0170140365801787</v>
      </c>
      <c r="H39" s="8" t="n">
        <v>12</v>
      </c>
      <c r="I39" s="11" t="n">
        <v>0.323301991001428</v>
      </c>
      <c r="J39" s="12" t="n">
        <v>11</v>
      </c>
      <c r="K39" s="10" t="n">
        <v>0.00320607807743083</v>
      </c>
      <c r="L39" s="8" t="n">
        <v>6</v>
      </c>
    </row>
    <row r="41" customFormat="false" ht="15" hidden="false" customHeight="false" outlineLevel="0" collapsed="false">
      <c r="A41" s="21" t="s">
        <v>58</v>
      </c>
    </row>
    <row r="42" customFormat="false" ht="30" hidden="false" customHeight="true" outlineLevel="0" collapsed="false">
      <c r="A42" s="5" t="s">
        <v>59</v>
      </c>
      <c r="B42" s="6" t="s">
        <v>60</v>
      </c>
      <c r="C42" s="6" t="s">
        <v>61</v>
      </c>
      <c r="D42" s="6" t="s">
        <v>62</v>
      </c>
      <c r="E42" s="6" t="s">
        <v>63</v>
      </c>
      <c r="F42" s="6" t="s">
        <v>64</v>
      </c>
      <c r="G42" s="6" t="s">
        <v>65</v>
      </c>
      <c r="H42" s="6" t="s">
        <v>66</v>
      </c>
      <c r="I42" s="6" t="s">
        <v>67</v>
      </c>
      <c r="J42" s="6" t="s">
        <v>68</v>
      </c>
      <c r="K42" s="6" t="s">
        <v>69</v>
      </c>
      <c r="L42" s="6" t="s">
        <v>70</v>
      </c>
    </row>
    <row r="43" customFormat="false" ht="15" hidden="false" customHeight="false" outlineLevel="0" collapsed="false">
      <c r="A43" s="26" t="s">
        <v>71</v>
      </c>
      <c r="B43" s="27" t="n">
        <v>1.25028</v>
      </c>
      <c r="C43" s="27" t="n">
        <v>1.19595202020202</v>
      </c>
      <c r="D43" s="27" t="n">
        <v>1.02260123966942</v>
      </c>
      <c r="E43" s="28" t="n">
        <v>0.814510101010101</v>
      </c>
      <c r="F43" s="29" t="n">
        <v>0.690688842975207</v>
      </c>
      <c r="G43" s="29" t="n">
        <v>0.617431818181818</v>
      </c>
      <c r="H43" s="29" t="n">
        <v>0.567977272727273</v>
      </c>
      <c r="I43" s="29" t="n">
        <v>0.530023232323232</v>
      </c>
      <c r="J43" s="29" t="n">
        <v>0.463304132231405</v>
      </c>
      <c r="K43" s="29" t="n">
        <v>0.326620202020202</v>
      </c>
      <c r="L43" s="29" t="n">
        <v>0.278571212121212</v>
      </c>
    </row>
    <row r="45" customFormat="false" ht="15" hidden="false" customHeight="false" outlineLevel="0" collapsed="false">
      <c r="A45" s="21" t="s">
        <v>72</v>
      </c>
    </row>
    <row r="46" customFormat="false" ht="30" hidden="false" customHeight="true" outlineLevel="0" collapsed="false">
      <c r="A46" s="5" t="s">
        <v>73</v>
      </c>
      <c r="B46" s="5" t="s">
        <v>74</v>
      </c>
      <c r="C46" s="5" t="s">
        <v>8</v>
      </c>
      <c r="D46" s="5" t="s">
        <v>75</v>
      </c>
      <c r="E46" s="5" t="s">
        <v>76</v>
      </c>
    </row>
    <row r="47" customFormat="false" ht="15" hidden="false" customHeight="false" outlineLevel="0" collapsed="false">
      <c r="A47" s="26" t="s">
        <v>89</v>
      </c>
      <c r="B47" s="8" t="n">
        <v>63600</v>
      </c>
      <c r="C47" s="8" t="n">
        <v>89859</v>
      </c>
      <c r="D47" s="25" t="n">
        <v>6.36</v>
      </c>
      <c r="E47" s="31" t="n">
        <v>60.5241533529111</v>
      </c>
    </row>
    <row r="48" customFormat="false" ht="15" hidden="false" customHeight="false" outlineLevel="0" collapsed="false">
      <c r="A48" s="26" t="s">
        <v>90</v>
      </c>
      <c r="B48" s="8" t="n">
        <v>2670</v>
      </c>
      <c r="C48" s="8" t="n">
        <v>86505</v>
      </c>
      <c r="D48" s="25" t="n">
        <v>1.02</v>
      </c>
      <c r="E48" s="31" t="n">
        <v>58.2650806907886</v>
      </c>
    </row>
    <row r="49" customFormat="false" ht="15" hidden="false" customHeight="false" outlineLevel="0" collapsed="false">
      <c r="A49" s="26" t="s">
        <v>91</v>
      </c>
      <c r="B49" s="8" t="n">
        <v>13300</v>
      </c>
      <c r="C49" s="8" t="n">
        <v>59678</v>
      </c>
      <c r="D49" s="25" t="n">
        <v>1.33</v>
      </c>
      <c r="E49" s="31" t="n">
        <v>40.1958671228817</v>
      </c>
    </row>
    <row r="50" customFormat="false" ht="15" hidden="false" customHeight="false" outlineLevel="0" collapsed="false">
      <c r="A50" s="26" t="s">
        <v>92</v>
      </c>
      <c r="B50" s="8" t="n">
        <v>102000</v>
      </c>
      <c r="C50" s="8" t="n">
        <v>52043</v>
      </c>
      <c r="D50" s="25" t="n">
        <v>0.53</v>
      </c>
      <c r="E50" s="31" t="n">
        <v>35.0533448285152</v>
      </c>
    </row>
    <row r="51" customFormat="false" ht="15" hidden="false" customHeight="false" outlineLevel="0" collapsed="false">
      <c r="A51" s="26" t="s">
        <v>93</v>
      </c>
      <c r="B51" s="8" t="n">
        <v>1760</v>
      </c>
      <c r="C51" s="8" t="n">
        <v>47080</v>
      </c>
      <c r="D51" s="25" t="n">
        <v>0.42</v>
      </c>
      <c r="E51" s="31" t="n">
        <v>31.7105369507234</v>
      </c>
    </row>
    <row r="54" customFormat="false" ht="15" hidden="false" customHeight="false" outlineLevel="0" collapsed="false">
      <c r="A54" s="24" t="s">
        <v>94</v>
      </c>
    </row>
    <row r="55" customFormat="false" ht="30" hidden="false" customHeight="true" outlineLevel="0" collapsed="false">
      <c r="A55" s="5" t="s">
        <v>49</v>
      </c>
      <c r="B55" s="5" t="s">
        <v>7</v>
      </c>
      <c r="C55" s="5" t="s">
        <v>50</v>
      </c>
      <c r="D55" s="5" t="s">
        <v>51</v>
      </c>
      <c r="E55" s="5" t="s">
        <v>52</v>
      </c>
      <c r="F55" s="5" t="s">
        <v>53</v>
      </c>
      <c r="G55" s="6" t="s">
        <v>54</v>
      </c>
      <c r="H55" s="5" t="s">
        <v>55</v>
      </c>
      <c r="I55" s="5" t="s">
        <v>14</v>
      </c>
      <c r="J55" s="6" t="s">
        <v>15</v>
      </c>
      <c r="K55" s="5" t="s">
        <v>56</v>
      </c>
      <c r="L55" s="5" t="s">
        <v>57</v>
      </c>
    </row>
    <row r="56" customFormat="false" ht="15" hidden="false" customHeight="false" outlineLevel="0" collapsed="false">
      <c r="A56" s="8" t="n">
        <v>24</v>
      </c>
      <c r="B56" s="8" t="n">
        <v>34404</v>
      </c>
      <c r="C56" s="8" t="n">
        <v>1433.5</v>
      </c>
      <c r="D56" s="9" t="n">
        <v>0.593725</v>
      </c>
      <c r="E56" s="25" t="n">
        <v>16.9583333333333</v>
      </c>
      <c r="F56" s="8" t="n">
        <v>5140</v>
      </c>
      <c r="G56" s="10" t="n">
        <v>0.0178988326848249</v>
      </c>
      <c r="H56" s="8" t="n">
        <v>11</v>
      </c>
      <c r="I56" s="11" t="n">
        <v>0.3197302639228</v>
      </c>
      <c r="J56" s="12" t="n">
        <v>9</v>
      </c>
      <c r="K56" s="10" t="n">
        <v>0.00348796651552145</v>
      </c>
      <c r="L56" s="8" t="n">
        <v>2</v>
      </c>
    </row>
    <row r="58" customFormat="false" ht="15" hidden="false" customHeight="false" outlineLevel="0" collapsed="false">
      <c r="A58" s="21" t="s">
        <v>58</v>
      </c>
    </row>
    <row r="59" customFormat="false" ht="30" hidden="false" customHeight="true" outlineLevel="0" collapsed="false">
      <c r="A59" s="5" t="s">
        <v>59</v>
      </c>
      <c r="B59" s="6" t="s">
        <v>60</v>
      </c>
      <c r="C59" s="6" t="s">
        <v>61</v>
      </c>
      <c r="D59" s="6" t="s">
        <v>62</v>
      </c>
      <c r="E59" s="6" t="s">
        <v>63</v>
      </c>
      <c r="F59" s="6" t="s">
        <v>64</v>
      </c>
      <c r="G59" s="6" t="s">
        <v>65</v>
      </c>
      <c r="H59" s="6" t="s">
        <v>66</v>
      </c>
      <c r="I59" s="6" t="s">
        <v>67</v>
      </c>
      <c r="J59" s="6" t="s">
        <v>68</v>
      </c>
      <c r="K59" s="6" t="s">
        <v>69</v>
      </c>
      <c r="L59" s="6" t="s">
        <v>70</v>
      </c>
    </row>
    <row r="60" customFormat="false" ht="15" hidden="false" customHeight="false" outlineLevel="0" collapsed="false">
      <c r="A60" s="26" t="s">
        <v>71</v>
      </c>
      <c r="B60" s="27" t="n">
        <v>1.22172476190476</v>
      </c>
      <c r="C60" s="27" t="n">
        <v>1.17749312169312</v>
      </c>
      <c r="D60" s="28" t="n">
        <v>0.945729437229438</v>
      </c>
      <c r="E60" s="28" t="n">
        <v>0.718751322751323</v>
      </c>
      <c r="F60" s="29" t="n">
        <v>0.590428571428571</v>
      </c>
      <c r="G60" s="29" t="n">
        <v>0.514180423280423</v>
      </c>
      <c r="H60" s="29" t="n">
        <v>0.462087445887446</v>
      </c>
      <c r="I60" s="29" t="n">
        <v>0.420234391534392</v>
      </c>
      <c r="J60" s="29" t="n">
        <v>0.377471428571428</v>
      </c>
      <c r="K60" s="29" t="n">
        <v>0.288832804232804</v>
      </c>
      <c r="L60" s="29" t="n">
        <v>0.247107936507937</v>
      </c>
    </row>
    <row r="62" customFormat="false" ht="15" hidden="false" customHeight="false" outlineLevel="0" collapsed="false">
      <c r="A62" s="21" t="s">
        <v>72</v>
      </c>
    </row>
    <row r="63" customFormat="false" ht="30" hidden="false" customHeight="true" outlineLevel="0" collapsed="false">
      <c r="A63" s="5" t="s">
        <v>73</v>
      </c>
      <c r="B63" s="5" t="s">
        <v>74</v>
      </c>
      <c r="C63" s="5" t="s">
        <v>8</v>
      </c>
      <c r="D63" s="5" t="s">
        <v>75</v>
      </c>
      <c r="E63" s="5" t="s">
        <v>76</v>
      </c>
    </row>
    <row r="64" customFormat="false" ht="15" hidden="false" customHeight="false" outlineLevel="0" collapsed="false">
      <c r="A64" s="26" t="s">
        <v>95</v>
      </c>
      <c r="B64" s="8" t="n">
        <v>128</v>
      </c>
      <c r="C64" s="8" t="n">
        <v>3642</v>
      </c>
      <c r="D64" s="25" t="n">
        <v>0.45</v>
      </c>
      <c r="E64" s="31" t="n">
        <v>2.54063480990583</v>
      </c>
    </row>
    <row r="65" customFormat="false" ht="15" hidden="false" customHeight="false" outlineLevel="0" collapsed="false">
      <c r="A65" s="26" t="s">
        <v>96</v>
      </c>
      <c r="B65" s="8" t="n">
        <v>213</v>
      </c>
      <c r="C65" s="8" t="n">
        <v>1968</v>
      </c>
      <c r="D65" s="25" t="n">
        <v>0.47</v>
      </c>
      <c r="E65" s="31" t="n">
        <v>1.37286362050924</v>
      </c>
    </row>
    <row r="66" customFormat="false" ht="15" hidden="false" customHeight="false" outlineLevel="0" collapsed="false">
      <c r="A66" s="26" t="s">
        <v>97</v>
      </c>
      <c r="B66" s="8" t="n">
        <v>16</v>
      </c>
      <c r="C66" s="8" t="n">
        <v>1189</v>
      </c>
      <c r="D66" s="25" t="n">
        <v>4.55</v>
      </c>
      <c r="E66" s="31" t="n">
        <v>0.829438437391001</v>
      </c>
    </row>
    <row r="67" customFormat="false" ht="15" hidden="false" customHeight="false" outlineLevel="0" collapsed="false">
      <c r="A67" s="26" t="s">
        <v>98</v>
      </c>
      <c r="B67" s="8" t="n">
        <v>2730</v>
      </c>
      <c r="C67" s="8" t="n">
        <v>406</v>
      </c>
      <c r="D67" s="25" t="n">
        <v>0.83</v>
      </c>
      <c r="E67" s="31" t="n">
        <v>0.283222881060342</v>
      </c>
    </row>
    <row r="70" customFormat="false" ht="15" hidden="false" customHeight="false" outlineLevel="0" collapsed="false">
      <c r="A70" s="24" t="s">
        <v>99</v>
      </c>
    </row>
    <row r="71" customFormat="false" ht="30" hidden="false" customHeight="true" outlineLevel="0" collapsed="false">
      <c r="A71" s="5" t="s">
        <v>49</v>
      </c>
      <c r="B71" s="5" t="s">
        <v>7</v>
      </c>
      <c r="C71" s="5" t="s">
        <v>50</v>
      </c>
      <c r="D71" s="5" t="s">
        <v>51</v>
      </c>
      <c r="E71" s="5" t="s">
        <v>52</v>
      </c>
      <c r="F71" s="5" t="s">
        <v>53</v>
      </c>
      <c r="G71" s="6" t="s">
        <v>54</v>
      </c>
      <c r="H71" s="5" t="s">
        <v>55</v>
      </c>
      <c r="I71" s="5" t="s">
        <v>14</v>
      </c>
      <c r="J71" s="6" t="s">
        <v>15</v>
      </c>
      <c r="K71" s="5" t="s">
        <v>56</v>
      </c>
      <c r="L71" s="5" t="s">
        <v>57</v>
      </c>
    </row>
    <row r="72" customFormat="false" ht="15" hidden="false" customHeight="false" outlineLevel="0" collapsed="false">
      <c r="A72" s="8" t="n">
        <v>17</v>
      </c>
      <c r="B72" s="8" t="n">
        <v>18154</v>
      </c>
      <c r="C72" s="8" t="n">
        <v>1067.88235294118</v>
      </c>
      <c r="D72" s="9" t="n">
        <v>0.631005882352941</v>
      </c>
      <c r="E72" s="25" t="n">
        <v>15.0588235294118</v>
      </c>
      <c r="F72" s="8" t="n">
        <v>551</v>
      </c>
      <c r="G72" s="10" t="n">
        <v>0.0199637023593466</v>
      </c>
      <c r="H72" s="8" t="n">
        <v>3</v>
      </c>
      <c r="I72" s="11" t="n">
        <v>0.165252836840366</v>
      </c>
      <c r="J72" s="12" t="n">
        <v>4</v>
      </c>
      <c r="K72" s="10" t="n">
        <v>0.00214828687892476</v>
      </c>
      <c r="L72" s="8" t="n">
        <v>4</v>
      </c>
    </row>
    <row r="74" customFormat="false" ht="15" hidden="false" customHeight="false" outlineLevel="0" collapsed="false">
      <c r="A74" s="21" t="s">
        <v>58</v>
      </c>
    </row>
    <row r="75" customFormat="false" ht="30" hidden="false" customHeight="true" outlineLevel="0" collapsed="false">
      <c r="A75" s="5" t="s">
        <v>59</v>
      </c>
      <c r="B75" s="6" t="s">
        <v>60</v>
      </c>
      <c r="C75" s="6" t="s">
        <v>61</v>
      </c>
      <c r="D75" s="6" t="s">
        <v>62</v>
      </c>
      <c r="E75" s="6" t="s">
        <v>63</v>
      </c>
      <c r="F75" s="6" t="s">
        <v>64</v>
      </c>
      <c r="G75" s="6" t="s">
        <v>65</v>
      </c>
      <c r="H75" s="6" t="s">
        <v>66</v>
      </c>
      <c r="I75" s="6" t="s">
        <v>67</v>
      </c>
      <c r="J75" s="6" t="s">
        <v>68</v>
      </c>
      <c r="K75" s="6" t="s">
        <v>69</v>
      </c>
      <c r="L75" s="6" t="s">
        <v>70</v>
      </c>
    </row>
    <row r="76" customFormat="false" ht="15" hidden="false" customHeight="false" outlineLevel="0" collapsed="false">
      <c r="A76" s="26" t="s">
        <v>71</v>
      </c>
      <c r="B76" s="27" t="n">
        <v>1.141105</v>
      </c>
      <c r="C76" s="27" t="n">
        <v>1.11067777777778</v>
      </c>
      <c r="D76" s="28" t="n">
        <v>0.967694318181818</v>
      </c>
      <c r="E76" s="28" t="n">
        <v>0.762923611111111</v>
      </c>
      <c r="F76" s="29" t="n">
        <v>0.613403409090909</v>
      </c>
      <c r="G76" s="29" t="n">
        <v>0.500051388888889</v>
      </c>
      <c r="H76" s="29" t="n">
        <v>0.426496590909091</v>
      </c>
      <c r="I76" s="29" t="n">
        <v>0.363569444444444</v>
      </c>
      <c r="J76" s="29" t="n">
        <v>0.267367045454546</v>
      </c>
      <c r="K76" s="29" t="n">
        <v>0.188084722222222</v>
      </c>
      <c r="L76" s="29" t="n">
        <v>0.157264583333333</v>
      </c>
    </row>
    <row r="78" customFormat="false" ht="15" hidden="false" customHeight="false" outlineLevel="0" collapsed="false">
      <c r="A78" s="21" t="s">
        <v>72</v>
      </c>
    </row>
    <row r="79" customFormat="false" ht="30" hidden="false" customHeight="true" outlineLevel="0" collapsed="false">
      <c r="A79" s="5" t="s">
        <v>73</v>
      </c>
      <c r="B79" s="5" t="s">
        <v>74</v>
      </c>
      <c r="C79" s="5" t="s">
        <v>8</v>
      </c>
      <c r="D79" s="5" t="s">
        <v>75</v>
      </c>
      <c r="E79" s="5" t="s">
        <v>76</v>
      </c>
    </row>
    <row r="80" customFormat="false" ht="15" hidden="false" customHeight="false" outlineLevel="0" collapsed="false">
      <c r="A80" s="30" t="s">
        <v>100</v>
      </c>
      <c r="B80" s="8" t="n">
        <v>412000</v>
      </c>
      <c r="C80" s="8" t="n">
        <v>296119</v>
      </c>
      <c r="D80" s="25" t="n">
        <v>15.07</v>
      </c>
      <c r="E80" s="31" t="n">
        <v>277.29552715655</v>
      </c>
    </row>
    <row r="81" customFormat="false" ht="15" hidden="false" customHeight="false" outlineLevel="0" collapsed="false">
      <c r="A81" s="26" t="s">
        <v>101</v>
      </c>
      <c r="B81" s="8" t="n">
        <v>20700</v>
      </c>
      <c r="C81" s="8" t="n">
        <v>147566</v>
      </c>
      <c r="D81" s="25" t="n">
        <v>0.8</v>
      </c>
      <c r="E81" s="31" t="n">
        <v>138.185634020051</v>
      </c>
    </row>
    <row r="82" customFormat="false" ht="15" hidden="false" customHeight="false" outlineLevel="0" collapsed="false">
      <c r="A82" s="30" t="s">
        <v>102</v>
      </c>
      <c r="B82" s="8" t="n">
        <v>223000</v>
      </c>
      <c r="C82" s="8" t="n">
        <v>98116</v>
      </c>
      <c r="D82" s="25" t="n">
        <v>3.18</v>
      </c>
      <c r="E82" s="31" t="n">
        <v>91.8790349234328</v>
      </c>
    </row>
    <row r="83" customFormat="false" ht="15" hidden="false" customHeight="false" outlineLevel="0" collapsed="false">
      <c r="A83" s="30" t="s">
        <v>103</v>
      </c>
      <c r="B83" s="8" t="n">
        <v>13400</v>
      </c>
      <c r="C83" s="8" t="n">
        <v>25369</v>
      </c>
      <c r="D83" s="25" t="n">
        <v>3.33</v>
      </c>
      <c r="E83" s="31" t="n">
        <v>23.7563622342184</v>
      </c>
    </row>
    <row r="84" customFormat="false" ht="15" hidden="false" customHeight="false" outlineLevel="0" collapsed="false">
      <c r="A84" s="26" t="s">
        <v>104</v>
      </c>
      <c r="B84" s="8" t="n">
        <v>4780</v>
      </c>
      <c r="C84" s="8" t="n">
        <v>21620</v>
      </c>
      <c r="D84" s="25" t="n">
        <v>2.5</v>
      </c>
      <c r="E84" s="31" t="n">
        <v>20.2456758841027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N3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62"/>
    <col collapsed="false" customWidth="true" hidden="false" outlineLevel="0" max="4" min="4" style="0" width="9"/>
    <col collapsed="false" customWidth="true" hidden="false" outlineLevel="0" max="5" min="5" style="0" width="8"/>
    <col collapsed="false" customWidth="true" hidden="false" outlineLevel="0" max="6" min="6" style="0" width="9"/>
    <col collapsed="false" customWidth="true" hidden="false" outlineLevel="0" max="7" min="7" style="0" width="14"/>
    <col collapsed="false" customWidth="true" hidden="false" outlineLevel="0" max="8" min="8" style="0" width="9"/>
    <col collapsed="false" customWidth="true" hidden="false" outlineLevel="0" max="10" min="9" style="0" width="8"/>
    <col collapsed="false" customWidth="true" hidden="false" outlineLevel="0" max="11" min="11" style="0" width="15"/>
    <col collapsed="false" customWidth="true" hidden="false" outlineLevel="0" max="12" min="12" style="0" width="9"/>
    <col collapsed="false" customWidth="true" hidden="false" outlineLevel="0" max="14" min="13" style="0" width="8"/>
  </cols>
  <sheetData>
    <row r="1" customFormat="false" ht="21.6" hidden="false" customHeight="false" outlineLevel="0" collapsed="false">
      <c r="A1" s="23" t="s">
        <v>105</v>
      </c>
    </row>
    <row r="3" customFormat="false" ht="30" hidden="false" customHeight="true" outlineLevel="0" collapsed="false">
      <c r="A3" s="5" t="s">
        <v>5</v>
      </c>
      <c r="B3" s="5" t="s">
        <v>106</v>
      </c>
      <c r="C3" s="5" t="s">
        <v>107</v>
      </c>
      <c r="D3" s="5" t="s">
        <v>108</v>
      </c>
      <c r="E3" s="5" t="s">
        <v>9</v>
      </c>
      <c r="F3" s="5" t="s">
        <v>109</v>
      </c>
      <c r="G3" s="5" t="s">
        <v>53</v>
      </c>
      <c r="H3" s="5" t="s">
        <v>110</v>
      </c>
      <c r="I3" s="6" t="s">
        <v>54</v>
      </c>
      <c r="J3" s="5" t="s">
        <v>111</v>
      </c>
      <c r="K3" s="5" t="s">
        <v>14</v>
      </c>
      <c r="L3" s="5" t="s">
        <v>112</v>
      </c>
      <c r="M3" s="5" t="s">
        <v>113</v>
      </c>
      <c r="N3" s="5" t="s">
        <v>114</v>
      </c>
    </row>
    <row r="4" customFormat="false" ht="15" hidden="false" customHeight="false" outlineLevel="0" collapsed="false">
      <c r="A4" s="30" t="s">
        <v>20</v>
      </c>
      <c r="B4" s="30" t="s">
        <v>115</v>
      </c>
      <c r="C4" s="26" t="s">
        <v>116</v>
      </c>
      <c r="D4" s="8" t="n">
        <v>1298</v>
      </c>
      <c r="E4" s="9" t="n">
        <v>0.5116</v>
      </c>
      <c r="F4" s="25" t="n">
        <v>11</v>
      </c>
      <c r="G4" s="8" t="n">
        <v>55</v>
      </c>
      <c r="H4" s="8"/>
      <c r="I4" s="10"/>
      <c r="J4" s="8" t="n">
        <v>2</v>
      </c>
      <c r="K4" s="11" t="n">
        <v>1.54083204930663</v>
      </c>
      <c r="L4" s="30"/>
      <c r="M4" s="30"/>
      <c r="N4" s="30"/>
    </row>
    <row r="5" customFormat="false" ht="15" hidden="false" customHeight="false" outlineLevel="0" collapsed="false">
      <c r="A5" s="30" t="s">
        <v>20</v>
      </c>
      <c r="B5" s="30" t="s">
        <v>115</v>
      </c>
      <c r="C5" s="26" t="s">
        <v>117</v>
      </c>
      <c r="D5" s="8" t="n">
        <v>1366</v>
      </c>
      <c r="E5" s="9" t="n">
        <v>0.4988</v>
      </c>
      <c r="F5" s="25" t="n">
        <v>11</v>
      </c>
      <c r="G5" s="8" t="n">
        <v>23</v>
      </c>
      <c r="H5" s="8"/>
      <c r="I5" s="10"/>
      <c r="J5" s="8" t="n">
        <v>1</v>
      </c>
      <c r="K5" s="11" t="n">
        <v>0.732064421669107</v>
      </c>
      <c r="L5" s="30"/>
      <c r="M5" s="30"/>
      <c r="N5" s="30"/>
    </row>
    <row r="6" customFormat="false" ht="15" hidden="false" customHeight="false" outlineLevel="0" collapsed="false">
      <c r="A6" s="30" t="s">
        <v>20</v>
      </c>
      <c r="B6" s="30" t="s">
        <v>118</v>
      </c>
      <c r="C6" s="26" t="s">
        <v>119</v>
      </c>
      <c r="D6" s="8" t="n">
        <v>1652</v>
      </c>
      <c r="E6" s="9" t="n">
        <v>0.6434</v>
      </c>
      <c r="F6" s="25" t="n">
        <v>15</v>
      </c>
      <c r="G6" s="8" t="n">
        <v>27</v>
      </c>
      <c r="H6" s="8"/>
      <c r="I6" s="10"/>
      <c r="J6" s="8" t="n">
        <v>0</v>
      </c>
      <c r="K6" s="11" t="n">
        <v>0</v>
      </c>
      <c r="L6" s="30"/>
      <c r="M6" s="30"/>
      <c r="N6" s="30"/>
    </row>
    <row r="7" customFormat="false" ht="15" hidden="false" customHeight="false" outlineLevel="0" collapsed="false">
      <c r="A7" s="30" t="s">
        <v>20</v>
      </c>
      <c r="B7" s="30" t="s">
        <v>120</v>
      </c>
      <c r="C7" s="30" t="s">
        <v>121</v>
      </c>
      <c r="D7" s="8" t="n">
        <v>1574</v>
      </c>
      <c r="E7" s="9" t="n">
        <v>0.4219</v>
      </c>
      <c r="F7" s="25" t="n">
        <v>13</v>
      </c>
      <c r="G7" s="8" t="n">
        <v>8</v>
      </c>
      <c r="H7" s="8"/>
      <c r="I7" s="10"/>
      <c r="J7" s="8" t="n">
        <v>0</v>
      </c>
      <c r="K7" s="11" t="n">
        <v>0</v>
      </c>
      <c r="L7" s="30"/>
      <c r="M7" s="30"/>
      <c r="N7" s="30"/>
    </row>
    <row r="8" customFormat="false" ht="15" hidden="false" customHeight="false" outlineLevel="0" collapsed="false">
      <c r="A8" s="30" t="s">
        <v>20</v>
      </c>
      <c r="B8" s="30" t="s">
        <v>122</v>
      </c>
      <c r="C8" s="26" t="s">
        <v>123</v>
      </c>
      <c r="D8" s="8" t="n">
        <v>1436</v>
      </c>
      <c r="E8" s="9" t="n">
        <v>0.6652</v>
      </c>
      <c r="F8" s="25" t="n">
        <v>13</v>
      </c>
      <c r="G8" s="8" t="n">
        <v>47</v>
      </c>
      <c r="H8" s="8"/>
      <c r="I8" s="10"/>
      <c r="J8" s="8" t="n">
        <v>0</v>
      </c>
      <c r="K8" s="11" t="n">
        <v>0</v>
      </c>
      <c r="L8" s="30"/>
      <c r="M8" s="30"/>
      <c r="N8" s="30"/>
    </row>
    <row r="9" customFormat="false" ht="15" hidden="false" customHeight="false" outlineLevel="0" collapsed="false">
      <c r="A9" s="30" t="s">
        <v>20</v>
      </c>
      <c r="B9" s="30" t="s">
        <v>124</v>
      </c>
      <c r="C9" s="30" t="s">
        <v>125</v>
      </c>
      <c r="D9" s="8" t="n">
        <v>1358</v>
      </c>
      <c r="E9" s="9" t="n">
        <v>0.4501</v>
      </c>
      <c r="F9" s="25" t="n">
        <v>11</v>
      </c>
      <c r="G9" s="8" t="n">
        <v>41</v>
      </c>
      <c r="H9" s="8"/>
      <c r="I9" s="10"/>
      <c r="J9" s="8" t="n">
        <v>0</v>
      </c>
      <c r="K9" s="11" t="n">
        <v>0</v>
      </c>
      <c r="L9" s="30"/>
      <c r="M9" s="30"/>
      <c r="N9" s="30"/>
    </row>
    <row r="10" customFormat="false" ht="15" hidden="false" customHeight="false" outlineLevel="0" collapsed="false">
      <c r="A10" s="30" t="s">
        <v>20</v>
      </c>
      <c r="B10" s="30" t="s">
        <v>126</v>
      </c>
      <c r="C10" s="26" t="s">
        <v>127</v>
      </c>
      <c r="D10" s="8" t="n">
        <v>1353</v>
      </c>
      <c r="E10" s="9" t="n">
        <v>0.5715</v>
      </c>
      <c r="F10" s="25" t="n">
        <v>16</v>
      </c>
      <c r="G10" s="8" t="n">
        <v>26</v>
      </c>
      <c r="H10" s="8"/>
      <c r="I10" s="10"/>
      <c r="J10" s="8" t="n">
        <v>0</v>
      </c>
      <c r="K10" s="11" t="n">
        <v>0</v>
      </c>
      <c r="L10" s="30"/>
      <c r="M10" s="30"/>
      <c r="N10" s="30"/>
    </row>
    <row r="11" customFormat="false" ht="15" hidden="false" customHeight="false" outlineLevel="0" collapsed="false">
      <c r="A11" s="30" t="s">
        <v>20</v>
      </c>
      <c r="B11" s="30" t="s">
        <v>128</v>
      </c>
      <c r="C11" s="26" t="s">
        <v>129</v>
      </c>
      <c r="D11" s="8" t="n">
        <v>1350</v>
      </c>
      <c r="E11" s="9" t="n">
        <v>0.7217</v>
      </c>
      <c r="F11" s="25" t="n">
        <v>16</v>
      </c>
      <c r="G11" s="8" t="n">
        <v>21</v>
      </c>
      <c r="H11" s="8"/>
      <c r="I11" s="10"/>
      <c r="J11" s="8" t="n">
        <v>0</v>
      </c>
      <c r="K11" s="11" t="n">
        <v>0</v>
      </c>
      <c r="L11" s="30"/>
      <c r="M11" s="30"/>
      <c r="N11" s="30"/>
    </row>
    <row r="12" customFormat="false" ht="15" hidden="false" customHeight="false" outlineLevel="0" collapsed="false">
      <c r="A12" s="30" t="s">
        <v>20</v>
      </c>
      <c r="B12" s="30" t="s">
        <v>126</v>
      </c>
      <c r="C12" s="26" t="s">
        <v>130</v>
      </c>
      <c r="D12" s="8" t="n">
        <v>1235</v>
      </c>
      <c r="E12" s="9" t="n">
        <v>0.8148</v>
      </c>
      <c r="F12" s="25" t="n">
        <v>21</v>
      </c>
      <c r="G12" s="8" t="n">
        <v>15</v>
      </c>
      <c r="H12" s="8"/>
      <c r="I12" s="10"/>
      <c r="J12" s="8" t="n">
        <v>0</v>
      </c>
      <c r="K12" s="11" t="n">
        <v>0</v>
      </c>
      <c r="L12" s="30"/>
      <c r="M12" s="30"/>
      <c r="N12" s="30"/>
    </row>
    <row r="13" customFormat="false" ht="15" hidden="false" customHeight="false" outlineLevel="0" collapsed="false">
      <c r="A13" s="30" t="s">
        <v>20</v>
      </c>
      <c r="B13" s="30" t="s">
        <v>118</v>
      </c>
      <c r="C13" s="26" t="s">
        <v>131</v>
      </c>
      <c r="D13" s="8" t="n">
        <v>1190</v>
      </c>
      <c r="E13" s="9" t="n">
        <v>0.5125</v>
      </c>
      <c r="F13" s="25" t="n">
        <v>11</v>
      </c>
      <c r="G13" s="8" t="n">
        <v>20</v>
      </c>
      <c r="H13" s="8"/>
      <c r="I13" s="10"/>
      <c r="J13" s="8" t="n">
        <v>0</v>
      </c>
      <c r="K13" s="11" t="n">
        <v>0</v>
      </c>
      <c r="L13" s="30"/>
      <c r="M13" s="30"/>
      <c r="N13" s="30"/>
    </row>
    <row r="14" customFormat="false" ht="15" hidden="false" customHeight="false" outlineLevel="0" collapsed="false">
      <c r="A14" s="30" t="s">
        <v>20</v>
      </c>
      <c r="B14" s="30" t="s">
        <v>126</v>
      </c>
      <c r="C14" s="26" t="s">
        <v>132</v>
      </c>
      <c r="D14" s="8" t="n">
        <v>1161</v>
      </c>
      <c r="E14" s="9" t="n">
        <v>1.096</v>
      </c>
      <c r="F14" s="25" t="n">
        <v>28</v>
      </c>
      <c r="G14" s="8" t="n">
        <v>22</v>
      </c>
      <c r="H14" s="8"/>
      <c r="I14" s="10"/>
      <c r="J14" s="8" t="n">
        <v>0</v>
      </c>
      <c r="K14" s="11" t="n">
        <v>0</v>
      </c>
      <c r="L14" s="30"/>
      <c r="M14" s="30"/>
      <c r="N14" s="30"/>
    </row>
    <row r="15" customFormat="false" ht="15" hidden="false" customHeight="false" outlineLevel="0" collapsed="false">
      <c r="A15" s="30" t="s">
        <v>20</v>
      </c>
      <c r="B15" s="30" t="s">
        <v>133</v>
      </c>
      <c r="C15" s="26" t="s">
        <v>134</v>
      </c>
      <c r="D15" s="8" t="n">
        <v>1143</v>
      </c>
      <c r="E15" s="9" t="n">
        <v>0.5143</v>
      </c>
      <c r="F15" s="25" t="n">
        <v>11</v>
      </c>
      <c r="G15" s="8" t="n">
        <v>13</v>
      </c>
      <c r="H15" s="8"/>
      <c r="I15" s="10"/>
      <c r="J15" s="8" t="n">
        <v>0</v>
      </c>
      <c r="K15" s="11" t="n">
        <v>0</v>
      </c>
      <c r="L15" s="30"/>
      <c r="M15" s="30"/>
      <c r="N15" s="30"/>
    </row>
    <row r="16" customFormat="false" ht="15" hidden="false" customHeight="false" outlineLevel="0" collapsed="false">
      <c r="A16" s="30" t="s">
        <v>20</v>
      </c>
      <c r="B16" s="30" t="s">
        <v>122</v>
      </c>
      <c r="C16" s="26" t="s">
        <v>135</v>
      </c>
      <c r="D16" s="8" t="n">
        <v>1086</v>
      </c>
      <c r="E16" s="9" t="n">
        <v>1.2551</v>
      </c>
      <c r="F16" s="25" t="n">
        <v>28</v>
      </c>
      <c r="G16" s="8" t="n">
        <v>34</v>
      </c>
      <c r="H16" s="8"/>
      <c r="I16" s="10"/>
      <c r="J16" s="8" t="n">
        <v>0</v>
      </c>
      <c r="K16" s="11" t="n">
        <v>0</v>
      </c>
      <c r="L16" s="30"/>
      <c r="M16" s="30"/>
      <c r="N16" s="30"/>
    </row>
    <row r="17" customFormat="false" ht="15" hidden="false" customHeight="false" outlineLevel="0" collapsed="false">
      <c r="A17" s="30" t="s">
        <v>20</v>
      </c>
      <c r="B17" s="30" t="s">
        <v>133</v>
      </c>
      <c r="C17" s="26" t="s">
        <v>136</v>
      </c>
      <c r="D17" s="8" t="n">
        <v>703</v>
      </c>
      <c r="E17" s="9" t="n">
        <v>0.5546</v>
      </c>
      <c r="F17" s="25" t="n">
        <v>13</v>
      </c>
      <c r="G17" s="8" t="n">
        <v>18</v>
      </c>
      <c r="H17" s="8"/>
      <c r="I17" s="10"/>
      <c r="J17" s="8" t="n">
        <v>0</v>
      </c>
      <c r="K17" s="11" t="n">
        <v>0</v>
      </c>
      <c r="L17" s="30"/>
      <c r="M17" s="30"/>
      <c r="N17" s="30"/>
    </row>
    <row r="18" customFormat="false" ht="15" hidden="false" customHeight="false" outlineLevel="0" collapsed="false">
      <c r="A18" s="30" t="s">
        <v>20</v>
      </c>
      <c r="B18" s="30" t="s">
        <v>120</v>
      </c>
      <c r="C18" s="26" t="s">
        <v>137</v>
      </c>
      <c r="D18" s="8" t="n">
        <v>246</v>
      </c>
      <c r="E18" s="9" t="n">
        <v>0.3493</v>
      </c>
      <c r="F18" s="25" t="n">
        <v>11</v>
      </c>
      <c r="G18" s="8" t="n">
        <v>104</v>
      </c>
      <c r="H18" s="8"/>
      <c r="I18" s="32" t="n">
        <v>0</v>
      </c>
      <c r="J18" s="8" t="n">
        <v>0</v>
      </c>
      <c r="K18" s="11" t="n">
        <v>0</v>
      </c>
      <c r="L18" s="30"/>
      <c r="M18" s="30"/>
      <c r="N18" s="30"/>
    </row>
    <row r="19" customFormat="false" ht="15" hidden="false" customHeight="false" outlineLevel="0" collapsed="false">
      <c r="A19" s="30" t="s">
        <v>20</v>
      </c>
      <c r="B19" s="30" t="s">
        <v>126</v>
      </c>
      <c r="C19" s="26" t="s">
        <v>138</v>
      </c>
      <c r="D19" s="8" t="n">
        <v>2</v>
      </c>
      <c r="E19" s="9" t="n">
        <v>0.3383</v>
      </c>
      <c r="F19" s="25" t="n">
        <v>7</v>
      </c>
      <c r="G19" s="8" t="n">
        <v>17</v>
      </c>
      <c r="H19" s="8"/>
      <c r="I19" s="10"/>
      <c r="J19" s="8" t="n">
        <v>0</v>
      </c>
      <c r="K19" s="11" t="n">
        <v>0</v>
      </c>
      <c r="L19" s="30"/>
      <c r="M19" s="30"/>
      <c r="N19" s="30"/>
    </row>
    <row r="20" customFormat="false" ht="15" hidden="false" customHeight="false" outlineLevel="0" collapsed="false">
      <c r="A20" s="30" t="s">
        <v>20</v>
      </c>
      <c r="B20" s="30" t="s">
        <v>126</v>
      </c>
      <c r="C20" s="26" t="s">
        <v>139</v>
      </c>
      <c r="D20" s="8" t="n">
        <v>1</v>
      </c>
      <c r="E20" s="9" t="n">
        <v>0.808</v>
      </c>
      <c r="F20" s="25" t="n">
        <v>20</v>
      </c>
      <c r="G20" s="8" t="n">
        <v>30</v>
      </c>
      <c r="H20" s="8"/>
      <c r="I20" s="10"/>
      <c r="J20" s="8" t="n">
        <v>0</v>
      </c>
      <c r="K20" s="11" t="n">
        <v>0</v>
      </c>
      <c r="L20" s="30"/>
      <c r="M20" s="30"/>
      <c r="N20" s="30"/>
    </row>
    <row r="21" customFormat="false" ht="15" hidden="false" customHeight="false" outlineLevel="0" collapsed="false">
      <c r="A21" s="30" t="s">
        <v>17</v>
      </c>
      <c r="B21" s="30" t="s">
        <v>140</v>
      </c>
      <c r="C21" s="26" t="s">
        <v>141</v>
      </c>
      <c r="D21" s="8" t="n">
        <v>894</v>
      </c>
      <c r="E21" s="9" t="n">
        <v>0.7735</v>
      </c>
      <c r="F21" s="25" t="n">
        <v>20</v>
      </c>
      <c r="G21" s="8" t="n">
        <v>16</v>
      </c>
      <c r="H21" s="8"/>
      <c r="I21" s="10"/>
      <c r="J21" s="8" t="n">
        <v>3</v>
      </c>
      <c r="K21" s="11" t="n">
        <v>3.35570469798658</v>
      </c>
      <c r="L21" s="30"/>
      <c r="M21" s="30"/>
      <c r="N21" s="30"/>
    </row>
    <row r="22" customFormat="false" ht="15" hidden="false" customHeight="false" outlineLevel="0" collapsed="false">
      <c r="A22" s="30" t="s">
        <v>17</v>
      </c>
      <c r="B22" s="30" t="s">
        <v>142</v>
      </c>
      <c r="C22" s="26" t="s">
        <v>143</v>
      </c>
      <c r="D22" s="8" t="n">
        <v>1164</v>
      </c>
      <c r="E22" s="9" t="n">
        <v>0.7949</v>
      </c>
      <c r="F22" s="25" t="n">
        <v>31</v>
      </c>
      <c r="G22" s="8" t="n">
        <v>9</v>
      </c>
      <c r="H22" s="8"/>
      <c r="I22" s="10"/>
      <c r="J22" s="8" t="n">
        <v>2</v>
      </c>
      <c r="K22" s="11" t="n">
        <v>1.71821305841924</v>
      </c>
      <c r="L22" s="30"/>
      <c r="M22" s="30"/>
      <c r="N22" s="30"/>
    </row>
    <row r="23" customFormat="false" ht="15" hidden="false" customHeight="false" outlineLevel="0" collapsed="false">
      <c r="A23" s="30" t="s">
        <v>17</v>
      </c>
      <c r="B23" s="30" t="s">
        <v>144</v>
      </c>
      <c r="C23" s="26" t="s">
        <v>145</v>
      </c>
      <c r="D23" s="8" t="n">
        <v>928</v>
      </c>
      <c r="E23" s="9" t="n">
        <v>0.5003</v>
      </c>
      <c r="F23" s="25" t="n">
        <v>17</v>
      </c>
      <c r="G23" s="8" t="n">
        <v>41</v>
      </c>
      <c r="H23" s="8"/>
      <c r="I23" s="10"/>
      <c r="J23" s="8" t="n">
        <v>2</v>
      </c>
      <c r="K23" s="11" t="n">
        <v>2.1551724137931</v>
      </c>
      <c r="L23" s="30"/>
      <c r="M23" s="30"/>
      <c r="N23" s="30"/>
    </row>
    <row r="24" customFormat="false" ht="15" hidden="false" customHeight="false" outlineLevel="0" collapsed="false">
      <c r="A24" s="30" t="s">
        <v>17</v>
      </c>
      <c r="B24" s="30" t="s">
        <v>146</v>
      </c>
      <c r="C24" s="26" t="s">
        <v>147</v>
      </c>
      <c r="D24" s="8" t="n">
        <v>819</v>
      </c>
      <c r="E24" s="9" t="n">
        <v>0.3681</v>
      </c>
      <c r="F24" s="25" t="n">
        <v>9</v>
      </c>
      <c r="G24" s="8" t="n">
        <v>34</v>
      </c>
      <c r="H24" s="8"/>
      <c r="I24" s="10"/>
      <c r="J24" s="8" t="n">
        <v>2</v>
      </c>
      <c r="K24" s="11" t="n">
        <v>2.44200244200244</v>
      </c>
      <c r="L24" s="30"/>
      <c r="M24" s="30"/>
      <c r="N24" s="30"/>
    </row>
    <row r="25" customFormat="false" ht="15" hidden="false" customHeight="false" outlineLevel="0" collapsed="false">
      <c r="A25" s="30" t="s">
        <v>17</v>
      </c>
      <c r="B25" s="30" t="s">
        <v>148</v>
      </c>
      <c r="C25" s="26" t="s">
        <v>149</v>
      </c>
      <c r="D25" s="8" t="n">
        <v>1519</v>
      </c>
      <c r="E25" s="9" t="n">
        <v>0.9889</v>
      </c>
      <c r="F25" s="25" t="n">
        <v>21</v>
      </c>
      <c r="G25" s="8" t="n">
        <v>6</v>
      </c>
      <c r="H25" s="8"/>
      <c r="I25" s="10"/>
      <c r="J25" s="8" t="n">
        <v>1</v>
      </c>
      <c r="K25" s="11" t="n">
        <v>0.65832784726794</v>
      </c>
      <c r="L25" s="30"/>
      <c r="M25" s="30"/>
      <c r="N25" s="30"/>
    </row>
    <row r="26" customFormat="false" ht="15" hidden="false" customHeight="false" outlineLevel="0" collapsed="false">
      <c r="A26" s="30" t="s">
        <v>17</v>
      </c>
      <c r="B26" s="30" t="s">
        <v>150</v>
      </c>
      <c r="C26" s="26" t="s">
        <v>151</v>
      </c>
      <c r="D26" s="8" t="n">
        <v>1251</v>
      </c>
      <c r="E26" s="9" t="n">
        <v>0.5664</v>
      </c>
      <c r="F26" s="25" t="n">
        <v>20</v>
      </c>
      <c r="G26" s="8" t="n">
        <v>31</v>
      </c>
      <c r="H26" s="8"/>
      <c r="I26" s="10"/>
      <c r="J26" s="8" t="n">
        <v>1</v>
      </c>
      <c r="K26" s="11" t="n">
        <v>0.799360511590727</v>
      </c>
      <c r="L26" s="30"/>
      <c r="M26" s="30"/>
      <c r="N26" s="30" t="s">
        <v>152</v>
      </c>
    </row>
    <row r="27" customFormat="false" ht="15" hidden="false" customHeight="false" outlineLevel="0" collapsed="false">
      <c r="A27" s="30" t="s">
        <v>17</v>
      </c>
      <c r="B27" s="30" t="s">
        <v>153</v>
      </c>
      <c r="C27" s="26" t="s">
        <v>154</v>
      </c>
      <c r="D27" s="8" t="n">
        <v>1194</v>
      </c>
      <c r="E27" s="9" t="n">
        <v>0.3655</v>
      </c>
      <c r="F27" s="25" t="n">
        <v>13</v>
      </c>
      <c r="G27" s="8" t="n">
        <v>211</v>
      </c>
      <c r="H27" s="8" t="n">
        <v>3</v>
      </c>
      <c r="I27" s="33" t="n">
        <v>0.014218009478673</v>
      </c>
      <c r="J27" s="8" t="n">
        <v>1</v>
      </c>
      <c r="K27" s="11" t="n">
        <v>0.837520938023451</v>
      </c>
      <c r="L27" s="30" t="s">
        <v>152</v>
      </c>
      <c r="M27" s="30"/>
      <c r="N27" s="30"/>
    </row>
    <row r="28" customFormat="false" ht="15" hidden="false" customHeight="false" outlineLevel="0" collapsed="false">
      <c r="A28" s="30" t="s">
        <v>17</v>
      </c>
      <c r="B28" s="30" t="s">
        <v>155</v>
      </c>
      <c r="C28" s="26" t="s">
        <v>156</v>
      </c>
      <c r="D28" s="8" t="n">
        <v>1192</v>
      </c>
      <c r="E28" s="9" t="n">
        <v>0.5151</v>
      </c>
      <c r="F28" s="25" t="n">
        <v>14</v>
      </c>
      <c r="G28" s="8"/>
      <c r="H28" s="8"/>
      <c r="I28" s="10"/>
      <c r="J28" s="8" t="n">
        <v>1</v>
      </c>
      <c r="K28" s="11" t="n">
        <v>0.838926174496644</v>
      </c>
      <c r="L28" s="30"/>
      <c r="M28" s="30"/>
      <c r="N28" s="30"/>
    </row>
    <row r="29" customFormat="false" ht="15" hidden="false" customHeight="false" outlineLevel="0" collapsed="false">
      <c r="A29" s="30" t="s">
        <v>17</v>
      </c>
      <c r="B29" s="30" t="s">
        <v>157</v>
      </c>
      <c r="C29" s="26" t="s">
        <v>158</v>
      </c>
      <c r="D29" s="8" t="n">
        <v>1133</v>
      </c>
      <c r="E29" s="9" t="n">
        <v>0.6233</v>
      </c>
      <c r="F29" s="25" t="n">
        <v>16</v>
      </c>
      <c r="G29" s="8" t="n">
        <v>12</v>
      </c>
      <c r="H29" s="8"/>
      <c r="I29" s="10"/>
      <c r="J29" s="8" t="n">
        <v>1</v>
      </c>
      <c r="K29" s="11" t="n">
        <v>0.88261253309797</v>
      </c>
      <c r="L29" s="30"/>
      <c r="M29" s="30"/>
      <c r="N29" s="30"/>
    </row>
    <row r="30" customFormat="false" ht="15" hidden="false" customHeight="false" outlineLevel="0" collapsed="false">
      <c r="A30" s="30" t="s">
        <v>17</v>
      </c>
      <c r="B30" s="30" t="s">
        <v>159</v>
      </c>
      <c r="C30" s="26" t="s">
        <v>160</v>
      </c>
      <c r="D30" s="8" t="n">
        <v>1119</v>
      </c>
      <c r="E30" s="9" t="n">
        <v>0.4411</v>
      </c>
      <c r="F30" s="25" t="n">
        <v>14</v>
      </c>
      <c r="G30" s="8" t="n">
        <v>19</v>
      </c>
      <c r="H30" s="8"/>
      <c r="I30" s="10"/>
      <c r="J30" s="8" t="n">
        <v>1</v>
      </c>
      <c r="K30" s="11" t="n">
        <v>0.893655049151028</v>
      </c>
      <c r="L30" s="30"/>
      <c r="M30" s="30"/>
      <c r="N30" s="30"/>
    </row>
    <row r="31" customFormat="false" ht="15" hidden="false" customHeight="false" outlineLevel="0" collapsed="false">
      <c r="A31" s="30" t="s">
        <v>17</v>
      </c>
      <c r="B31" s="30" t="s">
        <v>161</v>
      </c>
      <c r="C31" s="26" t="s">
        <v>162</v>
      </c>
      <c r="D31" s="8" t="n">
        <v>1105</v>
      </c>
      <c r="E31" s="9" t="n">
        <v>0.5649</v>
      </c>
      <c r="F31" s="25" t="n">
        <v>18</v>
      </c>
      <c r="G31" s="8" t="n">
        <v>15</v>
      </c>
      <c r="H31" s="8"/>
      <c r="I31" s="10"/>
      <c r="J31" s="8" t="n">
        <v>1</v>
      </c>
      <c r="K31" s="11" t="n">
        <v>0.904977375565611</v>
      </c>
      <c r="L31" s="30" t="s">
        <v>152</v>
      </c>
      <c r="M31" s="30"/>
      <c r="N31" s="30"/>
    </row>
    <row r="32" customFormat="false" ht="15" hidden="false" customHeight="false" outlineLevel="0" collapsed="false">
      <c r="A32" s="30" t="s">
        <v>17</v>
      </c>
      <c r="B32" s="30" t="s">
        <v>133</v>
      </c>
      <c r="C32" s="26" t="s">
        <v>163</v>
      </c>
      <c r="D32" s="8" t="n">
        <v>1069</v>
      </c>
      <c r="E32" s="9" t="n">
        <v>0.5316</v>
      </c>
      <c r="F32" s="25" t="n">
        <v>16</v>
      </c>
      <c r="G32" s="8" t="n">
        <v>7</v>
      </c>
      <c r="H32" s="8"/>
      <c r="I32" s="10"/>
      <c r="J32" s="8" t="n">
        <v>1</v>
      </c>
      <c r="K32" s="11" t="n">
        <v>0.935453695042095</v>
      </c>
      <c r="L32" s="30"/>
      <c r="M32" s="30"/>
      <c r="N32" s="30"/>
    </row>
    <row r="33" customFormat="false" ht="15" hidden="false" customHeight="false" outlineLevel="0" collapsed="false">
      <c r="A33" s="30" t="s">
        <v>17</v>
      </c>
      <c r="B33" s="30" t="s">
        <v>164</v>
      </c>
      <c r="C33" s="26" t="s">
        <v>165</v>
      </c>
      <c r="D33" s="8" t="n">
        <v>1065</v>
      </c>
      <c r="E33" s="9" t="n">
        <v>0.5587</v>
      </c>
      <c r="F33" s="25" t="n">
        <v>15</v>
      </c>
      <c r="G33" s="8" t="n">
        <v>14</v>
      </c>
      <c r="H33" s="8"/>
      <c r="I33" s="10"/>
      <c r="J33" s="8" t="n">
        <v>1</v>
      </c>
      <c r="K33" s="11" t="n">
        <v>0.938967136150235</v>
      </c>
      <c r="L33" s="30"/>
      <c r="M33" s="30"/>
      <c r="N33" s="30"/>
    </row>
    <row r="34" customFormat="false" ht="15" hidden="false" customHeight="false" outlineLevel="0" collapsed="false">
      <c r="A34" s="30" t="s">
        <v>17</v>
      </c>
      <c r="B34" s="30" t="s">
        <v>166</v>
      </c>
      <c r="C34" s="26" t="s">
        <v>167</v>
      </c>
      <c r="D34" s="8" t="n">
        <v>1062</v>
      </c>
      <c r="E34" s="9" t="n">
        <v>0.6463</v>
      </c>
      <c r="F34" s="25" t="n">
        <v>13</v>
      </c>
      <c r="G34" s="8" t="n">
        <v>160</v>
      </c>
      <c r="H34" s="8" t="n">
        <v>7</v>
      </c>
      <c r="I34" s="34" t="n">
        <v>0.04375</v>
      </c>
      <c r="J34" s="8" t="n">
        <v>1</v>
      </c>
      <c r="K34" s="11" t="n">
        <v>0.941619585687382</v>
      </c>
      <c r="L34" s="30"/>
      <c r="M34" s="30"/>
      <c r="N34" s="30"/>
    </row>
    <row r="35" customFormat="false" ht="15" hidden="false" customHeight="false" outlineLevel="0" collapsed="false">
      <c r="A35" s="30" t="s">
        <v>17</v>
      </c>
      <c r="B35" s="30" t="s">
        <v>153</v>
      </c>
      <c r="C35" s="26" t="s">
        <v>168</v>
      </c>
      <c r="D35" s="8" t="n">
        <v>1031</v>
      </c>
      <c r="E35" s="9" t="n">
        <v>0.6738</v>
      </c>
      <c r="F35" s="25" t="n">
        <v>13</v>
      </c>
      <c r="G35" s="8" t="n">
        <v>62</v>
      </c>
      <c r="H35" s="8"/>
      <c r="I35" s="10"/>
      <c r="J35" s="8" t="n">
        <v>1</v>
      </c>
      <c r="K35" s="11" t="n">
        <v>0.969932104752667</v>
      </c>
      <c r="L35" s="30" t="s">
        <v>152</v>
      </c>
      <c r="M35" s="30"/>
      <c r="N35" s="30" t="s">
        <v>152</v>
      </c>
    </row>
    <row r="36" customFormat="false" ht="15" hidden="false" customHeight="false" outlineLevel="0" collapsed="false">
      <c r="A36" s="30" t="s">
        <v>17</v>
      </c>
      <c r="B36" s="30" t="s">
        <v>169</v>
      </c>
      <c r="C36" s="26" t="s">
        <v>170</v>
      </c>
      <c r="D36" s="8" t="n">
        <v>999</v>
      </c>
      <c r="E36" s="9" t="n">
        <v>0.5665</v>
      </c>
      <c r="F36" s="25" t="n">
        <v>16</v>
      </c>
      <c r="G36" s="8" t="n">
        <v>2</v>
      </c>
      <c r="H36" s="8"/>
      <c r="I36" s="10"/>
      <c r="J36" s="8" t="n">
        <v>1</v>
      </c>
      <c r="K36" s="11" t="n">
        <v>1.001001001001</v>
      </c>
      <c r="L36" s="30" t="s">
        <v>152</v>
      </c>
      <c r="M36" s="30"/>
      <c r="N36" s="30"/>
    </row>
    <row r="37" customFormat="false" ht="15" hidden="false" customHeight="false" outlineLevel="0" collapsed="false">
      <c r="A37" s="30" t="s">
        <v>17</v>
      </c>
      <c r="B37" s="30" t="s">
        <v>171</v>
      </c>
      <c r="C37" s="26" t="s">
        <v>172</v>
      </c>
      <c r="D37" s="8" t="n">
        <v>998</v>
      </c>
      <c r="E37" s="9" t="n">
        <v>0.4422</v>
      </c>
      <c r="F37" s="25" t="n">
        <v>15</v>
      </c>
      <c r="G37" s="8"/>
      <c r="H37" s="8"/>
      <c r="I37" s="10"/>
      <c r="J37" s="8" t="n">
        <v>1</v>
      </c>
      <c r="K37" s="11" t="n">
        <v>1.00200400801603</v>
      </c>
      <c r="L37" s="30"/>
      <c r="M37" s="30"/>
      <c r="N37" s="30" t="s">
        <v>152</v>
      </c>
    </row>
    <row r="38" customFormat="false" ht="15" hidden="false" customHeight="false" outlineLevel="0" collapsed="false">
      <c r="A38" s="30" t="s">
        <v>17</v>
      </c>
      <c r="B38" s="30" t="s">
        <v>166</v>
      </c>
      <c r="C38" s="26" t="s">
        <v>173</v>
      </c>
      <c r="D38" s="8" t="n">
        <v>998</v>
      </c>
      <c r="E38" s="9" t="n">
        <v>0.4296</v>
      </c>
      <c r="F38" s="25" t="n">
        <v>15</v>
      </c>
      <c r="G38" s="8" t="n">
        <v>67</v>
      </c>
      <c r="H38" s="8"/>
      <c r="I38" s="10"/>
      <c r="J38" s="8" t="n">
        <v>1</v>
      </c>
      <c r="K38" s="11" t="n">
        <v>1.00200400801603</v>
      </c>
      <c r="L38" s="30" t="s">
        <v>152</v>
      </c>
      <c r="M38" s="30"/>
      <c r="N38" s="30"/>
    </row>
    <row r="39" customFormat="false" ht="15" hidden="false" customHeight="false" outlineLevel="0" collapsed="false">
      <c r="A39" s="30" t="s">
        <v>17</v>
      </c>
      <c r="B39" s="30" t="s">
        <v>171</v>
      </c>
      <c r="C39" s="26" t="s">
        <v>174</v>
      </c>
      <c r="D39" s="8" t="n">
        <v>972</v>
      </c>
      <c r="E39" s="9" t="n">
        <v>0.5155</v>
      </c>
      <c r="F39" s="25" t="n">
        <v>16</v>
      </c>
      <c r="G39" s="8" t="n">
        <v>31</v>
      </c>
      <c r="H39" s="8"/>
      <c r="I39" s="10"/>
      <c r="J39" s="8" t="n">
        <v>1</v>
      </c>
      <c r="K39" s="11" t="n">
        <v>1.02880658436214</v>
      </c>
      <c r="L39" s="30" t="s">
        <v>152</v>
      </c>
      <c r="M39" s="30"/>
      <c r="N39" s="30"/>
    </row>
    <row r="40" customFormat="false" ht="15" hidden="false" customHeight="false" outlineLevel="0" collapsed="false">
      <c r="A40" s="30" t="s">
        <v>17</v>
      </c>
      <c r="B40" s="30" t="s">
        <v>175</v>
      </c>
      <c r="C40" s="26" t="s">
        <v>176</v>
      </c>
      <c r="D40" s="8" t="n">
        <v>963</v>
      </c>
      <c r="E40" s="9" t="n">
        <v>0.4949</v>
      </c>
      <c r="F40" s="25" t="n">
        <v>13</v>
      </c>
      <c r="G40" s="8" t="n">
        <v>24</v>
      </c>
      <c r="H40" s="8"/>
      <c r="I40" s="10"/>
      <c r="J40" s="8" t="n">
        <v>1</v>
      </c>
      <c r="K40" s="11" t="n">
        <v>1.03842159916926</v>
      </c>
      <c r="L40" s="30"/>
      <c r="M40" s="30"/>
      <c r="N40" s="30"/>
    </row>
    <row r="41" customFormat="false" ht="15" hidden="false" customHeight="false" outlineLevel="0" collapsed="false">
      <c r="A41" s="30" t="s">
        <v>17</v>
      </c>
      <c r="B41" s="30" t="s">
        <v>177</v>
      </c>
      <c r="C41" s="26" t="s">
        <v>178</v>
      </c>
      <c r="D41" s="8" t="n">
        <v>959</v>
      </c>
      <c r="E41" s="9" t="n">
        <v>0.4904</v>
      </c>
      <c r="F41" s="25" t="n">
        <v>16</v>
      </c>
      <c r="G41" s="8" t="n">
        <v>12</v>
      </c>
      <c r="H41" s="8"/>
      <c r="I41" s="10"/>
      <c r="J41" s="8" t="n">
        <v>1</v>
      </c>
      <c r="K41" s="11" t="n">
        <v>1.04275286757039</v>
      </c>
      <c r="L41" s="30"/>
      <c r="M41" s="30"/>
      <c r="N41" s="30"/>
    </row>
    <row r="42" customFormat="false" ht="15" hidden="false" customHeight="false" outlineLevel="0" collapsed="false">
      <c r="A42" s="30" t="s">
        <v>17</v>
      </c>
      <c r="B42" s="30" t="s">
        <v>179</v>
      </c>
      <c r="C42" s="26" t="s">
        <v>180</v>
      </c>
      <c r="D42" s="8" t="n">
        <v>953</v>
      </c>
      <c r="E42" s="9" t="n">
        <v>0.5916</v>
      </c>
      <c r="F42" s="25" t="n">
        <v>13</v>
      </c>
      <c r="G42" s="8" t="n">
        <v>28</v>
      </c>
      <c r="H42" s="8"/>
      <c r="I42" s="10"/>
      <c r="J42" s="8" t="n">
        <v>1</v>
      </c>
      <c r="K42" s="11" t="n">
        <v>1.04931794333683</v>
      </c>
      <c r="L42" s="30"/>
      <c r="M42" s="30"/>
      <c r="N42" s="30" t="s">
        <v>152</v>
      </c>
    </row>
    <row r="43" customFormat="false" ht="15" hidden="false" customHeight="false" outlineLevel="0" collapsed="false">
      <c r="A43" s="30" t="s">
        <v>17</v>
      </c>
      <c r="B43" s="30" t="s">
        <v>124</v>
      </c>
      <c r="C43" s="26" t="s">
        <v>181</v>
      </c>
      <c r="D43" s="8" t="n">
        <v>937</v>
      </c>
      <c r="E43" s="9" t="n">
        <v>0.3587</v>
      </c>
      <c r="F43" s="25" t="n">
        <v>16</v>
      </c>
      <c r="G43" s="8" t="n">
        <v>36</v>
      </c>
      <c r="H43" s="8"/>
      <c r="I43" s="10"/>
      <c r="J43" s="8" t="n">
        <v>1</v>
      </c>
      <c r="K43" s="11" t="n">
        <v>1.06723585912487</v>
      </c>
      <c r="L43" s="30" t="s">
        <v>152</v>
      </c>
      <c r="M43" s="30"/>
      <c r="N43" s="30" t="s">
        <v>152</v>
      </c>
    </row>
    <row r="44" customFormat="false" ht="15" hidden="false" customHeight="false" outlineLevel="0" collapsed="false">
      <c r="A44" s="30" t="s">
        <v>17</v>
      </c>
      <c r="B44" s="30" t="s">
        <v>148</v>
      </c>
      <c r="C44" s="26" t="s">
        <v>182</v>
      </c>
      <c r="D44" s="8" t="n">
        <v>895</v>
      </c>
      <c r="E44" s="9" t="n">
        <v>0.5822</v>
      </c>
      <c r="F44" s="25" t="n">
        <v>12</v>
      </c>
      <c r="G44" s="8" t="n">
        <v>5</v>
      </c>
      <c r="H44" s="8"/>
      <c r="I44" s="10"/>
      <c r="J44" s="8" t="n">
        <v>1</v>
      </c>
      <c r="K44" s="11" t="n">
        <v>1.11731843575419</v>
      </c>
      <c r="L44" s="30"/>
      <c r="M44" s="30"/>
      <c r="N44" s="30"/>
    </row>
    <row r="45" customFormat="false" ht="15" hidden="false" customHeight="false" outlineLevel="0" collapsed="false">
      <c r="A45" s="30" t="s">
        <v>17</v>
      </c>
      <c r="B45" s="30" t="s">
        <v>183</v>
      </c>
      <c r="C45" s="26" t="s">
        <v>184</v>
      </c>
      <c r="D45" s="8" t="n">
        <v>894</v>
      </c>
      <c r="E45" s="9" t="n">
        <v>0.3886</v>
      </c>
      <c r="F45" s="25" t="n">
        <v>11</v>
      </c>
      <c r="G45" s="8" t="n">
        <v>26</v>
      </c>
      <c r="H45" s="8"/>
      <c r="I45" s="10"/>
      <c r="J45" s="8" t="n">
        <v>1</v>
      </c>
      <c r="K45" s="11" t="n">
        <v>1.11856823266219</v>
      </c>
      <c r="L45" s="30"/>
      <c r="M45" s="30"/>
      <c r="N45" s="30" t="s">
        <v>152</v>
      </c>
    </row>
    <row r="46" customFormat="false" ht="15" hidden="false" customHeight="false" outlineLevel="0" collapsed="false">
      <c r="A46" s="30" t="s">
        <v>17</v>
      </c>
      <c r="B46" s="30" t="s">
        <v>185</v>
      </c>
      <c r="C46" s="26" t="s">
        <v>186</v>
      </c>
      <c r="D46" s="8" t="n">
        <v>861</v>
      </c>
      <c r="E46" s="9" t="n">
        <v>1.1893</v>
      </c>
      <c r="F46" s="25" t="n">
        <v>38</v>
      </c>
      <c r="G46" s="8" t="n">
        <v>71</v>
      </c>
      <c r="H46" s="8"/>
      <c r="I46" s="10"/>
      <c r="J46" s="8" t="n">
        <v>1</v>
      </c>
      <c r="K46" s="11" t="n">
        <v>1.16144018583043</v>
      </c>
      <c r="L46" s="30" t="s">
        <v>152</v>
      </c>
      <c r="M46" s="30"/>
      <c r="N46" s="30"/>
    </row>
    <row r="47" customFormat="false" ht="15" hidden="false" customHeight="false" outlineLevel="0" collapsed="false">
      <c r="A47" s="30" t="s">
        <v>17</v>
      </c>
      <c r="B47" s="30" t="s">
        <v>146</v>
      </c>
      <c r="C47" s="26" t="s">
        <v>187</v>
      </c>
      <c r="D47" s="8" t="n">
        <v>832</v>
      </c>
      <c r="E47" s="9" t="n">
        <v>0.5164</v>
      </c>
      <c r="F47" s="25" t="n">
        <v>18</v>
      </c>
      <c r="G47" s="8" t="n">
        <v>33</v>
      </c>
      <c r="H47" s="8"/>
      <c r="I47" s="10"/>
      <c r="J47" s="8" t="n">
        <v>1</v>
      </c>
      <c r="K47" s="11" t="n">
        <v>1.20192307692308</v>
      </c>
      <c r="L47" s="30"/>
      <c r="M47" s="30"/>
      <c r="N47" s="30"/>
    </row>
    <row r="48" customFormat="false" ht="15" hidden="false" customHeight="false" outlineLevel="0" collapsed="false">
      <c r="A48" s="30" t="s">
        <v>17</v>
      </c>
      <c r="B48" s="30" t="s">
        <v>188</v>
      </c>
      <c r="C48" s="26" t="s">
        <v>189</v>
      </c>
      <c r="D48" s="8" t="n">
        <v>813</v>
      </c>
      <c r="E48" s="9" t="n">
        <v>0.4288</v>
      </c>
      <c r="F48" s="25" t="n">
        <v>13</v>
      </c>
      <c r="G48" s="8" t="n">
        <v>174</v>
      </c>
      <c r="H48" s="8" t="n">
        <v>1</v>
      </c>
      <c r="I48" s="32" t="n">
        <v>0.00574712643678161</v>
      </c>
      <c r="J48" s="8" t="n">
        <v>1</v>
      </c>
      <c r="K48" s="11" t="n">
        <v>1.230012300123</v>
      </c>
      <c r="L48" s="30"/>
      <c r="M48" s="30"/>
      <c r="N48" s="30"/>
    </row>
    <row r="49" customFormat="false" ht="15" hidden="false" customHeight="false" outlineLevel="0" collapsed="false">
      <c r="A49" s="30" t="s">
        <v>17</v>
      </c>
      <c r="B49" s="30" t="s">
        <v>190</v>
      </c>
      <c r="C49" s="26" t="s">
        <v>191</v>
      </c>
      <c r="D49" s="8" t="n">
        <v>574</v>
      </c>
      <c r="E49" s="9" t="n">
        <v>1.2089</v>
      </c>
      <c r="F49" s="25" t="n">
        <v>47</v>
      </c>
      <c r="G49" s="8" t="n">
        <v>10</v>
      </c>
      <c r="H49" s="8"/>
      <c r="I49" s="10"/>
      <c r="J49" s="8" t="n">
        <v>1</v>
      </c>
      <c r="K49" s="11" t="n">
        <v>1.74216027874564</v>
      </c>
      <c r="L49" s="30"/>
      <c r="M49" s="30"/>
      <c r="N49" s="30" t="s">
        <v>152</v>
      </c>
    </row>
    <row r="50" customFormat="false" ht="15" hidden="false" customHeight="false" outlineLevel="0" collapsed="false">
      <c r="A50" s="30" t="s">
        <v>17</v>
      </c>
      <c r="B50" s="30" t="s">
        <v>142</v>
      </c>
      <c r="C50" s="26" t="s">
        <v>192</v>
      </c>
      <c r="D50" s="8" t="n">
        <v>309</v>
      </c>
      <c r="E50" s="9" t="n">
        <v>0.4408</v>
      </c>
      <c r="F50" s="25" t="n">
        <v>12</v>
      </c>
      <c r="G50" s="8" t="n">
        <v>1</v>
      </c>
      <c r="H50" s="8"/>
      <c r="I50" s="10"/>
      <c r="J50" s="8" t="n">
        <v>1</v>
      </c>
      <c r="K50" s="11" t="n">
        <v>3.23624595469256</v>
      </c>
      <c r="L50" s="30"/>
      <c r="M50" s="30" t="s">
        <v>152</v>
      </c>
      <c r="N50" s="30"/>
    </row>
    <row r="51" customFormat="false" ht="15" hidden="false" customHeight="false" outlineLevel="0" collapsed="false">
      <c r="A51" s="30" t="s">
        <v>17</v>
      </c>
      <c r="B51" s="30" t="s">
        <v>144</v>
      </c>
      <c r="C51" s="26" t="s">
        <v>193</v>
      </c>
      <c r="D51" s="8" t="n">
        <v>289</v>
      </c>
      <c r="E51" s="9" t="n">
        <v>0.5466</v>
      </c>
      <c r="F51" s="25" t="n">
        <v>13</v>
      </c>
      <c r="G51" s="8" t="n">
        <v>185</v>
      </c>
      <c r="H51" s="8" t="n">
        <v>1</v>
      </c>
      <c r="I51" s="32" t="n">
        <v>0.00540540540540541</v>
      </c>
      <c r="J51" s="8" t="n">
        <v>1</v>
      </c>
      <c r="K51" s="11" t="n">
        <v>3.46020761245675</v>
      </c>
      <c r="L51" s="30"/>
      <c r="M51" s="30"/>
      <c r="N51" s="30"/>
    </row>
    <row r="52" customFormat="false" ht="15" hidden="false" customHeight="false" outlineLevel="0" collapsed="false">
      <c r="A52" s="30" t="s">
        <v>17</v>
      </c>
      <c r="B52" s="30" t="s">
        <v>155</v>
      </c>
      <c r="C52" s="26" t="s">
        <v>194</v>
      </c>
      <c r="D52" s="8" t="n">
        <v>1453</v>
      </c>
      <c r="E52" s="9" t="n">
        <v>0.6911</v>
      </c>
      <c r="F52" s="25" t="n">
        <v>17</v>
      </c>
      <c r="G52" s="8" t="n">
        <v>55</v>
      </c>
      <c r="H52" s="8"/>
      <c r="I52" s="10"/>
      <c r="J52" s="8" t="n">
        <v>0</v>
      </c>
      <c r="K52" s="11" t="n">
        <v>0</v>
      </c>
      <c r="L52" s="30"/>
      <c r="M52" s="30"/>
      <c r="N52" s="30"/>
    </row>
    <row r="53" customFormat="false" ht="15" hidden="false" customHeight="false" outlineLevel="0" collapsed="false">
      <c r="A53" s="30" t="s">
        <v>17</v>
      </c>
      <c r="B53" s="30" t="s">
        <v>161</v>
      </c>
      <c r="C53" s="26" t="s">
        <v>195</v>
      </c>
      <c r="D53" s="8" t="n">
        <v>1373</v>
      </c>
      <c r="E53" s="9" t="n">
        <v>0.5376</v>
      </c>
      <c r="F53" s="25" t="n">
        <v>11</v>
      </c>
      <c r="G53" s="8" t="n">
        <v>21</v>
      </c>
      <c r="H53" s="8"/>
      <c r="I53" s="10"/>
      <c r="J53" s="8" t="n">
        <v>0</v>
      </c>
      <c r="K53" s="11" t="n">
        <v>0</v>
      </c>
      <c r="L53" s="30"/>
      <c r="M53" s="30"/>
      <c r="N53" s="30"/>
    </row>
    <row r="54" customFormat="false" ht="15" hidden="false" customHeight="false" outlineLevel="0" collapsed="false">
      <c r="A54" s="30" t="s">
        <v>17</v>
      </c>
      <c r="B54" s="30" t="s">
        <v>196</v>
      </c>
      <c r="C54" s="26" t="s">
        <v>197</v>
      </c>
      <c r="D54" s="8" t="n">
        <v>1344</v>
      </c>
      <c r="E54" s="9" t="n">
        <v>0.4998</v>
      </c>
      <c r="F54" s="25" t="n">
        <v>18</v>
      </c>
      <c r="G54" s="8" t="n">
        <v>3</v>
      </c>
      <c r="H54" s="8"/>
      <c r="I54" s="10"/>
      <c r="J54" s="8" t="n">
        <v>0</v>
      </c>
      <c r="K54" s="11" t="n">
        <v>0</v>
      </c>
      <c r="L54" s="30"/>
      <c r="M54" s="30"/>
      <c r="N54" s="30"/>
    </row>
    <row r="55" customFormat="false" ht="15" hidden="false" customHeight="false" outlineLevel="0" collapsed="false">
      <c r="A55" s="30" t="s">
        <v>17</v>
      </c>
      <c r="B55" s="30" t="s">
        <v>198</v>
      </c>
      <c r="C55" s="26" t="s">
        <v>199</v>
      </c>
      <c r="D55" s="8" t="n">
        <v>1304</v>
      </c>
      <c r="E55" s="9" t="n">
        <v>0.4864</v>
      </c>
      <c r="F55" s="25" t="n">
        <v>16</v>
      </c>
      <c r="G55" s="8" t="n">
        <v>18</v>
      </c>
      <c r="H55" s="8"/>
      <c r="I55" s="10"/>
      <c r="J55" s="8" t="n">
        <v>0</v>
      </c>
      <c r="K55" s="11" t="n">
        <v>0</v>
      </c>
      <c r="L55" s="30"/>
      <c r="M55" s="30"/>
      <c r="N55" s="30"/>
    </row>
    <row r="56" customFormat="false" ht="15" hidden="false" customHeight="false" outlineLevel="0" collapsed="false">
      <c r="A56" s="30" t="s">
        <v>17</v>
      </c>
      <c r="B56" s="30" t="s">
        <v>200</v>
      </c>
      <c r="C56" s="26" t="s">
        <v>201</v>
      </c>
      <c r="D56" s="8" t="n">
        <v>1284</v>
      </c>
      <c r="E56" s="9" t="n">
        <v>0.4444</v>
      </c>
      <c r="F56" s="25" t="n">
        <v>15</v>
      </c>
      <c r="G56" s="8" t="n">
        <v>18</v>
      </c>
      <c r="H56" s="8"/>
      <c r="I56" s="10"/>
      <c r="J56" s="8" t="n">
        <v>0</v>
      </c>
      <c r="K56" s="11" t="n">
        <v>0</v>
      </c>
      <c r="L56" s="30" t="s">
        <v>152</v>
      </c>
      <c r="M56" s="30"/>
      <c r="N56" s="30"/>
    </row>
    <row r="57" customFormat="false" ht="15" hidden="false" customHeight="false" outlineLevel="0" collapsed="false">
      <c r="A57" s="30" t="s">
        <v>17</v>
      </c>
      <c r="B57" s="30" t="s">
        <v>202</v>
      </c>
      <c r="C57" s="26" t="s">
        <v>203</v>
      </c>
      <c r="D57" s="8" t="n">
        <v>1279</v>
      </c>
      <c r="E57" s="9" t="n">
        <v>0.4059</v>
      </c>
      <c r="F57" s="25" t="n">
        <v>12</v>
      </c>
      <c r="G57" s="8" t="n">
        <v>49</v>
      </c>
      <c r="H57" s="8"/>
      <c r="I57" s="10"/>
      <c r="J57" s="8" t="n">
        <v>0</v>
      </c>
      <c r="K57" s="11" t="n">
        <v>0</v>
      </c>
      <c r="L57" s="30"/>
      <c r="M57" s="30"/>
      <c r="N57" s="30"/>
    </row>
    <row r="58" customFormat="false" ht="15" hidden="false" customHeight="false" outlineLevel="0" collapsed="false">
      <c r="A58" s="30" t="s">
        <v>17</v>
      </c>
      <c r="B58" s="30" t="s">
        <v>200</v>
      </c>
      <c r="C58" s="26" t="s">
        <v>204</v>
      </c>
      <c r="D58" s="8" t="n">
        <v>1276</v>
      </c>
      <c r="E58" s="9" t="n">
        <v>0.3872</v>
      </c>
      <c r="F58" s="25" t="n">
        <v>13</v>
      </c>
      <c r="G58" s="8" t="n">
        <v>10</v>
      </c>
      <c r="H58" s="8"/>
      <c r="I58" s="10"/>
      <c r="J58" s="8" t="n">
        <v>0</v>
      </c>
      <c r="K58" s="11" t="n">
        <v>0</v>
      </c>
      <c r="L58" s="30"/>
      <c r="M58" s="30"/>
      <c r="N58" s="30"/>
    </row>
    <row r="59" customFormat="false" ht="15" hidden="false" customHeight="false" outlineLevel="0" collapsed="false">
      <c r="A59" s="30" t="s">
        <v>17</v>
      </c>
      <c r="B59" s="30" t="s">
        <v>200</v>
      </c>
      <c r="C59" s="26" t="s">
        <v>205</v>
      </c>
      <c r="D59" s="8" t="n">
        <v>1271</v>
      </c>
      <c r="E59" s="9" t="n">
        <v>0.4673</v>
      </c>
      <c r="F59" s="25" t="n">
        <v>16</v>
      </c>
      <c r="G59" s="8" t="n">
        <v>1</v>
      </c>
      <c r="H59" s="8"/>
      <c r="I59" s="10"/>
      <c r="J59" s="8" t="n">
        <v>0</v>
      </c>
      <c r="K59" s="11" t="n">
        <v>0</v>
      </c>
      <c r="L59" s="30" t="s">
        <v>152</v>
      </c>
      <c r="M59" s="30"/>
      <c r="N59" s="30"/>
    </row>
    <row r="60" customFormat="false" ht="15" hidden="false" customHeight="false" outlineLevel="0" collapsed="false">
      <c r="A60" s="30" t="s">
        <v>17</v>
      </c>
      <c r="B60" s="30" t="s">
        <v>206</v>
      </c>
      <c r="C60" s="26" t="s">
        <v>207</v>
      </c>
      <c r="D60" s="8" t="n">
        <v>1260</v>
      </c>
      <c r="E60" s="9" t="n">
        <v>1.0621</v>
      </c>
      <c r="F60" s="25" t="n">
        <v>39</v>
      </c>
      <c r="G60" s="8" t="n">
        <v>4</v>
      </c>
      <c r="H60" s="8"/>
      <c r="I60" s="10"/>
      <c r="J60" s="8" t="n">
        <v>0</v>
      </c>
      <c r="K60" s="11" t="n">
        <v>0</v>
      </c>
      <c r="L60" s="30"/>
      <c r="M60" s="30" t="s">
        <v>152</v>
      </c>
      <c r="N60" s="30"/>
    </row>
    <row r="61" customFormat="false" ht="15" hidden="false" customHeight="false" outlineLevel="0" collapsed="false">
      <c r="A61" s="30" t="s">
        <v>17</v>
      </c>
      <c r="B61" s="30" t="s">
        <v>196</v>
      </c>
      <c r="C61" s="26" t="s">
        <v>208</v>
      </c>
      <c r="D61" s="8" t="n">
        <v>1253</v>
      </c>
      <c r="E61" s="9" t="n">
        <v>0.5847</v>
      </c>
      <c r="F61" s="25" t="n">
        <v>14</v>
      </c>
      <c r="G61" s="8" t="n">
        <v>14</v>
      </c>
      <c r="H61" s="8"/>
      <c r="I61" s="10"/>
      <c r="J61" s="8" t="n">
        <v>0</v>
      </c>
      <c r="K61" s="11" t="n">
        <v>0</v>
      </c>
      <c r="L61" s="30"/>
      <c r="M61" s="30"/>
      <c r="N61" s="30"/>
    </row>
    <row r="62" customFormat="false" ht="15" hidden="false" customHeight="false" outlineLevel="0" collapsed="false">
      <c r="A62" s="30" t="s">
        <v>17</v>
      </c>
      <c r="B62" s="30" t="s">
        <v>209</v>
      </c>
      <c r="C62" s="26" t="s">
        <v>210</v>
      </c>
      <c r="D62" s="8" t="n">
        <v>1244</v>
      </c>
      <c r="E62" s="9" t="n">
        <v>0.5413</v>
      </c>
      <c r="F62" s="25" t="n">
        <v>11</v>
      </c>
      <c r="G62" s="8" t="n">
        <v>27</v>
      </c>
      <c r="H62" s="8"/>
      <c r="I62" s="10"/>
      <c r="J62" s="8" t="n">
        <v>0</v>
      </c>
      <c r="K62" s="11" t="n">
        <v>0</v>
      </c>
      <c r="L62" s="30"/>
      <c r="M62" s="30"/>
      <c r="N62" s="30"/>
    </row>
    <row r="63" customFormat="false" ht="15" hidden="false" customHeight="false" outlineLevel="0" collapsed="false">
      <c r="A63" s="30" t="s">
        <v>17</v>
      </c>
      <c r="B63" s="30" t="s">
        <v>211</v>
      </c>
      <c r="C63" s="26" t="s">
        <v>212</v>
      </c>
      <c r="D63" s="8" t="n">
        <v>1242</v>
      </c>
      <c r="E63" s="9" t="n">
        <v>0.4643</v>
      </c>
      <c r="F63" s="25" t="n">
        <v>19</v>
      </c>
      <c r="G63" s="8" t="n">
        <v>28</v>
      </c>
      <c r="H63" s="8"/>
      <c r="I63" s="10"/>
      <c r="J63" s="8" t="n">
        <v>0</v>
      </c>
      <c r="K63" s="11" t="n">
        <v>0</v>
      </c>
      <c r="L63" s="30"/>
      <c r="M63" s="30"/>
      <c r="N63" s="30" t="s">
        <v>152</v>
      </c>
    </row>
    <row r="64" customFormat="false" ht="15" hidden="false" customHeight="false" outlineLevel="0" collapsed="false">
      <c r="A64" s="30" t="s">
        <v>17</v>
      </c>
      <c r="B64" s="30" t="s">
        <v>213</v>
      </c>
      <c r="C64" s="26" t="s">
        <v>214</v>
      </c>
      <c r="D64" s="8" t="n">
        <v>1226</v>
      </c>
      <c r="E64" s="9" t="n">
        <v>0.6522</v>
      </c>
      <c r="F64" s="25" t="n">
        <v>14</v>
      </c>
      <c r="G64" s="8" t="n">
        <v>26</v>
      </c>
      <c r="H64" s="8"/>
      <c r="I64" s="10"/>
      <c r="J64" s="8" t="n">
        <v>0</v>
      </c>
      <c r="K64" s="11" t="n">
        <v>0</v>
      </c>
      <c r="L64" s="30"/>
      <c r="M64" s="30"/>
      <c r="N64" s="30" t="s">
        <v>152</v>
      </c>
    </row>
    <row r="65" customFormat="false" ht="15" hidden="false" customHeight="false" outlineLevel="0" collapsed="false">
      <c r="A65" s="30" t="s">
        <v>17</v>
      </c>
      <c r="B65" s="30" t="s">
        <v>196</v>
      </c>
      <c r="C65" s="26" t="s">
        <v>215</v>
      </c>
      <c r="D65" s="8" t="n">
        <v>1222</v>
      </c>
      <c r="E65" s="9" t="n">
        <v>0.5144</v>
      </c>
      <c r="F65" s="25" t="n">
        <v>17</v>
      </c>
      <c r="G65" s="8" t="n">
        <v>11</v>
      </c>
      <c r="H65" s="8"/>
      <c r="I65" s="10"/>
      <c r="J65" s="8" t="n">
        <v>0</v>
      </c>
      <c r="K65" s="11" t="n">
        <v>0</v>
      </c>
      <c r="L65" s="30"/>
      <c r="M65" s="30"/>
      <c r="N65" s="30"/>
    </row>
    <row r="66" customFormat="false" ht="15" hidden="false" customHeight="false" outlineLevel="0" collapsed="false">
      <c r="A66" s="30" t="s">
        <v>17</v>
      </c>
      <c r="B66" s="30" t="s">
        <v>157</v>
      </c>
      <c r="C66" s="26" t="s">
        <v>216</v>
      </c>
      <c r="D66" s="8" t="n">
        <v>1197</v>
      </c>
      <c r="E66" s="9" t="n">
        <v>0</v>
      </c>
      <c r="F66" s="25" t="n">
        <v>14</v>
      </c>
      <c r="G66" s="8" t="n">
        <v>74</v>
      </c>
      <c r="H66" s="8"/>
      <c r="I66" s="10"/>
      <c r="J66" s="8" t="n">
        <v>0</v>
      </c>
      <c r="K66" s="11" t="n">
        <v>0</v>
      </c>
      <c r="L66" s="30"/>
      <c r="M66" s="30"/>
      <c r="N66" s="30"/>
    </row>
    <row r="67" customFormat="false" ht="15" hidden="false" customHeight="false" outlineLevel="0" collapsed="false">
      <c r="A67" s="30" t="s">
        <v>17</v>
      </c>
      <c r="B67" s="30" t="s">
        <v>217</v>
      </c>
      <c r="C67" s="26" t="s">
        <v>218</v>
      </c>
      <c r="D67" s="8" t="n">
        <v>1169</v>
      </c>
      <c r="E67" s="9" t="n">
        <v>1.9537</v>
      </c>
      <c r="F67" s="25" t="n">
        <v>48</v>
      </c>
      <c r="G67" s="8" t="n">
        <v>9</v>
      </c>
      <c r="H67" s="8"/>
      <c r="I67" s="10"/>
      <c r="J67" s="8" t="n">
        <v>0</v>
      </c>
      <c r="K67" s="11" t="n">
        <v>0</v>
      </c>
      <c r="L67" s="30"/>
      <c r="M67" s="30"/>
      <c r="N67" s="30"/>
    </row>
    <row r="68" customFormat="false" ht="15" hidden="false" customHeight="false" outlineLevel="0" collapsed="false">
      <c r="A68" s="30" t="s">
        <v>17</v>
      </c>
      <c r="B68" s="30" t="s">
        <v>175</v>
      </c>
      <c r="C68" s="26" t="s">
        <v>219</v>
      </c>
      <c r="D68" s="8" t="n">
        <v>1168</v>
      </c>
      <c r="E68" s="9" t="n">
        <v>0.6311</v>
      </c>
      <c r="F68" s="25" t="n">
        <v>13</v>
      </c>
      <c r="G68" s="8" t="n">
        <v>38</v>
      </c>
      <c r="H68" s="8"/>
      <c r="I68" s="10"/>
      <c r="J68" s="8" t="n">
        <v>0</v>
      </c>
      <c r="K68" s="11" t="n">
        <v>0</v>
      </c>
      <c r="L68" s="30"/>
      <c r="M68" s="30"/>
      <c r="N68" s="30" t="s">
        <v>152</v>
      </c>
    </row>
    <row r="69" customFormat="false" ht="15" hidden="false" customHeight="false" outlineLevel="0" collapsed="false">
      <c r="A69" s="30" t="s">
        <v>17</v>
      </c>
      <c r="B69" s="30" t="s">
        <v>220</v>
      </c>
      <c r="C69" s="26" t="s">
        <v>221</v>
      </c>
      <c r="D69" s="8" t="n">
        <v>1166</v>
      </c>
      <c r="E69" s="9" t="n">
        <v>0.6302</v>
      </c>
      <c r="F69" s="25" t="n">
        <v>14</v>
      </c>
      <c r="G69" s="8" t="n">
        <v>5</v>
      </c>
      <c r="H69" s="8"/>
      <c r="I69" s="10"/>
      <c r="J69" s="8" t="n">
        <v>0</v>
      </c>
      <c r="K69" s="11" t="n">
        <v>0</v>
      </c>
      <c r="L69" s="30"/>
      <c r="M69" s="30"/>
      <c r="N69" s="30"/>
    </row>
    <row r="70" customFormat="false" ht="15" hidden="false" customHeight="false" outlineLevel="0" collapsed="false">
      <c r="A70" s="30" t="s">
        <v>17</v>
      </c>
      <c r="B70" s="30" t="s">
        <v>222</v>
      </c>
      <c r="C70" s="26" t="s">
        <v>223</v>
      </c>
      <c r="D70" s="8" t="n">
        <v>1163</v>
      </c>
      <c r="E70" s="9" t="n">
        <v>0.4536</v>
      </c>
      <c r="F70" s="25" t="n">
        <v>12</v>
      </c>
      <c r="G70" s="8" t="n">
        <v>35</v>
      </c>
      <c r="H70" s="8"/>
      <c r="I70" s="10"/>
      <c r="J70" s="8" t="n">
        <v>0</v>
      </c>
      <c r="K70" s="11" t="n">
        <v>0</v>
      </c>
      <c r="L70" s="30"/>
      <c r="M70" s="30"/>
      <c r="N70" s="30" t="s">
        <v>152</v>
      </c>
    </row>
    <row r="71" customFormat="false" ht="15" hidden="false" customHeight="false" outlineLevel="0" collapsed="false">
      <c r="A71" s="30" t="s">
        <v>17</v>
      </c>
      <c r="B71" s="30" t="s">
        <v>206</v>
      </c>
      <c r="C71" s="26" t="s">
        <v>224</v>
      </c>
      <c r="D71" s="8" t="n">
        <v>1151</v>
      </c>
      <c r="E71" s="9" t="n">
        <v>0.5358</v>
      </c>
      <c r="F71" s="25" t="n">
        <v>15</v>
      </c>
      <c r="G71" s="8" t="n">
        <v>6</v>
      </c>
      <c r="H71" s="8"/>
      <c r="I71" s="10"/>
      <c r="J71" s="8" t="n">
        <v>0</v>
      </c>
      <c r="K71" s="11" t="n">
        <v>0</v>
      </c>
      <c r="L71" s="30" t="s">
        <v>152</v>
      </c>
      <c r="M71" s="30"/>
      <c r="N71" s="30"/>
    </row>
    <row r="72" customFormat="false" ht="15" hidden="false" customHeight="false" outlineLevel="0" collapsed="false">
      <c r="A72" s="30" t="s">
        <v>17</v>
      </c>
      <c r="B72" s="30" t="s">
        <v>225</v>
      </c>
      <c r="C72" s="26" t="s">
        <v>226</v>
      </c>
      <c r="D72" s="8" t="n">
        <v>1144</v>
      </c>
      <c r="E72" s="9" t="n">
        <v>0.3957</v>
      </c>
      <c r="F72" s="25" t="n">
        <v>15</v>
      </c>
      <c r="G72" s="8" t="n">
        <v>2</v>
      </c>
      <c r="H72" s="8"/>
      <c r="I72" s="10"/>
      <c r="J72" s="8" t="n">
        <v>0</v>
      </c>
      <c r="K72" s="11" t="n">
        <v>0</v>
      </c>
      <c r="L72" s="30"/>
      <c r="M72" s="30"/>
      <c r="N72" s="30"/>
    </row>
    <row r="73" customFormat="false" ht="15" hidden="false" customHeight="false" outlineLevel="0" collapsed="false">
      <c r="A73" s="30" t="s">
        <v>17</v>
      </c>
      <c r="B73" s="30" t="s">
        <v>220</v>
      </c>
      <c r="C73" s="26" t="s">
        <v>227</v>
      </c>
      <c r="D73" s="8" t="n">
        <v>1134</v>
      </c>
      <c r="E73" s="9" t="n">
        <v>0.4254</v>
      </c>
      <c r="F73" s="25" t="n">
        <v>14</v>
      </c>
      <c r="G73" s="8" t="n">
        <v>18</v>
      </c>
      <c r="H73" s="8"/>
      <c r="I73" s="10"/>
      <c r="J73" s="8" t="n">
        <v>0</v>
      </c>
      <c r="K73" s="11" t="n">
        <v>0</v>
      </c>
      <c r="L73" s="30"/>
      <c r="M73" s="30"/>
      <c r="N73" s="30"/>
    </row>
    <row r="74" customFormat="false" ht="15" hidden="false" customHeight="false" outlineLevel="0" collapsed="false">
      <c r="A74" s="30" t="s">
        <v>17</v>
      </c>
      <c r="B74" s="30" t="s">
        <v>228</v>
      </c>
      <c r="C74" s="26" t="s">
        <v>229</v>
      </c>
      <c r="D74" s="8" t="n">
        <v>1132</v>
      </c>
      <c r="E74" s="9" t="n">
        <v>0.5929</v>
      </c>
      <c r="F74" s="25" t="n">
        <v>12</v>
      </c>
      <c r="G74" s="8" t="n">
        <v>41</v>
      </c>
      <c r="H74" s="8"/>
      <c r="I74" s="10"/>
      <c r="J74" s="8" t="n">
        <v>0</v>
      </c>
      <c r="K74" s="11" t="n">
        <v>0</v>
      </c>
      <c r="L74" s="30"/>
      <c r="M74" s="30"/>
      <c r="N74" s="30"/>
    </row>
    <row r="75" customFormat="false" ht="15" hidden="false" customHeight="false" outlineLevel="0" collapsed="false">
      <c r="A75" s="30" t="s">
        <v>17</v>
      </c>
      <c r="B75" s="30" t="s">
        <v>185</v>
      </c>
      <c r="C75" s="26" t="s">
        <v>230</v>
      </c>
      <c r="D75" s="8" t="n">
        <v>1128</v>
      </c>
      <c r="E75" s="9" t="n">
        <v>0.5708</v>
      </c>
      <c r="F75" s="25" t="n">
        <v>11</v>
      </c>
      <c r="G75" s="8" t="n">
        <v>36</v>
      </c>
      <c r="H75" s="8"/>
      <c r="I75" s="10"/>
      <c r="J75" s="8" t="n">
        <v>0</v>
      </c>
      <c r="K75" s="11" t="n">
        <v>0</v>
      </c>
      <c r="L75" s="30"/>
      <c r="M75" s="30"/>
      <c r="N75" s="30"/>
    </row>
    <row r="76" customFormat="false" ht="15" hidden="false" customHeight="false" outlineLevel="0" collapsed="false">
      <c r="A76" s="30" t="s">
        <v>17</v>
      </c>
      <c r="B76" s="30" t="s">
        <v>161</v>
      </c>
      <c r="C76" s="26" t="s">
        <v>231</v>
      </c>
      <c r="D76" s="8" t="n">
        <v>1116</v>
      </c>
      <c r="E76" s="9" t="n">
        <v>0.5812</v>
      </c>
      <c r="F76" s="25" t="n">
        <v>19</v>
      </c>
      <c r="G76" s="8" t="n">
        <v>25</v>
      </c>
      <c r="H76" s="8"/>
      <c r="I76" s="10"/>
      <c r="J76" s="8" t="n">
        <v>0</v>
      </c>
      <c r="K76" s="11" t="n">
        <v>0</v>
      </c>
      <c r="L76" s="30"/>
      <c r="M76" s="30"/>
      <c r="N76" s="30" t="s">
        <v>152</v>
      </c>
    </row>
    <row r="77" customFormat="false" ht="15" hidden="false" customHeight="false" outlineLevel="0" collapsed="false">
      <c r="A77" s="30" t="s">
        <v>17</v>
      </c>
      <c r="B77" s="30" t="s">
        <v>211</v>
      </c>
      <c r="C77" s="26" t="s">
        <v>232</v>
      </c>
      <c r="D77" s="8" t="n">
        <v>1112</v>
      </c>
      <c r="E77" s="9" t="n">
        <v>0.4685</v>
      </c>
      <c r="F77" s="25" t="n">
        <v>16</v>
      </c>
      <c r="G77" s="8" t="n">
        <v>35</v>
      </c>
      <c r="H77" s="8"/>
      <c r="I77" s="10"/>
      <c r="J77" s="8" t="n">
        <v>0</v>
      </c>
      <c r="K77" s="11" t="n">
        <v>0</v>
      </c>
      <c r="L77" s="30"/>
      <c r="M77" s="30"/>
      <c r="N77" s="30"/>
    </row>
    <row r="78" customFormat="false" ht="15" hidden="false" customHeight="false" outlineLevel="0" collapsed="false">
      <c r="A78" s="30" t="s">
        <v>17</v>
      </c>
      <c r="B78" s="30" t="s">
        <v>142</v>
      </c>
      <c r="C78" s="26" t="s">
        <v>233</v>
      </c>
      <c r="D78" s="8" t="n">
        <v>1105</v>
      </c>
      <c r="E78" s="9" t="n">
        <v>0.4553</v>
      </c>
      <c r="F78" s="25" t="n">
        <v>15</v>
      </c>
      <c r="G78" s="8" t="n">
        <v>17</v>
      </c>
      <c r="H78" s="8"/>
      <c r="I78" s="10"/>
      <c r="J78" s="8" t="n">
        <v>0</v>
      </c>
      <c r="K78" s="11" t="n">
        <v>0</v>
      </c>
      <c r="L78" s="30"/>
      <c r="M78" s="30" t="s">
        <v>152</v>
      </c>
      <c r="N78" s="30"/>
    </row>
    <row r="79" customFormat="false" ht="15" hidden="false" customHeight="false" outlineLevel="0" collapsed="false">
      <c r="A79" s="30" t="s">
        <v>17</v>
      </c>
      <c r="B79" s="30" t="s">
        <v>211</v>
      </c>
      <c r="C79" s="26" t="s">
        <v>234</v>
      </c>
      <c r="D79" s="8" t="n">
        <v>1103</v>
      </c>
      <c r="E79" s="9" t="n">
        <v>0.4499</v>
      </c>
      <c r="F79" s="25" t="n">
        <v>17</v>
      </c>
      <c r="G79" s="8" t="n">
        <v>58</v>
      </c>
      <c r="H79" s="8"/>
      <c r="I79" s="10"/>
      <c r="J79" s="8" t="n">
        <v>0</v>
      </c>
      <c r="K79" s="11" t="n">
        <v>0</v>
      </c>
      <c r="L79" s="30"/>
      <c r="M79" s="30"/>
      <c r="N79" s="30"/>
    </row>
    <row r="80" customFormat="false" ht="15" hidden="false" customHeight="false" outlineLevel="0" collapsed="false">
      <c r="A80" s="30" t="s">
        <v>17</v>
      </c>
      <c r="B80" s="30" t="s">
        <v>115</v>
      </c>
      <c r="C80" s="26" t="s">
        <v>235</v>
      </c>
      <c r="D80" s="8" t="n">
        <v>1102</v>
      </c>
      <c r="E80" s="9" t="n">
        <v>0.3525</v>
      </c>
      <c r="F80" s="25" t="n">
        <v>9</v>
      </c>
      <c r="G80" s="8" t="n">
        <v>32</v>
      </c>
      <c r="H80" s="8"/>
      <c r="I80" s="10"/>
      <c r="J80" s="8" t="n">
        <v>0</v>
      </c>
      <c r="K80" s="11" t="n">
        <v>0</v>
      </c>
      <c r="L80" s="30"/>
      <c r="M80" s="30"/>
      <c r="N80" s="30"/>
    </row>
    <row r="81" customFormat="false" ht="15" hidden="false" customHeight="false" outlineLevel="0" collapsed="false">
      <c r="A81" s="30" t="s">
        <v>17</v>
      </c>
      <c r="B81" s="30" t="s">
        <v>159</v>
      </c>
      <c r="C81" s="26" t="s">
        <v>236</v>
      </c>
      <c r="D81" s="8" t="n">
        <v>1090</v>
      </c>
      <c r="E81" s="9" t="n">
        <v>0.3542</v>
      </c>
      <c r="F81" s="25" t="n">
        <v>12</v>
      </c>
      <c r="G81" s="8" t="n">
        <v>25</v>
      </c>
      <c r="H81" s="8"/>
      <c r="I81" s="10"/>
      <c r="J81" s="8" t="n">
        <v>0</v>
      </c>
      <c r="K81" s="11" t="n">
        <v>0</v>
      </c>
      <c r="L81" s="30" t="s">
        <v>152</v>
      </c>
      <c r="M81" s="30"/>
      <c r="N81" s="30"/>
    </row>
    <row r="82" customFormat="false" ht="15" hidden="false" customHeight="false" outlineLevel="0" collapsed="false">
      <c r="A82" s="30" t="s">
        <v>17</v>
      </c>
      <c r="B82" s="30" t="s">
        <v>211</v>
      </c>
      <c r="C82" s="26" t="s">
        <v>237</v>
      </c>
      <c r="D82" s="8" t="n">
        <v>1090</v>
      </c>
      <c r="E82" s="9" t="n">
        <v>0.5362</v>
      </c>
      <c r="F82" s="25" t="n">
        <v>17</v>
      </c>
      <c r="G82" s="8" t="n">
        <v>6</v>
      </c>
      <c r="H82" s="8"/>
      <c r="I82" s="10"/>
      <c r="J82" s="8" t="n">
        <v>0</v>
      </c>
      <c r="K82" s="11" t="n">
        <v>0</v>
      </c>
      <c r="L82" s="30"/>
      <c r="M82" s="30"/>
      <c r="N82" s="30"/>
    </row>
    <row r="83" customFormat="false" ht="15" hidden="false" customHeight="false" outlineLevel="0" collapsed="false">
      <c r="A83" s="30" t="s">
        <v>17</v>
      </c>
      <c r="B83" s="30" t="s">
        <v>150</v>
      </c>
      <c r="C83" s="26" t="s">
        <v>238</v>
      </c>
      <c r="D83" s="8" t="n">
        <v>1082</v>
      </c>
      <c r="E83" s="9" t="n">
        <v>0.6503</v>
      </c>
      <c r="F83" s="25" t="n">
        <v>24</v>
      </c>
      <c r="G83" s="8" t="n">
        <v>161</v>
      </c>
      <c r="H83" s="8" t="n">
        <v>1</v>
      </c>
      <c r="I83" s="32" t="n">
        <v>0.0062111801242236</v>
      </c>
      <c r="J83" s="8" t="n">
        <v>0</v>
      </c>
      <c r="K83" s="11" t="n">
        <v>0</v>
      </c>
      <c r="L83" s="30"/>
      <c r="M83" s="30"/>
      <c r="N83" s="30"/>
    </row>
    <row r="84" customFormat="false" ht="15" hidden="false" customHeight="false" outlineLevel="0" collapsed="false">
      <c r="A84" s="30" t="s">
        <v>17</v>
      </c>
      <c r="B84" s="30" t="s">
        <v>220</v>
      </c>
      <c r="C84" s="26" t="s">
        <v>239</v>
      </c>
      <c r="D84" s="8" t="n">
        <v>1081</v>
      </c>
      <c r="E84" s="9" t="n">
        <v>0.7457</v>
      </c>
      <c r="F84" s="25" t="n">
        <v>37</v>
      </c>
      <c r="G84" s="8" t="n">
        <v>13</v>
      </c>
      <c r="H84" s="8"/>
      <c r="I84" s="10"/>
      <c r="J84" s="8" t="n">
        <v>0</v>
      </c>
      <c r="K84" s="11" t="n">
        <v>0</v>
      </c>
      <c r="L84" s="30" t="s">
        <v>152</v>
      </c>
      <c r="M84" s="30"/>
      <c r="N84" s="30"/>
    </row>
    <row r="85" customFormat="false" ht="15" hidden="false" customHeight="false" outlineLevel="0" collapsed="false">
      <c r="A85" s="30" t="s">
        <v>17</v>
      </c>
      <c r="B85" s="30" t="s">
        <v>175</v>
      </c>
      <c r="C85" s="26" t="s">
        <v>240</v>
      </c>
      <c r="D85" s="8" t="n">
        <v>1078</v>
      </c>
      <c r="E85" s="9" t="n">
        <v>0.7673</v>
      </c>
      <c r="F85" s="25" t="n">
        <v>19</v>
      </c>
      <c r="G85" s="8" t="n">
        <v>17</v>
      </c>
      <c r="H85" s="8"/>
      <c r="I85" s="10"/>
      <c r="J85" s="8" t="n">
        <v>0</v>
      </c>
      <c r="K85" s="11" t="n">
        <v>0</v>
      </c>
      <c r="L85" s="30"/>
      <c r="M85" s="30"/>
      <c r="N85" s="30"/>
    </row>
    <row r="86" customFormat="false" ht="15" hidden="false" customHeight="false" outlineLevel="0" collapsed="false">
      <c r="A86" s="30" t="s">
        <v>17</v>
      </c>
      <c r="B86" s="30" t="s">
        <v>155</v>
      </c>
      <c r="C86" s="26" t="s">
        <v>241</v>
      </c>
      <c r="D86" s="8" t="n">
        <v>1056</v>
      </c>
      <c r="E86" s="9" t="n">
        <v>0.5554</v>
      </c>
      <c r="F86" s="25" t="n">
        <v>17</v>
      </c>
      <c r="G86" s="8" t="n">
        <v>50</v>
      </c>
      <c r="H86" s="8"/>
      <c r="I86" s="10"/>
      <c r="J86" s="8" t="n">
        <v>0</v>
      </c>
      <c r="K86" s="11" t="n">
        <v>0</v>
      </c>
      <c r="L86" s="30"/>
      <c r="M86" s="30"/>
      <c r="N86" s="30"/>
    </row>
    <row r="87" customFormat="false" ht="15" hidden="false" customHeight="false" outlineLevel="0" collapsed="false">
      <c r="A87" s="30" t="s">
        <v>17</v>
      </c>
      <c r="B87" s="30" t="s">
        <v>146</v>
      </c>
      <c r="C87" s="26" t="s">
        <v>242</v>
      </c>
      <c r="D87" s="8" t="n">
        <v>1054</v>
      </c>
      <c r="E87" s="9" t="n">
        <v>0.5596</v>
      </c>
      <c r="F87" s="25" t="n">
        <v>17</v>
      </c>
      <c r="G87" s="8" t="n">
        <v>18</v>
      </c>
      <c r="H87" s="8"/>
      <c r="I87" s="10"/>
      <c r="J87" s="8" t="n">
        <v>0</v>
      </c>
      <c r="K87" s="11" t="n">
        <v>0</v>
      </c>
      <c r="L87" s="30"/>
      <c r="M87" s="30"/>
      <c r="N87" s="30"/>
    </row>
    <row r="88" customFormat="false" ht="15" hidden="false" customHeight="false" outlineLevel="0" collapsed="false">
      <c r="A88" s="30" t="s">
        <v>17</v>
      </c>
      <c r="B88" s="30" t="s">
        <v>124</v>
      </c>
      <c r="C88" s="26" t="s">
        <v>243</v>
      </c>
      <c r="D88" s="8" t="n">
        <v>1044</v>
      </c>
      <c r="E88" s="9" t="n">
        <v>0.4684</v>
      </c>
      <c r="F88" s="25" t="n">
        <v>13</v>
      </c>
      <c r="G88" s="8" t="n">
        <v>18</v>
      </c>
      <c r="H88" s="8"/>
      <c r="I88" s="10"/>
      <c r="J88" s="8" t="n">
        <v>0</v>
      </c>
      <c r="K88" s="11" t="n">
        <v>0</v>
      </c>
      <c r="L88" s="30" t="s">
        <v>152</v>
      </c>
      <c r="M88" s="30"/>
      <c r="N88" s="30"/>
    </row>
    <row r="89" customFormat="false" ht="15" hidden="false" customHeight="false" outlineLevel="0" collapsed="false">
      <c r="A89" s="30" t="s">
        <v>17</v>
      </c>
      <c r="B89" s="30" t="s">
        <v>148</v>
      </c>
      <c r="C89" s="26" t="s">
        <v>244</v>
      </c>
      <c r="D89" s="8" t="n">
        <v>1043</v>
      </c>
      <c r="E89" s="9" t="n">
        <v>0</v>
      </c>
      <c r="F89" s="25" t="n">
        <v>13</v>
      </c>
      <c r="G89" s="8" t="n">
        <v>6</v>
      </c>
      <c r="H89" s="8"/>
      <c r="I89" s="10"/>
      <c r="J89" s="8" t="n">
        <v>0</v>
      </c>
      <c r="K89" s="11" t="n">
        <v>0</v>
      </c>
      <c r="L89" s="30"/>
      <c r="M89" s="30"/>
      <c r="N89" s="30"/>
    </row>
    <row r="90" customFormat="false" ht="15" hidden="false" customHeight="false" outlineLevel="0" collapsed="false">
      <c r="A90" s="30" t="s">
        <v>17</v>
      </c>
      <c r="B90" s="30" t="s">
        <v>245</v>
      </c>
      <c r="C90" s="26" t="s">
        <v>246</v>
      </c>
      <c r="D90" s="8" t="n">
        <v>1040</v>
      </c>
      <c r="E90" s="9" t="n">
        <v>0.3445</v>
      </c>
      <c r="F90" s="25" t="n">
        <v>9</v>
      </c>
      <c r="G90" s="8" t="n">
        <v>29</v>
      </c>
      <c r="H90" s="8"/>
      <c r="I90" s="10"/>
      <c r="J90" s="8" t="n">
        <v>0</v>
      </c>
      <c r="K90" s="11" t="n">
        <v>0</v>
      </c>
      <c r="L90" s="30"/>
      <c r="M90" s="30"/>
      <c r="N90" s="30"/>
    </row>
    <row r="91" customFormat="false" ht="15" hidden="false" customHeight="false" outlineLevel="0" collapsed="false">
      <c r="A91" s="30" t="s">
        <v>17</v>
      </c>
      <c r="B91" s="30" t="s">
        <v>120</v>
      </c>
      <c r="C91" s="26" t="s">
        <v>247</v>
      </c>
      <c r="D91" s="8" t="n">
        <v>1036</v>
      </c>
      <c r="E91" s="9" t="n">
        <v>0.2984</v>
      </c>
      <c r="F91" s="25" t="n">
        <v>11</v>
      </c>
      <c r="G91" s="8" t="n">
        <v>5</v>
      </c>
      <c r="H91" s="8"/>
      <c r="I91" s="10"/>
      <c r="J91" s="8" t="n">
        <v>0</v>
      </c>
      <c r="K91" s="11" t="n">
        <v>0</v>
      </c>
      <c r="L91" s="30"/>
      <c r="M91" s="30"/>
      <c r="N91" s="30"/>
    </row>
    <row r="92" customFormat="false" ht="15" hidden="false" customHeight="false" outlineLevel="0" collapsed="false">
      <c r="A92" s="30" t="s">
        <v>17</v>
      </c>
      <c r="B92" s="30" t="s">
        <v>248</v>
      </c>
      <c r="C92" s="26" t="s">
        <v>249</v>
      </c>
      <c r="D92" s="8" t="n">
        <v>1033</v>
      </c>
      <c r="E92" s="9" t="n">
        <v>0.4415</v>
      </c>
      <c r="F92" s="25" t="n">
        <v>16</v>
      </c>
      <c r="G92" s="8" t="n">
        <v>83</v>
      </c>
      <c r="H92" s="8" t="n">
        <v>3</v>
      </c>
      <c r="I92" s="34" t="n">
        <v>0.036144578313253</v>
      </c>
      <c r="J92" s="8" t="n">
        <v>0</v>
      </c>
      <c r="K92" s="11" t="n">
        <v>0</v>
      </c>
      <c r="L92" s="30" t="s">
        <v>152</v>
      </c>
      <c r="M92" s="30"/>
      <c r="N92" s="30"/>
    </row>
    <row r="93" customFormat="false" ht="15" hidden="false" customHeight="false" outlineLevel="0" collapsed="false">
      <c r="A93" s="30" t="s">
        <v>17</v>
      </c>
      <c r="B93" s="30" t="s">
        <v>222</v>
      </c>
      <c r="C93" s="30" t="s">
        <v>250</v>
      </c>
      <c r="D93" s="8" t="n">
        <v>1013</v>
      </c>
      <c r="E93" s="9" t="n">
        <v>0.4466</v>
      </c>
      <c r="F93" s="25" t="n">
        <v>11</v>
      </c>
      <c r="G93" s="8" t="n">
        <v>57</v>
      </c>
      <c r="H93" s="8"/>
      <c r="I93" s="10"/>
      <c r="J93" s="8" t="n">
        <v>0</v>
      </c>
      <c r="K93" s="11" t="n">
        <v>0</v>
      </c>
      <c r="L93" s="30"/>
      <c r="M93" s="30"/>
      <c r="N93" s="30"/>
    </row>
    <row r="94" customFormat="false" ht="15" hidden="false" customHeight="false" outlineLevel="0" collapsed="false">
      <c r="A94" s="30" t="s">
        <v>17</v>
      </c>
      <c r="B94" s="30" t="s">
        <v>159</v>
      </c>
      <c r="C94" s="26" t="s">
        <v>251</v>
      </c>
      <c r="D94" s="8" t="n">
        <v>994</v>
      </c>
      <c r="E94" s="9" t="n">
        <v>0.5716</v>
      </c>
      <c r="F94" s="25" t="n">
        <v>20</v>
      </c>
      <c r="G94" s="8" t="n">
        <v>64</v>
      </c>
      <c r="H94" s="8"/>
      <c r="I94" s="10"/>
      <c r="J94" s="8" t="n">
        <v>0</v>
      </c>
      <c r="K94" s="11" t="n">
        <v>0</v>
      </c>
      <c r="L94" s="30"/>
      <c r="M94" s="30"/>
      <c r="N94" s="30"/>
    </row>
    <row r="95" customFormat="false" ht="15" hidden="false" customHeight="false" outlineLevel="0" collapsed="false">
      <c r="A95" s="30" t="s">
        <v>17</v>
      </c>
      <c r="B95" s="30" t="s">
        <v>157</v>
      </c>
      <c r="C95" s="26" t="s">
        <v>252</v>
      </c>
      <c r="D95" s="8" t="n">
        <v>991</v>
      </c>
      <c r="E95" s="9" t="n">
        <v>0.3509</v>
      </c>
      <c r="F95" s="25" t="n">
        <v>12</v>
      </c>
      <c r="G95" s="8" t="n">
        <v>18</v>
      </c>
      <c r="H95" s="8"/>
      <c r="I95" s="10"/>
      <c r="J95" s="8" t="n">
        <v>0</v>
      </c>
      <c r="K95" s="11" t="n">
        <v>0</v>
      </c>
      <c r="L95" s="30"/>
      <c r="M95" s="30"/>
      <c r="N95" s="30"/>
    </row>
    <row r="96" customFormat="false" ht="15" hidden="false" customHeight="false" outlineLevel="0" collapsed="false">
      <c r="A96" s="30" t="s">
        <v>17</v>
      </c>
      <c r="B96" s="30" t="s">
        <v>198</v>
      </c>
      <c r="C96" s="26" t="s">
        <v>253</v>
      </c>
      <c r="D96" s="8" t="n">
        <v>980</v>
      </c>
      <c r="E96" s="9" t="n">
        <v>0.5678</v>
      </c>
      <c r="F96" s="25" t="n">
        <v>21</v>
      </c>
      <c r="G96" s="8" t="n">
        <v>18</v>
      </c>
      <c r="H96" s="8"/>
      <c r="I96" s="10"/>
      <c r="J96" s="8" t="n">
        <v>0</v>
      </c>
      <c r="K96" s="11" t="n">
        <v>0</v>
      </c>
      <c r="L96" s="30"/>
      <c r="M96" s="30"/>
      <c r="N96" s="30"/>
    </row>
    <row r="97" customFormat="false" ht="15" hidden="false" customHeight="false" outlineLevel="0" collapsed="false">
      <c r="A97" s="30" t="s">
        <v>17</v>
      </c>
      <c r="B97" s="30" t="s">
        <v>124</v>
      </c>
      <c r="C97" s="30" t="s">
        <v>254</v>
      </c>
      <c r="D97" s="8" t="n">
        <v>977</v>
      </c>
      <c r="E97" s="9" t="n">
        <v>0.4636</v>
      </c>
      <c r="F97" s="25" t="n">
        <v>17</v>
      </c>
      <c r="G97" s="8" t="n">
        <v>34</v>
      </c>
      <c r="H97" s="8"/>
      <c r="I97" s="10"/>
      <c r="J97" s="8" t="n">
        <v>0</v>
      </c>
      <c r="K97" s="11" t="n">
        <v>0</v>
      </c>
      <c r="L97" s="30" t="s">
        <v>152</v>
      </c>
      <c r="M97" s="30"/>
      <c r="N97" s="30"/>
    </row>
    <row r="98" customFormat="false" ht="15" hidden="false" customHeight="false" outlineLevel="0" collapsed="false">
      <c r="A98" s="30" t="s">
        <v>17</v>
      </c>
      <c r="B98" s="30" t="s">
        <v>255</v>
      </c>
      <c r="C98" s="26" t="s">
        <v>256</v>
      </c>
      <c r="D98" s="8" t="n">
        <v>973</v>
      </c>
      <c r="E98" s="9" t="n">
        <v>0.798</v>
      </c>
      <c r="F98" s="25" t="n">
        <v>16</v>
      </c>
      <c r="G98" s="8" t="n">
        <v>92</v>
      </c>
      <c r="H98" s="8" t="n">
        <v>1</v>
      </c>
      <c r="I98" s="33" t="n">
        <v>0.0108695652173913</v>
      </c>
      <c r="J98" s="8" t="n">
        <v>0</v>
      </c>
      <c r="K98" s="11" t="n">
        <v>0</v>
      </c>
      <c r="L98" s="30"/>
      <c r="M98" s="30"/>
      <c r="N98" s="30"/>
    </row>
    <row r="99" customFormat="false" ht="15" hidden="false" customHeight="false" outlineLevel="0" collapsed="false">
      <c r="A99" s="30" t="s">
        <v>17</v>
      </c>
      <c r="B99" s="30" t="s">
        <v>206</v>
      </c>
      <c r="C99" s="26" t="s">
        <v>257</v>
      </c>
      <c r="D99" s="8" t="n">
        <v>970</v>
      </c>
      <c r="E99" s="9" t="n">
        <v>0.8425</v>
      </c>
      <c r="F99" s="25" t="n">
        <v>23</v>
      </c>
      <c r="G99" s="8" t="n">
        <v>8</v>
      </c>
      <c r="H99" s="8"/>
      <c r="I99" s="10"/>
      <c r="J99" s="8" t="n">
        <v>0</v>
      </c>
      <c r="K99" s="11" t="n">
        <v>0</v>
      </c>
      <c r="L99" s="30"/>
      <c r="M99" s="30"/>
      <c r="N99" s="30"/>
    </row>
    <row r="100" customFormat="false" ht="15" hidden="false" customHeight="false" outlineLevel="0" collapsed="false">
      <c r="A100" s="30" t="s">
        <v>17</v>
      </c>
      <c r="B100" s="30" t="s">
        <v>225</v>
      </c>
      <c r="C100" s="26" t="s">
        <v>258</v>
      </c>
      <c r="D100" s="8" t="n">
        <v>963</v>
      </c>
      <c r="E100" s="9" t="n">
        <v>0.7021</v>
      </c>
      <c r="F100" s="25" t="n">
        <v>24</v>
      </c>
      <c r="G100" s="8" t="n">
        <v>48</v>
      </c>
      <c r="H100" s="8"/>
      <c r="I100" s="10"/>
      <c r="J100" s="8" t="n">
        <v>0</v>
      </c>
      <c r="K100" s="11" t="n">
        <v>0</v>
      </c>
      <c r="L100" s="30"/>
      <c r="M100" s="30"/>
      <c r="N100" s="30"/>
    </row>
    <row r="101" customFormat="false" ht="15" hidden="false" customHeight="false" outlineLevel="0" collapsed="false">
      <c r="A101" s="30" t="s">
        <v>17</v>
      </c>
      <c r="B101" s="30" t="s">
        <v>213</v>
      </c>
      <c r="C101" s="26" t="s">
        <v>259</v>
      </c>
      <c r="D101" s="8" t="n">
        <v>957</v>
      </c>
      <c r="E101" s="9" t="n">
        <v>0.324</v>
      </c>
      <c r="F101" s="25" t="n">
        <v>9</v>
      </c>
      <c r="G101" s="8" t="n">
        <v>3</v>
      </c>
      <c r="H101" s="8"/>
      <c r="I101" s="10"/>
      <c r="J101" s="8" t="n">
        <v>0</v>
      </c>
      <c r="K101" s="11" t="n">
        <v>0</v>
      </c>
      <c r="L101" s="30"/>
      <c r="M101" s="30"/>
      <c r="N101" s="30"/>
    </row>
    <row r="102" customFormat="false" ht="15" hidden="false" customHeight="false" outlineLevel="0" collapsed="false">
      <c r="A102" s="30" t="s">
        <v>17</v>
      </c>
      <c r="B102" s="30" t="s">
        <v>150</v>
      </c>
      <c r="C102" s="26" t="s">
        <v>260</v>
      </c>
      <c r="D102" s="8" t="n">
        <v>957</v>
      </c>
      <c r="E102" s="9" t="n">
        <v>0.3835</v>
      </c>
      <c r="F102" s="25" t="n">
        <v>10</v>
      </c>
      <c r="G102" s="8" t="n">
        <v>2</v>
      </c>
      <c r="H102" s="8"/>
      <c r="I102" s="10"/>
      <c r="J102" s="8" t="n">
        <v>0</v>
      </c>
      <c r="K102" s="11" t="n">
        <v>0</v>
      </c>
      <c r="L102" s="30"/>
      <c r="M102" s="30"/>
      <c r="N102" s="30"/>
    </row>
    <row r="103" customFormat="false" ht="15" hidden="false" customHeight="false" outlineLevel="0" collapsed="false">
      <c r="A103" s="30" t="s">
        <v>17</v>
      </c>
      <c r="B103" s="30" t="s">
        <v>150</v>
      </c>
      <c r="C103" s="26" t="s">
        <v>261</v>
      </c>
      <c r="D103" s="8" t="n">
        <v>952</v>
      </c>
      <c r="E103" s="9" t="n">
        <v>0.5109</v>
      </c>
      <c r="F103" s="25" t="n">
        <v>11</v>
      </c>
      <c r="G103" s="8" t="n">
        <v>4</v>
      </c>
      <c r="H103" s="8"/>
      <c r="I103" s="10"/>
      <c r="J103" s="8" t="n">
        <v>0</v>
      </c>
      <c r="K103" s="11" t="n">
        <v>0</v>
      </c>
      <c r="L103" s="30"/>
      <c r="M103" s="30"/>
      <c r="N103" s="30"/>
    </row>
    <row r="104" customFormat="false" ht="15" hidden="false" customHeight="false" outlineLevel="0" collapsed="false">
      <c r="A104" s="30" t="s">
        <v>17</v>
      </c>
      <c r="B104" s="30" t="s">
        <v>171</v>
      </c>
      <c r="C104" s="26" t="s">
        <v>262</v>
      </c>
      <c r="D104" s="8" t="n">
        <v>940</v>
      </c>
      <c r="E104" s="9" t="n">
        <v>0.3296</v>
      </c>
      <c r="F104" s="25" t="n">
        <v>11</v>
      </c>
      <c r="G104" s="8" t="n">
        <v>10</v>
      </c>
      <c r="H104" s="8"/>
      <c r="I104" s="10"/>
      <c r="J104" s="8" t="n">
        <v>0</v>
      </c>
      <c r="K104" s="11" t="n">
        <v>0</v>
      </c>
      <c r="L104" s="30"/>
      <c r="M104" s="30"/>
      <c r="N104" s="30"/>
    </row>
    <row r="105" customFormat="false" ht="15" hidden="false" customHeight="false" outlineLevel="0" collapsed="false">
      <c r="A105" s="30" t="s">
        <v>17</v>
      </c>
      <c r="B105" s="30" t="s">
        <v>179</v>
      </c>
      <c r="C105" s="26" t="s">
        <v>263</v>
      </c>
      <c r="D105" s="8" t="n">
        <v>934</v>
      </c>
      <c r="E105" s="9" t="n">
        <v>0.7153</v>
      </c>
      <c r="F105" s="25" t="n">
        <v>17</v>
      </c>
      <c r="G105" s="8" t="n">
        <v>78</v>
      </c>
      <c r="H105" s="8"/>
      <c r="I105" s="10"/>
      <c r="J105" s="8" t="n">
        <v>0</v>
      </c>
      <c r="K105" s="11" t="n">
        <v>0</v>
      </c>
      <c r="L105" s="30"/>
      <c r="M105" s="30"/>
      <c r="N105" s="30"/>
    </row>
    <row r="106" customFormat="false" ht="15" hidden="false" customHeight="false" outlineLevel="0" collapsed="false">
      <c r="A106" s="30" t="s">
        <v>17</v>
      </c>
      <c r="B106" s="30" t="s">
        <v>188</v>
      </c>
      <c r="C106" s="26" t="s">
        <v>264</v>
      </c>
      <c r="D106" s="8" t="n">
        <v>903</v>
      </c>
      <c r="E106" s="9" t="n">
        <v>1.0329</v>
      </c>
      <c r="F106" s="25" t="n">
        <v>39</v>
      </c>
      <c r="G106" s="8" t="n">
        <v>297</v>
      </c>
      <c r="H106" s="8" t="n">
        <v>3</v>
      </c>
      <c r="I106" s="33" t="n">
        <v>0.0101010101010101</v>
      </c>
      <c r="J106" s="8" t="n">
        <v>0</v>
      </c>
      <c r="K106" s="11" t="n">
        <v>0</v>
      </c>
      <c r="L106" s="30" t="s">
        <v>152</v>
      </c>
      <c r="M106" s="30"/>
      <c r="N106" s="30"/>
    </row>
    <row r="107" customFormat="false" ht="15" hidden="false" customHeight="false" outlineLevel="0" collapsed="false">
      <c r="A107" s="30" t="s">
        <v>17</v>
      </c>
      <c r="B107" s="30" t="s">
        <v>171</v>
      </c>
      <c r="C107" s="26" t="s">
        <v>265</v>
      </c>
      <c r="D107" s="8" t="n">
        <v>882</v>
      </c>
      <c r="E107" s="9" t="n">
        <v>0.5133</v>
      </c>
      <c r="F107" s="25" t="n">
        <v>20</v>
      </c>
      <c r="G107" s="8" t="n">
        <v>7</v>
      </c>
      <c r="H107" s="8"/>
      <c r="I107" s="10"/>
      <c r="J107" s="8" t="n">
        <v>0</v>
      </c>
      <c r="K107" s="11" t="n">
        <v>0</v>
      </c>
      <c r="L107" s="30"/>
      <c r="M107" s="30"/>
      <c r="N107" s="30"/>
    </row>
    <row r="108" customFormat="false" ht="15" hidden="false" customHeight="false" outlineLevel="0" collapsed="false">
      <c r="A108" s="30" t="s">
        <v>17</v>
      </c>
      <c r="B108" s="30" t="s">
        <v>266</v>
      </c>
      <c r="C108" s="26" t="s">
        <v>267</v>
      </c>
      <c r="D108" s="8" t="n">
        <v>878</v>
      </c>
      <c r="E108" s="9" t="n">
        <v>0.7139</v>
      </c>
      <c r="F108" s="25" t="n">
        <v>23</v>
      </c>
      <c r="G108" s="8" t="n">
        <v>7</v>
      </c>
      <c r="H108" s="8"/>
      <c r="I108" s="10"/>
      <c r="J108" s="8" t="n">
        <v>0</v>
      </c>
      <c r="K108" s="11" t="n">
        <v>0</v>
      </c>
      <c r="L108" s="30"/>
      <c r="M108" s="30"/>
      <c r="N108" s="30"/>
    </row>
    <row r="109" customFormat="false" ht="15" hidden="false" customHeight="false" outlineLevel="0" collapsed="false">
      <c r="A109" s="30" t="s">
        <v>17</v>
      </c>
      <c r="B109" s="30" t="s">
        <v>268</v>
      </c>
      <c r="C109" s="26" t="s">
        <v>269</v>
      </c>
      <c r="D109" s="8" t="n">
        <v>870</v>
      </c>
      <c r="E109" s="9" t="n">
        <v>0.4354</v>
      </c>
      <c r="F109" s="25" t="n">
        <v>13</v>
      </c>
      <c r="G109" s="8" t="n">
        <v>83</v>
      </c>
      <c r="H109" s="8"/>
      <c r="I109" s="32" t="n">
        <v>0</v>
      </c>
      <c r="J109" s="8" t="n">
        <v>0</v>
      </c>
      <c r="K109" s="11" t="n">
        <v>0</v>
      </c>
      <c r="L109" s="30"/>
      <c r="M109" s="30"/>
      <c r="N109" s="30"/>
    </row>
    <row r="110" customFormat="false" ht="15" hidden="false" customHeight="false" outlineLevel="0" collapsed="false">
      <c r="A110" s="30" t="s">
        <v>17</v>
      </c>
      <c r="B110" s="30" t="s">
        <v>270</v>
      </c>
      <c r="C110" s="26" t="s">
        <v>271</v>
      </c>
      <c r="D110" s="8" t="n">
        <v>857</v>
      </c>
      <c r="E110" s="9" t="n">
        <v>0.4779</v>
      </c>
      <c r="F110" s="25" t="n">
        <v>14</v>
      </c>
      <c r="G110" s="8" t="n">
        <v>21</v>
      </c>
      <c r="H110" s="8"/>
      <c r="I110" s="10"/>
      <c r="J110" s="8" t="n">
        <v>0</v>
      </c>
      <c r="K110" s="11" t="n">
        <v>0</v>
      </c>
      <c r="L110" s="30"/>
      <c r="M110" s="30"/>
      <c r="N110" s="30"/>
    </row>
    <row r="111" customFormat="false" ht="15" hidden="false" customHeight="false" outlineLevel="0" collapsed="false">
      <c r="A111" s="30" t="s">
        <v>17</v>
      </c>
      <c r="B111" s="30" t="s">
        <v>272</v>
      </c>
      <c r="C111" s="30" t="s">
        <v>273</v>
      </c>
      <c r="D111" s="8" t="n">
        <v>855</v>
      </c>
      <c r="E111" s="9" t="n">
        <v>0.3913</v>
      </c>
      <c r="F111" s="25" t="n">
        <v>16</v>
      </c>
      <c r="G111" s="8" t="n">
        <v>60</v>
      </c>
      <c r="H111" s="8"/>
      <c r="I111" s="10"/>
      <c r="J111" s="8" t="n">
        <v>0</v>
      </c>
      <c r="K111" s="11" t="n">
        <v>0</v>
      </c>
      <c r="L111" s="30"/>
      <c r="M111" s="30"/>
      <c r="N111" s="30"/>
    </row>
    <row r="112" customFormat="false" ht="15" hidden="false" customHeight="false" outlineLevel="0" collapsed="false">
      <c r="A112" s="30" t="s">
        <v>17</v>
      </c>
      <c r="B112" s="30" t="s">
        <v>159</v>
      </c>
      <c r="C112" s="26" t="s">
        <v>274</v>
      </c>
      <c r="D112" s="8" t="n">
        <v>844</v>
      </c>
      <c r="E112" s="9" t="n">
        <v>0.5903</v>
      </c>
      <c r="F112" s="25" t="n">
        <v>20</v>
      </c>
      <c r="G112" s="8" t="n">
        <v>31</v>
      </c>
      <c r="H112" s="8"/>
      <c r="I112" s="10"/>
      <c r="J112" s="8" t="n">
        <v>0</v>
      </c>
      <c r="K112" s="11" t="n">
        <v>0</v>
      </c>
      <c r="L112" s="30"/>
      <c r="M112" s="30"/>
      <c r="N112" s="30"/>
    </row>
    <row r="113" customFormat="false" ht="15" hidden="false" customHeight="false" outlineLevel="0" collapsed="false">
      <c r="A113" s="30" t="s">
        <v>17</v>
      </c>
      <c r="B113" s="30" t="s">
        <v>272</v>
      </c>
      <c r="C113" s="30" t="s">
        <v>275</v>
      </c>
      <c r="D113" s="8" t="n">
        <v>816</v>
      </c>
      <c r="E113" s="9" t="n">
        <v>1.0308</v>
      </c>
      <c r="F113" s="25" t="n">
        <v>30</v>
      </c>
      <c r="G113" s="8" t="n">
        <v>40</v>
      </c>
      <c r="H113" s="8"/>
      <c r="I113" s="10"/>
      <c r="J113" s="8" t="n">
        <v>0</v>
      </c>
      <c r="K113" s="11" t="n">
        <v>0</v>
      </c>
      <c r="L113" s="30"/>
      <c r="M113" s="30"/>
      <c r="N113" s="30"/>
    </row>
    <row r="114" customFormat="false" ht="15" hidden="false" customHeight="false" outlineLevel="0" collapsed="false">
      <c r="A114" s="30" t="s">
        <v>17</v>
      </c>
      <c r="B114" s="30" t="s">
        <v>206</v>
      </c>
      <c r="C114" s="26" t="s">
        <v>276</v>
      </c>
      <c r="D114" s="8" t="n">
        <v>805</v>
      </c>
      <c r="E114" s="9" t="n">
        <v>0.4675</v>
      </c>
      <c r="F114" s="25" t="n">
        <v>14</v>
      </c>
      <c r="G114" s="8" t="n">
        <v>11</v>
      </c>
      <c r="H114" s="8"/>
      <c r="I114" s="10"/>
      <c r="J114" s="8" t="n">
        <v>0</v>
      </c>
      <c r="K114" s="11" t="n">
        <v>0</v>
      </c>
      <c r="L114" s="30"/>
      <c r="M114" s="30"/>
      <c r="N114" s="30"/>
    </row>
    <row r="115" customFormat="false" ht="15" hidden="false" customHeight="false" outlineLevel="0" collapsed="false">
      <c r="A115" s="30" t="s">
        <v>17</v>
      </c>
      <c r="B115" s="30" t="s">
        <v>248</v>
      </c>
      <c r="C115" s="26" t="s">
        <v>277</v>
      </c>
      <c r="D115" s="8" t="n">
        <v>800</v>
      </c>
      <c r="E115" s="9" t="n">
        <v>0.3655</v>
      </c>
      <c r="F115" s="25" t="n">
        <v>12</v>
      </c>
      <c r="G115" s="8" t="n">
        <v>53</v>
      </c>
      <c r="H115" s="8"/>
      <c r="I115" s="10"/>
      <c r="J115" s="8" t="n">
        <v>0</v>
      </c>
      <c r="K115" s="11" t="n">
        <v>0</v>
      </c>
      <c r="L115" s="30" t="s">
        <v>152</v>
      </c>
      <c r="M115" s="30"/>
      <c r="N115" s="30" t="s">
        <v>152</v>
      </c>
    </row>
    <row r="116" customFormat="false" ht="15" hidden="false" customHeight="false" outlineLevel="0" collapsed="false">
      <c r="A116" s="30" t="s">
        <v>17</v>
      </c>
      <c r="B116" s="30" t="s">
        <v>200</v>
      </c>
      <c r="C116" s="26" t="s">
        <v>278</v>
      </c>
      <c r="D116" s="8" t="n">
        <v>787</v>
      </c>
      <c r="E116" s="9" t="n">
        <v>0.4843</v>
      </c>
      <c r="F116" s="25" t="n">
        <v>18</v>
      </c>
      <c r="G116" s="8" t="n">
        <v>7</v>
      </c>
      <c r="H116" s="8"/>
      <c r="I116" s="10"/>
      <c r="J116" s="8" t="n">
        <v>0</v>
      </c>
      <c r="K116" s="11" t="n">
        <v>0</v>
      </c>
      <c r="L116" s="30" t="s">
        <v>152</v>
      </c>
      <c r="M116" s="30"/>
      <c r="N116" s="30"/>
    </row>
    <row r="117" customFormat="false" ht="15" hidden="false" customHeight="false" outlineLevel="0" collapsed="false">
      <c r="A117" s="30" t="s">
        <v>17</v>
      </c>
      <c r="B117" s="30" t="s">
        <v>266</v>
      </c>
      <c r="C117" s="26" t="s">
        <v>279</v>
      </c>
      <c r="D117" s="8" t="n">
        <v>785</v>
      </c>
      <c r="E117" s="9" t="n">
        <v>0.4174</v>
      </c>
      <c r="F117" s="25" t="n">
        <v>14</v>
      </c>
      <c r="G117" s="8" t="n">
        <v>25</v>
      </c>
      <c r="H117" s="8"/>
      <c r="I117" s="10"/>
      <c r="J117" s="8" t="n">
        <v>0</v>
      </c>
      <c r="K117" s="11" t="n">
        <v>0</v>
      </c>
      <c r="L117" s="30"/>
      <c r="M117" s="30"/>
      <c r="N117" s="30"/>
    </row>
    <row r="118" customFormat="false" ht="15" hidden="false" customHeight="false" outlineLevel="0" collapsed="false">
      <c r="A118" s="30" t="s">
        <v>17</v>
      </c>
      <c r="B118" s="30" t="s">
        <v>255</v>
      </c>
      <c r="C118" s="26" t="s">
        <v>280</v>
      </c>
      <c r="D118" s="8" t="n">
        <v>779</v>
      </c>
      <c r="E118" s="9" t="n">
        <v>0.3647</v>
      </c>
      <c r="F118" s="25" t="n">
        <v>11</v>
      </c>
      <c r="G118" s="8" t="n">
        <v>181</v>
      </c>
      <c r="H118" s="8"/>
      <c r="I118" s="32" t="n">
        <v>0</v>
      </c>
      <c r="J118" s="8" t="n">
        <v>0</v>
      </c>
      <c r="K118" s="11" t="n">
        <v>0</v>
      </c>
      <c r="L118" s="30"/>
      <c r="M118" s="30"/>
      <c r="N118" s="30"/>
    </row>
    <row r="119" customFormat="false" ht="15" hidden="false" customHeight="false" outlineLevel="0" collapsed="false">
      <c r="A119" s="30" t="s">
        <v>17</v>
      </c>
      <c r="B119" s="30" t="s">
        <v>248</v>
      </c>
      <c r="C119" s="26" t="s">
        <v>281</v>
      </c>
      <c r="D119" s="8" t="n">
        <v>777</v>
      </c>
      <c r="E119" s="9" t="n">
        <v>0.5343</v>
      </c>
      <c r="F119" s="25" t="n">
        <v>14</v>
      </c>
      <c r="G119" s="8" t="n">
        <v>45</v>
      </c>
      <c r="H119" s="8"/>
      <c r="I119" s="10"/>
      <c r="J119" s="8" t="n">
        <v>0</v>
      </c>
      <c r="K119" s="11" t="n">
        <v>0</v>
      </c>
      <c r="L119" s="30"/>
      <c r="M119" s="30"/>
      <c r="N119" s="30"/>
    </row>
    <row r="120" customFormat="false" ht="15" hidden="false" customHeight="false" outlineLevel="0" collapsed="false">
      <c r="A120" s="30" t="s">
        <v>17</v>
      </c>
      <c r="B120" s="30" t="s">
        <v>161</v>
      </c>
      <c r="C120" s="26" t="s">
        <v>282</v>
      </c>
      <c r="D120" s="8" t="n">
        <v>774</v>
      </c>
      <c r="E120" s="9" t="n">
        <v>0.3615</v>
      </c>
      <c r="F120" s="25" t="n">
        <v>11</v>
      </c>
      <c r="G120" s="8" t="n">
        <v>17</v>
      </c>
      <c r="H120" s="8"/>
      <c r="I120" s="10"/>
      <c r="J120" s="8" t="n">
        <v>0</v>
      </c>
      <c r="K120" s="11" t="n">
        <v>0</v>
      </c>
      <c r="L120" s="30"/>
      <c r="M120" s="30"/>
      <c r="N120" s="30"/>
    </row>
    <row r="121" customFormat="false" ht="15" hidden="false" customHeight="false" outlineLevel="0" collapsed="false">
      <c r="A121" s="30" t="s">
        <v>17</v>
      </c>
      <c r="B121" s="30" t="s">
        <v>122</v>
      </c>
      <c r="C121" s="26" t="s">
        <v>283</v>
      </c>
      <c r="D121" s="8" t="n">
        <v>755</v>
      </c>
      <c r="E121" s="9" t="n">
        <v>0.4287</v>
      </c>
      <c r="F121" s="25" t="n">
        <v>13</v>
      </c>
      <c r="G121" s="8" t="n">
        <v>22</v>
      </c>
      <c r="H121" s="8"/>
      <c r="I121" s="10"/>
      <c r="J121" s="8" t="n">
        <v>0</v>
      </c>
      <c r="K121" s="11" t="n">
        <v>0</v>
      </c>
      <c r="L121" s="30"/>
      <c r="M121" s="30"/>
      <c r="N121" s="30"/>
    </row>
    <row r="122" customFormat="false" ht="15" hidden="false" customHeight="false" outlineLevel="0" collapsed="false">
      <c r="A122" s="30" t="s">
        <v>17</v>
      </c>
      <c r="B122" s="30" t="s">
        <v>255</v>
      </c>
      <c r="C122" s="26" t="s">
        <v>284</v>
      </c>
      <c r="D122" s="8" t="n">
        <v>748</v>
      </c>
      <c r="E122" s="9" t="n">
        <v>0.6145</v>
      </c>
      <c r="F122" s="25" t="n">
        <v>25</v>
      </c>
      <c r="G122" s="8" t="n">
        <v>124</v>
      </c>
      <c r="H122" s="8" t="n">
        <v>2</v>
      </c>
      <c r="I122" s="33" t="n">
        <v>0.0161290322580645</v>
      </c>
      <c r="J122" s="8" t="n">
        <v>0</v>
      </c>
      <c r="K122" s="11" t="n">
        <v>0</v>
      </c>
      <c r="L122" s="30" t="s">
        <v>152</v>
      </c>
      <c r="M122" s="30"/>
      <c r="N122" s="30"/>
    </row>
    <row r="123" customFormat="false" ht="15" hidden="false" customHeight="false" outlineLevel="0" collapsed="false">
      <c r="A123" s="30" t="s">
        <v>17</v>
      </c>
      <c r="B123" s="30" t="s">
        <v>126</v>
      </c>
      <c r="C123" s="26" t="s">
        <v>285</v>
      </c>
      <c r="D123" s="8" t="n">
        <v>629</v>
      </c>
      <c r="E123" s="9" t="n">
        <v>0.4345</v>
      </c>
      <c r="F123" s="25" t="n">
        <v>12</v>
      </c>
      <c r="G123" s="8" t="n">
        <v>13</v>
      </c>
      <c r="H123" s="8"/>
      <c r="I123" s="10"/>
      <c r="J123" s="8" t="n">
        <v>0</v>
      </c>
      <c r="K123" s="11" t="n">
        <v>0</v>
      </c>
      <c r="L123" s="30"/>
      <c r="M123" s="30"/>
      <c r="N123" s="30"/>
    </row>
    <row r="124" customFormat="false" ht="15" hidden="false" customHeight="false" outlineLevel="0" collapsed="false">
      <c r="A124" s="30" t="s">
        <v>17</v>
      </c>
      <c r="B124" s="30" t="s">
        <v>169</v>
      </c>
      <c r="C124" s="26" t="s">
        <v>286</v>
      </c>
      <c r="D124" s="8" t="n">
        <v>627</v>
      </c>
      <c r="E124" s="9" t="n">
        <v>0.5289</v>
      </c>
      <c r="F124" s="25" t="n">
        <v>18</v>
      </c>
      <c r="G124" s="8" t="n">
        <v>59</v>
      </c>
      <c r="H124" s="8"/>
      <c r="I124" s="10"/>
      <c r="J124" s="8" t="n">
        <v>0</v>
      </c>
      <c r="K124" s="11" t="n">
        <v>0</v>
      </c>
      <c r="L124" s="30" t="s">
        <v>152</v>
      </c>
      <c r="M124" s="30"/>
      <c r="N124" s="30" t="s">
        <v>152</v>
      </c>
    </row>
    <row r="125" customFormat="false" ht="15" hidden="false" customHeight="false" outlineLevel="0" collapsed="false">
      <c r="A125" s="30" t="s">
        <v>17</v>
      </c>
      <c r="B125" s="30" t="s">
        <v>144</v>
      </c>
      <c r="C125" s="26" t="s">
        <v>287</v>
      </c>
      <c r="D125" s="8" t="n">
        <v>583</v>
      </c>
      <c r="E125" s="9" t="n">
        <v>0.4113</v>
      </c>
      <c r="F125" s="25" t="n">
        <v>14</v>
      </c>
      <c r="G125" s="8" t="n">
        <v>85</v>
      </c>
      <c r="H125" s="8"/>
      <c r="I125" s="32" t="n">
        <v>0</v>
      </c>
      <c r="J125" s="8" t="n">
        <v>0</v>
      </c>
      <c r="K125" s="11" t="n">
        <v>0</v>
      </c>
      <c r="L125" s="30"/>
      <c r="M125" s="30"/>
      <c r="N125" s="30"/>
    </row>
    <row r="126" customFormat="false" ht="15" hidden="false" customHeight="false" outlineLevel="0" collapsed="false">
      <c r="A126" s="30" t="s">
        <v>17</v>
      </c>
      <c r="B126" s="30" t="s">
        <v>198</v>
      </c>
      <c r="C126" s="26" t="s">
        <v>288</v>
      </c>
      <c r="D126" s="8" t="n">
        <v>564</v>
      </c>
      <c r="E126" s="9" t="n">
        <v>0.4094</v>
      </c>
      <c r="F126" s="25" t="n">
        <v>16</v>
      </c>
      <c r="G126" s="8" t="n">
        <v>11</v>
      </c>
      <c r="H126" s="8"/>
      <c r="I126" s="10"/>
      <c r="J126" s="8" t="n">
        <v>0</v>
      </c>
      <c r="K126" s="11" t="n">
        <v>0</v>
      </c>
      <c r="L126" s="30"/>
      <c r="M126" s="30"/>
      <c r="N126" s="30"/>
    </row>
    <row r="127" customFormat="false" ht="15" hidden="false" customHeight="false" outlineLevel="0" collapsed="false">
      <c r="A127" s="30" t="s">
        <v>17</v>
      </c>
      <c r="B127" s="30" t="s">
        <v>213</v>
      </c>
      <c r="C127" s="26" t="s">
        <v>289</v>
      </c>
      <c r="D127" s="8" t="n">
        <v>388</v>
      </c>
      <c r="E127" s="9" t="n">
        <v>0.5027</v>
      </c>
      <c r="F127" s="25" t="n">
        <v>16</v>
      </c>
      <c r="G127" s="8" t="n">
        <v>4</v>
      </c>
      <c r="H127" s="8"/>
      <c r="I127" s="10"/>
      <c r="J127" s="8" t="n">
        <v>0</v>
      </c>
      <c r="K127" s="11" t="n">
        <v>0</v>
      </c>
      <c r="L127" s="30" t="s">
        <v>152</v>
      </c>
      <c r="M127" s="30"/>
      <c r="N127" s="30"/>
    </row>
    <row r="128" customFormat="false" ht="15" hidden="false" customHeight="false" outlineLevel="0" collapsed="false">
      <c r="A128" s="30" t="s">
        <v>17</v>
      </c>
      <c r="B128" s="30" t="s">
        <v>126</v>
      </c>
      <c r="C128" s="26" t="s">
        <v>290</v>
      </c>
      <c r="D128" s="8" t="n">
        <v>374</v>
      </c>
      <c r="E128" s="9" t="n">
        <v>0.5366</v>
      </c>
      <c r="F128" s="25" t="n">
        <v>15</v>
      </c>
      <c r="G128" s="8" t="n">
        <v>8</v>
      </c>
      <c r="H128" s="8"/>
      <c r="I128" s="10"/>
      <c r="J128" s="8" t="n">
        <v>0</v>
      </c>
      <c r="K128" s="11" t="n">
        <v>0</v>
      </c>
      <c r="L128" s="30"/>
      <c r="M128" s="30"/>
      <c r="N128" s="30"/>
    </row>
    <row r="129" customFormat="false" ht="15" hidden="false" customHeight="false" outlineLevel="0" collapsed="false">
      <c r="A129" s="30" t="s">
        <v>17</v>
      </c>
      <c r="B129" s="30" t="s">
        <v>209</v>
      </c>
      <c r="C129" s="26" t="s">
        <v>291</v>
      </c>
      <c r="D129" s="8" t="n">
        <v>363</v>
      </c>
      <c r="E129" s="9" t="n">
        <v>0.6548</v>
      </c>
      <c r="F129" s="25" t="n">
        <v>15</v>
      </c>
      <c r="G129" s="8" t="n">
        <v>25</v>
      </c>
      <c r="H129" s="8"/>
      <c r="I129" s="10"/>
      <c r="J129" s="8" t="n">
        <v>0</v>
      </c>
      <c r="K129" s="11" t="n">
        <v>0</v>
      </c>
      <c r="L129" s="30"/>
      <c r="M129" s="30"/>
      <c r="N129" s="30"/>
    </row>
    <row r="130" customFormat="false" ht="15" hidden="false" customHeight="false" outlineLevel="0" collapsed="false">
      <c r="A130" s="30" t="s">
        <v>17</v>
      </c>
      <c r="B130" s="30" t="s">
        <v>185</v>
      </c>
      <c r="C130" s="26" t="s">
        <v>292</v>
      </c>
      <c r="D130" s="8" t="n">
        <v>333</v>
      </c>
      <c r="E130" s="9" t="n">
        <v>0.2918</v>
      </c>
      <c r="F130" s="25" t="n">
        <v>10</v>
      </c>
      <c r="G130" s="8" t="n">
        <v>38</v>
      </c>
      <c r="H130" s="8"/>
      <c r="I130" s="10"/>
      <c r="J130" s="8" t="n">
        <v>0</v>
      </c>
      <c r="K130" s="11" t="n">
        <v>0</v>
      </c>
      <c r="L130" s="30" t="s">
        <v>152</v>
      </c>
      <c r="M130" s="30"/>
      <c r="N130" s="30"/>
    </row>
    <row r="131" customFormat="false" ht="15" hidden="false" customHeight="false" outlineLevel="0" collapsed="false">
      <c r="A131" s="30" t="s">
        <v>17</v>
      </c>
      <c r="B131" s="30" t="s">
        <v>272</v>
      </c>
      <c r="C131" s="26" t="s">
        <v>293</v>
      </c>
      <c r="D131" s="8" t="n">
        <v>305</v>
      </c>
      <c r="E131" s="9" t="n">
        <v>0.3364</v>
      </c>
      <c r="F131" s="25" t="n">
        <v>11</v>
      </c>
      <c r="G131" s="8" t="n">
        <v>8</v>
      </c>
      <c r="H131" s="8"/>
      <c r="I131" s="10"/>
      <c r="J131" s="8" t="n">
        <v>0</v>
      </c>
      <c r="K131" s="11" t="n">
        <v>0</v>
      </c>
      <c r="L131" s="30"/>
      <c r="M131" s="30"/>
      <c r="N131" s="30"/>
    </row>
    <row r="132" customFormat="false" ht="15" hidden="false" customHeight="false" outlineLevel="0" collapsed="false">
      <c r="A132" s="30" t="s">
        <v>17</v>
      </c>
      <c r="B132" s="30" t="s">
        <v>140</v>
      </c>
      <c r="C132" s="26" t="s">
        <v>294</v>
      </c>
      <c r="D132" s="8" t="n">
        <v>293</v>
      </c>
      <c r="E132" s="9" t="n">
        <v>5.8766</v>
      </c>
      <c r="F132" s="25" t="n">
        <v>117</v>
      </c>
      <c r="G132" s="8" t="n">
        <v>12</v>
      </c>
      <c r="H132" s="8"/>
      <c r="I132" s="10"/>
      <c r="J132" s="8" t="n">
        <v>0</v>
      </c>
      <c r="K132" s="11" t="n">
        <v>0</v>
      </c>
      <c r="L132" s="30" t="s">
        <v>152</v>
      </c>
      <c r="M132" s="30"/>
      <c r="N132" s="30"/>
    </row>
    <row r="133" customFormat="false" ht="15" hidden="false" customHeight="false" outlineLevel="0" collapsed="false">
      <c r="A133" s="30" t="s">
        <v>17</v>
      </c>
      <c r="B133" s="30" t="s">
        <v>225</v>
      </c>
      <c r="C133" s="26" t="s">
        <v>295</v>
      </c>
      <c r="D133" s="8" t="n">
        <v>275</v>
      </c>
      <c r="E133" s="9" t="n">
        <v>0.4716</v>
      </c>
      <c r="F133" s="25" t="n">
        <v>14</v>
      </c>
      <c r="G133" s="8" t="n">
        <v>20</v>
      </c>
      <c r="H133" s="8"/>
      <c r="I133" s="10"/>
      <c r="J133" s="8" t="n">
        <v>0</v>
      </c>
      <c r="K133" s="11" t="n">
        <v>0</v>
      </c>
      <c r="L133" s="30"/>
      <c r="M133" s="30"/>
      <c r="N133" s="30"/>
    </row>
    <row r="134" customFormat="false" ht="15" hidden="false" customHeight="false" outlineLevel="0" collapsed="false">
      <c r="A134" s="30" t="s">
        <v>17</v>
      </c>
      <c r="B134" s="30" t="s">
        <v>118</v>
      </c>
      <c r="C134" s="26" t="s">
        <v>296</v>
      </c>
      <c r="D134" s="8" t="n">
        <v>216</v>
      </c>
      <c r="E134" s="9" t="n">
        <v>0.5599</v>
      </c>
      <c r="F134" s="25" t="n">
        <v>13</v>
      </c>
      <c r="G134" s="8" t="n">
        <v>4</v>
      </c>
      <c r="H134" s="8"/>
      <c r="I134" s="10"/>
      <c r="J134" s="8" t="n">
        <v>0</v>
      </c>
      <c r="K134" s="11" t="n">
        <v>0</v>
      </c>
      <c r="L134" s="30"/>
      <c r="M134" s="30"/>
      <c r="N134" s="30"/>
    </row>
    <row r="135" customFormat="false" ht="15" hidden="false" customHeight="false" outlineLevel="0" collapsed="false">
      <c r="A135" s="30" t="s">
        <v>17</v>
      </c>
      <c r="B135" s="30" t="s">
        <v>188</v>
      </c>
      <c r="C135" s="26" t="s">
        <v>297</v>
      </c>
      <c r="D135" s="8" t="n">
        <v>213</v>
      </c>
      <c r="E135" s="9" t="n">
        <v>0.5311</v>
      </c>
      <c r="F135" s="25" t="n">
        <v>10</v>
      </c>
      <c r="G135" s="8" t="n">
        <v>45</v>
      </c>
      <c r="H135" s="8"/>
      <c r="I135" s="10"/>
      <c r="J135" s="8" t="n">
        <v>0</v>
      </c>
      <c r="K135" s="11" t="n">
        <v>0</v>
      </c>
      <c r="L135" s="30"/>
      <c r="M135" s="30"/>
      <c r="N135" s="30"/>
    </row>
    <row r="136" customFormat="false" ht="15" hidden="false" customHeight="false" outlineLevel="0" collapsed="false">
      <c r="A136" s="30" t="s">
        <v>17</v>
      </c>
      <c r="B136" s="30" t="s">
        <v>209</v>
      </c>
      <c r="C136" s="26" t="s">
        <v>298</v>
      </c>
      <c r="D136" s="8" t="n">
        <v>208</v>
      </c>
      <c r="E136" s="9" t="n">
        <v>0.5619</v>
      </c>
      <c r="F136" s="25" t="n">
        <v>11</v>
      </c>
      <c r="G136" s="8" t="n">
        <v>68</v>
      </c>
      <c r="H136" s="8"/>
      <c r="I136" s="10"/>
      <c r="J136" s="8" t="n">
        <v>0</v>
      </c>
      <c r="K136" s="11" t="n">
        <v>0</v>
      </c>
      <c r="L136" s="30"/>
      <c r="M136" s="30"/>
      <c r="N136" s="30"/>
    </row>
    <row r="137" customFormat="false" ht="15" hidden="false" customHeight="false" outlineLevel="0" collapsed="false">
      <c r="A137" s="30" t="s">
        <v>17</v>
      </c>
      <c r="B137" s="30" t="s">
        <v>190</v>
      </c>
      <c r="C137" s="26" t="s">
        <v>299</v>
      </c>
      <c r="D137" s="8" t="n">
        <v>200</v>
      </c>
      <c r="E137" s="9" t="n">
        <v>0.2712</v>
      </c>
      <c r="F137" s="25" t="n">
        <v>11</v>
      </c>
      <c r="G137" s="8" t="n">
        <v>6</v>
      </c>
      <c r="H137" s="8"/>
      <c r="I137" s="10"/>
      <c r="J137" s="8" t="n">
        <v>0</v>
      </c>
      <c r="K137" s="11" t="n">
        <v>0</v>
      </c>
      <c r="L137" s="30" t="s">
        <v>152</v>
      </c>
      <c r="M137" s="30"/>
      <c r="N137" s="30" t="s">
        <v>152</v>
      </c>
    </row>
    <row r="138" customFormat="false" ht="15" hidden="false" customHeight="false" outlineLevel="0" collapsed="false">
      <c r="A138" s="30" t="s">
        <v>17</v>
      </c>
      <c r="B138" s="30" t="s">
        <v>177</v>
      </c>
      <c r="C138" s="26" t="s">
        <v>300</v>
      </c>
      <c r="D138" s="8" t="n">
        <v>193</v>
      </c>
      <c r="E138" s="9" t="n">
        <v>0.404</v>
      </c>
      <c r="F138" s="25" t="n">
        <v>15</v>
      </c>
      <c r="G138" s="8" t="n">
        <v>1</v>
      </c>
      <c r="H138" s="8"/>
      <c r="I138" s="10"/>
      <c r="J138" s="8" t="n">
        <v>0</v>
      </c>
      <c r="K138" s="11" t="n">
        <v>0</v>
      </c>
      <c r="L138" s="30"/>
      <c r="M138" s="30"/>
      <c r="N138" s="30"/>
    </row>
    <row r="139" customFormat="false" ht="15" hidden="false" customHeight="false" outlineLevel="0" collapsed="false">
      <c r="A139" s="30" t="s">
        <v>17</v>
      </c>
      <c r="B139" s="30" t="s">
        <v>177</v>
      </c>
      <c r="C139" s="26" t="s">
        <v>301</v>
      </c>
      <c r="D139" s="8" t="n">
        <v>193</v>
      </c>
      <c r="E139" s="9" t="n">
        <v>0.37</v>
      </c>
      <c r="F139" s="25" t="n">
        <v>13</v>
      </c>
      <c r="G139" s="8" t="n">
        <v>6</v>
      </c>
      <c r="H139" s="8"/>
      <c r="I139" s="10"/>
      <c r="J139" s="8" t="n">
        <v>0</v>
      </c>
      <c r="K139" s="11" t="n">
        <v>0</v>
      </c>
      <c r="L139" s="30"/>
      <c r="M139" s="30"/>
      <c r="N139" s="30"/>
    </row>
    <row r="140" customFormat="false" ht="15" hidden="false" customHeight="false" outlineLevel="0" collapsed="false">
      <c r="A140" s="30" t="s">
        <v>17</v>
      </c>
      <c r="B140" s="30" t="s">
        <v>245</v>
      </c>
      <c r="C140" s="26" t="s">
        <v>302</v>
      </c>
      <c r="D140" s="8" t="n">
        <v>191</v>
      </c>
      <c r="E140" s="9" t="n">
        <v>0.6947</v>
      </c>
      <c r="F140" s="25" t="n">
        <v>21</v>
      </c>
      <c r="G140" s="8" t="n">
        <v>19</v>
      </c>
      <c r="H140" s="8"/>
      <c r="I140" s="10"/>
      <c r="J140" s="8" t="n">
        <v>0</v>
      </c>
      <c r="K140" s="11" t="n">
        <v>0</v>
      </c>
      <c r="L140" s="30"/>
      <c r="M140" s="30"/>
      <c r="N140" s="30"/>
    </row>
    <row r="141" customFormat="false" ht="15" hidden="false" customHeight="false" outlineLevel="0" collapsed="false">
      <c r="A141" s="30" t="s">
        <v>17</v>
      </c>
      <c r="B141" s="30" t="s">
        <v>153</v>
      </c>
      <c r="C141" s="26" t="s">
        <v>303</v>
      </c>
      <c r="D141" s="8" t="n">
        <v>178</v>
      </c>
      <c r="E141" s="9" t="n">
        <v>0.5025</v>
      </c>
      <c r="F141" s="25" t="n">
        <v>12</v>
      </c>
      <c r="G141" s="8" t="n">
        <v>2</v>
      </c>
      <c r="H141" s="8"/>
      <c r="I141" s="10"/>
      <c r="J141" s="8" t="n">
        <v>0</v>
      </c>
      <c r="K141" s="11" t="n">
        <v>0</v>
      </c>
      <c r="L141" s="30"/>
      <c r="M141" s="30"/>
      <c r="N141" s="30"/>
    </row>
    <row r="142" customFormat="false" ht="15" hidden="false" customHeight="false" outlineLevel="0" collapsed="false">
      <c r="A142" s="30" t="s">
        <v>17</v>
      </c>
      <c r="B142" s="30" t="s">
        <v>222</v>
      </c>
      <c r="C142" s="26" t="s">
        <v>304</v>
      </c>
      <c r="D142" s="8" t="n">
        <v>7</v>
      </c>
      <c r="E142" s="9" t="n">
        <v>0.415</v>
      </c>
      <c r="F142" s="25" t="n">
        <v>14</v>
      </c>
      <c r="G142" s="8" t="n">
        <v>324</v>
      </c>
      <c r="H142" s="8" t="n">
        <v>2</v>
      </c>
      <c r="I142" s="32" t="n">
        <v>0.00617283950617284</v>
      </c>
      <c r="J142" s="8" t="n">
        <v>0</v>
      </c>
      <c r="K142" s="11" t="n">
        <v>0</v>
      </c>
      <c r="L142" s="30"/>
      <c r="M142" s="30"/>
      <c r="N142" s="30" t="s">
        <v>152</v>
      </c>
    </row>
    <row r="143" customFormat="false" ht="15" hidden="false" customHeight="false" outlineLevel="0" collapsed="false">
      <c r="A143" s="30" t="s">
        <v>18</v>
      </c>
      <c r="B143" s="30" t="s">
        <v>183</v>
      </c>
      <c r="C143" s="30" t="s">
        <v>305</v>
      </c>
      <c r="D143" s="8" t="n">
        <v>1565</v>
      </c>
      <c r="E143" s="9" t="n">
        <v>0.6864</v>
      </c>
      <c r="F143" s="25" t="n">
        <v>13</v>
      </c>
      <c r="G143" s="8" t="n">
        <v>112</v>
      </c>
      <c r="H143" s="8"/>
      <c r="I143" s="32" t="n">
        <v>0</v>
      </c>
      <c r="J143" s="8" t="n">
        <v>3</v>
      </c>
      <c r="K143" s="11" t="n">
        <v>1.91693290734824</v>
      </c>
      <c r="L143" s="30"/>
      <c r="M143" s="30"/>
      <c r="N143" s="30" t="s">
        <v>152</v>
      </c>
    </row>
    <row r="144" customFormat="false" ht="15" hidden="false" customHeight="false" outlineLevel="0" collapsed="false">
      <c r="A144" s="30" t="s">
        <v>18</v>
      </c>
      <c r="B144" s="30" t="s">
        <v>209</v>
      </c>
      <c r="C144" s="26" t="s">
        <v>306</v>
      </c>
      <c r="D144" s="8" t="n">
        <v>1790</v>
      </c>
      <c r="E144" s="9" t="n">
        <v>0.8015</v>
      </c>
      <c r="F144" s="25" t="n">
        <v>16</v>
      </c>
      <c r="G144" s="8" t="n">
        <v>72</v>
      </c>
      <c r="H144" s="8"/>
      <c r="I144" s="10"/>
      <c r="J144" s="8" t="n">
        <v>2</v>
      </c>
      <c r="K144" s="11" t="n">
        <v>1.11731843575419</v>
      </c>
      <c r="L144" s="30"/>
      <c r="M144" s="30"/>
      <c r="N144" s="30" t="s">
        <v>152</v>
      </c>
    </row>
    <row r="145" customFormat="false" ht="15" hidden="false" customHeight="false" outlineLevel="0" collapsed="false">
      <c r="A145" s="30" t="s">
        <v>18</v>
      </c>
      <c r="B145" s="30" t="s">
        <v>175</v>
      </c>
      <c r="C145" s="26" t="s">
        <v>307</v>
      </c>
      <c r="D145" s="8" t="n">
        <v>1662</v>
      </c>
      <c r="E145" s="9" t="n">
        <v>0.4777</v>
      </c>
      <c r="F145" s="25" t="n">
        <v>14</v>
      </c>
      <c r="G145" s="8" t="n">
        <v>46</v>
      </c>
      <c r="H145" s="8"/>
      <c r="I145" s="10"/>
      <c r="J145" s="8" t="n">
        <v>2</v>
      </c>
      <c r="K145" s="11" t="n">
        <v>1.20336943441637</v>
      </c>
      <c r="L145" s="30"/>
      <c r="M145" s="30"/>
      <c r="N145" s="30"/>
    </row>
    <row r="146" customFormat="false" ht="15" hidden="false" customHeight="false" outlineLevel="0" collapsed="false">
      <c r="A146" s="30" t="s">
        <v>18</v>
      </c>
      <c r="B146" s="30" t="s">
        <v>308</v>
      </c>
      <c r="C146" s="30" t="s">
        <v>309</v>
      </c>
      <c r="D146" s="8" t="n">
        <v>2388</v>
      </c>
      <c r="E146" s="9" t="n">
        <v>1.0296</v>
      </c>
      <c r="F146" s="25" t="n">
        <v>24</v>
      </c>
      <c r="G146" s="8" t="n">
        <v>69</v>
      </c>
      <c r="H146" s="8"/>
      <c r="I146" s="10"/>
      <c r="J146" s="8" t="n">
        <v>1</v>
      </c>
      <c r="K146" s="11" t="n">
        <v>0.418760469011725</v>
      </c>
      <c r="L146" s="30" t="s">
        <v>152</v>
      </c>
      <c r="M146" s="30"/>
      <c r="N146" s="30" t="s">
        <v>152</v>
      </c>
    </row>
    <row r="147" customFormat="false" ht="15" hidden="false" customHeight="false" outlineLevel="0" collapsed="false">
      <c r="A147" s="30" t="s">
        <v>18</v>
      </c>
      <c r="B147" s="30" t="s">
        <v>115</v>
      </c>
      <c r="C147" s="26" t="s">
        <v>310</v>
      </c>
      <c r="D147" s="8" t="n">
        <v>1566</v>
      </c>
      <c r="E147" s="9" t="n">
        <v>0.5452</v>
      </c>
      <c r="F147" s="25" t="n">
        <v>17</v>
      </c>
      <c r="G147" s="8" t="n">
        <v>35</v>
      </c>
      <c r="H147" s="8"/>
      <c r="I147" s="10"/>
      <c r="J147" s="8" t="n">
        <v>1</v>
      </c>
      <c r="K147" s="11" t="n">
        <v>0.638569604086846</v>
      </c>
      <c r="L147" s="30"/>
      <c r="M147" s="30"/>
      <c r="N147" s="30"/>
    </row>
    <row r="148" customFormat="false" ht="15" hidden="false" customHeight="false" outlineLevel="0" collapsed="false">
      <c r="A148" s="30" t="s">
        <v>18</v>
      </c>
      <c r="B148" s="30" t="s">
        <v>124</v>
      </c>
      <c r="C148" s="26" t="s">
        <v>311</v>
      </c>
      <c r="D148" s="8" t="n">
        <v>1446</v>
      </c>
      <c r="E148" s="9" t="n">
        <v>0.5373</v>
      </c>
      <c r="F148" s="25" t="n">
        <v>15</v>
      </c>
      <c r="G148" s="8" t="n">
        <v>40</v>
      </c>
      <c r="H148" s="8"/>
      <c r="I148" s="10"/>
      <c r="J148" s="8" t="n">
        <v>1</v>
      </c>
      <c r="K148" s="11" t="n">
        <v>0.691562932226833</v>
      </c>
      <c r="L148" s="30"/>
      <c r="M148" s="30"/>
      <c r="N148" s="30"/>
    </row>
    <row r="149" customFormat="false" ht="15" hidden="false" customHeight="false" outlineLevel="0" collapsed="false">
      <c r="A149" s="30" t="s">
        <v>18</v>
      </c>
      <c r="B149" s="30" t="s">
        <v>122</v>
      </c>
      <c r="C149" s="26" t="s">
        <v>312</v>
      </c>
      <c r="D149" s="8" t="n">
        <v>1337</v>
      </c>
      <c r="E149" s="9" t="n">
        <v>0.4892</v>
      </c>
      <c r="F149" s="25" t="n">
        <v>14</v>
      </c>
      <c r="G149" s="8" t="n">
        <v>174</v>
      </c>
      <c r="H149" s="8" t="n">
        <v>5</v>
      </c>
      <c r="I149" s="34" t="n">
        <v>0.0287356321839081</v>
      </c>
      <c r="J149" s="8" t="n">
        <v>1</v>
      </c>
      <c r="K149" s="11" t="n">
        <v>0.74794315632012</v>
      </c>
      <c r="L149" s="30"/>
      <c r="M149" s="30"/>
      <c r="N149" s="30"/>
    </row>
    <row r="150" customFormat="false" ht="15" hidden="false" customHeight="false" outlineLevel="0" collapsed="false">
      <c r="A150" s="30" t="s">
        <v>18</v>
      </c>
      <c r="B150" s="30" t="s">
        <v>124</v>
      </c>
      <c r="C150" s="30" t="s">
        <v>313</v>
      </c>
      <c r="D150" s="8" t="n">
        <v>1088</v>
      </c>
      <c r="E150" s="9" t="n">
        <v>0.6372</v>
      </c>
      <c r="F150" s="25" t="n">
        <v>17</v>
      </c>
      <c r="G150" s="8" t="n">
        <v>68</v>
      </c>
      <c r="H150" s="8"/>
      <c r="I150" s="10"/>
      <c r="J150" s="8" t="n">
        <v>1</v>
      </c>
      <c r="K150" s="11" t="n">
        <v>0.919117647058824</v>
      </c>
      <c r="L150" s="30"/>
      <c r="M150" s="30"/>
      <c r="N150" s="30"/>
    </row>
    <row r="151" customFormat="false" ht="15" hidden="false" customHeight="false" outlineLevel="0" collapsed="false">
      <c r="A151" s="30" t="s">
        <v>18</v>
      </c>
      <c r="B151" s="30" t="s">
        <v>183</v>
      </c>
      <c r="C151" s="26" t="s">
        <v>314</v>
      </c>
      <c r="D151" s="8" t="n">
        <v>2061</v>
      </c>
      <c r="E151" s="9" t="n">
        <v>0.5913</v>
      </c>
      <c r="F151" s="25" t="n">
        <v>14</v>
      </c>
      <c r="G151" s="8" t="n">
        <v>186</v>
      </c>
      <c r="H151" s="8" t="n">
        <v>3</v>
      </c>
      <c r="I151" s="33" t="n">
        <v>0.0161290322580645</v>
      </c>
      <c r="J151" s="8" t="n">
        <v>0</v>
      </c>
      <c r="K151" s="11" t="n">
        <v>0</v>
      </c>
      <c r="L151" s="30" t="s">
        <v>152</v>
      </c>
      <c r="M151" s="30"/>
      <c r="N151" s="30"/>
    </row>
    <row r="152" customFormat="false" ht="15" hidden="false" customHeight="false" outlineLevel="0" collapsed="false">
      <c r="A152" s="30" t="s">
        <v>18</v>
      </c>
      <c r="B152" s="30" t="s">
        <v>126</v>
      </c>
      <c r="C152" s="26" t="s">
        <v>315</v>
      </c>
      <c r="D152" s="8" t="n">
        <v>1971</v>
      </c>
      <c r="E152" s="9" t="n">
        <v>0.6953</v>
      </c>
      <c r="F152" s="25" t="n">
        <v>19</v>
      </c>
      <c r="G152" s="8" t="n">
        <v>131</v>
      </c>
      <c r="H152" s="8" t="n">
        <v>5</v>
      </c>
      <c r="I152" s="34" t="n">
        <v>0.0381679389312977</v>
      </c>
      <c r="J152" s="8" t="n">
        <v>0</v>
      </c>
      <c r="K152" s="11" t="n">
        <v>0</v>
      </c>
      <c r="L152" s="30"/>
      <c r="M152" s="30"/>
      <c r="N152" s="30"/>
    </row>
    <row r="153" customFormat="false" ht="15" hidden="false" customHeight="false" outlineLevel="0" collapsed="false">
      <c r="A153" s="30" t="s">
        <v>18</v>
      </c>
      <c r="B153" s="30" t="s">
        <v>209</v>
      </c>
      <c r="C153" s="26" t="s">
        <v>316</v>
      </c>
      <c r="D153" s="8" t="n">
        <v>1940</v>
      </c>
      <c r="E153" s="9" t="n">
        <v>0.9006</v>
      </c>
      <c r="F153" s="25" t="n">
        <v>16</v>
      </c>
      <c r="G153" s="8" t="n">
        <v>79</v>
      </c>
      <c r="H153" s="8"/>
      <c r="I153" s="10"/>
      <c r="J153" s="8" t="n">
        <v>0</v>
      </c>
      <c r="K153" s="11" t="n">
        <v>0</v>
      </c>
      <c r="L153" s="30"/>
      <c r="M153" s="30" t="s">
        <v>152</v>
      </c>
      <c r="N153" s="30" t="s">
        <v>152</v>
      </c>
    </row>
    <row r="154" customFormat="false" ht="15" hidden="false" customHeight="false" outlineLevel="0" collapsed="false">
      <c r="A154" s="30" t="s">
        <v>18</v>
      </c>
      <c r="B154" s="30" t="s">
        <v>164</v>
      </c>
      <c r="C154" s="26" t="s">
        <v>317</v>
      </c>
      <c r="D154" s="8" t="n">
        <v>1789</v>
      </c>
      <c r="E154" s="9" t="n">
        <v>0.5506</v>
      </c>
      <c r="F154" s="25" t="n">
        <v>16</v>
      </c>
      <c r="G154" s="8" t="n">
        <v>157</v>
      </c>
      <c r="H154" s="8" t="n">
        <v>4</v>
      </c>
      <c r="I154" s="34" t="n">
        <v>0.0254777070063694</v>
      </c>
      <c r="J154" s="8" t="n">
        <v>0</v>
      </c>
      <c r="K154" s="11" t="n">
        <v>0</v>
      </c>
      <c r="L154" s="30"/>
      <c r="M154" s="30"/>
      <c r="N154" s="30"/>
    </row>
    <row r="155" customFormat="false" ht="15" hidden="false" customHeight="false" outlineLevel="0" collapsed="false">
      <c r="A155" s="30" t="s">
        <v>18</v>
      </c>
      <c r="B155" s="30" t="s">
        <v>146</v>
      </c>
      <c r="C155" s="26" t="s">
        <v>318</v>
      </c>
      <c r="D155" s="8" t="n">
        <v>1696</v>
      </c>
      <c r="E155" s="9" t="n">
        <v>0.635</v>
      </c>
      <c r="F155" s="25" t="n">
        <v>20</v>
      </c>
      <c r="G155" s="8" t="n">
        <v>88</v>
      </c>
      <c r="H155" s="8" t="n">
        <v>1</v>
      </c>
      <c r="I155" s="33" t="n">
        <v>0.0113636363636364</v>
      </c>
      <c r="J155" s="8" t="n">
        <v>0</v>
      </c>
      <c r="K155" s="11" t="n">
        <v>0</v>
      </c>
      <c r="L155" s="30"/>
      <c r="M155" s="30"/>
      <c r="N155" s="30"/>
    </row>
    <row r="156" customFormat="false" ht="15" hidden="false" customHeight="false" outlineLevel="0" collapsed="false">
      <c r="A156" s="30" t="s">
        <v>18</v>
      </c>
      <c r="B156" s="30" t="s">
        <v>270</v>
      </c>
      <c r="C156" s="26" t="s">
        <v>319</v>
      </c>
      <c r="D156" s="8" t="n">
        <v>1677</v>
      </c>
      <c r="E156" s="9" t="n">
        <v>0.5706</v>
      </c>
      <c r="F156" s="25" t="n">
        <v>15</v>
      </c>
      <c r="G156" s="8" t="n">
        <v>173</v>
      </c>
      <c r="H156" s="8" t="n">
        <v>4</v>
      </c>
      <c r="I156" s="33" t="n">
        <v>0.023121387283237</v>
      </c>
      <c r="J156" s="8" t="n">
        <v>0</v>
      </c>
      <c r="K156" s="11" t="n">
        <v>0</v>
      </c>
      <c r="L156" s="30"/>
      <c r="M156" s="30"/>
      <c r="N156" s="30"/>
    </row>
    <row r="157" customFormat="false" ht="15" hidden="false" customHeight="false" outlineLevel="0" collapsed="false">
      <c r="A157" s="30" t="s">
        <v>18</v>
      </c>
      <c r="B157" s="30" t="s">
        <v>133</v>
      </c>
      <c r="C157" s="26" t="s">
        <v>320</v>
      </c>
      <c r="D157" s="8" t="n">
        <v>1630</v>
      </c>
      <c r="E157" s="9" t="n">
        <v>0.7089</v>
      </c>
      <c r="F157" s="25" t="n">
        <v>19</v>
      </c>
      <c r="G157" s="8" t="n">
        <v>77</v>
      </c>
      <c r="H157" s="8"/>
      <c r="I157" s="10"/>
      <c r="J157" s="8" t="n">
        <v>0</v>
      </c>
      <c r="K157" s="11" t="n">
        <v>0</v>
      </c>
      <c r="L157" s="30"/>
      <c r="M157" s="30"/>
      <c r="N157" s="30"/>
    </row>
    <row r="158" customFormat="false" ht="15" hidden="false" customHeight="false" outlineLevel="0" collapsed="false">
      <c r="A158" s="30" t="s">
        <v>18</v>
      </c>
      <c r="B158" s="30" t="s">
        <v>202</v>
      </c>
      <c r="C158" s="26" t="s">
        <v>321</v>
      </c>
      <c r="D158" s="8" t="n">
        <v>1610</v>
      </c>
      <c r="E158" s="9" t="n">
        <v>0.5262</v>
      </c>
      <c r="F158" s="25" t="n">
        <v>19</v>
      </c>
      <c r="G158" s="8" t="n">
        <v>133</v>
      </c>
      <c r="H158" s="8" t="n">
        <v>1</v>
      </c>
      <c r="I158" s="32" t="n">
        <v>0.0075187969924812</v>
      </c>
      <c r="J158" s="8" t="n">
        <v>0</v>
      </c>
      <c r="K158" s="11" t="n">
        <v>0</v>
      </c>
      <c r="L158" s="30"/>
      <c r="M158" s="30"/>
      <c r="N158" s="30"/>
    </row>
    <row r="159" customFormat="false" ht="15" hidden="false" customHeight="false" outlineLevel="0" collapsed="false">
      <c r="A159" s="30" t="s">
        <v>18</v>
      </c>
      <c r="B159" s="30" t="s">
        <v>157</v>
      </c>
      <c r="C159" s="26" t="s">
        <v>322</v>
      </c>
      <c r="D159" s="8" t="n">
        <v>1564</v>
      </c>
      <c r="E159" s="9" t="n">
        <v>0.6098</v>
      </c>
      <c r="F159" s="25" t="n">
        <v>17</v>
      </c>
      <c r="G159" s="8" t="n">
        <v>160</v>
      </c>
      <c r="H159" s="8" t="n">
        <v>3</v>
      </c>
      <c r="I159" s="33" t="n">
        <v>0.01875</v>
      </c>
      <c r="J159" s="8" t="n">
        <v>0</v>
      </c>
      <c r="K159" s="11" t="n">
        <v>0</v>
      </c>
      <c r="L159" s="30"/>
      <c r="M159" s="30"/>
      <c r="N159" s="30"/>
    </row>
    <row r="160" customFormat="false" ht="15" hidden="false" customHeight="false" outlineLevel="0" collapsed="false">
      <c r="A160" s="30" t="s">
        <v>18</v>
      </c>
      <c r="B160" s="30" t="s">
        <v>118</v>
      </c>
      <c r="C160" s="26" t="s">
        <v>323</v>
      </c>
      <c r="D160" s="8" t="n">
        <v>1557</v>
      </c>
      <c r="E160" s="9" t="n">
        <v>0.6526</v>
      </c>
      <c r="F160" s="25" t="n">
        <v>20</v>
      </c>
      <c r="G160" s="8" t="n">
        <v>83</v>
      </c>
      <c r="H160" s="8" t="n">
        <v>1</v>
      </c>
      <c r="I160" s="33" t="n">
        <v>0.0120481927710843</v>
      </c>
      <c r="J160" s="8" t="n">
        <v>0</v>
      </c>
      <c r="K160" s="11" t="n">
        <v>0</v>
      </c>
      <c r="L160" s="30"/>
      <c r="M160" s="30"/>
      <c r="N160" s="30"/>
    </row>
    <row r="161" customFormat="false" ht="15" hidden="false" customHeight="false" outlineLevel="0" collapsed="false">
      <c r="A161" s="30" t="s">
        <v>18</v>
      </c>
      <c r="B161" s="30" t="s">
        <v>245</v>
      </c>
      <c r="C161" s="26" t="s">
        <v>324</v>
      </c>
      <c r="D161" s="8" t="n">
        <v>1475</v>
      </c>
      <c r="E161" s="9" t="n">
        <v>0.6774</v>
      </c>
      <c r="F161" s="25" t="n">
        <v>23</v>
      </c>
      <c r="G161" s="8" t="n">
        <v>70</v>
      </c>
      <c r="H161" s="8"/>
      <c r="I161" s="10"/>
      <c r="J161" s="8" t="n">
        <v>0</v>
      </c>
      <c r="K161" s="11" t="n">
        <v>0</v>
      </c>
      <c r="L161" s="30"/>
      <c r="M161" s="30"/>
      <c r="N161" s="30"/>
    </row>
    <row r="162" customFormat="false" ht="15" hidden="false" customHeight="false" outlineLevel="0" collapsed="false">
      <c r="A162" s="30" t="s">
        <v>18</v>
      </c>
      <c r="B162" s="30" t="s">
        <v>245</v>
      </c>
      <c r="C162" s="26" t="s">
        <v>325</v>
      </c>
      <c r="D162" s="8" t="n">
        <v>1333</v>
      </c>
      <c r="E162" s="9" t="n">
        <v>1.2327</v>
      </c>
      <c r="F162" s="25" t="n">
        <v>45</v>
      </c>
      <c r="G162" s="8" t="n">
        <v>80</v>
      </c>
      <c r="H162" s="8"/>
      <c r="I162" s="32" t="n">
        <v>0</v>
      </c>
      <c r="J162" s="8" t="n">
        <v>0</v>
      </c>
      <c r="K162" s="11" t="n">
        <v>0</v>
      </c>
      <c r="L162" s="30"/>
      <c r="M162" s="30"/>
      <c r="N162" s="30"/>
    </row>
    <row r="163" customFormat="false" ht="15" hidden="false" customHeight="false" outlineLevel="0" collapsed="false">
      <c r="A163" s="30" t="s">
        <v>18</v>
      </c>
      <c r="B163" s="30" t="s">
        <v>120</v>
      </c>
      <c r="C163" s="26" t="s">
        <v>326</v>
      </c>
      <c r="D163" s="8" t="n">
        <v>1306</v>
      </c>
      <c r="E163" s="9" t="n">
        <v>0.3917</v>
      </c>
      <c r="F163" s="25" t="n">
        <v>19</v>
      </c>
      <c r="G163" s="8" t="n">
        <v>65</v>
      </c>
      <c r="H163" s="8"/>
      <c r="I163" s="10"/>
      <c r="J163" s="8" t="n">
        <v>0</v>
      </c>
      <c r="K163" s="11" t="n">
        <v>0</v>
      </c>
      <c r="L163" s="30"/>
      <c r="M163" s="30"/>
      <c r="N163" s="30"/>
    </row>
    <row r="164" customFormat="false" ht="15" hidden="false" customHeight="false" outlineLevel="0" collapsed="false">
      <c r="A164" s="30" t="s">
        <v>18</v>
      </c>
      <c r="B164" s="30" t="s">
        <v>248</v>
      </c>
      <c r="C164" s="26" t="s">
        <v>327</v>
      </c>
      <c r="D164" s="8" t="n">
        <v>1287</v>
      </c>
      <c r="E164" s="9" t="n">
        <v>0.531</v>
      </c>
      <c r="F164" s="25" t="n">
        <v>16</v>
      </c>
      <c r="G164" s="8" t="n">
        <v>111</v>
      </c>
      <c r="H164" s="8"/>
      <c r="I164" s="32" t="n">
        <v>0</v>
      </c>
      <c r="J164" s="8" t="n">
        <v>0</v>
      </c>
      <c r="K164" s="11" t="n">
        <v>0</v>
      </c>
      <c r="L164" s="30"/>
      <c r="M164" s="30"/>
      <c r="N164" s="30" t="s">
        <v>152</v>
      </c>
    </row>
    <row r="165" customFormat="false" ht="15" hidden="false" customHeight="false" outlineLevel="0" collapsed="false">
      <c r="A165" s="30" t="s">
        <v>18</v>
      </c>
      <c r="B165" s="30" t="s">
        <v>140</v>
      </c>
      <c r="C165" s="26" t="s">
        <v>328</v>
      </c>
      <c r="D165" s="8" t="n">
        <v>1130</v>
      </c>
      <c r="E165" s="9" t="n">
        <v>0.6803</v>
      </c>
      <c r="F165" s="25" t="n">
        <v>18</v>
      </c>
      <c r="G165" s="8" t="n">
        <v>75</v>
      </c>
      <c r="H165" s="8"/>
      <c r="I165" s="10"/>
      <c r="J165" s="8" t="n">
        <v>0</v>
      </c>
      <c r="K165" s="11" t="n">
        <v>0</v>
      </c>
      <c r="L165" s="30"/>
      <c r="M165" s="30"/>
      <c r="N165" s="30"/>
    </row>
    <row r="166" customFormat="false" ht="15" hidden="false" customHeight="false" outlineLevel="0" collapsed="false">
      <c r="A166" s="30" t="s">
        <v>18</v>
      </c>
      <c r="B166" s="30" t="s">
        <v>308</v>
      </c>
      <c r="C166" s="30" t="s">
        <v>309</v>
      </c>
      <c r="D166" s="8" t="n">
        <v>201</v>
      </c>
      <c r="E166" s="9" t="n">
        <v>0.4956</v>
      </c>
      <c r="F166" s="25" t="n">
        <v>11</v>
      </c>
      <c r="G166" s="8"/>
      <c r="H166" s="8"/>
      <c r="I166" s="10"/>
      <c r="J166" s="8" t="n">
        <v>0</v>
      </c>
      <c r="K166" s="11" t="n">
        <v>0</v>
      </c>
      <c r="L166" s="30" t="s">
        <v>152</v>
      </c>
      <c r="M166" s="30"/>
      <c r="N166" s="30" t="s">
        <v>152</v>
      </c>
    </row>
    <row r="167" customFormat="false" ht="15" hidden="false" customHeight="false" outlineLevel="0" collapsed="false">
      <c r="A167" s="30" t="s">
        <v>18</v>
      </c>
      <c r="B167" s="30" t="s">
        <v>209</v>
      </c>
      <c r="C167" s="30" t="s">
        <v>329</v>
      </c>
      <c r="D167" s="8" t="n">
        <v>48</v>
      </c>
      <c r="E167" s="9" t="n">
        <v>0.6966</v>
      </c>
      <c r="F167" s="25" t="n">
        <v>12</v>
      </c>
      <c r="G167" s="8" t="n">
        <v>60</v>
      </c>
      <c r="H167" s="8"/>
      <c r="I167" s="10"/>
      <c r="J167" s="8" t="n">
        <v>0</v>
      </c>
      <c r="K167" s="11" t="n">
        <v>0</v>
      </c>
      <c r="L167" s="30"/>
      <c r="M167" s="30" t="s">
        <v>152</v>
      </c>
      <c r="N167" s="30"/>
    </row>
    <row r="168" customFormat="false" ht="15" hidden="false" customHeight="false" outlineLevel="0" collapsed="false">
      <c r="A168" s="30" t="s">
        <v>16</v>
      </c>
      <c r="B168" s="30" t="s">
        <v>148</v>
      </c>
      <c r="C168" s="26" t="s">
        <v>330</v>
      </c>
      <c r="D168" s="8" t="n">
        <v>1308</v>
      </c>
      <c r="E168" s="9" t="n">
        <v>0.6243</v>
      </c>
      <c r="F168" s="25" t="n">
        <v>14</v>
      </c>
      <c r="G168" s="8" t="n">
        <v>89</v>
      </c>
      <c r="H168" s="8" t="n">
        <v>3</v>
      </c>
      <c r="I168" s="34" t="n">
        <v>0.0337078651685393</v>
      </c>
      <c r="J168" s="8" t="n">
        <v>3</v>
      </c>
      <c r="K168" s="11" t="n">
        <v>2.29357798165138</v>
      </c>
      <c r="L168" s="30"/>
      <c r="M168" s="30" t="s">
        <v>152</v>
      </c>
      <c r="N168" s="30"/>
    </row>
    <row r="169" customFormat="false" ht="15" hidden="false" customHeight="false" outlineLevel="0" collapsed="false">
      <c r="A169" s="30" t="s">
        <v>16</v>
      </c>
      <c r="B169" s="30" t="s">
        <v>175</v>
      </c>
      <c r="C169" s="26" t="s">
        <v>331</v>
      </c>
      <c r="D169" s="8" t="n">
        <v>1168</v>
      </c>
      <c r="E169" s="9" t="n">
        <v>0.6187</v>
      </c>
      <c r="F169" s="25" t="n">
        <v>17</v>
      </c>
      <c r="G169" s="8" t="n">
        <v>1110</v>
      </c>
      <c r="H169" s="8" t="n">
        <v>24</v>
      </c>
      <c r="I169" s="33" t="n">
        <v>0.0216216216216216</v>
      </c>
      <c r="J169" s="8" t="n">
        <v>3</v>
      </c>
      <c r="K169" s="11" t="n">
        <v>2.56849315068493</v>
      </c>
      <c r="L169" s="30"/>
      <c r="M169" s="30" t="s">
        <v>152</v>
      </c>
      <c r="N169" s="30" t="s">
        <v>152</v>
      </c>
    </row>
    <row r="170" customFormat="false" ht="15" hidden="false" customHeight="false" outlineLevel="0" collapsed="false">
      <c r="A170" s="30" t="s">
        <v>16</v>
      </c>
      <c r="B170" s="30" t="s">
        <v>142</v>
      </c>
      <c r="C170" s="26" t="s">
        <v>332</v>
      </c>
      <c r="D170" s="8" t="n">
        <v>1165</v>
      </c>
      <c r="E170" s="9" t="n">
        <v>0.5145</v>
      </c>
      <c r="F170" s="25" t="n">
        <v>16</v>
      </c>
      <c r="G170" s="8" t="n">
        <v>57</v>
      </c>
      <c r="H170" s="8"/>
      <c r="I170" s="10"/>
      <c r="J170" s="8" t="n">
        <v>3</v>
      </c>
      <c r="K170" s="11" t="n">
        <v>2.57510729613734</v>
      </c>
      <c r="L170" s="30" t="s">
        <v>152</v>
      </c>
      <c r="M170" s="30"/>
      <c r="N170" s="30"/>
    </row>
    <row r="171" customFormat="false" ht="15" hidden="false" customHeight="false" outlineLevel="0" collapsed="false">
      <c r="A171" s="30" t="s">
        <v>16</v>
      </c>
      <c r="B171" s="30" t="s">
        <v>196</v>
      </c>
      <c r="C171" s="26" t="s">
        <v>333</v>
      </c>
      <c r="D171" s="8" t="n">
        <v>1140</v>
      </c>
      <c r="E171" s="9" t="n">
        <v>0.4615</v>
      </c>
      <c r="F171" s="25" t="n">
        <v>18</v>
      </c>
      <c r="G171" s="8" t="n">
        <v>112</v>
      </c>
      <c r="H171" s="8"/>
      <c r="I171" s="32" t="n">
        <v>0</v>
      </c>
      <c r="J171" s="8" t="n">
        <v>3</v>
      </c>
      <c r="K171" s="11" t="n">
        <v>2.63157894736842</v>
      </c>
      <c r="L171" s="30"/>
      <c r="M171" s="30"/>
      <c r="N171" s="30" t="s">
        <v>152</v>
      </c>
    </row>
    <row r="172" customFormat="false" ht="15" hidden="false" customHeight="false" outlineLevel="0" collapsed="false">
      <c r="A172" s="30" t="s">
        <v>16</v>
      </c>
      <c r="B172" s="30" t="s">
        <v>169</v>
      </c>
      <c r="C172" s="26" t="s">
        <v>334</v>
      </c>
      <c r="D172" s="8" t="n">
        <v>1133</v>
      </c>
      <c r="E172" s="9" t="n">
        <v>0.4494</v>
      </c>
      <c r="F172" s="25" t="n">
        <v>17</v>
      </c>
      <c r="G172" s="8" t="n">
        <v>107</v>
      </c>
      <c r="H172" s="8"/>
      <c r="I172" s="32" t="n">
        <v>0</v>
      </c>
      <c r="J172" s="8" t="n">
        <v>3</v>
      </c>
      <c r="K172" s="11" t="n">
        <v>2.64783759929391</v>
      </c>
      <c r="L172" s="30" t="s">
        <v>152</v>
      </c>
      <c r="M172" s="30"/>
      <c r="N172" s="30" t="s">
        <v>152</v>
      </c>
    </row>
    <row r="173" customFormat="false" ht="15" hidden="false" customHeight="false" outlineLevel="0" collapsed="false">
      <c r="A173" s="30" t="s">
        <v>16</v>
      </c>
      <c r="B173" s="30" t="s">
        <v>155</v>
      </c>
      <c r="C173" s="26" t="s">
        <v>335</v>
      </c>
      <c r="D173" s="8" t="n">
        <v>1023</v>
      </c>
      <c r="E173" s="9" t="n">
        <v>0.4701</v>
      </c>
      <c r="F173" s="25" t="n">
        <v>11</v>
      </c>
      <c r="G173" s="8" t="n">
        <v>18</v>
      </c>
      <c r="H173" s="8"/>
      <c r="I173" s="10"/>
      <c r="J173" s="8" t="n">
        <v>3</v>
      </c>
      <c r="K173" s="11" t="n">
        <v>2.93255131964809</v>
      </c>
      <c r="L173" s="30"/>
      <c r="M173" s="30" t="s">
        <v>152</v>
      </c>
      <c r="N173" s="30"/>
    </row>
    <row r="174" customFormat="false" ht="15" hidden="false" customHeight="false" outlineLevel="0" collapsed="false">
      <c r="A174" s="30" t="s">
        <v>16</v>
      </c>
      <c r="B174" s="30" t="s">
        <v>228</v>
      </c>
      <c r="C174" s="26" t="s">
        <v>336</v>
      </c>
      <c r="D174" s="8" t="n">
        <v>1022</v>
      </c>
      <c r="E174" s="9" t="n">
        <v>0.6114</v>
      </c>
      <c r="F174" s="25" t="n">
        <v>12</v>
      </c>
      <c r="G174" s="8" t="n">
        <v>228</v>
      </c>
      <c r="H174" s="8"/>
      <c r="I174" s="32" t="n">
        <v>0</v>
      </c>
      <c r="J174" s="8" t="n">
        <v>3</v>
      </c>
      <c r="K174" s="11" t="n">
        <v>2.93542074363992</v>
      </c>
      <c r="L174" s="30" t="s">
        <v>152</v>
      </c>
      <c r="M174" s="30"/>
      <c r="N174" s="30"/>
    </row>
    <row r="175" customFormat="false" ht="15" hidden="false" customHeight="false" outlineLevel="0" collapsed="false">
      <c r="A175" s="30" t="s">
        <v>16</v>
      </c>
      <c r="B175" s="30" t="s">
        <v>222</v>
      </c>
      <c r="C175" s="26" t="s">
        <v>337</v>
      </c>
      <c r="D175" s="8" t="n">
        <v>822</v>
      </c>
      <c r="E175" s="9" t="n">
        <v>0.452</v>
      </c>
      <c r="F175" s="25" t="n">
        <v>18</v>
      </c>
      <c r="G175" s="8" t="n">
        <v>789</v>
      </c>
      <c r="H175" s="8" t="n">
        <v>11</v>
      </c>
      <c r="I175" s="33" t="n">
        <v>0.0139416983523447</v>
      </c>
      <c r="J175" s="8" t="n">
        <v>3</v>
      </c>
      <c r="K175" s="11" t="n">
        <v>3.64963503649635</v>
      </c>
      <c r="L175" s="30" t="s">
        <v>152</v>
      </c>
      <c r="M175" s="30"/>
      <c r="N175" s="30"/>
    </row>
    <row r="176" customFormat="false" ht="15" hidden="false" customHeight="false" outlineLevel="0" collapsed="false">
      <c r="A176" s="30" t="s">
        <v>16</v>
      </c>
      <c r="B176" s="30" t="s">
        <v>161</v>
      </c>
      <c r="C176" s="26" t="s">
        <v>338</v>
      </c>
      <c r="D176" s="8" t="n">
        <v>713</v>
      </c>
      <c r="E176" s="9" t="n">
        <v>0.5937</v>
      </c>
      <c r="F176" s="25" t="n">
        <v>17</v>
      </c>
      <c r="G176" s="8" t="n">
        <v>459</v>
      </c>
      <c r="H176" s="8" t="n">
        <v>9</v>
      </c>
      <c r="I176" s="33" t="n">
        <v>0.0196078431372549</v>
      </c>
      <c r="J176" s="8" t="n">
        <v>3</v>
      </c>
      <c r="K176" s="11" t="n">
        <v>4.20757363253857</v>
      </c>
      <c r="L176" s="30" t="s">
        <v>152</v>
      </c>
      <c r="M176" s="30"/>
      <c r="N176" s="30" t="s">
        <v>152</v>
      </c>
    </row>
    <row r="177" customFormat="false" ht="15" hidden="false" customHeight="false" outlineLevel="0" collapsed="false">
      <c r="A177" s="30" t="s">
        <v>16</v>
      </c>
      <c r="B177" s="30" t="s">
        <v>198</v>
      </c>
      <c r="C177" s="26" t="s">
        <v>339</v>
      </c>
      <c r="D177" s="8" t="n">
        <v>1414</v>
      </c>
      <c r="E177" s="9" t="n">
        <v>0.6577</v>
      </c>
      <c r="F177" s="25" t="n">
        <v>17</v>
      </c>
      <c r="G177" s="8" t="n">
        <v>1114</v>
      </c>
      <c r="H177" s="8" t="n">
        <v>18</v>
      </c>
      <c r="I177" s="33" t="n">
        <v>0.0161579892280072</v>
      </c>
      <c r="J177" s="8" t="n">
        <v>2</v>
      </c>
      <c r="K177" s="11" t="n">
        <v>1.41442715700141</v>
      </c>
      <c r="L177" s="30" t="s">
        <v>152</v>
      </c>
      <c r="M177" s="30"/>
      <c r="N177" s="30" t="s">
        <v>152</v>
      </c>
    </row>
    <row r="178" customFormat="false" ht="15" hidden="false" customHeight="false" outlineLevel="0" collapsed="false">
      <c r="A178" s="30" t="s">
        <v>16</v>
      </c>
      <c r="B178" s="30" t="s">
        <v>148</v>
      </c>
      <c r="C178" s="26" t="s">
        <v>340</v>
      </c>
      <c r="D178" s="8" t="n">
        <v>1256</v>
      </c>
      <c r="E178" s="9" t="n">
        <v>0.6156</v>
      </c>
      <c r="F178" s="25" t="n">
        <v>15</v>
      </c>
      <c r="G178" s="8" t="n">
        <v>83</v>
      </c>
      <c r="H178" s="8"/>
      <c r="I178" s="32" t="n">
        <v>0</v>
      </c>
      <c r="J178" s="8" t="n">
        <v>2</v>
      </c>
      <c r="K178" s="11" t="n">
        <v>1.59235668789809</v>
      </c>
      <c r="L178" s="30"/>
      <c r="M178" s="30"/>
      <c r="N178" s="30"/>
    </row>
    <row r="179" customFormat="false" ht="15" hidden="false" customHeight="false" outlineLevel="0" collapsed="false">
      <c r="A179" s="30" t="s">
        <v>16</v>
      </c>
      <c r="B179" s="30" t="s">
        <v>183</v>
      </c>
      <c r="C179" s="30" t="s">
        <v>341</v>
      </c>
      <c r="D179" s="8" t="n">
        <v>1243</v>
      </c>
      <c r="E179" s="9" t="n">
        <v>0.3736</v>
      </c>
      <c r="F179" s="25" t="n">
        <v>10</v>
      </c>
      <c r="G179" s="8" t="n">
        <v>259</v>
      </c>
      <c r="H179" s="8" t="n">
        <v>2</v>
      </c>
      <c r="I179" s="32" t="n">
        <v>0.00772200772200772</v>
      </c>
      <c r="J179" s="8" t="n">
        <v>2</v>
      </c>
      <c r="K179" s="11" t="n">
        <v>1.60901045856798</v>
      </c>
      <c r="L179" s="30" t="s">
        <v>152</v>
      </c>
      <c r="M179" s="30"/>
      <c r="N179" s="30"/>
    </row>
    <row r="180" customFormat="false" ht="15" hidden="false" customHeight="false" outlineLevel="0" collapsed="false">
      <c r="A180" s="30" t="s">
        <v>16</v>
      </c>
      <c r="B180" s="30" t="s">
        <v>268</v>
      </c>
      <c r="C180" s="26" t="s">
        <v>342</v>
      </c>
      <c r="D180" s="8" t="n">
        <v>1111</v>
      </c>
      <c r="E180" s="9" t="n">
        <v>0.3661</v>
      </c>
      <c r="F180" s="25" t="n">
        <v>10</v>
      </c>
      <c r="G180" s="8" t="n">
        <v>237</v>
      </c>
      <c r="H180" s="8"/>
      <c r="I180" s="32" t="n">
        <v>0</v>
      </c>
      <c r="J180" s="8" t="n">
        <v>2</v>
      </c>
      <c r="K180" s="11" t="n">
        <v>1.8001800180018</v>
      </c>
      <c r="L180" s="30"/>
      <c r="M180" s="30"/>
      <c r="N180" s="30"/>
    </row>
    <row r="181" customFormat="false" ht="15" hidden="false" customHeight="false" outlineLevel="0" collapsed="false">
      <c r="A181" s="30" t="s">
        <v>16</v>
      </c>
      <c r="B181" s="30" t="s">
        <v>270</v>
      </c>
      <c r="C181" s="30" t="s">
        <v>343</v>
      </c>
      <c r="D181" s="8" t="n">
        <v>1053</v>
      </c>
      <c r="E181" s="9" t="n">
        <v>0.4581</v>
      </c>
      <c r="F181" s="25" t="n">
        <v>13</v>
      </c>
      <c r="G181" s="8" t="n">
        <v>988</v>
      </c>
      <c r="H181" s="8" t="n">
        <v>18</v>
      </c>
      <c r="I181" s="33" t="n">
        <v>0.0182186234817814</v>
      </c>
      <c r="J181" s="8" t="n">
        <v>2</v>
      </c>
      <c r="K181" s="11" t="n">
        <v>1.89933523266857</v>
      </c>
      <c r="L181" s="30"/>
      <c r="M181" s="30"/>
      <c r="N181" s="30"/>
    </row>
    <row r="182" customFormat="false" ht="15" hidden="false" customHeight="false" outlineLevel="0" collapsed="false">
      <c r="A182" s="30" t="s">
        <v>16</v>
      </c>
      <c r="B182" s="30" t="s">
        <v>245</v>
      </c>
      <c r="C182" s="26" t="s">
        <v>344</v>
      </c>
      <c r="D182" s="8" t="n">
        <v>1039</v>
      </c>
      <c r="E182" s="9" t="n">
        <v>0.5429</v>
      </c>
      <c r="F182" s="25" t="n">
        <v>17</v>
      </c>
      <c r="G182" s="8" t="n">
        <v>1028</v>
      </c>
      <c r="H182" s="8" t="n">
        <v>12</v>
      </c>
      <c r="I182" s="33" t="n">
        <v>0.0116731517509728</v>
      </c>
      <c r="J182" s="8" t="n">
        <v>2</v>
      </c>
      <c r="K182" s="11" t="n">
        <v>1.92492781520693</v>
      </c>
      <c r="L182" s="30"/>
      <c r="M182" s="30"/>
      <c r="N182" s="30"/>
    </row>
    <row r="183" customFormat="false" ht="15" hidden="false" customHeight="false" outlineLevel="0" collapsed="false">
      <c r="A183" s="30" t="s">
        <v>16</v>
      </c>
      <c r="B183" s="30" t="s">
        <v>146</v>
      </c>
      <c r="C183" s="26" t="s">
        <v>345</v>
      </c>
      <c r="D183" s="8" t="n">
        <v>1007</v>
      </c>
      <c r="E183" s="9" t="n">
        <v>0.4262</v>
      </c>
      <c r="F183" s="25" t="n">
        <v>15</v>
      </c>
      <c r="G183" s="8" t="n">
        <v>342</v>
      </c>
      <c r="H183" s="8" t="n">
        <v>7</v>
      </c>
      <c r="I183" s="33" t="n">
        <v>0.0204678362573099</v>
      </c>
      <c r="J183" s="8" t="n">
        <v>2</v>
      </c>
      <c r="K183" s="11" t="n">
        <v>1.98609731876862</v>
      </c>
      <c r="L183" s="30" t="s">
        <v>152</v>
      </c>
      <c r="M183" s="30"/>
      <c r="N183" s="30"/>
    </row>
    <row r="184" customFormat="false" ht="15" hidden="false" customHeight="false" outlineLevel="0" collapsed="false">
      <c r="A184" s="30" t="s">
        <v>16</v>
      </c>
      <c r="B184" s="30" t="s">
        <v>198</v>
      </c>
      <c r="C184" s="30" t="s">
        <v>346</v>
      </c>
      <c r="D184" s="8" t="n">
        <v>1000</v>
      </c>
      <c r="E184" s="9" t="n">
        <v>0.4875</v>
      </c>
      <c r="F184" s="25" t="n">
        <v>15</v>
      </c>
      <c r="G184" s="8" t="n">
        <v>120</v>
      </c>
      <c r="H184" s="8" t="n">
        <v>1</v>
      </c>
      <c r="I184" s="32" t="n">
        <v>0.00833333333333333</v>
      </c>
      <c r="J184" s="8" t="n">
        <v>2</v>
      </c>
      <c r="K184" s="11" t="n">
        <v>2</v>
      </c>
      <c r="L184" s="30" t="s">
        <v>152</v>
      </c>
      <c r="M184" s="30"/>
      <c r="N184" s="30" t="s">
        <v>152</v>
      </c>
    </row>
    <row r="185" customFormat="false" ht="15" hidden="false" customHeight="false" outlineLevel="0" collapsed="false">
      <c r="A185" s="30" t="s">
        <v>16</v>
      </c>
      <c r="B185" s="30" t="s">
        <v>185</v>
      </c>
      <c r="C185" s="26" t="s">
        <v>347</v>
      </c>
      <c r="D185" s="8" t="n">
        <v>835</v>
      </c>
      <c r="E185" s="9" t="n">
        <v>0.5946</v>
      </c>
      <c r="F185" s="25" t="n">
        <v>19</v>
      </c>
      <c r="G185" s="8" t="n">
        <v>251</v>
      </c>
      <c r="H185" s="8" t="n">
        <v>1</v>
      </c>
      <c r="I185" s="32" t="n">
        <v>0.00398406374501992</v>
      </c>
      <c r="J185" s="8" t="n">
        <v>2</v>
      </c>
      <c r="K185" s="11" t="n">
        <v>2.39520958083832</v>
      </c>
      <c r="L185" s="30" t="s">
        <v>152</v>
      </c>
      <c r="M185" s="30"/>
      <c r="N185" s="30"/>
    </row>
    <row r="186" customFormat="false" ht="15" hidden="false" customHeight="false" outlineLevel="0" collapsed="false">
      <c r="A186" s="30" t="s">
        <v>16</v>
      </c>
      <c r="B186" s="30" t="s">
        <v>185</v>
      </c>
      <c r="C186" s="26" t="s">
        <v>348</v>
      </c>
      <c r="D186" s="8" t="n">
        <v>828</v>
      </c>
      <c r="E186" s="9" t="n">
        <v>0.5149</v>
      </c>
      <c r="F186" s="25" t="n">
        <v>13</v>
      </c>
      <c r="G186" s="8" t="n">
        <v>774</v>
      </c>
      <c r="H186" s="8" t="n">
        <v>6</v>
      </c>
      <c r="I186" s="32" t="n">
        <v>0.00775193798449612</v>
      </c>
      <c r="J186" s="8" t="n">
        <v>2</v>
      </c>
      <c r="K186" s="11" t="n">
        <v>2.41545893719807</v>
      </c>
      <c r="L186" s="30" t="s">
        <v>152</v>
      </c>
      <c r="M186" s="30"/>
      <c r="N186" s="30"/>
    </row>
    <row r="187" customFormat="false" ht="15" hidden="false" customHeight="false" outlineLevel="0" collapsed="false">
      <c r="A187" s="30" t="s">
        <v>16</v>
      </c>
      <c r="B187" s="30" t="s">
        <v>159</v>
      </c>
      <c r="C187" s="30" t="s">
        <v>349</v>
      </c>
      <c r="D187" s="8" t="n">
        <v>1326</v>
      </c>
      <c r="E187" s="9" t="n">
        <v>0.7123</v>
      </c>
      <c r="F187" s="25" t="n">
        <v>22</v>
      </c>
      <c r="G187" s="8" t="n">
        <v>135</v>
      </c>
      <c r="H187" s="8"/>
      <c r="I187" s="32" t="n">
        <v>0</v>
      </c>
      <c r="J187" s="8" t="n">
        <v>1</v>
      </c>
      <c r="K187" s="11" t="n">
        <v>0.754147812971342</v>
      </c>
      <c r="L187" s="30" t="s">
        <v>152</v>
      </c>
      <c r="M187" s="30"/>
      <c r="N187" s="30"/>
    </row>
    <row r="188" customFormat="false" ht="15" hidden="false" customHeight="false" outlineLevel="0" collapsed="false">
      <c r="A188" s="30" t="s">
        <v>16</v>
      </c>
      <c r="B188" s="30" t="s">
        <v>206</v>
      </c>
      <c r="C188" s="26" t="s">
        <v>350</v>
      </c>
      <c r="D188" s="8" t="n">
        <v>1205</v>
      </c>
      <c r="E188" s="9" t="n">
        <v>0.4662</v>
      </c>
      <c r="F188" s="25" t="n">
        <v>17</v>
      </c>
      <c r="G188" s="8" t="n">
        <v>440</v>
      </c>
      <c r="H188" s="8" t="n">
        <v>13</v>
      </c>
      <c r="I188" s="34" t="n">
        <v>0.0295454545454545</v>
      </c>
      <c r="J188" s="8" t="n">
        <v>1</v>
      </c>
      <c r="K188" s="11" t="n">
        <v>0.829875518672199</v>
      </c>
      <c r="L188" s="30" t="s">
        <v>152</v>
      </c>
      <c r="M188" s="30"/>
      <c r="N188" s="30" t="s">
        <v>152</v>
      </c>
    </row>
    <row r="189" customFormat="false" ht="15" hidden="false" customHeight="false" outlineLevel="0" collapsed="false">
      <c r="A189" s="30" t="s">
        <v>16</v>
      </c>
      <c r="B189" s="30" t="s">
        <v>142</v>
      </c>
      <c r="C189" s="26" t="s">
        <v>351</v>
      </c>
      <c r="D189" s="8" t="n">
        <v>1197</v>
      </c>
      <c r="E189" s="9" t="n">
        <v>0.4781</v>
      </c>
      <c r="F189" s="25" t="n">
        <v>16</v>
      </c>
      <c r="G189" s="8" t="n">
        <v>73</v>
      </c>
      <c r="H189" s="8"/>
      <c r="I189" s="10"/>
      <c r="J189" s="8" t="n">
        <v>1</v>
      </c>
      <c r="K189" s="11" t="n">
        <v>0.835421888053467</v>
      </c>
      <c r="L189" s="30" t="s">
        <v>152</v>
      </c>
      <c r="M189" s="30"/>
      <c r="N189" s="30"/>
    </row>
    <row r="190" customFormat="false" ht="15" hidden="false" customHeight="false" outlineLevel="0" collapsed="false">
      <c r="A190" s="30" t="s">
        <v>16</v>
      </c>
      <c r="B190" s="30" t="s">
        <v>225</v>
      </c>
      <c r="C190" s="26" t="s">
        <v>352</v>
      </c>
      <c r="D190" s="8" t="n">
        <v>1151</v>
      </c>
      <c r="E190" s="9" t="n">
        <v>0.4378</v>
      </c>
      <c r="F190" s="25" t="n">
        <v>14</v>
      </c>
      <c r="G190" s="8" t="n">
        <v>33</v>
      </c>
      <c r="H190" s="8"/>
      <c r="I190" s="10"/>
      <c r="J190" s="8" t="n">
        <v>1</v>
      </c>
      <c r="K190" s="11" t="n">
        <v>0.868809730668984</v>
      </c>
      <c r="L190" s="30"/>
      <c r="M190" s="30" t="s">
        <v>152</v>
      </c>
      <c r="N190" s="30" t="s">
        <v>152</v>
      </c>
    </row>
    <row r="191" customFormat="false" ht="15" hidden="false" customHeight="false" outlineLevel="0" collapsed="false">
      <c r="A191" s="30" t="s">
        <v>16</v>
      </c>
      <c r="B191" s="30" t="s">
        <v>171</v>
      </c>
      <c r="C191" s="26" t="s">
        <v>353</v>
      </c>
      <c r="D191" s="8" t="n">
        <v>1126</v>
      </c>
      <c r="E191" s="9" t="n">
        <v>0.436</v>
      </c>
      <c r="F191" s="25" t="n">
        <v>16</v>
      </c>
      <c r="G191" s="8" t="n">
        <v>105</v>
      </c>
      <c r="H191" s="8" t="n">
        <v>3</v>
      </c>
      <c r="I191" s="34" t="n">
        <v>0.0285714285714286</v>
      </c>
      <c r="J191" s="8" t="n">
        <v>1</v>
      </c>
      <c r="K191" s="11" t="n">
        <v>0.88809946714032</v>
      </c>
      <c r="L191" s="30" t="s">
        <v>152</v>
      </c>
      <c r="M191" s="30"/>
      <c r="N191" s="30"/>
    </row>
    <row r="192" customFormat="false" ht="15" hidden="false" customHeight="false" outlineLevel="0" collapsed="false">
      <c r="A192" s="30" t="s">
        <v>16</v>
      </c>
      <c r="B192" s="30" t="s">
        <v>213</v>
      </c>
      <c r="C192" s="26" t="s">
        <v>354</v>
      </c>
      <c r="D192" s="8" t="n">
        <v>1067</v>
      </c>
      <c r="E192" s="9" t="n">
        <v>0.4952</v>
      </c>
      <c r="F192" s="25" t="n">
        <v>14</v>
      </c>
      <c r="G192" s="8" t="n">
        <v>306</v>
      </c>
      <c r="H192" s="8" t="n">
        <v>6</v>
      </c>
      <c r="I192" s="33" t="n">
        <v>0.0196078431372549</v>
      </c>
      <c r="J192" s="8" t="n">
        <v>1</v>
      </c>
      <c r="K192" s="11" t="n">
        <v>0.937207122774133</v>
      </c>
      <c r="L192" s="30" t="s">
        <v>152</v>
      </c>
      <c r="M192" s="30"/>
      <c r="N192" s="30"/>
    </row>
    <row r="193" customFormat="false" ht="15" hidden="false" customHeight="false" outlineLevel="0" collapsed="false">
      <c r="A193" s="30" t="s">
        <v>16</v>
      </c>
      <c r="B193" s="30" t="s">
        <v>206</v>
      </c>
      <c r="C193" s="30" t="s">
        <v>355</v>
      </c>
      <c r="D193" s="8" t="n">
        <v>1066</v>
      </c>
      <c r="E193" s="9" t="n">
        <v>0.4999</v>
      </c>
      <c r="F193" s="25" t="n">
        <v>15</v>
      </c>
      <c r="G193" s="8" t="n">
        <v>335</v>
      </c>
      <c r="H193" s="8" t="n">
        <v>7</v>
      </c>
      <c r="I193" s="33" t="n">
        <v>0.0208955223880597</v>
      </c>
      <c r="J193" s="8" t="n">
        <v>1</v>
      </c>
      <c r="K193" s="11" t="n">
        <v>0.938086303939963</v>
      </c>
      <c r="L193" s="30" t="s">
        <v>152</v>
      </c>
      <c r="M193" s="30"/>
      <c r="N193" s="30"/>
    </row>
    <row r="194" customFormat="false" ht="15" hidden="false" customHeight="false" outlineLevel="0" collapsed="false">
      <c r="A194" s="30" t="s">
        <v>16</v>
      </c>
      <c r="B194" s="30" t="s">
        <v>198</v>
      </c>
      <c r="C194" s="26" t="s">
        <v>356</v>
      </c>
      <c r="D194" s="8" t="n">
        <v>1056</v>
      </c>
      <c r="E194" s="9" t="n">
        <v>0.5374</v>
      </c>
      <c r="F194" s="25" t="n">
        <v>19</v>
      </c>
      <c r="G194" s="8" t="n">
        <v>300</v>
      </c>
      <c r="H194" s="8" t="n">
        <v>9</v>
      </c>
      <c r="I194" s="34" t="n">
        <v>0.03</v>
      </c>
      <c r="J194" s="8" t="n">
        <v>1</v>
      </c>
      <c r="K194" s="11" t="n">
        <v>0.946969696969697</v>
      </c>
      <c r="L194" s="30" t="s">
        <v>152</v>
      </c>
      <c r="M194" s="30"/>
      <c r="N194" s="30" t="s">
        <v>152</v>
      </c>
    </row>
    <row r="195" customFormat="false" ht="15" hidden="false" customHeight="false" outlineLevel="0" collapsed="false">
      <c r="A195" s="30" t="s">
        <v>16</v>
      </c>
      <c r="B195" s="30" t="s">
        <v>171</v>
      </c>
      <c r="C195" s="30" t="s">
        <v>357</v>
      </c>
      <c r="D195" s="8" t="n">
        <v>1053</v>
      </c>
      <c r="E195" s="9" t="n">
        <v>0.455</v>
      </c>
      <c r="F195" s="25" t="n">
        <v>15</v>
      </c>
      <c r="G195" s="8" t="n">
        <v>131</v>
      </c>
      <c r="H195" s="8" t="n">
        <v>4</v>
      </c>
      <c r="I195" s="34" t="n">
        <v>0.0305343511450382</v>
      </c>
      <c r="J195" s="8" t="n">
        <v>1</v>
      </c>
      <c r="K195" s="11" t="n">
        <v>0.949667616334283</v>
      </c>
      <c r="L195" s="30" t="s">
        <v>152</v>
      </c>
      <c r="M195" s="30"/>
      <c r="N195" s="30" t="s">
        <v>152</v>
      </c>
    </row>
    <row r="196" customFormat="false" ht="15" hidden="false" customHeight="false" outlineLevel="0" collapsed="false">
      <c r="A196" s="30" t="s">
        <v>16</v>
      </c>
      <c r="B196" s="30" t="s">
        <v>153</v>
      </c>
      <c r="C196" s="26" t="s">
        <v>358</v>
      </c>
      <c r="D196" s="8" t="n">
        <v>1042</v>
      </c>
      <c r="E196" s="9" t="n">
        <v>0.4301</v>
      </c>
      <c r="F196" s="25" t="n">
        <v>20</v>
      </c>
      <c r="G196" s="8" t="n">
        <v>88</v>
      </c>
      <c r="H196" s="8" t="n">
        <v>1</v>
      </c>
      <c r="I196" s="33" t="n">
        <v>0.0113636363636364</v>
      </c>
      <c r="J196" s="8" t="n">
        <v>1</v>
      </c>
      <c r="K196" s="11" t="n">
        <v>0.959692898272553</v>
      </c>
      <c r="L196" s="30" t="s">
        <v>152</v>
      </c>
      <c r="M196" s="30"/>
      <c r="N196" s="30" t="s">
        <v>152</v>
      </c>
    </row>
    <row r="197" customFormat="false" ht="15" hidden="false" customHeight="false" outlineLevel="0" collapsed="false">
      <c r="A197" s="30" t="s">
        <v>16</v>
      </c>
      <c r="B197" s="30" t="s">
        <v>153</v>
      </c>
      <c r="C197" s="30" t="s">
        <v>359</v>
      </c>
      <c r="D197" s="8" t="n">
        <v>1008</v>
      </c>
      <c r="E197" s="9" t="n">
        <v>0.6821</v>
      </c>
      <c r="F197" s="25" t="n">
        <v>27</v>
      </c>
      <c r="G197" s="8" t="n">
        <v>105</v>
      </c>
      <c r="H197" s="8" t="n">
        <v>2</v>
      </c>
      <c r="I197" s="33" t="n">
        <v>0.0190476190476191</v>
      </c>
      <c r="J197" s="8" t="n">
        <v>1</v>
      </c>
      <c r="K197" s="11" t="n">
        <v>0.992063492063492</v>
      </c>
      <c r="L197" s="30" t="s">
        <v>152</v>
      </c>
      <c r="M197" s="30"/>
      <c r="N197" s="30" t="s">
        <v>152</v>
      </c>
    </row>
    <row r="198" customFormat="false" ht="15" hidden="false" customHeight="false" outlineLevel="0" collapsed="false">
      <c r="A198" s="30" t="s">
        <v>16</v>
      </c>
      <c r="B198" s="30" t="s">
        <v>196</v>
      </c>
      <c r="C198" s="30" t="s">
        <v>360</v>
      </c>
      <c r="D198" s="8" t="n">
        <v>999</v>
      </c>
      <c r="E198" s="9" t="n">
        <v>0.3991</v>
      </c>
      <c r="F198" s="25" t="n">
        <v>11</v>
      </c>
      <c r="G198" s="8" t="n">
        <v>55</v>
      </c>
      <c r="H198" s="8"/>
      <c r="I198" s="10"/>
      <c r="J198" s="8" t="n">
        <v>1</v>
      </c>
      <c r="K198" s="11" t="n">
        <v>1.001001001001</v>
      </c>
      <c r="L198" s="30"/>
      <c r="M198" s="30"/>
      <c r="N198" s="30"/>
    </row>
    <row r="199" customFormat="false" ht="15" hidden="false" customHeight="false" outlineLevel="0" collapsed="false">
      <c r="A199" s="30" t="s">
        <v>16</v>
      </c>
      <c r="B199" s="30" t="s">
        <v>159</v>
      </c>
      <c r="C199" s="26" t="s">
        <v>361</v>
      </c>
      <c r="D199" s="8" t="n">
        <v>982</v>
      </c>
      <c r="E199" s="9" t="n">
        <v>0.4361</v>
      </c>
      <c r="F199" s="25" t="n">
        <v>15</v>
      </c>
      <c r="G199" s="8" t="n">
        <v>95</v>
      </c>
      <c r="H199" s="8" t="n">
        <v>1</v>
      </c>
      <c r="I199" s="33" t="n">
        <v>0.0105263157894737</v>
      </c>
      <c r="J199" s="8" t="n">
        <v>1</v>
      </c>
      <c r="K199" s="11" t="n">
        <v>1.0183299389002</v>
      </c>
      <c r="L199" s="30" t="s">
        <v>152</v>
      </c>
      <c r="M199" s="30"/>
      <c r="N199" s="30"/>
    </row>
    <row r="200" customFormat="false" ht="15" hidden="false" customHeight="false" outlineLevel="0" collapsed="false">
      <c r="A200" s="30" t="s">
        <v>16</v>
      </c>
      <c r="B200" s="30" t="s">
        <v>245</v>
      </c>
      <c r="C200" s="26" t="s">
        <v>362</v>
      </c>
      <c r="D200" s="8" t="n">
        <v>951</v>
      </c>
      <c r="E200" s="9" t="n">
        <v>0.3886</v>
      </c>
      <c r="F200" s="25" t="n">
        <v>12</v>
      </c>
      <c r="G200" s="8" t="n">
        <v>470</v>
      </c>
      <c r="H200" s="8" t="n">
        <v>6</v>
      </c>
      <c r="I200" s="33" t="n">
        <v>0.0127659574468085</v>
      </c>
      <c r="J200" s="8" t="n">
        <v>1</v>
      </c>
      <c r="K200" s="11" t="n">
        <v>1.0515247108307</v>
      </c>
      <c r="L200" s="30" t="s">
        <v>152</v>
      </c>
      <c r="M200" s="30"/>
      <c r="N200" s="30"/>
    </row>
    <row r="201" customFormat="false" ht="15" hidden="false" customHeight="false" outlineLevel="0" collapsed="false">
      <c r="A201" s="30" t="s">
        <v>16</v>
      </c>
      <c r="B201" s="30" t="s">
        <v>188</v>
      </c>
      <c r="C201" s="26" t="s">
        <v>363</v>
      </c>
      <c r="D201" s="8" t="n">
        <v>948</v>
      </c>
      <c r="E201" s="9" t="n">
        <v>0.4876</v>
      </c>
      <c r="F201" s="25" t="n">
        <v>19</v>
      </c>
      <c r="G201" s="8" t="n">
        <v>953</v>
      </c>
      <c r="H201" s="8" t="n">
        <v>10</v>
      </c>
      <c r="I201" s="33" t="n">
        <v>0.0104931794333683</v>
      </c>
      <c r="J201" s="8" t="n">
        <v>1</v>
      </c>
      <c r="K201" s="11" t="n">
        <v>1.05485232067511</v>
      </c>
      <c r="L201" s="30" t="s">
        <v>152</v>
      </c>
      <c r="M201" s="30"/>
      <c r="N201" s="30"/>
    </row>
    <row r="202" customFormat="false" ht="15" hidden="false" customHeight="false" outlineLevel="0" collapsed="false">
      <c r="A202" s="30" t="s">
        <v>16</v>
      </c>
      <c r="B202" s="30" t="s">
        <v>220</v>
      </c>
      <c r="C202" s="26" t="s">
        <v>364</v>
      </c>
      <c r="D202" s="8" t="n">
        <v>932</v>
      </c>
      <c r="E202" s="9" t="n">
        <v>0.3971</v>
      </c>
      <c r="F202" s="25" t="n">
        <v>14</v>
      </c>
      <c r="G202" s="8" t="n">
        <v>56</v>
      </c>
      <c r="H202" s="8"/>
      <c r="I202" s="10"/>
      <c r="J202" s="8" t="n">
        <v>1</v>
      </c>
      <c r="K202" s="11" t="n">
        <v>1.07296137339056</v>
      </c>
      <c r="L202" s="30" t="s">
        <v>152</v>
      </c>
      <c r="M202" s="30"/>
      <c r="N202" s="30"/>
    </row>
    <row r="203" customFormat="false" ht="15" hidden="false" customHeight="false" outlineLevel="0" collapsed="false">
      <c r="A203" s="30" t="s">
        <v>16</v>
      </c>
      <c r="B203" s="30" t="s">
        <v>150</v>
      </c>
      <c r="C203" s="26" t="s">
        <v>365</v>
      </c>
      <c r="D203" s="8" t="n">
        <v>905</v>
      </c>
      <c r="E203" s="9" t="n">
        <v>0.4196</v>
      </c>
      <c r="F203" s="25" t="n">
        <v>15</v>
      </c>
      <c r="G203" s="8" t="n">
        <v>61</v>
      </c>
      <c r="H203" s="8"/>
      <c r="I203" s="10"/>
      <c r="J203" s="8" t="n">
        <v>1</v>
      </c>
      <c r="K203" s="11" t="n">
        <v>1.10497237569061</v>
      </c>
      <c r="L203" s="30"/>
      <c r="M203" s="30"/>
      <c r="N203" s="30"/>
    </row>
    <row r="204" customFormat="false" ht="15" hidden="false" customHeight="false" outlineLevel="0" collapsed="false">
      <c r="A204" s="30" t="s">
        <v>16</v>
      </c>
      <c r="B204" s="30" t="s">
        <v>133</v>
      </c>
      <c r="C204" s="30" t="s">
        <v>366</v>
      </c>
      <c r="D204" s="8" t="n">
        <v>903</v>
      </c>
      <c r="E204" s="9" t="n">
        <v>0.49</v>
      </c>
      <c r="F204" s="25" t="n">
        <v>17</v>
      </c>
      <c r="G204" s="8" t="n">
        <v>872</v>
      </c>
      <c r="H204" s="8" t="n">
        <v>18</v>
      </c>
      <c r="I204" s="33" t="n">
        <v>0.0206422018348624</v>
      </c>
      <c r="J204" s="8" t="n">
        <v>1</v>
      </c>
      <c r="K204" s="11" t="n">
        <v>1.10741971207088</v>
      </c>
      <c r="L204" s="30"/>
      <c r="M204" s="30"/>
      <c r="N204" s="30"/>
    </row>
    <row r="205" customFormat="false" ht="15" hidden="false" customHeight="false" outlineLevel="0" collapsed="false">
      <c r="A205" s="30" t="s">
        <v>16</v>
      </c>
      <c r="B205" s="30" t="s">
        <v>140</v>
      </c>
      <c r="C205" s="26" t="s">
        <v>367</v>
      </c>
      <c r="D205" s="8" t="n">
        <v>868</v>
      </c>
      <c r="E205" s="9" t="n">
        <v>0.5538</v>
      </c>
      <c r="F205" s="25" t="n">
        <v>11</v>
      </c>
      <c r="G205" s="8" t="n">
        <v>742</v>
      </c>
      <c r="H205" s="8" t="n">
        <v>4</v>
      </c>
      <c r="I205" s="32" t="n">
        <v>0.00539083557951483</v>
      </c>
      <c r="J205" s="8" t="n">
        <v>1</v>
      </c>
      <c r="K205" s="11" t="n">
        <v>1.15207373271889</v>
      </c>
      <c r="L205" s="30"/>
      <c r="M205" s="30"/>
      <c r="N205" s="30" t="s">
        <v>152</v>
      </c>
    </row>
    <row r="206" customFormat="false" ht="15" hidden="false" customHeight="false" outlineLevel="0" collapsed="false">
      <c r="A206" s="30" t="s">
        <v>16</v>
      </c>
      <c r="B206" s="30" t="s">
        <v>188</v>
      </c>
      <c r="C206" s="26" t="s">
        <v>368</v>
      </c>
      <c r="D206" s="8" t="n">
        <v>849</v>
      </c>
      <c r="E206" s="9" t="n">
        <v>0.6332</v>
      </c>
      <c r="F206" s="25" t="n">
        <v>22</v>
      </c>
      <c r="G206" s="8" t="n">
        <v>1219</v>
      </c>
      <c r="H206" s="8" t="n">
        <v>17</v>
      </c>
      <c r="I206" s="33" t="n">
        <v>0.0139458572600492</v>
      </c>
      <c r="J206" s="8" t="n">
        <v>1</v>
      </c>
      <c r="K206" s="11" t="n">
        <v>1.17785630153121</v>
      </c>
      <c r="L206" s="30" t="s">
        <v>152</v>
      </c>
      <c r="M206" s="30"/>
      <c r="N206" s="30"/>
    </row>
    <row r="207" customFormat="false" ht="15" hidden="false" customHeight="false" outlineLevel="0" collapsed="false">
      <c r="A207" s="30" t="s">
        <v>16</v>
      </c>
      <c r="B207" s="30" t="s">
        <v>200</v>
      </c>
      <c r="C207" s="26" t="s">
        <v>369</v>
      </c>
      <c r="D207" s="8" t="n">
        <v>833</v>
      </c>
      <c r="E207" s="9" t="n">
        <v>0.5857</v>
      </c>
      <c r="F207" s="25" t="n">
        <v>16</v>
      </c>
      <c r="G207" s="8" t="n">
        <v>46</v>
      </c>
      <c r="H207" s="8"/>
      <c r="I207" s="10"/>
      <c r="J207" s="8" t="n">
        <v>1</v>
      </c>
      <c r="K207" s="11" t="n">
        <v>1.20048019207683</v>
      </c>
      <c r="L207" s="30"/>
      <c r="M207" s="30"/>
      <c r="N207" s="30"/>
    </row>
    <row r="208" customFormat="false" ht="15" hidden="false" customHeight="false" outlineLevel="0" collapsed="false">
      <c r="A208" s="30" t="s">
        <v>16</v>
      </c>
      <c r="B208" s="30" t="s">
        <v>164</v>
      </c>
      <c r="C208" s="30" t="s">
        <v>370</v>
      </c>
      <c r="D208" s="8" t="n">
        <v>777</v>
      </c>
      <c r="E208" s="9" t="n">
        <v>0.4712</v>
      </c>
      <c r="F208" s="25" t="n">
        <v>14</v>
      </c>
      <c r="G208" s="8" t="n">
        <v>483</v>
      </c>
      <c r="H208" s="8" t="n">
        <v>3</v>
      </c>
      <c r="I208" s="32" t="n">
        <v>0.0062111801242236</v>
      </c>
      <c r="J208" s="8" t="n">
        <v>1</v>
      </c>
      <c r="K208" s="11" t="n">
        <v>1.28700128700129</v>
      </c>
      <c r="L208" s="30"/>
      <c r="M208" s="30"/>
      <c r="N208" s="30"/>
    </row>
    <row r="209" customFormat="false" ht="15" hidden="false" customHeight="false" outlineLevel="0" collapsed="false">
      <c r="A209" s="30" t="s">
        <v>16</v>
      </c>
      <c r="B209" s="30" t="s">
        <v>124</v>
      </c>
      <c r="C209" s="26" t="s">
        <v>371</v>
      </c>
      <c r="D209" s="8" t="n">
        <v>709</v>
      </c>
      <c r="E209" s="9" t="n">
        <v>1.1837</v>
      </c>
      <c r="F209" s="25" t="n">
        <v>41</v>
      </c>
      <c r="G209" s="8" t="n">
        <v>633</v>
      </c>
      <c r="H209" s="8" t="n">
        <v>2</v>
      </c>
      <c r="I209" s="32" t="n">
        <v>0.00315955766192733</v>
      </c>
      <c r="J209" s="8" t="n">
        <v>1</v>
      </c>
      <c r="K209" s="11" t="n">
        <v>1.41043723554302</v>
      </c>
      <c r="L209" s="30"/>
      <c r="M209" s="30"/>
      <c r="N209" s="30" t="s">
        <v>152</v>
      </c>
    </row>
    <row r="210" customFormat="false" ht="15" hidden="false" customHeight="false" outlineLevel="0" collapsed="false">
      <c r="A210" s="30" t="s">
        <v>16</v>
      </c>
      <c r="B210" s="30" t="s">
        <v>120</v>
      </c>
      <c r="C210" s="26" t="s">
        <v>372</v>
      </c>
      <c r="D210" s="8" t="n">
        <v>630</v>
      </c>
      <c r="E210" s="9" t="n">
        <v>0.4956</v>
      </c>
      <c r="F210" s="25" t="n">
        <v>20</v>
      </c>
      <c r="G210" s="8" t="n">
        <v>53</v>
      </c>
      <c r="H210" s="8"/>
      <c r="I210" s="10"/>
      <c r="J210" s="8" t="n">
        <v>1</v>
      </c>
      <c r="K210" s="11" t="n">
        <v>1.58730158730159</v>
      </c>
      <c r="L210" s="30"/>
      <c r="M210" s="30"/>
      <c r="N210" s="30"/>
    </row>
    <row r="211" customFormat="false" ht="15" hidden="false" customHeight="false" outlineLevel="0" collapsed="false">
      <c r="A211" s="30" t="s">
        <v>16</v>
      </c>
      <c r="B211" s="30" t="s">
        <v>190</v>
      </c>
      <c r="C211" s="26" t="s">
        <v>373</v>
      </c>
      <c r="D211" s="8" t="n">
        <v>352</v>
      </c>
      <c r="E211" s="9" t="n">
        <v>0.5062</v>
      </c>
      <c r="F211" s="25" t="n">
        <v>18</v>
      </c>
      <c r="G211" s="8" t="n">
        <v>62</v>
      </c>
      <c r="H211" s="8"/>
      <c r="I211" s="10"/>
      <c r="J211" s="8" t="n">
        <v>1</v>
      </c>
      <c r="K211" s="11" t="n">
        <v>2.84090909090909</v>
      </c>
      <c r="L211" s="30" t="s">
        <v>152</v>
      </c>
      <c r="M211" s="30" t="s">
        <v>152</v>
      </c>
      <c r="N211" s="30" t="s">
        <v>152</v>
      </c>
    </row>
    <row r="212" customFormat="false" ht="15" hidden="false" customHeight="false" outlineLevel="0" collapsed="false">
      <c r="A212" s="30" t="s">
        <v>16</v>
      </c>
      <c r="B212" s="30" t="s">
        <v>374</v>
      </c>
      <c r="C212" s="30" t="s">
        <v>375</v>
      </c>
      <c r="D212" s="8" t="n">
        <v>325</v>
      </c>
      <c r="E212" s="9" t="n">
        <v>0.6078</v>
      </c>
      <c r="F212" s="25" t="n">
        <v>11</v>
      </c>
      <c r="G212" s="8" t="n">
        <v>333</v>
      </c>
      <c r="H212" s="8" t="n">
        <v>4</v>
      </c>
      <c r="I212" s="33" t="n">
        <v>0.012012012012012</v>
      </c>
      <c r="J212" s="8" t="n">
        <v>1</v>
      </c>
      <c r="K212" s="11" t="n">
        <v>3.07692307692308</v>
      </c>
      <c r="L212" s="30" t="s">
        <v>152</v>
      </c>
      <c r="M212" s="30" t="s">
        <v>152</v>
      </c>
      <c r="N212" s="30" t="s">
        <v>152</v>
      </c>
    </row>
    <row r="213" customFormat="false" ht="15" hidden="false" customHeight="false" outlineLevel="0" collapsed="false">
      <c r="A213" s="30" t="s">
        <v>16</v>
      </c>
      <c r="B213" s="30" t="s">
        <v>222</v>
      </c>
      <c r="C213" s="26" t="s">
        <v>376</v>
      </c>
      <c r="D213" s="8" t="n">
        <v>62</v>
      </c>
      <c r="E213" s="9" t="n">
        <v>0.3471</v>
      </c>
      <c r="F213" s="25" t="n">
        <v>14</v>
      </c>
      <c r="G213" s="8" t="n">
        <v>843</v>
      </c>
      <c r="H213" s="8" t="n">
        <v>9</v>
      </c>
      <c r="I213" s="33" t="n">
        <v>0.0106761565836299</v>
      </c>
      <c r="J213" s="8" t="n">
        <v>1</v>
      </c>
      <c r="K213" s="11" t="n">
        <v>16.1290322580645</v>
      </c>
      <c r="L213" s="30" t="s">
        <v>152</v>
      </c>
      <c r="M213" s="30"/>
      <c r="N213" s="30"/>
    </row>
    <row r="214" customFormat="false" ht="15" hidden="false" customHeight="false" outlineLevel="0" collapsed="false">
      <c r="A214" s="30" t="s">
        <v>16</v>
      </c>
      <c r="B214" s="30" t="s">
        <v>159</v>
      </c>
      <c r="C214" s="30" t="s">
        <v>377</v>
      </c>
      <c r="D214" s="8" t="n">
        <v>41</v>
      </c>
      <c r="E214" s="9" t="n">
        <v>0.509</v>
      </c>
      <c r="F214" s="25" t="n">
        <v>18</v>
      </c>
      <c r="G214" s="8" t="n">
        <v>54</v>
      </c>
      <c r="H214" s="8"/>
      <c r="I214" s="10"/>
      <c r="J214" s="8" t="n">
        <v>1</v>
      </c>
      <c r="K214" s="11" t="n">
        <v>24.390243902439</v>
      </c>
      <c r="L214" s="30" t="s">
        <v>152</v>
      </c>
      <c r="M214" s="30"/>
      <c r="N214" s="30"/>
    </row>
    <row r="215" customFormat="false" ht="15" hidden="false" customHeight="false" outlineLevel="0" collapsed="false">
      <c r="A215" s="30" t="s">
        <v>16</v>
      </c>
      <c r="B215" s="30" t="s">
        <v>171</v>
      </c>
      <c r="C215" s="26" t="s">
        <v>378</v>
      </c>
      <c r="D215" s="8" t="n">
        <v>1286</v>
      </c>
      <c r="E215" s="9" t="n">
        <v>0.5242</v>
      </c>
      <c r="F215" s="25" t="n">
        <v>17</v>
      </c>
      <c r="G215" s="8" t="n">
        <v>169</v>
      </c>
      <c r="H215" s="8" t="n">
        <v>2</v>
      </c>
      <c r="I215" s="33" t="n">
        <v>0.0118343195266272</v>
      </c>
      <c r="J215" s="8" t="n">
        <v>0</v>
      </c>
      <c r="K215" s="11" t="n">
        <v>0</v>
      </c>
      <c r="L215" s="30" t="s">
        <v>152</v>
      </c>
      <c r="M215" s="30"/>
      <c r="N215" s="30"/>
    </row>
    <row r="216" customFormat="false" ht="15" hidden="false" customHeight="false" outlineLevel="0" collapsed="false">
      <c r="A216" s="30" t="s">
        <v>16</v>
      </c>
      <c r="B216" s="30" t="s">
        <v>266</v>
      </c>
      <c r="C216" s="26" t="s">
        <v>379</v>
      </c>
      <c r="D216" s="8" t="n">
        <v>1226</v>
      </c>
      <c r="E216" s="9" t="n">
        <v>0.5208</v>
      </c>
      <c r="F216" s="25" t="n">
        <v>14</v>
      </c>
      <c r="G216" s="8" t="n">
        <v>40</v>
      </c>
      <c r="H216" s="8"/>
      <c r="I216" s="10"/>
      <c r="J216" s="8" t="n">
        <v>0</v>
      </c>
      <c r="K216" s="11" t="n">
        <v>0</v>
      </c>
      <c r="L216" s="30" t="s">
        <v>152</v>
      </c>
      <c r="M216" s="30"/>
      <c r="N216" s="30" t="s">
        <v>152</v>
      </c>
    </row>
    <row r="217" customFormat="false" ht="15" hidden="false" customHeight="false" outlineLevel="0" collapsed="false">
      <c r="A217" s="30" t="s">
        <v>16</v>
      </c>
      <c r="B217" s="30" t="s">
        <v>124</v>
      </c>
      <c r="C217" s="26" t="s">
        <v>380</v>
      </c>
      <c r="D217" s="8" t="n">
        <v>1209</v>
      </c>
      <c r="E217" s="9" t="n">
        <v>0.4669</v>
      </c>
      <c r="F217" s="25" t="n">
        <v>17</v>
      </c>
      <c r="G217" s="8" t="n">
        <v>855</v>
      </c>
      <c r="H217" s="8" t="n">
        <v>10</v>
      </c>
      <c r="I217" s="33" t="n">
        <v>0.0116959064327485</v>
      </c>
      <c r="J217" s="8" t="n">
        <v>0</v>
      </c>
      <c r="K217" s="11" t="n">
        <v>0</v>
      </c>
      <c r="L217" s="30" t="s">
        <v>152</v>
      </c>
      <c r="M217" s="30"/>
      <c r="N217" s="30" t="s">
        <v>152</v>
      </c>
    </row>
    <row r="218" customFormat="false" ht="15" hidden="false" customHeight="false" outlineLevel="0" collapsed="false">
      <c r="A218" s="30" t="s">
        <v>16</v>
      </c>
      <c r="B218" s="30" t="s">
        <v>211</v>
      </c>
      <c r="C218" s="26" t="s">
        <v>381</v>
      </c>
      <c r="D218" s="8" t="n">
        <v>1207</v>
      </c>
      <c r="E218" s="9" t="n">
        <v>0.5987</v>
      </c>
      <c r="F218" s="25" t="n">
        <v>23</v>
      </c>
      <c r="G218" s="8" t="n">
        <v>51</v>
      </c>
      <c r="H218" s="8"/>
      <c r="I218" s="10"/>
      <c r="J218" s="8" t="n">
        <v>0</v>
      </c>
      <c r="K218" s="11" t="n">
        <v>0</v>
      </c>
      <c r="L218" s="30" t="s">
        <v>152</v>
      </c>
      <c r="M218" s="30"/>
      <c r="N218" s="30"/>
    </row>
    <row r="219" customFormat="false" ht="15" hidden="false" customHeight="false" outlineLevel="0" collapsed="false">
      <c r="A219" s="30" t="s">
        <v>16</v>
      </c>
      <c r="B219" s="30" t="s">
        <v>144</v>
      </c>
      <c r="C219" s="30" t="s">
        <v>382</v>
      </c>
      <c r="D219" s="8" t="n">
        <v>1139</v>
      </c>
      <c r="E219" s="9" t="n">
        <v>0.5368</v>
      </c>
      <c r="F219" s="25" t="n">
        <v>12</v>
      </c>
      <c r="G219" s="8" t="n">
        <v>97</v>
      </c>
      <c r="H219" s="8" t="n">
        <v>2</v>
      </c>
      <c r="I219" s="33" t="n">
        <v>0.0206185567010309</v>
      </c>
      <c r="J219" s="8" t="n">
        <v>0</v>
      </c>
      <c r="K219" s="11" t="n">
        <v>0</v>
      </c>
      <c r="L219" s="30" t="s">
        <v>152</v>
      </c>
      <c r="M219" s="30" t="s">
        <v>152</v>
      </c>
      <c r="N219" s="30" t="s">
        <v>152</v>
      </c>
    </row>
    <row r="220" customFormat="false" ht="15" hidden="false" customHeight="false" outlineLevel="0" collapsed="false">
      <c r="A220" s="30" t="s">
        <v>16</v>
      </c>
      <c r="B220" s="30" t="s">
        <v>118</v>
      </c>
      <c r="C220" s="30" t="s">
        <v>383</v>
      </c>
      <c r="D220" s="8" t="n">
        <v>1129</v>
      </c>
      <c r="E220" s="9" t="n">
        <v>0.5293</v>
      </c>
      <c r="F220" s="25" t="n">
        <v>14</v>
      </c>
      <c r="G220" s="8" t="n">
        <v>430</v>
      </c>
      <c r="H220" s="8" t="n">
        <v>4</v>
      </c>
      <c r="I220" s="32" t="n">
        <v>0.00930232558139535</v>
      </c>
      <c r="J220" s="8" t="n">
        <v>0</v>
      </c>
      <c r="K220" s="11" t="n">
        <v>0</v>
      </c>
      <c r="L220" s="30" t="s">
        <v>152</v>
      </c>
      <c r="M220" s="30"/>
      <c r="N220" s="30"/>
    </row>
    <row r="221" customFormat="false" ht="15" hidden="false" customHeight="false" outlineLevel="0" collapsed="false">
      <c r="A221" s="30" t="s">
        <v>16</v>
      </c>
      <c r="B221" s="30" t="s">
        <v>206</v>
      </c>
      <c r="C221" s="26" t="s">
        <v>384</v>
      </c>
      <c r="D221" s="8" t="n">
        <v>1121</v>
      </c>
      <c r="E221" s="9" t="n">
        <v>0.4356</v>
      </c>
      <c r="F221" s="25" t="n">
        <v>15</v>
      </c>
      <c r="G221" s="8" t="n">
        <v>267</v>
      </c>
      <c r="H221" s="8" t="n">
        <v>4</v>
      </c>
      <c r="I221" s="33" t="n">
        <v>0.0149812734082397</v>
      </c>
      <c r="J221" s="8" t="n">
        <v>0</v>
      </c>
      <c r="K221" s="11" t="n">
        <v>0</v>
      </c>
      <c r="L221" s="30" t="s">
        <v>152</v>
      </c>
      <c r="M221" s="30"/>
      <c r="N221" s="30"/>
    </row>
    <row r="222" customFormat="false" ht="15" hidden="false" customHeight="false" outlineLevel="0" collapsed="false">
      <c r="A222" s="30" t="s">
        <v>16</v>
      </c>
      <c r="B222" s="30" t="s">
        <v>266</v>
      </c>
      <c r="C222" s="30" t="s">
        <v>385</v>
      </c>
      <c r="D222" s="8" t="n">
        <v>1113</v>
      </c>
      <c r="E222" s="9" t="n">
        <v>0.4332</v>
      </c>
      <c r="F222" s="25" t="n">
        <v>17</v>
      </c>
      <c r="G222" s="8" t="n">
        <v>68</v>
      </c>
      <c r="H222" s="8"/>
      <c r="I222" s="10"/>
      <c r="J222" s="8" t="n">
        <v>0</v>
      </c>
      <c r="K222" s="11" t="n">
        <v>0</v>
      </c>
      <c r="L222" s="30" t="s">
        <v>152</v>
      </c>
      <c r="M222" s="30"/>
      <c r="N222" s="30"/>
    </row>
    <row r="223" customFormat="false" ht="15" hidden="false" customHeight="false" outlineLevel="0" collapsed="false">
      <c r="A223" s="30" t="s">
        <v>16</v>
      </c>
      <c r="B223" s="30" t="s">
        <v>213</v>
      </c>
      <c r="C223" s="26" t="s">
        <v>386</v>
      </c>
      <c r="D223" s="8" t="n">
        <v>1109</v>
      </c>
      <c r="E223" s="9" t="n">
        <v>0.511</v>
      </c>
      <c r="F223" s="25" t="n">
        <v>16</v>
      </c>
      <c r="G223" s="8" t="n">
        <v>484</v>
      </c>
      <c r="H223" s="8" t="n">
        <v>10</v>
      </c>
      <c r="I223" s="33" t="n">
        <v>0.0206611570247934</v>
      </c>
      <c r="J223" s="8" t="n">
        <v>0</v>
      </c>
      <c r="K223" s="11" t="n">
        <v>0</v>
      </c>
      <c r="L223" s="30" t="s">
        <v>152</v>
      </c>
      <c r="M223" s="30"/>
      <c r="N223" s="30"/>
    </row>
    <row r="224" customFormat="false" ht="15" hidden="false" customHeight="false" outlineLevel="0" collapsed="false">
      <c r="A224" s="30" t="s">
        <v>16</v>
      </c>
      <c r="B224" s="30" t="s">
        <v>225</v>
      </c>
      <c r="C224" s="26" t="s">
        <v>387</v>
      </c>
      <c r="D224" s="8" t="n">
        <v>1098</v>
      </c>
      <c r="E224" s="9" t="n">
        <v>0.445</v>
      </c>
      <c r="F224" s="25" t="n">
        <v>14</v>
      </c>
      <c r="G224" s="8" t="n">
        <v>374</v>
      </c>
      <c r="H224" s="8" t="n">
        <v>8</v>
      </c>
      <c r="I224" s="33" t="n">
        <v>0.0213903743315508</v>
      </c>
      <c r="J224" s="8" t="n">
        <v>0</v>
      </c>
      <c r="K224" s="11" t="n">
        <v>0</v>
      </c>
      <c r="L224" s="30" t="s">
        <v>152</v>
      </c>
      <c r="M224" s="30"/>
      <c r="N224" s="30"/>
    </row>
    <row r="225" customFormat="false" ht="15" hidden="false" customHeight="false" outlineLevel="0" collapsed="false">
      <c r="A225" s="30" t="s">
        <v>16</v>
      </c>
      <c r="B225" s="30" t="s">
        <v>150</v>
      </c>
      <c r="C225" s="26" t="s">
        <v>388</v>
      </c>
      <c r="D225" s="8" t="n">
        <v>1084</v>
      </c>
      <c r="E225" s="9" t="n">
        <v>0.4259</v>
      </c>
      <c r="F225" s="25" t="n">
        <v>11</v>
      </c>
      <c r="G225" s="8" t="n">
        <v>40</v>
      </c>
      <c r="H225" s="8"/>
      <c r="I225" s="10"/>
      <c r="J225" s="8" t="n">
        <v>0</v>
      </c>
      <c r="K225" s="11" t="n">
        <v>0</v>
      </c>
      <c r="L225" s="30" t="s">
        <v>152</v>
      </c>
      <c r="M225" s="30"/>
      <c r="N225" s="30"/>
    </row>
    <row r="226" customFormat="false" ht="15" hidden="false" customHeight="false" outlineLevel="0" collapsed="false">
      <c r="A226" s="30" t="s">
        <v>16</v>
      </c>
      <c r="B226" s="30" t="s">
        <v>255</v>
      </c>
      <c r="C226" s="26" t="s">
        <v>389</v>
      </c>
      <c r="D226" s="8" t="n">
        <v>1083</v>
      </c>
      <c r="E226" s="9" t="n">
        <v>0.4286</v>
      </c>
      <c r="F226" s="25" t="n">
        <v>15</v>
      </c>
      <c r="G226" s="8" t="n">
        <v>1726</v>
      </c>
      <c r="H226" s="8" t="n">
        <v>25</v>
      </c>
      <c r="I226" s="33" t="n">
        <v>0.0144843568945539</v>
      </c>
      <c r="J226" s="8" t="n">
        <v>0</v>
      </c>
      <c r="K226" s="11" t="n">
        <v>0</v>
      </c>
      <c r="L226" s="30" t="s">
        <v>152</v>
      </c>
      <c r="M226" s="30"/>
      <c r="N226" s="30" t="s">
        <v>152</v>
      </c>
    </row>
    <row r="227" customFormat="false" ht="15" hidden="false" customHeight="false" outlineLevel="0" collapsed="false">
      <c r="A227" s="30" t="s">
        <v>16</v>
      </c>
      <c r="B227" s="30" t="s">
        <v>122</v>
      </c>
      <c r="C227" s="30" t="s">
        <v>390</v>
      </c>
      <c r="D227" s="8" t="n">
        <v>1071</v>
      </c>
      <c r="E227" s="9" t="n">
        <v>0.8657</v>
      </c>
      <c r="F227" s="25" t="n">
        <v>25</v>
      </c>
      <c r="G227" s="8" t="n">
        <v>410</v>
      </c>
      <c r="H227" s="8" t="n">
        <v>6</v>
      </c>
      <c r="I227" s="33" t="n">
        <v>0.0146341463414634</v>
      </c>
      <c r="J227" s="8" t="n">
        <v>0</v>
      </c>
      <c r="K227" s="11" t="n">
        <v>0</v>
      </c>
      <c r="L227" s="30" t="s">
        <v>152</v>
      </c>
      <c r="M227" s="30"/>
      <c r="N227" s="30"/>
    </row>
    <row r="228" customFormat="false" ht="15" hidden="false" customHeight="false" outlineLevel="0" collapsed="false">
      <c r="A228" s="30" t="s">
        <v>16</v>
      </c>
      <c r="B228" s="30" t="s">
        <v>255</v>
      </c>
      <c r="C228" s="26" t="s">
        <v>391</v>
      </c>
      <c r="D228" s="8" t="n">
        <v>1035</v>
      </c>
      <c r="E228" s="9" t="n">
        <v>0.5601</v>
      </c>
      <c r="F228" s="25" t="n">
        <v>20</v>
      </c>
      <c r="G228" s="8" t="n">
        <v>1472</v>
      </c>
      <c r="H228" s="8" t="n">
        <v>19</v>
      </c>
      <c r="I228" s="33" t="n">
        <v>0.0129076086956522</v>
      </c>
      <c r="J228" s="8" t="n">
        <v>0</v>
      </c>
      <c r="K228" s="11" t="n">
        <v>0</v>
      </c>
      <c r="L228" s="30" t="s">
        <v>152</v>
      </c>
      <c r="M228" s="30"/>
      <c r="N228" s="30"/>
    </row>
    <row r="229" customFormat="false" ht="15" hidden="false" customHeight="false" outlineLevel="0" collapsed="false">
      <c r="A229" s="30" t="s">
        <v>16</v>
      </c>
      <c r="B229" s="30" t="s">
        <v>150</v>
      </c>
      <c r="C229" s="26" t="s">
        <v>392</v>
      </c>
      <c r="D229" s="8" t="n">
        <v>1016</v>
      </c>
      <c r="E229" s="9" t="n">
        <v>0.4098</v>
      </c>
      <c r="F229" s="25" t="n">
        <v>11</v>
      </c>
      <c r="G229" s="8" t="n">
        <v>44</v>
      </c>
      <c r="H229" s="8"/>
      <c r="I229" s="10"/>
      <c r="J229" s="8" t="n">
        <v>0</v>
      </c>
      <c r="K229" s="11" t="n">
        <v>0</v>
      </c>
      <c r="L229" s="30" t="s">
        <v>152</v>
      </c>
      <c r="M229" s="30"/>
      <c r="N229" s="30" t="s">
        <v>152</v>
      </c>
    </row>
    <row r="230" customFormat="false" ht="15" hidden="false" customHeight="false" outlineLevel="0" collapsed="false">
      <c r="A230" s="30" t="s">
        <v>16</v>
      </c>
      <c r="B230" s="30" t="s">
        <v>148</v>
      </c>
      <c r="C230" s="26" t="s">
        <v>393</v>
      </c>
      <c r="D230" s="8" t="n">
        <v>1010</v>
      </c>
      <c r="E230" s="9" t="n">
        <v>0.3873</v>
      </c>
      <c r="F230" s="25" t="n">
        <v>15</v>
      </c>
      <c r="G230" s="8" t="n">
        <v>45</v>
      </c>
      <c r="H230" s="8"/>
      <c r="I230" s="10"/>
      <c r="J230" s="8" t="n">
        <v>0</v>
      </c>
      <c r="K230" s="11" t="n">
        <v>0</v>
      </c>
      <c r="L230" s="30" t="s">
        <v>152</v>
      </c>
      <c r="M230" s="30"/>
      <c r="N230" s="30"/>
    </row>
    <row r="231" customFormat="false" ht="15" hidden="false" customHeight="false" outlineLevel="0" collapsed="false">
      <c r="A231" s="30" t="s">
        <v>16</v>
      </c>
      <c r="B231" s="30" t="s">
        <v>188</v>
      </c>
      <c r="C231" s="26" t="s">
        <v>394</v>
      </c>
      <c r="D231" s="8" t="n">
        <v>1006</v>
      </c>
      <c r="E231" s="9" t="n">
        <v>0.4974</v>
      </c>
      <c r="F231" s="25" t="n">
        <v>18</v>
      </c>
      <c r="G231" s="8" t="n">
        <v>1290</v>
      </c>
      <c r="H231" s="8" t="n">
        <v>9</v>
      </c>
      <c r="I231" s="32" t="n">
        <v>0.00697674418604651</v>
      </c>
      <c r="J231" s="8" t="n">
        <v>0</v>
      </c>
      <c r="K231" s="11" t="n">
        <v>0</v>
      </c>
      <c r="L231" s="30" t="s">
        <v>152</v>
      </c>
      <c r="M231" s="30" t="s">
        <v>152</v>
      </c>
      <c r="N231" s="30"/>
    </row>
    <row r="232" customFormat="false" ht="15" hidden="false" customHeight="false" outlineLevel="0" collapsed="false">
      <c r="A232" s="30" t="s">
        <v>16</v>
      </c>
      <c r="B232" s="30" t="s">
        <v>220</v>
      </c>
      <c r="C232" s="26" t="s">
        <v>395</v>
      </c>
      <c r="D232" s="8" t="n">
        <v>1003</v>
      </c>
      <c r="E232" s="9" t="n">
        <v>0.5101</v>
      </c>
      <c r="F232" s="25" t="n">
        <v>17</v>
      </c>
      <c r="G232" s="8" t="n">
        <v>141</v>
      </c>
      <c r="H232" s="8" t="n">
        <v>2</v>
      </c>
      <c r="I232" s="33" t="n">
        <v>0.0141843971631206</v>
      </c>
      <c r="J232" s="8" t="n">
        <v>0</v>
      </c>
      <c r="K232" s="11" t="n">
        <v>0</v>
      </c>
      <c r="L232" s="30" t="s">
        <v>152</v>
      </c>
      <c r="M232" s="30"/>
      <c r="N232" s="30" t="s">
        <v>152</v>
      </c>
    </row>
    <row r="233" customFormat="false" ht="15" hidden="false" customHeight="false" outlineLevel="0" collapsed="false">
      <c r="A233" s="30" t="s">
        <v>16</v>
      </c>
      <c r="B233" s="30" t="s">
        <v>185</v>
      </c>
      <c r="C233" s="26" t="s">
        <v>396</v>
      </c>
      <c r="D233" s="8" t="n">
        <v>1003</v>
      </c>
      <c r="E233" s="9" t="n">
        <v>0.4723</v>
      </c>
      <c r="F233" s="25" t="n">
        <v>16</v>
      </c>
      <c r="G233" s="8" t="n">
        <v>957</v>
      </c>
      <c r="H233" s="8" t="n">
        <v>11</v>
      </c>
      <c r="I233" s="33" t="n">
        <v>0.0114942528735632</v>
      </c>
      <c r="J233" s="8" t="n">
        <v>0</v>
      </c>
      <c r="K233" s="11" t="n">
        <v>0</v>
      </c>
      <c r="L233" s="30" t="s">
        <v>152</v>
      </c>
      <c r="M233" s="30"/>
      <c r="N233" s="30"/>
    </row>
    <row r="234" customFormat="false" ht="15" hidden="false" customHeight="false" outlineLevel="0" collapsed="false">
      <c r="A234" s="30" t="s">
        <v>16</v>
      </c>
      <c r="B234" s="30" t="s">
        <v>200</v>
      </c>
      <c r="C234" s="30" t="s">
        <v>397</v>
      </c>
      <c r="D234" s="8" t="n">
        <v>997</v>
      </c>
      <c r="E234" s="9" t="n">
        <v>0.4636</v>
      </c>
      <c r="F234" s="25" t="n">
        <v>18</v>
      </c>
      <c r="G234" s="8" t="n">
        <v>44</v>
      </c>
      <c r="H234" s="8"/>
      <c r="I234" s="10"/>
      <c r="J234" s="8" t="n">
        <v>0</v>
      </c>
      <c r="K234" s="11" t="n">
        <v>0</v>
      </c>
      <c r="L234" s="30" t="s">
        <v>152</v>
      </c>
      <c r="M234" s="30"/>
      <c r="N234" s="30"/>
    </row>
    <row r="235" customFormat="false" ht="15" hidden="false" customHeight="false" outlineLevel="0" collapsed="false">
      <c r="A235" s="30" t="s">
        <v>16</v>
      </c>
      <c r="B235" s="30" t="s">
        <v>142</v>
      </c>
      <c r="C235" s="30" t="s">
        <v>398</v>
      </c>
      <c r="D235" s="8" t="n">
        <v>969</v>
      </c>
      <c r="E235" s="9" t="n">
        <v>0.6183</v>
      </c>
      <c r="F235" s="25" t="n">
        <v>19</v>
      </c>
      <c r="G235" s="8" t="n">
        <v>60</v>
      </c>
      <c r="H235" s="8"/>
      <c r="I235" s="10"/>
      <c r="J235" s="8" t="n">
        <v>0</v>
      </c>
      <c r="K235" s="11" t="n">
        <v>0</v>
      </c>
      <c r="L235" s="30" t="s">
        <v>152</v>
      </c>
      <c r="M235" s="30"/>
      <c r="N235" s="30"/>
    </row>
    <row r="236" customFormat="false" ht="15" hidden="false" customHeight="false" outlineLevel="0" collapsed="false">
      <c r="A236" s="30" t="s">
        <v>16</v>
      </c>
      <c r="B236" s="30" t="s">
        <v>115</v>
      </c>
      <c r="C236" s="30" t="s">
        <v>399</v>
      </c>
      <c r="D236" s="8" t="n">
        <v>961</v>
      </c>
      <c r="E236" s="9" t="n">
        <v>0.4586</v>
      </c>
      <c r="F236" s="25" t="n">
        <v>14</v>
      </c>
      <c r="G236" s="8" t="n">
        <v>649</v>
      </c>
      <c r="H236" s="8" t="n">
        <v>8</v>
      </c>
      <c r="I236" s="33" t="n">
        <v>0.012326656394453</v>
      </c>
      <c r="J236" s="8" t="n">
        <v>0</v>
      </c>
      <c r="K236" s="11" t="n">
        <v>0</v>
      </c>
      <c r="L236" s="30" t="s">
        <v>152</v>
      </c>
      <c r="M236" s="30"/>
      <c r="N236" s="30"/>
    </row>
    <row r="237" customFormat="false" ht="15" hidden="false" customHeight="false" outlineLevel="0" collapsed="false">
      <c r="A237" s="30" t="s">
        <v>16</v>
      </c>
      <c r="B237" s="30" t="s">
        <v>155</v>
      </c>
      <c r="C237" s="26" t="s">
        <v>400</v>
      </c>
      <c r="D237" s="8" t="n">
        <v>959</v>
      </c>
      <c r="E237" s="9" t="n">
        <v>0.5156</v>
      </c>
      <c r="F237" s="25" t="n">
        <v>13</v>
      </c>
      <c r="G237" s="8" t="n">
        <v>25</v>
      </c>
      <c r="H237" s="8"/>
      <c r="I237" s="10"/>
      <c r="J237" s="8" t="n">
        <v>0</v>
      </c>
      <c r="K237" s="11" t="n">
        <v>0</v>
      </c>
      <c r="L237" s="30"/>
      <c r="M237" s="30" t="s">
        <v>152</v>
      </c>
      <c r="N237" s="30"/>
    </row>
    <row r="238" customFormat="false" ht="15" hidden="false" customHeight="false" outlineLevel="0" collapsed="false">
      <c r="A238" s="30" t="s">
        <v>16</v>
      </c>
      <c r="B238" s="30" t="s">
        <v>225</v>
      </c>
      <c r="C238" s="26" t="s">
        <v>401</v>
      </c>
      <c r="D238" s="8" t="n">
        <v>949</v>
      </c>
      <c r="E238" s="9" t="n">
        <v>0.453</v>
      </c>
      <c r="F238" s="25" t="n">
        <v>16</v>
      </c>
      <c r="G238" s="8" t="n">
        <v>77</v>
      </c>
      <c r="H238" s="8"/>
      <c r="I238" s="10"/>
      <c r="J238" s="8" t="n">
        <v>0</v>
      </c>
      <c r="K238" s="11" t="n">
        <v>0</v>
      </c>
      <c r="L238" s="30"/>
      <c r="M238" s="30"/>
      <c r="N238" s="30" t="s">
        <v>152</v>
      </c>
    </row>
    <row r="239" customFormat="false" ht="15" hidden="false" customHeight="false" outlineLevel="0" collapsed="false">
      <c r="A239" s="30" t="s">
        <v>16</v>
      </c>
      <c r="B239" s="30" t="s">
        <v>126</v>
      </c>
      <c r="C239" s="30" t="s">
        <v>402</v>
      </c>
      <c r="D239" s="8" t="n">
        <v>922</v>
      </c>
      <c r="E239" s="9" t="n">
        <v>0.5126</v>
      </c>
      <c r="F239" s="25" t="n">
        <v>15</v>
      </c>
      <c r="G239" s="8" t="n">
        <v>287</v>
      </c>
      <c r="H239" s="8" t="n">
        <v>6</v>
      </c>
      <c r="I239" s="33" t="n">
        <v>0.0209059233449477</v>
      </c>
      <c r="J239" s="8" t="n">
        <v>0</v>
      </c>
      <c r="K239" s="11" t="n">
        <v>0</v>
      </c>
      <c r="L239" s="30"/>
      <c r="M239" s="30"/>
      <c r="N239" s="30"/>
    </row>
    <row r="240" customFormat="false" ht="15" hidden="false" customHeight="false" outlineLevel="0" collapsed="false">
      <c r="A240" s="30" t="s">
        <v>16</v>
      </c>
      <c r="B240" s="30" t="s">
        <v>126</v>
      </c>
      <c r="C240" s="30" t="s">
        <v>403</v>
      </c>
      <c r="D240" s="8" t="n">
        <v>874</v>
      </c>
      <c r="E240" s="9" t="n">
        <v>0.5188</v>
      </c>
      <c r="F240" s="25" t="n">
        <v>15</v>
      </c>
      <c r="G240" s="8" t="n">
        <v>548</v>
      </c>
      <c r="H240" s="8" t="n">
        <v>5</v>
      </c>
      <c r="I240" s="32" t="n">
        <v>0.00912408759124088</v>
      </c>
      <c r="J240" s="8" t="n">
        <v>0</v>
      </c>
      <c r="K240" s="11" t="n">
        <v>0</v>
      </c>
      <c r="L240" s="30" t="s">
        <v>152</v>
      </c>
      <c r="M240" s="30"/>
      <c r="N240" s="30"/>
    </row>
    <row r="241" customFormat="false" ht="15" hidden="false" customHeight="false" outlineLevel="0" collapsed="false">
      <c r="A241" s="30" t="s">
        <v>16</v>
      </c>
      <c r="B241" s="30" t="s">
        <v>272</v>
      </c>
      <c r="C241" s="26" t="s">
        <v>404</v>
      </c>
      <c r="D241" s="8" t="n">
        <v>854</v>
      </c>
      <c r="E241" s="9" t="n">
        <v>0.3657</v>
      </c>
      <c r="F241" s="25" t="n">
        <v>13</v>
      </c>
      <c r="G241" s="8" t="n">
        <v>185</v>
      </c>
      <c r="H241" s="8" t="n">
        <v>2</v>
      </c>
      <c r="I241" s="33" t="n">
        <v>0.0108108108108108</v>
      </c>
      <c r="J241" s="8" t="n">
        <v>0</v>
      </c>
      <c r="K241" s="11" t="n">
        <v>0</v>
      </c>
      <c r="L241" s="30" t="s">
        <v>152</v>
      </c>
      <c r="M241" s="30"/>
      <c r="N241" s="30"/>
    </row>
    <row r="242" customFormat="false" ht="15" hidden="false" customHeight="false" outlineLevel="0" collapsed="false">
      <c r="A242" s="30" t="s">
        <v>16</v>
      </c>
      <c r="B242" s="30" t="s">
        <v>140</v>
      </c>
      <c r="C242" s="26" t="s">
        <v>405</v>
      </c>
      <c r="D242" s="8" t="n">
        <v>839</v>
      </c>
      <c r="E242" s="9" t="n">
        <v>0.724</v>
      </c>
      <c r="F242" s="25" t="n">
        <v>25</v>
      </c>
      <c r="G242" s="8" t="n">
        <v>229</v>
      </c>
      <c r="H242" s="8" t="n">
        <v>2</v>
      </c>
      <c r="I242" s="32" t="n">
        <v>0.00873362445414847</v>
      </c>
      <c r="J242" s="8" t="n">
        <v>0</v>
      </c>
      <c r="K242" s="11" t="n">
        <v>0</v>
      </c>
      <c r="L242" s="30" t="s">
        <v>152</v>
      </c>
      <c r="M242" s="30"/>
      <c r="N242" s="30" t="s">
        <v>152</v>
      </c>
    </row>
    <row r="243" customFormat="false" ht="15" hidden="false" customHeight="false" outlineLevel="0" collapsed="false">
      <c r="A243" s="30" t="s">
        <v>16</v>
      </c>
      <c r="B243" s="30" t="s">
        <v>124</v>
      </c>
      <c r="C243" s="26" t="s">
        <v>406</v>
      </c>
      <c r="D243" s="8" t="n">
        <v>811</v>
      </c>
      <c r="E243" s="9" t="n">
        <v>0.4979</v>
      </c>
      <c r="F243" s="25" t="n">
        <v>17</v>
      </c>
      <c r="G243" s="8" t="n">
        <v>627</v>
      </c>
      <c r="H243" s="8" t="n">
        <v>10</v>
      </c>
      <c r="I243" s="33" t="n">
        <v>0.0159489633173844</v>
      </c>
      <c r="J243" s="8" t="n">
        <v>0</v>
      </c>
      <c r="K243" s="11" t="n">
        <v>0</v>
      </c>
      <c r="L243" s="30" t="s">
        <v>152</v>
      </c>
      <c r="M243" s="30"/>
      <c r="N243" s="30"/>
    </row>
    <row r="244" customFormat="false" ht="15" hidden="false" customHeight="false" outlineLevel="0" collapsed="false">
      <c r="A244" s="30" t="s">
        <v>16</v>
      </c>
      <c r="B244" s="30" t="s">
        <v>140</v>
      </c>
      <c r="C244" s="26" t="s">
        <v>407</v>
      </c>
      <c r="D244" s="8" t="n">
        <v>802</v>
      </c>
      <c r="E244" s="9" t="n">
        <v>0.7428</v>
      </c>
      <c r="F244" s="25" t="n">
        <v>27</v>
      </c>
      <c r="G244" s="8" t="n">
        <v>382</v>
      </c>
      <c r="H244" s="8" t="n">
        <v>4</v>
      </c>
      <c r="I244" s="33" t="n">
        <v>0.0104712041884817</v>
      </c>
      <c r="J244" s="8" t="n">
        <v>0</v>
      </c>
      <c r="K244" s="11" t="n">
        <v>0</v>
      </c>
      <c r="L244" s="30" t="s">
        <v>152</v>
      </c>
      <c r="M244" s="30"/>
      <c r="N244" s="30"/>
    </row>
    <row r="245" customFormat="false" ht="15" hidden="false" customHeight="false" outlineLevel="0" collapsed="false">
      <c r="A245" s="30" t="s">
        <v>16</v>
      </c>
      <c r="B245" s="30" t="s">
        <v>157</v>
      </c>
      <c r="C245" s="26" t="s">
        <v>408</v>
      </c>
      <c r="D245" s="8" t="n">
        <v>787</v>
      </c>
      <c r="E245" s="9" t="n">
        <v>0.6952</v>
      </c>
      <c r="F245" s="25" t="n">
        <v>20</v>
      </c>
      <c r="G245" s="8" t="n">
        <v>246</v>
      </c>
      <c r="H245" s="8"/>
      <c r="I245" s="32" t="n">
        <v>0</v>
      </c>
      <c r="J245" s="8" t="n">
        <v>0</v>
      </c>
      <c r="K245" s="11" t="n">
        <v>0</v>
      </c>
      <c r="L245" s="30"/>
      <c r="M245" s="30"/>
      <c r="N245" s="30"/>
    </row>
    <row r="246" customFormat="false" ht="15" hidden="false" customHeight="false" outlineLevel="0" collapsed="false">
      <c r="A246" s="30" t="s">
        <v>16</v>
      </c>
      <c r="B246" s="30" t="s">
        <v>248</v>
      </c>
      <c r="C246" s="26" t="s">
        <v>409</v>
      </c>
      <c r="D246" s="8" t="n">
        <v>779</v>
      </c>
      <c r="E246" s="9" t="n">
        <v>0.5374</v>
      </c>
      <c r="F246" s="25" t="n">
        <v>18</v>
      </c>
      <c r="G246" s="8" t="n">
        <v>362</v>
      </c>
      <c r="H246" s="8" t="n">
        <v>5</v>
      </c>
      <c r="I246" s="33" t="n">
        <v>0.0138121546961326</v>
      </c>
      <c r="J246" s="8" t="n">
        <v>0</v>
      </c>
      <c r="K246" s="11" t="n">
        <v>0</v>
      </c>
      <c r="L246" s="30" t="s">
        <v>152</v>
      </c>
      <c r="M246" s="30"/>
      <c r="N246" s="30" t="s">
        <v>152</v>
      </c>
    </row>
    <row r="247" customFormat="false" ht="15" hidden="false" customHeight="false" outlineLevel="0" collapsed="false">
      <c r="A247" s="30" t="s">
        <v>16</v>
      </c>
      <c r="B247" s="30" t="s">
        <v>213</v>
      </c>
      <c r="C247" s="26" t="s">
        <v>410</v>
      </c>
      <c r="D247" s="8" t="n">
        <v>775</v>
      </c>
      <c r="E247" s="9" t="n">
        <v>0.5112</v>
      </c>
      <c r="F247" s="25" t="n">
        <v>15</v>
      </c>
      <c r="G247" s="8" t="n">
        <v>43</v>
      </c>
      <c r="H247" s="8"/>
      <c r="I247" s="10"/>
      <c r="J247" s="8" t="n">
        <v>0</v>
      </c>
      <c r="K247" s="11" t="n">
        <v>0</v>
      </c>
      <c r="L247" s="30" t="s">
        <v>152</v>
      </c>
      <c r="M247" s="30"/>
      <c r="N247" s="30" t="s">
        <v>152</v>
      </c>
    </row>
    <row r="248" customFormat="false" ht="15" hidden="false" customHeight="false" outlineLevel="0" collapsed="false">
      <c r="A248" s="30" t="s">
        <v>16</v>
      </c>
      <c r="B248" s="30" t="s">
        <v>175</v>
      </c>
      <c r="C248" s="26" t="s">
        <v>411</v>
      </c>
      <c r="D248" s="8" t="n">
        <v>741</v>
      </c>
      <c r="E248" s="9" t="n">
        <v>0.4939</v>
      </c>
      <c r="F248" s="25" t="n">
        <v>13</v>
      </c>
      <c r="G248" s="8" t="n">
        <v>120</v>
      </c>
      <c r="H248" s="8" t="n">
        <v>3</v>
      </c>
      <c r="I248" s="34" t="n">
        <v>0.025</v>
      </c>
      <c r="J248" s="8" t="n">
        <v>0</v>
      </c>
      <c r="K248" s="11" t="n">
        <v>0</v>
      </c>
      <c r="L248" s="30"/>
      <c r="M248" s="30"/>
      <c r="N248" s="30" t="s">
        <v>152</v>
      </c>
    </row>
    <row r="249" customFormat="false" ht="15" hidden="false" customHeight="false" outlineLevel="0" collapsed="false">
      <c r="A249" s="30" t="s">
        <v>16</v>
      </c>
      <c r="B249" s="30" t="s">
        <v>146</v>
      </c>
      <c r="C249" s="26" t="s">
        <v>412</v>
      </c>
      <c r="D249" s="8" t="n">
        <v>719</v>
      </c>
      <c r="E249" s="9" t="n">
        <v>0.4175</v>
      </c>
      <c r="F249" s="25" t="n">
        <v>15</v>
      </c>
      <c r="G249" s="8" t="n">
        <v>779</v>
      </c>
      <c r="H249" s="8" t="n">
        <v>6</v>
      </c>
      <c r="I249" s="32" t="n">
        <v>0.00770218228498075</v>
      </c>
      <c r="J249" s="8" t="n">
        <v>0</v>
      </c>
      <c r="K249" s="11" t="n">
        <v>0</v>
      </c>
      <c r="L249" s="30" t="s">
        <v>152</v>
      </c>
      <c r="M249" s="30"/>
      <c r="N249" s="30"/>
    </row>
    <row r="250" customFormat="false" ht="15" hidden="false" customHeight="false" outlineLevel="0" collapsed="false">
      <c r="A250" s="30" t="s">
        <v>16</v>
      </c>
      <c r="B250" s="30" t="s">
        <v>202</v>
      </c>
      <c r="C250" s="26" t="s">
        <v>413</v>
      </c>
      <c r="D250" s="8" t="n">
        <v>711</v>
      </c>
      <c r="E250" s="9" t="n">
        <v>0.3281</v>
      </c>
      <c r="F250" s="25" t="n">
        <v>10</v>
      </c>
      <c r="G250" s="8" t="n">
        <v>186</v>
      </c>
      <c r="H250" s="8" t="n">
        <v>2</v>
      </c>
      <c r="I250" s="33" t="n">
        <v>0.010752688172043</v>
      </c>
      <c r="J250" s="8" t="n">
        <v>0</v>
      </c>
      <c r="K250" s="11" t="n">
        <v>0</v>
      </c>
      <c r="L250" s="30"/>
      <c r="M250" s="30"/>
      <c r="N250" s="30"/>
    </row>
    <row r="251" customFormat="false" ht="15" hidden="false" customHeight="false" outlineLevel="0" collapsed="false">
      <c r="A251" s="30" t="s">
        <v>16</v>
      </c>
      <c r="B251" s="30" t="s">
        <v>220</v>
      </c>
      <c r="C251" s="26" t="s">
        <v>414</v>
      </c>
      <c r="D251" s="8" t="n">
        <v>506</v>
      </c>
      <c r="E251" s="9" t="n">
        <v>0.5033</v>
      </c>
      <c r="F251" s="25" t="n">
        <v>11</v>
      </c>
      <c r="G251" s="8" t="n">
        <v>51</v>
      </c>
      <c r="H251" s="8"/>
      <c r="I251" s="10"/>
      <c r="J251" s="8" t="n">
        <v>0</v>
      </c>
      <c r="K251" s="11" t="n">
        <v>0</v>
      </c>
      <c r="L251" s="30"/>
      <c r="M251" s="30"/>
      <c r="N251" s="30" t="s">
        <v>152</v>
      </c>
    </row>
    <row r="252" customFormat="false" ht="15" hidden="false" customHeight="false" outlineLevel="0" collapsed="false">
      <c r="A252" s="30" t="s">
        <v>16</v>
      </c>
      <c r="B252" s="30" t="s">
        <v>255</v>
      </c>
      <c r="C252" s="30" t="s">
        <v>415</v>
      </c>
      <c r="D252" s="8" t="n">
        <v>491</v>
      </c>
      <c r="E252" s="9" t="n">
        <v>0.392</v>
      </c>
      <c r="F252" s="25" t="n">
        <v>13</v>
      </c>
      <c r="G252" s="8" t="n">
        <v>1126</v>
      </c>
      <c r="H252" s="8" t="n">
        <v>9</v>
      </c>
      <c r="I252" s="32" t="n">
        <v>0.00799289520426288</v>
      </c>
      <c r="J252" s="8" t="n">
        <v>0</v>
      </c>
      <c r="K252" s="11" t="n">
        <v>0</v>
      </c>
      <c r="L252" s="30" t="s">
        <v>152</v>
      </c>
      <c r="M252" s="30"/>
      <c r="N252" s="30"/>
    </row>
    <row r="253" customFormat="false" ht="15" hidden="false" customHeight="false" outlineLevel="0" collapsed="false">
      <c r="A253" s="30" t="s">
        <v>16</v>
      </c>
      <c r="B253" s="30" t="s">
        <v>157</v>
      </c>
      <c r="C253" s="26" t="s">
        <v>416</v>
      </c>
      <c r="D253" s="8" t="n">
        <v>452</v>
      </c>
      <c r="E253" s="9" t="n">
        <v>0.5254</v>
      </c>
      <c r="F253" s="25" t="n">
        <v>13</v>
      </c>
      <c r="G253" s="8" t="n">
        <v>1324</v>
      </c>
      <c r="H253" s="8" t="n">
        <v>15</v>
      </c>
      <c r="I253" s="33" t="n">
        <v>0.0113293051359517</v>
      </c>
      <c r="J253" s="8" t="n">
        <v>0</v>
      </c>
      <c r="K253" s="11" t="n">
        <v>0</v>
      </c>
      <c r="L253" s="30"/>
      <c r="M253" s="30"/>
      <c r="N253" s="30" t="s">
        <v>152</v>
      </c>
    </row>
    <row r="254" customFormat="false" ht="15" hidden="false" customHeight="false" outlineLevel="0" collapsed="false">
      <c r="A254" s="30" t="s">
        <v>16</v>
      </c>
      <c r="B254" s="30" t="s">
        <v>166</v>
      </c>
      <c r="C254" s="26" t="s">
        <v>417</v>
      </c>
      <c r="D254" s="8" t="n">
        <v>449</v>
      </c>
      <c r="E254" s="9" t="n">
        <v>0.682</v>
      </c>
      <c r="F254" s="25" t="n">
        <v>17</v>
      </c>
      <c r="G254" s="8" t="n">
        <v>61</v>
      </c>
      <c r="H254" s="8"/>
      <c r="I254" s="10"/>
      <c r="J254" s="8" t="n">
        <v>0</v>
      </c>
      <c r="K254" s="11" t="n">
        <v>0</v>
      </c>
      <c r="L254" s="30"/>
      <c r="M254" s="30"/>
      <c r="N254" s="30"/>
    </row>
    <row r="255" customFormat="false" ht="15" hidden="false" customHeight="false" outlineLevel="0" collapsed="false">
      <c r="A255" s="30" t="s">
        <v>16</v>
      </c>
      <c r="B255" s="30" t="s">
        <v>217</v>
      </c>
      <c r="C255" s="26" t="s">
        <v>418</v>
      </c>
      <c r="D255" s="8" t="n">
        <v>449</v>
      </c>
      <c r="E255" s="9" t="n">
        <v>0.5912</v>
      </c>
      <c r="F255" s="25" t="n">
        <v>21</v>
      </c>
      <c r="G255" s="8" t="n">
        <v>109</v>
      </c>
      <c r="H255" s="8" t="n">
        <v>1</v>
      </c>
      <c r="I255" s="32" t="n">
        <v>0.00917431192660551</v>
      </c>
      <c r="J255" s="8" t="n">
        <v>0</v>
      </c>
      <c r="K255" s="11" t="n">
        <v>0</v>
      </c>
      <c r="L255" s="30"/>
      <c r="M255" s="30"/>
      <c r="N255" s="30" t="s">
        <v>152</v>
      </c>
    </row>
    <row r="256" customFormat="false" ht="15" hidden="false" customHeight="false" outlineLevel="0" collapsed="false">
      <c r="A256" s="30" t="s">
        <v>16</v>
      </c>
      <c r="B256" s="30" t="s">
        <v>155</v>
      </c>
      <c r="C256" s="26" t="s">
        <v>419</v>
      </c>
      <c r="D256" s="8" t="n">
        <v>429</v>
      </c>
      <c r="E256" s="9" t="n">
        <v>0.5477</v>
      </c>
      <c r="F256" s="25" t="n">
        <v>12</v>
      </c>
      <c r="G256" s="8" t="n">
        <v>17</v>
      </c>
      <c r="H256" s="8"/>
      <c r="I256" s="10"/>
      <c r="J256" s="8" t="n">
        <v>0</v>
      </c>
      <c r="K256" s="11" t="n">
        <v>0</v>
      </c>
      <c r="L256" s="30"/>
      <c r="M256" s="30" t="s">
        <v>152</v>
      </c>
      <c r="N256" s="30"/>
    </row>
    <row r="257" customFormat="false" ht="15" hidden="false" customHeight="false" outlineLevel="0" collapsed="false">
      <c r="A257" s="30" t="s">
        <v>16</v>
      </c>
      <c r="B257" s="30" t="s">
        <v>177</v>
      </c>
      <c r="C257" s="26" t="s">
        <v>420</v>
      </c>
      <c r="D257" s="8" t="n">
        <v>428</v>
      </c>
      <c r="E257" s="9" t="n">
        <v>0.5923</v>
      </c>
      <c r="F257" s="25" t="n">
        <v>18</v>
      </c>
      <c r="G257" s="8" t="n">
        <v>15</v>
      </c>
      <c r="H257" s="8"/>
      <c r="I257" s="10"/>
      <c r="J257" s="8" t="n">
        <v>0</v>
      </c>
      <c r="K257" s="11" t="n">
        <v>0</v>
      </c>
      <c r="L257" s="30"/>
      <c r="M257" s="30"/>
      <c r="N257" s="30"/>
    </row>
    <row r="258" customFormat="false" ht="15" hidden="false" customHeight="false" outlineLevel="0" collapsed="false">
      <c r="A258" s="30" t="s">
        <v>16</v>
      </c>
      <c r="B258" s="30" t="s">
        <v>144</v>
      </c>
      <c r="C258" s="26" t="s">
        <v>421</v>
      </c>
      <c r="D258" s="8" t="n">
        <v>407</v>
      </c>
      <c r="E258" s="9" t="n">
        <v>0.4362</v>
      </c>
      <c r="F258" s="25" t="n">
        <v>10</v>
      </c>
      <c r="G258" s="8" t="n">
        <v>31</v>
      </c>
      <c r="H258" s="8"/>
      <c r="I258" s="10"/>
      <c r="J258" s="8" t="n">
        <v>0</v>
      </c>
      <c r="K258" s="11" t="n">
        <v>0</v>
      </c>
      <c r="L258" s="30" t="s">
        <v>152</v>
      </c>
      <c r="M258" s="30"/>
      <c r="N258" s="30" t="s">
        <v>152</v>
      </c>
    </row>
    <row r="259" customFormat="false" ht="15" hidden="false" customHeight="false" outlineLevel="0" collapsed="false">
      <c r="A259" s="30" t="s">
        <v>16</v>
      </c>
      <c r="B259" s="30" t="s">
        <v>144</v>
      </c>
      <c r="C259" s="26" t="s">
        <v>422</v>
      </c>
      <c r="D259" s="8" t="n">
        <v>339</v>
      </c>
      <c r="E259" s="9" t="n">
        <v>0.6165</v>
      </c>
      <c r="F259" s="25" t="n">
        <v>13</v>
      </c>
      <c r="G259" s="8" t="n">
        <v>76</v>
      </c>
      <c r="H259" s="8"/>
      <c r="I259" s="10"/>
      <c r="J259" s="8" t="n">
        <v>0</v>
      </c>
      <c r="K259" s="11" t="n">
        <v>0</v>
      </c>
      <c r="L259" s="30" t="s">
        <v>152</v>
      </c>
      <c r="M259" s="30" t="s">
        <v>152</v>
      </c>
      <c r="N259" s="30" t="s">
        <v>152</v>
      </c>
    </row>
    <row r="260" customFormat="false" ht="15" hidden="false" customHeight="false" outlineLevel="0" collapsed="false">
      <c r="A260" s="30" t="s">
        <v>16</v>
      </c>
      <c r="B260" s="30" t="s">
        <v>200</v>
      </c>
      <c r="C260" s="26" t="s">
        <v>423</v>
      </c>
      <c r="D260" s="8" t="n">
        <v>325</v>
      </c>
      <c r="E260" s="9" t="n">
        <v>0.6792</v>
      </c>
      <c r="F260" s="25" t="n">
        <v>21</v>
      </c>
      <c r="G260" s="8" t="n">
        <v>17</v>
      </c>
      <c r="H260" s="8"/>
      <c r="I260" s="10"/>
      <c r="J260" s="8" t="n">
        <v>0</v>
      </c>
      <c r="K260" s="11" t="n">
        <v>0</v>
      </c>
      <c r="L260" s="30"/>
      <c r="M260" s="30"/>
      <c r="N260" s="30"/>
    </row>
    <row r="261" customFormat="false" ht="15" hidden="false" customHeight="false" outlineLevel="0" collapsed="false">
      <c r="A261" s="30" t="s">
        <v>16</v>
      </c>
      <c r="B261" s="30" t="s">
        <v>166</v>
      </c>
      <c r="C261" s="26" t="s">
        <v>424</v>
      </c>
      <c r="D261" s="8" t="n">
        <v>319</v>
      </c>
      <c r="E261" s="9" t="n">
        <v>0.462</v>
      </c>
      <c r="F261" s="25" t="n">
        <v>18</v>
      </c>
      <c r="G261" s="8" t="n">
        <v>94</v>
      </c>
      <c r="H261" s="8" t="n">
        <v>1</v>
      </c>
      <c r="I261" s="33" t="n">
        <v>0.0106382978723404</v>
      </c>
      <c r="J261" s="8" t="n">
        <v>0</v>
      </c>
      <c r="K261" s="11" t="n">
        <v>0</v>
      </c>
      <c r="L261" s="30" t="s">
        <v>152</v>
      </c>
      <c r="M261" s="30"/>
      <c r="N261" s="30" t="s">
        <v>152</v>
      </c>
    </row>
    <row r="262" customFormat="false" ht="15" hidden="false" customHeight="false" outlineLevel="0" collapsed="false">
      <c r="A262" s="30" t="s">
        <v>16</v>
      </c>
      <c r="B262" s="30" t="s">
        <v>209</v>
      </c>
      <c r="C262" s="30" t="s">
        <v>425</v>
      </c>
      <c r="D262" s="8" t="n">
        <v>312</v>
      </c>
      <c r="E262" s="9" t="n">
        <v>0.3714</v>
      </c>
      <c r="F262" s="25" t="n">
        <v>10</v>
      </c>
      <c r="G262" s="8" t="n">
        <v>181</v>
      </c>
      <c r="H262" s="8" t="n">
        <v>3</v>
      </c>
      <c r="I262" s="33" t="n">
        <v>0.0165745856353591</v>
      </c>
      <c r="J262" s="8" t="n">
        <v>0</v>
      </c>
      <c r="K262" s="11" t="n">
        <v>0</v>
      </c>
      <c r="L262" s="30" t="s">
        <v>152</v>
      </c>
      <c r="M262" s="30"/>
      <c r="N262" s="30"/>
    </row>
    <row r="263" customFormat="false" ht="15" hidden="false" customHeight="false" outlineLevel="0" collapsed="false">
      <c r="A263" s="30" t="s">
        <v>16</v>
      </c>
      <c r="B263" s="30" t="s">
        <v>159</v>
      </c>
      <c r="C263" s="26" t="s">
        <v>426</v>
      </c>
      <c r="D263" s="8" t="n">
        <v>294</v>
      </c>
      <c r="E263" s="9" t="n">
        <v>0.8286</v>
      </c>
      <c r="F263" s="25" t="n">
        <v>23</v>
      </c>
      <c r="G263" s="8" t="n">
        <v>37</v>
      </c>
      <c r="H263" s="8"/>
      <c r="I263" s="10"/>
      <c r="J263" s="8" t="n">
        <v>0</v>
      </c>
      <c r="K263" s="11" t="n">
        <v>0</v>
      </c>
      <c r="L263" s="30" t="s">
        <v>152</v>
      </c>
      <c r="M263" s="30"/>
      <c r="N263" s="30"/>
    </row>
    <row r="264" customFormat="false" ht="15" hidden="false" customHeight="false" outlineLevel="0" collapsed="false">
      <c r="A264" s="30" t="s">
        <v>16</v>
      </c>
      <c r="B264" s="30" t="s">
        <v>177</v>
      </c>
      <c r="C264" s="26" t="s">
        <v>427</v>
      </c>
      <c r="D264" s="8" t="n">
        <v>278</v>
      </c>
      <c r="E264" s="9" t="n">
        <v>0.4486</v>
      </c>
      <c r="F264" s="25" t="n">
        <v>16</v>
      </c>
      <c r="G264" s="8" t="n">
        <v>41</v>
      </c>
      <c r="H264" s="8"/>
      <c r="I264" s="10"/>
      <c r="J264" s="8" t="n">
        <v>0</v>
      </c>
      <c r="K264" s="11" t="n">
        <v>0</v>
      </c>
      <c r="L264" s="30"/>
      <c r="M264" s="30"/>
      <c r="N264" s="30"/>
    </row>
    <row r="265" customFormat="false" ht="15" hidden="false" customHeight="false" outlineLevel="0" collapsed="false">
      <c r="A265" s="30" t="s">
        <v>16</v>
      </c>
      <c r="B265" s="30" t="s">
        <v>169</v>
      </c>
      <c r="C265" s="26" t="s">
        <v>428</v>
      </c>
      <c r="D265" s="8" t="n">
        <v>269</v>
      </c>
      <c r="E265" s="9" t="n">
        <v>0.4595</v>
      </c>
      <c r="F265" s="25" t="n">
        <v>14</v>
      </c>
      <c r="G265" s="8" t="n">
        <v>18</v>
      </c>
      <c r="H265" s="8"/>
      <c r="I265" s="10"/>
      <c r="J265" s="8" t="n">
        <v>0</v>
      </c>
      <c r="K265" s="11" t="n">
        <v>0</v>
      </c>
      <c r="L265" s="30" t="s">
        <v>152</v>
      </c>
      <c r="M265" s="30"/>
      <c r="N265" s="30"/>
    </row>
    <row r="266" customFormat="false" ht="15" hidden="false" customHeight="false" outlineLevel="0" collapsed="false">
      <c r="A266" s="30" t="s">
        <v>16</v>
      </c>
      <c r="B266" s="30" t="s">
        <v>211</v>
      </c>
      <c r="C266" s="26" t="s">
        <v>429</v>
      </c>
      <c r="D266" s="8" t="n">
        <v>263</v>
      </c>
      <c r="E266" s="9" t="n">
        <v>0.4577</v>
      </c>
      <c r="F266" s="25" t="n">
        <v>18</v>
      </c>
      <c r="G266" s="8" t="n">
        <v>32</v>
      </c>
      <c r="H266" s="8"/>
      <c r="I266" s="10"/>
      <c r="J266" s="8" t="n">
        <v>0</v>
      </c>
      <c r="K266" s="11" t="n">
        <v>0</v>
      </c>
      <c r="L266" s="30" t="s">
        <v>152</v>
      </c>
      <c r="M266" s="30"/>
      <c r="N266" s="30"/>
    </row>
    <row r="267" customFormat="false" ht="15" hidden="false" customHeight="false" outlineLevel="0" collapsed="false">
      <c r="A267" s="30" t="s">
        <v>16</v>
      </c>
      <c r="B267" s="30" t="s">
        <v>153</v>
      </c>
      <c r="C267" s="26" t="s">
        <v>430</v>
      </c>
      <c r="D267" s="8" t="n">
        <v>248</v>
      </c>
      <c r="E267" s="9" t="n">
        <v>0.5093</v>
      </c>
      <c r="F267" s="25" t="n">
        <v>12</v>
      </c>
      <c r="G267" s="8" t="n">
        <v>20</v>
      </c>
      <c r="H267" s="8"/>
      <c r="I267" s="10"/>
      <c r="J267" s="8" t="n">
        <v>0</v>
      </c>
      <c r="K267" s="11" t="n">
        <v>0</v>
      </c>
      <c r="L267" s="30"/>
      <c r="M267" s="30"/>
      <c r="N267" s="30"/>
    </row>
    <row r="268" customFormat="false" ht="15" hidden="false" customHeight="false" outlineLevel="0" collapsed="false">
      <c r="A268" s="30" t="s">
        <v>16</v>
      </c>
      <c r="B268" s="30" t="s">
        <v>222</v>
      </c>
      <c r="C268" s="26" t="s">
        <v>431</v>
      </c>
      <c r="D268" s="8" t="n">
        <v>206</v>
      </c>
      <c r="E268" s="9" t="n">
        <v>0.5389</v>
      </c>
      <c r="F268" s="25" t="n">
        <v>19</v>
      </c>
      <c r="G268" s="8" t="n">
        <v>700</v>
      </c>
      <c r="H268" s="8" t="n">
        <v>4</v>
      </c>
      <c r="I268" s="32" t="n">
        <v>0.00571428571428571</v>
      </c>
      <c r="J268" s="8" t="n">
        <v>0</v>
      </c>
      <c r="K268" s="11" t="n">
        <v>0</v>
      </c>
      <c r="L268" s="30" t="s">
        <v>152</v>
      </c>
      <c r="M268" s="30" t="s">
        <v>152</v>
      </c>
      <c r="N268" s="30" t="s">
        <v>152</v>
      </c>
    </row>
    <row r="269" customFormat="false" ht="15" hidden="false" customHeight="false" outlineLevel="0" collapsed="false">
      <c r="A269" s="30" t="s">
        <v>16</v>
      </c>
      <c r="B269" s="30" t="s">
        <v>217</v>
      </c>
      <c r="C269" s="26" t="s">
        <v>432</v>
      </c>
      <c r="D269" s="8" t="n">
        <v>167</v>
      </c>
      <c r="E269" s="9" t="n">
        <v>0.5597</v>
      </c>
      <c r="F269" s="25" t="n">
        <v>11</v>
      </c>
      <c r="G269" s="8" t="n">
        <v>20</v>
      </c>
      <c r="H269" s="8"/>
      <c r="I269" s="10"/>
      <c r="J269" s="8" t="n">
        <v>0</v>
      </c>
      <c r="K269" s="11" t="n">
        <v>0</v>
      </c>
      <c r="L269" s="30"/>
      <c r="M269" s="30"/>
      <c r="N269" s="30"/>
    </row>
    <row r="270" customFormat="false" ht="15" hidden="false" customHeight="false" outlineLevel="0" collapsed="false">
      <c r="A270" s="30" t="s">
        <v>16</v>
      </c>
      <c r="B270" s="30" t="s">
        <v>248</v>
      </c>
      <c r="C270" s="26" t="s">
        <v>433</v>
      </c>
      <c r="D270" s="8" t="n">
        <v>74</v>
      </c>
      <c r="E270" s="9" t="n">
        <v>0.5565</v>
      </c>
      <c r="F270" s="25" t="n">
        <v>20</v>
      </c>
      <c r="G270" s="8" t="n">
        <v>806</v>
      </c>
      <c r="H270" s="8" t="n">
        <v>15</v>
      </c>
      <c r="I270" s="33" t="n">
        <v>0.0186104218362283</v>
      </c>
      <c r="J270" s="8" t="n">
        <v>0</v>
      </c>
      <c r="K270" s="11" t="n">
        <v>0</v>
      </c>
      <c r="L270" s="30" t="s">
        <v>152</v>
      </c>
      <c r="M270" s="30"/>
      <c r="N270" s="30" t="s">
        <v>152</v>
      </c>
    </row>
    <row r="271" customFormat="false" ht="15" hidden="false" customHeight="false" outlineLevel="0" collapsed="false">
      <c r="A271" s="30" t="s">
        <v>16</v>
      </c>
      <c r="B271" s="30" t="s">
        <v>161</v>
      </c>
      <c r="C271" s="26" t="s">
        <v>434</v>
      </c>
      <c r="D271" s="8" t="n">
        <v>72</v>
      </c>
      <c r="E271" s="9" t="n">
        <v>0.5498</v>
      </c>
      <c r="F271" s="25" t="n">
        <v>19</v>
      </c>
      <c r="G271" s="8" t="n">
        <v>189</v>
      </c>
      <c r="H271" s="8" t="n">
        <v>1</v>
      </c>
      <c r="I271" s="32" t="n">
        <v>0.00529100529100529</v>
      </c>
      <c r="J271" s="8" t="n">
        <v>0</v>
      </c>
      <c r="K271" s="11" t="n">
        <v>0</v>
      </c>
      <c r="L271" s="30" t="s">
        <v>152</v>
      </c>
      <c r="M271" s="30" t="s">
        <v>152</v>
      </c>
      <c r="N271" s="30" t="s">
        <v>152</v>
      </c>
    </row>
    <row r="272" customFormat="false" ht="15" hidden="false" customHeight="false" outlineLevel="0" collapsed="false">
      <c r="A272" s="30" t="s">
        <v>16</v>
      </c>
      <c r="B272" s="30" t="s">
        <v>190</v>
      </c>
      <c r="C272" s="26" t="s">
        <v>435</v>
      </c>
      <c r="D272" s="8" t="n">
        <v>47</v>
      </c>
      <c r="E272" s="9" t="n">
        <v>0.8002</v>
      </c>
      <c r="F272" s="25" t="n">
        <v>16</v>
      </c>
      <c r="G272" s="8" t="n">
        <v>56</v>
      </c>
      <c r="H272" s="8"/>
      <c r="I272" s="10"/>
      <c r="J272" s="8" t="n">
        <v>0</v>
      </c>
      <c r="K272" s="11" t="n">
        <v>0</v>
      </c>
      <c r="L272" s="30"/>
      <c r="M272" s="30"/>
      <c r="N272" s="30" t="s">
        <v>152</v>
      </c>
    </row>
    <row r="273" customFormat="false" ht="15" hidden="false" customHeight="false" outlineLevel="0" collapsed="false">
      <c r="A273" s="30" t="s">
        <v>16</v>
      </c>
      <c r="B273" s="30" t="s">
        <v>150</v>
      </c>
      <c r="C273" s="26" t="s">
        <v>436</v>
      </c>
      <c r="D273" s="8" t="n">
        <v>39</v>
      </c>
      <c r="E273" s="9" t="n">
        <v>0.531</v>
      </c>
      <c r="F273" s="25" t="n">
        <v>19</v>
      </c>
      <c r="G273" s="8" t="n">
        <v>25</v>
      </c>
      <c r="H273" s="8"/>
      <c r="I273" s="10"/>
      <c r="J273" s="8" t="n">
        <v>0</v>
      </c>
      <c r="K273" s="11" t="n">
        <v>0</v>
      </c>
      <c r="L273" s="30"/>
      <c r="M273" s="30"/>
      <c r="N273" s="30" t="s">
        <v>152</v>
      </c>
    </row>
    <row r="274" customFormat="false" ht="15" hidden="false" customHeight="false" outlineLevel="0" collapsed="false">
      <c r="A274" s="30" t="s">
        <v>16</v>
      </c>
      <c r="B274" s="30" t="s">
        <v>272</v>
      </c>
      <c r="C274" s="26" t="s">
        <v>437</v>
      </c>
      <c r="D274" s="8" t="n">
        <v>39</v>
      </c>
      <c r="E274" s="9" t="n">
        <v>0.3714</v>
      </c>
      <c r="F274" s="25" t="n">
        <v>14</v>
      </c>
      <c r="G274" s="8" t="n">
        <v>153</v>
      </c>
      <c r="H274" s="8" t="n">
        <v>3</v>
      </c>
      <c r="I274" s="33" t="n">
        <v>0.0196078431372549</v>
      </c>
      <c r="J274" s="8" t="n">
        <v>0</v>
      </c>
      <c r="K274" s="11" t="n">
        <v>0</v>
      </c>
      <c r="L274" s="30" t="s">
        <v>152</v>
      </c>
      <c r="M274" s="30"/>
      <c r="N274" s="30" t="s">
        <v>152</v>
      </c>
    </row>
    <row r="275" customFormat="false" ht="15" hidden="false" customHeight="false" outlineLevel="0" collapsed="false">
      <c r="A275" s="30" t="s">
        <v>16</v>
      </c>
      <c r="B275" s="30" t="s">
        <v>228</v>
      </c>
      <c r="C275" s="26" t="s">
        <v>438</v>
      </c>
      <c r="D275" s="8" t="n">
        <v>36</v>
      </c>
      <c r="E275" s="9" t="n">
        <v>0.1205</v>
      </c>
      <c r="F275" s="25" t="n">
        <v>103</v>
      </c>
      <c r="G275" s="8" t="n">
        <v>1247</v>
      </c>
      <c r="H275" s="8" t="n">
        <v>25</v>
      </c>
      <c r="I275" s="33" t="n">
        <v>0.0200481154771452</v>
      </c>
      <c r="J275" s="8" t="n">
        <v>0</v>
      </c>
      <c r="K275" s="11" t="n">
        <v>0</v>
      </c>
      <c r="L275" s="30"/>
      <c r="M275" s="30"/>
      <c r="N275" s="30"/>
    </row>
    <row r="276" customFormat="false" ht="15" hidden="false" customHeight="false" outlineLevel="0" collapsed="false">
      <c r="A276" s="30" t="s">
        <v>16</v>
      </c>
      <c r="B276" s="30" t="s">
        <v>211</v>
      </c>
      <c r="C276" s="26" t="s">
        <v>439</v>
      </c>
      <c r="D276" s="8" t="n">
        <v>36</v>
      </c>
      <c r="E276" s="9" t="n">
        <v>0.7284</v>
      </c>
      <c r="F276" s="25" t="n">
        <v>22</v>
      </c>
      <c r="G276" s="8" t="n">
        <v>49</v>
      </c>
      <c r="H276" s="8"/>
      <c r="I276" s="10"/>
      <c r="J276" s="8" t="n">
        <v>0</v>
      </c>
      <c r="K276" s="11" t="n">
        <v>0</v>
      </c>
      <c r="L276" s="30" t="s">
        <v>152</v>
      </c>
      <c r="M276" s="30"/>
      <c r="N276" s="30" t="s">
        <v>152</v>
      </c>
    </row>
    <row r="277" customFormat="false" ht="15" hidden="false" customHeight="false" outlineLevel="0" collapsed="false">
      <c r="A277" s="30" t="s">
        <v>16</v>
      </c>
      <c r="B277" s="30" t="s">
        <v>179</v>
      </c>
      <c r="C277" s="26" t="s">
        <v>440</v>
      </c>
      <c r="D277" s="8" t="n">
        <v>27</v>
      </c>
      <c r="E277" s="9" t="n">
        <v>0.5787</v>
      </c>
      <c r="F277" s="25" t="n">
        <v>23</v>
      </c>
      <c r="G277" s="8" t="n">
        <v>239</v>
      </c>
      <c r="H277" s="8" t="n">
        <v>7</v>
      </c>
      <c r="I277" s="34" t="n">
        <v>0.0292887029288703</v>
      </c>
      <c r="J277" s="8" t="n">
        <v>0</v>
      </c>
      <c r="K277" s="11" t="n">
        <v>0</v>
      </c>
      <c r="L277" s="30" t="s">
        <v>152</v>
      </c>
      <c r="M277" s="30"/>
      <c r="N277" s="30"/>
    </row>
    <row r="278" customFormat="false" ht="15" hidden="false" customHeight="false" outlineLevel="0" collapsed="false">
      <c r="A278" s="30" t="s">
        <v>16</v>
      </c>
      <c r="B278" s="30" t="s">
        <v>200</v>
      </c>
      <c r="C278" s="30" t="s">
        <v>441</v>
      </c>
      <c r="D278" s="8" t="n">
        <v>25</v>
      </c>
      <c r="E278" s="9" t="n">
        <v>0.4471</v>
      </c>
      <c r="F278" s="25" t="n">
        <v>15</v>
      </c>
      <c r="G278" s="8" t="n">
        <v>97</v>
      </c>
      <c r="H278" s="8" t="n">
        <v>3</v>
      </c>
      <c r="I278" s="34" t="n">
        <v>0.0309278350515464</v>
      </c>
      <c r="J278" s="8" t="n">
        <v>0</v>
      </c>
      <c r="K278" s="11" t="n">
        <v>0</v>
      </c>
      <c r="L278" s="30" t="s">
        <v>152</v>
      </c>
      <c r="M278" s="30"/>
      <c r="N278" s="30" t="s">
        <v>152</v>
      </c>
    </row>
    <row r="279" customFormat="false" ht="15" hidden="false" customHeight="false" outlineLevel="0" collapsed="false">
      <c r="A279" s="30" t="s">
        <v>16</v>
      </c>
      <c r="B279" s="30" t="s">
        <v>161</v>
      </c>
      <c r="C279" s="26" t="s">
        <v>442</v>
      </c>
      <c r="D279" s="8" t="n">
        <v>25</v>
      </c>
      <c r="E279" s="9" t="n">
        <v>0.4023</v>
      </c>
      <c r="F279" s="25" t="n">
        <v>14</v>
      </c>
      <c r="G279" s="8" t="n">
        <v>304</v>
      </c>
      <c r="H279" s="8" t="n">
        <v>1</v>
      </c>
      <c r="I279" s="32" t="n">
        <v>0.00328947368421053</v>
      </c>
      <c r="J279" s="8" t="n">
        <v>0</v>
      </c>
      <c r="K279" s="11" t="n">
        <v>0</v>
      </c>
      <c r="L279" s="30" t="s">
        <v>152</v>
      </c>
      <c r="M279" s="30"/>
      <c r="N279" s="30" t="s">
        <v>152</v>
      </c>
    </row>
    <row r="280" customFormat="false" ht="15" hidden="false" customHeight="false" outlineLevel="0" collapsed="false">
      <c r="A280" s="30" t="s">
        <v>16</v>
      </c>
      <c r="B280" s="30" t="s">
        <v>206</v>
      </c>
      <c r="C280" s="30" t="s">
        <v>443</v>
      </c>
      <c r="D280" s="8" t="n">
        <v>24</v>
      </c>
      <c r="E280" s="9" t="n">
        <v>0.497</v>
      </c>
      <c r="F280" s="25" t="n">
        <v>19</v>
      </c>
      <c r="G280" s="8" t="n">
        <v>25</v>
      </c>
      <c r="H280" s="8"/>
      <c r="I280" s="10"/>
      <c r="J280" s="8" t="n">
        <v>0</v>
      </c>
      <c r="K280" s="11" t="n">
        <v>0</v>
      </c>
      <c r="L280" s="30" t="s">
        <v>152</v>
      </c>
      <c r="M280" s="30"/>
      <c r="N280" s="30"/>
    </row>
    <row r="281" customFormat="false" ht="15" hidden="false" customHeight="false" outlineLevel="0" collapsed="false">
      <c r="A281" s="30" t="s">
        <v>16</v>
      </c>
      <c r="B281" s="30" t="s">
        <v>196</v>
      </c>
      <c r="C281" s="26" t="s">
        <v>444</v>
      </c>
      <c r="D281" s="8" t="n">
        <v>16</v>
      </c>
      <c r="E281" s="9" t="n">
        <v>0.6027</v>
      </c>
      <c r="F281" s="25" t="n">
        <v>22</v>
      </c>
      <c r="G281" s="8" t="n">
        <v>20</v>
      </c>
      <c r="H281" s="8"/>
      <c r="I281" s="10"/>
      <c r="J281" s="8" t="n">
        <v>0</v>
      </c>
      <c r="K281" s="11" t="n">
        <v>0</v>
      </c>
      <c r="L281" s="30"/>
      <c r="M281" s="30"/>
      <c r="N281" s="30" t="s">
        <v>152</v>
      </c>
    </row>
    <row r="282" customFormat="false" ht="15" hidden="false" customHeight="false" outlineLevel="0" collapsed="false">
      <c r="A282" s="30" t="s">
        <v>16</v>
      </c>
      <c r="B282" s="30" t="s">
        <v>179</v>
      </c>
      <c r="C282" s="26" t="s">
        <v>445</v>
      </c>
      <c r="D282" s="8" t="n">
        <v>15</v>
      </c>
      <c r="E282" s="9" t="n">
        <v>0.7926</v>
      </c>
      <c r="F282" s="25" t="n">
        <v>28</v>
      </c>
      <c r="G282" s="8" t="n">
        <v>211</v>
      </c>
      <c r="H282" s="8" t="n">
        <v>2</v>
      </c>
      <c r="I282" s="32" t="n">
        <v>0.00947867298578199</v>
      </c>
      <c r="J282" s="8" t="n">
        <v>0</v>
      </c>
      <c r="K282" s="11" t="n">
        <v>0</v>
      </c>
      <c r="L282" s="30" t="s">
        <v>152</v>
      </c>
      <c r="M282" s="30"/>
      <c r="N282" s="30" t="s">
        <v>152</v>
      </c>
    </row>
    <row r="283" customFormat="false" ht="15" hidden="false" customHeight="false" outlineLevel="0" collapsed="false">
      <c r="A283" s="30" t="s">
        <v>16</v>
      </c>
      <c r="B283" s="30" t="s">
        <v>272</v>
      </c>
      <c r="C283" s="26" t="s">
        <v>446</v>
      </c>
      <c r="D283" s="8" t="n">
        <v>9</v>
      </c>
      <c r="E283" s="9" t="n">
        <v>0.399</v>
      </c>
      <c r="F283" s="25" t="n">
        <v>14</v>
      </c>
      <c r="G283" s="8" t="n">
        <v>82</v>
      </c>
      <c r="H283" s="8"/>
      <c r="I283" s="32" t="n">
        <v>0</v>
      </c>
      <c r="J283" s="8" t="n">
        <v>0</v>
      </c>
      <c r="K283" s="11" t="n">
        <v>0</v>
      </c>
      <c r="L283" s="30" t="s">
        <v>152</v>
      </c>
      <c r="M283" s="30"/>
      <c r="N283" s="30"/>
    </row>
    <row r="284" customFormat="false" ht="15" hidden="false" customHeight="false" outlineLevel="0" collapsed="false">
      <c r="A284" s="30" t="s">
        <v>19</v>
      </c>
      <c r="B284" s="30" t="s">
        <v>157</v>
      </c>
      <c r="C284" s="26" t="s">
        <v>447</v>
      </c>
      <c r="D284" s="8" t="n">
        <v>1818</v>
      </c>
      <c r="E284" s="9" t="n">
        <v>0.6149</v>
      </c>
      <c r="F284" s="25" t="n">
        <v>20</v>
      </c>
      <c r="G284" s="8" t="n">
        <v>802</v>
      </c>
      <c r="H284" s="8" t="n">
        <v>19</v>
      </c>
      <c r="I284" s="33" t="n">
        <v>0.0236907730673317</v>
      </c>
      <c r="J284" s="8" t="n">
        <v>2</v>
      </c>
      <c r="K284" s="11" t="n">
        <v>1.1001100110011</v>
      </c>
      <c r="L284" s="30"/>
      <c r="M284" s="30"/>
      <c r="N284" s="30" t="s">
        <v>152</v>
      </c>
    </row>
    <row r="285" customFormat="false" ht="15" hidden="false" customHeight="false" outlineLevel="0" collapsed="false">
      <c r="A285" s="30" t="s">
        <v>19</v>
      </c>
      <c r="B285" s="30" t="s">
        <v>202</v>
      </c>
      <c r="C285" s="26" t="s">
        <v>448</v>
      </c>
      <c r="D285" s="8" t="n">
        <v>1364</v>
      </c>
      <c r="E285" s="9" t="n">
        <v>0.478</v>
      </c>
      <c r="F285" s="25" t="n">
        <v>11</v>
      </c>
      <c r="G285" s="8" t="n">
        <v>341</v>
      </c>
      <c r="H285" s="8" t="n">
        <v>2</v>
      </c>
      <c r="I285" s="32" t="n">
        <v>0.00586510263929619</v>
      </c>
      <c r="J285" s="8" t="n">
        <v>2</v>
      </c>
      <c r="K285" s="11" t="n">
        <v>1.46627565982405</v>
      </c>
      <c r="L285" s="30"/>
      <c r="M285" s="30" t="s">
        <v>152</v>
      </c>
      <c r="N285" s="30"/>
    </row>
    <row r="286" customFormat="false" ht="15" hidden="false" customHeight="false" outlineLevel="0" collapsed="false">
      <c r="A286" s="30" t="s">
        <v>19</v>
      </c>
      <c r="B286" s="30" t="s">
        <v>183</v>
      </c>
      <c r="C286" s="26" t="s">
        <v>449</v>
      </c>
      <c r="D286" s="8" t="n">
        <v>1223</v>
      </c>
      <c r="E286" s="9" t="n">
        <v>0.661</v>
      </c>
      <c r="F286" s="25" t="n">
        <v>15</v>
      </c>
      <c r="G286" s="8" t="n">
        <v>261</v>
      </c>
      <c r="H286" s="8" t="n">
        <v>2</v>
      </c>
      <c r="I286" s="32" t="n">
        <v>0.00766283524904215</v>
      </c>
      <c r="J286" s="8" t="n">
        <v>2</v>
      </c>
      <c r="K286" s="11" t="n">
        <v>1.63532297628782</v>
      </c>
      <c r="L286" s="30"/>
      <c r="M286" s="30"/>
      <c r="N286" s="30"/>
    </row>
    <row r="287" customFormat="false" ht="15" hidden="false" customHeight="false" outlineLevel="0" collapsed="false">
      <c r="A287" s="30" t="s">
        <v>19</v>
      </c>
      <c r="B287" s="30" t="s">
        <v>118</v>
      </c>
      <c r="C287" s="26" t="s">
        <v>450</v>
      </c>
      <c r="D287" s="8" t="n">
        <v>1171</v>
      </c>
      <c r="E287" s="9" t="n">
        <v>0.6505</v>
      </c>
      <c r="F287" s="25" t="n">
        <v>16</v>
      </c>
      <c r="G287" s="8" t="n">
        <v>182</v>
      </c>
      <c r="H287" s="8"/>
      <c r="I287" s="32" t="n">
        <v>0</v>
      </c>
      <c r="J287" s="8" t="n">
        <v>2</v>
      </c>
      <c r="K287" s="11" t="n">
        <v>1.70794192997438</v>
      </c>
      <c r="L287" s="30" t="s">
        <v>152</v>
      </c>
      <c r="M287" s="30"/>
      <c r="N287" s="30"/>
    </row>
    <row r="288" customFormat="false" ht="15" hidden="false" customHeight="false" outlineLevel="0" collapsed="false">
      <c r="A288" s="30" t="s">
        <v>19</v>
      </c>
      <c r="B288" s="30" t="s">
        <v>133</v>
      </c>
      <c r="C288" s="26" t="s">
        <v>451</v>
      </c>
      <c r="D288" s="8" t="n">
        <v>1901</v>
      </c>
      <c r="E288" s="9" t="n">
        <v>0.5762</v>
      </c>
      <c r="F288" s="25" t="n">
        <v>19</v>
      </c>
      <c r="G288" s="8" t="n">
        <v>53</v>
      </c>
      <c r="H288" s="8"/>
      <c r="I288" s="10"/>
      <c r="J288" s="8" t="n">
        <v>1</v>
      </c>
      <c r="K288" s="11" t="n">
        <v>0.526038926880589</v>
      </c>
      <c r="L288" s="30" t="s">
        <v>152</v>
      </c>
      <c r="M288" s="30" t="s">
        <v>152</v>
      </c>
      <c r="N288" s="30"/>
    </row>
    <row r="289" customFormat="false" ht="15" hidden="false" customHeight="false" outlineLevel="0" collapsed="false">
      <c r="A289" s="30" t="s">
        <v>19</v>
      </c>
      <c r="B289" s="30" t="s">
        <v>209</v>
      </c>
      <c r="C289" s="26" t="s">
        <v>452</v>
      </c>
      <c r="D289" s="8" t="n">
        <v>1402</v>
      </c>
      <c r="E289" s="9" t="n">
        <v>0.956</v>
      </c>
      <c r="F289" s="25" t="n">
        <v>25</v>
      </c>
      <c r="G289" s="8" t="n">
        <v>165</v>
      </c>
      <c r="H289" s="8" t="n">
        <v>2</v>
      </c>
      <c r="I289" s="33" t="n">
        <v>0.0121212121212121</v>
      </c>
      <c r="J289" s="8" t="n">
        <v>1</v>
      </c>
      <c r="K289" s="11" t="n">
        <v>0.713266761768902</v>
      </c>
      <c r="L289" s="30"/>
      <c r="M289" s="30"/>
      <c r="N289" s="30" t="s">
        <v>152</v>
      </c>
    </row>
    <row r="290" customFormat="false" ht="15" hidden="false" customHeight="false" outlineLevel="0" collapsed="false">
      <c r="A290" s="30" t="s">
        <v>19</v>
      </c>
      <c r="B290" s="30" t="s">
        <v>209</v>
      </c>
      <c r="C290" s="26" t="s">
        <v>453</v>
      </c>
      <c r="D290" s="8" t="n">
        <v>1165</v>
      </c>
      <c r="E290" s="9" t="n">
        <v>0.6215</v>
      </c>
      <c r="F290" s="25" t="n">
        <v>16</v>
      </c>
      <c r="G290" s="8" t="n">
        <v>175</v>
      </c>
      <c r="H290" s="8" t="n">
        <v>2</v>
      </c>
      <c r="I290" s="33" t="n">
        <v>0.0114285714285714</v>
      </c>
      <c r="J290" s="8" t="n">
        <v>1</v>
      </c>
      <c r="K290" s="11" t="n">
        <v>0.858369098712446</v>
      </c>
      <c r="L290" s="30"/>
      <c r="M290" s="30"/>
      <c r="N290" s="30" t="s">
        <v>152</v>
      </c>
    </row>
    <row r="291" customFormat="false" ht="15" hidden="false" customHeight="false" outlineLevel="0" collapsed="false">
      <c r="A291" s="30" t="s">
        <v>19</v>
      </c>
      <c r="B291" s="30" t="s">
        <v>126</v>
      </c>
      <c r="C291" s="26" t="s">
        <v>454</v>
      </c>
      <c r="D291" s="8" t="n">
        <v>2339</v>
      </c>
      <c r="E291" s="9" t="n">
        <v>0.3431</v>
      </c>
      <c r="F291" s="25" t="n">
        <v>10</v>
      </c>
      <c r="G291" s="8" t="n">
        <v>48</v>
      </c>
      <c r="H291" s="8"/>
      <c r="I291" s="10"/>
      <c r="J291" s="8" t="n">
        <v>0</v>
      </c>
      <c r="K291" s="11" t="n">
        <v>0</v>
      </c>
      <c r="L291" s="30" t="s">
        <v>152</v>
      </c>
      <c r="M291" s="30" t="s">
        <v>152</v>
      </c>
      <c r="N291" s="30"/>
    </row>
    <row r="292" customFormat="false" ht="15" hidden="false" customHeight="false" outlineLevel="0" collapsed="false">
      <c r="A292" s="30" t="s">
        <v>19</v>
      </c>
      <c r="B292" s="30" t="s">
        <v>122</v>
      </c>
      <c r="C292" s="26" t="s">
        <v>455</v>
      </c>
      <c r="D292" s="8" t="n">
        <v>2232</v>
      </c>
      <c r="E292" s="9" t="n">
        <v>0.8627</v>
      </c>
      <c r="F292" s="25" t="n">
        <v>26</v>
      </c>
      <c r="G292" s="8" t="n">
        <v>156</v>
      </c>
      <c r="H292" s="8" t="n">
        <v>3</v>
      </c>
      <c r="I292" s="33" t="n">
        <v>0.0192307692307692</v>
      </c>
      <c r="J292" s="8" t="n">
        <v>0</v>
      </c>
      <c r="K292" s="11" t="n">
        <v>0</v>
      </c>
      <c r="L292" s="30" t="s">
        <v>152</v>
      </c>
      <c r="M292" s="30" t="s">
        <v>152</v>
      </c>
      <c r="N292" s="30"/>
    </row>
    <row r="293" customFormat="false" ht="15" hidden="false" customHeight="false" outlineLevel="0" collapsed="false">
      <c r="A293" s="30" t="s">
        <v>19</v>
      </c>
      <c r="B293" s="30" t="s">
        <v>115</v>
      </c>
      <c r="C293" s="26" t="s">
        <v>456</v>
      </c>
      <c r="D293" s="8" t="n">
        <v>1943</v>
      </c>
      <c r="E293" s="9" t="n">
        <v>0.7665</v>
      </c>
      <c r="F293" s="25" t="n">
        <v>25</v>
      </c>
      <c r="G293" s="8" t="n">
        <v>81</v>
      </c>
      <c r="H293" s="8" t="n">
        <v>2</v>
      </c>
      <c r="I293" s="33" t="n">
        <v>0.0246913580246914</v>
      </c>
      <c r="J293" s="8" t="n">
        <v>0</v>
      </c>
      <c r="K293" s="11" t="n">
        <v>0</v>
      </c>
      <c r="L293" s="30" t="s">
        <v>152</v>
      </c>
      <c r="M293" s="30" t="s">
        <v>152</v>
      </c>
      <c r="N293" s="30"/>
    </row>
    <row r="294" customFormat="false" ht="15" hidden="false" customHeight="false" outlineLevel="0" collapsed="false">
      <c r="A294" s="30" t="s">
        <v>19</v>
      </c>
      <c r="B294" s="30" t="s">
        <v>248</v>
      </c>
      <c r="C294" s="26" t="s">
        <v>457</v>
      </c>
      <c r="D294" s="8" t="n">
        <v>1914</v>
      </c>
      <c r="E294" s="9" t="n">
        <v>0.5442</v>
      </c>
      <c r="F294" s="25" t="n">
        <v>17</v>
      </c>
      <c r="G294" s="8" t="n">
        <v>112</v>
      </c>
      <c r="H294" s="8" t="n">
        <v>1</v>
      </c>
      <c r="I294" s="32" t="n">
        <v>0.00892857142857143</v>
      </c>
      <c r="J294" s="8" t="n">
        <v>0</v>
      </c>
      <c r="K294" s="11" t="n">
        <v>0</v>
      </c>
      <c r="L294" s="30"/>
      <c r="M294" s="30"/>
      <c r="N294" s="30" t="s">
        <v>152</v>
      </c>
    </row>
    <row r="295" customFormat="false" ht="15" hidden="false" customHeight="false" outlineLevel="0" collapsed="false">
      <c r="A295" s="30" t="s">
        <v>19</v>
      </c>
      <c r="B295" s="30" t="s">
        <v>140</v>
      </c>
      <c r="C295" s="26" t="s">
        <v>458</v>
      </c>
      <c r="D295" s="8" t="n">
        <v>1887</v>
      </c>
      <c r="E295" s="9" t="n">
        <v>0.502</v>
      </c>
      <c r="F295" s="25" t="n">
        <v>17</v>
      </c>
      <c r="G295" s="8" t="n">
        <v>115</v>
      </c>
      <c r="H295" s="8"/>
      <c r="I295" s="32" t="n">
        <v>0</v>
      </c>
      <c r="J295" s="8" t="n">
        <v>0</v>
      </c>
      <c r="K295" s="11" t="n">
        <v>0</v>
      </c>
      <c r="L295" s="30"/>
      <c r="M295" s="30"/>
      <c r="N295" s="30"/>
    </row>
    <row r="296" customFormat="false" ht="15" hidden="false" customHeight="false" outlineLevel="0" collapsed="false">
      <c r="A296" s="30" t="s">
        <v>19</v>
      </c>
      <c r="B296" s="30" t="s">
        <v>270</v>
      </c>
      <c r="C296" s="26" t="s">
        <v>459</v>
      </c>
      <c r="D296" s="8" t="n">
        <v>1703</v>
      </c>
      <c r="E296" s="9" t="n">
        <v>0.4958</v>
      </c>
      <c r="F296" s="25" t="n">
        <v>13</v>
      </c>
      <c r="G296" s="8" t="n">
        <v>164</v>
      </c>
      <c r="H296" s="8" t="n">
        <v>2</v>
      </c>
      <c r="I296" s="33" t="n">
        <v>0.0121951219512195</v>
      </c>
      <c r="J296" s="8" t="n">
        <v>0</v>
      </c>
      <c r="K296" s="11" t="n">
        <v>0</v>
      </c>
      <c r="L296" s="30"/>
      <c r="M296" s="30"/>
      <c r="N296" s="30"/>
    </row>
    <row r="297" customFormat="false" ht="15" hidden="false" customHeight="false" outlineLevel="0" collapsed="false">
      <c r="A297" s="30" t="s">
        <v>19</v>
      </c>
      <c r="B297" s="30" t="s">
        <v>164</v>
      </c>
      <c r="C297" s="26" t="s">
        <v>460</v>
      </c>
      <c r="D297" s="8" t="n">
        <v>1692</v>
      </c>
      <c r="E297" s="9" t="n">
        <v>0.3869</v>
      </c>
      <c r="F297" s="25" t="n">
        <v>10</v>
      </c>
      <c r="G297" s="8" t="n">
        <v>178</v>
      </c>
      <c r="H297" s="8" t="n">
        <v>3</v>
      </c>
      <c r="I297" s="33" t="n">
        <v>0.0168539325842697</v>
      </c>
      <c r="J297" s="8" t="n">
        <v>0</v>
      </c>
      <c r="K297" s="11" t="n">
        <v>0</v>
      </c>
      <c r="L297" s="30"/>
      <c r="M297" s="30"/>
      <c r="N297" s="30"/>
    </row>
    <row r="298" customFormat="false" ht="15" hidden="false" customHeight="false" outlineLevel="0" collapsed="false">
      <c r="A298" s="30" t="s">
        <v>19</v>
      </c>
      <c r="B298" s="30" t="s">
        <v>124</v>
      </c>
      <c r="C298" s="30" t="s">
        <v>461</v>
      </c>
      <c r="D298" s="8" t="n">
        <v>1667</v>
      </c>
      <c r="E298" s="9" t="n">
        <v>0.7662</v>
      </c>
      <c r="F298" s="25" t="n">
        <v>26</v>
      </c>
      <c r="G298" s="8" t="n">
        <v>344</v>
      </c>
      <c r="H298" s="8" t="n">
        <v>7</v>
      </c>
      <c r="I298" s="33" t="n">
        <v>0.0203488372093023</v>
      </c>
      <c r="J298" s="8" t="n">
        <v>0</v>
      </c>
      <c r="K298" s="11" t="n">
        <v>0</v>
      </c>
      <c r="L298" s="30"/>
      <c r="M298" s="30"/>
      <c r="N298" s="30"/>
    </row>
    <row r="299" customFormat="false" ht="15" hidden="false" customHeight="false" outlineLevel="0" collapsed="false">
      <c r="A299" s="30" t="s">
        <v>19</v>
      </c>
      <c r="B299" s="30" t="s">
        <v>245</v>
      </c>
      <c r="C299" s="26" t="s">
        <v>462</v>
      </c>
      <c r="D299" s="8" t="n">
        <v>1648</v>
      </c>
      <c r="E299" s="9" t="n">
        <v>0.529</v>
      </c>
      <c r="F299" s="25" t="n">
        <v>16</v>
      </c>
      <c r="G299" s="8" t="n">
        <v>345</v>
      </c>
      <c r="H299" s="8" t="n">
        <v>6</v>
      </c>
      <c r="I299" s="33" t="n">
        <v>0.0173913043478261</v>
      </c>
      <c r="J299" s="8" t="n">
        <v>0</v>
      </c>
      <c r="K299" s="11" t="n">
        <v>0</v>
      </c>
      <c r="L299" s="30"/>
      <c r="M299" s="30" t="s">
        <v>152</v>
      </c>
      <c r="N299" s="30"/>
    </row>
    <row r="300" customFormat="false" ht="15" hidden="false" customHeight="false" outlineLevel="0" collapsed="false">
      <c r="A300" s="30" t="s">
        <v>19</v>
      </c>
      <c r="B300" s="30" t="s">
        <v>146</v>
      </c>
      <c r="C300" s="26" t="s">
        <v>463</v>
      </c>
      <c r="D300" s="8" t="n">
        <v>1462</v>
      </c>
      <c r="E300" s="9" t="n">
        <v>0.655</v>
      </c>
      <c r="F300" s="25" t="n">
        <v>18</v>
      </c>
      <c r="G300" s="8" t="n">
        <v>771</v>
      </c>
      <c r="H300" s="8" t="n">
        <v>10</v>
      </c>
      <c r="I300" s="33" t="n">
        <v>0.012970168612192</v>
      </c>
      <c r="J300" s="8" t="n">
        <v>0</v>
      </c>
      <c r="K300" s="11" t="n">
        <v>0</v>
      </c>
      <c r="L300" s="30"/>
      <c r="M300" s="30"/>
      <c r="N300" s="30"/>
    </row>
    <row r="301" customFormat="false" ht="15" hidden="false" customHeight="false" outlineLevel="0" collapsed="false">
      <c r="A301" s="30" t="s">
        <v>19</v>
      </c>
      <c r="B301" s="30" t="s">
        <v>175</v>
      </c>
      <c r="C301" s="26" t="s">
        <v>464</v>
      </c>
      <c r="D301" s="8" t="n">
        <v>1460</v>
      </c>
      <c r="E301" s="9" t="n">
        <v>0.5318</v>
      </c>
      <c r="F301" s="25" t="n">
        <v>17</v>
      </c>
      <c r="G301" s="8" t="n">
        <v>130</v>
      </c>
      <c r="H301" s="8" t="n">
        <v>4</v>
      </c>
      <c r="I301" s="34" t="n">
        <v>0.0307692307692308</v>
      </c>
      <c r="J301" s="8" t="n">
        <v>0</v>
      </c>
      <c r="K301" s="11" t="n">
        <v>0</v>
      </c>
      <c r="L301" s="30"/>
      <c r="M301" s="30"/>
      <c r="N301" s="30" t="s">
        <v>152</v>
      </c>
    </row>
    <row r="302" customFormat="false" ht="15" hidden="false" customHeight="false" outlineLevel="0" collapsed="false">
      <c r="A302" s="30" t="s">
        <v>19</v>
      </c>
      <c r="B302" s="30" t="s">
        <v>124</v>
      </c>
      <c r="C302" s="26" t="s">
        <v>465</v>
      </c>
      <c r="D302" s="8" t="n">
        <v>1299</v>
      </c>
      <c r="E302" s="9" t="n">
        <v>0.4745</v>
      </c>
      <c r="F302" s="25" t="n">
        <v>13</v>
      </c>
      <c r="G302" s="8" t="n">
        <v>96</v>
      </c>
      <c r="H302" s="8" t="n">
        <v>4</v>
      </c>
      <c r="I302" s="34" t="n">
        <v>0.0416666666666667</v>
      </c>
      <c r="J302" s="8" t="n">
        <v>0</v>
      </c>
      <c r="K302" s="11" t="n">
        <v>0</v>
      </c>
      <c r="L302" s="30"/>
      <c r="M302" s="30"/>
      <c r="N302" s="30" t="s">
        <v>152</v>
      </c>
    </row>
    <row r="303" customFormat="false" ht="15" hidden="false" customHeight="false" outlineLevel="0" collapsed="false">
      <c r="A303" s="30" t="s">
        <v>19</v>
      </c>
      <c r="B303" s="30" t="s">
        <v>245</v>
      </c>
      <c r="C303" s="26" t="s">
        <v>466</v>
      </c>
      <c r="D303" s="8" t="n">
        <v>1273</v>
      </c>
      <c r="E303" s="9" t="n">
        <v>0.5441</v>
      </c>
      <c r="F303" s="25" t="n">
        <v>13</v>
      </c>
      <c r="G303" s="8" t="n">
        <v>138</v>
      </c>
      <c r="H303" s="8" t="n">
        <v>4</v>
      </c>
      <c r="I303" s="34" t="n">
        <v>0.0289855072463768</v>
      </c>
      <c r="J303" s="8" t="n">
        <v>0</v>
      </c>
      <c r="K303" s="11" t="n">
        <v>0</v>
      </c>
      <c r="L303" s="30"/>
      <c r="M303" s="30" t="s">
        <v>152</v>
      </c>
      <c r="N303" s="30"/>
    </row>
    <row r="304" customFormat="false" ht="15" hidden="false" customHeight="false" outlineLevel="0" collapsed="false">
      <c r="A304" s="30" t="s">
        <v>19</v>
      </c>
      <c r="B304" s="30" t="s">
        <v>308</v>
      </c>
      <c r="C304" s="30" t="s">
        <v>467</v>
      </c>
      <c r="D304" s="8" t="n">
        <v>1167</v>
      </c>
      <c r="E304" s="9" t="n">
        <v>0.5797</v>
      </c>
      <c r="F304" s="25" t="n">
        <v>13</v>
      </c>
      <c r="G304" s="8" t="n">
        <v>241</v>
      </c>
      <c r="H304" s="8" t="n">
        <v>14</v>
      </c>
      <c r="I304" s="34" t="n">
        <v>0.0580912863070539</v>
      </c>
      <c r="J304" s="8" t="n">
        <v>0</v>
      </c>
      <c r="K304" s="11" t="n">
        <v>0</v>
      </c>
      <c r="L304" s="30"/>
      <c r="M304" s="30"/>
      <c r="N304" s="30" t="s">
        <v>152</v>
      </c>
    </row>
    <row r="305" customFormat="false" ht="15" hidden="false" customHeight="false" outlineLevel="0" collapsed="false">
      <c r="A305" s="30" t="s">
        <v>19</v>
      </c>
      <c r="B305" s="30" t="s">
        <v>120</v>
      </c>
      <c r="C305" s="26" t="s">
        <v>468</v>
      </c>
      <c r="D305" s="8" t="n">
        <v>440</v>
      </c>
      <c r="E305" s="9" t="n">
        <v>0.4285</v>
      </c>
      <c r="F305" s="25" t="n">
        <v>19</v>
      </c>
      <c r="G305" s="8" t="n">
        <v>94</v>
      </c>
      <c r="H305" s="8" t="n">
        <v>2</v>
      </c>
      <c r="I305" s="33" t="n">
        <v>0.0212765957446809</v>
      </c>
      <c r="J305" s="8" t="n">
        <v>0</v>
      </c>
      <c r="K305" s="11" t="n">
        <v>0</v>
      </c>
      <c r="L305" s="30" t="s">
        <v>152</v>
      </c>
      <c r="M305" s="30" t="s">
        <v>152</v>
      </c>
      <c r="N305" s="30"/>
    </row>
    <row r="306" customFormat="false" ht="15" hidden="false" customHeight="false" outlineLevel="0" collapsed="false">
      <c r="A306" s="30" t="s">
        <v>19</v>
      </c>
      <c r="B306" s="30" t="s">
        <v>308</v>
      </c>
      <c r="C306" s="30" t="s">
        <v>467</v>
      </c>
      <c r="D306" s="8" t="n">
        <v>226</v>
      </c>
      <c r="E306" s="9" t="n">
        <v>0.5607</v>
      </c>
      <c r="F306" s="25" t="n">
        <v>13</v>
      </c>
      <c r="G306" s="8" t="n">
        <v>10</v>
      </c>
      <c r="H306" s="8"/>
      <c r="I306" s="10"/>
      <c r="J306" s="8" t="n">
        <v>0</v>
      </c>
      <c r="K306" s="11" t="n">
        <v>0</v>
      </c>
      <c r="L306" s="30"/>
      <c r="M306" s="30"/>
      <c r="N306" s="30" t="s">
        <v>152</v>
      </c>
    </row>
    <row r="307" customFormat="false" ht="15" hidden="false" customHeight="false" outlineLevel="0" collapsed="false">
      <c r="A307" s="30" t="s">
        <v>19</v>
      </c>
      <c r="B307" s="30" t="s">
        <v>209</v>
      </c>
      <c r="C307" s="30" t="s">
        <v>469</v>
      </c>
      <c r="D307" s="8" t="n">
        <v>8</v>
      </c>
      <c r="E307" s="9" t="n">
        <v>0.7206</v>
      </c>
      <c r="F307" s="25" t="n">
        <v>19</v>
      </c>
      <c r="G307" s="8" t="n">
        <v>114</v>
      </c>
      <c r="H307" s="8" t="n">
        <v>1</v>
      </c>
      <c r="I307" s="32" t="n">
        <v>0.0087719298245614</v>
      </c>
      <c r="J307" s="8" t="n">
        <v>0</v>
      </c>
      <c r="K307" s="11" t="n">
        <v>0</v>
      </c>
      <c r="L307" s="30"/>
      <c r="M307" s="30"/>
      <c r="N307" s="30"/>
    </row>
  </sheetData>
  <autoFilter ref="A3:N30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20"/>
    <col collapsed="false" customWidth="true" hidden="false" outlineLevel="0" max="4" min="4" style="0" width="60"/>
    <col collapsed="false" customWidth="true" hidden="false" outlineLevel="0" max="5" min="5" style="0" width="12"/>
    <col collapsed="false" customWidth="true" hidden="false" outlineLevel="0" max="6" min="6" style="0" width="40"/>
  </cols>
  <sheetData>
    <row r="1" customFormat="false" ht="21.6" hidden="false" customHeight="false" outlineLevel="0" collapsed="false">
      <c r="A1" s="23" t="s">
        <v>470</v>
      </c>
    </row>
    <row r="3" customFormat="false" ht="30" hidden="false" customHeight="true" outlineLevel="0" collapsed="false">
      <c r="A3" s="6" t="s">
        <v>471</v>
      </c>
      <c r="B3" s="5" t="s">
        <v>472</v>
      </c>
      <c r="C3" s="5" t="s">
        <v>473</v>
      </c>
      <c r="D3" s="5" t="s">
        <v>474</v>
      </c>
      <c r="E3" s="5" t="s">
        <v>475</v>
      </c>
      <c r="F3" s="5" t="s">
        <v>476</v>
      </c>
    </row>
    <row r="4" customFormat="false" ht="45.75" hidden="false" customHeight="true" outlineLevel="0" collapsed="false">
      <c r="A4" s="30" t="s">
        <v>23</v>
      </c>
      <c r="B4" s="30" t="s">
        <v>16</v>
      </c>
      <c r="C4" s="35" t="s">
        <v>477</v>
      </c>
      <c r="D4" s="35" t="s">
        <v>478</v>
      </c>
      <c r="E4" s="36" t="s">
        <v>479</v>
      </c>
      <c r="F4" s="37" t="s">
        <v>480</v>
      </c>
    </row>
    <row r="5" customFormat="false" ht="45.75" hidden="false" customHeight="true" outlineLevel="0" collapsed="false">
      <c r="A5" s="30" t="s">
        <v>26</v>
      </c>
      <c r="B5" s="30" t="s">
        <v>16</v>
      </c>
      <c r="C5" s="35" t="s">
        <v>481</v>
      </c>
      <c r="D5" s="37" t="s">
        <v>482</v>
      </c>
      <c r="E5" s="38" t="s">
        <v>483</v>
      </c>
      <c r="F5" s="37" t="s">
        <v>484</v>
      </c>
    </row>
    <row r="6" customFormat="false" ht="45.75" hidden="false" customHeight="true" outlineLevel="0" collapsed="false">
      <c r="A6" s="30" t="s">
        <v>29</v>
      </c>
      <c r="B6" s="30" t="s">
        <v>16</v>
      </c>
      <c r="C6" s="35" t="s">
        <v>485</v>
      </c>
      <c r="D6" s="37" t="s">
        <v>486</v>
      </c>
      <c r="E6" s="39" t="s">
        <v>487</v>
      </c>
      <c r="F6" s="37" t="s">
        <v>488</v>
      </c>
    </row>
    <row r="7" customFormat="false" ht="45.75" hidden="false" customHeight="true" outlineLevel="0" collapsed="false">
      <c r="A7" s="30" t="s">
        <v>32</v>
      </c>
      <c r="B7" s="30" t="s">
        <v>19</v>
      </c>
      <c r="C7" s="35" t="s">
        <v>489</v>
      </c>
      <c r="D7" s="37" t="s">
        <v>490</v>
      </c>
      <c r="E7" s="36" t="s">
        <v>479</v>
      </c>
      <c r="F7" s="37" t="s">
        <v>491</v>
      </c>
    </row>
    <row r="8" customFormat="false" ht="45.75" hidden="false" customHeight="true" outlineLevel="0" collapsed="false">
      <c r="A8" s="30" t="s">
        <v>35</v>
      </c>
      <c r="B8" s="30" t="s">
        <v>19</v>
      </c>
      <c r="C8" s="35" t="s">
        <v>492</v>
      </c>
      <c r="D8" s="37" t="s">
        <v>493</v>
      </c>
      <c r="E8" s="36" t="s">
        <v>479</v>
      </c>
      <c r="F8" s="37" t="s">
        <v>491</v>
      </c>
    </row>
    <row r="9" customFormat="false" ht="45.75" hidden="false" customHeight="true" outlineLevel="0" collapsed="false">
      <c r="A9" s="30" t="s">
        <v>38</v>
      </c>
      <c r="B9" s="30" t="s">
        <v>19</v>
      </c>
      <c r="C9" s="35" t="s">
        <v>494</v>
      </c>
      <c r="D9" s="35" t="s">
        <v>495</v>
      </c>
      <c r="E9" s="39" t="s">
        <v>487</v>
      </c>
      <c r="F9" s="37" t="s">
        <v>484</v>
      </c>
    </row>
    <row r="10" customFormat="false" ht="45.75" hidden="false" customHeight="true" outlineLevel="0" collapsed="false">
      <c r="A10" s="30" t="s">
        <v>41</v>
      </c>
      <c r="B10" s="30" t="s">
        <v>19</v>
      </c>
      <c r="C10" s="35" t="s">
        <v>496</v>
      </c>
      <c r="D10" s="35" t="s">
        <v>497</v>
      </c>
      <c r="E10" s="36" t="s">
        <v>479</v>
      </c>
      <c r="F10" s="37" t="s">
        <v>498</v>
      </c>
    </row>
    <row r="11" customFormat="false" ht="45.75" hidden="false" customHeight="true" outlineLevel="0" collapsed="false">
      <c r="A11" s="30" t="s">
        <v>44</v>
      </c>
      <c r="B11" s="30" t="s">
        <v>17</v>
      </c>
      <c r="C11" s="35" t="s">
        <v>499</v>
      </c>
      <c r="D11" s="37" t="s">
        <v>500</v>
      </c>
      <c r="E11" s="36" t="s">
        <v>479</v>
      </c>
      <c r="F11" s="37" t="s">
        <v>491</v>
      </c>
    </row>
    <row r="12" customFormat="false" ht="45.75" hidden="false" customHeight="true" outlineLevel="0" collapsed="false">
      <c r="A12" s="30" t="s">
        <v>501</v>
      </c>
      <c r="B12" s="30" t="s">
        <v>17</v>
      </c>
      <c r="C12" s="35" t="s">
        <v>502</v>
      </c>
      <c r="D12" s="35" t="s">
        <v>503</v>
      </c>
      <c r="E12" s="39" t="s">
        <v>487</v>
      </c>
      <c r="F12" s="37" t="s">
        <v>484</v>
      </c>
    </row>
    <row r="13" customFormat="false" ht="45.75" hidden="false" customHeight="true" outlineLevel="0" collapsed="false">
      <c r="A13" s="30" t="s">
        <v>504</v>
      </c>
      <c r="B13" s="30" t="s">
        <v>18</v>
      </c>
      <c r="C13" s="35" t="s">
        <v>505</v>
      </c>
      <c r="D13" s="37" t="s">
        <v>506</v>
      </c>
      <c r="E13" s="38" t="s">
        <v>483</v>
      </c>
      <c r="F13" s="37" t="s">
        <v>480</v>
      </c>
    </row>
    <row r="14" customFormat="false" ht="45.75" hidden="false" customHeight="true" outlineLevel="0" collapsed="false">
      <c r="A14" s="30" t="s">
        <v>507</v>
      </c>
      <c r="B14" s="30" t="s">
        <v>18</v>
      </c>
      <c r="C14" s="35" t="s">
        <v>508</v>
      </c>
      <c r="D14" s="35" t="s">
        <v>509</v>
      </c>
      <c r="E14" s="39" t="s">
        <v>487</v>
      </c>
      <c r="F14" s="37" t="s">
        <v>491</v>
      </c>
    </row>
    <row r="15" customFormat="false" ht="45.75" hidden="false" customHeight="true" outlineLevel="0" collapsed="false">
      <c r="A15" s="30" t="s">
        <v>510</v>
      </c>
      <c r="B15" s="26" t="s">
        <v>511</v>
      </c>
      <c r="C15" s="35" t="s">
        <v>512</v>
      </c>
      <c r="D15" s="35" t="s">
        <v>513</v>
      </c>
      <c r="E15" s="38" t="s">
        <v>514</v>
      </c>
      <c r="F15" s="37" t="s">
        <v>515</v>
      </c>
    </row>
    <row r="16" customFormat="false" ht="45.75" hidden="false" customHeight="true" outlineLevel="0" collapsed="false">
      <c r="A16" s="30" t="s">
        <v>516</v>
      </c>
      <c r="B16" s="30" t="s">
        <v>517</v>
      </c>
      <c r="C16" s="35" t="s">
        <v>518</v>
      </c>
      <c r="D16" s="35" t="s">
        <v>519</v>
      </c>
      <c r="E16" s="39" t="s">
        <v>487</v>
      </c>
      <c r="F16" s="37" t="s">
        <v>520</v>
      </c>
    </row>
    <row r="17" customFormat="false" ht="45.75" hidden="false" customHeight="true" outlineLevel="0" collapsed="false">
      <c r="A17" s="30" t="s">
        <v>521</v>
      </c>
      <c r="B17" s="30" t="s">
        <v>19</v>
      </c>
      <c r="C17" s="35" t="s">
        <v>522</v>
      </c>
      <c r="D17" s="37" t="s">
        <v>523</v>
      </c>
      <c r="E17" s="39" t="s">
        <v>487</v>
      </c>
      <c r="F17" s="37" t="s">
        <v>524</v>
      </c>
    </row>
    <row r="18" customFormat="false" ht="45.75" hidden="false" customHeight="true" outlineLevel="0" collapsed="false">
      <c r="A18" s="30" t="s">
        <v>525</v>
      </c>
      <c r="B18" s="30" t="s">
        <v>526</v>
      </c>
      <c r="C18" s="35" t="s">
        <v>527</v>
      </c>
      <c r="D18" s="35" t="s">
        <v>528</v>
      </c>
      <c r="E18" s="38" t="s">
        <v>514</v>
      </c>
      <c r="F18" s="37" t="s">
        <v>529</v>
      </c>
    </row>
    <row r="19" customFormat="false" ht="45.75" hidden="false" customHeight="true" outlineLevel="0" collapsed="false">
      <c r="A19" s="30" t="s">
        <v>530</v>
      </c>
      <c r="B19" s="26" t="s">
        <v>511</v>
      </c>
      <c r="C19" s="37" t="s">
        <v>531</v>
      </c>
      <c r="D19" s="37" t="s">
        <v>532</v>
      </c>
      <c r="E19" s="38" t="s">
        <v>533</v>
      </c>
      <c r="F19" s="37" t="s">
        <v>534</v>
      </c>
    </row>
    <row r="20" customFormat="false" ht="45.75" hidden="false" customHeight="true" outlineLevel="0" collapsed="false">
      <c r="A20" s="30" t="s">
        <v>535</v>
      </c>
      <c r="B20" s="30" t="s">
        <v>536</v>
      </c>
      <c r="C20" s="37" t="s">
        <v>537</v>
      </c>
      <c r="D20" s="35" t="s">
        <v>538</v>
      </c>
      <c r="E20" s="38" t="s">
        <v>533</v>
      </c>
      <c r="F20" s="37" t="s">
        <v>539</v>
      </c>
    </row>
    <row r="21" customFormat="false" ht="45.75" hidden="false" customHeight="true" outlineLevel="0" collapsed="false">
      <c r="A21" s="30" t="s">
        <v>540</v>
      </c>
      <c r="B21" s="30" t="s">
        <v>16</v>
      </c>
      <c r="C21" s="35" t="s">
        <v>541</v>
      </c>
      <c r="D21" s="35" t="s">
        <v>542</v>
      </c>
      <c r="E21" s="39" t="s">
        <v>487</v>
      </c>
      <c r="F21" s="37" t="s">
        <v>543</v>
      </c>
    </row>
    <row r="22" customFormat="false" ht="45.75" hidden="false" customHeight="true" outlineLevel="0" collapsed="false">
      <c r="A22" s="30" t="s">
        <v>544</v>
      </c>
      <c r="B22" s="30" t="s">
        <v>545</v>
      </c>
      <c r="C22" s="35" t="s">
        <v>546</v>
      </c>
      <c r="D22" s="35" t="s">
        <v>547</v>
      </c>
      <c r="E22" s="38" t="s">
        <v>533</v>
      </c>
      <c r="F22" s="37" t="s">
        <v>488</v>
      </c>
    </row>
    <row r="23" customFormat="false" ht="45.75" hidden="false" customHeight="true" outlineLevel="0" collapsed="false">
      <c r="A23" s="30" t="s">
        <v>548</v>
      </c>
      <c r="B23" s="30" t="s">
        <v>17</v>
      </c>
      <c r="C23" s="37" t="s">
        <v>549</v>
      </c>
      <c r="D23" s="35" t="s">
        <v>550</v>
      </c>
      <c r="E23" s="38" t="s">
        <v>533</v>
      </c>
      <c r="F23" s="37" t="s">
        <v>534</v>
      </c>
    </row>
    <row r="24" customFormat="false" ht="45.75" hidden="false" customHeight="true" outlineLevel="0" collapsed="false">
      <c r="A24" s="30" t="s">
        <v>551</v>
      </c>
      <c r="B24" s="30" t="s">
        <v>19</v>
      </c>
      <c r="C24" s="37" t="s">
        <v>552</v>
      </c>
      <c r="D24" s="37" t="s">
        <v>553</v>
      </c>
      <c r="E24" s="38" t="s">
        <v>533</v>
      </c>
      <c r="F24" s="37" t="s">
        <v>554</v>
      </c>
    </row>
    <row r="25" customFormat="false" ht="45.75" hidden="false" customHeight="true" outlineLevel="0" collapsed="false">
      <c r="A25" s="30" t="s">
        <v>555</v>
      </c>
      <c r="B25" s="30" t="s">
        <v>17</v>
      </c>
      <c r="C25" s="35" t="s">
        <v>556</v>
      </c>
      <c r="D25" s="37" t="s">
        <v>557</v>
      </c>
      <c r="E25" s="36" t="s">
        <v>479</v>
      </c>
      <c r="F25" s="37" t="s">
        <v>491</v>
      </c>
    </row>
    <row r="26" customFormat="false" ht="45.75" hidden="false" customHeight="true" outlineLevel="0" collapsed="false">
      <c r="A26" s="30" t="s">
        <v>558</v>
      </c>
      <c r="B26" s="30" t="s">
        <v>517</v>
      </c>
      <c r="C26" s="35" t="s">
        <v>559</v>
      </c>
      <c r="D26" s="35" t="s">
        <v>560</v>
      </c>
      <c r="E26" s="38" t="s">
        <v>514</v>
      </c>
      <c r="F26" s="37" t="s">
        <v>561</v>
      </c>
    </row>
    <row r="27" customFormat="false" ht="45.75" hidden="false" customHeight="true" outlineLevel="0" collapsed="false">
      <c r="A27" s="30" t="s">
        <v>562</v>
      </c>
      <c r="B27" s="30" t="s">
        <v>19</v>
      </c>
      <c r="C27" s="35" t="s">
        <v>563</v>
      </c>
      <c r="D27" s="35" t="s">
        <v>564</v>
      </c>
      <c r="E27" s="39" t="s">
        <v>487</v>
      </c>
      <c r="F27" s="37" t="s">
        <v>491</v>
      </c>
    </row>
    <row r="29" customFormat="false" ht="15" hidden="false" customHeight="false" outlineLevel="0" collapsed="false">
      <c r="A29" s="4" t="s">
        <v>565</v>
      </c>
    </row>
    <row r="30" customFormat="false" ht="30" hidden="false" customHeight="true" outlineLevel="0" collapsed="false">
      <c r="A30" s="6" t="s">
        <v>471</v>
      </c>
      <c r="B30" s="5" t="s">
        <v>566</v>
      </c>
      <c r="C30" s="5" t="s">
        <v>567</v>
      </c>
      <c r="D30" s="5" t="s">
        <v>568</v>
      </c>
    </row>
    <row r="31" customFormat="false" ht="45.75" hidden="false" customHeight="true" outlineLevel="0" collapsed="false">
      <c r="A31" s="30" t="s">
        <v>23</v>
      </c>
      <c r="B31" s="37" t="s">
        <v>569</v>
      </c>
      <c r="C31" s="26" t="s">
        <v>570</v>
      </c>
      <c r="D31" s="37" t="s">
        <v>571</v>
      </c>
    </row>
    <row r="32" customFormat="false" ht="45.75" hidden="false" customHeight="true" outlineLevel="0" collapsed="false">
      <c r="A32" s="30" t="s">
        <v>26</v>
      </c>
      <c r="B32" s="37" t="s">
        <v>572</v>
      </c>
      <c r="C32" s="26" t="s">
        <v>573</v>
      </c>
      <c r="D32" s="37" t="s">
        <v>574</v>
      </c>
    </row>
    <row r="33" customFormat="false" ht="45.75" hidden="false" customHeight="true" outlineLevel="0" collapsed="false">
      <c r="A33" s="30" t="s">
        <v>29</v>
      </c>
      <c r="B33" s="37" t="s">
        <v>575</v>
      </c>
      <c r="C33" s="26" t="s">
        <v>487</v>
      </c>
      <c r="D33" s="37" t="s">
        <v>576</v>
      </c>
    </row>
    <row r="34" customFormat="false" ht="45.75" hidden="false" customHeight="true" outlineLevel="0" collapsed="false">
      <c r="A34" s="30" t="s">
        <v>32</v>
      </c>
      <c r="B34" s="37" t="s">
        <v>577</v>
      </c>
      <c r="C34" s="26" t="s">
        <v>487</v>
      </c>
      <c r="D34" s="37" t="s">
        <v>578</v>
      </c>
    </row>
    <row r="35" customFormat="false" ht="45.75" hidden="false" customHeight="true" outlineLevel="0" collapsed="false">
      <c r="A35" s="30" t="s">
        <v>35</v>
      </c>
      <c r="B35" s="37" t="s">
        <v>579</v>
      </c>
      <c r="C35" s="26" t="s">
        <v>487</v>
      </c>
      <c r="D35" s="35" t="s">
        <v>580</v>
      </c>
    </row>
    <row r="36" customFormat="false" ht="45.75" hidden="false" customHeight="true" outlineLevel="0" collapsed="false">
      <c r="A36" s="30" t="s">
        <v>38</v>
      </c>
      <c r="B36" s="35" t="s">
        <v>581</v>
      </c>
      <c r="C36" s="26" t="s">
        <v>570</v>
      </c>
      <c r="D36" s="35" t="s">
        <v>582</v>
      </c>
    </row>
    <row r="37" customFormat="false" ht="45.75" hidden="false" customHeight="true" outlineLevel="0" collapsed="false">
      <c r="A37" s="30" t="s">
        <v>41</v>
      </c>
      <c r="B37" s="35" t="s">
        <v>583</v>
      </c>
      <c r="C37" s="26" t="s">
        <v>487</v>
      </c>
      <c r="D37" s="37" t="s">
        <v>584</v>
      </c>
    </row>
    <row r="38" customFormat="false" ht="45.75" hidden="false" customHeight="true" outlineLevel="0" collapsed="false">
      <c r="A38" s="30" t="s">
        <v>44</v>
      </c>
      <c r="B38" s="35" t="s">
        <v>585</v>
      </c>
      <c r="C38" s="26" t="s">
        <v>487</v>
      </c>
      <c r="D38" s="37" t="s">
        <v>586</v>
      </c>
    </row>
    <row r="39" customFormat="false" ht="45.75" hidden="false" customHeight="true" outlineLevel="0" collapsed="false">
      <c r="A39" s="30" t="s">
        <v>501</v>
      </c>
      <c r="B39" s="35" t="s">
        <v>587</v>
      </c>
      <c r="C39" s="26" t="s">
        <v>487</v>
      </c>
      <c r="D39" s="37" t="s">
        <v>588</v>
      </c>
    </row>
    <row r="40" customFormat="false" ht="45.75" hidden="false" customHeight="true" outlineLevel="0" collapsed="false">
      <c r="A40" s="30" t="s">
        <v>504</v>
      </c>
      <c r="B40" s="35" t="s">
        <v>589</v>
      </c>
      <c r="C40" s="26" t="s">
        <v>487</v>
      </c>
      <c r="D40" s="37" t="s">
        <v>590</v>
      </c>
    </row>
    <row r="41" customFormat="false" ht="45.75" hidden="false" customHeight="true" outlineLevel="0" collapsed="false">
      <c r="A41" s="30" t="s">
        <v>507</v>
      </c>
      <c r="B41" s="37" t="s">
        <v>591</v>
      </c>
      <c r="C41" s="26" t="s">
        <v>487</v>
      </c>
      <c r="D41" s="37"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3" min="1" style="0" width="16"/>
    <col collapsed="false" customWidth="true" hidden="false" outlineLevel="0" max="4" min="4" style="0" width="10"/>
    <col collapsed="false" customWidth="true" hidden="false" outlineLevel="0" max="5" min="5" style="0" width="20"/>
    <col collapsed="false" customWidth="true" hidden="false" outlineLevel="0" max="6" min="6" style="0" width="12"/>
  </cols>
  <sheetData>
    <row r="1" customFormat="false" ht="17.35" hidden="false" customHeight="false" outlineLevel="0" collapsed="false">
      <c r="A1" s="23" t="s">
        <v>593</v>
      </c>
    </row>
    <row r="3" customFormat="false" ht="17.15" hidden="false" customHeight="false" outlineLevel="0" collapsed="false">
      <c r="A3" s="4" t="s">
        <v>594</v>
      </c>
    </row>
    <row r="4" customFormat="false" ht="30" hidden="false" customHeight="true" outlineLevel="0" collapsed="false">
      <c r="A4" s="5" t="s">
        <v>5</v>
      </c>
      <c r="B4" s="5" t="s">
        <v>595</v>
      </c>
      <c r="C4" s="5" t="s">
        <v>6</v>
      </c>
      <c r="D4" s="5" t="s">
        <v>596</v>
      </c>
      <c r="E4" s="5" t="s">
        <v>597</v>
      </c>
      <c r="F4" s="5" t="s">
        <v>12</v>
      </c>
    </row>
    <row r="5" customFormat="false" ht="15" hidden="false" customHeight="false" outlineLevel="0" collapsed="false">
      <c r="A5" s="30" t="s">
        <v>20</v>
      </c>
      <c r="B5" s="30" t="s">
        <v>598</v>
      </c>
      <c r="C5" s="8" t="n">
        <v>1</v>
      </c>
      <c r="D5" s="8" t="n">
        <v>1358</v>
      </c>
      <c r="E5" s="9" t="n">
        <v>0.449</v>
      </c>
      <c r="F5" s="8" t="n">
        <v>0</v>
      </c>
    </row>
    <row r="6" customFormat="false" ht="15" hidden="false" customHeight="false" outlineLevel="0" collapsed="false">
      <c r="A6" s="30" t="s">
        <v>20</v>
      </c>
      <c r="B6" s="30" t="s">
        <v>599</v>
      </c>
      <c r="C6" s="8" t="n">
        <v>7</v>
      </c>
      <c r="D6" s="8" t="n">
        <v>1339.71428571429</v>
      </c>
      <c r="E6" s="9" t="n">
        <v>0.542</v>
      </c>
      <c r="F6" s="8" t="n">
        <v>3</v>
      </c>
    </row>
    <row r="7" customFormat="false" ht="15" hidden="false" customHeight="false" outlineLevel="0" collapsed="false">
      <c r="A7" s="30" t="s">
        <v>20</v>
      </c>
      <c r="B7" s="30" t="s">
        <v>600</v>
      </c>
      <c r="C7" s="8" t="n">
        <v>15</v>
      </c>
      <c r="D7" s="8" t="n">
        <v>494.533333333333</v>
      </c>
      <c r="E7" s="9" t="n">
        <v>0.462</v>
      </c>
      <c r="F7" s="8" t="n">
        <v>0</v>
      </c>
    </row>
    <row r="8" customFormat="false" ht="15" hidden="false" customHeight="false" outlineLevel="0" collapsed="false">
      <c r="A8" s="30" t="s">
        <v>17</v>
      </c>
      <c r="B8" s="30" t="s">
        <v>601</v>
      </c>
      <c r="C8" s="8" t="n">
        <v>22</v>
      </c>
      <c r="D8" s="8" t="n">
        <v>519</v>
      </c>
      <c r="E8" s="9"/>
      <c r="F8" s="8" t="n">
        <v>3</v>
      </c>
    </row>
    <row r="9" customFormat="false" ht="15" hidden="false" customHeight="false" outlineLevel="0" collapsed="false">
      <c r="A9" s="30" t="s">
        <v>17</v>
      </c>
      <c r="B9" s="30" t="s">
        <v>602</v>
      </c>
      <c r="C9" s="8" t="n">
        <v>20</v>
      </c>
      <c r="D9" s="8" t="n">
        <v>1034.25</v>
      </c>
      <c r="E9" s="9"/>
      <c r="F9" s="8" t="n">
        <v>6</v>
      </c>
    </row>
    <row r="10" customFormat="false" ht="15" hidden="false" customHeight="false" outlineLevel="0" collapsed="false">
      <c r="A10" s="30" t="s">
        <v>17</v>
      </c>
      <c r="B10" s="30" t="s">
        <v>603</v>
      </c>
      <c r="C10" s="8" t="n">
        <v>20</v>
      </c>
      <c r="D10" s="8" t="n">
        <v>1025.5</v>
      </c>
      <c r="E10" s="9" t="n">
        <v>0.568</v>
      </c>
      <c r="F10" s="8" t="n">
        <v>5</v>
      </c>
    </row>
    <row r="11" customFormat="false" ht="15" hidden="false" customHeight="false" outlineLevel="0" collapsed="false">
      <c r="A11" s="30" t="s">
        <v>17</v>
      </c>
      <c r="B11" s="30" t="s">
        <v>604</v>
      </c>
      <c r="C11" s="8" t="n">
        <v>21</v>
      </c>
      <c r="D11" s="8" t="n">
        <v>797.142857142857</v>
      </c>
      <c r="E11" s="9" t="n">
        <v>0.462</v>
      </c>
      <c r="F11" s="8" t="n">
        <v>7</v>
      </c>
    </row>
    <row r="12" customFormat="false" ht="15" hidden="false" customHeight="false" outlineLevel="0" collapsed="false">
      <c r="A12" s="30" t="s">
        <v>17</v>
      </c>
      <c r="B12" s="30" t="s">
        <v>605</v>
      </c>
      <c r="C12" s="8" t="n">
        <v>14</v>
      </c>
      <c r="D12" s="8" t="n">
        <v>772.928571428571</v>
      </c>
      <c r="E12" s="9" t="n">
        <v>0.568</v>
      </c>
      <c r="F12" s="8" t="n">
        <v>3</v>
      </c>
    </row>
    <row r="13" customFormat="false" ht="15" hidden="false" customHeight="false" outlineLevel="0" collapsed="false">
      <c r="A13" s="30" t="s">
        <v>17</v>
      </c>
      <c r="B13" s="30" t="s">
        <v>606</v>
      </c>
      <c r="C13" s="8" t="n">
        <v>8</v>
      </c>
      <c r="D13" s="8" t="n">
        <v>742.75</v>
      </c>
      <c r="E13" s="9" t="n">
        <v>0.528</v>
      </c>
      <c r="F13" s="8" t="n">
        <v>1</v>
      </c>
    </row>
    <row r="14" customFormat="false" ht="15" hidden="false" customHeight="false" outlineLevel="0" collapsed="false">
      <c r="A14" s="30" t="s">
        <v>17</v>
      </c>
      <c r="B14" s="30" t="s">
        <v>598</v>
      </c>
      <c r="C14" s="8" t="n">
        <v>15</v>
      </c>
      <c r="D14" s="8" t="n">
        <v>977.266666666667</v>
      </c>
      <c r="E14" s="9" t="n">
        <v>1.188</v>
      </c>
      <c r="F14" s="8" t="n">
        <v>9</v>
      </c>
    </row>
    <row r="15" customFormat="false" ht="15" hidden="false" customHeight="false" outlineLevel="0" collapsed="false">
      <c r="A15" s="30" t="s">
        <v>17</v>
      </c>
      <c r="B15" s="30" t="s">
        <v>599</v>
      </c>
      <c r="C15" s="8" t="n">
        <v>8</v>
      </c>
      <c r="D15" s="8" t="n">
        <v>825.625</v>
      </c>
      <c r="E15" s="9" t="n">
        <v>0.471</v>
      </c>
      <c r="F15" s="8" t="n">
        <v>1</v>
      </c>
    </row>
    <row r="16" customFormat="false" ht="15" hidden="false" customHeight="false" outlineLevel="0" collapsed="false">
      <c r="A16" s="30" t="s">
        <v>17</v>
      </c>
      <c r="B16" s="30" t="s">
        <v>600</v>
      </c>
      <c r="C16" s="8" t="n">
        <v>8</v>
      </c>
      <c r="D16" s="8" t="n">
        <v>388.5</v>
      </c>
      <c r="E16" s="9" t="n">
        <v>0.415</v>
      </c>
      <c r="F16" s="8" t="n">
        <v>1</v>
      </c>
    </row>
    <row r="17" customFormat="false" ht="15" hidden="false" customHeight="false" outlineLevel="0" collapsed="false">
      <c r="A17" s="30" t="s">
        <v>18</v>
      </c>
      <c r="B17" s="30" t="s">
        <v>606</v>
      </c>
      <c r="C17" s="8" t="n">
        <v>9</v>
      </c>
      <c r="D17" s="8" t="n">
        <v>1422.33333333333</v>
      </c>
      <c r="E17" s="9" t="n">
        <v>0.787</v>
      </c>
      <c r="F17" s="8" t="n">
        <v>6</v>
      </c>
    </row>
    <row r="18" customFormat="false" ht="15" hidden="false" customHeight="false" outlineLevel="0" collapsed="false">
      <c r="A18" s="30" t="s">
        <v>18</v>
      </c>
      <c r="B18" s="30" t="s">
        <v>598</v>
      </c>
      <c r="C18" s="8" t="n">
        <v>7</v>
      </c>
      <c r="D18" s="8" t="n">
        <v>1456.57142857143</v>
      </c>
      <c r="E18" s="9" t="n">
        <v>0.615</v>
      </c>
      <c r="F18" s="8" t="n">
        <v>4</v>
      </c>
    </row>
    <row r="19" customFormat="false" ht="15" hidden="false" customHeight="false" outlineLevel="0" collapsed="false">
      <c r="A19" s="30" t="s">
        <v>18</v>
      </c>
      <c r="B19" s="30" t="s">
        <v>599</v>
      </c>
      <c r="C19" s="8" t="n">
        <v>6</v>
      </c>
      <c r="D19" s="8" t="n">
        <v>1535.5</v>
      </c>
      <c r="E19" s="9" t="n">
        <v>0.571</v>
      </c>
      <c r="F19" s="8" t="n">
        <v>2</v>
      </c>
    </row>
    <row r="20" customFormat="false" ht="15" hidden="false" customHeight="false" outlineLevel="0" collapsed="false">
      <c r="A20" s="30" t="s">
        <v>18</v>
      </c>
      <c r="B20" s="30" t="s">
        <v>600</v>
      </c>
      <c r="C20" s="8" t="n">
        <v>7</v>
      </c>
      <c r="D20" s="8" t="n">
        <v>701</v>
      </c>
      <c r="E20" s="9" t="n">
        <v>0.55</v>
      </c>
      <c r="F20" s="8" t="n">
        <v>0</v>
      </c>
    </row>
    <row r="21" customFormat="false" ht="15" hidden="false" customHeight="false" outlineLevel="0" collapsed="false">
      <c r="A21" s="30" t="s">
        <v>16</v>
      </c>
      <c r="B21" s="30" t="s">
        <v>601</v>
      </c>
      <c r="C21" s="8" t="n">
        <v>25</v>
      </c>
      <c r="D21" s="8" t="n">
        <v>347.6</v>
      </c>
      <c r="E21" s="9"/>
      <c r="F21" s="8" t="n">
        <v>3</v>
      </c>
    </row>
    <row r="22" customFormat="false" ht="15" hidden="false" customHeight="false" outlineLevel="0" collapsed="false">
      <c r="A22" s="30" t="s">
        <v>16</v>
      </c>
      <c r="B22" s="30" t="s">
        <v>602</v>
      </c>
      <c r="C22" s="8" t="n">
        <v>20</v>
      </c>
      <c r="D22" s="8" t="n">
        <v>735.45</v>
      </c>
      <c r="E22" s="9"/>
      <c r="F22" s="8" t="n">
        <v>15</v>
      </c>
    </row>
    <row r="23" customFormat="false" ht="15" hidden="false" customHeight="false" outlineLevel="0" collapsed="false">
      <c r="A23" s="30" t="s">
        <v>16</v>
      </c>
      <c r="B23" s="30" t="s">
        <v>603</v>
      </c>
      <c r="C23" s="8" t="n">
        <v>20</v>
      </c>
      <c r="D23" s="8" t="n">
        <v>789.8</v>
      </c>
      <c r="E23" s="9" t="n">
        <v>0.508</v>
      </c>
      <c r="F23" s="8" t="n">
        <v>12</v>
      </c>
    </row>
    <row r="24" customFormat="false" ht="15" hidden="false" customHeight="false" outlineLevel="0" collapsed="false">
      <c r="A24" s="30" t="s">
        <v>16</v>
      </c>
      <c r="B24" s="30" t="s">
        <v>604</v>
      </c>
      <c r="C24" s="8" t="n">
        <v>20</v>
      </c>
      <c r="D24" s="8" t="n">
        <v>635.75</v>
      </c>
      <c r="E24" s="9" t="n">
        <v>0.551</v>
      </c>
      <c r="F24" s="8" t="n">
        <v>12</v>
      </c>
    </row>
    <row r="25" customFormat="false" ht="15" hidden="false" customHeight="false" outlineLevel="0" collapsed="false">
      <c r="A25" s="30" t="s">
        <v>16</v>
      </c>
      <c r="B25" s="30" t="s">
        <v>605</v>
      </c>
      <c r="C25" s="8" t="n">
        <v>14</v>
      </c>
      <c r="D25" s="8" t="n">
        <v>657.857142857143</v>
      </c>
      <c r="E25" s="9" t="n">
        <v>0.473</v>
      </c>
      <c r="F25" s="8" t="n">
        <v>10</v>
      </c>
    </row>
    <row r="26" customFormat="false" ht="15" hidden="false" customHeight="false" outlineLevel="0" collapsed="false">
      <c r="A26" s="30" t="s">
        <v>16</v>
      </c>
      <c r="B26" s="30" t="s">
        <v>606</v>
      </c>
      <c r="C26" s="8" t="n">
        <v>8</v>
      </c>
      <c r="D26" s="8" t="n">
        <v>754.875</v>
      </c>
      <c r="E26" s="9" t="n">
        <v>0.398</v>
      </c>
      <c r="F26" s="8" t="n">
        <v>11</v>
      </c>
    </row>
    <row r="27" customFormat="false" ht="15" hidden="false" customHeight="false" outlineLevel="0" collapsed="false">
      <c r="A27" s="30" t="s">
        <v>16</v>
      </c>
      <c r="B27" s="30" t="s">
        <v>598</v>
      </c>
      <c r="C27" s="8" t="n">
        <v>14</v>
      </c>
      <c r="D27" s="8" t="n">
        <v>773.071428571429</v>
      </c>
      <c r="E27" s="9" t="n">
        <v>0.65</v>
      </c>
      <c r="F27" s="8" t="n">
        <v>7</v>
      </c>
    </row>
    <row r="28" customFormat="false" ht="15" hidden="false" customHeight="false" outlineLevel="0" collapsed="false">
      <c r="A28" s="30" t="s">
        <v>16</v>
      </c>
      <c r="B28" s="30" t="s">
        <v>599</v>
      </c>
      <c r="C28" s="8" t="n">
        <v>7</v>
      </c>
      <c r="D28" s="8" t="n">
        <v>834.857142857143</v>
      </c>
      <c r="E28" s="9" t="n">
        <v>0.52</v>
      </c>
      <c r="F28" s="8" t="n">
        <v>3</v>
      </c>
    </row>
    <row r="29" customFormat="false" ht="15" hidden="false" customHeight="false" outlineLevel="0" collapsed="false">
      <c r="A29" s="30" t="s">
        <v>16</v>
      </c>
      <c r="B29" s="30" t="s">
        <v>600</v>
      </c>
      <c r="C29" s="8" t="n">
        <v>9</v>
      </c>
      <c r="D29" s="8" t="n">
        <v>369.888888888889</v>
      </c>
      <c r="E29" s="9" t="n">
        <v>0.491</v>
      </c>
      <c r="F29" s="8" t="n">
        <v>2</v>
      </c>
    </row>
    <row r="30" customFormat="false" ht="15" hidden="false" customHeight="false" outlineLevel="0" collapsed="false">
      <c r="A30" s="30" t="s">
        <v>19</v>
      </c>
      <c r="B30" s="30" t="s">
        <v>606</v>
      </c>
      <c r="C30" s="8" t="n">
        <v>8</v>
      </c>
      <c r="D30" s="8" t="n">
        <v>1014</v>
      </c>
      <c r="E30" s="9" t="n">
        <v>0.633</v>
      </c>
      <c r="F30" s="8" t="n">
        <v>4</v>
      </c>
    </row>
    <row r="31" customFormat="false" ht="15" hidden="false" customHeight="false" outlineLevel="0" collapsed="false">
      <c r="A31" s="30" t="s">
        <v>19</v>
      </c>
      <c r="B31" s="30" t="s">
        <v>598</v>
      </c>
      <c r="C31" s="8" t="n">
        <v>7</v>
      </c>
      <c r="D31" s="8" t="n">
        <v>1565.28571428571</v>
      </c>
      <c r="E31" s="9" t="n">
        <v>0.591</v>
      </c>
      <c r="F31" s="8" t="n">
        <v>4</v>
      </c>
    </row>
    <row r="32" customFormat="false" ht="15" hidden="false" customHeight="false" outlineLevel="0" collapsed="false">
      <c r="A32" s="30" t="s">
        <v>19</v>
      </c>
      <c r="B32" s="30" t="s">
        <v>599</v>
      </c>
      <c r="C32" s="8" t="n">
        <v>6</v>
      </c>
      <c r="D32" s="8" t="n">
        <v>1775.83333333333</v>
      </c>
      <c r="E32" s="9" t="n">
        <v>0.549</v>
      </c>
      <c r="F32" s="8" t="n">
        <v>2</v>
      </c>
    </row>
    <row r="33" customFormat="false" ht="15" hidden="false" customHeight="false" outlineLevel="0" collapsed="false">
      <c r="A33" s="30" t="s">
        <v>19</v>
      </c>
      <c r="B33" s="30" t="s">
        <v>600</v>
      </c>
      <c r="C33" s="8" t="n">
        <v>7</v>
      </c>
      <c r="D33" s="8" t="n">
        <v>668.571428571429</v>
      </c>
      <c r="E33" s="9" t="n">
        <v>0.502</v>
      </c>
      <c r="F33" s="8" t="n">
        <v>1</v>
      </c>
    </row>
    <row r="36" customFormat="false" ht="17.15" hidden="false" customHeight="false" outlineLevel="0" collapsed="false">
      <c r="A36" s="4" t="s">
        <v>607</v>
      </c>
    </row>
    <row r="37" customFormat="false" ht="30" hidden="false" customHeight="true" outlineLevel="0" collapsed="false">
      <c r="A37" s="5" t="s">
        <v>5</v>
      </c>
      <c r="B37" s="5" t="s">
        <v>608</v>
      </c>
      <c r="C37" s="5" t="s">
        <v>609</v>
      </c>
      <c r="D37" s="5" t="s">
        <v>610</v>
      </c>
      <c r="E37" s="5" t="s">
        <v>611</v>
      </c>
    </row>
    <row r="38" customFormat="false" ht="15" hidden="false" customHeight="false" outlineLevel="0" collapsed="false">
      <c r="A38" s="30" t="s">
        <v>17</v>
      </c>
      <c r="B38" s="26" t="s">
        <v>612</v>
      </c>
      <c r="C38" s="40" t="n">
        <v>0.68</v>
      </c>
      <c r="D38" s="26" t="s">
        <v>613</v>
      </c>
      <c r="E38" s="30" t="s">
        <v>614</v>
      </c>
    </row>
    <row r="39" customFormat="false" ht="15" hidden="false" customHeight="false" outlineLevel="0" collapsed="false">
      <c r="A39" s="30" t="s">
        <v>20</v>
      </c>
      <c r="B39" s="26" t="s">
        <v>612</v>
      </c>
      <c r="C39" s="40" t="n">
        <v>0.68</v>
      </c>
      <c r="D39" s="26" t="s">
        <v>615</v>
      </c>
      <c r="E39" s="30" t="s">
        <v>616</v>
      </c>
    </row>
    <row r="40" customFormat="false" ht="15" hidden="false" customHeight="false" outlineLevel="0" collapsed="false">
      <c r="A40" s="30" t="s">
        <v>19</v>
      </c>
      <c r="B40" s="26" t="s">
        <v>617</v>
      </c>
      <c r="C40" s="40" t="n">
        <v>0.68</v>
      </c>
      <c r="D40" s="26" t="s">
        <v>618</v>
      </c>
      <c r="E40" s="30" t="s">
        <v>619</v>
      </c>
    </row>
    <row r="41" customFormat="false" ht="15" hidden="false" customHeight="false" outlineLevel="0" collapsed="false">
      <c r="A41" s="30" t="s">
        <v>20</v>
      </c>
      <c r="B41" s="26" t="s">
        <v>620</v>
      </c>
      <c r="C41" s="40" t="n">
        <v>0.68</v>
      </c>
      <c r="D41" s="26" t="s">
        <v>621</v>
      </c>
      <c r="E41" s="30" t="s">
        <v>622</v>
      </c>
    </row>
    <row r="42" customFormat="false" ht="15" hidden="false" customHeight="false" outlineLevel="0" collapsed="false">
      <c r="A42" s="30" t="s">
        <v>19</v>
      </c>
      <c r="B42" s="26" t="s">
        <v>623</v>
      </c>
      <c r="C42" s="40" t="n">
        <v>0.68</v>
      </c>
      <c r="D42" s="26" t="s">
        <v>624</v>
      </c>
      <c r="E42" s="30" t="s">
        <v>625</v>
      </c>
    </row>
    <row r="43" customFormat="false" ht="15" hidden="false" customHeight="false" outlineLevel="0" collapsed="false">
      <c r="A43" s="30" t="s">
        <v>17</v>
      </c>
      <c r="B43" s="26" t="s">
        <v>626</v>
      </c>
      <c r="C43" s="40" t="n">
        <v>0.68</v>
      </c>
      <c r="D43" s="26" t="s">
        <v>627</v>
      </c>
      <c r="E43" s="30" t="s">
        <v>628</v>
      </c>
    </row>
    <row r="44" customFormat="false" ht="15" hidden="false" customHeight="false" outlineLevel="0" collapsed="false">
      <c r="A44" s="30" t="s">
        <v>20</v>
      </c>
      <c r="B44" s="26" t="s">
        <v>629</v>
      </c>
      <c r="C44" s="40" t="n">
        <v>0.667</v>
      </c>
      <c r="D44" s="26" t="s">
        <v>630</v>
      </c>
      <c r="E44" s="30" t="s">
        <v>631</v>
      </c>
    </row>
    <row r="45" customFormat="false" ht="15" hidden="false" customHeight="false" outlineLevel="0" collapsed="false">
      <c r="A45" s="30" t="s">
        <v>17</v>
      </c>
      <c r="B45" s="26" t="s">
        <v>632</v>
      </c>
      <c r="C45" s="40" t="n">
        <v>0.66</v>
      </c>
      <c r="D45" s="26" t="s">
        <v>633</v>
      </c>
      <c r="E45" s="30" t="s">
        <v>634</v>
      </c>
    </row>
    <row r="46" customFormat="false" ht="15" hidden="false" customHeight="false" outlineLevel="0" collapsed="false">
      <c r="A46" s="30" t="s">
        <v>17</v>
      </c>
      <c r="B46" s="26" t="s">
        <v>635</v>
      </c>
      <c r="C46" s="40" t="n">
        <v>0.66</v>
      </c>
      <c r="D46" s="26" t="s">
        <v>636</v>
      </c>
      <c r="E46" s="30" t="s">
        <v>634</v>
      </c>
    </row>
    <row r="47" customFormat="false" ht="15" hidden="false" customHeight="false" outlineLevel="0" collapsed="false">
      <c r="A47" s="30" t="s">
        <v>20</v>
      </c>
      <c r="B47" s="26" t="s">
        <v>635</v>
      </c>
      <c r="C47" s="40" t="n">
        <v>0.66</v>
      </c>
      <c r="D47" s="26" t="s">
        <v>637</v>
      </c>
      <c r="E47" s="30" t="s">
        <v>638</v>
      </c>
    </row>
    <row r="48" customFormat="false" ht="15" hidden="false" customHeight="false" outlineLevel="0" collapsed="false">
      <c r="A48" s="30" t="s">
        <v>16</v>
      </c>
      <c r="B48" s="26" t="s">
        <v>639</v>
      </c>
      <c r="C48" s="40" t="n">
        <v>0.66</v>
      </c>
      <c r="D48" s="26" t="s">
        <v>640</v>
      </c>
      <c r="E48" s="30" t="s">
        <v>641</v>
      </c>
    </row>
    <row r="49" customFormat="false" ht="15" hidden="false" customHeight="false" outlineLevel="0" collapsed="false">
      <c r="A49" s="30" t="s">
        <v>20</v>
      </c>
      <c r="B49" s="26" t="s">
        <v>639</v>
      </c>
      <c r="C49" s="40" t="n">
        <v>0.66</v>
      </c>
      <c r="D49" s="26" t="s">
        <v>642</v>
      </c>
      <c r="E49" s="30" t="s">
        <v>643</v>
      </c>
    </row>
    <row r="50" customFormat="false" ht="15" hidden="false" customHeight="false" outlineLevel="0" collapsed="false">
      <c r="A50" s="30" t="s">
        <v>20</v>
      </c>
      <c r="B50" s="26" t="s">
        <v>644</v>
      </c>
      <c r="C50" s="40" t="n">
        <v>0.66</v>
      </c>
      <c r="D50" s="26" t="s">
        <v>645</v>
      </c>
      <c r="E50" s="30" t="s">
        <v>646</v>
      </c>
    </row>
    <row r="51" customFormat="false" ht="15" hidden="false" customHeight="false" outlineLevel="0" collapsed="false">
      <c r="A51" s="30" t="s">
        <v>16</v>
      </c>
      <c r="B51" s="26" t="s">
        <v>647</v>
      </c>
      <c r="C51" s="40" t="n">
        <v>0.64</v>
      </c>
      <c r="D51" s="26" t="s">
        <v>648</v>
      </c>
      <c r="E51" s="30" t="s">
        <v>649</v>
      </c>
    </row>
    <row r="52" customFormat="false" ht="15" hidden="false" customHeight="false" outlineLevel="0" collapsed="false">
      <c r="A52" s="30" t="s">
        <v>17</v>
      </c>
      <c r="B52" s="26" t="s">
        <v>647</v>
      </c>
      <c r="C52" s="40" t="n">
        <v>0.64</v>
      </c>
      <c r="D52" s="26" t="s">
        <v>650</v>
      </c>
      <c r="E52" s="30" t="s">
        <v>634</v>
      </c>
    </row>
    <row r="53" customFormat="false" ht="15" hidden="false" customHeight="false" outlineLevel="0" collapsed="false">
      <c r="A53" s="30" t="s">
        <v>20</v>
      </c>
      <c r="B53" s="26" t="s">
        <v>647</v>
      </c>
      <c r="C53" s="40" t="n">
        <v>0.64</v>
      </c>
      <c r="D53" s="26" t="s">
        <v>651</v>
      </c>
      <c r="E53" s="30" t="s">
        <v>638</v>
      </c>
    </row>
    <row r="54" customFormat="false" ht="15" hidden="false" customHeight="false" outlineLevel="0" collapsed="false">
      <c r="A54" s="30" t="s">
        <v>16</v>
      </c>
      <c r="B54" s="26" t="s">
        <v>652</v>
      </c>
      <c r="C54" s="40" t="n">
        <v>0.64</v>
      </c>
      <c r="D54" s="26" t="s">
        <v>653</v>
      </c>
      <c r="E54" s="30" t="s">
        <v>641</v>
      </c>
    </row>
    <row r="55" customFormat="false" ht="15" hidden="false" customHeight="false" outlineLevel="0" collapsed="false">
      <c r="A55" s="30" t="s">
        <v>19</v>
      </c>
      <c r="B55" s="26" t="s">
        <v>654</v>
      </c>
      <c r="C55" s="40" t="n">
        <v>0.64</v>
      </c>
      <c r="D55" s="26" t="s">
        <v>655</v>
      </c>
      <c r="E55" s="30" t="s">
        <v>656</v>
      </c>
    </row>
    <row r="56" customFormat="false" ht="15" hidden="false" customHeight="false" outlineLevel="0" collapsed="false">
      <c r="A56" s="30" t="s">
        <v>19</v>
      </c>
      <c r="B56" s="26" t="s">
        <v>657</v>
      </c>
      <c r="C56" s="40" t="n">
        <v>0.64</v>
      </c>
      <c r="D56" s="26" t="s">
        <v>658</v>
      </c>
      <c r="E56" s="30" t="s">
        <v>656</v>
      </c>
    </row>
    <row r="57" customFormat="false" ht="15" hidden="false" customHeight="false" outlineLevel="0" collapsed="false">
      <c r="A57" s="30" t="s">
        <v>19</v>
      </c>
      <c r="B57" s="26" t="s">
        <v>659</v>
      </c>
      <c r="C57" s="40" t="n">
        <v>0.64</v>
      </c>
      <c r="D57" s="26" t="s">
        <v>660</v>
      </c>
      <c r="E57" s="30" t="s">
        <v>619</v>
      </c>
    </row>
    <row r="58" customFormat="false" ht="15" hidden="false" customHeight="false" outlineLevel="0" collapsed="false">
      <c r="A58" s="30" t="s">
        <v>16</v>
      </c>
      <c r="B58" s="26" t="s">
        <v>659</v>
      </c>
      <c r="C58" s="40" t="n">
        <v>0.64</v>
      </c>
      <c r="D58" s="26" t="s">
        <v>661</v>
      </c>
      <c r="E58" s="30" t="s">
        <v>662</v>
      </c>
    </row>
    <row r="59" customFormat="false" ht="15" hidden="false" customHeight="false" outlineLevel="0" collapsed="false">
      <c r="A59" s="30" t="s">
        <v>16</v>
      </c>
      <c r="B59" s="26" t="s">
        <v>663</v>
      </c>
      <c r="C59" s="40" t="n">
        <v>0.64</v>
      </c>
      <c r="D59" s="26" t="s">
        <v>664</v>
      </c>
      <c r="E59" s="30" t="s">
        <v>665</v>
      </c>
    </row>
    <row r="60" customFormat="false" ht="15" hidden="false" customHeight="false" outlineLevel="0" collapsed="false">
      <c r="A60" s="30" t="s">
        <v>18</v>
      </c>
      <c r="B60" s="26" t="s">
        <v>663</v>
      </c>
      <c r="C60" s="40" t="n">
        <v>0.64</v>
      </c>
      <c r="D60" s="26" t="s">
        <v>666</v>
      </c>
      <c r="E60" s="30" t="s">
        <v>667</v>
      </c>
    </row>
    <row r="61" customFormat="false" ht="15" hidden="false" customHeight="false" outlineLevel="0" collapsed="false">
      <c r="A61" s="30" t="s">
        <v>17</v>
      </c>
      <c r="B61" s="26" t="s">
        <v>663</v>
      </c>
      <c r="C61" s="40" t="n">
        <v>0.64</v>
      </c>
      <c r="D61" s="26" t="s">
        <v>668</v>
      </c>
      <c r="E61" s="30" t="s">
        <v>669</v>
      </c>
    </row>
    <row r="62" customFormat="false" ht="15" hidden="false" customHeight="false" outlineLevel="0" collapsed="false">
      <c r="A62" s="30" t="s">
        <v>19</v>
      </c>
      <c r="B62" s="26" t="s">
        <v>670</v>
      </c>
      <c r="C62" s="40" t="n">
        <v>0.64</v>
      </c>
      <c r="D62" s="26" t="s">
        <v>671</v>
      </c>
      <c r="E62" s="30" t="s">
        <v>672</v>
      </c>
    </row>
    <row r="63" customFormat="false" ht="15" hidden="false" customHeight="false" outlineLevel="0" collapsed="false">
      <c r="A63" s="30" t="s">
        <v>18</v>
      </c>
      <c r="B63" s="26" t="s">
        <v>673</v>
      </c>
      <c r="C63" s="40" t="n">
        <v>0.64</v>
      </c>
      <c r="D63" s="26" t="s">
        <v>674</v>
      </c>
      <c r="E63" s="30" t="s">
        <v>675</v>
      </c>
    </row>
    <row r="64" customFormat="false" ht="15" hidden="false" customHeight="false" outlineLevel="0" collapsed="false">
      <c r="A64" s="30" t="s">
        <v>17</v>
      </c>
      <c r="B64" s="26" t="s">
        <v>673</v>
      </c>
      <c r="C64" s="40" t="n">
        <v>0.64</v>
      </c>
      <c r="D64" s="26" t="s">
        <v>676</v>
      </c>
      <c r="E64" s="30" t="s">
        <v>677</v>
      </c>
    </row>
    <row r="65" customFormat="false" ht="15" hidden="false" customHeight="false" outlineLevel="0" collapsed="false">
      <c r="A65" s="30" t="s">
        <v>17</v>
      </c>
      <c r="B65" s="26" t="s">
        <v>678</v>
      </c>
      <c r="C65" s="40" t="n">
        <v>0.64</v>
      </c>
      <c r="D65" s="26" t="s">
        <v>679</v>
      </c>
      <c r="E65" s="30" t="s">
        <v>677</v>
      </c>
    </row>
    <row r="66" customFormat="false" ht="15" hidden="false" customHeight="false" outlineLevel="0" collapsed="false">
      <c r="A66" s="30" t="s">
        <v>16</v>
      </c>
      <c r="B66" s="30" t="s">
        <v>680</v>
      </c>
      <c r="C66" s="40" t="n">
        <v>0.633</v>
      </c>
      <c r="D66" s="30" t="s">
        <v>681</v>
      </c>
      <c r="E66" s="30" t="s">
        <v>682</v>
      </c>
    </row>
    <row r="67" customFormat="false" ht="15" hidden="false" customHeight="false" outlineLevel="0" collapsed="false">
      <c r="A67" s="30" t="s">
        <v>16</v>
      </c>
      <c r="B67" s="30" t="s">
        <v>683</v>
      </c>
      <c r="C67" s="40" t="n">
        <v>0.623</v>
      </c>
      <c r="D67" s="30" t="s">
        <v>684</v>
      </c>
      <c r="E67" s="30" t="s">
        <v>682</v>
      </c>
    </row>
    <row r="70" customFormat="false" ht="15" hidden="false" customHeight="false" outlineLevel="0" collapsed="false">
      <c r="A70" s="4" t="s">
        <v>685</v>
      </c>
    </row>
    <row r="71" customFormat="false" ht="30" hidden="false" customHeight="true" outlineLevel="0" collapsed="false">
      <c r="A71" s="5" t="s">
        <v>5</v>
      </c>
      <c r="B71" s="6" t="s">
        <v>686</v>
      </c>
      <c r="C71" s="6" t="s">
        <v>687</v>
      </c>
      <c r="D71" s="5" t="s">
        <v>688</v>
      </c>
    </row>
    <row r="72" customFormat="false" ht="15" hidden="false" customHeight="false" outlineLevel="0" collapsed="false">
      <c r="A72" s="30" t="s">
        <v>16</v>
      </c>
      <c r="B72" s="8" t="n">
        <v>108</v>
      </c>
      <c r="C72" s="8" t="n">
        <v>2</v>
      </c>
      <c r="D72" s="8" t="n">
        <f aca="false">B72+C72</f>
        <v>110</v>
      </c>
    </row>
    <row r="73" customFormat="false" ht="15" hidden="false" customHeight="false" outlineLevel="0" collapsed="false">
      <c r="A73" s="30" t="s">
        <v>17</v>
      </c>
      <c r="B73" s="8" t="n">
        <v>120</v>
      </c>
      <c r="C73" s="8" t="n">
        <v>0</v>
      </c>
      <c r="D73" s="8" t="n">
        <f aca="false">B73+C73</f>
        <v>120</v>
      </c>
    </row>
    <row r="74" customFormat="false" ht="15" hidden="false" customHeight="false" outlineLevel="0" collapsed="false">
      <c r="A74" s="30" t="s">
        <v>18</v>
      </c>
      <c r="B74" s="8" t="n">
        <v>109</v>
      </c>
      <c r="C74" s="8" t="n">
        <v>1</v>
      </c>
      <c r="D74" s="8" t="n">
        <f aca="false">B74+C74</f>
        <v>110</v>
      </c>
    </row>
    <row r="75" customFormat="false" ht="15" hidden="false" customHeight="false" outlineLevel="0" collapsed="false">
      <c r="A75" s="30" t="s">
        <v>19</v>
      </c>
      <c r="B75" s="8" t="n">
        <v>109</v>
      </c>
      <c r="C75" s="8" t="n">
        <v>1</v>
      </c>
      <c r="D75" s="8" t="n">
        <f aca="false">B75+C75</f>
        <v>110</v>
      </c>
    </row>
    <row r="76" customFormat="false" ht="15" hidden="false" customHeight="false" outlineLevel="0" collapsed="false">
      <c r="A76" s="30" t="s">
        <v>20</v>
      </c>
      <c r="B76" s="8" t="n">
        <v>99</v>
      </c>
      <c r="C76" s="8" t="n">
        <v>11</v>
      </c>
      <c r="D76" s="8" t="n">
        <f aca="false">B76+C76</f>
        <v>110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2026-08-23T01:53:30Z</dcterms:created>
  <dc:creator>openpyxl</dc:creator>
  <dc:description/>
  <dc:language>en-US</dc:language>
  <cp:lastModifiedBy/>
  <dcterms:modified xsi:type="dcterms:W3CDTF">2026-08-23T01:53:30Z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