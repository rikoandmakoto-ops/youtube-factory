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ー" sheetId="1" state="visible" r:id="rId3"/>
    <sheet name="チャンネル別詳細" sheetId="2" state="visible" r:id="rId4"/>
    <sheet name="動画別パフォーマンス" sheetId="3" state="visible" r:id="rId5"/>
    <sheet name="改善アクション" sheetId="4" state="visible" r:id="rId6"/>
    <sheet name="トレンド"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<sst xmlns="http://schemas.openxmlformats.org/spreadsheetml/2006/main" count="519" uniqueCount="244">
  <si>
    <r>
      <rPr>
        <b val="true"/>
        <sz val="13"/>
        <color rgb="FF1F3864"/>
        <rFont val="Arial"/>
        <family val="0"/>
        <charset val="1"/>
      </rPr>
      <t xml:space="preserve">YouTube Factory </t>
    </r>
    <r>
      <rPr>
        <b val="true"/>
        <sz val="13"/>
        <color rgb="FF1F3864"/>
        <rFont val="Noto Sans CJK SC"/>
        <family val="2"/>
      </rPr>
      <t xml:space="preserve">日次分析  </t>
    </r>
    <r>
      <rPr>
        <b val="true"/>
        <sz val="13"/>
        <color rgb="FF1F3864"/>
        <rFont val="Arial"/>
        <family val="0"/>
        <charset val="1"/>
      </rPr>
      <t xml:space="preserve">2026-09-15</t>
    </r>
  </si>
  <si>
    <r>
      <rPr>
        <i val="true"/>
        <sz val="9"/>
        <color rgb="FF595959"/>
        <rFont val="Noto Sans CJK SC"/>
        <family val="2"/>
      </rPr>
      <t xml:space="preserve">データ</t>
    </r>
    <r>
      <rPr>
        <i val="true"/>
        <sz val="9"/>
        <color rgb="FF595959"/>
        <rFont val="Arial"/>
        <family val="0"/>
        <charset val="1"/>
      </rPr>
      <t xml:space="preserve">: data/analytics/analytics.db</t>
    </r>
    <r>
      <rPr>
        <i val="true"/>
        <sz val="9"/>
        <color rgb="FF595959"/>
        <rFont val="Noto Sans CJK SC"/>
        <family val="2"/>
      </rPr>
      <t xml:space="preserve">（最終同期 </t>
    </r>
    <r>
      <rPr>
        <i val="true"/>
        <sz val="9"/>
        <color rgb="FF595959"/>
        <rFont val="Arial"/>
        <family val="0"/>
        <charset val="1"/>
      </rPr>
      <t xml:space="preserve">2026-09-14 22:41 JST</t>
    </r>
    <r>
      <rPr>
        <i val="true"/>
        <sz val="9"/>
        <color rgb="FF595959"/>
        <rFont val="Noto Sans CJK SC"/>
        <family val="2"/>
      </rPr>
      <t xml:space="preserve">）／</t>
    </r>
    <r>
      <rPr>
        <i val="true"/>
        <sz val="9"/>
        <color rgb="FF595959"/>
        <rFont val="Arial"/>
        <family val="0"/>
        <charset val="1"/>
      </rPr>
      <t xml:space="preserve">video_id </t>
    </r>
    <r>
      <rPr>
        <i val="true"/>
        <sz val="9"/>
        <color rgb="FF595959"/>
        <rFont val="Noto Sans CJK SC"/>
        <family val="2"/>
      </rPr>
      <t xml:space="preserve">ごとに最新スナップショット</t>
    </r>
    <r>
      <rPr>
        <i val="true"/>
        <sz val="9"/>
        <color rgb="FF595959"/>
        <rFont val="Arial"/>
        <family val="0"/>
        <charset val="1"/>
      </rPr>
      <t xml:space="preserve">1</t>
    </r>
    <r>
      <rPr>
        <i val="true"/>
        <sz val="9"/>
        <color rgb="FF595959"/>
        <rFont val="Noto Sans CJK SC"/>
        <family val="2"/>
      </rPr>
      <t xml:space="preserve">行へ畳んでから集計。</t>
    </r>
    <r>
      <rPr>
        <i val="true"/>
        <sz val="9"/>
        <color rgb="FF595959"/>
        <rFont val="Arial"/>
        <family val="0"/>
        <charset val="1"/>
      </rPr>
      <t xml:space="preserve">09-13 </t>
    </r>
    <r>
      <rPr>
        <i val="true"/>
        <sz val="9"/>
        <color rgb="FF595959"/>
        <rFont val="Noto Sans CJK SC"/>
        <family val="2"/>
      </rPr>
      <t xml:space="preserve">以降に公開した </t>
    </r>
    <r>
      <rPr>
        <i val="true"/>
        <sz val="9"/>
        <color rgb="FF595959"/>
        <rFont val="Arial"/>
        <family val="0"/>
        <charset val="1"/>
      </rPr>
      <t xml:space="preserve">25 </t>
    </r>
    <r>
      <rPr>
        <i val="true"/>
        <sz val="9"/>
        <color rgb="FF595959"/>
        <rFont val="Noto Sans CJK SC"/>
        <family val="2"/>
      </rPr>
      <t xml:space="preserve">本は </t>
    </r>
    <r>
      <rPr>
        <i val="true"/>
        <sz val="9"/>
        <color rgb="FF595959"/>
        <rFont val="Arial"/>
        <family val="0"/>
        <charset val="1"/>
      </rPr>
      <t xml:space="preserve">views=0 = </t>
    </r>
    <r>
      <rPr>
        <i val="true"/>
        <sz val="9"/>
        <color rgb="FF595959"/>
        <rFont val="Noto Sans CJK SC"/>
        <family val="2"/>
      </rPr>
      <t xml:space="preserve">未計測のため全集計から除外。</t>
    </r>
  </si>
  <si>
    <t xml:space="preserve">■ 本日の結論</t>
  </si>
  <si>
    <r>
      <rPr>
        <sz val="10"/>
        <rFont val="Arial"/>
        <family val="0"/>
        <charset val="1"/>
      </rPr>
      <t xml:space="preserve">1. </t>
    </r>
    <r>
      <rPr>
        <sz val="10"/>
        <rFont val="Noto Sans CJK SC"/>
        <family val="2"/>
      </rPr>
      <t xml:space="preserve">カスタムサムネイル </t>
    </r>
    <r>
      <rPr>
        <sz val="10"/>
        <rFont val="Arial"/>
        <family val="0"/>
        <charset val="1"/>
      </rPr>
      <t xml:space="preserve">403 </t>
    </r>
    <r>
      <rPr>
        <sz val="10"/>
        <rFont val="Noto Sans CJK SC"/>
        <family val="2"/>
      </rPr>
      <t xml:space="preserve">が </t>
    </r>
    <r>
      <rPr>
        <sz val="10"/>
        <rFont val="Arial"/>
        <family val="0"/>
        <charset val="1"/>
      </rPr>
      <t xml:space="preserve">3 </t>
    </r>
    <r>
      <rPr>
        <sz val="10"/>
        <rFont val="Noto Sans CJK SC"/>
        <family val="2"/>
      </rPr>
      <t xml:space="preserve">日連続で未解決。</t>
    </r>
    <r>
      <rPr>
        <sz val="10"/>
        <rFont val="Arial"/>
        <family val="0"/>
        <charset val="1"/>
      </rPr>
      <t xml:space="preserve">09-15 </t>
    </r>
    <r>
      <rPr>
        <sz val="10"/>
        <rFont val="Noto Sans CJK SC"/>
        <family val="2"/>
      </rPr>
      <t xml:space="preserve">の公開でも </t>
    </r>
    <r>
      <rPr>
        <sz val="10"/>
        <rFont val="Arial"/>
        <family val="0"/>
        <charset val="1"/>
      </rPr>
      <t xml:space="preserve">scp-lab / company-facts / yokai-watch </t>
    </r>
    <r>
      <rPr>
        <sz val="10"/>
        <rFont val="Noto Sans CJK SC"/>
        <family val="2"/>
      </rPr>
      <t xml:space="preserve">は全件失敗し、成功は </t>
    </r>
    <r>
      <rPr>
        <sz val="10"/>
        <rFont val="Arial"/>
        <family val="0"/>
        <charset val="1"/>
      </rPr>
      <t xml:space="preserve">daily-science </t>
    </r>
    <r>
      <rPr>
        <sz val="10"/>
        <rFont val="Noto Sans CJK SC"/>
        <family val="2"/>
      </rPr>
      <t xml:space="preserve">のみ。</t>
    </r>
  </si>
  <si>
    <r>
      <rPr>
        <sz val="10"/>
        <rFont val="Arial"/>
        <family val="0"/>
        <charset val="1"/>
      </rPr>
      <t xml:space="preserve">2. </t>
    </r>
    <r>
      <rPr>
        <sz val="10"/>
        <rFont val="Noto Sans CJK SC"/>
        <family val="2"/>
      </rPr>
      <t xml:space="preserve">【新規知見】維持率は高いほど良いという前提は誤り。登録</t>
    </r>
    <r>
      <rPr>
        <sz val="10"/>
        <rFont val="Arial"/>
        <family val="0"/>
        <charset val="1"/>
      </rPr>
      <t xml:space="preserve">/</t>
    </r>
    <r>
      <rPr>
        <sz val="10"/>
        <rFont val="Noto Sans CJK SC"/>
        <family val="2"/>
      </rPr>
      <t xml:space="preserve">千は維持率 </t>
    </r>
    <r>
      <rPr>
        <sz val="10"/>
        <rFont val="Arial"/>
        <family val="0"/>
        <charset val="1"/>
      </rPr>
      <t xml:space="preserve">40-50% </t>
    </r>
    <r>
      <rPr>
        <sz val="10"/>
        <rFont val="Noto Sans CJK SC"/>
        <family val="2"/>
      </rPr>
      <t xml:space="preserve">を頂点に逆</t>
    </r>
    <r>
      <rPr>
        <sz val="10"/>
        <rFont val="Arial"/>
        <family val="0"/>
        <charset val="1"/>
      </rPr>
      <t xml:space="preserve">U</t>
    </r>
    <r>
      <rPr>
        <sz val="10"/>
        <rFont val="Noto Sans CJK SC"/>
        <family val="2"/>
      </rPr>
      <t xml:space="preserve">字。</t>
    </r>
    <r>
      <rPr>
        <sz val="10"/>
        <rFont val="Arial"/>
        <family val="0"/>
        <charset val="1"/>
      </rPr>
      <t xml:space="preserve">70% </t>
    </r>
    <r>
      <rPr>
        <sz val="10"/>
        <rFont val="Noto Sans CJK SC"/>
        <family val="2"/>
      </rPr>
      <t xml:space="preserve">以上の帯は再生が最大なのに登録は最下位。</t>
    </r>
    <r>
      <rPr>
        <sz val="10"/>
        <rFont val="Arial"/>
        <family val="0"/>
        <charset val="1"/>
      </rPr>
      <t xml:space="preserve">6ch </t>
    </r>
    <r>
      <rPr>
        <sz val="10"/>
        <rFont val="Noto Sans CJK SC"/>
        <family val="2"/>
      </rPr>
      <t xml:space="preserve">中 </t>
    </r>
    <r>
      <rPr>
        <sz val="10"/>
        <rFont val="Arial"/>
        <family val="0"/>
        <charset val="1"/>
      </rPr>
      <t xml:space="preserve">5ch </t>
    </r>
    <r>
      <rPr>
        <sz val="10"/>
        <rFont val="Noto Sans CJK SC"/>
        <family val="2"/>
      </rPr>
      <t xml:space="preserve">で </t>
    </r>
    <r>
      <rPr>
        <sz val="10"/>
        <rFont val="Arial"/>
        <family val="0"/>
        <charset val="1"/>
      </rPr>
      <t xml:space="preserve">ch </t>
    </r>
    <r>
      <rPr>
        <sz val="10"/>
        <rFont val="Noto Sans CJK SC"/>
        <family val="2"/>
      </rPr>
      <t xml:space="preserve">内再現。</t>
    </r>
  </si>
  <si>
    <r>
      <rPr>
        <sz val="10"/>
        <rFont val="Arial"/>
        <family val="0"/>
        <charset val="1"/>
      </rPr>
      <t xml:space="preserve">3. </t>
    </r>
    <r>
      <rPr>
        <sz val="10"/>
        <rFont val="Noto Sans CJK SC"/>
        <family val="2"/>
      </rPr>
      <t xml:space="preserve">【新規】バックエンドの </t>
    </r>
    <r>
      <rPr>
        <sz val="10"/>
        <rFont val="Arial"/>
        <family val="0"/>
        <charset val="1"/>
      </rPr>
      <t xml:space="preserve">Anthropic API </t>
    </r>
    <r>
      <rPr>
        <sz val="10"/>
        <rFont val="Noto Sans CJK SC"/>
        <family val="2"/>
      </rPr>
      <t xml:space="preserve">キーが </t>
    </r>
    <r>
      <rPr>
        <sz val="10"/>
        <rFont val="Arial"/>
        <family val="0"/>
        <charset val="1"/>
      </rPr>
      <t xml:space="preserve">401</t>
    </r>
    <r>
      <rPr>
        <sz val="10"/>
        <rFont val="Noto Sans CJK SC"/>
        <family val="2"/>
      </rPr>
      <t xml:space="preserve">。サムネ指示文の生成と続編候補の生成が両方止まっている。</t>
    </r>
  </si>
  <si>
    <r>
      <rPr>
        <sz val="10"/>
        <rFont val="Arial"/>
        <family val="0"/>
        <charset val="1"/>
      </rPr>
      <t xml:space="preserve">4. OAuth </t>
    </r>
    <r>
      <rPr>
        <sz val="10"/>
        <rFont val="Noto Sans CJK SC"/>
        <family val="2"/>
      </rPr>
      <t xml:space="preserve">は </t>
    </r>
    <r>
      <rPr>
        <sz val="10"/>
        <rFont val="Arial"/>
        <family val="0"/>
        <charset val="1"/>
      </rPr>
      <t xml:space="preserve">09-13 </t>
    </r>
    <r>
      <rPr>
        <sz val="10"/>
        <rFont val="Noto Sans CJK SC"/>
        <family val="2"/>
      </rPr>
      <t xml:space="preserve">再認可の </t>
    </r>
    <r>
      <rPr>
        <sz val="10"/>
        <rFont val="Arial"/>
        <family val="0"/>
        <charset val="1"/>
      </rPr>
      <t xml:space="preserve">5ch </t>
    </r>
    <r>
      <rPr>
        <sz val="10"/>
        <rFont val="Noto Sans CJK SC"/>
        <family val="2"/>
      </rPr>
      <t xml:space="preserve">が正常稼働。未再認可の </t>
    </r>
    <r>
      <rPr>
        <sz val="10"/>
        <rFont val="Arial"/>
        <family val="0"/>
        <charset val="1"/>
      </rPr>
      <t xml:space="preserve">7ch</t>
    </r>
    <r>
      <rPr>
        <sz val="10"/>
        <rFont val="Noto Sans CJK SC"/>
        <family val="2"/>
      </rPr>
      <t xml:space="preserve">（</t>
    </r>
    <r>
      <rPr>
        <sz val="10"/>
        <rFont val="Arial"/>
        <family val="0"/>
        <charset val="1"/>
      </rPr>
      <t xml:space="preserve">pokemon-lab </t>
    </r>
    <r>
      <rPr>
        <sz val="10"/>
        <rFont val="Noto Sans CJK SC"/>
        <family val="2"/>
      </rPr>
      <t xml:space="preserve">ほか）は </t>
    </r>
    <r>
      <rPr>
        <sz val="10"/>
        <rFont val="Arial"/>
        <family val="0"/>
        <charset val="1"/>
      </rPr>
      <t xml:space="preserve">invalid_grant </t>
    </r>
    <r>
      <rPr>
        <sz val="10"/>
        <rFont val="Noto Sans CJK SC"/>
        <family val="2"/>
      </rPr>
      <t xml:space="preserve">のまま。</t>
    </r>
  </si>
  <si>
    <r>
      <rPr>
        <sz val="10"/>
        <rFont val="Arial"/>
        <family val="0"/>
        <charset val="1"/>
      </rPr>
      <t xml:space="preserve">5. </t>
    </r>
    <r>
      <rPr>
        <sz val="10"/>
        <rFont val="Noto Sans CJK SC"/>
        <family val="2"/>
      </rPr>
      <t xml:space="preserve">投稿枠・タイトル型ルール・</t>
    </r>
    <r>
      <rPr>
        <sz val="10"/>
        <rFont val="Arial"/>
        <family val="0"/>
        <charset val="1"/>
      </rPr>
      <t xml:space="preserve">voice_style </t>
    </r>
    <r>
      <rPr>
        <sz val="10"/>
        <rFont val="Noto Sans CJK SC"/>
        <family val="2"/>
      </rPr>
      <t xml:space="preserve">は据え置き。</t>
    </r>
    <r>
      <rPr>
        <sz val="10"/>
        <rFont val="Arial"/>
        <family val="0"/>
        <charset val="1"/>
      </rPr>
      <t xml:space="preserve">09-14 </t>
    </r>
    <r>
      <rPr>
        <sz val="10"/>
        <rFont val="Noto Sans CJK SC"/>
        <family val="2"/>
      </rPr>
      <t xml:space="preserve">変更分の評価に必要な実測が </t>
    </r>
    <r>
      <rPr>
        <sz val="10"/>
        <rFont val="Arial"/>
        <family val="0"/>
        <charset val="1"/>
      </rPr>
      <t xml:space="preserve">1 </t>
    </r>
    <r>
      <rPr>
        <sz val="10"/>
        <rFont val="Noto Sans CJK SC"/>
        <family val="2"/>
      </rPr>
      <t xml:space="preserve">本も届いていないため（評価日 </t>
    </r>
    <r>
      <rPr>
        <sz val="10"/>
        <rFont val="Arial"/>
        <family val="0"/>
        <charset val="1"/>
      </rPr>
      <t xml:space="preserve">2026-09-21</t>
    </r>
    <r>
      <rPr>
        <sz val="10"/>
        <rFont val="Noto Sans CJK SC"/>
        <family val="2"/>
      </rPr>
      <t xml:space="preserve">）。</t>
    </r>
  </si>
  <si>
    <t xml:space="preserve">■ チャンネル別 実績（全期間・畳み済み）</t>
  </si>
  <si>
    <t xml:space="preserve">チャンネル</t>
  </si>
  <si>
    <t xml:space="preserve">本数</t>
  </si>
  <si>
    <t xml:space="preserve">総再生</t>
  </si>
  <si>
    <t xml:space="preserve">平均再生</t>
  </si>
  <si>
    <t xml:space="preserve">登録者</t>
  </si>
  <si>
    <r>
      <rPr>
        <b val="true"/>
        <sz val="10"/>
        <color rgb="FFFFFFFF"/>
        <rFont val="Noto Sans CJK SC"/>
        <family val="2"/>
      </rPr>
      <t xml:space="preserve">登録</t>
    </r>
    <r>
      <rPr>
        <b val="true"/>
        <sz val="10"/>
        <color rgb="FFFFFFFF"/>
        <rFont val="Arial"/>
        <family val="0"/>
        <charset val="1"/>
      </rPr>
      <t xml:space="preserve">/</t>
    </r>
    <r>
      <rPr>
        <b val="true"/>
        <sz val="10"/>
        <color rgb="FFFFFFFF"/>
        <rFont val="Noto Sans CJK SC"/>
        <family val="2"/>
      </rPr>
      <t xml:space="preserve">千再生</t>
    </r>
  </si>
  <si>
    <t xml:space="preserve">高評価率</t>
  </si>
  <si>
    <t xml:space="preserve">平均維持率</t>
  </si>
  <si>
    <t xml:space="preserve">リコとマコトのゆっくり日常科学</t>
  </si>
  <si>
    <r>
      <rPr>
        <sz val="10"/>
        <rFont val="Noto Sans CJK SC"/>
        <family val="2"/>
      </rPr>
      <t xml:space="preserve">ゆっくり異常存在</t>
    </r>
    <r>
      <rPr>
        <sz val="10"/>
        <rFont val="Arial"/>
        <family val="0"/>
        <charset val="1"/>
      </rPr>
      <t xml:space="preserve">SCP</t>
    </r>
    <r>
      <rPr>
        <sz val="10"/>
        <rFont val="Noto Sans CJK SC"/>
        <family val="2"/>
      </rPr>
      <t xml:space="preserve">ラボ</t>
    </r>
  </si>
  <si>
    <t xml:space="preserve">ゆっくり妖怪ラボ</t>
  </si>
  <si>
    <t xml:space="preserve">企業のホンネ</t>
  </si>
  <si>
    <t xml:space="preserve">ポケモン考察ラボ</t>
  </si>
  <si>
    <r>
      <rPr>
        <sz val="10"/>
        <rFont val="Arial"/>
        <family val="0"/>
        <charset val="1"/>
      </rPr>
      <t xml:space="preserve">2ch</t>
    </r>
    <r>
      <rPr>
        <sz val="10"/>
        <rFont val="Noto Sans CJK SC"/>
        <family val="2"/>
      </rPr>
      <t xml:space="preserve">まとめ</t>
    </r>
  </si>
  <si>
    <r>
      <rPr>
        <b val="true"/>
        <sz val="10"/>
        <rFont val="Noto Sans CJK SC"/>
        <family val="2"/>
      </rPr>
      <t xml:space="preserve">合計 </t>
    </r>
    <r>
      <rPr>
        <b val="true"/>
        <sz val="10"/>
        <rFont val="Arial"/>
        <family val="0"/>
        <charset val="1"/>
      </rPr>
      <t xml:space="preserve">/ </t>
    </r>
    <r>
      <rPr>
        <b val="true"/>
        <sz val="10"/>
        <rFont val="Noto Sans CJK SC"/>
        <family val="2"/>
      </rPr>
      <t xml:space="preserve">加重平均</t>
    </r>
  </si>
  <si>
    <r>
      <rPr>
        <b val="true"/>
        <sz val="10"/>
        <rFont val="Noto Sans CJK SC"/>
        <family val="2"/>
      </rPr>
      <t xml:space="preserve">■ 直近</t>
    </r>
    <r>
      <rPr>
        <b val="true"/>
        <sz val="10"/>
        <rFont val="Arial"/>
        <family val="0"/>
        <charset val="1"/>
      </rPr>
      <t xml:space="preserve">14</t>
    </r>
    <r>
      <rPr>
        <b val="true"/>
        <sz val="10"/>
        <rFont val="Noto Sans CJK SC"/>
        <family val="2"/>
      </rPr>
      <t xml:space="preserve">日公開（</t>
    </r>
    <r>
      <rPr>
        <b val="true"/>
        <sz val="10"/>
        <rFont val="Arial"/>
        <family val="0"/>
        <charset val="1"/>
      </rPr>
      <t xml:space="preserve">2026-09-01 </t>
    </r>
    <r>
      <rPr>
        <b val="true"/>
        <sz val="10"/>
        <rFont val="Noto Sans CJK SC"/>
        <family val="2"/>
      </rPr>
      <t xml:space="preserve">以降）</t>
    </r>
  </si>
  <si>
    <t xml:space="preserve">■ 至上目標（登録者増）に対する進捗</t>
  </si>
  <si>
    <r>
      <rPr>
        <sz val="10"/>
        <rFont val="Noto Sans CJK SC"/>
        <family val="2"/>
      </rPr>
      <t xml:space="preserve">全期間 登録</t>
    </r>
    <r>
      <rPr>
        <sz val="10"/>
        <rFont val="Arial"/>
        <family val="0"/>
        <charset val="1"/>
      </rPr>
      <t xml:space="preserve">/</t>
    </r>
    <r>
      <rPr>
        <sz val="10"/>
        <rFont val="Noto Sans CJK SC"/>
        <family val="2"/>
      </rPr>
      <t xml:space="preserve">千再生</t>
    </r>
  </si>
  <si>
    <r>
      <rPr>
        <sz val="10"/>
        <rFont val="Noto Sans CJK SC"/>
        <family val="2"/>
      </rPr>
      <t xml:space="preserve">直近</t>
    </r>
    <r>
      <rPr>
        <sz val="10"/>
        <rFont val="Arial"/>
        <family val="0"/>
        <charset val="1"/>
      </rPr>
      <t xml:space="preserve">14</t>
    </r>
    <r>
      <rPr>
        <sz val="10"/>
        <rFont val="Noto Sans CJK SC"/>
        <family val="2"/>
      </rPr>
      <t xml:space="preserve">日 登録</t>
    </r>
    <r>
      <rPr>
        <sz val="10"/>
        <rFont val="Arial"/>
        <family val="0"/>
        <charset val="1"/>
      </rPr>
      <t xml:space="preserve">/</t>
    </r>
    <r>
      <rPr>
        <sz val="10"/>
        <rFont val="Noto Sans CJK SC"/>
        <family val="2"/>
      </rPr>
      <t xml:space="preserve">千再生</t>
    </r>
  </si>
  <si>
    <r>
      <rPr>
        <b val="true"/>
        <sz val="10"/>
        <rFont val="Noto Sans CJK SC"/>
        <family val="2"/>
      </rPr>
      <t xml:space="preserve">改善率（直近</t>
    </r>
    <r>
      <rPr>
        <b val="true"/>
        <sz val="10"/>
        <rFont val="Arial"/>
        <family val="0"/>
        <charset val="1"/>
      </rPr>
      <t xml:space="preserve">14</t>
    </r>
    <r>
      <rPr>
        <b val="true"/>
        <sz val="10"/>
        <rFont val="Noto Sans CJK SC"/>
        <family val="2"/>
      </rPr>
      <t xml:space="preserve">日 </t>
    </r>
    <r>
      <rPr>
        <b val="true"/>
        <sz val="10"/>
        <rFont val="Arial"/>
        <family val="0"/>
        <charset val="1"/>
      </rPr>
      <t xml:space="preserve">÷ </t>
    </r>
    <r>
      <rPr>
        <b val="true"/>
        <sz val="10"/>
        <rFont val="Noto Sans CJK SC"/>
        <family val="2"/>
      </rPr>
      <t xml:space="preserve">全期間）</t>
    </r>
  </si>
  <si>
    <t xml:space="preserve">プラスであれば改善方向が正しい</t>
  </si>
  <si>
    <t xml:space="preserve">チャンネル別 詳細</t>
  </si>
  <si>
    <r>
      <rPr>
        <i val="true"/>
        <sz val="9"/>
        <color rgb="FF595959"/>
        <rFont val="Noto Sans CJK SC"/>
        <family val="2"/>
      </rPr>
      <t xml:space="preserve">末尾</t>
    </r>
    <r>
      <rPr>
        <i val="true"/>
        <sz val="9"/>
        <color rgb="FF595959"/>
        <rFont val="Arial"/>
        <family val="0"/>
        <charset val="1"/>
      </rPr>
      <t xml:space="preserve">2</t>
    </r>
    <r>
      <rPr>
        <i val="true"/>
        <sz val="9"/>
        <color rgb="FF595959"/>
        <rFont val="Noto Sans CJK SC"/>
        <family val="2"/>
      </rPr>
      <t xml:space="preserve">列 </t>
    </r>
    <r>
      <rPr>
        <i val="true"/>
        <sz val="9"/>
        <color rgb="FF595959"/>
        <rFont val="Arial"/>
        <family val="0"/>
        <charset val="1"/>
      </rPr>
      <t xml:space="preserve">= </t>
    </r>
    <r>
      <rPr>
        <i val="true"/>
        <sz val="9"/>
        <color rgb="FF595959"/>
        <rFont val="Noto Sans CJK SC"/>
        <family val="2"/>
      </rPr>
      <t xml:space="preserve">維持率 </t>
    </r>
    <r>
      <rPr>
        <i val="true"/>
        <sz val="9"/>
        <color rgb="FF595959"/>
        <rFont val="Arial"/>
        <family val="0"/>
        <charset val="1"/>
      </rPr>
      <t xml:space="preserve">50% </t>
    </r>
    <r>
      <rPr>
        <i val="true"/>
        <sz val="9"/>
        <color rgb="FF595959"/>
        <rFont val="Noto Sans CJK SC"/>
        <family val="2"/>
      </rPr>
      <t xml:space="preserve">未満／</t>
    </r>
    <r>
      <rPr>
        <i val="true"/>
        <sz val="9"/>
        <color rgb="FF595959"/>
        <rFont val="Arial"/>
        <family val="0"/>
        <charset val="1"/>
      </rPr>
      <t xml:space="preserve">50% </t>
    </r>
    <r>
      <rPr>
        <i val="true"/>
        <sz val="9"/>
        <color rgb="FF595959"/>
        <rFont val="Noto Sans CJK SC"/>
        <family val="2"/>
      </rPr>
      <t xml:space="preserve">以上の </t>
    </r>
    <r>
      <rPr>
        <i val="true"/>
        <sz val="9"/>
        <color rgb="FF595959"/>
        <rFont val="Arial"/>
        <family val="0"/>
        <charset val="1"/>
      </rPr>
      <t xml:space="preserve">ch </t>
    </r>
    <r>
      <rPr>
        <i val="true"/>
        <sz val="9"/>
        <color rgb="FF595959"/>
        <rFont val="Noto Sans CJK SC"/>
        <family val="2"/>
      </rPr>
      <t xml:space="preserve">内対照（公開 </t>
    </r>
    <r>
      <rPr>
        <i val="true"/>
        <sz val="9"/>
        <color rgb="FF595959"/>
        <rFont val="Arial"/>
        <family val="0"/>
        <charset val="1"/>
      </rPr>
      <t xml:space="preserve">2026-08-01 </t>
    </r>
    <r>
      <rPr>
        <i val="true"/>
        <sz val="9"/>
        <color rgb="FF595959"/>
        <rFont val="Noto Sans CJK SC"/>
        <family val="2"/>
      </rPr>
      <t xml:space="preserve">以降・</t>
    </r>
    <r>
      <rPr>
        <i val="true"/>
        <sz val="9"/>
        <color rgb="FF595959"/>
        <rFont val="Arial"/>
        <family val="0"/>
        <charset val="1"/>
      </rPr>
      <t xml:space="preserve">200</t>
    </r>
    <r>
      <rPr>
        <i val="true"/>
        <sz val="9"/>
        <color rgb="FF595959"/>
        <rFont val="Noto Sans CJK SC"/>
        <family val="2"/>
      </rPr>
      <t xml:space="preserve">再生以上）。登録</t>
    </r>
    <r>
      <rPr>
        <i val="true"/>
        <sz val="9"/>
        <color rgb="FF595959"/>
        <rFont val="Arial"/>
        <family val="0"/>
        <charset val="1"/>
      </rPr>
      <t xml:space="preserve">/</t>
    </r>
    <r>
      <rPr>
        <i val="true"/>
        <sz val="9"/>
        <color rgb="FF595959"/>
        <rFont val="Noto Sans CJK SC"/>
        <family val="2"/>
      </rPr>
      <t xml:space="preserve">千再生で比較する。</t>
    </r>
  </si>
  <si>
    <t xml:space="preserve">channel_id</t>
  </si>
  <si>
    <t xml:space="preserve">チャンネル名</t>
  </si>
  <si>
    <r>
      <rPr>
        <b val="true"/>
        <sz val="10"/>
        <color rgb="FFFFFFFF"/>
        <rFont val="Noto Sans CJK SC"/>
        <family val="2"/>
      </rPr>
      <t xml:space="preserve">コメント</t>
    </r>
    <r>
      <rPr>
        <b val="true"/>
        <sz val="10"/>
        <color rgb="FFFFFFFF"/>
        <rFont val="Arial"/>
        <family val="0"/>
        <charset val="1"/>
      </rPr>
      <t xml:space="preserve">/</t>
    </r>
    <r>
      <rPr>
        <b val="true"/>
        <sz val="10"/>
        <color rgb="FFFFFFFF"/>
        <rFont val="Noto Sans CJK SC"/>
        <family val="2"/>
      </rPr>
      <t xml:space="preserve">千</t>
    </r>
  </si>
  <si>
    <r>
      <rPr>
        <b val="true"/>
        <sz val="10"/>
        <color rgb="FFFFFFFF"/>
        <rFont val="Noto Sans CJK SC"/>
        <family val="2"/>
      </rPr>
      <t xml:space="preserve">平均</t>
    </r>
    <r>
      <rPr>
        <b val="true"/>
        <sz val="10"/>
        <color rgb="FFFFFFFF"/>
        <rFont val="Arial"/>
        <family val="0"/>
        <charset val="1"/>
      </rPr>
      <t xml:space="preserve">CTR</t>
    </r>
  </si>
  <si>
    <r>
      <rPr>
        <b val="true"/>
        <sz val="10"/>
        <color rgb="FFFFFFFF"/>
        <rFont val="Noto Sans CJK SC"/>
        <family val="2"/>
      </rPr>
      <t xml:space="preserve">維持</t>
    </r>
    <r>
      <rPr>
        <b val="true"/>
        <sz val="10"/>
        <color rgb="FFFFFFFF"/>
        <rFont val="Arial"/>
        <family val="0"/>
        <charset val="1"/>
      </rPr>
      <t xml:space="preserve">&lt;50% </t>
    </r>
    <r>
      <rPr>
        <b val="true"/>
        <sz val="10"/>
        <color rgb="FFFFFFFF"/>
        <rFont val="Noto Sans CJK SC"/>
        <family val="2"/>
      </rPr>
      <t xml:space="preserve">登録</t>
    </r>
    <r>
      <rPr>
        <b val="true"/>
        <sz val="10"/>
        <color rgb="FFFFFFFF"/>
        <rFont val="Arial"/>
        <family val="0"/>
        <charset val="1"/>
      </rPr>
      <t xml:space="preserve">/</t>
    </r>
    <r>
      <rPr>
        <b val="true"/>
        <sz val="10"/>
        <color rgb="FFFFFFFF"/>
        <rFont val="Noto Sans CJK SC"/>
        <family val="2"/>
      </rPr>
      <t xml:space="preserve">千</t>
    </r>
  </si>
  <si>
    <r>
      <rPr>
        <b val="true"/>
        <sz val="10"/>
        <color rgb="FFFFFFFF"/>
        <rFont val="Noto Sans CJK SC"/>
        <family val="2"/>
      </rPr>
      <t xml:space="preserve">維持</t>
    </r>
    <r>
      <rPr>
        <b val="true"/>
        <sz val="10"/>
        <color rgb="FFFFFFFF"/>
        <rFont val="Arial"/>
        <family val="0"/>
        <charset val="1"/>
      </rPr>
      <t xml:space="preserve">&gt;=50% </t>
    </r>
    <r>
      <rPr>
        <b val="true"/>
        <sz val="10"/>
        <color rgb="FFFFFFFF"/>
        <rFont val="Noto Sans CJK SC"/>
        <family val="2"/>
      </rPr>
      <t xml:space="preserve">登録</t>
    </r>
    <r>
      <rPr>
        <b val="true"/>
        <sz val="10"/>
        <color rgb="FFFFFFFF"/>
        <rFont val="Arial"/>
        <family val="0"/>
        <charset val="1"/>
      </rPr>
      <t xml:space="preserve">/</t>
    </r>
    <r>
      <rPr>
        <b val="true"/>
        <sz val="10"/>
        <color rgb="FFFFFFFF"/>
        <rFont val="Noto Sans CJK SC"/>
        <family val="2"/>
      </rPr>
      <t xml:space="preserve">千</t>
    </r>
  </si>
  <si>
    <t xml:space="preserve">daily-science</t>
  </si>
  <si>
    <t xml:space="preserve">scp-lab</t>
  </si>
  <si>
    <t xml:space="preserve">yokai-watch</t>
  </si>
  <si>
    <t xml:space="preserve">company-facts</t>
  </si>
  <si>
    <t xml:space="preserve">pokemon-lab</t>
  </si>
  <si>
    <t xml:space="preserve">2ch-matome</t>
  </si>
  <si>
    <r>
      <rPr>
        <i val="true"/>
        <sz val="9"/>
        <color rgb="FF595959"/>
        <rFont val="Noto Sans CJK SC"/>
        <family val="2"/>
      </rPr>
      <t xml:space="preserve">注</t>
    </r>
    <r>
      <rPr>
        <i val="true"/>
        <sz val="9"/>
        <color rgb="FF595959"/>
        <rFont val="Arial"/>
        <family val="0"/>
        <charset val="1"/>
      </rPr>
      <t xml:space="preserve">: </t>
    </r>
    <r>
      <rPr>
        <i val="true"/>
        <sz val="9"/>
        <color rgb="FF595959"/>
        <rFont val="Noto Sans CJK SC"/>
        <family val="2"/>
      </rPr>
      <t xml:space="preserve">緑</t>
    </r>
    <r>
      <rPr>
        <i val="true"/>
        <sz val="9"/>
        <color rgb="FF595959"/>
        <rFont val="Arial"/>
        <family val="0"/>
        <charset val="1"/>
      </rPr>
      <t xml:space="preserve">=</t>
    </r>
    <r>
      <rPr>
        <i val="true"/>
        <sz val="9"/>
        <color rgb="FF595959"/>
        <rFont val="Noto Sans CJK SC"/>
        <family val="2"/>
      </rPr>
      <t xml:space="preserve">その </t>
    </r>
    <r>
      <rPr>
        <i val="true"/>
        <sz val="9"/>
        <color rgb="FF595959"/>
        <rFont val="Arial"/>
        <family val="0"/>
        <charset val="1"/>
      </rPr>
      <t xml:space="preserve">ch </t>
    </r>
    <r>
      <rPr>
        <i val="true"/>
        <sz val="9"/>
        <color rgb="FF595959"/>
        <rFont val="Noto Sans CJK SC"/>
        <family val="2"/>
      </rPr>
      <t xml:space="preserve">で登録</t>
    </r>
    <r>
      <rPr>
        <i val="true"/>
        <sz val="9"/>
        <color rgb="FF595959"/>
        <rFont val="Arial"/>
        <family val="0"/>
        <charset val="1"/>
      </rPr>
      <t xml:space="preserve">/</t>
    </r>
    <r>
      <rPr>
        <i val="true"/>
        <sz val="9"/>
        <color rgb="FF595959"/>
        <rFont val="Noto Sans CJK SC"/>
        <family val="2"/>
      </rPr>
      <t xml:space="preserve">千が高かった側。</t>
    </r>
    <r>
      <rPr>
        <i val="true"/>
        <sz val="9"/>
        <color rgb="FF595959"/>
        <rFont val="Arial"/>
        <family val="0"/>
        <charset val="1"/>
      </rPr>
      <t xml:space="preserve">6ch </t>
    </r>
    <r>
      <rPr>
        <i val="true"/>
        <sz val="9"/>
        <color rgb="FF595959"/>
        <rFont val="Noto Sans CJK SC"/>
        <family val="2"/>
      </rPr>
      <t xml:space="preserve">中 </t>
    </r>
    <r>
      <rPr>
        <i val="true"/>
        <sz val="9"/>
        <color rgb="FF595959"/>
        <rFont val="Arial"/>
        <family val="0"/>
        <charset val="1"/>
      </rPr>
      <t xml:space="preserve">5ch </t>
    </r>
    <r>
      <rPr>
        <i val="true"/>
        <sz val="9"/>
        <color rgb="FF595959"/>
        <rFont val="Noto Sans CJK SC"/>
        <family val="2"/>
      </rPr>
      <t xml:space="preserve">で「維持率 </t>
    </r>
    <r>
      <rPr>
        <i val="true"/>
        <sz val="9"/>
        <color rgb="FF595959"/>
        <rFont val="Arial"/>
        <family val="0"/>
        <charset val="1"/>
      </rPr>
      <t xml:space="preserve">50% </t>
    </r>
    <r>
      <rPr>
        <i val="true"/>
        <sz val="9"/>
        <color rgb="FF595959"/>
        <rFont val="Noto Sans CJK SC"/>
        <family val="2"/>
      </rPr>
      <t xml:space="preserve">未満」の側が高い。</t>
    </r>
  </si>
  <si>
    <r>
      <rPr>
        <b val="true"/>
        <sz val="10"/>
        <rFont val="Noto Sans CJK SC"/>
        <family val="2"/>
      </rPr>
      <t xml:space="preserve">■ 投稿枠別 登録</t>
    </r>
    <r>
      <rPr>
        <b val="true"/>
        <sz val="10"/>
        <rFont val="Arial"/>
        <family val="0"/>
        <charset val="1"/>
      </rPr>
      <t xml:space="preserve">/</t>
    </r>
    <r>
      <rPr>
        <b val="true"/>
        <sz val="10"/>
        <rFont val="Noto Sans CJK SC"/>
        <family val="2"/>
      </rPr>
      <t xml:space="preserve">千再生（公開 </t>
    </r>
    <r>
      <rPr>
        <b val="true"/>
        <sz val="10"/>
        <rFont val="Arial"/>
        <family val="0"/>
        <charset val="1"/>
      </rPr>
      <t xml:space="preserve">2026-08-15 </t>
    </r>
    <r>
      <rPr>
        <b val="true"/>
        <sz val="10"/>
        <rFont val="Noto Sans CJK SC"/>
        <family val="2"/>
      </rPr>
      <t xml:space="preserve">以降・</t>
    </r>
    <r>
      <rPr>
        <b val="true"/>
        <sz val="10"/>
        <rFont val="Arial"/>
        <family val="0"/>
        <charset val="1"/>
      </rPr>
      <t xml:space="preserve">n&gt;=3 </t>
    </r>
    <r>
      <rPr>
        <b val="true"/>
        <sz val="10"/>
        <rFont val="Noto Sans CJK SC"/>
        <family val="2"/>
      </rPr>
      <t xml:space="preserve">の枠のみ）</t>
    </r>
  </si>
  <si>
    <t xml:space="preserve">投稿枠</t>
  </si>
  <si>
    <r>
      <rPr>
        <sz val="10"/>
        <rFont val="Arial"/>
        <family val="0"/>
        <charset val="1"/>
      </rPr>
      <t xml:space="preserve">00</t>
    </r>
    <r>
      <rPr>
        <sz val="10"/>
        <rFont val="Noto Sans CJK SC"/>
        <family val="2"/>
      </rPr>
      <t xml:space="preserve">時</t>
    </r>
  </si>
  <si>
    <r>
      <rPr>
        <sz val="10"/>
        <rFont val="Arial"/>
        <family val="0"/>
        <charset val="1"/>
      </rPr>
      <t xml:space="preserve">03</t>
    </r>
    <r>
      <rPr>
        <sz val="10"/>
        <rFont val="Noto Sans CJK SC"/>
        <family val="2"/>
      </rPr>
      <t xml:space="preserve">時</t>
    </r>
  </si>
  <si>
    <r>
      <rPr>
        <sz val="10"/>
        <rFont val="Arial"/>
        <family val="0"/>
        <charset val="1"/>
      </rPr>
      <t xml:space="preserve">08</t>
    </r>
    <r>
      <rPr>
        <sz val="10"/>
        <rFont val="Noto Sans CJK SC"/>
        <family val="2"/>
      </rPr>
      <t xml:space="preserve">時</t>
    </r>
  </si>
  <si>
    <r>
      <rPr>
        <sz val="10"/>
        <rFont val="Arial"/>
        <family val="0"/>
        <charset val="1"/>
      </rPr>
      <t xml:space="preserve">09</t>
    </r>
    <r>
      <rPr>
        <sz val="10"/>
        <rFont val="Noto Sans CJK SC"/>
        <family val="2"/>
      </rPr>
      <t xml:space="preserve">時</t>
    </r>
  </si>
  <si>
    <r>
      <rPr>
        <sz val="10"/>
        <rFont val="Arial"/>
        <family val="0"/>
        <charset val="1"/>
      </rPr>
      <t xml:space="preserve">10</t>
    </r>
    <r>
      <rPr>
        <sz val="10"/>
        <rFont val="Noto Sans CJK SC"/>
        <family val="2"/>
      </rPr>
      <t xml:space="preserve">時</t>
    </r>
  </si>
  <si>
    <r>
      <rPr>
        <sz val="10"/>
        <rFont val="Arial"/>
        <family val="0"/>
        <charset val="1"/>
      </rPr>
      <t xml:space="preserve">12</t>
    </r>
    <r>
      <rPr>
        <sz val="10"/>
        <rFont val="Noto Sans CJK SC"/>
        <family val="2"/>
      </rPr>
      <t xml:space="preserve">時</t>
    </r>
  </si>
  <si>
    <r>
      <rPr>
        <sz val="10"/>
        <rFont val="Arial"/>
        <family val="0"/>
        <charset val="1"/>
      </rPr>
      <t xml:space="preserve">22</t>
    </r>
    <r>
      <rPr>
        <sz val="10"/>
        <rFont val="Noto Sans CJK SC"/>
        <family val="2"/>
      </rPr>
      <t xml:space="preserve">時</t>
    </r>
  </si>
  <si>
    <t xml:space="preserve">akashic-librarian</t>
  </si>
  <si>
    <t xml:space="preserve">clip-fukada</t>
  </si>
  <si>
    <r>
      <rPr>
        <sz val="10"/>
        <rFont val="Arial"/>
        <family val="0"/>
        <charset val="1"/>
      </rPr>
      <t xml:space="preserve">11</t>
    </r>
    <r>
      <rPr>
        <sz val="10"/>
        <rFont val="Noto Sans CJK SC"/>
        <family val="2"/>
      </rPr>
      <t xml:space="preserve">時</t>
    </r>
  </si>
  <si>
    <t xml:space="preserve">clip-kaneko</t>
  </si>
  <si>
    <r>
      <rPr>
        <sz val="10"/>
        <rFont val="Arial"/>
        <family val="0"/>
        <charset val="1"/>
      </rPr>
      <t xml:space="preserve">05</t>
    </r>
    <r>
      <rPr>
        <sz val="10"/>
        <rFont val="Noto Sans CJK SC"/>
        <family val="2"/>
      </rPr>
      <t xml:space="preserve">時</t>
    </r>
  </si>
  <si>
    <r>
      <rPr>
        <sz val="10"/>
        <rFont val="Arial"/>
        <family val="0"/>
        <charset val="1"/>
      </rPr>
      <t xml:space="preserve">23</t>
    </r>
    <r>
      <rPr>
        <sz val="10"/>
        <rFont val="Noto Sans CJK SC"/>
        <family val="2"/>
      </rPr>
      <t xml:space="preserve">時</t>
    </r>
  </si>
  <si>
    <t xml:space="preserve">clip-lab</t>
  </si>
  <si>
    <r>
      <rPr>
        <sz val="10"/>
        <rFont val="Arial"/>
        <family val="0"/>
        <charset val="1"/>
      </rPr>
      <t xml:space="preserve">02</t>
    </r>
    <r>
      <rPr>
        <sz val="10"/>
        <rFont val="Noto Sans CJK SC"/>
        <family val="2"/>
      </rPr>
      <t xml:space="preserve">時</t>
    </r>
  </si>
  <si>
    <r>
      <rPr>
        <sz val="10"/>
        <rFont val="Arial"/>
        <family val="0"/>
        <charset val="1"/>
      </rPr>
      <t xml:space="preserve">04</t>
    </r>
    <r>
      <rPr>
        <sz val="10"/>
        <rFont val="Noto Sans CJK SC"/>
        <family val="2"/>
      </rPr>
      <t xml:space="preserve">時</t>
    </r>
  </si>
  <si>
    <t xml:space="preserve">fake-paper</t>
  </si>
  <si>
    <r>
      <rPr>
        <sz val="10"/>
        <rFont val="Arial"/>
        <family val="0"/>
        <charset val="1"/>
      </rPr>
      <t xml:space="preserve">06</t>
    </r>
    <r>
      <rPr>
        <sz val="10"/>
        <rFont val="Noto Sans CJK SC"/>
        <family val="2"/>
      </rPr>
      <t xml:space="preserve">時</t>
    </r>
  </si>
  <si>
    <r>
      <rPr>
        <sz val="10"/>
        <rFont val="Arial"/>
        <family val="0"/>
        <charset val="1"/>
      </rPr>
      <t xml:space="preserve">07</t>
    </r>
    <r>
      <rPr>
        <sz val="10"/>
        <rFont val="Noto Sans CJK SC"/>
        <family val="2"/>
      </rPr>
      <t xml:space="preserve">時</t>
    </r>
  </si>
  <si>
    <r>
      <rPr>
        <b val="true"/>
        <sz val="13"/>
        <color rgb="FF1F3864"/>
        <rFont val="Noto Sans CJK SC"/>
        <family val="2"/>
      </rPr>
      <t xml:space="preserve">動画別パフォーマンス（</t>
    </r>
    <r>
      <rPr>
        <b val="true"/>
        <sz val="13"/>
        <color rgb="FF1F3864"/>
        <rFont val="Arial"/>
        <family val="0"/>
        <charset val="1"/>
      </rPr>
      <t xml:space="preserve">2026-09-01 </t>
    </r>
    <r>
      <rPr>
        <b val="true"/>
        <sz val="13"/>
        <color rgb="FF1F3864"/>
        <rFont val="Noto Sans CJK SC"/>
        <family val="2"/>
      </rPr>
      <t xml:space="preserve">以降公開・再生数上位</t>
    </r>
    <r>
      <rPr>
        <b val="true"/>
        <sz val="13"/>
        <color rgb="FF1F3864"/>
        <rFont val="Arial"/>
        <family val="0"/>
        <charset val="1"/>
      </rPr>
      <t xml:space="preserve">60</t>
    </r>
    <r>
      <rPr>
        <b val="true"/>
        <sz val="13"/>
        <color rgb="FF1F3864"/>
        <rFont val="Noto Sans CJK SC"/>
        <family val="2"/>
      </rPr>
      <t xml:space="preserve">本）</t>
    </r>
  </si>
  <si>
    <r>
      <rPr>
        <i val="true"/>
        <sz val="9"/>
        <color rgb="FF595959"/>
        <rFont val="Arial"/>
        <family val="0"/>
        <charset val="1"/>
      </rPr>
      <t xml:space="preserve">09-13 </t>
    </r>
    <r>
      <rPr>
        <i val="true"/>
        <sz val="9"/>
        <color rgb="FF595959"/>
        <rFont val="Noto Sans CJK SC"/>
        <family val="2"/>
      </rPr>
      <t xml:space="preserve">以降の公開分は </t>
    </r>
    <r>
      <rPr>
        <i val="true"/>
        <sz val="9"/>
        <color rgb="FF595959"/>
        <rFont val="Arial"/>
        <family val="0"/>
        <charset val="1"/>
      </rPr>
      <t xml:space="preserve">analytics </t>
    </r>
    <r>
      <rPr>
        <i val="true"/>
        <sz val="9"/>
        <color rgb="FF595959"/>
        <rFont val="Noto Sans CJK SC"/>
        <family val="2"/>
      </rPr>
      <t xml:space="preserve">上 </t>
    </r>
    <r>
      <rPr>
        <i val="true"/>
        <sz val="9"/>
        <color rgb="FF595959"/>
        <rFont val="Arial"/>
        <family val="0"/>
        <charset val="1"/>
      </rPr>
      <t xml:space="preserve">views=0 = </t>
    </r>
    <r>
      <rPr>
        <i val="true"/>
        <sz val="9"/>
        <color rgb="FF595959"/>
        <rFont val="Noto Sans CJK SC"/>
        <family val="2"/>
      </rPr>
      <t xml:space="preserve">未計測のため本表には現れない。</t>
    </r>
  </si>
  <si>
    <t xml:space="preserve">公開日</t>
  </si>
  <si>
    <t xml:space="preserve">時刻</t>
  </si>
  <si>
    <t xml:space="preserve">タイトル</t>
  </si>
  <si>
    <t xml:space="preserve">再生数</t>
  </si>
  <si>
    <t xml:space="preserve">高評価</t>
  </si>
  <si>
    <t xml:space="preserve">コメント</t>
  </si>
  <si>
    <t xml:space="preserve">CTR</t>
  </si>
  <si>
    <t xml:space="preserve">維持率</t>
  </si>
  <si>
    <t xml:space="preserve">2026-09-05</t>
  </si>
  <si>
    <t xml:space="preserve">08:45</t>
  </si>
  <si>
    <r>
      <rPr>
        <sz val="10"/>
        <rFont val="Noto Sans CJK SC"/>
        <family val="2"/>
      </rPr>
      <t xml:space="preserve">刑務所行きを恐れ 暴力団は来なくなった </t>
    </r>
    <r>
      <rPr>
        <sz val="10"/>
        <rFont val="Arial"/>
        <family val="0"/>
        <charset val="1"/>
      </rPr>
      <t xml:space="preserve">#shorts #</t>
    </r>
    <r>
      <rPr>
        <sz val="10"/>
        <rFont val="Noto Sans CJK SC"/>
        <family val="2"/>
      </rPr>
      <t xml:space="preserve">切り抜き</t>
    </r>
  </si>
  <si>
    <t xml:space="preserve">2026-09-04</t>
  </si>
  <si>
    <t xml:space="preserve">02:48</t>
  </si>
  <si>
    <r>
      <rPr>
        <sz val="10"/>
        <rFont val="Noto Sans CJK SC"/>
        <family val="2"/>
      </rPr>
      <t xml:space="preserve">株を渡されない社長は いつでもクビになれる </t>
    </r>
    <r>
      <rPr>
        <sz val="10"/>
        <rFont val="Arial"/>
        <family val="0"/>
        <charset val="1"/>
      </rPr>
      <t xml:space="preserve">#shorts #</t>
    </r>
    <r>
      <rPr>
        <sz val="10"/>
        <rFont val="Noto Sans CJK SC"/>
        <family val="2"/>
      </rPr>
      <t xml:space="preserve">切り抜き</t>
    </r>
  </si>
  <si>
    <t xml:space="preserve">2026-09-03</t>
  </si>
  <si>
    <t xml:space="preserve">08:00</t>
  </si>
  <si>
    <r>
      <rPr>
        <sz val="10"/>
        <rFont val="Noto Sans CJK SC"/>
        <family val="2"/>
      </rPr>
      <t xml:space="preserve">日本マクドナルドの正体、年収</t>
    </r>
    <r>
      <rPr>
        <sz val="10"/>
        <rFont val="Arial"/>
        <family val="0"/>
        <charset val="1"/>
      </rPr>
      <t xml:space="preserve">670</t>
    </r>
    <r>
      <rPr>
        <sz val="10"/>
        <rFont val="Noto Sans CJK SC"/>
        <family val="2"/>
      </rPr>
      <t xml:space="preserve">万円の裏側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</si>
  <si>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2026-09-06</t>
  </si>
  <si>
    <t xml:space="preserve">02:46</t>
  </si>
  <si>
    <r>
      <rPr>
        <sz val="10"/>
        <rFont val="Noto Sans CJK SC"/>
        <family val="2"/>
      </rPr>
      <t xml:space="preserve">弟を亡くした悲しみは </t>
    </r>
    <r>
      <rPr>
        <sz val="10"/>
        <rFont val="Arial"/>
        <family val="0"/>
        <charset val="1"/>
      </rPr>
      <t xml:space="preserve">6</t>
    </r>
    <r>
      <rPr>
        <sz val="10"/>
        <rFont val="Noto Sans CJK SC"/>
        <family val="2"/>
      </rPr>
      <t xml:space="preserve">年経っても消えない </t>
    </r>
    <r>
      <rPr>
        <sz val="10"/>
        <rFont val="Arial"/>
        <family val="0"/>
        <charset val="1"/>
      </rPr>
      <t xml:space="preserve">#shorts #</t>
    </r>
    <r>
      <rPr>
        <sz val="10"/>
        <rFont val="Noto Sans CJK SC"/>
        <family val="2"/>
      </rPr>
      <t xml:space="preserve">切り抜き</t>
    </r>
  </si>
  <si>
    <t xml:space="preserve">02:45</t>
  </si>
  <si>
    <r>
      <rPr>
        <sz val="10"/>
        <rFont val="Noto Sans CJK SC"/>
        <family val="2"/>
      </rPr>
      <t xml:space="preserve">男性の被害は 事件化されにくい </t>
    </r>
    <r>
      <rPr>
        <sz val="10"/>
        <rFont val="Arial"/>
        <family val="0"/>
        <charset val="1"/>
      </rPr>
      <t xml:space="preserve">#shorts #</t>
    </r>
    <r>
      <rPr>
        <sz val="10"/>
        <rFont val="Noto Sans CJK SC"/>
        <family val="2"/>
      </rPr>
      <t xml:space="preserve">切り抜き</t>
    </r>
  </si>
  <si>
    <t xml:space="preserve">23:15</t>
  </si>
  <si>
    <r>
      <rPr>
        <sz val="10"/>
        <rFont val="Noto Sans CJK SC"/>
        <family val="2"/>
      </rPr>
      <t xml:space="preserve">航空自衛隊千歳の正体、年収</t>
    </r>
    <r>
      <rPr>
        <sz val="10"/>
        <rFont val="Arial"/>
        <family val="0"/>
        <charset val="1"/>
      </rPr>
      <t xml:space="preserve">400</t>
    </r>
    <r>
      <rPr>
        <sz val="10"/>
        <rFont val="Noto Sans CJK SC"/>
        <family val="2"/>
      </rPr>
      <t xml:space="preserve">万円台の実態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</si>
  <si>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11:00</t>
  </si>
  <si>
    <r>
      <rPr>
        <sz val="10"/>
        <rFont val="Noto Sans CJK SC"/>
        <family val="2"/>
      </rPr>
      <t xml:space="preserve">今の自分のまま 学生時代に戻りたい </t>
    </r>
    <r>
      <rPr>
        <sz val="10"/>
        <rFont val="Arial"/>
        <family val="0"/>
        <charset val="1"/>
      </rPr>
      <t xml:space="preserve">#shorts #</t>
    </r>
    <r>
      <rPr>
        <sz val="10"/>
        <rFont val="Noto Sans CJK SC"/>
        <family val="2"/>
      </rPr>
      <t xml:space="preserve">切り抜き</t>
    </r>
  </si>
  <si>
    <t xml:space="preserve">11:30</t>
  </si>
  <si>
    <r>
      <rPr>
        <sz val="10"/>
        <rFont val="Noto Sans CJK SC"/>
        <family val="2"/>
      </rPr>
      <t xml:space="preserve">白いゲーミング</t>
    </r>
    <r>
      <rPr>
        <sz val="10"/>
        <rFont val="Arial"/>
        <family val="0"/>
        <charset val="1"/>
      </rPr>
      <t xml:space="preserve">PC</t>
    </r>
    <r>
      <rPr>
        <sz val="10"/>
        <rFont val="Noto Sans CJK SC"/>
        <family val="2"/>
      </rPr>
      <t xml:space="preserve">は 中の色まで変えられる </t>
    </r>
    <r>
      <rPr>
        <sz val="10"/>
        <rFont val="Arial"/>
        <family val="0"/>
        <charset val="1"/>
      </rPr>
      <t xml:space="preserve">#shorts #</t>
    </r>
    <r>
      <rPr>
        <sz val="10"/>
        <rFont val="Noto Sans CJK SC"/>
        <family val="2"/>
      </rPr>
      <t xml:space="preserve">切り抜き</t>
    </r>
  </si>
  <si>
    <t xml:space="preserve">2026-09-09</t>
  </si>
  <si>
    <t xml:space="preserve">14:57</t>
  </si>
  <si>
    <r>
      <rPr>
        <sz val="10"/>
        <rFont val="Arial"/>
        <family val="0"/>
        <charset val="1"/>
      </rPr>
      <t xml:space="preserve">Apple</t>
    </r>
    <r>
      <rPr>
        <sz val="10"/>
        <rFont val="Noto Sans CJK SC"/>
        <family val="2"/>
      </rPr>
      <t xml:space="preserve">の本当は年収約</t>
    </r>
    <r>
      <rPr>
        <sz val="10"/>
        <rFont val="Arial"/>
        <family val="0"/>
        <charset val="1"/>
      </rPr>
      <t xml:space="preserve">3,800</t>
    </r>
    <r>
      <rPr>
        <sz val="10"/>
        <rFont val="Noto Sans CJK SC"/>
        <family val="2"/>
      </rPr>
      <t xml:space="preserve">万円、新製品発表の裏側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</si>
  <si>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2026-09-02</t>
  </si>
  <si>
    <t xml:space="preserve">09:45</t>
  </si>
  <si>
    <r>
      <rPr>
        <sz val="10"/>
        <rFont val="Noto Sans CJK SC"/>
        <family val="2"/>
      </rPr>
      <t xml:space="preserve">なぜ移籍した選手だけ？昨日までの英雄が急に裏切り者になる理由 </t>
    </r>
    <r>
      <rPr>
        <sz val="10"/>
        <rFont val="Arial"/>
        <family val="0"/>
        <charset val="1"/>
      </rPr>
      <t xml:space="preserve">#shorts #</t>
    </r>
    <r>
      <rPr>
        <sz val="10"/>
        <rFont val="Noto Sans CJK SC"/>
        <family val="2"/>
      </rPr>
      <t xml:space="preserve">社会学 </t>
    </r>
    <r>
      <rPr>
        <sz val="10"/>
        <rFont val="Arial"/>
        <family val="0"/>
        <charset val="1"/>
      </rPr>
      <t xml:space="preserve">#</t>
    </r>
    <r>
      <rPr>
        <sz val="10"/>
        <rFont val="Noto Sans CJK SC"/>
        <family val="2"/>
      </rPr>
      <t xml:space="preserve">人間心理</t>
    </r>
  </si>
  <si>
    <t xml:space="preserve">2026-09-07</t>
  </si>
  <si>
    <t xml:space="preserve">03:00</t>
  </si>
  <si>
    <r>
      <rPr>
        <sz val="10"/>
        <rFont val="Noto Sans CJK SC"/>
        <family val="2"/>
      </rPr>
      <t xml:space="preserve">人面犬の噂が昭和の学校で生まれた土壌とは…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</si>
  <si>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23:00</t>
  </si>
  <si>
    <r>
      <rPr>
        <sz val="10"/>
        <rFont val="Arial"/>
        <family val="0"/>
        <charset val="1"/>
      </rPr>
      <t xml:space="preserve">6</t>
    </r>
    <r>
      <rPr>
        <sz val="10"/>
        <rFont val="Noto Sans CJK SC"/>
        <family val="2"/>
      </rPr>
      <t xml:space="preserve">年間隠した恋が 都合のいい関係に </t>
    </r>
    <r>
      <rPr>
        <sz val="10"/>
        <rFont val="Arial"/>
        <family val="0"/>
        <charset val="1"/>
      </rPr>
      <t xml:space="preserve">#shorts #</t>
    </r>
    <r>
      <rPr>
        <sz val="10"/>
        <rFont val="Noto Sans CJK SC"/>
        <family val="2"/>
      </rPr>
      <t xml:space="preserve">切り抜き</t>
    </r>
  </si>
  <si>
    <r>
      <rPr>
        <sz val="10"/>
        <rFont val="Noto Sans CJK SC"/>
        <family val="2"/>
      </rPr>
      <t xml:space="preserve">伊藤忠商事の平均</t>
    </r>
    <r>
      <rPr>
        <sz val="10"/>
        <rFont val="Arial"/>
        <family val="0"/>
        <charset val="1"/>
      </rPr>
      <t xml:space="preserve">1753</t>
    </r>
    <r>
      <rPr>
        <sz val="10"/>
        <rFont val="Noto Sans CJK SC"/>
        <family val="2"/>
      </rPr>
      <t xml:space="preserve">万円、朝型勤務の実態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</si>
  <si>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08:46</t>
  </si>
  <si>
    <r>
      <rPr>
        <sz val="10"/>
        <rFont val="Noto Sans CJK SC"/>
        <family val="2"/>
      </rPr>
      <t xml:space="preserve">向いていることを やり続ければいい </t>
    </r>
    <r>
      <rPr>
        <sz val="10"/>
        <rFont val="Arial"/>
        <family val="0"/>
        <charset val="1"/>
      </rPr>
      <t xml:space="preserve">#shorts #</t>
    </r>
    <r>
      <rPr>
        <sz val="10"/>
        <rFont val="Noto Sans CJK SC"/>
        <family val="2"/>
      </rPr>
      <t xml:space="preserve">切り抜き</t>
    </r>
  </si>
  <si>
    <t xml:space="preserve">02:57</t>
  </si>
  <si>
    <r>
      <rPr>
        <sz val="10"/>
        <rFont val="Noto Sans CJK SC"/>
        <family val="2"/>
      </rPr>
      <t xml:space="preserve">なぜ寒さで顎が先に震える？</t>
    </r>
    <r>
      <rPr>
        <sz val="10"/>
        <rFont val="Arial"/>
        <family val="0"/>
        <charset val="1"/>
      </rPr>
      <t xml:space="preserve">3</t>
    </r>
    <r>
      <rPr>
        <sz val="10"/>
        <rFont val="Noto Sans CJK SC"/>
        <family val="2"/>
      </rPr>
      <t xml:space="preserve">秒の正体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</si>
  <si>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22:00</t>
  </si>
  <si>
    <r>
      <rPr>
        <sz val="10"/>
        <rFont val="Arial"/>
        <family val="0"/>
        <charset val="1"/>
      </rPr>
      <t xml:space="preserve">3</t>
    </r>
    <r>
      <rPr>
        <sz val="10"/>
        <rFont val="Noto Sans CJK SC"/>
        <family val="2"/>
      </rPr>
      <t xml:space="preserve">秒で凍結何言った </t>
    </r>
    <r>
      <rPr>
        <sz val="10"/>
        <rFont val="Arial"/>
        <family val="0"/>
        <charset val="1"/>
      </rPr>
      <t xml:space="preserve">#shorts #2ch #</t>
    </r>
    <r>
      <rPr>
        <sz val="10"/>
        <rFont val="Noto Sans CJK SC"/>
        <family val="2"/>
      </rPr>
      <t xml:space="preserve">面白いスレ</t>
    </r>
  </si>
  <si>
    <r>
      <rPr>
        <sz val="10"/>
        <rFont val="Noto Sans CJK SC"/>
        <family val="2"/>
      </rPr>
      <t xml:space="preserve">なぜあなたは階段で</t>
    </r>
    <r>
      <rPr>
        <sz val="10"/>
        <rFont val="Arial"/>
        <family val="0"/>
        <charset val="1"/>
      </rPr>
      <t xml:space="preserve">1</t>
    </r>
    <r>
      <rPr>
        <sz val="10"/>
        <rFont val="Noto Sans CJK SC"/>
        <family val="2"/>
      </rPr>
      <t xml:space="preserve">段だけ外すのか？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</si>
  <si>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07:54</t>
  </si>
  <si>
    <r>
      <rPr>
        <sz val="10"/>
        <rFont val="Arial"/>
        <family val="0"/>
        <charset val="1"/>
      </rPr>
      <t xml:space="preserve">100</t>
    </r>
    <r>
      <rPr>
        <sz val="10"/>
        <rFont val="Noto Sans CJK SC"/>
        <family val="2"/>
      </rPr>
      <t xml:space="preserve">点を</t>
    </r>
    <r>
      <rPr>
        <sz val="10"/>
        <rFont val="Arial"/>
        <family val="0"/>
        <charset val="1"/>
      </rPr>
      <t xml:space="preserve">10</t>
    </r>
    <r>
      <rPr>
        <sz val="10"/>
        <rFont val="Noto Sans CJK SC"/>
        <family val="2"/>
      </rPr>
      <t xml:space="preserve">個より </t>
    </r>
    <r>
      <rPr>
        <sz val="10"/>
        <rFont val="Arial"/>
        <family val="0"/>
        <charset val="1"/>
      </rPr>
      <t xml:space="preserve">60</t>
    </r>
    <r>
      <rPr>
        <sz val="10"/>
        <rFont val="Noto Sans CJK SC"/>
        <family val="2"/>
      </rPr>
      <t xml:space="preserve">点を</t>
    </r>
    <r>
      <rPr>
        <sz val="10"/>
        <rFont val="Arial"/>
        <family val="0"/>
        <charset val="1"/>
      </rPr>
      <t xml:space="preserve">1000</t>
    </r>
    <r>
      <rPr>
        <sz val="10"/>
        <rFont val="Noto Sans CJK SC"/>
        <family val="2"/>
      </rPr>
      <t xml:space="preserve">個作れ </t>
    </r>
    <r>
      <rPr>
        <sz val="10"/>
        <rFont val="Arial"/>
        <family val="0"/>
        <charset val="1"/>
      </rPr>
      <t xml:space="preserve">#shorts #</t>
    </r>
    <r>
      <rPr>
        <sz val="10"/>
        <rFont val="Noto Sans CJK SC"/>
        <family val="2"/>
      </rPr>
      <t xml:space="preserve">切り抜き</t>
    </r>
  </si>
  <si>
    <t xml:space="preserve">22:30</t>
  </si>
  <si>
    <r>
      <rPr>
        <sz val="10"/>
        <rFont val="Noto Sans CJK SC"/>
        <family val="2"/>
      </rPr>
      <t xml:space="preserve">走った後の鉄味、あなたの肺で何が？</t>
    </r>
    <r>
      <rPr>
        <sz val="10"/>
        <rFont val="Arial"/>
        <family val="0"/>
        <charset val="1"/>
      </rPr>
      <t xml:space="preserve">0.1%</t>
    </r>
    <r>
      <rPr>
        <sz val="10"/>
        <rFont val="Noto Sans CJK SC"/>
        <family val="2"/>
      </rPr>
      <t xml:space="preserve">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</si>
  <si>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10:30</t>
  </si>
  <si>
    <r>
      <rPr>
        <sz val="10"/>
        <rFont val="Noto Sans CJK SC"/>
        <family val="2"/>
      </rPr>
      <t xml:space="preserve">宇宙で選ぶあのメニュー </t>
    </r>
    <r>
      <rPr>
        <sz val="10"/>
        <rFont val="Arial"/>
        <family val="0"/>
        <charset val="1"/>
      </rPr>
      <t xml:space="preserve">#shorts #</t>
    </r>
    <r>
      <rPr>
        <sz val="10"/>
        <rFont val="Noto Sans CJK SC"/>
        <family val="2"/>
      </rPr>
      <t xml:space="preserve">架空論文</t>
    </r>
  </si>
  <si>
    <t xml:space="preserve">2026-09-08</t>
  </si>
  <si>
    <r>
      <rPr>
        <sz val="10"/>
        <rFont val="Noto Sans CJK SC"/>
        <family val="2"/>
      </rPr>
      <t xml:space="preserve">ろくろ首の正体は飛頭蛮？首が飛ぶ怪異の出どころ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</si>
  <si>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2026-09-01</t>
  </si>
  <si>
    <r>
      <rPr>
        <sz val="10"/>
        <rFont val="Noto Sans CJK SC"/>
        <family val="2"/>
      </rPr>
      <t xml:space="preserve">キャラ表示で味が変わる </t>
    </r>
    <r>
      <rPr>
        <sz val="10"/>
        <rFont val="Arial"/>
        <family val="0"/>
        <charset val="1"/>
      </rPr>
      <t xml:space="preserve">#shorts #</t>
    </r>
    <r>
      <rPr>
        <sz val="10"/>
        <rFont val="Noto Sans CJK SC"/>
        <family val="2"/>
      </rPr>
      <t xml:space="preserve">架空論文</t>
    </r>
  </si>
  <si>
    <t xml:space="preserve">04:00</t>
  </si>
  <si>
    <r>
      <rPr>
        <sz val="10"/>
        <rFont val="Arial"/>
        <family val="0"/>
        <charset val="1"/>
      </rPr>
      <t xml:space="preserve">SCP-6121 </t>
    </r>
    <r>
      <rPr>
        <sz val="10"/>
        <rFont val="Noto Sans CJK SC"/>
        <family val="2"/>
      </rPr>
      <t xml:space="preserve">毎晩</t>
    </r>
    <r>
      <rPr>
        <sz val="10"/>
        <rFont val="Arial"/>
        <family val="0"/>
        <charset val="1"/>
      </rPr>
      <t xml:space="preserve">1cm</t>
    </r>
    <r>
      <rPr>
        <sz val="10"/>
        <rFont val="Noto Sans CJK SC"/>
        <family val="2"/>
      </rPr>
      <t xml:space="preserve">動く椅子、</t>
    </r>
    <r>
      <rPr>
        <sz val="10"/>
        <rFont val="Arial"/>
        <family val="0"/>
        <charset val="1"/>
      </rPr>
      <t xml:space="preserve">14</t>
    </r>
    <r>
      <rPr>
        <sz val="10"/>
        <rFont val="Noto Sans CJK SC"/>
        <family val="2"/>
      </rPr>
      <t xml:space="preserve">日目に起きた異変 </t>
    </r>
    <r>
      <rPr>
        <sz val="10"/>
        <rFont val="Arial"/>
        <family val="0"/>
        <charset val="1"/>
      </rPr>
      <t xml:space="preserve">#shorts #SCP #SCP</t>
    </r>
    <r>
      <rPr>
        <sz val="10"/>
        <rFont val="Noto Sans CJK SC"/>
        <family val="2"/>
      </rPr>
      <t xml:space="preserve">解説</t>
    </r>
  </si>
  <si>
    <t xml:space="preserve">10:00</t>
  </si>
  <si>
    <r>
      <rPr>
        <sz val="10"/>
        <rFont val="Noto Sans CJK SC"/>
        <family val="2"/>
      </rPr>
      <t xml:space="preserve">ユニクロ店長、売上</t>
    </r>
    <r>
      <rPr>
        <sz val="10"/>
        <rFont val="Arial"/>
        <family val="0"/>
        <charset val="1"/>
      </rPr>
      <t xml:space="preserve">1</t>
    </r>
    <r>
      <rPr>
        <sz val="10"/>
        <rFont val="Noto Sans CJK SC"/>
        <family val="2"/>
      </rPr>
      <t xml:space="preserve">億円を任される仕事の実態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</si>
  <si>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口裂け女の噂はなぜ全国へ？名前を呼べない本当の理由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</si>
  <si>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04:30</t>
  </si>
  <si>
    <r>
      <rPr>
        <sz val="10"/>
        <rFont val="Noto Sans CJK SC"/>
        <family val="2"/>
      </rPr>
      <t xml:space="preserve">トヨタ</t>
    </r>
    <r>
      <rPr>
        <sz val="10"/>
        <rFont val="Arial"/>
        <family val="0"/>
        <charset val="1"/>
      </rPr>
      <t xml:space="preserve">895</t>
    </r>
    <r>
      <rPr>
        <sz val="10"/>
        <rFont val="Noto Sans CJK SC"/>
        <family val="2"/>
      </rPr>
      <t xml:space="preserve">万円の実態、ルーミー人気を支える社員の本音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</si>
  <si>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あなたの耳が</t>
    </r>
    <r>
      <rPr>
        <sz val="10"/>
        <rFont val="Arial"/>
        <family val="0"/>
        <charset val="1"/>
      </rPr>
      <t xml:space="preserve">3</t>
    </r>
    <r>
      <rPr>
        <sz val="10"/>
        <rFont val="Noto Sans CJK SC"/>
        <family val="2"/>
      </rPr>
      <t xml:space="preserve">秒で抜ける正体は？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</si>
  <si>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Arial"/>
        <family val="0"/>
        <charset val="1"/>
      </rPr>
      <t xml:space="preserve">SCP-5800 </t>
    </r>
    <r>
      <rPr>
        <sz val="10"/>
        <rFont val="Noto Sans CJK SC"/>
        <family val="2"/>
      </rPr>
      <t xml:space="preserve">職員証だけが戻った未解決ファイル </t>
    </r>
    <r>
      <rPr>
        <sz val="10"/>
        <rFont val="Arial"/>
        <family val="0"/>
        <charset val="1"/>
      </rPr>
      <t xml:space="preserve">#shorts #SCP #SCP</t>
    </r>
    <r>
      <rPr>
        <sz val="10"/>
        <rFont val="Noto Sans CJK SC"/>
        <family val="2"/>
      </rPr>
      <t xml:space="preserve">解説</t>
    </r>
  </si>
  <si>
    <r>
      <rPr>
        <sz val="10"/>
        <rFont val="Noto Sans CJK SC"/>
        <family val="2"/>
      </rPr>
      <t xml:space="preserve">星野リゾートの推定年収</t>
    </r>
    <r>
      <rPr>
        <sz val="10"/>
        <rFont val="Arial"/>
        <family val="0"/>
        <charset val="1"/>
      </rPr>
      <t xml:space="preserve">400</t>
    </r>
    <r>
      <rPr>
        <sz val="10"/>
        <rFont val="Noto Sans CJK SC"/>
        <family val="2"/>
      </rPr>
      <t xml:space="preserve">万円、業界平均と比べると？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</si>
  <si>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日本郵政の年収、職種で</t>
    </r>
    <r>
      <rPr>
        <sz val="10"/>
        <rFont val="Arial"/>
        <family val="0"/>
        <charset val="1"/>
      </rPr>
      <t xml:space="preserve">2</t>
    </r>
    <r>
      <rPr>
        <sz val="10"/>
        <rFont val="Noto Sans CJK SC"/>
        <family val="2"/>
      </rPr>
      <t xml:space="preserve">倍差がつく理由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</si>
  <si>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03:30</t>
  </si>
  <si>
    <r>
      <rPr>
        <sz val="10"/>
        <rFont val="Noto Sans CJK SC"/>
        <family val="2"/>
      </rPr>
      <t xml:space="preserve">耳を塞ぐと聞こえる</t>
    </r>
    <r>
      <rPr>
        <sz val="10"/>
        <rFont val="Arial"/>
        <family val="0"/>
        <charset val="1"/>
      </rPr>
      <t xml:space="preserve">20Hz</t>
    </r>
    <r>
      <rPr>
        <sz val="10"/>
        <rFont val="Noto Sans CJK SC"/>
        <family val="2"/>
      </rPr>
      <t xml:space="preserve">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</si>
  <si>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大和ハウス工業の年収</t>
    </r>
    <r>
      <rPr>
        <sz val="10"/>
        <rFont val="Arial"/>
        <family val="0"/>
        <charset val="1"/>
      </rPr>
      <t xml:space="preserve">1000</t>
    </r>
    <r>
      <rPr>
        <sz val="10"/>
        <rFont val="Noto Sans CJK SC"/>
        <family val="2"/>
      </rPr>
      <t xml:space="preserve">万円超、残業の実態がヤバい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</si>
  <si>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03:15</t>
  </si>
  <si>
    <r>
      <rPr>
        <sz val="10"/>
        <rFont val="Arial"/>
        <family val="0"/>
        <charset val="1"/>
      </rPr>
      <t xml:space="preserve">3</t>
    </r>
    <r>
      <rPr>
        <sz val="10"/>
        <rFont val="Noto Sans CJK SC"/>
        <family val="2"/>
      </rPr>
      <t xml:space="preserve">回目の店謎の予約名 </t>
    </r>
    <r>
      <rPr>
        <sz val="10"/>
        <rFont val="Arial"/>
        <family val="0"/>
        <charset val="1"/>
      </rPr>
      <t xml:space="preserve">#shorts #2ch #</t>
    </r>
    <r>
      <rPr>
        <sz val="10"/>
        <rFont val="Noto Sans CJK SC"/>
        <family val="2"/>
      </rPr>
      <t xml:space="preserve">面白いスレ</t>
    </r>
  </si>
  <si>
    <r>
      <rPr>
        <sz val="10"/>
        <rFont val="Noto Sans CJK SC"/>
        <family val="2"/>
      </rPr>
      <t xml:space="preserve">未来の時刻誰が映る </t>
    </r>
    <r>
      <rPr>
        <sz val="10"/>
        <rFont val="Arial"/>
        <family val="0"/>
        <charset val="1"/>
      </rPr>
      <t xml:space="preserve">#shorts #SCP #SCP</t>
    </r>
    <r>
      <rPr>
        <sz val="10"/>
        <rFont val="Noto Sans CJK SC"/>
        <family val="2"/>
      </rPr>
      <t xml:space="preserve">解説</t>
    </r>
  </si>
  <si>
    <r>
      <rPr>
        <sz val="10"/>
        <rFont val="Arial"/>
        <family val="0"/>
        <charset val="1"/>
      </rPr>
      <t xml:space="preserve">SCP-███ </t>
    </r>
    <r>
      <rPr>
        <sz val="10"/>
        <rFont val="Noto Sans CJK SC"/>
        <family val="2"/>
      </rPr>
      <t xml:space="preserve">正体は</t>
    </r>
    <r>
      <rPr>
        <sz val="10"/>
        <rFont val="Arial"/>
        <family val="0"/>
        <charset val="1"/>
      </rPr>
      <t xml:space="preserve">0</t>
    </r>
    <r>
      <rPr>
        <sz val="10"/>
        <rFont val="Noto Sans CJK SC"/>
        <family val="2"/>
      </rPr>
      <t xml:space="preserve">秒の無音録音 </t>
    </r>
    <r>
      <rPr>
        <sz val="10"/>
        <rFont val="Arial"/>
        <family val="0"/>
        <charset val="1"/>
      </rPr>
      <t xml:space="preserve">#shorts #SCP #SCP</t>
    </r>
    <r>
      <rPr>
        <sz val="10"/>
        <rFont val="Noto Sans CJK SC"/>
        <family val="2"/>
      </rPr>
      <t xml:space="preserve">解説</t>
    </r>
  </si>
  <si>
    <t xml:space="preserve">07:00</t>
  </si>
  <si>
    <r>
      <rPr>
        <sz val="10"/>
        <rFont val="Noto Sans CJK SC"/>
        <family val="2"/>
      </rPr>
      <t xml:space="preserve">キュウビが日本へ渡った理由、知ってる？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</si>
  <si>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06:00</t>
  </si>
  <si>
    <r>
      <rPr>
        <sz val="10"/>
        <rFont val="Noto Sans CJK SC"/>
        <family val="2"/>
      </rPr>
      <t xml:space="preserve">初代図鑑にだけけつばんが現れた本当の理由 </t>
    </r>
    <r>
      <rPr>
        <sz val="10"/>
        <rFont val="Arial"/>
        <family val="0"/>
        <charset val="1"/>
      </rPr>
      <t xml:space="preserve">#shorts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</si>
  <si>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Noto Sans CJK SC"/>
        <family val="2"/>
      </rPr>
      <t xml:space="preserve">なぜ親は無言で机を閉めたのか…見つかって終わった物とは？ </t>
    </r>
    <r>
      <rPr>
        <sz val="10"/>
        <rFont val="Arial"/>
        <family val="0"/>
        <charset val="1"/>
      </rPr>
      <t xml:space="preserve">#shorts #2ch #</t>
    </r>
    <r>
      <rPr>
        <sz val="10"/>
        <rFont val="Noto Sans CJK SC"/>
        <family val="2"/>
      </rPr>
      <t xml:space="preserve">面白いスレ</t>
    </r>
  </si>
  <si>
    <r>
      <rPr>
        <sz val="10"/>
        <rFont val="Noto Sans CJK SC"/>
        <family val="2"/>
      </rPr>
      <t xml:space="preserve">雪女が去り際に名を呼ぶ理由…約束を破った男の末路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</si>
  <si>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サイゼリヤの原価率が社員年収に与える意外な影響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</si>
  <si>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なぜ壁のシミが顔に見える？</t>
    </r>
    <r>
      <rPr>
        <sz val="10"/>
        <rFont val="Arial"/>
        <family val="0"/>
        <charset val="1"/>
      </rPr>
      <t xml:space="preserve">0.1</t>
    </r>
    <r>
      <rPr>
        <sz val="10"/>
        <rFont val="Noto Sans CJK SC"/>
        <family val="2"/>
      </rPr>
      <t xml:space="preserve">秒の正体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</si>
  <si>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鏡の顔だけ違う？</t>
    </r>
    <r>
      <rPr>
        <sz val="10"/>
        <rFont val="Arial"/>
        <family val="0"/>
        <charset val="1"/>
      </rPr>
      <t xml:space="preserve">99%</t>
    </r>
    <r>
      <rPr>
        <sz val="10"/>
        <rFont val="Noto Sans CJK SC"/>
        <family val="2"/>
      </rPr>
      <t xml:space="preserve">が知らない左右差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</si>
  <si>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t xml:space="preserve">00:00</t>
  </si>
  <si>
    <r>
      <rPr>
        <sz val="10"/>
        <rFont val="Arial"/>
        <family val="0"/>
        <charset val="1"/>
      </rPr>
      <t xml:space="preserve">SCP-2140 </t>
    </r>
    <r>
      <rPr>
        <sz val="10"/>
        <rFont val="Noto Sans CJK SC"/>
        <family val="2"/>
      </rPr>
      <t xml:space="preserve">閲覧後、</t>
    </r>
    <r>
      <rPr>
        <sz val="10"/>
        <rFont val="Arial"/>
        <family val="0"/>
        <charset val="1"/>
      </rPr>
      <t xml:space="preserve">8</t>
    </r>
    <r>
      <rPr>
        <sz val="10"/>
        <rFont val="Noto Sans CJK SC"/>
        <family val="2"/>
      </rPr>
      <t xml:space="preserve">人の職員記録が別人に置換された </t>
    </r>
    <r>
      <rPr>
        <sz val="10"/>
        <rFont val="Arial"/>
        <family val="0"/>
        <charset val="1"/>
      </rPr>
      <t xml:space="preserve">#shorts #SCP #SCP</t>
    </r>
    <r>
      <rPr>
        <sz val="10"/>
        <rFont val="Noto Sans CJK SC"/>
        <family val="2"/>
      </rPr>
      <t xml:space="preserve">解説</t>
    </r>
  </si>
  <si>
    <r>
      <rPr>
        <sz val="10"/>
        <rFont val="Noto Sans CJK SC"/>
        <family val="2"/>
      </rPr>
      <t xml:space="preserve">日本マクドナルドの年収</t>
    </r>
    <r>
      <rPr>
        <sz val="10"/>
        <rFont val="Arial"/>
        <family val="0"/>
        <charset val="1"/>
      </rPr>
      <t xml:space="preserve">576</t>
    </r>
    <r>
      <rPr>
        <sz val="10"/>
        <rFont val="Noto Sans CJK SC"/>
        <family val="2"/>
      </rPr>
      <t xml:space="preserve">万円、その内訳とは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</si>
  <si>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小豆洗い、姿を消して「音」だけ残った土地の記録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</si>
  <si>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Arial"/>
        <family val="0"/>
        <charset val="1"/>
      </rPr>
      <t xml:space="preserve">NTT</t>
    </r>
    <r>
      <rPr>
        <sz val="10"/>
        <rFont val="Noto Sans CJK SC"/>
        <family val="2"/>
      </rPr>
      <t xml:space="preserve">データの年収</t>
    </r>
    <r>
      <rPr>
        <sz val="10"/>
        <rFont val="Arial"/>
        <family val="0"/>
        <charset val="1"/>
      </rPr>
      <t xml:space="preserve">905</t>
    </r>
    <r>
      <rPr>
        <sz val="10"/>
        <rFont val="Noto Sans CJK SC"/>
        <family val="2"/>
      </rPr>
      <t xml:space="preserve">万円、実は在宅勤務の裏側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</si>
  <si>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05:00</t>
  </si>
  <si>
    <r>
      <rPr>
        <sz val="10"/>
        <rFont val="Noto Sans CJK SC"/>
        <family val="2"/>
      </rPr>
      <t xml:space="preserve">行事を一緒に乗り越えると 恋が生まれやすい </t>
    </r>
    <r>
      <rPr>
        <sz val="10"/>
        <rFont val="Arial"/>
        <family val="0"/>
        <charset val="1"/>
      </rPr>
      <t xml:space="preserve">#shorts #</t>
    </r>
    <r>
      <rPr>
        <sz val="10"/>
        <rFont val="Noto Sans CJK SC"/>
        <family val="2"/>
      </rPr>
      <t xml:space="preserve">切り抜き</t>
    </r>
  </si>
  <si>
    <r>
      <rPr>
        <sz val="10"/>
        <rFont val="Noto Sans CJK SC"/>
        <family val="2"/>
      </rPr>
      <t xml:space="preserve">大学サークルで語り継がれる伝説、尾ひれがヤバすぎる</t>
    </r>
    <r>
      <rPr>
        <sz val="10"/>
        <rFont val="Arial"/>
        <family val="0"/>
        <charset val="1"/>
      </rPr>
      <t xml:space="preserve">w #shorts #2ch #</t>
    </r>
    <r>
      <rPr>
        <sz val="10"/>
        <rFont val="Noto Sans CJK SC"/>
        <family val="2"/>
      </rPr>
      <t xml:space="preserve">面白いスレ</t>
    </r>
  </si>
  <si>
    <r>
      <rPr>
        <sz val="10"/>
        <rFont val="Noto Sans CJK SC"/>
        <family val="2"/>
      </rPr>
      <t xml:space="preserve">エースバーンのリベロ、</t>
    </r>
    <r>
      <rPr>
        <sz val="10"/>
        <rFont val="Arial"/>
        <family val="0"/>
        <charset val="1"/>
      </rPr>
      <t xml:space="preserve">1</t>
    </r>
    <r>
      <rPr>
        <sz val="10"/>
        <rFont val="Noto Sans CJK SC"/>
        <family val="2"/>
      </rPr>
      <t xml:space="preserve">試合でしか変われない</t>
    </r>
    <r>
      <rPr>
        <sz val="10"/>
        <rFont val="Arial"/>
        <family val="0"/>
        <charset val="1"/>
      </rPr>
      <t xml:space="preserve">!? #shorts #</t>
    </r>
    <r>
      <rPr>
        <sz val="10"/>
        <rFont val="Noto Sans CJK SC"/>
        <family val="2"/>
      </rPr>
      <t xml:space="preserve">ポケモン </t>
    </r>
    <r>
      <rPr>
        <sz val="10"/>
        <rFont val="Arial"/>
        <family val="0"/>
        <charset val="1"/>
      </rPr>
      <t xml:space="preserve">#</t>
    </r>
    <r>
      <rPr>
        <sz val="10"/>
        <rFont val="Noto Sans CJK SC"/>
        <family val="2"/>
      </rPr>
      <t xml:space="preserve">ポケモン雑学</t>
    </r>
  </si>
  <si>
    <r>
      <rPr>
        <sz val="10"/>
        <rFont val="Noto Sans CJK SC"/>
        <family val="2"/>
      </rPr>
      <t xml:space="preserve">犬神憑きはなぜ家系ごと記録されたのか 恒一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</si>
  <si>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r>
      <rPr>
        <sz val="10"/>
        <rFont val="Noto Sans CJK SC"/>
        <family val="2"/>
      </rPr>
      <t xml:space="preserve">キーエンス年収</t>
    </r>
    <r>
      <rPr>
        <sz val="10"/>
        <rFont val="Arial"/>
        <family val="0"/>
        <charset val="1"/>
      </rPr>
      <t xml:space="preserve">2067</t>
    </r>
    <r>
      <rPr>
        <sz val="10"/>
        <rFont val="Noto Sans CJK SC"/>
        <family val="2"/>
      </rPr>
      <t xml:space="preserve">万円の内訳、残業</t>
    </r>
    <r>
      <rPr>
        <sz val="10"/>
        <rFont val="Arial"/>
        <family val="0"/>
        <charset val="1"/>
      </rPr>
      <t xml:space="preserve">37.7</t>
    </r>
    <r>
      <rPr>
        <sz val="10"/>
        <rFont val="Noto Sans CJK SC"/>
        <family val="2"/>
      </rPr>
      <t xml:space="preserve">時間と評価制度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</si>
  <si>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東京エレクトロンの年収</t>
    </r>
    <r>
      <rPr>
        <sz val="10"/>
        <rFont val="Arial"/>
        <family val="0"/>
        <charset val="1"/>
      </rPr>
      <t xml:space="preserve">1272</t>
    </r>
    <r>
      <rPr>
        <sz val="10"/>
        <rFont val="Noto Sans CJK SC"/>
        <family val="2"/>
      </rPr>
      <t xml:space="preserve">万円、実は転職後に差が出る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</si>
  <si>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t xml:space="preserve">03:45</t>
  </si>
  <si>
    <r>
      <rPr>
        <sz val="10"/>
        <rFont val="Noto Sans CJK SC"/>
        <family val="2"/>
      </rPr>
      <t xml:space="preserve">部活は</t>
    </r>
    <r>
      <rPr>
        <sz val="10"/>
        <rFont val="Arial"/>
        <family val="0"/>
        <charset val="1"/>
      </rPr>
      <t xml:space="preserve">1</t>
    </r>
    <r>
      <rPr>
        <sz val="10"/>
        <rFont val="Noto Sans CJK SC"/>
        <family val="2"/>
      </rPr>
      <t xml:space="preserve">日で辞めました </t>
    </r>
    <r>
      <rPr>
        <sz val="10"/>
        <rFont val="Arial"/>
        <family val="0"/>
        <charset val="1"/>
      </rPr>
      <t xml:space="preserve">#shorts #</t>
    </r>
    <r>
      <rPr>
        <sz val="10"/>
        <rFont val="Noto Sans CJK SC"/>
        <family val="2"/>
      </rPr>
      <t xml:space="preserve">切り抜き</t>
    </r>
  </si>
  <si>
    <r>
      <rPr>
        <sz val="10"/>
        <rFont val="Noto Sans CJK SC"/>
        <family val="2"/>
      </rPr>
      <t xml:space="preserve">斉藤さん企画を終え </t>
    </r>
    <r>
      <rPr>
        <sz val="10"/>
        <rFont val="Arial"/>
        <family val="0"/>
        <charset val="1"/>
      </rPr>
      <t xml:space="preserve">TikToker</t>
    </r>
    <r>
      <rPr>
        <sz val="10"/>
        <rFont val="Noto Sans CJK SC"/>
        <family val="2"/>
      </rPr>
      <t xml:space="preserve">として決意表明 </t>
    </r>
    <r>
      <rPr>
        <sz val="10"/>
        <rFont val="Arial"/>
        <family val="0"/>
        <charset val="1"/>
      </rPr>
      <t xml:space="preserve">#shorts #</t>
    </r>
    <r>
      <rPr>
        <sz val="10"/>
        <rFont val="Noto Sans CJK SC"/>
        <family val="2"/>
      </rPr>
      <t xml:space="preserve">切り抜き</t>
    </r>
  </si>
  <si>
    <r>
      <rPr>
        <sz val="10"/>
        <rFont val="Arial"/>
        <family val="0"/>
        <charset val="1"/>
      </rPr>
      <t xml:space="preserve">Apple Japan</t>
    </r>
    <r>
      <rPr>
        <sz val="10"/>
        <rFont val="Noto Sans CJK SC"/>
        <family val="2"/>
      </rPr>
      <t xml:space="preserve">の年収、実は</t>
    </r>
    <r>
      <rPr>
        <sz val="10"/>
        <rFont val="Arial"/>
        <family val="0"/>
        <charset val="1"/>
      </rPr>
      <t xml:space="preserve">1,000</t>
    </r>
    <r>
      <rPr>
        <sz val="10"/>
        <rFont val="Noto Sans CJK SC"/>
        <family val="2"/>
      </rPr>
      <t xml:space="preserve">万円超の実態 </t>
    </r>
    <r>
      <rPr>
        <sz val="10"/>
        <rFont val="Arial"/>
        <family val="0"/>
        <charset val="1"/>
      </rPr>
      <t xml:space="preserve">#shorts #</t>
    </r>
    <r>
      <rPr>
        <sz val="10"/>
        <rFont val="Noto Sans CJK SC"/>
        <family val="2"/>
      </rPr>
      <t xml:space="preserve">企業分析 </t>
    </r>
    <r>
      <rPr>
        <sz val="10"/>
        <rFont val="Arial"/>
        <family val="0"/>
        <charset val="1"/>
      </rPr>
      <t xml:space="preserve">#</t>
    </r>
    <r>
      <rPr>
        <sz val="10"/>
        <rFont val="Noto Sans CJK SC"/>
        <family val="2"/>
      </rPr>
      <t xml:space="preserve">年収 </t>
    </r>
    <r>
      <rPr>
        <sz val="10"/>
        <rFont val="Arial"/>
        <family val="0"/>
        <charset val="1"/>
      </rPr>
      <t xml:space="preserve">#</t>
    </r>
    <r>
      <rPr>
        <sz val="10"/>
        <rFont val="Noto Sans CJK SC"/>
        <family val="2"/>
      </rPr>
      <t xml:space="preserve">転職</t>
    </r>
  </si>
  <si>
    <r>
      <rPr>
        <sz val="10"/>
        <rFont val="Noto Sans CJK SC"/>
        <family val="2"/>
      </rPr>
      <t xml:space="preserve">なぜ他人のあくびは約</t>
    </r>
    <r>
      <rPr>
        <sz val="10"/>
        <rFont val="Arial"/>
        <family val="0"/>
        <charset val="1"/>
      </rPr>
      <t xml:space="preserve">45</t>
    </r>
    <r>
      <rPr>
        <sz val="10"/>
        <rFont val="Noto Sans CJK SC"/>
        <family val="2"/>
      </rPr>
      <t xml:space="preserve">％もつられる？脳の反応を解説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</si>
  <si>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sz val="10"/>
        <rFont val="Noto Sans CJK SC"/>
        <family val="2"/>
      </rPr>
      <t xml:space="preserve">じんめん犬はなぜ笑い話になった？消えた恐怖の噂 </t>
    </r>
    <r>
      <rPr>
        <sz val="10"/>
        <rFont val="Arial"/>
        <family val="0"/>
        <charset val="1"/>
      </rPr>
      <t xml:space="preserve">#shorts #</t>
    </r>
    <r>
      <rPr>
        <sz val="10"/>
        <rFont val="Noto Sans CJK SC"/>
        <family val="2"/>
      </rPr>
      <t xml:space="preserve">妖怪 </t>
    </r>
    <r>
      <rPr>
        <sz val="10"/>
        <rFont val="Arial"/>
        <family val="0"/>
        <charset val="1"/>
      </rPr>
      <t xml:space="preserve">#</t>
    </r>
    <r>
      <rPr>
        <sz val="10"/>
        <rFont val="Noto Sans CJK SC"/>
        <family val="2"/>
      </rPr>
      <t xml:space="preserve">都市伝説</t>
    </r>
  </si>
  <si>
    <t xml:space="preserve">16:14</t>
  </si>
  <si>
    <r>
      <rPr>
        <sz val="10"/>
        <rFont val="Noto Sans CJK SC"/>
        <family val="2"/>
      </rPr>
      <t xml:space="preserve">ワイの財布から毎月消える謎の正体が判明したｗ </t>
    </r>
    <r>
      <rPr>
        <sz val="10"/>
        <rFont val="Arial"/>
        <family val="0"/>
        <charset val="1"/>
      </rPr>
      <t xml:space="preserve">#shorts #2ch #</t>
    </r>
    <r>
      <rPr>
        <sz val="10"/>
        <rFont val="Noto Sans CJK SC"/>
        <family val="2"/>
      </rPr>
      <t xml:space="preserve">面白いスレ</t>
    </r>
  </si>
  <si>
    <r>
      <rPr>
        <sz val="10"/>
        <rFont val="Arial"/>
        <family val="0"/>
        <charset val="1"/>
      </rPr>
      <t xml:space="preserve">SCP-1987 </t>
    </r>
    <r>
      <rPr>
        <sz val="10"/>
        <rFont val="Noto Sans CJK SC"/>
        <family val="2"/>
      </rPr>
      <t xml:space="preserve">なぜ</t>
    </r>
    <r>
      <rPr>
        <sz val="10"/>
        <rFont val="Arial"/>
        <family val="0"/>
        <charset val="1"/>
      </rPr>
      <t xml:space="preserve">24</t>
    </r>
    <r>
      <rPr>
        <sz val="10"/>
        <rFont val="Noto Sans CJK SC"/>
        <family val="2"/>
      </rPr>
      <t xml:space="preserve">時間ごとに被害が増える？【ショート】</t>
    </r>
  </si>
  <si>
    <r>
      <rPr>
        <sz val="10"/>
        <rFont val="Noto Sans CJK SC"/>
        <family val="2"/>
      </rPr>
      <t xml:space="preserve">なぜ冷たい水だけ歯にしみる？歯の中で起きる変化 </t>
    </r>
    <r>
      <rPr>
        <sz val="10"/>
        <rFont val="Arial"/>
        <family val="0"/>
        <charset val="1"/>
      </rPr>
      <t xml:space="preserve">#shorts #</t>
    </r>
    <r>
      <rPr>
        <sz val="10"/>
        <rFont val="Noto Sans CJK SC"/>
        <family val="2"/>
      </rPr>
      <t xml:space="preserve">雑学 </t>
    </r>
    <r>
      <rPr>
        <sz val="10"/>
        <rFont val="Arial"/>
        <family val="0"/>
        <charset val="1"/>
      </rPr>
      <t xml:space="preserve">#</t>
    </r>
    <r>
      <rPr>
        <sz val="10"/>
        <rFont val="Noto Sans CJK SC"/>
        <family val="2"/>
      </rPr>
      <t xml:space="preserve">豆知識</t>
    </r>
  </si>
  <si>
    <r>
      <rPr>
        <i val="true"/>
        <sz val="9"/>
        <color rgb="FF595959"/>
        <rFont val="Noto Sans CJK SC"/>
        <family val="2"/>
      </rPr>
      <t xml:space="preserve">赤</t>
    </r>
    <r>
      <rPr>
        <i val="true"/>
        <sz val="9"/>
        <color rgb="FF595959"/>
        <rFont val="Arial"/>
        <family val="0"/>
        <charset val="1"/>
      </rPr>
      <t xml:space="preserve">=800</t>
    </r>
    <r>
      <rPr>
        <i val="true"/>
        <sz val="9"/>
        <color rgb="FF595959"/>
        <rFont val="Noto Sans CJK SC"/>
        <family val="2"/>
      </rPr>
      <t xml:space="preserve">再生以上あるのに登録</t>
    </r>
    <r>
      <rPr>
        <i val="true"/>
        <sz val="9"/>
        <color rgb="FF595959"/>
        <rFont val="Arial"/>
        <family val="0"/>
        <charset val="1"/>
      </rPr>
      <t xml:space="preserve">0</t>
    </r>
    <r>
      <rPr>
        <i val="true"/>
        <sz val="9"/>
        <color rgb="FF595959"/>
        <rFont val="Noto Sans CJK SC"/>
        <family val="2"/>
      </rPr>
      <t xml:space="preserve">（再生は出ても登録に繋がらない型）／緑</t>
    </r>
    <r>
      <rPr>
        <i val="true"/>
        <sz val="9"/>
        <color rgb="FF595959"/>
        <rFont val="Arial"/>
        <family val="0"/>
        <charset val="1"/>
      </rPr>
      <t xml:space="preserve">=</t>
    </r>
    <r>
      <rPr>
        <i val="true"/>
        <sz val="9"/>
        <color rgb="FF595959"/>
        <rFont val="Noto Sans CJK SC"/>
        <family val="2"/>
      </rPr>
      <t xml:space="preserve">登録</t>
    </r>
    <r>
      <rPr>
        <i val="true"/>
        <sz val="9"/>
        <color rgb="FF595959"/>
        <rFont val="Arial"/>
        <family val="0"/>
        <charset val="1"/>
      </rPr>
      <t xml:space="preserve">/</t>
    </r>
    <r>
      <rPr>
        <i val="true"/>
        <sz val="9"/>
        <color rgb="FF595959"/>
        <rFont val="Noto Sans CJK SC"/>
        <family val="2"/>
      </rPr>
      <t xml:space="preserve">千が </t>
    </r>
    <r>
      <rPr>
        <i val="true"/>
        <sz val="9"/>
        <color rgb="FF595959"/>
        <rFont val="Arial"/>
        <family val="0"/>
        <charset val="1"/>
      </rPr>
      <t xml:space="preserve">1.5 </t>
    </r>
    <r>
      <rPr>
        <i val="true"/>
        <sz val="9"/>
        <color rgb="FF595959"/>
        <rFont val="Noto Sans CJK SC"/>
        <family val="2"/>
      </rPr>
      <t xml:space="preserve">以上の高転換本。</t>
    </r>
  </si>
  <si>
    <r>
      <rPr>
        <b val="true"/>
        <sz val="13"/>
        <color rgb="FF1F3864"/>
        <rFont val="Noto Sans CJK SC"/>
        <family val="2"/>
      </rPr>
      <t xml:space="preserve">改善アクション  </t>
    </r>
    <r>
      <rPr>
        <b val="true"/>
        <sz val="13"/>
        <color rgb="FF1F3864"/>
        <rFont val="Arial"/>
        <family val="0"/>
        <charset val="1"/>
      </rPr>
      <t xml:space="preserve">2026-09-15</t>
    </r>
  </si>
  <si>
    <r>
      <rPr>
        <i val="true"/>
        <sz val="9"/>
        <color rgb="FF595959"/>
        <rFont val="Noto Sans CJK SC"/>
        <family val="2"/>
      </rPr>
      <t xml:space="preserve">すべて本日の実測に基づく。適用済みのものは 状態</t>
    </r>
    <r>
      <rPr>
        <i val="true"/>
        <sz val="9"/>
        <color rgb="FF595959"/>
        <rFont val="Arial"/>
        <family val="0"/>
        <charset val="1"/>
      </rPr>
      <t xml:space="preserve">=</t>
    </r>
    <r>
      <rPr>
        <i val="true"/>
        <sz val="9"/>
        <color rgb="FF595959"/>
        <rFont val="Noto Sans CJK SC"/>
        <family val="2"/>
      </rPr>
      <t xml:space="preserve">適用済 と記す。</t>
    </r>
  </si>
  <si>
    <t xml:space="preserve">#</t>
  </si>
  <si>
    <t xml:space="preserve">優先度</t>
  </si>
  <si>
    <t xml:space="preserve">項目</t>
  </si>
  <si>
    <t xml:space="preserve">内容・根拠</t>
  </si>
  <si>
    <t xml:space="preserve">担当</t>
  </si>
  <si>
    <t xml:space="preserve">状態</t>
  </si>
  <si>
    <t xml:space="preserve">最優先</t>
  </si>
  <si>
    <r>
      <rPr>
        <b val="true"/>
        <sz val="10"/>
        <rFont val="Noto Sans CJK SC"/>
        <family val="2"/>
      </rPr>
      <t xml:space="preserve">カスタムサムネイル </t>
    </r>
    <r>
      <rPr>
        <b val="true"/>
        <sz val="10"/>
        <rFont val="Arial"/>
        <family val="0"/>
        <charset val="1"/>
      </rPr>
      <t xml:space="preserve">403</t>
    </r>
    <r>
      <rPr>
        <b val="true"/>
        <sz val="10"/>
        <rFont val="Noto Sans CJK SC"/>
        <family val="2"/>
      </rPr>
      <t xml:space="preserve">（電話番号確認）</t>
    </r>
  </si>
  <si>
    <r>
      <rPr>
        <sz val="10"/>
        <rFont val="Arial"/>
        <family val="0"/>
        <charset val="1"/>
      </rPr>
      <t xml:space="preserve">09-15 </t>
    </r>
    <r>
      <rPr>
        <sz val="10"/>
        <rFont val="Noto Sans CJK SC"/>
        <family val="2"/>
      </rPr>
      <t xml:space="preserve">の公開でも </t>
    </r>
    <r>
      <rPr>
        <sz val="10"/>
        <rFont val="Arial"/>
        <family val="0"/>
        <charset val="1"/>
      </rPr>
      <t xml:space="preserve">scp-lab / company-facts / yokai-watch </t>
    </r>
    <r>
      <rPr>
        <sz val="10"/>
        <rFont val="Noto Sans CJK SC"/>
        <family val="2"/>
      </rPr>
      <t xml:space="preserve">の全件で </t>
    </r>
    <r>
      <rPr>
        <sz val="10"/>
        <rFont val="Arial"/>
        <family val="0"/>
        <charset val="1"/>
      </rPr>
      <t xml:space="preserve">403 forbidden </t>
    </r>
    <r>
      <rPr>
        <sz val="10"/>
        <rFont val="Noto Sans CJK SC"/>
        <family val="2"/>
      </rPr>
      <t xml:space="preserve">が継続。成功は </t>
    </r>
    <r>
      <rPr>
        <sz val="10"/>
        <rFont val="Arial"/>
        <family val="0"/>
        <charset val="1"/>
      </rPr>
      <t xml:space="preserve">daily-science </t>
    </r>
    <r>
      <rPr>
        <sz val="10"/>
        <rFont val="Noto Sans CJK SC"/>
        <family val="2"/>
      </rPr>
      <t xml:space="preserve">のみ。</t>
    </r>
    <r>
      <rPr>
        <sz val="10"/>
        <rFont val="Arial"/>
        <family val="0"/>
        <charset val="1"/>
      </rPr>
      <t xml:space="preserve">https://www.youtube.com/verify </t>
    </r>
    <r>
      <rPr>
        <sz val="10"/>
        <rFont val="Noto Sans CJK SC"/>
        <family val="2"/>
      </rPr>
      <t xml:space="preserve">を該当 </t>
    </r>
    <r>
      <rPr>
        <sz val="10"/>
        <rFont val="Arial"/>
        <family val="0"/>
        <charset val="1"/>
      </rPr>
      <t xml:space="preserve">9ch </t>
    </r>
    <r>
      <rPr>
        <sz val="10"/>
        <rFont val="Noto Sans CJK SC"/>
        <family val="2"/>
      </rPr>
      <t xml:space="preserve">で通す。反映まで最大</t>
    </r>
    <r>
      <rPr>
        <sz val="10"/>
        <rFont val="Arial"/>
        <family val="0"/>
        <charset val="1"/>
      </rPr>
      <t xml:space="preserve">24</t>
    </r>
    <r>
      <rPr>
        <sz val="10"/>
        <rFont val="Noto Sans CJK SC"/>
        <family val="2"/>
      </rPr>
      <t xml:space="preserve">時間。パイプライン側では直せない。</t>
    </r>
  </si>
  <si>
    <t xml:space="preserve">人手</t>
  </si>
  <si>
    <t xml:space="preserve">未着手</t>
  </si>
  <si>
    <r>
      <rPr>
        <b val="true"/>
        <sz val="10"/>
        <rFont val="Arial"/>
        <family val="0"/>
        <charset val="1"/>
      </rPr>
      <t xml:space="preserve">Anthropic API </t>
    </r>
    <r>
      <rPr>
        <b val="true"/>
        <sz val="10"/>
        <rFont val="Noto Sans CJK SC"/>
        <family val="2"/>
      </rPr>
      <t xml:space="preserve">キーが </t>
    </r>
    <r>
      <rPr>
        <b val="true"/>
        <sz val="10"/>
        <rFont val="Arial"/>
        <family val="0"/>
        <charset val="1"/>
      </rPr>
      <t xml:space="preserve">401</t>
    </r>
    <r>
      <rPr>
        <b val="true"/>
        <sz val="10"/>
        <rFont val="Noto Sans CJK SC"/>
        <family val="2"/>
      </rPr>
      <t xml:space="preserve">（新規検出）</t>
    </r>
  </si>
  <si>
    <r>
      <rPr>
        <sz val="10"/>
        <rFont val="Arial"/>
        <family val="0"/>
        <charset val="1"/>
      </rPr>
      <t xml:space="preserve">backend </t>
    </r>
    <r>
      <rPr>
        <sz val="10"/>
        <rFont val="Noto Sans CJK SC"/>
        <family val="2"/>
      </rPr>
      <t xml:space="preserve">ログに </t>
    </r>
    <r>
      <rPr>
        <sz val="10"/>
        <rFont val="Arial"/>
        <family val="0"/>
        <charset val="1"/>
      </rPr>
      <t xml:space="preserve">claude_client call failed (thumbnail_brief): Error code: 401 API key is invalid</t>
    </r>
    <r>
      <rPr>
        <sz val="10"/>
        <rFont val="Noto Sans CJK SC"/>
        <family val="2"/>
      </rPr>
      <t xml:space="preserve">。</t>
    </r>
    <r>
      <rPr>
        <sz val="10"/>
        <rFont val="Arial"/>
        <family val="0"/>
        <charset val="1"/>
      </rPr>
      <t xml:space="preserve">series_engine </t>
    </r>
    <r>
      <rPr>
        <sz val="10"/>
        <rFont val="Noto Sans CJK SC"/>
        <family val="2"/>
      </rPr>
      <t xml:space="preserve">も「</t>
    </r>
    <r>
      <rPr>
        <sz val="10"/>
        <rFont val="Arial"/>
        <family val="0"/>
        <charset val="1"/>
      </rPr>
      <t xml:space="preserve">Claude </t>
    </r>
    <r>
      <rPr>
        <sz val="10"/>
        <rFont val="Noto Sans CJK SC"/>
        <family val="2"/>
      </rPr>
      <t xml:space="preserve">未応答のため続編候補を生成しません」で停止。サムネ指示文と続編候補の生成が両方止まっている。</t>
    </r>
  </si>
  <si>
    <t xml:space="preserve">高</t>
  </si>
  <si>
    <r>
      <rPr>
        <b val="true"/>
        <sz val="10"/>
        <rFont val="Arial"/>
        <family val="0"/>
        <charset val="1"/>
      </rPr>
      <t xml:space="preserve">OAuth </t>
    </r>
    <r>
      <rPr>
        <b val="true"/>
        <sz val="10"/>
        <rFont val="Noto Sans CJK SC"/>
        <family val="2"/>
      </rPr>
      <t xml:space="preserve">同意画面を「本番」公開 → そのあと再認可</t>
    </r>
  </si>
  <si>
    <r>
      <rPr>
        <sz val="10"/>
        <rFont val="Arial"/>
        <family val="0"/>
        <charset val="1"/>
      </rPr>
      <t xml:space="preserve">09-13 </t>
    </r>
    <r>
      <rPr>
        <sz val="10"/>
        <rFont val="Noto Sans CJK SC"/>
        <family val="2"/>
      </rPr>
      <t xml:space="preserve">再認可の </t>
    </r>
    <r>
      <rPr>
        <sz val="10"/>
        <rFont val="Arial"/>
        <family val="0"/>
        <charset val="1"/>
      </rPr>
      <t xml:space="preserve">5ch</t>
    </r>
    <r>
      <rPr>
        <sz val="10"/>
        <rFont val="Noto Sans CJK SC"/>
        <family val="2"/>
      </rPr>
      <t xml:space="preserve">（</t>
    </r>
    <r>
      <rPr>
        <sz val="10"/>
        <rFont val="Arial"/>
        <family val="0"/>
        <charset val="1"/>
      </rPr>
      <t xml:space="preserve">daily-science / scp-lab / yokai-watch / company-facts / socio-rx</t>
    </r>
    <r>
      <rPr>
        <sz val="10"/>
        <rFont val="Noto Sans CJK SC"/>
        <family val="2"/>
      </rPr>
      <t xml:space="preserve">）は </t>
    </r>
    <r>
      <rPr>
        <sz val="10"/>
        <rFont val="Arial"/>
        <family val="0"/>
        <charset val="1"/>
      </rPr>
      <t xml:space="preserve">09-15 </t>
    </r>
    <r>
      <rPr>
        <sz val="10"/>
        <rFont val="Noto Sans CJK SC"/>
        <family val="2"/>
      </rPr>
      <t xml:space="preserve">時点で正常。未再認可の </t>
    </r>
    <r>
      <rPr>
        <sz val="10"/>
        <rFont val="Arial"/>
        <family val="0"/>
        <charset val="1"/>
      </rPr>
      <t xml:space="preserve">7ch</t>
    </r>
    <r>
      <rPr>
        <sz val="10"/>
        <rFont val="Noto Sans CJK SC"/>
        <family val="2"/>
      </rPr>
      <t xml:space="preserve">（</t>
    </r>
    <r>
      <rPr>
        <sz val="10"/>
        <rFont val="Arial"/>
        <family val="0"/>
        <charset val="1"/>
      </rPr>
      <t xml:space="preserve">pokemon-lab / clip-lab / clip-kaneko / clip-fukada / clip-animal / fake-paper / akashic-librarian</t>
    </r>
    <r>
      <rPr>
        <sz val="10"/>
        <rFont val="Noto Sans CJK SC"/>
        <family val="2"/>
      </rPr>
      <t xml:space="preserve">）は </t>
    </r>
    <r>
      <rPr>
        <sz val="10"/>
        <rFont val="Arial"/>
        <family val="0"/>
        <charset val="1"/>
      </rPr>
      <t xml:space="preserve">invalid_grant </t>
    </r>
    <r>
      <rPr>
        <sz val="10"/>
        <rFont val="Noto Sans CJK SC"/>
        <family val="2"/>
      </rPr>
      <t xml:space="preserve">のまま。テスト状態のままだと再認可しても </t>
    </r>
    <r>
      <rPr>
        <sz val="10"/>
        <rFont val="Arial"/>
        <family val="0"/>
        <charset val="1"/>
      </rPr>
      <t xml:space="preserve">7 </t>
    </r>
    <r>
      <rPr>
        <sz val="10"/>
        <rFont val="Noto Sans CJK SC"/>
        <family val="2"/>
      </rPr>
      <t xml:space="preserve">日で失効する。</t>
    </r>
  </si>
  <si>
    <r>
      <rPr>
        <b val="true"/>
        <sz val="10"/>
        <rFont val="Noto Sans CJK SC"/>
        <family val="2"/>
      </rPr>
      <t xml:space="preserve">維持率の目標帯を </t>
    </r>
    <r>
      <rPr>
        <b val="true"/>
        <sz val="10"/>
        <rFont val="Arial"/>
        <family val="0"/>
        <charset val="1"/>
      </rPr>
      <t xml:space="preserve">40-50% </t>
    </r>
    <r>
      <rPr>
        <b val="true"/>
        <sz val="10"/>
        <rFont val="Noto Sans CJK SC"/>
        <family val="2"/>
      </rPr>
      <t xml:space="preserve">に変更（最大化をやめる）</t>
    </r>
  </si>
  <si>
    <r>
      <rPr>
        <sz val="10"/>
        <rFont val="Noto Sans CJK SC"/>
        <family val="2"/>
      </rPr>
      <t xml:space="preserve">公開</t>
    </r>
    <r>
      <rPr>
        <sz val="10"/>
        <rFont val="Arial"/>
        <family val="0"/>
        <charset val="1"/>
      </rPr>
      <t xml:space="preserve">08-01</t>
    </r>
    <r>
      <rPr>
        <sz val="10"/>
        <rFont val="Noto Sans CJK SC"/>
        <family val="2"/>
      </rPr>
      <t xml:space="preserve">以降・</t>
    </r>
    <r>
      <rPr>
        <sz val="10"/>
        <rFont val="Arial"/>
        <family val="0"/>
        <charset val="1"/>
      </rPr>
      <t xml:space="preserve">200</t>
    </r>
    <r>
      <rPr>
        <sz val="10"/>
        <rFont val="Noto Sans CJK SC"/>
        <family val="2"/>
      </rPr>
      <t xml:space="preserve">再生以上・</t>
    </r>
    <r>
      <rPr>
        <sz val="10"/>
        <rFont val="Arial"/>
        <family val="0"/>
        <charset val="1"/>
      </rPr>
      <t xml:space="preserve">n=350 </t>
    </r>
    <r>
      <rPr>
        <sz val="10"/>
        <rFont val="Noto Sans CJK SC"/>
        <family val="2"/>
      </rPr>
      <t xml:space="preserve">を維持率バンド別に見ると登録</t>
    </r>
    <r>
      <rPr>
        <sz val="10"/>
        <rFont val="Arial"/>
        <family val="0"/>
        <charset val="1"/>
      </rPr>
      <t xml:space="preserve">/</t>
    </r>
    <r>
      <rPr>
        <sz val="10"/>
        <rFont val="Noto Sans CJK SC"/>
        <family val="2"/>
      </rPr>
      <t xml:space="preserve">千は </t>
    </r>
    <r>
      <rPr>
        <sz val="10"/>
        <rFont val="Arial"/>
        <family val="0"/>
        <charset val="1"/>
      </rPr>
      <t xml:space="preserve">&lt;30% 0.243 / 30-40% 0.426 / 40-50% 0.624 / 50-60% 0.414 / 60-70% 0.451 / 70%</t>
    </r>
    <r>
      <rPr>
        <sz val="10"/>
        <rFont val="Noto Sans CJK SC"/>
        <family val="2"/>
      </rPr>
      <t xml:space="preserve">以上 </t>
    </r>
    <r>
      <rPr>
        <sz val="10"/>
        <rFont val="Arial"/>
        <family val="0"/>
        <charset val="1"/>
      </rPr>
      <t xml:space="preserve">0.294 </t>
    </r>
    <r>
      <rPr>
        <sz val="10"/>
        <rFont val="Noto Sans CJK SC"/>
        <family val="2"/>
      </rPr>
      <t xml:space="preserve">の逆</t>
    </r>
    <r>
      <rPr>
        <sz val="10"/>
        <rFont val="Arial"/>
        <family val="0"/>
        <charset val="1"/>
      </rPr>
      <t xml:space="preserve">U</t>
    </r>
    <r>
      <rPr>
        <sz val="10"/>
        <rFont val="Noto Sans CJK SC"/>
        <family val="2"/>
      </rPr>
      <t xml:space="preserve">字。</t>
    </r>
    <r>
      <rPr>
        <sz val="10"/>
        <rFont val="Arial"/>
        <family val="0"/>
        <charset val="1"/>
      </rPr>
      <t xml:space="preserve">ch </t>
    </r>
    <r>
      <rPr>
        <sz val="10"/>
        <rFont val="Noto Sans CJK SC"/>
        <family val="2"/>
      </rPr>
      <t xml:space="preserve">内対照でも維持率</t>
    </r>
    <r>
      <rPr>
        <sz val="10"/>
        <rFont val="Arial"/>
        <family val="0"/>
        <charset val="1"/>
      </rPr>
      <t xml:space="preserve">&lt;50% </t>
    </r>
    <r>
      <rPr>
        <sz val="10"/>
        <rFont val="Noto Sans CJK SC"/>
        <family val="2"/>
      </rPr>
      <t xml:space="preserve">の側が高いのが </t>
    </r>
    <r>
      <rPr>
        <sz val="10"/>
        <rFont val="Arial"/>
        <family val="0"/>
        <charset val="1"/>
      </rPr>
      <t xml:space="preserve">6ch </t>
    </r>
    <r>
      <rPr>
        <sz val="10"/>
        <rFont val="Noto Sans CJK SC"/>
        <family val="2"/>
      </rPr>
      <t xml:space="preserve">中 </t>
    </r>
    <r>
      <rPr>
        <sz val="10"/>
        <rFont val="Arial"/>
        <family val="0"/>
        <charset val="1"/>
      </rPr>
      <t xml:space="preserve">5ch</t>
    </r>
    <r>
      <rPr>
        <sz val="10"/>
        <rFont val="Noto Sans CJK SC"/>
        <family val="2"/>
      </rPr>
      <t xml:space="preserve">。平均尺は各バンド </t>
    </r>
    <r>
      <rPr>
        <sz val="10"/>
        <rFont val="Arial"/>
        <family val="0"/>
        <charset val="1"/>
      </rPr>
      <t xml:space="preserve">33</t>
    </r>
    <r>
      <rPr>
        <sz val="10"/>
        <rFont val="Noto Sans CJK SC"/>
        <family val="2"/>
      </rPr>
      <t xml:space="preserve">〜</t>
    </r>
    <r>
      <rPr>
        <sz val="10"/>
        <rFont val="Arial"/>
        <family val="0"/>
        <charset val="1"/>
      </rPr>
      <t xml:space="preserve">39 </t>
    </r>
    <r>
      <rPr>
        <sz val="10"/>
        <rFont val="Noto Sans CJK SC"/>
        <family val="2"/>
      </rPr>
      <t xml:space="preserve">秒でほぼ一定なので尺の交絡ではない。</t>
    </r>
    <r>
      <rPr>
        <sz val="10"/>
        <rFont val="Arial"/>
        <family val="0"/>
        <charset val="1"/>
      </rPr>
      <t xml:space="preserve">optimization.retention_target_band </t>
    </r>
    <r>
      <rPr>
        <sz val="10"/>
        <rFont val="Noto Sans CJK SC"/>
        <family val="2"/>
      </rPr>
      <t xml:space="preserve">に明記し、維持率目的の </t>
    </r>
    <r>
      <rPr>
        <sz val="10"/>
        <rFont val="Arial"/>
        <family val="0"/>
        <charset val="1"/>
      </rPr>
      <t xml:space="preserve">voice_style </t>
    </r>
    <r>
      <rPr>
        <sz val="10"/>
        <rFont val="Noto Sans CJK SC"/>
        <family val="2"/>
      </rPr>
      <t xml:space="preserve">調整は今後行わない。</t>
    </r>
  </si>
  <si>
    <t xml:space="preserve">指揮者</t>
  </si>
  <si>
    <t xml:space="preserve">適用済</t>
  </si>
  <si>
    <t xml:space="preserve">中</t>
  </si>
  <si>
    <r>
      <rPr>
        <b val="true"/>
        <sz val="10"/>
        <rFont val="Noto Sans CJK SC"/>
        <family val="2"/>
      </rPr>
      <t xml:space="preserve">テーマキュー在庫を </t>
    </r>
    <r>
      <rPr>
        <b val="true"/>
        <sz val="10"/>
        <rFont val="Arial"/>
        <family val="0"/>
        <charset val="1"/>
      </rPr>
      <t xml:space="preserve">7 </t>
    </r>
    <r>
      <rPr>
        <b val="true"/>
        <sz val="10"/>
        <rFont val="Noto Sans CJK SC"/>
        <family val="2"/>
      </rPr>
      <t xml:space="preserve">日以上へ補充</t>
    </r>
  </si>
  <si>
    <r>
      <rPr>
        <sz val="10"/>
        <rFont val="Arial"/>
        <family val="0"/>
        <charset val="1"/>
      </rPr>
      <t xml:space="preserve">daily-science 18→21 / scp-lab 18→21 / yokai-watch 20→21 / company-facts 26→28</t>
    </r>
    <r>
      <rPr>
        <sz val="10"/>
        <rFont val="Noto Sans CJK SC"/>
        <family val="2"/>
      </rPr>
      <t xml:space="preserve">。型は </t>
    </r>
    <r>
      <rPr>
        <sz val="10"/>
        <rFont val="Arial"/>
        <family val="0"/>
        <charset val="1"/>
      </rPr>
      <t xml:space="preserve">09-14 </t>
    </r>
    <r>
      <rPr>
        <sz val="10"/>
        <rFont val="Noto Sans CJK SC"/>
        <family val="2"/>
      </rPr>
      <t xml:space="preserve">に </t>
    </r>
    <r>
      <rPr>
        <sz val="10"/>
        <rFont val="Arial"/>
        <family val="0"/>
        <charset val="1"/>
      </rPr>
      <t xml:space="preserve">ch </t>
    </r>
    <r>
      <rPr>
        <sz val="10"/>
        <rFont val="Noto Sans CJK SC"/>
        <family val="2"/>
      </rPr>
      <t xml:space="preserve">内対照で確定した最良型（</t>
    </r>
    <r>
      <rPr>
        <sz val="10"/>
        <rFont val="Arial"/>
        <family val="0"/>
        <charset val="1"/>
      </rPr>
      <t xml:space="preserve">ds=A</t>
    </r>
    <r>
      <rPr>
        <sz val="10"/>
        <rFont val="Noto Sans CJK SC"/>
        <family val="2"/>
      </rPr>
      <t xml:space="preserve">型 </t>
    </r>
    <r>
      <rPr>
        <sz val="10"/>
        <rFont val="Arial"/>
        <family val="0"/>
        <charset val="1"/>
      </rPr>
      <t xml:space="preserve">/ scp=A</t>
    </r>
    <r>
      <rPr>
        <sz val="10"/>
        <rFont val="Noto Sans CJK SC"/>
        <family val="2"/>
      </rPr>
      <t xml:space="preserve">型 </t>
    </r>
    <r>
      <rPr>
        <sz val="10"/>
        <rFont val="Arial"/>
        <family val="0"/>
        <charset val="1"/>
      </rPr>
      <t xml:space="preserve">/ yokai=B</t>
    </r>
    <r>
      <rPr>
        <sz val="10"/>
        <rFont val="Noto Sans CJK SC"/>
        <family val="2"/>
      </rPr>
      <t xml:space="preserve">型・数字禁止 </t>
    </r>
    <r>
      <rPr>
        <sz val="10"/>
        <rFont val="Arial"/>
        <family val="0"/>
        <charset val="1"/>
      </rPr>
      <t xml:space="preserve">/ cf=C</t>
    </r>
    <r>
      <rPr>
        <sz val="10"/>
        <rFont val="Noto Sans CJK SC"/>
        <family val="2"/>
      </rPr>
      <t xml:space="preserve">型）を踏襲。</t>
    </r>
  </si>
  <si>
    <r>
      <rPr>
        <b val="true"/>
        <sz val="10"/>
        <rFont val="Arial"/>
        <family val="0"/>
        <charset val="1"/>
      </rPr>
      <t xml:space="preserve">analytics </t>
    </r>
    <r>
      <rPr>
        <b val="true"/>
        <sz val="10"/>
        <rFont val="Noto Sans CJK SC"/>
        <family val="2"/>
      </rPr>
      <t xml:space="preserve">バックフィルの実行</t>
    </r>
  </si>
  <si>
    <r>
      <rPr>
        <sz val="10"/>
        <rFont val="Arial"/>
        <family val="0"/>
        <charset val="1"/>
      </rPr>
      <t xml:space="preserve">09-13 </t>
    </r>
    <r>
      <rPr>
        <sz val="10"/>
        <rFont val="Noto Sans CJK SC"/>
        <family val="2"/>
      </rPr>
      <t xml:space="preserve">以降に公開した </t>
    </r>
    <r>
      <rPr>
        <sz val="10"/>
        <rFont val="Arial"/>
        <family val="0"/>
        <charset val="1"/>
      </rPr>
      <t xml:space="preserve">25 </t>
    </r>
    <r>
      <rPr>
        <sz val="10"/>
        <rFont val="Noto Sans CJK SC"/>
        <family val="2"/>
      </rPr>
      <t xml:space="preserve">本が </t>
    </r>
    <r>
      <rPr>
        <sz val="10"/>
        <rFont val="Arial"/>
        <family val="0"/>
        <charset val="1"/>
      </rPr>
      <t xml:space="preserve">views=0 </t>
    </r>
    <r>
      <rPr>
        <sz val="10"/>
        <rFont val="Noto Sans CJK SC"/>
        <family val="2"/>
      </rPr>
      <t xml:space="preserve">のまま記録されている。</t>
    </r>
    <r>
      <rPr>
        <sz val="10"/>
        <rFont val="Arial"/>
        <family val="0"/>
        <charset val="1"/>
      </rPr>
      <t xml:space="preserve">OAuth </t>
    </r>
    <r>
      <rPr>
        <sz val="10"/>
        <rFont val="Noto Sans CJK SC"/>
        <family val="2"/>
      </rPr>
      <t xml:space="preserve">復旧後のバックフィルが未実行。これが走らない限り </t>
    </r>
    <r>
      <rPr>
        <sz val="10"/>
        <rFont val="Arial"/>
        <family val="0"/>
        <charset val="1"/>
      </rPr>
      <t xml:space="preserve">09-14 </t>
    </r>
    <r>
      <rPr>
        <sz val="10"/>
        <rFont val="Noto Sans CJK SC"/>
        <family val="2"/>
      </rPr>
      <t xml:space="preserve">の投稿枠・型ルール変更を評価できない。</t>
    </r>
  </si>
  <si>
    <t xml:space="preserve">バックエンド</t>
  </si>
  <si>
    <t xml:space="preserve">低</t>
  </si>
  <si>
    <r>
      <rPr>
        <b val="true"/>
        <sz val="10"/>
        <rFont val="Arial"/>
        <family val="0"/>
        <charset val="1"/>
      </rPr>
      <t xml:space="preserve">reports/ </t>
    </r>
    <r>
      <rPr>
        <b val="true"/>
        <sz val="10"/>
        <rFont val="Noto Sans CJK SC"/>
        <family val="2"/>
      </rPr>
      <t xml:space="preserve">の </t>
    </r>
    <r>
      <rPr>
        <b val="true"/>
        <sz val="10"/>
        <rFont val="Arial"/>
        <family val="0"/>
        <charset val="1"/>
      </rPr>
      <t xml:space="preserve">LibreOffice </t>
    </r>
    <r>
      <rPr>
        <b val="true"/>
        <sz val="10"/>
        <rFont val="Noto Sans CJK SC"/>
        <family val="2"/>
      </rPr>
      <t xml:space="preserve">ロックファイル掃除</t>
    </r>
  </si>
  <si>
    <r>
      <rPr>
        <sz val="10"/>
        <rFont val="Arial"/>
        <family val="0"/>
        <charset val="1"/>
      </rPr>
      <t xml:space="preserve">.~lock.youtube_analysis_*.xlsx# </t>
    </r>
    <r>
      <rPr>
        <sz val="10"/>
        <rFont val="Noto Sans CJK SC"/>
        <family val="2"/>
      </rPr>
      <t xml:space="preserve">が </t>
    </r>
    <r>
      <rPr>
        <sz val="10"/>
        <rFont val="Arial"/>
        <family val="0"/>
        <charset val="1"/>
      </rPr>
      <t xml:space="preserve">20 </t>
    </r>
    <r>
      <rPr>
        <sz val="10"/>
        <rFont val="Noto Sans CJK SC"/>
        <family val="2"/>
      </rPr>
      <t xml:space="preserve">個滞留。サンドボックスからは権限の都合で削除できない。本日も </t>
    </r>
    <r>
      <rPr>
        <sz val="10"/>
        <rFont val="Arial"/>
        <family val="0"/>
        <charset val="1"/>
      </rPr>
      <t xml:space="preserve">/tmp </t>
    </r>
    <r>
      <rPr>
        <sz val="10"/>
        <rFont val="Noto Sans CJK SC"/>
        <family val="2"/>
      </rPr>
      <t xml:space="preserve">相当で </t>
    </r>
    <r>
      <rPr>
        <sz val="10"/>
        <rFont val="Arial"/>
        <family val="0"/>
        <charset val="1"/>
      </rPr>
      <t xml:space="preserve">recalc </t>
    </r>
    <r>
      <rPr>
        <sz val="10"/>
        <rFont val="Noto Sans CJK SC"/>
        <family val="2"/>
      </rPr>
      <t xml:space="preserve">してから </t>
    </r>
    <r>
      <rPr>
        <sz val="10"/>
        <rFont val="Arial"/>
        <family val="0"/>
        <charset val="1"/>
      </rPr>
      <t xml:space="preserve">reports/ </t>
    </r>
    <r>
      <rPr>
        <sz val="10"/>
        <rFont val="Noto Sans CJK SC"/>
        <family val="2"/>
      </rPr>
      <t xml:space="preserve">へ </t>
    </r>
    <r>
      <rPr>
        <sz val="10"/>
        <rFont val="Arial"/>
        <family val="0"/>
        <charset val="1"/>
      </rPr>
      <t xml:space="preserve">cp </t>
    </r>
    <r>
      <rPr>
        <sz val="10"/>
        <rFont val="Noto Sans CJK SC"/>
        <family val="2"/>
      </rPr>
      <t xml:space="preserve">する回避策を使った。</t>
    </r>
  </si>
  <si>
    <t xml:space="preserve">回避中</t>
  </si>
  <si>
    <t xml:space="preserve">—</t>
  </si>
  <si>
    <r>
      <rPr>
        <b val="true"/>
        <sz val="10"/>
        <rFont val="Noto Sans CJK SC"/>
        <family val="2"/>
      </rPr>
      <t xml:space="preserve">投稿枠・タイトル型ルール・</t>
    </r>
    <r>
      <rPr>
        <b val="true"/>
        <sz val="10"/>
        <rFont val="Arial"/>
        <family val="0"/>
        <charset val="1"/>
      </rPr>
      <t xml:space="preserve">voice_style </t>
    </r>
    <r>
      <rPr>
        <b val="true"/>
        <sz val="10"/>
        <rFont val="Noto Sans CJK SC"/>
        <family val="2"/>
      </rPr>
      <t xml:space="preserve">は据え置き</t>
    </r>
  </si>
  <si>
    <r>
      <rPr>
        <sz val="10"/>
        <rFont val="Arial"/>
        <family val="0"/>
        <charset val="1"/>
      </rPr>
      <t xml:space="preserve">09-14 </t>
    </r>
    <r>
      <rPr>
        <sz val="10"/>
        <rFont val="Noto Sans CJK SC"/>
        <family val="2"/>
      </rPr>
      <t xml:space="preserve">に全</t>
    </r>
    <r>
      <rPr>
        <sz val="10"/>
        <rFont val="Arial"/>
        <family val="0"/>
        <charset val="1"/>
      </rPr>
      <t xml:space="preserve">6ch </t>
    </r>
    <r>
      <rPr>
        <sz val="10"/>
        <rFont val="Noto Sans CJK SC"/>
        <family val="2"/>
      </rPr>
      <t xml:space="preserve">で変更したばかりで、その後の公開分（</t>
    </r>
    <r>
      <rPr>
        <sz val="10"/>
        <rFont val="Arial"/>
        <family val="0"/>
        <charset val="1"/>
      </rPr>
      <t xml:space="preserve">25</t>
    </r>
    <r>
      <rPr>
        <sz val="10"/>
        <rFont val="Noto Sans CJK SC"/>
        <family val="2"/>
      </rPr>
      <t xml:space="preserve">本）が </t>
    </r>
    <r>
      <rPr>
        <sz val="10"/>
        <rFont val="Arial"/>
        <family val="0"/>
        <charset val="1"/>
      </rPr>
      <t xml:space="preserve">1 </t>
    </r>
    <r>
      <rPr>
        <sz val="10"/>
        <rFont val="Noto Sans CJK SC"/>
        <family val="2"/>
      </rPr>
      <t xml:space="preserve">本も計測されていない。同一データで二度目の意思決定をしない。評価は </t>
    </r>
    <r>
      <rPr>
        <sz val="10"/>
        <rFont val="Arial"/>
        <family val="0"/>
        <charset val="1"/>
      </rPr>
      <t xml:space="preserve">n≧20/ch </t>
    </r>
    <r>
      <rPr>
        <sz val="10"/>
        <rFont val="Noto Sans CJK SC"/>
        <family val="2"/>
      </rPr>
      <t xml:space="preserve">が揃う </t>
    </r>
    <r>
      <rPr>
        <sz val="10"/>
        <rFont val="Arial"/>
        <family val="0"/>
        <charset val="1"/>
      </rPr>
      <t xml:space="preserve">2026-09-21</t>
    </r>
    <r>
      <rPr>
        <sz val="10"/>
        <rFont val="Noto Sans CJK SC"/>
        <family val="2"/>
      </rPr>
      <t xml:space="preserve">。</t>
    </r>
  </si>
  <si>
    <t xml:space="preserve">意図的に変更なし</t>
  </si>
  <si>
    <r>
      <rPr>
        <b val="true"/>
        <sz val="10"/>
        <rFont val="Arial"/>
        <family val="0"/>
        <charset val="1"/>
      </rPr>
      <t xml:space="preserve">pokemon-lab / 2ch-matome </t>
    </r>
    <r>
      <rPr>
        <b val="true"/>
        <sz val="10"/>
        <rFont val="Noto Sans CJK SC"/>
        <family val="2"/>
      </rPr>
      <t xml:space="preserve">の </t>
    </r>
    <r>
      <rPr>
        <b val="true"/>
        <sz val="10"/>
        <rFont val="Arial"/>
        <family val="0"/>
        <charset val="1"/>
      </rPr>
      <t xml:space="preserve">autopilot </t>
    </r>
    <r>
      <rPr>
        <b val="true"/>
        <sz val="10"/>
        <rFont val="Noto Sans CJK SC"/>
        <family val="2"/>
      </rPr>
      <t xml:space="preserve">は </t>
    </r>
    <r>
      <rPr>
        <b val="true"/>
        <sz val="10"/>
        <rFont val="Arial"/>
        <family val="0"/>
        <charset val="1"/>
      </rPr>
      <t xml:space="preserve">false </t>
    </r>
    <r>
      <rPr>
        <b val="true"/>
        <sz val="10"/>
        <rFont val="Noto Sans CJK SC"/>
        <family val="2"/>
      </rPr>
      <t xml:space="preserve">のまま</t>
    </r>
  </si>
  <si>
    <r>
      <rPr>
        <sz val="10"/>
        <rFont val="Arial"/>
        <family val="0"/>
        <charset val="1"/>
      </rPr>
      <t xml:space="preserve">pokemon-lab </t>
    </r>
    <r>
      <rPr>
        <sz val="10"/>
        <rFont val="Noto Sans CJK SC"/>
        <family val="2"/>
      </rPr>
      <t xml:space="preserve">は </t>
    </r>
    <r>
      <rPr>
        <sz val="10"/>
        <rFont val="Arial"/>
        <family val="0"/>
        <charset val="1"/>
      </rPr>
      <t xml:space="preserve">09-15 </t>
    </r>
    <r>
      <rPr>
        <sz val="10"/>
        <rFont val="Noto Sans CJK SC"/>
        <family val="2"/>
      </rPr>
      <t xml:space="preserve">のログでも </t>
    </r>
    <r>
      <rPr>
        <sz val="10"/>
        <rFont val="Arial"/>
        <family val="0"/>
        <charset val="1"/>
      </rPr>
      <t xml:space="preserve">invalid_grant </t>
    </r>
    <r>
      <rPr>
        <sz val="10"/>
        <rFont val="Noto Sans CJK SC"/>
        <family val="2"/>
      </rPr>
      <t xml:space="preserve">が継続しており公開に到達しない。加えてサムネ権限が未解決のまま生成を増やすと自動抽出サムネの動画が増えるだけ。サムネ権限の解消後に再判断。</t>
    </r>
  </si>
  <si>
    <t xml:space="preserve">トレンド</t>
  </si>
  <si>
    <r>
      <rPr>
        <i val="true"/>
        <sz val="9"/>
        <color rgb="FF595959"/>
        <rFont val="Noto Sans CJK SC"/>
        <family val="2"/>
      </rPr>
      <t xml:space="preserve">上段</t>
    </r>
    <r>
      <rPr>
        <i val="true"/>
        <sz val="9"/>
        <color rgb="FF595959"/>
        <rFont val="Arial"/>
        <family val="0"/>
        <charset val="1"/>
      </rPr>
      <t xml:space="preserve">=</t>
    </r>
    <r>
      <rPr>
        <i val="true"/>
        <sz val="9"/>
        <color rgb="FF595959"/>
        <rFont val="Noto Sans CJK SC"/>
        <family val="2"/>
      </rPr>
      <t xml:space="preserve">公開日別の実績推移／下段</t>
    </r>
    <r>
      <rPr>
        <i val="true"/>
        <sz val="9"/>
        <color rgb="FF595959"/>
        <rFont val="Arial"/>
        <family val="0"/>
        <charset val="1"/>
      </rPr>
      <t xml:space="preserve">=</t>
    </r>
    <r>
      <rPr>
        <i val="true"/>
        <sz val="9"/>
        <color rgb="FF595959"/>
        <rFont val="Noto Sans CJK SC"/>
        <family val="2"/>
      </rPr>
      <t xml:space="preserve">維持率バンド別の登録転換（本日の最重要発見）。</t>
    </r>
  </si>
  <si>
    <t xml:space="preserve">公開本数</t>
  </si>
  <si>
    <t xml:space="preserve">計測済本数</t>
  </si>
  <si>
    <t xml:space="preserve">2026-08-25</t>
  </si>
  <si>
    <t xml:space="preserve">2026-08-26</t>
  </si>
  <si>
    <t xml:space="preserve">2026-08-27</t>
  </si>
  <si>
    <t xml:space="preserve">2026-08-28</t>
  </si>
  <si>
    <t xml:space="preserve">2026-08-29</t>
  </si>
  <si>
    <t xml:space="preserve">2026-08-30</t>
  </si>
  <si>
    <t xml:space="preserve">2026-08-31</t>
  </si>
  <si>
    <t xml:space="preserve">2026-09-13</t>
  </si>
  <si>
    <t xml:space="preserve">2026-09-14</t>
  </si>
  <si>
    <t xml:space="preserve">合計</t>
  </si>
  <si>
    <r>
      <rPr>
        <i val="true"/>
        <sz val="9"/>
        <color rgb="FF595959"/>
        <rFont val="Noto Sans CJK SC"/>
        <family val="2"/>
      </rPr>
      <t xml:space="preserve">黄</t>
    </r>
    <r>
      <rPr>
        <i val="true"/>
        <sz val="9"/>
        <color rgb="FF595959"/>
        <rFont val="Arial"/>
        <family val="0"/>
        <charset val="1"/>
      </rPr>
      <t xml:space="preserve">=</t>
    </r>
    <r>
      <rPr>
        <i val="true"/>
        <sz val="9"/>
        <color rgb="FF595959"/>
        <rFont val="Noto Sans CJK SC"/>
        <family val="2"/>
      </rPr>
      <t xml:space="preserve">公開したが </t>
    </r>
    <r>
      <rPr>
        <i val="true"/>
        <sz val="9"/>
        <color rgb="FF595959"/>
        <rFont val="Arial"/>
        <family val="0"/>
        <charset val="1"/>
      </rPr>
      <t xml:space="preserve">analytics </t>
    </r>
    <r>
      <rPr>
        <i val="true"/>
        <sz val="9"/>
        <color rgb="FF595959"/>
        <rFont val="Noto Sans CJK SC"/>
        <family val="2"/>
      </rPr>
      <t xml:space="preserve">上まだ </t>
    </r>
    <r>
      <rPr>
        <i val="true"/>
        <sz val="9"/>
        <color rgb="FF595959"/>
        <rFont val="Arial"/>
        <family val="0"/>
        <charset val="1"/>
      </rPr>
      <t xml:space="preserve">1 </t>
    </r>
    <r>
      <rPr>
        <i val="true"/>
        <sz val="9"/>
        <color rgb="FF595959"/>
        <rFont val="Noto Sans CJK SC"/>
        <family val="2"/>
      </rPr>
      <t xml:space="preserve">本も計測されていない日（</t>
    </r>
    <r>
      <rPr>
        <i val="true"/>
        <sz val="9"/>
        <color rgb="FF595959"/>
        <rFont val="Arial"/>
        <family val="0"/>
        <charset val="1"/>
      </rPr>
      <t xml:space="preserve">09-13 / 09-14</t>
    </r>
    <r>
      <rPr>
        <i val="true"/>
        <sz val="9"/>
        <color rgb="FF595959"/>
        <rFont val="Noto Sans CJK SC"/>
        <family val="2"/>
      </rPr>
      <t xml:space="preserve">）。</t>
    </r>
    <r>
      <rPr>
        <i val="true"/>
        <sz val="9"/>
        <color rgb="FF595959"/>
        <rFont val="Arial"/>
        <family val="0"/>
        <charset val="1"/>
      </rPr>
      <t xml:space="preserve">09-10</t>
    </r>
    <r>
      <rPr>
        <i val="true"/>
        <sz val="9"/>
        <color rgb="FF595959"/>
        <rFont val="Noto Sans CJK SC"/>
        <family val="2"/>
      </rPr>
      <t xml:space="preserve">〜</t>
    </r>
    <r>
      <rPr>
        <i val="true"/>
        <sz val="9"/>
        <color rgb="FF595959"/>
        <rFont val="Arial"/>
        <family val="0"/>
        <charset val="1"/>
      </rPr>
      <t xml:space="preserve">09-12 </t>
    </r>
    <r>
      <rPr>
        <i val="true"/>
        <sz val="9"/>
        <color rgb="FF595959"/>
        <rFont val="Noto Sans CJK SC"/>
        <family val="2"/>
      </rPr>
      <t xml:space="preserve">は </t>
    </r>
    <r>
      <rPr>
        <i val="true"/>
        <sz val="9"/>
        <color rgb="FF595959"/>
        <rFont val="Arial"/>
        <family val="0"/>
        <charset val="1"/>
      </rPr>
      <t xml:space="preserve">OAuth </t>
    </r>
    <r>
      <rPr>
        <i val="true"/>
        <sz val="9"/>
        <color rgb="FF595959"/>
        <rFont val="Noto Sans CJK SC"/>
        <family val="2"/>
      </rPr>
      <t xml:space="preserve">失効で公開そのものが </t>
    </r>
    <r>
      <rPr>
        <i val="true"/>
        <sz val="9"/>
        <color rgb="FF595959"/>
        <rFont val="Arial"/>
        <family val="0"/>
        <charset val="1"/>
      </rPr>
      <t xml:space="preserve">0 </t>
    </r>
    <r>
      <rPr>
        <i val="true"/>
        <sz val="9"/>
        <color rgb="FF595959"/>
        <rFont val="Noto Sans CJK SC"/>
        <family val="2"/>
      </rPr>
      <t xml:space="preserve">本。</t>
    </r>
  </si>
  <si>
    <r>
      <rPr>
        <b val="true"/>
        <sz val="10"/>
        <rFont val="Noto Sans CJK SC"/>
        <family val="2"/>
      </rPr>
      <t xml:space="preserve">■ 【本日の最重要発見】維持率バンド別 登録転換（公開 </t>
    </r>
    <r>
      <rPr>
        <b val="true"/>
        <sz val="10"/>
        <rFont val="Arial"/>
        <family val="0"/>
        <charset val="1"/>
      </rPr>
      <t xml:space="preserve">2026-08-01 </t>
    </r>
    <r>
      <rPr>
        <b val="true"/>
        <sz val="10"/>
        <rFont val="Noto Sans CJK SC"/>
        <family val="2"/>
      </rPr>
      <t xml:space="preserve">以降・</t>
    </r>
    <r>
      <rPr>
        <b val="true"/>
        <sz val="10"/>
        <rFont val="Arial"/>
        <family val="0"/>
        <charset val="1"/>
      </rPr>
      <t xml:space="preserve">200</t>
    </r>
    <r>
      <rPr>
        <b val="true"/>
        <sz val="10"/>
        <rFont val="Noto Sans CJK SC"/>
        <family val="2"/>
      </rPr>
      <t xml:space="preserve">再生以上・</t>
    </r>
    <r>
      <rPr>
        <b val="true"/>
        <sz val="10"/>
        <rFont val="Arial"/>
        <family val="0"/>
        <charset val="1"/>
      </rPr>
      <t xml:space="preserve">n=350</t>
    </r>
    <r>
      <rPr>
        <b val="true"/>
        <sz val="10"/>
        <rFont val="Noto Sans CJK SC"/>
        <family val="2"/>
      </rPr>
      <t xml:space="preserve">）</t>
    </r>
  </si>
  <si>
    <t xml:space="preserve">維持率バンド</t>
  </si>
  <si>
    <t xml:space="preserve">平均視聴秒</t>
  </si>
  <si>
    <r>
      <rPr>
        <b val="true"/>
        <sz val="10"/>
        <color rgb="FFFFFFFF"/>
        <rFont val="Noto Sans CJK SC"/>
        <family val="2"/>
      </rPr>
      <t xml:space="preserve">推定尺</t>
    </r>
    <r>
      <rPr>
        <b val="true"/>
        <sz val="10"/>
        <color rgb="FFFFFFFF"/>
        <rFont val="Arial"/>
        <family val="0"/>
        <charset val="1"/>
      </rPr>
      <t xml:space="preserve">(</t>
    </r>
    <r>
      <rPr>
        <b val="true"/>
        <sz val="10"/>
        <color rgb="FFFFFFFF"/>
        <rFont val="Noto Sans CJK SC"/>
        <family val="2"/>
      </rPr>
      <t xml:space="preserve">秒</t>
    </r>
    <r>
      <rPr>
        <b val="true"/>
        <sz val="10"/>
        <color rgb="FFFFFFFF"/>
        <rFont val="Arial"/>
        <family val="0"/>
        <charset val="1"/>
      </rPr>
      <t xml:space="preserve">)</t>
    </r>
  </si>
  <si>
    <t xml:space="preserve">&lt;30%</t>
  </si>
  <si>
    <t xml:space="preserve">30-40%</t>
  </si>
  <si>
    <t xml:space="preserve">40-50%</t>
  </si>
  <si>
    <t xml:space="preserve">50-60%</t>
  </si>
  <si>
    <t xml:space="preserve">60-70%</t>
  </si>
  <si>
    <r>
      <rPr>
        <sz val="10"/>
        <rFont val="Arial"/>
        <family val="0"/>
        <charset val="1"/>
      </rPr>
      <t xml:space="preserve">70%</t>
    </r>
    <r>
      <rPr>
        <sz val="10"/>
        <rFont val="Noto Sans CJK SC"/>
        <family val="2"/>
      </rPr>
      <t xml:space="preserve">以上</t>
    </r>
  </si>
  <si>
    <r>
      <rPr>
        <b val="true"/>
        <sz val="10"/>
        <rFont val="Noto Sans CJK SC"/>
        <family val="2"/>
      </rPr>
      <t xml:space="preserve">最良帯の登録</t>
    </r>
    <r>
      <rPr>
        <b val="true"/>
        <sz val="10"/>
        <rFont val="Arial"/>
        <family val="0"/>
        <charset val="1"/>
      </rPr>
      <t xml:space="preserve">/</t>
    </r>
    <r>
      <rPr>
        <b val="true"/>
        <sz val="10"/>
        <rFont val="Noto Sans CJK SC"/>
        <family val="2"/>
      </rPr>
      <t xml:space="preserve">千</t>
    </r>
  </si>
  <si>
    <r>
      <rPr>
        <b val="true"/>
        <sz val="10"/>
        <rFont val="Noto Sans CJK SC"/>
        <family val="2"/>
      </rPr>
      <t xml:space="preserve">最良帯 </t>
    </r>
    <r>
      <rPr>
        <b val="true"/>
        <sz val="10"/>
        <rFont val="Arial"/>
        <family val="0"/>
        <charset val="1"/>
      </rPr>
      <t xml:space="preserve">÷ 70%</t>
    </r>
    <r>
      <rPr>
        <b val="true"/>
        <sz val="10"/>
        <rFont val="Noto Sans CJK SC"/>
        <family val="2"/>
      </rPr>
      <t xml:space="preserve">以上帯</t>
    </r>
  </si>
  <si>
    <r>
      <rPr>
        <sz val="10"/>
        <rFont val="Noto Sans CJK SC"/>
        <family val="2"/>
      </rPr>
      <t xml:space="preserve">解釈</t>
    </r>
    <r>
      <rPr>
        <sz val="10"/>
        <rFont val="Arial"/>
        <family val="0"/>
        <charset val="1"/>
      </rPr>
      <t xml:space="preserve">: </t>
    </r>
    <r>
      <rPr>
        <sz val="10"/>
        <rFont val="Noto Sans CJK SC"/>
        <family val="2"/>
      </rPr>
      <t xml:space="preserve">登録</t>
    </r>
    <r>
      <rPr>
        <sz val="10"/>
        <rFont val="Arial"/>
        <family val="0"/>
        <charset val="1"/>
      </rPr>
      <t xml:space="preserve">/</t>
    </r>
    <r>
      <rPr>
        <sz val="10"/>
        <rFont val="Noto Sans CJK SC"/>
        <family val="2"/>
      </rPr>
      <t xml:space="preserve">千は維持率 </t>
    </r>
    <r>
      <rPr>
        <sz val="10"/>
        <rFont val="Arial"/>
        <family val="0"/>
        <charset val="1"/>
      </rPr>
      <t xml:space="preserve">40-50% </t>
    </r>
    <r>
      <rPr>
        <sz val="10"/>
        <rFont val="Noto Sans CJK SC"/>
        <family val="2"/>
      </rPr>
      <t xml:space="preserve">を頂点に逆</t>
    </r>
    <r>
      <rPr>
        <sz val="10"/>
        <rFont val="Arial"/>
        <family val="0"/>
        <charset val="1"/>
      </rPr>
      <t xml:space="preserve">U</t>
    </r>
    <r>
      <rPr>
        <sz val="10"/>
        <rFont val="Noto Sans CJK SC"/>
        <family val="2"/>
      </rPr>
      <t xml:space="preserve">字を描く。</t>
    </r>
    <r>
      <rPr>
        <sz val="10"/>
        <rFont val="Arial"/>
        <family val="0"/>
        <charset val="1"/>
      </rPr>
      <t xml:space="preserve">70% </t>
    </r>
    <r>
      <rPr>
        <sz val="10"/>
        <rFont val="Noto Sans CJK SC"/>
        <family val="2"/>
      </rPr>
      <t xml:space="preserve">以上の帯は平均再生が最大（</t>
    </r>
    <r>
      <rPr>
        <sz val="10"/>
        <rFont val="Arial"/>
        <family val="0"/>
        <charset val="1"/>
      </rPr>
      <t xml:space="preserve">1,982</t>
    </r>
    <r>
      <rPr>
        <sz val="10"/>
        <rFont val="Noto Sans CJK SC"/>
        <family val="2"/>
      </rPr>
      <t xml:space="preserve">）なのに登録</t>
    </r>
    <r>
      <rPr>
        <sz val="10"/>
        <rFont val="Arial"/>
        <family val="0"/>
        <charset val="1"/>
      </rPr>
      <t xml:space="preserve">/</t>
    </r>
    <r>
      <rPr>
        <sz val="10"/>
        <rFont val="Noto Sans CJK SC"/>
        <family val="2"/>
      </rPr>
      <t xml:space="preserve">千は全帯で最下位。</t>
    </r>
  </si>
  <si>
    <r>
      <rPr>
        <sz val="10"/>
        <rFont val="Noto Sans CJK SC"/>
        <family val="2"/>
      </rPr>
      <t xml:space="preserve">交絡チェック</t>
    </r>
    <r>
      <rPr>
        <sz val="10"/>
        <rFont val="Arial"/>
        <family val="0"/>
        <charset val="1"/>
      </rPr>
      <t xml:space="preserve">: </t>
    </r>
    <r>
      <rPr>
        <sz val="10"/>
        <rFont val="Noto Sans CJK SC"/>
        <family val="2"/>
      </rPr>
      <t xml:space="preserve">推定尺は </t>
    </r>
    <r>
      <rPr>
        <sz val="10"/>
        <rFont val="Arial"/>
        <family val="0"/>
        <charset val="1"/>
      </rPr>
      <t xml:space="preserve">30-70% </t>
    </r>
    <r>
      <rPr>
        <sz val="10"/>
        <rFont val="Noto Sans CJK SC"/>
        <family val="2"/>
      </rPr>
      <t xml:space="preserve">の各バンドで </t>
    </r>
    <r>
      <rPr>
        <sz val="10"/>
        <rFont val="Arial"/>
        <family val="0"/>
        <charset val="1"/>
      </rPr>
      <t xml:space="preserve">33</t>
    </r>
    <r>
      <rPr>
        <sz val="10"/>
        <rFont val="Noto Sans CJK SC"/>
        <family val="2"/>
      </rPr>
      <t xml:space="preserve">〜</t>
    </r>
    <r>
      <rPr>
        <sz val="10"/>
        <rFont val="Arial"/>
        <family val="0"/>
        <charset val="1"/>
      </rPr>
      <t xml:space="preserve">39 </t>
    </r>
    <r>
      <rPr>
        <sz val="10"/>
        <rFont val="Noto Sans CJK SC"/>
        <family val="2"/>
      </rPr>
      <t xml:space="preserve">秒とほぼ一定であり、尺の違いによる見かけの差ではない。</t>
    </r>
  </si>
  <si>
    <r>
      <rPr>
        <sz val="10"/>
        <rFont val="Arial"/>
        <family val="0"/>
        <charset val="1"/>
      </rPr>
      <t xml:space="preserve">ch </t>
    </r>
    <r>
      <rPr>
        <sz val="10"/>
        <rFont val="Noto Sans CJK SC"/>
        <family val="2"/>
      </rPr>
      <t xml:space="preserve">内再現</t>
    </r>
    <r>
      <rPr>
        <sz val="10"/>
        <rFont val="Arial"/>
        <family val="0"/>
        <charset val="1"/>
      </rPr>
      <t xml:space="preserve">: </t>
    </r>
    <r>
      <rPr>
        <sz val="10"/>
        <rFont val="Noto Sans CJK SC"/>
        <family val="2"/>
      </rPr>
      <t xml:space="preserve">維持率</t>
    </r>
    <r>
      <rPr>
        <sz val="10"/>
        <rFont val="Arial"/>
        <family val="0"/>
        <charset val="1"/>
      </rPr>
      <t xml:space="preserve">&lt;50% </t>
    </r>
    <r>
      <rPr>
        <sz val="10"/>
        <rFont val="Noto Sans CJK SC"/>
        <family val="2"/>
      </rPr>
      <t xml:space="preserve">の側が高いのが </t>
    </r>
    <r>
      <rPr>
        <sz val="10"/>
        <rFont val="Arial"/>
        <family val="0"/>
        <charset val="1"/>
      </rPr>
      <t xml:space="preserve">daily-science 1.43</t>
    </r>
    <r>
      <rPr>
        <sz val="10"/>
        <rFont val="Noto Sans CJK SC"/>
        <family val="2"/>
      </rPr>
      <t xml:space="preserve">倍 </t>
    </r>
    <r>
      <rPr>
        <sz val="10"/>
        <rFont val="Arial"/>
        <family val="0"/>
        <charset val="1"/>
      </rPr>
      <t xml:space="preserve">/ scp-lab 1.20 / 2ch-matome 1.18 / pokemon-lab 1.70 / yokai-watch 1.20</t>
    </r>
    <r>
      <rPr>
        <sz val="10"/>
        <rFont val="Noto Sans CJK SC"/>
        <family val="2"/>
      </rPr>
      <t xml:space="preserve">（</t>
    </r>
    <r>
      <rPr>
        <sz val="10"/>
        <rFont val="Arial"/>
        <family val="0"/>
        <charset val="1"/>
      </rPr>
      <t xml:space="preserve">company-facts </t>
    </r>
    <r>
      <rPr>
        <sz val="10"/>
        <rFont val="Noto Sans CJK SC"/>
        <family val="2"/>
      </rPr>
      <t xml:space="preserve">のみ </t>
    </r>
    <r>
      <rPr>
        <sz val="10"/>
        <rFont val="Arial"/>
        <family val="0"/>
        <charset val="1"/>
      </rPr>
      <t xml:space="preserve">0.83 </t>
    </r>
    <r>
      <rPr>
        <sz val="10"/>
        <rFont val="Noto Sans CJK SC"/>
        <family val="2"/>
      </rPr>
      <t xml:space="preserve">で逆）。</t>
    </r>
  </si>
  <si>
    <r>
      <rPr>
        <sz val="10"/>
        <rFont val="Noto Sans CJK SC"/>
        <family val="2"/>
      </rPr>
      <t xml:space="preserve">運用への反映</t>
    </r>
    <r>
      <rPr>
        <sz val="10"/>
        <rFont val="Arial"/>
        <family val="0"/>
        <charset val="1"/>
      </rPr>
      <t xml:space="preserve">: </t>
    </r>
    <r>
      <rPr>
        <sz val="10"/>
        <rFont val="Noto Sans CJK SC"/>
        <family val="2"/>
      </rPr>
      <t xml:space="preserve">維持率は最大化目標から外し </t>
    </r>
    <r>
      <rPr>
        <sz val="10"/>
        <rFont val="Arial"/>
        <family val="0"/>
        <charset val="1"/>
      </rPr>
      <t xml:space="preserve">40-50% </t>
    </r>
    <r>
      <rPr>
        <sz val="10"/>
        <rFont val="Noto Sans CJK SC"/>
        <family val="2"/>
      </rPr>
      <t xml:space="preserve">を目標帯とする。維持率改善を理由とした </t>
    </r>
    <r>
      <rPr>
        <sz val="10"/>
        <rFont val="Arial"/>
        <family val="0"/>
        <charset val="1"/>
      </rPr>
      <t xml:space="preserve">voice_style </t>
    </r>
    <r>
      <rPr>
        <sz val="10"/>
        <rFont val="Noto Sans CJK SC"/>
        <family val="2"/>
      </rPr>
      <t xml:space="preserve">調整は今後行わない。登録の主説明変数は引き続き高評価率（四分位 </t>
    </r>
    <r>
      <rPr>
        <sz val="10"/>
        <rFont val="Arial"/>
        <family val="0"/>
        <charset val="1"/>
      </rPr>
      <t xml:space="preserve">Q4/Q1 3.90</t>
    </r>
    <r>
      <rPr>
        <sz val="10"/>
        <rFont val="Noto Sans CJK SC"/>
        <family val="2"/>
      </rPr>
      <t xml:space="preserve">倍・</t>
    </r>
    <r>
      <rPr>
        <sz val="10"/>
        <rFont val="Arial"/>
        <family val="0"/>
        <charset val="1"/>
      </rPr>
      <t xml:space="preserve">5</t>
    </r>
    <r>
      <rPr>
        <sz val="10"/>
        <rFont val="Noto Sans CJK SC"/>
        <family val="2"/>
      </rPr>
      <t xml:space="preserve">回再現）。</t>
    </r>
  </si>
</sst>
</file>

<file path=xl/styles.xml><?xml version="1.0" encoding="utf-8"?>
<styleSheet xmlns="http://schemas.openxmlformats.org/spreadsheetml/2006/main">
  <numFmts count="8">
    <numFmt numFmtId="164" formatCode="General"/>
    <numFmt numFmtId="165" formatCode="#,##0"/>
    <numFmt numFmtId="166" formatCode="0.000"/>
    <numFmt numFmtId="167" formatCode="0.000%"/>
    <numFmt numFmtId="168" formatCode="0.00%"/>
    <numFmt numFmtId="169" formatCode="\+0.0%;\-0.0%;0.0%"/>
    <numFmt numFmtId="170" formatCode="0.0"/>
    <numFmt numFmtId="171" formatCode="0.00\倍"/>
  </numFmts>
  <fonts count="14">
    <font>
      <sz val="11"/>
      <color theme="1"/>
      <name val="Calibri"/>
      <family val="2"/>
      <charset val="1"/>
    </font>
    <font>
      <sz val="10"/>
      <name val="Arial"/>
      <family val="0"/>
    </font>
    <font>
      <sz val="10"/>
      <name val="Arial"/>
      <family val="0"/>
    </font>
    <font>
      <sz val="10"/>
      <name val="Arial"/>
      <family val="0"/>
    </font>
    <font>
      <b val="true"/>
      <sz val="13"/>
      <color rgb="FF1F3864"/>
      <name val="Arial"/>
      <family val="0"/>
      <charset val="1"/>
    </font>
    <font>
      <b val="true"/>
      <sz val="13"/>
      <color rgb="FF1F3864"/>
      <name val="Noto Sans CJK SC"/>
      <family val="2"/>
    </font>
    <font>
      <i val="true"/>
      <sz val="9"/>
      <color rgb="FF595959"/>
      <name val="Noto Sans CJK SC"/>
      <family val="2"/>
    </font>
    <font>
      <i val="true"/>
      <sz val="9"/>
      <color rgb="FF595959"/>
      <name val="Arial"/>
      <family val="0"/>
      <charset val="1"/>
    </font>
    <font>
      <b val="true"/>
      <sz val="10"/>
      <name val="Noto Sans CJK SC"/>
      <family val="2"/>
    </font>
    <font>
      <sz val="10"/>
      <name val="Arial"/>
      <family val="0"/>
      <charset val="1"/>
    </font>
    <font>
      <sz val="10"/>
      <name val="Noto Sans CJK SC"/>
      <family val="2"/>
    </font>
    <font>
      <b val="true"/>
      <sz val="10"/>
      <color rgb="FFFFFFFF"/>
      <name val="Noto Sans CJK SC"/>
      <family val="2"/>
    </font>
    <font>
      <b val="true"/>
      <sz val="10"/>
      <color rgb="FFFFFFFF"/>
      <name val="Arial"/>
      <family val="0"/>
      <charset val="1"/>
    </font>
    <font>
      <b val="true"/>
      <sz val="10"/>
      <name val="Arial"/>
      <family val="0"/>
      <charset val="1"/>
    </font>
  </fonts>
  <fills count="6">
    <fill>
      <patternFill patternType="none"/>
    </fill>
    <fill>
      <patternFill patternType="gray125"/>
    </fill>
    <fill>
      <patternFill patternType="solid">
        <fgColor rgb="FF1F3864"/>
        <bgColor rgb="FF333333"/>
      </patternFill>
    </fill>
    <fill>
      <patternFill patternType="solid">
        <fgColor rgb="FFE2EFDA"/>
        <bgColor rgb="FFFFF2CC"/>
      </patternFill>
    </fill>
    <fill>
      <patternFill patternType="solid">
        <fgColor rgb="FFFCE4E4"/>
        <bgColor rgb="FFFFF2CC"/>
      </patternFill>
    </fill>
    <fill>
      <patternFill patternType="solid">
        <fgColor rgb="FFFFF2CC"/>
        <bgColor rgb="FFFCE4E4"/>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5" fontId="13" fillId="3" borderId="1" xfId="0" applyFont="true" applyBorder="true" applyAlignment="false" applyProtection="false">
      <alignment horizontal="general" vertical="bottom" textRotation="0" wrapText="false" indent="0" shrinkToFit="false"/>
      <protection locked="true" hidden="false"/>
    </xf>
    <xf numFmtId="166" fontId="13" fillId="3" borderId="1" xfId="0" applyFont="true" applyBorder="true" applyAlignment="false" applyProtection="false">
      <alignment horizontal="general" vertical="bottom" textRotation="0" wrapText="false" indent="0" shrinkToFit="false"/>
      <protection locked="true" hidden="false"/>
    </xf>
    <xf numFmtId="167" fontId="13" fillId="3" borderId="1" xfId="0" applyFont="true" applyBorder="true" applyAlignment="false" applyProtection="false">
      <alignment horizontal="general" vertical="bottom" textRotation="0" wrapText="false" indent="0" shrinkToFit="false"/>
      <protection locked="true" hidden="false"/>
    </xf>
    <xf numFmtId="168" fontId="13"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9" fontId="13" fillId="3"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70" fontId="9" fillId="0" borderId="1" xfId="0" applyFont="true" applyBorder="true" applyAlignment="false" applyProtection="false">
      <alignment horizontal="general" vertical="bottom" textRotation="0" wrapText="false" indent="0" shrinkToFit="false"/>
      <protection locked="true" hidden="false"/>
    </xf>
    <xf numFmtId="166" fontId="9" fillId="3"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5" fontId="9" fillId="5" borderId="1" xfId="0" applyFont="true" applyBorder="true" applyAlignment="false" applyProtection="false">
      <alignment horizontal="general" vertical="bottom" textRotation="0" wrapText="false" indent="0" shrinkToFit="false"/>
      <protection locked="true" hidden="false"/>
    </xf>
    <xf numFmtId="166" fontId="9" fillId="5" borderId="1" xfId="0" applyFont="true" applyBorder="true" applyAlignment="false" applyProtection="false">
      <alignment horizontal="general" vertical="bottom" textRotation="0" wrapText="false" indent="0" shrinkToFit="false"/>
      <protection locked="true" hidden="false"/>
    </xf>
    <xf numFmtId="167" fontId="9" fillId="5"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5" fontId="9" fillId="3" borderId="1" xfId="0" applyFont="true" applyBorder="true" applyAlignment="false" applyProtection="false">
      <alignment horizontal="general" vertical="bottom" textRotation="0" wrapText="false" indent="0" shrinkToFit="false"/>
      <protection locked="true" hidden="false"/>
    </xf>
    <xf numFmtId="167" fontId="9" fillId="3" borderId="1" xfId="0" applyFont="true" applyBorder="true" applyAlignment="false" applyProtection="false">
      <alignment horizontal="general" vertical="bottom" textRotation="0" wrapText="false" indent="0" shrinkToFit="false"/>
      <protection locked="true" hidden="false"/>
    </xf>
    <xf numFmtId="170" fontId="9" fillId="3" borderId="1" xfId="0" applyFont="true" applyBorder="true" applyAlignment="false" applyProtection="false">
      <alignment horizontal="general" vertical="bottom" textRotation="0" wrapText="false" indent="0" shrinkToFit="false"/>
      <protection locked="true" hidden="false"/>
    </xf>
    <xf numFmtId="165" fontId="9" fillId="4" borderId="1" xfId="0" applyFont="true" applyBorder="true" applyAlignment="false" applyProtection="false">
      <alignment horizontal="general" vertical="bottom" textRotation="0" wrapText="false" indent="0" shrinkToFit="false"/>
      <protection locked="true" hidden="false"/>
    </xf>
    <xf numFmtId="166" fontId="13" fillId="4" borderId="1" xfId="0" applyFont="true" applyBorder="true" applyAlignment="false" applyProtection="false">
      <alignment horizontal="general"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6" fontId="13" fillId="0" borderId="0" xfId="0" applyFont="true" applyBorder="false" applyAlignment="false" applyProtection="false">
      <alignment horizontal="general" vertical="bottom" textRotation="0" wrapText="false" indent="0" shrinkToFit="false"/>
      <protection locked="true" hidden="false"/>
    </xf>
    <xf numFmtId="171" fontId="13" fillId="5"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E4"/>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7" min="3" style="0" width="14"/>
    <col collapsed="false" customWidth="true" hidden="false" outlineLevel="0" max="8" min="8" style="0" width="52"/>
  </cols>
  <sheetData>
    <row r="1" customFormat="false" ht="20.1"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27.75" hidden="false" customHeight="true" outlineLevel="0" collapsed="false">
      <c r="A5" s="4" t="s">
        <v>3</v>
      </c>
      <c r="B5" s="4"/>
      <c r="C5" s="4"/>
      <c r="D5" s="4"/>
      <c r="E5" s="4"/>
      <c r="F5" s="4"/>
      <c r="G5" s="4"/>
      <c r="H5" s="4"/>
    </row>
    <row r="6" customFormat="false" ht="27.75" hidden="false" customHeight="true" outlineLevel="0" collapsed="false">
      <c r="A6" s="4" t="s">
        <v>4</v>
      </c>
      <c r="B6" s="4"/>
      <c r="C6" s="4"/>
      <c r="D6" s="4"/>
      <c r="E6" s="4"/>
      <c r="F6" s="4"/>
      <c r="G6" s="4"/>
      <c r="H6" s="4"/>
    </row>
    <row r="7" customFormat="false" ht="27.75" hidden="false" customHeight="true" outlineLevel="0" collapsed="false">
      <c r="A7" s="4" t="s">
        <v>5</v>
      </c>
      <c r="B7" s="4"/>
      <c r="C7" s="4"/>
      <c r="D7" s="4"/>
      <c r="E7" s="4"/>
      <c r="F7" s="4"/>
      <c r="G7" s="4"/>
      <c r="H7" s="4"/>
    </row>
    <row r="8" customFormat="false" ht="27.75" hidden="false" customHeight="true" outlineLevel="0" collapsed="false">
      <c r="A8" s="4" t="s">
        <v>6</v>
      </c>
      <c r="B8" s="4"/>
      <c r="C8" s="4"/>
      <c r="D8" s="4"/>
      <c r="E8" s="4"/>
      <c r="F8" s="4"/>
      <c r="G8" s="4"/>
      <c r="H8" s="4"/>
    </row>
    <row r="9" customFormat="false" ht="27.75" hidden="false" customHeight="true" outlineLevel="0" collapsed="false">
      <c r="A9" s="4" t="s">
        <v>7</v>
      </c>
      <c r="B9" s="4"/>
      <c r="C9" s="4"/>
      <c r="D9" s="4"/>
      <c r="E9" s="4"/>
      <c r="F9" s="4"/>
      <c r="G9" s="4"/>
      <c r="H9" s="4"/>
    </row>
    <row r="11" customFormat="false" ht="15" hidden="false" customHeight="false" outlineLevel="0" collapsed="false">
      <c r="A11" s="3" t="s">
        <v>8</v>
      </c>
    </row>
    <row r="12" customFormat="false" ht="30" hidden="false" customHeight="true" outlineLevel="0" collapsed="false">
      <c r="A12" s="5" t="s">
        <v>9</v>
      </c>
      <c r="B12" s="5" t="s">
        <v>10</v>
      </c>
      <c r="C12" s="5" t="s">
        <v>11</v>
      </c>
      <c r="D12" s="5" t="s">
        <v>12</v>
      </c>
      <c r="E12" s="5" t="s">
        <v>13</v>
      </c>
      <c r="F12" s="5" t="s">
        <v>14</v>
      </c>
      <c r="G12" s="5" t="s">
        <v>15</v>
      </c>
      <c r="H12" s="5" t="s">
        <v>16</v>
      </c>
    </row>
    <row r="13" customFormat="false" ht="15" hidden="false" customHeight="false" outlineLevel="0" collapsed="false">
      <c r="A13" s="6" t="s">
        <v>17</v>
      </c>
      <c r="B13" s="6" t="n">
        <v>157</v>
      </c>
      <c r="C13" s="7" t="n">
        <v>140584</v>
      </c>
      <c r="D13" s="7" t="n">
        <f aca="false">IF(B13=0,0,C13/B13)</f>
        <v>895.43949044586</v>
      </c>
      <c r="E13" s="6" t="n">
        <v>56</v>
      </c>
      <c r="F13" s="8" t="n">
        <f aca="false">IF(C13=0,0,E13/C13*1000)</f>
        <v>0.398338359984066</v>
      </c>
      <c r="G13" s="9" t="n">
        <f aca="false">IF(C13=0,0,713/C13)</f>
        <v>0.00507170090479713</v>
      </c>
      <c r="H13" s="10" t="n">
        <v>0.8428</v>
      </c>
    </row>
    <row r="14" customFormat="false" ht="15" hidden="false" customHeight="false" outlineLevel="0" collapsed="false">
      <c r="A14" s="6" t="s">
        <v>18</v>
      </c>
      <c r="B14" s="6" t="n">
        <v>159</v>
      </c>
      <c r="C14" s="7" t="n">
        <v>125946</v>
      </c>
      <c r="D14" s="7" t="n">
        <f aca="false">IF(B14=0,0,C14/B14)</f>
        <v>792.11320754717</v>
      </c>
      <c r="E14" s="6" t="n">
        <v>110</v>
      </c>
      <c r="F14" s="8" t="n">
        <f aca="false">IF(C14=0,0,E14/C14*1000)</f>
        <v>0.873390183094342</v>
      </c>
      <c r="G14" s="9" t="n">
        <f aca="false">IF(C14=0,0,570/C14)</f>
        <v>0.00452574913057977</v>
      </c>
      <c r="H14" s="10" t="n">
        <v>0.5281</v>
      </c>
    </row>
    <row r="15" customFormat="false" ht="15" hidden="false" customHeight="false" outlineLevel="0" collapsed="false">
      <c r="A15" s="6" t="s">
        <v>19</v>
      </c>
      <c r="B15" s="6" t="n">
        <v>54</v>
      </c>
      <c r="C15" s="7" t="n">
        <v>55398</v>
      </c>
      <c r="D15" s="7" t="n">
        <f aca="false">IF(B15=0,0,C15/B15)</f>
        <v>1025.88888888889</v>
      </c>
      <c r="E15" s="6" t="n">
        <v>29</v>
      </c>
      <c r="F15" s="8" t="n">
        <f aca="false">IF(C15=0,0,E15/C15*1000)</f>
        <v>0.523484602332214</v>
      </c>
      <c r="G15" s="9" t="n">
        <f aca="false">IF(C15=0,0,254/C15)</f>
        <v>0.00458500306870284</v>
      </c>
      <c r="H15" s="10" t="n">
        <v>0.5691</v>
      </c>
    </row>
    <row r="16" customFormat="false" ht="15" hidden="false" customHeight="false" outlineLevel="0" collapsed="false">
      <c r="A16" s="6" t="s">
        <v>20</v>
      </c>
      <c r="B16" s="6" t="n">
        <v>43</v>
      </c>
      <c r="C16" s="7" t="n">
        <v>55530</v>
      </c>
      <c r="D16" s="7" t="n">
        <f aca="false">IF(B16=0,0,C16/B16)</f>
        <v>1291.39534883721</v>
      </c>
      <c r="E16" s="6" t="n">
        <v>36</v>
      </c>
      <c r="F16" s="8" t="n">
        <f aca="false">IF(C16=0,0,E16/C16*1000)</f>
        <v>0.648298217179903</v>
      </c>
      <c r="G16" s="9" t="n">
        <f aca="false">IF(C16=0,0,192/C16)</f>
        <v>0.00345759049162615</v>
      </c>
      <c r="H16" s="10" t="n">
        <v>0.5828</v>
      </c>
    </row>
    <row r="17" customFormat="false" ht="15" hidden="false" customHeight="false" outlineLevel="0" collapsed="false">
      <c r="A17" s="6" t="s">
        <v>21</v>
      </c>
      <c r="B17" s="6" t="n">
        <v>48</v>
      </c>
      <c r="C17" s="7" t="n">
        <v>55667</v>
      </c>
      <c r="D17" s="7" t="n">
        <f aca="false">IF(B17=0,0,C17/B17)</f>
        <v>1159.72916666667</v>
      </c>
      <c r="E17" s="6" t="n">
        <v>19</v>
      </c>
      <c r="F17" s="8" t="n">
        <f aca="false">IF(C17=0,0,E17/C17*1000)</f>
        <v>0.341315321465141</v>
      </c>
      <c r="G17" s="9" t="n">
        <f aca="false">IF(C17=0,0,159/C17)</f>
        <v>0.0028562703217346</v>
      </c>
      <c r="H17" s="10" t="n">
        <v>0.5509</v>
      </c>
    </row>
    <row r="18" customFormat="false" ht="15" hidden="false" customHeight="false" outlineLevel="0" collapsed="false">
      <c r="A18" s="11" t="s">
        <v>22</v>
      </c>
      <c r="B18" s="11" t="n">
        <v>51</v>
      </c>
      <c r="C18" s="7" t="n">
        <v>47619</v>
      </c>
      <c r="D18" s="7" t="n">
        <f aca="false">IF(B18=0,0,C18/B18)</f>
        <v>933.705882352941</v>
      </c>
      <c r="E18" s="11" t="n">
        <v>9</v>
      </c>
      <c r="F18" s="8" t="n">
        <f aca="false">IF(C18=0,0,E18/C18*1000)</f>
        <v>0.189000189000189</v>
      </c>
      <c r="G18" s="9" t="n">
        <f aca="false">IF(C18=0,0,102/C18)</f>
        <v>0.00214200214200214</v>
      </c>
      <c r="H18" s="10" t="n">
        <v>0.4798</v>
      </c>
    </row>
    <row r="19" customFormat="false" ht="15" hidden="false" customHeight="false" outlineLevel="0" collapsed="false">
      <c r="A19" s="12" t="s">
        <v>23</v>
      </c>
      <c r="B19" s="12" t="n">
        <f aca="false">SUM(B13:B18)</f>
        <v>512</v>
      </c>
      <c r="C19" s="13" t="n">
        <f aca="false">SUM(C13:C18)</f>
        <v>480744</v>
      </c>
      <c r="D19" s="13" t="n">
        <f aca="false">IF(B19=0,0,C19/B19)</f>
        <v>938.953125</v>
      </c>
      <c r="E19" s="12" t="n">
        <f aca="false">SUM(E13:E18)</f>
        <v>259</v>
      </c>
      <c r="F19" s="14" t="n">
        <f aca="false">IF(C19=0,0,E19/C19*1000)</f>
        <v>0.538748273509394</v>
      </c>
      <c r="G19" s="15" t="n">
        <f aca="false">IF(C19=0,0,SUMPRODUCT(C13:C18,G13:G18)/C19)</f>
        <v>0.00413941723661658</v>
      </c>
      <c r="H19" s="16" t="n">
        <f aca="false">IF(C19=0,0,SUMPRODUCT(C13:C18,H13:H18)/C19)</f>
        <v>0.629026488318107</v>
      </c>
    </row>
    <row r="21" customFormat="false" ht="15" hidden="false" customHeight="false" outlineLevel="0" collapsed="false">
      <c r="A21" s="3" t="s">
        <v>24</v>
      </c>
    </row>
    <row r="22" customFormat="false" ht="30" hidden="false" customHeight="true" outlineLevel="0" collapsed="false">
      <c r="A22" s="5" t="s">
        <v>9</v>
      </c>
      <c r="B22" s="5" t="s">
        <v>10</v>
      </c>
      <c r="C22" s="5" t="s">
        <v>11</v>
      </c>
      <c r="D22" s="5" t="s">
        <v>12</v>
      </c>
      <c r="E22" s="5" t="s">
        <v>13</v>
      </c>
      <c r="F22" s="5" t="s">
        <v>14</v>
      </c>
      <c r="G22" s="5" t="s">
        <v>15</v>
      </c>
      <c r="H22" s="5" t="s">
        <v>16</v>
      </c>
    </row>
    <row r="23" customFormat="false" ht="15" hidden="false" customHeight="false" outlineLevel="0" collapsed="false">
      <c r="A23" s="6" t="s">
        <v>17</v>
      </c>
      <c r="B23" s="11" t="n">
        <v>15</v>
      </c>
      <c r="C23" s="7" t="n">
        <v>14678</v>
      </c>
      <c r="D23" s="7" t="n">
        <f aca="false">IF(B23=0,0,C23/B23)</f>
        <v>978.533333333333</v>
      </c>
      <c r="E23" s="11" t="n">
        <v>9</v>
      </c>
      <c r="F23" s="8" t="n">
        <f aca="false">IF(C23=0,0,E23/C23*1000)</f>
        <v>0.613162556206568</v>
      </c>
      <c r="G23" s="9" t="n">
        <f aca="false">IF(C23=0,0,134/C23)</f>
        <v>0.00912930917018667</v>
      </c>
      <c r="H23" s="10" t="n">
        <v>0.622</v>
      </c>
    </row>
    <row r="24" customFormat="false" ht="15" hidden="false" customHeight="false" outlineLevel="0" collapsed="false">
      <c r="A24" s="6" t="s">
        <v>18</v>
      </c>
      <c r="B24" s="11" t="n">
        <v>18</v>
      </c>
      <c r="C24" s="7" t="n">
        <v>13810</v>
      </c>
      <c r="D24" s="7" t="n">
        <f aca="false">IF(B24=0,0,C24/B24)</f>
        <v>767.222222222222</v>
      </c>
      <c r="E24" s="11" t="n">
        <v>15</v>
      </c>
      <c r="F24" s="8" t="n">
        <f aca="false">IF(C24=0,0,E24/C24*1000)</f>
        <v>1.08616944243302</v>
      </c>
      <c r="G24" s="9" t="n">
        <f aca="false">IF(C24=0,0,65/C24)</f>
        <v>0.00470673425054309</v>
      </c>
      <c r="H24" s="10" t="n">
        <v>0.47</v>
      </c>
    </row>
    <row r="25" customFormat="false" ht="15" hidden="false" customHeight="false" outlineLevel="0" collapsed="false">
      <c r="A25" s="6" t="s">
        <v>19</v>
      </c>
      <c r="B25" s="11" t="n">
        <v>15</v>
      </c>
      <c r="C25" s="7" t="n">
        <v>11475</v>
      </c>
      <c r="D25" s="7" t="n">
        <f aca="false">IF(B25=0,0,C25/B25)</f>
        <v>765</v>
      </c>
      <c r="E25" s="11" t="n">
        <v>15</v>
      </c>
      <c r="F25" s="8" t="n">
        <f aca="false">IF(C25=0,0,E25/C25*1000)</f>
        <v>1.30718954248366</v>
      </c>
      <c r="G25" s="9" t="n">
        <f aca="false">IF(C25=0,0,95/C25)</f>
        <v>0.00827886710239651</v>
      </c>
      <c r="H25" s="10" t="n">
        <v>0.5082</v>
      </c>
    </row>
    <row r="26" customFormat="false" ht="15" hidden="false" customHeight="false" outlineLevel="0" collapsed="false">
      <c r="A26" s="6" t="s">
        <v>20</v>
      </c>
      <c r="B26" s="11" t="n">
        <v>16</v>
      </c>
      <c r="C26" s="7" t="n">
        <v>16981</v>
      </c>
      <c r="D26" s="7" t="n">
        <f aca="false">IF(B26=0,0,C26/B26)</f>
        <v>1061.3125</v>
      </c>
      <c r="E26" s="11" t="n">
        <v>7</v>
      </c>
      <c r="F26" s="8" t="n">
        <f aca="false">IF(C26=0,0,E26/C26*1000)</f>
        <v>0.412225428419999</v>
      </c>
      <c r="G26" s="9" t="n">
        <f aca="false">IF(C26=0,0,41/C26)</f>
        <v>0.00241446322360285</v>
      </c>
      <c r="H26" s="10" t="n">
        <v>0.5861</v>
      </c>
    </row>
    <row r="27" customFormat="false" ht="15" hidden="false" customHeight="false" outlineLevel="0" collapsed="false">
      <c r="A27" s="6" t="s">
        <v>21</v>
      </c>
      <c r="B27" s="11" t="n">
        <v>8</v>
      </c>
      <c r="C27" s="7" t="n">
        <v>5536</v>
      </c>
      <c r="D27" s="7" t="n">
        <f aca="false">IF(B27=0,0,C27/B27)</f>
        <v>692</v>
      </c>
      <c r="E27" s="11" t="n">
        <v>3</v>
      </c>
      <c r="F27" s="8" t="n">
        <f aca="false">IF(C27=0,0,E27/C27*1000)</f>
        <v>0.541907514450867</v>
      </c>
      <c r="G27" s="9" t="n">
        <f aca="false">IF(C27=0,0,10/C27)</f>
        <v>0.00180635838150289</v>
      </c>
      <c r="H27" s="10" t="n">
        <v>0.4038</v>
      </c>
    </row>
    <row r="28" customFormat="false" ht="15" hidden="false" customHeight="false" outlineLevel="0" collapsed="false">
      <c r="A28" s="11" t="s">
        <v>22</v>
      </c>
      <c r="B28" s="11" t="n">
        <v>16</v>
      </c>
      <c r="C28" s="7" t="n">
        <v>11861</v>
      </c>
      <c r="D28" s="7" t="n">
        <f aca="false">IF(B28=0,0,C28/B28)</f>
        <v>741.3125</v>
      </c>
      <c r="E28" s="11" t="n">
        <v>3</v>
      </c>
      <c r="F28" s="8" t="n">
        <f aca="false">IF(C28=0,0,E28/C28*1000)</f>
        <v>0.252929769833909</v>
      </c>
      <c r="G28" s="9" t="n">
        <f aca="false">IF(C28=0,0,12/C28)</f>
        <v>0.00101171907933564</v>
      </c>
      <c r="H28" s="10" t="n">
        <v>0.3957</v>
      </c>
    </row>
    <row r="29" customFormat="false" ht="15" hidden="false" customHeight="false" outlineLevel="0" collapsed="false">
      <c r="A29" s="12" t="s">
        <v>23</v>
      </c>
      <c r="B29" s="12" t="n">
        <f aca="false">SUM(B23:B28)</f>
        <v>88</v>
      </c>
      <c r="C29" s="13" t="n">
        <f aca="false">SUM(C23:C28)</f>
        <v>74341</v>
      </c>
      <c r="D29" s="13" t="n">
        <f aca="false">IF(B29=0,0,C29/B29)</f>
        <v>844.784090909091</v>
      </c>
      <c r="E29" s="12" t="n">
        <f aca="false">SUM(E23:E28)</f>
        <v>52</v>
      </c>
      <c r="F29" s="14" t="n">
        <f aca="false">IF(C29=0,0,E29/C29*1000)</f>
        <v>0.69947942588881</v>
      </c>
      <c r="G29" s="17"/>
      <c r="H29" s="17"/>
    </row>
    <row r="31" customFormat="false" ht="15" hidden="false" customHeight="false" outlineLevel="0" collapsed="false">
      <c r="A31" s="3" t="s">
        <v>25</v>
      </c>
    </row>
    <row r="32" customFormat="false" ht="15" hidden="false" customHeight="false" outlineLevel="0" collapsed="false">
      <c r="A32" s="18" t="s">
        <v>26</v>
      </c>
      <c r="B32" s="19" t="n">
        <f aca="false">F19</f>
        <v>0.538748273509394</v>
      </c>
    </row>
    <row r="33" customFormat="false" ht="15" hidden="false" customHeight="false" outlineLevel="0" collapsed="false">
      <c r="A33" s="18" t="s">
        <v>27</v>
      </c>
      <c r="B33" s="19" t="n">
        <f aca="false">F29</f>
        <v>0.69947942588881</v>
      </c>
    </row>
    <row r="34" customFormat="false" ht="15" hidden="false" customHeight="false" outlineLevel="0" collapsed="false">
      <c r="A34" s="3" t="s">
        <v>28</v>
      </c>
      <c r="B34" s="20" t="n">
        <f aca="false">IF(B32=0,0,B33/B32-1)</f>
        <v>0.298341842160193</v>
      </c>
      <c r="C34" s="2" t="s">
        <v>29</v>
      </c>
    </row>
  </sheetData>
  <mergeCells count="5">
    <mergeCell ref="A5:H5"/>
    <mergeCell ref="A6:H6"/>
    <mergeCell ref="A7:H7"/>
    <mergeCell ref="A8:H8"/>
    <mergeCell ref="A9:H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10"/>
    <col collapsed="false" customWidth="true" hidden="false" outlineLevel="0" max="5" min="4" style="0" width="12"/>
    <col collapsed="false" customWidth="true" hidden="false" outlineLevel="0" max="6" min="6" style="0" width="10"/>
    <col collapsed="false" customWidth="true" hidden="false" outlineLevel="0" max="11" min="7" style="0" width="12"/>
    <col collapsed="false" customWidth="true" hidden="false" outlineLevel="0" max="13" min="12" style="0" width="14"/>
  </cols>
  <sheetData>
    <row r="1" customFormat="false" ht="16.15" hidden="false" customHeight="false" outlineLevel="0" collapsed="false">
      <c r="A1" s="21" t="s">
        <v>30</v>
      </c>
    </row>
    <row r="2" customFormat="false" ht="15" hidden="false" customHeight="false" outlineLevel="0" collapsed="false">
      <c r="A2" s="2" t="s">
        <v>31</v>
      </c>
    </row>
    <row r="4" customFormat="false" ht="30" hidden="false" customHeight="true" outlineLevel="0" collapsed="false">
      <c r="A4" s="22" t="s">
        <v>32</v>
      </c>
      <c r="B4" s="5" t="s">
        <v>33</v>
      </c>
      <c r="C4" s="5" t="s">
        <v>10</v>
      </c>
      <c r="D4" s="5" t="s">
        <v>11</v>
      </c>
      <c r="E4" s="5" t="s">
        <v>12</v>
      </c>
      <c r="F4" s="5" t="s">
        <v>13</v>
      </c>
      <c r="G4" s="5" t="s">
        <v>14</v>
      </c>
      <c r="H4" s="5" t="s">
        <v>15</v>
      </c>
      <c r="I4" s="5" t="s">
        <v>34</v>
      </c>
      <c r="J4" s="5" t="s">
        <v>35</v>
      </c>
      <c r="K4" s="5" t="s">
        <v>16</v>
      </c>
      <c r="L4" s="5" t="s">
        <v>36</v>
      </c>
      <c r="M4" s="5" t="s">
        <v>37</v>
      </c>
    </row>
    <row r="5" customFormat="false" ht="15" hidden="false" customHeight="false" outlineLevel="0" collapsed="false">
      <c r="A5" s="11" t="s">
        <v>38</v>
      </c>
      <c r="B5" s="6" t="s">
        <v>17</v>
      </c>
      <c r="C5" s="11" t="n">
        <v>157</v>
      </c>
      <c r="D5" s="7" t="n">
        <v>140584</v>
      </c>
      <c r="E5" s="7" t="n">
        <f aca="false">IF(C5=0,0,D5/C5)</f>
        <v>895.43949044586</v>
      </c>
      <c r="F5" s="11" t="n">
        <v>56</v>
      </c>
      <c r="G5" s="8" t="n">
        <f aca="false">IF(D5=0,0,F5/D5*1000)</f>
        <v>0.398338359984066</v>
      </c>
      <c r="H5" s="9" t="n">
        <f aca="false">IF(D5=0,0,713/D5)</f>
        <v>0.00507170090479713</v>
      </c>
      <c r="I5" s="23" t="n">
        <f aca="false">IF(D5=0,0,15/D5*1000)</f>
        <v>0.106697774995732</v>
      </c>
      <c r="J5" s="10" t="n">
        <v>0.07504</v>
      </c>
      <c r="K5" s="10" t="n">
        <v>0.8428</v>
      </c>
      <c r="L5" s="24" t="n">
        <v>0.652552204176334</v>
      </c>
      <c r="M5" s="25" t="n">
        <v>0.455022751137557</v>
      </c>
    </row>
    <row r="6" customFormat="false" ht="15" hidden="false" customHeight="false" outlineLevel="0" collapsed="false">
      <c r="A6" s="11" t="s">
        <v>39</v>
      </c>
      <c r="B6" s="6" t="s">
        <v>18</v>
      </c>
      <c r="C6" s="11" t="n">
        <v>159</v>
      </c>
      <c r="D6" s="7" t="n">
        <v>125946</v>
      </c>
      <c r="E6" s="7" t="n">
        <f aca="false">IF(C6=0,0,D6/C6)</f>
        <v>792.11320754717</v>
      </c>
      <c r="F6" s="11" t="n">
        <v>110</v>
      </c>
      <c r="G6" s="8" t="n">
        <f aca="false">IF(D6=0,0,F6/D6*1000)</f>
        <v>0.873390183094342</v>
      </c>
      <c r="H6" s="9" t="n">
        <f aca="false">IF(D6=0,0,570/D6)</f>
        <v>0.00452574913057977</v>
      </c>
      <c r="I6" s="23" t="n">
        <f aca="false">IF(D6=0,0,16/D6*1000)</f>
        <v>0.12703857208645</v>
      </c>
      <c r="J6" s="10" t="n">
        <v>0.01889</v>
      </c>
      <c r="K6" s="10" t="n">
        <v>0.5281</v>
      </c>
      <c r="L6" s="24" t="n">
        <v>0.824355439324597</v>
      </c>
      <c r="M6" s="25" t="n">
        <v>0.684657956296001</v>
      </c>
    </row>
    <row r="7" customFormat="false" ht="15" hidden="false" customHeight="false" outlineLevel="0" collapsed="false">
      <c r="A7" s="11" t="s">
        <v>40</v>
      </c>
      <c r="B7" s="6" t="s">
        <v>19</v>
      </c>
      <c r="C7" s="11" t="n">
        <v>54</v>
      </c>
      <c r="D7" s="7" t="n">
        <v>55398</v>
      </c>
      <c r="E7" s="7" t="n">
        <f aca="false">IF(C7=0,0,D7/C7)</f>
        <v>1025.88888888889</v>
      </c>
      <c r="F7" s="11" t="n">
        <v>29</v>
      </c>
      <c r="G7" s="8" t="n">
        <f aca="false">IF(D7=0,0,F7/D7*1000)</f>
        <v>0.523484602332214</v>
      </c>
      <c r="H7" s="9" t="n">
        <f aca="false">IF(D7=0,0,254/D7)</f>
        <v>0.00458500306870284</v>
      </c>
      <c r="I7" s="23" t="n">
        <f aca="false">IF(D7=0,0,3/D7*1000)</f>
        <v>0.0541535795516084</v>
      </c>
      <c r="J7" s="10" t="n">
        <v>0.03709</v>
      </c>
      <c r="K7" s="10" t="n">
        <v>0.5691</v>
      </c>
      <c r="L7" s="24" t="n">
        <v>0.580076992037125</v>
      </c>
      <c r="M7" s="25" t="n">
        <v>0.482174607479734</v>
      </c>
    </row>
    <row r="8" customFormat="false" ht="15" hidden="false" customHeight="false" outlineLevel="0" collapsed="false">
      <c r="A8" s="11" t="s">
        <v>41</v>
      </c>
      <c r="B8" s="6" t="s">
        <v>20</v>
      </c>
      <c r="C8" s="11" t="n">
        <v>43</v>
      </c>
      <c r="D8" s="7" t="n">
        <v>55530</v>
      </c>
      <c r="E8" s="7" t="n">
        <f aca="false">IF(C8=0,0,D8/C8)</f>
        <v>1291.39534883721</v>
      </c>
      <c r="F8" s="11" t="n">
        <v>36</v>
      </c>
      <c r="G8" s="8" t="n">
        <f aca="false">IF(D8=0,0,F8/D8*1000)</f>
        <v>0.648298217179903</v>
      </c>
      <c r="H8" s="9" t="n">
        <f aca="false">IF(D8=0,0,192/D8)</f>
        <v>0.00345759049162615</v>
      </c>
      <c r="I8" s="23" t="n">
        <f aca="false">IF(D8=0,0,8/D8*1000)</f>
        <v>0.144066270484423</v>
      </c>
      <c r="J8" s="10" t="n">
        <v>0.03548</v>
      </c>
      <c r="K8" s="10" t="n">
        <v>0.5828</v>
      </c>
      <c r="L8" s="25" t="n">
        <v>0.565530892124982</v>
      </c>
      <c r="M8" s="24" t="n">
        <v>0.678393177302903</v>
      </c>
    </row>
    <row r="9" customFormat="false" ht="15" hidden="false" customHeight="false" outlineLevel="0" collapsed="false">
      <c r="A9" s="11" t="s">
        <v>42</v>
      </c>
      <c r="B9" s="6" t="s">
        <v>21</v>
      </c>
      <c r="C9" s="11" t="n">
        <v>48</v>
      </c>
      <c r="D9" s="7" t="n">
        <v>55667</v>
      </c>
      <c r="E9" s="7" t="n">
        <f aca="false">IF(C9=0,0,D9/C9)</f>
        <v>1159.72916666667</v>
      </c>
      <c r="F9" s="11" t="n">
        <v>19</v>
      </c>
      <c r="G9" s="8" t="n">
        <f aca="false">IF(D9=0,0,F9/D9*1000)</f>
        <v>0.341315321465141</v>
      </c>
      <c r="H9" s="9" t="n">
        <f aca="false">IF(D9=0,0,159/D9)</f>
        <v>0.0028562703217346</v>
      </c>
      <c r="I9" s="23" t="n">
        <f aca="false">IF(D9=0,0,8/D9*1000)</f>
        <v>0.143711714301112</v>
      </c>
      <c r="J9" s="10" t="n">
        <v>0.03771</v>
      </c>
      <c r="K9" s="10" t="n">
        <v>0.5509</v>
      </c>
      <c r="L9" s="24" t="n">
        <v>0.406029538648937</v>
      </c>
      <c r="M9" s="25" t="n">
        <v>0.238630940205904</v>
      </c>
    </row>
    <row r="10" customFormat="false" ht="15" hidden="false" customHeight="false" outlineLevel="0" collapsed="false">
      <c r="A10" s="11" t="s">
        <v>43</v>
      </c>
      <c r="B10" s="11" t="s">
        <v>22</v>
      </c>
      <c r="C10" s="11" t="n">
        <v>51</v>
      </c>
      <c r="D10" s="7" t="n">
        <v>47619</v>
      </c>
      <c r="E10" s="7" t="n">
        <f aca="false">IF(C10=0,0,D10/C10)</f>
        <v>933.705882352941</v>
      </c>
      <c r="F10" s="11" t="n">
        <v>9</v>
      </c>
      <c r="G10" s="8" t="n">
        <f aca="false">IF(D10=0,0,F10/D10*1000)</f>
        <v>0.189000189000189</v>
      </c>
      <c r="H10" s="9" t="n">
        <f aca="false">IF(D10=0,0,102/D10)</f>
        <v>0.00214200214200214</v>
      </c>
      <c r="I10" s="23" t="n">
        <f aca="false">IF(D10=0,0,8/D10*1000)</f>
        <v>0.168000168000168</v>
      </c>
      <c r="J10" s="10" t="n">
        <v>0.08795</v>
      </c>
      <c r="K10" s="10" t="n">
        <v>0.4798</v>
      </c>
      <c r="L10" s="24" t="n">
        <v>0.201187003319586</v>
      </c>
      <c r="M10" s="25" t="n">
        <v>0.170435177820702</v>
      </c>
    </row>
    <row r="12" customFormat="false" ht="15" hidden="false" customHeight="false" outlineLevel="0" collapsed="false">
      <c r="A12" s="2" t="s">
        <v>44</v>
      </c>
    </row>
    <row r="14" customFormat="false" ht="15" hidden="false" customHeight="false" outlineLevel="0" collapsed="false">
      <c r="A14" s="3" t="s">
        <v>45</v>
      </c>
    </row>
    <row r="15" customFormat="false" ht="30" hidden="false" customHeight="true" outlineLevel="0" collapsed="false">
      <c r="A15" s="22" t="s">
        <v>32</v>
      </c>
      <c r="B15" s="5" t="s">
        <v>46</v>
      </c>
      <c r="C15" s="5" t="s">
        <v>10</v>
      </c>
      <c r="D15" s="5" t="s">
        <v>11</v>
      </c>
      <c r="E15" s="5" t="s">
        <v>13</v>
      </c>
      <c r="F15" s="5" t="s">
        <v>14</v>
      </c>
    </row>
    <row r="16" customFormat="false" ht="15" hidden="false" customHeight="false" outlineLevel="0" collapsed="false">
      <c r="A16" s="11" t="s">
        <v>43</v>
      </c>
      <c r="B16" s="11" t="s">
        <v>47</v>
      </c>
      <c r="C16" s="11" t="n">
        <v>3</v>
      </c>
      <c r="D16" s="7" t="n">
        <v>4155</v>
      </c>
      <c r="E16" s="11" t="n">
        <v>0</v>
      </c>
      <c r="F16" s="25" t="n">
        <f aca="false">IF(D16=0,0,E16/D16*1000)</f>
        <v>0</v>
      </c>
    </row>
    <row r="17" customFormat="false" ht="15" hidden="false" customHeight="false" outlineLevel="0" collapsed="false">
      <c r="A17" s="11" t="s">
        <v>43</v>
      </c>
      <c r="B17" s="11" t="s">
        <v>48</v>
      </c>
      <c r="C17" s="11" t="n">
        <v>10</v>
      </c>
      <c r="D17" s="7" t="n">
        <v>9826</v>
      </c>
      <c r="E17" s="11" t="n">
        <v>2</v>
      </c>
      <c r="F17" s="25" t="n">
        <f aca="false">IF(D17=0,0,E17/D17*1000)</f>
        <v>0.203541624262162</v>
      </c>
    </row>
    <row r="18" customFormat="false" ht="15" hidden="false" customHeight="false" outlineLevel="0" collapsed="false">
      <c r="A18" s="11" t="s">
        <v>43</v>
      </c>
      <c r="B18" s="11" t="s">
        <v>49</v>
      </c>
      <c r="C18" s="11" t="n">
        <v>3</v>
      </c>
      <c r="D18" s="7" t="n">
        <v>3586</v>
      </c>
      <c r="E18" s="11" t="n">
        <v>1</v>
      </c>
      <c r="F18" s="25" t="n">
        <f aca="false">IF(D18=0,0,E18/D18*1000)</f>
        <v>0.278862242052426</v>
      </c>
    </row>
    <row r="19" customFormat="false" ht="15" hidden="false" customHeight="false" outlineLevel="0" collapsed="false">
      <c r="A19" s="11" t="s">
        <v>43</v>
      </c>
      <c r="B19" s="11" t="s">
        <v>50</v>
      </c>
      <c r="C19" s="11" t="n">
        <v>13</v>
      </c>
      <c r="D19" s="7" t="n">
        <v>12459</v>
      </c>
      <c r="E19" s="11" t="n">
        <v>2</v>
      </c>
      <c r="F19" s="25" t="n">
        <f aca="false">IF(D19=0,0,E19/D19*1000)</f>
        <v>0.160526527008588</v>
      </c>
    </row>
    <row r="20" customFormat="false" ht="15" hidden="false" customHeight="false" outlineLevel="0" collapsed="false">
      <c r="A20" s="11" t="s">
        <v>43</v>
      </c>
      <c r="B20" s="11" t="s">
        <v>51</v>
      </c>
      <c r="C20" s="11" t="n">
        <v>3</v>
      </c>
      <c r="D20" s="7" t="n">
        <v>1806</v>
      </c>
      <c r="E20" s="11" t="n">
        <v>0</v>
      </c>
      <c r="F20" s="25" t="n">
        <f aca="false">IF(D20=0,0,E20/D20*1000)</f>
        <v>0</v>
      </c>
    </row>
    <row r="21" customFormat="false" ht="15" hidden="false" customHeight="false" outlineLevel="0" collapsed="false">
      <c r="A21" s="11" t="s">
        <v>43</v>
      </c>
      <c r="B21" s="11" t="s">
        <v>52</v>
      </c>
      <c r="C21" s="11" t="n">
        <v>7</v>
      </c>
      <c r="D21" s="7" t="n">
        <v>3430</v>
      </c>
      <c r="E21" s="11" t="n">
        <v>0</v>
      </c>
      <c r="F21" s="25" t="n">
        <f aca="false">IF(D21=0,0,E21/D21*1000)</f>
        <v>0</v>
      </c>
    </row>
    <row r="22" customFormat="false" ht="15" hidden="false" customHeight="false" outlineLevel="0" collapsed="false">
      <c r="A22" s="11" t="s">
        <v>43</v>
      </c>
      <c r="B22" s="11" t="s">
        <v>53</v>
      </c>
      <c r="C22" s="11" t="n">
        <v>4</v>
      </c>
      <c r="D22" s="7" t="n">
        <v>2948</v>
      </c>
      <c r="E22" s="11" t="n">
        <v>1</v>
      </c>
      <c r="F22" s="25" t="n">
        <f aca="false">IF(D22=0,0,E22/D22*1000)</f>
        <v>0.33921302578019</v>
      </c>
    </row>
    <row r="23" customFormat="false" ht="15" hidden="false" customHeight="false" outlineLevel="0" collapsed="false">
      <c r="A23" s="11" t="s">
        <v>54</v>
      </c>
      <c r="B23" s="11" t="s">
        <v>50</v>
      </c>
      <c r="C23" s="11" t="n">
        <v>5</v>
      </c>
      <c r="D23" s="7" t="n">
        <v>2556</v>
      </c>
      <c r="E23" s="11" t="n">
        <v>0</v>
      </c>
      <c r="F23" s="25" t="n">
        <f aca="false">IF(D23=0,0,E23/D23*1000)</f>
        <v>0</v>
      </c>
    </row>
    <row r="24" customFormat="false" ht="15" hidden="false" customHeight="false" outlineLevel="0" collapsed="false">
      <c r="A24" s="11" t="s">
        <v>55</v>
      </c>
      <c r="B24" s="11" t="s">
        <v>48</v>
      </c>
      <c r="C24" s="11" t="n">
        <v>3</v>
      </c>
      <c r="D24" s="7" t="n">
        <v>16975</v>
      </c>
      <c r="E24" s="11" t="n">
        <v>4</v>
      </c>
      <c r="F24" s="25" t="n">
        <f aca="false">IF(D24=0,0,E24/D24*1000)</f>
        <v>0.235640648011782</v>
      </c>
    </row>
    <row r="25" customFormat="false" ht="15" hidden="false" customHeight="false" outlineLevel="0" collapsed="false">
      <c r="A25" s="11" t="s">
        <v>55</v>
      </c>
      <c r="B25" s="11" t="s">
        <v>56</v>
      </c>
      <c r="C25" s="11" t="n">
        <v>3</v>
      </c>
      <c r="D25" s="7" t="n">
        <v>1610</v>
      </c>
      <c r="E25" s="11" t="n">
        <v>0</v>
      </c>
      <c r="F25" s="25" t="n">
        <f aca="false">IF(D25=0,0,E25/D25*1000)</f>
        <v>0</v>
      </c>
    </row>
    <row r="26" customFormat="false" ht="15" hidden="false" customHeight="false" outlineLevel="0" collapsed="false">
      <c r="A26" s="11" t="s">
        <v>57</v>
      </c>
      <c r="B26" s="11" t="s">
        <v>58</v>
      </c>
      <c r="C26" s="11" t="n">
        <v>9</v>
      </c>
      <c r="D26" s="7" t="n">
        <v>8819</v>
      </c>
      <c r="E26" s="11" t="n">
        <v>3</v>
      </c>
      <c r="F26" s="25" t="n">
        <f aca="false">IF(D26=0,0,E26/D26*1000)</f>
        <v>0.340174622973126</v>
      </c>
    </row>
    <row r="27" customFormat="false" ht="15" hidden="false" customHeight="false" outlineLevel="0" collapsed="false">
      <c r="A27" s="11" t="s">
        <v>57</v>
      </c>
      <c r="B27" s="11" t="s">
        <v>56</v>
      </c>
      <c r="C27" s="11" t="n">
        <v>9</v>
      </c>
      <c r="D27" s="7" t="n">
        <v>7929</v>
      </c>
      <c r="E27" s="11" t="n">
        <v>1</v>
      </c>
      <c r="F27" s="25" t="n">
        <f aca="false">IF(D27=0,0,E27/D27*1000)</f>
        <v>0.126119308866187</v>
      </c>
    </row>
    <row r="28" customFormat="false" ht="15" hidden="false" customHeight="false" outlineLevel="0" collapsed="false">
      <c r="A28" s="11" t="s">
        <v>57</v>
      </c>
      <c r="B28" s="11" t="s">
        <v>59</v>
      </c>
      <c r="C28" s="11" t="n">
        <v>5</v>
      </c>
      <c r="D28" s="7" t="n">
        <v>5759</v>
      </c>
      <c r="E28" s="11" t="n">
        <v>0</v>
      </c>
      <c r="F28" s="25" t="n">
        <f aca="false">IF(D28=0,0,E28/D28*1000)</f>
        <v>0</v>
      </c>
    </row>
    <row r="29" customFormat="false" ht="15" hidden="false" customHeight="false" outlineLevel="0" collapsed="false">
      <c r="A29" s="11" t="s">
        <v>60</v>
      </c>
      <c r="B29" s="11" t="s">
        <v>61</v>
      </c>
      <c r="C29" s="11" t="n">
        <v>3</v>
      </c>
      <c r="D29" s="7" t="n">
        <v>4586</v>
      </c>
      <c r="E29" s="11" t="n">
        <v>0</v>
      </c>
      <c r="F29" s="25" t="n">
        <f aca="false">IF(D29=0,0,E29/D29*1000)</f>
        <v>0</v>
      </c>
    </row>
    <row r="30" customFormat="false" ht="15" hidden="false" customHeight="false" outlineLevel="0" collapsed="false">
      <c r="A30" s="11" t="s">
        <v>60</v>
      </c>
      <c r="B30" s="11" t="s">
        <v>48</v>
      </c>
      <c r="C30" s="11" t="n">
        <v>3</v>
      </c>
      <c r="D30" s="7" t="n">
        <v>15141</v>
      </c>
      <c r="E30" s="11" t="n">
        <v>0</v>
      </c>
      <c r="F30" s="25" t="n">
        <f aca="false">IF(D30=0,0,E30/D30*1000)</f>
        <v>0</v>
      </c>
    </row>
    <row r="31" customFormat="false" ht="15" hidden="false" customHeight="false" outlineLevel="0" collapsed="false">
      <c r="A31" s="11" t="s">
        <v>41</v>
      </c>
      <c r="B31" s="11" t="s">
        <v>62</v>
      </c>
      <c r="C31" s="11" t="n">
        <v>4</v>
      </c>
      <c r="D31" s="7" t="n">
        <v>3377</v>
      </c>
      <c r="E31" s="11" t="n">
        <v>0</v>
      </c>
      <c r="F31" s="25" t="n">
        <f aca="false">IF(D31=0,0,E31/D31*1000)</f>
        <v>0</v>
      </c>
    </row>
    <row r="32" customFormat="false" ht="15" hidden="false" customHeight="false" outlineLevel="0" collapsed="false">
      <c r="A32" s="11" t="s">
        <v>41</v>
      </c>
      <c r="B32" s="11" t="s">
        <v>58</v>
      </c>
      <c r="C32" s="11" t="n">
        <v>7</v>
      </c>
      <c r="D32" s="7" t="n">
        <v>7929</v>
      </c>
      <c r="E32" s="11" t="n">
        <v>3</v>
      </c>
      <c r="F32" s="25" t="n">
        <f aca="false">IF(D32=0,0,E32/D32*1000)</f>
        <v>0.378357926598562</v>
      </c>
    </row>
    <row r="33" customFormat="false" ht="15" hidden="false" customHeight="false" outlineLevel="0" collapsed="false">
      <c r="A33" s="11" t="s">
        <v>41</v>
      </c>
      <c r="B33" s="11" t="s">
        <v>49</v>
      </c>
      <c r="C33" s="11" t="n">
        <v>15</v>
      </c>
      <c r="D33" s="7" t="n">
        <v>25508</v>
      </c>
      <c r="E33" s="11" t="n">
        <v>21</v>
      </c>
      <c r="F33" s="25" t="n">
        <f aca="false">IF(D33=0,0,E33/D33*1000)</f>
        <v>0.823271130625686</v>
      </c>
    </row>
    <row r="34" customFormat="false" ht="15" hidden="false" customHeight="false" outlineLevel="0" collapsed="false">
      <c r="A34" s="11" t="s">
        <v>41</v>
      </c>
      <c r="B34" s="11" t="s">
        <v>51</v>
      </c>
      <c r="C34" s="11" t="n">
        <v>4</v>
      </c>
      <c r="D34" s="7" t="n">
        <v>3320</v>
      </c>
      <c r="E34" s="11" t="n">
        <v>1</v>
      </c>
      <c r="F34" s="25" t="n">
        <f aca="false">IF(D34=0,0,E34/D34*1000)</f>
        <v>0.301204819277108</v>
      </c>
    </row>
    <row r="35" customFormat="false" ht="15" hidden="false" customHeight="false" outlineLevel="0" collapsed="false">
      <c r="A35" s="11" t="s">
        <v>41</v>
      </c>
      <c r="B35" s="11" t="s">
        <v>59</v>
      </c>
      <c r="C35" s="11" t="n">
        <v>4</v>
      </c>
      <c r="D35" s="7" t="n">
        <v>4277</v>
      </c>
      <c r="E35" s="11" t="n">
        <v>1</v>
      </c>
      <c r="F35" s="25" t="n">
        <f aca="false">IF(D35=0,0,E35/D35*1000)</f>
        <v>0.233808744447042</v>
      </c>
    </row>
    <row r="36" customFormat="false" ht="15" hidden="false" customHeight="false" outlineLevel="0" collapsed="false">
      <c r="A36" s="11" t="s">
        <v>38</v>
      </c>
      <c r="B36" s="11" t="s">
        <v>48</v>
      </c>
      <c r="C36" s="11" t="n">
        <v>6</v>
      </c>
      <c r="D36" s="7" t="n">
        <v>5553</v>
      </c>
      <c r="E36" s="11" t="n">
        <v>1</v>
      </c>
      <c r="F36" s="25" t="n">
        <f aca="false">IF(D36=0,0,E36/D36*1000)</f>
        <v>0.180082838105529</v>
      </c>
    </row>
    <row r="37" customFormat="false" ht="15" hidden="false" customHeight="false" outlineLevel="0" collapsed="false">
      <c r="A37" s="11" t="s">
        <v>38</v>
      </c>
      <c r="B37" s="11" t="s">
        <v>62</v>
      </c>
      <c r="C37" s="11" t="n">
        <v>4</v>
      </c>
      <c r="D37" s="7" t="n">
        <v>3215</v>
      </c>
      <c r="E37" s="11" t="n">
        <v>1</v>
      </c>
      <c r="F37" s="25" t="n">
        <f aca="false">IF(D37=0,0,E37/D37*1000)</f>
        <v>0.31104199066874</v>
      </c>
    </row>
    <row r="38" customFormat="false" ht="15" hidden="false" customHeight="false" outlineLevel="0" collapsed="false">
      <c r="A38" s="11" t="s">
        <v>38</v>
      </c>
      <c r="B38" s="11" t="s">
        <v>49</v>
      </c>
      <c r="C38" s="11" t="n">
        <v>14</v>
      </c>
      <c r="D38" s="7" t="n">
        <v>12159</v>
      </c>
      <c r="E38" s="11" t="n">
        <v>15</v>
      </c>
      <c r="F38" s="25" t="n">
        <f aca="false">IF(D38=0,0,E38/D38*1000)</f>
        <v>1.23365408339502</v>
      </c>
    </row>
    <row r="39" customFormat="false" ht="15" hidden="false" customHeight="false" outlineLevel="0" collapsed="false">
      <c r="A39" s="11" t="s">
        <v>38</v>
      </c>
      <c r="B39" s="11" t="s">
        <v>50</v>
      </c>
      <c r="C39" s="11" t="n">
        <v>6</v>
      </c>
      <c r="D39" s="7" t="n">
        <v>4382</v>
      </c>
      <c r="E39" s="11" t="n">
        <v>1</v>
      </c>
      <c r="F39" s="25" t="n">
        <f aca="false">IF(D39=0,0,E39/D39*1000)</f>
        <v>0.228206298493838</v>
      </c>
    </row>
    <row r="40" customFormat="false" ht="15" hidden="false" customHeight="false" outlineLevel="0" collapsed="false">
      <c r="A40" s="11" t="s">
        <v>38</v>
      </c>
      <c r="B40" s="11" t="s">
        <v>53</v>
      </c>
      <c r="C40" s="11" t="n">
        <v>3</v>
      </c>
      <c r="D40" s="7" t="n">
        <v>3198</v>
      </c>
      <c r="E40" s="11" t="n">
        <v>1</v>
      </c>
      <c r="F40" s="25" t="n">
        <f aca="false">IF(D40=0,0,E40/D40*1000)</f>
        <v>0.312695434646654</v>
      </c>
    </row>
    <row r="41" customFormat="false" ht="15" hidden="false" customHeight="false" outlineLevel="0" collapsed="false">
      <c r="A41" s="11" t="s">
        <v>63</v>
      </c>
      <c r="B41" s="11" t="s">
        <v>51</v>
      </c>
      <c r="C41" s="11" t="n">
        <v>6</v>
      </c>
      <c r="D41" s="7" t="n">
        <v>4147</v>
      </c>
      <c r="E41" s="11" t="n">
        <v>0</v>
      </c>
      <c r="F41" s="25" t="n">
        <f aca="false">IF(D41=0,0,E41/D41*1000)</f>
        <v>0</v>
      </c>
    </row>
    <row r="42" customFormat="false" ht="15" hidden="false" customHeight="false" outlineLevel="0" collapsed="false">
      <c r="A42" s="11" t="s">
        <v>42</v>
      </c>
      <c r="B42" s="11" t="s">
        <v>48</v>
      </c>
      <c r="C42" s="11" t="n">
        <v>4</v>
      </c>
      <c r="D42" s="7" t="n">
        <v>3715</v>
      </c>
      <c r="E42" s="11" t="n">
        <v>1</v>
      </c>
      <c r="F42" s="25" t="n">
        <f aca="false">IF(D42=0,0,E42/D42*1000)</f>
        <v>0.269179004037685</v>
      </c>
    </row>
    <row r="43" customFormat="false" ht="15" hidden="false" customHeight="false" outlineLevel="0" collapsed="false">
      <c r="A43" s="11" t="s">
        <v>42</v>
      </c>
      <c r="B43" s="11" t="s">
        <v>64</v>
      </c>
      <c r="C43" s="11" t="n">
        <v>4</v>
      </c>
      <c r="D43" s="7" t="n">
        <v>3379</v>
      </c>
      <c r="E43" s="11" t="n">
        <v>1</v>
      </c>
      <c r="F43" s="25" t="n">
        <f aca="false">IF(D43=0,0,E43/D43*1000)</f>
        <v>0.295945546019532</v>
      </c>
    </row>
    <row r="44" customFormat="false" ht="15" hidden="false" customHeight="false" outlineLevel="0" collapsed="false">
      <c r="A44" s="11" t="s">
        <v>42</v>
      </c>
      <c r="B44" s="11" t="s">
        <v>49</v>
      </c>
      <c r="C44" s="11" t="n">
        <v>12</v>
      </c>
      <c r="D44" s="7" t="n">
        <v>10883</v>
      </c>
      <c r="E44" s="11" t="n">
        <v>4</v>
      </c>
      <c r="F44" s="25" t="n">
        <f aca="false">IF(D44=0,0,E44/D44*1000)</f>
        <v>0.367545713498116</v>
      </c>
    </row>
    <row r="45" customFormat="false" ht="15" hidden="false" customHeight="false" outlineLevel="0" collapsed="false">
      <c r="A45" s="11" t="s">
        <v>42</v>
      </c>
      <c r="B45" s="11" t="s">
        <v>50</v>
      </c>
      <c r="C45" s="11" t="n">
        <v>4</v>
      </c>
      <c r="D45" s="7" t="n">
        <v>5487</v>
      </c>
      <c r="E45" s="11" t="n">
        <v>0</v>
      </c>
      <c r="F45" s="25" t="n">
        <f aca="false">IF(D45=0,0,E45/D45*1000)</f>
        <v>0</v>
      </c>
    </row>
    <row r="46" customFormat="false" ht="15" hidden="false" customHeight="false" outlineLevel="0" collapsed="false">
      <c r="A46" s="11" t="s">
        <v>39</v>
      </c>
      <c r="B46" s="11" t="s">
        <v>47</v>
      </c>
      <c r="C46" s="11" t="n">
        <v>8</v>
      </c>
      <c r="D46" s="7" t="n">
        <v>7703</v>
      </c>
      <c r="E46" s="11" t="n">
        <v>5</v>
      </c>
      <c r="F46" s="25" t="n">
        <f aca="false">IF(D46=0,0,E46/D46*1000)</f>
        <v>0.649097754121771</v>
      </c>
    </row>
    <row r="47" customFormat="false" ht="15" hidden="false" customHeight="false" outlineLevel="0" collapsed="false">
      <c r="A47" s="11" t="s">
        <v>39</v>
      </c>
      <c r="B47" s="11" t="s">
        <v>62</v>
      </c>
      <c r="C47" s="11" t="n">
        <v>9</v>
      </c>
      <c r="D47" s="7" t="n">
        <v>7055</v>
      </c>
      <c r="E47" s="11" t="n">
        <v>4</v>
      </c>
      <c r="F47" s="25" t="n">
        <f aca="false">IF(D47=0,0,E47/D47*1000)</f>
        <v>0.566973777462792</v>
      </c>
    </row>
    <row r="48" customFormat="false" ht="15" hidden="false" customHeight="false" outlineLevel="0" collapsed="false">
      <c r="A48" s="11" t="s">
        <v>39</v>
      </c>
      <c r="B48" s="11" t="s">
        <v>49</v>
      </c>
      <c r="C48" s="11" t="n">
        <v>4</v>
      </c>
      <c r="D48" s="7" t="n">
        <v>3785</v>
      </c>
      <c r="E48" s="11" t="n">
        <v>5</v>
      </c>
      <c r="F48" s="25" t="n">
        <f aca="false">IF(D48=0,0,E48/D48*1000)</f>
        <v>1.32100396301189</v>
      </c>
    </row>
    <row r="49" customFormat="false" ht="15" hidden="false" customHeight="false" outlineLevel="0" collapsed="false">
      <c r="A49" s="11" t="s">
        <v>39</v>
      </c>
      <c r="B49" s="11" t="s">
        <v>50</v>
      </c>
      <c r="C49" s="11" t="n">
        <v>3</v>
      </c>
      <c r="D49" s="7" t="n">
        <v>2769</v>
      </c>
      <c r="E49" s="11" t="n">
        <v>2</v>
      </c>
      <c r="F49" s="25" t="n">
        <f aca="false">IF(D49=0,0,E49/D49*1000)</f>
        <v>0.722282412423258</v>
      </c>
    </row>
    <row r="50" customFormat="false" ht="15" hidden="false" customHeight="false" outlineLevel="0" collapsed="false">
      <c r="A50" s="11" t="s">
        <v>39</v>
      </c>
      <c r="B50" s="11" t="s">
        <v>51</v>
      </c>
      <c r="C50" s="11" t="n">
        <v>17</v>
      </c>
      <c r="D50" s="7" t="n">
        <v>9227</v>
      </c>
      <c r="E50" s="11" t="n">
        <v>11</v>
      </c>
      <c r="F50" s="25" t="n">
        <f aca="false">IF(D50=0,0,E50/D50*1000)</f>
        <v>1.19215346266392</v>
      </c>
    </row>
    <row r="51" customFormat="false" ht="15" hidden="false" customHeight="false" outlineLevel="0" collapsed="false">
      <c r="A51" s="11" t="s">
        <v>40</v>
      </c>
      <c r="B51" s="11" t="s">
        <v>48</v>
      </c>
      <c r="C51" s="11" t="n">
        <v>11</v>
      </c>
      <c r="D51" s="7" t="n">
        <v>9141</v>
      </c>
      <c r="E51" s="11" t="n">
        <v>11</v>
      </c>
      <c r="F51" s="25" t="n">
        <f aca="false">IF(D51=0,0,E51/D51*1000)</f>
        <v>1.20336943441637</v>
      </c>
    </row>
    <row r="52" customFormat="false" ht="15" hidden="false" customHeight="false" outlineLevel="0" collapsed="false">
      <c r="A52" s="11" t="s">
        <v>40</v>
      </c>
      <c r="B52" s="11" t="s">
        <v>65</v>
      </c>
      <c r="C52" s="11" t="n">
        <v>3</v>
      </c>
      <c r="D52" s="7" t="n">
        <v>1213</v>
      </c>
      <c r="E52" s="11" t="n">
        <v>2</v>
      </c>
      <c r="F52" s="25" t="n">
        <f aca="false">IF(D52=0,0,E52/D52*1000)</f>
        <v>1.64880461665293</v>
      </c>
    </row>
    <row r="53" customFormat="false" ht="15" hidden="false" customHeight="false" outlineLevel="0" collapsed="false">
      <c r="A53" s="11" t="s">
        <v>40</v>
      </c>
      <c r="B53" s="11" t="s">
        <v>49</v>
      </c>
      <c r="C53" s="11" t="n">
        <v>4</v>
      </c>
      <c r="D53" s="7" t="n">
        <v>3514</v>
      </c>
      <c r="E53" s="11" t="n">
        <v>2</v>
      </c>
      <c r="F53" s="25" t="n">
        <f aca="false">IF(D53=0,0,E53/D53*1000)</f>
        <v>0.569151963574274</v>
      </c>
    </row>
    <row r="54" customFormat="false" ht="15" hidden="false" customHeight="false" outlineLevel="0" collapsed="false">
      <c r="A54" s="11" t="s">
        <v>40</v>
      </c>
      <c r="B54" s="11" t="s">
        <v>50</v>
      </c>
      <c r="C54" s="11" t="n">
        <v>3</v>
      </c>
      <c r="D54" s="7" t="n">
        <v>1746</v>
      </c>
      <c r="E54" s="11" t="n">
        <v>1</v>
      </c>
      <c r="F54" s="25" t="n">
        <f aca="false">IF(D54=0,0,E54/D54*1000)</f>
        <v>0.572737686139748</v>
      </c>
    </row>
    <row r="55" customFormat="false" ht="15" hidden="false" customHeight="false" outlineLevel="0" collapsed="false">
      <c r="A55" s="11" t="s">
        <v>40</v>
      </c>
      <c r="B55" s="11" t="s">
        <v>51</v>
      </c>
      <c r="C55" s="11" t="n">
        <v>10</v>
      </c>
      <c r="D55" s="7" t="n">
        <v>9972</v>
      </c>
      <c r="E55" s="11" t="n">
        <v>5</v>
      </c>
      <c r="F55" s="25" t="n">
        <f aca="false">IF(D55=0,0,E55/D55*1000)</f>
        <v>0.501403931006819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3" min="3" style="0" width="8"/>
    <col collapsed="false" customWidth="true" hidden="false" outlineLevel="0" max="4" min="4" style="0" width="56"/>
    <col collapsed="false" customWidth="true" hidden="false" outlineLevel="0" max="5" min="5" style="0" width="11"/>
    <col collapsed="false" customWidth="true" hidden="false" outlineLevel="0" max="7" min="6" style="0" width="10"/>
    <col collapsed="false" customWidth="true" hidden="false" outlineLevel="0" max="8" min="8" style="0" width="9"/>
    <col collapsed="false" customWidth="true" hidden="false" outlineLevel="0" max="9" min="9" style="0" width="12"/>
    <col collapsed="false" customWidth="true" hidden="false" outlineLevel="0" max="12" min="10" style="0" width="11"/>
  </cols>
  <sheetData>
    <row r="1" customFormat="false" ht="20.1" hidden="false" customHeight="false" outlineLevel="0" collapsed="false">
      <c r="A1" s="21" t="s">
        <v>66</v>
      </c>
    </row>
    <row r="2" customFormat="false" ht="15" hidden="false" customHeight="false" outlineLevel="0" collapsed="false">
      <c r="A2" s="26" t="s">
        <v>67</v>
      </c>
    </row>
    <row r="4" customFormat="false" ht="30" hidden="false" customHeight="true" outlineLevel="0" collapsed="false">
      <c r="A4" s="22" t="s">
        <v>32</v>
      </c>
      <c r="B4" s="5" t="s">
        <v>68</v>
      </c>
      <c r="C4" s="5" t="s">
        <v>69</v>
      </c>
      <c r="D4" s="5" t="s">
        <v>70</v>
      </c>
      <c r="E4" s="5" t="s">
        <v>71</v>
      </c>
      <c r="F4" s="5" t="s">
        <v>72</v>
      </c>
      <c r="G4" s="5" t="s">
        <v>73</v>
      </c>
      <c r="H4" s="5" t="s">
        <v>13</v>
      </c>
      <c r="I4" s="5" t="s">
        <v>14</v>
      </c>
      <c r="J4" s="5" t="s">
        <v>15</v>
      </c>
      <c r="K4" s="22" t="s">
        <v>74</v>
      </c>
      <c r="L4" s="5" t="s">
        <v>75</v>
      </c>
    </row>
    <row r="5" customFormat="false" ht="15" hidden="false" customHeight="false" outlineLevel="0" collapsed="false">
      <c r="A5" s="11" t="s">
        <v>60</v>
      </c>
      <c r="B5" s="11" t="s">
        <v>76</v>
      </c>
      <c r="C5" s="11" t="s">
        <v>77</v>
      </c>
      <c r="D5" s="6" t="s">
        <v>78</v>
      </c>
      <c r="E5" s="7" t="n">
        <v>6382</v>
      </c>
      <c r="F5" s="11" t="n">
        <v>6</v>
      </c>
      <c r="G5" s="11" t="n">
        <v>0</v>
      </c>
      <c r="H5" s="11" t="n">
        <v>1</v>
      </c>
      <c r="I5" s="25" t="n">
        <f aca="false">IF(E5=0,0,H5/E5*1000)</f>
        <v>0.156690692572861</v>
      </c>
      <c r="J5" s="9" t="n">
        <f aca="false">IF(E5=0,0,F5/E5)</f>
        <v>0.000940144155437167</v>
      </c>
      <c r="K5" s="10" t="n">
        <v>0</v>
      </c>
      <c r="L5" s="10" t="n">
        <v>0.7326</v>
      </c>
    </row>
    <row r="6" customFormat="false" ht="15" hidden="false" customHeight="false" outlineLevel="0" collapsed="false">
      <c r="A6" s="11" t="s">
        <v>60</v>
      </c>
      <c r="B6" s="11" t="s">
        <v>79</v>
      </c>
      <c r="C6" s="11" t="s">
        <v>80</v>
      </c>
      <c r="D6" s="6" t="s">
        <v>81</v>
      </c>
      <c r="E6" s="7" t="n">
        <v>1930</v>
      </c>
      <c r="F6" s="11" t="n">
        <v>0</v>
      </c>
      <c r="G6" s="11" t="n">
        <v>0</v>
      </c>
      <c r="H6" s="27" t="n">
        <v>0</v>
      </c>
      <c r="I6" s="25" t="n">
        <f aca="false">IF(E6=0,0,H6/E6*1000)</f>
        <v>0</v>
      </c>
      <c r="J6" s="9" t="n">
        <f aca="false">IF(E6=0,0,F6/E6)</f>
        <v>0</v>
      </c>
      <c r="K6" s="10" t="n">
        <v>0.0909090909090909</v>
      </c>
      <c r="L6" s="10" t="n">
        <v>0.5112</v>
      </c>
    </row>
    <row r="7" customFormat="false" ht="15" hidden="false" customHeight="false" outlineLevel="0" collapsed="false">
      <c r="A7" s="11" t="s">
        <v>41</v>
      </c>
      <c r="B7" s="11" t="s">
        <v>82</v>
      </c>
      <c r="C7" s="11" t="s">
        <v>83</v>
      </c>
      <c r="D7" s="6" t="s">
        <v>84</v>
      </c>
      <c r="E7" s="7" t="n">
        <v>1789</v>
      </c>
      <c r="F7" s="11" t="n">
        <v>7</v>
      </c>
      <c r="G7" s="11" t="n">
        <v>1</v>
      </c>
      <c r="H7" s="11" t="n">
        <v>1</v>
      </c>
      <c r="I7" s="25" t="n">
        <f aca="false">IF(E7=0,0,H7/E7*1000)</f>
        <v>0.558971492453885</v>
      </c>
      <c r="J7" s="9" t="n">
        <f aca="false">IF(E7=0,0,F7/E7)</f>
        <v>0.00391280044717719</v>
      </c>
      <c r="K7" s="10" t="n">
        <v>0.025089605734767</v>
      </c>
      <c r="L7" s="10" t="n">
        <v>0.7385</v>
      </c>
    </row>
    <row r="8" customFormat="false" ht="15" hidden="false" customHeight="false" outlineLevel="0" collapsed="false">
      <c r="A8" s="11" t="s">
        <v>60</v>
      </c>
      <c r="B8" s="11" t="s">
        <v>85</v>
      </c>
      <c r="C8" s="11" t="s">
        <v>86</v>
      </c>
      <c r="D8" s="6" t="s">
        <v>87</v>
      </c>
      <c r="E8" s="7" t="n">
        <v>1349</v>
      </c>
      <c r="F8" s="11" t="n">
        <v>2</v>
      </c>
      <c r="G8" s="11" t="n">
        <v>0</v>
      </c>
      <c r="H8" s="27" t="n">
        <v>0</v>
      </c>
      <c r="I8" s="25" t="n">
        <f aca="false">IF(E8=0,0,H8/E8*1000)</f>
        <v>0</v>
      </c>
      <c r="J8" s="9" t="n">
        <f aca="false">IF(E8=0,0,F8/E8)</f>
        <v>0.00148257968865827</v>
      </c>
      <c r="K8" s="10" t="n">
        <v>0.375</v>
      </c>
      <c r="L8" s="10" t="n">
        <v>0.9744</v>
      </c>
    </row>
    <row r="9" customFormat="false" ht="15" hidden="false" customHeight="false" outlineLevel="0" collapsed="false">
      <c r="A9" s="11" t="s">
        <v>60</v>
      </c>
      <c r="B9" s="11" t="s">
        <v>76</v>
      </c>
      <c r="C9" s="11" t="s">
        <v>88</v>
      </c>
      <c r="D9" s="6" t="s">
        <v>89</v>
      </c>
      <c r="E9" s="7" t="n">
        <v>1307</v>
      </c>
      <c r="F9" s="11" t="n">
        <v>2</v>
      </c>
      <c r="G9" s="11" t="n">
        <v>0</v>
      </c>
      <c r="H9" s="27" t="n">
        <v>0</v>
      </c>
      <c r="I9" s="25" t="n">
        <f aca="false">IF(E9=0,0,H9/E9*1000)</f>
        <v>0</v>
      </c>
      <c r="J9" s="9" t="n">
        <f aca="false">IF(E9=0,0,F9/E9)</f>
        <v>0.00153022188217292</v>
      </c>
      <c r="K9" s="10" t="n">
        <v>0</v>
      </c>
      <c r="L9" s="10" t="n">
        <v>0.5851</v>
      </c>
    </row>
    <row r="10" customFormat="false" ht="15" hidden="false" customHeight="false" outlineLevel="0" collapsed="false">
      <c r="A10" s="11" t="s">
        <v>41</v>
      </c>
      <c r="B10" s="11" t="s">
        <v>79</v>
      </c>
      <c r="C10" s="11" t="s">
        <v>90</v>
      </c>
      <c r="D10" s="6" t="s">
        <v>91</v>
      </c>
      <c r="E10" s="7" t="n">
        <v>1266</v>
      </c>
      <c r="F10" s="11" t="n">
        <v>5</v>
      </c>
      <c r="G10" s="11" t="n">
        <v>1</v>
      </c>
      <c r="H10" s="27" t="n">
        <v>0</v>
      </c>
      <c r="I10" s="25" t="n">
        <f aca="false">IF(E10=0,0,H10/E10*1000)</f>
        <v>0</v>
      </c>
      <c r="J10" s="9" t="n">
        <f aca="false">IF(E10=0,0,F10/E10)</f>
        <v>0.00394944707740916</v>
      </c>
      <c r="K10" s="10" t="n">
        <v>0.0269360269360269</v>
      </c>
      <c r="L10" s="10" t="n">
        <v>0.8888</v>
      </c>
    </row>
    <row r="11" customFormat="false" ht="15" hidden="false" customHeight="false" outlineLevel="0" collapsed="false">
      <c r="A11" s="11" t="s">
        <v>55</v>
      </c>
      <c r="B11" s="11" t="s">
        <v>76</v>
      </c>
      <c r="C11" s="11" t="s">
        <v>92</v>
      </c>
      <c r="D11" s="6" t="s">
        <v>93</v>
      </c>
      <c r="E11" s="7" t="n">
        <v>1220</v>
      </c>
      <c r="F11" s="11" t="n">
        <v>1</v>
      </c>
      <c r="G11" s="11" t="n">
        <v>0</v>
      </c>
      <c r="H11" s="27" t="n">
        <v>0</v>
      </c>
      <c r="I11" s="25" t="n">
        <f aca="false">IF(E11=0,0,H11/E11*1000)</f>
        <v>0</v>
      </c>
      <c r="J11" s="9" t="n">
        <f aca="false">IF(E11=0,0,F11/E11)</f>
        <v>0.000819672131147541</v>
      </c>
      <c r="K11" s="10" t="n">
        <v>0.0157894736842105</v>
      </c>
      <c r="L11" s="10" t="n">
        <v>0.4953</v>
      </c>
    </row>
    <row r="12" customFormat="false" ht="15" hidden="false" customHeight="false" outlineLevel="0" collapsed="false">
      <c r="A12" s="11" t="s">
        <v>57</v>
      </c>
      <c r="B12" s="11" t="s">
        <v>79</v>
      </c>
      <c r="C12" s="11" t="s">
        <v>94</v>
      </c>
      <c r="D12" s="6" t="s">
        <v>95</v>
      </c>
      <c r="E12" s="7" t="n">
        <v>1206</v>
      </c>
      <c r="F12" s="11" t="n">
        <v>1</v>
      </c>
      <c r="G12" s="11" t="n">
        <v>0</v>
      </c>
      <c r="H12" s="27" t="n">
        <v>0</v>
      </c>
      <c r="I12" s="25" t="n">
        <f aca="false">IF(E12=0,0,H12/E12*1000)</f>
        <v>0</v>
      </c>
      <c r="J12" s="9" t="n">
        <f aca="false">IF(E12=0,0,F12/E12)</f>
        <v>0.000829187396351576</v>
      </c>
      <c r="K12" s="10" t="n">
        <v>0.0388349514563107</v>
      </c>
      <c r="L12" s="10" t="n">
        <v>0.3945</v>
      </c>
    </row>
    <row r="13" customFormat="false" ht="15" hidden="false" customHeight="false" outlineLevel="0" collapsed="false">
      <c r="A13" s="11" t="s">
        <v>41</v>
      </c>
      <c r="B13" s="11" t="s">
        <v>96</v>
      </c>
      <c r="C13" s="11" t="s">
        <v>97</v>
      </c>
      <c r="D13" s="11" t="s">
        <v>98</v>
      </c>
      <c r="E13" s="7" t="n">
        <v>1185</v>
      </c>
      <c r="F13" s="11" t="n">
        <v>1</v>
      </c>
      <c r="G13" s="11" t="n">
        <v>0</v>
      </c>
      <c r="H13" s="11" t="n">
        <v>2</v>
      </c>
      <c r="I13" s="24" t="n">
        <f aca="false">IF(E13=0,0,H13/E13*1000)</f>
        <v>1.68776371308017</v>
      </c>
      <c r="J13" s="9" t="n">
        <f aca="false">IF(E13=0,0,F13/E13)</f>
        <v>0.000843881856540084</v>
      </c>
      <c r="K13" s="10" t="n">
        <v>0</v>
      </c>
      <c r="L13" s="10" t="n">
        <v>0.8996</v>
      </c>
    </row>
    <row r="14" customFormat="false" ht="15" hidden="false" customHeight="false" outlineLevel="0" collapsed="false">
      <c r="A14" s="11" t="s">
        <v>54</v>
      </c>
      <c r="B14" s="11" t="s">
        <v>99</v>
      </c>
      <c r="C14" s="11" t="s">
        <v>100</v>
      </c>
      <c r="D14" s="6" t="s">
        <v>101</v>
      </c>
      <c r="E14" s="7" t="n">
        <v>1176</v>
      </c>
      <c r="F14" s="11" t="n">
        <v>3</v>
      </c>
      <c r="G14" s="11" t="n">
        <v>0</v>
      </c>
      <c r="H14" s="27" t="n">
        <v>0</v>
      </c>
      <c r="I14" s="25" t="n">
        <f aca="false">IF(E14=0,0,H14/E14*1000)</f>
        <v>0</v>
      </c>
      <c r="J14" s="9" t="n">
        <f aca="false">IF(E14=0,0,F14/E14)</f>
        <v>0.00255102040816327</v>
      </c>
      <c r="K14" s="10" t="n">
        <v>0</v>
      </c>
      <c r="L14" s="10" t="n">
        <v>0.881</v>
      </c>
    </row>
    <row r="15" customFormat="false" ht="15" hidden="false" customHeight="false" outlineLevel="0" collapsed="false">
      <c r="A15" s="11" t="s">
        <v>40</v>
      </c>
      <c r="B15" s="11" t="s">
        <v>102</v>
      </c>
      <c r="C15" s="11" t="s">
        <v>103</v>
      </c>
      <c r="D15" s="6" t="s">
        <v>104</v>
      </c>
      <c r="E15" s="7" t="n">
        <v>1173</v>
      </c>
      <c r="F15" s="11" t="n">
        <v>13</v>
      </c>
      <c r="G15" s="11" t="n">
        <v>0</v>
      </c>
      <c r="H15" s="11" t="n">
        <v>3</v>
      </c>
      <c r="I15" s="24" t="n">
        <f aca="false">IF(E15=0,0,H15/E15*1000)</f>
        <v>2.55754475703325</v>
      </c>
      <c r="J15" s="9" t="n">
        <f aca="false">IF(E15=0,0,F15/E15)</f>
        <v>0.0110826939471441</v>
      </c>
      <c r="K15" s="10" t="n">
        <v>0</v>
      </c>
      <c r="L15" s="10" t="n">
        <v>0.5157</v>
      </c>
    </row>
    <row r="16" customFormat="false" ht="15" hidden="false" customHeight="false" outlineLevel="0" collapsed="false">
      <c r="A16" s="11" t="s">
        <v>57</v>
      </c>
      <c r="B16" s="11" t="s">
        <v>79</v>
      </c>
      <c r="C16" s="11" t="s">
        <v>105</v>
      </c>
      <c r="D16" s="11" t="s">
        <v>106</v>
      </c>
      <c r="E16" s="7" t="n">
        <v>1172</v>
      </c>
      <c r="F16" s="11" t="n">
        <v>2</v>
      </c>
      <c r="G16" s="11" t="n">
        <v>0</v>
      </c>
      <c r="H16" s="27" t="n">
        <v>0</v>
      </c>
      <c r="I16" s="25" t="n">
        <f aca="false">IF(E16=0,0,H16/E16*1000)</f>
        <v>0</v>
      </c>
      <c r="J16" s="9" t="n">
        <f aca="false">IF(E16=0,0,F16/E16)</f>
        <v>0.00170648464163823</v>
      </c>
      <c r="K16" s="10" t="n">
        <v>0.0731707317073171</v>
      </c>
      <c r="L16" s="10" t="n">
        <v>0.5457</v>
      </c>
    </row>
    <row r="17" customFormat="false" ht="15" hidden="false" customHeight="false" outlineLevel="0" collapsed="false">
      <c r="A17" s="11" t="s">
        <v>41</v>
      </c>
      <c r="B17" s="11" t="s">
        <v>85</v>
      </c>
      <c r="C17" s="11" t="s">
        <v>83</v>
      </c>
      <c r="D17" s="6" t="s">
        <v>107</v>
      </c>
      <c r="E17" s="7" t="n">
        <v>1159</v>
      </c>
      <c r="F17" s="11" t="n">
        <v>5</v>
      </c>
      <c r="G17" s="11" t="n">
        <v>1</v>
      </c>
      <c r="H17" s="11" t="n">
        <v>1</v>
      </c>
      <c r="I17" s="25" t="n">
        <f aca="false">IF(E17=0,0,H17/E17*1000)</f>
        <v>0.862812769628991</v>
      </c>
      <c r="J17" s="9" t="n">
        <f aca="false">IF(E17=0,0,F17/E17)</f>
        <v>0.00431406384814495</v>
      </c>
      <c r="K17" s="10" t="n">
        <v>0.0153846153846154</v>
      </c>
      <c r="L17" s="10" t="n">
        <v>0.5448</v>
      </c>
    </row>
    <row r="18" customFormat="false" ht="15" hidden="false" customHeight="false" outlineLevel="0" collapsed="false">
      <c r="A18" s="11" t="s">
        <v>60</v>
      </c>
      <c r="B18" s="11" t="s">
        <v>79</v>
      </c>
      <c r="C18" s="11" t="s">
        <v>108</v>
      </c>
      <c r="D18" s="6" t="s">
        <v>109</v>
      </c>
      <c r="E18" s="7" t="n">
        <v>1142</v>
      </c>
      <c r="F18" s="11" t="n">
        <v>0</v>
      </c>
      <c r="G18" s="11" t="n">
        <v>0</v>
      </c>
      <c r="H18" s="27" t="n">
        <v>0</v>
      </c>
      <c r="I18" s="25" t="n">
        <f aca="false">IF(E18=0,0,H18/E18*1000)</f>
        <v>0</v>
      </c>
      <c r="J18" s="9" t="n">
        <f aca="false">IF(E18=0,0,F18/E18)</f>
        <v>0</v>
      </c>
      <c r="K18" s="10" t="n">
        <v>0</v>
      </c>
      <c r="L18" s="10" t="n">
        <v>0.5173</v>
      </c>
    </row>
    <row r="19" customFormat="false" ht="15" hidden="false" customHeight="false" outlineLevel="0" collapsed="false">
      <c r="A19" s="11" t="s">
        <v>38</v>
      </c>
      <c r="B19" s="11" t="s">
        <v>96</v>
      </c>
      <c r="C19" s="11" t="s">
        <v>110</v>
      </c>
      <c r="D19" s="6" t="s">
        <v>111</v>
      </c>
      <c r="E19" s="7" t="n">
        <v>1138</v>
      </c>
      <c r="F19" s="11" t="n">
        <v>15</v>
      </c>
      <c r="G19" s="11" t="n">
        <v>0</v>
      </c>
      <c r="H19" s="11" t="n">
        <v>2</v>
      </c>
      <c r="I19" s="24" t="n">
        <f aca="false">IF(E19=0,0,H19/E19*1000)</f>
        <v>1.75746924428823</v>
      </c>
      <c r="J19" s="9" t="n">
        <f aca="false">IF(E19=0,0,F19/E19)</f>
        <v>0.0131810193321617</v>
      </c>
      <c r="K19" s="10" t="n">
        <v>0</v>
      </c>
      <c r="L19" s="10" t="n">
        <v>0.3808</v>
      </c>
    </row>
    <row r="20" customFormat="false" ht="15" hidden="false" customHeight="false" outlineLevel="0" collapsed="false">
      <c r="A20" s="11" t="s">
        <v>43</v>
      </c>
      <c r="B20" s="11" t="s">
        <v>76</v>
      </c>
      <c r="C20" s="11" t="s">
        <v>112</v>
      </c>
      <c r="D20" s="11" t="s">
        <v>113</v>
      </c>
      <c r="E20" s="7" t="n">
        <v>1134</v>
      </c>
      <c r="F20" s="11" t="n">
        <v>2</v>
      </c>
      <c r="G20" s="11" t="n">
        <v>1</v>
      </c>
      <c r="H20" s="27" t="n">
        <v>0</v>
      </c>
      <c r="I20" s="25" t="n">
        <f aca="false">IF(E20=0,0,H20/E20*1000)</f>
        <v>0</v>
      </c>
      <c r="J20" s="9" t="n">
        <f aca="false">IF(E20=0,0,F20/E20)</f>
        <v>0.0017636684303351</v>
      </c>
      <c r="K20" s="10" t="n">
        <v>0</v>
      </c>
      <c r="L20" s="10" t="n">
        <v>0.4925</v>
      </c>
    </row>
    <row r="21" customFormat="false" ht="15" hidden="false" customHeight="false" outlineLevel="0" collapsed="false">
      <c r="A21" s="11" t="s">
        <v>38</v>
      </c>
      <c r="B21" s="11" t="s">
        <v>76</v>
      </c>
      <c r="C21" s="11" t="s">
        <v>83</v>
      </c>
      <c r="D21" s="6" t="s">
        <v>114</v>
      </c>
      <c r="E21" s="7" t="n">
        <v>1132</v>
      </c>
      <c r="F21" s="11" t="n">
        <v>5</v>
      </c>
      <c r="G21" s="11" t="n">
        <v>0</v>
      </c>
      <c r="H21" s="27" t="n">
        <v>0</v>
      </c>
      <c r="I21" s="25" t="n">
        <f aca="false">IF(E21=0,0,H21/E21*1000)</f>
        <v>0</v>
      </c>
      <c r="J21" s="9" t="n">
        <f aca="false">IF(E21=0,0,F21/E21)</f>
        <v>0.00441696113074205</v>
      </c>
      <c r="K21" s="10" t="n">
        <v>0</v>
      </c>
      <c r="L21" s="10" t="n">
        <v>1.2102</v>
      </c>
    </row>
    <row r="22" customFormat="false" ht="15" hidden="false" customHeight="false" outlineLevel="0" collapsed="false">
      <c r="A22" s="11" t="s">
        <v>60</v>
      </c>
      <c r="B22" s="11" t="s">
        <v>82</v>
      </c>
      <c r="C22" s="11" t="s">
        <v>115</v>
      </c>
      <c r="D22" s="11" t="s">
        <v>116</v>
      </c>
      <c r="E22" s="7" t="n">
        <v>1130</v>
      </c>
      <c r="F22" s="11" t="n">
        <v>2</v>
      </c>
      <c r="G22" s="11" t="n">
        <v>0</v>
      </c>
      <c r="H22" s="27" t="n">
        <v>0</v>
      </c>
      <c r="I22" s="25" t="n">
        <f aca="false">IF(E22=0,0,H22/E22*1000)</f>
        <v>0</v>
      </c>
      <c r="J22" s="9" t="n">
        <f aca="false">IF(E22=0,0,F22/E22)</f>
        <v>0.00176991150442478</v>
      </c>
      <c r="K22" s="10" t="n">
        <v>0.166666666666667</v>
      </c>
      <c r="L22" s="10" t="n">
        <v>0.5837</v>
      </c>
    </row>
    <row r="23" customFormat="false" ht="15" hidden="false" customHeight="false" outlineLevel="0" collapsed="false">
      <c r="A23" s="11" t="s">
        <v>38</v>
      </c>
      <c r="B23" s="11" t="s">
        <v>102</v>
      </c>
      <c r="C23" s="11" t="s">
        <v>117</v>
      </c>
      <c r="D23" s="6" t="s">
        <v>118</v>
      </c>
      <c r="E23" s="7" t="n">
        <v>1116</v>
      </c>
      <c r="F23" s="11" t="n">
        <v>10</v>
      </c>
      <c r="G23" s="11" t="n">
        <v>0</v>
      </c>
      <c r="H23" s="27" t="n">
        <v>0</v>
      </c>
      <c r="I23" s="25" t="n">
        <f aca="false">IF(E23=0,0,H23/E23*1000)</f>
        <v>0</v>
      </c>
      <c r="J23" s="9" t="n">
        <f aca="false">IF(E23=0,0,F23/E23)</f>
        <v>0.00896057347670251</v>
      </c>
      <c r="K23" s="10" t="n">
        <v>0</v>
      </c>
      <c r="L23" s="10" t="n">
        <v>0.4654</v>
      </c>
    </row>
    <row r="24" customFormat="false" ht="15" hidden="false" customHeight="false" outlineLevel="0" collapsed="false">
      <c r="A24" s="11" t="s">
        <v>63</v>
      </c>
      <c r="B24" s="11" t="s">
        <v>99</v>
      </c>
      <c r="C24" s="11" t="s">
        <v>119</v>
      </c>
      <c r="D24" s="6" t="s">
        <v>120</v>
      </c>
      <c r="E24" s="7" t="n">
        <v>1113</v>
      </c>
      <c r="F24" s="11" t="n">
        <v>1</v>
      </c>
      <c r="G24" s="11" t="n">
        <v>0</v>
      </c>
      <c r="H24" s="27" t="n">
        <v>0</v>
      </c>
      <c r="I24" s="25" t="n">
        <f aca="false">IF(E24=0,0,H24/E24*1000)</f>
        <v>0</v>
      </c>
      <c r="J24" s="9" t="n">
        <f aca="false">IF(E24=0,0,F24/E24)</f>
        <v>0.000898472596585804</v>
      </c>
      <c r="K24" s="10" t="n">
        <v>0</v>
      </c>
      <c r="L24" s="10" t="n">
        <v>0.4086</v>
      </c>
    </row>
    <row r="25" customFormat="false" ht="15" hidden="false" customHeight="false" outlineLevel="0" collapsed="false">
      <c r="A25" s="11" t="s">
        <v>40</v>
      </c>
      <c r="B25" s="11" t="s">
        <v>121</v>
      </c>
      <c r="C25" s="11" t="s">
        <v>103</v>
      </c>
      <c r="D25" s="6" t="s">
        <v>122</v>
      </c>
      <c r="E25" s="7" t="n">
        <v>1100</v>
      </c>
      <c r="F25" s="11" t="n">
        <v>6</v>
      </c>
      <c r="G25" s="11" t="n">
        <v>1</v>
      </c>
      <c r="H25" s="11" t="n">
        <v>1</v>
      </c>
      <c r="I25" s="25" t="n">
        <f aca="false">IF(E25=0,0,H25/E25*1000)</f>
        <v>0.909090909090909</v>
      </c>
      <c r="J25" s="9" t="n">
        <f aca="false">IF(E25=0,0,F25/E25)</f>
        <v>0.00545454545454546</v>
      </c>
      <c r="K25" s="10" t="n">
        <v>0.021680216802168</v>
      </c>
      <c r="L25" s="10" t="n">
        <v>0.4445</v>
      </c>
    </row>
    <row r="26" customFormat="false" ht="15" hidden="false" customHeight="false" outlineLevel="0" collapsed="false">
      <c r="A26" s="11" t="s">
        <v>63</v>
      </c>
      <c r="B26" s="11" t="s">
        <v>123</v>
      </c>
      <c r="C26" s="11" t="s">
        <v>119</v>
      </c>
      <c r="D26" s="6" t="s">
        <v>124</v>
      </c>
      <c r="E26" s="7" t="n">
        <v>1094</v>
      </c>
      <c r="F26" s="11" t="n">
        <v>6</v>
      </c>
      <c r="G26" s="11" t="n">
        <v>0</v>
      </c>
      <c r="H26" s="27" t="n">
        <v>0</v>
      </c>
      <c r="I26" s="25" t="n">
        <f aca="false">IF(E26=0,0,H26/E26*1000)</f>
        <v>0</v>
      </c>
      <c r="J26" s="9" t="n">
        <f aca="false">IF(E26=0,0,F26/E26)</f>
        <v>0.00548446069469835</v>
      </c>
      <c r="K26" s="10" t="n">
        <v>0</v>
      </c>
      <c r="L26" s="10" t="n">
        <v>1.6827</v>
      </c>
    </row>
    <row r="27" customFormat="false" ht="15" hidden="false" customHeight="false" outlineLevel="0" collapsed="false">
      <c r="A27" s="11" t="s">
        <v>39</v>
      </c>
      <c r="B27" s="11" t="s">
        <v>79</v>
      </c>
      <c r="C27" s="11" t="s">
        <v>125</v>
      </c>
      <c r="D27" s="11" t="s">
        <v>126</v>
      </c>
      <c r="E27" s="7" t="n">
        <v>1093</v>
      </c>
      <c r="F27" s="11" t="n">
        <v>6</v>
      </c>
      <c r="G27" s="11" t="n">
        <v>0</v>
      </c>
      <c r="H27" s="11" t="n">
        <v>2</v>
      </c>
      <c r="I27" s="24" t="n">
        <f aca="false">IF(E27=0,0,H27/E27*1000)</f>
        <v>1.82982616651418</v>
      </c>
      <c r="J27" s="9" t="n">
        <f aca="false">IF(E27=0,0,F27/E27)</f>
        <v>0.00548947849954254</v>
      </c>
      <c r="K27" s="10" t="n">
        <v>0.0105263157894737</v>
      </c>
      <c r="L27" s="10" t="n">
        <v>0.4027</v>
      </c>
    </row>
    <row r="28" customFormat="false" ht="15" hidden="false" customHeight="false" outlineLevel="0" collapsed="false">
      <c r="A28" s="11" t="s">
        <v>41</v>
      </c>
      <c r="B28" s="11" t="s">
        <v>121</v>
      </c>
      <c r="C28" s="11" t="s">
        <v>127</v>
      </c>
      <c r="D28" s="6" t="s">
        <v>128</v>
      </c>
      <c r="E28" s="7" t="n">
        <v>1092</v>
      </c>
      <c r="F28" s="11" t="n">
        <v>4</v>
      </c>
      <c r="G28" s="11" t="n">
        <v>0</v>
      </c>
      <c r="H28" s="27" t="n">
        <v>0</v>
      </c>
      <c r="I28" s="25" t="n">
        <f aca="false">IF(E28=0,0,H28/E28*1000)</f>
        <v>0</v>
      </c>
      <c r="J28" s="9" t="n">
        <f aca="false">IF(E28=0,0,F28/E28)</f>
        <v>0.00366300366300366</v>
      </c>
      <c r="K28" s="10" t="n">
        <v>0.0346820809248555</v>
      </c>
      <c r="L28" s="10" t="n">
        <v>0.4512</v>
      </c>
    </row>
    <row r="29" customFormat="false" ht="15" hidden="false" customHeight="false" outlineLevel="0" collapsed="false">
      <c r="A29" s="11" t="s">
        <v>40</v>
      </c>
      <c r="B29" s="11" t="s">
        <v>76</v>
      </c>
      <c r="C29" s="11" t="s">
        <v>103</v>
      </c>
      <c r="D29" s="6" t="s">
        <v>129</v>
      </c>
      <c r="E29" s="7" t="n">
        <v>1078</v>
      </c>
      <c r="F29" s="11" t="n">
        <v>14</v>
      </c>
      <c r="G29" s="11" t="n">
        <v>0</v>
      </c>
      <c r="H29" s="11" t="n">
        <v>1</v>
      </c>
      <c r="I29" s="25" t="n">
        <f aca="false">IF(E29=0,0,H29/E29*1000)</f>
        <v>0.927643784786642</v>
      </c>
      <c r="J29" s="9" t="n">
        <f aca="false">IF(E29=0,0,F29/E29)</f>
        <v>0.012987012987013</v>
      </c>
      <c r="K29" s="10" t="n">
        <v>0.04</v>
      </c>
      <c r="L29" s="10" t="n">
        <v>0.5675</v>
      </c>
    </row>
    <row r="30" customFormat="false" ht="15" hidden="false" customHeight="false" outlineLevel="0" collapsed="false">
      <c r="A30" s="11" t="s">
        <v>41</v>
      </c>
      <c r="B30" s="11" t="s">
        <v>85</v>
      </c>
      <c r="C30" s="11" t="s">
        <v>130</v>
      </c>
      <c r="D30" s="6" t="s">
        <v>131</v>
      </c>
      <c r="E30" s="7" t="n">
        <v>1078</v>
      </c>
      <c r="F30" s="11" t="n">
        <v>2</v>
      </c>
      <c r="G30" s="11" t="n">
        <v>0</v>
      </c>
      <c r="H30" s="27" t="n">
        <v>0</v>
      </c>
      <c r="I30" s="25" t="n">
        <f aca="false">IF(E30=0,0,H30/E30*1000)</f>
        <v>0</v>
      </c>
      <c r="J30" s="9" t="n">
        <f aca="false">IF(E30=0,0,F30/E30)</f>
        <v>0.00185528756957328</v>
      </c>
      <c r="K30" s="10" t="n">
        <v>0.0422535211267606</v>
      </c>
      <c r="L30" s="10" t="n">
        <v>0.6379</v>
      </c>
    </row>
    <row r="31" customFormat="false" ht="15" hidden="false" customHeight="false" outlineLevel="0" collapsed="false">
      <c r="A31" s="11" t="s">
        <v>38</v>
      </c>
      <c r="B31" s="11" t="s">
        <v>79</v>
      </c>
      <c r="C31" s="11" t="s">
        <v>117</v>
      </c>
      <c r="D31" s="6" t="s">
        <v>132</v>
      </c>
      <c r="E31" s="7" t="n">
        <v>1073</v>
      </c>
      <c r="F31" s="11" t="n">
        <v>8</v>
      </c>
      <c r="G31" s="11" t="n">
        <v>0</v>
      </c>
      <c r="H31" s="27" t="n">
        <v>0</v>
      </c>
      <c r="I31" s="25" t="n">
        <f aca="false">IF(E31=0,0,H31/E31*1000)</f>
        <v>0</v>
      </c>
      <c r="J31" s="9" t="n">
        <f aca="false">IF(E31=0,0,F31/E31)</f>
        <v>0.00745573159366263</v>
      </c>
      <c r="K31" s="10" t="n">
        <v>0</v>
      </c>
      <c r="L31" s="10" t="n">
        <v>0.3752</v>
      </c>
    </row>
    <row r="32" customFormat="false" ht="15" hidden="false" customHeight="false" outlineLevel="0" collapsed="false">
      <c r="A32" s="11" t="s">
        <v>39</v>
      </c>
      <c r="B32" s="11" t="s">
        <v>85</v>
      </c>
      <c r="C32" s="11" t="s">
        <v>83</v>
      </c>
      <c r="D32" s="11" t="s">
        <v>133</v>
      </c>
      <c r="E32" s="7" t="n">
        <v>1055</v>
      </c>
      <c r="F32" s="11" t="n">
        <v>3</v>
      </c>
      <c r="G32" s="11" t="n">
        <v>0</v>
      </c>
      <c r="H32" s="11" t="n">
        <v>2</v>
      </c>
      <c r="I32" s="24" t="n">
        <f aca="false">IF(E32=0,0,H32/E32*1000)</f>
        <v>1.8957345971564</v>
      </c>
      <c r="J32" s="9" t="n">
        <f aca="false">IF(E32=0,0,F32/E32)</f>
        <v>0.0028436018957346</v>
      </c>
      <c r="K32" s="10" t="n">
        <v>0.0055452865064695</v>
      </c>
      <c r="L32" s="10" t="n">
        <v>0.4339</v>
      </c>
    </row>
    <row r="33" customFormat="false" ht="15" hidden="false" customHeight="false" outlineLevel="0" collapsed="false">
      <c r="A33" s="11" t="s">
        <v>41</v>
      </c>
      <c r="B33" s="11" t="s">
        <v>79</v>
      </c>
      <c r="C33" s="11" t="s">
        <v>83</v>
      </c>
      <c r="D33" s="6" t="s">
        <v>134</v>
      </c>
      <c r="E33" s="7" t="n">
        <v>1055</v>
      </c>
      <c r="F33" s="11" t="n">
        <v>0</v>
      </c>
      <c r="G33" s="11" t="n">
        <v>0</v>
      </c>
      <c r="H33" s="27" t="n">
        <v>0</v>
      </c>
      <c r="I33" s="25" t="n">
        <f aca="false">IF(E33=0,0,H33/E33*1000)</f>
        <v>0</v>
      </c>
      <c r="J33" s="9" t="n">
        <f aca="false">IF(E33=0,0,F33/E33)</f>
        <v>0</v>
      </c>
      <c r="K33" s="10" t="n">
        <v>0.0396039603960396</v>
      </c>
      <c r="L33" s="10" t="n">
        <v>0.6613</v>
      </c>
    </row>
    <row r="34" customFormat="false" ht="15" hidden="false" customHeight="false" outlineLevel="0" collapsed="false">
      <c r="A34" s="11" t="s">
        <v>41</v>
      </c>
      <c r="B34" s="11" t="s">
        <v>102</v>
      </c>
      <c r="C34" s="11" t="s">
        <v>83</v>
      </c>
      <c r="D34" s="6" t="s">
        <v>135</v>
      </c>
      <c r="E34" s="7" t="n">
        <v>1052</v>
      </c>
      <c r="F34" s="11" t="n">
        <v>4</v>
      </c>
      <c r="G34" s="11" t="n">
        <v>0</v>
      </c>
      <c r="H34" s="27" t="n">
        <v>0</v>
      </c>
      <c r="I34" s="25" t="n">
        <f aca="false">IF(E34=0,0,H34/E34*1000)</f>
        <v>0</v>
      </c>
      <c r="J34" s="9" t="n">
        <f aca="false">IF(E34=0,0,F34/E34)</f>
        <v>0.00380228136882129</v>
      </c>
      <c r="K34" s="10" t="n">
        <v>0.0491803278688525</v>
      </c>
      <c r="L34" s="10" t="n">
        <v>0.5654</v>
      </c>
    </row>
    <row r="35" customFormat="false" ht="15" hidden="false" customHeight="false" outlineLevel="0" collapsed="false">
      <c r="A35" s="11" t="s">
        <v>38</v>
      </c>
      <c r="B35" s="11" t="s">
        <v>121</v>
      </c>
      <c r="C35" s="11" t="s">
        <v>136</v>
      </c>
      <c r="D35" s="6" t="s">
        <v>137</v>
      </c>
      <c r="E35" s="7" t="n">
        <v>1051</v>
      </c>
      <c r="F35" s="11" t="n">
        <v>15</v>
      </c>
      <c r="G35" s="11" t="n">
        <v>0</v>
      </c>
      <c r="H35" s="27" t="n">
        <v>0</v>
      </c>
      <c r="I35" s="25" t="n">
        <f aca="false">IF(E35=0,0,H35/E35*1000)</f>
        <v>0</v>
      </c>
      <c r="J35" s="9" t="n">
        <f aca="false">IF(E35=0,0,F35/E35)</f>
        <v>0.0142721217887726</v>
      </c>
      <c r="K35" s="10" t="n">
        <v>0.0194174757281553</v>
      </c>
      <c r="L35" s="10" t="n">
        <v>0.4599</v>
      </c>
    </row>
    <row r="36" customFormat="false" ht="15" hidden="false" customHeight="false" outlineLevel="0" collapsed="false">
      <c r="A36" s="11" t="s">
        <v>41</v>
      </c>
      <c r="B36" s="11" t="s">
        <v>102</v>
      </c>
      <c r="C36" s="11" t="s">
        <v>90</v>
      </c>
      <c r="D36" s="6" t="s">
        <v>138</v>
      </c>
      <c r="E36" s="7" t="n">
        <v>1050</v>
      </c>
      <c r="F36" s="11" t="n">
        <v>1</v>
      </c>
      <c r="G36" s="11" t="n">
        <v>1</v>
      </c>
      <c r="H36" s="27" t="n">
        <v>0</v>
      </c>
      <c r="I36" s="25" t="n">
        <f aca="false">IF(E36=0,0,H36/E36*1000)</f>
        <v>0</v>
      </c>
      <c r="J36" s="9" t="n">
        <f aca="false">IF(E36=0,0,F36/E36)</f>
        <v>0.000952380952380952</v>
      </c>
      <c r="K36" s="10" t="n">
        <v>0.029925187032419</v>
      </c>
      <c r="L36" s="10" t="n">
        <v>0.4597</v>
      </c>
    </row>
    <row r="37" customFormat="false" ht="15" hidden="false" customHeight="false" outlineLevel="0" collapsed="false">
      <c r="A37" s="11" t="s">
        <v>43</v>
      </c>
      <c r="B37" s="11" t="s">
        <v>85</v>
      </c>
      <c r="C37" s="11" t="s">
        <v>139</v>
      </c>
      <c r="D37" s="11" t="s">
        <v>140</v>
      </c>
      <c r="E37" s="7" t="n">
        <v>1037</v>
      </c>
      <c r="F37" s="11" t="n">
        <v>0</v>
      </c>
      <c r="G37" s="11" t="n">
        <v>0</v>
      </c>
      <c r="H37" s="27" t="n">
        <v>0</v>
      </c>
      <c r="I37" s="25" t="n">
        <f aca="false">IF(E37=0,0,H37/E37*1000)</f>
        <v>0</v>
      </c>
      <c r="J37" s="9" t="n">
        <f aca="false">IF(E37=0,0,F37/E37)</f>
        <v>0</v>
      </c>
      <c r="K37" s="10" t="n">
        <v>0</v>
      </c>
      <c r="L37" s="10" t="n">
        <v>0.4267</v>
      </c>
    </row>
    <row r="38" customFormat="false" ht="15" hidden="false" customHeight="false" outlineLevel="0" collapsed="false">
      <c r="A38" s="11" t="s">
        <v>39</v>
      </c>
      <c r="B38" s="11" t="s">
        <v>85</v>
      </c>
      <c r="C38" s="11" t="s">
        <v>127</v>
      </c>
      <c r="D38" s="6" t="s">
        <v>141</v>
      </c>
      <c r="E38" s="7" t="n">
        <v>1037</v>
      </c>
      <c r="F38" s="11" t="n">
        <v>5</v>
      </c>
      <c r="G38" s="11" t="n">
        <v>0</v>
      </c>
      <c r="H38" s="27" t="n">
        <v>0</v>
      </c>
      <c r="I38" s="25" t="n">
        <f aca="false">IF(E38=0,0,H38/E38*1000)</f>
        <v>0</v>
      </c>
      <c r="J38" s="9" t="n">
        <f aca="false">IF(E38=0,0,F38/E38)</f>
        <v>0.00482160077145612</v>
      </c>
      <c r="K38" s="10" t="n">
        <v>0.0132450331125828</v>
      </c>
      <c r="L38" s="10" t="n">
        <v>0.4269</v>
      </c>
    </row>
    <row r="39" customFormat="false" ht="15" hidden="false" customHeight="false" outlineLevel="0" collapsed="false">
      <c r="A39" s="11" t="s">
        <v>39</v>
      </c>
      <c r="B39" s="11" t="s">
        <v>82</v>
      </c>
      <c r="C39" s="11" t="s">
        <v>127</v>
      </c>
      <c r="D39" s="11" t="s">
        <v>142</v>
      </c>
      <c r="E39" s="7" t="n">
        <v>1035</v>
      </c>
      <c r="F39" s="11" t="n">
        <v>7</v>
      </c>
      <c r="G39" s="11" t="n">
        <v>0</v>
      </c>
      <c r="H39" s="11" t="n">
        <v>1</v>
      </c>
      <c r="I39" s="25" t="n">
        <f aca="false">IF(E39=0,0,H39/E39*1000)</f>
        <v>0.966183574879227</v>
      </c>
      <c r="J39" s="9" t="n">
        <f aca="false">IF(E39=0,0,F39/E39)</f>
        <v>0.00676328502415459</v>
      </c>
      <c r="K39" s="10" t="n">
        <v>0.00674157303370787</v>
      </c>
      <c r="L39" s="10" t="n">
        <v>0.4443</v>
      </c>
    </row>
    <row r="40" customFormat="false" ht="15" hidden="false" customHeight="false" outlineLevel="0" collapsed="false">
      <c r="A40" s="11" t="s">
        <v>40</v>
      </c>
      <c r="B40" s="11" t="s">
        <v>76</v>
      </c>
      <c r="C40" s="11" t="s">
        <v>143</v>
      </c>
      <c r="D40" s="6" t="s">
        <v>144</v>
      </c>
      <c r="E40" s="7" t="n">
        <v>1021</v>
      </c>
      <c r="F40" s="11" t="n">
        <v>6</v>
      </c>
      <c r="G40" s="11" t="n">
        <v>0</v>
      </c>
      <c r="H40" s="11" t="n">
        <v>2</v>
      </c>
      <c r="I40" s="24" t="n">
        <f aca="false">IF(E40=0,0,H40/E40*1000)</f>
        <v>1.9588638589618</v>
      </c>
      <c r="J40" s="9" t="n">
        <f aca="false">IF(E40=0,0,F40/E40)</f>
        <v>0.00587659157688541</v>
      </c>
      <c r="K40" s="10" t="n">
        <v>0.0363636363636364</v>
      </c>
      <c r="L40" s="10" t="n">
        <v>0.4615</v>
      </c>
    </row>
    <row r="41" customFormat="false" ht="15" hidden="false" customHeight="false" outlineLevel="0" collapsed="false">
      <c r="A41" s="11" t="s">
        <v>42</v>
      </c>
      <c r="B41" s="11" t="s">
        <v>76</v>
      </c>
      <c r="C41" s="11" t="s">
        <v>145</v>
      </c>
      <c r="D41" s="6" t="s">
        <v>146</v>
      </c>
      <c r="E41" s="7" t="n">
        <v>1020</v>
      </c>
      <c r="F41" s="11" t="n">
        <v>1</v>
      </c>
      <c r="G41" s="11" t="n">
        <v>0</v>
      </c>
      <c r="H41" s="11" t="n">
        <v>1</v>
      </c>
      <c r="I41" s="25" t="n">
        <f aca="false">IF(E41=0,0,H41/E41*1000)</f>
        <v>0.980392156862745</v>
      </c>
      <c r="J41" s="9" t="n">
        <f aca="false">IF(E41=0,0,F41/E41)</f>
        <v>0.000980392156862745</v>
      </c>
      <c r="K41" s="10" t="n">
        <v>0</v>
      </c>
      <c r="L41" s="10" t="n">
        <v>0.4432</v>
      </c>
    </row>
    <row r="42" customFormat="false" ht="15" hidden="false" customHeight="false" outlineLevel="0" collapsed="false">
      <c r="A42" s="11" t="s">
        <v>43</v>
      </c>
      <c r="B42" s="11" t="s">
        <v>76</v>
      </c>
      <c r="C42" s="11" t="s">
        <v>139</v>
      </c>
      <c r="D42" s="6" t="s">
        <v>147</v>
      </c>
      <c r="E42" s="7" t="n">
        <v>1018</v>
      </c>
      <c r="F42" s="11" t="n">
        <v>0</v>
      </c>
      <c r="G42" s="11" t="n">
        <v>0</v>
      </c>
      <c r="H42" s="27" t="n">
        <v>0</v>
      </c>
      <c r="I42" s="25" t="n">
        <f aca="false">IF(E42=0,0,H42/E42*1000)</f>
        <v>0</v>
      </c>
      <c r="J42" s="9" t="n">
        <f aca="false">IF(E42=0,0,F42/E42)</f>
        <v>0</v>
      </c>
      <c r="K42" s="10" t="n">
        <v>0</v>
      </c>
      <c r="L42" s="10" t="n">
        <v>0.3614</v>
      </c>
    </row>
    <row r="43" customFormat="false" ht="15" hidden="false" customHeight="false" outlineLevel="0" collapsed="false">
      <c r="A43" s="11" t="s">
        <v>40</v>
      </c>
      <c r="B43" s="11" t="s">
        <v>76</v>
      </c>
      <c r="C43" s="11" t="s">
        <v>77</v>
      </c>
      <c r="D43" s="6" t="s">
        <v>148</v>
      </c>
      <c r="E43" s="7" t="n">
        <v>1015</v>
      </c>
      <c r="F43" s="11" t="n">
        <v>3</v>
      </c>
      <c r="G43" s="11" t="n">
        <v>0</v>
      </c>
      <c r="H43" s="27" t="n">
        <v>0</v>
      </c>
      <c r="I43" s="25" t="n">
        <f aca="false">IF(E43=0,0,H43/E43*1000)</f>
        <v>0</v>
      </c>
      <c r="J43" s="9" t="n">
        <f aca="false">IF(E43=0,0,F43/E43)</f>
        <v>0.00295566502463054</v>
      </c>
      <c r="K43" s="10" t="n">
        <v>0.0447761194029851</v>
      </c>
      <c r="L43" s="10" t="n">
        <v>0.4464</v>
      </c>
    </row>
    <row r="44" customFormat="false" ht="15" hidden="false" customHeight="false" outlineLevel="0" collapsed="false">
      <c r="A44" s="11" t="s">
        <v>41</v>
      </c>
      <c r="B44" s="11" t="s">
        <v>102</v>
      </c>
      <c r="C44" s="11" t="s">
        <v>130</v>
      </c>
      <c r="D44" s="6" t="s">
        <v>149</v>
      </c>
      <c r="E44" s="7" t="n">
        <v>1010</v>
      </c>
      <c r="F44" s="11" t="n">
        <v>3</v>
      </c>
      <c r="G44" s="11" t="n">
        <v>0</v>
      </c>
      <c r="H44" s="27" t="n">
        <v>0</v>
      </c>
      <c r="I44" s="25" t="n">
        <f aca="false">IF(E44=0,0,H44/E44*1000)</f>
        <v>0</v>
      </c>
      <c r="J44" s="9" t="n">
        <f aca="false">IF(E44=0,0,F44/E44)</f>
        <v>0.00297029702970297</v>
      </c>
      <c r="K44" s="10" t="n">
        <v>0.0303030303030303</v>
      </c>
      <c r="L44" s="10" t="n">
        <v>0.5269</v>
      </c>
    </row>
    <row r="45" customFormat="false" ht="15" hidden="false" customHeight="false" outlineLevel="0" collapsed="false">
      <c r="A45" s="11" t="s">
        <v>38</v>
      </c>
      <c r="B45" s="11" t="s">
        <v>76</v>
      </c>
      <c r="C45" s="11" t="s">
        <v>117</v>
      </c>
      <c r="D45" s="6" t="s">
        <v>150</v>
      </c>
      <c r="E45" s="7" t="n">
        <v>1009</v>
      </c>
      <c r="F45" s="11" t="n">
        <v>13</v>
      </c>
      <c r="G45" s="11" t="n">
        <v>0</v>
      </c>
      <c r="H45" s="11" t="n">
        <v>1</v>
      </c>
      <c r="I45" s="25" t="n">
        <f aca="false">IF(E45=0,0,H45/E45*1000)</f>
        <v>0.991080277502478</v>
      </c>
      <c r="J45" s="9" t="n">
        <f aca="false">IF(E45=0,0,F45/E45)</f>
        <v>0.0128840436075322</v>
      </c>
      <c r="K45" s="10" t="n">
        <v>0</v>
      </c>
      <c r="L45" s="10" t="n">
        <v>0.422</v>
      </c>
    </row>
    <row r="46" customFormat="false" ht="15" hidden="false" customHeight="false" outlineLevel="0" collapsed="false">
      <c r="A46" s="11" t="s">
        <v>38</v>
      </c>
      <c r="B46" s="11" t="s">
        <v>76</v>
      </c>
      <c r="C46" s="11" t="s">
        <v>136</v>
      </c>
      <c r="D46" s="6" t="s">
        <v>151</v>
      </c>
      <c r="E46" s="7" t="n">
        <v>1009</v>
      </c>
      <c r="F46" s="11" t="n">
        <v>4</v>
      </c>
      <c r="G46" s="11" t="n">
        <v>0</v>
      </c>
      <c r="H46" s="27" t="n">
        <v>0</v>
      </c>
      <c r="I46" s="25" t="n">
        <f aca="false">IF(E46=0,0,H46/E46*1000)</f>
        <v>0</v>
      </c>
      <c r="J46" s="9" t="n">
        <f aca="false">IF(E46=0,0,F46/E46)</f>
        <v>0.00396432111000991</v>
      </c>
      <c r="K46" s="10" t="n">
        <v>0</v>
      </c>
      <c r="L46" s="10" t="n">
        <v>0.9179</v>
      </c>
    </row>
    <row r="47" customFormat="false" ht="15" hidden="false" customHeight="false" outlineLevel="0" collapsed="false">
      <c r="A47" s="11" t="s">
        <v>39</v>
      </c>
      <c r="B47" s="11" t="s">
        <v>76</v>
      </c>
      <c r="C47" s="11" t="s">
        <v>152</v>
      </c>
      <c r="D47" s="11" t="s">
        <v>153</v>
      </c>
      <c r="E47" s="7" t="n">
        <v>1008</v>
      </c>
      <c r="F47" s="11" t="n">
        <v>3</v>
      </c>
      <c r="G47" s="11" t="n">
        <v>0</v>
      </c>
      <c r="H47" s="11" t="n">
        <v>1</v>
      </c>
      <c r="I47" s="25" t="n">
        <f aca="false">IF(E47=0,0,H47/E47*1000)</f>
        <v>0.992063492063492</v>
      </c>
      <c r="J47" s="9" t="n">
        <f aca="false">IF(E47=0,0,F47/E47)</f>
        <v>0.00297619047619048</v>
      </c>
      <c r="K47" s="10" t="n">
        <v>0.0434782608695652</v>
      </c>
      <c r="L47" s="10" t="n">
        <v>0.3177</v>
      </c>
    </row>
    <row r="48" customFormat="false" ht="15" hidden="false" customHeight="false" outlineLevel="0" collapsed="false">
      <c r="A48" s="11" t="s">
        <v>41</v>
      </c>
      <c r="B48" s="11" t="s">
        <v>79</v>
      </c>
      <c r="C48" s="11" t="s">
        <v>130</v>
      </c>
      <c r="D48" s="6" t="s">
        <v>154</v>
      </c>
      <c r="E48" s="7" t="n">
        <v>1007</v>
      </c>
      <c r="F48" s="11" t="n">
        <v>1</v>
      </c>
      <c r="G48" s="11" t="n">
        <v>0</v>
      </c>
      <c r="H48" s="27" t="n">
        <v>0</v>
      </c>
      <c r="I48" s="25" t="n">
        <f aca="false">IF(E48=0,0,H48/E48*1000)</f>
        <v>0</v>
      </c>
      <c r="J48" s="9" t="n">
        <f aca="false">IF(E48=0,0,F48/E48)</f>
        <v>0.00099304865938431</v>
      </c>
      <c r="K48" s="10" t="n">
        <v>0.00943396226415094</v>
      </c>
      <c r="L48" s="10" t="n">
        <v>0.4432</v>
      </c>
    </row>
    <row r="49" customFormat="false" ht="15" hidden="false" customHeight="false" outlineLevel="0" collapsed="false">
      <c r="A49" s="11" t="s">
        <v>40</v>
      </c>
      <c r="B49" s="11" t="s">
        <v>85</v>
      </c>
      <c r="C49" s="11" t="s">
        <v>103</v>
      </c>
      <c r="D49" s="6" t="s">
        <v>155</v>
      </c>
      <c r="E49" s="7" t="n">
        <v>1004</v>
      </c>
      <c r="F49" s="11" t="n">
        <v>7</v>
      </c>
      <c r="G49" s="11" t="n">
        <v>0</v>
      </c>
      <c r="H49" s="11" t="n">
        <v>1</v>
      </c>
      <c r="I49" s="25" t="n">
        <f aca="false">IF(E49=0,0,H49/E49*1000)</f>
        <v>0.99601593625498</v>
      </c>
      <c r="J49" s="9" t="n">
        <f aca="false">IF(E49=0,0,F49/E49)</f>
        <v>0.00697211155378486</v>
      </c>
      <c r="K49" s="10" t="n">
        <v>0</v>
      </c>
      <c r="L49" s="10" t="n">
        <v>0.4505</v>
      </c>
    </row>
    <row r="50" customFormat="false" ht="15" hidden="false" customHeight="false" outlineLevel="0" collapsed="false">
      <c r="A50" s="11" t="s">
        <v>41</v>
      </c>
      <c r="B50" s="11" t="s">
        <v>121</v>
      </c>
      <c r="C50" s="11" t="s">
        <v>83</v>
      </c>
      <c r="D50" s="11" t="s">
        <v>156</v>
      </c>
      <c r="E50" s="7" t="n">
        <v>1003</v>
      </c>
      <c r="F50" s="11" t="n">
        <v>3</v>
      </c>
      <c r="G50" s="11" t="n">
        <v>0</v>
      </c>
      <c r="H50" s="11" t="n">
        <v>1</v>
      </c>
      <c r="I50" s="25" t="n">
        <f aca="false">IF(E50=0,0,H50/E50*1000)</f>
        <v>0.997008973080758</v>
      </c>
      <c r="J50" s="9" t="n">
        <f aca="false">IF(E50=0,0,F50/E50)</f>
        <v>0.00299102691924227</v>
      </c>
      <c r="K50" s="10" t="n">
        <v>0.0194552529182879</v>
      </c>
      <c r="L50" s="10" t="n">
        <v>0.4502</v>
      </c>
    </row>
    <row r="51" customFormat="false" ht="15" hidden="false" customHeight="false" outlineLevel="0" collapsed="false">
      <c r="A51" s="11" t="s">
        <v>57</v>
      </c>
      <c r="B51" s="11" t="s">
        <v>82</v>
      </c>
      <c r="C51" s="11" t="s">
        <v>157</v>
      </c>
      <c r="D51" s="6" t="s">
        <v>158</v>
      </c>
      <c r="E51" s="7" t="n">
        <v>1001</v>
      </c>
      <c r="F51" s="11" t="n">
        <v>2</v>
      </c>
      <c r="G51" s="11" t="n">
        <v>0</v>
      </c>
      <c r="H51" s="11" t="n">
        <v>1</v>
      </c>
      <c r="I51" s="25" t="n">
        <f aca="false">IF(E51=0,0,H51/E51*1000)</f>
        <v>0.999000999000999</v>
      </c>
      <c r="J51" s="9" t="n">
        <f aca="false">IF(E51=0,0,F51/E51)</f>
        <v>0.001998001998002</v>
      </c>
      <c r="K51" s="10" t="n">
        <v>0</v>
      </c>
      <c r="L51" s="10" t="n">
        <v>0.4445</v>
      </c>
    </row>
    <row r="52" customFormat="false" ht="15" hidden="false" customHeight="false" outlineLevel="0" collapsed="false">
      <c r="A52" s="11" t="s">
        <v>43</v>
      </c>
      <c r="B52" s="11" t="s">
        <v>102</v>
      </c>
      <c r="C52" s="11" t="s">
        <v>139</v>
      </c>
      <c r="D52" s="6" t="s">
        <v>159</v>
      </c>
      <c r="E52" s="7" t="n">
        <v>999</v>
      </c>
      <c r="F52" s="11" t="n">
        <v>1</v>
      </c>
      <c r="G52" s="11" t="n">
        <v>0</v>
      </c>
      <c r="H52" s="27" t="n">
        <v>0</v>
      </c>
      <c r="I52" s="25" t="n">
        <f aca="false">IF(E52=0,0,H52/E52*1000)</f>
        <v>0</v>
      </c>
      <c r="J52" s="9" t="n">
        <f aca="false">IF(E52=0,0,F52/E52)</f>
        <v>0.001001001001001</v>
      </c>
      <c r="K52" s="10" t="n">
        <v>0</v>
      </c>
      <c r="L52" s="10" t="n">
        <v>0.3094</v>
      </c>
    </row>
    <row r="53" customFormat="false" ht="15" hidden="false" customHeight="false" outlineLevel="0" collapsed="false">
      <c r="A53" s="11" t="s">
        <v>42</v>
      </c>
      <c r="B53" s="11" t="s">
        <v>79</v>
      </c>
      <c r="C53" s="11" t="s">
        <v>145</v>
      </c>
      <c r="D53" s="6" t="s">
        <v>160</v>
      </c>
      <c r="E53" s="7" t="n">
        <v>996</v>
      </c>
      <c r="F53" s="11" t="n">
        <v>2</v>
      </c>
      <c r="G53" s="11" t="n">
        <v>0</v>
      </c>
      <c r="H53" s="27" t="n">
        <v>0</v>
      </c>
      <c r="I53" s="25" t="n">
        <f aca="false">IF(E53=0,0,H53/E53*1000)</f>
        <v>0</v>
      </c>
      <c r="J53" s="9" t="n">
        <f aca="false">IF(E53=0,0,F53/E53)</f>
        <v>0.00200803212851406</v>
      </c>
      <c r="K53" s="10" t="n">
        <v>0.0357142857142857</v>
      </c>
      <c r="L53" s="10" t="n">
        <v>0.3123</v>
      </c>
    </row>
    <row r="54" customFormat="false" ht="15" hidden="false" customHeight="false" outlineLevel="0" collapsed="false">
      <c r="A54" s="11" t="s">
        <v>40</v>
      </c>
      <c r="B54" s="11" t="s">
        <v>79</v>
      </c>
      <c r="C54" s="11" t="s">
        <v>103</v>
      </c>
      <c r="D54" s="6" t="s">
        <v>161</v>
      </c>
      <c r="E54" s="7" t="n">
        <v>993</v>
      </c>
      <c r="F54" s="11" t="n">
        <v>11</v>
      </c>
      <c r="G54" s="11" t="n">
        <v>0</v>
      </c>
      <c r="H54" s="11" t="n">
        <v>3</v>
      </c>
      <c r="I54" s="24" t="n">
        <f aca="false">IF(E54=0,0,H54/E54*1000)</f>
        <v>3.02114803625378</v>
      </c>
      <c r="J54" s="9" t="n">
        <f aca="false">IF(E54=0,0,F54/E54)</f>
        <v>0.0110775427995972</v>
      </c>
      <c r="K54" s="10" t="n">
        <v>0</v>
      </c>
      <c r="L54" s="10" t="n">
        <v>0.4254</v>
      </c>
    </row>
    <row r="55" customFormat="false" ht="15" hidden="false" customHeight="false" outlineLevel="0" collapsed="false">
      <c r="A55" s="11" t="s">
        <v>41</v>
      </c>
      <c r="B55" s="11" t="s">
        <v>76</v>
      </c>
      <c r="C55" s="11" t="s">
        <v>83</v>
      </c>
      <c r="D55" s="6" t="s">
        <v>162</v>
      </c>
      <c r="E55" s="7" t="n">
        <v>992</v>
      </c>
      <c r="F55" s="11" t="n">
        <v>3</v>
      </c>
      <c r="G55" s="11" t="n">
        <v>0</v>
      </c>
      <c r="H55" s="11" t="n">
        <v>1</v>
      </c>
      <c r="I55" s="25" t="n">
        <f aca="false">IF(E55=0,0,H55/E55*1000)</f>
        <v>1.00806451612903</v>
      </c>
      <c r="J55" s="9" t="n">
        <f aca="false">IF(E55=0,0,F55/E55)</f>
        <v>0.0030241935483871</v>
      </c>
      <c r="K55" s="10" t="n">
        <v>0.00826446280991736</v>
      </c>
      <c r="L55" s="10" t="n">
        <v>0.5974</v>
      </c>
    </row>
    <row r="56" customFormat="false" ht="15" hidden="false" customHeight="false" outlineLevel="0" collapsed="false">
      <c r="A56" s="11" t="s">
        <v>41</v>
      </c>
      <c r="B56" s="11" t="s">
        <v>76</v>
      </c>
      <c r="C56" s="11" t="s">
        <v>90</v>
      </c>
      <c r="D56" s="6" t="s">
        <v>163</v>
      </c>
      <c r="E56" s="7" t="n">
        <v>986</v>
      </c>
      <c r="F56" s="11" t="n">
        <v>1</v>
      </c>
      <c r="G56" s="11" t="n">
        <v>0</v>
      </c>
      <c r="H56" s="11" t="n">
        <v>1</v>
      </c>
      <c r="I56" s="25" t="n">
        <f aca="false">IF(E56=0,0,H56/E56*1000)</f>
        <v>1.01419878296146</v>
      </c>
      <c r="J56" s="9" t="n">
        <f aca="false">IF(E56=0,0,F56/E56)</f>
        <v>0.00101419878296146</v>
      </c>
      <c r="K56" s="10" t="n">
        <v>0.039568345323741</v>
      </c>
      <c r="L56" s="10" t="n">
        <v>0.3968</v>
      </c>
    </row>
    <row r="57" customFormat="false" ht="15" hidden="false" customHeight="false" outlineLevel="0" collapsed="false">
      <c r="A57" s="11" t="s">
        <v>55</v>
      </c>
      <c r="B57" s="11" t="s">
        <v>85</v>
      </c>
      <c r="C57" s="11" t="s">
        <v>164</v>
      </c>
      <c r="D57" s="6" t="s">
        <v>165</v>
      </c>
      <c r="E57" s="7" t="n">
        <v>985</v>
      </c>
      <c r="F57" s="11" t="n">
        <v>0</v>
      </c>
      <c r="G57" s="11" t="n">
        <v>1</v>
      </c>
      <c r="H57" s="11" t="n">
        <v>1</v>
      </c>
      <c r="I57" s="25" t="n">
        <f aca="false">IF(E57=0,0,H57/E57*1000)</f>
        <v>1.01522842639594</v>
      </c>
      <c r="J57" s="9" t="n">
        <f aca="false">IF(E57=0,0,F57/E57)</f>
        <v>0</v>
      </c>
      <c r="K57" s="10" t="n">
        <v>0.166666666666667</v>
      </c>
      <c r="L57" s="10" t="n">
        <v>0</v>
      </c>
    </row>
    <row r="58" customFormat="false" ht="15" hidden="false" customHeight="false" outlineLevel="0" collapsed="false">
      <c r="A58" s="11" t="s">
        <v>57</v>
      </c>
      <c r="B58" s="11" t="s">
        <v>76</v>
      </c>
      <c r="C58" s="11" t="s">
        <v>157</v>
      </c>
      <c r="D58" s="6" t="s">
        <v>166</v>
      </c>
      <c r="E58" s="7" t="n">
        <v>978</v>
      </c>
      <c r="F58" s="11" t="n">
        <v>2</v>
      </c>
      <c r="G58" s="11" t="n">
        <v>0</v>
      </c>
      <c r="H58" s="27" t="n">
        <v>0</v>
      </c>
      <c r="I58" s="25" t="n">
        <f aca="false">IF(E58=0,0,H58/E58*1000)</f>
        <v>0</v>
      </c>
      <c r="J58" s="9" t="n">
        <f aca="false">IF(E58=0,0,F58/E58)</f>
        <v>0.00204498977505113</v>
      </c>
      <c r="K58" s="10" t="n">
        <v>0.0425531914893617</v>
      </c>
      <c r="L58" s="10" t="n">
        <v>0.6956</v>
      </c>
    </row>
    <row r="59" customFormat="false" ht="15" hidden="false" customHeight="false" outlineLevel="0" collapsed="false">
      <c r="A59" s="11" t="s">
        <v>41</v>
      </c>
      <c r="B59" s="11" t="s">
        <v>85</v>
      </c>
      <c r="C59" s="11" t="s">
        <v>90</v>
      </c>
      <c r="D59" s="11" t="s">
        <v>167</v>
      </c>
      <c r="E59" s="7" t="n">
        <v>975</v>
      </c>
      <c r="F59" s="11" t="n">
        <v>1</v>
      </c>
      <c r="G59" s="11" t="n">
        <v>0</v>
      </c>
      <c r="H59" s="27" t="n">
        <v>0</v>
      </c>
      <c r="I59" s="25" t="n">
        <f aca="false">IF(E59=0,0,H59/E59*1000)</f>
        <v>0</v>
      </c>
      <c r="J59" s="9" t="n">
        <f aca="false">IF(E59=0,0,F59/E59)</f>
        <v>0.00102564102564103</v>
      </c>
      <c r="K59" s="10" t="n">
        <v>0.0294117647058824</v>
      </c>
      <c r="L59" s="10" t="n">
        <v>0.7348</v>
      </c>
    </row>
    <row r="60" customFormat="false" ht="15" hidden="false" customHeight="false" outlineLevel="0" collapsed="false">
      <c r="A60" s="11" t="s">
        <v>38</v>
      </c>
      <c r="B60" s="11" t="s">
        <v>102</v>
      </c>
      <c r="C60" s="11" t="s">
        <v>136</v>
      </c>
      <c r="D60" s="6" t="s">
        <v>168</v>
      </c>
      <c r="E60" s="7" t="n">
        <v>975</v>
      </c>
      <c r="F60" s="11" t="n">
        <v>10</v>
      </c>
      <c r="G60" s="11" t="n">
        <v>0</v>
      </c>
      <c r="H60" s="27" t="n">
        <v>0</v>
      </c>
      <c r="I60" s="25" t="n">
        <f aca="false">IF(E60=0,0,H60/E60*1000)</f>
        <v>0</v>
      </c>
      <c r="J60" s="9" t="n">
        <f aca="false">IF(E60=0,0,F60/E60)</f>
        <v>0.0102564102564103</v>
      </c>
      <c r="K60" s="10" t="n">
        <v>0</v>
      </c>
      <c r="L60" s="10" t="n">
        <v>0.4024</v>
      </c>
    </row>
    <row r="61" customFormat="false" ht="15" hidden="false" customHeight="false" outlineLevel="0" collapsed="false">
      <c r="A61" s="11" t="s">
        <v>40</v>
      </c>
      <c r="B61" s="11" t="s">
        <v>79</v>
      </c>
      <c r="C61" s="11" t="s">
        <v>127</v>
      </c>
      <c r="D61" s="6" t="s">
        <v>169</v>
      </c>
      <c r="E61" s="7" t="n">
        <v>969</v>
      </c>
      <c r="F61" s="11" t="n">
        <v>14</v>
      </c>
      <c r="G61" s="11" t="n">
        <v>0</v>
      </c>
      <c r="H61" s="11" t="n">
        <v>2</v>
      </c>
      <c r="I61" s="24" t="n">
        <f aca="false">IF(E61=0,0,H61/E61*1000)</f>
        <v>2.06398348813209</v>
      </c>
      <c r="J61" s="9" t="n">
        <f aca="false">IF(E61=0,0,F61/E61)</f>
        <v>0.0144478844169247</v>
      </c>
      <c r="K61" s="10" t="n">
        <v>0</v>
      </c>
      <c r="L61" s="10" t="n">
        <v>0.524</v>
      </c>
    </row>
    <row r="62" customFormat="false" ht="15" hidden="false" customHeight="false" outlineLevel="0" collapsed="false">
      <c r="A62" s="11" t="s">
        <v>43</v>
      </c>
      <c r="B62" s="11" t="s">
        <v>96</v>
      </c>
      <c r="C62" s="11" t="s">
        <v>170</v>
      </c>
      <c r="D62" s="6" t="s">
        <v>171</v>
      </c>
      <c r="E62" s="7" t="n">
        <v>954</v>
      </c>
      <c r="F62" s="11" t="n">
        <v>1</v>
      </c>
      <c r="G62" s="11" t="n">
        <v>0</v>
      </c>
      <c r="H62" s="27" t="n">
        <v>0</v>
      </c>
      <c r="I62" s="25" t="n">
        <f aca="false">IF(E62=0,0,H62/E62*1000)</f>
        <v>0</v>
      </c>
      <c r="J62" s="9" t="n">
        <f aca="false">IF(E62=0,0,F62/E62)</f>
        <v>0.0010482180293501</v>
      </c>
      <c r="K62" s="10" t="n">
        <v>0</v>
      </c>
      <c r="L62" s="10" t="n">
        <v>0.6949</v>
      </c>
    </row>
    <row r="63" customFormat="false" ht="15" hidden="false" customHeight="false" outlineLevel="0" collapsed="false">
      <c r="A63" s="11" t="s">
        <v>39</v>
      </c>
      <c r="B63" s="11" t="s">
        <v>123</v>
      </c>
      <c r="C63" s="11" t="s">
        <v>152</v>
      </c>
      <c r="D63" s="11" t="s">
        <v>172</v>
      </c>
      <c r="E63" s="7" t="n">
        <v>951</v>
      </c>
      <c r="F63" s="11" t="n">
        <v>1</v>
      </c>
      <c r="G63" s="11" t="n">
        <v>0</v>
      </c>
      <c r="H63" s="11" t="n">
        <v>2</v>
      </c>
      <c r="I63" s="24" t="n">
        <f aca="false">IF(E63=0,0,H63/E63*1000)</f>
        <v>2.10304942166141</v>
      </c>
      <c r="J63" s="9" t="n">
        <f aca="false">IF(E63=0,0,F63/E63)</f>
        <v>0.0010515247108307</v>
      </c>
      <c r="K63" s="10" t="n">
        <v>0.032258064516129</v>
      </c>
      <c r="L63" s="10" t="n">
        <v>0.3851</v>
      </c>
    </row>
    <row r="64" customFormat="false" ht="15" hidden="false" customHeight="false" outlineLevel="0" collapsed="false">
      <c r="A64" s="11" t="s">
        <v>38</v>
      </c>
      <c r="B64" s="11" t="s">
        <v>102</v>
      </c>
      <c r="C64" s="11" t="s">
        <v>83</v>
      </c>
      <c r="D64" s="6" t="s">
        <v>173</v>
      </c>
      <c r="E64" s="7" t="n">
        <v>949</v>
      </c>
      <c r="F64" s="11" t="n">
        <v>12</v>
      </c>
      <c r="G64" s="11" t="n">
        <v>0</v>
      </c>
      <c r="H64" s="11" t="n">
        <v>2</v>
      </c>
      <c r="I64" s="24" t="n">
        <f aca="false">IF(E64=0,0,H64/E64*1000)</f>
        <v>2.10748155953635</v>
      </c>
      <c r="J64" s="9" t="n">
        <f aca="false">IF(E64=0,0,F64/E64)</f>
        <v>0.0126448893572181</v>
      </c>
      <c r="K64" s="10" t="n">
        <v>0.0113636363636364</v>
      </c>
      <c r="L64" s="10" t="n">
        <v>0.4266</v>
      </c>
    </row>
    <row r="66" customFormat="false" ht="15" hidden="false" customHeight="false" outlineLevel="0" collapsed="false">
      <c r="A66" s="2"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34"/>
    <col collapsed="false" customWidth="true" hidden="false" outlineLevel="0" max="4" min="4" style="0" width="62"/>
    <col collapsed="false" customWidth="true" hidden="false" outlineLevel="0" max="5" min="5" style="0" width="15"/>
    <col collapsed="false" customWidth="true" hidden="false" outlineLevel="0" max="6" min="6" style="0" width="16"/>
  </cols>
  <sheetData>
    <row r="1" customFormat="false" ht="20.1" hidden="false" customHeight="false" outlineLevel="0" collapsed="false">
      <c r="A1" s="21" t="s">
        <v>175</v>
      </c>
    </row>
    <row r="2" customFormat="false" ht="15" hidden="false" customHeight="false" outlineLevel="0" collapsed="false">
      <c r="A2" s="2" t="s">
        <v>176</v>
      </c>
    </row>
    <row r="4" customFormat="false" ht="30" hidden="false" customHeight="true" outlineLevel="0" collapsed="false">
      <c r="A4" s="22" t="s">
        <v>177</v>
      </c>
      <c r="B4" s="5" t="s">
        <v>178</v>
      </c>
      <c r="C4" s="5" t="s">
        <v>179</v>
      </c>
      <c r="D4" s="5" t="s">
        <v>180</v>
      </c>
      <c r="E4" s="5" t="s">
        <v>181</v>
      </c>
      <c r="F4" s="5" t="s">
        <v>182</v>
      </c>
    </row>
    <row r="5" customFormat="false" ht="63.75" hidden="false" customHeight="true" outlineLevel="0" collapsed="false">
      <c r="A5" s="28" t="n">
        <v>1</v>
      </c>
      <c r="B5" s="29" t="s">
        <v>183</v>
      </c>
      <c r="C5" s="30" t="s">
        <v>184</v>
      </c>
      <c r="D5" s="28" t="s">
        <v>185</v>
      </c>
      <c r="E5" s="31" t="s">
        <v>186</v>
      </c>
      <c r="F5" s="31" t="s">
        <v>187</v>
      </c>
    </row>
    <row r="6" customFormat="false" ht="63.75" hidden="false" customHeight="true" outlineLevel="0" collapsed="false">
      <c r="A6" s="28" t="n">
        <v>2</v>
      </c>
      <c r="B6" s="29" t="s">
        <v>183</v>
      </c>
      <c r="C6" s="32" t="s">
        <v>188</v>
      </c>
      <c r="D6" s="28" t="s">
        <v>189</v>
      </c>
      <c r="E6" s="31" t="s">
        <v>186</v>
      </c>
      <c r="F6" s="31" t="s">
        <v>187</v>
      </c>
    </row>
    <row r="7" customFormat="false" ht="63.75" hidden="false" customHeight="true" outlineLevel="0" collapsed="false">
      <c r="A7" s="28" t="n">
        <v>3</v>
      </c>
      <c r="B7" s="33" t="s">
        <v>190</v>
      </c>
      <c r="C7" s="32" t="s">
        <v>191</v>
      </c>
      <c r="D7" s="28" t="s">
        <v>192</v>
      </c>
      <c r="E7" s="31" t="s">
        <v>186</v>
      </c>
      <c r="F7" s="31" t="s">
        <v>187</v>
      </c>
    </row>
    <row r="8" customFormat="false" ht="63.75" hidden="false" customHeight="true" outlineLevel="0" collapsed="false">
      <c r="A8" s="28" t="n">
        <v>4</v>
      </c>
      <c r="B8" s="33" t="s">
        <v>190</v>
      </c>
      <c r="C8" s="30" t="s">
        <v>193</v>
      </c>
      <c r="D8" s="31" t="s">
        <v>194</v>
      </c>
      <c r="E8" s="31" t="s">
        <v>195</v>
      </c>
      <c r="F8" s="34" t="s">
        <v>196</v>
      </c>
    </row>
    <row r="9" customFormat="false" ht="63.75" hidden="false" customHeight="true" outlineLevel="0" collapsed="false">
      <c r="A9" s="28" t="n">
        <v>5</v>
      </c>
      <c r="B9" s="31" t="s">
        <v>197</v>
      </c>
      <c r="C9" s="30" t="s">
        <v>198</v>
      </c>
      <c r="D9" s="28" t="s">
        <v>199</v>
      </c>
      <c r="E9" s="31" t="s">
        <v>195</v>
      </c>
      <c r="F9" s="34" t="s">
        <v>196</v>
      </c>
    </row>
    <row r="10" customFormat="false" ht="63.75" hidden="false" customHeight="true" outlineLevel="0" collapsed="false">
      <c r="A10" s="28" t="n">
        <v>6</v>
      </c>
      <c r="B10" s="31" t="s">
        <v>197</v>
      </c>
      <c r="C10" s="32" t="s">
        <v>200</v>
      </c>
      <c r="D10" s="28" t="s">
        <v>201</v>
      </c>
      <c r="E10" s="31" t="s">
        <v>202</v>
      </c>
      <c r="F10" s="31" t="s">
        <v>187</v>
      </c>
    </row>
    <row r="11" customFormat="false" ht="63.75" hidden="false" customHeight="true" outlineLevel="0" collapsed="false">
      <c r="A11" s="28" t="n">
        <v>7</v>
      </c>
      <c r="B11" s="31" t="s">
        <v>203</v>
      </c>
      <c r="C11" s="32" t="s">
        <v>204</v>
      </c>
      <c r="D11" s="28" t="s">
        <v>205</v>
      </c>
      <c r="E11" s="31" t="s">
        <v>186</v>
      </c>
      <c r="F11" s="31" t="s">
        <v>206</v>
      </c>
    </row>
    <row r="12" customFormat="false" ht="63.75" hidden="false" customHeight="true" outlineLevel="0" collapsed="false">
      <c r="A12" s="28" t="n">
        <v>8</v>
      </c>
      <c r="B12" s="28" t="s">
        <v>207</v>
      </c>
      <c r="C12" s="30" t="s">
        <v>208</v>
      </c>
      <c r="D12" s="28" t="s">
        <v>209</v>
      </c>
      <c r="E12" s="31" t="s">
        <v>195</v>
      </c>
      <c r="F12" s="31" t="s">
        <v>210</v>
      </c>
    </row>
    <row r="13" customFormat="false" ht="63.75" hidden="false" customHeight="true" outlineLevel="0" collapsed="false">
      <c r="A13" s="28" t="n">
        <v>9</v>
      </c>
      <c r="B13" s="28" t="s">
        <v>207</v>
      </c>
      <c r="C13" s="32" t="s">
        <v>211</v>
      </c>
      <c r="D13" s="28" t="s">
        <v>212</v>
      </c>
      <c r="E13" s="31" t="s">
        <v>195</v>
      </c>
      <c r="F13" s="31" t="s">
        <v>210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12"/>
    <col collapsed="false" customWidth="true" hidden="false" outlineLevel="0" max="3" min="3" style="0" width="13"/>
    <col collapsed="false" customWidth="true" hidden="false" outlineLevel="0" max="4" min="4" style="0" width="14"/>
    <col collapsed="false" customWidth="true" hidden="false" outlineLevel="0" max="6" min="5" style="0" width="12"/>
    <col collapsed="false" customWidth="true" hidden="false" outlineLevel="0" max="8" min="7" style="0" width="14"/>
  </cols>
  <sheetData>
    <row r="1" customFormat="false" ht="16.15" hidden="false" customHeight="false" outlineLevel="0" collapsed="false">
      <c r="A1" s="21" t="s">
        <v>213</v>
      </c>
    </row>
    <row r="2" customFormat="false" ht="15" hidden="false" customHeight="false" outlineLevel="0" collapsed="false">
      <c r="A2" s="2" t="s">
        <v>214</v>
      </c>
    </row>
    <row r="4" customFormat="false" ht="30" hidden="false" customHeight="true" outlineLevel="0" collapsed="false">
      <c r="A4" s="5" t="s">
        <v>68</v>
      </c>
      <c r="B4" s="5" t="s">
        <v>215</v>
      </c>
      <c r="C4" s="5" t="s">
        <v>216</v>
      </c>
      <c r="D4" s="5" t="s">
        <v>11</v>
      </c>
      <c r="E4" s="5" t="s">
        <v>13</v>
      </c>
      <c r="F4" s="5" t="s">
        <v>72</v>
      </c>
      <c r="G4" s="5" t="s">
        <v>14</v>
      </c>
      <c r="H4" s="5" t="s">
        <v>15</v>
      </c>
    </row>
    <row r="5" customFormat="false" ht="15" hidden="false" customHeight="false" outlineLevel="0" collapsed="false">
      <c r="A5" s="11" t="s">
        <v>217</v>
      </c>
      <c r="B5" s="11" t="n">
        <v>9</v>
      </c>
      <c r="C5" s="11" t="n">
        <v>9</v>
      </c>
      <c r="D5" s="7" t="n">
        <v>8277</v>
      </c>
      <c r="E5" s="11" t="n">
        <v>2</v>
      </c>
      <c r="F5" s="11" t="n">
        <v>22</v>
      </c>
      <c r="G5" s="25" t="n">
        <f aca="false">IF(D5=0,0,E5/D5*1000)</f>
        <v>0.241633442068382</v>
      </c>
      <c r="H5" s="9" t="n">
        <f aca="false">IF(D5=0,0,F5/D5)</f>
        <v>0.00265796786275221</v>
      </c>
    </row>
    <row r="6" customFormat="false" ht="15" hidden="false" customHeight="false" outlineLevel="0" collapsed="false">
      <c r="A6" s="11" t="s">
        <v>218</v>
      </c>
      <c r="B6" s="11" t="n">
        <v>9</v>
      </c>
      <c r="C6" s="11" t="n">
        <v>9</v>
      </c>
      <c r="D6" s="7" t="n">
        <v>9879</v>
      </c>
      <c r="E6" s="11" t="n">
        <v>10</v>
      </c>
      <c r="F6" s="11" t="n">
        <v>36</v>
      </c>
      <c r="G6" s="25" t="n">
        <f aca="false">IF(D6=0,0,E6/D6*1000)</f>
        <v>1.01224820325944</v>
      </c>
      <c r="H6" s="9" t="n">
        <f aca="false">IF(D6=0,0,F6/D6)</f>
        <v>0.00364409353173398</v>
      </c>
    </row>
    <row r="7" customFormat="false" ht="15" hidden="false" customHeight="false" outlineLevel="0" collapsed="false">
      <c r="A7" s="11" t="s">
        <v>219</v>
      </c>
      <c r="B7" s="11" t="n">
        <v>22</v>
      </c>
      <c r="C7" s="11" t="n">
        <v>22</v>
      </c>
      <c r="D7" s="7" t="n">
        <v>38407</v>
      </c>
      <c r="E7" s="11" t="n">
        <v>15</v>
      </c>
      <c r="F7" s="11" t="n">
        <v>148</v>
      </c>
      <c r="G7" s="25" t="n">
        <f aca="false">IF(D7=0,0,E7/D7*1000)</f>
        <v>0.39055380529591</v>
      </c>
      <c r="H7" s="9" t="n">
        <f aca="false">IF(D7=0,0,F7/D7)</f>
        <v>0.00385346421225297</v>
      </c>
    </row>
    <row r="8" customFormat="false" ht="15" hidden="false" customHeight="false" outlineLevel="0" collapsed="false">
      <c r="A8" s="11" t="s">
        <v>220</v>
      </c>
      <c r="B8" s="11" t="n">
        <v>21</v>
      </c>
      <c r="C8" s="11" t="n">
        <v>21</v>
      </c>
      <c r="D8" s="7" t="n">
        <v>18673</v>
      </c>
      <c r="E8" s="11" t="n">
        <v>7</v>
      </c>
      <c r="F8" s="11" t="n">
        <v>56</v>
      </c>
      <c r="G8" s="25" t="n">
        <f aca="false">IF(D8=0,0,E8/D8*1000)</f>
        <v>0.37487281101055</v>
      </c>
      <c r="H8" s="9" t="n">
        <f aca="false">IF(D8=0,0,F8/D8)</f>
        <v>0.0029989824880844</v>
      </c>
    </row>
    <row r="9" customFormat="false" ht="15" hidden="false" customHeight="false" outlineLevel="0" collapsed="false">
      <c r="A9" s="11" t="s">
        <v>221</v>
      </c>
      <c r="B9" s="11" t="n">
        <v>11</v>
      </c>
      <c r="C9" s="11" t="n">
        <v>11</v>
      </c>
      <c r="D9" s="7" t="n">
        <v>11517</v>
      </c>
      <c r="E9" s="11" t="n">
        <v>2</v>
      </c>
      <c r="F9" s="11" t="n">
        <v>35</v>
      </c>
      <c r="G9" s="25" t="n">
        <f aca="false">IF(D9=0,0,E9/D9*1000)</f>
        <v>0.173656334114787</v>
      </c>
      <c r="H9" s="9" t="n">
        <f aca="false">IF(D9=0,0,F9/D9)</f>
        <v>0.00303898584700877</v>
      </c>
    </row>
    <row r="10" customFormat="false" ht="15" hidden="false" customHeight="false" outlineLevel="0" collapsed="false">
      <c r="A10" s="11" t="s">
        <v>222</v>
      </c>
      <c r="B10" s="11" t="n">
        <v>14</v>
      </c>
      <c r="C10" s="11" t="n">
        <v>14</v>
      </c>
      <c r="D10" s="7" t="n">
        <v>11731</v>
      </c>
      <c r="E10" s="11" t="n">
        <v>5</v>
      </c>
      <c r="F10" s="11" t="n">
        <v>36</v>
      </c>
      <c r="G10" s="25" t="n">
        <f aca="false">IF(D10=0,0,E10/D10*1000)</f>
        <v>0.426221123518882</v>
      </c>
      <c r="H10" s="9" t="n">
        <f aca="false">IF(D10=0,0,F10/D10)</f>
        <v>0.00306879208933595</v>
      </c>
    </row>
    <row r="11" customFormat="false" ht="15" hidden="false" customHeight="false" outlineLevel="0" collapsed="false">
      <c r="A11" s="11" t="s">
        <v>223</v>
      </c>
      <c r="B11" s="11" t="n">
        <v>10</v>
      </c>
      <c r="C11" s="11" t="n">
        <v>10</v>
      </c>
      <c r="D11" s="7" t="n">
        <v>6540</v>
      </c>
      <c r="E11" s="11" t="n">
        <v>6</v>
      </c>
      <c r="F11" s="11" t="n">
        <v>33</v>
      </c>
      <c r="G11" s="25" t="n">
        <f aca="false">IF(D11=0,0,E11/D11*1000)</f>
        <v>0.917431192660551</v>
      </c>
      <c r="H11" s="9" t="n">
        <f aca="false">IF(D11=0,0,F11/D11)</f>
        <v>0.00504587155963303</v>
      </c>
    </row>
    <row r="12" customFormat="false" ht="15" hidden="false" customHeight="false" outlineLevel="0" collapsed="false">
      <c r="A12" s="11" t="s">
        <v>123</v>
      </c>
      <c r="B12" s="11" t="n">
        <v>3</v>
      </c>
      <c r="C12" s="11" t="n">
        <v>3</v>
      </c>
      <c r="D12" s="7" t="n">
        <v>2047</v>
      </c>
      <c r="E12" s="11" t="n">
        <v>2</v>
      </c>
      <c r="F12" s="11" t="n">
        <v>7</v>
      </c>
      <c r="G12" s="25" t="n">
        <f aca="false">IF(D12=0,0,E12/D12*1000)</f>
        <v>0.977039570102589</v>
      </c>
      <c r="H12" s="9" t="n">
        <f aca="false">IF(D12=0,0,F12/D12)</f>
        <v>0.00341963849535906</v>
      </c>
    </row>
    <row r="13" customFormat="false" ht="15" hidden="false" customHeight="false" outlineLevel="0" collapsed="false">
      <c r="A13" s="11" t="s">
        <v>99</v>
      </c>
      <c r="B13" s="11" t="n">
        <v>2</v>
      </c>
      <c r="C13" s="11" t="n">
        <v>2</v>
      </c>
      <c r="D13" s="7" t="n">
        <v>2289</v>
      </c>
      <c r="E13" s="11" t="n">
        <v>0</v>
      </c>
      <c r="F13" s="11" t="n">
        <v>4</v>
      </c>
      <c r="G13" s="25" t="n">
        <f aca="false">IF(D13=0,0,E13/D13*1000)</f>
        <v>0</v>
      </c>
      <c r="H13" s="9" t="n">
        <f aca="false">IF(D13=0,0,F13/D13)</f>
        <v>0.0017474879860201</v>
      </c>
    </row>
    <row r="14" customFormat="false" ht="15" hidden="false" customHeight="false" outlineLevel="0" collapsed="false">
      <c r="A14" s="11" t="s">
        <v>82</v>
      </c>
      <c r="B14" s="11" t="n">
        <v>12</v>
      </c>
      <c r="C14" s="11" t="n">
        <v>11</v>
      </c>
      <c r="D14" s="7" t="n">
        <v>8943</v>
      </c>
      <c r="E14" s="11" t="n">
        <v>8</v>
      </c>
      <c r="F14" s="11" t="n">
        <v>38</v>
      </c>
      <c r="G14" s="25" t="n">
        <f aca="false">IF(D14=0,0,E14/D14*1000)</f>
        <v>0.894554400089456</v>
      </c>
      <c r="H14" s="9" t="n">
        <f aca="false">IF(D14=0,0,F14/D14)</f>
        <v>0.00424913340042491</v>
      </c>
    </row>
    <row r="15" customFormat="false" ht="15" hidden="false" customHeight="false" outlineLevel="0" collapsed="false">
      <c r="A15" s="11" t="s">
        <v>79</v>
      </c>
      <c r="B15" s="11" t="n">
        <v>27</v>
      </c>
      <c r="C15" s="11" t="n">
        <v>24</v>
      </c>
      <c r="D15" s="7" t="n">
        <v>20084</v>
      </c>
      <c r="E15" s="11" t="n">
        <v>7</v>
      </c>
      <c r="F15" s="11" t="n">
        <v>66</v>
      </c>
      <c r="G15" s="25" t="n">
        <f aca="false">IF(D15=0,0,E15/D15*1000)</f>
        <v>0.348536148177654</v>
      </c>
      <c r="H15" s="9" t="n">
        <f aca="false">IF(D15=0,0,F15/D15)</f>
        <v>0.00328619796853217</v>
      </c>
    </row>
    <row r="16" customFormat="false" ht="15" hidden="false" customHeight="false" outlineLevel="0" collapsed="false">
      <c r="A16" s="11" t="s">
        <v>76</v>
      </c>
      <c r="B16" s="11" t="n">
        <v>32</v>
      </c>
      <c r="C16" s="11" t="n">
        <v>25</v>
      </c>
      <c r="D16" s="7" t="n">
        <v>26799</v>
      </c>
      <c r="E16" s="11" t="n">
        <v>12</v>
      </c>
      <c r="F16" s="11" t="n">
        <v>84</v>
      </c>
      <c r="G16" s="25" t="n">
        <f aca="false">IF(D16=0,0,E16/D16*1000)</f>
        <v>0.447777902160528</v>
      </c>
      <c r="H16" s="9" t="n">
        <f aca="false">IF(D16=0,0,F16/D16)</f>
        <v>0.0031344453151237</v>
      </c>
    </row>
    <row r="17" customFormat="false" ht="15" hidden="false" customHeight="false" outlineLevel="0" collapsed="false">
      <c r="A17" s="11" t="s">
        <v>85</v>
      </c>
      <c r="B17" s="11" t="n">
        <v>31</v>
      </c>
      <c r="C17" s="11" t="n">
        <v>17</v>
      </c>
      <c r="D17" s="7" t="n">
        <v>14797</v>
      </c>
      <c r="E17" s="11" t="n">
        <v>6</v>
      </c>
      <c r="F17" s="11" t="n">
        <v>49</v>
      </c>
      <c r="G17" s="25" t="n">
        <f aca="false">IF(D17=0,0,E17/D17*1000)</f>
        <v>0.405487598837602</v>
      </c>
      <c r="H17" s="9" t="n">
        <f aca="false">IF(D17=0,0,F17/D17)</f>
        <v>0.00331148205717375</v>
      </c>
    </row>
    <row r="18" customFormat="false" ht="15" hidden="false" customHeight="false" outlineLevel="0" collapsed="false">
      <c r="A18" s="11" t="s">
        <v>102</v>
      </c>
      <c r="B18" s="11" t="n">
        <v>24</v>
      </c>
      <c r="C18" s="11" t="n">
        <v>14</v>
      </c>
      <c r="D18" s="7" t="n">
        <v>12088</v>
      </c>
      <c r="E18" s="11" t="n">
        <v>8</v>
      </c>
      <c r="F18" s="11" t="n">
        <v>71</v>
      </c>
      <c r="G18" s="25" t="n">
        <f aca="false">IF(D18=0,0,E18/D18*1000)</f>
        <v>0.661813368630046</v>
      </c>
      <c r="H18" s="9" t="n">
        <f aca="false">IF(D18=0,0,F18/D18)</f>
        <v>0.00587359364659166</v>
      </c>
    </row>
    <row r="19" customFormat="false" ht="15" hidden="false" customHeight="false" outlineLevel="0" collapsed="false">
      <c r="A19" s="11" t="s">
        <v>121</v>
      </c>
      <c r="B19" s="11" t="n">
        <v>20</v>
      </c>
      <c r="C19" s="11" t="n">
        <v>12</v>
      </c>
      <c r="D19" s="7" t="n">
        <v>9079</v>
      </c>
      <c r="E19" s="11" t="n">
        <v>8</v>
      </c>
      <c r="F19" s="11" t="n">
        <v>56</v>
      </c>
      <c r="G19" s="25" t="n">
        <f aca="false">IF(D19=0,0,E19/D19*1000)</f>
        <v>0.881154312148915</v>
      </c>
      <c r="H19" s="9" t="n">
        <f aca="false">IF(D19=0,0,F19/D19)</f>
        <v>0.00616808018504241</v>
      </c>
    </row>
    <row r="20" customFormat="false" ht="15" hidden="false" customHeight="false" outlineLevel="0" collapsed="false">
      <c r="A20" s="11" t="s">
        <v>96</v>
      </c>
      <c r="B20" s="11" t="n">
        <v>3</v>
      </c>
      <c r="C20" s="11" t="n">
        <v>3</v>
      </c>
      <c r="D20" s="7" t="n">
        <v>3277</v>
      </c>
      <c r="E20" s="11" t="n">
        <v>4</v>
      </c>
      <c r="F20" s="11" t="n">
        <v>17</v>
      </c>
      <c r="G20" s="25" t="n">
        <f aca="false">IF(D20=0,0,E20/D20*1000)</f>
        <v>1.22062862374123</v>
      </c>
      <c r="H20" s="9" t="n">
        <f aca="false">IF(D20=0,0,F20/D20)</f>
        <v>0.00518767165090021</v>
      </c>
    </row>
    <row r="21" customFormat="false" ht="15" hidden="false" customHeight="false" outlineLevel="0" collapsed="false">
      <c r="A21" s="35" t="s">
        <v>224</v>
      </c>
      <c r="B21" s="35" t="n">
        <v>9</v>
      </c>
      <c r="C21" s="35" t="n">
        <v>0</v>
      </c>
      <c r="D21" s="36" t="n">
        <v>0</v>
      </c>
      <c r="E21" s="35" t="n">
        <v>0</v>
      </c>
      <c r="F21" s="35" t="n">
        <v>0</v>
      </c>
      <c r="G21" s="37" t="n">
        <f aca="false">IF(D21=0,0,E21/D21*1000)</f>
        <v>0</v>
      </c>
      <c r="H21" s="38" t="n">
        <f aca="false">IF(D21=0,0,F21/D21)</f>
        <v>0</v>
      </c>
    </row>
    <row r="22" customFormat="false" ht="15" hidden="false" customHeight="false" outlineLevel="0" collapsed="false">
      <c r="A22" s="35" t="s">
        <v>225</v>
      </c>
      <c r="B22" s="35" t="n">
        <v>16</v>
      </c>
      <c r="C22" s="35" t="n">
        <v>0</v>
      </c>
      <c r="D22" s="36" t="n">
        <v>0</v>
      </c>
      <c r="E22" s="35" t="n">
        <v>0</v>
      </c>
      <c r="F22" s="35" t="n">
        <v>0</v>
      </c>
      <c r="G22" s="37" t="n">
        <f aca="false">IF(D22=0,0,E22/D22*1000)</f>
        <v>0</v>
      </c>
      <c r="H22" s="38" t="n">
        <f aca="false">IF(D22=0,0,F22/D22)</f>
        <v>0</v>
      </c>
    </row>
    <row r="23" customFormat="false" ht="15" hidden="false" customHeight="false" outlineLevel="0" collapsed="false">
      <c r="A23" s="12" t="s">
        <v>226</v>
      </c>
      <c r="B23" s="12" t="n">
        <f aca="false">SUM(B5:B22)</f>
        <v>275</v>
      </c>
      <c r="C23" s="12" t="n">
        <f aca="false">SUM(C5:C22)</f>
        <v>207</v>
      </c>
      <c r="D23" s="13" t="n">
        <f aca="false">SUM(D5:D22)</f>
        <v>204427</v>
      </c>
      <c r="E23" s="12" t="n">
        <f aca="false">SUM(E5:E22)</f>
        <v>102</v>
      </c>
      <c r="F23" s="12" t="n">
        <f aca="false">SUM(F5:F22)</f>
        <v>758</v>
      </c>
      <c r="G23" s="14" t="n">
        <f aca="false">IF(D23=0,0,E23/D23*1000)</f>
        <v>0.498955617408659</v>
      </c>
      <c r="H23" s="15" t="n">
        <f aca="false">IF(D23=0,0,F23/D23)</f>
        <v>0.00370792507838984</v>
      </c>
    </row>
    <row r="24" customFormat="false" ht="15" hidden="false" customHeight="false" outlineLevel="0" collapsed="false">
      <c r="A24" s="2" t="s">
        <v>227</v>
      </c>
    </row>
    <row r="26" customFormat="false" ht="15" hidden="false" customHeight="false" outlineLevel="0" collapsed="false">
      <c r="A26" s="3" t="s">
        <v>228</v>
      </c>
    </row>
    <row r="27" customFormat="false" ht="30" hidden="false" customHeight="true" outlineLevel="0" collapsed="false">
      <c r="A27" s="5" t="s">
        <v>229</v>
      </c>
      <c r="B27" s="5" t="s">
        <v>10</v>
      </c>
      <c r="C27" s="5" t="s">
        <v>11</v>
      </c>
      <c r="D27" s="5" t="s">
        <v>13</v>
      </c>
      <c r="E27" s="5" t="s">
        <v>14</v>
      </c>
      <c r="F27" s="5" t="s">
        <v>15</v>
      </c>
      <c r="G27" s="5" t="s">
        <v>230</v>
      </c>
      <c r="H27" s="5" t="s">
        <v>231</v>
      </c>
    </row>
    <row r="28" customFormat="false" ht="15" hidden="false" customHeight="false" outlineLevel="0" collapsed="false">
      <c r="A28" s="11" t="s">
        <v>232</v>
      </c>
      <c r="B28" s="11" t="n">
        <v>28</v>
      </c>
      <c r="C28" s="7" t="n">
        <v>24698</v>
      </c>
      <c r="D28" s="11" t="n">
        <v>6</v>
      </c>
      <c r="E28" s="8" t="n">
        <f aca="false">IF(C28=0,0,D28/C28*1000)</f>
        <v>0.242934650578994</v>
      </c>
      <c r="F28" s="9" t="n">
        <f aca="false">IF(C28=0,0,79/C28)</f>
        <v>0.00319863956595676</v>
      </c>
      <c r="G28" s="23" t="n">
        <v>13.3</v>
      </c>
      <c r="H28" s="23" t="n">
        <v>50.6</v>
      </c>
    </row>
    <row r="29" customFormat="false" ht="15" hidden="false" customHeight="false" outlineLevel="0" collapsed="false">
      <c r="A29" s="11" t="s">
        <v>233</v>
      </c>
      <c r="B29" s="11" t="n">
        <v>80</v>
      </c>
      <c r="C29" s="7" t="n">
        <v>70500</v>
      </c>
      <c r="D29" s="11" t="n">
        <v>30</v>
      </c>
      <c r="E29" s="8" t="n">
        <f aca="false">IF(C29=0,0,D29/C29*1000)</f>
        <v>0.425531914893617</v>
      </c>
      <c r="F29" s="9" t="n">
        <f aca="false">IF(C29=0,0,251/C29)</f>
        <v>0.00356028368794326</v>
      </c>
      <c r="G29" s="23" t="n">
        <v>13.8</v>
      </c>
      <c r="H29" s="23" t="n">
        <v>39.1</v>
      </c>
    </row>
    <row r="30" customFormat="false" ht="15" hidden="false" customHeight="false" outlineLevel="0" collapsed="false">
      <c r="A30" s="39" t="s">
        <v>234</v>
      </c>
      <c r="B30" s="39" t="n">
        <v>78</v>
      </c>
      <c r="C30" s="40" t="n">
        <v>75314</v>
      </c>
      <c r="D30" s="39" t="n">
        <v>47</v>
      </c>
      <c r="E30" s="14" t="n">
        <f aca="false">IF(C30=0,0,D30/C30*1000)</f>
        <v>0.624053960750989</v>
      </c>
      <c r="F30" s="41" t="n">
        <f aca="false">IF(C30=0,0,339/C30)</f>
        <v>0.00450115516371458</v>
      </c>
      <c r="G30" s="42" t="n">
        <v>15.3</v>
      </c>
      <c r="H30" s="42" t="n">
        <v>34.2</v>
      </c>
    </row>
    <row r="31" customFormat="false" ht="15" hidden="false" customHeight="false" outlineLevel="0" collapsed="false">
      <c r="A31" s="11" t="s">
        <v>235</v>
      </c>
      <c r="B31" s="11" t="n">
        <v>67</v>
      </c>
      <c r="C31" s="7" t="n">
        <v>79673</v>
      </c>
      <c r="D31" s="11" t="n">
        <v>33</v>
      </c>
      <c r="E31" s="8" t="n">
        <f aca="false">IF(C31=0,0,D31/C31*1000)</f>
        <v>0.414193013944498</v>
      </c>
      <c r="F31" s="9" t="n">
        <f aca="false">IF(C31=0,0,266/C31)</f>
        <v>0.00333864671846171</v>
      </c>
      <c r="G31" s="23" t="n">
        <v>18.6</v>
      </c>
      <c r="H31" s="23" t="n">
        <v>34.1</v>
      </c>
    </row>
    <row r="32" customFormat="false" ht="15" hidden="false" customHeight="false" outlineLevel="0" collapsed="false">
      <c r="A32" s="11" t="s">
        <v>236</v>
      </c>
      <c r="B32" s="11" t="n">
        <v>37</v>
      </c>
      <c r="C32" s="7" t="n">
        <v>44352</v>
      </c>
      <c r="D32" s="11" t="n">
        <v>20</v>
      </c>
      <c r="E32" s="8" t="n">
        <f aca="false">IF(C32=0,0,D32/C32*1000)</f>
        <v>0.450937950937951</v>
      </c>
      <c r="F32" s="9" t="n">
        <f aca="false">IF(C32=0,0,149/C32)</f>
        <v>0.00335948773448773</v>
      </c>
      <c r="G32" s="23" t="n">
        <v>21.8</v>
      </c>
      <c r="H32" s="23" t="n">
        <v>33.5</v>
      </c>
    </row>
    <row r="33" customFormat="false" ht="15" hidden="false" customHeight="false" outlineLevel="0" collapsed="false">
      <c r="A33" s="27" t="s">
        <v>237</v>
      </c>
      <c r="B33" s="27" t="n">
        <v>60</v>
      </c>
      <c r="C33" s="43" t="n">
        <v>118912</v>
      </c>
      <c r="D33" s="27" t="n">
        <v>35</v>
      </c>
      <c r="E33" s="44" t="n">
        <f aca="false">IF(C33=0,0,D33/C33*1000)</f>
        <v>0.294335306781485</v>
      </c>
      <c r="F33" s="45" t="n">
        <f aca="false">IF(C33=0,0,357/C33)</f>
        <v>0.00300222012917115</v>
      </c>
      <c r="G33" s="46" t="n">
        <v>32.2</v>
      </c>
      <c r="H33" s="46" t="n">
        <v>32.5</v>
      </c>
    </row>
    <row r="35" customFormat="false" ht="15" hidden="false" customHeight="false" outlineLevel="0" collapsed="false">
      <c r="A35" s="3" t="s">
        <v>238</v>
      </c>
      <c r="B35" s="47" t="n">
        <f aca="false">MAX(E28:E33)</f>
        <v>0.624053960750989</v>
      </c>
    </row>
    <row r="36" customFormat="false" ht="15" hidden="false" customHeight="false" outlineLevel="0" collapsed="false">
      <c r="A36" s="3" t="s">
        <v>239</v>
      </c>
      <c r="B36" s="48" t="n">
        <f aca="false">IF(E33=0,0,MAX(E28:E33)/E33)</f>
        <v>2.1202144165949</v>
      </c>
    </row>
    <row r="38" customFormat="false" ht="25.5" hidden="false" customHeight="true" outlineLevel="0" collapsed="false">
      <c r="A38" s="49" t="s">
        <v>240</v>
      </c>
      <c r="B38" s="49"/>
      <c r="C38" s="49"/>
      <c r="D38" s="49"/>
      <c r="E38" s="49"/>
      <c r="F38" s="49"/>
      <c r="G38" s="49"/>
      <c r="H38" s="49"/>
    </row>
    <row r="39" customFormat="false" ht="25.5" hidden="false" customHeight="true" outlineLevel="0" collapsed="false">
      <c r="A39" s="49" t="s">
        <v>241</v>
      </c>
      <c r="B39" s="49"/>
      <c r="C39" s="49"/>
      <c r="D39" s="49"/>
      <c r="E39" s="49"/>
      <c r="F39" s="49"/>
      <c r="G39" s="49"/>
      <c r="H39" s="49"/>
    </row>
    <row r="40" customFormat="false" ht="25.5" hidden="false" customHeight="true" outlineLevel="0" collapsed="false">
      <c r="A40" s="4" t="s">
        <v>242</v>
      </c>
      <c r="B40" s="4"/>
      <c r="C40" s="4"/>
      <c r="D40" s="4"/>
      <c r="E40" s="4"/>
      <c r="F40" s="4"/>
      <c r="G40" s="4"/>
      <c r="H40" s="4"/>
    </row>
    <row r="41" customFormat="false" ht="25.5" hidden="false" customHeight="true" outlineLevel="0" collapsed="false">
      <c r="A41" s="49" t="s">
        <v>243</v>
      </c>
      <c r="B41" s="49"/>
      <c r="C41" s="49"/>
      <c r="D41" s="49"/>
      <c r="E41" s="49"/>
      <c r="F41" s="49"/>
      <c r="G41" s="49"/>
      <c r="H41" s="49"/>
    </row>
  </sheetData>
  <mergeCells count="4">
    <mergeCell ref="A38:H38"/>
    <mergeCell ref="A39:H39"/>
    <mergeCell ref="A40:H40"/>
    <mergeCell ref="A41:H4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2026-09-15T01:13:33Z</dcterms:created>
  <dc:creator>openpyxl</dc:creator>
  <dc:description/>
  <dc:language>en-US</dc:language>
  <cp:lastModifiedBy/>
  <dcterms:modified xsi:type="dcterms:W3CDTF">2026-09-15T01:13:33Z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